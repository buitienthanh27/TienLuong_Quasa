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14d57326868fa3ac/Desktop/Tháng 01_2026_Mekong/"/>
    </mc:Choice>
  </mc:AlternateContent>
  <xr:revisionPtr revIDLastSave="0" documentId="8_{083525F0-CEEE-4131-98ED-38BECEE3A677}" xr6:coauthVersionLast="47" xr6:coauthVersionMax="47" xr10:uidLastSave="{00000000-0000-0000-0000-000000000000}"/>
  <bookViews>
    <workbookView xWindow="-108" yWindow="-108" windowWidth="23256" windowHeight="12456" tabRatio="816" firstSheet="10" activeTab="15" xr2:uid="{F004E0A0-5F8D-4F41-B823-37335F854397}"/>
  </bookViews>
  <sheets>
    <sheet name="SL KHOÁNG T10 NT" sheetId="300" state="hidden" r:id="rId1"/>
    <sheet name="ct thuc te" sheetId="349" state="hidden" r:id="rId2"/>
    <sheet name="TÊN HÀNG MỤC" sheetId="340" state="hidden" r:id="rId3"/>
    <sheet name="Tên Tháng 1" sheetId="337" state="hidden" r:id="rId4"/>
    <sheet name="CHAM CONG" sheetId="312" state="hidden" r:id="rId5"/>
    <sheet name="SAN LUONG" sheetId="318" state="hidden" r:id="rId6"/>
    <sheet name="GA 1" sheetId="289" state="hidden" r:id="rId7"/>
    <sheet name="GA 2" sheetId="288" state="hidden" r:id="rId8"/>
    <sheet name="GA 3" sheetId="290" state="hidden" r:id="rId9"/>
    <sheet name="GA 4" sheetId="297" state="hidden" r:id="rId10"/>
    <sheet name="tổng hợp cty" sheetId="348" r:id="rId11"/>
    <sheet name="PTL T01-26" sheetId="270" r:id="rId12"/>
    <sheet name="CĐCN T01-26" sheetId="271" r:id="rId13"/>
    <sheet name="KL 1" sheetId="269" r:id="rId14"/>
    <sheet name="Sheet1" sheetId="344" state="hidden" r:id="rId15"/>
    <sheet name="TTL 01" sheetId="301" r:id="rId16"/>
  </sheets>
  <externalReferences>
    <externalReference r:id="rId17"/>
  </externalReferences>
  <definedNames>
    <definedName name="_xlnm._FilterDatabase" localSheetId="4" hidden="1">'CHAM CONG'!$A$6:$BO$506</definedName>
    <definedName name="_xlnm._FilterDatabase" localSheetId="1" hidden="1">'ct thuc te'!$A$4:$IR$196</definedName>
    <definedName name="_xlnm._FilterDatabase" localSheetId="3" hidden="1">'Tên Tháng 1'!$A$4:$I$490</definedName>
    <definedName name="_xlnm.Print_Area" localSheetId="12">'CĐCN T01-26'!$A$1:$H$41</definedName>
    <definedName name="_xlnm.Print_Area" localSheetId="1">'ct thuc te'!$A$1:$G$205</definedName>
    <definedName name="_xlnm.Print_Area" localSheetId="6">'GA 1'!$A$2:$BC$178</definedName>
    <definedName name="_xlnm.Print_Area" localSheetId="7">'GA 2'!$A$1:$AY$149</definedName>
    <definedName name="_xlnm.Print_Area" localSheetId="8">'GA 3'!$A$1:$AY$96</definedName>
    <definedName name="_xlnm.Print_Area" localSheetId="9">'GA 4'!$A$1:$AX$107</definedName>
    <definedName name="_xlnm.Print_Area" localSheetId="13">'KL 1'!$A$1:$Y$509</definedName>
    <definedName name="_xlnm.Print_Area" localSheetId="11">'PTL T01-26'!$A$1:$G$49</definedName>
    <definedName name="_xlnm.Print_Area" localSheetId="10">'tổng hợp cty'!$A$1:$I$28</definedName>
    <definedName name="_xlnm.Print_Area" localSheetId="15">'TTL 01'!$A$1:$R$508</definedName>
    <definedName name="_xlnm.Print_Titles" localSheetId="6">'GA 1'!$6:$7</definedName>
    <definedName name="_xlnm.Print_Titles" localSheetId="7">'GA 2'!$6:$7</definedName>
    <definedName name="_xlnm.Print_Titles" localSheetId="8">'GA 3'!$6:$7</definedName>
    <definedName name="_xlnm.Print_Titles" localSheetId="9">'GA 4'!$6:$7</definedName>
    <definedName name="_xlnm.Print_Titles" localSheetId="13">'KL 1'!$11:$13</definedName>
    <definedName name="_xlnm.Print_Titles" localSheetId="11">'PTL T01-26'!$11:$12</definedName>
    <definedName name="_xlnm.Print_Titles" localSheetId="10">'tổng hợp cty'!$7:$9</definedName>
    <definedName name="_xlnm.Print_Titles" localSheetId="15">'TTL 01'!$11:$12</definedName>
    <definedName name="ten_hang_muc_KD">'[1]Ten hang muc (2)'!$B$1:$C$31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00" l="1"/>
  <c r="D4" i="300"/>
  <c r="D5" i="300"/>
  <c r="D6" i="300"/>
  <c r="D7" i="300"/>
  <c r="B9" i="300"/>
  <c r="C9" i="300"/>
  <c r="D9" i="300"/>
  <c r="D5" i="349"/>
  <c r="E5" i="349"/>
  <c r="F6" i="349"/>
  <c r="F7" i="349"/>
  <c r="F8" i="349"/>
  <c r="F9" i="349"/>
  <c r="F10" i="349"/>
  <c r="F14" i="349"/>
  <c r="F15" i="349"/>
  <c r="F16" i="349"/>
  <c r="F17" i="349"/>
  <c r="D26" i="349"/>
  <c r="E26" i="349"/>
  <c r="F27" i="349"/>
  <c r="F28" i="349"/>
  <c r="F31" i="349"/>
  <c r="F32" i="349"/>
  <c r="F33" i="349"/>
  <c r="F36" i="349"/>
  <c r="F43" i="349"/>
  <c r="F46" i="349"/>
  <c r="F48" i="349"/>
  <c r="F50" i="349"/>
  <c r="F51" i="349"/>
  <c r="F52" i="349"/>
  <c r="F53" i="349"/>
  <c r="F54" i="349"/>
  <c r="F55" i="349"/>
  <c r="F57" i="349"/>
  <c r="F58" i="349"/>
  <c r="D59" i="349"/>
  <c r="E59" i="349"/>
  <c r="G59" i="349"/>
  <c r="F60" i="349"/>
  <c r="F63" i="349"/>
  <c r="F64" i="349"/>
  <c r="F59" i="349" s="1"/>
  <c r="F67" i="349"/>
  <c r="F68" i="349"/>
  <c r="F69" i="349"/>
  <c r="F70" i="349"/>
  <c r="F71" i="349"/>
  <c r="F72" i="349"/>
  <c r="F73" i="349"/>
  <c r="F74" i="349"/>
  <c r="F76" i="349"/>
  <c r="F77" i="349"/>
  <c r="F78" i="349"/>
  <c r="F79" i="349"/>
  <c r="F80" i="349"/>
  <c r="F81" i="349"/>
  <c r="F82" i="349"/>
  <c r="F83" i="349"/>
  <c r="F84" i="349"/>
  <c r="F85" i="349"/>
  <c r="F86" i="349"/>
  <c r="F87" i="349"/>
  <c r="F88" i="349"/>
  <c r="F89" i="349"/>
  <c r="F90" i="349"/>
  <c r="F91" i="349"/>
  <c r="F92" i="349"/>
  <c r="D93" i="349"/>
  <c r="E93" i="349"/>
  <c r="F93" i="349"/>
  <c r="G93" i="349"/>
  <c r="D138" i="349"/>
  <c r="E138" i="349"/>
  <c r="G138" i="349"/>
  <c r="F141" i="349"/>
  <c r="F164" i="349"/>
  <c r="F165" i="349"/>
  <c r="F195" i="349"/>
  <c r="D196" i="349"/>
  <c r="E196" i="349"/>
  <c r="O4" i="337"/>
  <c r="P4" i="337" s="1"/>
  <c r="O5" i="337"/>
  <c r="P5" i="337" s="1"/>
  <c r="O6" i="337"/>
  <c r="P6" i="337" s="1"/>
  <c r="O7" i="337"/>
  <c r="P7" i="337"/>
  <c r="O8" i="337"/>
  <c r="P8" i="337" s="1"/>
  <c r="O9" i="337"/>
  <c r="P9" i="337"/>
  <c r="O10" i="337"/>
  <c r="P10" i="337" s="1"/>
  <c r="O11" i="337"/>
  <c r="P11" i="337"/>
  <c r="O12" i="337"/>
  <c r="P12" i="337" s="1"/>
  <c r="O13" i="337"/>
  <c r="P13" i="337" s="1"/>
  <c r="O14" i="337"/>
  <c r="P14" i="337" s="1"/>
  <c r="O15" i="337"/>
  <c r="P15" i="337" s="1"/>
  <c r="O16" i="337"/>
  <c r="P16" i="337" s="1"/>
  <c r="O17" i="337"/>
  <c r="P17" i="337"/>
  <c r="O18" i="337"/>
  <c r="P18" i="337" s="1"/>
  <c r="O19" i="337"/>
  <c r="P19" i="337"/>
  <c r="O20" i="337"/>
  <c r="P20" i="337" s="1"/>
  <c r="O21" i="337"/>
  <c r="P21" i="337" s="1"/>
  <c r="O22" i="337"/>
  <c r="P22" i="337" s="1"/>
  <c r="O23" i="337"/>
  <c r="P23" i="337" s="1"/>
  <c r="O24" i="337"/>
  <c r="P24" i="337" s="1"/>
  <c r="O25" i="337"/>
  <c r="P25" i="337"/>
  <c r="O26" i="337"/>
  <c r="P26" i="337" s="1"/>
  <c r="O27" i="337"/>
  <c r="P27" i="337"/>
  <c r="O28" i="337"/>
  <c r="P28" i="337" s="1"/>
  <c r="O29" i="337"/>
  <c r="P29" i="337" s="1"/>
  <c r="O30" i="337"/>
  <c r="P30" i="337" s="1"/>
  <c r="O31" i="337"/>
  <c r="P31" i="337"/>
  <c r="O32" i="337"/>
  <c r="P32" i="337" s="1"/>
  <c r="O33" i="337"/>
  <c r="P33" i="337"/>
  <c r="O34" i="337"/>
  <c r="P34" i="337" s="1"/>
  <c r="O35" i="337"/>
  <c r="P35" i="337"/>
  <c r="O36" i="337"/>
  <c r="P36" i="337" s="1"/>
  <c r="O37" i="337"/>
  <c r="P37" i="337" s="1"/>
  <c r="O38" i="337"/>
  <c r="P38" i="337" s="1"/>
  <c r="O39" i="337"/>
  <c r="P39" i="337" s="1"/>
  <c r="O40" i="337"/>
  <c r="P40" i="337" s="1"/>
  <c r="O41" i="337"/>
  <c r="P41" i="337"/>
  <c r="O42" i="337"/>
  <c r="P42" i="337" s="1"/>
  <c r="O43" i="337"/>
  <c r="P43" i="337" s="1"/>
  <c r="O44" i="337"/>
  <c r="P44" i="337" s="1"/>
  <c r="O45" i="337"/>
  <c r="P45" i="337" s="1"/>
  <c r="O46" i="337"/>
  <c r="P46" i="337" s="1"/>
  <c r="O47" i="337"/>
  <c r="P47" i="337" s="1"/>
  <c r="O48" i="337"/>
  <c r="P48" i="337" s="1"/>
  <c r="O49" i="337"/>
  <c r="P49" i="337" s="1"/>
  <c r="O50" i="337"/>
  <c r="P50" i="337" s="1"/>
  <c r="O51" i="337"/>
  <c r="P51" i="337" s="1"/>
  <c r="O52" i="337"/>
  <c r="P52" i="337" s="1"/>
  <c r="O53" i="337"/>
  <c r="P53" i="337"/>
  <c r="O54" i="337"/>
  <c r="P54" i="337" s="1"/>
  <c r="O55" i="337"/>
  <c r="P55" i="337" s="1"/>
  <c r="O56" i="337"/>
  <c r="P56" i="337" s="1"/>
  <c r="O57" i="337"/>
  <c r="P57" i="337" s="1"/>
  <c r="O58" i="337"/>
  <c r="P58" i="337" s="1"/>
  <c r="O59" i="337"/>
  <c r="P59" i="337"/>
  <c r="O60" i="337"/>
  <c r="P60" i="337" s="1"/>
  <c r="O61" i="337"/>
  <c r="P61" i="337"/>
  <c r="O62" i="337"/>
  <c r="P62" i="337" s="1"/>
  <c r="O63" i="337"/>
  <c r="P63" i="337" s="1"/>
  <c r="O64" i="337"/>
  <c r="P64" i="337" s="1"/>
  <c r="O65" i="337"/>
  <c r="P65" i="337"/>
  <c r="O66" i="337"/>
  <c r="P66" i="337" s="1"/>
  <c r="O67" i="337"/>
  <c r="P67" i="337"/>
  <c r="O68" i="337"/>
  <c r="P68" i="337" s="1"/>
  <c r="O69" i="337"/>
  <c r="P69" i="337" s="1"/>
  <c r="O70" i="337"/>
  <c r="P70" i="337" s="1"/>
  <c r="O71" i="337"/>
  <c r="P71" i="337" s="1"/>
  <c r="O72" i="337"/>
  <c r="P72" i="337" s="1"/>
  <c r="O73" i="337"/>
  <c r="P73" i="337"/>
  <c r="O74" i="337"/>
  <c r="P74" i="337" s="1"/>
  <c r="O75" i="337"/>
  <c r="P75" i="337" s="1"/>
  <c r="O76" i="337"/>
  <c r="P76" i="337" s="1"/>
  <c r="O77" i="337"/>
  <c r="P77" i="337"/>
  <c r="O78" i="337"/>
  <c r="P78" i="337" s="1"/>
  <c r="O79" i="337"/>
  <c r="P79" i="337" s="1"/>
  <c r="O80" i="337"/>
  <c r="P80" i="337" s="1"/>
  <c r="O81" i="337"/>
  <c r="P81" i="337" s="1"/>
  <c r="O82" i="337"/>
  <c r="P82" i="337" s="1"/>
  <c r="O83" i="337"/>
  <c r="P83" i="337" s="1"/>
  <c r="O84" i="337"/>
  <c r="P84" i="337" s="1"/>
  <c r="O85" i="337"/>
  <c r="P85" i="337"/>
  <c r="O86" i="337"/>
  <c r="P86" i="337" s="1"/>
  <c r="O87" i="337"/>
  <c r="P87" i="337" s="1"/>
  <c r="O88" i="337"/>
  <c r="P88" i="337" s="1"/>
  <c r="O89" i="337"/>
  <c r="P89" i="337" s="1"/>
  <c r="O90" i="337"/>
  <c r="P90" i="337" s="1"/>
  <c r="O91" i="337"/>
  <c r="P91" i="337"/>
  <c r="O92" i="337"/>
  <c r="P92" i="337" s="1"/>
  <c r="O93" i="337"/>
  <c r="P93" i="337"/>
  <c r="O94" i="337"/>
  <c r="P94" i="337" s="1"/>
  <c r="O95" i="337"/>
  <c r="P95" i="337" s="1"/>
  <c r="O96" i="337"/>
  <c r="P96" i="337" s="1"/>
  <c r="O97" i="337"/>
  <c r="P97" i="337"/>
  <c r="O98" i="337"/>
  <c r="P98" i="337" s="1"/>
  <c r="O99" i="337"/>
  <c r="P99" i="337"/>
  <c r="O100" i="337"/>
  <c r="P100" i="337" s="1"/>
  <c r="O101" i="337"/>
  <c r="P101" i="337" s="1"/>
  <c r="O102" i="337"/>
  <c r="P102" i="337" s="1"/>
  <c r="O103" i="337"/>
  <c r="P103" i="337" s="1"/>
  <c r="O104" i="337"/>
  <c r="P104" i="337" s="1"/>
  <c r="O105" i="337"/>
  <c r="P105" i="337"/>
  <c r="O106" i="337"/>
  <c r="P106" i="337" s="1"/>
  <c r="O107" i="337"/>
  <c r="P107" i="337" s="1"/>
  <c r="O108" i="337"/>
  <c r="P108" i="337" s="1"/>
  <c r="O109" i="337"/>
  <c r="P109" i="337" s="1"/>
  <c r="O110" i="337"/>
  <c r="P110" i="337" s="1"/>
  <c r="O111" i="337"/>
  <c r="P111" i="337" s="1"/>
  <c r="O112" i="337"/>
  <c r="P112" i="337" s="1"/>
  <c r="O113" i="337"/>
  <c r="P113" i="337" s="1"/>
  <c r="O114" i="337"/>
  <c r="P114" i="337" s="1"/>
  <c r="O115" i="337"/>
  <c r="P115" i="337"/>
  <c r="O116" i="337"/>
  <c r="P116" i="337" s="1"/>
  <c r="O117" i="337"/>
  <c r="P117" i="337"/>
  <c r="O118" i="337"/>
  <c r="P118" i="337" s="1"/>
  <c r="O119" i="337"/>
  <c r="P119" i="337" s="1"/>
  <c r="O120" i="337"/>
  <c r="P120" i="337" s="1"/>
  <c r="O121" i="337"/>
  <c r="P121" i="337"/>
  <c r="O122" i="337"/>
  <c r="P122" i="337" s="1"/>
  <c r="O123" i="337"/>
  <c r="P123" i="337"/>
  <c r="O124" i="337"/>
  <c r="P124" i="337" s="1"/>
  <c r="O125" i="337"/>
  <c r="P125" i="337"/>
  <c r="O126" i="337"/>
  <c r="P126" i="337" s="1"/>
  <c r="O127" i="337"/>
  <c r="P127" i="337" s="1"/>
  <c r="O128" i="337"/>
  <c r="P128" i="337" s="1"/>
  <c r="O129" i="337"/>
  <c r="P129" i="337"/>
  <c r="O130" i="337"/>
  <c r="P130" i="337" s="1"/>
  <c r="O131" i="337"/>
  <c r="P131" i="337"/>
  <c r="O132" i="337"/>
  <c r="P132" i="337" s="1"/>
  <c r="O133" i="337"/>
  <c r="P133" i="337" s="1"/>
  <c r="O134" i="337"/>
  <c r="P134" i="337" s="1"/>
  <c r="O135" i="337"/>
  <c r="P135" i="337" s="1"/>
  <c r="O136" i="337"/>
  <c r="P136" i="337" s="1"/>
  <c r="O137" i="337"/>
  <c r="P137" i="337"/>
  <c r="O138" i="337"/>
  <c r="P138" i="337" s="1"/>
  <c r="O139" i="337"/>
  <c r="P139" i="337" s="1"/>
  <c r="O140" i="337"/>
  <c r="P140" i="337" s="1"/>
  <c r="O141" i="337"/>
  <c r="P141" i="337" s="1"/>
  <c r="O142" i="337"/>
  <c r="P142" i="337" s="1"/>
  <c r="O143" i="337"/>
  <c r="P143" i="337" s="1"/>
  <c r="O144" i="337"/>
  <c r="P144" i="337" s="1"/>
  <c r="O145" i="337"/>
  <c r="P145" i="337" s="1"/>
  <c r="O146" i="337"/>
  <c r="P146" i="337" s="1"/>
  <c r="O147" i="337"/>
  <c r="P147" i="337"/>
  <c r="O148" i="337"/>
  <c r="P148" i="337" s="1"/>
  <c r="O149" i="337"/>
  <c r="P149" i="337"/>
  <c r="O150" i="337"/>
  <c r="P150" i="337" s="1"/>
  <c r="O151" i="337"/>
  <c r="P151" i="337" s="1"/>
  <c r="O152" i="337"/>
  <c r="P152" i="337" s="1"/>
  <c r="O153" i="337"/>
  <c r="P153" i="337"/>
  <c r="O154" i="337"/>
  <c r="P154" i="337" s="1"/>
  <c r="O155" i="337"/>
  <c r="P155" i="337"/>
  <c r="O156" i="337"/>
  <c r="P156" i="337" s="1"/>
  <c r="O157" i="337"/>
  <c r="P157" i="337"/>
  <c r="O158" i="337"/>
  <c r="P158" i="337" s="1"/>
  <c r="O159" i="337"/>
  <c r="P159" i="337" s="1"/>
  <c r="O160" i="337"/>
  <c r="P160" i="337" s="1"/>
  <c r="O161" i="337"/>
  <c r="P161" i="337"/>
  <c r="O162" i="337"/>
  <c r="P162" i="337" s="1"/>
  <c r="O163" i="337"/>
  <c r="P163" i="337"/>
  <c r="O164" i="337"/>
  <c r="P164" i="337" s="1"/>
  <c r="O165" i="337"/>
  <c r="P165" i="337" s="1"/>
  <c r="O166" i="337"/>
  <c r="P166" i="337" s="1"/>
  <c r="O167" i="337"/>
  <c r="P167" i="337" s="1"/>
  <c r="O168" i="337"/>
  <c r="P168" i="337" s="1"/>
  <c r="O169" i="337"/>
  <c r="P169" i="337"/>
  <c r="O170" i="337"/>
  <c r="P170" i="337" s="1"/>
  <c r="O171" i="337"/>
  <c r="P171" i="337" s="1"/>
  <c r="O172" i="337"/>
  <c r="P172" i="337" s="1"/>
  <c r="O173" i="337"/>
  <c r="P173" i="337"/>
  <c r="O174" i="337"/>
  <c r="P174" i="337"/>
  <c r="O175" i="337"/>
  <c r="P175" i="337"/>
  <c r="O176" i="337"/>
  <c r="P176" i="337"/>
  <c r="O177" i="337"/>
  <c r="P177" i="337"/>
  <c r="O178" i="337"/>
  <c r="P178" i="337"/>
  <c r="O179" i="337"/>
  <c r="P179" i="337"/>
  <c r="O180" i="337"/>
  <c r="P180" i="337" s="1"/>
  <c r="O181" i="337"/>
  <c r="P181" i="337" s="1"/>
  <c r="O182" i="337"/>
  <c r="P182" i="337"/>
  <c r="O183" i="337"/>
  <c r="P183" i="337" s="1"/>
  <c r="O184" i="337"/>
  <c r="P184" i="337"/>
  <c r="O185" i="337"/>
  <c r="P185" i="337" s="1"/>
  <c r="O186" i="337"/>
  <c r="P186" i="337"/>
  <c r="O187" i="337"/>
  <c r="P187" i="337" s="1"/>
  <c r="O188" i="337"/>
  <c r="P188" i="337"/>
  <c r="O189" i="337"/>
  <c r="P189" i="337" s="1"/>
  <c r="O190" i="337"/>
  <c r="P190" i="337" s="1"/>
  <c r="O191" i="337"/>
  <c r="P191" i="337"/>
  <c r="O192" i="337"/>
  <c r="P192" i="337" s="1"/>
  <c r="O193" i="337"/>
  <c r="P193" i="337"/>
  <c r="O194" i="337"/>
  <c r="P194" i="337" s="1"/>
  <c r="O195" i="337"/>
  <c r="P195" i="337"/>
  <c r="O196" i="337"/>
  <c r="P196" i="337" s="1"/>
  <c r="O197" i="337"/>
  <c r="P197" i="337" s="1"/>
  <c r="O198" i="337"/>
  <c r="P198" i="337" s="1"/>
  <c r="O199" i="337"/>
  <c r="P199" i="337"/>
  <c r="O200" i="337"/>
  <c r="P200" i="337" s="1"/>
  <c r="O201" i="337"/>
  <c r="P201" i="337"/>
  <c r="O202" i="337"/>
  <c r="P202" i="337" s="1"/>
  <c r="O203" i="337"/>
  <c r="P203" i="337"/>
  <c r="O204" i="337"/>
  <c r="P204" i="337" s="1"/>
  <c r="O205" i="337"/>
  <c r="P205" i="337" s="1"/>
  <c r="O206" i="337"/>
  <c r="P206" i="337" s="1"/>
  <c r="O207" i="337"/>
  <c r="P207" i="337" s="1"/>
  <c r="O208" i="337"/>
  <c r="P208" i="337" s="1"/>
  <c r="O209" i="337"/>
  <c r="P209" i="337"/>
  <c r="O210" i="337"/>
  <c r="P210" i="337" s="1"/>
  <c r="O211" i="337"/>
  <c r="P211" i="337"/>
  <c r="O212" i="337"/>
  <c r="P212" i="337" s="1"/>
  <c r="O213" i="337"/>
  <c r="P213" i="337" s="1"/>
  <c r="O214" i="337"/>
  <c r="P214" i="337" s="1"/>
  <c r="O215" i="337"/>
  <c r="P215" i="337"/>
  <c r="O216" i="337"/>
  <c r="P216" i="337" s="1"/>
  <c r="O217" i="337"/>
  <c r="P217" i="337"/>
  <c r="O218" i="337"/>
  <c r="P218" i="337" s="1"/>
  <c r="O219" i="337"/>
  <c r="P219" i="337"/>
  <c r="O220" i="337"/>
  <c r="P220" i="337" s="1"/>
  <c r="O221" i="337"/>
  <c r="P221" i="337" s="1"/>
  <c r="O222" i="337"/>
  <c r="P222" i="337" s="1"/>
  <c r="O223" i="337"/>
  <c r="P223" i="337"/>
  <c r="O224" i="337"/>
  <c r="P224" i="337" s="1"/>
  <c r="O225" i="337"/>
  <c r="P225" i="337"/>
  <c r="O226" i="337"/>
  <c r="P226" i="337" s="1"/>
  <c r="O227" i="337"/>
  <c r="P227" i="337"/>
  <c r="O228" i="337"/>
  <c r="P228" i="337" s="1"/>
  <c r="O229" i="337"/>
  <c r="P229" i="337" s="1"/>
  <c r="O230" i="337"/>
  <c r="P230" i="337" s="1"/>
  <c r="O231" i="337"/>
  <c r="P231" i="337"/>
  <c r="O232" i="337"/>
  <c r="P232" i="337" s="1"/>
  <c r="O233" i="337"/>
  <c r="P233" i="337"/>
  <c r="O234" i="337"/>
  <c r="P234" i="337" s="1"/>
  <c r="O235" i="337"/>
  <c r="P235" i="337"/>
  <c r="O236" i="337"/>
  <c r="P236" i="337" s="1"/>
  <c r="O237" i="337"/>
  <c r="P237" i="337" s="1"/>
  <c r="O238" i="337"/>
  <c r="P238" i="337" s="1"/>
  <c r="O239" i="337"/>
  <c r="P239" i="337" s="1"/>
  <c r="O240" i="337"/>
  <c r="P240" i="337" s="1"/>
  <c r="O241" i="337"/>
  <c r="P241" i="337"/>
  <c r="O242" i="337"/>
  <c r="P242" i="337" s="1"/>
  <c r="O243" i="337"/>
  <c r="P243" i="337"/>
  <c r="O244" i="337"/>
  <c r="P244" i="337" s="1"/>
  <c r="O245" i="337"/>
  <c r="P245" i="337" s="1"/>
  <c r="O246" i="337"/>
  <c r="P246" i="337" s="1"/>
  <c r="O247" i="337"/>
  <c r="P247" i="337"/>
  <c r="O248" i="337"/>
  <c r="P248" i="337" s="1"/>
  <c r="O249" i="337"/>
  <c r="P249" i="337"/>
  <c r="O250" i="337"/>
  <c r="P250" i="337" s="1"/>
  <c r="O251" i="337"/>
  <c r="P251" i="337"/>
  <c r="O252" i="337"/>
  <c r="P252" i="337" s="1"/>
  <c r="O253" i="337"/>
  <c r="P253" i="337" s="1"/>
  <c r="O254" i="337"/>
  <c r="P254" i="337" s="1"/>
  <c r="O255" i="337"/>
  <c r="P255" i="337"/>
  <c r="O256" i="337"/>
  <c r="P256" i="337" s="1"/>
  <c r="O257" i="337"/>
  <c r="P257" i="337"/>
  <c r="O258" i="337"/>
  <c r="P258" i="337" s="1"/>
  <c r="O259" i="337"/>
  <c r="P259" i="337"/>
  <c r="O260" i="337"/>
  <c r="P260" i="337" s="1"/>
  <c r="O261" i="337"/>
  <c r="P261" i="337" s="1"/>
  <c r="O262" i="337"/>
  <c r="P262" i="337" s="1"/>
  <c r="O263" i="337"/>
  <c r="P263" i="337"/>
  <c r="O264" i="337"/>
  <c r="P264" i="337" s="1"/>
  <c r="O265" i="337"/>
  <c r="P265" i="337"/>
  <c r="O266" i="337"/>
  <c r="P266" i="337" s="1"/>
  <c r="O267" i="337"/>
  <c r="P267" i="337"/>
  <c r="O268" i="337"/>
  <c r="P268" i="337" s="1"/>
  <c r="O269" i="337"/>
  <c r="P269" i="337" s="1"/>
  <c r="O270" i="337"/>
  <c r="P270" i="337" s="1"/>
  <c r="O271" i="337"/>
  <c r="P271" i="337" s="1"/>
  <c r="O272" i="337"/>
  <c r="P272" i="337" s="1"/>
  <c r="O273" i="337"/>
  <c r="P273" i="337"/>
  <c r="O274" i="337"/>
  <c r="P274" i="337" s="1"/>
  <c r="O275" i="337"/>
  <c r="P275" i="337"/>
  <c r="O276" i="337"/>
  <c r="P276" i="337" s="1"/>
  <c r="O277" i="337"/>
  <c r="P277" i="337" s="1"/>
  <c r="O278" i="337"/>
  <c r="P278" i="337" s="1"/>
  <c r="O279" i="337"/>
  <c r="P279" i="337"/>
  <c r="O280" i="337"/>
  <c r="P280" i="337" s="1"/>
  <c r="O281" i="337"/>
  <c r="P281" i="337"/>
  <c r="O282" i="337"/>
  <c r="P282" i="337" s="1"/>
  <c r="O283" i="337"/>
  <c r="P283" i="337"/>
  <c r="O284" i="337"/>
  <c r="P284" i="337" s="1"/>
  <c r="O285" i="337"/>
  <c r="P285" i="337" s="1"/>
  <c r="O286" i="337"/>
  <c r="P286" i="337" s="1"/>
  <c r="O287" i="337"/>
  <c r="P287" i="337"/>
  <c r="O288" i="337"/>
  <c r="P288" i="337" s="1"/>
  <c r="O289" i="337"/>
  <c r="P289" i="337"/>
  <c r="O290" i="337"/>
  <c r="P290" i="337" s="1"/>
  <c r="O291" i="337"/>
  <c r="P291" i="337"/>
  <c r="O292" i="337"/>
  <c r="P292" i="337" s="1"/>
  <c r="O293" i="337"/>
  <c r="P293" i="337" s="1"/>
  <c r="O294" i="337"/>
  <c r="P294" i="337" s="1"/>
  <c r="O295" i="337"/>
  <c r="P295" i="337"/>
  <c r="O296" i="337"/>
  <c r="P296" i="337" s="1"/>
  <c r="O297" i="337"/>
  <c r="P297" i="337"/>
  <c r="O298" i="337"/>
  <c r="P298" i="337" s="1"/>
  <c r="O299" i="337"/>
  <c r="P299" i="337"/>
  <c r="O300" i="337"/>
  <c r="P300" i="337" s="1"/>
  <c r="O301" i="337"/>
  <c r="P301" i="337" s="1"/>
  <c r="O302" i="337"/>
  <c r="P302" i="337" s="1"/>
  <c r="O303" i="337"/>
  <c r="P303" i="337" s="1"/>
  <c r="O304" i="337"/>
  <c r="P304" i="337" s="1"/>
  <c r="O305" i="337"/>
  <c r="P305" i="337"/>
  <c r="O306" i="337"/>
  <c r="P306" i="337" s="1"/>
  <c r="O307" i="337"/>
  <c r="P307" i="337"/>
  <c r="O308" i="337"/>
  <c r="P308" i="337" s="1"/>
  <c r="O309" i="337"/>
  <c r="P309" i="337" s="1"/>
  <c r="O310" i="337"/>
  <c r="P310" i="337" s="1"/>
  <c r="O311" i="337"/>
  <c r="P311" i="337"/>
  <c r="O312" i="337"/>
  <c r="P312" i="337" s="1"/>
  <c r="O313" i="337"/>
  <c r="P313" i="337"/>
  <c r="O314" i="337"/>
  <c r="P314" i="337" s="1"/>
  <c r="O315" i="337"/>
  <c r="P315" i="337"/>
  <c r="O316" i="337"/>
  <c r="P316" i="337" s="1"/>
  <c r="O317" i="337"/>
  <c r="P317" i="337" s="1"/>
  <c r="O318" i="337"/>
  <c r="P318" i="337" s="1"/>
  <c r="O319" i="337"/>
  <c r="P319" i="337"/>
  <c r="O320" i="337"/>
  <c r="P320" i="337" s="1"/>
  <c r="O321" i="337"/>
  <c r="P321" i="337"/>
  <c r="O322" i="337"/>
  <c r="P322" i="337" s="1"/>
  <c r="O323" i="337"/>
  <c r="P323" i="337" s="1"/>
  <c r="O324" i="337"/>
  <c r="P324" i="337" s="1"/>
  <c r="O325" i="337"/>
  <c r="P325" i="337" s="1"/>
  <c r="O326" i="337"/>
  <c r="P326" i="337" s="1"/>
  <c r="O327" i="337"/>
  <c r="P327" i="337" s="1"/>
  <c r="O328" i="337"/>
  <c r="P328" i="337" s="1"/>
  <c r="O329" i="337"/>
  <c r="P329" i="337"/>
  <c r="O330" i="337"/>
  <c r="P330" i="337" s="1"/>
  <c r="O331" i="337"/>
  <c r="P331" i="337"/>
  <c r="O332" i="337"/>
  <c r="P332" i="337" s="1"/>
  <c r="O333" i="337"/>
  <c r="P333" i="337" s="1"/>
  <c r="O334" i="337"/>
  <c r="P334" i="337" s="1"/>
  <c r="O335" i="337"/>
  <c r="P335" i="337"/>
  <c r="O336" i="337"/>
  <c r="P336" i="337" s="1"/>
  <c r="O337" i="337"/>
  <c r="P337" i="337"/>
  <c r="O338" i="337"/>
  <c r="P338" i="337" s="1"/>
  <c r="O339" i="337"/>
  <c r="P339" i="337" s="1"/>
  <c r="O340" i="337"/>
  <c r="P340" i="337" s="1"/>
  <c r="O341" i="337"/>
  <c r="P341" i="337" s="1"/>
  <c r="O342" i="337"/>
  <c r="P342" i="337" s="1"/>
  <c r="O343" i="337"/>
  <c r="P343" i="337"/>
  <c r="O344" i="337"/>
  <c r="P344" i="337" s="1"/>
  <c r="O345" i="337"/>
  <c r="P345" i="337"/>
  <c r="O346" i="337"/>
  <c r="P346" i="337" s="1"/>
  <c r="O347" i="337"/>
  <c r="P347" i="337"/>
  <c r="O348" i="337"/>
  <c r="P348" i="337" s="1"/>
  <c r="O349" i="337"/>
  <c r="P349" i="337" s="1"/>
  <c r="O350" i="337"/>
  <c r="P350" i="337" s="1"/>
  <c r="O351" i="337"/>
  <c r="P351" i="337" s="1"/>
  <c r="O352" i="337"/>
  <c r="P352" i="337" s="1"/>
  <c r="O353" i="337"/>
  <c r="P353" i="337"/>
  <c r="O354" i="337"/>
  <c r="P354" i="337" s="1"/>
  <c r="O355" i="337"/>
  <c r="P355" i="337"/>
  <c r="O356" i="337"/>
  <c r="P356" i="337" s="1"/>
  <c r="O357" i="337"/>
  <c r="P357" i="337" s="1"/>
  <c r="O358" i="337"/>
  <c r="P358" i="337"/>
  <c r="O359" i="337"/>
  <c r="P359" i="337" s="1"/>
  <c r="O360" i="337"/>
  <c r="P360" i="337"/>
  <c r="O361" i="337"/>
  <c r="P361" i="337" s="1"/>
  <c r="O362" i="337"/>
  <c r="P362" i="337"/>
  <c r="O363" i="337"/>
  <c r="P363" i="337" s="1"/>
  <c r="O364" i="337"/>
  <c r="P364" i="337"/>
  <c r="O365" i="337"/>
  <c r="P365" i="337" s="1"/>
  <c r="O366" i="337"/>
  <c r="P366" i="337"/>
  <c r="O367" i="337"/>
  <c r="P367" i="337" s="1"/>
  <c r="O368" i="337"/>
  <c r="P368" i="337"/>
  <c r="O369" i="337"/>
  <c r="P369" i="337" s="1"/>
  <c r="O370" i="337"/>
  <c r="P370" i="337"/>
  <c r="O371" i="337"/>
  <c r="P371" i="337" s="1"/>
  <c r="O372" i="337"/>
  <c r="P372" i="337"/>
  <c r="O373" i="337"/>
  <c r="P373" i="337" s="1"/>
  <c r="O374" i="337"/>
  <c r="P374" i="337"/>
  <c r="O375" i="337"/>
  <c r="P375" i="337" s="1"/>
  <c r="O376" i="337"/>
  <c r="P376" i="337"/>
  <c r="O377" i="337"/>
  <c r="P377" i="337" s="1"/>
  <c r="O378" i="337"/>
  <c r="P378" i="337"/>
  <c r="O379" i="337"/>
  <c r="P379" i="337" s="1"/>
  <c r="O380" i="337"/>
  <c r="P380" i="337"/>
  <c r="O381" i="337"/>
  <c r="P381" i="337" s="1"/>
  <c r="O382" i="337"/>
  <c r="P382" i="337"/>
  <c r="O383" i="337"/>
  <c r="P383" i="337" s="1"/>
  <c r="O384" i="337"/>
  <c r="P384" i="337"/>
  <c r="O385" i="337"/>
  <c r="P385" i="337" s="1"/>
  <c r="O386" i="337"/>
  <c r="P386" i="337"/>
  <c r="O387" i="337"/>
  <c r="P387" i="337" s="1"/>
  <c r="O388" i="337"/>
  <c r="P388" i="337"/>
  <c r="O389" i="337"/>
  <c r="P389" i="337" s="1"/>
  <c r="O390" i="337"/>
  <c r="P390" i="337"/>
  <c r="O391" i="337"/>
  <c r="P391" i="337" s="1"/>
  <c r="O392" i="337"/>
  <c r="P392" i="337"/>
  <c r="O393" i="337"/>
  <c r="P393" i="337" s="1"/>
  <c r="O394" i="337"/>
  <c r="P394" i="337"/>
  <c r="O395" i="337"/>
  <c r="P395" i="337" s="1"/>
  <c r="O396" i="337"/>
  <c r="P396" i="337"/>
  <c r="O397" i="337"/>
  <c r="P397" i="337" s="1"/>
  <c r="O398" i="337"/>
  <c r="P398" i="337"/>
  <c r="O399" i="337"/>
  <c r="P399" i="337" s="1"/>
  <c r="O400" i="337"/>
  <c r="P400" i="337"/>
  <c r="O401" i="337"/>
  <c r="P401" i="337" s="1"/>
  <c r="O402" i="337"/>
  <c r="P402" i="337"/>
  <c r="O403" i="337"/>
  <c r="P403" i="337" s="1"/>
  <c r="O404" i="337"/>
  <c r="P404" i="337"/>
  <c r="O405" i="337"/>
  <c r="P405" i="337" s="1"/>
  <c r="O406" i="337"/>
  <c r="P406" i="337"/>
  <c r="O407" i="337"/>
  <c r="P407" i="337" s="1"/>
  <c r="O408" i="337"/>
  <c r="P408" i="337"/>
  <c r="O409" i="337"/>
  <c r="P409" i="337" s="1"/>
  <c r="O410" i="337"/>
  <c r="P410" i="337"/>
  <c r="O411" i="337"/>
  <c r="P411" i="337" s="1"/>
  <c r="O412" i="337"/>
  <c r="P412" i="337"/>
  <c r="O413" i="337"/>
  <c r="P413" i="337" s="1"/>
  <c r="O414" i="337"/>
  <c r="P414" i="337"/>
  <c r="O415" i="337"/>
  <c r="P415" i="337" s="1"/>
  <c r="O416" i="337"/>
  <c r="P416" i="337"/>
  <c r="O417" i="337"/>
  <c r="P417" i="337" s="1"/>
  <c r="O418" i="337"/>
  <c r="P418" i="337"/>
  <c r="O419" i="337"/>
  <c r="P419" i="337" s="1"/>
  <c r="O420" i="337"/>
  <c r="P420" i="337"/>
  <c r="O421" i="337"/>
  <c r="P421" i="337" s="1"/>
  <c r="O422" i="337"/>
  <c r="P422" i="337"/>
  <c r="O423" i="337"/>
  <c r="P423" i="337" s="1"/>
  <c r="O424" i="337"/>
  <c r="P424" i="337"/>
  <c r="O425" i="337"/>
  <c r="P425" i="337" s="1"/>
  <c r="O426" i="337"/>
  <c r="P426" i="337" s="1"/>
  <c r="O427" i="337"/>
  <c r="P427" i="337" s="1"/>
  <c r="O428" i="337"/>
  <c r="P428" i="337"/>
  <c r="O429" i="337"/>
  <c r="P429" i="337" s="1"/>
  <c r="O430" i="337"/>
  <c r="P430" i="337"/>
  <c r="O431" i="337"/>
  <c r="P431" i="337" s="1"/>
  <c r="O432" i="337"/>
  <c r="P432" i="337"/>
  <c r="O433" i="337"/>
  <c r="P433" i="337" s="1"/>
  <c r="O434" i="337"/>
  <c r="P434" i="337" s="1"/>
  <c r="O435" i="337"/>
  <c r="P435" i="337" s="1"/>
  <c r="O436" i="337"/>
  <c r="P436" i="337"/>
  <c r="O437" i="337"/>
  <c r="P437" i="337" s="1"/>
  <c r="O438" i="337"/>
  <c r="P438" i="337"/>
  <c r="O439" i="337"/>
  <c r="P439" i="337" s="1"/>
  <c r="O440" i="337"/>
  <c r="P440" i="337"/>
  <c r="O441" i="337"/>
  <c r="P441" i="337" s="1"/>
  <c r="O442" i="337"/>
  <c r="P442" i="337" s="1"/>
  <c r="O443" i="337"/>
  <c r="P443" i="337" s="1"/>
  <c r="O444" i="337"/>
  <c r="P444" i="337"/>
  <c r="O445" i="337"/>
  <c r="P445" i="337" s="1"/>
  <c r="O446" i="337"/>
  <c r="P446" i="337"/>
  <c r="O447" i="337"/>
  <c r="P447" i="337" s="1"/>
  <c r="O448" i="337"/>
  <c r="P448" i="337"/>
  <c r="O449" i="337"/>
  <c r="P449" i="337" s="1"/>
  <c r="O450" i="337"/>
  <c r="P450" i="337" s="1"/>
  <c r="O451" i="337"/>
  <c r="P451" i="337" s="1"/>
  <c r="O452" i="337"/>
  <c r="P452" i="337"/>
  <c r="O453" i="337"/>
  <c r="P453" i="337" s="1"/>
  <c r="O454" i="337"/>
  <c r="P454" i="337"/>
  <c r="O455" i="337"/>
  <c r="P455" i="337" s="1"/>
  <c r="O456" i="337"/>
  <c r="P456" i="337"/>
  <c r="O457" i="337"/>
  <c r="P457" i="337" s="1"/>
  <c r="O458" i="337"/>
  <c r="P458" i="337" s="1"/>
  <c r="O459" i="337"/>
  <c r="P459" i="337" s="1"/>
  <c r="O460" i="337"/>
  <c r="P460" i="337"/>
  <c r="O461" i="337"/>
  <c r="P461" i="337" s="1"/>
  <c r="O462" i="337"/>
  <c r="P462" i="337"/>
  <c r="O463" i="337"/>
  <c r="P463" i="337" s="1"/>
  <c r="O464" i="337"/>
  <c r="P464" i="337"/>
  <c r="O465" i="337"/>
  <c r="P465" i="337" s="1"/>
  <c r="O466" i="337"/>
  <c r="P466" i="337" s="1"/>
  <c r="O467" i="337"/>
  <c r="P467" i="337" s="1"/>
  <c r="O468" i="337"/>
  <c r="P468" i="337"/>
  <c r="O469" i="337"/>
  <c r="P469" i="337"/>
  <c r="O470" i="337"/>
  <c r="P470" i="337"/>
  <c r="O471" i="337"/>
  <c r="P471" i="337"/>
  <c r="O472" i="337"/>
  <c r="P472" i="337"/>
  <c r="O473" i="337"/>
  <c r="P473" i="337"/>
  <c r="O474" i="337"/>
  <c r="P474" i="337"/>
  <c r="O475" i="337"/>
  <c r="P475" i="337"/>
  <c r="O476" i="337"/>
  <c r="P476" i="337"/>
  <c r="O477" i="337"/>
  <c r="P477" i="337"/>
  <c r="O478" i="337"/>
  <c r="P478" i="337"/>
  <c r="O479" i="337"/>
  <c r="P479" i="337"/>
  <c r="O480" i="337"/>
  <c r="P480" i="337"/>
  <c r="O481" i="337"/>
  <c r="P481" i="337"/>
  <c r="O482" i="337"/>
  <c r="P482" i="337"/>
  <c r="O483" i="337"/>
  <c r="P483" i="337"/>
  <c r="O484" i="337"/>
  <c r="P484" i="337"/>
  <c r="O485" i="337"/>
  <c r="P485" i="337"/>
  <c r="O486" i="337"/>
  <c r="P486" i="337"/>
  <c r="O487" i="337"/>
  <c r="P487" i="337"/>
  <c r="BJ4" i="312"/>
  <c r="BK4" i="312"/>
  <c r="BJ5" i="312"/>
  <c r="BK5" i="312"/>
  <c r="AQ8" i="312"/>
  <c r="AR8" i="312"/>
  <c r="AS8" i="312"/>
  <c r="BF8" i="312" s="1"/>
  <c r="AZ8" i="312"/>
  <c r="BA8" i="312"/>
  <c r="BB8" i="312"/>
  <c r="BC8" i="312"/>
  <c r="BD8" i="312"/>
  <c r="BE8" i="312"/>
  <c r="BJ8" i="312"/>
  <c r="BK8" i="312"/>
  <c r="AQ9" i="312"/>
  <c r="AR9" i="312"/>
  <c r="AS9" i="312"/>
  <c r="BF9" i="312" s="1"/>
  <c r="AZ9" i="312"/>
  <c r="BA9" i="312"/>
  <c r="BB9" i="312"/>
  <c r="BC9" i="312"/>
  <c r="BD9" i="312"/>
  <c r="BE9" i="312"/>
  <c r="BJ9" i="312"/>
  <c r="BK9" i="312"/>
  <c r="AQ10" i="312"/>
  <c r="AR10" i="312"/>
  <c r="AS10" i="312"/>
  <c r="BF10" i="312" s="1"/>
  <c r="AZ10" i="312"/>
  <c r="BA10" i="312"/>
  <c r="BB10" i="312"/>
  <c r="BC10" i="312"/>
  <c r="BD10" i="312"/>
  <c r="BE10" i="312"/>
  <c r="AQ11" i="312"/>
  <c r="AR11" i="312"/>
  <c r="AS11" i="312"/>
  <c r="BF11" i="312" s="1"/>
  <c r="AZ11" i="312"/>
  <c r="BA11" i="312"/>
  <c r="BB11" i="312"/>
  <c r="BC11" i="312"/>
  <c r="BD11" i="312"/>
  <c r="AQ12" i="312"/>
  <c r="AR12" i="312"/>
  <c r="AS12" i="312"/>
  <c r="BF12" i="312" s="1"/>
  <c r="AZ12" i="312"/>
  <c r="BA12" i="312"/>
  <c r="BB12" i="312"/>
  <c r="BC12" i="312"/>
  <c r="BD12" i="312"/>
  <c r="BE12" i="312"/>
  <c r="AQ13" i="312"/>
  <c r="AR13" i="312"/>
  <c r="AS13" i="312"/>
  <c r="BF13" i="312" s="1"/>
  <c r="AZ13" i="312"/>
  <c r="BA13" i="312"/>
  <c r="BB13" i="312"/>
  <c r="BE13" i="312" s="1"/>
  <c r="BC13" i="312"/>
  <c r="BD13" i="312"/>
  <c r="AQ14" i="312"/>
  <c r="AR14" i="312"/>
  <c r="AS14" i="312"/>
  <c r="BF14" i="312" s="1"/>
  <c r="AZ14" i="312"/>
  <c r="BA14" i="312"/>
  <c r="BB14" i="312"/>
  <c r="BC14" i="312"/>
  <c r="BD14" i="312"/>
  <c r="BE14" i="312"/>
  <c r="AQ15" i="312"/>
  <c r="AR15" i="312"/>
  <c r="AS15" i="312"/>
  <c r="AZ15" i="312"/>
  <c r="BA15" i="312"/>
  <c r="BB15" i="312"/>
  <c r="BC15" i="312"/>
  <c r="BD15" i="312"/>
  <c r="AQ16" i="312"/>
  <c r="AR16" i="312"/>
  <c r="AS16" i="312"/>
  <c r="BF16" i="312" s="1"/>
  <c r="AZ16" i="312"/>
  <c r="BA16" i="312"/>
  <c r="BB16" i="312"/>
  <c r="BC16" i="312"/>
  <c r="BD16" i="312"/>
  <c r="BE16" i="312"/>
  <c r="AQ17" i="312"/>
  <c r="AR17" i="312"/>
  <c r="AS17" i="312"/>
  <c r="BF17" i="312" s="1"/>
  <c r="AZ17" i="312"/>
  <c r="BA17" i="312"/>
  <c r="BB17" i="312"/>
  <c r="BE17" i="312" s="1"/>
  <c r="BC17" i="312"/>
  <c r="BD17" i="312"/>
  <c r="AQ18" i="312"/>
  <c r="AR18" i="312"/>
  <c r="AS18" i="312"/>
  <c r="BF18" i="312" s="1"/>
  <c r="AZ18" i="312"/>
  <c r="BA18" i="312"/>
  <c r="BB18" i="312"/>
  <c r="BC18" i="312"/>
  <c r="BD18" i="312"/>
  <c r="BE18" i="312"/>
  <c r="AQ19" i="312"/>
  <c r="AR19" i="312"/>
  <c r="AS19" i="312"/>
  <c r="BF19" i="312" s="1"/>
  <c r="AZ19" i="312"/>
  <c r="BA19" i="312"/>
  <c r="BB19" i="312"/>
  <c r="BC19" i="312"/>
  <c r="BD19" i="312"/>
  <c r="AQ20" i="312"/>
  <c r="AR20" i="312"/>
  <c r="AS20" i="312"/>
  <c r="BF20" i="312" s="1"/>
  <c r="AZ20" i="312"/>
  <c r="BA20" i="312"/>
  <c r="BB20" i="312"/>
  <c r="BC20" i="312"/>
  <c r="BD20" i="312"/>
  <c r="BE20" i="312"/>
  <c r="AQ21" i="312"/>
  <c r="AR21" i="312"/>
  <c r="AS21" i="312"/>
  <c r="BF21" i="312" s="1"/>
  <c r="AZ21" i="312"/>
  <c r="BA21" i="312"/>
  <c r="BB21" i="312"/>
  <c r="BE21" i="312" s="1"/>
  <c r="BC21" i="312"/>
  <c r="BD21" i="312"/>
  <c r="AQ22" i="312"/>
  <c r="AR22" i="312"/>
  <c r="AS22" i="312"/>
  <c r="BF22" i="312" s="1"/>
  <c r="AZ22" i="312"/>
  <c r="BA22" i="312"/>
  <c r="BB22" i="312"/>
  <c r="BC22" i="312"/>
  <c r="BD22" i="312"/>
  <c r="BE22" i="312"/>
  <c r="AQ23" i="312"/>
  <c r="AR23" i="312"/>
  <c r="AS23" i="312"/>
  <c r="BF23" i="312" s="1"/>
  <c r="AZ23" i="312"/>
  <c r="BA23" i="312"/>
  <c r="BB23" i="312"/>
  <c r="BC23" i="312"/>
  <c r="BD23" i="312"/>
  <c r="AQ24" i="312"/>
  <c r="AR24" i="312"/>
  <c r="AS24" i="312"/>
  <c r="BF24" i="312" s="1"/>
  <c r="AZ24" i="312"/>
  <c r="BA24" i="312"/>
  <c r="BB24" i="312"/>
  <c r="BC24" i="312"/>
  <c r="BD24" i="312"/>
  <c r="BE24" i="312"/>
  <c r="AQ25" i="312"/>
  <c r="AR25" i="312"/>
  <c r="AS25" i="312"/>
  <c r="BF25" i="312" s="1"/>
  <c r="AZ25" i="312"/>
  <c r="BA25" i="312"/>
  <c r="BB25" i="312"/>
  <c r="BE25" i="312" s="1"/>
  <c r="BC25" i="312"/>
  <c r="BD25" i="312"/>
  <c r="AQ26" i="312"/>
  <c r="AR26" i="312"/>
  <c r="AS26" i="312"/>
  <c r="BF26" i="312" s="1"/>
  <c r="AZ26" i="312"/>
  <c r="BA26" i="312"/>
  <c r="BB26" i="312"/>
  <c r="BC26" i="312"/>
  <c r="BD26" i="312"/>
  <c r="BE26" i="312"/>
  <c r="AQ27" i="312"/>
  <c r="AR27" i="312"/>
  <c r="AS27" i="312"/>
  <c r="BF27" i="312" s="1"/>
  <c r="AZ27" i="312"/>
  <c r="BA27" i="312"/>
  <c r="BB27" i="312"/>
  <c r="BC27" i="312"/>
  <c r="BD27" i="312"/>
  <c r="AQ28" i="312"/>
  <c r="AR28" i="312"/>
  <c r="AS28" i="312"/>
  <c r="BF28" i="312" s="1"/>
  <c r="AZ28" i="312"/>
  <c r="BA28" i="312"/>
  <c r="BB28" i="312"/>
  <c r="BC28" i="312"/>
  <c r="BD28" i="312"/>
  <c r="BE28" i="312"/>
  <c r="AQ29" i="312"/>
  <c r="AR29" i="312"/>
  <c r="AS29" i="312"/>
  <c r="BF29" i="312" s="1"/>
  <c r="AZ29" i="312"/>
  <c r="BA29" i="312"/>
  <c r="BB29" i="312"/>
  <c r="BE29" i="312" s="1"/>
  <c r="BC29" i="312"/>
  <c r="BD29" i="312"/>
  <c r="AQ30" i="312"/>
  <c r="AR30" i="312"/>
  <c r="AS30" i="312"/>
  <c r="BF30" i="312" s="1"/>
  <c r="AZ30" i="312"/>
  <c r="BA30" i="312"/>
  <c r="BB30" i="312"/>
  <c r="BC30" i="312"/>
  <c r="BD30" i="312"/>
  <c r="BE30" i="312"/>
  <c r="AQ31" i="312"/>
  <c r="AR31" i="312"/>
  <c r="AS31" i="312"/>
  <c r="BF31" i="312" s="1"/>
  <c r="AZ31" i="312"/>
  <c r="BA31" i="312"/>
  <c r="BB31" i="312"/>
  <c r="BC31" i="312"/>
  <c r="BD31" i="312"/>
  <c r="AQ32" i="312"/>
  <c r="AR32" i="312"/>
  <c r="AS32" i="312"/>
  <c r="BF32" i="312" s="1"/>
  <c r="AZ32" i="312"/>
  <c r="BA32" i="312"/>
  <c r="BB32" i="312"/>
  <c r="BC32" i="312"/>
  <c r="BD32" i="312"/>
  <c r="BE32" i="312"/>
  <c r="AQ33" i="312"/>
  <c r="AR33" i="312"/>
  <c r="AS33" i="312"/>
  <c r="BF33" i="312" s="1"/>
  <c r="AZ33" i="312"/>
  <c r="BA33" i="312"/>
  <c r="BB33" i="312"/>
  <c r="BE33" i="312" s="1"/>
  <c r="BC33" i="312"/>
  <c r="BD33" i="312"/>
  <c r="AQ34" i="312"/>
  <c r="AR34" i="312"/>
  <c r="AS34" i="312"/>
  <c r="BF34" i="312" s="1"/>
  <c r="AZ34" i="312"/>
  <c r="BA34" i="312"/>
  <c r="BB34" i="312"/>
  <c r="BC34" i="312"/>
  <c r="BD34" i="312"/>
  <c r="BE34" i="312"/>
  <c r="AQ35" i="312"/>
  <c r="AR35" i="312"/>
  <c r="AS35" i="312"/>
  <c r="BF35" i="312" s="1"/>
  <c r="AZ35" i="312"/>
  <c r="BA35" i="312"/>
  <c r="BB35" i="312"/>
  <c r="BC35" i="312"/>
  <c r="BD35" i="312"/>
  <c r="AQ36" i="312"/>
  <c r="AR36" i="312"/>
  <c r="AS36" i="312"/>
  <c r="BF36" i="312" s="1"/>
  <c r="AZ36" i="312"/>
  <c r="BA36" i="312"/>
  <c r="BB36" i="312"/>
  <c r="BC36" i="312"/>
  <c r="BD36" i="312"/>
  <c r="BE36" i="312"/>
  <c r="AQ37" i="312"/>
  <c r="AR37" i="312"/>
  <c r="AS37" i="312"/>
  <c r="BF37" i="312" s="1"/>
  <c r="AZ37" i="312"/>
  <c r="BA37" i="312"/>
  <c r="BB37" i="312"/>
  <c r="BE37" i="312" s="1"/>
  <c r="BC37" i="312"/>
  <c r="BD37" i="312"/>
  <c r="AQ38" i="312"/>
  <c r="AR38" i="312"/>
  <c r="AS38" i="312"/>
  <c r="BF38" i="312" s="1"/>
  <c r="AZ38" i="312"/>
  <c r="BA38" i="312"/>
  <c r="BB38" i="312"/>
  <c r="BC38" i="312"/>
  <c r="BD38" i="312"/>
  <c r="BE38" i="312"/>
  <c r="AQ39" i="312"/>
  <c r="AR39" i="312"/>
  <c r="AS39" i="312"/>
  <c r="BF39" i="312" s="1"/>
  <c r="AZ39" i="312"/>
  <c r="BA39" i="312"/>
  <c r="BB39" i="312"/>
  <c r="BC39" i="312"/>
  <c r="BD39" i="312"/>
  <c r="AQ40" i="312"/>
  <c r="AR40" i="312"/>
  <c r="AS40" i="312"/>
  <c r="BF40" i="312" s="1"/>
  <c r="AZ40" i="312"/>
  <c r="BA40" i="312"/>
  <c r="BB40" i="312"/>
  <c r="BC40" i="312"/>
  <c r="BD40" i="312"/>
  <c r="BE40" i="312"/>
  <c r="AQ41" i="312"/>
  <c r="AR41" i="312"/>
  <c r="AS41" i="312"/>
  <c r="BF41" i="312" s="1"/>
  <c r="AZ41" i="312"/>
  <c r="BA41" i="312"/>
  <c r="BB41" i="312"/>
  <c r="BE41" i="312" s="1"/>
  <c r="BC41" i="312"/>
  <c r="BD41" i="312"/>
  <c r="AQ42" i="312"/>
  <c r="AR42" i="312"/>
  <c r="AS42" i="312"/>
  <c r="BF42" i="312" s="1"/>
  <c r="AZ42" i="312"/>
  <c r="BA42" i="312"/>
  <c r="BB42" i="312"/>
  <c r="BC42" i="312"/>
  <c r="BD42" i="312"/>
  <c r="BE42" i="312"/>
  <c r="AQ43" i="312"/>
  <c r="AR43" i="312"/>
  <c r="AS43" i="312"/>
  <c r="BF43" i="312" s="1"/>
  <c r="AZ43" i="312"/>
  <c r="BA43" i="312"/>
  <c r="BB43" i="312"/>
  <c r="BC43" i="312"/>
  <c r="BD43" i="312"/>
  <c r="AQ44" i="312"/>
  <c r="AQ175" i="312" s="1"/>
  <c r="AR44" i="312"/>
  <c r="AS44" i="312"/>
  <c r="BF44" i="312" s="1"/>
  <c r="AZ44" i="312"/>
  <c r="BA44" i="312"/>
  <c r="BB44" i="312"/>
  <c r="BC44" i="312"/>
  <c r="BD44" i="312"/>
  <c r="BE44" i="312"/>
  <c r="AQ45" i="312"/>
  <c r="AR45" i="312"/>
  <c r="AS45" i="312"/>
  <c r="BF45" i="312" s="1"/>
  <c r="AZ45" i="312"/>
  <c r="BA45" i="312"/>
  <c r="BB45" i="312"/>
  <c r="BE45" i="312" s="1"/>
  <c r="BC45" i="312"/>
  <c r="BD45" i="312"/>
  <c r="AQ46" i="312"/>
  <c r="AR46" i="312"/>
  <c r="AS46" i="312"/>
  <c r="BF46" i="312" s="1"/>
  <c r="AZ46" i="312"/>
  <c r="BA46" i="312"/>
  <c r="BB46" i="312"/>
  <c r="BC46" i="312"/>
  <c r="BD46" i="312"/>
  <c r="BE46" i="312"/>
  <c r="AQ47" i="312"/>
  <c r="AR47" i="312"/>
  <c r="AS47" i="312"/>
  <c r="BF47" i="312" s="1"/>
  <c r="AZ47" i="312"/>
  <c r="BA47" i="312"/>
  <c r="BB47" i="312"/>
  <c r="BC47" i="312"/>
  <c r="BD47" i="312"/>
  <c r="AQ48" i="312"/>
  <c r="AR48" i="312"/>
  <c r="AS48" i="312"/>
  <c r="BF48" i="312" s="1"/>
  <c r="AZ48" i="312"/>
  <c r="BA48" i="312"/>
  <c r="BB48" i="312"/>
  <c r="BC48" i="312"/>
  <c r="BD48" i="312"/>
  <c r="BE48" i="312"/>
  <c r="AQ49" i="312"/>
  <c r="AR49" i="312"/>
  <c r="AS49" i="312"/>
  <c r="BF49" i="312" s="1"/>
  <c r="AZ49" i="312"/>
  <c r="BA49" i="312"/>
  <c r="BB49" i="312"/>
  <c r="BE49" i="312" s="1"/>
  <c r="BC49" i="312"/>
  <c r="BD49" i="312"/>
  <c r="AQ50" i="312"/>
  <c r="AR50" i="312"/>
  <c r="AS50" i="312"/>
  <c r="BF50" i="312" s="1"/>
  <c r="AZ50" i="312"/>
  <c r="BA50" i="312"/>
  <c r="BB50" i="312"/>
  <c r="BC50" i="312"/>
  <c r="BD50" i="312"/>
  <c r="BE50" i="312"/>
  <c r="AQ51" i="312"/>
  <c r="AR51" i="312"/>
  <c r="AS51" i="312"/>
  <c r="BF51" i="312" s="1"/>
  <c r="AZ51" i="312"/>
  <c r="BA51" i="312"/>
  <c r="BB51" i="312"/>
  <c r="BC51" i="312"/>
  <c r="BD51" i="312"/>
  <c r="AQ52" i="312"/>
  <c r="AR52" i="312"/>
  <c r="AS52" i="312"/>
  <c r="BF52" i="312" s="1"/>
  <c r="AZ52" i="312"/>
  <c r="BA52" i="312"/>
  <c r="BB52" i="312"/>
  <c r="BC52" i="312"/>
  <c r="BD52" i="312"/>
  <c r="BE52" i="312"/>
  <c r="AQ53" i="312"/>
  <c r="AR53" i="312"/>
  <c r="AS53" i="312"/>
  <c r="BF53" i="312" s="1"/>
  <c r="AZ53" i="312"/>
  <c r="BA53" i="312"/>
  <c r="BB53" i="312"/>
  <c r="BE53" i="312" s="1"/>
  <c r="BC53" i="312"/>
  <c r="BD53" i="312"/>
  <c r="AQ54" i="312"/>
  <c r="AR54" i="312"/>
  <c r="AS54" i="312"/>
  <c r="BF54" i="312" s="1"/>
  <c r="AZ54" i="312"/>
  <c r="BA54" i="312"/>
  <c r="BB54" i="312"/>
  <c r="BC54" i="312"/>
  <c r="BD54" i="312"/>
  <c r="BE54" i="312"/>
  <c r="AQ55" i="312"/>
  <c r="AR55" i="312"/>
  <c r="AS55" i="312"/>
  <c r="BF55" i="312" s="1"/>
  <c r="AZ55" i="312"/>
  <c r="BA55" i="312"/>
  <c r="BB55" i="312"/>
  <c r="BC55" i="312"/>
  <c r="BD55" i="312"/>
  <c r="AQ56" i="312"/>
  <c r="AR56" i="312"/>
  <c r="AS56" i="312"/>
  <c r="BF56" i="312" s="1"/>
  <c r="AZ56" i="312"/>
  <c r="BA56" i="312"/>
  <c r="BB56" i="312"/>
  <c r="BC56" i="312"/>
  <c r="BD56" i="312"/>
  <c r="BE56" i="312"/>
  <c r="AQ57" i="312"/>
  <c r="AR57" i="312"/>
  <c r="AS57" i="312"/>
  <c r="BF57" i="312" s="1"/>
  <c r="AZ57" i="312"/>
  <c r="BA57" i="312"/>
  <c r="BB57" i="312"/>
  <c r="BE57" i="312" s="1"/>
  <c r="BC57" i="312"/>
  <c r="BD57" i="312"/>
  <c r="AQ58" i="312"/>
  <c r="AR58" i="312"/>
  <c r="AS58" i="312"/>
  <c r="BF58" i="312" s="1"/>
  <c r="AZ58" i="312"/>
  <c r="BA58" i="312"/>
  <c r="BB58" i="312"/>
  <c r="BC58" i="312"/>
  <c r="BD58" i="312"/>
  <c r="BE58" i="312"/>
  <c r="AQ59" i="312"/>
  <c r="AR59" i="312"/>
  <c r="AS59" i="312"/>
  <c r="BF59" i="312" s="1"/>
  <c r="AZ59" i="312"/>
  <c r="BA59" i="312"/>
  <c r="BB59" i="312"/>
  <c r="BC59" i="312"/>
  <c r="BD59" i="312"/>
  <c r="AQ60" i="312"/>
  <c r="AR60" i="312"/>
  <c r="AS60" i="312"/>
  <c r="BF60" i="312" s="1"/>
  <c r="AZ60" i="312"/>
  <c r="BA60" i="312"/>
  <c r="BB60" i="312"/>
  <c r="BC60" i="312"/>
  <c r="BD60" i="312"/>
  <c r="BE60" i="312"/>
  <c r="AQ61" i="312"/>
  <c r="AR61" i="312"/>
  <c r="AS61" i="312"/>
  <c r="BF61" i="312" s="1"/>
  <c r="AZ61" i="312"/>
  <c r="BA61" i="312"/>
  <c r="BB61" i="312"/>
  <c r="BE61" i="312" s="1"/>
  <c r="BC61" i="312"/>
  <c r="BD61" i="312"/>
  <c r="AQ62" i="312"/>
  <c r="AR62" i="312"/>
  <c r="AS62" i="312"/>
  <c r="BF62" i="312" s="1"/>
  <c r="AZ62" i="312"/>
  <c r="BA62" i="312"/>
  <c r="BB62" i="312"/>
  <c r="BC62" i="312"/>
  <c r="BD62" i="312"/>
  <c r="BE62" i="312"/>
  <c r="AQ63" i="312"/>
  <c r="AR63" i="312"/>
  <c r="AS63" i="312"/>
  <c r="BF63" i="312" s="1"/>
  <c r="AZ63" i="312"/>
  <c r="BA63" i="312"/>
  <c r="BB63" i="312"/>
  <c r="BC63" i="312"/>
  <c r="BD63" i="312"/>
  <c r="AQ64" i="312"/>
  <c r="AR64" i="312"/>
  <c r="AS64" i="312"/>
  <c r="BF64" i="312" s="1"/>
  <c r="AZ64" i="312"/>
  <c r="BA64" i="312"/>
  <c r="BB64" i="312"/>
  <c r="BC64" i="312"/>
  <c r="BD64" i="312"/>
  <c r="BE64" i="312"/>
  <c r="AQ65" i="312"/>
  <c r="AR65" i="312"/>
  <c r="AS65" i="312"/>
  <c r="BF65" i="312" s="1"/>
  <c r="AZ65" i="312"/>
  <c r="BA65" i="312"/>
  <c r="BB65" i="312"/>
  <c r="BE65" i="312" s="1"/>
  <c r="BC65" i="312"/>
  <c r="BD65" i="312"/>
  <c r="AQ66" i="312"/>
  <c r="AR66" i="312"/>
  <c r="AS66" i="312"/>
  <c r="BF66" i="312" s="1"/>
  <c r="AZ66" i="312"/>
  <c r="BA66" i="312"/>
  <c r="BB66" i="312"/>
  <c r="BC66" i="312"/>
  <c r="BD66" i="312"/>
  <c r="BE66" i="312"/>
  <c r="AQ67" i="312"/>
  <c r="AR67" i="312"/>
  <c r="AS67" i="312"/>
  <c r="BF67" i="312" s="1"/>
  <c r="AZ67" i="312"/>
  <c r="BA67" i="312"/>
  <c r="BB67" i="312"/>
  <c r="BC67" i="312"/>
  <c r="BD67" i="312"/>
  <c r="AQ68" i="312"/>
  <c r="AR68" i="312"/>
  <c r="AS68" i="312"/>
  <c r="BF68" i="312" s="1"/>
  <c r="AZ68" i="312"/>
  <c r="BA68" i="312"/>
  <c r="BB68" i="312"/>
  <c r="BC68" i="312"/>
  <c r="BD68" i="312"/>
  <c r="BE68" i="312"/>
  <c r="AQ69" i="312"/>
  <c r="AR69" i="312"/>
  <c r="AS69" i="312"/>
  <c r="BF69" i="312" s="1"/>
  <c r="AZ69" i="312"/>
  <c r="BA69" i="312"/>
  <c r="BB69" i="312"/>
  <c r="BE69" i="312" s="1"/>
  <c r="BC69" i="312"/>
  <c r="BD69" i="312"/>
  <c r="AQ70" i="312"/>
  <c r="AR70" i="312"/>
  <c r="AS70" i="312"/>
  <c r="BF70" i="312" s="1"/>
  <c r="AZ70" i="312"/>
  <c r="BA70" i="312"/>
  <c r="BB70" i="312"/>
  <c r="BC70" i="312"/>
  <c r="BD70" i="312"/>
  <c r="BE70" i="312"/>
  <c r="AQ71" i="312"/>
  <c r="AR71" i="312"/>
  <c r="AS71" i="312"/>
  <c r="BF71" i="312" s="1"/>
  <c r="AZ71" i="312"/>
  <c r="BA71" i="312"/>
  <c r="BB71" i="312"/>
  <c r="BC71" i="312"/>
  <c r="BD71" i="312"/>
  <c r="AQ72" i="312"/>
  <c r="AR72" i="312"/>
  <c r="AS72" i="312"/>
  <c r="BF72" i="312" s="1"/>
  <c r="AZ72" i="312"/>
  <c r="BA72" i="312"/>
  <c r="BB72" i="312"/>
  <c r="BC72" i="312"/>
  <c r="BD72" i="312"/>
  <c r="BE72" i="312"/>
  <c r="AQ73" i="312"/>
  <c r="AR73" i="312"/>
  <c r="AS73" i="312"/>
  <c r="BF73" i="312" s="1"/>
  <c r="AZ73" i="312"/>
  <c r="BA73" i="312"/>
  <c r="BB73" i="312"/>
  <c r="BE73" i="312" s="1"/>
  <c r="BC73" i="312"/>
  <c r="BD73" i="312"/>
  <c r="AQ74" i="312"/>
  <c r="AR74" i="312"/>
  <c r="AS74" i="312"/>
  <c r="BF74" i="312" s="1"/>
  <c r="AZ74" i="312"/>
  <c r="BA74" i="312"/>
  <c r="BB74" i="312"/>
  <c r="BC74" i="312"/>
  <c r="BD74" i="312"/>
  <c r="BE74" i="312"/>
  <c r="AQ75" i="312"/>
  <c r="AR75" i="312"/>
  <c r="AS75" i="312"/>
  <c r="BF75" i="312" s="1"/>
  <c r="AZ75" i="312"/>
  <c r="BA75" i="312"/>
  <c r="BB75" i="312"/>
  <c r="BC75" i="312"/>
  <c r="BD75" i="312"/>
  <c r="AQ76" i="312"/>
  <c r="AR76" i="312"/>
  <c r="AS76" i="312"/>
  <c r="BF76" i="312" s="1"/>
  <c r="AZ76" i="312"/>
  <c r="BA76" i="312"/>
  <c r="BB76" i="312"/>
  <c r="BC76" i="312"/>
  <c r="BD76" i="312"/>
  <c r="BE76" i="312"/>
  <c r="AQ77" i="312"/>
  <c r="AR77" i="312"/>
  <c r="AS77" i="312"/>
  <c r="BF77" i="312" s="1"/>
  <c r="AZ77" i="312"/>
  <c r="BA77" i="312"/>
  <c r="BB77" i="312"/>
  <c r="BE77" i="312" s="1"/>
  <c r="BC77" i="312"/>
  <c r="BD77" i="312"/>
  <c r="AQ78" i="312"/>
  <c r="AR78" i="312"/>
  <c r="AS78" i="312"/>
  <c r="BF78" i="312" s="1"/>
  <c r="AZ78" i="312"/>
  <c r="BA78" i="312"/>
  <c r="BB78" i="312"/>
  <c r="BC78" i="312"/>
  <c r="BD78" i="312"/>
  <c r="BE78" i="312"/>
  <c r="AQ79" i="312"/>
  <c r="AR79" i="312"/>
  <c r="AS79" i="312"/>
  <c r="BF79" i="312" s="1"/>
  <c r="AZ79" i="312"/>
  <c r="BA79" i="312"/>
  <c r="BB79" i="312"/>
  <c r="BC79" i="312"/>
  <c r="BD79" i="312"/>
  <c r="AQ80" i="312"/>
  <c r="AR80" i="312"/>
  <c r="AS80" i="312"/>
  <c r="BF80" i="312" s="1"/>
  <c r="AZ80" i="312"/>
  <c r="BA80" i="312"/>
  <c r="BB80" i="312"/>
  <c r="BC80" i="312"/>
  <c r="BD80" i="312"/>
  <c r="BE80" i="312"/>
  <c r="AQ81" i="312"/>
  <c r="AR81" i="312"/>
  <c r="AS81" i="312"/>
  <c r="BF81" i="312" s="1"/>
  <c r="AZ81" i="312"/>
  <c r="BA81" i="312"/>
  <c r="BB81" i="312"/>
  <c r="BE81" i="312" s="1"/>
  <c r="BC81" i="312"/>
  <c r="BD81" i="312"/>
  <c r="AQ82" i="312"/>
  <c r="AR82" i="312"/>
  <c r="AS82" i="312"/>
  <c r="BF82" i="312" s="1"/>
  <c r="AZ82" i="312"/>
  <c r="BA82" i="312"/>
  <c r="BB82" i="312"/>
  <c r="BC82" i="312"/>
  <c r="BD82" i="312"/>
  <c r="BE82" i="312"/>
  <c r="AQ83" i="312"/>
  <c r="AR83" i="312"/>
  <c r="AS83" i="312"/>
  <c r="BF83" i="312" s="1"/>
  <c r="AZ83" i="312"/>
  <c r="BA83" i="312"/>
  <c r="BB83" i="312"/>
  <c r="BC83" i="312"/>
  <c r="BD83" i="312"/>
  <c r="AQ84" i="312"/>
  <c r="AR84" i="312"/>
  <c r="AS84" i="312"/>
  <c r="BF84" i="312" s="1"/>
  <c r="AZ84" i="312"/>
  <c r="BA84" i="312"/>
  <c r="BB84" i="312"/>
  <c r="BC84" i="312"/>
  <c r="BD84" i="312"/>
  <c r="BE84" i="312"/>
  <c r="AQ85" i="312"/>
  <c r="AR85" i="312"/>
  <c r="AS85" i="312"/>
  <c r="BF85" i="312" s="1"/>
  <c r="AZ85" i="312"/>
  <c r="BA85" i="312"/>
  <c r="BB85" i="312"/>
  <c r="BE85" i="312" s="1"/>
  <c r="BC85" i="312"/>
  <c r="BD85" i="312"/>
  <c r="AQ86" i="312"/>
  <c r="AR86" i="312"/>
  <c r="AS86" i="312"/>
  <c r="BF86" i="312" s="1"/>
  <c r="AZ86" i="312"/>
  <c r="BA86" i="312"/>
  <c r="BB86" i="312"/>
  <c r="BC86" i="312"/>
  <c r="BD86" i="312"/>
  <c r="BE86" i="312"/>
  <c r="AQ87" i="312"/>
  <c r="AR87" i="312"/>
  <c r="AS87" i="312"/>
  <c r="BF87" i="312" s="1"/>
  <c r="AZ87" i="312"/>
  <c r="BA87" i="312"/>
  <c r="BB87" i="312"/>
  <c r="BC87" i="312"/>
  <c r="BD87" i="312"/>
  <c r="AQ88" i="312"/>
  <c r="AR88" i="312"/>
  <c r="AS88" i="312"/>
  <c r="BF88" i="312" s="1"/>
  <c r="AZ88" i="312"/>
  <c r="BA88" i="312"/>
  <c r="BB88" i="312"/>
  <c r="BC88" i="312"/>
  <c r="BD88" i="312"/>
  <c r="BE88" i="312"/>
  <c r="AQ89" i="312"/>
  <c r="AR89" i="312"/>
  <c r="AS89" i="312"/>
  <c r="BF89" i="312" s="1"/>
  <c r="AZ89" i="312"/>
  <c r="BA89" i="312"/>
  <c r="BB89" i="312"/>
  <c r="BE89" i="312" s="1"/>
  <c r="BC89" i="312"/>
  <c r="BD89" i="312"/>
  <c r="AQ90" i="312"/>
  <c r="AR90" i="312"/>
  <c r="AS90" i="312"/>
  <c r="BF90" i="312" s="1"/>
  <c r="AZ90" i="312"/>
  <c r="BA90" i="312"/>
  <c r="BB90" i="312"/>
  <c r="BC90" i="312"/>
  <c r="BD90" i="312"/>
  <c r="BE90" i="312"/>
  <c r="AQ91" i="312"/>
  <c r="AR91" i="312"/>
  <c r="AS91" i="312"/>
  <c r="BF91" i="312" s="1"/>
  <c r="AZ91" i="312"/>
  <c r="BA91" i="312"/>
  <c r="BB91" i="312"/>
  <c r="BC91" i="312"/>
  <c r="BD91" i="312"/>
  <c r="AQ92" i="312"/>
  <c r="AR92" i="312"/>
  <c r="AS92" i="312"/>
  <c r="BF92" i="312" s="1"/>
  <c r="AZ92" i="312"/>
  <c r="BA92" i="312"/>
  <c r="BB92" i="312"/>
  <c r="BC92" i="312"/>
  <c r="BD92" i="312"/>
  <c r="BE92" i="312"/>
  <c r="AQ93" i="312"/>
  <c r="AR93" i="312"/>
  <c r="AS93" i="312"/>
  <c r="BF93" i="312" s="1"/>
  <c r="AZ93" i="312"/>
  <c r="BA93" i="312"/>
  <c r="BB93" i="312"/>
  <c r="BE93" i="312" s="1"/>
  <c r="BC93" i="312"/>
  <c r="BD93" i="312"/>
  <c r="AQ94" i="312"/>
  <c r="AR94" i="312"/>
  <c r="AS94" i="312"/>
  <c r="BF94" i="312" s="1"/>
  <c r="AZ94" i="312"/>
  <c r="BA94" i="312"/>
  <c r="BB94" i="312"/>
  <c r="BC94" i="312"/>
  <c r="BD94" i="312"/>
  <c r="BE94" i="312"/>
  <c r="AQ95" i="312"/>
  <c r="AR95" i="312"/>
  <c r="AS95" i="312"/>
  <c r="BF95" i="312" s="1"/>
  <c r="AZ95" i="312"/>
  <c r="BA95" i="312"/>
  <c r="BB95" i="312"/>
  <c r="BC95" i="312"/>
  <c r="BD95" i="312"/>
  <c r="AQ96" i="312"/>
  <c r="AR96" i="312"/>
  <c r="AS96" i="312"/>
  <c r="BF96" i="312" s="1"/>
  <c r="AZ96" i="312"/>
  <c r="BA96" i="312"/>
  <c r="BB96" i="312"/>
  <c r="BC96" i="312"/>
  <c r="BD96" i="312"/>
  <c r="BE96" i="312"/>
  <c r="AQ97" i="312"/>
  <c r="AR97" i="312"/>
  <c r="AS97" i="312"/>
  <c r="BF97" i="312" s="1"/>
  <c r="AZ97" i="312"/>
  <c r="BA97" i="312"/>
  <c r="BB97" i="312"/>
  <c r="BE97" i="312" s="1"/>
  <c r="BC97" i="312"/>
  <c r="BD97" i="312"/>
  <c r="AQ98" i="312"/>
  <c r="AR98" i="312"/>
  <c r="AS98" i="312"/>
  <c r="BF98" i="312" s="1"/>
  <c r="AZ98" i="312"/>
  <c r="BA98" i="312"/>
  <c r="BB98" i="312"/>
  <c r="BC98" i="312"/>
  <c r="BD98" i="312"/>
  <c r="BE98" i="312"/>
  <c r="AQ99" i="312"/>
  <c r="AR99" i="312"/>
  <c r="AS99" i="312"/>
  <c r="BF99" i="312" s="1"/>
  <c r="AZ99" i="312"/>
  <c r="BA99" i="312"/>
  <c r="BB99" i="312"/>
  <c r="BC99" i="312"/>
  <c r="BD99" i="312"/>
  <c r="AQ100" i="312"/>
  <c r="AR100" i="312"/>
  <c r="AS100" i="312"/>
  <c r="BF100" i="312" s="1"/>
  <c r="AZ100" i="312"/>
  <c r="BA100" i="312"/>
  <c r="BB100" i="312"/>
  <c r="BC100" i="312"/>
  <c r="BD100" i="312"/>
  <c r="BE100" i="312"/>
  <c r="AQ101" i="312"/>
  <c r="AR101" i="312"/>
  <c r="AS101" i="312"/>
  <c r="BF101" i="312" s="1"/>
  <c r="AZ101" i="312"/>
  <c r="BA101" i="312"/>
  <c r="BB101" i="312"/>
  <c r="BC101" i="312"/>
  <c r="BD101" i="312"/>
  <c r="AQ102" i="312"/>
  <c r="AR102" i="312"/>
  <c r="AS102" i="312"/>
  <c r="BF102" i="312" s="1"/>
  <c r="AZ102" i="312"/>
  <c r="BA102" i="312"/>
  <c r="BB102" i="312"/>
  <c r="BC102" i="312"/>
  <c r="BD102" i="312"/>
  <c r="BE102" i="312"/>
  <c r="AQ103" i="312"/>
  <c r="AR103" i="312"/>
  <c r="AS103" i="312"/>
  <c r="BF103" i="312" s="1"/>
  <c r="AZ103" i="312"/>
  <c r="BA103" i="312"/>
  <c r="BB103" i="312"/>
  <c r="BC103" i="312"/>
  <c r="BD103" i="312"/>
  <c r="AQ104" i="312"/>
  <c r="AR104" i="312"/>
  <c r="AS104" i="312"/>
  <c r="BF104" i="312" s="1"/>
  <c r="AZ104" i="312"/>
  <c r="BA104" i="312"/>
  <c r="BB104" i="312"/>
  <c r="BC104" i="312"/>
  <c r="BD104" i="312"/>
  <c r="BE104" i="312"/>
  <c r="AQ105" i="312"/>
  <c r="AR105" i="312"/>
  <c r="AS105" i="312"/>
  <c r="BF105" i="312" s="1"/>
  <c r="AZ105" i="312"/>
  <c r="BA105" i="312"/>
  <c r="BB105" i="312"/>
  <c r="BE105" i="312" s="1"/>
  <c r="BC105" i="312"/>
  <c r="BD105" i="312"/>
  <c r="AQ106" i="312"/>
  <c r="AR106" i="312"/>
  <c r="AS106" i="312"/>
  <c r="BF106" i="312" s="1"/>
  <c r="AZ106" i="312"/>
  <c r="BA106" i="312"/>
  <c r="BB106" i="312"/>
  <c r="BC106" i="312"/>
  <c r="BD106" i="312"/>
  <c r="BE106" i="312"/>
  <c r="AQ107" i="312"/>
  <c r="AR107" i="312"/>
  <c r="AS107" i="312"/>
  <c r="BF107" i="312" s="1"/>
  <c r="AZ107" i="312"/>
  <c r="BA107" i="312"/>
  <c r="BB107" i="312"/>
  <c r="BC107" i="312"/>
  <c r="BD107" i="312"/>
  <c r="AQ108" i="312"/>
  <c r="AR108" i="312"/>
  <c r="AS108" i="312"/>
  <c r="BF108" i="312" s="1"/>
  <c r="AZ108" i="312"/>
  <c r="BA108" i="312"/>
  <c r="BB108" i="312"/>
  <c r="BC108" i="312"/>
  <c r="BD108" i="312"/>
  <c r="BE108" i="312"/>
  <c r="AQ109" i="312"/>
  <c r="AR109" i="312"/>
  <c r="AS109" i="312"/>
  <c r="BF109" i="312" s="1"/>
  <c r="AZ109" i="312"/>
  <c r="BA109" i="312"/>
  <c r="BB109" i="312"/>
  <c r="BC109" i="312"/>
  <c r="BD109" i="312"/>
  <c r="AQ110" i="312"/>
  <c r="AR110" i="312"/>
  <c r="AS110" i="312"/>
  <c r="BF110" i="312" s="1"/>
  <c r="AZ110" i="312"/>
  <c r="BA110" i="312"/>
  <c r="BB110" i="312"/>
  <c r="BC110" i="312"/>
  <c r="BD110" i="312"/>
  <c r="BE110" i="312"/>
  <c r="AQ111" i="312"/>
  <c r="AR111" i="312"/>
  <c r="AS111" i="312"/>
  <c r="BF111" i="312" s="1"/>
  <c r="AZ111" i="312"/>
  <c r="BA111" i="312"/>
  <c r="BB111" i="312"/>
  <c r="BC111" i="312"/>
  <c r="BD111" i="312"/>
  <c r="AQ112" i="312"/>
  <c r="AR112" i="312"/>
  <c r="AS112" i="312"/>
  <c r="BF112" i="312" s="1"/>
  <c r="AZ112" i="312"/>
  <c r="BA112" i="312"/>
  <c r="BB112" i="312"/>
  <c r="BC112" i="312"/>
  <c r="BD112" i="312"/>
  <c r="BE112" i="312"/>
  <c r="AQ113" i="312"/>
  <c r="AR113" i="312"/>
  <c r="AS113" i="312"/>
  <c r="BF113" i="312" s="1"/>
  <c r="AZ113" i="312"/>
  <c r="BA113" i="312"/>
  <c r="BB113" i="312"/>
  <c r="BE113" i="312" s="1"/>
  <c r="BC113" i="312"/>
  <c r="BD113" i="312"/>
  <c r="AQ114" i="312"/>
  <c r="AR114" i="312"/>
  <c r="AS114" i="312"/>
  <c r="BF114" i="312" s="1"/>
  <c r="AZ114" i="312"/>
  <c r="BA114" i="312"/>
  <c r="BB114" i="312"/>
  <c r="BC114" i="312"/>
  <c r="BD114" i="312"/>
  <c r="BE114" i="312"/>
  <c r="AQ115" i="312"/>
  <c r="AR115" i="312"/>
  <c r="AS115" i="312"/>
  <c r="BF115" i="312" s="1"/>
  <c r="AZ115" i="312"/>
  <c r="BA115" i="312"/>
  <c r="BB115" i="312"/>
  <c r="BC115" i="312"/>
  <c r="BD115" i="312"/>
  <c r="AQ116" i="312"/>
  <c r="AR116" i="312"/>
  <c r="AS116" i="312"/>
  <c r="BF116" i="312" s="1"/>
  <c r="AZ116" i="312"/>
  <c r="BA116" i="312"/>
  <c r="BB116" i="312"/>
  <c r="BC116" i="312"/>
  <c r="BD116" i="312"/>
  <c r="BE116" i="312"/>
  <c r="AQ117" i="312"/>
  <c r="AR117" i="312"/>
  <c r="AS117" i="312"/>
  <c r="BF117" i="312" s="1"/>
  <c r="AZ117" i="312"/>
  <c r="BA117" i="312"/>
  <c r="BB117" i="312"/>
  <c r="BC117" i="312"/>
  <c r="BD117" i="312"/>
  <c r="AQ118" i="312"/>
  <c r="AR118" i="312"/>
  <c r="AS118" i="312"/>
  <c r="BF118" i="312" s="1"/>
  <c r="AZ118" i="312"/>
  <c r="BA118" i="312"/>
  <c r="BB118" i="312"/>
  <c r="BC118" i="312"/>
  <c r="BD118" i="312"/>
  <c r="BE118" i="312"/>
  <c r="AQ119" i="312"/>
  <c r="AR119" i="312"/>
  <c r="AS119" i="312"/>
  <c r="BF119" i="312" s="1"/>
  <c r="AZ119" i="312"/>
  <c r="BA119" i="312"/>
  <c r="BB119" i="312"/>
  <c r="BC119" i="312"/>
  <c r="BD119" i="312"/>
  <c r="AQ120" i="312"/>
  <c r="AR120" i="312"/>
  <c r="AS120" i="312"/>
  <c r="BF120" i="312" s="1"/>
  <c r="AZ120" i="312"/>
  <c r="BA120" i="312"/>
  <c r="BB120" i="312"/>
  <c r="BC120" i="312"/>
  <c r="BD120" i="312"/>
  <c r="BE120" i="312"/>
  <c r="AQ121" i="312"/>
  <c r="AR121" i="312"/>
  <c r="AS121" i="312"/>
  <c r="BF121" i="312" s="1"/>
  <c r="AZ121" i="312"/>
  <c r="BA121" i="312"/>
  <c r="BB121" i="312"/>
  <c r="BE121" i="312" s="1"/>
  <c r="BC121" i="312"/>
  <c r="BD121" i="312"/>
  <c r="AQ122" i="312"/>
  <c r="AR122" i="312"/>
  <c r="AS122" i="312"/>
  <c r="BF122" i="312" s="1"/>
  <c r="AZ122" i="312"/>
  <c r="BA122" i="312"/>
  <c r="BB122" i="312"/>
  <c r="BC122" i="312"/>
  <c r="BD122" i="312"/>
  <c r="BE122" i="312"/>
  <c r="AQ123" i="312"/>
  <c r="AR123" i="312"/>
  <c r="AS123" i="312"/>
  <c r="BF123" i="312" s="1"/>
  <c r="AZ123" i="312"/>
  <c r="BA123" i="312"/>
  <c r="BB123" i="312"/>
  <c r="BC123" i="312"/>
  <c r="BD123" i="312"/>
  <c r="AQ124" i="312"/>
  <c r="AR124" i="312"/>
  <c r="AS124" i="312"/>
  <c r="BF124" i="312" s="1"/>
  <c r="AZ124" i="312"/>
  <c r="BA124" i="312"/>
  <c r="BB124" i="312"/>
  <c r="BC124" i="312"/>
  <c r="BD124" i="312"/>
  <c r="BE124" i="312"/>
  <c r="AQ125" i="312"/>
  <c r="AR125" i="312"/>
  <c r="AS125" i="312"/>
  <c r="BF125" i="312" s="1"/>
  <c r="AZ125" i="312"/>
  <c r="BA125" i="312"/>
  <c r="BB125" i="312"/>
  <c r="BC125" i="312"/>
  <c r="BD125" i="312"/>
  <c r="AQ126" i="312"/>
  <c r="AR126" i="312"/>
  <c r="AS126" i="312"/>
  <c r="BF126" i="312" s="1"/>
  <c r="AZ126" i="312"/>
  <c r="BA126" i="312"/>
  <c r="BB126" i="312"/>
  <c r="BC126" i="312"/>
  <c r="BD126" i="312"/>
  <c r="BE126" i="312"/>
  <c r="AQ127" i="312"/>
  <c r="AR127" i="312"/>
  <c r="AS127" i="312"/>
  <c r="BF127" i="312" s="1"/>
  <c r="AZ127" i="312"/>
  <c r="BA127" i="312"/>
  <c r="BB127" i="312"/>
  <c r="BC127" i="312"/>
  <c r="BD127" i="312"/>
  <c r="AQ128" i="312"/>
  <c r="AR128" i="312"/>
  <c r="AS128" i="312"/>
  <c r="BF128" i="312" s="1"/>
  <c r="AZ128" i="312"/>
  <c r="BA128" i="312"/>
  <c r="BB128" i="312"/>
  <c r="BC128" i="312"/>
  <c r="BD128" i="312"/>
  <c r="BE128" i="312"/>
  <c r="AQ129" i="312"/>
  <c r="AR129" i="312"/>
  <c r="AS129" i="312"/>
  <c r="BF129" i="312" s="1"/>
  <c r="AZ129" i="312"/>
  <c r="BA129" i="312"/>
  <c r="BB129" i="312"/>
  <c r="BE129" i="312" s="1"/>
  <c r="BC129" i="312"/>
  <c r="BD129" i="312"/>
  <c r="AQ130" i="312"/>
  <c r="AR130" i="312"/>
  <c r="AS130" i="312"/>
  <c r="BF130" i="312" s="1"/>
  <c r="AZ130" i="312"/>
  <c r="BA130" i="312"/>
  <c r="BB130" i="312"/>
  <c r="BC130" i="312"/>
  <c r="BD130" i="312"/>
  <c r="BE130" i="312"/>
  <c r="AQ131" i="312"/>
  <c r="AR131" i="312"/>
  <c r="AS131" i="312"/>
  <c r="BF131" i="312" s="1"/>
  <c r="AZ131" i="312"/>
  <c r="BA131" i="312"/>
  <c r="BB131" i="312"/>
  <c r="BC131" i="312"/>
  <c r="BD131" i="312"/>
  <c r="AQ132" i="312"/>
  <c r="AR132" i="312"/>
  <c r="AS132" i="312"/>
  <c r="BF132" i="312" s="1"/>
  <c r="AZ132" i="312"/>
  <c r="BA132" i="312"/>
  <c r="BB132" i="312"/>
  <c r="BC132" i="312"/>
  <c r="BD132" i="312"/>
  <c r="BE132" i="312"/>
  <c r="AQ133" i="312"/>
  <c r="AR133" i="312"/>
  <c r="AS133" i="312"/>
  <c r="BF133" i="312" s="1"/>
  <c r="AZ133" i="312"/>
  <c r="BA133" i="312"/>
  <c r="BB133" i="312"/>
  <c r="BC133" i="312"/>
  <c r="BD133" i="312"/>
  <c r="AQ134" i="312"/>
  <c r="AR134" i="312"/>
  <c r="AS134" i="312"/>
  <c r="BF134" i="312" s="1"/>
  <c r="AZ134" i="312"/>
  <c r="BA134" i="312"/>
  <c r="BB134" i="312"/>
  <c r="BC134" i="312"/>
  <c r="BD134" i="312"/>
  <c r="BE134" i="312"/>
  <c r="AQ135" i="312"/>
  <c r="AR135" i="312"/>
  <c r="AS135" i="312"/>
  <c r="BF135" i="312" s="1"/>
  <c r="AZ135" i="312"/>
  <c r="BA135" i="312"/>
  <c r="BB135" i="312"/>
  <c r="BC135" i="312"/>
  <c r="BD135" i="312"/>
  <c r="AQ136" i="312"/>
  <c r="AR136" i="312"/>
  <c r="AS136" i="312"/>
  <c r="BF136" i="312" s="1"/>
  <c r="AZ136" i="312"/>
  <c r="BA136" i="312"/>
  <c r="BB136" i="312"/>
  <c r="BC136" i="312"/>
  <c r="BD136" i="312"/>
  <c r="BE136" i="312"/>
  <c r="AQ137" i="312"/>
  <c r="AR137" i="312"/>
  <c r="AS137" i="312"/>
  <c r="BF137" i="312" s="1"/>
  <c r="AZ137" i="312"/>
  <c r="BA137" i="312"/>
  <c r="BB137" i="312"/>
  <c r="BE137" i="312" s="1"/>
  <c r="BC137" i="312"/>
  <c r="BD137" i="312"/>
  <c r="AQ138" i="312"/>
  <c r="AR138" i="312"/>
  <c r="AS138" i="312"/>
  <c r="BF138" i="312" s="1"/>
  <c r="AZ138" i="312"/>
  <c r="BA138" i="312"/>
  <c r="BB138" i="312"/>
  <c r="BC138" i="312"/>
  <c r="BD138" i="312"/>
  <c r="BE138" i="312"/>
  <c r="AQ139" i="312"/>
  <c r="AR139" i="312"/>
  <c r="AS139" i="312"/>
  <c r="BF139" i="312" s="1"/>
  <c r="AZ139" i="312"/>
  <c r="BA139" i="312"/>
  <c r="BB139" i="312"/>
  <c r="BC139" i="312"/>
  <c r="BD139" i="312"/>
  <c r="AQ140" i="312"/>
  <c r="AR140" i="312"/>
  <c r="AS140" i="312"/>
  <c r="BF140" i="312" s="1"/>
  <c r="AZ140" i="312"/>
  <c r="BA140" i="312"/>
  <c r="BB140" i="312"/>
  <c r="BC140" i="312"/>
  <c r="BD140" i="312"/>
  <c r="BE140" i="312"/>
  <c r="AQ141" i="312"/>
  <c r="AR141" i="312"/>
  <c r="AS141" i="312"/>
  <c r="BF141" i="312" s="1"/>
  <c r="AZ141" i="312"/>
  <c r="BA141" i="312"/>
  <c r="BB141" i="312"/>
  <c r="BC141" i="312"/>
  <c r="BD141" i="312"/>
  <c r="AQ142" i="312"/>
  <c r="AR142" i="312"/>
  <c r="AS142" i="312"/>
  <c r="BF142" i="312" s="1"/>
  <c r="AZ142" i="312"/>
  <c r="BA142" i="312"/>
  <c r="BB142" i="312"/>
  <c r="BC142" i="312"/>
  <c r="BD142" i="312"/>
  <c r="BE142" i="312"/>
  <c r="AQ143" i="312"/>
  <c r="AR143" i="312"/>
  <c r="AS143" i="312"/>
  <c r="BF143" i="312" s="1"/>
  <c r="AZ143" i="312"/>
  <c r="BA143" i="312"/>
  <c r="BB143" i="312"/>
  <c r="BC143" i="312"/>
  <c r="BD143" i="312"/>
  <c r="AQ144" i="312"/>
  <c r="AR144" i="312"/>
  <c r="AS144" i="312"/>
  <c r="BF144" i="312" s="1"/>
  <c r="AZ144" i="312"/>
  <c r="BA144" i="312"/>
  <c r="BB144" i="312"/>
  <c r="BC144" i="312"/>
  <c r="BD144" i="312"/>
  <c r="BE144" i="312"/>
  <c r="AQ145" i="312"/>
  <c r="AR145" i="312"/>
  <c r="AS145" i="312"/>
  <c r="BF145" i="312" s="1"/>
  <c r="AZ145" i="312"/>
  <c r="BA145" i="312"/>
  <c r="BB145" i="312"/>
  <c r="BE145" i="312" s="1"/>
  <c r="BC145" i="312"/>
  <c r="BD145" i="312"/>
  <c r="AQ146" i="312"/>
  <c r="AR146" i="312"/>
  <c r="AS146" i="312"/>
  <c r="BF146" i="312" s="1"/>
  <c r="AZ146" i="312"/>
  <c r="BA146" i="312"/>
  <c r="BB146" i="312"/>
  <c r="BC146" i="312"/>
  <c r="BD146" i="312"/>
  <c r="BE146" i="312"/>
  <c r="AQ147" i="312"/>
  <c r="AR147" i="312"/>
  <c r="AS147" i="312"/>
  <c r="BF147" i="312" s="1"/>
  <c r="AZ147" i="312"/>
  <c r="BA147" i="312"/>
  <c r="BB147" i="312"/>
  <c r="BC147" i="312"/>
  <c r="BD147" i="312"/>
  <c r="AQ148" i="312"/>
  <c r="AR148" i="312"/>
  <c r="AS148" i="312"/>
  <c r="BF148" i="312" s="1"/>
  <c r="AZ148" i="312"/>
  <c r="BA148" i="312"/>
  <c r="BB148" i="312"/>
  <c r="BC148" i="312"/>
  <c r="BD148" i="312"/>
  <c r="BE148" i="312"/>
  <c r="AQ149" i="312"/>
  <c r="AR149" i="312"/>
  <c r="AS149" i="312"/>
  <c r="BF149" i="312" s="1"/>
  <c r="AZ149" i="312"/>
  <c r="BA149" i="312"/>
  <c r="BB149" i="312"/>
  <c r="BC149" i="312"/>
  <c r="BD149" i="312"/>
  <c r="AQ150" i="312"/>
  <c r="AR150" i="312"/>
  <c r="AS150" i="312"/>
  <c r="BF150" i="312" s="1"/>
  <c r="AZ150" i="312"/>
  <c r="BA150" i="312"/>
  <c r="BB150" i="312"/>
  <c r="BC150" i="312"/>
  <c r="BD150" i="312"/>
  <c r="BE150" i="312"/>
  <c r="AQ151" i="312"/>
  <c r="AR151" i="312"/>
  <c r="AS151" i="312"/>
  <c r="BF151" i="312" s="1"/>
  <c r="AZ151" i="312"/>
  <c r="BA151" i="312"/>
  <c r="BB151" i="312"/>
  <c r="BC151" i="312"/>
  <c r="BD151" i="312"/>
  <c r="AQ152" i="312"/>
  <c r="AR152" i="312"/>
  <c r="AS152" i="312"/>
  <c r="BF152" i="312" s="1"/>
  <c r="AZ152" i="312"/>
  <c r="BA152" i="312"/>
  <c r="BB152" i="312"/>
  <c r="BC152" i="312"/>
  <c r="BD152" i="312"/>
  <c r="BE152" i="312"/>
  <c r="AQ153" i="312"/>
  <c r="AR153" i="312"/>
  <c r="AS153" i="312"/>
  <c r="BF153" i="312" s="1"/>
  <c r="AZ153" i="312"/>
  <c r="BA153" i="312"/>
  <c r="BB153" i="312"/>
  <c r="BE153" i="312" s="1"/>
  <c r="BC153" i="312"/>
  <c r="BD153" i="312"/>
  <c r="AQ154" i="312"/>
  <c r="AR154" i="312"/>
  <c r="AS154" i="312"/>
  <c r="BF154" i="312" s="1"/>
  <c r="AZ154" i="312"/>
  <c r="BA154" i="312"/>
  <c r="BB154" i="312"/>
  <c r="BC154" i="312"/>
  <c r="BD154" i="312"/>
  <c r="BE154" i="312"/>
  <c r="AQ155" i="312"/>
  <c r="AR155" i="312"/>
  <c r="AS155" i="312"/>
  <c r="BF155" i="312" s="1"/>
  <c r="AZ155" i="312"/>
  <c r="BA155" i="312"/>
  <c r="BB155" i="312"/>
  <c r="BC155" i="312"/>
  <c r="BD155" i="312"/>
  <c r="AQ156" i="312"/>
  <c r="AR156" i="312"/>
  <c r="AS156" i="312"/>
  <c r="BF156" i="312" s="1"/>
  <c r="AZ156" i="312"/>
  <c r="BA156" i="312"/>
  <c r="BB156" i="312"/>
  <c r="BC156" i="312"/>
  <c r="BD156" i="312"/>
  <c r="BE156" i="312"/>
  <c r="AQ157" i="312"/>
  <c r="AR157" i="312"/>
  <c r="AS157" i="312"/>
  <c r="BF157" i="312" s="1"/>
  <c r="AZ157" i="312"/>
  <c r="BA157" i="312"/>
  <c r="BB157" i="312"/>
  <c r="BC157" i="312"/>
  <c r="BD157" i="312"/>
  <c r="AQ158" i="312"/>
  <c r="AR158" i="312"/>
  <c r="AS158" i="312"/>
  <c r="BF158" i="312" s="1"/>
  <c r="AZ158" i="312"/>
  <c r="BA158" i="312"/>
  <c r="BB158" i="312"/>
  <c r="BC158" i="312"/>
  <c r="BD158" i="312"/>
  <c r="BE158" i="312"/>
  <c r="AQ159" i="312"/>
  <c r="AR159" i="312"/>
  <c r="AS159" i="312"/>
  <c r="BF159" i="312" s="1"/>
  <c r="AZ159" i="312"/>
  <c r="BA159" i="312"/>
  <c r="BB159" i="312"/>
  <c r="BC159" i="312"/>
  <c r="BD159" i="312"/>
  <c r="AQ160" i="312"/>
  <c r="AR160" i="312"/>
  <c r="AS160" i="312"/>
  <c r="BF160" i="312" s="1"/>
  <c r="AZ160" i="312"/>
  <c r="BA160" i="312"/>
  <c r="BB160" i="312"/>
  <c r="BC160" i="312"/>
  <c r="BD160" i="312"/>
  <c r="BE160" i="312"/>
  <c r="AQ161" i="312"/>
  <c r="AR161" i="312"/>
  <c r="AS161" i="312"/>
  <c r="AZ161" i="312"/>
  <c r="BA161" i="312"/>
  <c r="BB161" i="312"/>
  <c r="BE161" i="312" s="1"/>
  <c r="BC161" i="312"/>
  <c r="BD161" i="312"/>
  <c r="BF161" i="312"/>
  <c r="AQ162" i="312"/>
  <c r="AR162" i="312"/>
  <c r="AS162" i="312"/>
  <c r="BF162" i="312" s="1"/>
  <c r="AZ162" i="312"/>
  <c r="BA162" i="312"/>
  <c r="BB162" i="312"/>
  <c r="BC162" i="312"/>
  <c r="BD162" i="312"/>
  <c r="BE162" i="312"/>
  <c r="AQ163" i="312"/>
  <c r="AR163" i="312"/>
  <c r="AS163" i="312"/>
  <c r="BF163" i="312" s="1"/>
  <c r="AZ163" i="312"/>
  <c r="BA163" i="312"/>
  <c r="BB163" i="312"/>
  <c r="BC163" i="312"/>
  <c r="BD163" i="312"/>
  <c r="AQ164" i="312"/>
  <c r="AR164" i="312"/>
  <c r="AS164" i="312"/>
  <c r="BF164" i="312" s="1"/>
  <c r="AZ164" i="312"/>
  <c r="BA164" i="312"/>
  <c r="BB164" i="312"/>
  <c r="BC164" i="312"/>
  <c r="BD164" i="312"/>
  <c r="BE164" i="312"/>
  <c r="AQ165" i="312"/>
  <c r="AR165" i="312"/>
  <c r="AS165" i="312"/>
  <c r="AZ165" i="312"/>
  <c r="BA165" i="312"/>
  <c r="BB165" i="312"/>
  <c r="BC165" i="312"/>
  <c r="BD165" i="312"/>
  <c r="BF165" i="312"/>
  <c r="AQ166" i="312"/>
  <c r="AR166" i="312"/>
  <c r="AS166" i="312"/>
  <c r="BF166" i="312" s="1"/>
  <c r="AZ166" i="312"/>
  <c r="BA166" i="312"/>
  <c r="BB166" i="312"/>
  <c r="BC166" i="312"/>
  <c r="BD166" i="312"/>
  <c r="BE166" i="312"/>
  <c r="AQ167" i="312"/>
  <c r="AR167" i="312"/>
  <c r="AS167" i="312"/>
  <c r="BF167" i="312" s="1"/>
  <c r="AZ167" i="312"/>
  <c r="BA167" i="312"/>
  <c r="BB167" i="312"/>
  <c r="BC167" i="312"/>
  <c r="BD167" i="312"/>
  <c r="AQ168" i="312"/>
  <c r="AR168" i="312"/>
  <c r="AS168" i="312"/>
  <c r="BF168" i="312" s="1"/>
  <c r="AZ168" i="312"/>
  <c r="BA168" i="312"/>
  <c r="BB168" i="312"/>
  <c r="BC168" i="312"/>
  <c r="BD168" i="312"/>
  <c r="BE168" i="312"/>
  <c r="AQ169" i="312"/>
  <c r="AR169" i="312"/>
  <c r="AS169" i="312"/>
  <c r="AZ169" i="312"/>
  <c r="BA169" i="312"/>
  <c r="BB169" i="312"/>
  <c r="BE169" i="312" s="1"/>
  <c r="BC169" i="312"/>
  <c r="BD169" i="312"/>
  <c r="BF169" i="312"/>
  <c r="AQ170" i="312"/>
  <c r="AR170" i="312"/>
  <c r="AS170" i="312"/>
  <c r="BF170" i="312" s="1"/>
  <c r="AZ170" i="312"/>
  <c r="BA170" i="312"/>
  <c r="BB170" i="312"/>
  <c r="BC170" i="312"/>
  <c r="BD170" i="312"/>
  <c r="BE170" i="312"/>
  <c r="AQ171" i="312"/>
  <c r="AR171" i="312"/>
  <c r="AS171" i="312"/>
  <c r="BF171" i="312" s="1"/>
  <c r="AZ171" i="312"/>
  <c r="BA171" i="312"/>
  <c r="BB171" i="312"/>
  <c r="BC171" i="312"/>
  <c r="BD171" i="312"/>
  <c r="AQ172" i="312"/>
  <c r="AR172" i="312"/>
  <c r="AS172" i="312"/>
  <c r="BF172" i="312" s="1"/>
  <c r="AZ172" i="312"/>
  <c r="BA172" i="312"/>
  <c r="BB172" i="312"/>
  <c r="BC172" i="312"/>
  <c r="BE172" i="312" s="1"/>
  <c r="BD172" i="312"/>
  <c r="AQ173" i="312"/>
  <c r="AR173" i="312"/>
  <c r="AS173" i="312"/>
  <c r="AZ173" i="312"/>
  <c r="BA173" i="312"/>
  <c r="BB173" i="312"/>
  <c r="BE173" i="312" s="1"/>
  <c r="BC173" i="312"/>
  <c r="BD173" i="312"/>
  <c r="BF173" i="312"/>
  <c r="AQ174" i="312"/>
  <c r="AR174" i="312"/>
  <c r="AS174" i="312"/>
  <c r="BF174" i="312" s="1"/>
  <c r="AZ174" i="312"/>
  <c r="AZ175" i="312" s="1"/>
  <c r="BA174" i="312"/>
  <c r="BB174" i="312"/>
  <c r="BC174" i="312"/>
  <c r="BD174" i="312"/>
  <c r="BD500" i="312" s="1"/>
  <c r="G175" i="312"/>
  <c r="H175" i="312"/>
  <c r="H176" i="312" s="1"/>
  <c r="I175" i="312"/>
  <c r="J175" i="312"/>
  <c r="K175" i="312"/>
  <c r="L175" i="312"/>
  <c r="L176" i="312" s="1"/>
  <c r="M175" i="312"/>
  <c r="M176" i="312" s="1"/>
  <c r="N175" i="312"/>
  <c r="O175" i="312"/>
  <c r="O176" i="312" s="1"/>
  <c r="O500" i="312" s="1"/>
  <c r="O501" i="312" s="1"/>
  <c r="P175" i="312"/>
  <c r="P176" i="312" s="1"/>
  <c r="Q175" i="312"/>
  <c r="Q176" i="312" s="1"/>
  <c r="R175" i="312"/>
  <c r="S175" i="312"/>
  <c r="T175" i="312"/>
  <c r="T176" i="312" s="1"/>
  <c r="U175" i="312"/>
  <c r="U176" i="312" s="1"/>
  <c r="V175" i="312"/>
  <c r="W175" i="312"/>
  <c r="X175" i="312"/>
  <c r="X176" i="312" s="1"/>
  <c r="Y175" i="312"/>
  <c r="AA175" i="312"/>
  <c r="AB175" i="312"/>
  <c r="AC175" i="312"/>
  <c r="AD175" i="312"/>
  <c r="AE175" i="312"/>
  <c r="AF175" i="312"/>
  <c r="AG175" i="312"/>
  <c r="AH175" i="312"/>
  <c r="AI175" i="312"/>
  <c r="AJ175" i="312"/>
  <c r="AK175" i="312"/>
  <c r="AL175" i="312"/>
  <c r="AM175" i="312"/>
  <c r="AN175" i="312"/>
  <c r="AO175" i="312"/>
  <c r="AT175" i="312"/>
  <c r="AW175" i="312"/>
  <c r="AX175" i="312"/>
  <c r="AX3" i="312" s="1"/>
  <c r="AY175" i="312"/>
  <c r="G176" i="312"/>
  <c r="I176" i="312"/>
  <c r="J176" i="312"/>
  <c r="K176" i="312"/>
  <c r="N176" i="312"/>
  <c r="R176" i="312"/>
  <c r="S176" i="312"/>
  <c r="S500" i="312" s="1"/>
  <c r="S501" i="312" s="1"/>
  <c r="V176" i="312"/>
  <c r="W176" i="312"/>
  <c r="Y176" i="312"/>
  <c r="Z176" i="312"/>
  <c r="AQ177" i="312"/>
  <c r="AR177" i="312"/>
  <c r="AS177" i="312"/>
  <c r="AZ177" i="312"/>
  <c r="BA177" i="312"/>
  <c r="BB177" i="312"/>
  <c r="BC177" i="312"/>
  <c r="BE177" i="312" s="1"/>
  <c r="BD177" i="312"/>
  <c r="AQ178" i="312"/>
  <c r="AR178" i="312"/>
  <c r="AS178" i="312"/>
  <c r="AZ178" i="312"/>
  <c r="BA178" i="312"/>
  <c r="BB178" i="312"/>
  <c r="BE178" i="312" s="1"/>
  <c r="BC178" i="312"/>
  <c r="BD178" i="312"/>
  <c r="BF178" i="312"/>
  <c r="AQ179" i="312"/>
  <c r="AR179" i="312"/>
  <c r="AS179" i="312"/>
  <c r="BF179" i="312" s="1"/>
  <c r="AZ179" i="312"/>
  <c r="BA179" i="312"/>
  <c r="BB179" i="312"/>
  <c r="BC179" i="312"/>
  <c r="BD179" i="312"/>
  <c r="AQ180" i="312"/>
  <c r="AR180" i="312"/>
  <c r="AS180" i="312"/>
  <c r="BF180" i="312" s="1"/>
  <c r="AZ180" i="312"/>
  <c r="BA180" i="312"/>
  <c r="BB180" i="312"/>
  <c r="BE180" i="312" s="1"/>
  <c r="BC180" i="312"/>
  <c r="BD180" i="312"/>
  <c r="AQ181" i="312"/>
  <c r="AR181" i="312"/>
  <c r="AS181" i="312"/>
  <c r="BF181" i="312" s="1"/>
  <c r="AZ181" i="312"/>
  <c r="BA181" i="312"/>
  <c r="AA182" i="318" s="1"/>
  <c r="BB181" i="312"/>
  <c r="BC181" i="312"/>
  <c r="BD181" i="312"/>
  <c r="BE181" i="312"/>
  <c r="AQ182" i="312"/>
  <c r="AR182" i="312"/>
  <c r="AS182" i="312"/>
  <c r="BF182" i="312" s="1"/>
  <c r="AZ182" i="312"/>
  <c r="BA182" i="312"/>
  <c r="BB182" i="312"/>
  <c r="BE182" i="312" s="1"/>
  <c r="BC182" i="312"/>
  <c r="BD182" i="312"/>
  <c r="AQ183" i="312"/>
  <c r="AR183" i="312"/>
  <c r="AS183" i="312"/>
  <c r="BF183" i="312" s="1"/>
  <c r="AZ183" i="312"/>
  <c r="BA183" i="312"/>
  <c r="BB183" i="312"/>
  <c r="BC183" i="312"/>
  <c r="BD183" i="312"/>
  <c r="BE183" i="312"/>
  <c r="AQ184" i="312"/>
  <c r="AR184" i="312"/>
  <c r="AS184" i="312"/>
  <c r="BF184" i="312" s="1"/>
  <c r="AZ184" i="312"/>
  <c r="BA184" i="312"/>
  <c r="BB184" i="312"/>
  <c r="BC184" i="312"/>
  <c r="BD184" i="312"/>
  <c r="BE184" i="312"/>
  <c r="AQ185" i="312"/>
  <c r="AR185" i="312"/>
  <c r="AS185" i="312"/>
  <c r="BF185" i="312" s="1"/>
  <c r="AZ185" i="312"/>
  <c r="BA185" i="312"/>
  <c r="BB185" i="312"/>
  <c r="BC185" i="312"/>
  <c r="BE185" i="312" s="1"/>
  <c r="BD185" i="312"/>
  <c r="AQ186" i="312"/>
  <c r="AR186" i="312"/>
  <c r="AS186" i="312"/>
  <c r="AZ186" i="312"/>
  <c r="BA186" i="312"/>
  <c r="BB186" i="312"/>
  <c r="BE186" i="312" s="1"/>
  <c r="BC186" i="312"/>
  <c r="BD186" i="312"/>
  <c r="BF186" i="312"/>
  <c r="AQ187" i="312"/>
  <c r="AR187" i="312"/>
  <c r="AS187" i="312"/>
  <c r="BF187" i="312" s="1"/>
  <c r="AZ187" i="312"/>
  <c r="BA187" i="312"/>
  <c r="BB187" i="312"/>
  <c r="BC187" i="312"/>
  <c r="BD187" i="312"/>
  <c r="AQ188" i="312"/>
  <c r="AR188" i="312"/>
  <c r="AS188" i="312"/>
  <c r="BF188" i="312" s="1"/>
  <c r="AZ188" i="312"/>
  <c r="BA188" i="312"/>
  <c r="BB188" i="312"/>
  <c r="BE188" i="312" s="1"/>
  <c r="BC188" i="312"/>
  <c r="BD188" i="312"/>
  <c r="AQ189" i="312"/>
  <c r="AR189" i="312"/>
  <c r="AS189" i="312"/>
  <c r="BF189" i="312" s="1"/>
  <c r="AZ189" i="312"/>
  <c r="BA189" i="312"/>
  <c r="AA190" i="318" s="1"/>
  <c r="BB189" i="312"/>
  <c r="BC189" i="312"/>
  <c r="BD189" i="312"/>
  <c r="BE189" i="312"/>
  <c r="AQ190" i="312"/>
  <c r="AR190" i="312"/>
  <c r="AS190" i="312"/>
  <c r="BF190" i="312" s="1"/>
  <c r="AZ190" i="312"/>
  <c r="BA190" i="312"/>
  <c r="BB190" i="312"/>
  <c r="BE190" i="312" s="1"/>
  <c r="BC190" i="312"/>
  <c r="BD190" i="312"/>
  <c r="AQ191" i="312"/>
  <c r="AR191" i="312"/>
  <c r="AS191" i="312"/>
  <c r="BF191" i="312" s="1"/>
  <c r="AZ191" i="312"/>
  <c r="BA191" i="312"/>
  <c r="BB191" i="312"/>
  <c r="BC191" i="312"/>
  <c r="BD191" i="312"/>
  <c r="BE191" i="312"/>
  <c r="AQ192" i="312"/>
  <c r="AR192" i="312"/>
  <c r="AS192" i="312"/>
  <c r="BF192" i="312" s="1"/>
  <c r="AZ192" i="312"/>
  <c r="BA192" i="312"/>
  <c r="BB192" i="312"/>
  <c r="BC192" i="312"/>
  <c r="BD192" i="312"/>
  <c r="BE192" i="312"/>
  <c r="AQ193" i="312"/>
  <c r="AR193" i="312"/>
  <c r="AS193" i="312"/>
  <c r="BF193" i="312" s="1"/>
  <c r="AZ193" i="312"/>
  <c r="BA193" i="312"/>
  <c r="BB193" i="312"/>
  <c r="BC193" i="312"/>
  <c r="BE193" i="312" s="1"/>
  <c r="BD193" i="312"/>
  <c r="AQ194" i="312"/>
  <c r="AR194" i="312"/>
  <c r="AS194" i="312"/>
  <c r="AZ194" i="312"/>
  <c r="BA194" i="312"/>
  <c r="BB194" i="312"/>
  <c r="BE194" i="312" s="1"/>
  <c r="BC194" i="312"/>
  <c r="BD194" i="312"/>
  <c r="BF194" i="312"/>
  <c r="AQ195" i="312"/>
  <c r="AR195" i="312"/>
  <c r="AS195" i="312"/>
  <c r="BF195" i="312" s="1"/>
  <c r="AZ195" i="312"/>
  <c r="BA195" i="312"/>
  <c r="BB195" i="312"/>
  <c r="BC195" i="312"/>
  <c r="BD195" i="312"/>
  <c r="AQ196" i="312"/>
  <c r="AR196" i="312"/>
  <c r="AS196" i="312"/>
  <c r="BF196" i="312" s="1"/>
  <c r="AZ196" i="312"/>
  <c r="BA196" i="312"/>
  <c r="BB196" i="312"/>
  <c r="BE196" i="312" s="1"/>
  <c r="BC196" i="312"/>
  <c r="BD196" i="312"/>
  <c r="AQ197" i="312"/>
  <c r="AR197" i="312"/>
  <c r="AS197" i="312"/>
  <c r="BF197" i="312" s="1"/>
  <c r="AZ197" i="312"/>
  <c r="BA197" i="312"/>
  <c r="AA198" i="318" s="1"/>
  <c r="BB197" i="312"/>
  <c r="BC197" i="312"/>
  <c r="BD197" i="312"/>
  <c r="BE197" i="312"/>
  <c r="AQ198" i="312"/>
  <c r="AR198" i="312"/>
  <c r="AS198" i="312"/>
  <c r="BF198" i="312" s="1"/>
  <c r="AZ198" i="312"/>
  <c r="BA198" i="312"/>
  <c r="BB198" i="312"/>
  <c r="BE198" i="312" s="1"/>
  <c r="BC198" i="312"/>
  <c r="BD198" i="312"/>
  <c r="AQ199" i="312"/>
  <c r="AR199" i="312"/>
  <c r="AS199" i="312"/>
  <c r="AZ199" i="312"/>
  <c r="BA199" i="312"/>
  <c r="BB199" i="312"/>
  <c r="BC199" i="312"/>
  <c r="BD199" i="312"/>
  <c r="BE199" i="312"/>
  <c r="BF199" i="312"/>
  <c r="AQ200" i="312"/>
  <c r="AR200" i="312"/>
  <c r="AS200" i="312"/>
  <c r="BF200" i="312" s="1"/>
  <c r="AZ200" i="312"/>
  <c r="BA200" i="312"/>
  <c r="BB200" i="312"/>
  <c r="BE200" i="312" s="1"/>
  <c r="BC200" i="312"/>
  <c r="BD200" i="312"/>
  <c r="AQ201" i="312"/>
  <c r="AR201" i="312"/>
  <c r="AS201" i="312"/>
  <c r="AZ201" i="312"/>
  <c r="BA201" i="312"/>
  <c r="BB201" i="312"/>
  <c r="BE201" i="312" s="1"/>
  <c r="BC201" i="312"/>
  <c r="BD201" i="312"/>
  <c r="BF201" i="312"/>
  <c r="AQ202" i="312"/>
  <c r="AR202" i="312"/>
  <c r="AS202" i="312"/>
  <c r="BF202" i="312" s="1"/>
  <c r="AZ202" i="312"/>
  <c r="BA202" i="312"/>
  <c r="BB202" i="312"/>
  <c r="BE202" i="312" s="1"/>
  <c r="BC202" i="312"/>
  <c r="BD202" i="312"/>
  <c r="AQ203" i="312"/>
  <c r="AR203" i="312"/>
  <c r="AS203" i="312"/>
  <c r="AZ203" i="312"/>
  <c r="BA203" i="312"/>
  <c r="BB203" i="312"/>
  <c r="BE203" i="312" s="1"/>
  <c r="BC203" i="312"/>
  <c r="BD203" i="312"/>
  <c r="BF203" i="312"/>
  <c r="AQ204" i="312"/>
  <c r="AR204" i="312"/>
  <c r="AS204" i="312"/>
  <c r="BF204" i="312" s="1"/>
  <c r="AZ204" i="312"/>
  <c r="BA204" i="312"/>
  <c r="BB204" i="312"/>
  <c r="BC204" i="312"/>
  <c r="BD204" i="312"/>
  <c r="AD85" i="318" s="1"/>
  <c r="AQ205" i="312"/>
  <c r="AR205" i="312"/>
  <c r="AS205" i="312"/>
  <c r="AZ205" i="312"/>
  <c r="BA205" i="312"/>
  <c r="BB205" i="312"/>
  <c r="BE205" i="312" s="1"/>
  <c r="BC205" i="312"/>
  <c r="BD205" i="312"/>
  <c r="BF205" i="312"/>
  <c r="AQ206" i="312"/>
  <c r="AR206" i="312"/>
  <c r="AS206" i="312"/>
  <c r="BF206" i="312" s="1"/>
  <c r="AZ206" i="312"/>
  <c r="BA206" i="312"/>
  <c r="BB206" i="312"/>
  <c r="BC206" i="312"/>
  <c r="BD206" i="312"/>
  <c r="AQ207" i="312"/>
  <c r="AR207" i="312"/>
  <c r="AS207" i="312"/>
  <c r="AZ207" i="312"/>
  <c r="BA207" i="312"/>
  <c r="BB207" i="312"/>
  <c r="BE207" i="312" s="1"/>
  <c r="BC207" i="312"/>
  <c r="BD207" i="312"/>
  <c r="BF207" i="312"/>
  <c r="AQ208" i="312"/>
  <c r="AR208" i="312"/>
  <c r="AS208" i="312"/>
  <c r="BF208" i="312" s="1"/>
  <c r="AZ208" i="312"/>
  <c r="BA208" i="312"/>
  <c r="BB208" i="312"/>
  <c r="BE208" i="312" s="1"/>
  <c r="BC208" i="312"/>
  <c r="BD208" i="312"/>
  <c r="AQ209" i="312"/>
  <c r="AR209" i="312"/>
  <c r="AS209" i="312"/>
  <c r="AZ209" i="312"/>
  <c r="BA209" i="312"/>
  <c r="BB209" i="312"/>
  <c r="BE209" i="312" s="1"/>
  <c r="BC209" i="312"/>
  <c r="BD209" i="312"/>
  <c r="BF209" i="312"/>
  <c r="AQ210" i="312"/>
  <c r="AR210" i="312"/>
  <c r="AS210" i="312"/>
  <c r="BF210" i="312" s="1"/>
  <c r="AZ210" i="312"/>
  <c r="BA210" i="312"/>
  <c r="BB210" i="312"/>
  <c r="BE210" i="312" s="1"/>
  <c r="BC210" i="312"/>
  <c r="BD210" i="312"/>
  <c r="AQ211" i="312"/>
  <c r="AR211" i="312"/>
  <c r="AS211" i="312"/>
  <c r="AZ211" i="312"/>
  <c r="BA211" i="312"/>
  <c r="BB211" i="312"/>
  <c r="BE211" i="312" s="1"/>
  <c r="BC211" i="312"/>
  <c r="BD211" i="312"/>
  <c r="BF211" i="312"/>
  <c r="AQ212" i="312"/>
  <c r="AR212" i="312"/>
  <c r="AS212" i="312"/>
  <c r="BF212" i="312" s="1"/>
  <c r="AZ212" i="312"/>
  <c r="BA212" i="312"/>
  <c r="BB212" i="312"/>
  <c r="BC212" i="312"/>
  <c r="BD212" i="312"/>
  <c r="AD93" i="318" s="1"/>
  <c r="AQ213" i="312"/>
  <c r="AR213" i="312"/>
  <c r="AS213" i="312"/>
  <c r="AZ213" i="312"/>
  <c r="BA213" i="312"/>
  <c r="BB213" i="312"/>
  <c r="BE213" i="312" s="1"/>
  <c r="BC213" i="312"/>
  <c r="BD213" i="312"/>
  <c r="BF213" i="312"/>
  <c r="AQ214" i="312"/>
  <c r="AR214" i="312"/>
  <c r="AS214" i="312"/>
  <c r="BF214" i="312" s="1"/>
  <c r="AZ214" i="312"/>
  <c r="BA214" i="312"/>
  <c r="BB214" i="312"/>
  <c r="BC214" i="312"/>
  <c r="BD214" i="312"/>
  <c r="AQ215" i="312"/>
  <c r="AR215" i="312"/>
  <c r="AS215" i="312"/>
  <c r="AZ215" i="312"/>
  <c r="BA215" i="312"/>
  <c r="BB215" i="312"/>
  <c r="BE215" i="312" s="1"/>
  <c r="BC215" i="312"/>
  <c r="BD215" i="312"/>
  <c r="BF215" i="312"/>
  <c r="AQ216" i="312"/>
  <c r="AR216" i="312"/>
  <c r="AS216" i="312"/>
  <c r="BF216" i="312" s="1"/>
  <c r="AZ216" i="312"/>
  <c r="BA216" i="312"/>
  <c r="BB216" i="312"/>
  <c r="BE216" i="312" s="1"/>
  <c r="BC216" i="312"/>
  <c r="BD216" i="312"/>
  <c r="AQ217" i="312"/>
  <c r="AR217" i="312"/>
  <c r="AS217" i="312"/>
  <c r="AZ217" i="312"/>
  <c r="BA217" i="312"/>
  <c r="BB217" i="312"/>
  <c r="BC217" i="312"/>
  <c r="BD217" i="312"/>
  <c r="BF217" i="312"/>
  <c r="AQ218" i="312"/>
  <c r="AR218" i="312"/>
  <c r="AS218" i="312"/>
  <c r="BF218" i="312" s="1"/>
  <c r="AZ218" i="312"/>
  <c r="BA218" i="312"/>
  <c r="BB218" i="312"/>
  <c r="BE218" i="312" s="1"/>
  <c r="BC218" i="312"/>
  <c r="BD218" i="312"/>
  <c r="AQ219" i="312"/>
  <c r="AR219" i="312"/>
  <c r="AS219" i="312"/>
  <c r="AZ219" i="312"/>
  <c r="BA219" i="312"/>
  <c r="BB219" i="312"/>
  <c r="BE219" i="312" s="1"/>
  <c r="BC219" i="312"/>
  <c r="BD219" i="312"/>
  <c r="BF219" i="312"/>
  <c r="AQ220" i="312"/>
  <c r="AR220" i="312"/>
  <c r="AS220" i="312"/>
  <c r="BF220" i="312" s="1"/>
  <c r="AZ220" i="312"/>
  <c r="BA220" i="312"/>
  <c r="BB220" i="312"/>
  <c r="BC220" i="312"/>
  <c r="BD220" i="312"/>
  <c r="AQ221" i="312"/>
  <c r="AR221" i="312"/>
  <c r="AS221" i="312"/>
  <c r="AX221" i="312"/>
  <c r="AZ221" i="312"/>
  <c r="BA221" i="312"/>
  <c r="BB221" i="312"/>
  <c r="BC221" i="312"/>
  <c r="BD221" i="312"/>
  <c r="BE221" i="312"/>
  <c r="BF221" i="312"/>
  <c r="AQ222" i="312"/>
  <c r="AR222" i="312"/>
  <c r="AS222" i="312"/>
  <c r="BF222" i="312" s="1"/>
  <c r="AZ222" i="312"/>
  <c r="BA222" i="312"/>
  <c r="BB222" i="312"/>
  <c r="BE222" i="312" s="1"/>
  <c r="BC222" i="312"/>
  <c r="BD222" i="312"/>
  <c r="AQ223" i="312"/>
  <c r="AR223" i="312"/>
  <c r="AS223" i="312"/>
  <c r="BF223" i="312" s="1"/>
  <c r="AZ223" i="312"/>
  <c r="BA223" i="312"/>
  <c r="BB223" i="312"/>
  <c r="BC223" i="312"/>
  <c r="BD223" i="312"/>
  <c r="BE223" i="312"/>
  <c r="AQ224" i="312"/>
  <c r="AR224" i="312"/>
  <c r="AS224" i="312"/>
  <c r="BF224" i="312" s="1"/>
  <c r="AZ224" i="312"/>
  <c r="BA224" i="312"/>
  <c r="BB224" i="312"/>
  <c r="BE224" i="312" s="1"/>
  <c r="BC224" i="312"/>
  <c r="BD224" i="312"/>
  <c r="AQ225" i="312"/>
  <c r="AR225" i="312"/>
  <c r="AS225" i="312"/>
  <c r="BF225" i="312" s="1"/>
  <c r="AZ225" i="312"/>
  <c r="BA225" i="312"/>
  <c r="BB225" i="312"/>
  <c r="BC225" i="312"/>
  <c r="BD225" i="312"/>
  <c r="BE225" i="312"/>
  <c r="AQ226" i="312"/>
  <c r="AR226" i="312"/>
  <c r="AS226" i="312"/>
  <c r="BF226" i="312" s="1"/>
  <c r="AZ226" i="312"/>
  <c r="BA226" i="312"/>
  <c r="BB226" i="312"/>
  <c r="BC226" i="312"/>
  <c r="BD226" i="312"/>
  <c r="AQ227" i="312"/>
  <c r="AR227" i="312"/>
  <c r="AS227" i="312"/>
  <c r="BF227" i="312" s="1"/>
  <c r="AZ227" i="312"/>
  <c r="BA227" i="312"/>
  <c r="BB227" i="312"/>
  <c r="BC227" i="312"/>
  <c r="BD227" i="312"/>
  <c r="BE227" i="312"/>
  <c r="AQ228" i="312"/>
  <c r="AR228" i="312"/>
  <c r="AS228" i="312"/>
  <c r="BF228" i="312" s="1"/>
  <c r="AZ228" i="312"/>
  <c r="BA228" i="312"/>
  <c r="BB228" i="312"/>
  <c r="BE228" i="312" s="1"/>
  <c r="BC228" i="312"/>
  <c r="BD228" i="312"/>
  <c r="AQ229" i="312"/>
  <c r="AR229" i="312"/>
  <c r="AS229" i="312"/>
  <c r="BF229" i="312" s="1"/>
  <c r="AZ229" i="312"/>
  <c r="BA229" i="312"/>
  <c r="BB229" i="312"/>
  <c r="BC229" i="312"/>
  <c r="BD229" i="312"/>
  <c r="BE229" i="312"/>
  <c r="AQ230" i="312"/>
  <c r="AR230" i="312"/>
  <c r="AS230" i="312"/>
  <c r="BF230" i="312" s="1"/>
  <c r="AZ230" i="312"/>
  <c r="BA230" i="312"/>
  <c r="BB230" i="312"/>
  <c r="BE230" i="312" s="1"/>
  <c r="BC230" i="312"/>
  <c r="BD230" i="312"/>
  <c r="AQ231" i="312"/>
  <c r="AR231" i="312"/>
  <c r="AS231" i="312"/>
  <c r="BF231" i="312" s="1"/>
  <c r="AZ231" i="312"/>
  <c r="BA231" i="312"/>
  <c r="BB231" i="312"/>
  <c r="BC231" i="312"/>
  <c r="BD231" i="312"/>
  <c r="BE231" i="312"/>
  <c r="AQ232" i="312"/>
  <c r="AR232" i="312"/>
  <c r="AS232" i="312"/>
  <c r="BF232" i="312" s="1"/>
  <c r="AZ232" i="312"/>
  <c r="BA232" i="312"/>
  <c r="BB232" i="312"/>
  <c r="BE232" i="312" s="1"/>
  <c r="BC232" i="312"/>
  <c r="BD232" i="312"/>
  <c r="AQ233" i="312"/>
  <c r="AR233" i="312"/>
  <c r="AS233" i="312"/>
  <c r="BF233" i="312" s="1"/>
  <c r="AZ233" i="312"/>
  <c r="BA233" i="312"/>
  <c r="BB233" i="312"/>
  <c r="BC233" i="312"/>
  <c r="BD233" i="312"/>
  <c r="BE233" i="312"/>
  <c r="AQ234" i="312"/>
  <c r="AR234" i="312"/>
  <c r="AS234" i="312"/>
  <c r="BF234" i="312" s="1"/>
  <c r="AZ234" i="312"/>
  <c r="BA234" i="312"/>
  <c r="BB234" i="312"/>
  <c r="BC234" i="312"/>
  <c r="BD234" i="312"/>
  <c r="AQ235" i="312"/>
  <c r="AR235" i="312"/>
  <c r="AS235" i="312"/>
  <c r="BF235" i="312" s="1"/>
  <c r="AZ235" i="312"/>
  <c r="BA235" i="312"/>
  <c r="BB235" i="312"/>
  <c r="BC235" i="312"/>
  <c r="BD235" i="312"/>
  <c r="BE235" i="312"/>
  <c r="AQ236" i="312"/>
  <c r="AR236" i="312"/>
  <c r="AS236" i="312"/>
  <c r="BF236" i="312" s="1"/>
  <c r="AZ236" i="312"/>
  <c r="BA236" i="312"/>
  <c r="BB236" i="312"/>
  <c r="BE236" i="312" s="1"/>
  <c r="BC236" i="312"/>
  <c r="BD236" i="312"/>
  <c r="AQ237" i="312"/>
  <c r="AR237" i="312"/>
  <c r="AS237" i="312"/>
  <c r="BF237" i="312" s="1"/>
  <c r="AZ237" i="312"/>
  <c r="BA237" i="312"/>
  <c r="BB237" i="312"/>
  <c r="BC237" i="312"/>
  <c r="BD237" i="312"/>
  <c r="BE237" i="312"/>
  <c r="AQ238" i="312"/>
  <c r="AR238" i="312"/>
  <c r="AS238" i="312"/>
  <c r="BF238" i="312" s="1"/>
  <c r="AZ238" i="312"/>
  <c r="BA238" i="312"/>
  <c r="BB238" i="312"/>
  <c r="BE238" i="312" s="1"/>
  <c r="BC238" i="312"/>
  <c r="BD238" i="312"/>
  <c r="AQ239" i="312"/>
  <c r="AR239" i="312"/>
  <c r="AS239" i="312"/>
  <c r="BF239" i="312" s="1"/>
  <c r="AZ239" i="312"/>
  <c r="BA239" i="312"/>
  <c r="BB239" i="312"/>
  <c r="BC239" i="312"/>
  <c r="BD239" i="312"/>
  <c r="BE239" i="312"/>
  <c r="AQ240" i="312"/>
  <c r="AR240" i="312"/>
  <c r="AS240" i="312"/>
  <c r="BF240" i="312" s="1"/>
  <c r="AZ240" i="312"/>
  <c r="BA240" i="312"/>
  <c r="BB240" i="312"/>
  <c r="BE240" i="312" s="1"/>
  <c r="BC240" i="312"/>
  <c r="BD240" i="312"/>
  <c r="AQ241" i="312"/>
  <c r="AR241" i="312"/>
  <c r="AS241" i="312"/>
  <c r="BF241" i="312" s="1"/>
  <c r="AZ241" i="312"/>
  <c r="BA241" i="312"/>
  <c r="BB241" i="312"/>
  <c r="BC241" i="312"/>
  <c r="BD241" i="312"/>
  <c r="BE241" i="312"/>
  <c r="AQ242" i="312"/>
  <c r="AR242" i="312"/>
  <c r="AS242" i="312"/>
  <c r="BF242" i="312" s="1"/>
  <c r="AZ242" i="312"/>
  <c r="BA242" i="312"/>
  <c r="BB242" i="312"/>
  <c r="BC242" i="312"/>
  <c r="BD242" i="312"/>
  <c r="AQ243" i="312"/>
  <c r="AR243" i="312"/>
  <c r="AS243" i="312"/>
  <c r="BF243" i="312" s="1"/>
  <c r="AZ243" i="312"/>
  <c r="BA243" i="312"/>
  <c r="BB243" i="312"/>
  <c r="BC243" i="312"/>
  <c r="BD243" i="312"/>
  <c r="BE243" i="312"/>
  <c r="AQ244" i="312"/>
  <c r="AR244" i="312"/>
  <c r="AS244" i="312"/>
  <c r="BF244" i="312" s="1"/>
  <c r="AZ244" i="312"/>
  <c r="BA244" i="312"/>
  <c r="BB244" i="312"/>
  <c r="BE244" i="312" s="1"/>
  <c r="BC244" i="312"/>
  <c r="BD244" i="312"/>
  <c r="AQ245" i="312"/>
  <c r="AR245" i="312"/>
  <c r="AS245" i="312"/>
  <c r="BF245" i="312" s="1"/>
  <c r="AZ245" i="312"/>
  <c r="BA245" i="312"/>
  <c r="BB245" i="312"/>
  <c r="BC245" i="312"/>
  <c r="BD245" i="312"/>
  <c r="BE245" i="312"/>
  <c r="AQ246" i="312"/>
  <c r="AR246" i="312"/>
  <c r="AS246" i="312"/>
  <c r="BF246" i="312" s="1"/>
  <c r="AZ246" i="312"/>
  <c r="BA246" i="312"/>
  <c r="BB246" i="312"/>
  <c r="BE246" i="312" s="1"/>
  <c r="BC246" i="312"/>
  <c r="BD246" i="312"/>
  <c r="AQ247" i="312"/>
  <c r="AR247" i="312"/>
  <c r="AS247" i="312"/>
  <c r="BF247" i="312" s="1"/>
  <c r="AZ247" i="312"/>
  <c r="BA247" i="312"/>
  <c r="BB247" i="312"/>
  <c r="BC247" i="312"/>
  <c r="BD247" i="312"/>
  <c r="BE247" i="312"/>
  <c r="AQ248" i="312"/>
  <c r="AR248" i="312"/>
  <c r="AS248" i="312"/>
  <c r="BF248" i="312" s="1"/>
  <c r="AZ248" i="312"/>
  <c r="BA248" i="312"/>
  <c r="BB248" i="312"/>
  <c r="BE248" i="312" s="1"/>
  <c r="BC248" i="312"/>
  <c r="BD248" i="312"/>
  <c r="AQ249" i="312"/>
  <c r="AR249" i="312"/>
  <c r="AS249" i="312"/>
  <c r="BF249" i="312" s="1"/>
  <c r="AZ249" i="312"/>
  <c r="BA249" i="312"/>
  <c r="BB249" i="312"/>
  <c r="BC249" i="312"/>
  <c r="BD249" i="312"/>
  <c r="BE249" i="312"/>
  <c r="AQ250" i="312"/>
  <c r="AR250" i="312"/>
  <c r="AS250" i="312"/>
  <c r="BF250" i="312" s="1"/>
  <c r="AZ250" i="312"/>
  <c r="BA250" i="312"/>
  <c r="BB250" i="312"/>
  <c r="BC250" i="312"/>
  <c r="BD250" i="312"/>
  <c r="AQ251" i="312"/>
  <c r="AR251" i="312"/>
  <c r="AS251" i="312"/>
  <c r="BF251" i="312" s="1"/>
  <c r="AZ251" i="312"/>
  <c r="BA251" i="312"/>
  <c r="BB251" i="312"/>
  <c r="BC251" i="312"/>
  <c r="BD251" i="312"/>
  <c r="BE251" i="312"/>
  <c r="AQ252" i="312"/>
  <c r="AR252" i="312"/>
  <c r="AS252" i="312"/>
  <c r="BF252" i="312" s="1"/>
  <c r="AZ252" i="312"/>
  <c r="BA252" i="312"/>
  <c r="BB252" i="312"/>
  <c r="BE252" i="312" s="1"/>
  <c r="BC252" i="312"/>
  <c r="BD252" i="312"/>
  <c r="AQ253" i="312"/>
  <c r="AR253" i="312"/>
  <c r="AS253" i="312"/>
  <c r="BF253" i="312" s="1"/>
  <c r="AZ253" i="312"/>
  <c r="BA253" i="312"/>
  <c r="BB253" i="312"/>
  <c r="BC253" i="312"/>
  <c r="BD253" i="312"/>
  <c r="BE253" i="312"/>
  <c r="AQ254" i="312"/>
  <c r="AR254" i="312"/>
  <c r="AS254" i="312"/>
  <c r="BF254" i="312" s="1"/>
  <c r="AZ254" i="312"/>
  <c r="BA254" i="312"/>
  <c r="BB254" i="312"/>
  <c r="BE254" i="312" s="1"/>
  <c r="BC254" i="312"/>
  <c r="BD254" i="312"/>
  <c r="AQ255" i="312"/>
  <c r="AR255" i="312"/>
  <c r="AS255" i="312"/>
  <c r="BF255" i="312" s="1"/>
  <c r="AZ255" i="312"/>
  <c r="BA255" i="312"/>
  <c r="AA138" i="318" s="1"/>
  <c r="BB255" i="312"/>
  <c r="BC255" i="312"/>
  <c r="BD255" i="312"/>
  <c r="BE255" i="312"/>
  <c r="AQ256" i="312"/>
  <c r="AR256" i="312"/>
  <c r="AS256" i="312"/>
  <c r="BF256" i="312" s="1"/>
  <c r="AZ256" i="312"/>
  <c r="BA256" i="312"/>
  <c r="BB256" i="312"/>
  <c r="BE256" i="312" s="1"/>
  <c r="BC256" i="312"/>
  <c r="BD256" i="312"/>
  <c r="AQ257" i="312"/>
  <c r="AR257" i="312"/>
  <c r="AS257" i="312"/>
  <c r="BF257" i="312" s="1"/>
  <c r="AZ257" i="312"/>
  <c r="BA257" i="312"/>
  <c r="AA140" i="318" s="1"/>
  <c r="BB257" i="312"/>
  <c r="BC257" i="312"/>
  <c r="BD257" i="312"/>
  <c r="BE257" i="312"/>
  <c r="AQ258" i="312"/>
  <c r="AR258" i="312"/>
  <c r="AS258" i="312"/>
  <c r="BF258" i="312" s="1"/>
  <c r="AZ258" i="312"/>
  <c r="BA258" i="312"/>
  <c r="BB258" i="312"/>
  <c r="BC258" i="312"/>
  <c r="AC141" i="318" s="1"/>
  <c r="BD258" i="312"/>
  <c r="AQ259" i="312"/>
  <c r="AR259" i="312"/>
  <c r="AS259" i="312"/>
  <c r="BF259" i="312" s="1"/>
  <c r="AZ259" i="312"/>
  <c r="BA259" i="312"/>
  <c r="BB259" i="312"/>
  <c r="BC259" i="312"/>
  <c r="BD259" i="312"/>
  <c r="BE259" i="312"/>
  <c r="AQ260" i="312"/>
  <c r="AR260" i="312"/>
  <c r="AS260" i="312"/>
  <c r="BF260" i="312" s="1"/>
  <c r="AZ260" i="312"/>
  <c r="BA260" i="312"/>
  <c r="BB260" i="312"/>
  <c r="BE260" i="312" s="1"/>
  <c r="BC260" i="312"/>
  <c r="BD260" i="312"/>
  <c r="AQ261" i="312"/>
  <c r="AR261" i="312"/>
  <c r="AS261" i="312"/>
  <c r="BF261" i="312" s="1"/>
  <c r="AZ261" i="312"/>
  <c r="BA261" i="312"/>
  <c r="BB261" i="312"/>
  <c r="BC261" i="312"/>
  <c r="BD261" i="312"/>
  <c r="BE261" i="312"/>
  <c r="AQ262" i="312"/>
  <c r="AR262" i="312"/>
  <c r="AS262" i="312"/>
  <c r="BF262" i="312" s="1"/>
  <c r="AZ262" i="312"/>
  <c r="BA262" i="312"/>
  <c r="BB262" i="312"/>
  <c r="BE262" i="312" s="1"/>
  <c r="BC262" i="312"/>
  <c r="BD262" i="312"/>
  <c r="AQ263" i="312"/>
  <c r="AR263" i="312"/>
  <c r="AS263" i="312"/>
  <c r="BF263" i="312" s="1"/>
  <c r="AZ263" i="312"/>
  <c r="BA263" i="312"/>
  <c r="AA146" i="318" s="1"/>
  <c r="BB263" i="312"/>
  <c r="BC263" i="312"/>
  <c r="BD263" i="312"/>
  <c r="BE263" i="312"/>
  <c r="AQ264" i="312"/>
  <c r="AR264" i="312"/>
  <c r="AS264" i="312"/>
  <c r="BF264" i="312" s="1"/>
  <c r="AZ264" i="312"/>
  <c r="BA264" i="312"/>
  <c r="BB264" i="312"/>
  <c r="BE264" i="312" s="1"/>
  <c r="BC264" i="312"/>
  <c r="BD264" i="312"/>
  <c r="AQ265" i="312"/>
  <c r="AR265" i="312"/>
  <c r="AS265" i="312"/>
  <c r="AX265" i="312"/>
  <c r="AZ265" i="312"/>
  <c r="BA265" i="312"/>
  <c r="BB265" i="312"/>
  <c r="BC265" i="312"/>
  <c r="BD265" i="312"/>
  <c r="BF265" i="312"/>
  <c r="AQ266" i="312"/>
  <c r="AR266" i="312"/>
  <c r="AZ266" i="312"/>
  <c r="BA266" i="312"/>
  <c r="BG4" i="312" s="1"/>
  <c r="BB266" i="312"/>
  <c r="BC266" i="312"/>
  <c r="BD266" i="312"/>
  <c r="BE266" i="312"/>
  <c r="BF266" i="312"/>
  <c r="AQ267" i="312"/>
  <c r="AR267" i="312"/>
  <c r="AS267" i="312"/>
  <c r="AZ267" i="312"/>
  <c r="BA267" i="312"/>
  <c r="BB267" i="312"/>
  <c r="BC267" i="312"/>
  <c r="BD267" i="312"/>
  <c r="BE267" i="312"/>
  <c r="BF267" i="312"/>
  <c r="AQ268" i="312"/>
  <c r="AS268" i="312" s="1"/>
  <c r="AR268" i="312"/>
  <c r="AZ268" i="312"/>
  <c r="BA268" i="312"/>
  <c r="BB268" i="312"/>
  <c r="BC268" i="312"/>
  <c r="BD268" i="312"/>
  <c r="BE268" i="312"/>
  <c r="BF268" i="312"/>
  <c r="AQ269" i="312"/>
  <c r="AR269" i="312"/>
  <c r="AS269" i="312"/>
  <c r="AZ269" i="312"/>
  <c r="BA269" i="312"/>
  <c r="BB269" i="312"/>
  <c r="BC269" i="312"/>
  <c r="BD269" i="312"/>
  <c r="BE269" i="312"/>
  <c r="BF269" i="312"/>
  <c r="AQ270" i="312"/>
  <c r="AS270" i="312" s="1"/>
  <c r="AR270" i="312"/>
  <c r="AZ270" i="312"/>
  <c r="BA270" i="312"/>
  <c r="BB270" i="312"/>
  <c r="BC270" i="312"/>
  <c r="BD270" i="312"/>
  <c r="BE270" i="312"/>
  <c r="BF270" i="312"/>
  <c r="AQ271" i="312"/>
  <c r="AR271" i="312"/>
  <c r="AS271" i="312"/>
  <c r="AZ271" i="312"/>
  <c r="BA271" i="312"/>
  <c r="BB271" i="312"/>
  <c r="BC271" i="312"/>
  <c r="BD271" i="312"/>
  <c r="BE271" i="312"/>
  <c r="BF271" i="312"/>
  <c r="AQ272" i="312"/>
  <c r="AS272" i="312" s="1"/>
  <c r="AR272" i="312"/>
  <c r="AZ272" i="312"/>
  <c r="BA272" i="312"/>
  <c r="BB272" i="312"/>
  <c r="BC272" i="312"/>
  <c r="BD272" i="312"/>
  <c r="BE272" i="312"/>
  <c r="BF272" i="312"/>
  <c r="AQ273" i="312"/>
  <c r="AR273" i="312"/>
  <c r="AS273" i="312"/>
  <c r="AZ273" i="312"/>
  <c r="BA273" i="312"/>
  <c r="BB273" i="312"/>
  <c r="BC273" i="312"/>
  <c r="BD273" i="312"/>
  <c r="BE273" i="312"/>
  <c r="BF273" i="312"/>
  <c r="AQ274" i="312"/>
  <c r="AR274" i="312"/>
  <c r="AZ274" i="312"/>
  <c r="BA274" i="312"/>
  <c r="BB274" i="312"/>
  <c r="BC274" i="312"/>
  <c r="BD274" i="312"/>
  <c r="BE274" i="312"/>
  <c r="BF274" i="312"/>
  <c r="AQ275" i="312"/>
  <c r="AR275" i="312"/>
  <c r="AS275" i="312"/>
  <c r="AZ275" i="312"/>
  <c r="BA275" i="312"/>
  <c r="BB275" i="312"/>
  <c r="BC275" i="312"/>
  <c r="BD275" i="312"/>
  <c r="BE275" i="312"/>
  <c r="BF275" i="312"/>
  <c r="AQ276" i="312"/>
  <c r="AS276" i="312" s="1"/>
  <c r="AR276" i="312"/>
  <c r="AZ276" i="312"/>
  <c r="BA276" i="312"/>
  <c r="BB276" i="312"/>
  <c r="BC276" i="312"/>
  <c r="BD276" i="312"/>
  <c r="BE276" i="312"/>
  <c r="BF276" i="312"/>
  <c r="AQ277" i="312"/>
  <c r="AR277" i="312"/>
  <c r="AS277" i="312"/>
  <c r="AZ277" i="312"/>
  <c r="BA277" i="312"/>
  <c r="BB277" i="312"/>
  <c r="BC277" i="312"/>
  <c r="BD277" i="312"/>
  <c r="BE277" i="312"/>
  <c r="BF277" i="312"/>
  <c r="AQ278" i="312"/>
  <c r="AS278" i="312" s="1"/>
  <c r="AR278" i="312"/>
  <c r="AZ278" i="312"/>
  <c r="BA278" i="312"/>
  <c r="BB278" i="312"/>
  <c r="BC278" i="312"/>
  <c r="BD278" i="312"/>
  <c r="BE278" i="312"/>
  <c r="BF278" i="312"/>
  <c r="AQ279" i="312"/>
  <c r="AR279" i="312"/>
  <c r="AS279" i="312"/>
  <c r="AZ279" i="312"/>
  <c r="BA279" i="312"/>
  <c r="BB279" i="312"/>
  <c r="BC279" i="312"/>
  <c r="BD279" i="312"/>
  <c r="BE279" i="312"/>
  <c r="BF279" i="312"/>
  <c r="AQ280" i="312"/>
  <c r="AS280" i="312" s="1"/>
  <c r="AR280" i="312"/>
  <c r="AZ280" i="312"/>
  <c r="BA280" i="312"/>
  <c r="BB280" i="312"/>
  <c r="BC280" i="312"/>
  <c r="BD280" i="312"/>
  <c r="BE280" i="312"/>
  <c r="BF280" i="312"/>
  <c r="AQ281" i="312"/>
  <c r="AR281" i="312"/>
  <c r="AS281" i="312"/>
  <c r="AZ281" i="312"/>
  <c r="BA281" i="312"/>
  <c r="BB281" i="312"/>
  <c r="BC281" i="312"/>
  <c r="BD281" i="312"/>
  <c r="BE281" i="312"/>
  <c r="BF281" i="312"/>
  <c r="AQ282" i="312"/>
  <c r="AR282" i="312"/>
  <c r="AQ283" i="312"/>
  <c r="AR283" i="312"/>
  <c r="AS283" i="312"/>
  <c r="AQ284" i="312"/>
  <c r="AR284" i="312"/>
  <c r="AS284" i="312"/>
  <c r="AQ285" i="312"/>
  <c r="AS285" i="312" s="1"/>
  <c r="AR285" i="312"/>
  <c r="AQ286" i="312"/>
  <c r="AS286" i="312" s="1"/>
  <c r="AR286" i="312"/>
  <c r="AQ287" i="312"/>
  <c r="AR287" i="312"/>
  <c r="AS287" i="312"/>
  <c r="AQ288" i="312"/>
  <c r="AR288" i="312"/>
  <c r="AS288" i="312"/>
  <c r="AQ289" i="312"/>
  <c r="AS289" i="312" s="1"/>
  <c r="AR289" i="312"/>
  <c r="AQ290" i="312"/>
  <c r="AR290" i="312"/>
  <c r="AQ291" i="312"/>
  <c r="AR291" i="312"/>
  <c r="AS291" i="312"/>
  <c r="AQ292" i="312"/>
  <c r="AR292" i="312"/>
  <c r="AS292" i="312"/>
  <c r="AQ293" i="312"/>
  <c r="AS293" i="312" s="1"/>
  <c r="AR293" i="312"/>
  <c r="AQ294" i="312"/>
  <c r="AS294" i="312" s="1"/>
  <c r="AR294" i="312"/>
  <c r="AQ295" i="312"/>
  <c r="AR295" i="312"/>
  <c r="AS295" i="312"/>
  <c r="AQ296" i="312"/>
  <c r="AR296" i="312"/>
  <c r="AS296" i="312"/>
  <c r="AQ297" i="312"/>
  <c r="AS297" i="312" s="1"/>
  <c r="AR297" i="312"/>
  <c r="AQ298" i="312"/>
  <c r="AR298" i="312"/>
  <c r="AQ299" i="312"/>
  <c r="AR299" i="312"/>
  <c r="AS299" i="312"/>
  <c r="AQ300" i="312"/>
  <c r="AR300" i="312"/>
  <c r="AS300" i="312"/>
  <c r="AQ301" i="312"/>
  <c r="AS301" i="312" s="1"/>
  <c r="AR301" i="312"/>
  <c r="AQ302" i="312"/>
  <c r="AS302" i="312" s="1"/>
  <c r="AR302" i="312"/>
  <c r="AQ303" i="312"/>
  <c r="AR303" i="312"/>
  <c r="AS303" i="312"/>
  <c r="AQ304" i="312"/>
  <c r="AR304" i="312"/>
  <c r="AS304" i="312"/>
  <c r="AQ305" i="312"/>
  <c r="AS305" i="312" s="1"/>
  <c r="AR305" i="312"/>
  <c r="AQ306" i="312"/>
  <c r="AR306" i="312"/>
  <c r="AQ307" i="312"/>
  <c r="AR307" i="312"/>
  <c r="AS307" i="312"/>
  <c r="AQ308" i="312"/>
  <c r="AR308" i="312"/>
  <c r="AS308" i="312"/>
  <c r="AZ308" i="312"/>
  <c r="BA308" i="312"/>
  <c r="BB308" i="312"/>
  <c r="BC308" i="312"/>
  <c r="BD308" i="312"/>
  <c r="BE308" i="312"/>
  <c r="BF308" i="312"/>
  <c r="AQ309" i="312"/>
  <c r="AS309" i="312" s="1"/>
  <c r="AR309" i="312"/>
  <c r="AZ309" i="312"/>
  <c r="BA309" i="312"/>
  <c r="BB309" i="312"/>
  <c r="BC309" i="312"/>
  <c r="BD309" i="312"/>
  <c r="BE309" i="312"/>
  <c r="BF309" i="312"/>
  <c r="AQ310" i="312"/>
  <c r="AR310" i="312"/>
  <c r="AS310" i="312"/>
  <c r="AZ310" i="312"/>
  <c r="BA310" i="312"/>
  <c r="BB310" i="312"/>
  <c r="BC310" i="312"/>
  <c r="BD310" i="312"/>
  <c r="BE310" i="312"/>
  <c r="BF310" i="312"/>
  <c r="AQ311" i="312"/>
  <c r="AS311" i="312" s="1"/>
  <c r="AR311" i="312"/>
  <c r="AZ311" i="312"/>
  <c r="BA311" i="312"/>
  <c r="BB311" i="312"/>
  <c r="BC311" i="312"/>
  <c r="BD311" i="312"/>
  <c r="BE311" i="312"/>
  <c r="BF311" i="312"/>
  <c r="AQ312" i="312"/>
  <c r="AR312" i="312"/>
  <c r="AS312" i="312"/>
  <c r="AZ312" i="312"/>
  <c r="BA312" i="312"/>
  <c r="BB312" i="312"/>
  <c r="BC312" i="312"/>
  <c r="BD312" i="312"/>
  <c r="BE312" i="312"/>
  <c r="BF312" i="312"/>
  <c r="AQ313" i="312"/>
  <c r="AS313" i="312" s="1"/>
  <c r="AR313" i="312"/>
  <c r="AZ313" i="312"/>
  <c r="BA313" i="312"/>
  <c r="BB313" i="312"/>
  <c r="BC313" i="312"/>
  <c r="BD313" i="312"/>
  <c r="BE313" i="312"/>
  <c r="BF313" i="312"/>
  <c r="G314" i="312"/>
  <c r="H314" i="312"/>
  <c r="I314" i="312"/>
  <c r="J314" i="312"/>
  <c r="K314" i="312"/>
  <c r="L314" i="312"/>
  <c r="M314" i="312"/>
  <c r="N314" i="312"/>
  <c r="O314" i="312"/>
  <c r="P314" i="312"/>
  <c r="Q314" i="312"/>
  <c r="R314" i="312"/>
  <c r="S314" i="312"/>
  <c r="T314" i="312"/>
  <c r="U314" i="312"/>
  <c r="V314" i="312"/>
  <c r="W314" i="312"/>
  <c r="X314" i="312"/>
  <c r="Y314" i="312"/>
  <c r="Z314" i="312"/>
  <c r="AA314" i="312"/>
  <c r="AB314" i="312"/>
  <c r="AC314" i="312"/>
  <c r="AD314" i="312"/>
  <c r="AE314" i="312"/>
  <c r="AF314" i="312"/>
  <c r="AG314" i="312"/>
  <c r="AH314" i="312"/>
  <c r="AI314" i="312"/>
  <c r="AJ314" i="312"/>
  <c r="AK314" i="312"/>
  <c r="AL314" i="312"/>
  <c r="AM314" i="312"/>
  <c r="AN314" i="312"/>
  <c r="AO314" i="312"/>
  <c r="AP314" i="312"/>
  <c r="AT314" i="312"/>
  <c r="AW314" i="312"/>
  <c r="AY314" i="312"/>
  <c r="BF314" i="312"/>
  <c r="G315" i="312"/>
  <c r="H315" i="312"/>
  <c r="I315" i="312"/>
  <c r="J315" i="312"/>
  <c r="K315" i="312"/>
  <c r="L315" i="312"/>
  <c r="M315" i="312"/>
  <c r="N315" i="312"/>
  <c r="O315" i="312"/>
  <c r="P315" i="312"/>
  <c r="Q315" i="312"/>
  <c r="R315" i="312"/>
  <c r="S315" i="312"/>
  <c r="T315" i="312"/>
  <c r="U315" i="312"/>
  <c r="V315" i="312"/>
  <c r="W315" i="312"/>
  <c r="X315" i="312"/>
  <c r="Y315" i="312"/>
  <c r="Z315" i="312"/>
  <c r="AA315" i="312"/>
  <c r="AB315" i="312"/>
  <c r="AC315" i="312"/>
  <c r="AD315" i="312"/>
  <c r="AE315" i="312"/>
  <c r="AF315" i="312"/>
  <c r="AG315" i="312"/>
  <c r="AH315" i="312"/>
  <c r="AI315" i="312"/>
  <c r="AJ315" i="312"/>
  <c r="AK315" i="312"/>
  <c r="AL315" i="312"/>
  <c r="AM315" i="312"/>
  <c r="AN315" i="312"/>
  <c r="AO315" i="312"/>
  <c r="AP315" i="312"/>
  <c r="AQ316" i="312"/>
  <c r="AR316" i="312"/>
  <c r="AS316" i="312"/>
  <c r="AZ316" i="312"/>
  <c r="BA316" i="312"/>
  <c r="BB316" i="312"/>
  <c r="BC316" i="312"/>
  <c r="BD316" i="312"/>
  <c r="BE316" i="312"/>
  <c r="AQ317" i="312"/>
  <c r="AR317" i="312"/>
  <c r="AS317" i="312"/>
  <c r="AZ317" i="312"/>
  <c r="BA317" i="312"/>
  <c r="BB317" i="312"/>
  <c r="BC317" i="312"/>
  <c r="BD317" i="312"/>
  <c r="BE317" i="312"/>
  <c r="AQ318" i="312"/>
  <c r="AR318" i="312"/>
  <c r="AR400" i="312" s="1"/>
  <c r="AZ318" i="312"/>
  <c r="BA318" i="312"/>
  <c r="BB318" i="312"/>
  <c r="BC318" i="312"/>
  <c r="BD318" i="312"/>
  <c r="BE318" i="312"/>
  <c r="AQ319" i="312"/>
  <c r="AR319" i="312"/>
  <c r="AZ319" i="312"/>
  <c r="BA319" i="312"/>
  <c r="BB319" i="312"/>
  <c r="BC319" i="312"/>
  <c r="BD319" i="312"/>
  <c r="BE319" i="312"/>
  <c r="AQ320" i="312"/>
  <c r="AR320" i="312"/>
  <c r="AS320" i="312"/>
  <c r="AQ321" i="312"/>
  <c r="AS321" i="312" s="1"/>
  <c r="AR321" i="312"/>
  <c r="AQ322" i="312"/>
  <c r="AS322" i="312" s="1"/>
  <c r="AR322" i="312"/>
  <c r="AQ323" i="312"/>
  <c r="AR323" i="312"/>
  <c r="AS323" i="312"/>
  <c r="AQ324" i="312"/>
  <c r="AR324" i="312"/>
  <c r="AS324" i="312"/>
  <c r="AQ325" i="312"/>
  <c r="AS325" i="312" s="1"/>
  <c r="AR325" i="312"/>
  <c r="AQ326" i="312"/>
  <c r="AS326" i="312" s="1"/>
  <c r="AR326" i="312"/>
  <c r="AQ327" i="312"/>
  <c r="AR327" i="312"/>
  <c r="AS327" i="312"/>
  <c r="AQ328" i="312"/>
  <c r="AR328" i="312"/>
  <c r="AS328" i="312"/>
  <c r="AQ329" i="312"/>
  <c r="AS329" i="312" s="1"/>
  <c r="AR329" i="312"/>
  <c r="AQ330" i="312"/>
  <c r="AS330" i="312" s="1"/>
  <c r="AR330" i="312"/>
  <c r="AQ331" i="312"/>
  <c r="AR331" i="312"/>
  <c r="AS331" i="312"/>
  <c r="AQ332" i="312"/>
  <c r="AR332" i="312"/>
  <c r="AS332" i="312"/>
  <c r="AQ333" i="312"/>
  <c r="AS333" i="312" s="1"/>
  <c r="AR333" i="312"/>
  <c r="AQ334" i="312"/>
  <c r="AS334" i="312" s="1"/>
  <c r="AR334" i="312"/>
  <c r="AQ335" i="312"/>
  <c r="AR335" i="312"/>
  <c r="AS335" i="312"/>
  <c r="AQ336" i="312"/>
  <c r="AR336" i="312"/>
  <c r="AS336" i="312"/>
  <c r="AQ337" i="312"/>
  <c r="AS337" i="312" s="1"/>
  <c r="AR337" i="312"/>
  <c r="AZ337" i="312"/>
  <c r="BA337" i="312"/>
  <c r="BB337" i="312"/>
  <c r="BC337" i="312"/>
  <c r="BD337" i="312"/>
  <c r="BE337" i="312"/>
  <c r="AQ338" i="312"/>
  <c r="AR338" i="312"/>
  <c r="AS338" i="312"/>
  <c r="AZ338" i="312"/>
  <c r="BA338" i="312"/>
  <c r="BB338" i="312"/>
  <c r="BC338" i="312"/>
  <c r="BD338" i="312"/>
  <c r="BE338" i="312"/>
  <c r="AQ339" i="312"/>
  <c r="AR339" i="312"/>
  <c r="AS339" i="312"/>
  <c r="AZ339" i="312"/>
  <c r="BA339" i="312"/>
  <c r="BB339" i="312"/>
  <c r="BC339" i="312"/>
  <c r="BD339" i="312"/>
  <c r="BE339" i="312"/>
  <c r="AQ340" i="312"/>
  <c r="AS340" i="312" s="1"/>
  <c r="AR340" i="312"/>
  <c r="AZ340" i="312"/>
  <c r="BA340" i="312"/>
  <c r="BB340" i="312"/>
  <c r="AB324" i="318" s="1"/>
  <c r="BC340" i="312"/>
  <c r="BD340" i="312"/>
  <c r="BE340" i="312"/>
  <c r="AQ341" i="312"/>
  <c r="AS341" i="312" s="1"/>
  <c r="AR341" i="312"/>
  <c r="AZ341" i="312"/>
  <c r="BA341" i="312"/>
  <c r="BB341" i="312"/>
  <c r="BC341" i="312"/>
  <c r="BD341" i="312"/>
  <c r="BE341" i="312"/>
  <c r="AQ342" i="312"/>
  <c r="AR342" i="312"/>
  <c r="AS342" i="312"/>
  <c r="AZ342" i="312"/>
  <c r="BA342" i="312"/>
  <c r="BB342" i="312"/>
  <c r="BC342" i="312"/>
  <c r="BD342" i="312"/>
  <c r="BE342" i="312"/>
  <c r="AQ343" i="312"/>
  <c r="AR343" i="312"/>
  <c r="AS343" i="312"/>
  <c r="AZ343" i="312"/>
  <c r="BA343" i="312"/>
  <c r="BB343" i="312"/>
  <c r="BC343" i="312"/>
  <c r="BD343" i="312"/>
  <c r="BE343" i="312"/>
  <c r="AQ344" i="312"/>
  <c r="AS344" i="312" s="1"/>
  <c r="AR344" i="312"/>
  <c r="AZ344" i="312"/>
  <c r="BA344" i="312"/>
  <c r="BB344" i="312"/>
  <c r="BC344" i="312"/>
  <c r="BD344" i="312"/>
  <c r="BE344" i="312"/>
  <c r="AQ345" i="312"/>
  <c r="AS345" i="312" s="1"/>
  <c r="AR345" i="312"/>
  <c r="AZ345" i="312"/>
  <c r="BA345" i="312"/>
  <c r="BB345" i="312"/>
  <c r="BC345" i="312"/>
  <c r="BD345" i="312"/>
  <c r="BE345" i="312"/>
  <c r="AQ346" i="312"/>
  <c r="AR346" i="312"/>
  <c r="AS346" i="312"/>
  <c r="AZ346" i="312"/>
  <c r="BA346" i="312"/>
  <c r="BB346" i="312"/>
  <c r="BC346" i="312"/>
  <c r="BD346" i="312"/>
  <c r="BE346" i="312"/>
  <c r="AQ347" i="312"/>
  <c r="AR347" i="312"/>
  <c r="AS347" i="312"/>
  <c r="AZ347" i="312"/>
  <c r="BA347" i="312"/>
  <c r="BB347" i="312"/>
  <c r="BC347" i="312"/>
  <c r="BD347" i="312"/>
  <c r="BE347" i="312"/>
  <c r="AQ348" i="312"/>
  <c r="AS348" i="312" s="1"/>
  <c r="AR348" i="312"/>
  <c r="AZ348" i="312"/>
  <c r="BA348" i="312"/>
  <c r="BB348" i="312"/>
  <c r="BC348" i="312"/>
  <c r="BD348" i="312"/>
  <c r="BE348" i="312"/>
  <c r="AQ349" i="312"/>
  <c r="AS349" i="312" s="1"/>
  <c r="AR349" i="312"/>
  <c r="AZ349" i="312"/>
  <c r="BA349" i="312"/>
  <c r="BB349" i="312"/>
  <c r="BC349" i="312"/>
  <c r="BD349" i="312"/>
  <c r="BE349" i="312"/>
  <c r="AQ350" i="312"/>
  <c r="AR350" i="312"/>
  <c r="AS350" i="312"/>
  <c r="AZ350" i="312"/>
  <c r="BA350" i="312"/>
  <c r="BB350" i="312"/>
  <c r="BC350" i="312"/>
  <c r="BD350" i="312"/>
  <c r="BE350" i="312"/>
  <c r="AQ351" i="312"/>
  <c r="AR351" i="312"/>
  <c r="AS351" i="312"/>
  <c r="AZ351" i="312"/>
  <c r="BA351" i="312"/>
  <c r="BB351" i="312"/>
  <c r="BC351" i="312"/>
  <c r="BD351" i="312"/>
  <c r="BE351" i="312"/>
  <c r="AQ352" i="312"/>
  <c r="AS352" i="312" s="1"/>
  <c r="AR352" i="312"/>
  <c r="AZ352" i="312"/>
  <c r="BA352" i="312"/>
  <c r="BB352" i="312"/>
  <c r="BC352" i="312"/>
  <c r="BD352" i="312"/>
  <c r="BE352" i="312"/>
  <c r="AQ353" i="312"/>
  <c r="AS353" i="312" s="1"/>
  <c r="AR353" i="312"/>
  <c r="AZ353" i="312"/>
  <c r="BA353" i="312"/>
  <c r="BB353" i="312"/>
  <c r="BC353" i="312"/>
  <c r="BD353" i="312"/>
  <c r="BE353" i="312"/>
  <c r="AQ354" i="312"/>
  <c r="AR354" i="312"/>
  <c r="AS354" i="312"/>
  <c r="AZ354" i="312"/>
  <c r="BA354" i="312"/>
  <c r="BB354" i="312"/>
  <c r="BC354" i="312"/>
  <c r="BD354" i="312"/>
  <c r="BE354" i="312"/>
  <c r="AQ355" i="312"/>
  <c r="AR355" i="312"/>
  <c r="AS355" i="312"/>
  <c r="AZ355" i="312"/>
  <c r="BA355" i="312"/>
  <c r="BB355" i="312"/>
  <c r="BC355" i="312"/>
  <c r="BD355" i="312"/>
  <c r="BE355" i="312"/>
  <c r="AQ356" i="312"/>
  <c r="AS356" i="312" s="1"/>
  <c r="AR356" i="312"/>
  <c r="AZ356" i="312"/>
  <c r="BA356" i="312"/>
  <c r="BB356" i="312"/>
  <c r="BC356" i="312"/>
  <c r="BD356" i="312"/>
  <c r="BE356" i="312"/>
  <c r="AQ357" i="312"/>
  <c r="AS357" i="312" s="1"/>
  <c r="AR357" i="312"/>
  <c r="AZ357" i="312"/>
  <c r="BA357" i="312"/>
  <c r="BB357" i="312"/>
  <c r="BC357" i="312"/>
  <c r="BD357" i="312"/>
  <c r="BE357" i="312"/>
  <c r="AQ358" i="312"/>
  <c r="AR358" i="312"/>
  <c r="AS358" i="312"/>
  <c r="AQ359" i="312"/>
  <c r="AS359" i="312" s="1"/>
  <c r="AR359" i="312"/>
  <c r="AQ360" i="312"/>
  <c r="AS360" i="312" s="1"/>
  <c r="AR360" i="312"/>
  <c r="AQ361" i="312"/>
  <c r="AR361" i="312"/>
  <c r="AS361" i="312"/>
  <c r="AQ362" i="312"/>
  <c r="AR362" i="312"/>
  <c r="AS362" i="312"/>
  <c r="AQ363" i="312"/>
  <c r="AS363" i="312" s="1"/>
  <c r="AR363" i="312"/>
  <c r="AQ364" i="312"/>
  <c r="AR364" i="312"/>
  <c r="AQ365" i="312"/>
  <c r="AR365" i="312"/>
  <c r="AS365" i="312"/>
  <c r="AQ366" i="312"/>
  <c r="AR366" i="312"/>
  <c r="AS366" i="312"/>
  <c r="AQ367" i="312"/>
  <c r="AS367" i="312" s="1"/>
  <c r="AR367" i="312"/>
  <c r="AQ368" i="312"/>
  <c r="AS368" i="312" s="1"/>
  <c r="AR368" i="312"/>
  <c r="AQ369" i="312"/>
  <c r="AR369" i="312"/>
  <c r="AS369" i="312"/>
  <c r="AQ370" i="312"/>
  <c r="AR370" i="312"/>
  <c r="AS370" i="312"/>
  <c r="AQ371" i="312"/>
  <c r="AS371" i="312" s="1"/>
  <c r="AR371" i="312"/>
  <c r="AQ372" i="312"/>
  <c r="AR372" i="312"/>
  <c r="AQ373" i="312"/>
  <c r="AR373" i="312"/>
  <c r="AS373" i="312"/>
  <c r="AQ374" i="312"/>
  <c r="AR374" i="312"/>
  <c r="AS374" i="312"/>
  <c r="AQ375" i="312"/>
  <c r="AS375" i="312" s="1"/>
  <c r="AR375" i="312"/>
  <c r="AQ376" i="312"/>
  <c r="AS376" i="312" s="1"/>
  <c r="AR376" i="312"/>
  <c r="AQ377" i="312"/>
  <c r="AR377" i="312"/>
  <c r="AS377" i="312"/>
  <c r="AQ378" i="312"/>
  <c r="AR378" i="312"/>
  <c r="AS378" i="312"/>
  <c r="AQ379" i="312"/>
  <c r="AS379" i="312" s="1"/>
  <c r="AR379" i="312"/>
  <c r="AQ380" i="312"/>
  <c r="AR380" i="312"/>
  <c r="AQ381" i="312"/>
  <c r="AR381" i="312"/>
  <c r="AS381" i="312"/>
  <c r="AQ382" i="312"/>
  <c r="AR382" i="312"/>
  <c r="AS382" i="312"/>
  <c r="AQ383" i="312"/>
  <c r="AS383" i="312" s="1"/>
  <c r="AR383" i="312"/>
  <c r="AQ384" i="312"/>
  <c r="AS384" i="312" s="1"/>
  <c r="AR384" i="312"/>
  <c r="AQ385" i="312"/>
  <c r="AR385" i="312"/>
  <c r="AS385" i="312"/>
  <c r="AQ386" i="312"/>
  <c r="AR386" i="312"/>
  <c r="AS386" i="312"/>
  <c r="AQ387" i="312"/>
  <c r="AS387" i="312" s="1"/>
  <c r="AR387" i="312"/>
  <c r="AQ388" i="312"/>
  <c r="AR388" i="312"/>
  <c r="AQ389" i="312"/>
  <c r="AR389" i="312"/>
  <c r="AS389" i="312"/>
  <c r="AQ390" i="312"/>
  <c r="AR390" i="312"/>
  <c r="AS390" i="312"/>
  <c r="AQ391" i="312"/>
  <c r="AS391" i="312" s="1"/>
  <c r="AR391" i="312"/>
  <c r="AQ392" i="312"/>
  <c r="AS392" i="312" s="1"/>
  <c r="AR392" i="312"/>
  <c r="AQ393" i="312"/>
  <c r="AR393" i="312"/>
  <c r="AS393" i="312"/>
  <c r="AQ394" i="312"/>
  <c r="AR394" i="312"/>
  <c r="AS394" i="312"/>
  <c r="AQ395" i="312"/>
  <c r="AS395" i="312" s="1"/>
  <c r="AR395" i="312"/>
  <c r="AQ396" i="312"/>
  <c r="AR396" i="312"/>
  <c r="AQ397" i="312"/>
  <c r="AR397" i="312"/>
  <c r="AS397" i="312"/>
  <c r="AQ398" i="312"/>
  <c r="AR398" i="312"/>
  <c r="AS398" i="312"/>
  <c r="AQ399" i="312"/>
  <c r="AS399" i="312" s="1"/>
  <c r="AR399" i="312"/>
  <c r="G400" i="312"/>
  <c r="G500" i="312" s="1"/>
  <c r="G501" i="312" s="1"/>
  <c r="H400" i="312"/>
  <c r="I400" i="312"/>
  <c r="J400" i="312"/>
  <c r="K400" i="312"/>
  <c r="K500" i="312" s="1"/>
  <c r="K501" i="312" s="1"/>
  <c r="L400" i="312"/>
  <c r="M400" i="312"/>
  <c r="N400" i="312"/>
  <c r="O400" i="312"/>
  <c r="P400" i="312"/>
  <c r="Q400" i="312"/>
  <c r="R400" i="312"/>
  <c r="S400" i="312"/>
  <c r="T400" i="312"/>
  <c r="U400" i="312"/>
  <c r="V400" i="312"/>
  <c r="W400" i="312"/>
  <c r="W500" i="312" s="1"/>
  <c r="W501" i="312" s="1"/>
  <c r="X400" i="312"/>
  <c r="Y400" i="312"/>
  <c r="Z400" i="312"/>
  <c r="AA400" i="312"/>
  <c r="AB400" i="312"/>
  <c r="AC400" i="312"/>
  <c r="AD400" i="312"/>
  <c r="AE400" i="312"/>
  <c r="AF400" i="312"/>
  <c r="AG400" i="312"/>
  <c r="AH400" i="312"/>
  <c r="AI400" i="312"/>
  <c r="AJ400" i="312"/>
  <c r="AK400" i="312"/>
  <c r="AL400" i="312"/>
  <c r="AM400" i="312"/>
  <c r="AN400" i="312"/>
  <c r="AO400" i="312"/>
  <c r="AP400" i="312"/>
  <c r="AT400" i="312"/>
  <c r="AW400" i="312"/>
  <c r="AX400" i="312"/>
  <c r="AY400" i="312"/>
  <c r="AZ400" i="312"/>
  <c r="G401" i="312"/>
  <c r="H401" i="312"/>
  <c r="H500" i="312" s="1"/>
  <c r="I401" i="312"/>
  <c r="J401" i="312"/>
  <c r="K401" i="312"/>
  <c r="L401" i="312"/>
  <c r="L500" i="312" s="1"/>
  <c r="L501" i="312" s="1"/>
  <c r="M401" i="312"/>
  <c r="N401" i="312"/>
  <c r="O401" i="312"/>
  <c r="P401" i="312"/>
  <c r="P500" i="312" s="1"/>
  <c r="P501" i="312" s="1"/>
  <c r="Q401" i="312"/>
  <c r="R401" i="312"/>
  <c r="S401" i="312"/>
  <c r="T401" i="312"/>
  <c r="T500" i="312" s="1"/>
  <c r="U401" i="312"/>
  <c r="V401" i="312"/>
  <c r="W401" i="312"/>
  <c r="X401" i="312"/>
  <c r="X500" i="312" s="1"/>
  <c r="Y401" i="312"/>
  <c r="Z401" i="312"/>
  <c r="AA401" i="312"/>
  <c r="AB401" i="312"/>
  <c r="AC401" i="312"/>
  <c r="AD401" i="312"/>
  <c r="AE401" i="312"/>
  <c r="AF401" i="312"/>
  <c r="AG401" i="312"/>
  <c r="AH401" i="312"/>
  <c r="AI401" i="312"/>
  <c r="AJ401" i="312"/>
  <c r="AK401" i="312"/>
  <c r="AL401" i="312"/>
  <c r="AM401" i="312"/>
  <c r="AN401" i="312"/>
  <c r="AO401" i="312"/>
  <c r="AP401" i="312"/>
  <c r="AQ402" i="312"/>
  <c r="AR402" i="312"/>
  <c r="AQ403" i="312"/>
  <c r="AR403" i="312"/>
  <c r="AS403" i="312"/>
  <c r="AQ404" i="312"/>
  <c r="AR404" i="312"/>
  <c r="AS404" i="312"/>
  <c r="AQ405" i="312"/>
  <c r="AS405" i="312" s="1"/>
  <c r="AR405" i="312"/>
  <c r="AQ406" i="312"/>
  <c r="AS406" i="312" s="1"/>
  <c r="AR406" i="312"/>
  <c r="AQ407" i="312"/>
  <c r="AR407" i="312"/>
  <c r="AS407" i="312"/>
  <c r="AQ408" i="312"/>
  <c r="AR408" i="312"/>
  <c r="AS408" i="312"/>
  <c r="AQ409" i="312"/>
  <c r="AR409" i="312"/>
  <c r="AQ410" i="312"/>
  <c r="AR410" i="312"/>
  <c r="AQ411" i="312"/>
  <c r="AR411" i="312"/>
  <c r="AS411" i="312"/>
  <c r="AQ412" i="312"/>
  <c r="AR412" i="312"/>
  <c r="AS412" i="312"/>
  <c r="AQ413" i="312"/>
  <c r="AS413" i="312" s="1"/>
  <c r="AR413" i="312"/>
  <c r="AQ414" i="312"/>
  <c r="AS414" i="312" s="1"/>
  <c r="AR414" i="312"/>
  <c r="AQ415" i="312"/>
  <c r="AR415" i="312"/>
  <c r="AS415" i="312"/>
  <c r="AQ416" i="312"/>
  <c r="AR416" i="312"/>
  <c r="AS416" i="312"/>
  <c r="AQ417" i="312"/>
  <c r="AS417" i="312" s="1"/>
  <c r="AR417" i="312"/>
  <c r="AQ418" i="312"/>
  <c r="AR418" i="312"/>
  <c r="AQ419" i="312"/>
  <c r="AR419" i="312"/>
  <c r="AS419" i="312"/>
  <c r="AQ420" i="312"/>
  <c r="AR420" i="312"/>
  <c r="AS420" i="312"/>
  <c r="AQ421" i="312"/>
  <c r="AS421" i="312" s="1"/>
  <c r="AR421" i="312"/>
  <c r="AQ422" i="312"/>
  <c r="AS422" i="312" s="1"/>
  <c r="AR422" i="312"/>
  <c r="AQ423" i="312"/>
  <c r="AR423" i="312"/>
  <c r="AS423" i="312"/>
  <c r="AQ424" i="312"/>
  <c r="AR424" i="312"/>
  <c r="AS424" i="312"/>
  <c r="AQ425" i="312"/>
  <c r="AS425" i="312" s="1"/>
  <c r="AR425" i="312"/>
  <c r="AQ426" i="312"/>
  <c r="AR426" i="312"/>
  <c r="AQ427" i="312"/>
  <c r="AR427" i="312"/>
  <c r="AS427" i="312"/>
  <c r="AQ428" i="312"/>
  <c r="AR428" i="312"/>
  <c r="AS428" i="312"/>
  <c r="AQ429" i="312"/>
  <c r="AS429" i="312" s="1"/>
  <c r="AR429" i="312"/>
  <c r="AQ430" i="312"/>
  <c r="AS430" i="312" s="1"/>
  <c r="AR430" i="312"/>
  <c r="AQ431" i="312"/>
  <c r="AR431" i="312"/>
  <c r="AS431" i="312"/>
  <c r="AQ432" i="312"/>
  <c r="AR432" i="312"/>
  <c r="AS432" i="312"/>
  <c r="AQ433" i="312"/>
  <c r="AS433" i="312" s="1"/>
  <c r="AR433" i="312"/>
  <c r="AQ434" i="312"/>
  <c r="AR434" i="312"/>
  <c r="AQ435" i="312"/>
  <c r="AR435" i="312"/>
  <c r="AS435" i="312"/>
  <c r="AQ436" i="312"/>
  <c r="AR436" i="312"/>
  <c r="AS436" i="312"/>
  <c r="AQ437" i="312"/>
  <c r="AS437" i="312" s="1"/>
  <c r="AR437" i="312"/>
  <c r="AQ438" i="312"/>
  <c r="AS438" i="312" s="1"/>
  <c r="AR438" i="312"/>
  <c r="AQ439" i="312"/>
  <c r="AR439" i="312"/>
  <c r="AS439" i="312"/>
  <c r="AQ440" i="312"/>
  <c r="AR440" i="312"/>
  <c r="AS440" i="312"/>
  <c r="AQ441" i="312"/>
  <c r="AS441" i="312" s="1"/>
  <c r="AR441" i="312"/>
  <c r="AQ442" i="312"/>
  <c r="AR442" i="312"/>
  <c r="AQ443" i="312"/>
  <c r="AR443" i="312"/>
  <c r="AS443" i="312"/>
  <c r="AQ444" i="312"/>
  <c r="AR444" i="312"/>
  <c r="AS444" i="312"/>
  <c r="AQ445" i="312"/>
  <c r="AS445" i="312" s="1"/>
  <c r="AR445" i="312"/>
  <c r="AQ446" i="312"/>
  <c r="AS446" i="312" s="1"/>
  <c r="AR446" i="312"/>
  <c r="AQ447" i="312"/>
  <c r="AR447" i="312"/>
  <c r="AS447" i="312"/>
  <c r="AQ448" i="312"/>
  <c r="AR448" i="312"/>
  <c r="AS448" i="312"/>
  <c r="AQ449" i="312"/>
  <c r="AS449" i="312" s="1"/>
  <c r="AR449" i="312"/>
  <c r="AQ450" i="312"/>
  <c r="AR450" i="312"/>
  <c r="AQ451" i="312"/>
  <c r="AR451" i="312"/>
  <c r="AS451" i="312"/>
  <c r="AQ452" i="312"/>
  <c r="AR452" i="312"/>
  <c r="AS452" i="312"/>
  <c r="AQ453" i="312"/>
  <c r="AS453" i="312" s="1"/>
  <c r="AR453" i="312"/>
  <c r="AQ454" i="312"/>
  <c r="AS454" i="312" s="1"/>
  <c r="AR454" i="312"/>
  <c r="AQ455" i="312"/>
  <c r="AR455" i="312"/>
  <c r="AS455" i="312"/>
  <c r="AQ456" i="312"/>
  <c r="AR456" i="312"/>
  <c r="AS456" i="312"/>
  <c r="AQ457" i="312"/>
  <c r="AS457" i="312" s="1"/>
  <c r="AR457" i="312"/>
  <c r="AQ458" i="312"/>
  <c r="AR458" i="312"/>
  <c r="AQ459" i="312"/>
  <c r="AR459" i="312"/>
  <c r="AS459" i="312"/>
  <c r="AQ460" i="312"/>
  <c r="AR460" i="312"/>
  <c r="AS460" i="312"/>
  <c r="AQ461" i="312"/>
  <c r="AS461" i="312" s="1"/>
  <c r="AR461" i="312"/>
  <c r="AQ462" i="312"/>
  <c r="AS462" i="312" s="1"/>
  <c r="AR462" i="312"/>
  <c r="AQ463" i="312"/>
  <c r="AR463" i="312"/>
  <c r="AS463" i="312"/>
  <c r="AQ464" i="312"/>
  <c r="AR464" i="312"/>
  <c r="AS464" i="312"/>
  <c r="AQ465" i="312"/>
  <c r="AS465" i="312" s="1"/>
  <c r="AR465" i="312"/>
  <c r="AQ466" i="312"/>
  <c r="AR466" i="312"/>
  <c r="AQ467" i="312"/>
  <c r="AR467" i="312"/>
  <c r="AS467" i="312"/>
  <c r="AQ468" i="312"/>
  <c r="AR468" i="312"/>
  <c r="AS468" i="312"/>
  <c r="AQ469" i="312"/>
  <c r="AS469" i="312" s="1"/>
  <c r="AR469" i="312"/>
  <c r="AQ470" i="312"/>
  <c r="AS470" i="312" s="1"/>
  <c r="AR470" i="312"/>
  <c r="AQ471" i="312"/>
  <c r="AR471" i="312"/>
  <c r="AS471" i="312" s="1"/>
  <c r="AQ472" i="312"/>
  <c r="AR472" i="312"/>
  <c r="AS472" i="312"/>
  <c r="AQ473" i="312"/>
  <c r="AS473" i="312" s="1"/>
  <c r="AR473" i="312"/>
  <c r="AQ474" i="312"/>
  <c r="AR474" i="312"/>
  <c r="AQ475" i="312"/>
  <c r="AR475" i="312"/>
  <c r="AS475" i="312" s="1"/>
  <c r="AQ476" i="312"/>
  <c r="AR476" i="312"/>
  <c r="AS476" i="312"/>
  <c r="AQ477" i="312"/>
  <c r="AS477" i="312" s="1"/>
  <c r="AR477" i="312"/>
  <c r="AQ478" i="312"/>
  <c r="AS478" i="312" s="1"/>
  <c r="AR478" i="312"/>
  <c r="AQ479" i="312"/>
  <c r="AR479" i="312"/>
  <c r="AS479" i="312"/>
  <c r="AQ480" i="312"/>
  <c r="AR480" i="312"/>
  <c r="AS480" i="312"/>
  <c r="AQ481" i="312"/>
  <c r="AS481" i="312" s="1"/>
  <c r="AR481" i="312"/>
  <c r="AQ482" i="312"/>
  <c r="AR482" i="312"/>
  <c r="AQ483" i="312"/>
  <c r="AR483" i="312"/>
  <c r="AS483" i="312" s="1"/>
  <c r="AQ484" i="312"/>
  <c r="AR484" i="312"/>
  <c r="AS484" i="312"/>
  <c r="AQ485" i="312"/>
  <c r="AS485" i="312" s="1"/>
  <c r="AR485" i="312"/>
  <c r="AQ486" i="312"/>
  <c r="AS486" i="312" s="1"/>
  <c r="AR486" i="312"/>
  <c r="AQ487" i="312"/>
  <c r="AR487" i="312"/>
  <c r="AS487" i="312" s="1"/>
  <c r="AQ488" i="312"/>
  <c r="AR488" i="312"/>
  <c r="AS488" i="312"/>
  <c r="AQ489" i="312"/>
  <c r="AS489" i="312" s="1"/>
  <c r="AR489" i="312"/>
  <c r="AQ490" i="312"/>
  <c r="AR490" i="312"/>
  <c r="AQ491" i="312"/>
  <c r="AR491" i="312"/>
  <c r="AS491" i="312" s="1"/>
  <c r="AQ492" i="312"/>
  <c r="AR492" i="312"/>
  <c r="AS492" i="312"/>
  <c r="AQ493" i="312"/>
  <c r="AS493" i="312" s="1"/>
  <c r="AR493" i="312"/>
  <c r="AQ494" i="312"/>
  <c r="AS494" i="312" s="1"/>
  <c r="AR494" i="312"/>
  <c r="AQ495" i="312"/>
  <c r="AR495" i="312"/>
  <c r="AS495" i="312"/>
  <c r="AQ496" i="312"/>
  <c r="AR496" i="312"/>
  <c r="AS496" i="312"/>
  <c r="AQ497" i="312"/>
  <c r="AS497" i="312" s="1"/>
  <c r="AR497" i="312"/>
  <c r="G498" i="312"/>
  <c r="G499" i="312" s="1"/>
  <c r="H498" i="312"/>
  <c r="I498" i="312"/>
  <c r="J498" i="312"/>
  <c r="K498" i="312"/>
  <c r="K499" i="312" s="1"/>
  <c r="L498" i="312"/>
  <c r="L499" i="312" s="1"/>
  <c r="M498" i="312"/>
  <c r="N498" i="312"/>
  <c r="O498" i="312"/>
  <c r="O499" i="312" s="1"/>
  <c r="P498" i="312"/>
  <c r="P499" i="312" s="1"/>
  <c r="Q498" i="312"/>
  <c r="R498" i="312"/>
  <c r="S498" i="312"/>
  <c r="S499" i="312" s="1"/>
  <c r="T498" i="312"/>
  <c r="T499" i="312" s="1"/>
  <c r="U498" i="312"/>
  <c r="V498" i="312"/>
  <c r="W498" i="312"/>
  <c r="W499" i="312" s="1"/>
  <c r="X498" i="312"/>
  <c r="Y498" i="312"/>
  <c r="Z498" i="312"/>
  <c r="AA498" i="312"/>
  <c r="AA499" i="312" s="1"/>
  <c r="AB498" i="312"/>
  <c r="AB499" i="312" s="1"/>
  <c r="AC498" i="312"/>
  <c r="AD498" i="312"/>
  <c r="AE498" i="312"/>
  <c r="AE499" i="312" s="1"/>
  <c r="AF498" i="312"/>
  <c r="AF499" i="312" s="1"/>
  <c r="AG498" i="312"/>
  <c r="AH498" i="312"/>
  <c r="AI498" i="312"/>
  <c r="AI499" i="312" s="1"/>
  <c r="AJ498" i="312"/>
  <c r="AK498" i="312"/>
  <c r="AL498" i="312"/>
  <c r="AM498" i="312"/>
  <c r="AM499" i="312" s="1"/>
  <c r="AN498" i="312"/>
  <c r="AO498" i="312"/>
  <c r="AP498" i="312"/>
  <c r="AT498" i="312"/>
  <c r="AU498" i="312"/>
  <c r="AU500" i="312" s="1"/>
  <c r="AV498" i="312"/>
  <c r="AW498" i="312"/>
  <c r="AX498" i="312"/>
  <c r="AY498" i="312"/>
  <c r="AZ498" i="312"/>
  <c r="H499" i="312"/>
  <c r="I499" i="312"/>
  <c r="J499" i="312"/>
  <c r="M499" i="312"/>
  <c r="N499" i="312"/>
  <c r="Q499" i="312"/>
  <c r="R499" i="312"/>
  <c r="U499" i="312"/>
  <c r="V499" i="312"/>
  <c r="X499" i="312"/>
  <c r="Y499" i="312"/>
  <c r="Z499" i="312"/>
  <c r="AC499" i="312"/>
  <c r="AD499" i="312"/>
  <c r="AG499" i="312"/>
  <c r="AH499" i="312"/>
  <c r="AJ499" i="312"/>
  <c r="AK499" i="312"/>
  <c r="AL499" i="312"/>
  <c r="AN499" i="312"/>
  <c r="AO499" i="312"/>
  <c r="AP499" i="312"/>
  <c r="I500" i="312"/>
  <c r="J500" i="312"/>
  <c r="M500" i="312"/>
  <c r="N500" i="312"/>
  <c r="N501" i="312" s="1"/>
  <c r="Q500" i="312"/>
  <c r="U500" i="312"/>
  <c r="U501" i="312" s="1"/>
  <c r="Y500" i="312"/>
  <c r="Z500" i="312"/>
  <c r="Z501" i="312" s="1"/>
  <c r="AA500" i="312"/>
  <c r="AB500" i="312"/>
  <c r="AC500" i="312"/>
  <c r="AD500" i="312"/>
  <c r="AD501" i="312" s="1"/>
  <c r="AE500" i="312"/>
  <c r="AF500" i="312"/>
  <c r="AG500" i="312"/>
  <c r="AH500" i="312"/>
  <c r="AH501" i="312" s="1"/>
  <c r="AI500" i="312"/>
  <c r="AJ500" i="312"/>
  <c r="AK500" i="312"/>
  <c r="AL500" i="312"/>
  <c r="AL501" i="312" s="1"/>
  <c r="AM500" i="312"/>
  <c r="AN500" i="312"/>
  <c r="AN501" i="312" s="1"/>
  <c r="AO500" i="312"/>
  <c r="AP500" i="312"/>
  <c r="AP501" i="312" s="1"/>
  <c r="AT500" i="312"/>
  <c r="AV500" i="312"/>
  <c r="AW500" i="312"/>
  <c r="BA500" i="312"/>
  <c r="BC500" i="312"/>
  <c r="H501" i="312"/>
  <c r="I501" i="312"/>
  <c r="J501" i="312"/>
  <c r="M501" i="312"/>
  <c r="Q501" i="312"/>
  <c r="T501" i="312"/>
  <c r="X501" i="312"/>
  <c r="Y501" i="312"/>
  <c r="AA501" i="312"/>
  <c r="AB501" i="312"/>
  <c r="AC501" i="312"/>
  <c r="AE501" i="312"/>
  <c r="AF501" i="312"/>
  <c r="AG501" i="312"/>
  <c r="AI501" i="312"/>
  <c r="AJ501" i="312"/>
  <c r="AK501" i="312"/>
  <c r="AM501" i="312"/>
  <c r="AO501" i="312"/>
  <c r="AV501" i="312"/>
  <c r="AV502" i="312" s="1"/>
  <c r="AX502" i="312" s="1"/>
  <c r="AW501" i="312"/>
  <c r="AW502" i="312" s="1"/>
  <c r="AQ2" i="318"/>
  <c r="AJ3" i="318"/>
  <c r="AQ3" i="318"/>
  <c r="AQ4" i="318"/>
  <c r="AQ5" i="318"/>
  <c r="AQ6" i="318"/>
  <c r="AQ7" i="318"/>
  <c r="C8" i="318"/>
  <c r="D8" i="318"/>
  <c r="E8" i="318"/>
  <c r="F8" i="318"/>
  <c r="G8" i="318"/>
  <c r="H8" i="318"/>
  <c r="I8" i="318"/>
  <c r="J8" i="318"/>
  <c r="K8" i="318"/>
  <c r="L8" i="318"/>
  <c r="M8" i="318"/>
  <c r="N8" i="318"/>
  <c r="O8" i="318"/>
  <c r="P8" i="318"/>
  <c r="Q8" i="318"/>
  <c r="R8" i="318"/>
  <c r="S8" i="318"/>
  <c r="T8" i="318"/>
  <c r="U8" i="318"/>
  <c r="V8" i="318"/>
  <c r="X8" i="318"/>
  <c r="Z8" i="318"/>
  <c r="W9" i="318"/>
  <c r="AE9" i="318" s="1"/>
  <c r="Y9" i="318"/>
  <c r="AA9" i="318"/>
  <c r="AB9" i="318"/>
  <c r="AC9" i="318"/>
  <c r="AD9" i="318"/>
  <c r="AF9" i="318"/>
  <c r="AG9" i="318"/>
  <c r="AH9" i="318"/>
  <c r="AQ9" i="318"/>
  <c r="AU9" i="318"/>
  <c r="W10" i="318"/>
  <c r="Y10" i="318"/>
  <c r="AA10" i="318"/>
  <c r="AB10" i="318"/>
  <c r="AC10" i="318"/>
  <c r="AD10" i="318"/>
  <c r="AE10" i="318"/>
  <c r="AF10" i="318"/>
  <c r="AG10" i="318"/>
  <c r="AH10" i="318"/>
  <c r="AJ10" i="318" s="1"/>
  <c r="AQ10" i="318"/>
  <c r="AU10" i="318"/>
  <c r="W11" i="318"/>
  <c r="AA11" i="318"/>
  <c r="AB11" i="318"/>
  <c r="AC11" i="318"/>
  <c r="AD11" i="318"/>
  <c r="AF11" i="318"/>
  <c r="AG11" i="318"/>
  <c r="AH11" i="318"/>
  <c r="AQ11" i="318"/>
  <c r="AU11" i="318"/>
  <c r="W12" i="318"/>
  <c r="AA12" i="318"/>
  <c r="AB12" i="318"/>
  <c r="AC12" i="318"/>
  <c r="AD12" i="318"/>
  <c r="AF12" i="318"/>
  <c r="AJ12" i="318" s="1"/>
  <c r="AG12" i="318"/>
  <c r="AH12" i="318"/>
  <c r="AQ12" i="318"/>
  <c r="AU12" i="318"/>
  <c r="W13" i="318"/>
  <c r="Y13" i="318" s="1"/>
  <c r="AA13" i="318"/>
  <c r="AB13" i="318"/>
  <c r="AC13" i="318"/>
  <c r="AD13" i="318"/>
  <c r="AE13" i="318"/>
  <c r="AF13" i="318"/>
  <c r="AG13" i="318"/>
  <c r="AH13" i="318"/>
  <c r="AQ13" i="318"/>
  <c r="AU13" i="318"/>
  <c r="W14" i="318"/>
  <c r="Y14" i="318"/>
  <c r="AA14" i="318"/>
  <c r="AB14" i="318"/>
  <c r="AC14" i="318"/>
  <c r="AD14" i="318"/>
  <c r="AE14" i="318"/>
  <c r="AF14" i="318"/>
  <c r="AJ14" i="318" s="1"/>
  <c r="AG14" i="318"/>
  <c r="AH14" i="318"/>
  <c r="AU14" i="318"/>
  <c r="W15" i="318"/>
  <c r="Y15" i="318"/>
  <c r="AA15" i="318"/>
  <c r="AB15" i="318"/>
  <c r="AC15" i="318"/>
  <c r="AD15" i="318"/>
  <c r="AE15" i="318"/>
  <c r="AF15" i="318"/>
  <c r="AG15" i="318"/>
  <c r="AH15" i="318"/>
  <c r="AU15" i="318"/>
  <c r="W16" i="318"/>
  <c r="Y16" i="318"/>
  <c r="AA16" i="318"/>
  <c r="AB16" i="318"/>
  <c r="AC16" i="318"/>
  <c r="AD16" i="318"/>
  <c r="AE16" i="318"/>
  <c r="AF16" i="318"/>
  <c r="AG16" i="318"/>
  <c r="AH16" i="318"/>
  <c r="AU16" i="318"/>
  <c r="W17" i="318"/>
  <c r="Y17" i="318"/>
  <c r="AA17" i="318"/>
  <c r="AB17" i="318"/>
  <c r="AC17" i="318"/>
  <c r="AD17" i="318"/>
  <c r="AE17" i="318"/>
  <c r="AF17" i="318"/>
  <c r="AJ17" i="318" s="1"/>
  <c r="AG17" i="318"/>
  <c r="AH17" i="318"/>
  <c r="AU17" i="318"/>
  <c r="W18" i="318"/>
  <c r="Y18" i="318"/>
  <c r="AA18" i="318"/>
  <c r="AB18" i="318"/>
  <c r="AC18" i="318"/>
  <c r="AD18" i="318"/>
  <c r="AE18" i="318"/>
  <c r="AF18" i="318"/>
  <c r="AJ18" i="318" s="1"/>
  <c r="AG18" i="318"/>
  <c r="AH18" i="318"/>
  <c r="AU18" i="318"/>
  <c r="W19" i="318"/>
  <c r="Y19" i="318"/>
  <c r="AA19" i="318"/>
  <c r="AB19" i="318"/>
  <c r="AC19" i="318"/>
  <c r="AD19" i="318"/>
  <c r="AE19" i="318"/>
  <c r="AF19" i="318"/>
  <c r="AG19" i="318"/>
  <c r="AH19" i="318"/>
  <c r="AU19" i="318"/>
  <c r="W20" i="318"/>
  <c r="Y20" i="318"/>
  <c r="AA20" i="318"/>
  <c r="AB20" i="318"/>
  <c r="AC20" i="318"/>
  <c r="AD20" i="318"/>
  <c r="AE20" i="318"/>
  <c r="AF20" i="318"/>
  <c r="AG20" i="318"/>
  <c r="AH20" i="318"/>
  <c r="AU20" i="318"/>
  <c r="W21" i="318"/>
  <c r="Y21" i="318"/>
  <c r="AA21" i="318"/>
  <c r="AB21" i="318"/>
  <c r="AC21" i="318"/>
  <c r="AD21" i="318"/>
  <c r="AE21" i="318"/>
  <c r="AF21" i="318"/>
  <c r="AJ21" i="318" s="1"/>
  <c r="AG21" i="318"/>
  <c r="AH21" i="318"/>
  <c r="AU21" i="318"/>
  <c r="W22" i="318"/>
  <c r="Y22" i="318"/>
  <c r="AA22" i="318"/>
  <c r="AB22" i="318"/>
  <c r="AC22" i="318"/>
  <c r="AD22" i="318"/>
  <c r="AE22" i="318"/>
  <c r="AF22" i="318"/>
  <c r="AJ22" i="318" s="1"/>
  <c r="AG22" i="318"/>
  <c r="AH22" i="318"/>
  <c r="AU22" i="318"/>
  <c r="W23" i="318"/>
  <c r="Y23" i="318"/>
  <c r="AA23" i="318"/>
  <c r="AB23" i="318"/>
  <c r="AC23" i="318"/>
  <c r="AD23" i="318"/>
  <c r="AE23" i="318"/>
  <c r="AF23" i="318"/>
  <c r="AG23" i="318"/>
  <c r="AH23" i="318"/>
  <c r="AU23" i="318"/>
  <c r="W24" i="318"/>
  <c r="Y24" i="318"/>
  <c r="AA24" i="318"/>
  <c r="AB24" i="318"/>
  <c r="AC24" i="318"/>
  <c r="AD24" i="318"/>
  <c r="AE24" i="318"/>
  <c r="AF24" i="318"/>
  <c r="AG24" i="318"/>
  <c r="AH24" i="318"/>
  <c r="AU24" i="318"/>
  <c r="W25" i="318"/>
  <c r="Y25" i="318"/>
  <c r="AA25" i="318"/>
  <c r="AB25" i="318"/>
  <c r="AC25" i="318"/>
  <c r="AD25" i="318"/>
  <c r="AE25" i="318"/>
  <c r="AF25" i="318"/>
  <c r="AJ25" i="318" s="1"/>
  <c r="AG25" i="318"/>
  <c r="AH25" i="318"/>
  <c r="AU25" i="318"/>
  <c r="W26" i="318"/>
  <c r="Y26" i="318"/>
  <c r="AA26" i="318"/>
  <c r="AB26" i="318"/>
  <c r="AC26" i="318"/>
  <c r="AD26" i="318"/>
  <c r="AE26" i="318"/>
  <c r="AF26" i="318"/>
  <c r="AJ26" i="318" s="1"/>
  <c r="AG26" i="318"/>
  <c r="AH26" i="318"/>
  <c r="AU26" i="318"/>
  <c r="W27" i="318"/>
  <c r="Y27" i="318"/>
  <c r="AA27" i="318"/>
  <c r="AB27" i="318"/>
  <c r="AC27" i="318"/>
  <c r="AD27" i="318"/>
  <c r="AE27" i="318"/>
  <c r="AF27" i="318"/>
  <c r="AG27" i="318"/>
  <c r="AH27" i="318"/>
  <c r="AU27" i="318"/>
  <c r="W28" i="318"/>
  <c r="Y28" i="318"/>
  <c r="AA28" i="318"/>
  <c r="AB28" i="318"/>
  <c r="AC28" i="318"/>
  <c r="AD28" i="318"/>
  <c r="AE28" i="318"/>
  <c r="AF28" i="318"/>
  <c r="AG28" i="318"/>
  <c r="AH28" i="318"/>
  <c r="AU28" i="318"/>
  <c r="W29" i="318"/>
  <c r="Y29" i="318"/>
  <c r="AA29" i="318"/>
  <c r="AB29" i="318"/>
  <c r="AC29" i="318"/>
  <c r="AD29" i="318"/>
  <c r="AE29" i="318"/>
  <c r="AF29" i="318"/>
  <c r="AJ29" i="318" s="1"/>
  <c r="AG29" i="318"/>
  <c r="AH29" i="318"/>
  <c r="AU29" i="318"/>
  <c r="W30" i="318"/>
  <c r="Y30" i="318"/>
  <c r="AA30" i="318"/>
  <c r="AB30" i="318"/>
  <c r="AC30" i="318"/>
  <c r="AD30" i="318"/>
  <c r="AE30" i="318"/>
  <c r="AF30" i="318"/>
  <c r="AJ30" i="318" s="1"/>
  <c r="AG30" i="318"/>
  <c r="AH30" i="318"/>
  <c r="AU30" i="318"/>
  <c r="W31" i="318"/>
  <c r="Y31" i="318"/>
  <c r="AA31" i="318"/>
  <c r="AB31" i="318"/>
  <c r="AC31" i="318"/>
  <c r="AD31" i="318"/>
  <c r="AE31" i="318"/>
  <c r="AF31" i="318"/>
  <c r="AG31" i="318"/>
  <c r="AH31" i="318"/>
  <c r="AU31" i="318"/>
  <c r="W32" i="318"/>
  <c r="Y32" i="318"/>
  <c r="AA32" i="318"/>
  <c r="AB32" i="318"/>
  <c r="AC32" i="318"/>
  <c r="AD32" i="318"/>
  <c r="AE32" i="318"/>
  <c r="AF32" i="318"/>
  <c r="AG32" i="318"/>
  <c r="AH32" i="318"/>
  <c r="AU32" i="318"/>
  <c r="W33" i="318"/>
  <c r="Y33" i="318"/>
  <c r="AA33" i="318"/>
  <c r="AB33" i="318"/>
  <c r="AC33" i="318"/>
  <c r="AD33" i="318"/>
  <c r="AE33" i="318"/>
  <c r="AF33" i="318"/>
  <c r="AJ33" i="318" s="1"/>
  <c r="AG33" i="318"/>
  <c r="AH33" i="318"/>
  <c r="AU33" i="318"/>
  <c r="W34" i="318"/>
  <c r="Y34" i="318"/>
  <c r="AA34" i="318"/>
  <c r="AB34" i="318"/>
  <c r="AC34" i="318"/>
  <c r="AD34" i="318"/>
  <c r="AE34" i="318"/>
  <c r="AF34" i="318"/>
  <c r="AJ34" i="318" s="1"/>
  <c r="AG34" i="318"/>
  <c r="AH34" i="318"/>
  <c r="AU34" i="318"/>
  <c r="W35" i="318"/>
  <c r="Y35" i="318"/>
  <c r="AA35" i="318"/>
  <c r="AB35" i="318"/>
  <c r="AC35" i="318"/>
  <c r="AD35" i="318"/>
  <c r="AE35" i="318"/>
  <c r="AF35" i="318"/>
  <c r="AG35" i="318"/>
  <c r="AH35" i="318"/>
  <c r="AU35" i="318"/>
  <c r="W36" i="318"/>
  <c r="Y36" i="318"/>
  <c r="AA36" i="318"/>
  <c r="AB36" i="318"/>
  <c r="AC36" i="318"/>
  <c r="AD36" i="318"/>
  <c r="AE36" i="318"/>
  <c r="AF36" i="318"/>
  <c r="AG36" i="318"/>
  <c r="AH36" i="318"/>
  <c r="AU36" i="318"/>
  <c r="W37" i="318"/>
  <c r="Y37" i="318"/>
  <c r="AA37" i="318"/>
  <c r="AB37" i="318"/>
  <c r="AC37" i="318"/>
  <c r="AD37" i="318"/>
  <c r="AE37" i="318"/>
  <c r="AF37" i="318"/>
  <c r="AJ37" i="318" s="1"/>
  <c r="AG37" i="318"/>
  <c r="AH37" i="318"/>
  <c r="AU37" i="318"/>
  <c r="W38" i="318"/>
  <c r="Y38" i="318"/>
  <c r="AA38" i="318"/>
  <c r="AB38" i="318"/>
  <c r="AC38" i="318"/>
  <c r="AD38" i="318"/>
  <c r="AE38" i="318"/>
  <c r="AF38" i="318"/>
  <c r="AJ38" i="318" s="1"/>
  <c r="AG38" i="318"/>
  <c r="AH38" i="318"/>
  <c r="AU38" i="318"/>
  <c r="W39" i="318"/>
  <c r="Y39" i="318"/>
  <c r="AA39" i="318"/>
  <c r="AB39" i="318"/>
  <c r="AC39" i="318"/>
  <c r="AD39" i="318"/>
  <c r="AE39" i="318"/>
  <c r="AF39" i="318"/>
  <c r="AG39" i="318"/>
  <c r="AH39" i="318"/>
  <c r="AU39" i="318"/>
  <c r="W40" i="318"/>
  <c r="Y40" i="318"/>
  <c r="AA40" i="318"/>
  <c r="AB40" i="318"/>
  <c r="AC40" i="318"/>
  <c r="AD40" i="318"/>
  <c r="AE40" i="318"/>
  <c r="AF40" i="318"/>
  <c r="AG40" i="318"/>
  <c r="AH40" i="318"/>
  <c r="AU40" i="318"/>
  <c r="W41" i="318"/>
  <c r="Y41" i="318"/>
  <c r="AA41" i="318"/>
  <c r="AB41" i="318"/>
  <c r="AC41" i="318"/>
  <c r="AD41" i="318"/>
  <c r="AE41" i="318"/>
  <c r="AF41" i="318"/>
  <c r="AJ41" i="318" s="1"/>
  <c r="AG41" i="318"/>
  <c r="AH41" i="318"/>
  <c r="AU41" i="318"/>
  <c r="W42" i="318"/>
  <c r="Y42" i="318"/>
  <c r="AA42" i="318"/>
  <c r="AB42" i="318"/>
  <c r="AC42" i="318"/>
  <c r="AD42" i="318"/>
  <c r="AE42" i="318"/>
  <c r="AF42" i="318"/>
  <c r="AJ42" i="318" s="1"/>
  <c r="AG42" i="318"/>
  <c r="AH42" i="318"/>
  <c r="AU42" i="318"/>
  <c r="W43" i="318"/>
  <c r="Y43" i="318"/>
  <c r="AA43" i="318"/>
  <c r="AB43" i="318"/>
  <c r="AC43" i="318"/>
  <c r="AD43" i="318"/>
  <c r="AE43" i="318"/>
  <c r="AF43" i="318"/>
  <c r="AG43" i="318"/>
  <c r="AH43" i="318"/>
  <c r="AU43" i="318"/>
  <c r="W44" i="318"/>
  <c r="Y44" i="318"/>
  <c r="AA44" i="318"/>
  <c r="AB44" i="318"/>
  <c r="AC44" i="318"/>
  <c r="AD44" i="318"/>
  <c r="AE44" i="318"/>
  <c r="AF44" i="318"/>
  <c r="AG44" i="318"/>
  <c r="AH44" i="318"/>
  <c r="AU44" i="318"/>
  <c r="W45" i="318"/>
  <c r="Y45" i="318"/>
  <c r="AA45" i="318"/>
  <c r="AB45" i="318"/>
  <c r="AC45" i="318"/>
  <c r="AD45" i="318"/>
  <c r="AE45" i="318"/>
  <c r="AF45" i="318"/>
  <c r="AJ45" i="318" s="1"/>
  <c r="AG45" i="318"/>
  <c r="AH45" i="318"/>
  <c r="AU45" i="318"/>
  <c r="W46" i="318"/>
  <c r="Y46" i="318"/>
  <c r="AA46" i="318"/>
  <c r="AB46" i="318"/>
  <c r="AC46" i="318"/>
  <c r="AD46" i="318"/>
  <c r="AE46" i="318"/>
  <c r="AF46" i="318"/>
  <c r="AJ46" i="318" s="1"/>
  <c r="AG46" i="318"/>
  <c r="AH46" i="318"/>
  <c r="AU46" i="318"/>
  <c r="W47" i="318"/>
  <c r="Y47" i="318"/>
  <c r="AA47" i="318"/>
  <c r="AB47" i="318"/>
  <c r="AC47" i="318"/>
  <c r="AD47" i="318"/>
  <c r="AE47" i="318"/>
  <c r="AF47" i="318"/>
  <c r="AG47" i="318"/>
  <c r="AH47" i="318"/>
  <c r="AU47" i="318"/>
  <c r="W48" i="318"/>
  <c r="Y48" i="318"/>
  <c r="AA48" i="318"/>
  <c r="AB48" i="318"/>
  <c r="AC48" i="318"/>
  <c r="AD48" i="318"/>
  <c r="AE48" i="318"/>
  <c r="AF48" i="318"/>
  <c r="AG48" i="318"/>
  <c r="AH48" i="318"/>
  <c r="AU48" i="318"/>
  <c r="W49" i="318"/>
  <c r="Y49" i="318"/>
  <c r="AA49" i="318"/>
  <c r="AB49" i="318"/>
  <c r="AC49" i="318"/>
  <c r="AD49" i="318"/>
  <c r="AE49" i="318"/>
  <c r="AF49" i="318"/>
  <c r="AJ49" i="318" s="1"/>
  <c r="AG49" i="318"/>
  <c r="AH49" i="318"/>
  <c r="AU49" i="318"/>
  <c r="W50" i="318"/>
  <c r="Y50" i="318"/>
  <c r="AA50" i="318"/>
  <c r="AB50" i="318"/>
  <c r="AC50" i="318"/>
  <c r="AD50" i="318"/>
  <c r="AE50" i="318"/>
  <c r="AF50" i="318"/>
  <c r="AJ50" i="318" s="1"/>
  <c r="AG50" i="318"/>
  <c r="AH50" i="318"/>
  <c r="AU50" i="318"/>
  <c r="W51" i="318"/>
  <c r="Y51" i="318"/>
  <c r="AA51" i="318"/>
  <c r="AB51" i="318"/>
  <c r="AC51" i="318"/>
  <c r="AD51" i="318"/>
  <c r="AE51" i="318"/>
  <c r="AF51" i="318"/>
  <c r="AG51" i="318"/>
  <c r="AH51" i="318"/>
  <c r="AU51" i="318"/>
  <c r="W52" i="318"/>
  <c r="Y52" i="318"/>
  <c r="AA52" i="318"/>
  <c r="AB52" i="318"/>
  <c r="AC52" i="318"/>
  <c r="AD52" i="318"/>
  <c r="AE52" i="318"/>
  <c r="AF52" i="318"/>
  <c r="AG52" i="318"/>
  <c r="AH52" i="318"/>
  <c r="AU52" i="318"/>
  <c r="W53" i="318"/>
  <c r="Y53" i="318"/>
  <c r="AA53" i="318"/>
  <c r="AB53" i="318"/>
  <c r="AC53" i="318"/>
  <c r="AD53" i="318"/>
  <c r="AE53" i="318"/>
  <c r="AF53" i="318"/>
  <c r="AJ53" i="318" s="1"/>
  <c r="AG53" i="318"/>
  <c r="AH53" i="318"/>
  <c r="AU53" i="318"/>
  <c r="W54" i="318"/>
  <c r="Y54" i="318"/>
  <c r="AA54" i="318"/>
  <c r="AB54" i="318"/>
  <c r="AC54" i="318"/>
  <c r="AD54" i="318"/>
  <c r="AE54" i="318"/>
  <c r="AF54" i="318"/>
  <c r="AJ54" i="318" s="1"/>
  <c r="AG54" i="318"/>
  <c r="AH54" i="318"/>
  <c r="AU54" i="318"/>
  <c r="W55" i="318"/>
  <c r="Y55" i="318"/>
  <c r="AA55" i="318"/>
  <c r="AB55" i="318"/>
  <c r="AC55" i="318"/>
  <c r="AD55" i="318"/>
  <c r="AE55" i="318"/>
  <c r="AF55" i="318"/>
  <c r="AG55" i="318"/>
  <c r="AH55" i="318"/>
  <c r="W56" i="318"/>
  <c r="AA56" i="318"/>
  <c r="AB56" i="318"/>
  <c r="AC56" i="318"/>
  <c r="AD56" i="318"/>
  <c r="AF56" i="318"/>
  <c r="AG56" i="318"/>
  <c r="AH56" i="318"/>
  <c r="AI56" i="318"/>
  <c r="AJ56" i="318"/>
  <c r="W57" i="318"/>
  <c r="Y57" i="318"/>
  <c r="AA57" i="318"/>
  <c r="AB57" i="318"/>
  <c r="AC57" i="318"/>
  <c r="AD57" i="318"/>
  <c r="AE57" i="318"/>
  <c r="AF57" i="318"/>
  <c r="AG57" i="318"/>
  <c r="AH57" i="318"/>
  <c r="AI57" i="318"/>
  <c r="AJ57" i="318" s="1"/>
  <c r="W58" i="318"/>
  <c r="Y58" i="318"/>
  <c r="AA58" i="318"/>
  <c r="AB58" i="318"/>
  <c r="AC58" i="318"/>
  <c r="AD58" i="318"/>
  <c r="AE58" i="318"/>
  <c r="AF58" i="318"/>
  <c r="AG58" i="318"/>
  <c r="AH58" i="318"/>
  <c r="AI58" i="318"/>
  <c r="AJ58" i="318" s="1"/>
  <c r="W59" i="318"/>
  <c r="Y59" i="318"/>
  <c r="AA59" i="318"/>
  <c r="AB59" i="318"/>
  <c r="AC59" i="318"/>
  <c r="AD59" i="318"/>
  <c r="AE59" i="318"/>
  <c r="AF59" i="318"/>
  <c r="AG59" i="318"/>
  <c r="AH59" i="318"/>
  <c r="AI59" i="318"/>
  <c r="AJ59" i="318" s="1"/>
  <c r="W60" i="318"/>
  <c r="Y60" i="318"/>
  <c r="AA60" i="318"/>
  <c r="AB60" i="318"/>
  <c r="AC60" i="318"/>
  <c r="AD60" i="318"/>
  <c r="AE60" i="318"/>
  <c r="AF60" i="318"/>
  <c r="AG60" i="318"/>
  <c r="AH60" i="318"/>
  <c r="AI60" i="318"/>
  <c r="AJ60" i="318" s="1"/>
  <c r="W61" i="318"/>
  <c r="Y61" i="318"/>
  <c r="AA61" i="318"/>
  <c r="AB61" i="318"/>
  <c r="AC61" i="318"/>
  <c r="AD61" i="318"/>
  <c r="AE61" i="318"/>
  <c r="AF61" i="318"/>
  <c r="AG61" i="318"/>
  <c r="AH61" i="318"/>
  <c r="AI61" i="318"/>
  <c r="AJ61" i="318" s="1"/>
  <c r="W62" i="318"/>
  <c r="Y62" i="318"/>
  <c r="AA62" i="318"/>
  <c r="AB62" i="318"/>
  <c r="AC62" i="318"/>
  <c r="AD62" i="318"/>
  <c r="AE62" i="318"/>
  <c r="AF62" i="318"/>
  <c r="AG62" i="318"/>
  <c r="AH62" i="318"/>
  <c r="AI62" i="318"/>
  <c r="AJ62" i="318" s="1"/>
  <c r="W63" i="318"/>
  <c r="Y63" i="318"/>
  <c r="AA63" i="318"/>
  <c r="AB63" i="318"/>
  <c r="AC63" i="318"/>
  <c r="AD63" i="318"/>
  <c r="AE63" i="318"/>
  <c r="AF63" i="318"/>
  <c r="AG63" i="318"/>
  <c r="AH63" i="318"/>
  <c r="AI63" i="318"/>
  <c r="AJ63" i="318" s="1"/>
  <c r="W64" i="318"/>
  <c r="Y64" i="318"/>
  <c r="AA64" i="318"/>
  <c r="AB64" i="318"/>
  <c r="AC64" i="318"/>
  <c r="AD64" i="318"/>
  <c r="AE64" i="318"/>
  <c r="AF64" i="318"/>
  <c r="AG64" i="318"/>
  <c r="AH64" i="318"/>
  <c r="AI64" i="318"/>
  <c r="AJ64" i="318" s="1"/>
  <c r="W65" i="318"/>
  <c r="Y65" i="318"/>
  <c r="AA65" i="318"/>
  <c r="AB65" i="318"/>
  <c r="AC65" i="318"/>
  <c r="AD65" i="318"/>
  <c r="AE65" i="318"/>
  <c r="AF65" i="318"/>
  <c r="AG65" i="318"/>
  <c r="AH65" i="318"/>
  <c r="AI65" i="318"/>
  <c r="AJ65" i="318" s="1"/>
  <c r="W66" i="318"/>
  <c r="Y66" i="318"/>
  <c r="AA66" i="318"/>
  <c r="AB66" i="318"/>
  <c r="AC66" i="318"/>
  <c r="AD66" i="318"/>
  <c r="AE66" i="318"/>
  <c r="AF66" i="318"/>
  <c r="AG66" i="318"/>
  <c r="AH66" i="318"/>
  <c r="AI66" i="318"/>
  <c r="AJ66" i="318" s="1"/>
  <c r="W67" i="318"/>
  <c r="Y67" i="318"/>
  <c r="AA67" i="318"/>
  <c r="AB67" i="318"/>
  <c r="AC67" i="318"/>
  <c r="AD67" i="318"/>
  <c r="AE67" i="318"/>
  <c r="AF67" i="318"/>
  <c r="AG67" i="318"/>
  <c r="AH67" i="318"/>
  <c r="AI67" i="318"/>
  <c r="AJ67" i="318" s="1"/>
  <c r="W68" i="318"/>
  <c r="Y68" i="318"/>
  <c r="AA68" i="318"/>
  <c r="AB68" i="318"/>
  <c r="AC68" i="318"/>
  <c r="AD68" i="318"/>
  <c r="AE68" i="318"/>
  <c r="AF68" i="318"/>
  <c r="AG68" i="318"/>
  <c r="AH68" i="318"/>
  <c r="AI68" i="318"/>
  <c r="AJ68" i="318" s="1"/>
  <c r="W69" i="318"/>
  <c r="Y69" i="318"/>
  <c r="AA69" i="318"/>
  <c r="AB69" i="318"/>
  <c r="AC69" i="318"/>
  <c r="AD69" i="318"/>
  <c r="AE69" i="318"/>
  <c r="AF69" i="318"/>
  <c r="AG69" i="318"/>
  <c r="AH69" i="318"/>
  <c r="AI69" i="318"/>
  <c r="AJ69" i="318" s="1"/>
  <c r="W70" i="318"/>
  <c r="Y70" i="318"/>
  <c r="AA70" i="318"/>
  <c r="AB70" i="318"/>
  <c r="AC70" i="318"/>
  <c r="AD70" i="318"/>
  <c r="AE70" i="318"/>
  <c r="AF70" i="318"/>
  <c r="AG70" i="318"/>
  <c r="AH70" i="318"/>
  <c r="AI70" i="318"/>
  <c r="AJ70" i="318" s="1"/>
  <c r="W71" i="318"/>
  <c r="Y71" i="318"/>
  <c r="AA71" i="318"/>
  <c r="AB71" i="318"/>
  <c r="AC71" i="318"/>
  <c r="AD71" i="318"/>
  <c r="AE71" i="318"/>
  <c r="AF71" i="318"/>
  <c r="AG71" i="318"/>
  <c r="AH71" i="318"/>
  <c r="AI71" i="318"/>
  <c r="AJ71" i="318" s="1"/>
  <c r="W72" i="318"/>
  <c r="Y72" i="318"/>
  <c r="AA72" i="318"/>
  <c r="AB72" i="318"/>
  <c r="AC72" i="318"/>
  <c r="AD72" i="318"/>
  <c r="AE72" i="318"/>
  <c r="AF72" i="318"/>
  <c r="AG72" i="318"/>
  <c r="AH72" i="318"/>
  <c r="AI72" i="318"/>
  <c r="AJ72" i="318"/>
  <c r="W73" i="318"/>
  <c r="Y73" i="318"/>
  <c r="AA73" i="318"/>
  <c r="AB73" i="318"/>
  <c r="AC73" i="318"/>
  <c r="AD73" i="318"/>
  <c r="AE73" i="318"/>
  <c r="AF73" i="318"/>
  <c r="AG73" i="318"/>
  <c r="AH73" i="318"/>
  <c r="AI73" i="318"/>
  <c r="AJ73" i="318"/>
  <c r="W74" i="318"/>
  <c r="Y74" i="318"/>
  <c r="AA74" i="318"/>
  <c r="AB74" i="318"/>
  <c r="AC74" i="318"/>
  <c r="AD74" i="318"/>
  <c r="AE74" i="318"/>
  <c r="AF74" i="318"/>
  <c r="AG74" i="318"/>
  <c r="AH74" i="318"/>
  <c r="AI74" i="318"/>
  <c r="AJ74" i="318"/>
  <c r="W75" i="318"/>
  <c r="Y75" i="318"/>
  <c r="AA75" i="318"/>
  <c r="AB75" i="318"/>
  <c r="AC75" i="318"/>
  <c r="AD75" i="318"/>
  <c r="AE75" i="318"/>
  <c r="AF75" i="318"/>
  <c r="AG75" i="318"/>
  <c r="AH75" i="318"/>
  <c r="AI75" i="318"/>
  <c r="AJ75" i="318"/>
  <c r="W76" i="318"/>
  <c r="Y76" i="318"/>
  <c r="AA76" i="318"/>
  <c r="AB76" i="318"/>
  <c r="AC76" i="318"/>
  <c r="AD76" i="318"/>
  <c r="AE76" i="318"/>
  <c r="AF76" i="318"/>
  <c r="AG76" i="318"/>
  <c r="AH76" i="318"/>
  <c r="AI76" i="318"/>
  <c r="AJ76" i="318"/>
  <c r="W77" i="318"/>
  <c r="Y77" i="318"/>
  <c r="AA77" i="318"/>
  <c r="AB77" i="318"/>
  <c r="AC77" i="318"/>
  <c r="AD77" i="318"/>
  <c r="AE77" i="318"/>
  <c r="AF77" i="318"/>
  <c r="AG77" i="318"/>
  <c r="AH77" i="318"/>
  <c r="AI77" i="318"/>
  <c r="AJ77" i="318"/>
  <c r="W78" i="318"/>
  <c r="Y78" i="318"/>
  <c r="AA78" i="318"/>
  <c r="AB78" i="318"/>
  <c r="AC78" i="318"/>
  <c r="AD78" i="318"/>
  <c r="AE78" i="318"/>
  <c r="AF78" i="318"/>
  <c r="AG78" i="318"/>
  <c r="AH78" i="318"/>
  <c r="AI78" i="318"/>
  <c r="AJ78" i="318"/>
  <c r="W79" i="318"/>
  <c r="Y79" i="318"/>
  <c r="AA79" i="318"/>
  <c r="AB79" i="318"/>
  <c r="AC79" i="318"/>
  <c r="AD79" i="318"/>
  <c r="AE79" i="318"/>
  <c r="AF79" i="318"/>
  <c r="AG79" i="318"/>
  <c r="AH79" i="318"/>
  <c r="AI79" i="318"/>
  <c r="AJ79" i="318"/>
  <c r="W80" i="318"/>
  <c r="Y80" i="318"/>
  <c r="AA80" i="318"/>
  <c r="AB80" i="318"/>
  <c r="AC80" i="318"/>
  <c r="AD80" i="318"/>
  <c r="AE80" i="318"/>
  <c r="AF80" i="318"/>
  <c r="AG80" i="318"/>
  <c r="AH80" i="318"/>
  <c r="AI80" i="318"/>
  <c r="AJ80" i="318"/>
  <c r="W81" i="318"/>
  <c r="Y81" i="318"/>
  <c r="AA81" i="318"/>
  <c r="AB81" i="318"/>
  <c r="AC81" i="318"/>
  <c r="AD81" i="318"/>
  <c r="AE81" i="318"/>
  <c r="AF81" i="318"/>
  <c r="AG81" i="318"/>
  <c r="AH81" i="318"/>
  <c r="AI81" i="318"/>
  <c r="AJ81" i="318"/>
  <c r="W82" i="318"/>
  <c r="Y82" i="318"/>
  <c r="AA82" i="318"/>
  <c r="AB82" i="318"/>
  <c r="AC82" i="318"/>
  <c r="AD82" i="318"/>
  <c r="AE82" i="318"/>
  <c r="AF82" i="318"/>
  <c r="AG82" i="318"/>
  <c r="AH82" i="318"/>
  <c r="AI82" i="318"/>
  <c r="AJ82" i="318"/>
  <c r="W83" i="318"/>
  <c r="Y83" i="318"/>
  <c r="AA83" i="318"/>
  <c r="AB83" i="318"/>
  <c r="AC83" i="318"/>
  <c r="AD83" i="318"/>
  <c r="AE83" i="318"/>
  <c r="AF83" i="318"/>
  <c r="AG83" i="318"/>
  <c r="AH83" i="318"/>
  <c r="AI83" i="318"/>
  <c r="AJ83" i="318"/>
  <c r="W84" i="318"/>
  <c r="Y84" i="318"/>
  <c r="AA84" i="318"/>
  <c r="AB84" i="318"/>
  <c r="AC84" i="318"/>
  <c r="AD84" i="318"/>
  <c r="AE84" i="318"/>
  <c r="AF84" i="318"/>
  <c r="AG84" i="318"/>
  <c r="AH84" i="318"/>
  <c r="AI84" i="318"/>
  <c r="AJ84" i="318"/>
  <c r="W85" i="318"/>
  <c r="Y85" i="318"/>
  <c r="AA85" i="318"/>
  <c r="AB85" i="318"/>
  <c r="AC85" i="318"/>
  <c r="AE85" i="318"/>
  <c r="AF85" i="318"/>
  <c r="AG85" i="318"/>
  <c r="AH85" i="318"/>
  <c r="AI85" i="318"/>
  <c r="AJ85" i="318" s="1"/>
  <c r="W86" i="318"/>
  <c r="Y86" i="318"/>
  <c r="AA86" i="318"/>
  <c r="AB86" i="318"/>
  <c r="AC86" i="318"/>
  <c r="AD86" i="318"/>
  <c r="AE86" i="318"/>
  <c r="AF86" i="318"/>
  <c r="AG86" i="318"/>
  <c r="AH86" i="318"/>
  <c r="AI86" i="318"/>
  <c r="AJ86" i="318" s="1"/>
  <c r="W87" i="318"/>
  <c r="Y87" i="318"/>
  <c r="AA87" i="318"/>
  <c r="AB87" i="318"/>
  <c r="AC87" i="318"/>
  <c r="AD87" i="318"/>
  <c r="AE87" i="318"/>
  <c r="AF87" i="318"/>
  <c r="AG87" i="318"/>
  <c r="AH87" i="318"/>
  <c r="AI87" i="318"/>
  <c r="AJ87" i="318" s="1"/>
  <c r="W88" i="318"/>
  <c r="Y88" i="318"/>
  <c r="AA88" i="318"/>
  <c r="AB88" i="318"/>
  <c r="AC88" i="318"/>
  <c r="AD88" i="318"/>
  <c r="AE88" i="318"/>
  <c r="AF88" i="318"/>
  <c r="AG88" i="318"/>
  <c r="AH88" i="318"/>
  <c r="AI88" i="318"/>
  <c r="AJ88" i="318" s="1"/>
  <c r="W89" i="318"/>
  <c r="Y89" i="318"/>
  <c r="AA89" i="318"/>
  <c r="AB89" i="318"/>
  <c r="AC89" i="318"/>
  <c r="AD89" i="318"/>
  <c r="AE89" i="318"/>
  <c r="AF89" i="318"/>
  <c r="AG89" i="318"/>
  <c r="AH89" i="318"/>
  <c r="AI89" i="318"/>
  <c r="AJ89" i="318" s="1"/>
  <c r="W90" i="318"/>
  <c r="Y90" i="318"/>
  <c r="AA90" i="318"/>
  <c r="AB90" i="318"/>
  <c r="AC90" i="318"/>
  <c r="AD90" i="318"/>
  <c r="AE90" i="318"/>
  <c r="AF90" i="318"/>
  <c r="AG90" i="318"/>
  <c r="AH90" i="318"/>
  <c r="AI90" i="318"/>
  <c r="AJ90" i="318" s="1"/>
  <c r="W91" i="318"/>
  <c r="Y91" i="318"/>
  <c r="AA91" i="318"/>
  <c r="AB91" i="318"/>
  <c r="AC91" i="318"/>
  <c r="AD91" i="318"/>
  <c r="AE91" i="318"/>
  <c r="AF91" i="318"/>
  <c r="AG91" i="318"/>
  <c r="AH91" i="318"/>
  <c r="AI91" i="318"/>
  <c r="AJ91" i="318" s="1"/>
  <c r="W92" i="318"/>
  <c r="Y92" i="318"/>
  <c r="AA92" i="318"/>
  <c r="AB92" i="318"/>
  <c r="AC92" i="318"/>
  <c r="AD92" i="318"/>
  <c r="AE92" i="318"/>
  <c r="AF92" i="318"/>
  <c r="AG92" i="318"/>
  <c r="AH92" i="318"/>
  <c r="AI92" i="318"/>
  <c r="AJ92" i="318" s="1"/>
  <c r="W93" i="318"/>
  <c r="Y93" i="318"/>
  <c r="AA93" i="318"/>
  <c r="AB93" i="318"/>
  <c r="AC93" i="318"/>
  <c r="AE93" i="318"/>
  <c r="AF93" i="318"/>
  <c r="AG93" i="318"/>
  <c r="AH93" i="318"/>
  <c r="AI93" i="318"/>
  <c r="AJ93" i="318"/>
  <c r="W94" i="318"/>
  <c r="Y94" i="318"/>
  <c r="AA94" i="318"/>
  <c r="AB94" i="318"/>
  <c r="AC94" i="318"/>
  <c r="AD94" i="318"/>
  <c r="AE94" i="318"/>
  <c r="AF94" i="318"/>
  <c r="AG94" i="318"/>
  <c r="AH94" i="318"/>
  <c r="AI94" i="318"/>
  <c r="AJ94" i="318"/>
  <c r="W95" i="318"/>
  <c r="Y95" i="318"/>
  <c r="AA95" i="318"/>
  <c r="AB95" i="318"/>
  <c r="AC95" i="318"/>
  <c r="AD95" i="318"/>
  <c r="AE95" i="318"/>
  <c r="AF95" i="318"/>
  <c r="AG95" i="318"/>
  <c r="AH95" i="318"/>
  <c r="AI95" i="318"/>
  <c r="AJ95" i="318"/>
  <c r="W96" i="318"/>
  <c r="Y96" i="318" s="1"/>
  <c r="AA96" i="318"/>
  <c r="AB96" i="318"/>
  <c r="AC96" i="318"/>
  <c r="AD96" i="318"/>
  <c r="AE96" i="318"/>
  <c r="AF96" i="318"/>
  <c r="AG96" i="318"/>
  <c r="AH96" i="318"/>
  <c r="AI96" i="318"/>
  <c r="W97" i="318"/>
  <c r="AE97" i="318" s="1"/>
  <c r="Y97" i="318"/>
  <c r="AA97" i="318"/>
  <c r="AB97" i="318"/>
  <c r="AC97" i="318"/>
  <c r="AD97" i="318"/>
  <c r="AF97" i="318"/>
  <c r="AG97" i="318"/>
  <c r="AJ97" i="318" s="1"/>
  <c r="AH97" i="318"/>
  <c r="AI97" i="318"/>
  <c r="W98" i="318"/>
  <c r="Y98" i="318"/>
  <c r="AA98" i="318"/>
  <c r="AC98" i="318"/>
  <c r="AD98" i="318"/>
  <c r="AE98" i="318"/>
  <c r="AF98" i="318"/>
  <c r="AG98" i="318"/>
  <c r="AH98" i="318"/>
  <c r="AI98" i="318"/>
  <c r="W99" i="318"/>
  <c r="Y99" i="318" s="1"/>
  <c r="AA99" i="318"/>
  <c r="AB99" i="318"/>
  <c r="AC99" i="318"/>
  <c r="AD99" i="318"/>
  <c r="AE99" i="318"/>
  <c r="AF99" i="318"/>
  <c r="AG99" i="318"/>
  <c r="AH99" i="318"/>
  <c r="AI99" i="318"/>
  <c r="W100" i="318"/>
  <c r="AE100" i="318" s="1"/>
  <c r="Y100" i="318"/>
  <c r="AA100" i="318"/>
  <c r="AB100" i="318"/>
  <c r="AC100" i="318"/>
  <c r="AD100" i="318"/>
  <c r="AF100" i="318"/>
  <c r="AG100" i="318"/>
  <c r="AJ100" i="318" s="1"/>
  <c r="AH100" i="318"/>
  <c r="AI100" i="318"/>
  <c r="W101" i="318"/>
  <c r="AE101" i="318" s="1"/>
  <c r="Y101" i="318"/>
  <c r="AA101" i="318"/>
  <c r="AB101" i="318"/>
  <c r="AC101" i="318"/>
  <c r="AD101" i="318"/>
  <c r="AF101" i="318"/>
  <c r="AG101" i="318"/>
  <c r="AH101" i="318"/>
  <c r="AI101" i="318"/>
  <c r="W102" i="318"/>
  <c r="Y102" i="318"/>
  <c r="AA102" i="318"/>
  <c r="AB102" i="318"/>
  <c r="AC102" i="318"/>
  <c r="AD102" i="318"/>
  <c r="AE102" i="318"/>
  <c r="AF102" i="318"/>
  <c r="AG102" i="318"/>
  <c r="AH102" i="318"/>
  <c r="AI102" i="318"/>
  <c r="W103" i="318"/>
  <c r="Y103" i="318" s="1"/>
  <c r="AA103" i="318"/>
  <c r="AB103" i="318"/>
  <c r="AC103" i="318"/>
  <c r="AD103" i="318"/>
  <c r="AE103" i="318"/>
  <c r="AF103" i="318"/>
  <c r="AG103" i="318"/>
  <c r="AH103" i="318"/>
  <c r="AI103" i="318"/>
  <c r="W104" i="318"/>
  <c r="AE104" i="318" s="1"/>
  <c r="Y104" i="318"/>
  <c r="AA104" i="318"/>
  <c r="AB104" i="318"/>
  <c r="AC104" i="318"/>
  <c r="AD104" i="318"/>
  <c r="AF104" i="318"/>
  <c r="AG104" i="318"/>
  <c r="AJ104" i="318" s="1"/>
  <c r="AH104" i="318"/>
  <c r="AI104" i="318"/>
  <c r="W105" i="318"/>
  <c r="Y105" i="318"/>
  <c r="AA105" i="318"/>
  <c r="AB105" i="318"/>
  <c r="AC105" i="318"/>
  <c r="AD105" i="318"/>
  <c r="AE105" i="318"/>
  <c r="AF105" i="318"/>
  <c r="AG105" i="318"/>
  <c r="AH105" i="318"/>
  <c r="AI105" i="318"/>
  <c r="W106" i="318"/>
  <c r="Y106" i="318"/>
  <c r="AA106" i="318"/>
  <c r="AB106" i="318"/>
  <c r="AC106" i="318"/>
  <c r="AD106" i="318"/>
  <c r="AE106" i="318"/>
  <c r="AF106" i="318"/>
  <c r="AG106" i="318"/>
  <c r="AH106" i="318"/>
  <c r="AI106" i="318"/>
  <c r="W107" i="318"/>
  <c r="Y107" i="318" s="1"/>
  <c r="AA107" i="318"/>
  <c r="AB107" i="318"/>
  <c r="AC107" i="318"/>
  <c r="AD107" i="318"/>
  <c r="AE107" i="318"/>
  <c r="AF107" i="318"/>
  <c r="AG107" i="318"/>
  <c r="AJ107" i="318" s="1"/>
  <c r="AH107" i="318"/>
  <c r="AI107" i="318"/>
  <c r="W108" i="318"/>
  <c r="AE108" i="318" s="1"/>
  <c r="Y108" i="318"/>
  <c r="AA108" i="318"/>
  <c r="AB108" i="318"/>
  <c r="AC108" i="318"/>
  <c r="AD108" i="318"/>
  <c r="AF108" i="318"/>
  <c r="AG108" i="318"/>
  <c r="AJ108" i="318" s="1"/>
  <c r="AH108" i="318"/>
  <c r="AI108" i="318"/>
  <c r="W109" i="318"/>
  <c r="AE109" i="318" s="1"/>
  <c r="Y109" i="318"/>
  <c r="AA109" i="318"/>
  <c r="AB109" i="318"/>
  <c r="AC109" i="318"/>
  <c r="AD109" i="318"/>
  <c r="AF109" i="318"/>
  <c r="AG109" i="318"/>
  <c r="AH109" i="318"/>
  <c r="AI109" i="318"/>
  <c r="W110" i="318"/>
  <c r="Y110" i="318"/>
  <c r="AA110" i="318"/>
  <c r="AB110" i="318"/>
  <c r="AC110" i="318"/>
  <c r="AD110" i="318"/>
  <c r="AE110" i="318"/>
  <c r="AF110" i="318"/>
  <c r="AG110" i="318"/>
  <c r="AH110" i="318"/>
  <c r="AI110" i="318"/>
  <c r="W111" i="318"/>
  <c r="Y111" i="318" s="1"/>
  <c r="AA111" i="318"/>
  <c r="AB111" i="318"/>
  <c r="AC111" i="318"/>
  <c r="AD111" i="318"/>
  <c r="AE111" i="318"/>
  <c r="AF111" i="318"/>
  <c r="AG111" i="318"/>
  <c r="AH111" i="318"/>
  <c r="AI111" i="318"/>
  <c r="W112" i="318"/>
  <c r="AE112" i="318" s="1"/>
  <c r="Y112" i="318"/>
  <c r="AA112" i="318"/>
  <c r="AB112" i="318"/>
  <c r="AC112" i="318"/>
  <c r="AD112" i="318"/>
  <c r="AF112" i="318"/>
  <c r="AG112" i="318"/>
  <c r="AH112" i="318"/>
  <c r="AI112" i="318"/>
  <c r="W113" i="318"/>
  <c r="Y113" i="318"/>
  <c r="AA113" i="318"/>
  <c r="AB113" i="318"/>
  <c r="AC113" i="318"/>
  <c r="AD113" i="318"/>
  <c r="AE113" i="318"/>
  <c r="AF113" i="318"/>
  <c r="AG113" i="318"/>
  <c r="AH113" i="318"/>
  <c r="AI113" i="318"/>
  <c r="W114" i="318"/>
  <c r="Y114" i="318"/>
  <c r="AA114" i="318"/>
  <c r="AB114" i="318"/>
  <c r="AC114" i="318"/>
  <c r="AD114" i="318"/>
  <c r="AE114" i="318"/>
  <c r="AF114" i="318"/>
  <c r="AG114" i="318"/>
  <c r="AH114" i="318"/>
  <c r="AI114" i="318"/>
  <c r="W115" i="318"/>
  <c r="AA115" i="318"/>
  <c r="AB115" i="318"/>
  <c r="AC115" i="318"/>
  <c r="AD115" i="318"/>
  <c r="AF115" i="318"/>
  <c r="AG115" i="318"/>
  <c r="AJ115" i="318" s="1"/>
  <c r="AH115" i="318"/>
  <c r="AI115" i="318"/>
  <c r="W116" i="318"/>
  <c r="AE116" i="318" s="1"/>
  <c r="Y116" i="318"/>
  <c r="AA116" i="318"/>
  <c r="AB116" i="318"/>
  <c r="AC116" i="318"/>
  <c r="AD116" i="318"/>
  <c r="AF116" i="318"/>
  <c r="AG116" i="318"/>
  <c r="AJ116" i="318" s="1"/>
  <c r="AH116" i="318"/>
  <c r="AI116" i="318"/>
  <c r="W117" i="318"/>
  <c r="AA117" i="318"/>
  <c r="AB117" i="318"/>
  <c r="AC117" i="318"/>
  <c r="AD117" i="318"/>
  <c r="AF117" i="318"/>
  <c r="AG117" i="318"/>
  <c r="AH117" i="318"/>
  <c r="AI117" i="318"/>
  <c r="W118" i="318"/>
  <c r="Y118" i="318"/>
  <c r="AA118" i="318"/>
  <c r="AB118" i="318"/>
  <c r="AC118" i="318"/>
  <c r="AD118" i="318"/>
  <c r="AE118" i="318"/>
  <c r="AF118" i="318"/>
  <c r="AG118" i="318"/>
  <c r="AH118" i="318"/>
  <c r="AI118" i="318"/>
  <c r="W119" i="318"/>
  <c r="Y119" i="318" s="1"/>
  <c r="AA119" i="318"/>
  <c r="AB119" i="318"/>
  <c r="AC119" i="318"/>
  <c r="AD119" i="318"/>
  <c r="AE119" i="318"/>
  <c r="AF119" i="318"/>
  <c r="AG119" i="318"/>
  <c r="AJ119" i="318" s="1"/>
  <c r="AH119" i="318"/>
  <c r="AI119" i="318"/>
  <c r="W120" i="318"/>
  <c r="AE120" i="318" s="1"/>
  <c r="Y120" i="318"/>
  <c r="AA120" i="318"/>
  <c r="AB120" i="318"/>
  <c r="AC120" i="318"/>
  <c r="AD120" i="318"/>
  <c r="AF120" i="318"/>
  <c r="AG120" i="318"/>
  <c r="AH120" i="318"/>
  <c r="AI120" i="318"/>
  <c r="W121" i="318"/>
  <c r="Y121" i="318"/>
  <c r="AA121" i="318"/>
  <c r="AB121" i="318"/>
  <c r="AC121" i="318"/>
  <c r="AD121" i="318"/>
  <c r="AE121" i="318"/>
  <c r="AF121" i="318"/>
  <c r="AG121" i="318"/>
  <c r="AH121" i="318"/>
  <c r="AI121" i="318"/>
  <c r="W122" i="318"/>
  <c r="Y122" i="318"/>
  <c r="AA122" i="318"/>
  <c r="AB122" i="318"/>
  <c r="AC122" i="318"/>
  <c r="AD122" i="318"/>
  <c r="AE122" i="318"/>
  <c r="AF122" i="318"/>
  <c r="AG122" i="318"/>
  <c r="AH122" i="318"/>
  <c r="AI122" i="318"/>
  <c r="W123" i="318"/>
  <c r="Y123" i="318" s="1"/>
  <c r="AA123" i="318"/>
  <c r="AB123" i="318"/>
  <c r="AC123" i="318"/>
  <c r="AD123" i="318"/>
  <c r="AE123" i="318"/>
  <c r="AF123" i="318"/>
  <c r="AG123" i="318"/>
  <c r="AH123" i="318"/>
  <c r="AI123" i="318"/>
  <c r="W124" i="318"/>
  <c r="AE124" i="318" s="1"/>
  <c r="Y124" i="318"/>
  <c r="AA124" i="318"/>
  <c r="AB124" i="318"/>
  <c r="AC124" i="318"/>
  <c r="AD124" i="318"/>
  <c r="AF124" i="318"/>
  <c r="AG124" i="318"/>
  <c r="AJ124" i="318" s="1"/>
  <c r="AH124" i="318"/>
  <c r="AI124" i="318"/>
  <c r="W125" i="318"/>
  <c r="AE125" i="318" s="1"/>
  <c r="Y125" i="318"/>
  <c r="AA125" i="318"/>
  <c r="AB125" i="318"/>
  <c r="AC125" i="318"/>
  <c r="AD125" i="318"/>
  <c r="AF125" i="318"/>
  <c r="AG125" i="318"/>
  <c r="AH125" i="318"/>
  <c r="AI125" i="318"/>
  <c r="W126" i="318"/>
  <c r="Y126" i="318"/>
  <c r="AA126" i="318"/>
  <c r="AB126" i="318"/>
  <c r="AC126" i="318"/>
  <c r="AD126" i="318"/>
  <c r="AE126" i="318"/>
  <c r="AF126" i="318"/>
  <c r="AG126" i="318"/>
  <c r="AH126" i="318"/>
  <c r="AI126" i="318"/>
  <c r="W127" i="318"/>
  <c r="Y127" i="318" s="1"/>
  <c r="AA127" i="318"/>
  <c r="AB127" i="318"/>
  <c r="AC127" i="318"/>
  <c r="AD127" i="318"/>
  <c r="AE127" i="318"/>
  <c r="AF127" i="318"/>
  <c r="AG127" i="318"/>
  <c r="AJ127" i="318" s="1"/>
  <c r="AH127" i="318"/>
  <c r="AI127" i="318"/>
  <c r="W128" i="318"/>
  <c r="AE128" i="318" s="1"/>
  <c r="Y128" i="318"/>
  <c r="AA128" i="318"/>
  <c r="AB128" i="318"/>
  <c r="AC128" i="318"/>
  <c r="AD128" i="318"/>
  <c r="AF128" i="318"/>
  <c r="AG128" i="318"/>
  <c r="AJ128" i="318" s="1"/>
  <c r="AH128" i="318"/>
  <c r="AI128" i="318"/>
  <c r="W129" i="318"/>
  <c r="Y129" i="318"/>
  <c r="AA129" i="318"/>
  <c r="AB129" i="318"/>
  <c r="AC129" i="318"/>
  <c r="AD129" i="318"/>
  <c r="AE129" i="318"/>
  <c r="AF129" i="318"/>
  <c r="AG129" i="318"/>
  <c r="AH129" i="318"/>
  <c r="AI129" i="318"/>
  <c r="W130" i="318"/>
  <c r="Y130" i="318"/>
  <c r="AA130" i="318"/>
  <c r="AB130" i="318"/>
  <c r="AC130" i="318"/>
  <c r="AD130" i="318"/>
  <c r="AE130" i="318"/>
  <c r="AF130" i="318"/>
  <c r="AG130" i="318"/>
  <c r="AH130" i="318"/>
  <c r="AI130" i="318"/>
  <c r="W131" i="318"/>
  <c r="Y131" i="318" s="1"/>
  <c r="AA131" i="318"/>
  <c r="AB131" i="318"/>
  <c r="AC131" i="318"/>
  <c r="AD131" i="318"/>
  <c r="AE131" i="318"/>
  <c r="AF131" i="318"/>
  <c r="AG131" i="318"/>
  <c r="AH131" i="318"/>
  <c r="AI131" i="318"/>
  <c r="W132" i="318"/>
  <c r="AE132" i="318" s="1"/>
  <c r="Y132" i="318"/>
  <c r="AA132" i="318"/>
  <c r="AB132" i="318"/>
  <c r="AC132" i="318"/>
  <c r="AD132" i="318"/>
  <c r="AF132" i="318"/>
  <c r="AG132" i="318"/>
  <c r="AJ132" i="318" s="1"/>
  <c r="AH132" i="318"/>
  <c r="AI132" i="318"/>
  <c r="W133" i="318"/>
  <c r="AE133" i="318" s="1"/>
  <c r="Y133" i="318"/>
  <c r="AA133" i="318"/>
  <c r="AB133" i="318"/>
  <c r="AC133" i="318"/>
  <c r="AD133" i="318"/>
  <c r="AF133" i="318"/>
  <c r="AG133" i="318"/>
  <c r="AJ133" i="318" s="1"/>
  <c r="AH133" i="318"/>
  <c r="AI133" i="318"/>
  <c r="W134" i="318"/>
  <c r="Y134" i="318"/>
  <c r="AA134" i="318"/>
  <c r="AB134" i="318"/>
  <c r="AC134" i="318"/>
  <c r="AD134" i="318"/>
  <c r="AE134" i="318"/>
  <c r="AF134" i="318"/>
  <c r="AG134" i="318"/>
  <c r="AH134" i="318"/>
  <c r="AI134" i="318"/>
  <c r="W135" i="318"/>
  <c r="AE135" i="318" s="1"/>
  <c r="Y135" i="318"/>
  <c r="AA135" i="318"/>
  <c r="AB135" i="318"/>
  <c r="AC135" i="318"/>
  <c r="AD135" i="318"/>
  <c r="AF135" i="318"/>
  <c r="AG135" i="318"/>
  <c r="AH135" i="318"/>
  <c r="AI135" i="318"/>
  <c r="AJ135" i="318"/>
  <c r="W136" i="318"/>
  <c r="AA136" i="318"/>
  <c r="AB136" i="318"/>
  <c r="AC136" i="318"/>
  <c r="AD136" i="318"/>
  <c r="AF136" i="318"/>
  <c r="AG136" i="318"/>
  <c r="AJ136" i="318" s="1"/>
  <c r="AH136" i="318"/>
  <c r="AI136" i="318"/>
  <c r="W137" i="318"/>
  <c r="AA137" i="318"/>
  <c r="AB137" i="318"/>
  <c r="AC137" i="318"/>
  <c r="AD137" i="318"/>
  <c r="AF137" i="318"/>
  <c r="AG137" i="318"/>
  <c r="AH137" i="318"/>
  <c r="AI137" i="318"/>
  <c r="W138" i="318"/>
  <c r="AE138" i="318" s="1"/>
  <c r="Y138" i="318"/>
  <c r="AB138" i="318"/>
  <c r="AC138" i="318"/>
  <c r="AD138" i="318"/>
  <c r="AF138" i="318"/>
  <c r="AG138" i="318"/>
  <c r="AJ138" i="318" s="1"/>
  <c r="AH138" i="318"/>
  <c r="AI138" i="318"/>
  <c r="W139" i="318"/>
  <c r="AA139" i="318"/>
  <c r="AB139" i="318"/>
  <c r="AC139" i="318"/>
  <c r="AD139" i="318"/>
  <c r="AF139" i="318"/>
  <c r="AG139" i="318"/>
  <c r="AH139" i="318"/>
  <c r="AJ139" i="318" s="1"/>
  <c r="AI139" i="318"/>
  <c r="W140" i="318"/>
  <c r="AE140" i="318" s="1"/>
  <c r="Y140" i="318"/>
  <c r="AB140" i="318"/>
  <c r="AC140" i="318"/>
  <c r="AD140" i="318"/>
  <c r="AF140" i="318"/>
  <c r="AG140" i="318"/>
  <c r="AH140" i="318"/>
  <c r="AI140" i="318"/>
  <c r="AJ140" i="318"/>
  <c r="W141" i="318"/>
  <c r="AE141" i="318" s="1"/>
  <c r="Y141" i="318"/>
  <c r="AA141" i="318"/>
  <c r="AB141" i="318"/>
  <c r="AD141" i="318"/>
  <c r="AF141" i="318"/>
  <c r="AG141" i="318"/>
  <c r="AH141" i="318"/>
  <c r="AI141" i="318"/>
  <c r="AJ141" i="318"/>
  <c r="W142" i="318"/>
  <c r="AA142" i="318"/>
  <c r="AB142" i="318"/>
  <c r="AC142" i="318"/>
  <c r="AD142" i="318"/>
  <c r="AF142" i="318"/>
  <c r="AG142" i="318"/>
  <c r="AJ142" i="318" s="1"/>
  <c r="AH142" i="318"/>
  <c r="AI142" i="318"/>
  <c r="W143" i="318"/>
  <c r="AA143" i="318"/>
  <c r="AB143" i="318"/>
  <c r="AC143" i="318"/>
  <c r="AD143" i="318"/>
  <c r="AF143" i="318"/>
  <c r="AG143" i="318"/>
  <c r="AH143" i="318"/>
  <c r="AI143" i="318"/>
  <c r="W144" i="318"/>
  <c r="AE144" i="318" s="1"/>
  <c r="Y144" i="318"/>
  <c r="AA144" i="318"/>
  <c r="AB144" i="318"/>
  <c r="AC144" i="318"/>
  <c r="AD144" i="318"/>
  <c r="AF144" i="318"/>
  <c r="AG144" i="318"/>
  <c r="AH144" i="318"/>
  <c r="AI144" i="318"/>
  <c r="AJ144" i="318"/>
  <c r="W145" i="318"/>
  <c r="AE145" i="318" s="1"/>
  <c r="Y145" i="318"/>
  <c r="AA145" i="318"/>
  <c r="AB145" i="318"/>
  <c r="AC145" i="318"/>
  <c r="AD145" i="318"/>
  <c r="AF145" i="318"/>
  <c r="AG145" i="318"/>
  <c r="AJ145" i="318" s="1"/>
  <c r="AH145" i="318"/>
  <c r="AI145" i="318"/>
  <c r="W146" i="318"/>
  <c r="AB146" i="318"/>
  <c r="AC146" i="318"/>
  <c r="AD146" i="318"/>
  <c r="AF146" i="318"/>
  <c r="AG146" i="318"/>
  <c r="AJ146" i="318" s="1"/>
  <c r="AH146" i="318"/>
  <c r="AI146" i="318"/>
  <c r="W147" i="318"/>
  <c r="AA147" i="318"/>
  <c r="AB147" i="318"/>
  <c r="AC147" i="318"/>
  <c r="AD147" i="318"/>
  <c r="AF147" i="318"/>
  <c r="AG147" i="318"/>
  <c r="AH147" i="318"/>
  <c r="AJ147" i="318" s="1"/>
  <c r="AI147" i="318"/>
  <c r="W148" i="318"/>
  <c r="AE148" i="318" s="1"/>
  <c r="Y148" i="318"/>
  <c r="AA148" i="318"/>
  <c r="AB148" i="318"/>
  <c r="AC148" i="318"/>
  <c r="AD148" i="318"/>
  <c r="AF148" i="318"/>
  <c r="AG148" i="318"/>
  <c r="AH148" i="318"/>
  <c r="AI148" i="318"/>
  <c r="AJ148" i="318"/>
  <c r="W149" i="318"/>
  <c r="AA149" i="318"/>
  <c r="AB149" i="318"/>
  <c r="AC149" i="318"/>
  <c r="AD149" i="318"/>
  <c r="AF149" i="318"/>
  <c r="AG149" i="318"/>
  <c r="AJ149" i="318" s="1"/>
  <c r="AH149" i="318"/>
  <c r="AI149" i="318"/>
  <c r="W150" i="318"/>
  <c r="AE150" i="318" s="1"/>
  <c r="Y150" i="318"/>
  <c r="AA150" i="318"/>
  <c r="AB150" i="318"/>
  <c r="AC150" i="318"/>
  <c r="AD150" i="318"/>
  <c r="AF150" i="318"/>
  <c r="AG150" i="318"/>
  <c r="AH150" i="318"/>
  <c r="AI150" i="318"/>
  <c r="W151" i="318"/>
  <c r="AE151" i="318" s="1"/>
  <c r="Y151" i="318"/>
  <c r="AA151" i="318"/>
  <c r="AB151" i="318"/>
  <c r="AC151" i="318"/>
  <c r="AD151" i="318"/>
  <c r="AF151" i="318"/>
  <c r="AG151" i="318"/>
  <c r="AH151" i="318"/>
  <c r="AI151" i="318"/>
  <c r="AJ151" i="318"/>
  <c r="W152" i="318"/>
  <c r="AE152" i="318" s="1"/>
  <c r="Y152" i="318"/>
  <c r="AA152" i="318"/>
  <c r="AB152" i="318"/>
  <c r="AC152" i="318"/>
  <c r="AD152" i="318"/>
  <c r="AF152" i="318"/>
  <c r="AG152" i="318"/>
  <c r="AJ152" i="318" s="1"/>
  <c r="AH152" i="318"/>
  <c r="AI152" i="318"/>
  <c r="W153" i="318"/>
  <c r="AA153" i="318"/>
  <c r="AB153" i="318"/>
  <c r="AC153" i="318"/>
  <c r="AD153" i="318"/>
  <c r="AF153" i="318"/>
  <c r="AG153" i="318"/>
  <c r="AH153" i="318"/>
  <c r="AI153" i="318"/>
  <c r="AJ153" i="318"/>
  <c r="W154" i="318"/>
  <c r="AE154" i="318" s="1"/>
  <c r="Y154" i="318"/>
  <c r="AA154" i="318"/>
  <c r="AB154" i="318"/>
  <c r="AC154" i="318"/>
  <c r="AD154" i="318"/>
  <c r="AF154" i="318"/>
  <c r="AG154" i="318"/>
  <c r="AJ154" i="318" s="1"/>
  <c r="AH154" i="318"/>
  <c r="AI154" i="318"/>
  <c r="W155" i="318"/>
  <c r="AE155" i="318" s="1"/>
  <c r="Y155" i="318"/>
  <c r="AA155" i="318"/>
  <c r="AB155" i="318"/>
  <c r="AC155" i="318"/>
  <c r="AD155" i="318"/>
  <c r="AF155" i="318"/>
  <c r="AG155" i="318"/>
  <c r="AH155" i="318"/>
  <c r="AJ155" i="318" s="1"/>
  <c r="AI155" i="318"/>
  <c r="W156" i="318"/>
  <c r="AE156" i="318" s="1"/>
  <c r="Y156" i="318"/>
  <c r="AA156" i="318"/>
  <c r="AB156" i="318"/>
  <c r="AC156" i="318"/>
  <c r="AD156" i="318"/>
  <c r="AF156" i="318"/>
  <c r="AG156" i="318"/>
  <c r="AH156" i="318"/>
  <c r="AI156" i="318"/>
  <c r="AJ156" i="318"/>
  <c r="W157" i="318"/>
  <c r="AA157" i="318"/>
  <c r="AB157" i="318"/>
  <c r="AC157" i="318"/>
  <c r="AD157" i="318"/>
  <c r="AF157" i="318"/>
  <c r="AG157" i="318"/>
  <c r="AH157" i="318"/>
  <c r="AJ157" i="318" s="1"/>
  <c r="AI157" i="318"/>
  <c r="W158" i="318"/>
  <c r="AE158" i="318" s="1"/>
  <c r="Y158" i="318"/>
  <c r="AA158" i="318"/>
  <c r="AB158" i="318"/>
  <c r="AC158" i="318"/>
  <c r="AD158" i="318"/>
  <c r="AF158" i="318"/>
  <c r="AG158" i="318"/>
  <c r="AJ158" i="318" s="1"/>
  <c r="AH158" i="318"/>
  <c r="AI158" i="318"/>
  <c r="W159" i="318"/>
  <c r="AE159" i="318" s="1"/>
  <c r="Y159" i="318"/>
  <c r="AA159" i="318"/>
  <c r="AB159" i="318"/>
  <c r="AC159" i="318"/>
  <c r="AD159" i="318"/>
  <c r="AF159" i="318"/>
  <c r="AG159" i="318"/>
  <c r="AH159" i="318"/>
  <c r="AI159" i="318"/>
  <c r="AJ159" i="318"/>
  <c r="W160" i="318"/>
  <c r="AE160" i="318" s="1"/>
  <c r="Y160" i="318"/>
  <c r="AA160" i="318"/>
  <c r="AB160" i="318"/>
  <c r="AC160" i="318"/>
  <c r="AD160" i="318"/>
  <c r="AF160" i="318"/>
  <c r="AG160" i="318"/>
  <c r="AH160" i="318"/>
  <c r="AI160" i="318"/>
  <c r="AJ160" i="318"/>
  <c r="W161" i="318"/>
  <c r="AA161" i="318"/>
  <c r="AB161" i="318"/>
  <c r="AC161" i="318"/>
  <c r="AD161" i="318"/>
  <c r="AF161" i="318"/>
  <c r="AG161" i="318"/>
  <c r="AH161" i="318"/>
  <c r="AI161" i="318"/>
  <c r="AJ161" i="318"/>
  <c r="W162" i="318"/>
  <c r="AE162" i="318" s="1"/>
  <c r="Y162" i="318"/>
  <c r="AA162" i="318"/>
  <c r="AB162" i="318"/>
  <c r="AC162" i="318"/>
  <c r="AD162" i="318"/>
  <c r="AF162" i="318"/>
  <c r="AG162" i="318"/>
  <c r="AJ162" i="318" s="1"/>
  <c r="AH162" i="318"/>
  <c r="AI162" i="318"/>
  <c r="W163" i="318"/>
  <c r="AE163" i="318" s="1"/>
  <c r="Y163" i="318"/>
  <c r="AA163" i="318"/>
  <c r="AB163" i="318"/>
  <c r="AC163" i="318"/>
  <c r="AD163" i="318"/>
  <c r="AF163" i="318"/>
  <c r="AG163" i="318"/>
  <c r="AH163" i="318"/>
  <c r="AJ163" i="318" s="1"/>
  <c r="AI163" i="318"/>
  <c r="W164" i="318"/>
  <c r="AE164" i="318" s="1"/>
  <c r="Y164" i="318"/>
  <c r="AA164" i="318"/>
  <c r="AB164" i="318"/>
  <c r="AC164" i="318"/>
  <c r="AD164" i="318"/>
  <c r="AF164" i="318"/>
  <c r="AG164" i="318"/>
  <c r="AH164" i="318"/>
  <c r="AI164" i="318"/>
  <c r="AJ164" i="318"/>
  <c r="W165" i="318"/>
  <c r="AA165" i="318"/>
  <c r="AB165" i="318"/>
  <c r="AC165" i="318"/>
  <c r="AD165" i="318"/>
  <c r="AF165" i="318"/>
  <c r="AG165" i="318"/>
  <c r="AH165" i="318"/>
  <c r="AI165" i="318"/>
  <c r="AJ165" i="318"/>
  <c r="W166" i="318"/>
  <c r="AE166" i="318" s="1"/>
  <c r="AA166" i="318"/>
  <c r="AB166" i="318"/>
  <c r="AC166" i="318"/>
  <c r="AD166" i="318"/>
  <c r="AF166" i="318"/>
  <c r="AG166" i="318"/>
  <c r="AJ166" i="318" s="1"/>
  <c r="AH166" i="318"/>
  <c r="AI166" i="318"/>
  <c r="W167" i="318"/>
  <c r="AE167" i="318" s="1"/>
  <c r="Y167" i="318"/>
  <c r="AA167" i="318"/>
  <c r="AB167" i="318"/>
  <c r="AC167" i="318"/>
  <c r="AD167" i="318"/>
  <c r="AF167" i="318"/>
  <c r="AG167" i="318"/>
  <c r="AH167" i="318"/>
  <c r="AI167" i="318"/>
  <c r="AJ167" i="318"/>
  <c r="W168" i="318"/>
  <c r="AE168" i="318" s="1"/>
  <c r="Y168" i="318"/>
  <c r="AA168" i="318"/>
  <c r="AB168" i="318"/>
  <c r="AC168" i="318"/>
  <c r="AD168" i="318"/>
  <c r="AF168" i="318"/>
  <c r="AG168" i="318"/>
  <c r="AH168" i="318"/>
  <c r="AI168" i="318"/>
  <c r="AJ168" i="318"/>
  <c r="W169" i="318"/>
  <c r="AA169" i="318"/>
  <c r="AB169" i="318"/>
  <c r="AC169" i="318"/>
  <c r="AD169" i="318"/>
  <c r="AF169" i="318"/>
  <c r="AG169" i="318"/>
  <c r="AH169" i="318"/>
  <c r="AJ169" i="318" s="1"/>
  <c r="AI169" i="318"/>
  <c r="W170" i="318"/>
  <c r="AE170" i="318" s="1"/>
  <c r="Y170" i="318"/>
  <c r="AA170" i="318"/>
  <c r="AB170" i="318"/>
  <c r="AC170" i="318"/>
  <c r="AD170" i="318"/>
  <c r="AF170" i="318"/>
  <c r="AG170" i="318"/>
  <c r="AJ170" i="318" s="1"/>
  <c r="AH170" i="318"/>
  <c r="AI170" i="318"/>
  <c r="W171" i="318"/>
  <c r="AE171" i="318" s="1"/>
  <c r="AA171" i="318"/>
  <c r="AB171" i="318"/>
  <c r="AC171" i="318"/>
  <c r="AD171" i="318"/>
  <c r="AF171" i="318"/>
  <c r="AG171" i="318"/>
  <c r="AH171" i="318"/>
  <c r="AJ171" i="318" s="1"/>
  <c r="AI171" i="318"/>
  <c r="W172" i="318"/>
  <c r="AE172" i="318" s="1"/>
  <c r="Y172" i="318"/>
  <c r="AA172" i="318"/>
  <c r="AB172" i="318"/>
  <c r="AC172" i="318"/>
  <c r="AD172" i="318"/>
  <c r="AF172" i="318"/>
  <c r="AG172" i="318"/>
  <c r="AH172" i="318"/>
  <c r="AI172" i="318"/>
  <c r="AJ172" i="318"/>
  <c r="W173" i="318"/>
  <c r="AA173" i="318"/>
  <c r="AB173" i="318"/>
  <c r="AC173" i="318"/>
  <c r="AD173" i="318"/>
  <c r="AF173" i="318"/>
  <c r="AG173" i="318"/>
  <c r="AJ173" i="318" s="1"/>
  <c r="AH173" i="318"/>
  <c r="AI173" i="318"/>
  <c r="W174" i="318"/>
  <c r="AA174" i="318"/>
  <c r="AB174" i="318"/>
  <c r="AC174" i="318"/>
  <c r="AD174" i="318"/>
  <c r="AF174" i="318"/>
  <c r="AG174" i="318"/>
  <c r="AH174" i="318"/>
  <c r="AI174" i="318"/>
  <c r="W175" i="318"/>
  <c r="AE175" i="318" s="1"/>
  <c r="Y175" i="318"/>
  <c r="AA175" i="318"/>
  <c r="AB175" i="318"/>
  <c r="AC175" i="318"/>
  <c r="AD175" i="318"/>
  <c r="AF175" i="318"/>
  <c r="AG175" i="318"/>
  <c r="AH175" i="318"/>
  <c r="AI175" i="318"/>
  <c r="AJ175" i="318"/>
  <c r="C177" i="318"/>
  <c r="D177" i="318"/>
  <c r="E177" i="318"/>
  <c r="F177" i="318"/>
  <c r="G177" i="318"/>
  <c r="H177" i="318"/>
  <c r="I177" i="318"/>
  <c r="J177" i="318"/>
  <c r="K177" i="318"/>
  <c r="L177" i="318"/>
  <c r="M177" i="318"/>
  <c r="N177" i="318"/>
  <c r="O177" i="318"/>
  <c r="P177" i="318"/>
  <c r="Q177" i="318"/>
  <c r="R177" i="318"/>
  <c r="S177" i="318"/>
  <c r="T177" i="318"/>
  <c r="U177" i="318"/>
  <c r="V177" i="318"/>
  <c r="X177" i="318"/>
  <c r="Z177" i="318"/>
  <c r="AD177" i="318"/>
  <c r="AI177" i="318"/>
  <c r="W178" i="318"/>
  <c r="AE178" i="318" s="1"/>
  <c r="Y178" i="318"/>
  <c r="AA178" i="318"/>
  <c r="AB178" i="318"/>
  <c r="AC178" i="318"/>
  <c r="AD178" i="318"/>
  <c r="AF178" i="318"/>
  <c r="AG178" i="318"/>
  <c r="AH178" i="318"/>
  <c r="AU178" i="318"/>
  <c r="W179" i="318"/>
  <c r="AE179" i="318" s="1"/>
  <c r="Y179" i="318"/>
  <c r="AA179" i="318"/>
  <c r="AB179" i="318"/>
  <c r="AC179" i="318"/>
  <c r="AD179" i="318"/>
  <c r="AF179" i="318"/>
  <c r="AG179" i="318"/>
  <c r="AH179" i="318"/>
  <c r="AU179" i="318"/>
  <c r="AU177" i="318" s="1"/>
  <c r="W180" i="318"/>
  <c r="AE180" i="318" s="1"/>
  <c r="Y180" i="318"/>
  <c r="AA180" i="318"/>
  <c r="AB180" i="318"/>
  <c r="AC180" i="318"/>
  <c r="AD180" i="318"/>
  <c r="AF180" i="318"/>
  <c r="AG180" i="318"/>
  <c r="AH180" i="318"/>
  <c r="AU180" i="318"/>
  <c r="W181" i="318"/>
  <c r="AE181" i="318" s="1"/>
  <c r="Y181" i="318"/>
  <c r="AA181" i="318"/>
  <c r="AB181" i="318"/>
  <c r="AC181" i="318"/>
  <c r="AD181" i="318"/>
  <c r="AF181" i="318"/>
  <c r="AG181" i="318"/>
  <c r="AH181" i="318"/>
  <c r="AU181" i="318"/>
  <c r="W182" i="318"/>
  <c r="AE182" i="318" s="1"/>
  <c r="Y182" i="318"/>
  <c r="AB182" i="318"/>
  <c r="AC182" i="318"/>
  <c r="AD182" i="318"/>
  <c r="AF182" i="318"/>
  <c r="AG182" i="318"/>
  <c r="AH182" i="318"/>
  <c r="AU182" i="318"/>
  <c r="W183" i="318"/>
  <c r="AE183" i="318" s="1"/>
  <c r="Y183" i="318"/>
  <c r="AA183" i="318"/>
  <c r="AB183" i="318"/>
  <c r="AC183" i="318"/>
  <c r="AD183" i="318"/>
  <c r="AF183" i="318"/>
  <c r="AJ183" i="318" s="1"/>
  <c r="AG183" i="318"/>
  <c r="AH183" i="318"/>
  <c r="AU183" i="318"/>
  <c r="W184" i="318"/>
  <c r="AA184" i="318"/>
  <c r="AB184" i="318"/>
  <c r="AC184" i="318"/>
  <c r="AD184" i="318"/>
  <c r="AF184" i="318"/>
  <c r="AG184" i="318"/>
  <c r="AH184" i="318"/>
  <c r="AU184" i="318"/>
  <c r="W185" i="318"/>
  <c r="AE185" i="318" s="1"/>
  <c r="Y185" i="318"/>
  <c r="AA185" i="318"/>
  <c r="AB185" i="318"/>
  <c r="AC185" i="318"/>
  <c r="AD185" i="318"/>
  <c r="AF185" i="318"/>
  <c r="AJ185" i="318" s="1"/>
  <c r="AG185" i="318"/>
  <c r="AH185" i="318"/>
  <c r="AU185" i="318"/>
  <c r="W186" i="318"/>
  <c r="AA186" i="318"/>
  <c r="AB186" i="318"/>
  <c r="AC186" i="318"/>
  <c r="AD186" i="318"/>
  <c r="AF186" i="318"/>
  <c r="AJ186" i="318" s="1"/>
  <c r="AG186" i="318"/>
  <c r="AH186" i="318"/>
  <c r="AU186" i="318"/>
  <c r="W187" i="318"/>
  <c r="AA187" i="318"/>
  <c r="AB187" i="318"/>
  <c r="AC187" i="318"/>
  <c r="AD187" i="318"/>
  <c r="AF187" i="318"/>
  <c r="AG187" i="318"/>
  <c r="AH187" i="318"/>
  <c r="AU187" i="318"/>
  <c r="W188" i="318"/>
  <c r="AA188" i="318"/>
  <c r="AB188" i="318"/>
  <c r="AC188" i="318"/>
  <c r="AD188" i="318"/>
  <c r="AF188" i="318"/>
  <c r="AG188" i="318"/>
  <c r="AH188" i="318"/>
  <c r="AU188" i="318"/>
  <c r="W189" i="318"/>
  <c r="AE189" i="318" s="1"/>
  <c r="Y189" i="318"/>
  <c r="AA189" i="318"/>
  <c r="AB189" i="318"/>
  <c r="AC189" i="318"/>
  <c r="AD189" i="318"/>
  <c r="AF189" i="318"/>
  <c r="AG189" i="318"/>
  <c r="AH189" i="318"/>
  <c r="AU189" i="318"/>
  <c r="W190" i="318"/>
  <c r="AB190" i="318"/>
  <c r="AC190" i="318"/>
  <c r="AD190" i="318"/>
  <c r="AF190" i="318"/>
  <c r="AG190" i="318"/>
  <c r="AH190" i="318"/>
  <c r="AU190" i="318"/>
  <c r="W191" i="318"/>
  <c r="AE191" i="318" s="1"/>
  <c r="Y191" i="318"/>
  <c r="AA191" i="318"/>
  <c r="AB191" i="318"/>
  <c r="AC191" i="318"/>
  <c r="AD191" i="318"/>
  <c r="AF191" i="318"/>
  <c r="AG191" i="318"/>
  <c r="AH191" i="318"/>
  <c r="AU191" i="318"/>
  <c r="W192" i="318"/>
  <c r="AE192" i="318" s="1"/>
  <c r="Y192" i="318"/>
  <c r="AA192" i="318"/>
  <c r="AB192" i="318"/>
  <c r="AC192" i="318"/>
  <c r="AD192" i="318"/>
  <c r="AF192" i="318"/>
  <c r="AG192" i="318"/>
  <c r="AH192" i="318"/>
  <c r="AU192" i="318"/>
  <c r="W193" i="318"/>
  <c r="AE193" i="318" s="1"/>
  <c r="Y193" i="318"/>
  <c r="AA193" i="318"/>
  <c r="AB193" i="318"/>
  <c r="AC193" i="318"/>
  <c r="AD193" i="318"/>
  <c r="AF193" i="318"/>
  <c r="AG193" i="318"/>
  <c r="AH193" i="318"/>
  <c r="AU193" i="318"/>
  <c r="W194" i="318"/>
  <c r="AE194" i="318" s="1"/>
  <c r="Y194" i="318"/>
  <c r="AA194" i="318"/>
  <c r="AB194" i="318"/>
  <c r="AC194" i="318"/>
  <c r="AD194" i="318"/>
  <c r="AF194" i="318"/>
  <c r="AG194" i="318"/>
  <c r="AH194" i="318"/>
  <c r="AU194" i="318"/>
  <c r="W195" i="318"/>
  <c r="AE195" i="318" s="1"/>
  <c r="Y195" i="318"/>
  <c r="AA195" i="318"/>
  <c r="AB195" i="318"/>
  <c r="AC195" i="318"/>
  <c r="AD195" i="318"/>
  <c r="AF195" i="318"/>
  <c r="AG195" i="318"/>
  <c r="AH195" i="318"/>
  <c r="AU195" i="318"/>
  <c r="W196" i="318"/>
  <c r="AE196" i="318" s="1"/>
  <c r="Y196" i="318"/>
  <c r="AA196" i="318"/>
  <c r="AB196" i="318"/>
  <c r="AC196" i="318"/>
  <c r="AD196" i="318"/>
  <c r="AF196" i="318"/>
  <c r="AG196" i="318"/>
  <c r="AH196" i="318"/>
  <c r="AU196" i="318"/>
  <c r="W197" i="318"/>
  <c r="AE197" i="318" s="1"/>
  <c r="Y197" i="318"/>
  <c r="AA197" i="318"/>
  <c r="AB197" i="318"/>
  <c r="AC197" i="318"/>
  <c r="AD197" i="318"/>
  <c r="AF197" i="318"/>
  <c r="AG197" i="318"/>
  <c r="AH197" i="318"/>
  <c r="AU197" i="318"/>
  <c r="W198" i="318"/>
  <c r="AE198" i="318" s="1"/>
  <c r="Y198" i="318"/>
  <c r="AB198" i="318"/>
  <c r="AC198" i="318"/>
  <c r="AD198" i="318"/>
  <c r="AF198" i="318"/>
  <c r="AJ198" i="318" s="1"/>
  <c r="AG198" i="318"/>
  <c r="AH198" i="318"/>
  <c r="AU198" i="318"/>
  <c r="W199" i="318"/>
  <c r="AA199" i="318"/>
  <c r="AB199" i="318"/>
  <c r="AC199" i="318"/>
  <c r="AD199" i="318"/>
  <c r="AF199" i="318"/>
  <c r="AG199" i="318"/>
  <c r="AH199" i="318"/>
  <c r="AU199" i="318"/>
  <c r="W200" i="318"/>
  <c r="AE200" i="318" s="1"/>
  <c r="Y200" i="318"/>
  <c r="AA200" i="318"/>
  <c r="AB200" i="318"/>
  <c r="AC200" i="318"/>
  <c r="AD200" i="318"/>
  <c r="AF200" i="318"/>
  <c r="AJ200" i="318" s="1"/>
  <c r="AG200" i="318"/>
  <c r="AH200" i="318"/>
  <c r="AU200" i="318"/>
  <c r="W201" i="318"/>
  <c r="AA201" i="318"/>
  <c r="AB201" i="318"/>
  <c r="AC201" i="318"/>
  <c r="AD201" i="318"/>
  <c r="AF201" i="318"/>
  <c r="AJ201" i="318" s="1"/>
  <c r="AG201" i="318"/>
  <c r="AH201" i="318"/>
  <c r="AU201" i="318"/>
  <c r="W202" i="318"/>
  <c r="AA202" i="318"/>
  <c r="AB202" i="318"/>
  <c r="AC202" i="318"/>
  <c r="AD202" i="318"/>
  <c r="AF202" i="318"/>
  <c r="AJ202" i="318" s="1"/>
  <c r="AG202" i="318"/>
  <c r="AH202" i="318"/>
  <c r="AU202" i="318"/>
  <c r="W203" i="318"/>
  <c r="AA203" i="318"/>
  <c r="AB203" i="318"/>
  <c r="AC203" i="318"/>
  <c r="AD203" i="318"/>
  <c r="AF203" i="318"/>
  <c r="AJ203" i="318" s="1"/>
  <c r="AG203" i="318"/>
  <c r="AH203" i="318"/>
  <c r="AU203" i="318"/>
  <c r="W204" i="318"/>
  <c r="AE204" i="318" s="1"/>
  <c r="AA204" i="318"/>
  <c r="AB204" i="318"/>
  <c r="AC204" i="318"/>
  <c r="AD204" i="318"/>
  <c r="AF204" i="318"/>
  <c r="AG204" i="318"/>
  <c r="AJ204" i="318" s="1"/>
  <c r="AH204" i="318"/>
  <c r="AU204" i="318"/>
  <c r="W205" i="318"/>
  <c r="AE205" i="318" s="1"/>
  <c r="Y205" i="318"/>
  <c r="AA205" i="318"/>
  <c r="AB205" i="318"/>
  <c r="AC205" i="318"/>
  <c r="AD205" i="318"/>
  <c r="AF205" i="318"/>
  <c r="AG205" i="318"/>
  <c r="AH205" i="318"/>
  <c r="AU205" i="318"/>
  <c r="W206" i="318"/>
  <c r="AE206" i="318" s="1"/>
  <c r="AA206" i="318"/>
  <c r="AB206" i="318"/>
  <c r="AC206" i="318"/>
  <c r="AD206" i="318"/>
  <c r="AF206" i="318"/>
  <c r="AG206" i="318"/>
  <c r="AJ206" i="318" s="1"/>
  <c r="AH206" i="318"/>
  <c r="AU206" i="318"/>
  <c r="W207" i="318"/>
  <c r="AE207" i="318" s="1"/>
  <c r="Y207" i="318"/>
  <c r="AA207" i="318"/>
  <c r="AB207" i="318"/>
  <c r="AC207" i="318"/>
  <c r="AD207" i="318"/>
  <c r="AF207" i="318"/>
  <c r="AG207" i="318"/>
  <c r="AH207" i="318"/>
  <c r="AU207" i="318"/>
  <c r="W208" i="318"/>
  <c r="AE208" i="318" s="1"/>
  <c r="AA208" i="318"/>
  <c r="AB208" i="318"/>
  <c r="AC208" i="318"/>
  <c r="AD208" i="318"/>
  <c r="AF208" i="318"/>
  <c r="AG208" i="318"/>
  <c r="AJ208" i="318" s="1"/>
  <c r="AH208" i="318"/>
  <c r="AU208" i="318"/>
  <c r="W209" i="318"/>
  <c r="AE209" i="318" s="1"/>
  <c r="Y209" i="318"/>
  <c r="AA209" i="318"/>
  <c r="AB209" i="318"/>
  <c r="AC209" i="318"/>
  <c r="AD209" i="318"/>
  <c r="AF209" i="318"/>
  <c r="AG209" i="318"/>
  <c r="AH209" i="318"/>
  <c r="AU209" i="318"/>
  <c r="W210" i="318"/>
  <c r="AE210" i="318" s="1"/>
  <c r="AA210" i="318"/>
  <c r="AB210" i="318"/>
  <c r="AC210" i="318"/>
  <c r="AD210" i="318"/>
  <c r="AF210" i="318"/>
  <c r="AG210" i="318"/>
  <c r="AJ210" i="318" s="1"/>
  <c r="AH210" i="318"/>
  <c r="AU210" i="318"/>
  <c r="W211" i="318"/>
  <c r="AE211" i="318" s="1"/>
  <c r="Y211" i="318"/>
  <c r="AA211" i="318"/>
  <c r="AB211" i="318"/>
  <c r="AC211" i="318"/>
  <c r="AD211" i="318"/>
  <c r="AF211" i="318"/>
  <c r="AG211" i="318"/>
  <c r="AH211" i="318"/>
  <c r="AU211" i="318"/>
  <c r="W212" i="318"/>
  <c r="AE212" i="318" s="1"/>
  <c r="AA212" i="318"/>
  <c r="AB212" i="318"/>
  <c r="AC212" i="318"/>
  <c r="AD212" i="318"/>
  <c r="AF212" i="318"/>
  <c r="AG212" i="318"/>
  <c r="AJ212" i="318" s="1"/>
  <c r="AH212" i="318"/>
  <c r="AU212" i="318"/>
  <c r="W213" i="318"/>
  <c r="AE213" i="318" s="1"/>
  <c r="Y213" i="318"/>
  <c r="AA213" i="318"/>
  <c r="AB213" i="318"/>
  <c r="AC213" i="318"/>
  <c r="AD213" i="318"/>
  <c r="AF213" i="318"/>
  <c r="AG213" i="318"/>
  <c r="AH213" i="318"/>
  <c r="AU213" i="318"/>
  <c r="W214" i="318"/>
  <c r="AE214" i="318" s="1"/>
  <c r="AA214" i="318"/>
  <c r="AB214" i="318"/>
  <c r="AC214" i="318"/>
  <c r="AD214" i="318"/>
  <c r="AF214" i="318"/>
  <c r="AG214" i="318"/>
  <c r="AJ214" i="318" s="1"/>
  <c r="AH214" i="318"/>
  <c r="AU214" i="318"/>
  <c r="W215" i="318"/>
  <c r="AE215" i="318" s="1"/>
  <c r="Y215" i="318"/>
  <c r="AA215" i="318"/>
  <c r="AB215" i="318"/>
  <c r="AC215" i="318"/>
  <c r="AD215" i="318"/>
  <c r="AF215" i="318"/>
  <c r="AG215" i="318"/>
  <c r="AH215" i="318"/>
  <c r="AU215" i="318"/>
  <c r="W216" i="318"/>
  <c r="AE216" i="318" s="1"/>
  <c r="AA216" i="318"/>
  <c r="AB216" i="318"/>
  <c r="AC216" i="318"/>
  <c r="AD216" i="318"/>
  <c r="AF216" i="318"/>
  <c r="AG216" i="318"/>
  <c r="AJ216" i="318" s="1"/>
  <c r="AH216" i="318"/>
  <c r="AU216" i="318"/>
  <c r="W217" i="318"/>
  <c r="AE217" i="318" s="1"/>
  <c r="Y217" i="318"/>
  <c r="AA217" i="318"/>
  <c r="AB217" i="318"/>
  <c r="AC217" i="318"/>
  <c r="AD217" i="318"/>
  <c r="AF217" i="318"/>
  <c r="AG217" i="318"/>
  <c r="AH217" i="318"/>
  <c r="AU217" i="318"/>
  <c r="W218" i="318"/>
  <c r="AE218" i="318" s="1"/>
  <c r="AA218" i="318"/>
  <c r="AB218" i="318"/>
  <c r="AC218" i="318"/>
  <c r="AD218" i="318"/>
  <c r="AF218" i="318"/>
  <c r="AG218" i="318"/>
  <c r="AJ218" i="318" s="1"/>
  <c r="AH218" i="318"/>
  <c r="AU218" i="318"/>
  <c r="W219" i="318"/>
  <c r="AE219" i="318" s="1"/>
  <c r="Y219" i="318"/>
  <c r="AA219" i="318"/>
  <c r="AB219" i="318"/>
  <c r="AC219" i="318"/>
  <c r="AD219" i="318"/>
  <c r="AF219" i="318"/>
  <c r="AG219" i="318"/>
  <c r="AH219" i="318"/>
  <c r="AU219" i="318"/>
  <c r="W220" i="318"/>
  <c r="AE220" i="318" s="1"/>
  <c r="AA220" i="318"/>
  <c r="AB220" i="318"/>
  <c r="AC220" i="318"/>
  <c r="AD220" i="318"/>
  <c r="AF220" i="318"/>
  <c r="AG220" i="318"/>
  <c r="AJ220" i="318" s="1"/>
  <c r="AH220" i="318"/>
  <c r="AU220" i="318"/>
  <c r="W221" i="318"/>
  <c r="AA221" i="318"/>
  <c r="AB221" i="318"/>
  <c r="AC221" i="318"/>
  <c r="AD221" i="318"/>
  <c r="AF221" i="318"/>
  <c r="AG221" i="318"/>
  <c r="AJ221" i="318" s="1"/>
  <c r="AH221" i="318"/>
  <c r="AU221" i="318"/>
  <c r="W222" i="318"/>
  <c r="AA222" i="318"/>
  <c r="AB222" i="318"/>
  <c r="AC222" i="318"/>
  <c r="AD222" i="318"/>
  <c r="AF222" i="318"/>
  <c r="AG222" i="318"/>
  <c r="AJ222" i="318" s="1"/>
  <c r="AH222" i="318"/>
  <c r="AU222" i="318"/>
  <c r="W223" i="318"/>
  <c r="AA223" i="318"/>
  <c r="AB223" i="318"/>
  <c r="AC223" i="318"/>
  <c r="AD223" i="318"/>
  <c r="AF223" i="318"/>
  <c r="AG223" i="318"/>
  <c r="AJ223" i="318" s="1"/>
  <c r="AH223" i="318"/>
  <c r="AU223" i="318"/>
  <c r="W224" i="318"/>
  <c r="AA224" i="318"/>
  <c r="AB224" i="318"/>
  <c r="AC224" i="318"/>
  <c r="AD224" i="318"/>
  <c r="AF224" i="318"/>
  <c r="AG224" i="318"/>
  <c r="AH224" i="318"/>
  <c r="AU224" i="318"/>
  <c r="W225" i="318"/>
  <c r="AE225" i="318" s="1"/>
  <c r="Y225" i="318"/>
  <c r="AA225" i="318"/>
  <c r="AB225" i="318"/>
  <c r="AC225" i="318"/>
  <c r="AD225" i="318"/>
  <c r="AF225" i="318"/>
  <c r="AJ225" i="318" s="1"/>
  <c r="AG225" i="318"/>
  <c r="AH225" i="318"/>
  <c r="AU225" i="318"/>
  <c r="W226" i="318"/>
  <c r="AA226" i="318"/>
  <c r="AB226" i="318"/>
  <c r="AC226" i="318"/>
  <c r="AD226" i="318"/>
  <c r="AF226" i="318"/>
  <c r="AG226" i="318"/>
  <c r="AH226" i="318"/>
  <c r="AU226" i="318"/>
  <c r="W227" i="318"/>
  <c r="AE227" i="318" s="1"/>
  <c r="Y227" i="318"/>
  <c r="AA227" i="318"/>
  <c r="AB227" i="318"/>
  <c r="AC227" i="318"/>
  <c r="AD227" i="318"/>
  <c r="AF227" i="318"/>
  <c r="AJ227" i="318" s="1"/>
  <c r="AG227" i="318"/>
  <c r="AH227" i="318"/>
  <c r="AU227" i="318"/>
  <c r="W228" i="318"/>
  <c r="AA228" i="318"/>
  <c r="AB228" i="318"/>
  <c r="AC228" i="318"/>
  <c r="AD228" i="318"/>
  <c r="AF228" i="318"/>
  <c r="AG228" i="318"/>
  <c r="AH228" i="318"/>
  <c r="AU228" i="318"/>
  <c r="W229" i="318"/>
  <c r="AE229" i="318" s="1"/>
  <c r="Y229" i="318"/>
  <c r="AA229" i="318"/>
  <c r="AB229" i="318"/>
  <c r="AC229" i="318"/>
  <c r="AD229" i="318"/>
  <c r="AF229" i="318"/>
  <c r="AJ229" i="318" s="1"/>
  <c r="AG229" i="318"/>
  <c r="AH229" i="318"/>
  <c r="AU229" i="318"/>
  <c r="W230" i="318"/>
  <c r="AA230" i="318"/>
  <c r="AB230" i="318"/>
  <c r="AC230" i="318"/>
  <c r="AD230" i="318"/>
  <c r="AF230" i="318"/>
  <c r="AG230" i="318"/>
  <c r="AH230" i="318"/>
  <c r="AU230" i="318"/>
  <c r="W231" i="318"/>
  <c r="AE231" i="318" s="1"/>
  <c r="Y231" i="318"/>
  <c r="AA231" i="318"/>
  <c r="AB231" i="318"/>
  <c r="AC231" i="318"/>
  <c r="AD231" i="318"/>
  <c r="AF231" i="318"/>
  <c r="AJ231" i="318" s="1"/>
  <c r="AG231" i="318"/>
  <c r="AH231" i="318"/>
  <c r="AU231" i="318"/>
  <c r="W232" i="318"/>
  <c r="AA232" i="318"/>
  <c r="AB232" i="318"/>
  <c r="AC232" i="318"/>
  <c r="AD232" i="318"/>
  <c r="AF232" i="318"/>
  <c r="AG232" i="318"/>
  <c r="AH232" i="318"/>
  <c r="AU232" i="318"/>
  <c r="W233" i="318"/>
  <c r="AE233" i="318" s="1"/>
  <c r="Y233" i="318"/>
  <c r="AA233" i="318"/>
  <c r="AB233" i="318"/>
  <c r="AC233" i="318"/>
  <c r="AD233" i="318"/>
  <c r="AF233" i="318"/>
  <c r="AJ233" i="318" s="1"/>
  <c r="AG233" i="318"/>
  <c r="AH233" i="318"/>
  <c r="AU233" i="318"/>
  <c r="W234" i="318"/>
  <c r="AA234" i="318"/>
  <c r="AB234" i="318"/>
  <c r="AC234" i="318"/>
  <c r="AD234" i="318"/>
  <c r="AF234" i="318"/>
  <c r="AG234" i="318"/>
  <c r="AH234" i="318"/>
  <c r="AU234" i="318"/>
  <c r="W235" i="318"/>
  <c r="AE235" i="318" s="1"/>
  <c r="Y235" i="318"/>
  <c r="AA235" i="318"/>
  <c r="AB235" i="318"/>
  <c r="AC235" i="318"/>
  <c r="AD235" i="318"/>
  <c r="AF235" i="318"/>
  <c r="AJ235" i="318" s="1"/>
  <c r="AG235" i="318"/>
  <c r="AH235" i="318"/>
  <c r="AU235" i="318"/>
  <c r="W236" i="318"/>
  <c r="AA236" i="318"/>
  <c r="AB236" i="318"/>
  <c r="AC236" i="318"/>
  <c r="AD236" i="318"/>
  <c r="AF236" i="318"/>
  <c r="AG236" i="318"/>
  <c r="AH236" i="318"/>
  <c r="AU236" i="318"/>
  <c r="W237" i="318"/>
  <c r="AE237" i="318" s="1"/>
  <c r="Y237" i="318"/>
  <c r="AA237" i="318"/>
  <c r="AB237" i="318"/>
  <c r="AC237" i="318"/>
  <c r="AD237" i="318"/>
  <c r="AF237" i="318"/>
  <c r="AJ237" i="318" s="1"/>
  <c r="AG237" i="318"/>
  <c r="AH237" i="318"/>
  <c r="AU237" i="318"/>
  <c r="W238" i="318"/>
  <c r="AA238" i="318"/>
  <c r="AB238" i="318"/>
  <c r="AC238" i="318"/>
  <c r="AD238" i="318"/>
  <c r="AF238" i="318"/>
  <c r="AG238" i="318"/>
  <c r="AH238" i="318"/>
  <c r="AU238" i="318"/>
  <c r="W239" i="318"/>
  <c r="AE239" i="318" s="1"/>
  <c r="Y239" i="318"/>
  <c r="AA239" i="318"/>
  <c r="AB239" i="318"/>
  <c r="AC239" i="318"/>
  <c r="AD239" i="318"/>
  <c r="AF239" i="318"/>
  <c r="AJ239" i="318" s="1"/>
  <c r="AG239" i="318"/>
  <c r="AH239" i="318"/>
  <c r="AU239" i="318"/>
  <c r="W240" i="318"/>
  <c r="AA240" i="318"/>
  <c r="AB240" i="318"/>
  <c r="AC240" i="318"/>
  <c r="AD240" i="318"/>
  <c r="AF240" i="318"/>
  <c r="AG240" i="318"/>
  <c r="AH240" i="318"/>
  <c r="AU240" i="318"/>
  <c r="W241" i="318"/>
  <c r="AE241" i="318" s="1"/>
  <c r="Y241" i="318"/>
  <c r="AA241" i="318"/>
  <c r="AB241" i="318"/>
  <c r="AC241" i="318"/>
  <c r="AD241" i="318"/>
  <c r="AF241" i="318"/>
  <c r="AJ241" i="318" s="1"/>
  <c r="AG241" i="318"/>
  <c r="AH241" i="318"/>
  <c r="AU241" i="318"/>
  <c r="W242" i="318"/>
  <c r="AA242" i="318"/>
  <c r="AB242" i="318"/>
  <c r="AC242" i="318"/>
  <c r="AD242" i="318"/>
  <c r="AF242" i="318"/>
  <c r="AG242" i="318"/>
  <c r="AH242" i="318"/>
  <c r="AU242" i="318"/>
  <c r="W243" i="318"/>
  <c r="AE243" i="318" s="1"/>
  <c r="Y243" i="318"/>
  <c r="AA243" i="318"/>
  <c r="AB243" i="318"/>
  <c r="AC243" i="318"/>
  <c r="AD243" i="318"/>
  <c r="AF243" i="318"/>
  <c r="AJ243" i="318" s="1"/>
  <c r="AG243" i="318"/>
  <c r="AH243" i="318"/>
  <c r="AU243" i="318"/>
  <c r="W244" i="318"/>
  <c r="AA244" i="318"/>
  <c r="AB244" i="318"/>
  <c r="AC244" i="318"/>
  <c r="AD244" i="318"/>
  <c r="AF244" i="318"/>
  <c r="AG244" i="318"/>
  <c r="AH244" i="318"/>
  <c r="AU244" i="318"/>
  <c r="W245" i="318"/>
  <c r="AE245" i="318" s="1"/>
  <c r="Y245" i="318"/>
  <c r="AA245" i="318"/>
  <c r="AB245" i="318"/>
  <c r="AC245" i="318"/>
  <c r="AD245" i="318"/>
  <c r="AF245" i="318"/>
  <c r="AJ245" i="318" s="1"/>
  <c r="AG245" i="318"/>
  <c r="AH245" i="318"/>
  <c r="AU245" i="318"/>
  <c r="W246" i="318"/>
  <c r="AA246" i="318"/>
  <c r="AB246" i="318"/>
  <c r="AC246" i="318"/>
  <c r="AD246" i="318"/>
  <c r="AF246" i="318"/>
  <c r="AG246" i="318"/>
  <c r="AH246" i="318"/>
  <c r="AU246" i="318"/>
  <c r="W247" i="318"/>
  <c r="AE247" i="318" s="1"/>
  <c r="Y247" i="318"/>
  <c r="AA247" i="318"/>
  <c r="AB247" i="318"/>
  <c r="AC247" i="318"/>
  <c r="AD247" i="318"/>
  <c r="AF247" i="318"/>
  <c r="AJ247" i="318" s="1"/>
  <c r="AG247" i="318"/>
  <c r="AH247" i="318"/>
  <c r="AU247" i="318"/>
  <c r="W248" i="318"/>
  <c r="AA248" i="318"/>
  <c r="AB248" i="318"/>
  <c r="AC248" i="318"/>
  <c r="AD248" i="318"/>
  <c r="AF248" i="318"/>
  <c r="AG248" i="318"/>
  <c r="AH248" i="318"/>
  <c r="AU248" i="318"/>
  <c r="W249" i="318"/>
  <c r="AE249" i="318" s="1"/>
  <c r="Y249" i="318"/>
  <c r="AA249" i="318"/>
  <c r="AB249" i="318"/>
  <c r="AC249" i="318"/>
  <c r="AD249" i="318"/>
  <c r="AF249" i="318"/>
  <c r="AJ249" i="318" s="1"/>
  <c r="AG249" i="318"/>
  <c r="AH249" i="318"/>
  <c r="AU249" i="318"/>
  <c r="W250" i="318"/>
  <c r="AA250" i="318"/>
  <c r="AB250" i="318"/>
  <c r="AC250" i="318"/>
  <c r="AD250" i="318"/>
  <c r="AF250" i="318"/>
  <c r="AG250" i="318"/>
  <c r="AH250" i="318"/>
  <c r="AU250" i="318"/>
  <c r="W251" i="318"/>
  <c r="AE251" i="318" s="1"/>
  <c r="Y251" i="318"/>
  <c r="AA251" i="318"/>
  <c r="AB251" i="318"/>
  <c r="AC251" i="318"/>
  <c r="AD251" i="318"/>
  <c r="AF251" i="318"/>
  <c r="AJ251" i="318" s="1"/>
  <c r="AG251" i="318"/>
  <c r="AH251" i="318"/>
  <c r="AU251" i="318"/>
  <c r="W252" i="318"/>
  <c r="AA252" i="318"/>
  <c r="AB252" i="318"/>
  <c r="AC252" i="318"/>
  <c r="AD252" i="318"/>
  <c r="AF252" i="318"/>
  <c r="AG252" i="318"/>
  <c r="AH252" i="318"/>
  <c r="AU252" i="318"/>
  <c r="W253" i="318"/>
  <c r="AE253" i="318" s="1"/>
  <c r="Y253" i="318"/>
  <c r="AA253" i="318"/>
  <c r="AB253" i="318"/>
  <c r="AC253" i="318"/>
  <c r="AD253" i="318"/>
  <c r="AF253" i="318"/>
  <c r="AJ253" i="318" s="1"/>
  <c r="AG253" i="318"/>
  <c r="AH253" i="318"/>
  <c r="AU253" i="318"/>
  <c r="W254" i="318"/>
  <c r="AA254" i="318"/>
  <c r="AB254" i="318"/>
  <c r="AC254" i="318"/>
  <c r="AD254" i="318"/>
  <c r="AF254" i="318"/>
  <c r="AG254" i="318"/>
  <c r="AH254" i="318"/>
  <c r="AU254" i="318"/>
  <c r="W255" i="318"/>
  <c r="AE255" i="318" s="1"/>
  <c r="Y255" i="318"/>
  <c r="AA255" i="318"/>
  <c r="AB255" i="318"/>
  <c r="AC255" i="318"/>
  <c r="AD255" i="318"/>
  <c r="AF255" i="318"/>
  <c r="AJ255" i="318" s="1"/>
  <c r="AG255" i="318"/>
  <c r="AH255" i="318"/>
  <c r="AU255" i="318"/>
  <c r="W256" i="318"/>
  <c r="AA256" i="318"/>
  <c r="AB256" i="318"/>
  <c r="AC256" i="318"/>
  <c r="AD256" i="318"/>
  <c r="AF256" i="318"/>
  <c r="AG256" i="318"/>
  <c r="AH256" i="318"/>
  <c r="AU256" i="318"/>
  <c r="W257" i="318"/>
  <c r="AE257" i="318" s="1"/>
  <c r="Y257" i="318"/>
  <c r="AA257" i="318"/>
  <c r="AB257" i="318"/>
  <c r="AC257" i="318"/>
  <c r="AD257" i="318"/>
  <c r="AF257" i="318"/>
  <c r="AJ257" i="318" s="1"/>
  <c r="AG257" i="318"/>
  <c r="AH257" i="318"/>
  <c r="AU257" i="318"/>
  <c r="W258" i="318"/>
  <c r="AA258" i="318"/>
  <c r="AB258" i="318"/>
  <c r="AC258" i="318"/>
  <c r="AD258" i="318"/>
  <c r="AF258" i="318"/>
  <c r="AG258" i="318"/>
  <c r="AH258" i="318"/>
  <c r="AU258" i="318"/>
  <c r="W259" i="318"/>
  <c r="AE259" i="318" s="1"/>
  <c r="Y259" i="318"/>
  <c r="AA259" i="318"/>
  <c r="AB259" i="318"/>
  <c r="AC259" i="318"/>
  <c r="AD259" i="318"/>
  <c r="AF259" i="318"/>
  <c r="AJ259" i="318" s="1"/>
  <c r="AG259" i="318"/>
  <c r="AH259" i="318"/>
  <c r="AU259" i="318"/>
  <c r="W260" i="318"/>
  <c r="AA260" i="318"/>
  <c r="AB260" i="318"/>
  <c r="AC260" i="318"/>
  <c r="AD260" i="318"/>
  <c r="AF260" i="318"/>
  <c r="AG260" i="318"/>
  <c r="AH260" i="318"/>
  <c r="AU260" i="318"/>
  <c r="W261" i="318"/>
  <c r="AE261" i="318" s="1"/>
  <c r="Y261" i="318"/>
  <c r="AA261" i="318"/>
  <c r="AB261" i="318"/>
  <c r="AC261" i="318"/>
  <c r="AD261" i="318"/>
  <c r="AF261" i="318"/>
  <c r="AJ261" i="318" s="1"/>
  <c r="AG261" i="318"/>
  <c r="AH261" i="318"/>
  <c r="AU261" i="318"/>
  <c r="W262" i="318"/>
  <c r="AA262" i="318"/>
  <c r="AB262" i="318"/>
  <c r="AC262" i="318"/>
  <c r="AD262" i="318"/>
  <c r="AF262" i="318"/>
  <c r="AG262" i="318"/>
  <c r="AH262" i="318"/>
  <c r="AU262" i="318"/>
  <c r="W263" i="318"/>
  <c r="AE263" i="318" s="1"/>
  <c r="Y263" i="318"/>
  <c r="AA263" i="318"/>
  <c r="AB263" i="318"/>
  <c r="AC263" i="318"/>
  <c r="AD263" i="318"/>
  <c r="AF263" i="318"/>
  <c r="AJ263" i="318" s="1"/>
  <c r="AG263" i="318"/>
  <c r="AH263" i="318"/>
  <c r="AU263" i="318"/>
  <c r="W264" i="318"/>
  <c r="AA264" i="318"/>
  <c r="AB264" i="318"/>
  <c r="AC264" i="318"/>
  <c r="AD264" i="318"/>
  <c r="AF264" i="318"/>
  <c r="AG264" i="318"/>
  <c r="AH264" i="318"/>
  <c r="AU264" i="318"/>
  <c r="W265" i="318"/>
  <c r="AE265" i="318" s="1"/>
  <c r="Y265" i="318"/>
  <c r="AA265" i="318"/>
  <c r="AB265" i="318"/>
  <c r="AC265" i="318"/>
  <c r="AD265" i="318"/>
  <c r="AF265" i="318"/>
  <c r="AJ265" i="318" s="1"/>
  <c r="AG265" i="318"/>
  <c r="AH265" i="318"/>
  <c r="AU265" i="318"/>
  <c r="W266" i="318"/>
  <c r="AA266" i="318"/>
  <c r="AB266" i="318"/>
  <c r="AC266" i="318"/>
  <c r="AD266" i="318"/>
  <c r="AF266" i="318"/>
  <c r="AG266" i="318"/>
  <c r="AH266" i="318"/>
  <c r="AU266" i="318"/>
  <c r="W267" i="318"/>
  <c r="Y267" i="318" s="1"/>
  <c r="AA267" i="318"/>
  <c r="AA177" i="318" s="1"/>
  <c r="AB267" i="318"/>
  <c r="AC267" i="318"/>
  <c r="AD267" i="318"/>
  <c r="AE267" i="318"/>
  <c r="AF267" i="318"/>
  <c r="AG267" i="318"/>
  <c r="AH267" i="318"/>
  <c r="AN267" i="318"/>
  <c r="AQ267" i="318"/>
  <c r="AU267" i="318"/>
  <c r="W268" i="318"/>
  <c r="AE268" i="318" s="1"/>
  <c r="Y268" i="318"/>
  <c r="AA268" i="318"/>
  <c r="AB268" i="318"/>
  <c r="AC268" i="318"/>
  <c r="AD268" i="318"/>
  <c r="AF268" i="318"/>
  <c r="AG268" i="318"/>
  <c r="AM268" i="318" s="1"/>
  <c r="AH268" i="318"/>
  <c r="AN268" i="318" s="1"/>
  <c r="AP268" i="318"/>
  <c r="AU268" i="318"/>
  <c r="W269" i="318"/>
  <c r="AE269" i="318" s="1"/>
  <c r="Y269" i="318"/>
  <c r="AA269" i="318"/>
  <c r="AB269" i="318"/>
  <c r="AC269" i="318"/>
  <c r="AD269" i="318"/>
  <c r="AF269" i="318"/>
  <c r="AG269" i="318"/>
  <c r="AH269" i="318"/>
  <c r="AN269" i="318"/>
  <c r="AQ269" i="318" s="1"/>
  <c r="AU269" i="318"/>
  <c r="W270" i="318"/>
  <c r="AA270" i="318"/>
  <c r="AB270" i="318"/>
  <c r="AC270" i="318"/>
  <c r="AD270" i="318"/>
  <c r="AF270" i="318"/>
  <c r="AG270" i="318"/>
  <c r="AJ270" i="318" s="1"/>
  <c r="AH270" i="318"/>
  <c r="AN270" i="318"/>
  <c r="AQ270" i="318" s="1"/>
  <c r="AU270" i="318"/>
  <c r="W271" i="318"/>
  <c r="Y271" i="318"/>
  <c r="AA271" i="318"/>
  <c r="AB271" i="318"/>
  <c r="AC271" i="318"/>
  <c r="AD271" i="318"/>
  <c r="AE271" i="318"/>
  <c r="AF271" i="318"/>
  <c r="AG271" i="318"/>
  <c r="AH271" i="318"/>
  <c r="AM271" i="318"/>
  <c r="AP271" i="318"/>
  <c r="AU271" i="318"/>
  <c r="W272" i="318"/>
  <c r="AE272" i="318" s="1"/>
  <c r="Y272" i="318"/>
  <c r="AA272" i="318"/>
  <c r="AB272" i="318"/>
  <c r="AC272" i="318"/>
  <c r="AD272" i="318"/>
  <c r="AF272" i="318"/>
  <c r="AG272" i="318"/>
  <c r="AM272" i="318" s="1"/>
  <c r="AH272" i="318"/>
  <c r="AN272" i="318" s="1"/>
  <c r="AP272" i="318"/>
  <c r="AU272" i="318"/>
  <c r="W273" i="318"/>
  <c r="AE273" i="318" s="1"/>
  <c r="Y273" i="318"/>
  <c r="AA273" i="318"/>
  <c r="AB273" i="318"/>
  <c r="AC273" i="318"/>
  <c r="AD273" i="318"/>
  <c r="AF273" i="318"/>
  <c r="AG273" i="318"/>
  <c r="AH273" i="318"/>
  <c r="AN273" i="318"/>
  <c r="AQ273" i="318" s="1"/>
  <c r="AU273" i="318"/>
  <c r="W274" i="318"/>
  <c r="AA274" i="318"/>
  <c r="AB274" i="318"/>
  <c r="AC274" i="318"/>
  <c r="AD274" i="318"/>
  <c r="AF274" i="318"/>
  <c r="AG274" i="318"/>
  <c r="AJ274" i="318" s="1"/>
  <c r="AH274" i="318"/>
  <c r="AN274" i="318"/>
  <c r="AQ274" i="318" s="1"/>
  <c r="AU274" i="318"/>
  <c r="W275" i="318"/>
  <c r="Y275" i="318"/>
  <c r="AA275" i="318"/>
  <c r="AB275" i="318"/>
  <c r="AC275" i="318"/>
  <c r="AD275" i="318"/>
  <c r="AE275" i="318"/>
  <c r="AF275" i="318"/>
  <c r="AG275" i="318"/>
  <c r="AH275" i="318"/>
  <c r="AM275" i="318"/>
  <c r="AP275" i="318"/>
  <c r="AU275" i="318"/>
  <c r="W276" i="318"/>
  <c r="AE276" i="318" s="1"/>
  <c r="Y276" i="318"/>
  <c r="AA276" i="318"/>
  <c r="AB276" i="318"/>
  <c r="AC276" i="318"/>
  <c r="AD276" i="318"/>
  <c r="AF276" i="318"/>
  <c r="AG276" i="318"/>
  <c r="AM276" i="318" s="1"/>
  <c r="AH276" i="318"/>
  <c r="AN276" i="318" s="1"/>
  <c r="AP276" i="318"/>
  <c r="AU276" i="318"/>
  <c r="W277" i="318"/>
  <c r="AE277" i="318" s="1"/>
  <c r="Y277" i="318"/>
  <c r="AA277" i="318"/>
  <c r="AB277" i="318"/>
  <c r="AC277" i="318"/>
  <c r="AD277" i="318"/>
  <c r="AF277" i="318"/>
  <c r="AG277" i="318"/>
  <c r="AH277" i="318"/>
  <c r="AN277" i="318"/>
  <c r="AQ277" i="318" s="1"/>
  <c r="AU277" i="318"/>
  <c r="W278" i="318"/>
  <c r="AA278" i="318"/>
  <c r="AB278" i="318"/>
  <c r="AC278" i="318"/>
  <c r="AD278" i="318"/>
  <c r="AF278" i="318"/>
  <c r="AG278" i="318"/>
  <c r="AJ278" i="318" s="1"/>
  <c r="AH278" i="318"/>
  <c r="AN278" i="318"/>
  <c r="AQ278" i="318" s="1"/>
  <c r="AU278" i="318"/>
  <c r="W279" i="318"/>
  <c r="Y279" i="318"/>
  <c r="AA279" i="318"/>
  <c r="AB279" i="318"/>
  <c r="AC279" i="318"/>
  <c r="AD279" i="318"/>
  <c r="AE279" i="318"/>
  <c r="AF279" i="318"/>
  <c r="AG279" i="318"/>
  <c r="AH279" i="318"/>
  <c r="AM279" i="318"/>
  <c r="AP279" i="318"/>
  <c r="AU279" i="318"/>
  <c r="W280" i="318"/>
  <c r="AE280" i="318" s="1"/>
  <c r="Y280" i="318"/>
  <c r="AA280" i="318"/>
  <c r="AB280" i="318"/>
  <c r="AC280" i="318"/>
  <c r="AD280" i="318"/>
  <c r="AF280" i="318"/>
  <c r="AG280" i="318"/>
  <c r="AM280" i="318" s="1"/>
  <c r="AH280" i="318"/>
  <c r="AN280" i="318" s="1"/>
  <c r="AP280" i="318"/>
  <c r="AU280" i="318"/>
  <c r="W281" i="318"/>
  <c r="AE281" i="318" s="1"/>
  <c r="Y281" i="318"/>
  <c r="AA281" i="318"/>
  <c r="AB281" i="318"/>
  <c r="AC281" i="318"/>
  <c r="AD281" i="318"/>
  <c r="AF281" i="318"/>
  <c r="AG281" i="318"/>
  <c r="AH281" i="318"/>
  <c r="AN281" i="318"/>
  <c r="AQ281" i="318" s="1"/>
  <c r="AU281" i="318"/>
  <c r="W282" i="318"/>
  <c r="AA282" i="318"/>
  <c r="AB282" i="318"/>
  <c r="AC282" i="318"/>
  <c r="AD282" i="318"/>
  <c r="AF282" i="318"/>
  <c r="AG282" i="318"/>
  <c r="AJ282" i="318" s="1"/>
  <c r="AH282" i="318"/>
  <c r="AN282" i="318"/>
  <c r="AQ282" i="318" s="1"/>
  <c r="AU282" i="318"/>
  <c r="W283" i="318"/>
  <c r="Y283" i="318"/>
  <c r="AA283" i="318"/>
  <c r="AB283" i="318"/>
  <c r="AC283" i="318"/>
  <c r="AD283" i="318"/>
  <c r="AE283" i="318"/>
  <c r="AF283" i="318"/>
  <c r="AG283" i="318"/>
  <c r="AH283" i="318"/>
  <c r="AM283" i="318"/>
  <c r="AP283" i="318"/>
  <c r="AU283" i="318"/>
  <c r="W284" i="318"/>
  <c r="AE284" i="318" s="1"/>
  <c r="Y284" i="318"/>
  <c r="AA284" i="318"/>
  <c r="AB284" i="318"/>
  <c r="AC284" i="318"/>
  <c r="AD284" i="318"/>
  <c r="AF284" i="318"/>
  <c r="AG284" i="318"/>
  <c r="AM284" i="318" s="1"/>
  <c r="AH284" i="318"/>
  <c r="AN284" i="318" s="1"/>
  <c r="AP284" i="318"/>
  <c r="AU284" i="318"/>
  <c r="W285" i="318"/>
  <c r="AE285" i="318" s="1"/>
  <c r="Y285" i="318"/>
  <c r="AA285" i="318"/>
  <c r="AB285" i="318"/>
  <c r="AC285" i="318"/>
  <c r="AD285" i="318"/>
  <c r="AF285" i="318"/>
  <c r="AG285" i="318"/>
  <c r="AH285" i="318"/>
  <c r="AQ285" i="318"/>
  <c r="AU285" i="318"/>
  <c r="W286" i="318"/>
  <c r="AA286" i="318"/>
  <c r="AB286" i="318"/>
  <c r="AC286" i="318"/>
  <c r="AD286" i="318"/>
  <c r="AF286" i="318"/>
  <c r="AG286" i="318"/>
  <c r="AH286" i="318"/>
  <c r="AQ286" i="318"/>
  <c r="AU286" i="318"/>
  <c r="W287" i="318"/>
  <c r="AE287" i="318" s="1"/>
  <c r="Y287" i="318"/>
  <c r="AA287" i="318"/>
  <c r="AB287" i="318"/>
  <c r="AC287" i="318"/>
  <c r="AD287" i="318"/>
  <c r="AF287" i="318"/>
  <c r="AG287" i="318"/>
  <c r="AH287" i="318"/>
  <c r="AQ287" i="318"/>
  <c r="AU287" i="318"/>
  <c r="W288" i="318"/>
  <c r="AA288" i="318"/>
  <c r="AB288" i="318"/>
  <c r="AC288" i="318"/>
  <c r="AD288" i="318"/>
  <c r="AF288" i="318"/>
  <c r="AG288" i="318"/>
  <c r="AH288" i="318"/>
  <c r="AQ288" i="318"/>
  <c r="AU288" i="318"/>
  <c r="W289" i="318"/>
  <c r="AE289" i="318" s="1"/>
  <c r="Y289" i="318"/>
  <c r="AA289" i="318"/>
  <c r="AB289" i="318"/>
  <c r="AC289" i="318"/>
  <c r="AD289" i="318"/>
  <c r="AF289" i="318"/>
  <c r="AG289" i="318"/>
  <c r="AH289" i="318"/>
  <c r="AQ289" i="318"/>
  <c r="AU289" i="318"/>
  <c r="W290" i="318"/>
  <c r="AA290" i="318"/>
  <c r="AB290" i="318"/>
  <c r="AC290" i="318"/>
  <c r="AD290" i="318"/>
  <c r="AF290" i="318"/>
  <c r="AG290" i="318"/>
  <c r="AH290" i="318"/>
  <c r="AQ290" i="318"/>
  <c r="AU290" i="318"/>
  <c r="W291" i="318"/>
  <c r="AE291" i="318" s="1"/>
  <c r="Y291" i="318"/>
  <c r="AA291" i="318"/>
  <c r="AB291" i="318"/>
  <c r="AC291" i="318"/>
  <c r="AD291" i="318"/>
  <c r="AF291" i="318"/>
  <c r="AG291" i="318"/>
  <c r="AH291" i="318"/>
  <c r="AQ291" i="318"/>
  <c r="AU291" i="318"/>
  <c r="W292" i="318"/>
  <c r="AA292" i="318"/>
  <c r="AB292" i="318"/>
  <c r="AC292" i="318"/>
  <c r="AD292" i="318"/>
  <c r="AF292" i="318"/>
  <c r="AG292" i="318"/>
  <c r="AM292" i="318" s="1"/>
  <c r="AH292" i="318"/>
  <c r="AQ292" i="318"/>
  <c r="AU292" i="318"/>
  <c r="W293" i="318"/>
  <c r="AE293" i="318" s="1"/>
  <c r="Y293" i="318"/>
  <c r="AA293" i="318"/>
  <c r="AB293" i="318"/>
  <c r="AC293" i="318"/>
  <c r="AD293" i="318"/>
  <c r="AF293" i="318"/>
  <c r="AG293" i="318"/>
  <c r="AH293" i="318"/>
  <c r="AN293" i="318"/>
  <c r="AQ293" i="318" s="1"/>
  <c r="AU293" i="318"/>
  <c r="W294" i="318"/>
  <c r="AA294" i="318"/>
  <c r="AB294" i="318"/>
  <c r="AC294" i="318"/>
  <c r="AD294" i="318"/>
  <c r="AF294" i="318"/>
  <c r="AG294" i="318"/>
  <c r="AJ294" i="318" s="1"/>
  <c r="AH294" i="318"/>
  <c r="AM294" i="318"/>
  <c r="AN294" i="318"/>
  <c r="AQ294" i="318" s="1"/>
  <c r="AP294" i="318"/>
  <c r="AU294" i="318"/>
  <c r="W295" i="318"/>
  <c r="Y295" i="318"/>
  <c r="AA295" i="318"/>
  <c r="AB295" i="318"/>
  <c r="AC295" i="318"/>
  <c r="AD295" i="318"/>
  <c r="AE295" i="318"/>
  <c r="AF295" i="318"/>
  <c r="AG295" i="318"/>
  <c r="AH295" i="318"/>
  <c r="AM295" i="318"/>
  <c r="AP295" i="318"/>
  <c r="AU295" i="318"/>
  <c r="W296" i="318"/>
  <c r="AE296" i="318" s="1"/>
  <c r="Y296" i="318"/>
  <c r="AA296" i="318"/>
  <c r="AB296" i="318"/>
  <c r="AC296" i="318"/>
  <c r="AD296" i="318"/>
  <c r="AF296" i="318"/>
  <c r="AG296" i="318"/>
  <c r="AJ296" i="318" s="1"/>
  <c r="AH296" i="318"/>
  <c r="AN296" i="318" s="1"/>
  <c r="AQ296" i="318" s="1"/>
  <c r="AM296" i="318"/>
  <c r="AP296" i="318"/>
  <c r="AU296" i="318"/>
  <c r="W297" i="318"/>
  <c r="AE297" i="318" s="1"/>
  <c r="Y297" i="318"/>
  <c r="AA297" i="318"/>
  <c r="AB297" i="318"/>
  <c r="AC297" i="318"/>
  <c r="AD297" i="318"/>
  <c r="AF297" i="318"/>
  <c r="AG297" i="318"/>
  <c r="AH297" i="318"/>
  <c r="AN297" i="318" s="1"/>
  <c r="AQ297" i="318" s="1"/>
  <c r="AM297" i="318"/>
  <c r="AU297" i="318"/>
  <c r="W298" i="318"/>
  <c r="Y298" i="318" s="1"/>
  <c r="AA298" i="318"/>
  <c r="AB298" i="318"/>
  <c r="AC298" i="318"/>
  <c r="AD298" i="318"/>
  <c r="AF298" i="318"/>
  <c r="AJ298" i="318" s="1"/>
  <c r="AG298" i="318"/>
  <c r="AH298" i="318"/>
  <c r="AM298" i="318"/>
  <c r="AN298" i="318"/>
  <c r="AQ298" i="318" s="1"/>
  <c r="AU298" i="318"/>
  <c r="W299" i="318"/>
  <c r="Y299" i="318"/>
  <c r="AA299" i="318"/>
  <c r="AB299" i="318"/>
  <c r="AC299" i="318"/>
  <c r="AD299" i="318"/>
  <c r="AE299" i="318"/>
  <c r="AF299" i="318"/>
  <c r="AJ299" i="318" s="1"/>
  <c r="AG299" i="318"/>
  <c r="AH299" i="318"/>
  <c r="AN299" i="318" s="1"/>
  <c r="AQ299" i="318" s="1"/>
  <c r="AM299" i="318"/>
  <c r="AP299" i="318" s="1"/>
  <c r="AO299" i="318"/>
  <c r="AU299" i="318"/>
  <c r="W300" i="318"/>
  <c r="AA300" i="318"/>
  <c r="AB300" i="318"/>
  <c r="AC300" i="318"/>
  <c r="AD300" i="318"/>
  <c r="AF300" i="318"/>
  <c r="AG300" i="318"/>
  <c r="AJ300" i="318" s="1"/>
  <c r="AH300" i="318"/>
  <c r="AM300" i="318"/>
  <c r="AN300" i="318"/>
  <c r="AP300" i="318"/>
  <c r="AU300" i="318"/>
  <c r="W301" i="318"/>
  <c r="AA301" i="318"/>
  <c r="AB301" i="318"/>
  <c r="AC301" i="318"/>
  <c r="AD301" i="318"/>
  <c r="AF301" i="318"/>
  <c r="AG301" i="318"/>
  <c r="AH301" i="318"/>
  <c r="AM301" i="318"/>
  <c r="AP301" i="318" s="1"/>
  <c r="W302" i="318"/>
  <c r="AE302" i="318" s="1"/>
  <c r="AA302" i="318"/>
  <c r="AB302" i="318"/>
  <c r="AC302" i="318"/>
  <c r="AD302" i="318"/>
  <c r="AF302" i="318"/>
  <c r="AG302" i="318"/>
  <c r="AN302" i="318" s="1"/>
  <c r="AQ302" i="318" s="1"/>
  <c r="AH302" i="318"/>
  <c r="W303" i="318"/>
  <c r="AE303" i="318" s="1"/>
  <c r="Y303" i="318"/>
  <c r="AA303" i="318"/>
  <c r="AB303" i="318"/>
  <c r="AC303" i="318"/>
  <c r="AD303" i="318"/>
  <c r="AF303" i="318"/>
  <c r="AG303" i="318"/>
  <c r="AH303" i="318"/>
  <c r="AN303" i="318"/>
  <c r="AQ303" i="318" s="1"/>
  <c r="W304" i="318"/>
  <c r="AE304" i="318" s="1"/>
  <c r="Y304" i="318"/>
  <c r="AA304" i="318"/>
  <c r="AB304" i="318"/>
  <c r="AC304" i="318"/>
  <c r="AD304" i="318"/>
  <c r="AF304" i="318"/>
  <c r="AG304" i="318"/>
  <c r="AH304" i="318"/>
  <c r="AN304" i="318" s="1"/>
  <c r="AQ304" i="318" s="1"/>
  <c r="AM304" i="318"/>
  <c r="W305" i="318"/>
  <c r="AA305" i="318"/>
  <c r="AB305" i="318"/>
  <c r="AC305" i="318"/>
  <c r="AD305" i="318"/>
  <c r="AF305" i="318"/>
  <c r="AG305" i="318"/>
  <c r="AN305" i="318" s="1"/>
  <c r="AO305" i="318" s="1"/>
  <c r="AH305" i="318"/>
  <c r="AM305" i="318"/>
  <c r="AP305" i="318" s="1"/>
  <c r="AQ305" i="318"/>
  <c r="W306" i="318"/>
  <c r="AE306" i="318" s="1"/>
  <c r="AA306" i="318"/>
  <c r="AB306" i="318"/>
  <c r="AC306" i="318"/>
  <c r="AD306" i="318"/>
  <c r="AF306" i="318"/>
  <c r="AG306" i="318"/>
  <c r="AN306" i="318" s="1"/>
  <c r="AQ306" i="318" s="1"/>
  <c r="AH306" i="318"/>
  <c r="W307" i="318"/>
  <c r="AE307" i="318" s="1"/>
  <c r="Y307" i="318"/>
  <c r="AA307" i="318"/>
  <c r="AB307" i="318"/>
  <c r="AC307" i="318"/>
  <c r="AD307" i="318"/>
  <c r="AF307" i="318"/>
  <c r="AG307" i="318"/>
  <c r="AH307" i="318"/>
  <c r="AN307" i="318"/>
  <c r="AQ307" i="318" s="1"/>
  <c r="W308" i="318"/>
  <c r="AE308" i="318" s="1"/>
  <c r="Y308" i="318"/>
  <c r="AA308" i="318"/>
  <c r="AB308" i="318"/>
  <c r="AC308" i="318"/>
  <c r="AD308" i="318"/>
  <c r="AF308" i="318"/>
  <c r="AG308" i="318"/>
  <c r="AH308" i="318"/>
  <c r="AN308" i="318" s="1"/>
  <c r="AQ308" i="318" s="1"/>
  <c r="AM308" i="318"/>
  <c r="W309" i="318"/>
  <c r="AA309" i="318"/>
  <c r="AB309" i="318"/>
  <c r="AC309" i="318"/>
  <c r="AD309" i="318"/>
  <c r="AF309" i="318"/>
  <c r="AG309" i="318"/>
  <c r="AN309" i="318" s="1"/>
  <c r="AO309" i="318" s="1"/>
  <c r="AH309" i="318"/>
  <c r="AM309" i="318"/>
  <c r="AP309" i="318" s="1"/>
  <c r="AQ309" i="318"/>
  <c r="W310" i="318"/>
  <c r="AE310" i="318" s="1"/>
  <c r="AA310" i="318"/>
  <c r="AB310" i="318"/>
  <c r="AC310" i="318"/>
  <c r="AD310" i="318"/>
  <c r="AF310" i="318"/>
  <c r="AG310" i="318"/>
  <c r="AN310" i="318" s="1"/>
  <c r="AQ310" i="318" s="1"/>
  <c r="AH310" i="318"/>
  <c r="W311" i="318"/>
  <c r="AE311" i="318" s="1"/>
  <c r="Y311" i="318"/>
  <c r="AA311" i="318"/>
  <c r="AB311" i="318"/>
  <c r="AC311" i="318"/>
  <c r="AD311" i="318"/>
  <c r="AF311" i="318"/>
  <c r="AG311" i="318"/>
  <c r="AH311" i="318"/>
  <c r="AN311" i="318"/>
  <c r="AQ311" i="318" s="1"/>
  <c r="W312" i="318"/>
  <c r="AE312" i="318" s="1"/>
  <c r="Y312" i="318"/>
  <c r="AA312" i="318"/>
  <c r="AB312" i="318"/>
  <c r="AC312" i="318"/>
  <c r="AD312" i="318"/>
  <c r="AF312" i="318"/>
  <c r="AG312" i="318"/>
  <c r="AH312" i="318"/>
  <c r="AN312" i="318" s="1"/>
  <c r="AQ312" i="318" s="1"/>
  <c r="AM312" i="318"/>
  <c r="W313" i="318"/>
  <c r="AA313" i="318"/>
  <c r="AB313" i="318"/>
  <c r="AC313" i="318"/>
  <c r="AD313" i="318"/>
  <c r="AF313" i="318"/>
  <c r="AG313" i="318"/>
  <c r="AN313" i="318" s="1"/>
  <c r="AH313" i="318"/>
  <c r="AM313" i="318"/>
  <c r="AP313" i="318" s="1"/>
  <c r="W314" i="318"/>
  <c r="AE314" i="318" s="1"/>
  <c r="AA314" i="318"/>
  <c r="AB314" i="318"/>
  <c r="AC314" i="318"/>
  <c r="AD314" i="318"/>
  <c r="AF314" i="318"/>
  <c r="AG314" i="318"/>
  <c r="AN314" i="318" s="1"/>
  <c r="AQ314" i="318" s="1"/>
  <c r="AH314" i="318"/>
  <c r="C316" i="318"/>
  <c r="D316" i="318"/>
  <c r="E316" i="318"/>
  <c r="F316" i="318"/>
  <c r="G316" i="318"/>
  <c r="H316" i="318"/>
  <c r="I316" i="318"/>
  <c r="J316" i="318"/>
  <c r="K316" i="318"/>
  <c r="L316" i="318"/>
  <c r="M316" i="318"/>
  <c r="N316" i="318"/>
  <c r="O316" i="318"/>
  <c r="P316" i="318"/>
  <c r="Q316" i="318"/>
  <c r="R316" i="318"/>
  <c r="S316" i="318"/>
  <c r="T316" i="318"/>
  <c r="U316" i="318"/>
  <c r="V316" i="318"/>
  <c r="X316" i="318"/>
  <c r="Z316" i="318"/>
  <c r="AA316" i="318"/>
  <c r="AD316" i="318"/>
  <c r="W317" i="318"/>
  <c r="AE317" i="318" s="1"/>
  <c r="AA317" i="318"/>
  <c r="AB317" i="318"/>
  <c r="AB316" i="318" s="1"/>
  <c r="AC317" i="318"/>
  <c r="AC316" i="318" s="1"/>
  <c r="AD317" i="318"/>
  <c r="AF317" i="318"/>
  <c r="AG317" i="318"/>
  <c r="AH317" i="318"/>
  <c r="AI317" i="318"/>
  <c r="AP317" i="318"/>
  <c r="W318" i="318"/>
  <c r="AA318" i="318"/>
  <c r="AB318" i="318"/>
  <c r="AC318" i="318"/>
  <c r="AD318" i="318"/>
  <c r="AF318" i="318"/>
  <c r="AG318" i="318"/>
  <c r="AJ318" i="318" s="1"/>
  <c r="AH318" i="318"/>
  <c r="AI318" i="318"/>
  <c r="AQ318" i="318"/>
  <c r="AT318" i="318" s="1"/>
  <c r="W319" i="318"/>
  <c r="AE319" i="318" s="1"/>
  <c r="Y319" i="318"/>
  <c r="AA319" i="318"/>
  <c r="AB319" i="318"/>
  <c r="AC319" i="318"/>
  <c r="AD319" i="318"/>
  <c r="AF319" i="318"/>
  <c r="AG319" i="318"/>
  <c r="AH319" i="318"/>
  <c r="AP319" i="318" s="1"/>
  <c r="AI319" i="318"/>
  <c r="AQ319" i="318"/>
  <c r="AT319" i="318" s="1"/>
  <c r="W320" i="318"/>
  <c r="AE320" i="318" s="1"/>
  <c r="Y320" i="318"/>
  <c r="AA320" i="318"/>
  <c r="AB320" i="318"/>
  <c r="AC320" i="318"/>
  <c r="AD320" i="318"/>
  <c r="AF320" i="318"/>
  <c r="AP320" i="318" s="1"/>
  <c r="AG320" i="318"/>
  <c r="AQ320" i="318" s="1"/>
  <c r="AH320" i="318"/>
  <c r="AI320" i="318"/>
  <c r="AJ320" i="318"/>
  <c r="AT320" i="318"/>
  <c r="W321" i="318"/>
  <c r="Y321" i="318" s="1"/>
  <c r="AA321" i="318"/>
  <c r="AB321" i="318"/>
  <c r="AC321" i="318"/>
  <c r="AD321" i="318"/>
  <c r="AF321" i="318"/>
  <c r="AG321" i="318"/>
  <c r="AH321" i="318"/>
  <c r="AI321" i="318"/>
  <c r="AP321" i="318"/>
  <c r="W322" i="318"/>
  <c r="Y322" i="318"/>
  <c r="AA322" i="318"/>
  <c r="AB322" i="318"/>
  <c r="AC322" i="318"/>
  <c r="AD322" i="318"/>
  <c r="AE322" i="318"/>
  <c r="AF322" i="318"/>
  <c r="AP322" i="318" s="1"/>
  <c r="AG322" i="318"/>
  <c r="AH322" i="318"/>
  <c r="AI322" i="318"/>
  <c r="AJ322" i="318"/>
  <c r="AQ322" i="318"/>
  <c r="AT322" i="318" s="1"/>
  <c r="W323" i="318"/>
  <c r="AE323" i="318" s="1"/>
  <c r="Y323" i="318"/>
  <c r="AA323" i="318"/>
  <c r="AB323" i="318"/>
  <c r="AC323" i="318"/>
  <c r="AD323" i="318"/>
  <c r="AF323" i="318"/>
  <c r="AG323" i="318"/>
  <c r="AH323" i="318"/>
  <c r="AP323" i="318" s="1"/>
  <c r="AR323" i="318" s="1"/>
  <c r="AI323" i="318"/>
  <c r="AS323" i="318"/>
  <c r="AT323" i="318"/>
  <c r="W324" i="318"/>
  <c r="Y324" i="318"/>
  <c r="AA324" i="318"/>
  <c r="AC324" i="318"/>
  <c r="AD324" i="318"/>
  <c r="AE324" i="318"/>
  <c r="AF324" i="318"/>
  <c r="AG324" i="318"/>
  <c r="AH324" i="318"/>
  <c r="AI324" i="318"/>
  <c r="AP324" i="318"/>
  <c r="AT324" i="318"/>
  <c r="W325" i="318"/>
  <c r="AA325" i="318"/>
  <c r="AB325" i="318"/>
  <c r="AC325" i="318"/>
  <c r="AD325" i="318"/>
  <c r="AF325" i="318"/>
  <c r="AG325" i="318"/>
  <c r="AH325" i="318"/>
  <c r="AI325" i="318"/>
  <c r="AT325" i="318"/>
  <c r="W326" i="318"/>
  <c r="AE326" i="318" s="1"/>
  <c r="Y326" i="318"/>
  <c r="AA326" i="318"/>
  <c r="AB326" i="318"/>
  <c r="AC326" i="318"/>
  <c r="AD326" i="318"/>
  <c r="AF326" i="318"/>
  <c r="AG326" i="318"/>
  <c r="AH326" i="318"/>
  <c r="AP326" i="318" s="1"/>
  <c r="AR326" i="318" s="1"/>
  <c r="AI326" i="318"/>
  <c r="AS326" i="318"/>
  <c r="AT326" i="318"/>
  <c r="W327" i="318"/>
  <c r="Y327" i="318"/>
  <c r="AA327" i="318"/>
  <c r="AB327" i="318"/>
  <c r="AC327" i="318"/>
  <c r="AD327" i="318"/>
  <c r="AE327" i="318"/>
  <c r="AF327" i="318"/>
  <c r="AG327" i="318"/>
  <c r="AH327" i="318"/>
  <c r="AI327" i="318"/>
  <c r="AT327" i="318"/>
  <c r="W328" i="318"/>
  <c r="Y328" i="318"/>
  <c r="AA328" i="318"/>
  <c r="AB328" i="318"/>
  <c r="AC328" i="318"/>
  <c r="AD328" i="318"/>
  <c r="AE328" i="318"/>
  <c r="AF328" i="318"/>
  <c r="AG328" i="318"/>
  <c r="AH328" i="318"/>
  <c r="AI328" i="318"/>
  <c r="AP328" i="318"/>
  <c r="AT328" i="318"/>
  <c r="W329" i="318"/>
  <c r="AA329" i="318"/>
  <c r="AB329" i="318"/>
  <c r="AC329" i="318"/>
  <c r="AD329" i="318"/>
  <c r="AF329" i="318"/>
  <c r="AG329" i="318"/>
  <c r="AH329" i="318"/>
  <c r="AI329" i="318"/>
  <c r="AT329" i="318"/>
  <c r="W330" i="318"/>
  <c r="AE330" i="318" s="1"/>
  <c r="Y330" i="318"/>
  <c r="AA330" i="318"/>
  <c r="AB330" i="318"/>
  <c r="AC330" i="318"/>
  <c r="AD330" i="318"/>
  <c r="AF330" i="318"/>
  <c r="AG330" i="318"/>
  <c r="AH330" i="318"/>
  <c r="AP330" i="318" s="1"/>
  <c r="AR330" i="318" s="1"/>
  <c r="AI330" i="318"/>
  <c r="AS330" i="318"/>
  <c r="AT330" i="318"/>
  <c r="W331" i="318"/>
  <c r="Y331" i="318"/>
  <c r="AA331" i="318"/>
  <c r="AB331" i="318"/>
  <c r="AC331" i="318"/>
  <c r="AD331" i="318"/>
  <c r="AE331" i="318"/>
  <c r="AF331" i="318"/>
  <c r="AG331" i="318"/>
  <c r="AH331" i="318"/>
  <c r="AI331" i="318"/>
  <c r="AT331" i="318"/>
  <c r="W332" i="318"/>
  <c r="Y332" i="318"/>
  <c r="AA332" i="318"/>
  <c r="AB332" i="318"/>
  <c r="AC332" i="318"/>
  <c r="AD332" i="318"/>
  <c r="AE332" i="318"/>
  <c r="AF332" i="318"/>
  <c r="AG332" i="318"/>
  <c r="AH332" i="318"/>
  <c r="AI332" i="318"/>
  <c r="AP332" i="318"/>
  <c r="AT332" i="318"/>
  <c r="W333" i="318"/>
  <c r="AA333" i="318"/>
  <c r="AB333" i="318"/>
  <c r="AC333" i="318"/>
  <c r="AD333" i="318"/>
  <c r="AF333" i="318"/>
  <c r="AG333" i="318"/>
  <c r="AH333" i="318"/>
  <c r="AI333" i="318"/>
  <c r="AT333" i="318"/>
  <c r="W334" i="318"/>
  <c r="AE334" i="318" s="1"/>
  <c r="Y334" i="318"/>
  <c r="AA334" i="318"/>
  <c r="AB334" i="318"/>
  <c r="AC334" i="318"/>
  <c r="AD334" i="318"/>
  <c r="AF334" i="318"/>
  <c r="AG334" i="318"/>
  <c r="AH334" i="318"/>
  <c r="AP334" i="318" s="1"/>
  <c r="AR334" i="318" s="1"/>
  <c r="AI334" i="318"/>
  <c r="AS334" i="318"/>
  <c r="AT334" i="318"/>
  <c r="W335" i="318"/>
  <c r="Y335" i="318"/>
  <c r="AA335" i="318"/>
  <c r="AB335" i="318"/>
  <c r="AC335" i="318"/>
  <c r="AD335" i="318"/>
  <c r="AE335" i="318"/>
  <c r="AF335" i="318"/>
  <c r="AG335" i="318"/>
  <c r="AH335" i="318"/>
  <c r="AI335" i="318"/>
  <c r="AQ335" i="318"/>
  <c r="AT335" i="318"/>
  <c r="W336" i="318"/>
  <c r="AE336" i="318" s="1"/>
  <c r="Y336" i="318"/>
  <c r="AA336" i="318"/>
  <c r="AB336" i="318"/>
  <c r="AC336" i="318"/>
  <c r="AD336" i="318"/>
  <c r="AF336" i="318"/>
  <c r="AQ336" i="318" s="1"/>
  <c r="AT336" i="318" s="1"/>
  <c r="AG336" i="318"/>
  <c r="AJ336" i="318" s="1"/>
  <c r="AH336" i="318"/>
  <c r="AI336" i="318"/>
  <c r="W337" i="318"/>
  <c r="AA337" i="318"/>
  <c r="AB337" i="318"/>
  <c r="AC337" i="318"/>
  <c r="AD337" i="318"/>
  <c r="AF337" i="318"/>
  <c r="AQ337" i="318" s="1"/>
  <c r="AG337" i="318"/>
  <c r="AJ337" i="318" s="1"/>
  <c r="AH337" i="318"/>
  <c r="AI337" i="318"/>
  <c r="AP337" i="318"/>
  <c r="AS337" i="318" s="1"/>
  <c r="AR337" i="318"/>
  <c r="AT337" i="318"/>
  <c r="W338" i="318"/>
  <c r="Y338" i="318"/>
  <c r="AA338" i="318"/>
  <c r="AB338" i="318"/>
  <c r="AC338" i="318"/>
  <c r="AD338" i="318"/>
  <c r="AE338" i="318"/>
  <c r="AF338" i="318"/>
  <c r="AG338" i="318"/>
  <c r="AH338" i="318"/>
  <c r="AI338" i="318"/>
  <c r="AQ338" i="318"/>
  <c r="AT338" i="318" s="1"/>
  <c r="W339" i="318"/>
  <c r="Y339" i="318"/>
  <c r="AA339" i="318"/>
  <c r="AB339" i="318"/>
  <c r="AC339" i="318"/>
  <c r="AD339" i="318"/>
  <c r="AE339" i="318"/>
  <c r="AF339" i="318"/>
  <c r="AG339" i="318"/>
  <c r="AH339" i="318"/>
  <c r="AP339" i="318" s="1"/>
  <c r="AI339" i="318"/>
  <c r="AQ339" i="318"/>
  <c r="AT339" i="318"/>
  <c r="W340" i="318"/>
  <c r="AE340" i="318" s="1"/>
  <c r="Y340" i="318"/>
  <c r="AA340" i="318"/>
  <c r="AB340" i="318"/>
  <c r="AC340" i="318"/>
  <c r="AD340" i="318"/>
  <c r="AF340" i="318"/>
  <c r="AQ340" i="318" s="1"/>
  <c r="AT340" i="318" s="1"/>
  <c r="AG340" i="318"/>
  <c r="AJ340" i="318" s="1"/>
  <c r="AH340" i="318"/>
  <c r="AI340" i="318"/>
  <c r="AP340" i="318"/>
  <c r="W341" i="318"/>
  <c r="AA341" i="318"/>
  <c r="AB341" i="318"/>
  <c r="AC341" i="318"/>
  <c r="AD341" i="318"/>
  <c r="AF341" i="318"/>
  <c r="AQ341" i="318" s="1"/>
  <c r="AG341" i="318"/>
  <c r="AJ341" i="318" s="1"/>
  <c r="AH341" i="318"/>
  <c r="AI341" i="318"/>
  <c r="AP341" i="318"/>
  <c r="AS341" i="318" s="1"/>
  <c r="AR341" i="318"/>
  <c r="AT341" i="318"/>
  <c r="W342" i="318"/>
  <c r="Y342" i="318"/>
  <c r="AA342" i="318"/>
  <c r="AB342" i="318"/>
  <c r="AC342" i="318"/>
  <c r="AD342" i="318"/>
  <c r="AE342" i="318"/>
  <c r="AF342" i="318"/>
  <c r="AG342" i="318"/>
  <c r="AH342" i="318"/>
  <c r="AI342" i="318"/>
  <c r="AQ342" i="318"/>
  <c r="AT342" i="318" s="1"/>
  <c r="W343" i="318"/>
  <c r="Y343" i="318"/>
  <c r="AA343" i="318"/>
  <c r="AB343" i="318"/>
  <c r="AC343" i="318"/>
  <c r="AD343" i="318"/>
  <c r="AE343" i="318"/>
  <c r="AF343" i="318"/>
  <c r="AG343" i="318"/>
  <c r="AH343" i="318"/>
  <c r="AI343" i="318"/>
  <c r="AQ343" i="318"/>
  <c r="AT343" i="318"/>
  <c r="W344" i="318"/>
  <c r="AE344" i="318" s="1"/>
  <c r="Y344" i="318"/>
  <c r="AA344" i="318"/>
  <c r="AB344" i="318"/>
  <c r="AC344" i="318"/>
  <c r="AD344" i="318"/>
  <c r="AF344" i="318"/>
  <c r="AQ344" i="318" s="1"/>
  <c r="AT344" i="318" s="1"/>
  <c r="AG344" i="318"/>
  <c r="AH344" i="318"/>
  <c r="AI344" i="318"/>
  <c r="W345" i="318"/>
  <c r="AA345" i="318"/>
  <c r="AB345" i="318"/>
  <c r="AC345" i="318"/>
  <c r="AD345" i="318"/>
  <c r="AF345" i="318"/>
  <c r="AQ345" i="318" s="1"/>
  <c r="AG345" i="318"/>
  <c r="AJ345" i="318" s="1"/>
  <c r="AH345" i="318"/>
  <c r="AI345" i="318"/>
  <c r="AP345" i="318"/>
  <c r="AS345" i="318" s="1"/>
  <c r="AR345" i="318"/>
  <c r="AT345" i="318"/>
  <c r="W346" i="318"/>
  <c r="Y346" i="318"/>
  <c r="AA346" i="318"/>
  <c r="AB346" i="318"/>
  <c r="AC346" i="318"/>
  <c r="AD346" i="318"/>
  <c r="AE346" i="318"/>
  <c r="AF346" i="318"/>
  <c r="AG346" i="318"/>
  <c r="AH346" i="318"/>
  <c r="AI346" i="318"/>
  <c r="AQ346" i="318"/>
  <c r="AT346" i="318" s="1"/>
  <c r="W347" i="318"/>
  <c r="Y347" i="318"/>
  <c r="AA347" i="318"/>
  <c r="AB347" i="318"/>
  <c r="AC347" i="318"/>
  <c r="AD347" i="318"/>
  <c r="AE347" i="318"/>
  <c r="AF347" i="318"/>
  <c r="AG347" i="318"/>
  <c r="AH347" i="318"/>
  <c r="AP347" i="318" s="1"/>
  <c r="AI347" i="318"/>
  <c r="AQ347" i="318"/>
  <c r="AT347" i="318"/>
  <c r="W348" i="318"/>
  <c r="AE348" i="318" s="1"/>
  <c r="Y348" i="318"/>
  <c r="AA348" i="318"/>
  <c r="AB348" i="318"/>
  <c r="AC348" i="318"/>
  <c r="AD348" i="318"/>
  <c r="AF348" i="318"/>
  <c r="AQ348" i="318" s="1"/>
  <c r="AT348" i="318" s="1"/>
  <c r="AG348" i="318"/>
  <c r="AJ348" i="318" s="1"/>
  <c r="AH348" i="318"/>
  <c r="AI348" i="318"/>
  <c r="AP348" i="318"/>
  <c r="W349" i="318"/>
  <c r="AA349" i="318"/>
  <c r="AB349" i="318"/>
  <c r="AC349" i="318"/>
  <c r="AD349" i="318"/>
  <c r="AF349" i="318"/>
  <c r="AQ349" i="318" s="1"/>
  <c r="AG349" i="318"/>
  <c r="AJ349" i="318" s="1"/>
  <c r="AH349" i="318"/>
  <c r="AI349" i="318"/>
  <c r="AP349" i="318"/>
  <c r="AS349" i="318" s="1"/>
  <c r="AR349" i="318"/>
  <c r="AT349" i="318"/>
  <c r="W350" i="318"/>
  <c r="AE350" i="318" s="1"/>
  <c r="Y350" i="318"/>
  <c r="AA350" i="318"/>
  <c r="AB350" i="318"/>
  <c r="AC350" i="318"/>
  <c r="AD350" i="318"/>
  <c r="AF350" i="318"/>
  <c r="AG350" i="318"/>
  <c r="AJ350" i="318" s="1"/>
  <c r="AH350" i="318"/>
  <c r="AP350" i="318" s="1"/>
  <c r="AI350" i="318"/>
  <c r="AQ350" i="318"/>
  <c r="AT350" i="318" s="1"/>
  <c r="W351" i="318"/>
  <c r="AA351" i="318"/>
  <c r="AB351" i="318"/>
  <c r="AC351" i="318"/>
  <c r="AD351" i="318"/>
  <c r="AF351" i="318"/>
  <c r="AQ351" i="318" s="1"/>
  <c r="AG351" i="318"/>
  <c r="AJ351" i="318" s="1"/>
  <c r="AH351" i="318"/>
  <c r="AI351" i="318"/>
  <c r="AT351" i="318"/>
  <c r="W352" i="318"/>
  <c r="Y352" i="318"/>
  <c r="AA352" i="318"/>
  <c r="AB352" i="318"/>
  <c r="AC352" i="318"/>
  <c r="AD352" i="318"/>
  <c r="AE352" i="318"/>
  <c r="AF352" i="318"/>
  <c r="AQ352" i="318" s="1"/>
  <c r="AT352" i="318" s="1"/>
  <c r="AG352" i="318"/>
  <c r="AH352" i="318"/>
  <c r="AP352" i="318" s="1"/>
  <c r="AI352" i="318"/>
  <c r="AJ352" i="318"/>
  <c r="W353" i="318"/>
  <c r="Y353" i="318"/>
  <c r="AA353" i="318"/>
  <c r="AB353" i="318"/>
  <c r="AC353" i="318"/>
  <c r="AD353" i="318"/>
  <c r="AE353" i="318"/>
  <c r="AF353" i="318"/>
  <c r="AG353" i="318"/>
  <c r="AJ353" i="318" s="1"/>
  <c r="AH353" i="318"/>
  <c r="AI353" i="318"/>
  <c r="AQ353" i="318"/>
  <c r="AT353" i="318" s="1"/>
  <c r="W354" i="318"/>
  <c r="AE354" i="318" s="1"/>
  <c r="Y354" i="318"/>
  <c r="AA354" i="318"/>
  <c r="AB354" i="318"/>
  <c r="AC354" i="318"/>
  <c r="AD354" i="318"/>
  <c r="AF354" i="318"/>
  <c r="AG354" i="318"/>
  <c r="AJ354" i="318" s="1"/>
  <c r="AH354" i="318"/>
  <c r="AP354" i="318" s="1"/>
  <c r="AI354" i="318"/>
  <c r="AQ354" i="318"/>
  <c r="AT354" i="318" s="1"/>
  <c r="W355" i="318"/>
  <c r="AA355" i="318"/>
  <c r="AB355" i="318"/>
  <c r="AC355" i="318"/>
  <c r="AD355" i="318"/>
  <c r="AF355" i="318"/>
  <c r="AQ355" i="318" s="1"/>
  <c r="AG355" i="318"/>
  <c r="AJ355" i="318" s="1"/>
  <c r="AH355" i="318"/>
  <c r="AI355" i="318"/>
  <c r="AT355" i="318"/>
  <c r="W356" i="318"/>
  <c r="Y356" i="318"/>
  <c r="AA356" i="318"/>
  <c r="AB356" i="318"/>
  <c r="AC356" i="318"/>
  <c r="AD356" i="318"/>
  <c r="AE356" i="318"/>
  <c r="AF356" i="318"/>
  <c r="AQ356" i="318" s="1"/>
  <c r="AT356" i="318" s="1"/>
  <c r="AG356" i="318"/>
  <c r="AH356" i="318"/>
  <c r="AP356" i="318" s="1"/>
  <c r="AI356" i="318"/>
  <c r="AJ356" i="318"/>
  <c r="W357" i="318"/>
  <c r="Y357" i="318"/>
  <c r="AA357" i="318"/>
  <c r="AB357" i="318"/>
  <c r="AC357" i="318"/>
  <c r="AD357" i="318"/>
  <c r="AE357" i="318"/>
  <c r="AF357" i="318"/>
  <c r="AG357" i="318"/>
  <c r="AJ357" i="318" s="1"/>
  <c r="AH357" i="318"/>
  <c r="AI357" i="318"/>
  <c r="AQ357" i="318"/>
  <c r="AT357" i="318" s="1"/>
  <c r="W358" i="318"/>
  <c r="AE358" i="318" s="1"/>
  <c r="Y358" i="318"/>
  <c r="AA358" i="318"/>
  <c r="AB358" i="318"/>
  <c r="AC358" i="318"/>
  <c r="AD358" i="318"/>
  <c r="AF358" i="318"/>
  <c r="AG358" i="318"/>
  <c r="AJ358" i="318" s="1"/>
  <c r="AH358" i="318"/>
  <c r="AP358" i="318" s="1"/>
  <c r="AI358" i="318"/>
  <c r="AQ358" i="318"/>
  <c r="AT358" i="318" s="1"/>
  <c r="W359" i="318"/>
  <c r="AF359" i="318"/>
  <c r="AG359" i="318"/>
  <c r="AJ359" i="318" s="1"/>
  <c r="AH359" i="318"/>
  <c r="AI359" i="318"/>
  <c r="AP359" i="318" s="1"/>
  <c r="AS359" i="318" s="1"/>
  <c r="AT359" i="318"/>
  <c r="W360" i="318"/>
  <c r="AF360" i="318"/>
  <c r="AG360" i="318"/>
  <c r="AJ360" i="318" s="1"/>
  <c r="AH360" i="318"/>
  <c r="AI360" i="318"/>
  <c r="AP360" i="318"/>
  <c r="AS360" i="318" s="1"/>
  <c r="AT360" i="318"/>
  <c r="W361" i="318"/>
  <c r="AE361" i="318" s="1"/>
  <c r="Y361" i="318"/>
  <c r="AF361" i="318"/>
  <c r="AG361" i="318"/>
  <c r="AH361" i="318"/>
  <c r="AP361" i="318" s="1"/>
  <c r="AI361" i="318"/>
  <c r="AS361" i="318"/>
  <c r="AT361" i="318"/>
  <c r="W362" i="318"/>
  <c r="Y362" i="318"/>
  <c r="AE362" i="318"/>
  <c r="AF362" i="318"/>
  <c r="AG362" i="318"/>
  <c r="AH362" i="318"/>
  <c r="AI362" i="318"/>
  <c r="AT362" i="318"/>
  <c r="W363" i="318"/>
  <c r="Y363" i="318"/>
  <c r="AE363" i="318"/>
  <c r="AF363" i="318"/>
  <c r="AG363" i="318"/>
  <c r="AH363" i="318"/>
  <c r="AI363" i="318"/>
  <c r="AJ363" i="318"/>
  <c r="AT363" i="318"/>
  <c r="W364" i="318"/>
  <c r="AF364" i="318"/>
  <c r="AG364" i="318"/>
  <c r="AJ364" i="318" s="1"/>
  <c r="AH364" i="318"/>
  <c r="AI364" i="318"/>
  <c r="AP364" i="318"/>
  <c r="AS364" i="318" s="1"/>
  <c r="AT364" i="318"/>
  <c r="W365" i="318"/>
  <c r="AE365" i="318" s="1"/>
  <c r="Y365" i="318"/>
  <c r="AF365" i="318"/>
  <c r="AG365" i="318"/>
  <c r="AH365" i="318"/>
  <c r="AP365" i="318" s="1"/>
  <c r="AI365" i="318"/>
  <c r="AS365" i="318"/>
  <c r="AT365" i="318"/>
  <c r="W366" i="318"/>
  <c r="Y366" i="318"/>
  <c r="AE366" i="318"/>
  <c r="AF366" i="318"/>
  <c r="AG366" i="318"/>
  <c r="AH366" i="318"/>
  <c r="AI366" i="318"/>
  <c r="AT366" i="318"/>
  <c r="W367" i="318"/>
  <c r="Y367" i="318"/>
  <c r="AE367" i="318"/>
  <c r="AF367" i="318"/>
  <c r="AG367" i="318"/>
  <c r="AH367" i="318"/>
  <c r="AI367" i="318"/>
  <c r="AJ367" i="318"/>
  <c r="AT367" i="318"/>
  <c r="W368" i="318"/>
  <c r="AF368" i="318"/>
  <c r="AG368" i="318"/>
  <c r="AJ368" i="318" s="1"/>
  <c r="AH368" i="318"/>
  <c r="AI368" i="318"/>
  <c r="AP368" i="318"/>
  <c r="AS368" i="318" s="1"/>
  <c r="AT368" i="318"/>
  <c r="W369" i="318"/>
  <c r="AE369" i="318" s="1"/>
  <c r="Y369" i="318"/>
  <c r="AF369" i="318"/>
  <c r="AG369" i="318"/>
  <c r="AH369" i="318"/>
  <c r="AP369" i="318" s="1"/>
  <c r="AI369" i="318"/>
  <c r="AS369" i="318"/>
  <c r="AT369" i="318"/>
  <c r="W370" i="318"/>
  <c r="Y370" i="318"/>
  <c r="AE370" i="318"/>
  <c r="AF370" i="318"/>
  <c r="AG370" i="318"/>
  <c r="AH370" i="318"/>
  <c r="AI370" i="318"/>
  <c r="AT370" i="318"/>
  <c r="W371" i="318"/>
  <c r="Y371" i="318"/>
  <c r="AE371" i="318"/>
  <c r="AF371" i="318"/>
  <c r="AG371" i="318"/>
  <c r="AH371" i="318"/>
  <c r="AI371" i="318"/>
  <c r="AJ371" i="318"/>
  <c r="AT371" i="318"/>
  <c r="W372" i="318"/>
  <c r="AF372" i="318"/>
  <c r="AG372" i="318"/>
  <c r="AH372" i="318"/>
  <c r="AI372" i="318"/>
  <c r="AJ372" i="318"/>
  <c r="AP372" i="318"/>
  <c r="AS372" i="318" s="1"/>
  <c r="AT372" i="318"/>
  <c r="W373" i="318"/>
  <c r="AE373" i="318" s="1"/>
  <c r="Y373" i="318"/>
  <c r="AF373" i="318"/>
  <c r="AG373" i="318"/>
  <c r="AJ373" i="318" s="1"/>
  <c r="AH373" i="318"/>
  <c r="AI373" i="318"/>
  <c r="AP373" i="318"/>
  <c r="AS373" i="318" s="1"/>
  <c r="AT373" i="318"/>
  <c r="W374" i="318"/>
  <c r="Y374" i="318"/>
  <c r="AE374" i="318"/>
  <c r="AF374" i="318"/>
  <c r="AG374" i="318"/>
  <c r="AJ374" i="318" s="1"/>
  <c r="AH374" i="318"/>
  <c r="AP374" i="318" s="1"/>
  <c r="AS374" i="318" s="1"/>
  <c r="AI374" i="318"/>
  <c r="AT374" i="318"/>
  <c r="W375" i="318"/>
  <c r="Y375" i="318"/>
  <c r="AE375" i="318"/>
  <c r="AF375" i="318"/>
  <c r="AG375" i="318"/>
  <c r="AH375" i="318"/>
  <c r="AI375" i="318"/>
  <c r="AJ375" i="318"/>
  <c r="AT375" i="318"/>
  <c r="W376" i="318"/>
  <c r="AF376" i="318"/>
  <c r="AG376" i="318"/>
  <c r="AJ376" i="318" s="1"/>
  <c r="AH376" i="318"/>
  <c r="AI376" i="318"/>
  <c r="AP376" i="318"/>
  <c r="AS376" i="318" s="1"/>
  <c r="AT376" i="318"/>
  <c r="W377" i="318"/>
  <c r="AE377" i="318" s="1"/>
  <c r="AF377" i="318"/>
  <c r="AG377" i="318"/>
  <c r="AH377" i="318"/>
  <c r="AI377" i="318"/>
  <c r="AP377" i="318"/>
  <c r="AS377" i="318" s="1"/>
  <c r="AT377" i="318"/>
  <c r="W378" i="318"/>
  <c r="Y378" i="318"/>
  <c r="AE378" i="318"/>
  <c r="AF378" i="318"/>
  <c r="AG378" i="318"/>
  <c r="AH378" i="318"/>
  <c r="AP378" i="318" s="1"/>
  <c r="AS378" i="318" s="1"/>
  <c r="AI378" i="318"/>
  <c r="AT378" i="318"/>
  <c r="W379" i="318"/>
  <c r="Y379" i="318"/>
  <c r="AE379" i="318"/>
  <c r="AF379" i="318"/>
  <c r="AG379" i="318"/>
  <c r="AH379" i="318"/>
  <c r="AI379" i="318"/>
  <c r="AJ379" i="318" s="1"/>
  <c r="AT379" i="318"/>
  <c r="W380" i="318"/>
  <c r="AF380" i="318"/>
  <c r="AP380" i="318" s="1"/>
  <c r="AS380" i="318" s="1"/>
  <c r="AG380" i="318"/>
  <c r="AH380" i="318"/>
  <c r="AI380" i="318"/>
  <c r="AJ380" i="318"/>
  <c r="AT380" i="318"/>
  <c r="W381" i="318"/>
  <c r="AE381" i="318" s="1"/>
  <c r="AF381" i="318"/>
  <c r="AG381" i="318"/>
  <c r="AJ381" i="318" s="1"/>
  <c r="AH381" i="318"/>
  <c r="AP381" i="318" s="1"/>
  <c r="AS381" i="318" s="1"/>
  <c r="AI381" i="318"/>
  <c r="AT381" i="318"/>
  <c r="W382" i="318"/>
  <c r="Y382" i="318"/>
  <c r="AE382" i="318"/>
  <c r="AF382" i="318"/>
  <c r="AG382" i="318"/>
  <c r="AH382" i="318"/>
  <c r="AI382" i="318"/>
  <c r="AT382" i="318"/>
  <c r="W383" i="318"/>
  <c r="Y383" i="318" s="1"/>
  <c r="AE383" i="318"/>
  <c r="AF383" i="318"/>
  <c r="AG383" i="318"/>
  <c r="AH383" i="318"/>
  <c r="AI383" i="318"/>
  <c r="AT383" i="318"/>
  <c r="W384" i="318"/>
  <c r="AF384" i="318"/>
  <c r="AP384" i="318" s="1"/>
  <c r="AS384" i="318" s="1"/>
  <c r="AG384" i="318"/>
  <c r="AH384" i="318"/>
  <c r="AI384" i="318"/>
  <c r="AJ384" i="318"/>
  <c r="AT384" i="318"/>
  <c r="W385" i="318"/>
  <c r="AE385" i="318" s="1"/>
  <c r="Y385" i="318"/>
  <c r="AF385" i="318"/>
  <c r="AG385" i="318"/>
  <c r="AJ385" i="318" s="1"/>
  <c r="AH385" i="318"/>
  <c r="AI385" i="318"/>
  <c r="AP385" i="318"/>
  <c r="AS385" i="318" s="1"/>
  <c r="AT385" i="318"/>
  <c r="W386" i="318"/>
  <c r="Y386" i="318"/>
  <c r="AE386" i="318"/>
  <c r="AF386" i="318"/>
  <c r="AG386" i="318"/>
  <c r="AH386" i="318"/>
  <c r="AI386" i="318"/>
  <c r="AT386" i="318"/>
  <c r="W387" i="318"/>
  <c r="Y387" i="318" s="1"/>
  <c r="AE387" i="318"/>
  <c r="AF387" i="318"/>
  <c r="AG387" i="318"/>
  <c r="AH387" i="318"/>
  <c r="AI387" i="318"/>
  <c r="AP387" i="318" s="1"/>
  <c r="AS387" i="318" s="1"/>
  <c r="AT387" i="318"/>
  <c r="W388" i="318"/>
  <c r="AF388" i="318"/>
  <c r="AP388" i="318" s="1"/>
  <c r="AS388" i="318" s="1"/>
  <c r="AG388" i="318"/>
  <c r="AH388" i="318"/>
  <c r="AI388" i="318"/>
  <c r="AJ388" i="318"/>
  <c r="AT388" i="318"/>
  <c r="W389" i="318"/>
  <c r="AE389" i="318" s="1"/>
  <c r="Y389" i="318"/>
  <c r="AF389" i="318"/>
  <c r="AG389" i="318"/>
  <c r="AJ389" i="318" s="1"/>
  <c r="AH389" i="318"/>
  <c r="AP389" i="318" s="1"/>
  <c r="AS389" i="318" s="1"/>
  <c r="AI389" i="318"/>
  <c r="AT389" i="318"/>
  <c r="W390" i="318"/>
  <c r="Y390" i="318"/>
  <c r="AE390" i="318"/>
  <c r="AF390" i="318"/>
  <c r="AG390" i="318"/>
  <c r="AH390" i="318"/>
  <c r="AI390" i="318"/>
  <c r="AT390" i="318"/>
  <c r="W391" i="318"/>
  <c r="Y391" i="318"/>
  <c r="AE391" i="318"/>
  <c r="AF391" i="318"/>
  <c r="AG391" i="318"/>
  <c r="AH391" i="318"/>
  <c r="AP391" i="318" s="1"/>
  <c r="AS391" i="318" s="1"/>
  <c r="AI391" i="318"/>
  <c r="AJ391" i="318"/>
  <c r="AT391" i="318"/>
  <c r="W392" i="318"/>
  <c r="AF392" i="318"/>
  <c r="AG392" i="318"/>
  <c r="AJ392" i="318" s="1"/>
  <c r="AH392" i="318"/>
  <c r="AI392" i="318"/>
  <c r="AP392" i="318"/>
  <c r="AS392" i="318" s="1"/>
  <c r="AT392" i="318"/>
  <c r="W393" i="318"/>
  <c r="AF393" i="318"/>
  <c r="AG393" i="318"/>
  <c r="AH393" i="318"/>
  <c r="AP393" i="318" s="1"/>
  <c r="AS393" i="318" s="1"/>
  <c r="AI393" i="318"/>
  <c r="AT393" i="318"/>
  <c r="W394" i="318"/>
  <c r="Y394" i="318"/>
  <c r="AE394" i="318"/>
  <c r="AF394" i="318"/>
  <c r="AG394" i="318"/>
  <c r="AH394" i="318"/>
  <c r="AP394" i="318" s="1"/>
  <c r="AI394" i="318"/>
  <c r="AS394" i="318"/>
  <c r="AT394" i="318"/>
  <c r="W395" i="318"/>
  <c r="Y395" i="318" s="1"/>
  <c r="AE395" i="318"/>
  <c r="AF395" i="318"/>
  <c r="AG395" i="318"/>
  <c r="AH395" i="318"/>
  <c r="AI395" i="318"/>
  <c r="AJ395" i="318"/>
  <c r="AT395" i="318"/>
  <c r="W396" i="318"/>
  <c r="AF396" i="318"/>
  <c r="AG396" i="318"/>
  <c r="AH396" i="318"/>
  <c r="AI396" i="318"/>
  <c r="AT396" i="318"/>
  <c r="W397" i="318"/>
  <c r="AE397" i="318" s="1"/>
  <c r="AF397" i="318"/>
  <c r="AG397" i="318"/>
  <c r="AH397" i="318"/>
  <c r="AI397" i="318"/>
  <c r="AP397" i="318"/>
  <c r="AS397" i="318" s="1"/>
  <c r="AT397" i="318"/>
  <c r="W398" i="318"/>
  <c r="Y398" i="318"/>
  <c r="AE398" i="318"/>
  <c r="AF398" i="318"/>
  <c r="AG398" i="318"/>
  <c r="AH398" i="318"/>
  <c r="AP398" i="318" s="1"/>
  <c r="AS398" i="318" s="1"/>
  <c r="AI398" i="318"/>
  <c r="AT398" i="318"/>
  <c r="W399" i="318"/>
  <c r="Y399" i="318" s="1"/>
  <c r="AE399" i="318"/>
  <c r="AF399" i="318"/>
  <c r="AG399" i="318"/>
  <c r="AH399" i="318"/>
  <c r="AP399" i="318" s="1"/>
  <c r="AS399" i="318" s="1"/>
  <c r="AI399" i="318"/>
  <c r="AJ399" i="318"/>
  <c r="AT399" i="318"/>
  <c r="W400" i="318"/>
  <c r="AF400" i="318"/>
  <c r="AG400" i="318"/>
  <c r="AJ400" i="318" s="1"/>
  <c r="AH400" i="318"/>
  <c r="AI400" i="318"/>
  <c r="AP400" i="318"/>
  <c r="AS400" i="318" s="1"/>
  <c r="AT400" i="318"/>
  <c r="C402" i="318"/>
  <c r="D402" i="318"/>
  <c r="E402" i="318"/>
  <c r="F402" i="318"/>
  <c r="G402" i="318"/>
  <c r="H402" i="318"/>
  <c r="I402" i="318"/>
  <c r="J402" i="318"/>
  <c r="K402" i="318"/>
  <c r="L402" i="318"/>
  <c r="M402" i="318"/>
  <c r="N402" i="318"/>
  <c r="O402" i="318"/>
  <c r="P402" i="318"/>
  <c r="Q402" i="318"/>
  <c r="R402" i="318"/>
  <c r="S402" i="318"/>
  <c r="T402" i="318"/>
  <c r="U402" i="318"/>
  <c r="V402" i="318"/>
  <c r="X402" i="318"/>
  <c r="Z402" i="318"/>
  <c r="AA402" i="318"/>
  <c r="AB402" i="318"/>
  <c r="AC402" i="318"/>
  <c r="AD402" i="318"/>
  <c r="W403" i="318"/>
  <c r="AF403" i="318"/>
  <c r="AG403" i="318"/>
  <c r="AH403" i="318"/>
  <c r="AI403" i="318"/>
  <c r="AM403" i="318"/>
  <c r="AT403" i="318"/>
  <c r="W404" i="318"/>
  <c r="AF404" i="318"/>
  <c r="AG404" i="318"/>
  <c r="AJ404" i="318" s="1"/>
  <c r="AH404" i="318"/>
  <c r="AI404" i="318"/>
  <c r="AM404" i="318"/>
  <c r="AT404" i="318"/>
  <c r="W405" i="318"/>
  <c r="AF405" i="318"/>
  <c r="AG405" i="318"/>
  <c r="AH405" i="318"/>
  <c r="AI405" i="318"/>
  <c r="AT405" i="318"/>
  <c r="W406" i="318"/>
  <c r="AF406" i="318"/>
  <c r="AG406" i="318"/>
  <c r="AJ406" i="318" s="1"/>
  <c r="AH406" i="318"/>
  <c r="AI406" i="318"/>
  <c r="AT406" i="318"/>
  <c r="W407" i="318"/>
  <c r="AF407" i="318"/>
  <c r="AG407" i="318"/>
  <c r="AJ407" i="318" s="1"/>
  <c r="AH407" i="318"/>
  <c r="AI407" i="318"/>
  <c r="AM407" i="318"/>
  <c r="AT407" i="318"/>
  <c r="W408" i="318"/>
  <c r="AF408" i="318"/>
  <c r="AG408" i="318"/>
  <c r="AJ408" i="318" s="1"/>
  <c r="AH408" i="318"/>
  <c r="AI408" i="318"/>
  <c r="AM408" i="318"/>
  <c r="AT408" i="318"/>
  <c r="W409" i="318"/>
  <c r="AF409" i="318"/>
  <c r="AG409" i="318"/>
  <c r="AH409" i="318"/>
  <c r="AI409" i="318"/>
  <c r="AT409" i="318"/>
  <c r="W410" i="318"/>
  <c r="AF410" i="318"/>
  <c r="AG410" i="318"/>
  <c r="AJ410" i="318" s="1"/>
  <c r="AH410" i="318"/>
  <c r="AI410" i="318"/>
  <c r="AT410" i="318"/>
  <c r="W411" i="318"/>
  <c r="AF411" i="318"/>
  <c r="AG411" i="318"/>
  <c r="AJ411" i="318" s="1"/>
  <c r="AH411" i="318"/>
  <c r="AI411" i="318"/>
  <c r="AM411" i="318"/>
  <c r="W412" i="318"/>
  <c r="Y412" i="318"/>
  <c r="AE412" i="318"/>
  <c r="AF412" i="318"/>
  <c r="AN412" i="318" s="1"/>
  <c r="AT412" i="318" s="1"/>
  <c r="AG412" i="318"/>
  <c r="AH412" i="318"/>
  <c r="AM412" i="318" s="1"/>
  <c r="AO412" i="318" s="1"/>
  <c r="AI412" i="318"/>
  <c r="W413" i="318"/>
  <c r="Y413" i="318"/>
  <c r="AE413" i="318"/>
  <c r="AF413" i="318"/>
  <c r="AG413" i="318"/>
  <c r="AJ413" i="318" s="1"/>
  <c r="AH413" i="318"/>
  <c r="AM413" i="318" s="1"/>
  <c r="AS413" i="318" s="1"/>
  <c r="AI413" i="318"/>
  <c r="AN413" i="318"/>
  <c r="W414" i="318"/>
  <c r="AE414" i="318" s="1"/>
  <c r="AF414" i="318"/>
  <c r="AG414" i="318"/>
  <c r="AJ414" i="318" s="1"/>
  <c r="AH414" i="318"/>
  <c r="AI414" i="318"/>
  <c r="AM414" i="318"/>
  <c r="AN414" i="318"/>
  <c r="AT414" i="318" s="1"/>
  <c r="W415" i="318"/>
  <c r="AF415" i="318"/>
  <c r="AN415" i="318" s="1"/>
  <c r="AT415" i="318" s="1"/>
  <c r="AG415" i="318"/>
  <c r="AH415" i="318"/>
  <c r="AI415" i="318"/>
  <c r="AJ415" i="318"/>
  <c r="AM415" i="318"/>
  <c r="AS415" i="318" s="1"/>
  <c r="W416" i="318"/>
  <c r="Y416" i="318"/>
  <c r="AE416" i="318"/>
  <c r="AF416" i="318"/>
  <c r="AN416" i="318" s="1"/>
  <c r="AT416" i="318" s="1"/>
  <c r="AG416" i="318"/>
  <c r="AH416" i="318"/>
  <c r="AM416" i="318" s="1"/>
  <c r="AI416" i="318"/>
  <c r="AJ416" i="318" s="1"/>
  <c r="AO416" i="318"/>
  <c r="AS416" i="318"/>
  <c r="W417" i="318"/>
  <c r="Y417" i="318"/>
  <c r="AE417" i="318"/>
  <c r="AF417" i="318"/>
  <c r="AG417" i="318"/>
  <c r="AH417" i="318"/>
  <c r="AI417" i="318"/>
  <c r="AN417" i="318"/>
  <c r="AT417" i="318" s="1"/>
  <c r="W418" i="318"/>
  <c r="AE418" i="318" s="1"/>
  <c r="Y418" i="318"/>
  <c r="AF418" i="318"/>
  <c r="AG418" i="318"/>
  <c r="AJ418" i="318" s="1"/>
  <c r="AH418" i="318"/>
  <c r="AI418" i="318"/>
  <c r="AM418" i="318"/>
  <c r="AN418" i="318"/>
  <c r="AT418" i="318" s="1"/>
  <c r="W419" i="318"/>
  <c r="AF419" i="318"/>
  <c r="AN419" i="318" s="1"/>
  <c r="AG419" i="318"/>
  <c r="AH419" i="318"/>
  <c r="AI419" i="318"/>
  <c r="AJ419" i="318"/>
  <c r="AM419" i="318"/>
  <c r="AS419" i="318" s="1"/>
  <c r="AT419" i="318"/>
  <c r="W420" i="318"/>
  <c r="Y420" i="318"/>
  <c r="AE420" i="318"/>
  <c r="AF420" i="318"/>
  <c r="AN420" i="318" s="1"/>
  <c r="AG420" i="318"/>
  <c r="AH420" i="318"/>
  <c r="AM420" i="318" s="1"/>
  <c r="AI420" i="318"/>
  <c r="AJ420" i="318"/>
  <c r="AS420" i="318"/>
  <c r="W421" i="318"/>
  <c r="Y421" i="318"/>
  <c r="AE421" i="318"/>
  <c r="AF421" i="318"/>
  <c r="AG421" i="318"/>
  <c r="AH421" i="318"/>
  <c r="AM421" i="318" s="1"/>
  <c r="AI421" i="318"/>
  <c r="AN421" i="318"/>
  <c r="AT421" i="318" s="1"/>
  <c r="W422" i="318"/>
  <c r="AF422" i="318"/>
  <c r="AG422" i="318"/>
  <c r="AH422" i="318"/>
  <c r="AM422" i="318" s="1"/>
  <c r="AI422" i="318"/>
  <c r="AN422" i="318"/>
  <c r="AT422" i="318"/>
  <c r="W423" i="318"/>
  <c r="AF423" i="318"/>
  <c r="AN423" i="318" s="1"/>
  <c r="AG423" i="318"/>
  <c r="AH423" i="318"/>
  <c r="AI423" i="318"/>
  <c r="AJ423" i="318"/>
  <c r="AM423" i="318"/>
  <c r="AS423" i="318"/>
  <c r="AT423" i="318"/>
  <c r="W424" i="318"/>
  <c r="Y424" i="318"/>
  <c r="AE424" i="318"/>
  <c r="AF424" i="318"/>
  <c r="AN424" i="318" s="1"/>
  <c r="AT424" i="318" s="1"/>
  <c r="AG424" i="318"/>
  <c r="AH424" i="318"/>
  <c r="AI424" i="318"/>
  <c r="AJ424" i="318" s="1"/>
  <c r="W425" i="318"/>
  <c r="Y425" i="318"/>
  <c r="AE425" i="318"/>
  <c r="AF425" i="318"/>
  <c r="AG425" i="318"/>
  <c r="AJ425" i="318" s="1"/>
  <c r="AH425" i="318"/>
  <c r="AM425" i="318" s="1"/>
  <c r="AS425" i="318" s="1"/>
  <c r="AI425" i="318"/>
  <c r="AN425" i="318"/>
  <c r="AT425" i="318" s="1"/>
  <c r="AO425" i="318"/>
  <c r="W426" i="318"/>
  <c r="AE426" i="318" s="1"/>
  <c r="AF426" i="318"/>
  <c r="AG426" i="318"/>
  <c r="AH426" i="318"/>
  <c r="AI426" i="318"/>
  <c r="AN426" i="318"/>
  <c r="AT426" i="318" s="1"/>
  <c r="W427" i="318"/>
  <c r="AF427" i="318"/>
  <c r="AN427" i="318" s="1"/>
  <c r="AG427" i="318"/>
  <c r="AJ427" i="318" s="1"/>
  <c r="AH427" i="318"/>
  <c r="AI427" i="318"/>
  <c r="AM427" i="318"/>
  <c r="AT427" i="318"/>
  <c r="W428" i="318"/>
  <c r="Y428" i="318"/>
  <c r="AE428" i="318"/>
  <c r="AF428" i="318"/>
  <c r="AN428" i="318" s="1"/>
  <c r="AT428" i="318" s="1"/>
  <c r="AG428" i="318"/>
  <c r="AH428" i="318"/>
  <c r="AM428" i="318" s="1"/>
  <c r="AI428" i="318"/>
  <c r="AJ428" i="318" s="1"/>
  <c r="W429" i="318"/>
  <c r="Y429" i="318"/>
  <c r="AE429" i="318"/>
  <c r="AF429" i="318"/>
  <c r="AG429" i="318"/>
  <c r="AJ429" i="318" s="1"/>
  <c r="AH429" i="318"/>
  <c r="AM429" i="318" s="1"/>
  <c r="AS429" i="318" s="1"/>
  <c r="AI429" i="318"/>
  <c r="AN429" i="318"/>
  <c r="W430" i="318"/>
  <c r="AE430" i="318" s="1"/>
  <c r="AF430" i="318"/>
  <c r="AG430" i="318"/>
  <c r="AJ430" i="318" s="1"/>
  <c r="AH430" i="318"/>
  <c r="AI430" i="318"/>
  <c r="AM430" i="318"/>
  <c r="AN430" i="318"/>
  <c r="AT430" i="318" s="1"/>
  <c r="W431" i="318"/>
  <c r="AF431" i="318"/>
  <c r="AN431" i="318" s="1"/>
  <c r="AT431" i="318" s="1"/>
  <c r="AG431" i="318"/>
  <c r="AH431" i="318"/>
  <c r="AI431" i="318"/>
  <c r="AJ431" i="318"/>
  <c r="AM431" i="318"/>
  <c r="AS431" i="318" s="1"/>
  <c r="W432" i="318"/>
  <c r="Y432" i="318"/>
  <c r="AE432" i="318"/>
  <c r="AF432" i="318"/>
  <c r="AN432" i="318" s="1"/>
  <c r="AT432" i="318" s="1"/>
  <c r="AG432" i="318"/>
  <c r="AH432" i="318"/>
  <c r="AM432" i="318" s="1"/>
  <c r="AI432" i="318"/>
  <c r="AJ432" i="318" s="1"/>
  <c r="AO432" i="318"/>
  <c r="AS432" i="318"/>
  <c r="W433" i="318"/>
  <c r="Y433" i="318"/>
  <c r="AE433" i="318"/>
  <c r="AF433" i="318"/>
  <c r="AG433" i="318"/>
  <c r="AH433" i="318"/>
  <c r="AI433" i="318"/>
  <c r="AN433" i="318"/>
  <c r="AT433" i="318" s="1"/>
  <c r="W434" i="318"/>
  <c r="AE434" i="318" s="1"/>
  <c r="Y434" i="318"/>
  <c r="AF434" i="318"/>
  <c r="AG434" i="318"/>
  <c r="AJ434" i="318" s="1"/>
  <c r="AH434" i="318"/>
  <c r="AI434" i="318"/>
  <c r="AM434" i="318"/>
  <c r="AN434" i="318"/>
  <c r="AT434" i="318" s="1"/>
  <c r="W435" i="318"/>
  <c r="AF435" i="318"/>
  <c r="AN435" i="318" s="1"/>
  <c r="AG435" i="318"/>
  <c r="AH435" i="318"/>
  <c r="AI435" i="318"/>
  <c r="AJ435" i="318"/>
  <c r="AM435" i="318"/>
  <c r="AS435" i="318" s="1"/>
  <c r="AT435" i="318"/>
  <c r="W436" i="318"/>
  <c r="Y436" i="318"/>
  <c r="AE436" i="318"/>
  <c r="AF436" i="318"/>
  <c r="AN436" i="318" s="1"/>
  <c r="AG436" i="318"/>
  <c r="AH436" i="318"/>
  <c r="AM436" i="318" s="1"/>
  <c r="AI436" i="318"/>
  <c r="AJ436" i="318"/>
  <c r="AS436" i="318"/>
  <c r="W437" i="318"/>
  <c r="Y437" i="318"/>
  <c r="AE437" i="318"/>
  <c r="AF437" i="318"/>
  <c r="AG437" i="318"/>
  <c r="AH437" i="318"/>
  <c r="AM437" i="318" s="1"/>
  <c r="AI437" i="318"/>
  <c r="AN437" i="318"/>
  <c r="AT437" i="318" s="1"/>
  <c r="W438" i="318"/>
  <c r="AF438" i="318"/>
  <c r="AG438" i="318"/>
  <c r="AH438" i="318"/>
  <c r="AM438" i="318" s="1"/>
  <c r="AI438" i="318"/>
  <c r="AN438" i="318"/>
  <c r="AT438" i="318"/>
  <c r="W439" i="318"/>
  <c r="AF439" i="318"/>
  <c r="AN439" i="318" s="1"/>
  <c r="AG439" i="318"/>
  <c r="AH439" i="318"/>
  <c r="AI439" i="318"/>
  <c r="AJ439" i="318"/>
  <c r="AM439" i="318"/>
  <c r="AS439" i="318"/>
  <c r="AT439" i="318"/>
  <c r="W440" i="318"/>
  <c r="Y440" i="318"/>
  <c r="AE440" i="318"/>
  <c r="AF440" i="318"/>
  <c r="AN440" i="318" s="1"/>
  <c r="AT440" i="318" s="1"/>
  <c r="AG440" i="318"/>
  <c r="AH440" i="318"/>
  <c r="AI440" i="318"/>
  <c r="AJ440" i="318" s="1"/>
  <c r="W441" i="318"/>
  <c r="Y441" i="318"/>
  <c r="AE441" i="318"/>
  <c r="AF441" i="318"/>
  <c r="AG441" i="318"/>
  <c r="AJ441" i="318" s="1"/>
  <c r="AH441" i="318"/>
  <c r="AM441" i="318" s="1"/>
  <c r="AS441" i="318" s="1"/>
  <c r="AI441" i="318"/>
  <c r="AN441" i="318"/>
  <c r="AT441" i="318" s="1"/>
  <c r="AO441" i="318"/>
  <c r="W442" i="318"/>
  <c r="AE442" i="318" s="1"/>
  <c r="AF442" i="318"/>
  <c r="AG442" i="318"/>
  <c r="AH442" i="318"/>
  <c r="AI442" i="318"/>
  <c r="AT442" i="318"/>
  <c r="W443" i="318"/>
  <c r="AE443" i="318" s="1"/>
  <c r="AF443" i="318"/>
  <c r="AG443" i="318"/>
  <c r="AJ443" i="318" s="1"/>
  <c r="AH443" i="318"/>
  <c r="AI443" i="318"/>
  <c r="AM443" i="318"/>
  <c r="AT443" i="318"/>
  <c r="W444" i="318"/>
  <c r="AE444" i="318" s="1"/>
  <c r="Y444" i="318"/>
  <c r="AF444" i="318"/>
  <c r="AG444" i="318"/>
  <c r="AJ444" i="318" s="1"/>
  <c r="AH444" i="318"/>
  <c r="AI444" i="318"/>
  <c r="AM444" i="318"/>
  <c r="AN444" i="318"/>
  <c r="AT444" i="318" s="1"/>
  <c r="W445" i="318"/>
  <c r="AF445" i="318"/>
  <c r="AM445" i="318" s="1"/>
  <c r="AG445" i="318"/>
  <c r="AH445" i="318"/>
  <c r="AI445" i="318"/>
  <c r="AN445" i="318" s="1"/>
  <c r="AJ445" i="318"/>
  <c r="AT445" i="318"/>
  <c r="W446" i="318"/>
  <c r="Y446" i="318"/>
  <c r="AE446" i="318"/>
  <c r="AF446" i="318"/>
  <c r="AM446" i="318" s="1"/>
  <c r="AG446" i="318"/>
  <c r="AH446" i="318"/>
  <c r="AI446" i="318"/>
  <c r="AN446" i="318" s="1"/>
  <c r="AT446" i="318" s="1"/>
  <c r="AJ446" i="318"/>
  <c r="W447" i="318"/>
  <c r="Y447" i="318"/>
  <c r="AE447" i="318"/>
  <c r="AF447" i="318"/>
  <c r="AG447" i="318"/>
  <c r="AH447" i="318"/>
  <c r="AM447" i="318" s="1"/>
  <c r="AI447" i="318"/>
  <c r="AN447" i="318" s="1"/>
  <c r="AT447" i="318" s="1"/>
  <c r="W448" i="318"/>
  <c r="AF448" i="318"/>
  <c r="AG448" i="318"/>
  <c r="AH448" i="318"/>
  <c r="AM448" i="318" s="1"/>
  <c r="AI448" i="318"/>
  <c r="AN448" i="318"/>
  <c r="AT448" i="318"/>
  <c r="W449" i="318"/>
  <c r="AF449" i="318"/>
  <c r="AM449" i="318" s="1"/>
  <c r="AO449" i="318" s="1"/>
  <c r="AG449" i="318"/>
  <c r="AH449" i="318"/>
  <c r="AI449" i="318"/>
  <c r="AN449" i="318" s="1"/>
  <c r="AJ449" i="318"/>
  <c r="AS449" i="318"/>
  <c r="AT449" i="318"/>
  <c r="W450" i="318"/>
  <c r="Y450" i="318"/>
  <c r="AE450" i="318"/>
  <c r="AF450" i="318"/>
  <c r="AM450" i="318" s="1"/>
  <c r="AG450" i="318"/>
  <c r="AH450" i="318"/>
  <c r="AI450" i="318"/>
  <c r="W451" i="318"/>
  <c r="Y451" i="318"/>
  <c r="AE451" i="318"/>
  <c r="AF451" i="318"/>
  <c r="AG451" i="318"/>
  <c r="AJ451" i="318" s="1"/>
  <c r="AH451" i="318"/>
  <c r="AM451" i="318" s="1"/>
  <c r="AS451" i="318" s="1"/>
  <c r="AI451" i="318"/>
  <c r="AN451" i="318" s="1"/>
  <c r="AT451" i="318" s="1"/>
  <c r="AO451" i="318"/>
  <c r="W452" i="318"/>
  <c r="AE452" i="318" s="1"/>
  <c r="AF452" i="318"/>
  <c r="AG452" i="318"/>
  <c r="AH452" i="318"/>
  <c r="AI452" i="318"/>
  <c r="AN452" i="318"/>
  <c r="AT452" i="318"/>
  <c r="W453" i="318"/>
  <c r="AF453" i="318"/>
  <c r="AG453" i="318"/>
  <c r="AJ453" i="318" s="1"/>
  <c r="AH453" i="318"/>
  <c r="AI453" i="318"/>
  <c r="AN453" i="318" s="1"/>
  <c r="AT453" i="318" s="1"/>
  <c r="AM453" i="318"/>
  <c r="W454" i="318"/>
  <c r="AF454" i="318"/>
  <c r="AP454" i="318" s="1"/>
  <c r="AG454" i="318"/>
  <c r="AH454" i="318"/>
  <c r="AI454" i="318"/>
  <c r="AJ454" i="318"/>
  <c r="AQ454" i="318"/>
  <c r="AT454" i="318" s="1"/>
  <c r="W455" i="318"/>
  <c r="Y455" i="318"/>
  <c r="AE455" i="318"/>
  <c r="AF455" i="318"/>
  <c r="AG455" i="318"/>
  <c r="AH455" i="318"/>
  <c r="AI455" i="318"/>
  <c r="AQ455" i="318" s="1"/>
  <c r="AP455" i="318"/>
  <c r="AS455" i="318" s="1"/>
  <c r="W456" i="318"/>
  <c r="AF456" i="318"/>
  <c r="AG456" i="318"/>
  <c r="AH456" i="318"/>
  <c r="AQ456" i="318" s="1"/>
  <c r="AT456" i="318" s="1"/>
  <c r="AI456" i="318"/>
  <c r="AP456" i="318"/>
  <c r="W457" i="318"/>
  <c r="AF457" i="318"/>
  <c r="AP457" i="318" s="1"/>
  <c r="AS457" i="318" s="1"/>
  <c r="AG457" i="318"/>
  <c r="AH457" i="318"/>
  <c r="AI457" i="318"/>
  <c r="AQ457" i="318" s="1"/>
  <c r="AT457" i="318" s="1"/>
  <c r="AJ457" i="318"/>
  <c r="W458" i="318"/>
  <c r="Y458" i="318"/>
  <c r="AE458" i="318"/>
  <c r="AF458" i="318"/>
  <c r="AP458" i="318" s="1"/>
  <c r="AG458" i="318"/>
  <c r="AH458" i="318"/>
  <c r="AI458" i="318"/>
  <c r="AQ458" i="318" s="1"/>
  <c r="AT458" i="318" s="1"/>
  <c r="AJ458" i="318"/>
  <c r="W459" i="318"/>
  <c r="Y459" i="318"/>
  <c r="AE459" i="318"/>
  <c r="AF459" i="318"/>
  <c r="AG459" i="318"/>
  <c r="AJ459" i="318" s="1"/>
  <c r="AH459" i="318"/>
  <c r="AI459" i="318"/>
  <c r="AP459" i="318"/>
  <c r="AS459" i="318" s="1"/>
  <c r="AQ459" i="318"/>
  <c r="W460" i="318"/>
  <c r="AE460" i="318" s="1"/>
  <c r="AF460" i="318"/>
  <c r="AG460" i="318"/>
  <c r="AH460" i="318"/>
  <c r="AI460" i="318"/>
  <c r="AQ460" i="318"/>
  <c r="AT460" i="318" s="1"/>
  <c r="W461" i="318"/>
  <c r="AF461" i="318"/>
  <c r="AG461" i="318"/>
  <c r="AJ461" i="318" s="1"/>
  <c r="AH461" i="318"/>
  <c r="AI461" i="318"/>
  <c r="AQ461" i="318" s="1"/>
  <c r="AP461" i="318"/>
  <c r="AT461" i="318"/>
  <c r="W462" i="318"/>
  <c r="Y462" i="318"/>
  <c r="AE462" i="318"/>
  <c r="AF462" i="318"/>
  <c r="AP462" i="318" s="1"/>
  <c r="AG462" i="318"/>
  <c r="AH462" i="318"/>
  <c r="AI462" i="318"/>
  <c r="AQ462" i="318" s="1"/>
  <c r="AT462" i="318" s="1"/>
  <c r="AR462" i="318"/>
  <c r="AS462" i="318"/>
  <c r="W463" i="318"/>
  <c r="Y463" i="318"/>
  <c r="AE463" i="318"/>
  <c r="AF463" i="318"/>
  <c r="AG463" i="318"/>
  <c r="AH463" i="318"/>
  <c r="AI463" i="318"/>
  <c r="AQ463" i="318" s="1"/>
  <c r="AP463" i="318"/>
  <c r="AS463" i="318" s="1"/>
  <c r="W464" i="318"/>
  <c r="AE464" i="318" s="1"/>
  <c r="Y464" i="318"/>
  <c r="AF464" i="318"/>
  <c r="AG464" i="318"/>
  <c r="AH464" i="318"/>
  <c r="AQ464" i="318" s="1"/>
  <c r="AI464" i="318"/>
  <c r="AP464" i="318"/>
  <c r="AT464" i="318"/>
  <c r="W465" i="318"/>
  <c r="AF465" i="318"/>
  <c r="AP465" i="318" s="1"/>
  <c r="AR465" i="318" s="1"/>
  <c r="AG465" i="318"/>
  <c r="AH465" i="318"/>
  <c r="AI465" i="318"/>
  <c r="AQ465" i="318" s="1"/>
  <c r="AJ465" i="318"/>
  <c r="AS465" i="318"/>
  <c r="AT465" i="318"/>
  <c r="W466" i="318"/>
  <c r="Y466" i="318"/>
  <c r="AE466" i="318"/>
  <c r="AF466" i="318"/>
  <c r="AP466" i="318" s="1"/>
  <c r="AG466" i="318"/>
  <c r="AH466" i="318"/>
  <c r="AI466" i="318"/>
  <c r="W467" i="318"/>
  <c r="Y467" i="318"/>
  <c r="AE467" i="318"/>
  <c r="AF467" i="318"/>
  <c r="AG467" i="318"/>
  <c r="AH467" i="318"/>
  <c r="AQ467" i="318" s="1"/>
  <c r="AI467" i="318"/>
  <c r="AP467" i="318"/>
  <c r="AS467" i="318" s="1"/>
  <c r="W468" i="318"/>
  <c r="AE468" i="318" s="1"/>
  <c r="AF468" i="318"/>
  <c r="AG468" i="318"/>
  <c r="AJ468" i="318" s="1"/>
  <c r="AH468" i="318"/>
  <c r="AI468" i="318"/>
  <c r="AP468" i="318"/>
  <c r="AQ468" i="318"/>
  <c r="AT468" i="318" s="1"/>
  <c r="W469" i="318"/>
  <c r="Y469" i="318" s="1"/>
  <c r="AE469" i="318"/>
  <c r="AF469" i="318"/>
  <c r="AP469" i="318" s="1"/>
  <c r="AS469" i="318" s="1"/>
  <c r="AG469" i="318"/>
  <c r="AH469" i="318"/>
  <c r="AI469" i="318"/>
  <c r="W470" i="318"/>
  <c r="Y470" i="318"/>
  <c r="AE470" i="318"/>
  <c r="AF470" i="318"/>
  <c r="AP470" i="318" s="1"/>
  <c r="AG470" i="318"/>
  <c r="AH470" i="318"/>
  <c r="AI470" i="318"/>
  <c r="AS470" i="318"/>
  <c r="W471" i="318"/>
  <c r="AF471" i="318"/>
  <c r="AG471" i="318"/>
  <c r="AJ471" i="318" s="1"/>
  <c r="AH471" i="318"/>
  <c r="AI471" i="318"/>
  <c r="AQ471" i="318"/>
  <c r="AT471" i="318"/>
  <c r="W472" i="318"/>
  <c r="AE472" i="318" s="1"/>
  <c r="AF472" i="318"/>
  <c r="AG472" i="318"/>
  <c r="AH472" i="318"/>
  <c r="AI472" i="318"/>
  <c r="AQ472" i="318"/>
  <c r="AT472" i="318" s="1"/>
  <c r="W473" i="318"/>
  <c r="Y473" i="318" s="1"/>
  <c r="AE473" i="318"/>
  <c r="AF473" i="318"/>
  <c r="AP473" i="318" s="1"/>
  <c r="AG473" i="318"/>
  <c r="AH473" i="318"/>
  <c r="AI473" i="318"/>
  <c r="AQ473" i="318" s="1"/>
  <c r="AJ473" i="318"/>
  <c r="AT473" i="318"/>
  <c r="W474" i="318"/>
  <c r="Y474" i="318"/>
  <c r="AE474" i="318"/>
  <c r="AF474" i="318"/>
  <c r="AP474" i="318" s="1"/>
  <c r="AS474" i="318" s="1"/>
  <c r="AG474" i="318"/>
  <c r="AH474" i="318"/>
  <c r="AQ474" i="318" s="1"/>
  <c r="AT474" i="318" s="1"/>
  <c r="AI474" i="318"/>
  <c r="AJ474" i="318"/>
  <c r="AR474" i="318"/>
  <c r="W475" i="318"/>
  <c r="Y475" i="318" s="1"/>
  <c r="AE475" i="318"/>
  <c r="AF475" i="318"/>
  <c r="AG475" i="318"/>
  <c r="AH475" i="318"/>
  <c r="AI475" i="318"/>
  <c r="AQ475" i="318" s="1"/>
  <c r="AT475" i="318" s="1"/>
  <c r="AP475" i="318"/>
  <c r="W476" i="318"/>
  <c r="AE476" i="318" s="1"/>
  <c r="Y476" i="318"/>
  <c r="AF476" i="318"/>
  <c r="AG476" i="318"/>
  <c r="AH476" i="318"/>
  <c r="AQ476" i="318" s="1"/>
  <c r="AT476" i="318" s="1"/>
  <c r="AI476" i="318"/>
  <c r="AP476" i="318"/>
  <c r="AS476" i="318"/>
  <c r="W477" i="318"/>
  <c r="AF477" i="318"/>
  <c r="AP477" i="318" s="1"/>
  <c r="AG477" i="318"/>
  <c r="AH477" i="318"/>
  <c r="AI477" i="318"/>
  <c r="AQ477" i="318" s="1"/>
  <c r="AR477" i="318"/>
  <c r="AS477" i="318"/>
  <c r="AT477" i="318"/>
  <c r="W478" i="318"/>
  <c r="Y478" i="318"/>
  <c r="AE478" i="318"/>
  <c r="AF478" i="318"/>
  <c r="AP478" i="318" s="1"/>
  <c r="AG478" i="318"/>
  <c r="AH478" i="318"/>
  <c r="AI478" i="318"/>
  <c r="AS478" i="318"/>
  <c r="W479" i="318"/>
  <c r="AF479" i="318"/>
  <c r="AG479" i="318"/>
  <c r="AJ479" i="318" s="1"/>
  <c r="AH479" i="318"/>
  <c r="AI479" i="318"/>
  <c r="AQ479" i="318"/>
  <c r="AT479" i="318" s="1"/>
  <c r="W480" i="318"/>
  <c r="Y480" i="318" s="1"/>
  <c r="AE480" i="318"/>
  <c r="AF480" i="318"/>
  <c r="AP480" i="318" s="1"/>
  <c r="AG480" i="318"/>
  <c r="AH480" i="318"/>
  <c r="AI480" i="318"/>
  <c r="AQ480" i="318" s="1"/>
  <c r="AJ480" i="318"/>
  <c r="AT480" i="318"/>
  <c r="W481" i="318"/>
  <c r="Y481" i="318"/>
  <c r="AE481" i="318"/>
  <c r="AF481" i="318"/>
  <c r="AP481" i="318" s="1"/>
  <c r="AG481" i="318"/>
  <c r="AH481" i="318"/>
  <c r="AI481" i="318"/>
  <c r="AQ481" i="318" s="1"/>
  <c r="AT481" i="318" s="1"/>
  <c r="AJ481" i="318"/>
  <c r="W482" i="318"/>
  <c r="AF482" i="318"/>
  <c r="AG482" i="318"/>
  <c r="AH482" i="318"/>
  <c r="AI482" i="318"/>
  <c r="AQ482" i="318"/>
  <c r="AT482" i="318" s="1"/>
  <c r="W483" i="318"/>
  <c r="AE483" i="318" s="1"/>
  <c r="Y483" i="318"/>
  <c r="AF483" i="318"/>
  <c r="AP483" i="318" s="1"/>
  <c r="AR483" i="318" s="1"/>
  <c r="AG483" i="318"/>
  <c r="AH483" i="318"/>
  <c r="AJ483" i="318" s="1"/>
  <c r="AI483" i="318"/>
  <c r="AQ483" i="318"/>
  <c r="AT483" i="318" s="1"/>
  <c r="W484" i="318"/>
  <c r="Y484" i="318" s="1"/>
  <c r="AE484" i="318"/>
  <c r="AF484" i="318"/>
  <c r="AP484" i="318" s="1"/>
  <c r="AG484" i="318"/>
  <c r="AH484" i="318"/>
  <c r="AI484" i="318"/>
  <c r="AQ484" i="318" s="1"/>
  <c r="AJ484" i="318"/>
  <c r="AT484" i="318"/>
  <c r="W485" i="318"/>
  <c r="Y485" i="318"/>
  <c r="AE485" i="318"/>
  <c r="AF485" i="318"/>
  <c r="AP485" i="318" s="1"/>
  <c r="AG485" i="318"/>
  <c r="AH485" i="318"/>
  <c r="AI485" i="318"/>
  <c r="AQ485" i="318" s="1"/>
  <c r="AT485" i="318" s="1"/>
  <c r="AJ485" i="318"/>
  <c r="W486" i="318"/>
  <c r="AF486" i="318"/>
  <c r="AG486" i="318"/>
  <c r="AJ486" i="318" s="1"/>
  <c r="AH486" i="318"/>
  <c r="AI486" i="318"/>
  <c r="AP486" i="318"/>
  <c r="AS486" i="318" s="1"/>
  <c r="AQ486" i="318"/>
  <c r="AT486" i="318" s="1"/>
  <c r="W487" i="318"/>
  <c r="AE487" i="318" s="1"/>
  <c r="Y487" i="318"/>
  <c r="AF487" i="318"/>
  <c r="AP487" i="318" s="1"/>
  <c r="AR487" i="318" s="1"/>
  <c r="AG487" i="318"/>
  <c r="AH487" i="318"/>
  <c r="AJ487" i="318" s="1"/>
  <c r="AI487" i="318"/>
  <c r="AQ487" i="318"/>
  <c r="AT487" i="318" s="1"/>
  <c r="W488" i="318"/>
  <c r="Y488" i="318" s="1"/>
  <c r="AE488" i="318"/>
  <c r="AF488" i="318"/>
  <c r="AP488" i="318" s="1"/>
  <c r="AG488" i="318"/>
  <c r="AH488" i="318"/>
  <c r="AI488" i="318"/>
  <c r="AQ488" i="318" s="1"/>
  <c r="AJ488" i="318"/>
  <c r="AT488" i="318"/>
  <c r="W489" i="318"/>
  <c r="Y489" i="318"/>
  <c r="AE489" i="318"/>
  <c r="AF489" i="318"/>
  <c r="AP489" i="318" s="1"/>
  <c r="AG489" i="318"/>
  <c r="AH489" i="318"/>
  <c r="AI489" i="318"/>
  <c r="AQ489" i="318" s="1"/>
  <c r="AT489" i="318" s="1"/>
  <c r="AJ489" i="318"/>
  <c r="W490" i="318"/>
  <c r="AF490" i="318"/>
  <c r="AG490" i="318"/>
  <c r="AJ490" i="318" s="1"/>
  <c r="AH490" i="318"/>
  <c r="AI490" i="318"/>
  <c r="AP490" i="318"/>
  <c r="AS490" i="318" s="1"/>
  <c r="AQ490" i="318"/>
  <c r="AT490" i="318" s="1"/>
  <c r="W491" i="318"/>
  <c r="AE491" i="318" s="1"/>
  <c r="Y491" i="318"/>
  <c r="AF491" i="318"/>
  <c r="AP491" i="318" s="1"/>
  <c r="AR491" i="318" s="1"/>
  <c r="AG491" i="318"/>
  <c r="AH491" i="318"/>
  <c r="AJ491" i="318" s="1"/>
  <c r="AI491" i="318"/>
  <c r="AQ491" i="318"/>
  <c r="AT491" i="318" s="1"/>
  <c r="AS491" i="318"/>
  <c r="W492" i="318"/>
  <c r="Y492" i="318" s="1"/>
  <c r="AE492" i="318"/>
  <c r="AF492" i="318"/>
  <c r="AP492" i="318" s="1"/>
  <c r="AG492" i="318"/>
  <c r="AH492" i="318"/>
  <c r="AI492" i="318"/>
  <c r="AQ492" i="318" s="1"/>
  <c r="AJ492" i="318"/>
  <c r="AT492" i="318"/>
  <c r="W493" i="318"/>
  <c r="Y493" i="318"/>
  <c r="AE493" i="318"/>
  <c r="AF493" i="318"/>
  <c r="AP493" i="318" s="1"/>
  <c r="AG493" i="318"/>
  <c r="AH493" i="318"/>
  <c r="AI493" i="318"/>
  <c r="AQ493" i="318" s="1"/>
  <c r="AT493" i="318" s="1"/>
  <c r="AJ493" i="318"/>
  <c r="W494" i="318"/>
  <c r="AF494" i="318"/>
  <c r="AG494" i="318"/>
  <c r="AJ494" i="318" s="1"/>
  <c r="AH494" i="318"/>
  <c r="AI494" i="318"/>
  <c r="AP494" i="318"/>
  <c r="AS494" i="318" s="1"/>
  <c r="AQ494" i="318"/>
  <c r="AT494" i="318" s="1"/>
  <c r="W495" i="318"/>
  <c r="AE495" i="318" s="1"/>
  <c r="Y495" i="318"/>
  <c r="AF495" i="318"/>
  <c r="AP495" i="318" s="1"/>
  <c r="AR495" i="318" s="1"/>
  <c r="AG495" i="318"/>
  <c r="AH495" i="318"/>
  <c r="AJ495" i="318" s="1"/>
  <c r="AI495" i="318"/>
  <c r="AQ495" i="318"/>
  <c r="AT495" i="318" s="1"/>
  <c r="W496" i="318"/>
  <c r="Y496" i="318" s="1"/>
  <c r="AE496" i="318"/>
  <c r="AF496" i="318"/>
  <c r="AP496" i="318" s="1"/>
  <c r="AG496" i="318"/>
  <c r="AH496" i="318"/>
  <c r="AI496" i="318"/>
  <c r="AQ496" i="318" s="1"/>
  <c r="AJ496" i="318"/>
  <c r="AT496" i="318"/>
  <c r="W497" i="318"/>
  <c r="Y497" i="318"/>
  <c r="AE497" i="318"/>
  <c r="AF497" i="318"/>
  <c r="AP497" i="318" s="1"/>
  <c r="AG497" i="318"/>
  <c r="AH497" i="318"/>
  <c r="AI497" i="318"/>
  <c r="AQ497" i="318" s="1"/>
  <c r="AJ497" i="318"/>
  <c r="AT497" i="318"/>
  <c r="W498" i="318"/>
  <c r="Y498" i="318" s="1"/>
  <c r="AE498" i="318"/>
  <c r="AF498" i="318"/>
  <c r="AP498" i="318" s="1"/>
  <c r="AG498" i="318"/>
  <c r="AH498" i="318"/>
  <c r="AI498" i="318"/>
  <c r="AQ498" i="318" s="1"/>
  <c r="AT498" i="318" s="1"/>
  <c r="AJ498" i="318"/>
  <c r="AS498" i="318"/>
  <c r="C499" i="318"/>
  <c r="D499" i="318"/>
  <c r="P503" i="318" s="1"/>
  <c r="E499" i="318"/>
  <c r="F499" i="318"/>
  <c r="G499" i="318"/>
  <c r="H499" i="318"/>
  <c r="I499" i="318"/>
  <c r="J499" i="318"/>
  <c r="K499" i="318"/>
  <c r="L499" i="318"/>
  <c r="M499" i="318"/>
  <c r="N499" i="318"/>
  <c r="O499" i="318"/>
  <c r="P499" i="318"/>
  <c r="Q499" i="318"/>
  <c r="R499" i="318"/>
  <c r="S499" i="318"/>
  <c r="T499" i="318"/>
  <c r="U499" i="318"/>
  <c r="V499" i="318"/>
  <c r="X499" i="318"/>
  <c r="X500" i="318" s="1"/>
  <c r="Z499" i="318"/>
  <c r="W500" i="318"/>
  <c r="X503" i="318"/>
  <c r="F504" i="318"/>
  <c r="F505" i="318"/>
  <c r="F507" i="318"/>
  <c r="AH520" i="318"/>
  <c r="AL520" i="318"/>
  <c r="AG521" i="318"/>
  <c r="AK521" i="318"/>
  <c r="AG522" i="318"/>
  <c r="AK522" i="318"/>
  <c r="BB9" i="289"/>
  <c r="D10" i="289"/>
  <c r="E10" i="289"/>
  <c r="F10" i="289"/>
  <c r="G10" i="289"/>
  <c r="H10" i="289"/>
  <c r="I10" i="289"/>
  <c r="J10" i="289"/>
  <c r="K10" i="289"/>
  <c r="L10" i="289"/>
  <c r="M10" i="289"/>
  <c r="N10" i="289"/>
  <c r="O10" i="289"/>
  <c r="P10" i="289"/>
  <c r="Q10" i="289"/>
  <c r="R10" i="289"/>
  <c r="S10" i="289"/>
  <c r="T10" i="289"/>
  <c r="U10" i="289"/>
  <c r="V10" i="289"/>
  <c r="W10" i="289"/>
  <c r="AC10" i="289"/>
  <c r="AD10" i="289"/>
  <c r="AE10" i="289"/>
  <c r="AF10" i="289"/>
  <c r="AG10" i="289" s="1"/>
  <c r="AK10" i="289"/>
  <c r="AL10" i="289"/>
  <c r="AO10" i="289" s="1"/>
  <c r="AP10" i="289" s="1"/>
  <c r="AM10" i="289"/>
  <c r="AN10" i="289"/>
  <c r="AR10" i="289"/>
  <c r="AT10" i="289"/>
  <c r="AU10" i="289"/>
  <c r="AV10" i="289"/>
  <c r="AW10" i="289"/>
  <c r="D11" i="289"/>
  <c r="E11" i="289"/>
  <c r="F11" i="289"/>
  <c r="G11" i="289"/>
  <c r="H11" i="289"/>
  <c r="I11" i="289"/>
  <c r="J11" i="289"/>
  <c r="K11" i="289"/>
  <c r="L11" i="289"/>
  <c r="M11" i="289"/>
  <c r="N11" i="289"/>
  <c r="O11" i="289"/>
  <c r="P11" i="289"/>
  <c r="Q11" i="289"/>
  <c r="R11" i="289"/>
  <c r="S11" i="289"/>
  <c r="T11" i="289"/>
  <c r="U11" i="289"/>
  <c r="V11" i="289"/>
  <c r="W11" i="289"/>
  <c r="AC11" i="289"/>
  <c r="AD11" i="289"/>
  <c r="AE11" i="289"/>
  <c r="AK11" i="289"/>
  <c r="AL11" i="289"/>
  <c r="AM11" i="289"/>
  <c r="AN11" i="289"/>
  <c r="AR11" i="289"/>
  <c r="AT11" i="289"/>
  <c r="AU11" i="289"/>
  <c r="AV11" i="289"/>
  <c r="AW11" i="289"/>
  <c r="D12" i="289"/>
  <c r="E12" i="289"/>
  <c r="F12" i="289"/>
  <c r="G12" i="289"/>
  <c r="H12" i="289"/>
  <c r="I12" i="289"/>
  <c r="J12" i="289"/>
  <c r="K12" i="289"/>
  <c r="L12" i="289"/>
  <c r="M12" i="289"/>
  <c r="N12" i="289"/>
  <c r="O12" i="289"/>
  <c r="P12" i="289"/>
  <c r="Q12" i="289"/>
  <c r="R12" i="289"/>
  <c r="S12" i="289"/>
  <c r="T12" i="289"/>
  <c r="U12" i="289"/>
  <c r="V12" i="289"/>
  <c r="W12" i="289"/>
  <c r="Z12" i="289"/>
  <c r="AC12" i="289"/>
  <c r="AF12" i="289" s="1"/>
  <c r="AG12" i="289" s="1"/>
  <c r="AD12" i="289"/>
  <c r="AE12" i="289"/>
  <c r="AH12" i="289"/>
  <c r="AI12" i="289" s="1"/>
  <c r="AK12" i="289"/>
  <c r="AL12" i="289"/>
  <c r="AO12" i="289" s="1"/>
  <c r="AM12" i="289"/>
  <c r="AN12" i="289"/>
  <c r="AP12" i="289"/>
  <c r="AR12" i="289"/>
  <c r="AT12" i="289"/>
  <c r="AU12" i="289"/>
  <c r="AW12" i="289" s="1"/>
  <c r="AV12" i="289"/>
  <c r="D13" i="289"/>
  <c r="E13" i="289"/>
  <c r="F13" i="289"/>
  <c r="G13" i="289"/>
  <c r="H13" i="289"/>
  <c r="I13" i="289"/>
  <c r="J13" i="289"/>
  <c r="Z13" i="289" s="1"/>
  <c r="K13" i="289"/>
  <c r="L13" i="289"/>
  <c r="M13" i="289"/>
  <c r="N13" i="289"/>
  <c r="O13" i="289"/>
  <c r="P13" i="289"/>
  <c r="Q13" i="289"/>
  <c r="R13" i="289"/>
  <c r="S13" i="289"/>
  <c r="T13" i="289"/>
  <c r="U13" i="289"/>
  <c r="V13" i="289"/>
  <c r="W13" i="289"/>
  <c r="AC13" i="289"/>
  <c r="AF13" i="289" s="1"/>
  <c r="AD13" i="289"/>
  <c r="AE13" i="289"/>
  <c r="AG13" i="289"/>
  <c r="AK13" i="289"/>
  <c r="AL13" i="289"/>
  <c r="AM13" i="289"/>
  <c r="AN13" i="289"/>
  <c r="AO13" i="289"/>
  <c r="AP13" i="289" s="1"/>
  <c r="AR13" i="289"/>
  <c r="AT13" i="289"/>
  <c r="AU13" i="289"/>
  <c r="D14" i="289"/>
  <c r="E14" i="289"/>
  <c r="F14" i="289"/>
  <c r="G14" i="289"/>
  <c r="H14" i="289"/>
  <c r="I14" i="289"/>
  <c r="Z14" i="289" s="1"/>
  <c r="J14" i="289"/>
  <c r="K14" i="289"/>
  <c r="L14" i="289"/>
  <c r="M14" i="289"/>
  <c r="N14" i="289"/>
  <c r="O14" i="289"/>
  <c r="P14" i="289"/>
  <c r="Q14" i="289"/>
  <c r="R14" i="289"/>
  <c r="S14" i="289"/>
  <c r="T14" i="289"/>
  <c r="U14" i="289"/>
  <c r="V14" i="289"/>
  <c r="W14" i="289"/>
  <c r="AC14" i="289"/>
  <c r="AD14" i="289"/>
  <c r="AE14" i="289"/>
  <c r="AF14" i="289"/>
  <c r="AG14" i="289" s="1"/>
  <c r="AK14" i="289"/>
  <c r="AL14" i="289"/>
  <c r="AM14" i="289"/>
  <c r="AN14" i="289"/>
  <c r="AR14" i="289"/>
  <c r="AT14" i="289"/>
  <c r="AU14" i="289"/>
  <c r="AV14" i="289" s="1"/>
  <c r="AW14" i="289"/>
  <c r="D15" i="289"/>
  <c r="E15" i="289"/>
  <c r="F15" i="289"/>
  <c r="G15" i="289"/>
  <c r="H15" i="289"/>
  <c r="I15" i="289"/>
  <c r="J15" i="289"/>
  <c r="K15" i="289"/>
  <c r="L15" i="289"/>
  <c r="M15" i="289"/>
  <c r="N15" i="289"/>
  <c r="O15" i="289"/>
  <c r="P15" i="289"/>
  <c r="Q15" i="289"/>
  <c r="R15" i="289"/>
  <c r="S15" i="289"/>
  <c r="T15" i="289"/>
  <c r="U15" i="289"/>
  <c r="V15" i="289"/>
  <c r="W15" i="289"/>
  <c r="AC15" i="289"/>
  <c r="AD15" i="289"/>
  <c r="AF15" i="289" s="1"/>
  <c r="AG15" i="289" s="1"/>
  <c r="AE15" i="289"/>
  <c r="AK15" i="289"/>
  <c r="AL15" i="289"/>
  <c r="AO15" i="289" s="1"/>
  <c r="AP15" i="289" s="1"/>
  <c r="AM15" i="289"/>
  <c r="AN15" i="289"/>
  <c r="AR15" i="289"/>
  <c r="AT15" i="289"/>
  <c r="AU15" i="289"/>
  <c r="AV15" i="289"/>
  <c r="AW15" i="289"/>
  <c r="D16" i="289"/>
  <c r="E16" i="289"/>
  <c r="F16" i="289"/>
  <c r="G16" i="289"/>
  <c r="H16" i="289"/>
  <c r="I16" i="289"/>
  <c r="J16" i="289"/>
  <c r="K16" i="289"/>
  <c r="L16" i="289"/>
  <c r="M16" i="289"/>
  <c r="N16" i="289"/>
  <c r="O16" i="289"/>
  <c r="P16" i="289"/>
  <c r="Q16" i="289"/>
  <c r="R16" i="289"/>
  <c r="S16" i="289"/>
  <c r="T16" i="289"/>
  <c r="U16" i="289"/>
  <c r="V16" i="289"/>
  <c r="W16" i="289"/>
  <c r="Z16" i="289"/>
  <c r="AC16" i="289"/>
  <c r="AF16" i="289" s="1"/>
  <c r="AG16" i="289" s="1"/>
  <c r="AD16" i="289"/>
  <c r="AE16" i="289"/>
  <c r="AH16" i="289"/>
  <c r="AI16" i="289" s="1"/>
  <c r="AK16" i="289"/>
  <c r="AL16" i="289"/>
  <c r="AO16" i="289" s="1"/>
  <c r="AM16" i="289"/>
  <c r="AN16" i="289"/>
  <c r="AP16" i="289"/>
  <c r="AR16" i="289"/>
  <c r="AT16" i="289"/>
  <c r="AU16" i="289"/>
  <c r="AW16" i="289" s="1"/>
  <c r="AV16" i="289"/>
  <c r="D17" i="289"/>
  <c r="E17" i="289"/>
  <c r="F17" i="289"/>
  <c r="G17" i="289"/>
  <c r="H17" i="289"/>
  <c r="I17" i="289"/>
  <c r="J17" i="289"/>
  <c r="Z17" i="289" s="1"/>
  <c r="K17" i="289"/>
  <c r="L17" i="289"/>
  <c r="M17" i="289"/>
  <c r="N17" i="289"/>
  <c r="O17" i="289"/>
  <c r="P17" i="289"/>
  <c r="Q17" i="289"/>
  <c r="R17" i="289"/>
  <c r="S17" i="289"/>
  <c r="T17" i="289"/>
  <c r="U17" i="289"/>
  <c r="V17" i="289"/>
  <c r="W17" i="289"/>
  <c r="AC17" i="289"/>
  <c r="AF17" i="289" s="1"/>
  <c r="AG17" i="289" s="1"/>
  <c r="AD17" i="289"/>
  <c r="AE17" i="289"/>
  <c r="AK17" i="289"/>
  <c r="AL17" i="289"/>
  <c r="AM17" i="289"/>
  <c r="AN17" i="289"/>
  <c r="AO17" i="289"/>
  <c r="AP17" i="289" s="1"/>
  <c r="AR17" i="289"/>
  <c r="AT17" i="289"/>
  <c r="AU17" i="289"/>
  <c r="D18" i="289"/>
  <c r="E18" i="289"/>
  <c r="F18" i="289"/>
  <c r="G18" i="289"/>
  <c r="H18" i="289"/>
  <c r="I18" i="289"/>
  <c r="Z18" i="289" s="1"/>
  <c r="J18" i="289"/>
  <c r="K18" i="289"/>
  <c r="L18" i="289"/>
  <c r="M18" i="289"/>
  <c r="N18" i="289"/>
  <c r="O18" i="289"/>
  <c r="P18" i="289"/>
  <c r="Q18" i="289"/>
  <c r="R18" i="289"/>
  <c r="S18" i="289"/>
  <c r="T18" i="289"/>
  <c r="U18" i="289"/>
  <c r="V18" i="289"/>
  <c r="W18" i="289"/>
  <c r="AB18" i="289"/>
  <c r="AC18" i="289"/>
  <c r="AD18" i="289"/>
  <c r="AE18" i="289"/>
  <c r="AF18" i="289"/>
  <c r="AG18" i="289" s="1"/>
  <c r="AK18" i="289"/>
  <c r="AL18" i="289"/>
  <c r="AM18" i="289"/>
  <c r="AO18" i="289" s="1"/>
  <c r="AP18" i="289" s="1"/>
  <c r="AN18" i="289"/>
  <c r="AR18" i="289"/>
  <c r="AT18" i="289"/>
  <c r="AU18" i="289"/>
  <c r="AV18" i="289" s="1"/>
  <c r="AW18" i="289"/>
  <c r="D19" i="289"/>
  <c r="E19" i="289"/>
  <c r="F19" i="289"/>
  <c r="G19" i="289"/>
  <c r="H19" i="289"/>
  <c r="I19" i="289"/>
  <c r="J19" i="289"/>
  <c r="K19" i="289"/>
  <c r="L19" i="289"/>
  <c r="M19" i="289"/>
  <c r="N19" i="289"/>
  <c r="O19" i="289"/>
  <c r="P19" i="289"/>
  <c r="Q19" i="289"/>
  <c r="R19" i="289"/>
  <c r="S19" i="289"/>
  <c r="T19" i="289"/>
  <c r="U19" i="289"/>
  <c r="V19" i="289"/>
  <c r="W19" i="289"/>
  <c r="AC19" i="289"/>
  <c r="AD19" i="289"/>
  <c r="AF19" i="289" s="1"/>
  <c r="AG19" i="289" s="1"/>
  <c r="AE19" i="289"/>
  <c r="AK19" i="289"/>
  <c r="AL19" i="289"/>
  <c r="AO19" i="289" s="1"/>
  <c r="AP19" i="289" s="1"/>
  <c r="AM19" i="289"/>
  <c r="AN19" i="289"/>
  <c r="AR19" i="289"/>
  <c r="AT19" i="289"/>
  <c r="AU19" i="289"/>
  <c r="AV19" i="289"/>
  <c r="AW19" i="289"/>
  <c r="D20" i="289"/>
  <c r="E20" i="289"/>
  <c r="F20" i="289"/>
  <c r="G20" i="289"/>
  <c r="H20" i="289"/>
  <c r="I20" i="289"/>
  <c r="J20" i="289"/>
  <c r="K20" i="289"/>
  <c r="L20" i="289"/>
  <c r="M20" i="289"/>
  <c r="N20" i="289"/>
  <c r="O20" i="289"/>
  <c r="P20" i="289"/>
  <c r="Q20" i="289"/>
  <c r="R20" i="289"/>
  <c r="S20" i="289"/>
  <c r="T20" i="289"/>
  <c r="U20" i="289"/>
  <c r="V20" i="289"/>
  <c r="W20" i="289"/>
  <c r="Z20" i="289"/>
  <c r="AC20" i="289"/>
  <c r="AD20" i="289"/>
  <c r="AE20" i="289"/>
  <c r="AH20" i="289"/>
  <c r="AI20" i="289" s="1"/>
  <c r="AK20" i="289"/>
  <c r="AL20" i="289"/>
  <c r="AO20" i="289" s="1"/>
  <c r="AP20" i="289" s="1"/>
  <c r="AM20" i="289"/>
  <c r="AN20" i="289"/>
  <c r="AR20" i="289"/>
  <c r="AT20" i="289"/>
  <c r="AU20" i="289"/>
  <c r="AW20" i="289" s="1"/>
  <c r="AV20" i="289"/>
  <c r="D21" i="289"/>
  <c r="E21" i="289"/>
  <c r="F21" i="289"/>
  <c r="G21" i="289"/>
  <c r="H21" i="289"/>
  <c r="I21" i="289"/>
  <c r="J21" i="289"/>
  <c r="K21" i="289"/>
  <c r="L21" i="289"/>
  <c r="M21" i="289"/>
  <c r="N21" i="289"/>
  <c r="O21" i="289"/>
  <c r="P21" i="289"/>
  <c r="Q21" i="289"/>
  <c r="R21" i="289"/>
  <c r="S21" i="289"/>
  <c r="T21" i="289"/>
  <c r="U21" i="289"/>
  <c r="V21" i="289"/>
  <c r="W21" i="289"/>
  <c r="AC21" i="289"/>
  <c r="AF21" i="289" s="1"/>
  <c r="AG21" i="289" s="1"/>
  <c r="AD21" i="289"/>
  <c r="AE21" i="289"/>
  <c r="AK21" i="289"/>
  <c r="AL21" i="289"/>
  <c r="AM21" i="289"/>
  <c r="AN21" i="289"/>
  <c r="AO21" i="289"/>
  <c r="AP21" i="289" s="1"/>
  <c r="AR21" i="289"/>
  <c r="AT21" i="289"/>
  <c r="AU21" i="289"/>
  <c r="D22" i="289"/>
  <c r="E22" i="289"/>
  <c r="F22" i="289"/>
  <c r="G22" i="289"/>
  <c r="H22" i="289"/>
  <c r="I22" i="289"/>
  <c r="J22" i="289"/>
  <c r="K22" i="289"/>
  <c r="L22" i="289"/>
  <c r="M22" i="289"/>
  <c r="N22" i="289"/>
  <c r="O22" i="289"/>
  <c r="P22" i="289"/>
  <c r="Q22" i="289"/>
  <c r="R22" i="289"/>
  <c r="S22" i="289"/>
  <c r="T22" i="289"/>
  <c r="U22" i="289"/>
  <c r="V22" i="289"/>
  <c r="W22" i="289"/>
  <c r="AC22" i="289"/>
  <c r="AD22" i="289"/>
  <c r="AE22" i="289"/>
  <c r="AF22" i="289"/>
  <c r="AG22" i="289" s="1"/>
  <c r="AK22" i="289"/>
  <c r="AL22" i="289"/>
  <c r="AM22" i="289"/>
  <c r="AO22" i="289" s="1"/>
  <c r="AP22" i="289" s="1"/>
  <c r="AN22" i="289"/>
  <c r="AR22" i="289"/>
  <c r="AT22" i="289"/>
  <c r="AU22" i="289"/>
  <c r="AV22" i="289" s="1"/>
  <c r="AW22" i="289"/>
  <c r="D23" i="289"/>
  <c r="E23" i="289"/>
  <c r="F23" i="289"/>
  <c r="G23" i="289"/>
  <c r="H23" i="289"/>
  <c r="I23" i="289"/>
  <c r="J23" i="289"/>
  <c r="K23" i="289"/>
  <c r="L23" i="289"/>
  <c r="M23" i="289"/>
  <c r="N23" i="289"/>
  <c r="O23" i="289"/>
  <c r="P23" i="289"/>
  <c r="Q23" i="289"/>
  <c r="R23" i="289"/>
  <c r="S23" i="289"/>
  <c r="T23" i="289"/>
  <c r="U23" i="289"/>
  <c r="V23" i="289"/>
  <c r="W23" i="289"/>
  <c r="AC23" i="289"/>
  <c r="AD23" i="289"/>
  <c r="AE23" i="289"/>
  <c r="AK23" i="289"/>
  <c r="AL23" i="289"/>
  <c r="AM23" i="289"/>
  <c r="AN23" i="289"/>
  <c r="AR23" i="289"/>
  <c r="AT23" i="289"/>
  <c r="AU23" i="289"/>
  <c r="AV23" i="289"/>
  <c r="AW23" i="289"/>
  <c r="D24" i="289"/>
  <c r="E24" i="289"/>
  <c r="F24" i="289"/>
  <c r="G24" i="289"/>
  <c r="H24" i="289"/>
  <c r="I24" i="289"/>
  <c r="J24" i="289"/>
  <c r="K24" i="289"/>
  <c r="L24" i="289"/>
  <c r="M24" i="289"/>
  <c r="N24" i="289"/>
  <c r="O24" i="289"/>
  <c r="P24" i="289"/>
  <c r="Q24" i="289"/>
  <c r="R24" i="289"/>
  <c r="S24" i="289"/>
  <c r="T24" i="289"/>
  <c r="U24" i="289"/>
  <c r="V24" i="289"/>
  <c r="W24" i="289"/>
  <c r="Z24" i="289"/>
  <c r="AC24" i="289"/>
  <c r="AD24" i="289"/>
  <c r="AE24" i="289"/>
  <c r="AH24" i="289"/>
  <c r="AI24" i="289" s="1"/>
  <c r="AK24" i="289"/>
  <c r="AL24" i="289"/>
  <c r="AO24" i="289" s="1"/>
  <c r="AP24" i="289" s="1"/>
  <c r="AM24" i="289"/>
  <c r="AN24" i="289"/>
  <c r="AR24" i="289"/>
  <c r="AT24" i="289"/>
  <c r="AU24" i="289"/>
  <c r="AW24" i="289" s="1"/>
  <c r="AV24" i="289"/>
  <c r="D25" i="289"/>
  <c r="E25" i="289"/>
  <c r="F25" i="289"/>
  <c r="G25" i="289"/>
  <c r="H25" i="289"/>
  <c r="I25" i="289"/>
  <c r="J25" i="289"/>
  <c r="K25" i="289"/>
  <c r="L25" i="289"/>
  <c r="M25" i="289"/>
  <c r="N25" i="289"/>
  <c r="O25" i="289"/>
  <c r="P25" i="289"/>
  <c r="Q25" i="289"/>
  <c r="R25" i="289"/>
  <c r="S25" i="289"/>
  <c r="T25" i="289"/>
  <c r="U25" i="289"/>
  <c r="V25" i="289"/>
  <c r="W25" i="289"/>
  <c r="AC25" i="289"/>
  <c r="AF25" i="289" s="1"/>
  <c r="AG25" i="289" s="1"/>
  <c r="AD25" i="289"/>
  <c r="AE25" i="289"/>
  <c r="AK25" i="289"/>
  <c r="AL25" i="289"/>
  <c r="AM25" i="289"/>
  <c r="AN25" i="289"/>
  <c r="AO25" i="289"/>
  <c r="AP25" i="289" s="1"/>
  <c r="AR25" i="289"/>
  <c r="AT25" i="289"/>
  <c r="AU25" i="289"/>
  <c r="D26" i="289"/>
  <c r="E26" i="289"/>
  <c r="F26" i="289"/>
  <c r="G26" i="289"/>
  <c r="H26" i="289"/>
  <c r="I26" i="289"/>
  <c r="J26" i="289"/>
  <c r="K26" i="289"/>
  <c r="L26" i="289"/>
  <c r="M26" i="289"/>
  <c r="N26" i="289"/>
  <c r="O26" i="289"/>
  <c r="P26" i="289"/>
  <c r="Q26" i="289"/>
  <c r="R26" i="289"/>
  <c r="S26" i="289"/>
  <c r="T26" i="289"/>
  <c r="U26" i="289"/>
  <c r="V26" i="289"/>
  <c r="W26" i="289"/>
  <c r="AC26" i="289"/>
  <c r="AD26" i="289"/>
  <c r="AE26" i="289"/>
  <c r="AF26" i="289"/>
  <c r="AG26" i="289" s="1"/>
  <c r="AK26" i="289"/>
  <c r="AL26" i="289"/>
  <c r="AM26" i="289"/>
  <c r="AN26" i="289"/>
  <c r="AR26" i="289"/>
  <c r="AT26" i="289"/>
  <c r="AU26" i="289"/>
  <c r="AV26" i="289" s="1"/>
  <c r="AW26" i="289"/>
  <c r="D27" i="289"/>
  <c r="E27" i="289"/>
  <c r="F27" i="289"/>
  <c r="G27" i="289"/>
  <c r="H27" i="289"/>
  <c r="I27" i="289"/>
  <c r="J27" i="289"/>
  <c r="K27" i="289"/>
  <c r="L27" i="289"/>
  <c r="M27" i="289"/>
  <c r="N27" i="289"/>
  <c r="O27" i="289"/>
  <c r="P27" i="289"/>
  <c r="Q27" i="289"/>
  <c r="R27" i="289"/>
  <c r="S27" i="289"/>
  <c r="T27" i="289"/>
  <c r="U27" i="289"/>
  <c r="V27" i="289"/>
  <c r="W27" i="289"/>
  <c r="AC27" i="289"/>
  <c r="AD27" i="289"/>
  <c r="AE27" i="289"/>
  <c r="AK27" i="289"/>
  <c r="AL27" i="289"/>
  <c r="AM27" i="289"/>
  <c r="AN27" i="289"/>
  <c r="AR27" i="289"/>
  <c r="AT27" i="289"/>
  <c r="AU27" i="289"/>
  <c r="AV27" i="289"/>
  <c r="AW27" i="289"/>
  <c r="D28" i="289"/>
  <c r="E28" i="289"/>
  <c r="F28" i="289"/>
  <c r="G28" i="289"/>
  <c r="H28" i="289"/>
  <c r="I28" i="289"/>
  <c r="J28" i="289"/>
  <c r="K28" i="289"/>
  <c r="L28" i="289"/>
  <c r="M28" i="289"/>
  <c r="N28" i="289"/>
  <c r="O28" i="289"/>
  <c r="P28" i="289"/>
  <c r="Q28" i="289"/>
  <c r="R28" i="289"/>
  <c r="S28" i="289"/>
  <c r="T28" i="289"/>
  <c r="U28" i="289"/>
  <c r="V28" i="289"/>
  <c r="W28" i="289"/>
  <c r="Z28" i="289"/>
  <c r="AC28" i="289"/>
  <c r="AD28" i="289"/>
  <c r="AE28" i="289"/>
  <c r="AH28" i="289"/>
  <c r="AI28" i="289" s="1"/>
  <c r="AK28" i="289"/>
  <c r="AL28" i="289"/>
  <c r="AO28" i="289" s="1"/>
  <c r="AP28" i="289" s="1"/>
  <c r="AM28" i="289"/>
  <c r="AN28" i="289"/>
  <c r="AR28" i="289"/>
  <c r="AT28" i="289"/>
  <c r="AU28" i="289"/>
  <c r="AW28" i="289" s="1"/>
  <c r="AV28" i="289"/>
  <c r="D29" i="289"/>
  <c r="E29" i="289"/>
  <c r="F29" i="289"/>
  <c r="G29" i="289"/>
  <c r="H29" i="289"/>
  <c r="I29" i="289"/>
  <c r="J29" i="289"/>
  <c r="K29" i="289"/>
  <c r="L29" i="289"/>
  <c r="M29" i="289"/>
  <c r="N29" i="289"/>
  <c r="O29" i="289"/>
  <c r="P29" i="289"/>
  <c r="Q29" i="289"/>
  <c r="R29" i="289"/>
  <c r="S29" i="289"/>
  <c r="T29" i="289"/>
  <c r="U29" i="289"/>
  <c r="V29" i="289"/>
  <c r="W29" i="289"/>
  <c r="AC29" i="289"/>
  <c r="AF29" i="289" s="1"/>
  <c r="AD29" i="289"/>
  <c r="AE29" i="289"/>
  <c r="AG29" i="289"/>
  <c r="AK29" i="289"/>
  <c r="AL29" i="289"/>
  <c r="AM29" i="289"/>
  <c r="AN29" i="289"/>
  <c r="AO29" i="289"/>
  <c r="AP29" i="289" s="1"/>
  <c r="AR29" i="289"/>
  <c r="AT29" i="289"/>
  <c r="AU29" i="289"/>
  <c r="D30" i="289"/>
  <c r="E30" i="289"/>
  <c r="F30" i="289"/>
  <c r="G30" i="289"/>
  <c r="H30" i="289"/>
  <c r="I30" i="289"/>
  <c r="J30" i="289"/>
  <c r="K30" i="289"/>
  <c r="L30" i="289"/>
  <c r="M30" i="289"/>
  <c r="N30" i="289"/>
  <c r="O30" i="289"/>
  <c r="P30" i="289"/>
  <c r="Q30" i="289"/>
  <c r="R30" i="289"/>
  <c r="S30" i="289"/>
  <c r="T30" i="289"/>
  <c r="U30" i="289"/>
  <c r="V30" i="289"/>
  <c r="W30" i="289"/>
  <c r="AC30" i="289"/>
  <c r="AD30" i="289"/>
  <c r="AE30" i="289"/>
  <c r="AF30" i="289"/>
  <c r="AG30" i="289" s="1"/>
  <c r="AK30" i="289"/>
  <c r="AL30" i="289"/>
  <c r="AM30" i="289"/>
  <c r="AN30" i="289"/>
  <c r="AR30" i="289"/>
  <c r="AT30" i="289"/>
  <c r="AU30" i="289"/>
  <c r="AV30" i="289" s="1"/>
  <c r="AW30" i="289"/>
  <c r="D31" i="289"/>
  <c r="E31" i="289"/>
  <c r="F31" i="289"/>
  <c r="G31" i="289"/>
  <c r="H31" i="289"/>
  <c r="I31" i="289"/>
  <c r="J31" i="289"/>
  <c r="K31" i="289"/>
  <c r="L31" i="289"/>
  <c r="M31" i="289"/>
  <c r="N31" i="289"/>
  <c r="O31" i="289"/>
  <c r="P31" i="289"/>
  <c r="Q31" i="289"/>
  <c r="R31" i="289"/>
  <c r="S31" i="289"/>
  <c r="T31" i="289"/>
  <c r="U31" i="289"/>
  <c r="V31" i="289"/>
  <c r="W31" i="289"/>
  <c r="AC31" i="289"/>
  <c r="AD31" i="289"/>
  <c r="AE31" i="289"/>
  <c r="AK31" i="289"/>
  <c r="AL31" i="289"/>
  <c r="AM31" i="289"/>
  <c r="AN31" i="289"/>
  <c r="AR31" i="289"/>
  <c r="AT31" i="289"/>
  <c r="AU31" i="289"/>
  <c r="AV31" i="289"/>
  <c r="AW31" i="289"/>
  <c r="D32" i="289"/>
  <c r="E32" i="289"/>
  <c r="F32" i="289"/>
  <c r="G32" i="289"/>
  <c r="H32" i="289"/>
  <c r="I32" i="289"/>
  <c r="J32" i="289"/>
  <c r="K32" i="289"/>
  <c r="L32" i="289"/>
  <c r="M32" i="289"/>
  <c r="N32" i="289"/>
  <c r="O32" i="289"/>
  <c r="P32" i="289"/>
  <c r="Q32" i="289"/>
  <c r="R32" i="289"/>
  <c r="S32" i="289"/>
  <c r="T32" i="289"/>
  <c r="U32" i="289"/>
  <c r="V32" i="289"/>
  <c r="W32" i="289"/>
  <c r="Z32" i="289"/>
  <c r="AC32" i="289"/>
  <c r="AF32" i="289" s="1"/>
  <c r="AG32" i="289" s="1"/>
  <c r="AD32" i="289"/>
  <c r="AE32" i="289"/>
  <c r="AH32" i="289"/>
  <c r="AI32" i="289" s="1"/>
  <c r="AK32" i="289"/>
  <c r="AL32" i="289"/>
  <c r="AO32" i="289" s="1"/>
  <c r="AM32" i="289"/>
  <c r="AN32" i="289"/>
  <c r="AP32" i="289"/>
  <c r="AR32" i="289"/>
  <c r="AT32" i="289"/>
  <c r="AU32" i="289"/>
  <c r="AW32" i="289" s="1"/>
  <c r="AV32" i="289"/>
  <c r="D33" i="289"/>
  <c r="E33" i="289"/>
  <c r="F33" i="289"/>
  <c r="G33" i="289"/>
  <c r="H33" i="289"/>
  <c r="I33" i="289"/>
  <c r="J33" i="289"/>
  <c r="Z33" i="289" s="1"/>
  <c r="K33" i="289"/>
  <c r="L33" i="289"/>
  <c r="M33" i="289"/>
  <c r="N33" i="289"/>
  <c r="O33" i="289"/>
  <c r="P33" i="289"/>
  <c r="Q33" i="289"/>
  <c r="R33" i="289"/>
  <c r="S33" i="289"/>
  <c r="T33" i="289"/>
  <c r="U33" i="289"/>
  <c r="V33" i="289"/>
  <c r="W33" i="289"/>
  <c r="AC33" i="289"/>
  <c r="AF33" i="289" s="1"/>
  <c r="AG33" i="289" s="1"/>
  <c r="AD33" i="289"/>
  <c r="AE33" i="289"/>
  <c r="AK33" i="289"/>
  <c r="AL33" i="289"/>
  <c r="AM33" i="289"/>
  <c r="AN33" i="289"/>
  <c r="AO33" i="289"/>
  <c r="AP33" i="289" s="1"/>
  <c r="AR33" i="289"/>
  <c r="AT33" i="289"/>
  <c r="AU33" i="289"/>
  <c r="D34" i="289"/>
  <c r="E34" i="289"/>
  <c r="F34" i="289"/>
  <c r="G34" i="289"/>
  <c r="H34" i="289"/>
  <c r="I34" i="289"/>
  <c r="Z34" i="289" s="1"/>
  <c r="J34" i="289"/>
  <c r="K34" i="289"/>
  <c r="L34" i="289"/>
  <c r="M34" i="289"/>
  <c r="N34" i="289"/>
  <c r="O34" i="289"/>
  <c r="P34" i="289"/>
  <c r="Q34" i="289"/>
  <c r="R34" i="289"/>
  <c r="S34" i="289"/>
  <c r="T34" i="289"/>
  <c r="U34" i="289"/>
  <c r="V34" i="289"/>
  <c r="W34" i="289"/>
  <c r="AC34" i="289"/>
  <c r="AD34" i="289"/>
  <c r="AE34" i="289"/>
  <c r="AF34" i="289"/>
  <c r="AG34" i="289" s="1"/>
  <c r="AK34" i="289"/>
  <c r="AL34" i="289"/>
  <c r="AM34" i="289"/>
  <c r="AN34" i="289"/>
  <c r="AR34" i="289"/>
  <c r="AT34" i="289"/>
  <c r="AU34" i="289"/>
  <c r="AV34" i="289" s="1"/>
  <c r="AW34" i="289"/>
  <c r="D35" i="289"/>
  <c r="E35" i="289"/>
  <c r="F35" i="289"/>
  <c r="G35" i="289"/>
  <c r="H35" i="289"/>
  <c r="I35" i="289"/>
  <c r="J35" i="289"/>
  <c r="K35" i="289"/>
  <c r="L35" i="289"/>
  <c r="M35" i="289"/>
  <c r="N35" i="289"/>
  <c r="O35" i="289"/>
  <c r="P35" i="289"/>
  <c r="Q35" i="289"/>
  <c r="R35" i="289"/>
  <c r="S35" i="289"/>
  <c r="T35" i="289"/>
  <c r="U35" i="289"/>
  <c r="V35" i="289"/>
  <c r="W35" i="289"/>
  <c r="AC35" i="289"/>
  <c r="AD35" i="289"/>
  <c r="AF35" i="289" s="1"/>
  <c r="AG35" i="289" s="1"/>
  <c r="AE35" i="289"/>
  <c r="AK35" i="289"/>
  <c r="AL35" i="289"/>
  <c r="AO35" i="289" s="1"/>
  <c r="AP35" i="289" s="1"/>
  <c r="AM35" i="289"/>
  <c r="AN35" i="289"/>
  <c r="AR35" i="289"/>
  <c r="AT35" i="289"/>
  <c r="AU35" i="289"/>
  <c r="AV35" i="289"/>
  <c r="AW35" i="289"/>
  <c r="D36" i="289"/>
  <c r="E36" i="289"/>
  <c r="F36" i="289"/>
  <c r="G36" i="289"/>
  <c r="H36" i="289"/>
  <c r="I36" i="289"/>
  <c r="J36" i="289"/>
  <c r="K36" i="289"/>
  <c r="L36" i="289"/>
  <c r="M36" i="289"/>
  <c r="N36" i="289"/>
  <c r="O36" i="289"/>
  <c r="P36" i="289"/>
  <c r="Q36" i="289"/>
  <c r="R36" i="289"/>
  <c r="S36" i="289"/>
  <c r="T36" i="289"/>
  <c r="U36" i="289"/>
  <c r="V36" i="289"/>
  <c r="W36" i="289"/>
  <c r="Z36" i="289"/>
  <c r="AC36" i="289"/>
  <c r="AD36" i="289"/>
  <c r="AE36" i="289"/>
  <c r="AH36" i="289"/>
  <c r="AI36" i="289" s="1"/>
  <c r="AK36" i="289"/>
  <c r="AL36" i="289"/>
  <c r="AO36" i="289" s="1"/>
  <c r="AP36" i="289" s="1"/>
  <c r="AM36" i="289"/>
  <c r="AN36" i="289"/>
  <c r="AR36" i="289"/>
  <c r="AT36" i="289"/>
  <c r="AU36" i="289"/>
  <c r="AW36" i="289" s="1"/>
  <c r="AV36" i="289"/>
  <c r="D37" i="289"/>
  <c r="E37" i="289"/>
  <c r="F37" i="289"/>
  <c r="G37" i="289"/>
  <c r="H37" i="289"/>
  <c r="I37" i="289"/>
  <c r="J37" i="289"/>
  <c r="K37" i="289"/>
  <c r="L37" i="289"/>
  <c r="M37" i="289"/>
  <c r="N37" i="289"/>
  <c r="O37" i="289"/>
  <c r="P37" i="289"/>
  <c r="Q37" i="289"/>
  <c r="R37" i="289"/>
  <c r="S37" i="289"/>
  <c r="T37" i="289"/>
  <c r="U37" i="289"/>
  <c r="V37" i="289"/>
  <c r="W37" i="289"/>
  <c r="AC37" i="289"/>
  <c r="AF37" i="289" s="1"/>
  <c r="AG37" i="289" s="1"/>
  <c r="AD37" i="289"/>
  <c r="AE37" i="289"/>
  <c r="AK37" i="289"/>
  <c r="AL37" i="289"/>
  <c r="AM37" i="289"/>
  <c r="AN37" i="289"/>
  <c r="AO37" i="289"/>
  <c r="AP37" i="289" s="1"/>
  <c r="AR37" i="289"/>
  <c r="AT37" i="289"/>
  <c r="AU37" i="289"/>
  <c r="D38" i="289"/>
  <c r="E38" i="289"/>
  <c r="F38" i="289"/>
  <c r="G38" i="289"/>
  <c r="H38" i="289"/>
  <c r="I38" i="289"/>
  <c r="J38" i="289"/>
  <c r="K38" i="289"/>
  <c r="L38" i="289"/>
  <c r="M38" i="289"/>
  <c r="N38" i="289"/>
  <c r="O38" i="289"/>
  <c r="P38" i="289"/>
  <c r="Q38" i="289"/>
  <c r="R38" i="289"/>
  <c r="S38" i="289"/>
  <c r="T38" i="289"/>
  <c r="U38" i="289"/>
  <c r="V38" i="289"/>
  <c r="W38" i="289"/>
  <c r="AC38" i="289"/>
  <c r="AD38" i="289"/>
  <c r="AE38" i="289"/>
  <c r="AF38" i="289"/>
  <c r="AG38" i="289" s="1"/>
  <c r="AK38" i="289"/>
  <c r="AL38" i="289"/>
  <c r="AO38" i="289" s="1"/>
  <c r="AP38" i="289" s="1"/>
  <c r="AM38" i="289"/>
  <c r="AN38" i="289"/>
  <c r="AR38" i="289"/>
  <c r="AT38" i="289"/>
  <c r="AU38" i="289"/>
  <c r="AV38" i="289"/>
  <c r="AW38" i="289"/>
  <c r="D39" i="289"/>
  <c r="E39" i="289"/>
  <c r="F39" i="289"/>
  <c r="G39" i="289"/>
  <c r="H39" i="289"/>
  <c r="I39" i="289"/>
  <c r="J39" i="289"/>
  <c r="K39" i="289"/>
  <c r="L39" i="289"/>
  <c r="M39" i="289"/>
  <c r="N39" i="289"/>
  <c r="O39" i="289"/>
  <c r="P39" i="289"/>
  <c r="Q39" i="289"/>
  <c r="R39" i="289"/>
  <c r="S39" i="289"/>
  <c r="T39" i="289"/>
  <c r="U39" i="289"/>
  <c r="V39" i="289"/>
  <c r="W39" i="289"/>
  <c r="AC39" i="289"/>
  <c r="AD39" i="289"/>
  <c r="AE39" i="289"/>
  <c r="AK39" i="289"/>
  <c r="AL39" i="289"/>
  <c r="AM39" i="289"/>
  <c r="AN39" i="289"/>
  <c r="AR39" i="289"/>
  <c r="AT39" i="289"/>
  <c r="AU39" i="289"/>
  <c r="AV39" i="289"/>
  <c r="AW39" i="289"/>
  <c r="D40" i="289"/>
  <c r="E40" i="289"/>
  <c r="F40" i="289"/>
  <c r="G40" i="289"/>
  <c r="H40" i="289"/>
  <c r="I40" i="289"/>
  <c r="J40" i="289"/>
  <c r="K40" i="289"/>
  <c r="L40" i="289"/>
  <c r="M40" i="289"/>
  <c r="N40" i="289"/>
  <c r="O40" i="289"/>
  <c r="P40" i="289"/>
  <c r="Q40" i="289"/>
  <c r="R40" i="289"/>
  <c r="S40" i="289"/>
  <c r="T40" i="289"/>
  <c r="U40" i="289"/>
  <c r="V40" i="289"/>
  <c r="W40" i="289"/>
  <c r="Z40" i="289"/>
  <c r="AC40" i="289"/>
  <c r="AD40" i="289"/>
  <c r="AF40" i="289" s="1"/>
  <c r="AG40" i="289" s="1"/>
  <c r="AE40" i="289"/>
  <c r="AH40" i="289"/>
  <c r="AI40" i="289" s="1"/>
  <c r="AK40" i="289"/>
  <c r="AL40" i="289"/>
  <c r="AM40" i="289"/>
  <c r="AN40" i="289"/>
  <c r="AR40" i="289"/>
  <c r="AT40" i="289"/>
  <c r="AU40" i="289"/>
  <c r="AW40" i="289" s="1"/>
  <c r="AV40" i="289"/>
  <c r="D41" i="289"/>
  <c r="E41" i="289"/>
  <c r="F41" i="289"/>
  <c r="G41" i="289"/>
  <c r="H41" i="289"/>
  <c r="I41" i="289"/>
  <c r="J41" i="289"/>
  <c r="K41" i="289"/>
  <c r="L41" i="289"/>
  <c r="M41" i="289"/>
  <c r="N41" i="289"/>
  <c r="O41" i="289"/>
  <c r="P41" i="289"/>
  <c r="Q41" i="289"/>
  <c r="R41" i="289"/>
  <c r="S41" i="289"/>
  <c r="T41" i="289"/>
  <c r="U41" i="289"/>
  <c r="V41" i="289"/>
  <c r="W41" i="289"/>
  <c r="AC41" i="289"/>
  <c r="AF41" i="289" s="1"/>
  <c r="AD41" i="289"/>
  <c r="AE41" i="289"/>
  <c r="AG41" i="289"/>
  <c r="AK41" i="289"/>
  <c r="AL41" i="289"/>
  <c r="AM41" i="289"/>
  <c r="AN41" i="289"/>
  <c r="AO41" i="289"/>
  <c r="AP41" i="289" s="1"/>
  <c r="AR41" i="289"/>
  <c r="AT41" i="289"/>
  <c r="AU41" i="289"/>
  <c r="D42" i="289"/>
  <c r="E42" i="289"/>
  <c r="F42" i="289"/>
  <c r="G42" i="289"/>
  <c r="H42" i="289"/>
  <c r="I42" i="289"/>
  <c r="J42" i="289"/>
  <c r="K42" i="289"/>
  <c r="L42" i="289"/>
  <c r="M42" i="289"/>
  <c r="N42" i="289"/>
  <c r="O42" i="289"/>
  <c r="P42" i="289"/>
  <c r="Q42" i="289"/>
  <c r="R42" i="289"/>
  <c r="S42" i="289"/>
  <c r="T42" i="289"/>
  <c r="U42" i="289"/>
  <c r="V42" i="289"/>
  <c r="W42" i="289"/>
  <c r="AC42" i="289"/>
  <c r="AD42" i="289"/>
  <c r="AE42" i="289"/>
  <c r="AF42" i="289"/>
  <c r="AG42" i="289" s="1"/>
  <c r="AK42" i="289"/>
  <c r="AL42" i="289"/>
  <c r="AM42" i="289"/>
  <c r="AN42" i="289"/>
  <c r="AR42" i="289"/>
  <c r="AT42" i="289"/>
  <c r="AU42" i="289"/>
  <c r="AV42" i="289"/>
  <c r="AW42" i="289"/>
  <c r="D43" i="289"/>
  <c r="E43" i="289"/>
  <c r="F43" i="289"/>
  <c r="G43" i="289"/>
  <c r="H43" i="289"/>
  <c r="I43" i="289"/>
  <c r="J43" i="289"/>
  <c r="K43" i="289"/>
  <c r="L43" i="289"/>
  <c r="M43" i="289"/>
  <c r="N43" i="289"/>
  <c r="O43" i="289"/>
  <c r="P43" i="289"/>
  <c r="Q43" i="289"/>
  <c r="R43" i="289"/>
  <c r="S43" i="289"/>
  <c r="T43" i="289"/>
  <c r="U43" i="289"/>
  <c r="V43" i="289"/>
  <c r="W43" i="289"/>
  <c r="AC43" i="289"/>
  <c r="AF43" i="289" s="1"/>
  <c r="AG43" i="289" s="1"/>
  <c r="AD43" i="289"/>
  <c r="AE43" i="289"/>
  <c r="AK43" i="289"/>
  <c r="AL43" i="289"/>
  <c r="AM43" i="289"/>
  <c r="AO43" i="289" s="1"/>
  <c r="AP43" i="289" s="1"/>
  <c r="AN43" i="289"/>
  <c r="AR43" i="289"/>
  <c r="AT43" i="289"/>
  <c r="AU43" i="289"/>
  <c r="AV43" i="289" s="1"/>
  <c r="AW43" i="289"/>
  <c r="D44" i="289"/>
  <c r="E44" i="289"/>
  <c r="F44" i="289"/>
  <c r="G44" i="289"/>
  <c r="H44" i="289"/>
  <c r="I44" i="289"/>
  <c r="J44" i="289"/>
  <c r="K44" i="289"/>
  <c r="L44" i="289"/>
  <c r="M44" i="289"/>
  <c r="N44" i="289"/>
  <c r="O44" i="289"/>
  <c r="P44" i="289"/>
  <c r="Q44" i="289"/>
  <c r="R44" i="289"/>
  <c r="S44" i="289"/>
  <c r="T44" i="289"/>
  <c r="U44" i="289"/>
  <c r="V44" i="289"/>
  <c r="W44" i="289"/>
  <c r="Z44" i="289"/>
  <c r="AC44" i="289"/>
  <c r="AD44" i="289"/>
  <c r="AF44" i="289" s="1"/>
  <c r="AG44" i="289" s="1"/>
  <c r="AE44" i="289"/>
  <c r="AH44" i="289"/>
  <c r="AI44" i="289" s="1"/>
  <c r="AK44" i="289"/>
  <c r="AL44" i="289"/>
  <c r="AO44" i="289" s="1"/>
  <c r="AM44" i="289"/>
  <c r="AN44" i="289"/>
  <c r="AP44" i="289"/>
  <c r="AR44" i="289"/>
  <c r="AT44" i="289"/>
  <c r="AU44" i="289"/>
  <c r="AW44" i="289" s="1"/>
  <c r="AV44" i="289"/>
  <c r="D45" i="289"/>
  <c r="E45" i="289"/>
  <c r="F45" i="289"/>
  <c r="G45" i="289"/>
  <c r="H45" i="289"/>
  <c r="I45" i="289"/>
  <c r="Z45" i="289" s="1"/>
  <c r="J45" i="289"/>
  <c r="K45" i="289"/>
  <c r="L45" i="289"/>
  <c r="M45" i="289"/>
  <c r="N45" i="289"/>
  <c r="O45" i="289"/>
  <c r="P45" i="289"/>
  <c r="Q45" i="289"/>
  <c r="R45" i="289"/>
  <c r="S45" i="289"/>
  <c r="T45" i="289"/>
  <c r="U45" i="289"/>
  <c r="V45" i="289"/>
  <c r="W45" i="289"/>
  <c r="AC45" i="289"/>
  <c r="AF45" i="289" s="1"/>
  <c r="AG45" i="289" s="1"/>
  <c r="AD45" i="289"/>
  <c r="AE45" i="289"/>
  <c r="AK45" i="289"/>
  <c r="AL45" i="289"/>
  <c r="AM45" i="289"/>
  <c r="AN45" i="289"/>
  <c r="AO45" i="289"/>
  <c r="AP45" i="289" s="1"/>
  <c r="AR45" i="289"/>
  <c r="AT45" i="289"/>
  <c r="AU45" i="289"/>
  <c r="D46" i="289"/>
  <c r="E46" i="289"/>
  <c r="F46" i="289"/>
  <c r="G46" i="289"/>
  <c r="H46" i="289"/>
  <c r="I46" i="289"/>
  <c r="J46" i="289"/>
  <c r="K46" i="289"/>
  <c r="L46" i="289"/>
  <c r="M46" i="289"/>
  <c r="N46" i="289"/>
  <c r="O46" i="289"/>
  <c r="P46" i="289"/>
  <c r="Q46" i="289"/>
  <c r="R46" i="289"/>
  <c r="S46" i="289"/>
  <c r="T46" i="289"/>
  <c r="U46" i="289"/>
  <c r="V46" i="289"/>
  <c r="W46" i="289"/>
  <c r="AC46" i="289"/>
  <c r="AD46" i="289"/>
  <c r="AE46" i="289"/>
  <c r="AF46" i="289"/>
  <c r="AG46" i="289" s="1"/>
  <c r="AK46" i="289"/>
  <c r="AL46" i="289"/>
  <c r="AM46" i="289"/>
  <c r="AN46" i="289"/>
  <c r="AR46" i="289"/>
  <c r="AT46" i="289"/>
  <c r="AU46" i="289"/>
  <c r="AV46" i="289"/>
  <c r="AW46" i="289"/>
  <c r="D47" i="289"/>
  <c r="E47" i="289"/>
  <c r="F47" i="289"/>
  <c r="G47" i="289"/>
  <c r="H47" i="289"/>
  <c r="I47" i="289"/>
  <c r="J47" i="289"/>
  <c r="K47" i="289"/>
  <c r="L47" i="289"/>
  <c r="M47" i="289"/>
  <c r="N47" i="289"/>
  <c r="O47" i="289"/>
  <c r="P47" i="289"/>
  <c r="Q47" i="289"/>
  <c r="R47" i="289"/>
  <c r="S47" i="289"/>
  <c r="T47" i="289"/>
  <c r="U47" i="289"/>
  <c r="V47" i="289"/>
  <c r="W47" i="289"/>
  <c r="AC47" i="289"/>
  <c r="AF47" i="289" s="1"/>
  <c r="AG47" i="289" s="1"/>
  <c r="AD47" i="289"/>
  <c r="AE47" i="289"/>
  <c r="AK47" i="289"/>
  <c r="AL47" i="289"/>
  <c r="AM47" i="289"/>
  <c r="AO47" i="289" s="1"/>
  <c r="AP47" i="289" s="1"/>
  <c r="AN47" i="289"/>
  <c r="AR47" i="289"/>
  <c r="AT47" i="289"/>
  <c r="AU47" i="289"/>
  <c r="AV47" i="289" s="1"/>
  <c r="AW47" i="289"/>
  <c r="D48" i="289"/>
  <c r="E48" i="289"/>
  <c r="F48" i="289"/>
  <c r="G48" i="289"/>
  <c r="H48" i="289"/>
  <c r="I48" i="289"/>
  <c r="J48" i="289"/>
  <c r="K48" i="289"/>
  <c r="L48" i="289"/>
  <c r="M48" i="289"/>
  <c r="N48" i="289"/>
  <c r="O48" i="289"/>
  <c r="P48" i="289"/>
  <c r="Q48" i="289"/>
  <c r="R48" i="289"/>
  <c r="S48" i="289"/>
  <c r="T48" i="289"/>
  <c r="U48" i="289"/>
  <c r="V48" i="289"/>
  <c r="W48" i="289"/>
  <c r="Z48" i="289"/>
  <c r="AC48" i="289"/>
  <c r="AD48" i="289"/>
  <c r="AF48" i="289" s="1"/>
  <c r="AG48" i="289" s="1"/>
  <c r="AE48" i="289"/>
  <c r="AH48" i="289"/>
  <c r="AI48" i="289" s="1"/>
  <c r="AK48" i="289"/>
  <c r="AL48" i="289"/>
  <c r="AO48" i="289" s="1"/>
  <c r="AP48" i="289" s="1"/>
  <c r="AM48" i="289"/>
  <c r="AN48" i="289"/>
  <c r="AR48" i="289"/>
  <c r="AT48" i="289"/>
  <c r="AU48" i="289"/>
  <c r="AW48" i="289" s="1"/>
  <c r="AV48" i="289"/>
  <c r="D49" i="289"/>
  <c r="E49" i="289"/>
  <c r="F49" i="289"/>
  <c r="G49" i="289"/>
  <c r="H49" i="289"/>
  <c r="I49" i="289"/>
  <c r="Z49" i="289" s="1"/>
  <c r="J49" i="289"/>
  <c r="K49" i="289"/>
  <c r="L49" i="289"/>
  <c r="M49" i="289"/>
  <c r="N49" i="289"/>
  <c r="O49" i="289"/>
  <c r="P49" i="289"/>
  <c r="Q49" i="289"/>
  <c r="R49" i="289"/>
  <c r="S49" i="289"/>
  <c r="T49" i="289"/>
  <c r="U49" i="289"/>
  <c r="V49" i="289"/>
  <c r="W49" i="289"/>
  <c r="AC49" i="289"/>
  <c r="AF49" i="289" s="1"/>
  <c r="AG49" i="289" s="1"/>
  <c r="AD49" i="289"/>
  <c r="AE49" i="289"/>
  <c r="AK49" i="289"/>
  <c r="AL49" i="289"/>
  <c r="AM49" i="289"/>
  <c r="AN49" i="289"/>
  <c r="AO49" i="289"/>
  <c r="AP49" i="289" s="1"/>
  <c r="AR49" i="289"/>
  <c r="AT49" i="289"/>
  <c r="AU49" i="289"/>
  <c r="D50" i="289"/>
  <c r="E50" i="289"/>
  <c r="F50" i="289"/>
  <c r="G50" i="289"/>
  <c r="H50" i="289"/>
  <c r="I50" i="289"/>
  <c r="J50" i="289"/>
  <c r="K50" i="289"/>
  <c r="L50" i="289"/>
  <c r="M50" i="289"/>
  <c r="N50" i="289"/>
  <c r="O50" i="289"/>
  <c r="P50" i="289"/>
  <c r="Q50" i="289"/>
  <c r="R50" i="289"/>
  <c r="S50" i="289"/>
  <c r="T50" i="289"/>
  <c r="U50" i="289"/>
  <c r="V50" i="289"/>
  <c r="W50" i="289"/>
  <c r="AC50" i="289"/>
  <c r="AD50" i="289"/>
  <c r="AE50" i="289"/>
  <c r="AF50" i="289"/>
  <c r="AG50" i="289" s="1"/>
  <c r="AK50" i="289"/>
  <c r="AL50" i="289"/>
  <c r="AO50" i="289" s="1"/>
  <c r="AP50" i="289" s="1"/>
  <c r="AM50" i="289"/>
  <c r="AN50" i="289"/>
  <c r="AR50" i="289"/>
  <c r="AT50" i="289"/>
  <c r="AU50" i="289"/>
  <c r="AV50" i="289"/>
  <c r="AW50" i="289"/>
  <c r="D51" i="289"/>
  <c r="E51" i="289"/>
  <c r="F51" i="289"/>
  <c r="G51" i="289"/>
  <c r="H51" i="289"/>
  <c r="I51" i="289"/>
  <c r="J51" i="289"/>
  <c r="K51" i="289"/>
  <c r="L51" i="289"/>
  <c r="M51" i="289"/>
  <c r="N51" i="289"/>
  <c r="O51" i="289"/>
  <c r="P51" i="289"/>
  <c r="Q51" i="289"/>
  <c r="R51" i="289"/>
  <c r="S51" i="289"/>
  <c r="T51" i="289"/>
  <c r="U51" i="289"/>
  <c r="V51" i="289"/>
  <c r="W51" i="289"/>
  <c r="AC51" i="289"/>
  <c r="AD51" i="289"/>
  <c r="AE51" i="289"/>
  <c r="AK51" i="289"/>
  <c r="AL51" i="289"/>
  <c r="AM51" i="289"/>
  <c r="AO51" i="289" s="1"/>
  <c r="AP51" i="289" s="1"/>
  <c r="AN51" i="289"/>
  <c r="AR51" i="289"/>
  <c r="AT51" i="289"/>
  <c r="AU51" i="289"/>
  <c r="AV51" i="289" s="1"/>
  <c r="AW51" i="289"/>
  <c r="D52" i="289"/>
  <c r="E52" i="289"/>
  <c r="F52" i="289"/>
  <c r="G52" i="289"/>
  <c r="H52" i="289"/>
  <c r="I52" i="289"/>
  <c r="J52" i="289"/>
  <c r="K52" i="289"/>
  <c r="L52" i="289"/>
  <c r="M52" i="289"/>
  <c r="N52" i="289"/>
  <c r="O52" i="289"/>
  <c r="P52" i="289"/>
  <c r="Q52" i="289"/>
  <c r="R52" i="289"/>
  <c r="S52" i="289"/>
  <c r="T52" i="289"/>
  <c r="U52" i="289"/>
  <c r="V52" i="289"/>
  <c r="W52" i="289"/>
  <c r="Z52" i="289"/>
  <c r="AC52" i="289"/>
  <c r="AD52" i="289"/>
  <c r="AF52" i="289" s="1"/>
  <c r="AG52" i="289" s="1"/>
  <c r="AE52" i="289"/>
  <c r="AH52" i="289"/>
  <c r="AI52" i="289" s="1"/>
  <c r="AK52" i="289"/>
  <c r="AL52" i="289"/>
  <c r="AO52" i="289" s="1"/>
  <c r="AP52" i="289" s="1"/>
  <c r="AM52" i="289"/>
  <c r="AN52" i="289"/>
  <c r="AR52" i="289"/>
  <c r="AT52" i="289"/>
  <c r="AU52" i="289"/>
  <c r="AW52" i="289" s="1"/>
  <c r="AV52" i="289"/>
  <c r="G53" i="289"/>
  <c r="H53" i="289"/>
  <c r="I53" i="289"/>
  <c r="J53" i="289"/>
  <c r="K53" i="289"/>
  <c r="L53" i="289"/>
  <c r="M53" i="289"/>
  <c r="N53" i="289"/>
  <c r="O53" i="289"/>
  <c r="P53" i="289"/>
  <c r="Q53" i="289"/>
  <c r="R53" i="289"/>
  <c r="S53" i="289"/>
  <c r="T53" i="289"/>
  <c r="U53" i="289"/>
  <c r="V53" i="289"/>
  <c r="W53" i="289"/>
  <c r="AC53" i="289"/>
  <c r="AD53" i="289"/>
  <c r="AE53" i="289"/>
  <c r="AF53" i="289"/>
  <c r="AG53" i="289" s="1"/>
  <c r="AK53" i="289"/>
  <c r="AL53" i="289"/>
  <c r="AO53" i="289" s="1"/>
  <c r="AP53" i="289" s="1"/>
  <c r="AM53" i="289"/>
  <c r="AN53" i="289"/>
  <c r="AR53" i="289"/>
  <c r="AT53" i="289"/>
  <c r="AU53" i="289"/>
  <c r="AV53" i="289"/>
  <c r="AW53" i="289"/>
  <c r="G54" i="289"/>
  <c r="H54" i="289"/>
  <c r="I54" i="289"/>
  <c r="J54" i="289"/>
  <c r="K54" i="289"/>
  <c r="L54" i="289"/>
  <c r="M54" i="289"/>
  <c r="N54" i="289"/>
  <c r="O54" i="289"/>
  <c r="P54" i="289"/>
  <c r="Q54" i="289"/>
  <c r="R54" i="289"/>
  <c r="S54" i="289"/>
  <c r="T54" i="289"/>
  <c r="U54" i="289"/>
  <c r="V54" i="289"/>
  <c r="W54" i="289"/>
  <c r="Z54" i="289"/>
  <c r="AC54" i="289"/>
  <c r="AD54" i="289"/>
  <c r="AF54" i="289" s="1"/>
  <c r="AG54" i="289" s="1"/>
  <c r="AE54" i="289"/>
  <c r="AH54" i="289"/>
  <c r="AI54" i="289" s="1"/>
  <c r="AK54" i="289"/>
  <c r="AL54" i="289"/>
  <c r="AO54" i="289" s="1"/>
  <c r="AP54" i="289" s="1"/>
  <c r="AM54" i="289"/>
  <c r="AN54" i="289"/>
  <c r="AR54" i="289"/>
  <c r="AT54" i="289"/>
  <c r="AU54" i="289"/>
  <c r="AW54" i="289" s="1"/>
  <c r="AV54" i="289"/>
  <c r="G55" i="289"/>
  <c r="H55" i="289"/>
  <c r="I55" i="289"/>
  <c r="J55" i="289"/>
  <c r="K55" i="289"/>
  <c r="L55" i="289"/>
  <c r="M55" i="289"/>
  <c r="N55" i="289"/>
  <c r="O55" i="289"/>
  <c r="P55" i="289"/>
  <c r="Q55" i="289"/>
  <c r="R55" i="289"/>
  <c r="S55" i="289"/>
  <c r="T55" i="289"/>
  <c r="U55" i="289"/>
  <c r="V55" i="289"/>
  <c r="W55" i="289"/>
  <c r="AC55" i="289"/>
  <c r="AD55" i="289"/>
  <c r="AE55" i="289"/>
  <c r="AF55" i="289"/>
  <c r="AG55" i="289" s="1"/>
  <c r="AK55" i="289"/>
  <c r="AL55" i="289"/>
  <c r="AM55" i="289"/>
  <c r="AN55" i="289"/>
  <c r="AR55" i="289"/>
  <c r="AT55" i="289"/>
  <c r="AU55" i="289"/>
  <c r="AV55" i="289"/>
  <c r="AW55" i="289"/>
  <c r="G56" i="289"/>
  <c r="H56" i="289"/>
  <c r="I56" i="289"/>
  <c r="J56" i="289"/>
  <c r="K56" i="289"/>
  <c r="L56" i="289"/>
  <c r="M56" i="289"/>
  <c r="N56" i="289"/>
  <c r="O56" i="289"/>
  <c r="P56" i="289"/>
  <c r="Q56" i="289"/>
  <c r="R56" i="289"/>
  <c r="S56" i="289"/>
  <c r="T56" i="289"/>
  <c r="U56" i="289"/>
  <c r="V56" i="289"/>
  <c r="W56" i="289"/>
  <c r="Z56" i="289"/>
  <c r="AC56" i="289"/>
  <c r="AD56" i="289"/>
  <c r="AF56" i="289" s="1"/>
  <c r="AG56" i="289" s="1"/>
  <c r="AE56" i="289"/>
  <c r="AH56" i="289"/>
  <c r="AI56" i="289" s="1"/>
  <c r="AK56" i="289"/>
  <c r="AL56" i="289"/>
  <c r="AO56" i="289" s="1"/>
  <c r="AM56" i="289"/>
  <c r="AN56" i="289"/>
  <c r="AP56" i="289"/>
  <c r="AR56" i="289"/>
  <c r="AT56" i="289"/>
  <c r="AU56" i="289"/>
  <c r="AW56" i="289" s="1"/>
  <c r="AV56" i="289"/>
  <c r="G57" i="289"/>
  <c r="H57" i="289"/>
  <c r="I57" i="289"/>
  <c r="J57" i="289"/>
  <c r="K57" i="289"/>
  <c r="L57" i="289"/>
  <c r="M57" i="289"/>
  <c r="N57" i="289"/>
  <c r="O57" i="289"/>
  <c r="P57" i="289"/>
  <c r="Q57" i="289"/>
  <c r="R57" i="289"/>
  <c r="S57" i="289"/>
  <c r="T57" i="289"/>
  <c r="U57" i="289"/>
  <c r="V57" i="289"/>
  <c r="W57" i="289"/>
  <c r="AC57" i="289"/>
  <c r="AF57" i="289" s="1"/>
  <c r="AG57" i="289" s="1"/>
  <c r="AD57" i="289"/>
  <c r="AE57" i="289"/>
  <c r="AK57" i="289"/>
  <c r="AL57" i="289"/>
  <c r="AM57" i="289"/>
  <c r="AN57" i="289"/>
  <c r="AP57" i="289"/>
  <c r="AR57" i="289"/>
  <c r="AS57" i="289"/>
  <c r="AT57" i="289" s="1"/>
  <c r="AU57" i="289"/>
  <c r="AV57" i="289" s="1"/>
  <c r="AW57" i="289"/>
  <c r="G58" i="289"/>
  <c r="H58" i="289"/>
  <c r="I58" i="289"/>
  <c r="Z58" i="289" s="1"/>
  <c r="J58" i="289"/>
  <c r="K58" i="289"/>
  <c r="L58" i="289"/>
  <c r="M58" i="289"/>
  <c r="N58" i="289"/>
  <c r="O58" i="289"/>
  <c r="P58" i="289"/>
  <c r="Q58" i="289"/>
  <c r="R58" i="289"/>
  <c r="S58" i="289"/>
  <c r="T58" i="289"/>
  <c r="U58" i="289"/>
  <c r="V58" i="289"/>
  <c r="W58" i="289"/>
  <c r="AC58" i="289"/>
  <c r="AF58" i="289" s="1"/>
  <c r="AG58" i="289" s="1"/>
  <c r="AD58" i="289"/>
  <c r="AE58" i="289"/>
  <c r="AK58" i="289"/>
  <c r="AS58" i="289" s="1"/>
  <c r="AT58" i="289" s="1"/>
  <c r="AL58" i="289"/>
  <c r="AM58" i="289"/>
  <c r="AN58" i="289"/>
  <c r="AP58" i="289"/>
  <c r="AR58" i="289"/>
  <c r="AU58" i="289"/>
  <c r="G59" i="289"/>
  <c r="H59" i="289"/>
  <c r="I59" i="289"/>
  <c r="J59" i="289"/>
  <c r="K59" i="289"/>
  <c r="L59" i="289"/>
  <c r="M59" i="289"/>
  <c r="N59" i="289"/>
  <c r="O59" i="289"/>
  <c r="P59" i="289"/>
  <c r="Q59" i="289"/>
  <c r="R59" i="289"/>
  <c r="S59" i="289"/>
  <c r="T59" i="289"/>
  <c r="U59" i="289"/>
  <c r="V59" i="289"/>
  <c r="W59" i="289"/>
  <c r="AC59" i="289"/>
  <c r="AF59" i="289" s="1"/>
  <c r="AG59" i="289" s="1"/>
  <c r="AD59" i="289"/>
  <c r="AE59" i="289"/>
  <c r="AK59" i="289"/>
  <c r="AL59" i="289"/>
  <c r="AM59" i="289"/>
  <c r="AN59" i="289"/>
  <c r="AP59" i="289"/>
  <c r="AR59" i="289"/>
  <c r="AS59" i="289"/>
  <c r="AT59" i="289" s="1"/>
  <c r="AU59" i="289"/>
  <c r="AV59" i="289" s="1"/>
  <c r="AW59" i="289"/>
  <c r="G60" i="289"/>
  <c r="H60" i="289"/>
  <c r="I60" i="289"/>
  <c r="Z60" i="289" s="1"/>
  <c r="J60" i="289"/>
  <c r="K60" i="289"/>
  <c r="L60" i="289"/>
  <c r="M60" i="289"/>
  <c r="N60" i="289"/>
  <c r="O60" i="289"/>
  <c r="P60" i="289"/>
  <c r="Q60" i="289"/>
  <c r="R60" i="289"/>
  <c r="S60" i="289"/>
  <c r="T60" i="289"/>
  <c r="U60" i="289"/>
  <c r="V60" i="289"/>
  <c r="W60" i="289"/>
  <c r="AC60" i="289"/>
  <c r="AF60" i="289" s="1"/>
  <c r="AG60" i="289" s="1"/>
  <c r="AD60" i="289"/>
  <c r="AE60" i="289"/>
  <c r="AK60" i="289"/>
  <c r="AS60" i="289" s="1"/>
  <c r="AT60" i="289" s="1"/>
  <c r="AL60" i="289"/>
  <c r="AM60" i="289"/>
  <c r="AN60" i="289"/>
  <c r="AP60" i="289"/>
  <c r="AR60" i="289"/>
  <c r="AU60" i="289"/>
  <c r="G61" i="289"/>
  <c r="H61" i="289"/>
  <c r="I61" i="289"/>
  <c r="J61" i="289"/>
  <c r="K61" i="289"/>
  <c r="L61" i="289"/>
  <c r="M61" i="289"/>
  <c r="N61" i="289"/>
  <c r="O61" i="289"/>
  <c r="P61" i="289"/>
  <c r="Q61" i="289"/>
  <c r="R61" i="289"/>
  <c r="S61" i="289"/>
  <c r="T61" i="289"/>
  <c r="U61" i="289"/>
  <c r="V61" i="289"/>
  <c r="W61" i="289"/>
  <c r="AC61" i="289"/>
  <c r="AF61" i="289" s="1"/>
  <c r="AG61" i="289" s="1"/>
  <c r="AD61" i="289"/>
  <c r="AE61" i="289"/>
  <c r="AK61" i="289"/>
  <c r="AL61" i="289"/>
  <c r="AM61" i="289"/>
  <c r="AN61" i="289"/>
  <c r="AP61" i="289"/>
  <c r="AR61" i="289"/>
  <c r="AS61" i="289"/>
  <c r="AT61" i="289" s="1"/>
  <c r="AU61" i="289"/>
  <c r="AV61" i="289"/>
  <c r="AW61" i="289"/>
  <c r="G62" i="289"/>
  <c r="H62" i="289"/>
  <c r="I62" i="289"/>
  <c r="Z62" i="289" s="1"/>
  <c r="J62" i="289"/>
  <c r="K62" i="289"/>
  <c r="L62" i="289"/>
  <c r="M62" i="289"/>
  <c r="N62" i="289"/>
  <c r="O62" i="289"/>
  <c r="P62" i="289"/>
  <c r="Q62" i="289"/>
  <c r="R62" i="289"/>
  <c r="S62" i="289"/>
  <c r="T62" i="289"/>
  <c r="U62" i="289"/>
  <c r="V62" i="289"/>
  <c r="W62" i="289"/>
  <c r="AC62" i="289"/>
  <c r="AF62" i="289" s="1"/>
  <c r="AG62" i="289" s="1"/>
  <c r="AD62" i="289"/>
  <c r="AE62" i="289"/>
  <c r="AK62" i="289"/>
  <c r="AS62" i="289" s="1"/>
  <c r="AT62" i="289" s="1"/>
  <c r="AL62" i="289"/>
  <c r="AM62" i="289"/>
  <c r="AN62" i="289"/>
  <c r="AP62" i="289"/>
  <c r="AR62" i="289"/>
  <c r="AU62" i="289"/>
  <c r="G63" i="289"/>
  <c r="H63" i="289"/>
  <c r="I63" i="289"/>
  <c r="J63" i="289"/>
  <c r="K63" i="289"/>
  <c r="L63" i="289"/>
  <c r="M63" i="289"/>
  <c r="N63" i="289"/>
  <c r="O63" i="289"/>
  <c r="P63" i="289"/>
  <c r="Q63" i="289"/>
  <c r="R63" i="289"/>
  <c r="S63" i="289"/>
  <c r="T63" i="289"/>
  <c r="U63" i="289"/>
  <c r="V63" i="289"/>
  <c r="W63" i="289"/>
  <c r="AC63" i="289"/>
  <c r="AD63" i="289"/>
  <c r="AE63" i="289"/>
  <c r="AK63" i="289"/>
  <c r="AL63" i="289"/>
  <c r="AM63" i="289"/>
  <c r="AN63" i="289"/>
  <c r="AP63" i="289"/>
  <c r="AR63" i="289"/>
  <c r="AS63" i="289"/>
  <c r="AT63" i="289" s="1"/>
  <c r="AU63" i="289"/>
  <c r="AV63" i="289"/>
  <c r="AW63" i="289"/>
  <c r="G64" i="289"/>
  <c r="H64" i="289"/>
  <c r="I64" i="289"/>
  <c r="J64" i="289"/>
  <c r="K64" i="289"/>
  <c r="L64" i="289"/>
  <c r="M64" i="289"/>
  <c r="N64" i="289"/>
  <c r="O64" i="289"/>
  <c r="P64" i="289"/>
  <c r="Q64" i="289"/>
  <c r="R64" i="289"/>
  <c r="S64" i="289"/>
  <c r="T64" i="289"/>
  <c r="U64" i="289"/>
  <c r="V64" i="289"/>
  <c r="W64" i="289"/>
  <c r="AC64" i="289"/>
  <c r="AF64" i="289" s="1"/>
  <c r="AG64" i="289" s="1"/>
  <c r="AD64" i="289"/>
  <c r="AE64" i="289"/>
  <c r="AK64" i="289"/>
  <c r="AS64" i="289" s="1"/>
  <c r="AT64" i="289" s="1"/>
  <c r="AL64" i="289"/>
  <c r="AM64" i="289"/>
  <c r="AN64" i="289"/>
  <c r="AP64" i="289"/>
  <c r="AR64" i="289"/>
  <c r="AU64" i="289"/>
  <c r="G65" i="289"/>
  <c r="H65" i="289"/>
  <c r="I65" i="289"/>
  <c r="J65" i="289"/>
  <c r="K65" i="289"/>
  <c r="L65" i="289"/>
  <c r="M65" i="289"/>
  <c r="N65" i="289"/>
  <c r="O65" i="289"/>
  <c r="P65" i="289"/>
  <c r="Q65" i="289"/>
  <c r="R65" i="289"/>
  <c r="S65" i="289"/>
  <c r="T65" i="289"/>
  <c r="U65" i="289"/>
  <c r="V65" i="289"/>
  <c r="W65" i="289"/>
  <c r="AC65" i="289"/>
  <c r="AD65" i="289"/>
  <c r="AE65" i="289"/>
  <c r="AK65" i="289"/>
  <c r="AL65" i="289"/>
  <c r="AM65" i="289"/>
  <c r="AN65" i="289"/>
  <c r="AP65" i="289"/>
  <c r="AR65" i="289"/>
  <c r="AS65" i="289"/>
  <c r="AT65" i="289" s="1"/>
  <c r="AU65" i="289"/>
  <c r="AV65" i="289"/>
  <c r="AW65" i="289"/>
  <c r="G66" i="289"/>
  <c r="H66" i="289"/>
  <c r="I66" i="289"/>
  <c r="J66" i="289"/>
  <c r="K66" i="289"/>
  <c r="L66" i="289"/>
  <c r="M66" i="289"/>
  <c r="N66" i="289"/>
  <c r="O66" i="289"/>
  <c r="P66" i="289"/>
  <c r="Q66" i="289"/>
  <c r="R66" i="289"/>
  <c r="S66" i="289"/>
  <c r="T66" i="289"/>
  <c r="U66" i="289"/>
  <c r="V66" i="289"/>
  <c r="W66" i="289"/>
  <c r="AC66" i="289"/>
  <c r="AF66" i="289" s="1"/>
  <c r="AD66" i="289"/>
  <c r="AE66" i="289"/>
  <c r="AG66" i="289"/>
  <c r="AK66" i="289"/>
  <c r="AS66" i="289" s="1"/>
  <c r="AT66" i="289" s="1"/>
  <c r="AL66" i="289"/>
  <c r="AM66" i="289"/>
  <c r="AN66" i="289"/>
  <c r="AP66" i="289"/>
  <c r="AR66" i="289"/>
  <c r="AU66" i="289"/>
  <c r="G67" i="289"/>
  <c r="H67" i="289"/>
  <c r="I67" i="289"/>
  <c r="J67" i="289"/>
  <c r="K67" i="289"/>
  <c r="L67" i="289"/>
  <c r="M67" i="289"/>
  <c r="N67" i="289"/>
  <c r="O67" i="289"/>
  <c r="P67" i="289"/>
  <c r="Q67" i="289"/>
  <c r="R67" i="289"/>
  <c r="S67" i="289"/>
  <c r="T67" i="289"/>
  <c r="U67" i="289"/>
  <c r="V67" i="289"/>
  <c r="W67" i="289"/>
  <c r="AC67" i="289"/>
  <c r="AD67" i="289"/>
  <c r="AF67" i="289" s="1"/>
  <c r="AG67" i="289" s="1"/>
  <c r="AE67" i="289"/>
  <c r="AK67" i="289"/>
  <c r="AL67" i="289"/>
  <c r="AM67" i="289"/>
  <c r="AN67" i="289"/>
  <c r="AP67" i="289"/>
  <c r="AR67" i="289"/>
  <c r="AS67" i="289"/>
  <c r="AT67" i="289" s="1"/>
  <c r="AU67" i="289"/>
  <c r="AV67" i="289"/>
  <c r="AW67" i="289"/>
  <c r="G68" i="289"/>
  <c r="H68" i="289"/>
  <c r="I68" i="289"/>
  <c r="J68" i="289"/>
  <c r="Z68" i="289" s="1"/>
  <c r="K68" i="289"/>
  <c r="L68" i="289"/>
  <c r="M68" i="289"/>
  <c r="N68" i="289"/>
  <c r="O68" i="289"/>
  <c r="P68" i="289"/>
  <c r="Q68" i="289"/>
  <c r="R68" i="289"/>
  <c r="S68" i="289"/>
  <c r="T68" i="289"/>
  <c r="U68" i="289"/>
  <c r="V68" i="289"/>
  <c r="W68" i="289"/>
  <c r="AC68" i="289"/>
  <c r="AF68" i="289" s="1"/>
  <c r="AG68" i="289" s="1"/>
  <c r="AD68" i="289"/>
  <c r="AE68" i="289"/>
  <c r="AK68" i="289"/>
  <c r="AS68" i="289" s="1"/>
  <c r="AT68" i="289" s="1"/>
  <c r="AL68" i="289"/>
  <c r="AM68" i="289"/>
  <c r="AN68" i="289"/>
  <c r="AP68" i="289"/>
  <c r="AR68" i="289"/>
  <c r="AU68" i="289"/>
  <c r="G69" i="289"/>
  <c r="H69" i="289"/>
  <c r="I69" i="289"/>
  <c r="J69" i="289"/>
  <c r="K69" i="289"/>
  <c r="L69" i="289"/>
  <c r="M69" i="289"/>
  <c r="N69" i="289"/>
  <c r="O69" i="289"/>
  <c r="P69" i="289"/>
  <c r="Q69" i="289"/>
  <c r="R69" i="289"/>
  <c r="S69" i="289"/>
  <c r="T69" i="289"/>
  <c r="U69" i="289"/>
  <c r="V69" i="289"/>
  <c r="W69" i="289"/>
  <c r="AC69" i="289"/>
  <c r="AD69" i="289"/>
  <c r="AE69" i="289"/>
  <c r="AK69" i="289"/>
  <c r="AL69" i="289"/>
  <c r="AM69" i="289"/>
  <c r="AN69" i="289"/>
  <c r="AP69" i="289"/>
  <c r="AR69" i="289"/>
  <c r="AS69" i="289"/>
  <c r="AT69" i="289" s="1"/>
  <c r="AU69" i="289"/>
  <c r="AV69" i="289"/>
  <c r="AW69" i="289"/>
  <c r="G70" i="289"/>
  <c r="H70" i="289"/>
  <c r="I70" i="289"/>
  <c r="J70" i="289"/>
  <c r="K70" i="289"/>
  <c r="L70" i="289"/>
  <c r="M70" i="289"/>
  <c r="N70" i="289"/>
  <c r="O70" i="289"/>
  <c r="P70" i="289"/>
  <c r="Q70" i="289"/>
  <c r="R70" i="289"/>
  <c r="S70" i="289"/>
  <c r="T70" i="289"/>
  <c r="U70" i="289"/>
  <c r="V70" i="289"/>
  <c r="W70" i="289"/>
  <c r="AC70" i="289"/>
  <c r="AF70" i="289" s="1"/>
  <c r="AG70" i="289" s="1"/>
  <c r="AD70" i="289"/>
  <c r="AE70" i="289"/>
  <c r="AK70" i="289"/>
  <c r="AS70" i="289" s="1"/>
  <c r="AT70" i="289" s="1"/>
  <c r="AL70" i="289"/>
  <c r="AM70" i="289"/>
  <c r="AN70" i="289"/>
  <c r="AP70" i="289"/>
  <c r="AR70" i="289"/>
  <c r="AU70" i="289"/>
  <c r="G71" i="289"/>
  <c r="H71" i="289"/>
  <c r="I71" i="289"/>
  <c r="J71" i="289"/>
  <c r="K71" i="289"/>
  <c r="L71" i="289"/>
  <c r="M71" i="289"/>
  <c r="N71" i="289"/>
  <c r="O71" i="289"/>
  <c r="P71" i="289"/>
  <c r="Q71" i="289"/>
  <c r="R71" i="289"/>
  <c r="S71" i="289"/>
  <c r="T71" i="289"/>
  <c r="U71" i="289"/>
  <c r="V71" i="289"/>
  <c r="W71" i="289"/>
  <c r="AC71" i="289"/>
  <c r="AD71" i="289"/>
  <c r="AE71" i="289"/>
  <c r="AK71" i="289"/>
  <c r="AL71" i="289"/>
  <c r="AM71" i="289"/>
  <c r="AN71" i="289"/>
  <c r="AP71" i="289"/>
  <c r="AR71" i="289"/>
  <c r="AS71" i="289"/>
  <c r="AT71" i="289" s="1"/>
  <c r="AU71" i="289"/>
  <c r="AV71" i="289"/>
  <c r="AW71" i="289"/>
  <c r="G72" i="289"/>
  <c r="H72" i="289"/>
  <c r="I72" i="289"/>
  <c r="J72" i="289"/>
  <c r="K72" i="289"/>
  <c r="L72" i="289"/>
  <c r="M72" i="289"/>
  <c r="N72" i="289"/>
  <c r="O72" i="289"/>
  <c r="P72" i="289"/>
  <c r="Q72" i="289"/>
  <c r="R72" i="289"/>
  <c r="S72" i="289"/>
  <c r="T72" i="289"/>
  <c r="U72" i="289"/>
  <c r="V72" i="289"/>
  <c r="W72" i="289"/>
  <c r="AC72" i="289"/>
  <c r="AF72" i="289" s="1"/>
  <c r="AG72" i="289" s="1"/>
  <c r="AD72" i="289"/>
  <c r="AE72" i="289"/>
  <c r="AK72" i="289"/>
  <c r="AS72" i="289" s="1"/>
  <c r="AT72" i="289" s="1"/>
  <c r="AL72" i="289"/>
  <c r="AM72" i="289"/>
  <c r="AN72" i="289"/>
  <c r="AP72" i="289"/>
  <c r="AR72" i="289"/>
  <c r="AU72" i="289"/>
  <c r="G73" i="289"/>
  <c r="H73" i="289"/>
  <c r="I73" i="289"/>
  <c r="J73" i="289"/>
  <c r="K73" i="289"/>
  <c r="L73" i="289"/>
  <c r="M73" i="289"/>
  <c r="N73" i="289"/>
  <c r="O73" i="289"/>
  <c r="P73" i="289"/>
  <c r="Q73" i="289"/>
  <c r="R73" i="289"/>
  <c r="S73" i="289"/>
  <c r="T73" i="289"/>
  <c r="U73" i="289"/>
  <c r="V73" i="289"/>
  <c r="W73" i="289"/>
  <c r="AC73" i="289"/>
  <c r="AD73" i="289"/>
  <c r="AE73" i="289"/>
  <c r="AK73" i="289"/>
  <c r="AL73" i="289"/>
  <c r="AM73" i="289"/>
  <c r="AN73" i="289"/>
  <c r="AP73" i="289"/>
  <c r="AR73" i="289"/>
  <c r="AS73" i="289"/>
  <c r="AT73" i="289" s="1"/>
  <c r="AU73" i="289"/>
  <c r="AV73" i="289"/>
  <c r="AW73" i="289"/>
  <c r="G74" i="289"/>
  <c r="H74" i="289"/>
  <c r="I74" i="289"/>
  <c r="J74" i="289"/>
  <c r="K74" i="289"/>
  <c r="L74" i="289"/>
  <c r="M74" i="289"/>
  <c r="N74" i="289"/>
  <c r="O74" i="289"/>
  <c r="P74" i="289"/>
  <c r="Q74" i="289"/>
  <c r="R74" i="289"/>
  <c r="S74" i="289"/>
  <c r="T74" i="289"/>
  <c r="U74" i="289"/>
  <c r="V74" i="289"/>
  <c r="W74" i="289"/>
  <c r="AC74" i="289"/>
  <c r="AF74" i="289" s="1"/>
  <c r="AD74" i="289"/>
  <c r="AE74" i="289"/>
  <c r="AG74" i="289"/>
  <c r="AK74" i="289"/>
  <c r="AS74" i="289" s="1"/>
  <c r="AT74" i="289" s="1"/>
  <c r="AL74" i="289"/>
  <c r="AM74" i="289"/>
  <c r="AN74" i="289"/>
  <c r="AP74" i="289"/>
  <c r="AR74" i="289"/>
  <c r="AU74" i="289"/>
  <c r="G75" i="289"/>
  <c r="H75" i="289"/>
  <c r="I75" i="289"/>
  <c r="J75" i="289"/>
  <c r="K75" i="289"/>
  <c r="L75" i="289"/>
  <c r="M75" i="289"/>
  <c r="N75" i="289"/>
  <c r="O75" i="289"/>
  <c r="P75" i="289"/>
  <c r="Q75" i="289"/>
  <c r="R75" i="289"/>
  <c r="S75" i="289"/>
  <c r="T75" i="289"/>
  <c r="U75" i="289"/>
  <c r="V75" i="289"/>
  <c r="W75" i="289"/>
  <c r="AC75" i="289"/>
  <c r="AD75" i="289"/>
  <c r="AF75" i="289" s="1"/>
  <c r="AG75" i="289" s="1"/>
  <c r="AE75" i="289"/>
  <c r="AK75" i="289"/>
  <c r="AL75" i="289"/>
  <c r="AM75" i="289"/>
  <c r="AN75" i="289"/>
  <c r="AP75" i="289"/>
  <c r="AR75" i="289"/>
  <c r="AS75" i="289"/>
  <c r="AT75" i="289" s="1"/>
  <c r="AU75" i="289"/>
  <c r="AV75" i="289"/>
  <c r="AW75" i="289"/>
  <c r="G76" i="289"/>
  <c r="H76" i="289"/>
  <c r="I76" i="289"/>
  <c r="J76" i="289"/>
  <c r="Z76" i="289" s="1"/>
  <c r="K76" i="289"/>
  <c r="L76" i="289"/>
  <c r="M76" i="289"/>
  <c r="N76" i="289"/>
  <c r="O76" i="289"/>
  <c r="P76" i="289"/>
  <c r="Q76" i="289"/>
  <c r="R76" i="289"/>
  <c r="S76" i="289"/>
  <c r="T76" i="289"/>
  <c r="U76" i="289"/>
  <c r="V76" i="289"/>
  <c r="W76" i="289"/>
  <c r="AC76" i="289"/>
  <c r="AF76" i="289" s="1"/>
  <c r="AG76" i="289" s="1"/>
  <c r="AD76" i="289"/>
  <c r="AE76" i="289"/>
  <c r="AK76" i="289"/>
  <c r="AS76" i="289" s="1"/>
  <c r="AT76" i="289" s="1"/>
  <c r="AL76" i="289"/>
  <c r="AM76" i="289"/>
  <c r="AN76" i="289"/>
  <c r="AP76" i="289"/>
  <c r="AR76" i="289"/>
  <c r="AU76" i="289"/>
  <c r="G77" i="289"/>
  <c r="H77" i="289"/>
  <c r="I77" i="289"/>
  <c r="J77" i="289"/>
  <c r="K77" i="289"/>
  <c r="L77" i="289"/>
  <c r="M77" i="289"/>
  <c r="N77" i="289"/>
  <c r="O77" i="289"/>
  <c r="P77" i="289"/>
  <c r="Q77" i="289"/>
  <c r="R77" i="289"/>
  <c r="S77" i="289"/>
  <c r="T77" i="289"/>
  <c r="U77" i="289"/>
  <c r="V77" i="289"/>
  <c r="W77" i="289"/>
  <c r="AC77" i="289"/>
  <c r="AD77" i="289"/>
  <c r="AE77" i="289"/>
  <c r="AK77" i="289"/>
  <c r="AL77" i="289"/>
  <c r="AM77" i="289"/>
  <c r="AN77" i="289"/>
  <c r="AP77" i="289"/>
  <c r="AR77" i="289"/>
  <c r="AS77" i="289"/>
  <c r="AT77" i="289" s="1"/>
  <c r="AU77" i="289"/>
  <c r="AV77" i="289"/>
  <c r="AW77" i="289"/>
  <c r="G78" i="289"/>
  <c r="H78" i="289"/>
  <c r="I78" i="289"/>
  <c r="J78" i="289"/>
  <c r="K78" i="289"/>
  <c r="L78" i="289"/>
  <c r="M78" i="289"/>
  <c r="N78" i="289"/>
  <c r="O78" i="289"/>
  <c r="P78" i="289"/>
  <c r="Q78" i="289"/>
  <c r="R78" i="289"/>
  <c r="S78" i="289"/>
  <c r="T78" i="289"/>
  <c r="U78" i="289"/>
  <c r="V78" i="289"/>
  <c r="W78" i="289"/>
  <c r="AC78" i="289"/>
  <c r="AF78" i="289" s="1"/>
  <c r="AG78" i="289" s="1"/>
  <c r="AD78" i="289"/>
  <c r="AE78" i="289"/>
  <c r="AK78" i="289"/>
  <c r="AS78" i="289" s="1"/>
  <c r="AT78" i="289" s="1"/>
  <c r="AL78" i="289"/>
  <c r="AM78" i="289"/>
  <c r="AN78" i="289"/>
  <c r="AP78" i="289"/>
  <c r="AR78" i="289"/>
  <c r="AU78" i="289"/>
  <c r="G79" i="289"/>
  <c r="H79" i="289"/>
  <c r="I79" i="289"/>
  <c r="J79" i="289"/>
  <c r="K79" i="289"/>
  <c r="L79" i="289"/>
  <c r="M79" i="289"/>
  <c r="N79" i="289"/>
  <c r="O79" i="289"/>
  <c r="P79" i="289"/>
  <c r="Q79" i="289"/>
  <c r="R79" i="289"/>
  <c r="S79" i="289"/>
  <c r="T79" i="289"/>
  <c r="U79" i="289"/>
  <c r="V79" i="289"/>
  <c r="W79" i="289"/>
  <c r="AC79" i="289"/>
  <c r="AD79" i="289"/>
  <c r="AE79" i="289"/>
  <c r="AK79" i="289"/>
  <c r="AL79" i="289"/>
  <c r="AM79" i="289"/>
  <c r="AN79" i="289"/>
  <c r="AP79" i="289"/>
  <c r="AR79" i="289"/>
  <c r="AS79" i="289"/>
  <c r="AT79" i="289" s="1"/>
  <c r="AU79" i="289"/>
  <c r="AV79" i="289"/>
  <c r="AW79" i="289"/>
  <c r="G80" i="289"/>
  <c r="H80" i="289"/>
  <c r="I80" i="289"/>
  <c r="J80" i="289"/>
  <c r="K80" i="289"/>
  <c r="L80" i="289"/>
  <c r="M80" i="289"/>
  <c r="N80" i="289"/>
  <c r="O80" i="289"/>
  <c r="P80" i="289"/>
  <c r="Q80" i="289"/>
  <c r="R80" i="289"/>
  <c r="S80" i="289"/>
  <c r="T80" i="289"/>
  <c r="U80" i="289"/>
  <c r="V80" i="289"/>
  <c r="W80" i="289"/>
  <c r="AC80" i="289"/>
  <c r="AF80" i="289" s="1"/>
  <c r="AG80" i="289" s="1"/>
  <c r="AD80" i="289"/>
  <c r="AE80" i="289"/>
  <c r="AK80" i="289"/>
  <c r="AS80" i="289" s="1"/>
  <c r="AT80" i="289" s="1"/>
  <c r="AL80" i="289"/>
  <c r="AM80" i="289"/>
  <c r="AN80" i="289"/>
  <c r="AP80" i="289"/>
  <c r="AR80" i="289"/>
  <c r="AU80" i="289"/>
  <c r="G81" i="289"/>
  <c r="H81" i="289"/>
  <c r="I81" i="289"/>
  <c r="J81" i="289"/>
  <c r="K81" i="289"/>
  <c r="L81" i="289"/>
  <c r="M81" i="289"/>
  <c r="N81" i="289"/>
  <c r="O81" i="289"/>
  <c r="P81" i="289"/>
  <c r="Q81" i="289"/>
  <c r="R81" i="289"/>
  <c r="S81" i="289"/>
  <c r="T81" i="289"/>
  <c r="U81" i="289"/>
  <c r="V81" i="289"/>
  <c r="W81" i="289"/>
  <c r="AC81" i="289"/>
  <c r="AD81" i="289"/>
  <c r="AE81" i="289"/>
  <c r="AK81" i="289"/>
  <c r="AL81" i="289"/>
  <c r="AM81" i="289"/>
  <c r="AN81" i="289"/>
  <c r="AP81" i="289"/>
  <c r="AR81" i="289"/>
  <c r="AS81" i="289"/>
  <c r="AT81" i="289" s="1"/>
  <c r="AU81" i="289"/>
  <c r="AV81" i="289"/>
  <c r="AW81" i="289"/>
  <c r="G82" i="289"/>
  <c r="H82" i="289"/>
  <c r="I82" i="289"/>
  <c r="J82" i="289"/>
  <c r="K82" i="289"/>
  <c r="L82" i="289"/>
  <c r="M82" i="289"/>
  <c r="N82" i="289"/>
  <c r="O82" i="289"/>
  <c r="P82" i="289"/>
  <c r="Q82" i="289"/>
  <c r="R82" i="289"/>
  <c r="S82" i="289"/>
  <c r="T82" i="289"/>
  <c r="U82" i="289"/>
  <c r="V82" i="289"/>
  <c r="W82" i="289"/>
  <c r="AC82" i="289"/>
  <c r="AF82" i="289" s="1"/>
  <c r="AD82" i="289"/>
  <c r="AE82" i="289"/>
  <c r="AG82" i="289"/>
  <c r="AK82" i="289"/>
  <c r="AS82" i="289" s="1"/>
  <c r="AT82" i="289" s="1"/>
  <c r="AL82" i="289"/>
  <c r="AM82" i="289"/>
  <c r="AN82" i="289"/>
  <c r="AP82" i="289"/>
  <c r="AR82" i="289"/>
  <c r="AU82" i="289"/>
  <c r="G83" i="289"/>
  <c r="H83" i="289"/>
  <c r="I83" i="289"/>
  <c r="J83" i="289"/>
  <c r="K83" i="289"/>
  <c r="L83" i="289"/>
  <c r="M83" i="289"/>
  <c r="N83" i="289"/>
  <c r="O83" i="289"/>
  <c r="P83" i="289"/>
  <c r="Q83" i="289"/>
  <c r="R83" i="289"/>
  <c r="S83" i="289"/>
  <c r="T83" i="289"/>
  <c r="U83" i="289"/>
  <c r="V83" i="289"/>
  <c r="W83" i="289"/>
  <c r="AC83" i="289"/>
  <c r="AD83" i="289"/>
  <c r="AF83" i="289" s="1"/>
  <c r="AG83" i="289" s="1"/>
  <c r="AE83" i="289"/>
  <c r="AK83" i="289"/>
  <c r="AL83" i="289"/>
  <c r="AM83" i="289"/>
  <c r="AN83" i="289"/>
  <c r="AP83" i="289"/>
  <c r="AR83" i="289"/>
  <c r="AS83" i="289"/>
  <c r="AT83" i="289" s="1"/>
  <c r="AU83" i="289"/>
  <c r="AV83" i="289"/>
  <c r="AW83" i="289"/>
  <c r="G84" i="289"/>
  <c r="H84" i="289"/>
  <c r="I84" i="289"/>
  <c r="J84" i="289"/>
  <c r="Z84" i="289" s="1"/>
  <c r="K84" i="289"/>
  <c r="L84" i="289"/>
  <c r="M84" i="289"/>
  <c r="N84" i="289"/>
  <c r="O84" i="289"/>
  <c r="P84" i="289"/>
  <c r="Q84" i="289"/>
  <c r="R84" i="289"/>
  <c r="S84" i="289"/>
  <c r="T84" i="289"/>
  <c r="U84" i="289"/>
  <c r="V84" i="289"/>
  <c r="W84" i="289"/>
  <c r="AC84" i="289"/>
  <c r="AF84" i="289" s="1"/>
  <c r="AG84" i="289" s="1"/>
  <c r="AD84" i="289"/>
  <c r="AE84" i="289"/>
  <c r="AK84" i="289"/>
  <c r="AS84" i="289" s="1"/>
  <c r="AT84" i="289" s="1"/>
  <c r="AL84" i="289"/>
  <c r="AM84" i="289"/>
  <c r="AN84" i="289"/>
  <c r="AP84" i="289"/>
  <c r="AR84" i="289"/>
  <c r="AU84" i="289"/>
  <c r="G85" i="289"/>
  <c r="H85" i="289"/>
  <c r="I85" i="289"/>
  <c r="J85" i="289"/>
  <c r="K85" i="289"/>
  <c r="L85" i="289"/>
  <c r="M85" i="289"/>
  <c r="N85" i="289"/>
  <c r="O85" i="289"/>
  <c r="P85" i="289"/>
  <c r="Q85" i="289"/>
  <c r="R85" i="289"/>
  <c r="S85" i="289"/>
  <c r="T85" i="289"/>
  <c r="U85" i="289"/>
  <c r="V85" i="289"/>
  <c r="W85" i="289"/>
  <c r="AC85" i="289"/>
  <c r="AD85" i="289"/>
  <c r="AE85" i="289"/>
  <c r="AK85" i="289"/>
  <c r="AL85" i="289"/>
  <c r="AM85" i="289"/>
  <c r="AN85" i="289"/>
  <c r="AP85" i="289"/>
  <c r="AR85" i="289"/>
  <c r="AS85" i="289"/>
  <c r="AT85" i="289" s="1"/>
  <c r="AU85" i="289"/>
  <c r="AV85" i="289"/>
  <c r="AW85" i="289"/>
  <c r="G86" i="289"/>
  <c r="H86" i="289"/>
  <c r="I86" i="289"/>
  <c r="J86" i="289"/>
  <c r="K86" i="289"/>
  <c r="L86" i="289"/>
  <c r="M86" i="289"/>
  <c r="N86" i="289"/>
  <c r="O86" i="289"/>
  <c r="P86" i="289"/>
  <c r="Q86" i="289"/>
  <c r="R86" i="289"/>
  <c r="S86" i="289"/>
  <c r="T86" i="289"/>
  <c r="U86" i="289"/>
  <c r="V86" i="289"/>
  <c r="W86" i="289"/>
  <c r="AC86" i="289"/>
  <c r="AF86" i="289" s="1"/>
  <c r="AG86" i="289" s="1"/>
  <c r="AD86" i="289"/>
  <c r="AE86" i="289"/>
  <c r="AK86" i="289"/>
  <c r="AS86" i="289" s="1"/>
  <c r="AT86" i="289" s="1"/>
  <c r="AL86" i="289"/>
  <c r="AM86" i="289"/>
  <c r="AN86" i="289"/>
  <c r="AP86" i="289"/>
  <c r="AR86" i="289"/>
  <c r="AU86" i="289"/>
  <c r="G87" i="289"/>
  <c r="H87" i="289"/>
  <c r="I87" i="289"/>
  <c r="J87" i="289"/>
  <c r="K87" i="289"/>
  <c r="L87" i="289"/>
  <c r="M87" i="289"/>
  <c r="N87" i="289"/>
  <c r="O87" i="289"/>
  <c r="P87" i="289"/>
  <c r="Q87" i="289"/>
  <c r="R87" i="289"/>
  <c r="S87" i="289"/>
  <c r="T87" i="289"/>
  <c r="U87" i="289"/>
  <c r="V87" i="289"/>
  <c r="W87" i="289"/>
  <c r="AC87" i="289"/>
  <c r="AD87" i="289"/>
  <c r="AE87" i="289"/>
  <c r="AK87" i="289"/>
  <c r="AL87" i="289"/>
  <c r="AM87" i="289"/>
  <c r="AN87" i="289"/>
  <c r="AP87" i="289"/>
  <c r="AR87" i="289"/>
  <c r="AS87" i="289"/>
  <c r="AT87" i="289" s="1"/>
  <c r="AU87" i="289"/>
  <c r="AV87" i="289"/>
  <c r="AW87" i="289"/>
  <c r="G88" i="289"/>
  <c r="H88" i="289"/>
  <c r="I88" i="289"/>
  <c r="J88" i="289"/>
  <c r="K88" i="289"/>
  <c r="L88" i="289"/>
  <c r="M88" i="289"/>
  <c r="N88" i="289"/>
  <c r="O88" i="289"/>
  <c r="P88" i="289"/>
  <c r="Q88" i="289"/>
  <c r="R88" i="289"/>
  <c r="S88" i="289"/>
  <c r="T88" i="289"/>
  <c r="U88" i="289"/>
  <c r="V88" i="289"/>
  <c r="W88" i="289"/>
  <c r="AC88" i="289"/>
  <c r="AF88" i="289" s="1"/>
  <c r="AG88" i="289" s="1"/>
  <c r="AD88" i="289"/>
  <c r="AE88" i="289"/>
  <c r="AK88" i="289"/>
  <c r="AL88" i="289"/>
  <c r="AM88" i="289"/>
  <c r="AN88" i="289"/>
  <c r="AP88" i="289"/>
  <c r="AR88" i="289"/>
  <c r="AS88" i="289"/>
  <c r="AT88" i="289" s="1"/>
  <c r="AU88" i="289"/>
  <c r="AV88" i="289" s="1"/>
  <c r="AW88" i="289"/>
  <c r="G89" i="289"/>
  <c r="H89" i="289"/>
  <c r="I89" i="289"/>
  <c r="J89" i="289"/>
  <c r="K89" i="289"/>
  <c r="L89" i="289"/>
  <c r="M89" i="289"/>
  <c r="N89" i="289"/>
  <c r="O89" i="289"/>
  <c r="P89" i="289"/>
  <c r="Q89" i="289"/>
  <c r="R89" i="289"/>
  <c r="S89" i="289"/>
  <c r="T89" i="289"/>
  <c r="U89" i="289"/>
  <c r="V89" i="289"/>
  <c r="W89" i="289"/>
  <c r="AC89" i="289"/>
  <c r="AD89" i="289"/>
  <c r="AE89" i="289"/>
  <c r="AK89" i="289"/>
  <c r="AL89" i="289"/>
  <c r="AM89" i="289"/>
  <c r="AN89" i="289"/>
  <c r="AP89" i="289"/>
  <c r="AR89" i="289"/>
  <c r="AU89" i="289"/>
  <c r="AW89" i="289" s="1"/>
  <c r="AV89" i="289"/>
  <c r="G90" i="289"/>
  <c r="H90" i="289"/>
  <c r="I90" i="289"/>
  <c r="J90" i="289"/>
  <c r="K90" i="289"/>
  <c r="L90" i="289"/>
  <c r="M90" i="289"/>
  <c r="N90" i="289"/>
  <c r="O90" i="289"/>
  <c r="P90" i="289"/>
  <c r="Q90" i="289"/>
  <c r="R90" i="289"/>
  <c r="S90" i="289"/>
  <c r="T90" i="289"/>
  <c r="U90" i="289"/>
  <c r="V90" i="289"/>
  <c r="W90" i="289"/>
  <c r="AC90" i="289"/>
  <c r="AD90" i="289"/>
  <c r="AE90" i="289"/>
  <c r="AF90" i="289"/>
  <c r="AG90" i="289" s="1"/>
  <c r="AK90" i="289"/>
  <c r="AL90" i="289"/>
  <c r="AM90" i="289"/>
  <c r="AN90" i="289"/>
  <c r="AS90" i="289" s="1"/>
  <c r="AT90" i="289" s="1"/>
  <c r="AP90" i="289"/>
  <c r="AR90" i="289"/>
  <c r="AU90" i="289"/>
  <c r="AV90" i="289"/>
  <c r="AW90" i="289"/>
  <c r="G91" i="289"/>
  <c r="H91" i="289"/>
  <c r="I91" i="289"/>
  <c r="J91" i="289"/>
  <c r="K91" i="289"/>
  <c r="L91" i="289"/>
  <c r="M91" i="289"/>
  <c r="N91" i="289"/>
  <c r="O91" i="289"/>
  <c r="P91" i="289"/>
  <c r="Q91" i="289"/>
  <c r="R91" i="289"/>
  <c r="S91" i="289"/>
  <c r="T91" i="289"/>
  <c r="U91" i="289"/>
  <c r="V91" i="289"/>
  <c r="W91" i="289"/>
  <c r="Z91" i="289"/>
  <c r="AC91" i="289"/>
  <c r="AF91" i="289" s="1"/>
  <c r="AG91" i="289" s="1"/>
  <c r="AD91" i="289"/>
  <c r="AE91" i="289"/>
  <c r="AH91" i="289"/>
  <c r="AI91" i="289" s="1"/>
  <c r="AK91" i="289"/>
  <c r="AS91" i="289" s="1"/>
  <c r="AT91" i="289" s="1"/>
  <c r="AL91" i="289"/>
  <c r="AM91" i="289"/>
  <c r="AN91" i="289"/>
  <c r="AP91" i="289"/>
  <c r="AR91" i="289"/>
  <c r="AU91" i="289"/>
  <c r="AW91" i="289" s="1"/>
  <c r="AV91" i="289"/>
  <c r="G92" i="289"/>
  <c r="H92" i="289"/>
  <c r="I92" i="289"/>
  <c r="J92" i="289"/>
  <c r="K92" i="289"/>
  <c r="L92" i="289"/>
  <c r="M92" i="289"/>
  <c r="N92" i="289"/>
  <c r="O92" i="289"/>
  <c r="P92" i="289"/>
  <c r="Q92" i="289"/>
  <c r="R92" i="289"/>
  <c r="S92" i="289"/>
  <c r="T92" i="289"/>
  <c r="U92" i="289"/>
  <c r="V92" i="289"/>
  <c r="W92" i="289"/>
  <c r="AC92" i="289"/>
  <c r="AD92" i="289"/>
  <c r="AE92" i="289"/>
  <c r="AF92" i="289" s="1"/>
  <c r="AG92" i="289" s="1"/>
  <c r="AK92" i="289"/>
  <c r="AL92" i="289"/>
  <c r="AM92" i="289"/>
  <c r="AN92" i="289"/>
  <c r="AP92" i="289"/>
  <c r="AR92" i="289"/>
  <c r="AS92" i="289"/>
  <c r="AT92" i="289" s="1"/>
  <c r="AU92" i="289"/>
  <c r="AV92" i="289"/>
  <c r="AW92" i="289"/>
  <c r="G93" i="289"/>
  <c r="H93" i="289"/>
  <c r="I93" i="289"/>
  <c r="J93" i="289"/>
  <c r="K93" i="289"/>
  <c r="Z93" i="289" s="1"/>
  <c r="L93" i="289"/>
  <c r="M93" i="289"/>
  <c r="N93" i="289"/>
  <c r="O93" i="289"/>
  <c r="P93" i="289"/>
  <c r="Q93" i="289"/>
  <c r="R93" i="289"/>
  <c r="S93" i="289"/>
  <c r="T93" i="289"/>
  <c r="U93" i="289"/>
  <c r="V93" i="289"/>
  <c r="W93" i="289"/>
  <c r="AC93" i="289"/>
  <c r="AD93" i="289"/>
  <c r="AE93" i="289"/>
  <c r="AH93" i="289"/>
  <c r="AI93" i="289" s="1"/>
  <c r="AK93" i="289"/>
  <c r="AL93" i="289"/>
  <c r="AM93" i="289"/>
  <c r="AN93" i="289"/>
  <c r="AP93" i="289"/>
  <c r="AR93" i="289"/>
  <c r="AU93" i="289"/>
  <c r="AW93" i="289" s="1"/>
  <c r="AV93" i="289"/>
  <c r="G94" i="289"/>
  <c r="H94" i="289"/>
  <c r="I94" i="289"/>
  <c r="J94" i="289"/>
  <c r="K94" i="289"/>
  <c r="L94" i="289"/>
  <c r="M94" i="289"/>
  <c r="N94" i="289"/>
  <c r="O94" i="289"/>
  <c r="P94" i="289"/>
  <c r="Q94" i="289"/>
  <c r="R94" i="289"/>
  <c r="S94" i="289"/>
  <c r="T94" i="289"/>
  <c r="U94" i="289"/>
  <c r="V94" i="289"/>
  <c r="W94" i="289"/>
  <c r="AC94" i="289"/>
  <c r="AD94" i="289"/>
  <c r="AE94" i="289"/>
  <c r="AF94" i="289" s="1"/>
  <c r="AG94" i="289" s="1"/>
  <c r="AK94" i="289"/>
  <c r="AL94" i="289"/>
  <c r="AM94" i="289"/>
  <c r="AN94" i="289"/>
  <c r="AP94" i="289"/>
  <c r="AR94" i="289"/>
  <c r="AS94" i="289"/>
  <c r="AT94" i="289" s="1"/>
  <c r="AU94" i="289"/>
  <c r="AV94" i="289"/>
  <c r="AW94" i="289"/>
  <c r="G95" i="289"/>
  <c r="H95" i="289"/>
  <c r="I95" i="289"/>
  <c r="J95" i="289"/>
  <c r="K95" i="289"/>
  <c r="L95" i="289"/>
  <c r="M95" i="289"/>
  <c r="N95" i="289"/>
  <c r="O95" i="289"/>
  <c r="P95" i="289"/>
  <c r="Q95" i="289"/>
  <c r="R95" i="289"/>
  <c r="S95" i="289"/>
  <c r="T95" i="289"/>
  <c r="U95" i="289"/>
  <c r="V95" i="289"/>
  <c r="W95" i="289"/>
  <c r="AC95" i="289"/>
  <c r="AF95" i="289" s="1"/>
  <c r="AG95" i="289" s="1"/>
  <c r="AD95" i="289"/>
  <c r="AE95" i="289"/>
  <c r="AK95" i="289"/>
  <c r="AL95" i="289"/>
  <c r="AM95" i="289"/>
  <c r="AN95" i="289"/>
  <c r="AP95" i="289"/>
  <c r="AR95" i="289"/>
  <c r="AU95" i="289"/>
  <c r="AW95" i="289" s="1"/>
  <c r="AV95" i="289"/>
  <c r="G96" i="289"/>
  <c r="H96" i="289"/>
  <c r="I96" i="289"/>
  <c r="J96" i="289"/>
  <c r="K96" i="289"/>
  <c r="L96" i="289"/>
  <c r="M96" i="289"/>
  <c r="N96" i="289"/>
  <c r="O96" i="289"/>
  <c r="P96" i="289"/>
  <c r="Q96" i="289"/>
  <c r="R96" i="289"/>
  <c r="S96" i="289"/>
  <c r="T96" i="289"/>
  <c r="U96" i="289"/>
  <c r="V96" i="289"/>
  <c r="W96" i="289"/>
  <c r="Z96" i="289"/>
  <c r="AB96" i="289" s="1"/>
  <c r="AC96" i="289"/>
  <c r="AF96" i="289" s="1"/>
  <c r="AG96" i="289" s="1"/>
  <c r="AD96" i="289"/>
  <c r="AE96" i="289"/>
  <c r="AK96" i="289"/>
  <c r="AL96" i="289"/>
  <c r="AS96" i="289" s="1"/>
  <c r="AT96" i="289" s="1"/>
  <c r="AM96" i="289"/>
  <c r="AN96" i="289"/>
  <c r="AP96" i="289"/>
  <c r="AR96" i="289"/>
  <c r="AU96" i="289"/>
  <c r="AV96" i="289"/>
  <c r="AW96" i="289"/>
  <c r="G97" i="289"/>
  <c r="H97" i="289"/>
  <c r="I97" i="289"/>
  <c r="J97" i="289"/>
  <c r="K97" i="289"/>
  <c r="L97" i="289"/>
  <c r="M97" i="289"/>
  <c r="N97" i="289"/>
  <c r="O97" i="289"/>
  <c r="P97" i="289"/>
  <c r="Q97" i="289"/>
  <c r="R97" i="289"/>
  <c r="S97" i="289"/>
  <c r="T97" i="289"/>
  <c r="U97" i="289"/>
  <c r="V97" i="289"/>
  <c r="W97" i="289"/>
  <c r="AC97" i="289"/>
  <c r="AF97" i="289" s="1"/>
  <c r="AG97" i="289" s="1"/>
  <c r="AD97" i="289"/>
  <c r="AE97" i="289"/>
  <c r="AK97" i="289"/>
  <c r="AL97" i="289"/>
  <c r="AM97" i="289"/>
  <c r="AN97" i="289"/>
  <c r="AP97" i="289"/>
  <c r="AR97" i="289"/>
  <c r="AU97" i="289"/>
  <c r="G98" i="289"/>
  <c r="H98" i="289"/>
  <c r="I98" i="289"/>
  <c r="J98" i="289"/>
  <c r="K98" i="289"/>
  <c r="L98" i="289"/>
  <c r="M98" i="289"/>
  <c r="N98" i="289"/>
  <c r="O98" i="289"/>
  <c r="P98" i="289"/>
  <c r="Q98" i="289"/>
  <c r="R98" i="289"/>
  <c r="S98" i="289"/>
  <c r="T98" i="289"/>
  <c r="U98" i="289"/>
  <c r="V98" i="289"/>
  <c r="W98" i="289"/>
  <c r="AC98" i="289"/>
  <c r="AD98" i="289"/>
  <c r="AE98" i="289"/>
  <c r="AK98" i="289"/>
  <c r="AL98" i="289"/>
  <c r="AM98" i="289"/>
  <c r="AN98" i="289"/>
  <c r="AP98" i="289"/>
  <c r="AR98" i="289"/>
  <c r="AS98" i="289"/>
  <c r="AT98" i="289" s="1"/>
  <c r="AU98" i="289"/>
  <c r="AV98" i="289"/>
  <c r="AW98" i="289"/>
  <c r="G99" i="289"/>
  <c r="H99" i="289"/>
  <c r="I99" i="289"/>
  <c r="J99" i="289"/>
  <c r="K99" i="289"/>
  <c r="L99" i="289"/>
  <c r="M99" i="289"/>
  <c r="N99" i="289"/>
  <c r="O99" i="289"/>
  <c r="P99" i="289"/>
  <c r="Q99" i="289"/>
  <c r="R99" i="289"/>
  <c r="S99" i="289"/>
  <c r="T99" i="289"/>
  <c r="U99" i="289"/>
  <c r="V99" i="289"/>
  <c r="W99" i="289"/>
  <c r="AC99" i="289"/>
  <c r="AD99" i="289"/>
  <c r="AE99" i="289"/>
  <c r="AF99" i="289"/>
  <c r="AG99" i="289" s="1"/>
  <c r="AK99" i="289"/>
  <c r="AL99" i="289"/>
  <c r="AM99" i="289"/>
  <c r="AN99" i="289"/>
  <c r="AP99" i="289"/>
  <c r="AR99" i="289"/>
  <c r="AU99" i="289"/>
  <c r="G100" i="289"/>
  <c r="H100" i="289"/>
  <c r="I100" i="289"/>
  <c r="J100" i="289"/>
  <c r="K100" i="289"/>
  <c r="L100" i="289"/>
  <c r="M100" i="289"/>
  <c r="N100" i="289"/>
  <c r="O100" i="289"/>
  <c r="P100" i="289"/>
  <c r="Q100" i="289"/>
  <c r="R100" i="289"/>
  <c r="S100" i="289"/>
  <c r="T100" i="289"/>
  <c r="U100" i="289"/>
  <c r="V100" i="289"/>
  <c r="W100" i="289"/>
  <c r="Z100" i="289"/>
  <c r="AC100" i="289"/>
  <c r="AD100" i="289"/>
  <c r="AE100" i="289"/>
  <c r="AK100" i="289"/>
  <c r="AL100" i="289"/>
  <c r="AS100" i="289" s="1"/>
  <c r="AT100" i="289" s="1"/>
  <c r="AM100" i="289"/>
  <c r="AN100" i="289"/>
  <c r="AP100" i="289"/>
  <c r="AR100" i="289"/>
  <c r="AU100" i="289"/>
  <c r="AV100" i="289"/>
  <c r="AW100" i="289"/>
  <c r="G101" i="289"/>
  <c r="H101" i="289"/>
  <c r="I101" i="289"/>
  <c r="Z101" i="289" s="1"/>
  <c r="J101" i="289"/>
  <c r="K101" i="289"/>
  <c r="L101" i="289"/>
  <c r="M101" i="289"/>
  <c r="N101" i="289"/>
  <c r="O101" i="289"/>
  <c r="P101" i="289"/>
  <c r="Q101" i="289"/>
  <c r="R101" i="289"/>
  <c r="S101" i="289"/>
  <c r="T101" i="289"/>
  <c r="U101" i="289"/>
  <c r="V101" i="289"/>
  <c r="W101" i="289"/>
  <c r="AC101" i="289"/>
  <c r="AF101" i="289" s="1"/>
  <c r="AD101" i="289"/>
  <c r="AE101" i="289"/>
  <c r="AG101" i="289"/>
  <c r="AK101" i="289"/>
  <c r="AS101" i="289" s="1"/>
  <c r="AL101" i="289"/>
  <c r="AM101" i="289"/>
  <c r="AN101" i="289"/>
  <c r="AP101" i="289"/>
  <c r="AR101" i="289"/>
  <c r="AT101" i="289"/>
  <c r="AU101" i="289"/>
  <c r="G102" i="289"/>
  <c r="H102" i="289"/>
  <c r="I102" i="289"/>
  <c r="Z102" i="289" s="1"/>
  <c r="J102" i="289"/>
  <c r="K102" i="289"/>
  <c r="L102" i="289"/>
  <c r="M102" i="289"/>
  <c r="N102" i="289"/>
  <c r="O102" i="289"/>
  <c r="P102" i="289"/>
  <c r="Q102" i="289"/>
  <c r="R102" i="289"/>
  <c r="S102" i="289"/>
  <c r="T102" i="289"/>
  <c r="U102" i="289"/>
  <c r="V102" i="289"/>
  <c r="W102" i="289"/>
  <c r="AC102" i="289"/>
  <c r="AD102" i="289"/>
  <c r="AE102" i="289"/>
  <c r="AK102" i="289"/>
  <c r="AL102" i="289"/>
  <c r="AM102" i="289"/>
  <c r="AN102" i="289"/>
  <c r="AP102" i="289"/>
  <c r="AR102" i="289"/>
  <c r="AS102" i="289"/>
  <c r="AT102" i="289" s="1"/>
  <c r="AU102" i="289"/>
  <c r="AV102" i="289"/>
  <c r="AW102" i="289"/>
  <c r="G103" i="289"/>
  <c r="H103" i="289"/>
  <c r="I103" i="289"/>
  <c r="J103" i="289"/>
  <c r="K103" i="289"/>
  <c r="L103" i="289"/>
  <c r="M103" i="289"/>
  <c r="N103" i="289"/>
  <c r="O103" i="289"/>
  <c r="P103" i="289"/>
  <c r="Q103" i="289"/>
  <c r="R103" i="289"/>
  <c r="S103" i="289"/>
  <c r="T103" i="289"/>
  <c r="U103" i="289"/>
  <c r="V103" i="289"/>
  <c r="W103" i="289"/>
  <c r="AC103" i="289"/>
  <c r="AD103" i="289"/>
  <c r="AE103" i="289"/>
  <c r="AF103" i="289"/>
  <c r="AG103" i="289" s="1"/>
  <c r="AK103" i="289"/>
  <c r="AL103" i="289"/>
  <c r="AM103" i="289"/>
  <c r="AN103" i="289"/>
  <c r="AP103" i="289"/>
  <c r="AR103" i="289"/>
  <c r="AU103" i="289"/>
  <c r="G104" i="289"/>
  <c r="H104" i="289"/>
  <c r="I104" i="289"/>
  <c r="J104" i="289"/>
  <c r="K104" i="289"/>
  <c r="L104" i="289"/>
  <c r="M104" i="289"/>
  <c r="N104" i="289"/>
  <c r="O104" i="289"/>
  <c r="P104" i="289"/>
  <c r="Q104" i="289"/>
  <c r="R104" i="289"/>
  <c r="S104" i="289"/>
  <c r="T104" i="289"/>
  <c r="U104" i="289"/>
  <c r="V104" i="289"/>
  <c r="W104" i="289"/>
  <c r="Z104" i="289"/>
  <c r="AB104" i="289" s="1"/>
  <c r="AC104" i="289"/>
  <c r="AF104" i="289" s="1"/>
  <c r="AG104" i="289" s="1"/>
  <c r="AD104" i="289"/>
  <c r="AE104" i="289"/>
  <c r="AK104" i="289"/>
  <c r="AL104" i="289"/>
  <c r="AS104" i="289" s="1"/>
  <c r="AT104" i="289" s="1"/>
  <c r="AM104" i="289"/>
  <c r="AN104" i="289"/>
  <c r="AP104" i="289"/>
  <c r="AR104" i="289"/>
  <c r="AU104" i="289"/>
  <c r="AV104" i="289"/>
  <c r="AW104" i="289"/>
  <c r="G105" i="289"/>
  <c r="H105" i="289"/>
  <c r="I105" i="289"/>
  <c r="J105" i="289"/>
  <c r="K105" i="289"/>
  <c r="L105" i="289"/>
  <c r="M105" i="289"/>
  <c r="N105" i="289"/>
  <c r="O105" i="289"/>
  <c r="P105" i="289"/>
  <c r="Q105" i="289"/>
  <c r="R105" i="289"/>
  <c r="S105" i="289"/>
  <c r="T105" i="289"/>
  <c r="U105" i="289"/>
  <c r="V105" i="289"/>
  <c r="W105" i="289"/>
  <c r="AC105" i="289"/>
  <c r="AF105" i="289" s="1"/>
  <c r="AG105" i="289" s="1"/>
  <c r="AD105" i="289"/>
  <c r="AE105" i="289"/>
  <c r="AK105" i="289"/>
  <c r="AS105" i="289" s="1"/>
  <c r="AT105" i="289" s="1"/>
  <c r="AL105" i="289"/>
  <c r="AM105" i="289"/>
  <c r="AN105" i="289"/>
  <c r="AP105" i="289"/>
  <c r="AR105" i="289"/>
  <c r="AU105" i="289"/>
  <c r="G106" i="289"/>
  <c r="H106" i="289"/>
  <c r="I106" i="289"/>
  <c r="J106" i="289"/>
  <c r="K106" i="289"/>
  <c r="L106" i="289"/>
  <c r="M106" i="289"/>
  <c r="N106" i="289"/>
  <c r="O106" i="289"/>
  <c r="P106" i="289"/>
  <c r="Q106" i="289"/>
  <c r="R106" i="289"/>
  <c r="S106" i="289"/>
  <c r="T106" i="289"/>
  <c r="U106" i="289"/>
  <c r="V106" i="289"/>
  <c r="W106" i="289"/>
  <c r="AC106" i="289"/>
  <c r="AD106" i="289"/>
  <c r="AE106" i="289"/>
  <c r="AK106" i="289"/>
  <c r="AL106" i="289"/>
  <c r="AM106" i="289"/>
  <c r="AN106" i="289"/>
  <c r="AP106" i="289"/>
  <c r="AR106" i="289"/>
  <c r="AS106" i="289"/>
  <c r="AT106" i="289" s="1"/>
  <c r="AU106" i="289"/>
  <c r="AV106" i="289"/>
  <c r="AW106" i="289"/>
  <c r="G107" i="289"/>
  <c r="H107" i="289"/>
  <c r="I107" i="289"/>
  <c r="J107" i="289"/>
  <c r="K107" i="289"/>
  <c r="L107" i="289"/>
  <c r="M107" i="289"/>
  <c r="N107" i="289"/>
  <c r="O107" i="289"/>
  <c r="P107" i="289"/>
  <c r="Q107" i="289"/>
  <c r="R107" i="289"/>
  <c r="S107" i="289"/>
  <c r="T107" i="289"/>
  <c r="U107" i="289"/>
  <c r="V107" i="289"/>
  <c r="W107" i="289"/>
  <c r="AC107" i="289"/>
  <c r="AD107" i="289"/>
  <c r="AE107" i="289"/>
  <c r="AF107" i="289"/>
  <c r="AG107" i="289" s="1"/>
  <c r="AK107" i="289"/>
  <c r="AL107" i="289"/>
  <c r="AM107" i="289"/>
  <c r="AN107" i="289"/>
  <c r="AP107" i="289"/>
  <c r="AR107" i="289"/>
  <c r="AU107" i="289"/>
  <c r="G108" i="289"/>
  <c r="H108" i="289"/>
  <c r="I108" i="289"/>
  <c r="J108" i="289"/>
  <c r="K108" i="289"/>
  <c r="L108" i="289"/>
  <c r="M108" i="289"/>
  <c r="N108" i="289"/>
  <c r="O108" i="289"/>
  <c r="P108" i="289"/>
  <c r="Q108" i="289"/>
  <c r="R108" i="289"/>
  <c r="S108" i="289"/>
  <c r="T108" i="289"/>
  <c r="U108" i="289"/>
  <c r="V108" i="289"/>
  <c r="W108" i="289"/>
  <c r="Z108" i="289"/>
  <c r="AC108" i="289"/>
  <c r="AD108" i="289"/>
  <c r="AE108" i="289"/>
  <c r="AK108" i="289"/>
  <c r="AL108" i="289"/>
  <c r="AS108" i="289" s="1"/>
  <c r="AT108" i="289" s="1"/>
  <c r="AM108" i="289"/>
  <c r="AN108" i="289"/>
  <c r="AP108" i="289"/>
  <c r="AR108" i="289"/>
  <c r="AU108" i="289"/>
  <c r="AV108" i="289"/>
  <c r="AW108" i="289"/>
  <c r="G109" i="289"/>
  <c r="H109" i="289"/>
  <c r="I109" i="289"/>
  <c r="Z109" i="289" s="1"/>
  <c r="J109" i="289"/>
  <c r="K109" i="289"/>
  <c r="L109" i="289"/>
  <c r="M109" i="289"/>
  <c r="N109" i="289"/>
  <c r="O109" i="289"/>
  <c r="P109" i="289"/>
  <c r="Q109" i="289"/>
  <c r="R109" i="289"/>
  <c r="S109" i="289"/>
  <c r="T109" i="289"/>
  <c r="U109" i="289"/>
  <c r="V109" i="289"/>
  <c r="W109" i="289"/>
  <c r="AC109" i="289"/>
  <c r="AF109" i="289" s="1"/>
  <c r="AD109" i="289"/>
  <c r="AE109" i="289"/>
  <c r="AG109" i="289"/>
  <c r="AK109" i="289"/>
  <c r="AS109" i="289" s="1"/>
  <c r="AL109" i="289"/>
  <c r="AM109" i="289"/>
  <c r="AN109" i="289"/>
  <c r="AP109" i="289"/>
  <c r="AR109" i="289"/>
  <c r="AT109" i="289"/>
  <c r="AU109" i="289"/>
  <c r="G110" i="289"/>
  <c r="H110" i="289"/>
  <c r="I110" i="289"/>
  <c r="Z110" i="289" s="1"/>
  <c r="J110" i="289"/>
  <c r="K110" i="289"/>
  <c r="L110" i="289"/>
  <c r="M110" i="289"/>
  <c r="N110" i="289"/>
  <c r="O110" i="289"/>
  <c r="P110" i="289"/>
  <c r="Q110" i="289"/>
  <c r="R110" i="289"/>
  <c r="S110" i="289"/>
  <c r="T110" i="289"/>
  <c r="U110" i="289"/>
  <c r="V110" i="289"/>
  <c r="W110" i="289"/>
  <c r="AC110" i="289"/>
  <c r="AD110" i="289"/>
  <c r="AE110" i="289"/>
  <c r="AK110" i="289"/>
  <c r="AL110" i="289"/>
  <c r="AM110" i="289"/>
  <c r="AN110" i="289"/>
  <c r="AP110" i="289"/>
  <c r="AR110" i="289"/>
  <c r="AS110" i="289"/>
  <c r="AT110" i="289" s="1"/>
  <c r="AU110" i="289"/>
  <c r="AV110" i="289"/>
  <c r="AW110" i="289"/>
  <c r="G111" i="289"/>
  <c r="H111" i="289"/>
  <c r="I111" i="289"/>
  <c r="J111" i="289"/>
  <c r="K111" i="289"/>
  <c r="L111" i="289"/>
  <c r="M111" i="289"/>
  <c r="N111" i="289"/>
  <c r="O111" i="289"/>
  <c r="P111" i="289"/>
  <c r="Q111" i="289"/>
  <c r="R111" i="289"/>
  <c r="S111" i="289"/>
  <c r="T111" i="289"/>
  <c r="U111" i="289"/>
  <c r="V111" i="289"/>
  <c r="W111" i="289"/>
  <c r="AC111" i="289"/>
  <c r="AD111" i="289"/>
  <c r="AE111" i="289"/>
  <c r="AF111" i="289"/>
  <c r="AG111" i="289" s="1"/>
  <c r="AK111" i="289"/>
  <c r="AL111" i="289"/>
  <c r="AM111" i="289"/>
  <c r="AN111" i="289"/>
  <c r="AP111" i="289"/>
  <c r="AR111" i="289"/>
  <c r="AU111" i="289"/>
  <c r="G112" i="289"/>
  <c r="H112" i="289"/>
  <c r="I112" i="289"/>
  <c r="J112" i="289"/>
  <c r="K112" i="289"/>
  <c r="L112" i="289"/>
  <c r="M112" i="289"/>
  <c r="N112" i="289"/>
  <c r="O112" i="289"/>
  <c r="P112" i="289"/>
  <c r="Q112" i="289"/>
  <c r="R112" i="289"/>
  <c r="S112" i="289"/>
  <c r="T112" i="289"/>
  <c r="U112" i="289"/>
  <c r="V112" i="289"/>
  <c r="W112" i="289"/>
  <c r="Z112" i="289"/>
  <c r="AB112" i="289" s="1"/>
  <c r="AC112" i="289"/>
  <c r="AF112" i="289" s="1"/>
  <c r="AG112" i="289" s="1"/>
  <c r="AD112" i="289"/>
  <c r="AE112" i="289"/>
  <c r="AK112" i="289"/>
  <c r="AL112" i="289"/>
  <c r="AS112" i="289" s="1"/>
  <c r="AT112" i="289" s="1"/>
  <c r="AM112" i="289"/>
  <c r="AN112" i="289"/>
  <c r="AP112" i="289"/>
  <c r="AR112" i="289"/>
  <c r="AU112" i="289"/>
  <c r="AV112" i="289"/>
  <c r="AW112" i="289"/>
  <c r="G113" i="289"/>
  <c r="H113" i="289"/>
  <c r="I113" i="289"/>
  <c r="J113" i="289"/>
  <c r="K113" i="289"/>
  <c r="L113" i="289"/>
  <c r="M113" i="289"/>
  <c r="N113" i="289"/>
  <c r="O113" i="289"/>
  <c r="P113" i="289"/>
  <c r="Q113" i="289"/>
  <c r="R113" i="289"/>
  <c r="S113" i="289"/>
  <c r="T113" i="289"/>
  <c r="U113" i="289"/>
  <c r="V113" i="289"/>
  <c r="W113" i="289"/>
  <c r="AC113" i="289"/>
  <c r="AF113" i="289" s="1"/>
  <c r="AG113" i="289" s="1"/>
  <c r="AD113" i="289"/>
  <c r="AE113" i="289"/>
  <c r="AK113" i="289"/>
  <c r="AS113" i="289" s="1"/>
  <c r="AT113" i="289" s="1"/>
  <c r="AL113" i="289"/>
  <c r="AM113" i="289"/>
  <c r="AN113" i="289"/>
  <c r="AP113" i="289"/>
  <c r="AR113" i="289"/>
  <c r="AU113" i="289"/>
  <c r="G114" i="289"/>
  <c r="H114" i="289"/>
  <c r="I114" i="289"/>
  <c r="J114" i="289"/>
  <c r="K114" i="289"/>
  <c r="L114" i="289"/>
  <c r="M114" i="289"/>
  <c r="N114" i="289"/>
  <c r="O114" i="289"/>
  <c r="P114" i="289"/>
  <c r="Q114" i="289"/>
  <c r="R114" i="289"/>
  <c r="S114" i="289"/>
  <c r="T114" i="289"/>
  <c r="U114" i="289"/>
  <c r="V114" i="289"/>
  <c r="W114" i="289"/>
  <c r="AC114" i="289"/>
  <c r="AD114" i="289"/>
  <c r="AE114" i="289"/>
  <c r="AK114" i="289"/>
  <c r="AL114" i="289"/>
  <c r="AM114" i="289"/>
  <c r="AN114" i="289"/>
  <c r="AP114" i="289"/>
  <c r="AR114" i="289"/>
  <c r="AS114" i="289"/>
  <c r="AT114" i="289" s="1"/>
  <c r="AU114" i="289"/>
  <c r="AV114" i="289"/>
  <c r="AW114" i="289"/>
  <c r="G115" i="289"/>
  <c r="H115" i="289"/>
  <c r="I115" i="289"/>
  <c r="J115" i="289"/>
  <c r="J178" i="289" s="1"/>
  <c r="K115" i="289"/>
  <c r="L115" i="289"/>
  <c r="M115" i="289"/>
  <c r="N115" i="289"/>
  <c r="O115" i="289"/>
  <c r="P115" i="289"/>
  <c r="Q115" i="289"/>
  <c r="R115" i="289"/>
  <c r="S115" i="289"/>
  <c r="T115" i="289"/>
  <c r="U115" i="289"/>
  <c r="V115" i="289"/>
  <c r="W115" i="289"/>
  <c r="AC115" i="289"/>
  <c r="AD115" i="289"/>
  <c r="AE115" i="289"/>
  <c r="AF115" i="289"/>
  <c r="AG115" i="289" s="1"/>
  <c r="AK115" i="289"/>
  <c r="AL115" i="289"/>
  <c r="AM115" i="289"/>
  <c r="AN115" i="289"/>
  <c r="AP115" i="289"/>
  <c r="AR115" i="289"/>
  <c r="AU115" i="289"/>
  <c r="G116" i="289"/>
  <c r="H116" i="289"/>
  <c r="I116" i="289"/>
  <c r="J116" i="289"/>
  <c r="K116" i="289"/>
  <c r="L116" i="289"/>
  <c r="M116" i="289"/>
  <c r="N116" i="289"/>
  <c r="O116" i="289"/>
  <c r="P116" i="289"/>
  <c r="Q116" i="289"/>
  <c r="R116" i="289"/>
  <c r="S116" i="289"/>
  <c r="T116" i="289"/>
  <c r="U116" i="289"/>
  <c r="V116" i="289"/>
  <c r="W116" i="289"/>
  <c r="Z116" i="289"/>
  <c r="AC116" i="289"/>
  <c r="AD116" i="289"/>
  <c r="AE116" i="289"/>
  <c r="AK116" i="289"/>
  <c r="AL116" i="289"/>
  <c r="AS116" i="289" s="1"/>
  <c r="AT116" i="289" s="1"/>
  <c r="AM116" i="289"/>
  <c r="AN116" i="289"/>
  <c r="AP116" i="289"/>
  <c r="AR116" i="289"/>
  <c r="AU116" i="289"/>
  <c r="AV116" i="289"/>
  <c r="AW116" i="289"/>
  <c r="G117" i="289"/>
  <c r="H117" i="289"/>
  <c r="I117" i="289"/>
  <c r="Z117" i="289" s="1"/>
  <c r="J117" i="289"/>
  <c r="K117" i="289"/>
  <c r="L117" i="289"/>
  <c r="M117" i="289"/>
  <c r="N117" i="289"/>
  <c r="O117" i="289"/>
  <c r="P117" i="289"/>
  <c r="Q117" i="289"/>
  <c r="R117" i="289"/>
  <c r="S117" i="289"/>
  <c r="T117" i="289"/>
  <c r="U117" i="289"/>
  <c r="V117" i="289"/>
  <c r="W117" i="289"/>
  <c r="AC117" i="289"/>
  <c r="AF117" i="289" s="1"/>
  <c r="AD117" i="289"/>
  <c r="AE117" i="289"/>
  <c r="AG117" i="289"/>
  <c r="AK117" i="289"/>
  <c r="AS117" i="289" s="1"/>
  <c r="AL117" i="289"/>
  <c r="AM117" i="289"/>
  <c r="AN117" i="289"/>
  <c r="AP117" i="289"/>
  <c r="AR117" i="289"/>
  <c r="AT117" i="289"/>
  <c r="AU117" i="289"/>
  <c r="G118" i="289"/>
  <c r="H118" i="289"/>
  <c r="I118" i="289"/>
  <c r="Z118" i="289" s="1"/>
  <c r="J118" i="289"/>
  <c r="K118" i="289"/>
  <c r="L118" i="289"/>
  <c r="M118" i="289"/>
  <c r="N118" i="289"/>
  <c r="O118" i="289"/>
  <c r="P118" i="289"/>
  <c r="Q118" i="289"/>
  <c r="R118" i="289"/>
  <c r="S118" i="289"/>
  <c r="T118" i="289"/>
  <c r="U118" i="289"/>
  <c r="V118" i="289"/>
  <c r="W118" i="289"/>
  <c r="AC118" i="289"/>
  <c r="AD118" i="289"/>
  <c r="AE118" i="289"/>
  <c r="AK118" i="289"/>
  <c r="AL118" i="289"/>
  <c r="AM118" i="289"/>
  <c r="AN118" i="289"/>
  <c r="AP118" i="289"/>
  <c r="AR118" i="289"/>
  <c r="AS118" i="289"/>
  <c r="AT118" i="289" s="1"/>
  <c r="AU118" i="289"/>
  <c r="AV118" i="289"/>
  <c r="AW118" i="289"/>
  <c r="G119" i="289"/>
  <c r="H119" i="289"/>
  <c r="I119" i="289"/>
  <c r="J119" i="289"/>
  <c r="K119" i="289"/>
  <c r="L119" i="289"/>
  <c r="M119" i="289"/>
  <c r="N119" i="289"/>
  <c r="O119" i="289"/>
  <c r="P119" i="289"/>
  <c r="Q119" i="289"/>
  <c r="R119" i="289"/>
  <c r="S119" i="289"/>
  <c r="T119" i="289"/>
  <c r="U119" i="289"/>
  <c r="V119" i="289"/>
  <c r="W119" i="289"/>
  <c r="AC119" i="289"/>
  <c r="AD119" i="289"/>
  <c r="AE119" i="289"/>
  <c r="AF119" i="289"/>
  <c r="AG119" i="289" s="1"/>
  <c r="AK119" i="289"/>
  <c r="AL119" i="289"/>
  <c r="AM119" i="289"/>
  <c r="AN119" i="289"/>
  <c r="AP119" i="289"/>
  <c r="AR119" i="289"/>
  <c r="AU119" i="289"/>
  <c r="G120" i="289"/>
  <c r="H120" i="289"/>
  <c r="I120" i="289"/>
  <c r="J120" i="289"/>
  <c r="K120" i="289"/>
  <c r="L120" i="289"/>
  <c r="M120" i="289"/>
  <c r="N120" i="289"/>
  <c r="O120" i="289"/>
  <c r="P120" i="289"/>
  <c r="Q120" i="289"/>
  <c r="R120" i="289"/>
  <c r="S120" i="289"/>
  <c r="T120" i="289"/>
  <c r="U120" i="289"/>
  <c r="V120" i="289"/>
  <c r="W120" i="289"/>
  <c r="Z120" i="289"/>
  <c r="AB120" i="289" s="1"/>
  <c r="AC120" i="289"/>
  <c r="AF120" i="289" s="1"/>
  <c r="AG120" i="289" s="1"/>
  <c r="AD120" i="289"/>
  <c r="AE120" i="289"/>
  <c r="AK120" i="289"/>
  <c r="AL120" i="289"/>
  <c r="AS120" i="289" s="1"/>
  <c r="AT120" i="289" s="1"/>
  <c r="AM120" i="289"/>
  <c r="AN120" i="289"/>
  <c r="AP120" i="289"/>
  <c r="AR120" i="289"/>
  <c r="AU120" i="289"/>
  <c r="AV120" i="289"/>
  <c r="AW120" i="289"/>
  <c r="G121" i="289"/>
  <c r="H121" i="289"/>
  <c r="I121" i="289"/>
  <c r="J121" i="289"/>
  <c r="K121" i="289"/>
  <c r="L121" i="289"/>
  <c r="M121" i="289"/>
  <c r="N121" i="289"/>
  <c r="O121" i="289"/>
  <c r="P121" i="289"/>
  <c r="Q121" i="289"/>
  <c r="R121" i="289"/>
  <c r="S121" i="289"/>
  <c r="T121" i="289"/>
  <c r="U121" i="289"/>
  <c r="V121" i="289"/>
  <c r="W121" i="289"/>
  <c r="AC121" i="289"/>
  <c r="AF121" i="289" s="1"/>
  <c r="AG121" i="289" s="1"/>
  <c r="AD121" i="289"/>
  <c r="AE121" i="289"/>
  <c r="AK121" i="289"/>
  <c r="AS121" i="289" s="1"/>
  <c r="AT121" i="289" s="1"/>
  <c r="AL121" i="289"/>
  <c r="AM121" i="289"/>
  <c r="AN121" i="289"/>
  <c r="AP121" i="289"/>
  <c r="AR121" i="289"/>
  <c r="AU121" i="289"/>
  <c r="G122" i="289"/>
  <c r="H122" i="289"/>
  <c r="I122" i="289"/>
  <c r="J122" i="289"/>
  <c r="K122" i="289"/>
  <c r="L122" i="289"/>
  <c r="M122" i="289"/>
  <c r="N122" i="289"/>
  <c r="O122" i="289"/>
  <c r="P122" i="289"/>
  <c r="Q122" i="289"/>
  <c r="R122" i="289"/>
  <c r="S122" i="289"/>
  <c r="T122" i="289"/>
  <c r="U122" i="289"/>
  <c r="V122" i="289"/>
  <c r="W122" i="289"/>
  <c r="AC122" i="289"/>
  <c r="AD122" i="289"/>
  <c r="AE122" i="289"/>
  <c r="AK122" i="289"/>
  <c r="AL122" i="289"/>
  <c r="AM122" i="289"/>
  <c r="AN122" i="289"/>
  <c r="AP122" i="289"/>
  <c r="AR122" i="289"/>
  <c r="AS122" i="289"/>
  <c r="AT122" i="289" s="1"/>
  <c r="AU122" i="289"/>
  <c r="AV122" i="289"/>
  <c r="AW122" i="289"/>
  <c r="G123" i="289"/>
  <c r="H123" i="289"/>
  <c r="I123" i="289"/>
  <c r="J123" i="289"/>
  <c r="K123" i="289"/>
  <c r="L123" i="289"/>
  <c r="M123" i="289"/>
  <c r="N123" i="289"/>
  <c r="O123" i="289"/>
  <c r="P123" i="289"/>
  <c r="Q123" i="289"/>
  <c r="R123" i="289"/>
  <c r="S123" i="289"/>
  <c r="T123" i="289"/>
  <c r="U123" i="289"/>
  <c r="V123" i="289"/>
  <c r="W123" i="289"/>
  <c r="AC123" i="289"/>
  <c r="AD123" i="289"/>
  <c r="AE123" i="289"/>
  <c r="AF123" i="289"/>
  <c r="AG123" i="289" s="1"/>
  <c r="AK123" i="289"/>
  <c r="AL123" i="289"/>
  <c r="AM123" i="289"/>
  <c r="AN123" i="289"/>
  <c r="AP123" i="289"/>
  <c r="AR123" i="289"/>
  <c r="AU123" i="289"/>
  <c r="G124" i="289"/>
  <c r="H124" i="289"/>
  <c r="I124" i="289"/>
  <c r="J124" i="289"/>
  <c r="K124" i="289"/>
  <c r="L124" i="289"/>
  <c r="M124" i="289"/>
  <c r="N124" i="289"/>
  <c r="O124" i="289"/>
  <c r="P124" i="289"/>
  <c r="Q124" i="289"/>
  <c r="R124" i="289"/>
  <c r="S124" i="289"/>
  <c r="T124" i="289"/>
  <c r="U124" i="289"/>
  <c r="V124" i="289"/>
  <c r="W124" i="289"/>
  <c r="Z124" i="289"/>
  <c r="AC124" i="289"/>
  <c r="AD124" i="289"/>
  <c r="AE124" i="289"/>
  <c r="AK124" i="289"/>
  <c r="AL124" i="289"/>
  <c r="AS124" i="289" s="1"/>
  <c r="AT124" i="289" s="1"/>
  <c r="AM124" i="289"/>
  <c r="AN124" i="289"/>
  <c r="AP124" i="289"/>
  <c r="AR124" i="289"/>
  <c r="AU124" i="289"/>
  <c r="AV124" i="289"/>
  <c r="AW124" i="289"/>
  <c r="G125" i="289"/>
  <c r="H125" i="289"/>
  <c r="I125" i="289"/>
  <c r="Z125" i="289" s="1"/>
  <c r="J125" i="289"/>
  <c r="K125" i="289"/>
  <c r="L125" i="289"/>
  <c r="M125" i="289"/>
  <c r="N125" i="289"/>
  <c r="O125" i="289"/>
  <c r="P125" i="289"/>
  <c r="Q125" i="289"/>
  <c r="R125" i="289"/>
  <c r="S125" i="289"/>
  <c r="T125" i="289"/>
  <c r="U125" i="289"/>
  <c r="V125" i="289"/>
  <c r="W125" i="289"/>
  <c r="AC125" i="289"/>
  <c r="AF125" i="289" s="1"/>
  <c r="AD125" i="289"/>
  <c r="AE125" i="289"/>
  <c r="AG125" i="289"/>
  <c r="AK125" i="289"/>
  <c r="AS125" i="289" s="1"/>
  <c r="AL125" i="289"/>
  <c r="AM125" i="289"/>
  <c r="AN125" i="289"/>
  <c r="AP125" i="289"/>
  <c r="AR125" i="289"/>
  <c r="AT125" i="289"/>
  <c r="AU125" i="289"/>
  <c r="G126" i="289"/>
  <c r="H126" i="289"/>
  <c r="I126" i="289"/>
  <c r="Z126" i="289" s="1"/>
  <c r="J126" i="289"/>
  <c r="K126" i="289"/>
  <c r="L126" i="289"/>
  <c r="M126" i="289"/>
  <c r="N126" i="289"/>
  <c r="O126" i="289"/>
  <c r="P126" i="289"/>
  <c r="Q126" i="289"/>
  <c r="R126" i="289"/>
  <c r="S126" i="289"/>
  <c r="T126" i="289"/>
  <c r="U126" i="289"/>
  <c r="V126" i="289"/>
  <c r="W126" i="289"/>
  <c r="AC126" i="289"/>
  <c r="AD126" i="289"/>
  <c r="AE126" i="289"/>
  <c r="AK126" i="289"/>
  <c r="AL126" i="289"/>
  <c r="AM126" i="289"/>
  <c r="AN126" i="289"/>
  <c r="AP126" i="289"/>
  <c r="AR126" i="289"/>
  <c r="AS126" i="289"/>
  <c r="AT126" i="289" s="1"/>
  <c r="AU126" i="289"/>
  <c r="AV126" i="289"/>
  <c r="AW126" i="289"/>
  <c r="G127" i="289"/>
  <c r="H127" i="289"/>
  <c r="I127" i="289"/>
  <c r="J127" i="289"/>
  <c r="K127" i="289"/>
  <c r="L127" i="289"/>
  <c r="M127" i="289"/>
  <c r="N127" i="289"/>
  <c r="O127" i="289"/>
  <c r="P127" i="289"/>
  <c r="Q127" i="289"/>
  <c r="R127" i="289"/>
  <c r="S127" i="289"/>
  <c r="T127" i="289"/>
  <c r="U127" i="289"/>
  <c r="V127" i="289"/>
  <c r="W127" i="289"/>
  <c r="AC127" i="289"/>
  <c r="AD127" i="289"/>
  <c r="AE127" i="289"/>
  <c r="AF127" i="289"/>
  <c r="AG127" i="289" s="1"/>
  <c r="AK127" i="289"/>
  <c r="AL127" i="289"/>
  <c r="AM127" i="289"/>
  <c r="AN127" i="289"/>
  <c r="AP127" i="289"/>
  <c r="AR127" i="289"/>
  <c r="AU127" i="289"/>
  <c r="G128" i="289"/>
  <c r="H128" i="289"/>
  <c r="I128" i="289"/>
  <c r="J128" i="289"/>
  <c r="K128" i="289"/>
  <c r="L128" i="289"/>
  <c r="M128" i="289"/>
  <c r="N128" i="289"/>
  <c r="O128" i="289"/>
  <c r="P128" i="289"/>
  <c r="Q128" i="289"/>
  <c r="R128" i="289"/>
  <c r="S128" i="289"/>
  <c r="T128" i="289"/>
  <c r="U128" i="289"/>
  <c r="V128" i="289"/>
  <c r="W128" i="289"/>
  <c r="Z128" i="289"/>
  <c r="AB128" i="289" s="1"/>
  <c r="AC128" i="289"/>
  <c r="AF128" i="289" s="1"/>
  <c r="AG128" i="289" s="1"/>
  <c r="AD128" i="289"/>
  <c r="AE128" i="289"/>
  <c r="AK128" i="289"/>
  <c r="AL128" i="289"/>
  <c r="AS128" i="289" s="1"/>
  <c r="AT128" i="289" s="1"/>
  <c r="AM128" i="289"/>
  <c r="AN128" i="289"/>
  <c r="AP128" i="289"/>
  <c r="AR128" i="289"/>
  <c r="AU128" i="289"/>
  <c r="AV128" i="289"/>
  <c r="AW128" i="289"/>
  <c r="G129" i="289"/>
  <c r="H129" i="289"/>
  <c r="I129" i="289"/>
  <c r="J129" i="289"/>
  <c r="K129" i="289"/>
  <c r="L129" i="289"/>
  <c r="M129" i="289"/>
  <c r="N129" i="289"/>
  <c r="O129" i="289"/>
  <c r="P129" i="289"/>
  <c r="Q129" i="289"/>
  <c r="R129" i="289"/>
  <c r="S129" i="289"/>
  <c r="T129" i="289"/>
  <c r="U129" i="289"/>
  <c r="V129" i="289"/>
  <c r="W129" i="289"/>
  <c r="AC129" i="289"/>
  <c r="AF129" i="289" s="1"/>
  <c r="AG129" i="289" s="1"/>
  <c r="AD129" i="289"/>
  <c r="AE129" i="289"/>
  <c r="AK129" i="289"/>
  <c r="AS129" i="289" s="1"/>
  <c r="AT129" i="289" s="1"/>
  <c r="AL129" i="289"/>
  <c r="AM129" i="289"/>
  <c r="AN129" i="289"/>
  <c r="AP129" i="289"/>
  <c r="AR129" i="289"/>
  <c r="AU129" i="289"/>
  <c r="G130" i="289"/>
  <c r="H130" i="289"/>
  <c r="I130" i="289"/>
  <c r="J130" i="289"/>
  <c r="K130" i="289"/>
  <c r="L130" i="289"/>
  <c r="M130" i="289"/>
  <c r="N130" i="289"/>
  <c r="O130" i="289"/>
  <c r="P130" i="289"/>
  <c r="Q130" i="289"/>
  <c r="R130" i="289"/>
  <c r="S130" i="289"/>
  <c r="T130" i="289"/>
  <c r="U130" i="289"/>
  <c r="V130" i="289"/>
  <c r="W130" i="289"/>
  <c r="AC130" i="289"/>
  <c r="AD130" i="289"/>
  <c r="AE130" i="289"/>
  <c r="AK130" i="289"/>
  <c r="AL130" i="289"/>
  <c r="AM130" i="289"/>
  <c r="AN130" i="289"/>
  <c r="AP130" i="289"/>
  <c r="AR130" i="289"/>
  <c r="AS130" i="289"/>
  <c r="AT130" i="289" s="1"/>
  <c r="AU130" i="289"/>
  <c r="AV130" i="289"/>
  <c r="AW130" i="289"/>
  <c r="G131" i="289"/>
  <c r="H131" i="289"/>
  <c r="I131" i="289"/>
  <c r="J131" i="289"/>
  <c r="K131" i="289"/>
  <c r="L131" i="289"/>
  <c r="M131" i="289"/>
  <c r="N131" i="289"/>
  <c r="O131" i="289"/>
  <c r="P131" i="289"/>
  <c r="Q131" i="289"/>
  <c r="R131" i="289"/>
  <c r="S131" i="289"/>
  <c r="T131" i="289"/>
  <c r="U131" i="289"/>
  <c r="V131" i="289"/>
  <c r="W131" i="289"/>
  <c r="AC131" i="289"/>
  <c r="AD131" i="289"/>
  <c r="AE131" i="289"/>
  <c r="AF131" i="289"/>
  <c r="AG131" i="289" s="1"/>
  <c r="AK131" i="289"/>
  <c r="AL131" i="289"/>
  <c r="AM131" i="289"/>
  <c r="AN131" i="289"/>
  <c r="AP131" i="289"/>
  <c r="AR131" i="289"/>
  <c r="AU131" i="289"/>
  <c r="G132" i="289"/>
  <c r="H132" i="289"/>
  <c r="I132" i="289"/>
  <c r="J132" i="289"/>
  <c r="K132" i="289"/>
  <c r="L132" i="289"/>
  <c r="M132" i="289"/>
  <c r="N132" i="289"/>
  <c r="O132" i="289"/>
  <c r="P132" i="289"/>
  <c r="Q132" i="289"/>
  <c r="R132" i="289"/>
  <c r="S132" i="289"/>
  <c r="T132" i="289"/>
  <c r="U132" i="289"/>
  <c r="V132" i="289"/>
  <c r="W132" i="289"/>
  <c r="Z132" i="289"/>
  <c r="AC132" i="289"/>
  <c r="AD132" i="289"/>
  <c r="AE132" i="289"/>
  <c r="AK132" i="289"/>
  <c r="AL132" i="289"/>
  <c r="AS132" i="289" s="1"/>
  <c r="AT132" i="289" s="1"/>
  <c r="AM132" i="289"/>
  <c r="AN132" i="289"/>
  <c r="AP132" i="289"/>
  <c r="AR132" i="289"/>
  <c r="AU132" i="289"/>
  <c r="AV132" i="289"/>
  <c r="AW132" i="289"/>
  <c r="G133" i="289"/>
  <c r="H133" i="289"/>
  <c r="I133" i="289"/>
  <c r="Z133" i="289" s="1"/>
  <c r="J133" i="289"/>
  <c r="K133" i="289"/>
  <c r="L133" i="289"/>
  <c r="M133" i="289"/>
  <c r="N133" i="289"/>
  <c r="O133" i="289"/>
  <c r="P133" i="289"/>
  <c r="Q133" i="289"/>
  <c r="R133" i="289"/>
  <c r="S133" i="289"/>
  <c r="T133" i="289"/>
  <c r="U133" i="289"/>
  <c r="V133" i="289"/>
  <c r="W133" i="289"/>
  <c r="AC133" i="289"/>
  <c r="AF133" i="289" s="1"/>
  <c r="AD133" i="289"/>
  <c r="AE133" i="289"/>
  <c r="AG133" i="289"/>
  <c r="AK133" i="289"/>
  <c r="AS133" i="289" s="1"/>
  <c r="AL133" i="289"/>
  <c r="AM133" i="289"/>
  <c r="AN133" i="289"/>
  <c r="AP133" i="289"/>
  <c r="AR133" i="289"/>
  <c r="AT133" i="289"/>
  <c r="AU133" i="289"/>
  <c r="G134" i="289"/>
  <c r="H134" i="289"/>
  <c r="I134" i="289"/>
  <c r="Z134" i="289" s="1"/>
  <c r="J134" i="289"/>
  <c r="K134" i="289"/>
  <c r="L134" i="289"/>
  <c r="M134" i="289"/>
  <c r="N134" i="289"/>
  <c r="O134" i="289"/>
  <c r="P134" i="289"/>
  <c r="Q134" i="289"/>
  <c r="R134" i="289"/>
  <c r="S134" i="289"/>
  <c r="T134" i="289"/>
  <c r="U134" i="289"/>
  <c r="V134" i="289"/>
  <c r="W134" i="289"/>
  <c r="AC134" i="289"/>
  <c r="AD134" i="289"/>
  <c r="AE134" i="289"/>
  <c r="AK134" i="289"/>
  <c r="AL134" i="289"/>
  <c r="AM134" i="289"/>
  <c r="AN134" i="289"/>
  <c r="AP134" i="289"/>
  <c r="AR134" i="289"/>
  <c r="AS134" i="289"/>
  <c r="AT134" i="289" s="1"/>
  <c r="AU134" i="289"/>
  <c r="AV134" i="289"/>
  <c r="AW134" i="289"/>
  <c r="G135" i="289"/>
  <c r="H135" i="289"/>
  <c r="I135" i="289"/>
  <c r="J135" i="289"/>
  <c r="K135" i="289"/>
  <c r="L135" i="289"/>
  <c r="M135" i="289"/>
  <c r="N135" i="289"/>
  <c r="O135" i="289"/>
  <c r="P135" i="289"/>
  <c r="Q135" i="289"/>
  <c r="R135" i="289"/>
  <c r="S135" i="289"/>
  <c r="T135" i="289"/>
  <c r="U135" i="289"/>
  <c r="V135" i="289"/>
  <c r="W135" i="289"/>
  <c r="AC135" i="289"/>
  <c r="AD135" i="289"/>
  <c r="AE135" i="289"/>
  <c r="AF135" i="289"/>
  <c r="AG135" i="289" s="1"/>
  <c r="AK135" i="289"/>
  <c r="AL135" i="289"/>
  <c r="AM135" i="289"/>
  <c r="AN135" i="289"/>
  <c r="AP135" i="289"/>
  <c r="AT135" i="289"/>
  <c r="AU135" i="289"/>
  <c r="AV135" i="289"/>
  <c r="AW135" i="289"/>
  <c r="G136" i="289"/>
  <c r="H136" i="289"/>
  <c r="I136" i="289"/>
  <c r="J136" i="289"/>
  <c r="K136" i="289"/>
  <c r="L136" i="289"/>
  <c r="M136" i="289"/>
  <c r="N136" i="289"/>
  <c r="O136" i="289"/>
  <c r="P136" i="289"/>
  <c r="Q136" i="289"/>
  <c r="R136" i="289"/>
  <c r="S136" i="289"/>
  <c r="T136" i="289"/>
  <c r="U136" i="289"/>
  <c r="V136" i="289"/>
  <c r="W136" i="289"/>
  <c r="AC136" i="289"/>
  <c r="AF136" i="289" s="1"/>
  <c r="AG136" i="289" s="1"/>
  <c r="AD136" i="289"/>
  <c r="AE136" i="289"/>
  <c r="AK136" i="289"/>
  <c r="AL136" i="289"/>
  <c r="AM136" i="289"/>
  <c r="AN136" i="289"/>
  <c r="AP136" i="289"/>
  <c r="AQ136" i="289"/>
  <c r="AR136" i="289" s="1"/>
  <c r="AT136" i="289"/>
  <c r="AU136" i="289"/>
  <c r="AW136" i="289" s="1"/>
  <c r="G137" i="289"/>
  <c r="H137" i="289"/>
  <c r="I137" i="289"/>
  <c r="J137" i="289"/>
  <c r="K137" i="289"/>
  <c r="L137" i="289"/>
  <c r="M137" i="289"/>
  <c r="N137" i="289"/>
  <c r="O137" i="289"/>
  <c r="P137" i="289"/>
  <c r="Q137" i="289"/>
  <c r="R137" i="289"/>
  <c r="S137" i="289"/>
  <c r="T137" i="289"/>
  <c r="U137" i="289"/>
  <c r="V137" i="289"/>
  <c r="W137" i="289"/>
  <c r="AC137" i="289"/>
  <c r="AD137" i="289"/>
  <c r="AE137" i="289"/>
  <c r="AF137" i="289"/>
  <c r="AG137" i="289" s="1"/>
  <c r="AK137" i="289"/>
  <c r="AL137" i="289"/>
  <c r="AM137" i="289"/>
  <c r="AN137" i="289"/>
  <c r="AP137" i="289"/>
  <c r="AT137" i="289"/>
  <c r="AU137" i="289"/>
  <c r="AV137" i="289"/>
  <c r="AW137" i="289"/>
  <c r="G138" i="289"/>
  <c r="H138" i="289"/>
  <c r="I138" i="289"/>
  <c r="J138" i="289"/>
  <c r="K138" i="289"/>
  <c r="Z138" i="289" s="1"/>
  <c r="L138" i="289"/>
  <c r="M138" i="289"/>
  <c r="N138" i="289"/>
  <c r="O138" i="289"/>
  <c r="P138" i="289"/>
  <c r="Q138" i="289"/>
  <c r="R138" i="289"/>
  <c r="S138" i="289"/>
  <c r="T138" i="289"/>
  <c r="U138" i="289"/>
  <c r="V138" i="289"/>
  <c r="W138" i="289"/>
  <c r="AC138" i="289"/>
  <c r="AF138" i="289" s="1"/>
  <c r="AG138" i="289" s="1"/>
  <c r="AD138" i="289"/>
  <c r="AE138" i="289"/>
  <c r="AH138" i="289"/>
  <c r="AI138" i="289" s="1"/>
  <c r="AK138" i="289"/>
  <c r="AL138" i="289"/>
  <c r="AM138" i="289"/>
  <c r="AN138" i="289"/>
  <c r="AP138" i="289"/>
  <c r="AQ138" i="289"/>
  <c r="AR138" i="289" s="1"/>
  <c r="AT138" i="289"/>
  <c r="AU138" i="289"/>
  <c r="G139" i="289"/>
  <c r="H139" i="289"/>
  <c r="I139" i="289"/>
  <c r="J139" i="289"/>
  <c r="K139" i="289"/>
  <c r="L139" i="289"/>
  <c r="M139" i="289"/>
  <c r="N139" i="289"/>
  <c r="O139" i="289"/>
  <c r="P139" i="289"/>
  <c r="Q139" i="289"/>
  <c r="R139" i="289"/>
  <c r="S139" i="289"/>
  <c r="T139" i="289"/>
  <c r="U139" i="289"/>
  <c r="V139" i="289"/>
  <c r="W139" i="289"/>
  <c r="AC139" i="289"/>
  <c r="AD139" i="289"/>
  <c r="AE139" i="289"/>
  <c r="AF139" i="289"/>
  <c r="AG139" i="289" s="1"/>
  <c r="AK139" i="289"/>
  <c r="AL139" i="289"/>
  <c r="AM139" i="289"/>
  <c r="AN139" i="289"/>
  <c r="AP139" i="289"/>
  <c r="AT139" i="289"/>
  <c r="AU139" i="289"/>
  <c r="AV139" i="289"/>
  <c r="AW139" i="289"/>
  <c r="G140" i="289"/>
  <c r="H140" i="289"/>
  <c r="I140" i="289"/>
  <c r="J140" i="289"/>
  <c r="K140" i="289"/>
  <c r="L140" i="289"/>
  <c r="M140" i="289"/>
  <c r="N140" i="289"/>
  <c r="O140" i="289"/>
  <c r="P140" i="289"/>
  <c r="Q140" i="289"/>
  <c r="R140" i="289"/>
  <c r="S140" i="289"/>
  <c r="T140" i="289"/>
  <c r="U140" i="289"/>
  <c r="V140" i="289"/>
  <c r="W140" i="289"/>
  <c r="AC140" i="289"/>
  <c r="AF140" i="289" s="1"/>
  <c r="AG140" i="289" s="1"/>
  <c r="AD140" i="289"/>
  <c r="AE140" i="289"/>
  <c r="AK140" i="289"/>
  <c r="AL140" i="289"/>
  <c r="AM140" i="289"/>
  <c r="AN140" i="289"/>
  <c r="AP140" i="289"/>
  <c r="AQ140" i="289"/>
  <c r="AR140" i="289" s="1"/>
  <c r="AT140" i="289"/>
  <c r="AU140" i="289"/>
  <c r="AW140" i="289" s="1"/>
  <c r="G141" i="289"/>
  <c r="H141" i="289"/>
  <c r="I141" i="289"/>
  <c r="J141" i="289"/>
  <c r="K141" i="289"/>
  <c r="L141" i="289"/>
  <c r="M141" i="289"/>
  <c r="N141" i="289"/>
  <c r="O141" i="289"/>
  <c r="P141" i="289"/>
  <c r="Q141" i="289"/>
  <c r="R141" i="289"/>
  <c r="S141" i="289"/>
  <c r="T141" i="289"/>
  <c r="U141" i="289"/>
  <c r="V141" i="289"/>
  <c r="W141" i="289"/>
  <c r="AC141" i="289"/>
  <c r="AD141" i="289"/>
  <c r="AE141" i="289"/>
  <c r="AF141" i="289"/>
  <c r="AG141" i="289" s="1"/>
  <c r="AK141" i="289"/>
  <c r="AL141" i="289"/>
  <c r="AM141" i="289"/>
  <c r="AN141" i="289"/>
  <c r="AP141" i="289"/>
  <c r="AT141" i="289"/>
  <c r="AU141" i="289"/>
  <c r="AV141" i="289"/>
  <c r="AW141" i="289"/>
  <c r="G142" i="289"/>
  <c r="H142" i="289"/>
  <c r="I142" i="289"/>
  <c r="J142" i="289"/>
  <c r="K142" i="289"/>
  <c r="Z142" i="289" s="1"/>
  <c r="L142" i="289"/>
  <c r="M142" i="289"/>
  <c r="N142" i="289"/>
  <c r="O142" i="289"/>
  <c r="P142" i="289"/>
  <c r="Q142" i="289"/>
  <c r="R142" i="289"/>
  <c r="S142" i="289"/>
  <c r="T142" i="289"/>
  <c r="U142" i="289"/>
  <c r="V142" i="289"/>
  <c r="W142" i="289"/>
  <c r="AC142" i="289"/>
  <c r="AF142" i="289" s="1"/>
  <c r="AG142" i="289" s="1"/>
  <c r="AD142" i="289"/>
  <c r="AE142" i="289"/>
  <c r="AH142" i="289"/>
  <c r="AI142" i="289" s="1"/>
  <c r="AK142" i="289"/>
  <c r="AL142" i="289"/>
  <c r="AM142" i="289"/>
  <c r="AN142" i="289"/>
  <c r="AP142" i="289"/>
  <c r="AQ142" i="289"/>
  <c r="AR142" i="289" s="1"/>
  <c r="AT142" i="289"/>
  <c r="AU142" i="289"/>
  <c r="G143" i="289"/>
  <c r="H143" i="289"/>
  <c r="I143" i="289"/>
  <c r="J143" i="289"/>
  <c r="K143" i="289"/>
  <c r="L143" i="289"/>
  <c r="M143" i="289"/>
  <c r="N143" i="289"/>
  <c r="O143" i="289"/>
  <c r="P143" i="289"/>
  <c r="Q143" i="289"/>
  <c r="R143" i="289"/>
  <c r="S143" i="289"/>
  <c r="T143" i="289"/>
  <c r="U143" i="289"/>
  <c r="V143" i="289"/>
  <c r="W143" i="289"/>
  <c r="AC143" i="289"/>
  <c r="AD143" i="289"/>
  <c r="AE143" i="289"/>
  <c r="AF143" i="289"/>
  <c r="AG143" i="289" s="1"/>
  <c r="AK143" i="289"/>
  <c r="AL143" i="289"/>
  <c r="AM143" i="289"/>
  <c r="AN143" i="289"/>
  <c r="AP143" i="289"/>
  <c r="AT143" i="289"/>
  <c r="AU143" i="289"/>
  <c r="AV143" i="289"/>
  <c r="AW143" i="289"/>
  <c r="G144" i="289"/>
  <c r="H144" i="289"/>
  <c r="I144" i="289"/>
  <c r="J144" i="289"/>
  <c r="K144" i="289"/>
  <c r="L144" i="289"/>
  <c r="M144" i="289"/>
  <c r="N144" i="289"/>
  <c r="O144" i="289"/>
  <c r="P144" i="289"/>
  <c r="Q144" i="289"/>
  <c r="R144" i="289"/>
  <c r="S144" i="289"/>
  <c r="T144" i="289"/>
  <c r="U144" i="289"/>
  <c r="V144" i="289"/>
  <c r="W144" i="289"/>
  <c r="AC144" i="289"/>
  <c r="AF144" i="289" s="1"/>
  <c r="AG144" i="289" s="1"/>
  <c r="AD144" i="289"/>
  <c r="AE144" i="289"/>
  <c r="AK144" i="289"/>
  <c r="AL144" i="289"/>
  <c r="AM144" i="289"/>
  <c r="AN144" i="289"/>
  <c r="AP144" i="289"/>
  <c r="AQ144" i="289"/>
  <c r="AR144" i="289" s="1"/>
  <c r="AT144" i="289"/>
  <c r="AU144" i="289"/>
  <c r="AW144" i="289" s="1"/>
  <c r="G145" i="289"/>
  <c r="H145" i="289"/>
  <c r="I145" i="289"/>
  <c r="J145" i="289"/>
  <c r="K145" i="289"/>
  <c r="L145" i="289"/>
  <c r="M145" i="289"/>
  <c r="N145" i="289"/>
  <c r="O145" i="289"/>
  <c r="P145" i="289"/>
  <c r="Q145" i="289"/>
  <c r="R145" i="289"/>
  <c r="S145" i="289"/>
  <c r="T145" i="289"/>
  <c r="U145" i="289"/>
  <c r="U178" i="289" s="1"/>
  <c r="V145" i="289"/>
  <c r="W145" i="289"/>
  <c r="AC145" i="289"/>
  <c r="AD145" i="289"/>
  <c r="AE145" i="289"/>
  <c r="AF145" i="289"/>
  <c r="AG145" i="289" s="1"/>
  <c r="AK145" i="289"/>
  <c r="AL145" i="289"/>
  <c r="AM145" i="289"/>
  <c r="AN145" i="289"/>
  <c r="AP145" i="289"/>
  <c r="AT145" i="289"/>
  <c r="AU145" i="289"/>
  <c r="AV145" i="289"/>
  <c r="AW145" i="289"/>
  <c r="G146" i="289"/>
  <c r="H146" i="289"/>
  <c r="I146" i="289"/>
  <c r="J146" i="289"/>
  <c r="K146" i="289"/>
  <c r="Z146" i="289" s="1"/>
  <c r="L146" i="289"/>
  <c r="M146" i="289"/>
  <c r="N146" i="289"/>
  <c r="O146" i="289"/>
  <c r="P146" i="289"/>
  <c r="Q146" i="289"/>
  <c r="R146" i="289"/>
  <c r="S146" i="289"/>
  <c r="T146" i="289"/>
  <c r="U146" i="289"/>
  <c r="V146" i="289"/>
  <c r="W146" i="289"/>
  <c r="AC146" i="289"/>
  <c r="AF146" i="289" s="1"/>
  <c r="AG146" i="289" s="1"/>
  <c r="AD146" i="289"/>
  <c r="AE146" i="289"/>
  <c r="AH146" i="289"/>
  <c r="AI146" i="289" s="1"/>
  <c r="AK146" i="289"/>
  <c r="AL146" i="289"/>
  <c r="AM146" i="289"/>
  <c r="AN146" i="289"/>
  <c r="AP146" i="289"/>
  <c r="AQ146" i="289"/>
  <c r="AR146" i="289" s="1"/>
  <c r="AT146" i="289"/>
  <c r="AU146" i="289"/>
  <c r="G147" i="289"/>
  <c r="H147" i="289"/>
  <c r="I147" i="289"/>
  <c r="J147" i="289"/>
  <c r="K147" i="289"/>
  <c r="L147" i="289"/>
  <c r="M147" i="289"/>
  <c r="N147" i="289"/>
  <c r="O147" i="289"/>
  <c r="P147" i="289"/>
  <c r="Q147" i="289"/>
  <c r="R147" i="289"/>
  <c r="S147" i="289"/>
  <c r="T147" i="289"/>
  <c r="U147" i="289"/>
  <c r="V147" i="289"/>
  <c r="W147" i="289"/>
  <c r="AC147" i="289"/>
  <c r="AD147" i="289"/>
  <c r="AE147" i="289"/>
  <c r="AF147" i="289"/>
  <c r="AG147" i="289" s="1"/>
  <c r="AK147" i="289"/>
  <c r="AL147" i="289"/>
  <c r="AM147" i="289"/>
  <c r="AN147" i="289"/>
  <c r="AP147" i="289"/>
  <c r="AT147" i="289"/>
  <c r="AU147" i="289"/>
  <c r="AV147" i="289"/>
  <c r="AW147" i="289"/>
  <c r="G148" i="289"/>
  <c r="H148" i="289"/>
  <c r="I148" i="289"/>
  <c r="J148" i="289"/>
  <c r="K148" i="289"/>
  <c r="L148" i="289"/>
  <c r="M148" i="289"/>
  <c r="N148" i="289"/>
  <c r="O148" i="289"/>
  <c r="P148" i="289"/>
  <c r="Q148" i="289"/>
  <c r="R148" i="289"/>
  <c r="S148" i="289"/>
  <c r="T148" i="289"/>
  <c r="U148" i="289"/>
  <c r="V148" i="289"/>
  <c r="W148" i="289"/>
  <c r="AC148" i="289"/>
  <c r="AF148" i="289" s="1"/>
  <c r="AG148" i="289" s="1"/>
  <c r="AD148" i="289"/>
  <c r="AE148" i="289"/>
  <c r="AK148" i="289"/>
  <c r="AL148" i="289"/>
  <c r="AM148" i="289"/>
  <c r="AN148" i="289"/>
  <c r="AP148" i="289"/>
  <c r="AQ148" i="289"/>
  <c r="AR148" i="289" s="1"/>
  <c r="AT148" i="289"/>
  <c r="AU148" i="289"/>
  <c r="AW148" i="289" s="1"/>
  <c r="G149" i="289"/>
  <c r="H149" i="289"/>
  <c r="I149" i="289"/>
  <c r="J149" i="289"/>
  <c r="K149" i="289"/>
  <c r="L149" i="289"/>
  <c r="M149" i="289"/>
  <c r="N149" i="289"/>
  <c r="O149" i="289"/>
  <c r="P149" i="289"/>
  <c r="Q149" i="289"/>
  <c r="R149" i="289"/>
  <c r="S149" i="289"/>
  <c r="T149" i="289"/>
  <c r="U149" i="289"/>
  <c r="V149" i="289"/>
  <c r="W149" i="289"/>
  <c r="AC149" i="289"/>
  <c r="AD149" i="289"/>
  <c r="AE149" i="289"/>
  <c r="AF149" i="289"/>
  <c r="AG149" i="289" s="1"/>
  <c r="AK149" i="289"/>
  <c r="AL149" i="289"/>
  <c r="AM149" i="289"/>
  <c r="AN149" i="289"/>
  <c r="AP149" i="289"/>
  <c r="AT149" i="289"/>
  <c r="AU149" i="289"/>
  <c r="AV149" i="289"/>
  <c r="AW149" i="289"/>
  <c r="G150" i="289"/>
  <c r="H150" i="289"/>
  <c r="I150" i="289"/>
  <c r="J150" i="289"/>
  <c r="K150" i="289"/>
  <c r="Z150" i="289" s="1"/>
  <c r="L150" i="289"/>
  <c r="M150" i="289"/>
  <c r="N150" i="289"/>
  <c r="O150" i="289"/>
  <c r="P150" i="289"/>
  <c r="Q150" i="289"/>
  <c r="R150" i="289"/>
  <c r="S150" i="289"/>
  <c r="T150" i="289"/>
  <c r="U150" i="289"/>
  <c r="V150" i="289"/>
  <c r="W150" i="289"/>
  <c r="AC150" i="289"/>
  <c r="AF150" i="289" s="1"/>
  <c r="AG150" i="289" s="1"/>
  <c r="AD150" i="289"/>
  <c r="AE150" i="289"/>
  <c r="AH150" i="289"/>
  <c r="AI150" i="289" s="1"/>
  <c r="AK150" i="289"/>
  <c r="AL150" i="289"/>
  <c r="AM150" i="289"/>
  <c r="AN150" i="289"/>
  <c r="AP150" i="289"/>
  <c r="AQ150" i="289"/>
  <c r="AR150" i="289" s="1"/>
  <c r="AT150" i="289"/>
  <c r="AU150" i="289"/>
  <c r="G151" i="289"/>
  <c r="H151" i="289"/>
  <c r="I151" i="289"/>
  <c r="J151" i="289"/>
  <c r="K151" i="289"/>
  <c r="L151" i="289"/>
  <c r="M151" i="289"/>
  <c r="N151" i="289"/>
  <c r="O151" i="289"/>
  <c r="P151" i="289"/>
  <c r="Q151" i="289"/>
  <c r="R151" i="289"/>
  <c r="S151" i="289"/>
  <c r="T151" i="289"/>
  <c r="U151" i="289"/>
  <c r="V151" i="289"/>
  <c r="W151" i="289"/>
  <c r="AC151" i="289"/>
  <c r="AD151" i="289"/>
  <c r="AE151" i="289"/>
  <c r="AF151" i="289"/>
  <c r="AG151" i="289" s="1"/>
  <c r="AK151" i="289"/>
  <c r="AL151" i="289"/>
  <c r="AM151" i="289"/>
  <c r="AQ151" i="289" s="1"/>
  <c r="AR151" i="289" s="1"/>
  <c r="AN151" i="289"/>
  <c r="AP151" i="289"/>
  <c r="AT151" i="289"/>
  <c r="AU151" i="289"/>
  <c r="AV151" i="289"/>
  <c r="AW151" i="289"/>
  <c r="G152" i="289"/>
  <c r="H152" i="289"/>
  <c r="I152" i="289"/>
  <c r="J152" i="289"/>
  <c r="K152" i="289"/>
  <c r="L152" i="289"/>
  <c r="M152" i="289"/>
  <c r="N152" i="289"/>
  <c r="O152" i="289"/>
  <c r="P152" i="289"/>
  <c r="Q152" i="289"/>
  <c r="R152" i="289"/>
  <c r="S152" i="289"/>
  <c r="T152" i="289"/>
  <c r="U152" i="289"/>
  <c r="V152" i="289"/>
  <c r="W152" i="289"/>
  <c r="AC152" i="289"/>
  <c r="AF152" i="289" s="1"/>
  <c r="AD152" i="289"/>
  <c r="AE152" i="289"/>
  <c r="AG152" i="289"/>
  <c r="AK152" i="289"/>
  <c r="AL152" i="289"/>
  <c r="AM152" i="289"/>
  <c r="AN152" i="289"/>
  <c r="AP152" i="289"/>
  <c r="AQ152" i="289"/>
  <c r="AR152" i="289" s="1"/>
  <c r="AT152" i="289"/>
  <c r="AU152" i="289"/>
  <c r="AW152" i="289" s="1"/>
  <c r="G153" i="289"/>
  <c r="H153" i="289"/>
  <c r="I153" i="289"/>
  <c r="J153" i="289"/>
  <c r="K153" i="289"/>
  <c r="L153" i="289"/>
  <c r="M153" i="289"/>
  <c r="N153" i="289"/>
  <c r="O153" i="289"/>
  <c r="P153" i="289"/>
  <c r="Q153" i="289"/>
  <c r="R153" i="289"/>
  <c r="S153" i="289"/>
  <c r="T153" i="289"/>
  <c r="U153" i="289"/>
  <c r="V153" i="289"/>
  <c r="W153" i="289"/>
  <c r="Z153" i="289"/>
  <c r="AC153" i="289"/>
  <c r="AD153" i="289"/>
  <c r="AF153" i="289" s="1"/>
  <c r="AG153" i="289" s="1"/>
  <c r="AE153" i="289"/>
  <c r="AK153" i="289"/>
  <c r="AL153" i="289"/>
  <c r="AM153" i="289"/>
  <c r="AQ153" i="289" s="1"/>
  <c r="AN153" i="289"/>
  <c r="AP153" i="289"/>
  <c r="AR153" i="289"/>
  <c r="AT153" i="289"/>
  <c r="AU153" i="289"/>
  <c r="AV153" i="289"/>
  <c r="AW153" i="289"/>
  <c r="G154" i="289"/>
  <c r="H154" i="289"/>
  <c r="I154" i="289"/>
  <c r="J154" i="289"/>
  <c r="K154" i="289"/>
  <c r="L154" i="289"/>
  <c r="M154" i="289"/>
  <c r="N154" i="289"/>
  <c r="O154" i="289"/>
  <c r="P154" i="289"/>
  <c r="Q154" i="289"/>
  <c r="R154" i="289"/>
  <c r="S154" i="289"/>
  <c r="T154" i="289"/>
  <c r="U154" i="289"/>
  <c r="V154" i="289"/>
  <c r="W154" i="289"/>
  <c r="Z154" i="289"/>
  <c r="AC154" i="289"/>
  <c r="AF154" i="289" s="1"/>
  <c r="AG154" i="289" s="1"/>
  <c r="AD154" i="289"/>
  <c r="AE154" i="289"/>
  <c r="AK154" i="289"/>
  <c r="AL154" i="289"/>
  <c r="AM154" i="289"/>
  <c r="AN154" i="289"/>
  <c r="AQ154" i="289" s="1"/>
  <c r="AR154" i="289" s="1"/>
  <c r="AP154" i="289"/>
  <c r="AT154" i="289"/>
  <c r="AU154" i="289"/>
  <c r="G155" i="289"/>
  <c r="H155" i="289"/>
  <c r="I155" i="289"/>
  <c r="J155" i="289"/>
  <c r="K155" i="289"/>
  <c r="L155" i="289"/>
  <c r="M155" i="289"/>
  <c r="N155" i="289"/>
  <c r="O155" i="289"/>
  <c r="P155" i="289"/>
  <c r="Q155" i="289"/>
  <c r="R155" i="289"/>
  <c r="S155" i="289"/>
  <c r="T155" i="289"/>
  <c r="U155" i="289"/>
  <c r="V155" i="289"/>
  <c r="W155" i="289"/>
  <c r="AC155" i="289"/>
  <c r="AD155" i="289"/>
  <c r="AE155" i="289"/>
  <c r="AF155" i="289"/>
  <c r="AG155" i="289" s="1"/>
  <c r="AK155" i="289"/>
  <c r="AL155" i="289"/>
  <c r="AM155" i="289"/>
  <c r="AQ155" i="289" s="1"/>
  <c r="AR155" i="289" s="1"/>
  <c r="AN155" i="289"/>
  <c r="AP155" i="289"/>
  <c r="AT155" i="289"/>
  <c r="AU155" i="289"/>
  <c r="AV155" i="289"/>
  <c r="AW155" i="289"/>
  <c r="G156" i="289"/>
  <c r="H156" i="289"/>
  <c r="I156" i="289"/>
  <c r="J156" i="289"/>
  <c r="K156" i="289"/>
  <c r="L156" i="289"/>
  <c r="M156" i="289"/>
  <c r="N156" i="289"/>
  <c r="O156" i="289"/>
  <c r="P156" i="289"/>
  <c r="Q156" i="289"/>
  <c r="R156" i="289"/>
  <c r="S156" i="289"/>
  <c r="T156" i="289"/>
  <c r="U156" i="289"/>
  <c r="V156" i="289"/>
  <c r="W156" i="289"/>
  <c r="AC156" i="289"/>
  <c r="AF156" i="289" s="1"/>
  <c r="AD156" i="289"/>
  <c r="AE156" i="289"/>
  <c r="AG156" i="289"/>
  <c r="AK156" i="289"/>
  <c r="AL156" i="289"/>
  <c r="AM156" i="289"/>
  <c r="AN156" i="289"/>
  <c r="AP156" i="289"/>
  <c r="AQ156" i="289"/>
  <c r="AR156" i="289" s="1"/>
  <c r="AT156" i="289"/>
  <c r="AU156" i="289"/>
  <c r="AW156" i="289" s="1"/>
  <c r="G157" i="289"/>
  <c r="H157" i="289"/>
  <c r="I157" i="289"/>
  <c r="J157" i="289"/>
  <c r="K157" i="289"/>
  <c r="L157" i="289"/>
  <c r="M157" i="289"/>
  <c r="N157" i="289"/>
  <c r="O157" i="289"/>
  <c r="P157" i="289"/>
  <c r="Q157" i="289"/>
  <c r="R157" i="289"/>
  <c r="S157" i="289"/>
  <c r="T157" i="289"/>
  <c r="U157" i="289"/>
  <c r="V157" i="289"/>
  <c r="W157" i="289"/>
  <c r="Z157" i="289"/>
  <c r="AC157" i="289"/>
  <c r="AD157" i="289"/>
  <c r="AF157" i="289" s="1"/>
  <c r="AG157" i="289" s="1"/>
  <c r="AE157" i="289"/>
  <c r="AK157" i="289"/>
  <c r="AL157" i="289"/>
  <c r="AM157" i="289"/>
  <c r="AQ157" i="289" s="1"/>
  <c r="AN157" i="289"/>
  <c r="AP157" i="289"/>
  <c r="AR157" i="289"/>
  <c r="AT157" i="289"/>
  <c r="AU157" i="289"/>
  <c r="AV157" i="289"/>
  <c r="AW157" i="289"/>
  <c r="G158" i="289"/>
  <c r="H158" i="289"/>
  <c r="I158" i="289"/>
  <c r="J158" i="289"/>
  <c r="K158" i="289"/>
  <c r="L158" i="289"/>
  <c r="M158" i="289"/>
  <c r="N158" i="289"/>
  <c r="O158" i="289"/>
  <c r="P158" i="289"/>
  <c r="Q158" i="289"/>
  <c r="R158" i="289"/>
  <c r="S158" i="289"/>
  <c r="T158" i="289"/>
  <c r="U158" i="289"/>
  <c r="V158" i="289"/>
  <c r="W158" i="289"/>
  <c r="Z158" i="289"/>
  <c r="AC158" i="289"/>
  <c r="AF158" i="289" s="1"/>
  <c r="AG158" i="289" s="1"/>
  <c r="AD158" i="289"/>
  <c r="AE158" i="289"/>
  <c r="AK158" i="289"/>
  <c r="AL158" i="289"/>
  <c r="AM158" i="289"/>
  <c r="AN158" i="289"/>
  <c r="AQ158" i="289" s="1"/>
  <c r="AR158" i="289" s="1"/>
  <c r="AP158" i="289"/>
  <c r="AT158" i="289"/>
  <c r="AU158" i="289"/>
  <c r="G159" i="289"/>
  <c r="H159" i="289"/>
  <c r="I159" i="289"/>
  <c r="J159" i="289"/>
  <c r="K159" i="289"/>
  <c r="L159" i="289"/>
  <c r="M159" i="289"/>
  <c r="N159" i="289"/>
  <c r="O159" i="289"/>
  <c r="P159" i="289"/>
  <c r="Q159" i="289"/>
  <c r="R159" i="289"/>
  <c r="S159" i="289"/>
  <c r="T159" i="289"/>
  <c r="U159" i="289"/>
  <c r="V159" i="289"/>
  <c r="W159" i="289"/>
  <c r="AC159" i="289"/>
  <c r="AD159" i="289"/>
  <c r="AE159" i="289"/>
  <c r="AF159" i="289"/>
  <c r="AG159" i="289" s="1"/>
  <c r="AK159" i="289"/>
  <c r="AL159" i="289"/>
  <c r="AM159" i="289"/>
  <c r="AQ159" i="289" s="1"/>
  <c r="AR159" i="289" s="1"/>
  <c r="AN159" i="289"/>
  <c r="AP159" i="289"/>
  <c r="AT159" i="289"/>
  <c r="AU159" i="289"/>
  <c r="AV159" i="289"/>
  <c r="AW159" i="289"/>
  <c r="G160" i="289"/>
  <c r="H160" i="289"/>
  <c r="I160" i="289"/>
  <c r="J160" i="289"/>
  <c r="K160" i="289"/>
  <c r="L160" i="289"/>
  <c r="M160" i="289"/>
  <c r="N160" i="289"/>
  <c r="O160" i="289"/>
  <c r="P160" i="289"/>
  <c r="Q160" i="289"/>
  <c r="R160" i="289"/>
  <c r="S160" i="289"/>
  <c r="T160" i="289"/>
  <c r="U160" i="289"/>
  <c r="V160" i="289"/>
  <c r="W160" i="289"/>
  <c r="AC160" i="289"/>
  <c r="AF160" i="289" s="1"/>
  <c r="AD160" i="289"/>
  <c r="AE160" i="289"/>
  <c r="AG160" i="289"/>
  <c r="AK160" i="289"/>
  <c r="AL160" i="289"/>
  <c r="AM160" i="289"/>
  <c r="AN160" i="289"/>
  <c r="AP160" i="289"/>
  <c r="AQ160" i="289"/>
  <c r="AR160" i="289" s="1"/>
  <c r="AT160" i="289"/>
  <c r="AU160" i="289"/>
  <c r="AW160" i="289" s="1"/>
  <c r="G161" i="289"/>
  <c r="H161" i="289"/>
  <c r="I161" i="289"/>
  <c r="J161" i="289"/>
  <c r="K161" i="289"/>
  <c r="L161" i="289"/>
  <c r="M161" i="289"/>
  <c r="N161" i="289"/>
  <c r="O161" i="289"/>
  <c r="P161" i="289"/>
  <c r="Q161" i="289"/>
  <c r="R161" i="289"/>
  <c r="S161" i="289"/>
  <c r="T161" i="289"/>
  <c r="U161" i="289"/>
  <c r="V161" i="289"/>
  <c r="W161" i="289"/>
  <c r="Z161" i="289"/>
  <c r="AC161" i="289"/>
  <c r="AD161" i="289"/>
  <c r="AF161" i="289" s="1"/>
  <c r="AG161" i="289" s="1"/>
  <c r="AE161" i="289"/>
  <c r="AK161" i="289"/>
  <c r="AL161" i="289"/>
  <c r="AM161" i="289"/>
  <c r="AQ161" i="289" s="1"/>
  <c r="AN161" i="289"/>
  <c r="AP161" i="289"/>
  <c r="AR161" i="289"/>
  <c r="AT161" i="289"/>
  <c r="AU161" i="289"/>
  <c r="AV161" i="289"/>
  <c r="AW161" i="289"/>
  <c r="G162" i="289"/>
  <c r="H162" i="289"/>
  <c r="I162" i="289"/>
  <c r="J162" i="289"/>
  <c r="K162" i="289"/>
  <c r="L162" i="289"/>
  <c r="M162" i="289"/>
  <c r="N162" i="289"/>
  <c r="O162" i="289"/>
  <c r="P162" i="289"/>
  <c r="Q162" i="289"/>
  <c r="R162" i="289"/>
  <c r="S162" i="289"/>
  <c r="T162" i="289"/>
  <c r="U162" i="289"/>
  <c r="V162" i="289"/>
  <c r="W162" i="289"/>
  <c r="Z162" i="289"/>
  <c r="AC162" i="289"/>
  <c r="AF162" i="289" s="1"/>
  <c r="AG162" i="289" s="1"/>
  <c r="AD162" i="289"/>
  <c r="AE162" i="289"/>
  <c r="AK162" i="289"/>
  <c r="AL162" i="289"/>
  <c r="AM162" i="289"/>
  <c r="AN162" i="289"/>
  <c r="AQ162" i="289" s="1"/>
  <c r="AR162" i="289" s="1"/>
  <c r="AP162" i="289"/>
  <c r="AT162" i="289"/>
  <c r="AU162" i="289"/>
  <c r="G163" i="289"/>
  <c r="H163" i="289"/>
  <c r="I163" i="289"/>
  <c r="J163" i="289"/>
  <c r="K163" i="289"/>
  <c r="L163" i="289"/>
  <c r="M163" i="289"/>
  <c r="N163" i="289"/>
  <c r="O163" i="289"/>
  <c r="P163" i="289"/>
  <c r="Q163" i="289"/>
  <c r="R163" i="289"/>
  <c r="S163" i="289"/>
  <c r="T163" i="289"/>
  <c r="U163" i="289"/>
  <c r="V163" i="289"/>
  <c r="W163" i="289"/>
  <c r="AC163" i="289"/>
  <c r="AD163" i="289"/>
  <c r="AE163" i="289"/>
  <c r="AF163" i="289"/>
  <c r="AG163" i="289" s="1"/>
  <c r="AK163" i="289"/>
  <c r="AL163" i="289"/>
  <c r="AM163" i="289"/>
  <c r="AQ163" i="289" s="1"/>
  <c r="AR163" i="289" s="1"/>
  <c r="AN163" i="289"/>
  <c r="AP163" i="289"/>
  <c r="AT163" i="289"/>
  <c r="AU163" i="289"/>
  <c r="AV163" i="289"/>
  <c r="AW163" i="289"/>
  <c r="G164" i="289"/>
  <c r="H164" i="289"/>
  <c r="I164" i="289"/>
  <c r="J164" i="289"/>
  <c r="K164" i="289"/>
  <c r="L164" i="289"/>
  <c r="M164" i="289"/>
  <c r="N164" i="289"/>
  <c r="O164" i="289"/>
  <c r="P164" i="289"/>
  <c r="Q164" i="289"/>
  <c r="R164" i="289"/>
  <c r="S164" i="289"/>
  <c r="T164" i="289"/>
  <c r="U164" i="289"/>
  <c r="V164" i="289"/>
  <c r="W164" i="289"/>
  <c r="AC164" i="289"/>
  <c r="AF164" i="289" s="1"/>
  <c r="AD164" i="289"/>
  <c r="AE164" i="289"/>
  <c r="AG164" i="289"/>
  <c r="AK164" i="289"/>
  <c r="AL164" i="289"/>
  <c r="AM164" i="289"/>
  <c r="AN164" i="289"/>
  <c r="AP164" i="289"/>
  <c r="AQ164" i="289"/>
  <c r="AR164" i="289" s="1"/>
  <c r="AT164" i="289"/>
  <c r="AU164" i="289"/>
  <c r="AW164" i="289" s="1"/>
  <c r="G165" i="289"/>
  <c r="H165" i="289"/>
  <c r="I165" i="289"/>
  <c r="J165" i="289"/>
  <c r="K165" i="289"/>
  <c r="L165" i="289"/>
  <c r="M165" i="289"/>
  <c r="N165" i="289"/>
  <c r="O165" i="289"/>
  <c r="P165" i="289"/>
  <c r="Q165" i="289"/>
  <c r="R165" i="289"/>
  <c r="S165" i="289"/>
  <c r="T165" i="289"/>
  <c r="U165" i="289"/>
  <c r="V165" i="289"/>
  <c r="W165" i="289"/>
  <c r="Z165" i="289"/>
  <c r="AC165" i="289"/>
  <c r="AD165" i="289"/>
  <c r="AF165" i="289" s="1"/>
  <c r="AG165" i="289" s="1"/>
  <c r="AE165" i="289"/>
  <c r="AK165" i="289"/>
  <c r="AL165" i="289"/>
  <c r="AM165" i="289"/>
  <c r="AQ165" i="289" s="1"/>
  <c r="AN165" i="289"/>
  <c r="AP165" i="289"/>
  <c r="AR165" i="289"/>
  <c r="AT165" i="289"/>
  <c r="AU165" i="289"/>
  <c r="AV165" i="289"/>
  <c r="AW165" i="289"/>
  <c r="G166" i="289"/>
  <c r="H166" i="289"/>
  <c r="I166" i="289"/>
  <c r="J166" i="289"/>
  <c r="K166" i="289"/>
  <c r="L166" i="289"/>
  <c r="M166" i="289"/>
  <c r="N166" i="289"/>
  <c r="O166" i="289"/>
  <c r="P166" i="289"/>
  <c r="Q166" i="289"/>
  <c r="R166" i="289"/>
  <c r="S166" i="289"/>
  <c r="T166" i="289"/>
  <c r="U166" i="289"/>
  <c r="V166" i="289"/>
  <c r="W166" i="289"/>
  <c r="Z166" i="289"/>
  <c r="AC166" i="289"/>
  <c r="AF166" i="289" s="1"/>
  <c r="AG166" i="289" s="1"/>
  <c r="AD166" i="289"/>
  <c r="AE166" i="289"/>
  <c r="AK166" i="289"/>
  <c r="AL166" i="289"/>
  <c r="AM166" i="289"/>
  <c r="AN166" i="289"/>
  <c r="AQ166" i="289" s="1"/>
  <c r="AR166" i="289" s="1"/>
  <c r="AP166" i="289"/>
  <c r="AT166" i="289"/>
  <c r="AU166" i="289"/>
  <c r="G167" i="289"/>
  <c r="H167" i="289"/>
  <c r="I167" i="289"/>
  <c r="J167" i="289"/>
  <c r="K167" i="289"/>
  <c r="L167" i="289"/>
  <c r="M167" i="289"/>
  <c r="N167" i="289"/>
  <c r="O167" i="289"/>
  <c r="P167" i="289"/>
  <c r="Q167" i="289"/>
  <c r="R167" i="289"/>
  <c r="S167" i="289"/>
  <c r="T167" i="289"/>
  <c r="U167" i="289"/>
  <c r="V167" i="289"/>
  <c r="W167" i="289"/>
  <c r="AC167" i="289"/>
  <c r="AD167" i="289"/>
  <c r="AE167" i="289"/>
  <c r="AF167" i="289"/>
  <c r="AG167" i="289" s="1"/>
  <c r="AK167" i="289"/>
  <c r="AL167" i="289"/>
  <c r="AM167" i="289"/>
  <c r="AQ167" i="289" s="1"/>
  <c r="AR167" i="289" s="1"/>
  <c r="AN167" i="289"/>
  <c r="AP167" i="289"/>
  <c r="AT167" i="289"/>
  <c r="AU167" i="289"/>
  <c r="AV167" i="289"/>
  <c r="AW167" i="289"/>
  <c r="G168" i="289"/>
  <c r="H168" i="289"/>
  <c r="I168" i="289"/>
  <c r="J168" i="289"/>
  <c r="K168" i="289"/>
  <c r="L168" i="289"/>
  <c r="M168" i="289"/>
  <c r="N168" i="289"/>
  <c r="O168" i="289"/>
  <c r="P168" i="289"/>
  <c r="Q168" i="289"/>
  <c r="R168" i="289"/>
  <c r="S168" i="289"/>
  <c r="T168" i="289"/>
  <c r="U168" i="289"/>
  <c r="V168" i="289"/>
  <c r="W168" i="289"/>
  <c r="AC168" i="289"/>
  <c r="AF168" i="289" s="1"/>
  <c r="AD168" i="289"/>
  <c r="AE168" i="289"/>
  <c r="AG168" i="289"/>
  <c r="AK168" i="289"/>
  <c r="AL168" i="289"/>
  <c r="AM168" i="289"/>
  <c r="AN168" i="289"/>
  <c r="AP168" i="289"/>
  <c r="AQ168" i="289"/>
  <c r="AR168" i="289" s="1"/>
  <c r="AT168" i="289"/>
  <c r="AU168" i="289"/>
  <c r="AW168" i="289" s="1"/>
  <c r="G169" i="289"/>
  <c r="H169" i="289"/>
  <c r="I169" i="289"/>
  <c r="J169" i="289"/>
  <c r="K169" i="289"/>
  <c r="L169" i="289"/>
  <c r="M169" i="289"/>
  <c r="N169" i="289"/>
  <c r="O169" i="289"/>
  <c r="P169" i="289"/>
  <c r="Q169" i="289"/>
  <c r="R169" i="289"/>
  <c r="S169" i="289"/>
  <c r="T169" i="289"/>
  <c r="U169" i="289"/>
  <c r="V169" i="289"/>
  <c r="W169" i="289"/>
  <c r="Z169" i="289"/>
  <c r="AC169" i="289"/>
  <c r="AD169" i="289"/>
  <c r="AF169" i="289" s="1"/>
  <c r="AG169" i="289" s="1"/>
  <c r="AE169" i="289"/>
  <c r="AK169" i="289"/>
  <c r="AL169" i="289"/>
  <c r="AM169" i="289"/>
  <c r="AQ169" i="289" s="1"/>
  <c r="AN169" i="289"/>
  <c r="AP169" i="289"/>
  <c r="AR169" i="289"/>
  <c r="AT169" i="289"/>
  <c r="AU169" i="289"/>
  <c r="AV169" i="289"/>
  <c r="AW169" i="289"/>
  <c r="G170" i="289"/>
  <c r="H170" i="289"/>
  <c r="I170" i="289"/>
  <c r="J170" i="289"/>
  <c r="K170" i="289"/>
  <c r="L170" i="289"/>
  <c r="M170" i="289"/>
  <c r="N170" i="289"/>
  <c r="O170" i="289"/>
  <c r="P170" i="289"/>
  <c r="Q170" i="289"/>
  <c r="R170" i="289"/>
  <c r="S170" i="289"/>
  <c r="T170" i="289"/>
  <c r="U170" i="289"/>
  <c r="V170" i="289"/>
  <c r="W170" i="289"/>
  <c r="Z170" i="289"/>
  <c r="AC170" i="289"/>
  <c r="AF170" i="289" s="1"/>
  <c r="AG170" i="289" s="1"/>
  <c r="AD170" i="289"/>
  <c r="AE170" i="289"/>
  <c r="AK170" i="289"/>
  <c r="AL170" i="289"/>
  <c r="AM170" i="289"/>
  <c r="AN170" i="289"/>
  <c r="AQ170" i="289" s="1"/>
  <c r="AR170" i="289" s="1"/>
  <c r="AP170" i="289"/>
  <c r="AT170" i="289"/>
  <c r="AU170" i="289"/>
  <c r="G171" i="289"/>
  <c r="H171" i="289"/>
  <c r="I171" i="289"/>
  <c r="J171" i="289"/>
  <c r="K171" i="289"/>
  <c r="L171" i="289"/>
  <c r="M171" i="289"/>
  <c r="N171" i="289"/>
  <c r="O171" i="289"/>
  <c r="P171" i="289"/>
  <c r="Q171" i="289"/>
  <c r="R171" i="289"/>
  <c r="S171" i="289"/>
  <c r="T171" i="289"/>
  <c r="U171" i="289"/>
  <c r="V171" i="289"/>
  <c r="W171" i="289"/>
  <c r="AC171" i="289"/>
  <c r="AD171" i="289"/>
  <c r="AE171" i="289"/>
  <c r="AF171" i="289"/>
  <c r="AG171" i="289" s="1"/>
  <c r="AK171" i="289"/>
  <c r="AL171" i="289"/>
  <c r="AM171" i="289"/>
  <c r="AQ171" i="289" s="1"/>
  <c r="AR171" i="289" s="1"/>
  <c r="AN171" i="289"/>
  <c r="AP171" i="289"/>
  <c r="AT171" i="289"/>
  <c r="AU171" i="289"/>
  <c r="AV171" i="289"/>
  <c r="AW171" i="289"/>
  <c r="G172" i="289"/>
  <c r="H172" i="289"/>
  <c r="I172" i="289"/>
  <c r="J172" i="289"/>
  <c r="K172" i="289"/>
  <c r="L172" i="289"/>
  <c r="M172" i="289"/>
  <c r="N172" i="289"/>
  <c r="O172" i="289"/>
  <c r="P172" i="289"/>
  <c r="Q172" i="289"/>
  <c r="R172" i="289"/>
  <c r="S172" i="289"/>
  <c r="T172" i="289"/>
  <c r="U172" i="289"/>
  <c r="V172" i="289"/>
  <c r="W172" i="289"/>
  <c r="AC172" i="289"/>
  <c r="AF172" i="289" s="1"/>
  <c r="AD172" i="289"/>
  <c r="AE172" i="289"/>
  <c r="AG172" i="289"/>
  <c r="AK172" i="289"/>
  <c r="AL172" i="289"/>
  <c r="AM172" i="289"/>
  <c r="AN172" i="289"/>
  <c r="AP172" i="289"/>
  <c r="AQ172" i="289"/>
  <c r="AR172" i="289" s="1"/>
  <c r="AT172" i="289"/>
  <c r="AU172" i="289"/>
  <c r="AW172" i="289" s="1"/>
  <c r="G173" i="289"/>
  <c r="H173" i="289"/>
  <c r="I173" i="289"/>
  <c r="J173" i="289"/>
  <c r="K173" i="289"/>
  <c r="L173" i="289"/>
  <c r="M173" i="289"/>
  <c r="N173" i="289"/>
  <c r="O173" i="289"/>
  <c r="P173" i="289"/>
  <c r="Q173" i="289"/>
  <c r="R173" i="289"/>
  <c r="S173" i="289"/>
  <c r="T173" i="289"/>
  <c r="U173" i="289"/>
  <c r="V173" i="289"/>
  <c r="W173" i="289"/>
  <c r="Z173" i="289"/>
  <c r="AC173" i="289"/>
  <c r="AD173" i="289"/>
  <c r="AF173" i="289" s="1"/>
  <c r="AG173" i="289" s="1"/>
  <c r="AE173" i="289"/>
  <c r="AK173" i="289"/>
  <c r="AL173" i="289"/>
  <c r="AM173" i="289"/>
  <c r="AQ173" i="289" s="1"/>
  <c r="AN173" i="289"/>
  <c r="AP173" i="289"/>
  <c r="AR173" i="289"/>
  <c r="AT173" i="289"/>
  <c r="AU173" i="289"/>
  <c r="AV173" i="289"/>
  <c r="AW173" i="289"/>
  <c r="G174" i="289"/>
  <c r="H174" i="289"/>
  <c r="I174" i="289"/>
  <c r="J174" i="289"/>
  <c r="K174" i="289"/>
  <c r="L174" i="289"/>
  <c r="M174" i="289"/>
  <c r="N174" i="289"/>
  <c r="O174" i="289"/>
  <c r="P174" i="289"/>
  <c r="Q174" i="289"/>
  <c r="R174" i="289"/>
  <c r="S174" i="289"/>
  <c r="T174" i="289"/>
  <c r="U174" i="289"/>
  <c r="V174" i="289"/>
  <c r="W174" i="289"/>
  <c r="Z174" i="289"/>
  <c r="AC174" i="289"/>
  <c r="AF174" i="289" s="1"/>
  <c r="AG174" i="289" s="1"/>
  <c r="AD174" i="289"/>
  <c r="AE174" i="289"/>
  <c r="AK174" i="289"/>
  <c r="AL174" i="289"/>
  <c r="AM174" i="289"/>
  <c r="AN174" i="289"/>
  <c r="AQ174" i="289" s="1"/>
  <c r="AR174" i="289" s="1"/>
  <c r="AP174" i="289"/>
  <c r="AT174" i="289"/>
  <c r="AU174" i="289"/>
  <c r="G175" i="289"/>
  <c r="H175" i="289"/>
  <c r="I175" i="289"/>
  <c r="J175" i="289"/>
  <c r="K175" i="289"/>
  <c r="L175" i="289"/>
  <c r="M175" i="289"/>
  <c r="N175" i="289"/>
  <c r="O175" i="289"/>
  <c r="P175" i="289"/>
  <c r="Q175" i="289"/>
  <c r="R175" i="289"/>
  <c r="S175" i="289"/>
  <c r="T175" i="289"/>
  <c r="U175" i="289"/>
  <c r="V175" i="289"/>
  <c r="W175" i="289"/>
  <c r="AC175" i="289"/>
  <c r="AD175" i="289"/>
  <c r="AE175" i="289"/>
  <c r="AF175" i="289"/>
  <c r="AG175" i="289" s="1"/>
  <c r="AK175" i="289"/>
  <c r="AL175" i="289"/>
  <c r="AM175" i="289"/>
  <c r="AQ175" i="289" s="1"/>
  <c r="AR175" i="289" s="1"/>
  <c r="AN175" i="289"/>
  <c r="AP175" i="289"/>
  <c r="AT175" i="289"/>
  <c r="AU175" i="289"/>
  <c r="AV175" i="289"/>
  <c r="AW175" i="289"/>
  <c r="G176" i="289"/>
  <c r="H176" i="289"/>
  <c r="I176" i="289"/>
  <c r="J176" i="289"/>
  <c r="K176" i="289"/>
  <c r="L176" i="289"/>
  <c r="M176" i="289"/>
  <c r="N176" i="289"/>
  <c r="O176" i="289"/>
  <c r="P176" i="289"/>
  <c r="Q176" i="289"/>
  <c r="R176" i="289"/>
  <c r="S176" i="289"/>
  <c r="T176" i="289"/>
  <c r="U176" i="289"/>
  <c r="V176" i="289"/>
  <c r="W176" i="289"/>
  <c r="AC176" i="289"/>
  <c r="AF176" i="289" s="1"/>
  <c r="AD176" i="289"/>
  <c r="AE176" i="289"/>
  <c r="AG176" i="289"/>
  <c r="AK176" i="289"/>
  <c r="AL176" i="289"/>
  <c r="AM176" i="289"/>
  <c r="AN176" i="289"/>
  <c r="AP176" i="289"/>
  <c r="AQ176" i="289"/>
  <c r="AR176" i="289" s="1"/>
  <c r="AT176" i="289"/>
  <c r="AU176" i="289"/>
  <c r="AW176" i="289" s="1"/>
  <c r="O178" i="289"/>
  <c r="X178" i="289"/>
  <c r="Y178" i="289"/>
  <c r="AD178" i="289"/>
  <c r="AY178" i="289"/>
  <c r="AZ178" i="289"/>
  <c r="BA178" i="289"/>
  <c r="BE178" i="289"/>
  <c r="AB9" i="288"/>
  <c r="D10" i="288"/>
  <c r="E10" i="288"/>
  <c r="F10" i="288"/>
  <c r="G10" i="288"/>
  <c r="H10" i="288"/>
  <c r="I10" i="288"/>
  <c r="J10" i="288"/>
  <c r="K10" i="288"/>
  <c r="L10" i="288"/>
  <c r="M10" i="288"/>
  <c r="N10" i="288"/>
  <c r="O10" i="288"/>
  <c r="P10" i="288"/>
  <c r="Q10" i="288"/>
  <c r="R10" i="288"/>
  <c r="S10" i="288"/>
  <c r="T10" i="288"/>
  <c r="U10" i="288"/>
  <c r="V10" i="288"/>
  <c r="W10" i="288"/>
  <c r="AC10" i="288"/>
  <c r="AD10" i="288"/>
  <c r="AE10" i="288"/>
  <c r="AF10" i="288" s="1"/>
  <c r="AJ10" i="288"/>
  <c r="AM10" i="288" s="1"/>
  <c r="AP10" i="288" s="1"/>
  <c r="AK10" i="288"/>
  <c r="AL10" i="288"/>
  <c r="AN10" i="288"/>
  <c r="AR10" i="288"/>
  <c r="AV10" i="288"/>
  <c r="D11" i="288"/>
  <c r="E11" i="288"/>
  <c r="F11" i="288"/>
  <c r="G11" i="288"/>
  <c r="H11" i="288"/>
  <c r="I11" i="288"/>
  <c r="J11" i="288"/>
  <c r="K11" i="288"/>
  <c r="L11" i="288"/>
  <c r="M11" i="288"/>
  <c r="N11" i="288"/>
  <c r="O11" i="288"/>
  <c r="P11" i="288"/>
  <c r="Q11" i="288"/>
  <c r="R11" i="288"/>
  <c r="S11" i="288"/>
  <c r="T11" i="288"/>
  <c r="U11" i="288"/>
  <c r="V11" i="288"/>
  <c r="W11" i="288"/>
  <c r="AC11" i="288"/>
  <c r="AD11" i="288"/>
  <c r="AE11" i="288" s="1"/>
  <c r="AF11" i="288" s="1"/>
  <c r="AJ11" i="288"/>
  <c r="AK11" i="288"/>
  <c r="AL11" i="288"/>
  <c r="AM11" i="288"/>
  <c r="AP11" i="288" s="1"/>
  <c r="AR11" i="288"/>
  <c r="AV11" i="288"/>
  <c r="D12" i="288"/>
  <c r="E12" i="288"/>
  <c r="F12" i="288"/>
  <c r="G12" i="288"/>
  <c r="H12" i="288"/>
  <c r="I12" i="288"/>
  <c r="J12" i="288"/>
  <c r="K12" i="288"/>
  <c r="L12" i="288"/>
  <c r="M12" i="288"/>
  <c r="N12" i="288"/>
  <c r="O12" i="288"/>
  <c r="P12" i="288"/>
  <c r="Q12" i="288"/>
  <c r="R12" i="288"/>
  <c r="S12" i="288"/>
  <c r="T12" i="288"/>
  <c r="U12" i="288"/>
  <c r="V12" i="288"/>
  <c r="W12" i="288"/>
  <c r="Z12" i="288"/>
  <c r="AC12" i="288"/>
  <c r="AD12" i="288"/>
  <c r="AE12" i="288"/>
  <c r="AF12" i="288" s="1"/>
  <c r="AJ12" i="288"/>
  <c r="AK12" i="288"/>
  <c r="AL12" i="288"/>
  <c r="AM12" i="288" s="1"/>
  <c r="AN12" i="288" s="1"/>
  <c r="AR12" i="288"/>
  <c r="AV12" i="288"/>
  <c r="D13" i="288"/>
  <c r="E13" i="288"/>
  <c r="F13" i="288"/>
  <c r="G13" i="288"/>
  <c r="H13" i="288"/>
  <c r="I13" i="288"/>
  <c r="J13" i="288"/>
  <c r="K13" i="288"/>
  <c r="L13" i="288"/>
  <c r="M13" i="288"/>
  <c r="N13" i="288"/>
  <c r="O13" i="288"/>
  <c r="P13" i="288"/>
  <c r="Q13" i="288"/>
  <c r="R13" i="288"/>
  <c r="S13" i="288"/>
  <c r="T13" i="288"/>
  <c r="U13" i="288"/>
  <c r="V13" i="288"/>
  <c r="W13" i="288"/>
  <c r="AC13" i="288"/>
  <c r="AE13" i="288" s="1"/>
  <c r="AF13" i="288" s="1"/>
  <c r="AD13" i="288"/>
  <c r="AJ13" i="288"/>
  <c r="AK13" i="288"/>
  <c r="AL13" i="288"/>
  <c r="AR13" i="288"/>
  <c r="AV13" i="288"/>
  <c r="D14" i="288"/>
  <c r="E14" i="288"/>
  <c r="F14" i="288"/>
  <c r="G14" i="288"/>
  <c r="H14" i="288"/>
  <c r="I14" i="288"/>
  <c r="J14" i="288"/>
  <c r="K14" i="288"/>
  <c r="L14" i="288"/>
  <c r="M14" i="288"/>
  <c r="N14" i="288"/>
  <c r="O14" i="288"/>
  <c r="P14" i="288"/>
  <c r="Q14" i="288"/>
  <c r="R14" i="288"/>
  <c r="S14" i="288"/>
  <c r="T14" i="288"/>
  <c r="U14" i="288"/>
  <c r="V14" i="288"/>
  <c r="W14" i="288"/>
  <c r="AC14" i="288"/>
  <c r="AE14" i="288" s="1"/>
  <c r="AF14" i="288" s="1"/>
  <c r="AD14" i="288"/>
  <c r="AJ14" i="288"/>
  <c r="AM14" i="288" s="1"/>
  <c r="AK14" i="288"/>
  <c r="AL14" i="288"/>
  <c r="AR14" i="288"/>
  <c r="AV14" i="288"/>
  <c r="D15" i="288"/>
  <c r="E15" i="288"/>
  <c r="F15" i="288"/>
  <c r="G15" i="288"/>
  <c r="H15" i="288"/>
  <c r="I15" i="288"/>
  <c r="J15" i="288"/>
  <c r="K15" i="288"/>
  <c r="L15" i="288"/>
  <c r="M15" i="288"/>
  <c r="N15" i="288"/>
  <c r="O15" i="288"/>
  <c r="P15" i="288"/>
  <c r="Q15" i="288"/>
  <c r="R15" i="288"/>
  <c r="S15" i="288"/>
  <c r="T15" i="288"/>
  <c r="U15" i="288"/>
  <c r="V15" i="288"/>
  <c r="W15" i="288"/>
  <c r="Z15" i="288"/>
  <c r="AC15" i="288"/>
  <c r="AD15" i="288"/>
  <c r="AE15" i="288" s="1"/>
  <c r="AF15" i="288" s="1"/>
  <c r="AJ15" i="288"/>
  <c r="AK15" i="288"/>
  <c r="AL15" i="288"/>
  <c r="AM15" i="288"/>
  <c r="AR15" i="288"/>
  <c r="AV15" i="288"/>
  <c r="D16" i="288"/>
  <c r="E16" i="288"/>
  <c r="F16" i="288"/>
  <c r="G16" i="288"/>
  <c r="H16" i="288"/>
  <c r="I16" i="288"/>
  <c r="J16" i="288"/>
  <c r="K16" i="288"/>
  <c r="L16" i="288"/>
  <c r="M16" i="288"/>
  <c r="N16" i="288"/>
  <c r="O16" i="288"/>
  <c r="P16" i="288"/>
  <c r="Q16" i="288"/>
  <c r="R16" i="288"/>
  <c r="S16" i="288"/>
  <c r="T16" i="288"/>
  <c r="U16" i="288"/>
  <c r="V16" i="288"/>
  <c r="W16" i="288"/>
  <c r="Z16" i="288"/>
  <c r="AB16" i="288" s="1"/>
  <c r="AC16" i="288"/>
  <c r="AE16" i="288" s="1"/>
  <c r="AF16" i="288" s="1"/>
  <c r="AD16" i="288"/>
  <c r="AJ16" i="288"/>
  <c r="AK16" i="288"/>
  <c r="AM16" i="288" s="1"/>
  <c r="AL16" i="288"/>
  <c r="AR16" i="288"/>
  <c r="AV16" i="288"/>
  <c r="D17" i="288"/>
  <c r="E17" i="288"/>
  <c r="F17" i="288"/>
  <c r="G17" i="288"/>
  <c r="H17" i="288"/>
  <c r="I17" i="288"/>
  <c r="J17" i="288"/>
  <c r="K17" i="288"/>
  <c r="L17" i="288"/>
  <c r="M17" i="288"/>
  <c r="N17" i="288"/>
  <c r="O17" i="288"/>
  <c r="P17" i="288"/>
  <c r="Q17" i="288"/>
  <c r="R17" i="288"/>
  <c r="S17" i="288"/>
  <c r="T17" i="288"/>
  <c r="U17" i="288"/>
  <c r="V17" i="288"/>
  <c r="W17" i="288"/>
  <c r="Z17" i="288"/>
  <c r="AC17" i="288"/>
  <c r="AE17" i="288" s="1"/>
  <c r="AD17" i="288"/>
  <c r="AF17" i="288"/>
  <c r="AJ17" i="288"/>
  <c r="AK17" i="288"/>
  <c r="AL17" i="288"/>
  <c r="AR17" i="288"/>
  <c r="AV17" i="288"/>
  <c r="D18" i="288"/>
  <c r="E18" i="288"/>
  <c r="F18" i="288"/>
  <c r="G18" i="288"/>
  <c r="H18" i="288"/>
  <c r="I18" i="288"/>
  <c r="J18" i="288"/>
  <c r="K18" i="288"/>
  <c r="L18" i="288"/>
  <c r="M18" i="288"/>
  <c r="N18" i="288"/>
  <c r="O18" i="288"/>
  <c r="P18" i="288"/>
  <c r="Q18" i="288"/>
  <c r="R18" i="288"/>
  <c r="S18" i="288"/>
  <c r="T18" i="288"/>
  <c r="U18" i="288"/>
  <c r="V18" i="288"/>
  <c r="W18" i="288"/>
  <c r="AC18" i="288"/>
  <c r="AD18" i="288"/>
  <c r="AE18" i="288"/>
  <c r="AF18" i="288" s="1"/>
  <c r="AJ18" i="288"/>
  <c r="AM18" i="288" s="1"/>
  <c r="AP18" i="288" s="1"/>
  <c r="AK18" i="288"/>
  <c r="AL18" i="288"/>
  <c r="AR18" i="288"/>
  <c r="AV18" i="288"/>
  <c r="D19" i="288"/>
  <c r="E19" i="288"/>
  <c r="F19" i="288"/>
  <c r="G19" i="288"/>
  <c r="H19" i="288"/>
  <c r="I19" i="288"/>
  <c r="J19" i="288"/>
  <c r="K19" i="288"/>
  <c r="L19" i="288"/>
  <c r="M19" i="288"/>
  <c r="N19" i="288"/>
  <c r="O19" i="288"/>
  <c r="P19" i="288"/>
  <c r="Q19" i="288"/>
  <c r="R19" i="288"/>
  <c r="S19" i="288"/>
  <c r="T19" i="288"/>
  <c r="U19" i="288"/>
  <c r="V19" i="288"/>
  <c r="W19" i="288"/>
  <c r="AC19" i="288"/>
  <c r="AD19" i="288"/>
  <c r="AE19" i="288" s="1"/>
  <c r="AF19" i="288" s="1"/>
  <c r="AJ19" i="288"/>
  <c r="AK19" i="288"/>
  <c r="AL19" i="288"/>
  <c r="AM19" i="288"/>
  <c r="AP19" i="288" s="1"/>
  <c r="AR19" i="288"/>
  <c r="AV19" i="288"/>
  <c r="D20" i="288"/>
  <c r="E20" i="288"/>
  <c r="F20" i="288"/>
  <c r="G20" i="288"/>
  <c r="H20" i="288"/>
  <c r="I20" i="288"/>
  <c r="J20" i="288"/>
  <c r="K20" i="288"/>
  <c r="L20" i="288"/>
  <c r="M20" i="288"/>
  <c r="N20" i="288"/>
  <c r="O20" i="288"/>
  <c r="P20" i="288"/>
  <c r="Q20" i="288"/>
  <c r="R20" i="288"/>
  <c r="S20" i="288"/>
  <c r="T20" i="288"/>
  <c r="U20" i="288"/>
  <c r="V20" i="288"/>
  <c r="W20" i="288"/>
  <c r="Z20" i="288"/>
  <c r="AC20" i="288"/>
  <c r="AD20" i="288"/>
  <c r="AE20" i="288"/>
  <c r="AF20" i="288" s="1"/>
  <c r="AJ20" i="288"/>
  <c r="AK20" i="288"/>
  <c r="AL20" i="288"/>
  <c r="AM20" i="288" s="1"/>
  <c r="AN20" i="288" s="1"/>
  <c r="AR20" i="288"/>
  <c r="AV20" i="288"/>
  <c r="D21" i="288"/>
  <c r="E21" i="288"/>
  <c r="F21" i="288"/>
  <c r="G21" i="288"/>
  <c r="H21" i="288"/>
  <c r="I21" i="288"/>
  <c r="J21" i="288"/>
  <c r="K21" i="288"/>
  <c r="L21" i="288"/>
  <c r="M21" i="288"/>
  <c r="N21" i="288"/>
  <c r="O21" i="288"/>
  <c r="P21" i="288"/>
  <c r="Q21" i="288"/>
  <c r="R21" i="288"/>
  <c r="S21" i="288"/>
  <c r="T21" i="288"/>
  <c r="U21" i="288"/>
  <c r="V21" i="288"/>
  <c r="W21" i="288"/>
  <c r="AC21" i="288"/>
  <c r="AE21" i="288" s="1"/>
  <c r="AF21" i="288" s="1"/>
  <c r="AD21" i="288"/>
  <c r="AJ21" i="288"/>
  <c r="AK21" i="288"/>
  <c r="AL21" i="288"/>
  <c r="AR21" i="288"/>
  <c r="AV21" i="288"/>
  <c r="D22" i="288"/>
  <c r="E22" i="288"/>
  <c r="F22" i="288"/>
  <c r="G22" i="288"/>
  <c r="H22" i="288"/>
  <c r="I22" i="288"/>
  <c r="J22" i="288"/>
  <c r="K22" i="288"/>
  <c r="L22" i="288"/>
  <c r="M22" i="288"/>
  <c r="N22" i="288"/>
  <c r="O22" i="288"/>
  <c r="P22" i="288"/>
  <c r="Q22" i="288"/>
  <c r="R22" i="288"/>
  <c r="S22" i="288"/>
  <c r="T22" i="288"/>
  <c r="U22" i="288"/>
  <c r="V22" i="288"/>
  <c r="W22" i="288"/>
  <c r="AC22" i="288"/>
  <c r="AE22" i="288" s="1"/>
  <c r="AF22" i="288" s="1"/>
  <c r="AD22" i="288"/>
  <c r="AJ22" i="288"/>
  <c r="AM22" i="288" s="1"/>
  <c r="AK22" i="288"/>
  <c r="AL22" i="288"/>
  <c r="AR22" i="288"/>
  <c r="AV22" i="288"/>
  <c r="D23" i="288"/>
  <c r="E23" i="288"/>
  <c r="F23" i="288"/>
  <c r="G23" i="288"/>
  <c r="H23" i="288"/>
  <c r="I23" i="288"/>
  <c r="J23" i="288"/>
  <c r="K23" i="288"/>
  <c r="L23" i="288"/>
  <c r="M23" i="288"/>
  <c r="N23" i="288"/>
  <c r="O23" i="288"/>
  <c r="P23" i="288"/>
  <c r="Q23" i="288"/>
  <c r="R23" i="288"/>
  <c r="S23" i="288"/>
  <c r="T23" i="288"/>
  <c r="U23" i="288"/>
  <c r="V23" i="288"/>
  <c r="W23" i="288"/>
  <c r="Z23" i="288"/>
  <c r="AC23" i="288"/>
  <c r="AD23" i="288"/>
  <c r="AE23" i="288" s="1"/>
  <c r="AF23" i="288" s="1"/>
  <c r="AJ23" i="288"/>
  <c r="AK23" i="288"/>
  <c r="AL23" i="288"/>
  <c r="AM23" i="288"/>
  <c r="AR23" i="288"/>
  <c r="AV23" i="288"/>
  <c r="D24" i="288"/>
  <c r="E24" i="288"/>
  <c r="F24" i="288"/>
  <c r="G24" i="288"/>
  <c r="H24" i="288"/>
  <c r="I24" i="288"/>
  <c r="J24" i="288"/>
  <c r="K24" i="288"/>
  <c r="L24" i="288"/>
  <c r="M24" i="288"/>
  <c r="N24" i="288"/>
  <c r="O24" i="288"/>
  <c r="P24" i="288"/>
  <c r="Q24" i="288"/>
  <c r="R24" i="288"/>
  <c r="S24" i="288"/>
  <c r="T24" i="288"/>
  <c r="U24" i="288"/>
  <c r="V24" i="288"/>
  <c r="W24" i="288"/>
  <c r="Z24" i="288"/>
  <c r="AB24" i="288" s="1"/>
  <c r="AC24" i="288"/>
  <c r="AE24" i="288" s="1"/>
  <c r="AF24" i="288" s="1"/>
  <c r="AD24" i="288"/>
  <c r="AJ24" i="288"/>
  <c r="AK24" i="288"/>
  <c r="AM24" i="288" s="1"/>
  <c r="AL24" i="288"/>
  <c r="AR24" i="288"/>
  <c r="AV24" i="288"/>
  <c r="D25" i="288"/>
  <c r="E25" i="288"/>
  <c r="F25" i="288"/>
  <c r="G25" i="288"/>
  <c r="H25" i="288"/>
  <c r="I25" i="288"/>
  <c r="J25" i="288"/>
  <c r="K25" i="288"/>
  <c r="L25" i="288"/>
  <c r="M25" i="288"/>
  <c r="N25" i="288"/>
  <c r="O25" i="288"/>
  <c r="P25" i="288"/>
  <c r="Q25" i="288"/>
  <c r="R25" i="288"/>
  <c r="S25" i="288"/>
  <c r="T25" i="288"/>
  <c r="U25" i="288"/>
  <c r="V25" i="288"/>
  <c r="W25" i="288"/>
  <c r="Z25" i="288"/>
  <c r="AC25" i="288"/>
  <c r="AE25" i="288" s="1"/>
  <c r="AD25" i="288"/>
  <c r="AF25" i="288"/>
  <c r="AJ25" i="288"/>
  <c r="AK25" i="288"/>
  <c r="AL25" i="288"/>
  <c r="AR25" i="288"/>
  <c r="AV25" i="288"/>
  <c r="D26" i="288"/>
  <c r="E26" i="288"/>
  <c r="F26" i="288"/>
  <c r="G26" i="288"/>
  <c r="H26" i="288"/>
  <c r="I26" i="288"/>
  <c r="J26" i="288"/>
  <c r="K26" i="288"/>
  <c r="L26" i="288"/>
  <c r="M26" i="288"/>
  <c r="N26" i="288"/>
  <c r="O26" i="288"/>
  <c r="P26" i="288"/>
  <c r="Q26" i="288"/>
  <c r="R26" i="288"/>
  <c r="S26" i="288"/>
  <c r="T26" i="288"/>
  <c r="U26" i="288"/>
  <c r="V26" i="288"/>
  <c r="W26" i="288"/>
  <c r="AC26" i="288"/>
  <c r="AD26" i="288"/>
  <c r="AE26" i="288"/>
  <c r="AF26" i="288" s="1"/>
  <c r="AJ26" i="288"/>
  <c r="AM26" i="288" s="1"/>
  <c r="AP26" i="288" s="1"/>
  <c r="AK26" i="288"/>
  <c r="AL26" i="288"/>
  <c r="AN26" i="288"/>
  <c r="AR26" i="288"/>
  <c r="AV26" i="288"/>
  <c r="D27" i="288"/>
  <c r="E27" i="288"/>
  <c r="F27" i="288"/>
  <c r="G27" i="288"/>
  <c r="H27" i="288"/>
  <c r="I27" i="288"/>
  <c r="J27" i="288"/>
  <c r="K27" i="288"/>
  <c r="L27" i="288"/>
  <c r="M27" i="288"/>
  <c r="N27" i="288"/>
  <c r="O27" i="288"/>
  <c r="P27" i="288"/>
  <c r="Q27" i="288"/>
  <c r="R27" i="288"/>
  <c r="S27" i="288"/>
  <c r="T27" i="288"/>
  <c r="U27" i="288"/>
  <c r="V27" i="288"/>
  <c r="W27" i="288"/>
  <c r="AC27" i="288"/>
  <c r="AD27" i="288"/>
  <c r="AE27" i="288" s="1"/>
  <c r="AF27" i="288" s="1"/>
  <c r="AJ27" i="288"/>
  <c r="AK27" i="288"/>
  <c r="AL27" i="288"/>
  <c r="AM27" i="288"/>
  <c r="AP27" i="288" s="1"/>
  <c r="AR27" i="288"/>
  <c r="AV27" i="288"/>
  <c r="D28" i="288"/>
  <c r="E28" i="288"/>
  <c r="F28" i="288"/>
  <c r="G28" i="288"/>
  <c r="H28" i="288"/>
  <c r="I28" i="288"/>
  <c r="J28" i="288"/>
  <c r="K28" i="288"/>
  <c r="L28" i="288"/>
  <c r="M28" i="288"/>
  <c r="N28" i="288"/>
  <c r="O28" i="288"/>
  <c r="P28" i="288"/>
  <c r="Q28" i="288"/>
  <c r="R28" i="288"/>
  <c r="S28" i="288"/>
  <c r="T28" i="288"/>
  <c r="U28" i="288"/>
  <c r="V28" i="288"/>
  <c r="W28" i="288"/>
  <c r="Z28" i="288"/>
  <c r="AC28" i="288"/>
  <c r="AD28" i="288"/>
  <c r="AE28" i="288"/>
  <c r="AF28" i="288" s="1"/>
  <c r="AJ28" i="288"/>
  <c r="AK28" i="288"/>
  <c r="AL28" i="288"/>
  <c r="AM28" i="288" s="1"/>
  <c r="AN28" i="288" s="1"/>
  <c r="AR28" i="288"/>
  <c r="AV28" i="288"/>
  <c r="D29" i="288"/>
  <c r="E29" i="288"/>
  <c r="F29" i="288"/>
  <c r="G29" i="288"/>
  <c r="H29" i="288"/>
  <c r="I29" i="288"/>
  <c r="J29" i="288"/>
  <c r="K29" i="288"/>
  <c r="L29" i="288"/>
  <c r="M29" i="288"/>
  <c r="N29" i="288"/>
  <c r="O29" i="288"/>
  <c r="P29" i="288"/>
  <c r="Q29" i="288"/>
  <c r="R29" i="288"/>
  <c r="S29" i="288"/>
  <c r="T29" i="288"/>
  <c r="U29" i="288"/>
  <c r="V29" i="288"/>
  <c r="W29" i="288"/>
  <c r="AC29" i="288"/>
  <c r="AD29" i="288"/>
  <c r="AE29" i="288" s="1"/>
  <c r="AF29" i="288"/>
  <c r="AJ29" i="288"/>
  <c r="AM29" i="288" s="1"/>
  <c r="AP29" i="288" s="1"/>
  <c r="AK29" i="288"/>
  <c r="AL29" i="288"/>
  <c r="AN29" i="288"/>
  <c r="AR29" i="288"/>
  <c r="AV29" i="288"/>
  <c r="D30" i="288"/>
  <c r="E30" i="288"/>
  <c r="F30" i="288"/>
  <c r="G30" i="288"/>
  <c r="H30" i="288"/>
  <c r="I30" i="288"/>
  <c r="J30" i="288"/>
  <c r="K30" i="288"/>
  <c r="L30" i="288"/>
  <c r="M30" i="288"/>
  <c r="N30" i="288"/>
  <c r="O30" i="288"/>
  <c r="P30" i="288"/>
  <c r="Q30" i="288"/>
  <c r="R30" i="288"/>
  <c r="S30" i="288"/>
  <c r="T30" i="288"/>
  <c r="U30" i="288"/>
  <c r="V30" i="288"/>
  <c r="W30" i="288"/>
  <c r="AC30" i="288"/>
  <c r="AD30" i="288"/>
  <c r="AE30" i="288"/>
  <c r="AF30" i="288" s="1"/>
  <c r="AJ30" i="288"/>
  <c r="AK30" i="288"/>
  <c r="AL30" i="288"/>
  <c r="AM30" i="288"/>
  <c r="AR30" i="288"/>
  <c r="AV30" i="288"/>
  <c r="D31" i="288"/>
  <c r="E31" i="288"/>
  <c r="F31" i="288"/>
  <c r="G31" i="288"/>
  <c r="H31" i="288"/>
  <c r="I31" i="288"/>
  <c r="J31" i="288"/>
  <c r="K31" i="288"/>
  <c r="L31" i="288"/>
  <c r="M31" i="288"/>
  <c r="N31" i="288"/>
  <c r="O31" i="288"/>
  <c r="P31" i="288"/>
  <c r="Q31" i="288"/>
  <c r="R31" i="288"/>
  <c r="S31" i="288"/>
  <c r="T31" i="288"/>
  <c r="U31" i="288"/>
  <c r="V31" i="288"/>
  <c r="W31" i="288"/>
  <c r="Z31" i="288"/>
  <c r="AC31" i="288"/>
  <c r="AE31" i="288" s="1"/>
  <c r="AF31" i="288" s="1"/>
  <c r="AD31" i="288"/>
  <c r="AJ31" i="288"/>
  <c r="AK31" i="288"/>
  <c r="AL31" i="288"/>
  <c r="AR31" i="288"/>
  <c r="AV31" i="288"/>
  <c r="D32" i="288"/>
  <c r="E32" i="288"/>
  <c r="F32" i="288"/>
  <c r="G32" i="288"/>
  <c r="H32" i="288"/>
  <c r="I32" i="288"/>
  <c r="J32" i="288"/>
  <c r="K32" i="288"/>
  <c r="L32" i="288"/>
  <c r="M32" i="288"/>
  <c r="N32" i="288"/>
  <c r="O32" i="288"/>
  <c r="P32" i="288"/>
  <c r="Q32" i="288"/>
  <c r="R32" i="288"/>
  <c r="S32" i="288"/>
  <c r="T32" i="288"/>
  <c r="U32" i="288"/>
  <c r="V32" i="288"/>
  <c r="W32" i="288"/>
  <c r="AC32" i="288"/>
  <c r="AE32" i="288" s="1"/>
  <c r="AF32" i="288" s="1"/>
  <c r="AD32" i="288"/>
  <c r="AJ32" i="288"/>
  <c r="AK32" i="288"/>
  <c r="AM32" i="288" s="1"/>
  <c r="AN32" i="288" s="1"/>
  <c r="AL32" i="288"/>
  <c r="AR32" i="288"/>
  <c r="AV32" i="288"/>
  <c r="D33" i="288"/>
  <c r="E33" i="288"/>
  <c r="F33" i="288"/>
  <c r="G33" i="288"/>
  <c r="H33" i="288"/>
  <c r="I33" i="288"/>
  <c r="J33" i="288"/>
  <c r="K33" i="288"/>
  <c r="L33" i="288"/>
  <c r="M33" i="288"/>
  <c r="N33" i="288"/>
  <c r="O33" i="288"/>
  <c r="P33" i="288"/>
  <c r="Q33" i="288"/>
  <c r="R33" i="288"/>
  <c r="S33" i="288"/>
  <c r="T33" i="288"/>
  <c r="U33" i="288"/>
  <c r="V33" i="288"/>
  <c r="W33" i="288"/>
  <c r="AC33" i="288"/>
  <c r="AD33" i="288"/>
  <c r="AE33" i="288" s="1"/>
  <c r="AF33" i="288" s="1"/>
  <c r="AJ33" i="288"/>
  <c r="AM33" i="288" s="1"/>
  <c r="AP33" i="288" s="1"/>
  <c r="AK33" i="288"/>
  <c r="AL33" i="288"/>
  <c r="AN33" i="288"/>
  <c r="AR33" i="288"/>
  <c r="AV33" i="288"/>
  <c r="D34" i="288"/>
  <c r="E34" i="288"/>
  <c r="F34" i="288"/>
  <c r="G34" i="288"/>
  <c r="H34" i="288"/>
  <c r="I34" i="288"/>
  <c r="J34" i="288"/>
  <c r="K34" i="288"/>
  <c r="L34" i="288"/>
  <c r="M34" i="288"/>
  <c r="N34" i="288"/>
  <c r="O34" i="288"/>
  <c r="P34" i="288"/>
  <c r="Q34" i="288"/>
  <c r="R34" i="288"/>
  <c r="S34" i="288"/>
  <c r="T34" i="288"/>
  <c r="U34" i="288"/>
  <c r="V34" i="288"/>
  <c r="W34" i="288"/>
  <c r="AC34" i="288"/>
  <c r="AD34" i="288"/>
  <c r="AE34" i="288"/>
  <c r="AF34" i="288" s="1"/>
  <c r="AJ34" i="288"/>
  <c r="AK34" i="288"/>
  <c r="AL34" i="288"/>
  <c r="AM34" i="288"/>
  <c r="AR34" i="288"/>
  <c r="AV34" i="288"/>
  <c r="D35" i="288"/>
  <c r="E35" i="288"/>
  <c r="F35" i="288"/>
  <c r="G35" i="288"/>
  <c r="H35" i="288"/>
  <c r="I35" i="288"/>
  <c r="J35" i="288"/>
  <c r="K35" i="288"/>
  <c r="L35" i="288"/>
  <c r="M35" i="288"/>
  <c r="N35" i="288"/>
  <c r="O35" i="288"/>
  <c r="P35" i="288"/>
  <c r="Q35" i="288"/>
  <c r="R35" i="288"/>
  <c r="S35" i="288"/>
  <c r="T35" i="288"/>
  <c r="U35" i="288"/>
  <c r="V35" i="288"/>
  <c r="W35" i="288"/>
  <c r="Z35" i="288"/>
  <c r="AC35" i="288"/>
  <c r="AE35" i="288" s="1"/>
  <c r="AF35" i="288" s="1"/>
  <c r="AD35" i="288"/>
  <c r="AJ35" i="288"/>
  <c r="AM35" i="288" s="1"/>
  <c r="AK35" i="288"/>
  <c r="AL35" i="288"/>
  <c r="AR35" i="288"/>
  <c r="AV35" i="288"/>
  <c r="D36" i="288"/>
  <c r="E36" i="288"/>
  <c r="F36" i="288"/>
  <c r="G36" i="288"/>
  <c r="H36" i="288"/>
  <c r="I36" i="288"/>
  <c r="Z36" i="288" s="1"/>
  <c r="J36" i="288"/>
  <c r="K36" i="288"/>
  <c r="L36" i="288"/>
  <c r="M36" i="288"/>
  <c r="N36" i="288"/>
  <c r="O36" i="288"/>
  <c r="P36" i="288"/>
  <c r="Q36" i="288"/>
  <c r="R36" i="288"/>
  <c r="S36" i="288"/>
  <c r="T36" i="288"/>
  <c r="U36" i="288"/>
  <c r="V36" i="288"/>
  <c r="W36" i="288"/>
  <c r="AC36" i="288"/>
  <c r="AE36" i="288" s="1"/>
  <c r="AF36" i="288" s="1"/>
  <c r="AD36" i="288"/>
  <c r="AJ36" i="288"/>
  <c r="AK36" i="288"/>
  <c r="AM36" i="288" s="1"/>
  <c r="AN36" i="288" s="1"/>
  <c r="AL36" i="288"/>
  <c r="AP36" i="288"/>
  <c r="AR36" i="288"/>
  <c r="AV36" i="288"/>
  <c r="D37" i="288"/>
  <c r="E37" i="288"/>
  <c r="F37" i="288"/>
  <c r="G37" i="288"/>
  <c r="H37" i="288"/>
  <c r="I37" i="288"/>
  <c r="J37" i="288"/>
  <c r="K37" i="288"/>
  <c r="L37" i="288"/>
  <c r="M37" i="288"/>
  <c r="N37" i="288"/>
  <c r="O37" i="288"/>
  <c r="P37" i="288"/>
  <c r="Q37" i="288"/>
  <c r="R37" i="288"/>
  <c r="S37" i="288"/>
  <c r="T37" i="288"/>
  <c r="U37" i="288"/>
  <c r="V37" i="288"/>
  <c r="W37" i="288"/>
  <c r="AC37" i="288"/>
  <c r="AD37" i="288"/>
  <c r="AE37" i="288" s="1"/>
  <c r="AF37" i="288"/>
  <c r="AJ37" i="288"/>
  <c r="AM37" i="288" s="1"/>
  <c r="AP37" i="288" s="1"/>
  <c r="AK37" i="288"/>
  <c r="AL37" i="288"/>
  <c r="AN37" i="288"/>
  <c r="AR37" i="288"/>
  <c r="AV37" i="288"/>
  <c r="D38" i="288"/>
  <c r="E38" i="288"/>
  <c r="F38" i="288"/>
  <c r="G38" i="288"/>
  <c r="H38" i="288"/>
  <c r="I38" i="288"/>
  <c r="J38" i="288"/>
  <c r="K38" i="288"/>
  <c r="L38" i="288"/>
  <c r="M38" i="288"/>
  <c r="N38" i="288"/>
  <c r="O38" i="288"/>
  <c r="P38" i="288"/>
  <c r="Q38" i="288"/>
  <c r="R38" i="288"/>
  <c r="S38" i="288"/>
  <c r="T38" i="288"/>
  <c r="U38" i="288"/>
  <c r="V38" i="288"/>
  <c r="W38" i="288"/>
  <c r="AC38" i="288"/>
  <c r="AD38" i="288"/>
  <c r="AE38" i="288"/>
  <c r="AF38" i="288" s="1"/>
  <c r="AJ38" i="288"/>
  <c r="AK38" i="288"/>
  <c r="AL38" i="288"/>
  <c r="AM38" i="288"/>
  <c r="AR38" i="288"/>
  <c r="AV38" i="288"/>
  <c r="D39" i="288"/>
  <c r="E39" i="288"/>
  <c r="F39" i="288"/>
  <c r="G39" i="288"/>
  <c r="H39" i="288"/>
  <c r="I39" i="288"/>
  <c r="J39" i="288"/>
  <c r="K39" i="288"/>
  <c r="L39" i="288"/>
  <c r="M39" i="288"/>
  <c r="N39" i="288"/>
  <c r="O39" i="288"/>
  <c r="P39" i="288"/>
  <c r="Q39" i="288"/>
  <c r="R39" i="288"/>
  <c r="S39" i="288"/>
  <c r="T39" i="288"/>
  <c r="U39" i="288"/>
  <c r="V39" i="288"/>
  <c r="W39" i="288"/>
  <c r="Z39" i="288"/>
  <c r="AC39" i="288"/>
  <c r="AE39" i="288" s="1"/>
  <c r="AF39" i="288" s="1"/>
  <c r="AD39" i="288"/>
  <c r="AJ39" i="288"/>
  <c r="AK39" i="288"/>
  <c r="AL39" i="288"/>
  <c r="AR39" i="288"/>
  <c r="AV39" i="288"/>
  <c r="D40" i="288"/>
  <c r="E40" i="288"/>
  <c r="F40" i="288"/>
  <c r="G40" i="288"/>
  <c r="H40" i="288"/>
  <c r="I40" i="288"/>
  <c r="J40" i="288"/>
  <c r="K40" i="288"/>
  <c r="L40" i="288"/>
  <c r="M40" i="288"/>
  <c r="N40" i="288"/>
  <c r="O40" i="288"/>
  <c r="P40" i="288"/>
  <c r="Q40" i="288"/>
  <c r="R40" i="288"/>
  <c r="S40" i="288"/>
  <c r="T40" i="288"/>
  <c r="U40" i="288"/>
  <c r="V40" i="288"/>
  <c r="W40" i="288"/>
  <c r="AC40" i="288"/>
  <c r="AE40" i="288" s="1"/>
  <c r="AF40" i="288" s="1"/>
  <c r="AD40" i="288"/>
  <c r="AJ40" i="288"/>
  <c r="AK40" i="288"/>
  <c r="AM40" i="288" s="1"/>
  <c r="AN40" i="288" s="1"/>
  <c r="AL40" i="288"/>
  <c r="AR40" i="288"/>
  <c r="AV40" i="288"/>
  <c r="D41" i="288"/>
  <c r="E41" i="288"/>
  <c r="F41" i="288"/>
  <c r="G41" i="288"/>
  <c r="H41" i="288"/>
  <c r="I41" i="288"/>
  <c r="J41" i="288"/>
  <c r="K41" i="288"/>
  <c r="L41" i="288"/>
  <c r="M41" i="288"/>
  <c r="N41" i="288"/>
  <c r="O41" i="288"/>
  <c r="P41" i="288"/>
  <c r="Q41" i="288"/>
  <c r="R41" i="288"/>
  <c r="S41" i="288"/>
  <c r="T41" i="288"/>
  <c r="U41" i="288"/>
  <c r="V41" i="288"/>
  <c r="W41" i="288"/>
  <c r="AC41" i="288"/>
  <c r="AD41" i="288"/>
  <c r="AE41" i="288" s="1"/>
  <c r="AF41" i="288" s="1"/>
  <c r="AJ41" i="288"/>
  <c r="AM41" i="288" s="1"/>
  <c r="AP41" i="288" s="1"/>
  <c r="AK41" i="288"/>
  <c r="AL41" i="288"/>
  <c r="AN41" i="288"/>
  <c r="AR41" i="288"/>
  <c r="AV41" i="288"/>
  <c r="D42" i="288"/>
  <c r="E42" i="288"/>
  <c r="F42" i="288"/>
  <c r="G42" i="288"/>
  <c r="H42" i="288"/>
  <c r="I42" i="288"/>
  <c r="J42" i="288"/>
  <c r="K42" i="288"/>
  <c r="L42" i="288"/>
  <c r="M42" i="288"/>
  <c r="N42" i="288"/>
  <c r="O42" i="288"/>
  <c r="P42" i="288"/>
  <c r="Q42" i="288"/>
  <c r="R42" i="288"/>
  <c r="S42" i="288"/>
  <c r="T42" i="288"/>
  <c r="U42" i="288"/>
  <c r="V42" i="288"/>
  <c r="W42" i="288"/>
  <c r="AC42" i="288"/>
  <c r="AD42" i="288"/>
  <c r="AE42" i="288"/>
  <c r="AF42" i="288" s="1"/>
  <c r="AJ42" i="288"/>
  <c r="AK42" i="288"/>
  <c r="AL42" i="288"/>
  <c r="AM42" i="288"/>
  <c r="AR42" i="288"/>
  <c r="AV42" i="288"/>
  <c r="D43" i="288"/>
  <c r="E43" i="288"/>
  <c r="F43" i="288"/>
  <c r="G43" i="288"/>
  <c r="H43" i="288"/>
  <c r="I43" i="288"/>
  <c r="J43" i="288"/>
  <c r="K43" i="288"/>
  <c r="L43" i="288"/>
  <c r="M43" i="288"/>
  <c r="N43" i="288"/>
  <c r="O43" i="288"/>
  <c r="P43" i="288"/>
  <c r="Q43" i="288"/>
  <c r="R43" i="288"/>
  <c r="S43" i="288"/>
  <c r="T43" i="288"/>
  <c r="U43" i="288"/>
  <c r="V43" i="288"/>
  <c r="W43" i="288"/>
  <c r="Z43" i="288"/>
  <c r="AC43" i="288"/>
  <c r="AE43" i="288" s="1"/>
  <c r="AF43" i="288" s="1"/>
  <c r="AD43" i="288"/>
  <c r="AJ43" i="288"/>
  <c r="AM43" i="288" s="1"/>
  <c r="AK43" i="288"/>
  <c r="AL43" i="288"/>
  <c r="AR43" i="288"/>
  <c r="AV43" i="288"/>
  <c r="D44" i="288"/>
  <c r="E44" i="288"/>
  <c r="F44" i="288"/>
  <c r="G44" i="288"/>
  <c r="H44" i="288"/>
  <c r="I44" i="288"/>
  <c r="Z44" i="288" s="1"/>
  <c r="J44" i="288"/>
  <c r="K44" i="288"/>
  <c r="L44" i="288"/>
  <c r="M44" i="288"/>
  <c r="N44" i="288"/>
  <c r="O44" i="288"/>
  <c r="P44" i="288"/>
  <c r="Q44" i="288"/>
  <c r="R44" i="288"/>
  <c r="S44" i="288"/>
  <c r="T44" i="288"/>
  <c r="U44" i="288"/>
  <c r="V44" i="288"/>
  <c r="W44" i="288"/>
  <c r="AC44" i="288"/>
  <c r="AE44" i="288" s="1"/>
  <c r="AF44" i="288" s="1"/>
  <c r="AD44" i="288"/>
  <c r="AJ44" i="288"/>
  <c r="AK44" i="288"/>
  <c r="AM44" i="288" s="1"/>
  <c r="AN44" i="288" s="1"/>
  <c r="AL44" i="288"/>
  <c r="AP44" i="288"/>
  <c r="AR44" i="288"/>
  <c r="AV44" i="288"/>
  <c r="D45" i="288"/>
  <c r="E45" i="288"/>
  <c r="F45" i="288"/>
  <c r="G45" i="288"/>
  <c r="H45" i="288"/>
  <c r="I45" i="288"/>
  <c r="J45" i="288"/>
  <c r="K45" i="288"/>
  <c r="L45" i="288"/>
  <c r="M45" i="288"/>
  <c r="N45" i="288"/>
  <c r="O45" i="288"/>
  <c r="P45" i="288"/>
  <c r="Q45" i="288"/>
  <c r="R45" i="288"/>
  <c r="S45" i="288"/>
  <c r="T45" i="288"/>
  <c r="U45" i="288"/>
  <c r="V45" i="288"/>
  <c r="W45" i="288"/>
  <c r="AC45" i="288"/>
  <c r="AD45" i="288"/>
  <c r="AE45" i="288" s="1"/>
  <c r="AF45" i="288"/>
  <c r="AJ45" i="288"/>
  <c r="AM45" i="288" s="1"/>
  <c r="AP45" i="288" s="1"/>
  <c r="AK45" i="288"/>
  <c r="AL45" i="288"/>
  <c r="AN45" i="288"/>
  <c r="AR45" i="288"/>
  <c r="AV45" i="288"/>
  <c r="D46" i="288"/>
  <c r="E46" i="288"/>
  <c r="F46" i="288"/>
  <c r="G46" i="288"/>
  <c r="H46" i="288"/>
  <c r="I46" i="288"/>
  <c r="J46" i="288"/>
  <c r="K46" i="288"/>
  <c r="L46" i="288"/>
  <c r="M46" i="288"/>
  <c r="N46" i="288"/>
  <c r="O46" i="288"/>
  <c r="P46" i="288"/>
  <c r="Q46" i="288"/>
  <c r="R46" i="288"/>
  <c r="S46" i="288"/>
  <c r="T46" i="288"/>
  <c r="U46" i="288"/>
  <c r="V46" i="288"/>
  <c r="W46" i="288"/>
  <c r="AC46" i="288"/>
  <c r="AD46" i="288"/>
  <c r="AE46" i="288"/>
  <c r="AF46" i="288" s="1"/>
  <c r="AJ46" i="288"/>
  <c r="AK46" i="288"/>
  <c r="AL46" i="288"/>
  <c r="AM46" i="288"/>
  <c r="AR46" i="288"/>
  <c r="AV46" i="288"/>
  <c r="D47" i="288"/>
  <c r="E47" i="288"/>
  <c r="F47" i="288"/>
  <c r="G47" i="288"/>
  <c r="H47" i="288"/>
  <c r="I47" i="288"/>
  <c r="J47" i="288"/>
  <c r="K47" i="288"/>
  <c r="L47" i="288"/>
  <c r="M47" i="288"/>
  <c r="N47" i="288"/>
  <c r="O47" i="288"/>
  <c r="P47" i="288"/>
  <c r="Q47" i="288"/>
  <c r="R47" i="288"/>
  <c r="S47" i="288"/>
  <c r="T47" i="288"/>
  <c r="U47" i="288"/>
  <c r="V47" i="288"/>
  <c r="W47" i="288"/>
  <c r="Z47" i="288"/>
  <c r="AC47" i="288"/>
  <c r="AE47" i="288" s="1"/>
  <c r="AF47" i="288" s="1"/>
  <c r="AD47" i="288"/>
  <c r="AJ47" i="288"/>
  <c r="AK47" i="288"/>
  <c r="AL47" i="288"/>
  <c r="AR47" i="288"/>
  <c r="AV47" i="288"/>
  <c r="D48" i="288"/>
  <c r="E48" i="288"/>
  <c r="F48" i="288"/>
  <c r="G48" i="288"/>
  <c r="H48" i="288"/>
  <c r="I48" i="288"/>
  <c r="J48" i="288"/>
  <c r="K48" i="288"/>
  <c r="L48" i="288"/>
  <c r="M48" i="288"/>
  <c r="N48" i="288"/>
  <c r="O48" i="288"/>
  <c r="P48" i="288"/>
  <c r="Q48" i="288"/>
  <c r="R48" i="288"/>
  <c r="S48" i="288"/>
  <c r="T48" i="288"/>
  <c r="U48" i="288"/>
  <c r="V48" i="288"/>
  <c r="W48" i="288"/>
  <c r="AC48" i="288"/>
  <c r="AE48" i="288" s="1"/>
  <c r="AF48" i="288" s="1"/>
  <c r="AD48" i="288"/>
  <c r="AJ48" i="288"/>
  <c r="AK48" i="288"/>
  <c r="AM48" i="288" s="1"/>
  <c r="AN48" i="288" s="1"/>
  <c r="AL48" i="288"/>
  <c r="AR48" i="288"/>
  <c r="AV48" i="288"/>
  <c r="G49" i="288"/>
  <c r="H49" i="288"/>
  <c r="I49" i="288"/>
  <c r="J49" i="288"/>
  <c r="K49" i="288"/>
  <c r="L49" i="288"/>
  <c r="M49" i="288"/>
  <c r="N49" i="288"/>
  <c r="O49" i="288"/>
  <c r="P49" i="288"/>
  <c r="Q49" i="288"/>
  <c r="R49" i="288"/>
  <c r="S49" i="288"/>
  <c r="T49" i="288"/>
  <c r="U49" i="288"/>
  <c r="V49" i="288"/>
  <c r="W49" i="288"/>
  <c r="AC49" i="288"/>
  <c r="AD49" i="288"/>
  <c r="AE49" i="288"/>
  <c r="AF49" i="288" s="1"/>
  <c r="AJ49" i="288"/>
  <c r="AK49" i="288"/>
  <c r="AL49" i="288"/>
  <c r="AM49" i="288"/>
  <c r="AR49" i="288"/>
  <c r="AV49" i="288"/>
  <c r="G50" i="288"/>
  <c r="H50" i="288"/>
  <c r="I50" i="288"/>
  <c r="J50" i="288"/>
  <c r="K50" i="288"/>
  <c r="L50" i="288"/>
  <c r="M50" i="288"/>
  <c r="N50" i="288"/>
  <c r="O50" i="288"/>
  <c r="P50" i="288"/>
  <c r="Q50" i="288"/>
  <c r="R50" i="288"/>
  <c r="S50" i="288"/>
  <c r="T50" i="288"/>
  <c r="U50" i="288"/>
  <c r="V50" i="288"/>
  <c r="W50" i="288"/>
  <c r="AC50" i="288"/>
  <c r="AE50" i="288" s="1"/>
  <c r="AF50" i="288" s="1"/>
  <c r="AD50" i="288"/>
  <c r="AJ50" i="288"/>
  <c r="AK50" i="288"/>
  <c r="AM50" i="288" s="1"/>
  <c r="AN50" i="288" s="1"/>
  <c r="AL50" i="288"/>
  <c r="AR50" i="288"/>
  <c r="AV50" i="288"/>
  <c r="G51" i="288"/>
  <c r="H51" i="288"/>
  <c r="I51" i="288"/>
  <c r="J51" i="288"/>
  <c r="K51" i="288"/>
  <c r="L51" i="288"/>
  <c r="M51" i="288"/>
  <c r="N51" i="288"/>
  <c r="O51" i="288"/>
  <c r="P51" i="288"/>
  <c r="Q51" i="288"/>
  <c r="R51" i="288"/>
  <c r="S51" i="288"/>
  <c r="T51" i="288"/>
  <c r="U51" i="288"/>
  <c r="V51" i="288"/>
  <c r="W51" i="288"/>
  <c r="AC51" i="288"/>
  <c r="AD51" i="288"/>
  <c r="AE51" i="288"/>
  <c r="AF51" i="288" s="1"/>
  <c r="AJ51" i="288"/>
  <c r="AK51" i="288"/>
  <c r="AL51" i="288"/>
  <c r="AM51" i="288"/>
  <c r="AR51" i="288"/>
  <c r="AV51" i="288"/>
  <c r="G52" i="288"/>
  <c r="H52" i="288"/>
  <c r="I52" i="288"/>
  <c r="J52" i="288"/>
  <c r="K52" i="288"/>
  <c r="L52" i="288"/>
  <c r="M52" i="288"/>
  <c r="N52" i="288"/>
  <c r="O52" i="288"/>
  <c r="P52" i="288"/>
  <c r="Q52" i="288"/>
  <c r="R52" i="288"/>
  <c r="S52" i="288"/>
  <c r="T52" i="288"/>
  <c r="U52" i="288"/>
  <c r="V52" i="288"/>
  <c r="W52" i="288"/>
  <c r="AC52" i="288"/>
  <c r="AE52" i="288" s="1"/>
  <c r="AF52" i="288" s="1"/>
  <c r="AD52" i="288"/>
  <c r="AJ52" i="288"/>
  <c r="AK52" i="288"/>
  <c r="AM52" i="288" s="1"/>
  <c r="AN52" i="288" s="1"/>
  <c r="AL52" i="288"/>
  <c r="AR52" i="288"/>
  <c r="AV52" i="288"/>
  <c r="G53" i="288"/>
  <c r="H53" i="288"/>
  <c r="I53" i="288"/>
  <c r="J53" i="288"/>
  <c r="K53" i="288"/>
  <c r="L53" i="288"/>
  <c r="M53" i="288"/>
  <c r="N53" i="288"/>
  <c r="O53" i="288"/>
  <c r="P53" i="288"/>
  <c r="Q53" i="288"/>
  <c r="R53" i="288"/>
  <c r="S53" i="288"/>
  <c r="T53" i="288"/>
  <c r="U53" i="288"/>
  <c r="V53" i="288"/>
  <c r="W53" i="288"/>
  <c r="AC53" i="288"/>
  <c r="AD53" i="288"/>
  <c r="AE53" i="288"/>
  <c r="AF53" i="288" s="1"/>
  <c r="AJ53" i="288"/>
  <c r="AK53" i="288"/>
  <c r="AL53" i="288"/>
  <c r="AM53" i="288"/>
  <c r="AR53" i="288"/>
  <c r="AV53" i="288"/>
  <c r="G54" i="288"/>
  <c r="H54" i="288"/>
  <c r="I54" i="288"/>
  <c r="J54" i="288"/>
  <c r="K54" i="288"/>
  <c r="L54" i="288"/>
  <c r="M54" i="288"/>
  <c r="N54" i="288"/>
  <c r="O54" i="288"/>
  <c r="P54" i="288"/>
  <c r="Q54" i="288"/>
  <c r="R54" i="288"/>
  <c r="S54" i="288"/>
  <c r="T54" i="288"/>
  <c r="U54" i="288"/>
  <c r="V54" i="288"/>
  <c r="W54" i="288"/>
  <c r="AC54" i="288"/>
  <c r="AE54" i="288" s="1"/>
  <c r="AF54" i="288" s="1"/>
  <c r="AD54" i="288"/>
  <c r="AJ54" i="288"/>
  <c r="AK54" i="288"/>
  <c r="AM54" i="288" s="1"/>
  <c r="AN54" i="288" s="1"/>
  <c r="AL54" i="288"/>
  <c r="AR54" i="288"/>
  <c r="AV54" i="288"/>
  <c r="G55" i="288"/>
  <c r="H55" i="288"/>
  <c r="I55" i="288"/>
  <c r="J55" i="288"/>
  <c r="K55" i="288"/>
  <c r="L55" i="288"/>
  <c r="M55" i="288"/>
  <c r="N55" i="288"/>
  <c r="O55" i="288"/>
  <c r="P55" i="288"/>
  <c r="Q55" i="288"/>
  <c r="R55" i="288"/>
  <c r="S55" i="288"/>
  <c r="T55" i="288"/>
  <c r="U55" i="288"/>
  <c r="V55" i="288"/>
  <c r="W55" i="288"/>
  <c r="Z55" i="288"/>
  <c r="AC55" i="288"/>
  <c r="AE55" i="288" s="1"/>
  <c r="AF55" i="288" s="1"/>
  <c r="AD55" i="288"/>
  <c r="AJ55" i="288"/>
  <c r="AM55" i="288" s="1"/>
  <c r="AK55" i="288"/>
  <c r="AL55" i="288"/>
  <c r="AR55" i="288"/>
  <c r="AV55" i="288"/>
  <c r="G56" i="288"/>
  <c r="H56" i="288"/>
  <c r="I56" i="288"/>
  <c r="J56" i="288"/>
  <c r="K56" i="288"/>
  <c r="L56" i="288"/>
  <c r="M56" i="288"/>
  <c r="N56" i="288"/>
  <c r="O56" i="288"/>
  <c r="P56" i="288"/>
  <c r="Q56" i="288"/>
  <c r="R56" i="288"/>
  <c r="S56" i="288"/>
  <c r="T56" i="288"/>
  <c r="U56" i="288"/>
  <c r="V56" i="288"/>
  <c r="W56" i="288"/>
  <c r="AC56" i="288"/>
  <c r="AD56" i="288"/>
  <c r="AE56" i="288" s="1"/>
  <c r="AF56" i="288" s="1"/>
  <c r="AJ56" i="288"/>
  <c r="AM56" i="288" s="1"/>
  <c r="AP56" i="288" s="1"/>
  <c r="AK56" i="288"/>
  <c r="AL56" i="288"/>
  <c r="AN56" i="288"/>
  <c r="AR56" i="288"/>
  <c r="AV56" i="288"/>
  <c r="G57" i="288"/>
  <c r="H57" i="288"/>
  <c r="I57" i="288"/>
  <c r="J57" i="288"/>
  <c r="K57" i="288"/>
  <c r="L57" i="288"/>
  <c r="M57" i="288"/>
  <c r="N57" i="288"/>
  <c r="O57" i="288"/>
  <c r="P57" i="288"/>
  <c r="Q57" i="288"/>
  <c r="R57" i="288"/>
  <c r="S57" i="288"/>
  <c r="T57" i="288"/>
  <c r="U57" i="288"/>
  <c r="V57" i="288"/>
  <c r="W57" i="288"/>
  <c r="Z57" i="288"/>
  <c r="AC57" i="288"/>
  <c r="AD57" i="288"/>
  <c r="AJ57" i="288"/>
  <c r="AK57" i="288"/>
  <c r="AL57" i="288"/>
  <c r="AR57" i="288"/>
  <c r="AV57" i="288"/>
  <c r="G58" i="288"/>
  <c r="H58" i="288"/>
  <c r="I58" i="288"/>
  <c r="J58" i="288"/>
  <c r="K58" i="288"/>
  <c r="L58" i="288"/>
  <c r="M58" i="288"/>
  <c r="N58" i="288"/>
  <c r="O58" i="288"/>
  <c r="P58" i="288"/>
  <c r="Q58" i="288"/>
  <c r="R58" i="288"/>
  <c r="S58" i="288"/>
  <c r="T58" i="288"/>
  <c r="U58" i="288"/>
  <c r="V58" i="288"/>
  <c r="W58" i="288"/>
  <c r="AC58" i="288"/>
  <c r="AD58" i="288"/>
  <c r="AE58" i="288" s="1"/>
  <c r="AF58" i="288"/>
  <c r="AJ58" i="288"/>
  <c r="AM58" i="288" s="1"/>
  <c r="AP58" i="288" s="1"/>
  <c r="AK58" i="288"/>
  <c r="AL58" i="288"/>
  <c r="AN58" i="288"/>
  <c r="AR58" i="288"/>
  <c r="AV58" i="288"/>
  <c r="G59" i="288"/>
  <c r="H59" i="288"/>
  <c r="I59" i="288"/>
  <c r="J59" i="288"/>
  <c r="K59" i="288"/>
  <c r="L59" i="288"/>
  <c r="M59" i="288"/>
  <c r="N59" i="288"/>
  <c r="O59" i="288"/>
  <c r="P59" i="288"/>
  <c r="Q59" i="288"/>
  <c r="R59" i="288"/>
  <c r="S59" i="288"/>
  <c r="T59" i="288"/>
  <c r="U59" i="288"/>
  <c r="V59" i="288"/>
  <c r="W59" i="288"/>
  <c r="Z59" i="288"/>
  <c r="AC59" i="288"/>
  <c r="AE59" i="288" s="1"/>
  <c r="AF59" i="288" s="1"/>
  <c r="AD59" i="288"/>
  <c r="AJ59" i="288"/>
  <c r="AM59" i="288" s="1"/>
  <c r="AK59" i="288"/>
  <c r="AL59" i="288"/>
  <c r="AR59" i="288"/>
  <c r="AV59" i="288"/>
  <c r="G60" i="288"/>
  <c r="H60" i="288"/>
  <c r="I60" i="288"/>
  <c r="J60" i="288"/>
  <c r="K60" i="288"/>
  <c r="L60" i="288"/>
  <c r="M60" i="288"/>
  <c r="N60" i="288"/>
  <c r="O60" i="288"/>
  <c r="P60" i="288"/>
  <c r="Q60" i="288"/>
  <c r="R60" i="288"/>
  <c r="S60" i="288"/>
  <c r="T60" i="288"/>
  <c r="U60" i="288"/>
  <c r="V60" i="288"/>
  <c r="W60" i="288"/>
  <c r="AC60" i="288"/>
  <c r="AD60" i="288"/>
  <c r="AE60" i="288" s="1"/>
  <c r="AF60" i="288" s="1"/>
  <c r="AJ60" i="288"/>
  <c r="AM60" i="288" s="1"/>
  <c r="AP60" i="288" s="1"/>
  <c r="AK60" i="288"/>
  <c r="AL60" i="288"/>
  <c r="AN60" i="288"/>
  <c r="AR60" i="288"/>
  <c r="AV60" i="288"/>
  <c r="G61" i="288"/>
  <c r="H61" i="288"/>
  <c r="I61" i="288"/>
  <c r="J61" i="288"/>
  <c r="K61" i="288"/>
  <c r="L61" i="288"/>
  <c r="M61" i="288"/>
  <c r="N61" i="288"/>
  <c r="O61" i="288"/>
  <c r="P61" i="288"/>
  <c r="Q61" i="288"/>
  <c r="R61" i="288"/>
  <c r="S61" i="288"/>
  <c r="T61" i="288"/>
  <c r="U61" i="288"/>
  <c r="V61" i="288"/>
  <c r="W61" i="288"/>
  <c r="Z61" i="288"/>
  <c r="AC61" i="288"/>
  <c r="AD61" i="288"/>
  <c r="AJ61" i="288"/>
  <c r="AK61" i="288"/>
  <c r="AL61" i="288"/>
  <c r="AR61" i="288"/>
  <c r="AV61" i="288"/>
  <c r="G62" i="288"/>
  <c r="H62" i="288"/>
  <c r="I62" i="288"/>
  <c r="J62" i="288"/>
  <c r="K62" i="288"/>
  <c r="L62" i="288"/>
  <c r="M62" i="288"/>
  <c r="N62" i="288"/>
  <c r="O62" i="288"/>
  <c r="P62" i="288"/>
  <c r="Q62" i="288"/>
  <c r="R62" i="288"/>
  <c r="S62" i="288"/>
  <c r="T62" i="288"/>
  <c r="U62" i="288"/>
  <c r="V62" i="288"/>
  <c r="W62" i="288"/>
  <c r="AC62" i="288"/>
  <c r="AD62" i="288"/>
  <c r="AE62" i="288" s="1"/>
  <c r="AF62" i="288"/>
  <c r="AJ62" i="288"/>
  <c r="AM62" i="288" s="1"/>
  <c r="AP62" i="288" s="1"/>
  <c r="AK62" i="288"/>
  <c r="AL62" i="288"/>
  <c r="AN62" i="288"/>
  <c r="AR62" i="288"/>
  <c r="AV62" i="288"/>
  <c r="G63" i="288"/>
  <c r="H63" i="288"/>
  <c r="I63" i="288"/>
  <c r="J63" i="288"/>
  <c r="K63" i="288"/>
  <c r="L63" i="288"/>
  <c r="M63" i="288"/>
  <c r="N63" i="288"/>
  <c r="O63" i="288"/>
  <c r="P63" i="288"/>
  <c r="Q63" i="288"/>
  <c r="R63" i="288"/>
  <c r="S63" i="288"/>
  <c r="T63" i="288"/>
  <c r="U63" i="288"/>
  <c r="V63" i="288"/>
  <c r="W63" i="288"/>
  <c r="Z63" i="288"/>
  <c r="AC63" i="288"/>
  <c r="AE63" i="288" s="1"/>
  <c r="AF63" i="288" s="1"/>
  <c r="AD63" i="288"/>
  <c r="AJ63" i="288"/>
  <c r="AM63" i="288" s="1"/>
  <c r="AK63" i="288"/>
  <c r="AL63" i="288"/>
  <c r="AR63" i="288"/>
  <c r="AV63" i="288"/>
  <c r="G64" i="288"/>
  <c r="H64" i="288"/>
  <c r="I64" i="288"/>
  <c r="J64" i="288"/>
  <c r="K64" i="288"/>
  <c r="L64" i="288"/>
  <c r="M64" i="288"/>
  <c r="N64" i="288"/>
  <c r="O64" i="288"/>
  <c r="P64" i="288"/>
  <c r="Q64" i="288"/>
  <c r="R64" i="288"/>
  <c r="S64" i="288"/>
  <c r="T64" i="288"/>
  <c r="U64" i="288"/>
  <c r="V64" i="288"/>
  <c r="W64" i="288"/>
  <c r="AC64" i="288"/>
  <c r="AD64" i="288"/>
  <c r="AE64" i="288" s="1"/>
  <c r="AF64" i="288" s="1"/>
  <c r="AJ64" i="288"/>
  <c r="AM64" i="288" s="1"/>
  <c r="AP64" i="288" s="1"/>
  <c r="AK64" i="288"/>
  <c r="AL64" i="288"/>
  <c r="AN64" i="288"/>
  <c r="AR64" i="288"/>
  <c r="AV64" i="288"/>
  <c r="G65" i="288"/>
  <c r="H65" i="288"/>
  <c r="I65" i="288"/>
  <c r="J65" i="288"/>
  <c r="K65" i="288"/>
  <c r="L65" i="288"/>
  <c r="M65" i="288"/>
  <c r="N65" i="288"/>
  <c r="O65" i="288"/>
  <c r="P65" i="288"/>
  <c r="Q65" i="288"/>
  <c r="R65" i="288"/>
  <c r="S65" i="288"/>
  <c r="T65" i="288"/>
  <c r="U65" i="288"/>
  <c r="V65" i="288"/>
  <c r="W65" i="288"/>
  <c r="Z65" i="288"/>
  <c r="AC65" i="288"/>
  <c r="AD65" i="288"/>
  <c r="AJ65" i="288"/>
  <c r="AK65" i="288"/>
  <c r="AL65" i="288"/>
  <c r="AR65" i="288"/>
  <c r="AV65" i="288"/>
  <c r="G66" i="288"/>
  <c r="H66" i="288"/>
  <c r="I66" i="288"/>
  <c r="J66" i="288"/>
  <c r="K66" i="288"/>
  <c r="L66" i="288"/>
  <c r="M66" i="288"/>
  <c r="N66" i="288"/>
  <c r="O66" i="288"/>
  <c r="P66" i="288"/>
  <c r="Q66" i="288"/>
  <c r="R66" i="288"/>
  <c r="S66" i="288"/>
  <c r="T66" i="288"/>
  <c r="U66" i="288"/>
  <c r="V66" i="288"/>
  <c r="W66" i="288"/>
  <c r="AC66" i="288"/>
  <c r="AD66" i="288"/>
  <c r="AE66" i="288" s="1"/>
  <c r="AF66" i="288"/>
  <c r="AJ66" i="288"/>
  <c r="AM66" i="288" s="1"/>
  <c r="AP66" i="288" s="1"/>
  <c r="AK66" i="288"/>
  <c r="AL66" i="288"/>
  <c r="AN66" i="288"/>
  <c r="AR66" i="288"/>
  <c r="AV66" i="288"/>
  <c r="G67" i="288"/>
  <c r="H67" i="288"/>
  <c r="I67" i="288"/>
  <c r="J67" i="288"/>
  <c r="K67" i="288"/>
  <c r="L67" i="288"/>
  <c r="M67" i="288"/>
  <c r="N67" i="288"/>
  <c r="O67" i="288"/>
  <c r="P67" i="288"/>
  <c r="Q67" i="288"/>
  <c r="R67" i="288"/>
  <c r="S67" i="288"/>
  <c r="T67" i="288"/>
  <c r="U67" i="288"/>
  <c r="V67" i="288"/>
  <c r="W67" i="288"/>
  <c r="Z67" i="288"/>
  <c r="AC67" i="288"/>
  <c r="AE67" i="288" s="1"/>
  <c r="AF67" i="288" s="1"/>
  <c r="AD67" i="288"/>
  <c r="AJ67" i="288"/>
  <c r="AM67" i="288" s="1"/>
  <c r="AK67" i="288"/>
  <c r="AL67" i="288"/>
  <c r="AR67" i="288"/>
  <c r="AV67" i="288"/>
  <c r="G68" i="288"/>
  <c r="H68" i="288"/>
  <c r="I68" i="288"/>
  <c r="J68" i="288"/>
  <c r="K68" i="288"/>
  <c r="L68" i="288"/>
  <c r="M68" i="288"/>
  <c r="N68" i="288"/>
  <c r="O68" i="288"/>
  <c r="P68" i="288"/>
  <c r="Q68" i="288"/>
  <c r="R68" i="288"/>
  <c r="S68" i="288"/>
  <c r="T68" i="288"/>
  <c r="U68" i="288"/>
  <c r="V68" i="288"/>
  <c r="W68" i="288"/>
  <c r="AC68" i="288"/>
  <c r="AD68" i="288"/>
  <c r="AE68" i="288" s="1"/>
  <c r="AF68" i="288" s="1"/>
  <c r="AJ68" i="288"/>
  <c r="AM68" i="288" s="1"/>
  <c r="AP68" i="288" s="1"/>
  <c r="AK68" i="288"/>
  <c r="AL68" i="288"/>
  <c r="AN68" i="288"/>
  <c r="AR68" i="288"/>
  <c r="AV68" i="288"/>
  <c r="G69" i="288"/>
  <c r="H69" i="288"/>
  <c r="I69" i="288"/>
  <c r="J69" i="288"/>
  <c r="K69" i="288"/>
  <c r="L69" i="288"/>
  <c r="M69" i="288"/>
  <c r="N69" i="288"/>
  <c r="O69" i="288"/>
  <c r="P69" i="288"/>
  <c r="Q69" i="288"/>
  <c r="R69" i="288"/>
  <c r="S69" i="288"/>
  <c r="T69" i="288"/>
  <c r="U69" i="288"/>
  <c r="V69" i="288"/>
  <c r="W69" i="288"/>
  <c r="Z69" i="288"/>
  <c r="AC69" i="288"/>
  <c r="AD69" i="288"/>
  <c r="AJ69" i="288"/>
  <c r="AK69" i="288"/>
  <c r="AL69" i="288"/>
  <c r="AR69" i="288"/>
  <c r="AV69" i="288"/>
  <c r="G70" i="288"/>
  <c r="H70" i="288"/>
  <c r="I70" i="288"/>
  <c r="J70" i="288"/>
  <c r="K70" i="288"/>
  <c r="L70" i="288"/>
  <c r="M70" i="288"/>
  <c r="N70" i="288"/>
  <c r="O70" i="288"/>
  <c r="P70" i="288"/>
  <c r="Q70" i="288"/>
  <c r="R70" i="288"/>
  <c r="S70" i="288"/>
  <c r="T70" i="288"/>
  <c r="U70" i="288"/>
  <c r="V70" i="288"/>
  <c r="W70" i="288"/>
  <c r="AC70" i="288"/>
  <c r="AD70" i="288"/>
  <c r="AE70" i="288" s="1"/>
  <c r="AF70" i="288"/>
  <c r="AJ70" i="288"/>
  <c r="AM70" i="288" s="1"/>
  <c r="AP70" i="288" s="1"/>
  <c r="AK70" i="288"/>
  <c r="AL70" i="288"/>
  <c r="AN70" i="288"/>
  <c r="AR70" i="288"/>
  <c r="AV70" i="288"/>
  <c r="G71" i="288"/>
  <c r="H71" i="288"/>
  <c r="I71" i="288"/>
  <c r="J71" i="288"/>
  <c r="K71" i="288"/>
  <c r="L71" i="288"/>
  <c r="M71" i="288"/>
  <c r="N71" i="288"/>
  <c r="O71" i="288"/>
  <c r="P71" i="288"/>
  <c r="Q71" i="288"/>
  <c r="R71" i="288"/>
  <c r="S71" i="288"/>
  <c r="T71" i="288"/>
  <c r="U71" i="288"/>
  <c r="V71" i="288"/>
  <c r="W71" i="288"/>
  <c r="Z71" i="288"/>
  <c r="AC71" i="288"/>
  <c r="AE71" i="288" s="1"/>
  <c r="AF71" i="288" s="1"/>
  <c r="AD71" i="288"/>
  <c r="AJ71" i="288"/>
  <c r="AM71" i="288" s="1"/>
  <c r="AK71" i="288"/>
  <c r="AL71" i="288"/>
  <c r="AR71" i="288"/>
  <c r="AV71" i="288"/>
  <c r="G72" i="288"/>
  <c r="H72" i="288"/>
  <c r="I72" i="288"/>
  <c r="J72" i="288"/>
  <c r="K72" i="288"/>
  <c r="L72" i="288"/>
  <c r="M72" i="288"/>
  <c r="N72" i="288"/>
  <c r="O72" i="288"/>
  <c r="P72" i="288"/>
  <c r="Q72" i="288"/>
  <c r="R72" i="288"/>
  <c r="S72" i="288"/>
  <c r="T72" i="288"/>
  <c r="U72" i="288"/>
  <c r="V72" i="288"/>
  <c r="W72" i="288"/>
  <c r="AC72" i="288"/>
  <c r="AD72" i="288"/>
  <c r="AE72" i="288" s="1"/>
  <c r="AF72" i="288" s="1"/>
  <c r="AJ72" i="288"/>
  <c r="AM72" i="288" s="1"/>
  <c r="AP72" i="288" s="1"/>
  <c r="AK72" i="288"/>
  <c r="AL72" i="288"/>
  <c r="AN72" i="288"/>
  <c r="AR72" i="288"/>
  <c r="AV72" i="288"/>
  <c r="G73" i="288"/>
  <c r="H73" i="288"/>
  <c r="I73" i="288"/>
  <c r="J73" i="288"/>
  <c r="K73" i="288"/>
  <c r="L73" i="288"/>
  <c r="M73" i="288"/>
  <c r="N73" i="288"/>
  <c r="O73" i="288"/>
  <c r="P73" i="288"/>
  <c r="Q73" i="288"/>
  <c r="R73" i="288"/>
  <c r="S73" i="288"/>
  <c r="T73" i="288"/>
  <c r="U73" i="288"/>
  <c r="V73" i="288"/>
  <c r="W73" i="288"/>
  <c r="Z73" i="288"/>
  <c r="AC73" i="288"/>
  <c r="AD73" i="288"/>
  <c r="AJ73" i="288"/>
  <c r="AK73" i="288"/>
  <c r="AL73" i="288"/>
  <c r="AR73" i="288"/>
  <c r="AV73" i="288"/>
  <c r="G74" i="288"/>
  <c r="H74" i="288"/>
  <c r="I74" i="288"/>
  <c r="J74" i="288"/>
  <c r="K74" i="288"/>
  <c r="L74" i="288"/>
  <c r="M74" i="288"/>
  <c r="N74" i="288"/>
  <c r="O74" i="288"/>
  <c r="P74" i="288"/>
  <c r="Q74" i="288"/>
  <c r="R74" i="288"/>
  <c r="S74" i="288"/>
  <c r="T74" i="288"/>
  <c r="U74" i="288"/>
  <c r="V74" i="288"/>
  <c r="W74" i="288"/>
  <c r="AC74" i="288"/>
  <c r="AD74" i="288"/>
  <c r="AE74" i="288" s="1"/>
  <c r="AF74" i="288"/>
  <c r="AJ74" i="288"/>
  <c r="AM74" i="288" s="1"/>
  <c r="AP74" i="288" s="1"/>
  <c r="AK74" i="288"/>
  <c r="AL74" i="288"/>
  <c r="AN74" i="288"/>
  <c r="AR74" i="288"/>
  <c r="AV74" i="288"/>
  <c r="G75" i="288"/>
  <c r="H75" i="288"/>
  <c r="I75" i="288"/>
  <c r="J75" i="288"/>
  <c r="K75" i="288"/>
  <c r="L75" i="288"/>
  <c r="M75" i="288"/>
  <c r="N75" i="288"/>
  <c r="O75" i="288"/>
  <c r="P75" i="288"/>
  <c r="Q75" i="288"/>
  <c r="R75" i="288"/>
  <c r="S75" i="288"/>
  <c r="T75" i="288"/>
  <c r="U75" i="288"/>
  <c r="V75" i="288"/>
  <c r="W75" i="288"/>
  <c r="Z75" i="288"/>
  <c r="AC75" i="288"/>
  <c r="AE75" i="288" s="1"/>
  <c r="AF75" i="288" s="1"/>
  <c r="AD75" i="288"/>
  <c r="AJ75" i="288"/>
  <c r="AM75" i="288" s="1"/>
  <c r="AK75" i="288"/>
  <c r="AL75" i="288"/>
  <c r="AR75" i="288"/>
  <c r="AV75" i="288"/>
  <c r="G76" i="288"/>
  <c r="H76" i="288"/>
  <c r="I76" i="288"/>
  <c r="J76" i="288"/>
  <c r="K76" i="288"/>
  <c r="L76" i="288"/>
  <c r="M76" i="288"/>
  <c r="N76" i="288"/>
  <c r="O76" i="288"/>
  <c r="P76" i="288"/>
  <c r="Q76" i="288"/>
  <c r="R76" i="288"/>
  <c r="S76" i="288"/>
  <c r="T76" i="288"/>
  <c r="U76" i="288"/>
  <c r="V76" i="288"/>
  <c r="W76" i="288"/>
  <c r="AC76" i="288"/>
  <c r="AD76" i="288"/>
  <c r="AE76" i="288" s="1"/>
  <c r="AF76" i="288" s="1"/>
  <c r="AJ76" i="288"/>
  <c r="AM76" i="288" s="1"/>
  <c r="AP76" i="288" s="1"/>
  <c r="AK76" i="288"/>
  <c r="AL76" i="288"/>
  <c r="AN76" i="288"/>
  <c r="AR76" i="288"/>
  <c r="AV76" i="288"/>
  <c r="G77" i="288"/>
  <c r="H77" i="288"/>
  <c r="I77" i="288"/>
  <c r="J77" i="288"/>
  <c r="K77" i="288"/>
  <c r="L77" i="288"/>
  <c r="M77" i="288"/>
  <c r="N77" i="288"/>
  <c r="O77" i="288"/>
  <c r="P77" i="288"/>
  <c r="Q77" i="288"/>
  <c r="R77" i="288"/>
  <c r="S77" i="288"/>
  <c r="T77" i="288"/>
  <c r="U77" i="288"/>
  <c r="V77" i="288"/>
  <c r="W77" i="288"/>
  <c r="Z77" i="288"/>
  <c r="AC77" i="288"/>
  <c r="AD77" i="288"/>
  <c r="AJ77" i="288"/>
  <c r="AK77" i="288"/>
  <c r="AL77" i="288"/>
  <c r="AR77" i="288"/>
  <c r="AV77" i="288"/>
  <c r="G78" i="288"/>
  <c r="H78" i="288"/>
  <c r="I78" i="288"/>
  <c r="J78" i="288"/>
  <c r="K78" i="288"/>
  <c r="L78" i="288"/>
  <c r="M78" i="288"/>
  <c r="N78" i="288"/>
  <c r="O78" i="288"/>
  <c r="P78" i="288"/>
  <c r="Q78" i="288"/>
  <c r="R78" i="288"/>
  <c r="S78" i="288"/>
  <c r="T78" i="288"/>
  <c r="U78" i="288"/>
  <c r="V78" i="288"/>
  <c r="W78" i="288"/>
  <c r="AC78" i="288"/>
  <c r="AD78" i="288"/>
  <c r="AE78" i="288" s="1"/>
  <c r="AF78" i="288"/>
  <c r="AJ78" i="288"/>
  <c r="AM78" i="288" s="1"/>
  <c r="AP78" i="288" s="1"/>
  <c r="AK78" i="288"/>
  <c r="AL78" i="288"/>
  <c r="AN78" i="288"/>
  <c r="AR78" i="288"/>
  <c r="AV78" i="288"/>
  <c r="G79" i="288"/>
  <c r="H79" i="288"/>
  <c r="I79" i="288"/>
  <c r="J79" i="288"/>
  <c r="K79" i="288"/>
  <c r="L79" i="288"/>
  <c r="M79" i="288"/>
  <c r="N79" i="288"/>
  <c r="O79" i="288"/>
  <c r="P79" i="288"/>
  <c r="Q79" i="288"/>
  <c r="R79" i="288"/>
  <c r="S79" i="288"/>
  <c r="T79" i="288"/>
  <c r="U79" i="288"/>
  <c r="V79" i="288"/>
  <c r="W79" i="288"/>
  <c r="Z79" i="288"/>
  <c r="AC79" i="288"/>
  <c r="AE79" i="288" s="1"/>
  <c r="AF79" i="288" s="1"/>
  <c r="AD79" i="288"/>
  <c r="AJ79" i="288"/>
  <c r="AM79" i="288" s="1"/>
  <c r="AK79" i="288"/>
  <c r="AL79" i="288"/>
  <c r="AR79" i="288"/>
  <c r="AV79" i="288"/>
  <c r="G80" i="288"/>
  <c r="H80" i="288"/>
  <c r="I80" i="288"/>
  <c r="J80" i="288"/>
  <c r="K80" i="288"/>
  <c r="L80" i="288"/>
  <c r="M80" i="288"/>
  <c r="N80" i="288"/>
  <c r="O80" i="288"/>
  <c r="P80" i="288"/>
  <c r="Q80" i="288"/>
  <c r="R80" i="288"/>
  <c r="S80" i="288"/>
  <c r="T80" i="288"/>
  <c r="U80" i="288"/>
  <c r="V80" i="288"/>
  <c r="W80" i="288"/>
  <c r="AC80" i="288"/>
  <c r="AD80" i="288"/>
  <c r="AE80" i="288" s="1"/>
  <c r="AF80" i="288" s="1"/>
  <c r="AJ80" i="288"/>
  <c r="AM80" i="288" s="1"/>
  <c r="AP80" i="288" s="1"/>
  <c r="AK80" i="288"/>
  <c r="AL80" i="288"/>
  <c r="AN80" i="288"/>
  <c r="AR80" i="288"/>
  <c r="AV80" i="288"/>
  <c r="G81" i="288"/>
  <c r="H81" i="288"/>
  <c r="I81" i="288"/>
  <c r="J81" i="288"/>
  <c r="K81" i="288"/>
  <c r="L81" i="288"/>
  <c r="M81" i="288"/>
  <c r="N81" i="288"/>
  <c r="O81" i="288"/>
  <c r="P81" i="288"/>
  <c r="Q81" i="288"/>
  <c r="R81" i="288"/>
  <c r="S81" i="288"/>
  <c r="T81" i="288"/>
  <c r="U81" i="288"/>
  <c r="V81" i="288"/>
  <c r="W81" i="288"/>
  <c r="Z81" i="288"/>
  <c r="AC81" i="288"/>
  <c r="AD81" i="288"/>
  <c r="AJ81" i="288"/>
  <c r="AK81" i="288"/>
  <c r="AL81" i="288"/>
  <c r="AR81" i="288"/>
  <c r="AV81" i="288"/>
  <c r="G82" i="288"/>
  <c r="H82" i="288"/>
  <c r="I82" i="288"/>
  <c r="J82" i="288"/>
  <c r="K82" i="288"/>
  <c r="L82" i="288"/>
  <c r="M82" i="288"/>
  <c r="N82" i="288"/>
  <c r="O82" i="288"/>
  <c r="P82" i="288"/>
  <c r="Q82" i="288"/>
  <c r="R82" i="288"/>
  <c r="S82" i="288"/>
  <c r="T82" i="288"/>
  <c r="U82" i="288"/>
  <c r="V82" i="288"/>
  <c r="W82" i="288"/>
  <c r="AC82" i="288"/>
  <c r="AD82" i="288"/>
  <c r="AE82" i="288" s="1"/>
  <c r="AF82" i="288"/>
  <c r="AJ82" i="288"/>
  <c r="AM82" i="288" s="1"/>
  <c r="AP82" i="288" s="1"/>
  <c r="AK82" i="288"/>
  <c r="AL82" i="288"/>
  <c r="AN82" i="288"/>
  <c r="AR82" i="288"/>
  <c r="AV82" i="288"/>
  <c r="G83" i="288"/>
  <c r="H83" i="288"/>
  <c r="I83" i="288"/>
  <c r="J83" i="288"/>
  <c r="K83" i="288"/>
  <c r="L83" i="288"/>
  <c r="M83" i="288"/>
  <c r="N83" i="288"/>
  <c r="O83" i="288"/>
  <c r="P83" i="288"/>
  <c r="Q83" i="288"/>
  <c r="R83" i="288"/>
  <c r="S83" i="288"/>
  <c r="T83" i="288"/>
  <c r="U83" i="288"/>
  <c r="V83" i="288"/>
  <c r="W83" i="288"/>
  <c r="Z83" i="288"/>
  <c r="AC83" i="288"/>
  <c r="AE83" i="288" s="1"/>
  <c r="AF83" i="288" s="1"/>
  <c r="AD83" i="288"/>
  <c r="AJ83" i="288"/>
  <c r="AM83" i="288" s="1"/>
  <c r="AK83" i="288"/>
  <c r="AL83" i="288"/>
  <c r="AR83" i="288"/>
  <c r="AV83" i="288"/>
  <c r="G84" i="288"/>
  <c r="H84" i="288"/>
  <c r="I84" i="288"/>
  <c r="J84" i="288"/>
  <c r="K84" i="288"/>
  <c r="L84" i="288"/>
  <c r="M84" i="288"/>
  <c r="N84" i="288"/>
  <c r="O84" i="288"/>
  <c r="P84" i="288"/>
  <c r="Q84" i="288"/>
  <c r="R84" i="288"/>
  <c r="S84" i="288"/>
  <c r="T84" i="288"/>
  <c r="U84" i="288"/>
  <c r="V84" i="288"/>
  <c r="W84" i="288"/>
  <c r="AC84" i="288"/>
  <c r="AD84" i="288"/>
  <c r="AE84" i="288" s="1"/>
  <c r="AF84" i="288" s="1"/>
  <c r="AJ84" i="288"/>
  <c r="AM84" i="288" s="1"/>
  <c r="AP84" i="288" s="1"/>
  <c r="AK84" i="288"/>
  <c r="AL84" i="288"/>
  <c r="AN84" i="288"/>
  <c r="AR84" i="288"/>
  <c r="AV84" i="288"/>
  <c r="G85" i="288"/>
  <c r="H85" i="288"/>
  <c r="I85" i="288"/>
  <c r="J85" i="288"/>
  <c r="K85" i="288"/>
  <c r="L85" i="288"/>
  <c r="M85" i="288"/>
  <c r="N85" i="288"/>
  <c r="O85" i="288"/>
  <c r="P85" i="288"/>
  <c r="Q85" i="288"/>
  <c r="R85" i="288"/>
  <c r="S85" i="288"/>
  <c r="T85" i="288"/>
  <c r="U85" i="288"/>
  <c r="V85" i="288"/>
  <c r="W85" i="288"/>
  <c r="Z85" i="288"/>
  <c r="AC85" i="288"/>
  <c r="AD85" i="288"/>
  <c r="AJ85" i="288"/>
  <c r="AK85" i="288"/>
  <c r="AL85" i="288"/>
  <c r="AR85" i="288"/>
  <c r="AV85" i="288"/>
  <c r="G86" i="288"/>
  <c r="H86" i="288"/>
  <c r="I86" i="288"/>
  <c r="J86" i="288"/>
  <c r="K86" i="288"/>
  <c r="L86" i="288"/>
  <c r="M86" i="288"/>
  <c r="N86" i="288"/>
  <c r="O86" i="288"/>
  <c r="P86" i="288"/>
  <c r="Q86" i="288"/>
  <c r="R86" i="288"/>
  <c r="S86" i="288"/>
  <c r="T86" i="288"/>
  <c r="U86" i="288"/>
  <c r="V86" i="288"/>
  <c r="W86" i="288"/>
  <c r="AC86" i="288"/>
  <c r="AD86" i="288"/>
  <c r="AE86" i="288" s="1"/>
  <c r="AF86" i="288"/>
  <c r="AJ86" i="288"/>
  <c r="AM86" i="288" s="1"/>
  <c r="AP86" i="288" s="1"/>
  <c r="AK86" i="288"/>
  <c r="AL86" i="288"/>
  <c r="AN86" i="288"/>
  <c r="AR86" i="288"/>
  <c r="AV86" i="288"/>
  <c r="G87" i="288"/>
  <c r="H87" i="288"/>
  <c r="I87" i="288"/>
  <c r="J87" i="288"/>
  <c r="K87" i="288"/>
  <c r="L87" i="288"/>
  <c r="M87" i="288"/>
  <c r="N87" i="288"/>
  <c r="O87" i="288"/>
  <c r="P87" i="288"/>
  <c r="Q87" i="288"/>
  <c r="R87" i="288"/>
  <c r="S87" i="288"/>
  <c r="T87" i="288"/>
  <c r="U87" i="288"/>
  <c r="V87" i="288"/>
  <c r="W87" i="288"/>
  <c r="Z87" i="288"/>
  <c r="AC87" i="288"/>
  <c r="AE87" i="288" s="1"/>
  <c r="AF87" i="288" s="1"/>
  <c r="AD87" i="288"/>
  <c r="AJ87" i="288"/>
  <c r="AM87" i="288" s="1"/>
  <c r="AK87" i="288"/>
  <c r="AL87" i="288"/>
  <c r="AR87" i="288"/>
  <c r="AV87" i="288"/>
  <c r="G88" i="288"/>
  <c r="H88" i="288"/>
  <c r="I88" i="288"/>
  <c r="J88" i="288"/>
  <c r="K88" i="288"/>
  <c r="L88" i="288"/>
  <c r="M88" i="288"/>
  <c r="N88" i="288"/>
  <c r="O88" i="288"/>
  <c r="P88" i="288"/>
  <c r="Q88" i="288"/>
  <c r="R88" i="288"/>
  <c r="S88" i="288"/>
  <c r="T88" i="288"/>
  <c r="U88" i="288"/>
  <c r="V88" i="288"/>
  <c r="W88" i="288"/>
  <c r="AC88" i="288"/>
  <c r="AD88" i="288"/>
  <c r="AE88" i="288" s="1"/>
  <c r="AF88" i="288" s="1"/>
  <c r="AJ88" i="288"/>
  <c r="AM88" i="288" s="1"/>
  <c r="AP88" i="288" s="1"/>
  <c r="AK88" i="288"/>
  <c r="AL88" i="288"/>
  <c r="AN88" i="288"/>
  <c r="AR88" i="288"/>
  <c r="AV88" i="288"/>
  <c r="G89" i="288"/>
  <c r="H89" i="288"/>
  <c r="I89" i="288"/>
  <c r="J89" i="288"/>
  <c r="K89" i="288"/>
  <c r="L89" i="288"/>
  <c r="M89" i="288"/>
  <c r="N89" i="288"/>
  <c r="O89" i="288"/>
  <c r="P89" i="288"/>
  <c r="Q89" i="288"/>
  <c r="R89" i="288"/>
  <c r="S89" i="288"/>
  <c r="T89" i="288"/>
  <c r="U89" i="288"/>
  <c r="V89" i="288"/>
  <c r="W89" i="288"/>
  <c r="Z89" i="288"/>
  <c r="AC89" i="288"/>
  <c r="AD89" i="288"/>
  <c r="AJ89" i="288"/>
  <c r="AK89" i="288"/>
  <c r="AL89" i="288"/>
  <c r="AR89" i="288"/>
  <c r="AV89" i="288"/>
  <c r="G90" i="288"/>
  <c r="H90" i="288"/>
  <c r="I90" i="288"/>
  <c r="J90" i="288"/>
  <c r="K90" i="288"/>
  <c r="L90" i="288"/>
  <c r="M90" i="288"/>
  <c r="N90" i="288"/>
  <c r="O90" i="288"/>
  <c r="P90" i="288"/>
  <c r="Q90" i="288"/>
  <c r="R90" i="288"/>
  <c r="S90" i="288"/>
  <c r="T90" i="288"/>
  <c r="U90" i="288"/>
  <c r="V90" i="288"/>
  <c r="W90" i="288"/>
  <c r="AC90" i="288"/>
  <c r="AD90" i="288"/>
  <c r="AE90" i="288" s="1"/>
  <c r="AF90" i="288"/>
  <c r="AJ90" i="288"/>
  <c r="AM90" i="288" s="1"/>
  <c r="AP90" i="288" s="1"/>
  <c r="AK90" i="288"/>
  <c r="AL90" i="288"/>
  <c r="AN90" i="288"/>
  <c r="AR90" i="288"/>
  <c r="AV90" i="288"/>
  <c r="G91" i="288"/>
  <c r="H91" i="288"/>
  <c r="I91" i="288"/>
  <c r="J91" i="288"/>
  <c r="K91" i="288"/>
  <c r="L91" i="288"/>
  <c r="M91" i="288"/>
  <c r="N91" i="288"/>
  <c r="O91" i="288"/>
  <c r="P91" i="288"/>
  <c r="Q91" i="288"/>
  <c r="R91" i="288"/>
  <c r="S91" i="288"/>
  <c r="T91" i="288"/>
  <c r="U91" i="288"/>
  <c r="V91" i="288"/>
  <c r="W91" i="288"/>
  <c r="Z91" i="288"/>
  <c r="AC91" i="288"/>
  <c r="AE91" i="288" s="1"/>
  <c r="AF91" i="288" s="1"/>
  <c r="AD91" i="288"/>
  <c r="AJ91" i="288"/>
  <c r="AM91" i="288" s="1"/>
  <c r="AK91" i="288"/>
  <c r="AL91" i="288"/>
  <c r="AR91" i="288"/>
  <c r="AV91" i="288"/>
  <c r="G92" i="288"/>
  <c r="H92" i="288"/>
  <c r="I92" i="288"/>
  <c r="J92" i="288"/>
  <c r="K92" i="288"/>
  <c r="L92" i="288"/>
  <c r="M92" i="288"/>
  <c r="N92" i="288"/>
  <c r="O92" i="288"/>
  <c r="P92" i="288"/>
  <c r="Q92" i="288"/>
  <c r="R92" i="288"/>
  <c r="S92" i="288"/>
  <c r="T92" i="288"/>
  <c r="U92" i="288"/>
  <c r="V92" i="288"/>
  <c r="W92" i="288"/>
  <c r="AC92" i="288"/>
  <c r="AD92" i="288"/>
  <c r="AE92" i="288" s="1"/>
  <c r="AF92" i="288" s="1"/>
  <c r="AJ92" i="288"/>
  <c r="AM92" i="288" s="1"/>
  <c r="AP92" i="288" s="1"/>
  <c r="AK92" i="288"/>
  <c r="AL92" i="288"/>
  <c r="AN92" i="288"/>
  <c r="AR92" i="288"/>
  <c r="AV92" i="288"/>
  <c r="G93" i="288"/>
  <c r="H93" i="288"/>
  <c r="I93" i="288"/>
  <c r="J93" i="288"/>
  <c r="K93" i="288"/>
  <c r="L93" i="288"/>
  <c r="M93" i="288"/>
  <c r="N93" i="288"/>
  <c r="O93" i="288"/>
  <c r="P93" i="288"/>
  <c r="Q93" i="288"/>
  <c r="R93" i="288"/>
  <c r="S93" i="288"/>
  <c r="T93" i="288"/>
  <c r="U93" i="288"/>
  <c r="V93" i="288"/>
  <c r="W93" i="288"/>
  <c r="Z93" i="288"/>
  <c r="AC93" i="288"/>
  <c r="AD93" i="288"/>
  <c r="AJ93" i="288"/>
  <c r="AK93" i="288"/>
  <c r="AL93" i="288"/>
  <c r="AR93" i="288"/>
  <c r="AV93" i="288"/>
  <c r="G94" i="288"/>
  <c r="H94" i="288"/>
  <c r="I94" i="288"/>
  <c r="J94" i="288"/>
  <c r="K94" i="288"/>
  <c r="L94" i="288"/>
  <c r="M94" i="288"/>
  <c r="N94" i="288"/>
  <c r="O94" i="288"/>
  <c r="P94" i="288"/>
  <c r="Q94" i="288"/>
  <c r="R94" i="288"/>
  <c r="S94" i="288"/>
  <c r="T94" i="288"/>
  <c r="U94" i="288"/>
  <c r="V94" i="288"/>
  <c r="W94" i="288"/>
  <c r="AC94" i="288"/>
  <c r="AD94" i="288"/>
  <c r="AE94" i="288" s="1"/>
  <c r="AF94" i="288"/>
  <c r="AJ94" i="288"/>
  <c r="AM94" i="288" s="1"/>
  <c r="AP94" i="288" s="1"/>
  <c r="AK94" i="288"/>
  <c r="AL94" i="288"/>
  <c r="AN94" i="288"/>
  <c r="AR94" i="288"/>
  <c r="AV94" i="288"/>
  <c r="G95" i="288"/>
  <c r="H95" i="288"/>
  <c r="I95" i="288"/>
  <c r="J95" i="288"/>
  <c r="K95" i="288"/>
  <c r="L95" i="288"/>
  <c r="M95" i="288"/>
  <c r="N95" i="288"/>
  <c r="O95" i="288"/>
  <c r="P95" i="288"/>
  <c r="Q95" i="288"/>
  <c r="R95" i="288"/>
  <c r="S95" i="288"/>
  <c r="T95" i="288"/>
  <c r="U95" i="288"/>
  <c r="V95" i="288"/>
  <c r="W95" i="288"/>
  <c r="Z95" i="288"/>
  <c r="AC95" i="288"/>
  <c r="AE95" i="288" s="1"/>
  <c r="AF95" i="288" s="1"/>
  <c r="AD95" i="288"/>
  <c r="AJ95" i="288"/>
  <c r="AM95" i="288" s="1"/>
  <c r="AK95" i="288"/>
  <c r="AL95" i="288"/>
  <c r="AR95" i="288"/>
  <c r="AV95" i="288"/>
  <c r="G96" i="288"/>
  <c r="H96" i="288"/>
  <c r="I96" i="288"/>
  <c r="J96" i="288"/>
  <c r="K96" i="288"/>
  <c r="L96" i="288"/>
  <c r="M96" i="288"/>
  <c r="N96" i="288"/>
  <c r="O96" i="288"/>
  <c r="P96" i="288"/>
  <c r="Q96" i="288"/>
  <c r="R96" i="288"/>
  <c r="S96" i="288"/>
  <c r="T96" i="288"/>
  <c r="U96" i="288"/>
  <c r="V96" i="288"/>
  <c r="W96" i="288"/>
  <c r="AC96" i="288"/>
  <c r="AD96" i="288"/>
  <c r="AE96" i="288" s="1"/>
  <c r="AF96" i="288" s="1"/>
  <c r="AJ96" i="288"/>
  <c r="AM96" i="288" s="1"/>
  <c r="AP96" i="288" s="1"/>
  <c r="AK96" i="288"/>
  <c r="AL96" i="288"/>
  <c r="AN96" i="288"/>
  <c r="AR96" i="288"/>
  <c r="AV96" i="288"/>
  <c r="G97" i="288"/>
  <c r="H97" i="288"/>
  <c r="I97" i="288"/>
  <c r="J97" i="288"/>
  <c r="K97" i="288"/>
  <c r="L97" i="288"/>
  <c r="M97" i="288"/>
  <c r="N97" i="288"/>
  <c r="O97" i="288"/>
  <c r="P97" i="288"/>
  <c r="Q97" i="288"/>
  <c r="R97" i="288"/>
  <c r="S97" i="288"/>
  <c r="T97" i="288"/>
  <c r="U97" i="288"/>
  <c r="V97" i="288"/>
  <c r="W97" i="288"/>
  <c r="Z97" i="288"/>
  <c r="AC97" i="288"/>
  <c r="AD97" i="288"/>
  <c r="AJ97" i="288"/>
  <c r="AK97" i="288"/>
  <c r="AL97" i="288"/>
  <c r="AR97" i="288"/>
  <c r="AV97" i="288"/>
  <c r="G98" i="288"/>
  <c r="H98" i="288"/>
  <c r="I98" i="288"/>
  <c r="J98" i="288"/>
  <c r="K98" i="288"/>
  <c r="L98" i="288"/>
  <c r="M98" i="288"/>
  <c r="N98" i="288"/>
  <c r="O98" i="288"/>
  <c r="P98" i="288"/>
  <c r="Q98" i="288"/>
  <c r="R98" i="288"/>
  <c r="S98" i="288"/>
  <c r="T98" i="288"/>
  <c r="U98" i="288"/>
  <c r="V98" i="288"/>
  <c r="W98" i="288"/>
  <c r="AC98" i="288"/>
  <c r="AD98" i="288"/>
  <c r="AE98" i="288" s="1"/>
  <c r="AF98" i="288"/>
  <c r="AJ98" i="288"/>
  <c r="AK98" i="288"/>
  <c r="AL98" i="288"/>
  <c r="AR98" i="288"/>
  <c r="AV98" i="288"/>
  <c r="G99" i="288"/>
  <c r="H99" i="288"/>
  <c r="I99" i="288"/>
  <c r="J99" i="288"/>
  <c r="K99" i="288"/>
  <c r="L99" i="288"/>
  <c r="M99" i="288"/>
  <c r="N99" i="288"/>
  <c r="O99" i="288"/>
  <c r="P99" i="288"/>
  <c r="Q99" i="288"/>
  <c r="R99" i="288"/>
  <c r="S99" i="288"/>
  <c r="T99" i="288"/>
  <c r="U99" i="288"/>
  <c r="V99" i="288"/>
  <c r="W99" i="288"/>
  <c r="AC99" i="288"/>
  <c r="AD99" i="288"/>
  <c r="AE99" i="288"/>
  <c r="AF99" i="288" s="1"/>
  <c r="AJ99" i="288"/>
  <c r="AK99" i="288"/>
  <c r="AL99" i="288"/>
  <c r="AM99" i="288"/>
  <c r="AP99" i="288"/>
  <c r="AV99" i="288"/>
  <c r="G100" i="288"/>
  <c r="H100" i="288"/>
  <c r="I100" i="288"/>
  <c r="J100" i="288"/>
  <c r="K100" i="288"/>
  <c r="L100" i="288"/>
  <c r="M100" i="288"/>
  <c r="N100" i="288"/>
  <c r="O100" i="288"/>
  <c r="P100" i="288"/>
  <c r="Q100" i="288"/>
  <c r="R100" i="288"/>
  <c r="S100" i="288"/>
  <c r="T100" i="288"/>
  <c r="U100" i="288"/>
  <c r="V100" i="288"/>
  <c r="W100" i="288"/>
  <c r="Z100" i="288"/>
  <c r="AB100" i="288" s="1"/>
  <c r="AC100" i="288"/>
  <c r="AD100" i="288"/>
  <c r="AJ100" i="288"/>
  <c r="AK100" i="288"/>
  <c r="AL100" i="288"/>
  <c r="AM100" i="288" s="1"/>
  <c r="AP100" i="288" s="1"/>
  <c r="AV100" i="288"/>
  <c r="G101" i="288"/>
  <c r="H101" i="288"/>
  <c r="I101" i="288"/>
  <c r="J101" i="288"/>
  <c r="K101" i="288"/>
  <c r="L101" i="288"/>
  <c r="M101" i="288"/>
  <c r="N101" i="288"/>
  <c r="O101" i="288"/>
  <c r="P101" i="288"/>
  <c r="Q101" i="288"/>
  <c r="R101" i="288"/>
  <c r="S101" i="288"/>
  <c r="T101" i="288"/>
  <c r="U101" i="288"/>
  <c r="V101" i="288"/>
  <c r="W101" i="288"/>
  <c r="AC101" i="288"/>
  <c r="AE101" i="288" s="1"/>
  <c r="AF101" i="288" s="1"/>
  <c r="AD101" i="288"/>
  <c r="AJ101" i="288"/>
  <c r="AK101" i="288"/>
  <c r="AL101" i="288"/>
  <c r="AM101" i="288"/>
  <c r="AP101" i="288" s="1"/>
  <c r="AV101" i="288"/>
  <c r="G102" i="288"/>
  <c r="H102" i="288"/>
  <c r="I102" i="288"/>
  <c r="J102" i="288"/>
  <c r="Z102" i="288" s="1"/>
  <c r="K102" i="288"/>
  <c r="L102" i="288"/>
  <c r="M102" i="288"/>
  <c r="N102" i="288"/>
  <c r="O102" i="288"/>
  <c r="P102" i="288"/>
  <c r="Q102" i="288"/>
  <c r="R102" i="288"/>
  <c r="S102" i="288"/>
  <c r="T102" i="288"/>
  <c r="U102" i="288"/>
  <c r="V102" i="288"/>
  <c r="W102" i="288"/>
  <c r="AC102" i="288"/>
  <c r="AD102" i="288"/>
  <c r="AE102" i="288" s="1"/>
  <c r="AF102" i="288"/>
  <c r="AJ102" i="288"/>
  <c r="AK102" i="288"/>
  <c r="AL102" i="288"/>
  <c r="AM102" i="288" s="1"/>
  <c r="AP102" i="288" s="1"/>
  <c r="AN102" i="288"/>
  <c r="AQ102" i="288"/>
  <c r="AR102" i="288" s="1"/>
  <c r="AV102" i="288"/>
  <c r="G103" i="288"/>
  <c r="H103" i="288"/>
  <c r="I103" i="288"/>
  <c r="J103" i="288"/>
  <c r="K103" i="288"/>
  <c r="L103" i="288"/>
  <c r="M103" i="288"/>
  <c r="N103" i="288"/>
  <c r="O103" i="288"/>
  <c r="P103" i="288"/>
  <c r="Q103" i="288"/>
  <c r="R103" i="288"/>
  <c r="S103" i="288"/>
  <c r="T103" i="288"/>
  <c r="U103" i="288"/>
  <c r="V103" i="288"/>
  <c r="W103" i="288"/>
  <c r="AC103" i="288"/>
  <c r="AD103" i="288"/>
  <c r="AE103" i="288"/>
  <c r="AF103" i="288" s="1"/>
  <c r="AJ103" i="288"/>
  <c r="AK103" i="288"/>
  <c r="AL103" i="288"/>
  <c r="AM103" i="288"/>
  <c r="AP103" i="288"/>
  <c r="AV103" i="288"/>
  <c r="G104" i="288"/>
  <c r="H104" i="288"/>
  <c r="I104" i="288"/>
  <c r="J104" i="288"/>
  <c r="K104" i="288"/>
  <c r="L104" i="288"/>
  <c r="M104" i="288"/>
  <c r="N104" i="288"/>
  <c r="O104" i="288"/>
  <c r="P104" i="288"/>
  <c r="Q104" i="288"/>
  <c r="R104" i="288"/>
  <c r="S104" i="288"/>
  <c r="T104" i="288"/>
  <c r="U104" i="288"/>
  <c r="V104" i="288"/>
  <c r="W104" i="288"/>
  <c r="Z104" i="288"/>
  <c r="AB104" i="288" s="1"/>
  <c r="AC104" i="288"/>
  <c r="AD104" i="288"/>
  <c r="AJ104" i="288"/>
  <c r="AK104" i="288"/>
  <c r="AL104" i="288"/>
  <c r="AM104" i="288" s="1"/>
  <c r="AP104" i="288" s="1"/>
  <c r="AV104" i="288"/>
  <c r="G105" i="288"/>
  <c r="H105" i="288"/>
  <c r="I105" i="288"/>
  <c r="J105" i="288"/>
  <c r="K105" i="288"/>
  <c r="L105" i="288"/>
  <c r="M105" i="288"/>
  <c r="N105" i="288"/>
  <c r="O105" i="288"/>
  <c r="P105" i="288"/>
  <c r="Q105" i="288"/>
  <c r="R105" i="288"/>
  <c r="S105" i="288"/>
  <c r="T105" i="288"/>
  <c r="U105" i="288"/>
  <c r="V105" i="288"/>
  <c r="W105" i="288"/>
  <c r="AC105" i="288"/>
  <c r="AE105" i="288" s="1"/>
  <c r="AF105" i="288" s="1"/>
  <c r="AD105" i="288"/>
  <c r="AJ105" i="288"/>
  <c r="AK105" i="288"/>
  <c r="AL105" i="288"/>
  <c r="AM105" i="288"/>
  <c r="AP105" i="288" s="1"/>
  <c r="AV105" i="288"/>
  <c r="G106" i="288"/>
  <c r="H106" i="288"/>
  <c r="I106" i="288"/>
  <c r="J106" i="288"/>
  <c r="Z106" i="288" s="1"/>
  <c r="K106" i="288"/>
  <c r="L106" i="288"/>
  <c r="M106" i="288"/>
  <c r="N106" i="288"/>
  <c r="O106" i="288"/>
  <c r="P106" i="288"/>
  <c r="Q106" i="288"/>
  <c r="R106" i="288"/>
  <c r="S106" i="288"/>
  <c r="T106" i="288"/>
  <c r="U106" i="288"/>
  <c r="V106" i="288"/>
  <c r="W106" i="288"/>
  <c r="AC106" i="288"/>
  <c r="AD106" i="288"/>
  <c r="AE106" i="288" s="1"/>
  <c r="AF106" i="288"/>
  <c r="AJ106" i="288"/>
  <c r="AK106" i="288"/>
  <c r="AL106" i="288"/>
  <c r="AM106" i="288" s="1"/>
  <c r="AP106" i="288" s="1"/>
  <c r="AN106" i="288"/>
  <c r="AQ106" i="288"/>
  <c r="AR106" i="288" s="1"/>
  <c r="AV106" i="288"/>
  <c r="G107" i="288"/>
  <c r="H107" i="288"/>
  <c r="I107" i="288"/>
  <c r="J107" i="288"/>
  <c r="K107" i="288"/>
  <c r="L107" i="288"/>
  <c r="M107" i="288"/>
  <c r="N107" i="288"/>
  <c r="O107" i="288"/>
  <c r="P107" i="288"/>
  <c r="Q107" i="288"/>
  <c r="R107" i="288"/>
  <c r="S107" i="288"/>
  <c r="T107" i="288"/>
  <c r="U107" i="288"/>
  <c r="V107" i="288"/>
  <c r="W107" i="288"/>
  <c r="AC107" i="288"/>
  <c r="AD107" i="288"/>
  <c r="AE107" i="288"/>
  <c r="AF107" i="288" s="1"/>
  <c r="AJ107" i="288"/>
  <c r="AK107" i="288"/>
  <c r="AL107" i="288"/>
  <c r="AM107" i="288"/>
  <c r="AP107" i="288"/>
  <c r="AV107" i="288"/>
  <c r="G108" i="288"/>
  <c r="H108" i="288"/>
  <c r="I108" i="288"/>
  <c r="J108" i="288"/>
  <c r="K108" i="288"/>
  <c r="L108" i="288"/>
  <c r="M108" i="288"/>
  <c r="N108" i="288"/>
  <c r="O108" i="288"/>
  <c r="P108" i="288"/>
  <c r="Q108" i="288"/>
  <c r="R108" i="288"/>
  <c r="S108" i="288"/>
  <c r="T108" i="288"/>
  <c r="U108" i="288"/>
  <c r="V108" i="288"/>
  <c r="W108" i="288"/>
  <c r="Z108" i="288"/>
  <c r="AB108" i="288" s="1"/>
  <c r="AC108" i="288"/>
  <c r="AD108" i="288"/>
  <c r="AJ108" i="288"/>
  <c r="AK108" i="288"/>
  <c r="AL108" i="288"/>
  <c r="AM108" i="288" s="1"/>
  <c r="AP108" i="288" s="1"/>
  <c r="AV108" i="288"/>
  <c r="G109" i="288"/>
  <c r="H109" i="288"/>
  <c r="I109" i="288"/>
  <c r="J109" i="288"/>
  <c r="K109" i="288"/>
  <c r="L109" i="288"/>
  <c r="M109" i="288"/>
  <c r="N109" i="288"/>
  <c r="O109" i="288"/>
  <c r="P109" i="288"/>
  <c r="Q109" i="288"/>
  <c r="R109" i="288"/>
  <c r="S109" i="288"/>
  <c r="T109" i="288"/>
  <c r="U109" i="288"/>
  <c r="V109" i="288"/>
  <c r="W109" i="288"/>
  <c r="AC109" i="288"/>
  <c r="AE109" i="288" s="1"/>
  <c r="AF109" i="288" s="1"/>
  <c r="AD109" i="288"/>
  <c r="AJ109" i="288"/>
  <c r="AK109" i="288"/>
  <c r="AL109" i="288"/>
  <c r="AM109" i="288"/>
  <c r="AP109" i="288" s="1"/>
  <c r="AV109" i="288"/>
  <c r="G110" i="288"/>
  <c r="H110" i="288"/>
  <c r="I110" i="288"/>
  <c r="J110" i="288"/>
  <c r="Z110" i="288" s="1"/>
  <c r="K110" i="288"/>
  <c r="L110" i="288"/>
  <c r="M110" i="288"/>
  <c r="N110" i="288"/>
  <c r="O110" i="288"/>
  <c r="P110" i="288"/>
  <c r="Q110" i="288"/>
  <c r="R110" i="288"/>
  <c r="S110" i="288"/>
  <c r="T110" i="288"/>
  <c r="U110" i="288"/>
  <c r="V110" i="288"/>
  <c r="W110" i="288"/>
  <c r="AC110" i="288"/>
  <c r="AD110" i="288"/>
  <c r="AE110" i="288" s="1"/>
  <c r="AF110" i="288"/>
  <c r="AJ110" i="288"/>
  <c r="AK110" i="288"/>
  <c r="AL110" i="288"/>
  <c r="AM110" i="288" s="1"/>
  <c r="AP110" i="288" s="1"/>
  <c r="AN110" i="288"/>
  <c r="AQ110" i="288"/>
  <c r="AR110" i="288" s="1"/>
  <c r="AV110" i="288"/>
  <c r="G111" i="288"/>
  <c r="H111" i="288"/>
  <c r="I111" i="288"/>
  <c r="J111" i="288"/>
  <c r="K111" i="288"/>
  <c r="L111" i="288"/>
  <c r="M111" i="288"/>
  <c r="N111" i="288"/>
  <c r="O111" i="288"/>
  <c r="P111" i="288"/>
  <c r="Q111" i="288"/>
  <c r="R111" i="288"/>
  <c r="S111" i="288"/>
  <c r="T111" i="288"/>
  <c r="U111" i="288"/>
  <c r="V111" i="288"/>
  <c r="W111" i="288"/>
  <c r="AC111" i="288"/>
  <c r="AD111" i="288"/>
  <c r="AE111" i="288"/>
  <c r="AF111" i="288" s="1"/>
  <c r="AJ111" i="288"/>
  <c r="AK111" i="288"/>
  <c r="AL111" i="288"/>
  <c r="AM111" i="288"/>
  <c r="AP111" i="288"/>
  <c r="AV111" i="288"/>
  <c r="G112" i="288"/>
  <c r="H112" i="288"/>
  <c r="I112" i="288"/>
  <c r="J112" i="288"/>
  <c r="K112" i="288"/>
  <c r="L112" i="288"/>
  <c r="M112" i="288"/>
  <c r="N112" i="288"/>
  <c r="O112" i="288"/>
  <c r="P112" i="288"/>
  <c r="Q112" i="288"/>
  <c r="R112" i="288"/>
  <c r="S112" i="288"/>
  <c r="T112" i="288"/>
  <c r="U112" i="288"/>
  <c r="V112" i="288"/>
  <c r="W112" i="288"/>
  <c r="Z112" i="288"/>
  <c r="AB112" i="288" s="1"/>
  <c r="AC112" i="288"/>
  <c r="AD112" i="288"/>
  <c r="AJ112" i="288"/>
  <c r="AK112" i="288"/>
  <c r="AL112" i="288"/>
  <c r="AM112" i="288" s="1"/>
  <c r="AP112" i="288" s="1"/>
  <c r="AV112" i="288"/>
  <c r="G113" i="288"/>
  <c r="H113" i="288"/>
  <c r="I113" i="288"/>
  <c r="J113" i="288"/>
  <c r="K113" i="288"/>
  <c r="L113" i="288"/>
  <c r="M113" i="288"/>
  <c r="N113" i="288"/>
  <c r="O113" i="288"/>
  <c r="P113" i="288"/>
  <c r="Q113" i="288"/>
  <c r="R113" i="288"/>
  <c r="S113" i="288"/>
  <c r="T113" i="288"/>
  <c r="U113" i="288"/>
  <c r="V113" i="288"/>
  <c r="W113" i="288"/>
  <c r="AC113" i="288"/>
  <c r="AE113" i="288" s="1"/>
  <c r="AF113" i="288" s="1"/>
  <c r="AD113" i="288"/>
  <c r="AJ113" i="288"/>
  <c r="AK113" i="288"/>
  <c r="AL113" i="288"/>
  <c r="AM113" i="288"/>
  <c r="AP113" i="288" s="1"/>
  <c r="AV113" i="288"/>
  <c r="G114" i="288"/>
  <c r="H114" i="288"/>
  <c r="I114" i="288"/>
  <c r="J114" i="288"/>
  <c r="Z114" i="288" s="1"/>
  <c r="K114" i="288"/>
  <c r="L114" i="288"/>
  <c r="M114" i="288"/>
  <c r="N114" i="288"/>
  <c r="O114" i="288"/>
  <c r="P114" i="288"/>
  <c r="Q114" i="288"/>
  <c r="R114" i="288"/>
  <c r="S114" i="288"/>
  <c r="T114" i="288"/>
  <c r="U114" i="288"/>
  <c r="V114" i="288"/>
  <c r="W114" i="288"/>
  <c r="AC114" i="288"/>
  <c r="AD114" i="288"/>
  <c r="AE114" i="288" s="1"/>
  <c r="AF114" i="288"/>
  <c r="AJ114" i="288"/>
  <c r="AK114" i="288"/>
  <c r="AL114" i="288"/>
  <c r="AM114" i="288" s="1"/>
  <c r="AP114" i="288" s="1"/>
  <c r="AN114" i="288"/>
  <c r="AQ114" i="288"/>
  <c r="AR114" i="288" s="1"/>
  <c r="AV114" i="288"/>
  <c r="G115" i="288"/>
  <c r="H115" i="288"/>
  <c r="I115" i="288"/>
  <c r="J115" i="288"/>
  <c r="K115" i="288"/>
  <c r="L115" i="288"/>
  <c r="M115" i="288"/>
  <c r="N115" i="288"/>
  <c r="O115" i="288"/>
  <c r="P115" i="288"/>
  <c r="Q115" i="288"/>
  <c r="R115" i="288"/>
  <c r="S115" i="288"/>
  <c r="T115" i="288"/>
  <c r="U115" i="288"/>
  <c r="V115" i="288"/>
  <c r="W115" i="288"/>
  <c r="AC115" i="288"/>
  <c r="AD115" i="288"/>
  <c r="AE115" i="288"/>
  <c r="AF115" i="288" s="1"/>
  <c r="AJ115" i="288"/>
  <c r="AK115" i="288"/>
  <c r="AL115" i="288"/>
  <c r="AM115" i="288"/>
  <c r="AP115" i="288"/>
  <c r="AV115" i="288"/>
  <c r="G116" i="288"/>
  <c r="H116" i="288"/>
  <c r="I116" i="288"/>
  <c r="J116" i="288"/>
  <c r="K116" i="288"/>
  <c r="L116" i="288"/>
  <c r="M116" i="288"/>
  <c r="N116" i="288"/>
  <c r="O116" i="288"/>
  <c r="P116" i="288"/>
  <c r="Q116" i="288"/>
  <c r="R116" i="288"/>
  <c r="S116" i="288"/>
  <c r="T116" i="288"/>
  <c r="U116" i="288"/>
  <c r="V116" i="288"/>
  <c r="W116" i="288"/>
  <c r="Z116" i="288"/>
  <c r="AB116" i="288" s="1"/>
  <c r="AC116" i="288"/>
  <c r="AD116" i="288"/>
  <c r="AJ116" i="288"/>
  <c r="AK116" i="288"/>
  <c r="AL116" i="288"/>
  <c r="AM116" i="288" s="1"/>
  <c r="AP116" i="288" s="1"/>
  <c r="AV116" i="288"/>
  <c r="G117" i="288"/>
  <c r="H117" i="288"/>
  <c r="I117" i="288"/>
  <c r="J117" i="288"/>
  <c r="K117" i="288"/>
  <c r="L117" i="288"/>
  <c r="M117" i="288"/>
  <c r="N117" i="288"/>
  <c r="O117" i="288"/>
  <c r="P117" i="288"/>
  <c r="Q117" i="288"/>
  <c r="R117" i="288"/>
  <c r="S117" i="288"/>
  <c r="T117" i="288"/>
  <c r="U117" i="288"/>
  <c r="V117" i="288"/>
  <c r="W117" i="288"/>
  <c r="AC117" i="288"/>
  <c r="AE117" i="288" s="1"/>
  <c r="AF117" i="288" s="1"/>
  <c r="AD117" i="288"/>
  <c r="AJ117" i="288"/>
  <c r="AK117" i="288"/>
  <c r="AL117" i="288"/>
  <c r="AN117" i="288"/>
  <c r="AP117" i="288"/>
  <c r="AQ117" i="288"/>
  <c r="AR117" i="288" s="1"/>
  <c r="AV117" i="288"/>
  <c r="G118" i="288"/>
  <c r="H118" i="288"/>
  <c r="I118" i="288"/>
  <c r="J118" i="288"/>
  <c r="K118" i="288"/>
  <c r="L118" i="288"/>
  <c r="M118" i="288"/>
  <c r="N118" i="288"/>
  <c r="O118" i="288"/>
  <c r="P118" i="288"/>
  <c r="Q118" i="288"/>
  <c r="R118" i="288"/>
  <c r="S118" i="288"/>
  <c r="T118" i="288"/>
  <c r="U118" i="288"/>
  <c r="V118" i="288"/>
  <c r="W118" i="288"/>
  <c r="AC118" i="288"/>
  <c r="AE118" i="288" s="1"/>
  <c r="AF118" i="288" s="1"/>
  <c r="AD118" i="288"/>
  <c r="AJ118" i="288"/>
  <c r="AK118" i="288"/>
  <c r="AL118" i="288"/>
  <c r="AN118" i="288"/>
  <c r="AP118" i="288"/>
  <c r="AQ118" i="288"/>
  <c r="AR118" i="288" s="1"/>
  <c r="AV118" i="288"/>
  <c r="G119" i="288"/>
  <c r="H119" i="288"/>
  <c r="I119" i="288"/>
  <c r="J119" i="288"/>
  <c r="K119" i="288"/>
  <c r="L119" i="288"/>
  <c r="M119" i="288"/>
  <c r="N119" i="288"/>
  <c r="O119" i="288"/>
  <c r="P119" i="288"/>
  <c r="Q119" i="288"/>
  <c r="R119" i="288"/>
  <c r="S119" i="288"/>
  <c r="T119" i="288"/>
  <c r="U119" i="288"/>
  <c r="V119" i="288"/>
  <c r="W119" i="288"/>
  <c r="AC119" i="288"/>
  <c r="AE119" i="288" s="1"/>
  <c r="AF119" i="288" s="1"/>
  <c r="AD119" i="288"/>
  <c r="AJ119" i="288"/>
  <c r="AK119" i="288"/>
  <c r="AL119" i="288"/>
  <c r="AN119" i="288"/>
  <c r="AP119" i="288"/>
  <c r="AQ119" i="288"/>
  <c r="AR119" i="288" s="1"/>
  <c r="AV119" i="288"/>
  <c r="G120" i="288"/>
  <c r="H120" i="288"/>
  <c r="I120" i="288"/>
  <c r="J120" i="288"/>
  <c r="K120" i="288"/>
  <c r="L120" i="288"/>
  <c r="M120" i="288"/>
  <c r="N120" i="288"/>
  <c r="O120" i="288"/>
  <c r="P120" i="288"/>
  <c r="Q120" i="288"/>
  <c r="R120" i="288"/>
  <c r="S120" i="288"/>
  <c r="T120" i="288"/>
  <c r="U120" i="288"/>
  <c r="V120" i="288"/>
  <c r="W120" i="288"/>
  <c r="AC120" i="288"/>
  <c r="AE120" i="288" s="1"/>
  <c r="AF120" i="288" s="1"/>
  <c r="AD120" i="288"/>
  <c r="AJ120" i="288"/>
  <c r="AK120" i="288"/>
  <c r="AL120" i="288"/>
  <c r="AN120" i="288"/>
  <c r="AP120" i="288"/>
  <c r="AQ120" i="288"/>
  <c r="AR120" i="288" s="1"/>
  <c r="AV120" i="288"/>
  <c r="G121" i="288"/>
  <c r="H121" i="288"/>
  <c r="I121" i="288"/>
  <c r="J121" i="288"/>
  <c r="K121" i="288"/>
  <c r="L121" i="288"/>
  <c r="M121" i="288"/>
  <c r="N121" i="288"/>
  <c r="O121" i="288"/>
  <c r="P121" i="288"/>
  <c r="Q121" i="288"/>
  <c r="R121" i="288"/>
  <c r="S121" i="288"/>
  <c r="T121" i="288"/>
  <c r="U121" i="288"/>
  <c r="V121" i="288"/>
  <c r="W121" i="288"/>
  <c r="AC121" i="288"/>
  <c r="AE121" i="288" s="1"/>
  <c r="AF121" i="288" s="1"/>
  <c r="AD121" i="288"/>
  <c r="AJ121" i="288"/>
  <c r="AK121" i="288"/>
  <c r="AL121" i="288"/>
  <c r="AN121" i="288"/>
  <c r="AP121" i="288"/>
  <c r="AQ121" i="288"/>
  <c r="AR121" i="288" s="1"/>
  <c r="AV121" i="288"/>
  <c r="G122" i="288"/>
  <c r="H122" i="288"/>
  <c r="I122" i="288"/>
  <c r="J122" i="288"/>
  <c r="K122" i="288"/>
  <c r="L122" i="288"/>
  <c r="M122" i="288"/>
  <c r="N122" i="288"/>
  <c r="O122" i="288"/>
  <c r="P122" i="288"/>
  <c r="Q122" i="288"/>
  <c r="R122" i="288"/>
  <c r="S122" i="288"/>
  <c r="T122" i="288"/>
  <c r="U122" i="288"/>
  <c r="V122" i="288"/>
  <c r="W122" i="288"/>
  <c r="AC122" i="288"/>
  <c r="AE122" i="288" s="1"/>
  <c r="AF122" i="288" s="1"/>
  <c r="AD122" i="288"/>
  <c r="AJ122" i="288"/>
  <c r="AK122" i="288"/>
  <c r="AL122" i="288"/>
  <c r="AN122" i="288"/>
  <c r="AP122" i="288"/>
  <c r="AQ122" i="288"/>
  <c r="AR122" i="288" s="1"/>
  <c r="AV122" i="288"/>
  <c r="G123" i="288"/>
  <c r="H123" i="288"/>
  <c r="I123" i="288"/>
  <c r="J123" i="288"/>
  <c r="K123" i="288"/>
  <c r="L123" i="288"/>
  <c r="M123" i="288"/>
  <c r="N123" i="288"/>
  <c r="O123" i="288"/>
  <c r="P123" i="288"/>
  <c r="Q123" i="288"/>
  <c r="R123" i="288"/>
  <c r="S123" i="288"/>
  <c r="T123" i="288"/>
  <c r="U123" i="288"/>
  <c r="V123" i="288"/>
  <c r="W123" i="288"/>
  <c r="AC123" i="288"/>
  <c r="AE123" i="288" s="1"/>
  <c r="AF123" i="288" s="1"/>
  <c r="AD123" i="288"/>
  <c r="AJ123" i="288"/>
  <c r="AK123" i="288"/>
  <c r="AL123" i="288"/>
  <c r="AN123" i="288"/>
  <c r="AP123" i="288"/>
  <c r="AQ123" i="288"/>
  <c r="AR123" i="288" s="1"/>
  <c r="AV123" i="288"/>
  <c r="G124" i="288"/>
  <c r="H124" i="288"/>
  <c r="I124" i="288"/>
  <c r="J124" i="288"/>
  <c r="K124" i="288"/>
  <c r="L124" i="288"/>
  <c r="M124" i="288"/>
  <c r="N124" i="288"/>
  <c r="O124" i="288"/>
  <c r="P124" i="288"/>
  <c r="Q124" i="288"/>
  <c r="R124" i="288"/>
  <c r="S124" i="288"/>
  <c r="T124" i="288"/>
  <c r="U124" i="288"/>
  <c r="V124" i="288"/>
  <c r="W124" i="288"/>
  <c r="AC124" i="288"/>
  <c r="AE124" i="288" s="1"/>
  <c r="AF124" i="288" s="1"/>
  <c r="AD124" i="288"/>
  <c r="AJ124" i="288"/>
  <c r="AK124" i="288"/>
  <c r="AL124" i="288"/>
  <c r="AN124" i="288"/>
  <c r="AP124" i="288"/>
  <c r="AQ124" i="288"/>
  <c r="AR124" i="288" s="1"/>
  <c r="AV124" i="288"/>
  <c r="G125" i="288"/>
  <c r="H125" i="288"/>
  <c r="I125" i="288"/>
  <c r="J125" i="288"/>
  <c r="K125" i="288"/>
  <c r="L125" i="288"/>
  <c r="M125" i="288"/>
  <c r="N125" i="288"/>
  <c r="O125" i="288"/>
  <c r="P125" i="288"/>
  <c r="Q125" i="288"/>
  <c r="R125" i="288"/>
  <c r="S125" i="288"/>
  <c r="T125" i="288"/>
  <c r="U125" i="288"/>
  <c r="V125" i="288"/>
  <c r="W125" i="288"/>
  <c r="AC125" i="288"/>
  <c r="AE125" i="288" s="1"/>
  <c r="AF125" i="288" s="1"/>
  <c r="AD125" i="288"/>
  <c r="AJ125" i="288"/>
  <c r="AK125" i="288"/>
  <c r="AL125" i="288"/>
  <c r="AM125" i="288"/>
  <c r="AP125" i="288" s="1"/>
  <c r="AV125" i="288"/>
  <c r="G126" i="288"/>
  <c r="H126" i="288"/>
  <c r="I126" i="288"/>
  <c r="J126" i="288"/>
  <c r="Z126" i="288" s="1"/>
  <c r="K126" i="288"/>
  <c r="L126" i="288"/>
  <c r="M126" i="288"/>
  <c r="N126" i="288"/>
  <c r="O126" i="288"/>
  <c r="P126" i="288"/>
  <c r="Q126" i="288"/>
  <c r="R126" i="288"/>
  <c r="S126" i="288"/>
  <c r="T126" i="288"/>
  <c r="U126" i="288"/>
  <c r="V126" i="288"/>
  <c r="W126" i="288"/>
  <c r="AC126" i="288"/>
  <c r="AD126" i="288"/>
  <c r="AE126" i="288" s="1"/>
  <c r="AF126" i="288"/>
  <c r="AJ126" i="288"/>
  <c r="AK126" i="288"/>
  <c r="AL126" i="288"/>
  <c r="AM126" i="288" s="1"/>
  <c r="AP126" i="288" s="1"/>
  <c r="AN126" i="288"/>
  <c r="AQ126" i="288"/>
  <c r="AR126" i="288" s="1"/>
  <c r="AV126" i="288"/>
  <c r="G127" i="288"/>
  <c r="H127" i="288"/>
  <c r="I127" i="288"/>
  <c r="J127" i="288"/>
  <c r="K127" i="288"/>
  <c r="L127" i="288"/>
  <c r="M127" i="288"/>
  <c r="N127" i="288"/>
  <c r="O127" i="288"/>
  <c r="P127" i="288"/>
  <c r="Q127" i="288"/>
  <c r="R127" i="288"/>
  <c r="S127" i="288"/>
  <c r="T127" i="288"/>
  <c r="U127" i="288"/>
  <c r="V127" i="288"/>
  <c r="W127" i="288"/>
  <c r="AC127" i="288"/>
  <c r="AD127" i="288"/>
  <c r="AE127" i="288"/>
  <c r="AF127" i="288" s="1"/>
  <c r="AJ127" i="288"/>
  <c r="AK127" i="288"/>
  <c r="AM127" i="288" s="1"/>
  <c r="AL127" i="288"/>
  <c r="AV127" i="288"/>
  <c r="G128" i="288"/>
  <c r="H128" i="288"/>
  <c r="I128" i="288"/>
  <c r="J128" i="288"/>
  <c r="K128" i="288"/>
  <c r="L128" i="288"/>
  <c r="M128" i="288"/>
  <c r="N128" i="288"/>
  <c r="O128" i="288"/>
  <c r="P128" i="288"/>
  <c r="Q128" i="288"/>
  <c r="R128" i="288"/>
  <c r="S128" i="288"/>
  <c r="T128" i="288"/>
  <c r="U128" i="288"/>
  <c r="V128" i="288"/>
  <c r="W128" i="288"/>
  <c r="Z128" i="288"/>
  <c r="AB128" i="288" s="1"/>
  <c r="AC128" i="288"/>
  <c r="AD128" i="288"/>
  <c r="AJ128" i="288"/>
  <c r="AK128" i="288"/>
  <c r="AM128" i="288" s="1"/>
  <c r="AP128" i="288" s="1"/>
  <c r="AL128" i="288"/>
  <c r="AV128" i="288"/>
  <c r="G129" i="288"/>
  <c r="H129" i="288"/>
  <c r="I129" i="288"/>
  <c r="J129" i="288"/>
  <c r="K129" i="288"/>
  <c r="L129" i="288"/>
  <c r="M129" i="288"/>
  <c r="N129" i="288"/>
  <c r="O129" i="288"/>
  <c r="P129" i="288"/>
  <c r="Q129" i="288"/>
  <c r="R129" i="288"/>
  <c r="S129" i="288"/>
  <c r="T129" i="288"/>
  <c r="U129" i="288"/>
  <c r="V129" i="288"/>
  <c r="W129" i="288"/>
  <c r="AC129" i="288"/>
  <c r="AE129" i="288" s="1"/>
  <c r="AF129" i="288" s="1"/>
  <c r="AD129" i="288"/>
  <c r="AJ129" i="288"/>
  <c r="AK129" i="288"/>
  <c r="AL129" i="288"/>
  <c r="AM129" i="288"/>
  <c r="AP129" i="288" s="1"/>
  <c r="AV129" i="288"/>
  <c r="G130" i="288"/>
  <c r="H130" i="288"/>
  <c r="I130" i="288"/>
  <c r="J130" i="288"/>
  <c r="Z130" i="288" s="1"/>
  <c r="K130" i="288"/>
  <c r="L130" i="288"/>
  <c r="M130" i="288"/>
  <c r="N130" i="288"/>
  <c r="O130" i="288"/>
  <c r="P130" i="288"/>
  <c r="Q130" i="288"/>
  <c r="R130" i="288"/>
  <c r="S130" i="288"/>
  <c r="T130" i="288"/>
  <c r="U130" i="288"/>
  <c r="V130" i="288"/>
  <c r="W130" i="288"/>
  <c r="AC130" i="288"/>
  <c r="AD130" i="288"/>
  <c r="AE130" i="288" s="1"/>
  <c r="AF130" i="288"/>
  <c r="AJ130" i="288"/>
  <c r="AK130" i="288"/>
  <c r="AL130" i="288"/>
  <c r="AM130" i="288" s="1"/>
  <c r="AP130" i="288" s="1"/>
  <c r="AN130" i="288"/>
  <c r="AQ130" i="288"/>
  <c r="AR130" i="288" s="1"/>
  <c r="AV130" i="288"/>
  <c r="G131" i="288"/>
  <c r="H131" i="288"/>
  <c r="I131" i="288"/>
  <c r="J131" i="288"/>
  <c r="K131" i="288"/>
  <c r="L131" i="288"/>
  <c r="M131" i="288"/>
  <c r="N131" i="288"/>
  <c r="O131" i="288"/>
  <c r="P131" i="288"/>
  <c r="Q131" i="288"/>
  <c r="R131" i="288"/>
  <c r="S131" i="288"/>
  <c r="T131" i="288"/>
  <c r="U131" i="288"/>
  <c r="V131" i="288"/>
  <c r="W131" i="288"/>
  <c r="AC131" i="288"/>
  <c r="AD131" i="288"/>
  <c r="AE131" i="288"/>
  <c r="AF131" i="288" s="1"/>
  <c r="AJ131" i="288"/>
  <c r="AK131" i="288"/>
  <c r="AM131" i="288" s="1"/>
  <c r="AL131" i="288"/>
  <c r="AV131" i="288"/>
  <c r="G132" i="288"/>
  <c r="H132" i="288"/>
  <c r="I132" i="288"/>
  <c r="J132" i="288"/>
  <c r="K132" i="288"/>
  <c r="L132" i="288"/>
  <c r="M132" i="288"/>
  <c r="N132" i="288"/>
  <c r="O132" i="288"/>
  <c r="P132" i="288"/>
  <c r="Q132" i="288"/>
  <c r="R132" i="288"/>
  <c r="S132" i="288"/>
  <c r="T132" i="288"/>
  <c r="U132" i="288"/>
  <c r="V132" i="288"/>
  <c r="W132" i="288"/>
  <c r="Z132" i="288"/>
  <c r="AB132" i="288" s="1"/>
  <c r="AC132" i="288"/>
  <c r="AD132" i="288"/>
  <c r="AJ132" i="288"/>
  <c r="AK132" i="288"/>
  <c r="AM132" i="288" s="1"/>
  <c r="AP132" i="288" s="1"/>
  <c r="AL132" i="288"/>
  <c r="AV132" i="288"/>
  <c r="G133" i="288"/>
  <c r="H133" i="288"/>
  <c r="I133" i="288"/>
  <c r="J133" i="288"/>
  <c r="K133" i="288"/>
  <c r="L133" i="288"/>
  <c r="M133" i="288"/>
  <c r="N133" i="288"/>
  <c r="O133" i="288"/>
  <c r="P133" i="288"/>
  <c r="Q133" i="288"/>
  <c r="R133" i="288"/>
  <c r="S133" i="288"/>
  <c r="T133" i="288"/>
  <c r="U133" i="288"/>
  <c r="V133" i="288"/>
  <c r="W133" i="288"/>
  <c r="Z133" i="288"/>
  <c r="AB133" i="288" s="1"/>
  <c r="AC133" i="288"/>
  <c r="AD133" i="288"/>
  <c r="AE133" i="288"/>
  <c r="AF133" i="288" s="1"/>
  <c r="AJ133" i="288"/>
  <c r="AK133" i="288"/>
  <c r="AM133" i="288" s="1"/>
  <c r="AL133" i="288"/>
  <c r="AV133" i="288"/>
  <c r="G134" i="288"/>
  <c r="H134" i="288"/>
  <c r="I134" i="288"/>
  <c r="Z134" i="288" s="1"/>
  <c r="J134" i="288"/>
  <c r="K134" i="288"/>
  <c r="L134" i="288"/>
  <c r="M134" i="288"/>
  <c r="N134" i="288"/>
  <c r="O134" i="288"/>
  <c r="P134" i="288"/>
  <c r="Q134" i="288"/>
  <c r="R134" i="288"/>
  <c r="S134" i="288"/>
  <c r="T134" i="288"/>
  <c r="U134" i="288"/>
  <c r="V134" i="288"/>
  <c r="W134" i="288"/>
  <c r="AC134" i="288"/>
  <c r="AD134" i="288"/>
  <c r="AE134" i="288"/>
  <c r="AF134" i="288" s="1"/>
  <c r="AJ134" i="288"/>
  <c r="AQ134" i="288" s="1"/>
  <c r="AR134" i="288" s="1"/>
  <c r="AK134" i="288"/>
  <c r="AL134" i="288"/>
  <c r="AM134" i="288"/>
  <c r="AP134" i="288" s="1"/>
  <c r="AN134" i="288"/>
  <c r="AV134" i="288"/>
  <c r="G135" i="288"/>
  <c r="H135" i="288"/>
  <c r="I135" i="288"/>
  <c r="J135" i="288"/>
  <c r="K135" i="288"/>
  <c r="L135" i="288"/>
  <c r="M135" i="288"/>
  <c r="N135" i="288"/>
  <c r="O135" i="288"/>
  <c r="P135" i="288"/>
  <c r="Q135" i="288"/>
  <c r="R135" i="288"/>
  <c r="S135" i="288"/>
  <c r="T135" i="288"/>
  <c r="U135" i="288"/>
  <c r="V135" i="288"/>
  <c r="W135" i="288"/>
  <c r="AC135" i="288"/>
  <c r="AD135" i="288"/>
  <c r="AE135" i="288"/>
  <c r="AF135" i="288" s="1"/>
  <c r="AJ135" i="288"/>
  <c r="AK135" i="288"/>
  <c r="AM135" i="288" s="1"/>
  <c r="AL135" i="288"/>
  <c r="AV135" i="288"/>
  <c r="G136" i="288"/>
  <c r="H136" i="288"/>
  <c r="I136" i="288"/>
  <c r="J136" i="288"/>
  <c r="Z136" i="288" s="1"/>
  <c r="K136" i="288"/>
  <c r="L136" i="288"/>
  <c r="M136" i="288"/>
  <c r="N136" i="288"/>
  <c r="O136" i="288"/>
  <c r="P136" i="288"/>
  <c r="Q136" i="288"/>
  <c r="R136" i="288"/>
  <c r="S136" i="288"/>
  <c r="T136" i="288"/>
  <c r="U136" i="288"/>
  <c r="V136" i="288"/>
  <c r="W136" i="288"/>
  <c r="AC136" i="288"/>
  <c r="AE136" i="288" s="1"/>
  <c r="AF136" i="288" s="1"/>
  <c r="AD136" i="288"/>
  <c r="AJ136" i="288"/>
  <c r="AK136" i="288"/>
  <c r="AL136" i="288"/>
  <c r="AV136" i="288"/>
  <c r="G137" i="288"/>
  <c r="H137" i="288"/>
  <c r="I137" i="288"/>
  <c r="J137" i="288"/>
  <c r="K137" i="288"/>
  <c r="L137" i="288"/>
  <c r="L148" i="288" s="1"/>
  <c r="M137" i="288"/>
  <c r="N137" i="288"/>
  <c r="O137" i="288"/>
  <c r="P137" i="288"/>
  <c r="Q137" i="288"/>
  <c r="R137" i="288"/>
  <c r="S137" i="288"/>
  <c r="T137" i="288"/>
  <c r="T148" i="288" s="1"/>
  <c r="U137" i="288"/>
  <c r="V137" i="288"/>
  <c r="W137" i="288"/>
  <c r="Z137" i="288"/>
  <c r="AC137" i="288"/>
  <c r="AD137" i="288"/>
  <c r="AE137" i="288"/>
  <c r="AF137" i="288" s="1"/>
  <c r="AJ137" i="288"/>
  <c r="AK137" i="288"/>
  <c r="AM137" i="288" s="1"/>
  <c r="AP137" i="288" s="1"/>
  <c r="AL137" i="288"/>
  <c r="AV137" i="288"/>
  <c r="G138" i="288"/>
  <c r="H138" i="288"/>
  <c r="I138" i="288"/>
  <c r="J138" i="288"/>
  <c r="K138" i="288"/>
  <c r="L138" i="288"/>
  <c r="M138" i="288"/>
  <c r="N138" i="288"/>
  <c r="O138" i="288"/>
  <c r="P138" i="288"/>
  <c r="Q138" i="288"/>
  <c r="R138" i="288"/>
  <c r="S138" i="288"/>
  <c r="T138" i="288"/>
  <c r="U138" i="288"/>
  <c r="V138" i="288"/>
  <c r="W138" i="288"/>
  <c r="AC138" i="288"/>
  <c r="AD138" i="288"/>
  <c r="AE138" i="288"/>
  <c r="AF138" i="288" s="1"/>
  <c r="AJ138" i="288"/>
  <c r="AQ138" i="288" s="1"/>
  <c r="AR138" i="288" s="1"/>
  <c r="AK138" i="288"/>
  <c r="AL138" i="288"/>
  <c r="AM138" i="288"/>
  <c r="AP138" i="288" s="1"/>
  <c r="AN138" i="288"/>
  <c r="AV138" i="288"/>
  <c r="G139" i="288"/>
  <c r="H139" i="288"/>
  <c r="I139" i="288"/>
  <c r="J139" i="288"/>
  <c r="K139" i="288"/>
  <c r="L139" i="288"/>
  <c r="M139" i="288"/>
  <c r="N139" i="288"/>
  <c r="O139" i="288"/>
  <c r="P139" i="288"/>
  <c r="Q139" i="288"/>
  <c r="R139" i="288"/>
  <c r="S139" i="288"/>
  <c r="T139" i="288"/>
  <c r="U139" i="288"/>
  <c r="V139" i="288"/>
  <c r="W139" i="288"/>
  <c r="AC139" i="288"/>
  <c r="AD139" i="288"/>
  <c r="AE139" i="288"/>
  <c r="AF139" i="288" s="1"/>
  <c r="AJ139" i="288"/>
  <c r="AK139" i="288"/>
  <c r="AM139" i="288" s="1"/>
  <c r="AL139" i="288"/>
  <c r="AN139" i="288"/>
  <c r="AV139" i="288"/>
  <c r="G140" i="288"/>
  <c r="H140" i="288"/>
  <c r="I140" i="288"/>
  <c r="J140" i="288"/>
  <c r="K140" i="288"/>
  <c r="L140" i="288"/>
  <c r="M140" i="288"/>
  <c r="N140" i="288"/>
  <c r="O140" i="288"/>
  <c r="P140" i="288"/>
  <c r="Q140" i="288"/>
  <c r="R140" i="288"/>
  <c r="S140" i="288"/>
  <c r="T140" i="288"/>
  <c r="U140" i="288"/>
  <c r="V140" i="288"/>
  <c r="W140" i="288"/>
  <c r="Z140" i="288"/>
  <c r="AC140" i="288"/>
  <c r="AD140" i="288"/>
  <c r="AE140" i="288" s="1"/>
  <c r="AF140" i="288" s="1"/>
  <c r="AJ140" i="288"/>
  <c r="AK140" i="288"/>
  <c r="AL140" i="288"/>
  <c r="AM140" i="288" s="1"/>
  <c r="AV140" i="288"/>
  <c r="G141" i="288"/>
  <c r="H141" i="288"/>
  <c r="I141" i="288"/>
  <c r="J141" i="288"/>
  <c r="K141" i="288"/>
  <c r="L141" i="288"/>
  <c r="M141" i="288"/>
  <c r="N141" i="288"/>
  <c r="O141" i="288"/>
  <c r="P141" i="288"/>
  <c r="Q141" i="288"/>
  <c r="R141" i="288"/>
  <c r="S141" i="288"/>
  <c r="T141" i="288"/>
  <c r="U141" i="288"/>
  <c r="V141" i="288"/>
  <c r="W141" i="288"/>
  <c r="AC141" i="288"/>
  <c r="AD141" i="288"/>
  <c r="AE141" i="288"/>
  <c r="AF141" i="288" s="1"/>
  <c r="AJ141" i="288"/>
  <c r="AK141" i="288"/>
  <c r="AL141" i="288"/>
  <c r="AM141" i="288"/>
  <c r="AV141" i="288"/>
  <c r="G142" i="288"/>
  <c r="H142" i="288"/>
  <c r="I142" i="288"/>
  <c r="J142" i="288"/>
  <c r="K142" i="288"/>
  <c r="L142" i="288"/>
  <c r="M142" i="288"/>
  <c r="N142" i="288"/>
  <c r="O142" i="288"/>
  <c r="P142" i="288"/>
  <c r="Q142" i="288"/>
  <c r="R142" i="288"/>
  <c r="S142" i="288"/>
  <c r="T142" i="288"/>
  <c r="U142" i="288"/>
  <c r="V142" i="288"/>
  <c r="W142" i="288"/>
  <c r="AC142" i="288"/>
  <c r="AE142" i="288" s="1"/>
  <c r="AF142" i="288" s="1"/>
  <c r="AD142" i="288"/>
  <c r="AJ142" i="288"/>
  <c r="AK142" i="288"/>
  <c r="AM142" i="288" s="1"/>
  <c r="AN142" i="288" s="1"/>
  <c r="AL142" i="288"/>
  <c r="AV142" i="288"/>
  <c r="G143" i="288"/>
  <c r="H143" i="288"/>
  <c r="I143" i="288"/>
  <c r="J143" i="288"/>
  <c r="K143" i="288"/>
  <c r="L143" i="288"/>
  <c r="M143" i="288"/>
  <c r="N143" i="288"/>
  <c r="O143" i="288"/>
  <c r="P143" i="288"/>
  <c r="Q143" i="288"/>
  <c r="R143" i="288"/>
  <c r="S143" i="288"/>
  <c r="T143" i="288"/>
  <c r="U143" i="288"/>
  <c r="V143" i="288"/>
  <c r="W143" i="288"/>
  <c r="AC143" i="288"/>
  <c r="AE143" i="288" s="1"/>
  <c r="AF143" i="288" s="1"/>
  <c r="AD143" i="288"/>
  <c r="AJ143" i="288"/>
  <c r="AK143" i="288"/>
  <c r="AL143" i="288"/>
  <c r="G144" i="288"/>
  <c r="H144" i="288"/>
  <c r="I144" i="288"/>
  <c r="J144" i="288"/>
  <c r="K144" i="288"/>
  <c r="L144" i="288"/>
  <c r="M144" i="288"/>
  <c r="N144" i="288"/>
  <c r="O144" i="288"/>
  <c r="P144" i="288"/>
  <c r="Q144" i="288"/>
  <c r="R144" i="288"/>
  <c r="S144" i="288"/>
  <c r="T144" i="288"/>
  <c r="U144" i="288"/>
  <c r="V144" i="288"/>
  <c r="W144" i="288"/>
  <c r="Z144" i="288"/>
  <c r="AC144" i="288"/>
  <c r="AD144" i="288"/>
  <c r="AE144" i="288" s="1"/>
  <c r="AF144" i="288" s="1"/>
  <c r="AJ144" i="288"/>
  <c r="AK144" i="288"/>
  <c r="AL144" i="288"/>
  <c r="AM144" i="288" s="1"/>
  <c r="AV144" i="288"/>
  <c r="G145" i="288"/>
  <c r="H145" i="288"/>
  <c r="I145" i="288"/>
  <c r="J145" i="288"/>
  <c r="K145" i="288"/>
  <c r="L145" i="288"/>
  <c r="M145" i="288"/>
  <c r="N145" i="288"/>
  <c r="O145" i="288"/>
  <c r="P145" i="288"/>
  <c r="Q145" i="288"/>
  <c r="R145" i="288"/>
  <c r="S145" i="288"/>
  <c r="T145" i="288"/>
  <c r="U145" i="288"/>
  <c r="V145" i="288"/>
  <c r="W145" i="288"/>
  <c r="AC145" i="288"/>
  <c r="AD145" i="288"/>
  <c r="AE145" i="288"/>
  <c r="AF145" i="288" s="1"/>
  <c r="AJ145" i="288"/>
  <c r="AK145" i="288"/>
  <c r="AL145" i="288"/>
  <c r="AM145" i="288"/>
  <c r="AV145" i="288"/>
  <c r="G146" i="288"/>
  <c r="H146" i="288"/>
  <c r="I146" i="288"/>
  <c r="J146" i="288"/>
  <c r="K146" i="288"/>
  <c r="L146" i="288"/>
  <c r="M146" i="288"/>
  <c r="N146" i="288"/>
  <c r="O146" i="288"/>
  <c r="P146" i="288"/>
  <c r="Q146" i="288"/>
  <c r="R146" i="288"/>
  <c r="S146" i="288"/>
  <c r="T146" i="288"/>
  <c r="U146" i="288"/>
  <c r="V146" i="288"/>
  <c r="W146" i="288"/>
  <c r="AC146" i="288"/>
  <c r="AE146" i="288" s="1"/>
  <c r="AF146" i="288" s="1"/>
  <c r="AD146" i="288"/>
  <c r="AJ146" i="288"/>
  <c r="AK146" i="288"/>
  <c r="AM146" i="288" s="1"/>
  <c r="AN146" i="288" s="1"/>
  <c r="AL146" i="288"/>
  <c r="AV146" i="288"/>
  <c r="P148" i="288"/>
  <c r="X148" i="288"/>
  <c r="Y148" i="288"/>
  <c r="AJ148" i="288"/>
  <c r="AO148" i="288"/>
  <c r="AT148" i="288"/>
  <c r="AU148" i="288"/>
  <c r="AW148" i="288"/>
  <c r="BA148" i="288"/>
  <c r="D10" i="290"/>
  <c r="E10" i="290"/>
  <c r="F10" i="290"/>
  <c r="G10" i="290"/>
  <c r="H10" i="290"/>
  <c r="I10" i="290"/>
  <c r="Z10" i="290" s="1"/>
  <c r="J10" i="290"/>
  <c r="K10" i="290"/>
  <c r="L10" i="290"/>
  <c r="M10" i="290"/>
  <c r="N10" i="290"/>
  <c r="O10" i="290"/>
  <c r="P10" i="290"/>
  <c r="Q10" i="290"/>
  <c r="R10" i="290"/>
  <c r="S10" i="290"/>
  <c r="T10" i="290"/>
  <c r="U10" i="290"/>
  <c r="V10" i="290"/>
  <c r="W10" i="290"/>
  <c r="AC10" i="290"/>
  <c r="AE10" i="290" s="1"/>
  <c r="AD10" i="290"/>
  <c r="AF10" i="290"/>
  <c r="AJ10" i="290"/>
  <c r="AK10" i="290"/>
  <c r="AL10" i="290"/>
  <c r="AM10" i="290"/>
  <c r="AN10" i="290"/>
  <c r="AR10" i="290"/>
  <c r="AT10" i="290" s="1"/>
  <c r="AS10" i="290" s="1"/>
  <c r="D11" i="290"/>
  <c r="E11" i="290"/>
  <c r="F11" i="290"/>
  <c r="G11" i="290"/>
  <c r="H11" i="290"/>
  <c r="I11" i="290"/>
  <c r="J11" i="290"/>
  <c r="K11" i="290"/>
  <c r="L11" i="290"/>
  <c r="M11" i="290"/>
  <c r="N11" i="290"/>
  <c r="O11" i="290"/>
  <c r="P11" i="290"/>
  <c r="Q11" i="290"/>
  <c r="R11" i="290"/>
  <c r="S11" i="290"/>
  <c r="T11" i="290"/>
  <c r="U11" i="290"/>
  <c r="V11" i="290"/>
  <c r="W11" i="290"/>
  <c r="AC11" i="290"/>
  <c r="AD11" i="290"/>
  <c r="AE11" i="290"/>
  <c r="AF11" i="290" s="1"/>
  <c r="AJ11" i="290"/>
  <c r="AK11" i="290"/>
  <c r="AL11" i="290"/>
  <c r="AM11" i="290"/>
  <c r="AN11" i="290"/>
  <c r="AO11" i="290" s="1"/>
  <c r="AR11" i="290"/>
  <c r="AT11" i="290" s="1"/>
  <c r="AS11" i="290" s="1"/>
  <c r="D12" i="290"/>
  <c r="E12" i="290"/>
  <c r="F12" i="290"/>
  <c r="G12" i="290"/>
  <c r="H12" i="290"/>
  <c r="I12" i="290"/>
  <c r="J12" i="290"/>
  <c r="K12" i="290"/>
  <c r="L12" i="290"/>
  <c r="M12" i="290"/>
  <c r="N12" i="290"/>
  <c r="O12" i="290"/>
  <c r="P12" i="290"/>
  <c r="Q12" i="290"/>
  <c r="R12" i="290"/>
  <c r="S12" i="290"/>
  <c r="T12" i="290"/>
  <c r="U12" i="290"/>
  <c r="V12" i="290"/>
  <c r="W12" i="290"/>
  <c r="Z12" i="290"/>
  <c r="AC12" i="290"/>
  <c r="AD12" i="290"/>
  <c r="AE12" i="290" s="1"/>
  <c r="AF12" i="290" s="1"/>
  <c r="AJ12" i="290"/>
  <c r="AK12" i="290"/>
  <c r="AN12" i="290" s="1"/>
  <c r="AO12" i="290" s="1"/>
  <c r="AL12" i="290"/>
  <c r="AM12" i="290"/>
  <c r="AR12" i="290"/>
  <c r="AT12" i="290"/>
  <c r="AS12" i="290" s="1"/>
  <c r="D13" i="290"/>
  <c r="E13" i="290"/>
  <c r="F13" i="290"/>
  <c r="G13" i="290"/>
  <c r="H13" i="290"/>
  <c r="I13" i="290"/>
  <c r="J13" i="290"/>
  <c r="K13" i="290"/>
  <c r="L13" i="290"/>
  <c r="M13" i="290"/>
  <c r="N13" i="290"/>
  <c r="O13" i="290"/>
  <c r="P13" i="290"/>
  <c r="Q13" i="290"/>
  <c r="R13" i="290"/>
  <c r="S13" i="290"/>
  <c r="T13" i="290"/>
  <c r="U13" i="290"/>
  <c r="V13" i="290"/>
  <c r="W13" i="290"/>
  <c r="AC13" i="290"/>
  <c r="AD13" i="290"/>
  <c r="AJ13" i="290"/>
  <c r="AK13" i="290"/>
  <c r="AL13" i="290"/>
  <c r="AM13" i="290"/>
  <c r="AR13" i="290"/>
  <c r="AS13" i="290"/>
  <c r="AT13" i="290"/>
  <c r="D14" i="290"/>
  <c r="E14" i="290"/>
  <c r="F14" i="290"/>
  <c r="G14" i="290"/>
  <c r="H14" i="290"/>
  <c r="I14" i="290"/>
  <c r="Z14" i="290" s="1"/>
  <c r="J14" i="290"/>
  <c r="K14" i="290"/>
  <c r="L14" i="290"/>
  <c r="M14" i="290"/>
  <c r="N14" i="290"/>
  <c r="O14" i="290"/>
  <c r="P14" i="290"/>
  <c r="Q14" i="290"/>
  <c r="R14" i="290"/>
  <c r="S14" i="290"/>
  <c r="T14" i="290"/>
  <c r="U14" i="290"/>
  <c r="V14" i="290"/>
  <c r="W14" i="290"/>
  <c r="AC14" i="290"/>
  <c r="AE14" i="290" s="1"/>
  <c r="AD14" i="290"/>
  <c r="AF14" i="290"/>
  <c r="AJ14" i="290"/>
  <c r="AK14" i="290"/>
  <c r="AL14" i="290"/>
  <c r="AM14" i="290"/>
  <c r="AN14" i="290"/>
  <c r="AR14" i="290"/>
  <c r="AT14" i="290" s="1"/>
  <c r="AS14" i="290" s="1"/>
  <c r="D15" i="290"/>
  <c r="E15" i="290"/>
  <c r="F15" i="290"/>
  <c r="G15" i="290"/>
  <c r="H15" i="290"/>
  <c r="I15" i="290"/>
  <c r="J15" i="290"/>
  <c r="K15" i="290"/>
  <c r="L15" i="290"/>
  <c r="M15" i="290"/>
  <c r="N15" i="290"/>
  <c r="O15" i="290"/>
  <c r="P15" i="290"/>
  <c r="Q15" i="290"/>
  <c r="R15" i="290"/>
  <c r="S15" i="290"/>
  <c r="T15" i="290"/>
  <c r="U15" i="290"/>
  <c r="V15" i="290"/>
  <c r="W15" i="290"/>
  <c r="AC15" i="290"/>
  <c r="AD15" i="290"/>
  <c r="AE15" i="290"/>
  <c r="AF15" i="290" s="1"/>
  <c r="AJ15" i="290"/>
  <c r="AK15" i="290"/>
  <c r="AL15" i="290"/>
  <c r="AM15" i="290"/>
  <c r="AN15" i="290"/>
  <c r="AO15" i="290" s="1"/>
  <c r="AR15" i="290"/>
  <c r="AT15" i="290" s="1"/>
  <c r="AS15" i="290" s="1"/>
  <c r="D16" i="290"/>
  <c r="E16" i="290"/>
  <c r="F16" i="290"/>
  <c r="G16" i="290"/>
  <c r="H16" i="290"/>
  <c r="I16" i="290"/>
  <c r="J16" i="290"/>
  <c r="K16" i="290"/>
  <c r="L16" i="290"/>
  <c r="M16" i="290"/>
  <c r="N16" i="290"/>
  <c r="O16" i="290"/>
  <c r="P16" i="290"/>
  <c r="Q16" i="290"/>
  <c r="R16" i="290"/>
  <c r="S16" i="290"/>
  <c r="T16" i="290"/>
  <c r="U16" i="290"/>
  <c r="V16" i="290"/>
  <c r="W16" i="290"/>
  <c r="Z16" i="290"/>
  <c r="AC16" i="290"/>
  <c r="AD16" i="290"/>
  <c r="AE16" i="290" s="1"/>
  <c r="AF16" i="290" s="1"/>
  <c r="AJ16" i="290"/>
  <c r="AK16" i="290"/>
  <c r="AL16" i="290"/>
  <c r="AP16" i="290" s="1"/>
  <c r="AM16" i="290"/>
  <c r="AO16" i="290"/>
  <c r="AQ16" i="290"/>
  <c r="AR16" i="290"/>
  <c r="AT16" i="290" s="1"/>
  <c r="AS16" i="290" s="1"/>
  <c r="D17" i="290"/>
  <c r="E17" i="290"/>
  <c r="F17" i="290"/>
  <c r="G17" i="290"/>
  <c r="H17" i="290"/>
  <c r="I17" i="290"/>
  <c r="J17" i="290"/>
  <c r="K17" i="290"/>
  <c r="L17" i="290"/>
  <c r="M17" i="290"/>
  <c r="N17" i="290"/>
  <c r="O17" i="290"/>
  <c r="P17" i="290"/>
  <c r="Q17" i="290"/>
  <c r="R17" i="290"/>
  <c r="S17" i="290"/>
  <c r="T17" i="290"/>
  <c r="U17" i="290"/>
  <c r="V17" i="290"/>
  <c r="W17" i="290"/>
  <c r="Z17" i="290"/>
  <c r="AC17" i="290"/>
  <c r="AD17" i="290"/>
  <c r="AE17" i="290" s="1"/>
  <c r="AF17" i="290" s="1"/>
  <c r="AJ17" i="290"/>
  <c r="AK17" i="290"/>
  <c r="AL17" i="290"/>
  <c r="AP17" i="290" s="1"/>
  <c r="AM17" i="290"/>
  <c r="AO17" i="290"/>
  <c r="AQ17" i="290"/>
  <c r="AR17" i="290"/>
  <c r="AT17" i="290" s="1"/>
  <c r="AS17" i="290" s="1"/>
  <c r="D18" i="290"/>
  <c r="E18" i="290"/>
  <c r="F18" i="290"/>
  <c r="G18" i="290"/>
  <c r="H18" i="290"/>
  <c r="I18" i="290"/>
  <c r="J18" i="290"/>
  <c r="K18" i="290"/>
  <c r="L18" i="290"/>
  <c r="M18" i="290"/>
  <c r="N18" i="290"/>
  <c r="O18" i="290"/>
  <c r="P18" i="290"/>
  <c r="Q18" i="290"/>
  <c r="R18" i="290"/>
  <c r="S18" i="290"/>
  <c r="T18" i="290"/>
  <c r="U18" i="290"/>
  <c r="V18" i="290"/>
  <c r="W18" i="290"/>
  <c r="Z18" i="290"/>
  <c r="AC18" i="290"/>
  <c r="AD18" i="290"/>
  <c r="AE18" i="290" s="1"/>
  <c r="AF18" i="290" s="1"/>
  <c r="AJ18" i="290"/>
  <c r="AK18" i="290"/>
  <c r="AL18" i="290"/>
  <c r="AP18" i="290" s="1"/>
  <c r="AM18" i="290"/>
  <c r="AO18" i="290"/>
  <c r="AQ18" i="290"/>
  <c r="AR18" i="290"/>
  <c r="AT18" i="290" s="1"/>
  <c r="AS18" i="290" s="1"/>
  <c r="D19" i="290"/>
  <c r="E19" i="290"/>
  <c r="F19" i="290"/>
  <c r="G19" i="290"/>
  <c r="H19" i="290"/>
  <c r="I19" i="290"/>
  <c r="J19" i="290"/>
  <c r="K19" i="290"/>
  <c r="L19" i="290"/>
  <c r="M19" i="290"/>
  <c r="N19" i="290"/>
  <c r="O19" i="290"/>
  <c r="P19" i="290"/>
  <c r="Q19" i="290"/>
  <c r="R19" i="290"/>
  <c r="S19" i="290"/>
  <c r="T19" i="290"/>
  <c r="U19" i="290"/>
  <c r="V19" i="290"/>
  <c r="W19" i="290"/>
  <c r="Z19" i="290"/>
  <c r="AC19" i="290"/>
  <c r="AD19" i="290"/>
  <c r="AE19" i="290" s="1"/>
  <c r="AF19" i="290" s="1"/>
  <c r="AJ19" i="290"/>
  <c r="AK19" i="290"/>
  <c r="AL19" i="290"/>
  <c r="AP19" i="290" s="1"/>
  <c r="AM19" i="290"/>
  <c r="AO19" i="290"/>
  <c r="AQ19" i="290"/>
  <c r="AR19" i="290"/>
  <c r="AT19" i="290" s="1"/>
  <c r="AS19" i="290" s="1"/>
  <c r="D20" i="290"/>
  <c r="E20" i="290"/>
  <c r="F20" i="290"/>
  <c r="G20" i="290"/>
  <c r="H20" i="290"/>
  <c r="I20" i="290"/>
  <c r="J20" i="290"/>
  <c r="K20" i="290"/>
  <c r="L20" i="290"/>
  <c r="M20" i="290"/>
  <c r="N20" i="290"/>
  <c r="O20" i="290"/>
  <c r="P20" i="290"/>
  <c r="Q20" i="290"/>
  <c r="R20" i="290"/>
  <c r="S20" i="290"/>
  <c r="T20" i="290"/>
  <c r="U20" i="290"/>
  <c r="V20" i="290"/>
  <c r="W20" i="290"/>
  <c r="Z20" i="290"/>
  <c r="AC20" i="290"/>
  <c r="AD20" i="290"/>
  <c r="AE20" i="290" s="1"/>
  <c r="AF20" i="290" s="1"/>
  <c r="AJ20" i="290"/>
  <c r="AK20" i="290"/>
  <c r="AL20" i="290"/>
  <c r="AP20" i="290" s="1"/>
  <c r="AM20" i="290"/>
  <c r="AO20" i="290"/>
  <c r="AQ20" i="290"/>
  <c r="AR20" i="290"/>
  <c r="AT20" i="290" s="1"/>
  <c r="AS20" i="290" s="1"/>
  <c r="D21" i="290"/>
  <c r="E21" i="290"/>
  <c r="F21" i="290"/>
  <c r="G21" i="290"/>
  <c r="H21" i="290"/>
  <c r="I21" i="290"/>
  <c r="J21" i="290"/>
  <c r="K21" i="290"/>
  <c r="L21" i="290"/>
  <c r="M21" i="290"/>
  <c r="N21" i="290"/>
  <c r="O21" i="290"/>
  <c r="P21" i="290"/>
  <c r="Q21" i="290"/>
  <c r="R21" i="290"/>
  <c r="S21" i="290"/>
  <c r="T21" i="290"/>
  <c r="U21" i="290"/>
  <c r="V21" i="290"/>
  <c r="W21" i="290"/>
  <c r="Z21" i="290"/>
  <c r="AC21" i="290"/>
  <c r="AD21" i="290"/>
  <c r="AE21" i="290" s="1"/>
  <c r="AF21" i="290" s="1"/>
  <c r="AJ21" i="290"/>
  <c r="AK21" i="290"/>
  <c r="AL21" i="290"/>
  <c r="AP21" i="290" s="1"/>
  <c r="AM21" i="290"/>
  <c r="AO21" i="290"/>
  <c r="AQ21" i="290"/>
  <c r="AR21" i="290"/>
  <c r="AT21" i="290" s="1"/>
  <c r="AS21" i="290" s="1"/>
  <c r="D22" i="290"/>
  <c r="E22" i="290"/>
  <c r="F22" i="290"/>
  <c r="G22" i="290"/>
  <c r="H22" i="290"/>
  <c r="I22" i="290"/>
  <c r="J22" i="290"/>
  <c r="K22" i="290"/>
  <c r="L22" i="290"/>
  <c r="M22" i="290"/>
  <c r="N22" i="290"/>
  <c r="O22" i="290"/>
  <c r="P22" i="290"/>
  <c r="Q22" i="290"/>
  <c r="R22" i="290"/>
  <c r="S22" i="290"/>
  <c r="T22" i="290"/>
  <c r="U22" i="290"/>
  <c r="V22" i="290"/>
  <c r="W22" i="290"/>
  <c r="Z22" i="290"/>
  <c r="AC22" i="290"/>
  <c r="AD22" i="290"/>
  <c r="AE22" i="290" s="1"/>
  <c r="AF22" i="290" s="1"/>
  <c r="AJ22" i="290"/>
  <c r="AK22" i="290"/>
  <c r="AL22" i="290"/>
  <c r="AP22" i="290" s="1"/>
  <c r="AM22" i="290"/>
  <c r="AO22" i="290"/>
  <c r="AQ22" i="290"/>
  <c r="AR22" i="290"/>
  <c r="AT22" i="290" s="1"/>
  <c r="AS22" i="290" s="1"/>
  <c r="D23" i="290"/>
  <c r="E23" i="290"/>
  <c r="F23" i="290"/>
  <c r="G23" i="290"/>
  <c r="H23" i="290"/>
  <c r="I23" i="290"/>
  <c r="J23" i="290"/>
  <c r="K23" i="290"/>
  <c r="L23" i="290"/>
  <c r="M23" i="290"/>
  <c r="N23" i="290"/>
  <c r="O23" i="290"/>
  <c r="P23" i="290"/>
  <c r="Q23" i="290"/>
  <c r="R23" i="290"/>
  <c r="S23" i="290"/>
  <c r="T23" i="290"/>
  <c r="U23" i="290"/>
  <c r="V23" i="290"/>
  <c r="W23" i="290"/>
  <c r="Z23" i="290"/>
  <c r="AC23" i="290"/>
  <c r="AD23" i="290"/>
  <c r="AE23" i="290" s="1"/>
  <c r="AF23" i="290" s="1"/>
  <c r="AJ23" i="290"/>
  <c r="AK23" i="290"/>
  <c r="AL23" i="290"/>
  <c r="AP23" i="290" s="1"/>
  <c r="AM23" i="290"/>
  <c r="AO23" i="290"/>
  <c r="AQ23" i="290"/>
  <c r="AR23" i="290"/>
  <c r="AT23" i="290" s="1"/>
  <c r="AS23" i="290" s="1"/>
  <c r="D24" i="290"/>
  <c r="E24" i="290"/>
  <c r="F24" i="290"/>
  <c r="G24" i="290"/>
  <c r="H24" i="290"/>
  <c r="I24" i="290"/>
  <c r="J24" i="290"/>
  <c r="K24" i="290"/>
  <c r="L24" i="290"/>
  <c r="M24" i="290"/>
  <c r="N24" i="290"/>
  <c r="O24" i="290"/>
  <c r="P24" i="290"/>
  <c r="Q24" i="290"/>
  <c r="R24" i="290"/>
  <c r="S24" i="290"/>
  <c r="T24" i="290"/>
  <c r="U24" i="290"/>
  <c r="V24" i="290"/>
  <c r="W24" i="290"/>
  <c r="Z24" i="290"/>
  <c r="AC24" i="290"/>
  <c r="AD24" i="290"/>
  <c r="AE24" i="290" s="1"/>
  <c r="AF24" i="290" s="1"/>
  <c r="AJ24" i="290"/>
  <c r="AK24" i="290"/>
  <c r="AL24" i="290"/>
  <c r="AP24" i="290" s="1"/>
  <c r="AM24" i="290"/>
  <c r="AO24" i="290"/>
  <c r="AQ24" i="290"/>
  <c r="AR24" i="290"/>
  <c r="AT24" i="290" s="1"/>
  <c r="AS24" i="290" s="1"/>
  <c r="D25" i="290"/>
  <c r="E25" i="290"/>
  <c r="F25" i="290"/>
  <c r="G25" i="290"/>
  <c r="H25" i="290"/>
  <c r="I25" i="290"/>
  <c r="J25" i="290"/>
  <c r="K25" i="290"/>
  <c r="L25" i="290"/>
  <c r="M25" i="290"/>
  <c r="N25" i="290"/>
  <c r="O25" i="290"/>
  <c r="P25" i="290"/>
  <c r="Q25" i="290"/>
  <c r="R25" i="290"/>
  <c r="S25" i="290"/>
  <c r="T25" i="290"/>
  <c r="U25" i="290"/>
  <c r="V25" i="290"/>
  <c r="W25" i="290"/>
  <c r="Z25" i="290"/>
  <c r="AC25" i="290"/>
  <c r="AD25" i="290"/>
  <c r="AE25" i="290" s="1"/>
  <c r="AF25" i="290" s="1"/>
  <c r="AJ25" i="290"/>
  <c r="AK25" i="290"/>
  <c r="AL25" i="290"/>
  <c r="AP25" i="290" s="1"/>
  <c r="AM25" i="290"/>
  <c r="AO25" i="290"/>
  <c r="AQ25" i="290"/>
  <c r="AR25" i="290"/>
  <c r="AT25" i="290" s="1"/>
  <c r="AS25" i="290" s="1"/>
  <c r="D26" i="290"/>
  <c r="E26" i="290"/>
  <c r="F26" i="290"/>
  <c r="G26" i="290"/>
  <c r="H26" i="290"/>
  <c r="I26" i="290"/>
  <c r="J26" i="290"/>
  <c r="K26" i="290"/>
  <c r="L26" i="290"/>
  <c r="M26" i="290"/>
  <c r="N26" i="290"/>
  <c r="O26" i="290"/>
  <c r="P26" i="290"/>
  <c r="Q26" i="290"/>
  <c r="R26" i="290"/>
  <c r="S26" i="290"/>
  <c r="T26" i="290"/>
  <c r="U26" i="290"/>
  <c r="V26" i="290"/>
  <c r="W26" i="290"/>
  <c r="Z26" i="290"/>
  <c r="AC26" i="290"/>
  <c r="AD26" i="290"/>
  <c r="AE26" i="290" s="1"/>
  <c r="AF26" i="290" s="1"/>
  <c r="AJ26" i="290"/>
  <c r="AK26" i="290"/>
  <c r="AL26" i="290"/>
  <c r="AP26" i="290" s="1"/>
  <c r="AM26" i="290"/>
  <c r="AO26" i="290"/>
  <c r="AQ26" i="290"/>
  <c r="AR26" i="290"/>
  <c r="AT26" i="290" s="1"/>
  <c r="AS26" i="290" s="1"/>
  <c r="D27" i="290"/>
  <c r="E27" i="290"/>
  <c r="F27" i="290"/>
  <c r="G27" i="290"/>
  <c r="H27" i="290"/>
  <c r="I27" i="290"/>
  <c r="J27" i="290"/>
  <c r="K27" i="290"/>
  <c r="L27" i="290"/>
  <c r="M27" i="290"/>
  <c r="N27" i="290"/>
  <c r="O27" i="290"/>
  <c r="P27" i="290"/>
  <c r="Q27" i="290"/>
  <c r="R27" i="290"/>
  <c r="S27" i="290"/>
  <c r="T27" i="290"/>
  <c r="U27" i="290"/>
  <c r="V27" i="290"/>
  <c r="W27" i="290"/>
  <c r="Z27" i="290"/>
  <c r="AC27" i="290"/>
  <c r="AD27" i="290"/>
  <c r="AE27" i="290" s="1"/>
  <c r="AF27" i="290" s="1"/>
  <c r="AJ27" i="290"/>
  <c r="AK27" i="290"/>
  <c r="AL27" i="290"/>
  <c r="AP27" i="290" s="1"/>
  <c r="AM27" i="290"/>
  <c r="AO27" i="290"/>
  <c r="AQ27" i="290"/>
  <c r="AR27" i="290"/>
  <c r="AT27" i="290" s="1"/>
  <c r="AS27" i="290" s="1"/>
  <c r="D28" i="290"/>
  <c r="E28" i="290"/>
  <c r="F28" i="290"/>
  <c r="G28" i="290"/>
  <c r="H28" i="290"/>
  <c r="I28" i="290"/>
  <c r="J28" i="290"/>
  <c r="K28" i="290"/>
  <c r="L28" i="290"/>
  <c r="M28" i="290"/>
  <c r="N28" i="290"/>
  <c r="O28" i="290"/>
  <c r="P28" i="290"/>
  <c r="Q28" i="290"/>
  <c r="R28" i="290"/>
  <c r="S28" i="290"/>
  <c r="T28" i="290"/>
  <c r="U28" i="290"/>
  <c r="V28" i="290"/>
  <c r="W28" i="290"/>
  <c r="Z28" i="290"/>
  <c r="AC28" i="290"/>
  <c r="AD28" i="290"/>
  <c r="AE28" i="290" s="1"/>
  <c r="AF28" i="290" s="1"/>
  <c r="AJ28" i="290"/>
  <c r="AK28" i="290"/>
  <c r="AL28" i="290"/>
  <c r="AM28" i="290"/>
  <c r="AN28" i="290"/>
  <c r="AO28" i="290"/>
  <c r="AP28" i="290"/>
  <c r="AQ28" i="290" s="1"/>
  <c r="AR28" i="290"/>
  <c r="AT28" i="290"/>
  <c r="AS28" i="290" s="1"/>
  <c r="D29" i="290"/>
  <c r="E29" i="290"/>
  <c r="F29" i="290"/>
  <c r="G29" i="290"/>
  <c r="H29" i="290"/>
  <c r="I29" i="290"/>
  <c r="J29" i="290"/>
  <c r="K29" i="290"/>
  <c r="L29" i="290"/>
  <c r="M29" i="290"/>
  <c r="N29" i="290"/>
  <c r="O29" i="290"/>
  <c r="P29" i="290"/>
  <c r="Q29" i="290"/>
  <c r="R29" i="290"/>
  <c r="S29" i="290"/>
  <c r="T29" i="290"/>
  <c r="U29" i="290"/>
  <c r="V29" i="290"/>
  <c r="W29" i="290"/>
  <c r="AC29" i="290"/>
  <c r="AE29" i="290" s="1"/>
  <c r="AF29" i="290" s="1"/>
  <c r="AD29" i="290"/>
  <c r="AJ29" i="290"/>
  <c r="AK29" i="290"/>
  <c r="AP29" i="290" s="1"/>
  <c r="AQ29" i="290" s="1"/>
  <c r="AL29" i="290"/>
  <c r="AM29" i="290"/>
  <c r="AN29" i="290"/>
  <c r="AO29" i="290"/>
  <c r="AR29" i="290"/>
  <c r="AS29" i="290"/>
  <c r="AT29" i="290"/>
  <c r="D30" i="290"/>
  <c r="E30" i="290"/>
  <c r="F30" i="290"/>
  <c r="G30" i="290"/>
  <c r="H30" i="290"/>
  <c r="I30" i="290"/>
  <c r="J30" i="290"/>
  <c r="K30" i="290"/>
  <c r="L30" i="290"/>
  <c r="M30" i="290"/>
  <c r="N30" i="290"/>
  <c r="O30" i="290"/>
  <c r="P30" i="290"/>
  <c r="Q30" i="290"/>
  <c r="R30" i="290"/>
  <c r="S30" i="290"/>
  <c r="T30" i="290"/>
  <c r="U30" i="290"/>
  <c r="V30" i="290"/>
  <c r="W30" i="290"/>
  <c r="AC30" i="290"/>
  <c r="AE30" i="290" s="1"/>
  <c r="AD30" i="290"/>
  <c r="AF30" i="290"/>
  <c r="AJ30" i="290"/>
  <c r="AK30" i="290"/>
  <c r="AL30" i="290"/>
  <c r="AM30" i="290"/>
  <c r="AN30" i="290"/>
  <c r="AR30" i="290"/>
  <c r="AT30" i="290" s="1"/>
  <c r="AS30" i="290" s="1"/>
  <c r="D31" i="290"/>
  <c r="E31" i="290"/>
  <c r="F31" i="290"/>
  <c r="G31" i="290"/>
  <c r="H31" i="290"/>
  <c r="I31" i="290"/>
  <c r="J31" i="290"/>
  <c r="K31" i="290"/>
  <c r="L31" i="290"/>
  <c r="M31" i="290"/>
  <c r="N31" i="290"/>
  <c r="O31" i="290"/>
  <c r="P31" i="290"/>
  <c r="Q31" i="290"/>
  <c r="R31" i="290"/>
  <c r="S31" i="290"/>
  <c r="T31" i="290"/>
  <c r="U31" i="290"/>
  <c r="V31" i="290"/>
  <c r="W31" i="290"/>
  <c r="AC31" i="290"/>
  <c r="AD31" i="290"/>
  <c r="AE31" i="290"/>
  <c r="AF31" i="290" s="1"/>
  <c r="AJ31" i="290"/>
  <c r="AK31" i="290"/>
  <c r="AL31" i="290"/>
  <c r="AM31" i="290"/>
  <c r="AN31" i="290"/>
  <c r="AO31" i="290" s="1"/>
  <c r="AR31" i="290"/>
  <c r="AT31" i="290" s="1"/>
  <c r="AS31" i="290" s="1"/>
  <c r="D32" i="290"/>
  <c r="E32" i="290"/>
  <c r="F32" i="290"/>
  <c r="G32" i="290"/>
  <c r="H32" i="290"/>
  <c r="I32" i="290"/>
  <c r="J32" i="290"/>
  <c r="K32" i="290"/>
  <c r="L32" i="290"/>
  <c r="M32" i="290"/>
  <c r="N32" i="290"/>
  <c r="O32" i="290"/>
  <c r="P32" i="290"/>
  <c r="Q32" i="290"/>
  <c r="R32" i="290"/>
  <c r="S32" i="290"/>
  <c r="T32" i="290"/>
  <c r="U32" i="290"/>
  <c r="V32" i="290"/>
  <c r="W32" i="290"/>
  <c r="Z32" i="290"/>
  <c r="AC32" i="290"/>
  <c r="AD32" i="290"/>
  <c r="AE32" i="290" s="1"/>
  <c r="AF32" i="290" s="1"/>
  <c r="AJ32" i="290"/>
  <c r="AK32" i="290"/>
  <c r="AL32" i="290"/>
  <c r="AM32" i="290"/>
  <c r="AN32" i="290"/>
  <c r="AO32" i="290"/>
  <c r="AP32" i="290"/>
  <c r="AQ32" i="290" s="1"/>
  <c r="AR32" i="290"/>
  <c r="AT32" i="290"/>
  <c r="AS32" i="290" s="1"/>
  <c r="D33" i="290"/>
  <c r="E33" i="290"/>
  <c r="F33" i="290"/>
  <c r="G33" i="290"/>
  <c r="H33" i="290"/>
  <c r="I33" i="290"/>
  <c r="J33" i="290"/>
  <c r="K33" i="290"/>
  <c r="L33" i="290"/>
  <c r="M33" i="290"/>
  <c r="N33" i="290"/>
  <c r="O33" i="290"/>
  <c r="P33" i="290"/>
  <c r="Q33" i="290"/>
  <c r="R33" i="290"/>
  <c r="S33" i="290"/>
  <c r="T33" i="290"/>
  <c r="U33" i="290"/>
  <c r="V33" i="290"/>
  <c r="W33" i="290"/>
  <c r="AC33" i="290"/>
  <c r="AE33" i="290" s="1"/>
  <c r="AF33" i="290" s="1"/>
  <c r="AD33" i="290"/>
  <c r="AJ33" i="290"/>
  <c r="AK33" i="290"/>
  <c r="AP33" i="290" s="1"/>
  <c r="AQ33" i="290" s="1"/>
  <c r="AL33" i="290"/>
  <c r="AM33" i="290"/>
  <c r="AN33" i="290"/>
  <c r="AO33" i="290"/>
  <c r="AR33" i="290"/>
  <c r="AS33" i="290"/>
  <c r="AT33" i="290"/>
  <c r="D34" i="290"/>
  <c r="E34" i="290"/>
  <c r="F34" i="290"/>
  <c r="G34" i="290"/>
  <c r="H34" i="290"/>
  <c r="I34" i="290"/>
  <c r="Z34" i="290" s="1"/>
  <c r="J34" i="290"/>
  <c r="K34" i="290"/>
  <c r="L34" i="290"/>
  <c r="M34" i="290"/>
  <c r="N34" i="290"/>
  <c r="O34" i="290"/>
  <c r="P34" i="290"/>
  <c r="Q34" i="290"/>
  <c r="R34" i="290"/>
  <c r="S34" i="290"/>
  <c r="T34" i="290"/>
  <c r="U34" i="290"/>
  <c r="V34" i="290"/>
  <c r="W34" i="290"/>
  <c r="AC34" i="290"/>
  <c r="AE34" i="290" s="1"/>
  <c r="AF34" i="290" s="1"/>
  <c r="AD34" i="290"/>
  <c r="AJ34" i="290"/>
  <c r="AK34" i="290"/>
  <c r="AL34" i="290"/>
  <c r="AM34" i="290"/>
  <c r="AN34" i="290"/>
  <c r="AR34" i="290"/>
  <c r="AT34" i="290" s="1"/>
  <c r="AS34" i="290" s="1"/>
  <c r="D35" i="290"/>
  <c r="E35" i="290"/>
  <c r="F35" i="290"/>
  <c r="G35" i="290"/>
  <c r="H35" i="290"/>
  <c r="I35" i="290"/>
  <c r="J35" i="290"/>
  <c r="K35" i="290"/>
  <c r="L35" i="290"/>
  <c r="M35" i="290"/>
  <c r="N35" i="290"/>
  <c r="O35" i="290"/>
  <c r="P35" i="290"/>
  <c r="Q35" i="290"/>
  <c r="R35" i="290"/>
  <c r="S35" i="290"/>
  <c r="T35" i="290"/>
  <c r="U35" i="290"/>
  <c r="V35" i="290"/>
  <c r="W35" i="290"/>
  <c r="AC35" i="290"/>
  <c r="AD35" i="290"/>
  <c r="AE35" i="290"/>
  <c r="AF35" i="290" s="1"/>
  <c r="AJ35" i="290"/>
  <c r="AK35" i="290"/>
  <c r="AL35" i="290"/>
  <c r="AM35" i="290"/>
  <c r="AN35" i="290"/>
  <c r="AO35" i="290" s="1"/>
  <c r="AR35" i="290"/>
  <c r="AT35" i="290" s="1"/>
  <c r="AS35" i="290" s="1"/>
  <c r="D36" i="290"/>
  <c r="E36" i="290"/>
  <c r="F36" i="290"/>
  <c r="G36" i="290"/>
  <c r="H36" i="290"/>
  <c r="I36" i="290"/>
  <c r="J36" i="290"/>
  <c r="K36" i="290"/>
  <c r="L36" i="290"/>
  <c r="M36" i="290"/>
  <c r="N36" i="290"/>
  <c r="O36" i="290"/>
  <c r="P36" i="290"/>
  <c r="Q36" i="290"/>
  <c r="R36" i="290"/>
  <c r="S36" i="290"/>
  <c r="T36" i="290"/>
  <c r="U36" i="290"/>
  <c r="V36" i="290"/>
  <c r="W36" i="290"/>
  <c r="Z36" i="290"/>
  <c r="AC36" i="290"/>
  <c r="AD36" i="290"/>
  <c r="AE36" i="290" s="1"/>
  <c r="AF36" i="290" s="1"/>
  <c r="AJ36" i="290"/>
  <c r="AK36" i="290"/>
  <c r="AL36" i="290"/>
  <c r="AM36" i="290"/>
  <c r="AN36" i="290"/>
  <c r="AO36" i="290"/>
  <c r="AP36" i="290"/>
  <c r="AQ36" i="290" s="1"/>
  <c r="AR36" i="290"/>
  <c r="AT36" i="290"/>
  <c r="AS36" i="290" s="1"/>
  <c r="D37" i="290"/>
  <c r="E37" i="290"/>
  <c r="F37" i="290"/>
  <c r="G37" i="290"/>
  <c r="H37" i="290"/>
  <c r="I37" i="290"/>
  <c r="J37" i="290"/>
  <c r="K37" i="290"/>
  <c r="L37" i="290"/>
  <c r="M37" i="290"/>
  <c r="N37" i="290"/>
  <c r="O37" i="290"/>
  <c r="P37" i="290"/>
  <c r="Q37" i="290"/>
  <c r="R37" i="290"/>
  <c r="S37" i="290"/>
  <c r="T37" i="290"/>
  <c r="U37" i="290"/>
  <c r="V37" i="290"/>
  <c r="W37" i="290"/>
  <c r="AC37" i="290"/>
  <c r="AE37" i="290" s="1"/>
  <c r="AF37" i="290" s="1"/>
  <c r="AD37" i="290"/>
  <c r="AJ37" i="290"/>
  <c r="AK37" i="290"/>
  <c r="AP37" i="290" s="1"/>
  <c r="AQ37" i="290" s="1"/>
  <c r="AL37" i="290"/>
  <c r="AM37" i="290"/>
  <c r="AN37" i="290"/>
  <c r="AO37" i="290"/>
  <c r="AR37" i="290"/>
  <c r="AS37" i="290"/>
  <c r="AT37" i="290"/>
  <c r="D38" i="290"/>
  <c r="E38" i="290"/>
  <c r="F38" i="290"/>
  <c r="G38" i="290"/>
  <c r="H38" i="290"/>
  <c r="I38" i="290"/>
  <c r="J38" i="290"/>
  <c r="K38" i="290"/>
  <c r="L38" i="290"/>
  <c r="M38" i="290"/>
  <c r="N38" i="290"/>
  <c r="O38" i="290"/>
  <c r="P38" i="290"/>
  <c r="Q38" i="290"/>
  <c r="R38" i="290"/>
  <c r="S38" i="290"/>
  <c r="T38" i="290"/>
  <c r="U38" i="290"/>
  <c r="V38" i="290"/>
  <c r="W38" i="290"/>
  <c r="AC38" i="290"/>
  <c r="AE38" i="290" s="1"/>
  <c r="AF38" i="290" s="1"/>
  <c r="AD38" i="290"/>
  <c r="AJ38" i="290"/>
  <c r="AK38" i="290"/>
  <c r="AL38" i="290"/>
  <c r="AM38" i="290"/>
  <c r="AN38" i="290"/>
  <c r="AR38" i="290"/>
  <c r="AT38" i="290" s="1"/>
  <c r="AS38" i="290" s="1"/>
  <c r="D39" i="290"/>
  <c r="E39" i="290"/>
  <c r="F39" i="290"/>
  <c r="G39" i="290"/>
  <c r="H39" i="290"/>
  <c r="I39" i="290"/>
  <c r="J39" i="290"/>
  <c r="K39" i="290"/>
  <c r="L39" i="290"/>
  <c r="M39" i="290"/>
  <c r="N39" i="290"/>
  <c r="O39" i="290"/>
  <c r="P39" i="290"/>
  <c r="Q39" i="290"/>
  <c r="R39" i="290"/>
  <c r="S39" i="290"/>
  <c r="T39" i="290"/>
  <c r="U39" i="290"/>
  <c r="V39" i="290"/>
  <c r="W39" i="290"/>
  <c r="AC39" i="290"/>
  <c r="AD39" i="290"/>
  <c r="AE39" i="290"/>
  <c r="AF39" i="290" s="1"/>
  <c r="AJ39" i="290"/>
  <c r="AK39" i="290"/>
  <c r="AL39" i="290"/>
  <c r="AM39" i="290"/>
  <c r="AN39" i="290"/>
  <c r="AO39" i="290" s="1"/>
  <c r="AR39" i="290"/>
  <c r="AT39" i="290" s="1"/>
  <c r="AS39" i="290" s="1"/>
  <c r="D40" i="290"/>
  <c r="E40" i="290"/>
  <c r="F40" i="290"/>
  <c r="G40" i="290"/>
  <c r="H40" i="290"/>
  <c r="I40" i="290"/>
  <c r="J40" i="290"/>
  <c r="K40" i="290"/>
  <c r="L40" i="290"/>
  <c r="M40" i="290"/>
  <c r="N40" i="290"/>
  <c r="O40" i="290"/>
  <c r="P40" i="290"/>
  <c r="Q40" i="290"/>
  <c r="R40" i="290"/>
  <c r="S40" i="290"/>
  <c r="T40" i="290"/>
  <c r="U40" i="290"/>
  <c r="V40" i="290"/>
  <c r="W40" i="290"/>
  <c r="Z40" i="290"/>
  <c r="AC40" i="290"/>
  <c r="AD40" i="290"/>
  <c r="AE40" i="290" s="1"/>
  <c r="AF40" i="290" s="1"/>
  <c r="AJ40" i="290"/>
  <c r="AK40" i="290"/>
  <c r="AL40" i="290"/>
  <c r="AM40" i="290"/>
  <c r="AN40" i="290"/>
  <c r="AO40" i="290"/>
  <c r="AP40" i="290"/>
  <c r="AQ40" i="290" s="1"/>
  <c r="AR40" i="290"/>
  <c r="AT40" i="290"/>
  <c r="AS40" i="290" s="1"/>
  <c r="D41" i="290"/>
  <c r="E41" i="290"/>
  <c r="F41" i="290"/>
  <c r="G41" i="290"/>
  <c r="H41" i="290"/>
  <c r="I41" i="290"/>
  <c r="J41" i="290"/>
  <c r="K41" i="290"/>
  <c r="L41" i="290"/>
  <c r="M41" i="290"/>
  <c r="N41" i="290"/>
  <c r="O41" i="290"/>
  <c r="P41" i="290"/>
  <c r="Q41" i="290"/>
  <c r="R41" i="290"/>
  <c r="S41" i="290"/>
  <c r="T41" i="290"/>
  <c r="U41" i="290"/>
  <c r="V41" i="290"/>
  <c r="W41" i="290"/>
  <c r="AC41" i="290"/>
  <c r="AE41" i="290" s="1"/>
  <c r="AF41" i="290" s="1"/>
  <c r="AD41" i="290"/>
  <c r="AJ41" i="290"/>
  <c r="AK41" i="290"/>
  <c r="AP41" i="290" s="1"/>
  <c r="AQ41" i="290" s="1"/>
  <c r="AL41" i="290"/>
  <c r="AM41" i="290"/>
  <c r="AN41" i="290"/>
  <c r="AO41" i="290"/>
  <c r="AR41" i="290"/>
  <c r="AS41" i="290"/>
  <c r="AT41" i="290"/>
  <c r="D42" i="290"/>
  <c r="E42" i="290"/>
  <c r="F42" i="290"/>
  <c r="G42" i="290"/>
  <c r="H42" i="290"/>
  <c r="I42" i="290"/>
  <c r="Z42" i="290" s="1"/>
  <c r="J42" i="290"/>
  <c r="K42" i="290"/>
  <c r="L42" i="290"/>
  <c r="M42" i="290"/>
  <c r="N42" i="290"/>
  <c r="O42" i="290"/>
  <c r="P42" i="290"/>
  <c r="Q42" i="290"/>
  <c r="R42" i="290"/>
  <c r="S42" i="290"/>
  <c r="T42" i="290"/>
  <c r="U42" i="290"/>
  <c r="V42" i="290"/>
  <c r="W42" i="290"/>
  <c r="AC42" i="290"/>
  <c r="AE42" i="290" s="1"/>
  <c r="AD42" i="290"/>
  <c r="AF42" i="290"/>
  <c r="AJ42" i="290"/>
  <c r="AK42" i="290"/>
  <c r="AL42" i="290"/>
  <c r="AM42" i="290"/>
  <c r="AN42" i="290"/>
  <c r="AR42" i="290"/>
  <c r="AT42" i="290" s="1"/>
  <c r="AS42" i="290" s="1"/>
  <c r="D43" i="290"/>
  <c r="E43" i="290"/>
  <c r="F43" i="290"/>
  <c r="G43" i="290"/>
  <c r="H43" i="290"/>
  <c r="I43" i="290"/>
  <c r="J43" i="290"/>
  <c r="K43" i="290"/>
  <c r="L43" i="290"/>
  <c r="M43" i="290"/>
  <c r="N43" i="290"/>
  <c r="O43" i="290"/>
  <c r="P43" i="290"/>
  <c r="Q43" i="290"/>
  <c r="R43" i="290"/>
  <c r="S43" i="290"/>
  <c r="T43" i="290"/>
  <c r="U43" i="290"/>
  <c r="V43" i="290"/>
  <c r="W43" i="290"/>
  <c r="AC43" i="290"/>
  <c r="AD43" i="290"/>
  <c r="AE43" i="290"/>
  <c r="AF43" i="290" s="1"/>
  <c r="AJ43" i="290"/>
  <c r="AK43" i="290"/>
  <c r="AL43" i="290"/>
  <c r="AM43" i="290"/>
  <c r="AM95" i="290" s="1"/>
  <c r="AN43" i="290"/>
  <c r="AO43" i="290" s="1"/>
  <c r="AR43" i="290"/>
  <c r="AT43" i="290" s="1"/>
  <c r="AS43" i="290" s="1"/>
  <c r="D44" i="290"/>
  <c r="E44" i="290"/>
  <c r="F44" i="290"/>
  <c r="G44" i="290"/>
  <c r="H44" i="290"/>
  <c r="I44" i="290"/>
  <c r="J44" i="290"/>
  <c r="K44" i="290"/>
  <c r="L44" i="290"/>
  <c r="M44" i="290"/>
  <c r="N44" i="290"/>
  <c r="O44" i="290"/>
  <c r="P44" i="290"/>
  <c r="Q44" i="290"/>
  <c r="R44" i="290"/>
  <c r="S44" i="290"/>
  <c r="T44" i="290"/>
  <c r="U44" i="290"/>
  <c r="V44" i="290"/>
  <c r="W44" i="290"/>
  <c r="Z44" i="290"/>
  <c r="AC44" i="290"/>
  <c r="AD44" i="290"/>
  <c r="AE44" i="290" s="1"/>
  <c r="AF44" i="290" s="1"/>
  <c r="AJ44" i="290"/>
  <c r="AK44" i="290"/>
  <c r="AL44" i="290"/>
  <c r="AM44" i="290"/>
  <c r="AN44" i="290"/>
  <c r="AO44" i="290"/>
  <c r="AP44" i="290"/>
  <c r="AQ44" i="290" s="1"/>
  <c r="AR44" i="290"/>
  <c r="AT44" i="290"/>
  <c r="AS44" i="290" s="1"/>
  <c r="D45" i="290"/>
  <c r="E45" i="290"/>
  <c r="F45" i="290"/>
  <c r="G45" i="290"/>
  <c r="H45" i="290"/>
  <c r="I45" i="290"/>
  <c r="J45" i="290"/>
  <c r="K45" i="290"/>
  <c r="L45" i="290"/>
  <c r="M45" i="290"/>
  <c r="N45" i="290"/>
  <c r="O45" i="290"/>
  <c r="P45" i="290"/>
  <c r="Q45" i="290"/>
  <c r="R45" i="290"/>
  <c r="S45" i="290"/>
  <c r="T45" i="290"/>
  <c r="U45" i="290"/>
  <c r="V45" i="290"/>
  <c r="W45" i="290"/>
  <c r="AC45" i="290"/>
  <c r="AE45" i="290" s="1"/>
  <c r="AF45" i="290" s="1"/>
  <c r="AD45" i="290"/>
  <c r="AJ45" i="290"/>
  <c r="AK45" i="290"/>
  <c r="AP45" i="290" s="1"/>
  <c r="AQ45" i="290" s="1"/>
  <c r="AL45" i="290"/>
  <c r="AM45" i="290"/>
  <c r="AN45" i="290"/>
  <c r="AO45" i="290"/>
  <c r="AR45" i="290"/>
  <c r="AS45" i="290"/>
  <c r="AT45" i="290"/>
  <c r="D46" i="290"/>
  <c r="E46" i="290"/>
  <c r="F46" i="290"/>
  <c r="G46" i="290"/>
  <c r="H46" i="290"/>
  <c r="I46" i="290"/>
  <c r="J46" i="290"/>
  <c r="K46" i="290"/>
  <c r="L46" i="290"/>
  <c r="M46" i="290"/>
  <c r="N46" i="290"/>
  <c r="O46" i="290"/>
  <c r="P46" i="290"/>
  <c r="Q46" i="290"/>
  <c r="R46" i="290"/>
  <c r="S46" i="290"/>
  <c r="T46" i="290"/>
  <c r="U46" i="290"/>
  <c r="V46" i="290"/>
  <c r="W46" i="290"/>
  <c r="AC46" i="290"/>
  <c r="AE46" i="290" s="1"/>
  <c r="AD46" i="290"/>
  <c r="AF46" i="290"/>
  <c r="AJ46" i="290"/>
  <c r="AK46" i="290"/>
  <c r="AL46" i="290"/>
  <c r="AM46" i="290"/>
  <c r="AN46" i="290"/>
  <c r="AR46" i="290"/>
  <c r="AT46" i="290" s="1"/>
  <c r="AS46" i="290" s="1"/>
  <c r="D47" i="290"/>
  <c r="E47" i="290"/>
  <c r="F47" i="290"/>
  <c r="G47" i="290"/>
  <c r="H47" i="290"/>
  <c r="I47" i="290"/>
  <c r="J47" i="290"/>
  <c r="K47" i="290"/>
  <c r="L47" i="290"/>
  <c r="M47" i="290"/>
  <c r="N47" i="290"/>
  <c r="O47" i="290"/>
  <c r="P47" i="290"/>
  <c r="Q47" i="290"/>
  <c r="R47" i="290"/>
  <c r="S47" i="290"/>
  <c r="T47" i="290"/>
  <c r="U47" i="290"/>
  <c r="V47" i="290"/>
  <c r="W47" i="290"/>
  <c r="AC47" i="290"/>
  <c r="AD47" i="290"/>
  <c r="AE47" i="290"/>
  <c r="AF47" i="290" s="1"/>
  <c r="AJ47" i="290"/>
  <c r="AK47" i="290"/>
  <c r="AL47" i="290"/>
  <c r="AM47" i="290"/>
  <c r="AN47" i="290"/>
  <c r="AO47" i="290" s="1"/>
  <c r="AR47" i="290"/>
  <c r="AT47" i="290" s="1"/>
  <c r="AS47" i="290" s="1"/>
  <c r="D48" i="290"/>
  <c r="E48" i="290"/>
  <c r="F48" i="290"/>
  <c r="G48" i="290"/>
  <c r="H48" i="290"/>
  <c r="I48" i="290"/>
  <c r="J48" i="290"/>
  <c r="K48" i="290"/>
  <c r="L48" i="290"/>
  <c r="M48" i="290"/>
  <c r="N48" i="290"/>
  <c r="O48" i="290"/>
  <c r="P48" i="290"/>
  <c r="Q48" i="290"/>
  <c r="R48" i="290"/>
  <c r="S48" i="290"/>
  <c r="T48" i="290"/>
  <c r="U48" i="290"/>
  <c r="V48" i="290"/>
  <c r="W48" i="290"/>
  <c r="Z48" i="290"/>
  <c r="AC48" i="290"/>
  <c r="AD48" i="290"/>
  <c r="AE48" i="290" s="1"/>
  <c r="AF48" i="290" s="1"/>
  <c r="AJ48" i="290"/>
  <c r="AK48" i="290"/>
  <c r="AL48" i="290"/>
  <c r="AM48" i="290"/>
  <c r="AN48" i="290"/>
  <c r="AO48" i="290"/>
  <c r="AP48" i="290"/>
  <c r="AQ48" i="290" s="1"/>
  <c r="AR48" i="290"/>
  <c r="AT48" i="290"/>
  <c r="AS48" i="290" s="1"/>
  <c r="D49" i="290"/>
  <c r="E49" i="290"/>
  <c r="F49" i="290"/>
  <c r="G49" i="290"/>
  <c r="H49" i="290"/>
  <c r="I49" i="290"/>
  <c r="J49" i="290"/>
  <c r="K49" i="290"/>
  <c r="L49" i="290"/>
  <c r="M49" i="290"/>
  <c r="N49" i="290"/>
  <c r="O49" i="290"/>
  <c r="P49" i="290"/>
  <c r="Q49" i="290"/>
  <c r="R49" i="290"/>
  <c r="S49" i="290"/>
  <c r="T49" i="290"/>
  <c r="U49" i="290"/>
  <c r="V49" i="290"/>
  <c r="W49" i="290"/>
  <c r="AC49" i="290"/>
  <c r="AE49" i="290" s="1"/>
  <c r="AF49" i="290" s="1"/>
  <c r="AD49" i="290"/>
  <c r="AJ49" i="290"/>
  <c r="AK49" i="290"/>
  <c r="AP49" i="290" s="1"/>
  <c r="AQ49" i="290" s="1"/>
  <c r="AL49" i="290"/>
  <c r="AM49" i="290"/>
  <c r="AN49" i="290"/>
  <c r="AO49" i="290"/>
  <c r="AR49" i="290"/>
  <c r="AS49" i="290"/>
  <c r="AT49" i="290"/>
  <c r="G50" i="290"/>
  <c r="H50" i="290"/>
  <c r="I50" i="290"/>
  <c r="J50" i="290"/>
  <c r="K50" i="290"/>
  <c r="L50" i="290"/>
  <c r="M50" i="290"/>
  <c r="N50" i="290"/>
  <c r="O50" i="290"/>
  <c r="P50" i="290"/>
  <c r="Q50" i="290"/>
  <c r="R50" i="290"/>
  <c r="S50" i="290"/>
  <c r="T50" i="290"/>
  <c r="U50" i="290"/>
  <c r="V50" i="290"/>
  <c r="W50" i="290"/>
  <c r="AC50" i="290"/>
  <c r="AD50" i="290"/>
  <c r="AE50" i="290"/>
  <c r="AF50" i="290" s="1"/>
  <c r="AJ50" i="290"/>
  <c r="AK50" i="290"/>
  <c r="AL50" i="290"/>
  <c r="AM50" i="290"/>
  <c r="AN50" i="290"/>
  <c r="AO50" i="290" s="1"/>
  <c r="AR50" i="290"/>
  <c r="AT50" i="290" s="1"/>
  <c r="AS50" i="290" s="1"/>
  <c r="G51" i="290"/>
  <c r="H51" i="290"/>
  <c r="I51" i="290"/>
  <c r="J51" i="290"/>
  <c r="K51" i="290"/>
  <c r="L51" i="290"/>
  <c r="M51" i="290"/>
  <c r="N51" i="290"/>
  <c r="O51" i="290"/>
  <c r="P51" i="290"/>
  <c r="Q51" i="290"/>
  <c r="R51" i="290"/>
  <c r="S51" i="290"/>
  <c r="T51" i="290"/>
  <c r="U51" i="290"/>
  <c r="V51" i="290"/>
  <c r="W51" i="290"/>
  <c r="AC51" i="290"/>
  <c r="AE51" i="290" s="1"/>
  <c r="AF51" i="290" s="1"/>
  <c r="AD51" i="290"/>
  <c r="AJ51" i="290"/>
  <c r="AK51" i="290"/>
  <c r="AP51" i="290" s="1"/>
  <c r="AQ51" i="290" s="1"/>
  <c r="AL51" i="290"/>
  <c r="AM51" i="290"/>
  <c r="AN51" i="290"/>
  <c r="AO51" i="290"/>
  <c r="AR51" i="290"/>
  <c r="AS51" i="290"/>
  <c r="AT51" i="290"/>
  <c r="G52" i="290"/>
  <c r="H52" i="290"/>
  <c r="I52" i="290"/>
  <c r="J52" i="290"/>
  <c r="K52" i="290"/>
  <c r="L52" i="290"/>
  <c r="M52" i="290"/>
  <c r="N52" i="290"/>
  <c r="O52" i="290"/>
  <c r="P52" i="290"/>
  <c r="Q52" i="290"/>
  <c r="R52" i="290"/>
  <c r="S52" i="290"/>
  <c r="T52" i="290"/>
  <c r="U52" i="290"/>
  <c r="V52" i="290"/>
  <c r="W52" i="290"/>
  <c r="Z52" i="290"/>
  <c r="AC52" i="290"/>
  <c r="AD52" i="290"/>
  <c r="AE52" i="290" s="1"/>
  <c r="AF52" i="290" s="1"/>
  <c r="AJ52" i="290"/>
  <c r="AK52" i="290"/>
  <c r="AL52" i="290"/>
  <c r="AP52" i="290" s="1"/>
  <c r="AQ52" i="290" s="1"/>
  <c r="AM52" i="290"/>
  <c r="AO52" i="290"/>
  <c r="AR52" i="290"/>
  <c r="AT52" i="290" s="1"/>
  <c r="AS52" i="290" s="1"/>
  <c r="G53" i="290"/>
  <c r="H53" i="290"/>
  <c r="I53" i="290"/>
  <c r="J53" i="290"/>
  <c r="K53" i="290"/>
  <c r="L53" i="290"/>
  <c r="M53" i="290"/>
  <c r="N53" i="290"/>
  <c r="O53" i="290"/>
  <c r="P53" i="290"/>
  <c r="Q53" i="290"/>
  <c r="R53" i="290"/>
  <c r="S53" i="290"/>
  <c r="T53" i="290"/>
  <c r="U53" i="290"/>
  <c r="V53" i="290"/>
  <c r="W53" i="290"/>
  <c r="AC53" i="290"/>
  <c r="AE53" i="290" s="1"/>
  <c r="AF53" i="290" s="1"/>
  <c r="AD53" i="290"/>
  <c r="AJ53" i="290"/>
  <c r="AK53" i="290"/>
  <c r="AL53" i="290"/>
  <c r="AP53" i="290" s="1"/>
  <c r="AM53" i="290"/>
  <c r="AO53" i="290"/>
  <c r="AQ53" i="290"/>
  <c r="AR53" i="290"/>
  <c r="AT53" i="290"/>
  <c r="AS53" i="290" s="1"/>
  <c r="G54" i="290"/>
  <c r="H54" i="290"/>
  <c r="I54" i="290"/>
  <c r="J54" i="290"/>
  <c r="K54" i="290"/>
  <c r="L54" i="290"/>
  <c r="M54" i="290"/>
  <c r="N54" i="290"/>
  <c r="O54" i="290"/>
  <c r="P54" i="290"/>
  <c r="Q54" i="290"/>
  <c r="R54" i="290"/>
  <c r="S54" i="290"/>
  <c r="T54" i="290"/>
  <c r="U54" i="290"/>
  <c r="V54" i="290"/>
  <c r="W54" i="290"/>
  <c r="AC54" i="290"/>
  <c r="AE54" i="290" s="1"/>
  <c r="AF54" i="290" s="1"/>
  <c r="AD54" i="290"/>
  <c r="AJ54" i="290"/>
  <c r="AK54" i="290"/>
  <c r="AL54" i="290"/>
  <c r="AM54" i="290"/>
  <c r="AO54" i="290"/>
  <c r="AP54" i="290"/>
  <c r="AQ54" i="290" s="1"/>
  <c r="AR54" i="290"/>
  <c r="AS54" i="290"/>
  <c r="AT54" i="290"/>
  <c r="G55" i="290"/>
  <c r="H55" i="290"/>
  <c r="I55" i="290"/>
  <c r="J55" i="290"/>
  <c r="K55" i="290"/>
  <c r="L55" i="290"/>
  <c r="M55" i="290"/>
  <c r="N55" i="290"/>
  <c r="O55" i="290"/>
  <c r="P55" i="290"/>
  <c r="Q55" i="290"/>
  <c r="R55" i="290"/>
  <c r="S55" i="290"/>
  <c r="T55" i="290"/>
  <c r="U55" i="290"/>
  <c r="V55" i="290"/>
  <c r="W55" i="290"/>
  <c r="AC55" i="290"/>
  <c r="AD55" i="290"/>
  <c r="AE55" i="290"/>
  <c r="AF55" i="290"/>
  <c r="AJ55" i="290"/>
  <c r="AP55" i="290" s="1"/>
  <c r="AQ55" i="290" s="1"/>
  <c r="AK55" i="290"/>
  <c r="AL55" i="290"/>
  <c r="AM55" i="290"/>
  <c r="AO55" i="290"/>
  <c r="AR55" i="290"/>
  <c r="AT55" i="290" s="1"/>
  <c r="AS55" i="290"/>
  <c r="G56" i="290"/>
  <c r="H56" i="290"/>
  <c r="I56" i="290"/>
  <c r="J56" i="290"/>
  <c r="K56" i="290"/>
  <c r="L56" i="290"/>
  <c r="M56" i="290"/>
  <c r="N56" i="290"/>
  <c r="O56" i="290"/>
  <c r="P56" i="290"/>
  <c r="Q56" i="290"/>
  <c r="R56" i="290"/>
  <c r="S56" i="290"/>
  <c r="T56" i="290"/>
  <c r="U56" i="290"/>
  <c r="V56" i="290"/>
  <c r="W56" i="290"/>
  <c r="Z56" i="290"/>
  <c r="AC56" i="290"/>
  <c r="AD56" i="290"/>
  <c r="AE56" i="290"/>
  <c r="AF56" i="290" s="1"/>
  <c r="AJ56" i="290"/>
  <c r="AK56" i="290"/>
  <c r="AL56" i="290"/>
  <c r="AM56" i="290"/>
  <c r="AO56" i="290"/>
  <c r="AR56" i="290"/>
  <c r="AT56" i="290" s="1"/>
  <c r="AS56" i="290" s="1"/>
  <c r="G57" i="290"/>
  <c r="H57" i="290"/>
  <c r="I57" i="290"/>
  <c r="J57" i="290"/>
  <c r="K57" i="290"/>
  <c r="L57" i="290"/>
  <c r="M57" i="290"/>
  <c r="N57" i="290"/>
  <c r="O57" i="290"/>
  <c r="P57" i="290"/>
  <c r="Q57" i="290"/>
  <c r="R57" i="290"/>
  <c r="S57" i="290"/>
  <c r="T57" i="290"/>
  <c r="U57" i="290"/>
  <c r="V57" i="290"/>
  <c r="W57" i="290"/>
  <c r="AC57" i="290"/>
  <c r="AE57" i="290" s="1"/>
  <c r="AF57" i="290" s="1"/>
  <c r="AD57" i="290"/>
  <c r="AJ57" i="290"/>
  <c r="AK57" i="290"/>
  <c r="AL57" i="290"/>
  <c r="AP57" i="290" s="1"/>
  <c r="AQ57" i="290" s="1"/>
  <c r="AM57" i="290"/>
  <c r="AO57" i="290"/>
  <c r="AR57" i="290"/>
  <c r="AT57" i="290"/>
  <c r="AS57" i="290" s="1"/>
  <c r="G58" i="290"/>
  <c r="H58" i="290"/>
  <c r="I58" i="290"/>
  <c r="J58" i="290"/>
  <c r="K58" i="290"/>
  <c r="L58" i="290"/>
  <c r="M58" i="290"/>
  <c r="N58" i="290"/>
  <c r="O58" i="290"/>
  <c r="P58" i="290"/>
  <c r="Q58" i="290"/>
  <c r="R58" i="290"/>
  <c r="S58" i="290"/>
  <c r="T58" i="290"/>
  <c r="U58" i="290"/>
  <c r="V58" i="290"/>
  <c r="W58" i="290"/>
  <c r="AC58" i="290"/>
  <c r="AE58" i="290" s="1"/>
  <c r="AF58" i="290" s="1"/>
  <c r="AD58" i="290"/>
  <c r="AJ58" i="290"/>
  <c r="AK58" i="290"/>
  <c r="AL58" i="290"/>
  <c r="AM58" i="290"/>
  <c r="AO58" i="290"/>
  <c r="AP58" i="290"/>
  <c r="AQ58" i="290" s="1"/>
  <c r="AR58" i="290"/>
  <c r="AS58" i="290"/>
  <c r="AT58" i="290"/>
  <c r="G59" i="290"/>
  <c r="H59" i="290"/>
  <c r="I59" i="290"/>
  <c r="J59" i="290"/>
  <c r="K59" i="290"/>
  <c r="L59" i="290"/>
  <c r="M59" i="290"/>
  <c r="N59" i="290"/>
  <c r="O59" i="290"/>
  <c r="P59" i="290"/>
  <c r="Q59" i="290"/>
  <c r="R59" i="290"/>
  <c r="S59" i="290"/>
  <c r="T59" i="290"/>
  <c r="U59" i="290"/>
  <c r="V59" i="290"/>
  <c r="W59" i="290"/>
  <c r="AC59" i="290"/>
  <c r="AD59" i="290"/>
  <c r="AE59" i="290"/>
  <c r="AF59" i="290"/>
  <c r="AJ59" i="290"/>
  <c r="AP59" i="290" s="1"/>
  <c r="AQ59" i="290" s="1"/>
  <c r="AK59" i="290"/>
  <c r="AL59" i="290"/>
  <c r="AM59" i="290"/>
  <c r="AO59" i="290"/>
  <c r="AR59" i="290"/>
  <c r="AT59" i="290" s="1"/>
  <c r="AS59" i="290"/>
  <c r="G60" i="290"/>
  <c r="H60" i="290"/>
  <c r="I60" i="290"/>
  <c r="J60" i="290"/>
  <c r="K60" i="290"/>
  <c r="L60" i="290"/>
  <c r="M60" i="290"/>
  <c r="N60" i="290"/>
  <c r="O60" i="290"/>
  <c r="P60" i="290"/>
  <c r="Q60" i="290"/>
  <c r="R60" i="290"/>
  <c r="S60" i="290"/>
  <c r="T60" i="290"/>
  <c r="U60" i="290"/>
  <c r="V60" i="290"/>
  <c r="W60" i="290"/>
  <c r="Z60" i="290"/>
  <c r="AC60" i="290"/>
  <c r="AD60" i="290"/>
  <c r="AE60" i="290"/>
  <c r="AF60" i="290" s="1"/>
  <c r="AJ60" i="290"/>
  <c r="AK60" i="290"/>
  <c r="AL60" i="290"/>
  <c r="AM60" i="290"/>
  <c r="AO60" i="290"/>
  <c r="AR60" i="290"/>
  <c r="AT60" i="290" s="1"/>
  <c r="AS60" i="290" s="1"/>
  <c r="G61" i="290"/>
  <c r="H61" i="290"/>
  <c r="I61" i="290"/>
  <c r="J61" i="290"/>
  <c r="K61" i="290"/>
  <c r="L61" i="290"/>
  <c r="M61" i="290"/>
  <c r="N61" i="290"/>
  <c r="O61" i="290"/>
  <c r="P61" i="290"/>
  <c r="Q61" i="290"/>
  <c r="R61" i="290"/>
  <c r="S61" i="290"/>
  <c r="T61" i="290"/>
  <c r="U61" i="290"/>
  <c r="V61" i="290"/>
  <c r="W61" i="290"/>
  <c r="AC61" i="290"/>
  <c r="AE61" i="290" s="1"/>
  <c r="AF61" i="290" s="1"/>
  <c r="AD61" i="290"/>
  <c r="AJ61" i="290"/>
  <c r="AK61" i="290"/>
  <c r="AL61" i="290"/>
  <c r="AP61" i="290" s="1"/>
  <c r="AQ61" i="290" s="1"/>
  <c r="AM61" i="290"/>
  <c r="AO61" i="290"/>
  <c r="AR61" i="290"/>
  <c r="AT61" i="290"/>
  <c r="AS61" i="290" s="1"/>
  <c r="G62" i="290"/>
  <c r="H62" i="290"/>
  <c r="I62" i="290"/>
  <c r="J62" i="290"/>
  <c r="K62" i="290"/>
  <c r="L62" i="290"/>
  <c r="M62" i="290"/>
  <c r="N62" i="290"/>
  <c r="O62" i="290"/>
  <c r="P62" i="290"/>
  <c r="Q62" i="290"/>
  <c r="R62" i="290"/>
  <c r="S62" i="290"/>
  <c r="T62" i="290"/>
  <c r="U62" i="290"/>
  <c r="V62" i="290"/>
  <c r="W62" i="290"/>
  <c r="AC62" i="290"/>
  <c r="AE62" i="290" s="1"/>
  <c r="AF62" i="290" s="1"/>
  <c r="AD62" i="290"/>
  <c r="AJ62" i="290"/>
  <c r="AK62" i="290"/>
  <c r="AL62" i="290"/>
  <c r="AM62" i="290"/>
  <c r="AO62" i="290"/>
  <c r="AP62" i="290"/>
  <c r="AQ62" i="290" s="1"/>
  <c r="AR62" i="290"/>
  <c r="AS62" i="290"/>
  <c r="AT62" i="290"/>
  <c r="G63" i="290"/>
  <c r="H63" i="290"/>
  <c r="I63" i="290"/>
  <c r="J63" i="290"/>
  <c r="K63" i="290"/>
  <c r="L63" i="290"/>
  <c r="M63" i="290"/>
  <c r="N63" i="290"/>
  <c r="O63" i="290"/>
  <c r="P63" i="290"/>
  <c r="Q63" i="290"/>
  <c r="R63" i="290"/>
  <c r="S63" i="290"/>
  <c r="T63" i="290"/>
  <c r="U63" i="290"/>
  <c r="V63" i="290"/>
  <c r="W63" i="290"/>
  <c r="AC63" i="290"/>
  <c r="AD63" i="290"/>
  <c r="AE63" i="290"/>
  <c r="AF63" i="290"/>
  <c r="AJ63" i="290"/>
  <c r="AP63" i="290" s="1"/>
  <c r="AQ63" i="290" s="1"/>
  <c r="AK63" i="290"/>
  <c r="AL63" i="290"/>
  <c r="AM63" i="290"/>
  <c r="AO63" i="290"/>
  <c r="AR63" i="290"/>
  <c r="AT63" i="290" s="1"/>
  <c r="AS63" i="290"/>
  <c r="G64" i="290"/>
  <c r="H64" i="290"/>
  <c r="I64" i="290"/>
  <c r="J64" i="290"/>
  <c r="K64" i="290"/>
  <c r="L64" i="290"/>
  <c r="M64" i="290"/>
  <c r="N64" i="290"/>
  <c r="O64" i="290"/>
  <c r="P64" i="290"/>
  <c r="Q64" i="290"/>
  <c r="R64" i="290"/>
  <c r="S64" i="290"/>
  <c r="T64" i="290"/>
  <c r="U64" i="290"/>
  <c r="V64" i="290"/>
  <c r="W64" i="290"/>
  <c r="Z64" i="290"/>
  <c r="AC64" i="290"/>
  <c r="AD64" i="290"/>
  <c r="AE64" i="290"/>
  <c r="AF64" i="290" s="1"/>
  <c r="AJ64" i="290"/>
  <c r="AK64" i="290"/>
  <c r="AL64" i="290"/>
  <c r="AM64" i="290"/>
  <c r="AO64" i="290"/>
  <c r="AR64" i="290"/>
  <c r="AT64" i="290" s="1"/>
  <c r="AS64" i="290" s="1"/>
  <c r="G65" i="290"/>
  <c r="H65" i="290"/>
  <c r="I65" i="290"/>
  <c r="J65" i="290"/>
  <c r="K65" i="290"/>
  <c r="L65" i="290"/>
  <c r="M65" i="290"/>
  <c r="N65" i="290"/>
  <c r="O65" i="290"/>
  <c r="P65" i="290"/>
  <c r="Q65" i="290"/>
  <c r="R65" i="290"/>
  <c r="S65" i="290"/>
  <c r="S95" i="290" s="1"/>
  <c r="T65" i="290"/>
  <c r="U65" i="290"/>
  <c r="V65" i="290"/>
  <c r="W65" i="290"/>
  <c r="AC65" i="290"/>
  <c r="AE65" i="290" s="1"/>
  <c r="AF65" i="290" s="1"/>
  <c r="AD65" i="290"/>
  <c r="AJ65" i="290"/>
  <c r="AK65" i="290"/>
  <c r="AL65" i="290"/>
  <c r="AP65" i="290" s="1"/>
  <c r="AQ65" i="290" s="1"/>
  <c r="AM65" i="290"/>
  <c r="AO65" i="290"/>
  <c r="AR65" i="290"/>
  <c r="AT65" i="290"/>
  <c r="AS65" i="290" s="1"/>
  <c r="G66" i="290"/>
  <c r="H66" i="290"/>
  <c r="I66" i="290"/>
  <c r="J66" i="290"/>
  <c r="K66" i="290"/>
  <c r="L66" i="290"/>
  <c r="M66" i="290"/>
  <c r="N66" i="290"/>
  <c r="O66" i="290"/>
  <c r="P66" i="290"/>
  <c r="Q66" i="290"/>
  <c r="R66" i="290"/>
  <c r="S66" i="290"/>
  <c r="T66" i="290"/>
  <c r="U66" i="290"/>
  <c r="V66" i="290"/>
  <c r="W66" i="290"/>
  <c r="AC66" i="290"/>
  <c r="AE66" i="290" s="1"/>
  <c r="AF66" i="290" s="1"/>
  <c r="AD66" i="290"/>
  <c r="AJ66" i="290"/>
  <c r="AK66" i="290"/>
  <c r="AL66" i="290"/>
  <c r="AM66" i="290"/>
  <c r="AO66" i="290"/>
  <c r="AP66" i="290"/>
  <c r="AQ66" i="290" s="1"/>
  <c r="AR66" i="290"/>
  <c r="AS66" i="290"/>
  <c r="AT66" i="290"/>
  <c r="G67" i="290"/>
  <c r="H67" i="290"/>
  <c r="I67" i="290"/>
  <c r="J67" i="290"/>
  <c r="K67" i="290"/>
  <c r="L67" i="290"/>
  <c r="M67" i="290"/>
  <c r="N67" i="290"/>
  <c r="O67" i="290"/>
  <c r="P67" i="290"/>
  <c r="Q67" i="290"/>
  <c r="R67" i="290"/>
  <c r="S67" i="290"/>
  <c r="T67" i="290"/>
  <c r="U67" i="290"/>
  <c r="V67" i="290"/>
  <c r="W67" i="290"/>
  <c r="AC67" i="290"/>
  <c r="AD67" i="290"/>
  <c r="AE67" i="290"/>
  <c r="AF67" i="290"/>
  <c r="AJ67" i="290"/>
  <c r="AP67" i="290" s="1"/>
  <c r="AQ67" i="290" s="1"/>
  <c r="AK67" i="290"/>
  <c r="AL67" i="290"/>
  <c r="AM67" i="290"/>
  <c r="AO67" i="290"/>
  <c r="AR67" i="290"/>
  <c r="AT67" i="290" s="1"/>
  <c r="AS67" i="290"/>
  <c r="G68" i="290"/>
  <c r="H68" i="290"/>
  <c r="I68" i="290"/>
  <c r="J68" i="290"/>
  <c r="K68" i="290"/>
  <c r="L68" i="290"/>
  <c r="M68" i="290"/>
  <c r="N68" i="290"/>
  <c r="O68" i="290"/>
  <c r="P68" i="290"/>
  <c r="Q68" i="290"/>
  <c r="R68" i="290"/>
  <c r="S68" i="290"/>
  <c r="T68" i="290"/>
  <c r="U68" i="290"/>
  <c r="V68" i="290"/>
  <c r="W68" i="290"/>
  <c r="Z68" i="290"/>
  <c r="AC68" i="290"/>
  <c r="AD68" i="290"/>
  <c r="AE68" i="290"/>
  <c r="AF68" i="290" s="1"/>
  <c r="AJ68" i="290"/>
  <c r="AK68" i="290"/>
  <c r="AL68" i="290"/>
  <c r="AM68" i="290"/>
  <c r="AO68" i="290"/>
  <c r="AR68" i="290"/>
  <c r="AT68" i="290" s="1"/>
  <c r="AS68" i="290" s="1"/>
  <c r="G69" i="290"/>
  <c r="H69" i="290"/>
  <c r="I69" i="290"/>
  <c r="J69" i="290"/>
  <c r="K69" i="290"/>
  <c r="L69" i="290"/>
  <c r="M69" i="290"/>
  <c r="N69" i="290"/>
  <c r="O69" i="290"/>
  <c r="P69" i="290"/>
  <c r="Q69" i="290"/>
  <c r="R69" i="290"/>
  <c r="S69" i="290"/>
  <c r="T69" i="290"/>
  <c r="U69" i="290"/>
  <c r="V69" i="290"/>
  <c r="W69" i="290"/>
  <c r="AC69" i="290"/>
  <c r="AE69" i="290" s="1"/>
  <c r="AF69" i="290" s="1"/>
  <c r="AD69" i="290"/>
  <c r="AJ69" i="290"/>
  <c r="AK69" i="290"/>
  <c r="AL69" i="290"/>
  <c r="AP69" i="290" s="1"/>
  <c r="AM69" i="290"/>
  <c r="AO69" i="290"/>
  <c r="AQ69" i="290"/>
  <c r="AR69" i="290"/>
  <c r="AT69" i="290"/>
  <c r="AS69" i="290" s="1"/>
  <c r="G70" i="290"/>
  <c r="H70" i="290"/>
  <c r="I70" i="290"/>
  <c r="J70" i="290"/>
  <c r="K70" i="290"/>
  <c r="L70" i="290"/>
  <c r="M70" i="290"/>
  <c r="N70" i="290"/>
  <c r="O70" i="290"/>
  <c r="P70" i="290"/>
  <c r="Q70" i="290"/>
  <c r="R70" i="290"/>
  <c r="S70" i="290"/>
  <c r="T70" i="290"/>
  <c r="U70" i="290"/>
  <c r="V70" i="290"/>
  <c r="W70" i="290"/>
  <c r="AC70" i="290"/>
  <c r="AE70" i="290" s="1"/>
  <c r="AF70" i="290" s="1"/>
  <c r="AD70" i="290"/>
  <c r="AJ70" i="290"/>
  <c r="AK70" i="290"/>
  <c r="AL70" i="290"/>
  <c r="AM70" i="290"/>
  <c r="AO70" i="290"/>
  <c r="AP70" i="290"/>
  <c r="AQ70" i="290" s="1"/>
  <c r="AR70" i="290"/>
  <c r="AS70" i="290"/>
  <c r="AT70" i="290"/>
  <c r="G71" i="290"/>
  <c r="H71" i="290"/>
  <c r="I71" i="290"/>
  <c r="J71" i="290"/>
  <c r="K71" i="290"/>
  <c r="L71" i="290"/>
  <c r="M71" i="290"/>
  <c r="N71" i="290"/>
  <c r="O71" i="290"/>
  <c r="P71" i="290"/>
  <c r="Q71" i="290"/>
  <c r="R71" i="290"/>
  <c r="S71" i="290"/>
  <c r="T71" i="290"/>
  <c r="U71" i="290"/>
  <c r="V71" i="290"/>
  <c r="W71" i="290"/>
  <c r="AC71" i="290"/>
  <c r="AD71" i="290"/>
  <c r="AE71" i="290" s="1"/>
  <c r="AF71" i="290" s="1"/>
  <c r="AJ71" i="290"/>
  <c r="AK71" i="290"/>
  <c r="AL71" i="290"/>
  <c r="AM71" i="290"/>
  <c r="AO71" i="290"/>
  <c r="AR71" i="290"/>
  <c r="AT71" i="290" s="1"/>
  <c r="AS71" i="290"/>
  <c r="G72" i="290"/>
  <c r="H72" i="290"/>
  <c r="I72" i="290"/>
  <c r="J72" i="290"/>
  <c r="K72" i="290"/>
  <c r="L72" i="290"/>
  <c r="M72" i="290"/>
  <c r="N72" i="290"/>
  <c r="O72" i="290"/>
  <c r="P72" i="290"/>
  <c r="Q72" i="290"/>
  <c r="R72" i="290"/>
  <c r="S72" i="290"/>
  <c r="T72" i="290"/>
  <c r="U72" i="290"/>
  <c r="V72" i="290"/>
  <c r="W72" i="290"/>
  <c r="AC72" i="290"/>
  <c r="AD72" i="290"/>
  <c r="AE72" i="290" s="1"/>
  <c r="AF72" i="290" s="1"/>
  <c r="AJ72" i="290"/>
  <c r="AK72" i="290"/>
  <c r="AL72" i="290"/>
  <c r="AM72" i="290"/>
  <c r="AO72" i="290"/>
  <c r="AP72" i="290"/>
  <c r="AQ72" i="290" s="1"/>
  <c r="AR72" i="290"/>
  <c r="AT72" i="290" s="1"/>
  <c r="AS72" i="290" s="1"/>
  <c r="G73" i="290"/>
  <c r="H73" i="290"/>
  <c r="I73" i="290"/>
  <c r="J73" i="290"/>
  <c r="K73" i="290"/>
  <c r="L73" i="290"/>
  <c r="M73" i="290"/>
  <c r="N73" i="290"/>
  <c r="O73" i="290"/>
  <c r="P73" i="290"/>
  <c r="Q73" i="290"/>
  <c r="R73" i="290"/>
  <c r="S73" i="290"/>
  <c r="T73" i="290"/>
  <c r="U73" i="290"/>
  <c r="V73" i="290"/>
  <c r="W73" i="290"/>
  <c r="Z73" i="290"/>
  <c r="AC73" i="290"/>
  <c r="AE73" i="290" s="1"/>
  <c r="AD73" i="290"/>
  <c r="AF73" i="290"/>
  <c r="AJ73" i="290"/>
  <c r="AK73" i="290"/>
  <c r="AL73" i="290"/>
  <c r="AM73" i="290"/>
  <c r="AO73" i="290"/>
  <c r="AP73" i="290"/>
  <c r="AQ73" i="290" s="1"/>
  <c r="AR73" i="290"/>
  <c r="AT73" i="290"/>
  <c r="AS73" i="290" s="1"/>
  <c r="G74" i="290"/>
  <c r="H74" i="290"/>
  <c r="I74" i="290"/>
  <c r="J74" i="290"/>
  <c r="K74" i="290"/>
  <c r="L74" i="290"/>
  <c r="M74" i="290"/>
  <c r="N74" i="290"/>
  <c r="O74" i="290"/>
  <c r="P74" i="290"/>
  <c r="Q74" i="290"/>
  <c r="R74" i="290"/>
  <c r="S74" i="290"/>
  <c r="T74" i="290"/>
  <c r="U74" i="290"/>
  <c r="V74" i="290"/>
  <c r="W74" i="290"/>
  <c r="AC74" i="290"/>
  <c r="AE74" i="290" s="1"/>
  <c r="AF74" i="290" s="1"/>
  <c r="AD74" i="290"/>
  <c r="AJ74" i="290"/>
  <c r="AK74" i="290"/>
  <c r="AL74" i="290"/>
  <c r="AM74" i="290"/>
  <c r="AP74" i="290" s="1"/>
  <c r="AQ74" i="290" s="1"/>
  <c r="AO74" i="290"/>
  <c r="AR74" i="290"/>
  <c r="AT74" i="290" s="1"/>
  <c r="AS74" i="290"/>
  <c r="G75" i="290"/>
  <c r="H75" i="290"/>
  <c r="I75" i="290"/>
  <c r="J75" i="290"/>
  <c r="K75" i="290"/>
  <c r="L75" i="290"/>
  <c r="M75" i="290"/>
  <c r="N75" i="290"/>
  <c r="O75" i="290"/>
  <c r="P75" i="290"/>
  <c r="Q75" i="290"/>
  <c r="R75" i="290"/>
  <c r="S75" i="290"/>
  <c r="T75" i="290"/>
  <c r="U75" i="290"/>
  <c r="V75" i="290"/>
  <c r="W75" i="290"/>
  <c r="AC75" i="290"/>
  <c r="AD75" i="290"/>
  <c r="AE75" i="290" s="1"/>
  <c r="AF75" i="290" s="1"/>
  <c r="AJ75" i="290"/>
  <c r="AK75" i="290"/>
  <c r="AL75" i="290"/>
  <c r="AM75" i="290"/>
  <c r="AO75" i="290"/>
  <c r="AR75" i="290"/>
  <c r="AT75" i="290" s="1"/>
  <c r="AS75" i="290"/>
  <c r="G76" i="290"/>
  <c r="H76" i="290"/>
  <c r="I76" i="290"/>
  <c r="J76" i="290"/>
  <c r="K76" i="290"/>
  <c r="L76" i="290"/>
  <c r="M76" i="290"/>
  <c r="N76" i="290"/>
  <c r="O76" i="290"/>
  <c r="P76" i="290"/>
  <c r="Q76" i="290"/>
  <c r="R76" i="290"/>
  <c r="S76" i="290"/>
  <c r="T76" i="290"/>
  <c r="U76" i="290"/>
  <c r="V76" i="290"/>
  <c r="W76" i="290"/>
  <c r="AC76" i="290"/>
  <c r="AD76" i="290"/>
  <c r="AE76" i="290" s="1"/>
  <c r="AF76" i="290" s="1"/>
  <c r="AJ76" i="290"/>
  <c r="AK76" i="290"/>
  <c r="AL76" i="290"/>
  <c r="AM76" i="290"/>
  <c r="AO76" i="290"/>
  <c r="AP76" i="290"/>
  <c r="AQ76" i="290" s="1"/>
  <c r="AR76" i="290"/>
  <c r="AT76" i="290" s="1"/>
  <c r="AS76" i="290" s="1"/>
  <c r="G77" i="290"/>
  <c r="H77" i="290"/>
  <c r="I77" i="290"/>
  <c r="J77" i="290"/>
  <c r="K77" i="290"/>
  <c r="L77" i="290"/>
  <c r="M77" i="290"/>
  <c r="N77" i="290"/>
  <c r="O77" i="290"/>
  <c r="P77" i="290"/>
  <c r="Q77" i="290"/>
  <c r="R77" i="290"/>
  <c r="S77" i="290"/>
  <c r="T77" i="290"/>
  <c r="U77" i="290"/>
  <c r="V77" i="290"/>
  <c r="W77" i="290"/>
  <c r="Z77" i="290"/>
  <c r="AC77" i="290"/>
  <c r="AE77" i="290" s="1"/>
  <c r="AD77" i="290"/>
  <c r="AF77" i="290"/>
  <c r="AJ77" i="290"/>
  <c r="AK77" i="290"/>
  <c r="AL77" i="290"/>
  <c r="AM77" i="290"/>
  <c r="AO77" i="290"/>
  <c r="AP77" i="290"/>
  <c r="AQ77" i="290" s="1"/>
  <c r="AR77" i="290"/>
  <c r="AT77" i="290"/>
  <c r="AS77" i="290" s="1"/>
  <c r="G78" i="290"/>
  <c r="H78" i="290"/>
  <c r="I78" i="290"/>
  <c r="J78" i="290"/>
  <c r="K78" i="290"/>
  <c r="L78" i="290"/>
  <c r="M78" i="290"/>
  <c r="N78" i="290"/>
  <c r="O78" i="290"/>
  <c r="P78" i="290"/>
  <c r="Q78" i="290"/>
  <c r="R78" i="290"/>
  <c r="S78" i="290"/>
  <c r="T78" i="290"/>
  <c r="U78" i="290"/>
  <c r="V78" i="290"/>
  <c r="W78" i="290"/>
  <c r="AC78" i="290"/>
  <c r="AE78" i="290" s="1"/>
  <c r="AF78" i="290" s="1"/>
  <c r="AD78" i="290"/>
  <c r="AJ78" i="290"/>
  <c r="AK78" i="290"/>
  <c r="AL78" i="290"/>
  <c r="AM78" i="290"/>
  <c r="AP78" i="290" s="1"/>
  <c r="AQ78" i="290" s="1"/>
  <c r="AO78" i="290"/>
  <c r="AR78" i="290"/>
  <c r="AT78" i="290" s="1"/>
  <c r="AS78" i="290"/>
  <c r="G79" i="290"/>
  <c r="H79" i="290"/>
  <c r="I79" i="290"/>
  <c r="J79" i="290"/>
  <c r="K79" i="290"/>
  <c r="L79" i="290"/>
  <c r="M79" i="290"/>
  <c r="N79" i="290"/>
  <c r="O79" i="290"/>
  <c r="P79" i="290"/>
  <c r="Q79" i="290"/>
  <c r="R79" i="290"/>
  <c r="S79" i="290"/>
  <c r="T79" i="290"/>
  <c r="U79" i="290"/>
  <c r="V79" i="290"/>
  <c r="W79" i="290"/>
  <c r="AC79" i="290"/>
  <c r="AD79" i="290"/>
  <c r="AE79" i="290" s="1"/>
  <c r="AF79" i="290" s="1"/>
  <c r="AJ79" i="290"/>
  <c r="AK79" i="290"/>
  <c r="AL79" i="290"/>
  <c r="AM79" i="290"/>
  <c r="AO79" i="290"/>
  <c r="AR79" i="290"/>
  <c r="AT79" i="290" s="1"/>
  <c r="AS79" i="290"/>
  <c r="G80" i="290"/>
  <c r="H80" i="290"/>
  <c r="I80" i="290"/>
  <c r="J80" i="290"/>
  <c r="K80" i="290"/>
  <c r="L80" i="290"/>
  <c r="M80" i="290"/>
  <c r="N80" i="290"/>
  <c r="O80" i="290"/>
  <c r="P80" i="290"/>
  <c r="Q80" i="290"/>
  <c r="R80" i="290"/>
  <c r="S80" i="290"/>
  <c r="T80" i="290"/>
  <c r="U80" i="290"/>
  <c r="V80" i="290"/>
  <c r="W80" i="290"/>
  <c r="AC80" i="290"/>
  <c r="AD80" i="290"/>
  <c r="AE80" i="290" s="1"/>
  <c r="AF80" i="290" s="1"/>
  <c r="AJ80" i="290"/>
  <c r="AK80" i="290"/>
  <c r="AL80" i="290"/>
  <c r="AM80" i="290"/>
  <c r="AO80" i="290"/>
  <c r="AP80" i="290"/>
  <c r="AQ80" i="290" s="1"/>
  <c r="AR80" i="290"/>
  <c r="AT80" i="290" s="1"/>
  <c r="AS80" i="290" s="1"/>
  <c r="G81" i="290"/>
  <c r="H81" i="290"/>
  <c r="I81" i="290"/>
  <c r="J81" i="290"/>
  <c r="K81" i="290"/>
  <c r="L81" i="290"/>
  <c r="M81" i="290"/>
  <c r="N81" i="290"/>
  <c r="O81" i="290"/>
  <c r="P81" i="290"/>
  <c r="Q81" i="290"/>
  <c r="R81" i="290"/>
  <c r="S81" i="290"/>
  <c r="T81" i="290"/>
  <c r="U81" i="290"/>
  <c r="V81" i="290"/>
  <c r="W81" i="290"/>
  <c r="Z81" i="290"/>
  <c r="AC81" i="290"/>
  <c r="AE81" i="290" s="1"/>
  <c r="AD81" i="290"/>
  <c r="AF81" i="290"/>
  <c r="AJ81" i="290"/>
  <c r="AK81" i="290"/>
  <c r="AL81" i="290"/>
  <c r="AM81" i="290"/>
  <c r="AO81" i="290"/>
  <c r="AP81" i="290"/>
  <c r="AQ81" i="290" s="1"/>
  <c r="AR81" i="290"/>
  <c r="AT81" i="290"/>
  <c r="AS81" i="290" s="1"/>
  <c r="G82" i="290"/>
  <c r="H82" i="290"/>
  <c r="I82" i="290"/>
  <c r="J82" i="290"/>
  <c r="K82" i="290"/>
  <c r="L82" i="290"/>
  <c r="M82" i="290"/>
  <c r="N82" i="290"/>
  <c r="O82" i="290"/>
  <c r="P82" i="290"/>
  <c r="Q82" i="290"/>
  <c r="R82" i="290"/>
  <c r="S82" i="290"/>
  <c r="T82" i="290"/>
  <c r="U82" i="290"/>
  <c r="V82" i="290"/>
  <c r="W82" i="290"/>
  <c r="AC82" i="290"/>
  <c r="AE82" i="290" s="1"/>
  <c r="AF82" i="290" s="1"/>
  <c r="AD82" i="290"/>
  <c r="AJ82" i="290"/>
  <c r="AK82" i="290"/>
  <c r="AL82" i="290"/>
  <c r="AM82" i="290"/>
  <c r="AP82" i="290" s="1"/>
  <c r="AQ82" i="290" s="1"/>
  <c r="AO82" i="290"/>
  <c r="AR82" i="290"/>
  <c r="AT82" i="290" s="1"/>
  <c r="AS82" i="290"/>
  <c r="G83" i="290"/>
  <c r="H83" i="290"/>
  <c r="I83" i="290"/>
  <c r="J83" i="290"/>
  <c r="K83" i="290"/>
  <c r="L83" i="290"/>
  <c r="M83" i="290"/>
  <c r="N83" i="290"/>
  <c r="O83" i="290"/>
  <c r="P83" i="290"/>
  <c r="Q83" i="290"/>
  <c r="R83" i="290"/>
  <c r="S83" i="290"/>
  <c r="T83" i="290"/>
  <c r="U83" i="290"/>
  <c r="V83" i="290"/>
  <c r="W83" i="290"/>
  <c r="AC83" i="290"/>
  <c r="AD83" i="290"/>
  <c r="AE83" i="290" s="1"/>
  <c r="AF83" i="290" s="1"/>
  <c r="AJ83" i="290"/>
  <c r="AK83" i="290"/>
  <c r="AL83" i="290"/>
  <c r="AM83" i="290"/>
  <c r="AO83" i="290"/>
  <c r="AR83" i="290"/>
  <c r="AT83" i="290" s="1"/>
  <c r="AS83" i="290"/>
  <c r="G84" i="290"/>
  <c r="H84" i="290"/>
  <c r="I84" i="290"/>
  <c r="J84" i="290"/>
  <c r="K84" i="290"/>
  <c r="L84" i="290"/>
  <c r="M84" i="290"/>
  <c r="N84" i="290"/>
  <c r="O84" i="290"/>
  <c r="P84" i="290"/>
  <c r="Q84" i="290"/>
  <c r="R84" i="290"/>
  <c r="S84" i="290"/>
  <c r="T84" i="290"/>
  <c r="U84" i="290"/>
  <c r="V84" i="290"/>
  <c r="W84" i="290"/>
  <c r="AC84" i="290"/>
  <c r="AD84" i="290"/>
  <c r="AE84" i="290" s="1"/>
  <c r="AF84" i="290" s="1"/>
  <c r="AJ84" i="290"/>
  <c r="AK84" i="290"/>
  <c r="AL84" i="290"/>
  <c r="AM84" i="290"/>
  <c r="AO84" i="290"/>
  <c r="AP84" i="290"/>
  <c r="AQ84" i="290" s="1"/>
  <c r="AR84" i="290"/>
  <c r="AT84" i="290" s="1"/>
  <c r="AS84" i="290" s="1"/>
  <c r="G85" i="290"/>
  <c r="H85" i="290"/>
  <c r="I85" i="290"/>
  <c r="J85" i="290"/>
  <c r="K85" i="290"/>
  <c r="L85" i="290"/>
  <c r="M85" i="290"/>
  <c r="N85" i="290"/>
  <c r="O85" i="290"/>
  <c r="P85" i="290"/>
  <c r="Q85" i="290"/>
  <c r="R85" i="290"/>
  <c r="S85" i="290"/>
  <c r="T85" i="290"/>
  <c r="U85" i="290"/>
  <c r="V85" i="290"/>
  <c r="W85" i="290"/>
  <c r="Z85" i="290"/>
  <c r="AC85" i="290"/>
  <c r="AE85" i="290" s="1"/>
  <c r="AD85" i="290"/>
  <c r="AF85" i="290"/>
  <c r="AJ85" i="290"/>
  <c r="AK85" i="290"/>
  <c r="AL85" i="290"/>
  <c r="AM85" i="290"/>
  <c r="AO85" i="290"/>
  <c r="AP85" i="290"/>
  <c r="AQ85" i="290" s="1"/>
  <c r="AR85" i="290"/>
  <c r="AT85" i="290"/>
  <c r="AS85" i="290" s="1"/>
  <c r="G86" i="290"/>
  <c r="H86" i="290"/>
  <c r="I86" i="290"/>
  <c r="J86" i="290"/>
  <c r="K86" i="290"/>
  <c r="L86" i="290"/>
  <c r="M86" i="290"/>
  <c r="N86" i="290"/>
  <c r="O86" i="290"/>
  <c r="P86" i="290"/>
  <c r="Q86" i="290"/>
  <c r="R86" i="290"/>
  <c r="S86" i="290"/>
  <c r="T86" i="290"/>
  <c r="U86" i="290"/>
  <c r="V86" i="290"/>
  <c r="W86" i="290"/>
  <c r="AC86" i="290"/>
  <c r="AE86" i="290" s="1"/>
  <c r="AF86" i="290" s="1"/>
  <c r="AD86" i="290"/>
  <c r="AJ86" i="290"/>
  <c r="AK86" i="290"/>
  <c r="AL86" i="290"/>
  <c r="AM86" i="290"/>
  <c r="AP86" i="290" s="1"/>
  <c r="AQ86" i="290" s="1"/>
  <c r="AO86" i="290"/>
  <c r="AR86" i="290"/>
  <c r="AT86" i="290" s="1"/>
  <c r="AS86" i="290"/>
  <c r="G87" i="290"/>
  <c r="H87" i="290"/>
  <c r="I87" i="290"/>
  <c r="J87" i="290"/>
  <c r="K87" i="290"/>
  <c r="L87" i="290"/>
  <c r="M87" i="290"/>
  <c r="N87" i="290"/>
  <c r="O87" i="290"/>
  <c r="P87" i="290"/>
  <c r="Q87" i="290"/>
  <c r="R87" i="290"/>
  <c r="S87" i="290"/>
  <c r="T87" i="290"/>
  <c r="U87" i="290"/>
  <c r="V87" i="290"/>
  <c r="W87" i="290"/>
  <c r="AC87" i="290"/>
  <c r="AD87" i="290"/>
  <c r="AE87" i="290" s="1"/>
  <c r="AF87" i="290" s="1"/>
  <c r="AJ87" i="290"/>
  <c r="AK87" i="290"/>
  <c r="AL87" i="290"/>
  <c r="AM87" i="290"/>
  <c r="AO87" i="290"/>
  <c r="AR87" i="290"/>
  <c r="AT87" i="290" s="1"/>
  <c r="AS87" i="290"/>
  <c r="G88" i="290"/>
  <c r="H88" i="290"/>
  <c r="I88" i="290"/>
  <c r="J88" i="290"/>
  <c r="K88" i="290"/>
  <c r="L88" i="290"/>
  <c r="M88" i="290"/>
  <c r="N88" i="290"/>
  <c r="O88" i="290"/>
  <c r="P88" i="290"/>
  <c r="Q88" i="290"/>
  <c r="R88" i="290"/>
  <c r="S88" i="290"/>
  <c r="T88" i="290"/>
  <c r="U88" i="290"/>
  <c r="V88" i="290"/>
  <c r="W88" i="290"/>
  <c r="AC88" i="290"/>
  <c r="AD88" i="290"/>
  <c r="AE88" i="290" s="1"/>
  <c r="AF88" i="290" s="1"/>
  <c r="AJ88" i="290"/>
  <c r="AK88" i="290"/>
  <c r="AL88" i="290"/>
  <c r="AM88" i="290"/>
  <c r="AO88" i="290"/>
  <c r="AP88" i="290"/>
  <c r="AQ88" i="290" s="1"/>
  <c r="AR88" i="290"/>
  <c r="AT88" i="290" s="1"/>
  <c r="AS88" i="290" s="1"/>
  <c r="G89" i="290"/>
  <c r="H89" i="290"/>
  <c r="I89" i="290"/>
  <c r="J89" i="290"/>
  <c r="K89" i="290"/>
  <c r="L89" i="290"/>
  <c r="M89" i="290"/>
  <c r="N89" i="290"/>
  <c r="O89" i="290"/>
  <c r="P89" i="290"/>
  <c r="Q89" i="290"/>
  <c r="R89" i="290"/>
  <c r="S89" i="290"/>
  <c r="T89" i="290"/>
  <c r="U89" i="290"/>
  <c r="V89" i="290"/>
  <c r="W89" i="290"/>
  <c r="Z89" i="290"/>
  <c r="AC89" i="290"/>
  <c r="AE89" i="290" s="1"/>
  <c r="AD89" i="290"/>
  <c r="AF89" i="290"/>
  <c r="AJ89" i="290"/>
  <c r="AK89" i="290"/>
  <c r="AL89" i="290"/>
  <c r="AM89" i="290"/>
  <c r="AO89" i="290"/>
  <c r="AP89" i="290"/>
  <c r="AQ89" i="290" s="1"/>
  <c r="AR89" i="290"/>
  <c r="AT89" i="290"/>
  <c r="AS89" i="290" s="1"/>
  <c r="G90" i="290"/>
  <c r="H90" i="290"/>
  <c r="I90" i="290"/>
  <c r="J90" i="290"/>
  <c r="K90" i="290"/>
  <c r="L90" i="290"/>
  <c r="M90" i="290"/>
  <c r="N90" i="290"/>
  <c r="O90" i="290"/>
  <c r="P90" i="290"/>
  <c r="Q90" i="290"/>
  <c r="R90" i="290"/>
  <c r="S90" i="290"/>
  <c r="T90" i="290"/>
  <c r="U90" i="290"/>
  <c r="V90" i="290"/>
  <c r="W90" i="290"/>
  <c r="AC90" i="290"/>
  <c r="AE90" i="290" s="1"/>
  <c r="AF90" i="290" s="1"/>
  <c r="AD90" i="290"/>
  <c r="AJ90" i="290"/>
  <c r="AK90" i="290"/>
  <c r="AL90" i="290"/>
  <c r="AM90" i="290"/>
  <c r="AP90" i="290" s="1"/>
  <c r="AQ90" i="290" s="1"/>
  <c r="AO90" i="290"/>
  <c r="AR90" i="290"/>
  <c r="AT90" i="290" s="1"/>
  <c r="AS90" i="290"/>
  <c r="G91" i="290"/>
  <c r="H91" i="290"/>
  <c r="I91" i="290"/>
  <c r="J91" i="290"/>
  <c r="K91" i="290"/>
  <c r="L91" i="290"/>
  <c r="M91" i="290"/>
  <c r="N91" i="290"/>
  <c r="O91" i="290"/>
  <c r="P91" i="290"/>
  <c r="Q91" i="290"/>
  <c r="R91" i="290"/>
  <c r="S91" i="290"/>
  <c r="T91" i="290"/>
  <c r="U91" i="290"/>
  <c r="V91" i="290"/>
  <c r="W91" i="290"/>
  <c r="AC91" i="290"/>
  <c r="AD91" i="290"/>
  <c r="AE91" i="290" s="1"/>
  <c r="AF91" i="290" s="1"/>
  <c r="AJ91" i="290"/>
  <c r="AK91" i="290"/>
  <c r="AL91" i="290"/>
  <c r="AM91" i="290"/>
  <c r="AO91" i="290"/>
  <c r="AR91" i="290"/>
  <c r="AT91" i="290" s="1"/>
  <c r="AS91" i="290"/>
  <c r="G92" i="290"/>
  <c r="H92" i="290"/>
  <c r="I92" i="290"/>
  <c r="J92" i="290"/>
  <c r="K92" i="290"/>
  <c r="L92" i="290"/>
  <c r="M92" i="290"/>
  <c r="N92" i="290"/>
  <c r="O92" i="290"/>
  <c r="P92" i="290"/>
  <c r="Q92" i="290"/>
  <c r="R92" i="290"/>
  <c r="S92" i="290"/>
  <c r="T92" i="290"/>
  <c r="U92" i="290"/>
  <c r="V92" i="290"/>
  <c r="W92" i="290"/>
  <c r="AC92" i="290"/>
  <c r="AD92" i="290"/>
  <c r="AE92" i="290" s="1"/>
  <c r="AF92" i="290" s="1"/>
  <c r="AJ92" i="290"/>
  <c r="AK92" i="290"/>
  <c r="AL92" i="290"/>
  <c r="AM92" i="290"/>
  <c r="AO92" i="290"/>
  <c r="AP92" i="290"/>
  <c r="AQ92" i="290" s="1"/>
  <c r="AR92" i="290"/>
  <c r="AT92" i="290" s="1"/>
  <c r="AS92" i="290" s="1"/>
  <c r="G93" i="290"/>
  <c r="H93" i="290"/>
  <c r="I93" i="290"/>
  <c r="J93" i="290"/>
  <c r="K93" i="290"/>
  <c r="L93" i="290"/>
  <c r="M93" i="290"/>
  <c r="N93" i="290"/>
  <c r="O93" i="290"/>
  <c r="P93" i="290"/>
  <c r="Q93" i="290"/>
  <c r="R93" i="290"/>
  <c r="S93" i="290"/>
  <c r="T93" i="290"/>
  <c r="U93" i="290"/>
  <c r="V93" i="290"/>
  <c r="W93" i="290"/>
  <c r="Z93" i="290"/>
  <c r="AC93" i="290"/>
  <c r="AE93" i="290" s="1"/>
  <c r="AD93" i="290"/>
  <c r="AF93" i="290"/>
  <c r="AJ93" i="290"/>
  <c r="AK93" i="290"/>
  <c r="AL93" i="290"/>
  <c r="AM93" i="290"/>
  <c r="AO93" i="290"/>
  <c r="AP93" i="290"/>
  <c r="AQ93" i="290" s="1"/>
  <c r="AR93" i="290"/>
  <c r="AT93" i="290"/>
  <c r="AS93" i="290" s="1"/>
  <c r="X95" i="290"/>
  <c r="Y95" i="290"/>
  <c r="AW95" i="290"/>
  <c r="BA95" i="290"/>
  <c r="D10" i="297"/>
  <c r="E10" i="297"/>
  <c r="F10" i="297"/>
  <c r="G10" i="297"/>
  <c r="H10" i="297"/>
  <c r="I10" i="297"/>
  <c r="J10" i="297"/>
  <c r="K10" i="297"/>
  <c r="L10" i="297"/>
  <c r="M10" i="297"/>
  <c r="N10" i="297"/>
  <c r="O10" i="297"/>
  <c r="P10" i="297"/>
  <c r="Q10" i="297"/>
  <c r="R10" i="297"/>
  <c r="S10" i="297"/>
  <c r="T10" i="297"/>
  <c r="U10" i="297"/>
  <c r="V10" i="297"/>
  <c r="W10" i="297"/>
  <c r="AD10" i="297"/>
  <c r="AE10" i="297"/>
  <c r="AF10" i="297" s="1"/>
  <c r="AJ10" i="297"/>
  <c r="AK10" i="297"/>
  <c r="AL10" i="297"/>
  <c r="AM10" i="297"/>
  <c r="AN10" i="297"/>
  <c r="AO10" i="297" s="1"/>
  <c r="AR10" i="297" s="1"/>
  <c r="AQ10" i="297"/>
  <c r="D11" i="297"/>
  <c r="E11" i="297"/>
  <c r="F11" i="297"/>
  <c r="G11" i="297"/>
  <c r="H11" i="297"/>
  <c r="I11" i="297"/>
  <c r="Z11" i="297" s="1"/>
  <c r="J11" i="297"/>
  <c r="K11" i="297"/>
  <c r="L11" i="297"/>
  <c r="M11" i="297"/>
  <c r="N11" i="297"/>
  <c r="O11" i="297"/>
  <c r="P11" i="297"/>
  <c r="Q11" i="297"/>
  <c r="R11" i="297"/>
  <c r="S11" i="297"/>
  <c r="T11" i="297"/>
  <c r="U11" i="297"/>
  <c r="V11" i="297"/>
  <c r="W11" i="297"/>
  <c r="AD11" i="297"/>
  <c r="AE11" i="297"/>
  <c r="AF11" i="297" s="1"/>
  <c r="AJ11" i="297"/>
  <c r="AK11" i="297"/>
  <c r="AL11" i="297"/>
  <c r="AM11" i="297"/>
  <c r="AN11" i="297"/>
  <c r="AO11" i="297" s="1"/>
  <c r="AQ11" i="297"/>
  <c r="D12" i="297"/>
  <c r="E12" i="297"/>
  <c r="F12" i="297"/>
  <c r="G12" i="297"/>
  <c r="H12" i="297"/>
  <c r="I12" i="297"/>
  <c r="J12" i="297"/>
  <c r="K12" i="297"/>
  <c r="L12" i="297"/>
  <c r="M12" i="297"/>
  <c r="N12" i="297"/>
  <c r="O12" i="297"/>
  <c r="P12" i="297"/>
  <c r="Q12" i="297"/>
  <c r="R12" i="297"/>
  <c r="S12" i="297"/>
  <c r="T12" i="297"/>
  <c r="U12" i="297"/>
  <c r="V12" i="297"/>
  <c r="W12" i="297"/>
  <c r="AD12" i="297"/>
  <c r="AJ12" i="297"/>
  <c r="AK12" i="297"/>
  <c r="AL12" i="297"/>
  <c r="AM12" i="297"/>
  <c r="AN12" i="297"/>
  <c r="AO12" i="297" s="1"/>
  <c r="AR12" i="297" s="1"/>
  <c r="AQ12" i="297"/>
  <c r="D13" i="297"/>
  <c r="E13" i="297"/>
  <c r="F13" i="297"/>
  <c r="G13" i="297"/>
  <c r="H13" i="297"/>
  <c r="I13" i="297"/>
  <c r="J13" i="297"/>
  <c r="K13" i="297"/>
  <c r="L13" i="297"/>
  <c r="M13" i="297"/>
  <c r="N13" i="297"/>
  <c r="O13" i="297"/>
  <c r="P13" i="297"/>
  <c r="Q13" i="297"/>
  <c r="R13" i="297"/>
  <c r="S13" i="297"/>
  <c r="T13" i="297"/>
  <c r="U13" i="297"/>
  <c r="V13" i="297"/>
  <c r="W13" i="297"/>
  <c r="AD13" i="297"/>
  <c r="AE13" i="297" s="1"/>
  <c r="AF13" i="297" s="1"/>
  <c r="AJ13" i="297"/>
  <c r="AK13" i="297"/>
  <c r="AL13" i="297"/>
  <c r="AM13" i="297"/>
  <c r="AQ13" i="297"/>
  <c r="D14" i="297"/>
  <c r="E14" i="297"/>
  <c r="F14" i="297"/>
  <c r="G14" i="297"/>
  <c r="H14" i="297"/>
  <c r="I14" i="297"/>
  <c r="Z14" i="297" s="1"/>
  <c r="J14" i="297"/>
  <c r="K14" i="297"/>
  <c r="L14" i="297"/>
  <c r="M14" i="297"/>
  <c r="N14" i="297"/>
  <c r="O14" i="297"/>
  <c r="P14" i="297"/>
  <c r="Q14" i="297"/>
  <c r="R14" i="297"/>
  <c r="S14" i="297"/>
  <c r="T14" i="297"/>
  <c r="U14" i="297"/>
  <c r="V14" i="297"/>
  <c r="W14" i="297"/>
  <c r="AD14" i="297"/>
  <c r="AE14" i="297"/>
  <c r="AF14" i="297" s="1"/>
  <c r="AJ14" i="297"/>
  <c r="AK14" i="297"/>
  <c r="AN14" i="297" s="1"/>
  <c r="AO14" i="297" s="1"/>
  <c r="AL14" i="297"/>
  <c r="AM14" i="297"/>
  <c r="AQ14" i="297"/>
  <c r="AR14" i="297"/>
  <c r="D15" i="297"/>
  <c r="E15" i="297"/>
  <c r="F15" i="297"/>
  <c r="G15" i="297"/>
  <c r="H15" i="297"/>
  <c r="I15" i="297"/>
  <c r="J15" i="297"/>
  <c r="K15" i="297"/>
  <c r="L15" i="297"/>
  <c r="M15" i="297"/>
  <c r="N15" i="297"/>
  <c r="O15" i="297"/>
  <c r="P15" i="297"/>
  <c r="Q15" i="297"/>
  <c r="R15" i="297"/>
  <c r="S15" i="297"/>
  <c r="T15" i="297"/>
  <c r="U15" i="297"/>
  <c r="V15" i="297"/>
  <c r="W15" i="297"/>
  <c r="Z15" i="297"/>
  <c r="AD15" i="297"/>
  <c r="AE15" i="297" s="1"/>
  <c r="AF15" i="297"/>
  <c r="AJ15" i="297"/>
  <c r="AK15" i="297"/>
  <c r="AL15" i="297"/>
  <c r="AM15" i="297"/>
  <c r="AN15" i="297"/>
  <c r="AO15" i="297" s="1"/>
  <c r="AR15" i="297" s="1"/>
  <c r="AQ15" i="297"/>
  <c r="D16" i="297"/>
  <c r="E16" i="297"/>
  <c r="F16" i="297"/>
  <c r="G16" i="297"/>
  <c r="H16" i="297"/>
  <c r="I16" i="297"/>
  <c r="J16" i="297"/>
  <c r="K16" i="297"/>
  <c r="L16" i="297"/>
  <c r="M16" i="297"/>
  <c r="N16" i="297"/>
  <c r="O16" i="297"/>
  <c r="P16" i="297"/>
  <c r="Q16" i="297"/>
  <c r="R16" i="297"/>
  <c r="S16" i="297"/>
  <c r="T16" i="297"/>
  <c r="U16" i="297"/>
  <c r="V16" i="297"/>
  <c r="W16" i="297"/>
  <c r="AD16" i="297"/>
  <c r="AE16" i="297"/>
  <c r="AF16" i="297" s="1"/>
  <c r="AJ16" i="297"/>
  <c r="AK16" i="297"/>
  <c r="AN16" i="297" s="1"/>
  <c r="AO16" i="297" s="1"/>
  <c r="AR16" i="297" s="1"/>
  <c r="AL16" i="297"/>
  <c r="AM16" i="297"/>
  <c r="AQ16" i="297"/>
  <c r="D17" i="297"/>
  <c r="E17" i="297"/>
  <c r="F17" i="297"/>
  <c r="G17" i="297"/>
  <c r="H17" i="297"/>
  <c r="I17" i="297"/>
  <c r="J17" i="297"/>
  <c r="K17" i="297"/>
  <c r="L17" i="297"/>
  <c r="M17" i="297"/>
  <c r="N17" i="297"/>
  <c r="O17" i="297"/>
  <c r="P17" i="297"/>
  <c r="Q17" i="297"/>
  <c r="R17" i="297"/>
  <c r="S17" i="297"/>
  <c r="T17" i="297"/>
  <c r="U17" i="297"/>
  <c r="V17" i="297"/>
  <c r="W17" i="297"/>
  <c r="AD17" i="297"/>
  <c r="AE17" i="297" s="1"/>
  <c r="AF17" i="297" s="1"/>
  <c r="AJ17" i="297"/>
  <c r="AK17" i="297"/>
  <c r="AL17" i="297"/>
  <c r="AN17" i="297" s="1"/>
  <c r="AO17" i="297" s="1"/>
  <c r="AM17" i="297"/>
  <c r="AQ17" i="297"/>
  <c r="D18" i="297"/>
  <c r="E18" i="297"/>
  <c r="F18" i="297"/>
  <c r="G18" i="297"/>
  <c r="H18" i="297"/>
  <c r="I18" i="297"/>
  <c r="J18" i="297"/>
  <c r="K18" i="297"/>
  <c r="L18" i="297"/>
  <c r="M18" i="297"/>
  <c r="N18" i="297"/>
  <c r="O18" i="297"/>
  <c r="P18" i="297"/>
  <c r="Q18" i="297"/>
  <c r="R18" i="297"/>
  <c r="S18" i="297"/>
  <c r="T18" i="297"/>
  <c r="U18" i="297"/>
  <c r="V18" i="297"/>
  <c r="W18" i="297"/>
  <c r="AD18" i="297"/>
  <c r="AE18" i="297"/>
  <c r="AF18" i="297" s="1"/>
  <c r="AJ18" i="297"/>
  <c r="AK18" i="297"/>
  <c r="AL18" i="297"/>
  <c r="AM18" i="297"/>
  <c r="AP18" i="297"/>
  <c r="AN18" i="297" s="1"/>
  <c r="AO18" i="297" s="1"/>
  <c r="AR18" i="297" s="1"/>
  <c r="AQ18" i="297"/>
  <c r="D19" i="297"/>
  <c r="E19" i="297"/>
  <c r="F19" i="297"/>
  <c r="G19" i="297"/>
  <c r="H19" i="297"/>
  <c r="I19" i="297"/>
  <c r="Z19" i="297" s="1"/>
  <c r="J19" i="297"/>
  <c r="K19" i="297"/>
  <c r="L19" i="297"/>
  <c r="M19" i="297"/>
  <c r="N19" i="297"/>
  <c r="O19" i="297"/>
  <c r="P19" i="297"/>
  <c r="Q19" i="297"/>
  <c r="R19" i="297"/>
  <c r="S19" i="297"/>
  <c r="T19" i="297"/>
  <c r="U19" i="297"/>
  <c r="V19" i="297"/>
  <c r="W19" i="297"/>
  <c r="AD19" i="297"/>
  <c r="AE19" i="297"/>
  <c r="AF19" i="297" s="1"/>
  <c r="AJ19" i="297"/>
  <c r="AK19" i="297"/>
  <c r="AL19" i="297"/>
  <c r="AM19" i="297"/>
  <c r="AP19" i="297"/>
  <c r="AN19" i="297" s="1"/>
  <c r="AO19" i="297" s="1"/>
  <c r="AQ19" i="297"/>
  <c r="D20" i="297"/>
  <c r="E20" i="297"/>
  <c r="F20" i="297"/>
  <c r="G20" i="297"/>
  <c r="H20" i="297"/>
  <c r="I20" i="297"/>
  <c r="J20" i="297"/>
  <c r="K20" i="297"/>
  <c r="L20" i="297"/>
  <c r="M20" i="297"/>
  <c r="N20" i="297"/>
  <c r="O20" i="297"/>
  <c r="P20" i="297"/>
  <c r="Q20" i="297"/>
  <c r="R20" i="297"/>
  <c r="S20" i="297"/>
  <c r="T20" i="297"/>
  <c r="U20" i="297"/>
  <c r="V20" i="297"/>
  <c r="W20" i="297"/>
  <c r="AD20" i="297"/>
  <c r="AE20" i="297"/>
  <c r="AF20" i="297" s="1"/>
  <c r="AJ20" i="297"/>
  <c r="AK20" i="297"/>
  <c r="AL20" i="297"/>
  <c r="AM20" i="297"/>
  <c r="AP20" i="297"/>
  <c r="AN20" i="297" s="1"/>
  <c r="AO20" i="297" s="1"/>
  <c r="AR20" i="297" s="1"/>
  <c r="AQ20" i="297"/>
  <c r="D21" i="297"/>
  <c r="E21" i="297"/>
  <c r="F21" i="297"/>
  <c r="G21" i="297"/>
  <c r="H21" i="297"/>
  <c r="I21" i="297"/>
  <c r="Z21" i="297" s="1"/>
  <c r="J21" i="297"/>
  <c r="K21" i="297"/>
  <c r="L21" i="297"/>
  <c r="M21" i="297"/>
  <c r="N21" i="297"/>
  <c r="O21" i="297"/>
  <c r="P21" i="297"/>
  <c r="Q21" i="297"/>
  <c r="R21" i="297"/>
  <c r="S21" i="297"/>
  <c r="T21" i="297"/>
  <c r="U21" i="297"/>
  <c r="V21" i="297"/>
  <c r="W21" i="297"/>
  <c r="AD21" i="297"/>
  <c r="AE21" i="297"/>
  <c r="AF21" i="297" s="1"/>
  <c r="AJ21" i="297"/>
  <c r="AK21" i="297"/>
  <c r="AL21" i="297"/>
  <c r="AM21" i="297"/>
  <c r="AP21" i="297"/>
  <c r="AN21" i="297" s="1"/>
  <c r="AO21" i="297" s="1"/>
  <c r="AQ21" i="297"/>
  <c r="D22" i="297"/>
  <c r="E22" i="297"/>
  <c r="F22" i="297"/>
  <c r="G22" i="297"/>
  <c r="H22" i="297"/>
  <c r="I22" i="297"/>
  <c r="J22" i="297"/>
  <c r="K22" i="297"/>
  <c r="L22" i="297"/>
  <c r="M22" i="297"/>
  <c r="N22" i="297"/>
  <c r="O22" i="297"/>
  <c r="P22" i="297"/>
  <c r="Q22" i="297"/>
  <c r="R22" i="297"/>
  <c r="S22" i="297"/>
  <c r="T22" i="297"/>
  <c r="U22" i="297"/>
  <c r="V22" i="297"/>
  <c r="W22" i="297"/>
  <c r="AD22" i="297"/>
  <c r="AE22" i="297"/>
  <c r="AF22" i="297" s="1"/>
  <c r="AJ22" i="297"/>
  <c r="AK22" i="297"/>
  <c r="AL22" i="297"/>
  <c r="AM22" i="297"/>
  <c r="AP22" i="297"/>
  <c r="AN22" i="297" s="1"/>
  <c r="AO22" i="297" s="1"/>
  <c r="AR22" i="297" s="1"/>
  <c r="AQ22" i="297"/>
  <c r="D23" i="297"/>
  <c r="E23" i="297"/>
  <c r="F23" i="297"/>
  <c r="G23" i="297"/>
  <c r="H23" i="297"/>
  <c r="I23" i="297"/>
  <c r="Z23" i="297" s="1"/>
  <c r="J23" i="297"/>
  <c r="K23" i="297"/>
  <c r="L23" i="297"/>
  <c r="M23" i="297"/>
  <c r="N23" i="297"/>
  <c r="O23" i="297"/>
  <c r="P23" i="297"/>
  <c r="Q23" i="297"/>
  <c r="R23" i="297"/>
  <c r="S23" i="297"/>
  <c r="T23" i="297"/>
  <c r="U23" i="297"/>
  <c r="V23" i="297"/>
  <c r="W23" i="297"/>
  <c r="AD23" i="297"/>
  <c r="AE23" i="297"/>
  <c r="AF23" i="297" s="1"/>
  <c r="AJ23" i="297"/>
  <c r="AK23" i="297"/>
  <c r="AL23" i="297"/>
  <c r="AM23" i="297"/>
  <c r="AP23" i="297"/>
  <c r="AN23" i="297" s="1"/>
  <c r="AO23" i="297" s="1"/>
  <c r="AQ23" i="297"/>
  <c r="D24" i="297"/>
  <c r="E24" i="297"/>
  <c r="F24" i="297"/>
  <c r="G24" i="297"/>
  <c r="H24" i="297"/>
  <c r="I24" i="297"/>
  <c r="J24" i="297"/>
  <c r="K24" i="297"/>
  <c r="L24" i="297"/>
  <c r="M24" i="297"/>
  <c r="N24" i="297"/>
  <c r="O24" i="297"/>
  <c r="P24" i="297"/>
  <c r="Q24" i="297"/>
  <c r="R24" i="297"/>
  <c r="S24" i="297"/>
  <c r="T24" i="297"/>
  <c r="U24" i="297"/>
  <c r="V24" i="297"/>
  <c r="W24" i="297"/>
  <c r="AD24" i="297"/>
  <c r="AE24" i="297"/>
  <c r="AF24" i="297" s="1"/>
  <c r="AJ24" i="297"/>
  <c r="AK24" i="297"/>
  <c r="AL24" i="297"/>
  <c r="AM24" i="297"/>
  <c r="AP24" i="297"/>
  <c r="AN24" i="297" s="1"/>
  <c r="AO24" i="297" s="1"/>
  <c r="AR24" i="297" s="1"/>
  <c r="AQ24" i="297"/>
  <c r="D25" i="297"/>
  <c r="E25" i="297"/>
  <c r="F25" i="297"/>
  <c r="G25" i="297"/>
  <c r="H25" i="297"/>
  <c r="I25" i="297"/>
  <c r="Z25" i="297" s="1"/>
  <c r="J25" i="297"/>
  <c r="K25" i="297"/>
  <c r="L25" i="297"/>
  <c r="M25" i="297"/>
  <c r="N25" i="297"/>
  <c r="O25" i="297"/>
  <c r="P25" i="297"/>
  <c r="Q25" i="297"/>
  <c r="R25" i="297"/>
  <c r="S25" i="297"/>
  <c r="T25" i="297"/>
  <c r="U25" i="297"/>
  <c r="V25" i="297"/>
  <c r="W25" i="297"/>
  <c r="AD25" i="297"/>
  <c r="AE25" i="297"/>
  <c r="AF25" i="297" s="1"/>
  <c r="AJ25" i="297"/>
  <c r="AK25" i="297"/>
  <c r="AL25" i="297"/>
  <c r="AM25" i="297"/>
  <c r="AP25" i="297"/>
  <c r="AN25" i="297" s="1"/>
  <c r="AO25" i="297" s="1"/>
  <c r="AQ25" i="297"/>
  <c r="D26" i="297"/>
  <c r="E26" i="297"/>
  <c r="F26" i="297"/>
  <c r="G26" i="297"/>
  <c r="H26" i="297"/>
  <c r="I26" i="297"/>
  <c r="J26" i="297"/>
  <c r="K26" i="297"/>
  <c r="L26" i="297"/>
  <c r="M26" i="297"/>
  <c r="N26" i="297"/>
  <c r="O26" i="297"/>
  <c r="P26" i="297"/>
  <c r="Q26" i="297"/>
  <c r="R26" i="297"/>
  <c r="S26" i="297"/>
  <c r="T26" i="297"/>
  <c r="U26" i="297"/>
  <c r="V26" i="297"/>
  <c r="W26" i="297"/>
  <c r="AD26" i="297"/>
  <c r="AE26" i="297"/>
  <c r="AF26" i="297" s="1"/>
  <c r="AJ26" i="297"/>
  <c r="AK26" i="297"/>
  <c r="AL26" i="297"/>
  <c r="AM26" i="297"/>
  <c r="AP26" i="297"/>
  <c r="AN26" i="297" s="1"/>
  <c r="AO26" i="297" s="1"/>
  <c r="AR26" i="297" s="1"/>
  <c r="AQ26" i="297"/>
  <c r="D27" i="297"/>
  <c r="E27" i="297"/>
  <c r="F27" i="297"/>
  <c r="G27" i="297"/>
  <c r="H27" i="297"/>
  <c r="I27" i="297"/>
  <c r="Z27" i="297" s="1"/>
  <c r="J27" i="297"/>
  <c r="K27" i="297"/>
  <c r="L27" i="297"/>
  <c r="M27" i="297"/>
  <c r="N27" i="297"/>
  <c r="O27" i="297"/>
  <c r="P27" i="297"/>
  <c r="Q27" i="297"/>
  <c r="R27" i="297"/>
  <c r="S27" i="297"/>
  <c r="T27" i="297"/>
  <c r="U27" i="297"/>
  <c r="V27" i="297"/>
  <c r="W27" i="297"/>
  <c r="AD27" i="297"/>
  <c r="AE27" i="297"/>
  <c r="AF27" i="297" s="1"/>
  <c r="AJ27" i="297"/>
  <c r="AK27" i="297"/>
  <c r="AL27" i="297"/>
  <c r="AM27" i="297"/>
  <c r="AP27" i="297"/>
  <c r="AN27" i="297" s="1"/>
  <c r="AO27" i="297" s="1"/>
  <c r="AQ27" i="297"/>
  <c r="D28" i="297"/>
  <c r="E28" i="297"/>
  <c r="F28" i="297"/>
  <c r="G28" i="297"/>
  <c r="H28" i="297"/>
  <c r="I28" i="297"/>
  <c r="J28" i="297"/>
  <c r="K28" i="297"/>
  <c r="L28" i="297"/>
  <c r="M28" i="297"/>
  <c r="N28" i="297"/>
  <c r="O28" i="297"/>
  <c r="P28" i="297"/>
  <c r="Q28" i="297"/>
  <c r="R28" i="297"/>
  <c r="S28" i="297"/>
  <c r="T28" i="297"/>
  <c r="U28" i="297"/>
  <c r="V28" i="297"/>
  <c r="W28" i="297"/>
  <c r="AD28" i="297"/>
  <c r="AE28" i="297"/>
  <c r="AF28" i="297" s="1"/>
  <c r="AJ28" i="297"/>
  <c r="AK28" i="297"/>
  <c r="AL28" i="297"/>
  <c r="AM28" i="297"/>
  <c r="AP28" i="297"/>
  <c r="AN28" i="297" s="1"/>
  <c r="AO28" i="297" s="1"/>
  <c r="AR28" i="297" s="1"/>
  <c r="AQ28" i="297"/>
  <c r="D29" i="297"/>
  <c r="E29" i="297"/>
  <c r="F29" i="297"/>
  <c r="G29" i="297"/>
  <c r="H29" i="297"/>
  <c r="I29" i="297"/>
  <c r="Z29" i="297" s="1"/>
  <c r="J29" i="297"/>
  <c r="K29" i="297"/>
  <c r="L29" i="297"/>
  <c r="M29" i="297"/>
  <c r="N29" i="297"/>
  <c r="O29" i="297"/>
  <c r="P29" i="297"/>
  <c r="Q29" i="297"/>
  <c r="R29" i="297"/>
  <c r="S29" i="297"/>
  <c r="T29" i="297"/>
  <c r="U29" i="297"/>
  <c r="V29" i="297"/>
  <c r="W29" i="297"/>
  <c r="AD29" i="297"/>
  <c r="AE29" i="297"/>
  <c r="AF29" i="297" s="1"/>
  <c r="AJ29" i="297"/>
  <c r="AK29" i="297"/>
  <c r="AL29" i="297"/>
  <c r="AM29" i="297"/>
  <c r="AP29" i="297"/>
  <c r="AN29" i="297" s="1"/>
  <c r="AO29" i="297" s="1"/>
  <c r="AQ29" i="297"/>
  <c r="D30" i="297"/>
  <c r="E30" i="297"/>
  <c r="F30" i="297"/>
  <c r="G30" i="297"/>
  <c r="H30" i="297"/>
  <c r="I30" i="297"/>
  <c r="J30" i="297"/>
  <c r="K30" i="297"/>
  <c r="L30" i="297"/>
  <c r="M30" i="297"/>
  <c r="N30" i="297"/>
  <c r="O30" i="297"/>
  <c r="P30" i="297"/>
  <c r="Q30" i="297"/>
  <c r="R30" i="297"/>
  <c r="S30" i="297"/>
  <c r="T30" i="297"/>
  <c r="U30" i="297"/>
  <c r="V30" i="297"/>
  <c r="W30" i="297"/>
  <c r="AD30" i="297"/>
  <c r="AE30" i="297"/>
  <c r="AF30" i="297" s="1"/>
  <c r="AJ30" i="297"/>
  <c r="AK30" i="297"/>
  <c r="AL30" i="297"/>
  <c r="AM30" i="297"/>
  <c r="AP30" i="297"/>
  <c r="AN30" i="297" s="1"/>
  <c r="AO30" i="297" s="1"/>
  <c r="AR30" i="297" s="1"/>
  <c r="AQ30" i="297"/>
  <c r="D31" i="297"/>
  <c r="E31" i="297"/>
  <c r="F31" i="297"/>
  <c r="G31" i="297"/>
  <c r="H31" i="297"/>
  <c r="I31" i="297"/>
  <c r="Z31" i="297" s="1"/>
  <c r="J31" i="297"/>
  <c r="K31" i="297"/>
  <c r="L31" i="297"/>
  <c r="M31" i="297"/>
  <c r="N31" i="297"/>
  <c r="O31" i="297"/>
  <c r="P31" i="297"/>
  <c r="Q31" i="297"/>
  <c r="R31" i="297"/>
  <c r="S31" i="297"/>
  <c r="T31" i="297"/>
  <c r="U31" i="297"/>
  <c r="V31" i="297"/>
  <c r="W31" i="297"/>
  <c r="AD31" i="297"/>
  <c r="AE31" i="297"/>
  <c r="AF31" i="297" s="1"/>
  <c r="AJ31" i="297"/>
  <c r="AK31" i="297"/>
  <c r="AL31" i="297"/>
  <c r="AM31" i="297"/>
  <c r="AP31" i="297"/>
  <c r="AN31" i="297" s="1"/>
  <c r="AO31" i="297" s="1"/>
  <c r="AQ31" i="297"/>
  <c r="D32" i="297"/>
  <c r="E32" i="297"/>
  <c r="F32" i="297"/>
  <c r="G32" i="297"/>
  <c r="H32" i="297"/>
  <c r="I32" i="297"/>
  <c r="J32" i="297"/>
  <c r="K32" i="297"/>
  <c r="L32" i="297"/>
  <c r="M32" i="297"/>
  <c r="N32" i="297"/>
  <c r="O32" i="297"/>
  <c r="P32" i="297"/>
  <c r="Q32" i="297"/>
  <c r="R32" i="297"/>
  <c r="S32" i="297"/>
  <c r="T32" i="297"/>
  <c r="U32" i="297"/>
  <c r="V32" i="297"/>
  <c r="W32" i="297"/>
  <c r="AD32" i="297"/>
  <c r="AE32" i="297"/>
  <c r="AF32" i="297" s="1"/>
  <c r="AJ32" i="297"/>
  <c r="AK32" i="297"/>
  <c r="AL32" i="297"/>
  <c r="AM32" i="297"/>
  <c r="AP32" i="297"/>
  <c r="AN32" i="297" s="1"/>
  <c r="AO32" i="297" s="1"/>
  <c r="AR32" i="297" s="1"/>
  <c r="AQ32" i="297"/>
  <c r="D33" i="297"/>
  <c r="E33" i="297"/>
  <c r="F33" i="297"/>
  <c r="G33" i="297"/>
  <c r="H33" i="297"/>
  <c r="I33" i="297"/>
  <c r="Z33" i="297" s="1"/>
  <c r="J33" i="297"/>
  <c r="K33" i="297"/>
  <c r="L33" i="297"/>
  <c r="M33" i="297"/>
  <c r="N33" i="297"/>
  <c r="O33" i="297"/>
  <c r="P33" i="297"/>
  <c r="Q33" i="297"/>
  <c r="R33" i="297"/>
  <c r="S33" i="297"/>
  <c r="T33" i="297"/>
  <c r="U33" i="297"/>
  <c r="V33" i="297"/>
  <c r="W33" i="297"/>
  <c r="AD33" i="297"/>
  <c r="AE33" i="297"/>
  <c r="AF33" i="297" s="1"/>
  <c r="AJ33" i="297"/>
  <c r="AK33" i="297"/>
  <c r="AL33" i="297"/>
  <c r="AM33" i="297"/>
  <c r="AP33" i="297"/>
  <c r="AN33" i="297" s="1"/>
  <c r="AO33" i="297" s="1"/>
  <c r="AQ33" i="297"/>
  <c r="D34" i="297"/>
  <c r="E34" i="297"/>
  <c r="F34" i="297"/>
  <c r="G34" i="297"/>
  <c r="H34" i="297"/>
  <c r="I34" i="297"/>
  <c r="J34" i="297"/>
  <c r="K34" i="297"/>
  <c r="L34" i="297"/>
  <c r="M34" i="297"/>
  <c r="N34" i="297"/>
  <c r="O34" i="297"/>
  <c r="P34" i="297"/>
  <c r="Q34" i="297"/>
  <c r="R34" i="297"/>
  <c r="S34" i="297"/>
  <c r="T34" i="297"/>
  <c r="U34" i="297"/>
  <c r="V34" i="297"/>
  <c r="W34" i="297"/>
  <c r="AD34" i="297"/>
  <c r="AE34" i="297"/>
  <c r="AF34" i="297" s="1"/>
  <c r="AJ34" i="297"/>
  <c r="AK34" i="297"/>
  <c r="AL34" i="297"/>
  <c r="AM34" i="297"/>
  <c r="AP34" i="297"/>
  <c r="AN34" i="297" s="1"/>
  <c r="AO34" i="297" s="1"/>
  <c r="AR34" i="297" s="1"/>
  <c r="AQ34" i="297"/>
  <c r="D35" i="297"/>
  <c r="E35" i="297"/>
  <c r="F35" i="297"/>
  <c r="G35" i="297"/>
  <c r="H35" i="297"/>
  <c r="I35" i="297"/>
  <c r="Z35" i="297" s="1"/>
  <c r="J35" i="297"/>
  <c r="K35" i="297"/>
  <c r="L35" i="297"/>
  <c r="M35" i="297"/>
  <c r="N35" i="297"/>
  <c r="O35" i="297"/>
  <c r="P35" i="297"/>
  <c r="Q35" i="297"/>
  <c r="R35" i="297"/>
  <c r="S35" i="297"/>
  <c r="T35" i="297"/>
  <c r="U35" i="297"/>
  <c r="V35" i="297"/>
  <c r="W35" i="297"/>
  <c r="AD35" i="297"/>
  <c r="AE35" i="297"/>
  <c r="AF35" i="297" s="1"/>
  <c r="AJ35" i="297"/>
  <c r="AK35" i="297"/>
  <c r="AL35" i="297"/>
  <c r="AM35" i="297"/>
  <c r="AP35" i="297"/>
  <c r="AN35" i="297" s="1"/>
  <c r="AO35" i="297" s="1"/>
  <c r="AQ35" i="297"/>
  <c r="D36" i="297"/>
  <c r="E36" i="297"/>
  <c r="F36" i="297"/>
  <c r="G36" i="297"/>
  <c r="H36" i="297"/>
  <c r="I36" i="297"/>
  <c r="J36" i="297"/>
  <c r="K36" i="297"/>
  <c r="L36" i="297"/>
  <c r="M36" i="297"/>
  <c r="N36" i="297"/>
  <c r="O36" i="297"/>
  <c r="P36" i="297"/>
  <c r="Q36" i="297"/>
  <c r="R36" i="297"/>
  <c r="S36" i="297"/>
  <c r="T36" i="297"/>
  <c r="U36" i="297"/>
  <c r="V36" i="297"/>
  <c r="W36" i="297"/>
  <c r="AD36" i="297"/>
  <c r="AE36" i="297"/>
  <c r="AF36" i="297" s="1"/>
  <c r="AJ36" i="297"/>
  <c r="AK36" i="297"/>
  <c r="AL36" i="297"/>
  <c r="AM36" i="297"/>
  <c r="AP36" i="297"/>
  <c r="AN36" i="297" s="1"/>
  <c r="AO36" i="297" s="1"/>
  <c r="AR36" i="297" s="1"/>
  <c r="AQ36" i="297"/>
  <c r="D37" i="297"/>
  <c r="E37" i="297"/>
  <c r="F37" i="297"/>
  <c r="G37" i="297"/>
  <c r="H37" i="297"/>
  <c r="I37" i="297"/>
  <c r="Z37" i="297" s="1"/>
  <c r="J37" i="297"/>
  <c r="K37" i="297"/>
  <c r="L37" i="297"/>
  <c r="M37" i="297"/>
  <c r="N37" i="297"/>
  <c r="O37" i="297"/>
  <c r="P37" i="297"/>
  <c r="Q37" i="297"/>
  <c r="R37" i="297"/>
  <c r="S37" i="297"/>
  <c r="T37" i="297"/>
  <c r="U37" i="297"/>
  <c r="V37" i="297"/>
  <c r="W37" i="297"/>
  <c r="AD37" i="297"/>
  <c r="AE37" i="297"/>
  <c r="AF37" i="297" s="1"/>
  <c r="AJ37" i="297"/>
  <c r="AK37" i="297"/>
  <c r="AL37" i="297"/>
  <c r="AM37" i="297"/>
  <c r="AP37" i="297"/>
  <c r="AN37" i="297" s="1"/>
  <c r="AO37" i="297" s="1"/>
  <c r="AQ37" i="297"/>
  <c r="D38" i="297"/>
  <c r="E38" i="297"/>
  <c r="F38" i="297"/>
  <c r="G38" i="297"/>
  <c r="H38" i="297"/>
  <c r="I38" i="297"/>
  <c r="J38" i="297"/>
  <c r="K38" i="297"/>
  <c r="L38" i="297"/>
  <c r="M38" i="297"/>
  <c r="N38" i="297"/>
  <c r="O38" i="297"/>
  <c r="P38" i="297"/>
  <c r="Q38" i="297"/>
  <c r="R38" i="297"/>
  <c r="S38" i="297"/>
  <c r="T38" i="297"/>
  <c r="U38" i="297"/>
  <c r="V38" i="297"/>
  <c r="W38" i="297"/>
  <c r="AD38" i="297"/>
  <c r="AE38" i="297"/>
  <c r="AF38" i="297" s="1"/>
  <c r="AJ38" i="297"/>
  <c r="AK38" i="297"/>
  <c r="AL38" i="297"/>
  <c r="AM38" i="297"/>
  <c r="AP38" i="297"/>
  <c r="AN38" i="297" s="1"/>
  <c r="AO38" i="297" s="1"/>
  <c r="AR38" i="297" s="1"/>
  <c r="AQ38" i="297"/>
  <c r="D39" i="297"/>
  <c r="E39" i="297"/>
  <c r="F39" i="297"/>
  <c r="G39" i="297"/>
  <c r="H39" i="297"/>
  <c r="I39" i="297"/>
  <c r="Z39" i="297" s="1"/>
  <c r="J39" i="297"/>
  <c r="K39" i="297"/>
  <c r="L39" i="297"/>
  <c r="M39" i="297"/>
  <c r="N39" i="297"/>
  <c r="O39" i="297"/>
  <c r="P39" i="297"/>
  <c r="Q39" i="297"/>
  <c r="R39" i="297"/>
  <c r="S39" i="297"/>
  <c r="T39" i="297"/>
  <c r="U39" i="297"/>
  <c r="V39" i="297"/>
  <c r="W39" i="297"/>
  <c r="AD39" i="297"/>
  <c r="AE39" i="297"/>
  <c r="AF39" i="297" s="1"/>
  <c r="AJ39" i="297"/>
  <c r="AK39" i="297"/>
  <c r="AL39" i="297"/>
  <c r="AM39" i="297"/>
  <c r="AP39" i="297"/>
  <c r="AN39" i="297" s="1"/>
  <c r="AO39" i="297" s="1"/>
  <c r="AQ39" i="297"/>
  <c r="D40" i="297"/>
  <c r="E40" i="297"/>
  <c r="F40" i="297"/>
  <c r="G40" i="297"/>
  <c r="H40" i="297"/>
  <c r="I40" i="297"/>
  <c r="J40" i="297"/>
  <c r="K40" i="297"/>
  <c r="L40" i="297"/>
  <c r="M40" i="297"/>
  <c r="N40" i="297"/>
  <c r="O40" i="297"/>
  <c r="P40" i="297"/>
  <c r="Q40" i="297"/>
  <c r="R40" i="297"/>
  <c r="S40" i="297"/>
  <c r="T40" i="297"/>
  <c r="U40" i="297"/>
  <c r="V40" i="297"/>
  <c r="W40" i="297"/>
  <c r="AD40" i="297"/>
  <c r="AE40" i="297"/>
  <c r="AF40" i="297" s="1"/>
  <c r="AJ40" i="297"/>
  <c r="AK40" i="297"/>
  <c r="AL40" i="297"/>
  <c r="AM40" i="297"/>
  <c r="AP40" i="297"/>
  <c r="AN40" i="297" s="1"/>
  <c r="AO40" i="297" s="1"/>
  <c r="AR40" i="297" s="1"/>
  <c r="AQ40" i="297"/>
  <c r="D41" i="297"/>
  <c r="E41" i="297"/>
  <c r="F41" i="297"/>
  <c r="G41" i="297"/>
  <c r="H41" i="297"/>
  <c r="I41" i="297"/>
  <c r="Z41" i="297" s="1"/>
  <c r="J41" i="297"/>
  <c r="K41" i="297"/>
  <c r="L41" i="297"/>
  <c r="M41" i="297"/>
  <c r="N41" i="297"/>
  <c r="O41" i="297"/>
  <c r="P41" i="297"/>
  <c r="Q41" i="297"/>
  <c r="R41" i="297"/>
  <c r="S41" i="297"/>
  <c r="T41" i="297"/>
  <c r="U41" i="297"/>
  <c r="V41" i="297"/>
  <c r="W41" i="297"/>
  <c r="AD41" i="297"/>
  <c r="AE41" i="297"/>
  <c r="AF41" i="297" s="1"/>
  <c r="AJ41" i="297"/>
  <c r="AK41" i="297"/>
  <c r="AL41" i="297"/>
  <c r="AM41" i="297"/>
  <c r="AP41" i="297"/>
  <c r="AN41" i="297" s="1"/>
  <c r="AO41" i="297" s="1"/>
  <c r="AQ41" i="297"/>
  <c r="D42" i="297"/>
  <c r="E42" i="297"/>
  <c r="F42" i="297"/>
  <c r="G42" i="297"/>
  <c r="H42" i="297"/>
  <c r="I42" i="297"/>
  <c r="J42" i="297"/>
  <c r="K42" i="297"/>
  <c r="L42" i="297"/>
  <c r="M42" i="297"/>
  <c r="N42" i="297"/>
  <c r="O42" i="297"/>
  <c r="P42" i="297"/>
  <c r="Q42" i="297"/>
  <c r="R42" i="297"/>
  <c r="S42" i="297"/>
  <c r="T42" i="297"/>
  <c r="U42" i="297"/>
  <c r="V42" i="297"/>
  <c r="W42" i="297"/>
  <c r="AD42" i="297"/>
  <c r="AE42" i="297"/>
  <c r="AF42" i="297" s="1"/>
  <c r="AJ42" i="297"/>
  <c r="AK42" i="297"/>
  <c r="AL42" i="297"/>
  <c r="AM42" i="297"/>
  <c r="AP42" i="297"/>
  <c r="AN42" i="297" s="1"/>
  <c r="AO42" i="297" s="1"/>
  <c r="AR42" i="297" s="1"/>
  <c r="AQ42" i="297"/>
  <c r="D43" i="297"/>
  <c r="E43" i="297"/>
  <c r="F43" i="297"/>
  <c r="G43" i="297"/>
  <c r="H43" i="297"/>
  <c r="I43" i="297"/>
  <c r="Z43" i="297" s="1"/>
  <c r="J43" i="297"/>
  <c r="K43" i="297"/>
  <c r="L43" i="297"/>
  <c r="M43" i="297"/>
  <c r="N43" i="297"/>
  <c r="O43" i="297"/>
  <c r="P43" i="297"/>
  <c r="Q43" i="297"/>
  <c r="R43" i="297"/>
  <c r="S43" i="297"/>
  <c r="T43" i="297"/>
  <c r="U43" i="297"/>
  <c r="V43" i="297"/>
  <c r="W43" i="297"/>
  <c r="AD43" i="297"/>
  <c r="AE43" i="297"/>
  <c r="AF43" i="297" s="1"/>
  <c r="AJ43" i="297"/>
  <c r="AK43" i="297"/>
  <c r="AL43" i="297"/>
  <c r="AM43" i="297"/>
  <c r="AP43" i="297"/>
  <c r="AN43" i="297" s="1"/>
  <c r="AO43" i="297" s="1"/>
  <c r="AQ43" i="297"/>
  <c r="D44" i="297"/>
  <c r="E44" i="297"/>
  <c r="F44" i="297"/>
  <c r="G44" i="297"/>
  <c r="H44" i="297"/>
  <c r="I44" i="297"/>
  <c r="J44" i="297"/>
  <c r="K44" i="297"/>
  <c r="L44" i="297"/>
  <c r="M44" i="297"/>
  <c r="N44" i="297"/>
  <c r="O44" i="297"/>
  <c r="P44" i="297"/>
  <c r="Q44" i="297"/>
  <c r="R44" i="297"/>
  <c r="S44" i="297"/>
  <c r="T44" i="297"/>
  <c r="U44" i="297"/>
  <c r="V44" i="297"/>
  <c r="W44" i="297"/>
  <c r="AD44" i="297"/>
  <c r="AE44" i="297"/>
  <c r="AF44" i="297" s="1"/>
  <c r="AJ44" i="297"/>
  <c r="AK44" i="297"/>
  <c r="AL44" i="297"/>
  <c r="AM44" i="297"/>
  <c r="AP44" i="297"/>
  <c r="AN44" i="297" s="1"/>
  <c r="AO44" i="297" s="1"/>
  <c r="AR44" i="297" s="1"/>
  <c r="AQ44" i="297"/>
  <c r="D45" i="297"/>
  <c r="E45" i="297"/>
  <c r="F45" i="297"/>
  <c r="G45" i="297"/>
  <c r="H45" i="297"/>
  <c r="I45" i="297"/>
  <c r="Z45" i="297" s="1"/>
  <c r="J45" i="297"/>
  <c r="K45" i="297"/>
  <c r="L45" i="297"/>
  <c r="M45" i="297"/>
  <c r="N45" i="297"/>
  <c r="O45" i="297"/>
  <c r="P45" i="297"/>
  <c r="Q45" i="297"/>
  <c r="R45" i="297"/>
  <c r="S45" i="297"/>
  <c r="T45" i="297"/>
  <c r="U45" i="297"/>
  <c r="V45" i="297"/>
  <c r="W45" i="297"/>
  <c r="AD45" i="297"/>
  <c r="AE45" i="297"/>
  <c r="AF45" i="297" s="1"/>
  <c r="AJ45" i="297"/>
  <c r="AK45" i="297"/>
  <c r="AL45" i="297"/>
  <c r="AM45" i="297"/>
  <c r="AP45" i="297"/>
  <c r="AN45" i="297" s="1"/>
  <c r="AO45" i="297" s="1"/>
  <c r="AQ45" i="297"/>
  <c r="D46" i="297"/>
  <c r="E46" i="297"/>
  <c r="F46" i="297"/>
  <c r="G46" i="297"/>
  <c r="H46" i="297"/>
  <c r="I46" i="297"/>
  <c r="J46" i="297"/>
  <c r="K46" i="297"/>
  <c r="L46" i="297"/>
  <c r="M46" i="297"/>
  <c r="N46" i="297"/>
  <c r="O46" i="297"/>
  <c r="P46" i="297"/>
  <c r="Q46" i="297"/>
  <c r="R46" i="297"/>
  <c r="S46" i="297"/>
  <c r="T46" i="297"/>
  <c r="U46" i="297"/>
  <c r="V46" i="297"/>
  <c r="W46" i="297"/>
  <c r="AD46" i="297"/>
  <c r="AE46" i="297"/>
  <c r="AF46" i="297" s="1"/>
  <c r="AJ46" i="297"/>
  <c r="AK46" i="297"/>
  <c r="AL46" i="297"/>
  <c r="AM46" i="297"/>
  <c r="AP46" i="297"/>
  <c r="AN46" i="297" s="1"/>
  <c r="AO46" i="297" s="1"/>
  <c r="AR46" i="297" s="1"/>
  <c r="AQ46" i="297"/>
  <c r="D47" i="297"/>
  <c r="E47" i="297"/>
  <c r="F47" i="297"/>
  <c r="G47" i="297"/>
  <c r="H47" i="297"/>
  <c r="I47" i="297"/>
  <c r="Z47" i="297" s="1"/>
  <c r="J47" i="297"/>
  <c r="K47" i="297"/>
  <c r="L47" i="297"/>
  <c r="M47" i="297"/>
  <c r="N47" i="297"/>
  <c r="O47" i="297"/>
  <c r="P47" i="297"/>
  <c r="Q47" i="297"/>
  <c r="R47" i="297"/>
  <c r="S47" i="297"/>
  <c r="T47" i="297"/>
  <c r="U47" i="297"/>
  <c r="V47" i="297"/>
  <c r="W47" i="297"/>
  <c r="AD47" i="297"/>
  <c r="AE47" i="297"/>
  <c r="AF47" i="297" s="1"/>
  <c r="AJ47" i="297"/>
  <c r="AK47" i="297"/>
  <c r="AL47" i="297"/>
  <c r="AM47" i="297"/>
  <c r="AP47" i="297"/>
  <c r="AN47" i="297" s="1"/>
  <c r="AO47" i="297" s="1"/>
  <c r="AQ47" i="297"/>
  <c r="D48" i="297"/>
  <c r="E48" i="297"/>
  <c r="F48" i="297"/>
  <c r="G48" i="297"/>
  <c r="H48" i="297"/>
  <c r="I48" i="297"/>
  <c r="J48" i="297"/>
  <c r="K48" i="297"/>
  <c r="L48" i="297"/>
  <c r="M48" i="297"/>
  <c r="N48" i="297"/>
  <c r="O48" i="297"/>
  <c r="P48" i="297"/>
  <c r="Q48" i="297"/>
  <c r="R48" i="297"/>
  <c r="S48" i="297"/>
  <c r="T48" i="297"/>
  <c r="U48" i="297"/>
  <c r="V48" i="297"/>
  <c r="W48" i="297"/>
  <c r="AD48" i="297"/>
  <c r="AE48" i="297"/>
  <c r="AF48" i="297" s="1"/>
  <c r="AJ48" i="297"/>
  <c r="AK48" i="297"/>
  <c r="AL48" i="297"/>
  <c r="AM48" i="297"/>
  <c r="AP48" i="297"/>
  <c r="AN48" i="297" s="1"/>
  <c r="AO48" i="297" s="1"/>
  <c r="AR48" i="297" s="1"/>
  <c r="AQ48" i="297"/>
  <c r="G49" i="297"/>
  <c r="H49" i="297"/>
  <c r="I49" i="297"/>
  <c r="J49" i="297"/>
  <c r="K49" i="297"/>
  <c r="L49" i="297"/>
  <c r="M49" i="297"/>
  <c r="N49" i="297"/>
  <c r="O49" i="297"/>
  <c r="P49" i="297"/>
  <c r="Q49" i="297"/>
  <c r="R49" i="297"/>
  <c r="S49" i="297"/>
  <c r="T49" i="297"/>
  <c r="U49" i="297"/>
  <c r="V49" i="297"/>
  <c r="W49" i="297"/>
  <c r="AD49" i="297"/>
  <c r="AE49" i="297" s="1"/>
  <c r="AF49" i="297" s="1"/>
  <c r="AJ49" i="297"/>
  <c r="AK49" i="297"/>
  <c r="AL49" i="297"/>
  <c r="AN49" i="297" s="1"/>
  <c r="AO49" i="297" s="1"/>
  <c r="AR49" i="297" s="1"/>
  <c r="AM49" i="297"/>
  <c r="AQ49" i="297"/>
  <c r="G50" i="297"/>
  <c r="H50" i="297"/>
  <c r="I50" i="297"/>
  <c r="J50" i="297"/>
  <c r="K50" i="297"/>
  <c r="L50" i="297"/>
  <c r="M50" i="297"/>
  <c r="N50" i="297"/>
  <c r="O50" i="297"/>
  <c r="P50" i="297"/>
  <c r="Q50" i="297"/>
  <c r="R50" i="297"/>
  <c r="S50" i="297"/>
  <c r="T50" i="297"/>
  <c r="U50" i="297"/>
  <c r="V50" i="297"/>
  <c r="W50" i="297"/>
  <c r="AD50" i="297"/>
  <c r="AE50" i="297" s="1"/>
  <c r="AF50" i="297" s="1"/>
  <c r="AJ50" i="297"/>
  <c r="AK50" i="297"/>
  <c r="AL50" i="297"/>
  <c r="AN50" i="297" s="1"/>
  <c r="AO50" i="297" s="1"/>
  <c r="AM50" i="297"/>
  <c r="AQ50" i="297"/>
  <c r="G51" i="297"/>
  <c r="H51" i="297"/>
  <c r="I51" i="297"/>
  <c r="J51" i="297"/>
  <c r="K51" i="297"/>
  <c r="L51" i="297"/>
  <c r="M51" i="297"/>
  <c r="N51" i="297"/>
  <c r="O51" i="297"/>
  <c r="P51" i="297"/>
  <c r="Q51" i="297"/>
  <c r="R51" i="297"/>
  <c r="S51" i="297"/>
  <c r="T51" i="297"/>
  <c r="U51" i="297"/>
  <c r="V51" i="297"/>
  <c r="W51" i="297"/>
  <c r="AD51" i="297"/>
  <c r="AE51" i="297" s="1"/>
  <c r="AF51" i="297" s="1"/>
  <c r="AJ51" i="297"/>
  <c r="AK51" i="297"/>
  <c r="AL51" i="297"/>
  <c r="AM51" i="297"/>
  <c r="AP51" i="297"/>
  <c r="G52" i="297"/>
  <c r="H52" i="297"/>
  <c r="I52" i="297"/>
  <c r="J52" i="297"/>
  <c r="K52" i="297"/>
  <c r="L52" i="297"/>
  <c r="M52" i="297"/>
  <c r="N52" i="297"/>
  <c r="O52" i="297"/>
  <c r="P52" i="297"/>
  <c r="Q52" i="297"/>
  <c r="R52" i="297"/>
  <c r="S52" i="297"/>
  <c r="T52" i="297"/>
  <c r="U52" i="297"/>
  <c r="V52" i="297"/>
  <c r="W52" i="297"/>
  <c r="AD52" i="297"/>
  <c r="AE52" i="297"/>
  <c r="AF52" i="297" s="1"/>
  <c r="AJ52" i="297"/>
  <c r="AK52" i="297"/>
  <c r="AL52" i="297"/>
  <c r="AM52" i="297"/>
  <c r="AP52" i="297" s="1"/>
  <c r="G53" i="297"/>
  <c r="H53" i="297"/>
  <c r="I53" i="297"/>
  <c r="J53" i="297"/>
  <c r="K53" i="297"/>
  <c r="L53" i="297"/>
  <c r="M53" i="297"/>
  <c r="N53" i="297"/>
  <c r="O53" i="297"/>
  <c r="P53" i="297"/>
  <c r="Q53" i="297"/>
  <c r="R53" i="297"/>
  <c r="S53" i="297"/>
  <c r="T53" i="297"/>
  <c r="U53" i="297"/>
  <c r="V53" i="297"/>
  <c r="W53" i="297"/>
  <c r="Z53" i="297"/>
  <c r="AD53" i="297"/>
  <c r="AE53" i="297" s="1"/>
  <c r="AF53" i="297"/>
  <c r="AJ53" i="297"/>
  <c r="AK53" i="297"/>
  <c r="AL53" i="297"/>
  <c r="AM53" i="297"/>
  <c r="AN53" i="297"/>
  <c r="AO53" i="297" s="1"/>
  <c r="AP53" i="297"/>
  <c r="AQ53" i="297" s="1"/>
  <c r="AR53" i="297"/>
  <c r="G54" i="297"/>
  <c r="H54" i="297"/>
  <c r="I54" i="297"/>
  <c r="J54" i="297"/>
  <c r="K54" i="297"/>
  <c r="L54" i="297"/>
  <c r="M54" i="297"/>
  <c r="N54" i="297"/>
  <c r="O54" i="297"/>
  <c r="P54" i="297"/>
  <c r="Q54" i="297"/>
  <c r="R54" i="297"/>
  <c r="S54" i="297"/>
  <c r="T54" i="297"/>
  <c r="U54" i="297"/>
  <c r="V54" i="297"/>
  <c r="W54" i="297"/>
  <c r="AD54" i="297"/>
  <c r="AE54" i="297"/>
  <c r="AF54" i="297" s="1"/>
  <c r="AJ54" i="297"/>
  <c r="AK54" i="297"/>
  <c r="AL54" i="297"/>
  <c r="AM54" i="297"/>
  <c r="AP54" i="297" s="1"/>
  <c r="AN54" i="297" s="1"/>
  <c r="AO54" i="297" s="1"/>
  <c r="AQ54" i="297"/>
  <c r="G55" i="297"/>
  <c r="H55" i="297"/>
  <c r="I55" i="297"/>
  <c r="J55" i="297"/>
  <c r="K55" i="297"/>
  <c r="L55" i="297"/>
  <c r="M55" i="297"/>
  <c r="N55" i="297"/>
  <c r="O55" i="297"/>
  <c r="P55" i="297"/>
  <c r="Q55" i="297"/>
  <c r="R55" i="297"/>
  <c r="S55" i="297"/>
  <c r="T55" i="297"/>
  <c r="U55" i="297"/>
  <c r="V55" i="297"/>
  <c r="W55" i="297"/>
  <c r="AD55" i="297"/>
  <c r="AE55" i="297" s="1"/>
  <c r="AF55" i="297" s="1"/>
  <c r="AJ55" i="297"/>
  <c r="AK55" i="297"/>
  <c r="AL55" i="297"/>
  <c r="AM55" i="297"/>
  <c r="AP55" i="297"/>
  <c r="G56" i="297"/>
  <c r="H56" i="297"/>
  <c r="I56" i="297"/>
  <c r="J56" i="297"/>
  <c r="K56" i="297"/>
  <c r="L56" i="297"/>
  <c r="M56" i="297"/>
  <c r="N56" i="297"/>
  <c r="O56" i="297"/>
  <c r="P56" i="297"/>
  <c r="Q56" i="297"/>
  <c r="R56" i="297"/>
  <c r="S56" i="297"/>
  <c r="T56" i="297"/>
  <c r="U56" i="297"/>
  <c r="V56" i="297"/>
  <c r="W56" i="297"/>
  <c r="AD56" i="297"/>
  <c r="AE56" i="297"/>
  <c r="AF56" i="297" s="1"/>
  <c r="AJ56" i="297"/>
  <c r="AK56" i="297"/>
  <c r="AL56" i="297"/>
  <c r="AM56" i="297"/>
  <c r="AP56" i="297" s="1"/>
  <c r="G57" i="297"/>
  <c r="H57" i="297"/>
  <c r="I57" i="297"/>
  <c r="J57" i="297"/>
  <c r="K57" i="297"/>
  <c r="L57" i="297"/>
  <c r="M57" i="297"/>
  <c r="N57" i="297"/>
  <c r="O57" i="297"/>
  <c r="P57" i="297"/>
  <c r="Q57" i="297"/>
  <c r="R57" i="297"/>
  <c r="S57" i="297"/>
  <c r="T57" i="297"/>
  <c r="U57" i="297"/>
  <c r="V57" i="297"/>
  <c r="W57" i="297"/>
  <c r="Z57" i="297"/>
  <c r="AD57" i="297"/>
  <c r="AE57" i="297" s="1"/>
  <c r="AF57" i="297" s="1"/>
  <c r="AJ57" i="297"/>
  <c r="AK57" i="297"/>
  <c r="AL57" i="297"/>
  <c r="AM57" i="297"/>
  <c r="AN57" i="297"/>
  <c r="AO57" i="297" s="1"/>
  <c r="AP57" i="297"/>
  <c r="AQ57" i="297" s="1"/>
  <c r="AR57" i="297"/>
  <c r="G58" i="297"/>
  <c r="H58" i="297"/>
  <c r="I58" i="297"/>
  <c r="Z58" i="297" s="1"/>
  <c r="J58" i="297"/>
  <c r="K58" i="297"/>
  <c r="L58" i="297"/>
  <c r="M58" i="297"/>
  <c r="N58" i="297"/>
  <c r="O58" i="297"/>
  <c r="P58" i="297"/>
  <c r="Q58" i="297"/>
  <c r="R58" i="297"/>
  <c r="S58" i="297"/>
  <c r="T58" i="297"/>
  <c r="U58" i="297"/>
  <c r="V58" i="297"/>
  <c r="W58" i="297"/>
  <c r="AD58" i="297"/>
  <c r="AE58" i="297"/>
  <c r="AF58" i="297" s="1"/>
  <c r="AJ58" i="297"/>
  <c r="AK58" i="297"/>
  <c r="AL58" i="297"/>
  <c r="AM58" i="297"/>
  <c r="AP58" i="297" s="1"/>
  <c r="G59" i="297"/>
  <c r="H59" i="297"/>
  <c r="I59" i="297"/>
  <c r="J59" i="297"/>
  <c r="K59" i="297"/>
  <c r="L59" i="297"/>
  <c r="M59" i="297"/>
  <c r="N59" i="297"/>
  <c r="O59" i="297"/>
  <c r="P59" i="297"/>
  <c r="Q59" i="297"/>
  <c r="R59" i="297"/>
  <c r="S59" i="297"/>
  <c r="T59" i="297"/>
  <c r="U59" i="297"/>
  <c r="V59" i="297"/>
  <c r="W59" i="297"/>
  <c r="AD59" i="297"/>
  <c r="AE59" i="297" s="1"/>
  <c r="AF59" i="297" s="1"/>
  <c r="AJ59" i="297"/>
  <c r="AK59" i="297"/>
  <c r="AL59" i="297"/>
  <c r="AM59" i="297"/>
  <c r="AP59" i="297"/>
  <c r="G60" i="297"/>
  <c r="H60" i="297"/>
  <c r="I60" i="297"/>
  <c r="J60" i="297"/>
  <c r="K60" i="297"/>
  <c r="L60" i="297"/>
  <c r="M60" i="297"/>
  <c r="N60" i="297"/>
  <c r="O60" i="297"/>
  <c r="P60" i="297"/>
  <c r="Q60" i="297"/>
  <c r="R60" i="297"/>
  <c r="S60" i="297"/>
  <c r="T60" i="297"/>
  <c r="U60" i="297"/>
  <c r="V60" i="297"/>
  <c r="W60" i="297"/>
  <c r="AD60" i="297"/>
  <c r="AE60" i="297"/>
  <c r="AF60" i="297" s="1"/>
  <c r="AJ60" i="297"/>
  <c r="AK60" i="297"/>
  <c r="AL60" i="297"/>
  <c r="AM60" i="297"/>
  <c r="AP60" i="297" s="1"/>
  <c r="G61" i="297"/>
  <c r="H61" i="297"/>
  <c r="I61" i="297"/>
  <c r="J61" i="297"/>
  <c r="K61" i="297"/>
  <c r="L61" i="297"/>
  <c r="M61" i="297"/>
  <c r="N61" i="297"/>
  <c r="O61" i="297"/>
  <c r="P61" i="297"/>
  <c r="Q61" i="297"/>
  <c r="R61" i="297"/>
  <c r="S61" i="297"/>
  <c r="T61" i="297"/>
  <c r="U61" i="297"/>
  <c r="V61" i="297"/>
  <c r="W61" i="297"/>
  <c r="AD61" i="297"/>
  <c r="AE61" i="297"/>
  <c r="AF61" i="297" s="1"/>
  <c r="AJ61" i="297"/>
  <c r="AK61" i="297"/>
  <c r="AL61" i="297"/>
  <c r="AM61" i="297"/>
  <c r="AP61" i="297" s="1"/>
  <c r="AN61" i="297" s="1"/>
  <c r="AO61" i="297" s="1"/>
  <c r="AQ61" i="297"/>
  <c r="G62" i="297"/>
  <c r="H62" i="297"/>
  <c r="I62" i="297"/>
  <c r="J62" i="297"/>
  <c r="K62" i="297"/>
  <c r="L62" i="297"/>
  <c r="M62" i="297"/>
  <c r="N62" i="297"/>
  <c r="O62" i="297"/>
  <c r="P62" i="297"/>
  <c r="Q62" i="297"/>
  <c r="R62" i="297"/>
  <c r="S62" i="297"/>
  <c r="T62" i="297"/>
  <c r="U62" i="297"/>
  <c r="V62" i="297"/>
  <c r="W62" i="297"/>
  <c r="AD62" i="297"/>
  <c r="AE62" i="297" s="1"/>
  <c r="AF62" i="297" s="1"/>
  <c r="AJ62" i="297"/>
  <c r="AK62" i="297"/>
  <c r="AL62" i="297"/>
  <c r="AM62" i="297"/>
  <c r="AP62" i="297"/>
  <c r="G63" i="297"/>
  <c r="H63" i="297"/>
  <c r="I63" i="297"/>
  <c r="Z63" i="297" s="1"/>
  <c r="J63" i="297"/>
  <c r="K63" i="297"/>
  <c r="L63" i="297"/>
  <c r="M63" i="297"/>
  <c r="N63" i="297"/>
  <c r="O63" i="297"/>
  <c r="P63" i="297"/>
  <c r="Q63" i="297"/>
  <c r="R63" i="297"/>
  <c r="S63" i="297"/>
  <c r="T63" i="297"/>
  <c r="U63" i="297"/>
  <c r="U107" i="297" s="1"/>
  <c r="U108" i="297" s="1"/>
  <c r="V63" i="297"/>
  <c r="W63" i="297"/>
  <c r="AD63" i="297"/>
  <c r="AE63" i="297"/>
  <c r="AF63" i="297" s="1"/>
  <c r="AJ63" i="297"/>
  <c r="AK63" i="297"/>
  <c r="AL63" i="297"/>
  <c r="AM63" i="297"/>
  <c r="AP63" i="297" s="1"/>
  <c r="G64" i="297"/>
  <c r="H64" i="297"/>
  <c r="I64" i="297"/>
  <c r="J64" i="297"/>
  <c r="K64" i="297"/>
  <c r="L64" i="297"/>
  <c r="M64" i="297"/>
  <c r="N64" i="297"/>
  <c r="O64" i="297"/>
  <c r="P64" i="297"/>
  <c r="Q64" i="297"/>
  <c r="R64" i="297"/>
  <c r="S64" i="297"/>
  <c r="T64" i="297"/>
  <c r="U64" i="297"/>
  <c r="V64" i="297"/>
  <c r="W64" i="297"/>
  <c r="Z64" i="297"/>
  <c r="AD64" i="297"/>
  <c r="AE64" i="297" s="1"/>
  <c r="AF64" i="297"/>
  <c r="AJ64" i="297"/>
  <c r="AK64" i="297"/>
  <c r="AL64" i="297"/>
  <c r="AM64" i="297"/>
  <c r="AN64" i="297"/>
  <c r="AO64" i="297" s="1"/>
  <c r="AP64" i="297"/>
  <c r="AQ64" i="297" s="1"/>
  <c r="AR64" i="297"/>
  <c r="G65" i="297"/>
  <c r="H65" i="297"/>
  <c r="I65" i="297"/>
  <c r="J65" i="297"/>
  <c r="K65" i="297"/>
  <c r="L65" i="297"/>
  <c r="M65" i="297"/>
  <c r="N65" i="297"/>
  <c r="O65" i="297"/>
  <c r="P65" i="297"/>
  <c r="Q65" i="297"/>
  <c r="R65" i="297"/>
  <c r="S65" i="297"/>
  <c r="T65" i="297"/>
  <c r="U65" i="297"/>
  <c r="V65" i="297"/>
  <c r="W65" i="297"/>
  <c r="AD65" i="297"/>
  <c r="AE65" i="297"/>
  <c r="AF65" i="297" s="1"/>
  <c r="AJ65" i="297"/>
  <c r="AK65" i="297"/>
  <c r="AL65" i="297"/>
  <c r="AM65" i="297"/>
  <c r="AP65" i="297" s="1"/>
  <c r="AN65" i="297" s="1"/>
  <c r="AO65" i="297" s="1"/>
  <c r="AQ65" i="297"/>
  <c r="G66" i="297"/>
  <c r="H66" i="297"/>
  <c r="I66" i="297"/>
  <c r="J66" i="297"/>
  <c r="K66" i="297"/>
  <c r="L66" i="297"/>
  <c r="M66" i="297"/>
  <c r="N66" i="297"/>
  <c r="O66" i="297"/>
  <c r="P66" i="297"/>
  <c r="Q66" i="297"/>
  <c r="R66" i="297"/>
  <c r="S66" i="297"/>
  <c r="T66" i="297"/>
  <c r="U66" i="297"/>
  <c r="V66" i="297"/>
  <c r="W66" i="297"/>
  <c r="AD66" i="297"/>
  <c r="AE66" i="297" s="1"/>
  <c r="AF66" i="297" s="1"/>
  <c r="AJ66" i="297"/>
  <c r="AK66" i="297"/>
  <c r="AL66" i="297"/>
  <c r="AP66" i="297" s="1"/>
  <c r="AM66" i="297"/>
  <c r="G67" i="297"/>
  <c r="H67" i="297"/>
  <c r="I67" i="297"/>
  <c r="J67" i="297"/>
  <c r="K67" i="297"/>
  <c r="L67" i="297"/>
  <c r="M67" i="297"/>
  <c r="N67" i="297"/>
  <c r="O67" i="297"/>
  <c r="P67" i="297"/>
  <c r="Q67" i="297"/>
  <c r="R67" i="297"/>
  <c r="S67" i="297"/>
  <c r="T67" i="297"/>
  <c r="U67" i="297"/>
  <c r="V67" i="297"/>
  <c r="W67" i="297"/>
  <c r="AD67" i="297"/>
  <c r="AE67" i="297"/>
  <c r="AF67" i="297" s="1"/>
  <c r="AJ67" i="297"/>
  <c r="AK67" i="297"/>
  <c r="AL67" i="297"/>
  <c r="AM67" i="297"/>
  <c r="AP67" i="297" s="1"/>
  <c r="AQ67" i="297"/>
  <c r="G68" i="297"/>
  <c r="H68" i="297"/>
  <c r="I68" i="297"/>
  <c r="J68" i="297"/>
  <c r="K68" i="297"/>
  <c r="L68" i="297"/>
  <c r="M68" i="297"/>
  <c r="N68" i="297"/>
  <c r="O68" i="297"/>
  <c r="P68" i="297"/>
  <c r="Q68" i="297"/>
  <c r="R68" i="297"/>
  <c r="S68" i="297"/>
  <c r="T68" i="297"/>
  <c r="U68" i="297"/>
  <c r="V68" i="297"/>
  <c r="W68" i="297"/>
  <c r="Z68" i="297"/>
  <c r="AD68" i="297"/>
  <c r="AE68" i="297" s="1"/>
  <c r="AF68" i="297" s="1"/>
  <c r="AJ68" i="297"/>
  <c r="AK68" i="297"/>
  <c r="AL68" i="297"/>
  <c r="AM68" i="297"/>
  <c r="AP68" i="297"/>
  <c r="G69" i="297"/>
  <c r="H69" i="297"/>
  <c r="I69" i="297"/>
  <c r="J69" i="297"/>
  <c r="K69" i="297"/>
  <c r="L69" i="297"/>
  <c r="M69" i="297"/>
  <c r="N69" i="297"/>
  <c r="O69" i="297"/>
  <c r="P69" i="297"/>
  <c r="Q69" i="297"/>
  <c r="R69" i="297"/>
  <c r="S69" i="297"/>
  <c r="T69" i="297"/>
  <c r="U69" i="297"/>
  <c r="V69" i="297"/>
  <c r="W69" i="297"/>
  <c r="AD69" i="297"/>
  <c r="AE69" i="297"/>
  <c r="AF69" i="297" s="1"/>
  <c r="AJ69" i="297"/>
  <c r="AK69" i="297"/>
  <c r="AL69" i="297"/>
  <c r="AM69" i="297"/>
  <c r="AP69" i="297" s="1"/>
  <c r="G70" i="297"/>
  <c r="H70" i="297"/>
  <c r="I70" i="297"/>
  <c r="J70" i="297"/>
  <c r="K70" i="297"/>
  <c r="L70" i="297"/>
  <c r="M70" i="297"/>
  <c r="N70" i="297"/>
  <c r="O70" i="297"/>
  <c r="P70" i="297"/>
  <c r="Q70" i="297"/>
  <c r="R70" i="297"/>
  <c r="S70" i="297"/>
  <c r="T70" i="297"/>
  <c r="U70" i="297"/>
  <c r="V70" i="297"/>
  <c r="W70" i="297"/>
  <c r="AD70" i="297"/>
  <c r="AE70" i="297" s="1"/>
  <c r="AF70" i="297"/>
  <c r="AJ70" i="297"/>
  <c r="AK70" i="297"/>
  <c r="AL70" i="297"/>
  <c r="AP70" i="297" s="1"/>
  <c r="AM70" i="297"/>
  <c r="G71" i="297"/>
  <c r="H71" i="297"/>
  <c r="I71" i="297"/>
  <c r="J71" i="297"/>
  <c r="K71" i="297"/>
  <c r="L71" i="297"/>
  <c r="M71" i="297"/>
  <c r="N71" i="297"/>
  <c r="O71" i="297"/>
  <c r="P71" i="297"/>
  <c r="Q71" i="297"/>
  <c r="R71" i="297"/>
  <c r="S71" i="297"/>
  <c r="T71" i="297"/>
  <c r="U71" i="297"/>
  <c r="V71" i="297"/>
  <c r="W71" i="297"/>
  <c r="AD71" i="297"/>
  <c r="AE71" i="297"/>
  <c r="AF71" i="297" s="1"/>
  <c r="AJ71" i="297"/>
  <c r="AK71" i="297"/>
  <c r="AL71" i="297"/>
  <c r="AM71" i="297"/>
  <c r="AP71" i="297" s="1"/>
  <c r="AN71" i="297" s="1"/>
  <c r="AO71" i="297"/>
  <c r="G72" i="297"/>
  <c r="H72" i="297"/>
  <c r="I72" i="297"/>
  <c r="J72" i="297"/>
  <c r="Z72" i="297" s="1"/>
  <c r="K72" i="297"/>
  <c r="L72" i="297"/>
  <c r="M72" i="297"/>
  <c r="N72" i="297"/>
  <c r="O72" i="297"/>
  <c r="P72" i="297"/>
  <c r="Q72" i="297"/>
  <c r="R72" i="297"/>
  <c r="S72" i="297"/>
  <c r="T72" i="297"/>
  <c r="U72" i="297"/>
  <c r="V72" i="297"/>
  <c r="W72" i="297"/>
  <c r="AD72" i="297"/>
  <c r="AE72" i="297" s="1"/>
  <c r="AF72" i="297"/>
  <c r="AJ72" i="297"/>
  <c r="AK72" i="297"/>
  <c r="AL72" i="297"/>
  <c r="AP72" i="297" s="1"/>
  <c r="AM72" i="297"/>
  <c r="G73" i="297"/>
  <c r="H73" i="297"/>
  <c r="I73" i="297"/>
  <c r="J73" i="297"/>
  <c r="K73" i="297"/>
  <c r="L73" i="297"/>
  <c r="M73" i="297"/>
  <c r="N73" i="297"/>
  <c r="O73" i="297"/>
  <c r="P73" i="297"/>
  <c r="Q73" i="297"/>
  <c r="R73" i="297"/>
  <c r="S73" i="297"/>
  <c r="T73" i="297"/>
  <c r="U73" i="297"/>
  <c r="V73" i="297"/>
  <c r="W73" i="297"/>
  <c r="AD73" i="297"/>
  <c r="AE73" i="297"/>
  <c r="AF73" i="297" s="1"/>
  <c r="AJ73" i="297"/>
  <c r="AK73" i="297"/>
  <c r="AL73" i="297"/>
  <c r="AM73" i="297"/>
  <c r="AP73" i="297" s="1"/>
  <c r="AQ73" i="297"/>
  <c r="G74" i="297"/>
  <c r="H74" i="297"/>
  <c r="I74" i="297"/>
  <c r="J74" i="297"/>
  <c r="K74" i="297"/>
  <c r="L74" i="297"/>
  <c r="M74" i="297"/>
  <c r="N74" i="297"/>
  <c r="O74" i="297"/>
  <c r="P74" i="297"/>
  <c r="Q74" i="297"/>
  <c r="R74" i="297"/>
  <c r="S74" i="297"/>
  <c r="T74" i="297"/>
  <c r="U74" i="297"/>
  <c r="V74" i="297"/>
  <c r="W74" i="297"/>
  <c r="Z74" i="297"/>
  <c r="AD74" i="297"/>
  <c r="AE74" i="297" s="1"/>
  <c r="AF74" i="297"/>
  <c r="AJ74" i="297"/>
  <c r="AK74" i="297"/>
  <c r="AL74" i="297"/>
  <c r="AP74" i="297" s="1"/>
  <c r="AQ74" i="297" s="1"/>
  <c r="AM74" i="297"/>
  <c r="G75" i="297"/>
  <c r="H75" i="297"/>
  <c r="I75" i="297"/>
  <c r="J75" i="297"/>
  <c r="K75" i="297"/>
  <c r="L75" i="297"/>
  <c r="M75" i="297"/>
  <c r="N75" i="297"/>
  <c r="O75" i="297"/>
  <c r="P75" i="297"/>
  <c r="Q75" i="297"/>
  <c r="R75" i="297"/>
  <c r="S75" i="297"/>
  <c r="T75" i="297"/>
  <c r="U75" i="297"/>
  <c r="V75" i="297"/>
  <c r="W75" i="297"/>
  <c r="AD75" i="297"/>
  <c r="AE75" i="297"/>
  <c r="AF75" i="297" s="1"/>
  <c r="AJ75" i="297"/>
  <c r="AK75" i="297"/>
  <c r="AL75" i="297"/>
  <c r="AM75" i="297"/>
  <c r="AP75" i="297" s="1"/>
  <c r="AQ75" i="297"/>
  <c r="G76" i="297"/>
  <c r="H76" i="297"/>
  <c r="I76" i="297"/>
  <c r="J76" i="297"/>
  <c r="K76" i="297"/>
  <c r="L76" i="297"/>
  <c r="M76" i="297"/>
  <c r="N76" i="297"/>
  <c r="O76" i="297"/>
  <c r="P76" i="297"/>
  <c r="Q76" i="297"/>
  <c r="R76" i="297"/>
  <c r="S76" i="297"/>
  <c r="T76" i="297"/>
  <c r="U76" i="297"/>
  <c r="V76" i="297"/>
  <c r="W76" i="297"/>
  <c r="Z76" i="297"/>
  <c r="AD76" i="297"/>
  <c r="AE76" i="297" s="1"/>
  <c r="AF76" i="297" s="1"/>
  <c r="AJ76" i="297"/>
  <c r="AK76" i="297"/>
  <c r="AL76" i="297"/>
  <c r="AM76" i="297"/>
  <c r="G77" i="297"/>
  <c r="H77" i="297"/>
  <c r="I77" i="297"/>
  <c r="J77" i="297"/>
  <c r="K77" i="297"/>
  <c r="L77" i="297"/>
  <c r="M77" i="297"/>
  <c r="N77" i="297"/>
  <c r="O77" i="297"/>
  <c r="P77" i="297"/>
  <c r="Q77" i="297"/>
  <c r="R77" i="297"/>
  <c r="S77" i="297"/>
  <c r="T77" i="297"/>
  <c r="U77" i="297"/>
  <c r="V77" i="297"/>
  <c r="W77" i="297"/>
  <c r="AD77" i="297"/>
  <c r="AE77" i="297"/>
  <c r="AF77" i="297" s="1"/>
  <c r="AJ77" i="297"/>
  <c r="AK77" i="297"/>
  <c r="AL77" i="297"/>
  <c r="AP77" i="297" s="1"/>
  <c r="AM77" i="297"/>
  <c r="G78" i="297"/>
  <c r="H78" i="297"/>
  <c r="I78" i="297"/>
  <c r="Z78" i="297" s="1"/>
  <c r="J78" i="297"/>
  <c r="K78" i="297"/>
  <c r="L78" i="297"/>
  <c r="M78" i="297"/>
  <c r="N78" i="297"/>
  <c r="O78" i="297"/>
  <c r="P78" i="297"/>
  <c r="Q78" i="297"/>
  <c r="R78" i="297"/>
  <c r="S78" i="297"/>
  <c r="T78" i="297"/>
  <c r="U78" i="297"/>
  <c r="V78" i="297"/>
  <c r="W78" i="297"/>
  <c r="AD78" i="297"/>
  <c r="AE78" i="297" s="1"/>
  <c r="AF78" i="297"/>
  <c r="AJ78" i="297"/>
  <c r="AK78" i="297"/>
  <c r="AN78" i="297" s="1"/>
  <c r="AO78" i="297" s="1"/>
  <c r="AR78" i="297" s="1"/>
  <c r="AL78" i="297"/>
  <c r="AM78" i="297"/>
  <c r="AP78" i="297"/>
  <c r="AQ78" i="297" s="1"/>
  <c r="G79" i="297"/>
  <c r="H79" i="297"/>
  <c r="I79" i="297"/>
  <c r="Z79" i="297" s="1"/>
  <c r="J79" i="297"/>
  <c r="K79" i="297"/>
  <c r="L79" i="297"/>
  <c r="M79" i="297"/>
  <c r="N79" i="297"/>
  <c r="O79" i="297"/>
  <c r="P79" i="297"/>
  <c r="Q79" i="297"/>
  <c r="R79" i="297"/>
  <c r="S79" i="297"/>
  <c r="T79" i="297"/>
  <c r="U79" i="297"/>
  <c r="V79" i="297"/>
  <c r="W79" i="297"/>
  <c r="AD79" i="297"/>
  <c r="AE79" i="297"/>
  <c r="AF79" i="297"/>
  <c r="AJ79" i="297"/>
  <c r="AK79" i="297"/>
  <c r="AL79" i="297"/>
  <c r="AM79" i="297"/>
  <c r="AP79" i="297" s="1"/>
  <c r="G80" i="297"/>
  <c r="H80" i="297"/>
  <c r="I80" i="297"/>
  <c r="J80" i="297"/>
  <c r="K80" i="297"/>
  <c r="L80" i="297"/>
  <c r="M80" i="297"/>
  <c r="N80" i="297"/>
  <c r="O80" i="297"/>
  <c r="P80" i="297"/>
  <c r="Q80" i="297"/>
  <c r="R80" i="297"/>
  <c r="S80" i="297"/>
  <c r="T80" i="297"/>
  <c r="U80" i="297"/>
  <c r="V80" i="297"/>
  <c r="W80" i="297"/>
  <c r="Z80" i="297"/>
  <c r="AD80" i="297"/>
  <c r="AE80" i="297"/>
  <c r="AF80" i="297"/>
  <c r="AJ80" i="297"/>
  <c r="AK80" i="297"/>
  <c r="AL80" i="297"/>
  <c r="AP80" i="297" s="1"/>
  <c r="AN80" i="297" s="1"/>
  <c r="AO80" i="297" s="1"/>
  <c r="AM80" i="297"/>
  <c r="G81" i="297"/>
  <c r="H81" i="297"/>
  <c r="I81" i="297"/>
  <c r="J81" i="297"/>
  <c r="K81" i="297"/>
  <c r="L81" i="297"/>
  <c r="M81" i="297"/>
  <c r="N81" i="297"/>
  <c r="O81" i="297"/>
  <c r="P81" i="297"/>
  <c r="Q81" i="297"/>
  <c r="R81" i="297"/>
  <c r="S81" i="297"/>
  <c r="T81" i="297"/>
  <c r="U81" i="297"/>
  <c r="V81" i="297"/>
  <c r="W81" i="297"/>
  <c r="AD81" i="297"/>
  <c r="AE81" i="297"/>
  <c r="AF81" i="297" s="1"/>
  <c r="AJ81" i="297"/>
  <c r="AK81" i="297"/>
  <c r="AL81" i="297"/>
  <c r="AM81" i="297"/>
  <c r="AP81" i="297"/>
  <c r="G82" i="297"/>
  <c r="H82" i="297"/>
  <c r="I82" i="297"/>
  <c r="J82" i="297"/>
  <c r="K82" i="297"/>
  <c r="L82" i="297"/>
  <c r="M82" i="297"/>
  <c r="N82" i="297"/>
  <c r="O82" i="297"/>
  <c r="P82" i="297"/>
  <c r="Q82" i="297"/>
  <c r="R82" i="297"/>
  <c r="S82" i="297"/>
  <c r="T82" i="297"/>
  <c r="U82" i="297"/>
  <c r="V82" i="297"/>
  <c r="W82" i="297"/>
  <c r="AD82" i="297"/>
  <c r="AE82" i="297" s="1"/>
  <c r="AF82" i="297" s="1"/>
  <c r="AJ82" i="297"/>
  <c r="AK82" i="297"/>
  <c r="AL82" i="297"/>
  <c r="AM82" i="297"/>
  <c r="AN82" i="297"/>
  <c r="AO82" i="297" s="1"/>
  <c r="AR82" i="297" s="1"/>
  <c r="AP82" i="297"/>
  <c r="AQ82" i="297" s="1"/>
  <c r="G83" i="297"/>
  <c r="H83" i="297"/>
  <c r="I83" i="297"/>
  <c r="J83" i="297"/>
  <c r="K83" i="297"/>
  <c r="L83" i="297"/>
  <c r="M83" i="297"/>
  <c r="N83" i="297"/>
  <c r="O83" i="297"/>
  <c r="P83" i="297"/>
  <c r="Q83" i="297"/>
  <c r="R83" i="297"/>
  <c r="S83" i="297"/>
  <c r="T83" i="297"/>
  <c r="U83" i="297"/>
  <c r="V83" i="297"/>
  <c r="W83" i="297"/>
  <c r="AD83" i="297"/>
  <c r="AE83" i="297"/>
  <c r="AF83" i="297"/>
  <c r="AJ83" i="297"/>
  <c r="AK83" i="297"/>
  <c r="AN83" i="297" s="1"/>
  <c r="AO83" i="297" s="1"/>
  <c r="AR83" i="297" s="1"/>
  <c r="AL83" i="297"/>
  <c r="AM83" i="297"/>
  <c r="AP83" i="297" s="1"/>
  <c r="AQ83" i="297"/>
  <c r="G84" i="297"/>
  <c r="H84" i="297"/>
  <c r="I84" i="297"/>
  <c r="J84" i="297"/>
  <c r="K84" i="297"/>
  <c r="L84" i="297"/>
  <c r="M84" i="297"/>
  <c r="N84" i="297"/>
  <c r="O84" i="297"/>
  <c r="P84" i="297"/>
  <c r="Q84" i="297"/>
  <c r="R84" i="297"/>
  <c r="S84" i="297"/>
  <c r="T84" i="297"/>
  <c r="U84" i="297"/>
  <c r="V84" i="297"/>
  <c r="W84" i="297"/>
  <c r="AD84" i="297"/>
  <c r="AE84" i="297"/>
  <c r="AF84" i="297"/>
  <c r="AJ84" i="297"/>
  <c r="AK84" i="297"/>
  <c r="AL84" i="297"/>
  <c r="AM84" i="297"/>
  <c r="AP84" i="297"/>
  <c r="G85" i="297"/>
  <c r="H85" i="297"/>
  <c r="I85" i="297"/>
  <c r="J85" i="297"/>
  <c r="K85" i="297"/>
  <c r="L85" i="297"/>
  <c r="M85" i="297"/>
  <c r="N85" i="297"/>
  <c r="O85" i="297"/>
  <c r="P85" i="297"/>
  <c r="Q85" i="297"/>
  <c r="R85" i="297"/>
  <c r="S85" i="297"/>
  <c r="T85" i="297"/>
  <c r="U85" i="297"/>
  <c r="V85" i="297"/>
  <c r="W85" i="297"/>
  <c r="AD85" i="297"/>
  <c r="AE85" i="297"/>
  <c r="AF85" i="297" s="1"/>
  <c r="AJ85" i="297"/>
  <c r="AK85" i="297"/>
  <c r="AL85" i="297"/>
  <c r="AP85" i="297" s="1"/>
  <c r="AM85" i="297"/>
  <c r="G86" i="297"/>
  <c r="H86" i="297"/>
  <c r="I86" i="297"/>
  <c r="J86" i="297"/>
  <c r="K86" i="297"/>
  <c r="L86" i="297"/>
  <c r="M86" i="297"/>
  <c r="N86" i="297"/>
  <c r="O86" i="297"/>
  <c r="P86" i="297"/>
  <c r="Q86" i="297"/>
  <c r="R86" i="297"/>
  <c r="S86" i="297"/>
  <c r="T86" i="297"/>
  <c r="U86" i="297"/>
  <c r="V86" i="297"/>
  <c r="W86" i="297"/>
  <c r="AD86" i="297"/>
  <c r="AE86" i="297" s="1"/>
  <c r="AF86" i="297"/>
  <c r="AJ86" i="297"/>
  <c r="AK86" i="297"/>
  <c r="AL86" i="297"/>
  <c r="AM86" i="297"/>
  <c r="AP86" i="297"/>
  <c r="AQ86" i="297" s="1"/>
  <c r="G87" i="297"/>
  <c r="H87" i="297"/>
  <c r="I87" i="297"/>
  <c r="J87" i="297"/>
  <c r="K87" i="297"/>
  <c r="L87" i="297"/>
  <c r="M87" i="297"/>
  <c r="N87" i="297"/>
  <c r="O87" i="297"/>
  <c r="P87" i="297"/>
  <c r="Q87" i="297"/>
  <c r="R87" i="297"/>
  <c r="S87" i="297"/>
  <c r="T87" i="297"/>
  <c r="U87" i="297"/>
  <c r="V87" i="297"/>
  <c r="W87" i="297"/>
  <c r="Z87" i="297"/>
  <c r="AD87" i="297"/>
  <c r="AE87" i="297"/>
  <c r="AF87" i="297"/>
  <c r="AJ87" i="297"/>
  <c r="AK87" i="297"/>
  <c r="AL87" i="297"/>
  <c r="AM87" i="297"/>
  <c r="AP87" i="297" s="1"/>
  <c r="AQ87" i="297" s="1"/>
  <c r="G88" i="297"/>
  <c r="H88" i="297"/>
  <c r="I88" i="297"/>
  <c r="J88" i="297"/>
  <c r="K88" i="297"/>
  <c r="L88" i="297"/>
  <c r="M88" i="297"/>
  <c r="N88" i="297"/>
  <c r="O88" i="297"/>
  <c r="P88" i="297"/>
  <c r="Q88" i="297"/>
  <c r="R88" i="297"/>
  <c r="S88" i="297"/>
  <c r="T88" i="297"/>
  <c r="U88" i="297"/>
  <c r="V88" i="297"/>
  <c r="W88" i="297"/>
  <c r="AD88" i="297"/>
  <c r="AE88" i="297"/>
  <c r="AF88" i="297" s="1"/>
  <c r="AJ88" i="297"/>
  <c r="AK88" i="297"/>
  <c r="AL88" i="297"/>
  <c r="AP88" i="297" s="1"/>
  <c r="AQ88" i="297" s="1"/>
  <c r="AM88" i="297"/>
  <c r="AN88" i="297"/>
  <c r="AO88" i="297" s="1"/>
  <c r="AR88" i="297" s="1"/>
  <c r="G89" i="297"/>
  <c r="H89" i="297"/>
  <c r="I89" i="297"/>
  <c r="J89" i="297"/>
  <c r="K89" i="297"/>
  <c r="L89" i="297"/>
  <c r="M89" i="297"/>
  <c r="N89" i="297"/>
  <c r="O89" i="297"/>
  <c r="P89" i="297"/>
  <c r="Q89" i="297"/>
  <c r="R89" i="297"/>
  <c r="S89" i="297"/>
  <c r="T89" i="297"/>
  <c r="U89" i="297"/>
  <c r="V89" i="297"/>
  <c r="W89" i="297"/>
  <c r="AD89" i="297"/>
  <c r="AE89" i="297" s="1"/>
  <c r="AF89" i="297" s="1"/>
  <c r="AJ89" i="297"/>
  <c r="AK89" i="297"/>
  <c r="AL89" i="297"/>
  <c r="AM89" i="297"/>
  <c r="G90" i="297"/>
  <c r="H90" i="297"/>
  <c r="I90" i="297"/>
  <c r="J90" i="297"/>
  <c r="K90" i="297"/>
  <c r="L90" i="297"/>
  <c r="M90" i="297"/>
  <c r="N90" i="297"/>
  <c r="O90" i="297"/>
  <c r="P90" i="297"/>
  <c r="Q90" i="297"/>
  <c r="R90" i="297"/>
  <c r="S90" i="297"/>
  <c r="T90" i="297"/>
  <c r="U90" i="297"/>
  <c r="V90" i="297"/>
  <c r="W90" i="297"/>
  <c r="Z90" i="297"/>
  <c r="AB90" i="297" s="1"/>
  <c r="AD90" i="297"/>
  <c r="AE90" i="297" s="1"/>
  <c r="AF90" i="297"/>
  <c r="AJ90" i="297"/>
  <c r="AK90" i="297"/>
  <c r="AL90" i="297"/>
  <c r="AM90" i="297"/>
  <c r="AP90" i="297"/>
  <c r="G91" i="297"/>
  <c r="H91" i="297"/>
  <c r="I91" i="297"/>
  <c r="J91" i="297"/>
  <c r="K91" i="297"/>
  <c r="L91" i="297"/>
  <c r="M91" i="297"/>
  <c r="N91" i="297"/>
  <c r="O91" i="297"/>
  <c r="P91" i="297"/>
  <c r="Q91" i="297"/>
  <c r="R91" i="297"/>
  <c r="S91" i="297"/>
  <c r="T91" i="297"/>
  <c r="U91" i="297"/>
  <c r="V91" i="297"/>
  <c r="W91" i="297"/>
  <c r="AD91" i="297"/>
  <c r="AE91" i="297"/>
  <c r="AF91" i="297" s="1"/>
  <c r="AJ91" i="297"/>
  <c r="AK91" i="297"/>
  <c r="AL91" i="297"/>
  <c r="AM91" i="297"/>
  <c r="AP91" i="297" s="1"/>
  <c r="AQ91" i="297" s="1"/>
  <c r="AN91" i="297"/>
  <c r="AO91" i="297" s="1"/>
  <c r="AR91" i="297" s="1"/>
  <c r="G92" i="297"/>
  <c r="H92" i="297"/>
  <c r="I92" i="297"/>
  <c r="J92" i="297"/>
  <c r="K92" i="297"/>
  <c r="L92" i="297"/>
  <c r="M92" i="297"/>
  <c r="N92" i="297"/>
  <c r="O92" i="297"/>
  <c r="P92" i="297"/>
  <c r="Q92" i="297"/>
  <c r="R92" i="297"/>
  <c r="S92" i="297"/>
  <c r="T92" i="297"/>
  <c r="U92" i="297"/>
  <c r="V92" i="297"/>
  <c r="W92" i="297"/>
  <c r="Z92" i="297"/>
  <c r="AD92" i="297"/>
  <c r="AE92" i="297" s="1"/>
  <c r="AF92" i="297" s="1"/>
  <c r="AJ92" i="297"/>
  <c r="AK92" i="297"/>
  <c r="AL92" i="297"/>
  <c r="AM92" i="297"/>
  <c r="G93" i="297"/>
  <c r="H93" i="297"/>
  <c r="I93" i="297"/>
  <c r="J93" i="297"/>
  <c r="K93" i="297"/>
  <c r="L93" i="297"/>
  <c r="M93" i="297"/>
  <c r="N93" i="297"/>
  <c r="O93" i="297"/>
  <c r="P93" i="297"/>
  <c r="Q93" i="297"/>
  <c r="R93" i="297"/>
  <c r="S93" i="297"/>
  <c r="T93" i="297"/>
  <c r="U93" i="297"/>
  <c r="V93" i="297"/>
  <c r="W93" i="297"/>
  <c r="AD93" i="297"/>
  <c r="AE93" i="297"/>
  <c r="AF93" i="297" s="1"/>
  <c r="AJ93" i="297"/>
  <c r="AK93" i="297"/>
  <c r="AL93" i="297"/>
  <c r="AP93" i="297" s="1"/>
  <c r="AN93" i="297" s="1"/>
  <c r="AO93" i="297" s="1"/>
  <c r="AM93" i="297"/>
  <c r="AQ93" i="297"/>
  <c r="G94" i="297"/>
  <c r="H94" i="297"/>
  <c r="I94" i="297"/>
  <c r="Z94" i="297" s="1"/>
  <c r="J94" i="297"/>
  <c r="K94" i="297"/>
  <c r="L94" i="297"/>
  <c r="M94" i="297"/>
  <c r="N94" i="297"/>
  <c r="O94" i="297"/>
  <c r="P94" i="297"/>
  <c r="Q94" i="297"/>
  <c r="R94" i="297"/>
  <c r="S94" i="297"/>
  <c r="T94" i="297"/>
  <c r="U94" i="297"/>
  <c r="V94" i="297"/>
  <c r="W94" i="297"/>
  <c r="AD94" i="297"/>
  <c r="AE94" i="297" s="1"/>
  <c r="AF94" i="297"/>
  <c r="AJ94" i="297"/>
  <c r="AK94" i="297"/>
  <c r="AP94" i="297" s="1"/>
  <c r="AL94" i="297"/>
  <c r="AM94" i="297"/>
  <c r="G95" i="297"/>
  <c r="H95" i="297"/>
  <c r="I95" i="297"/>
  <c r="Z95" i="297" s="1"/>
  <c r="J95" i="297"/>
  <c r="K95" i="297"/>
  <c r="L95" i="297"/>
  <c r="M95" i="297"/>
  <c r="N95" i="297"/>
  <c r="O95" i="297"/>
  <c r="P95" i="297"/>
  <c r="Q95" i="297"/>
  <c r="R95" i="297"/>
  <c r="S95" i="297"/>
  <c r="T95" i="297"/>
  <c r="U95" i="297"/>
  <c r="V95" i="297"/>
  <c r="W95" i="297"/>
  <c r="AD95" i="297"/>
  <c r="AE95" i="297"/>
  <c r="AF95" i="297"/>
  <c r="AJ95" i="297"/>
  <c r="AK95" i="297"/>
  <c r="AL95" i="297"/>
  <c r="AM95" i="297"/>
  <c r="AP95" i="297" s="1"/>
  <c r="G96" i="297"/>
  <c r="H96" i="297"/>
  <c r="I96" i="297"/>
  <c r="J96" i="297"/>
  <c r="K96" i="297"/>
  <c r="L96" i="297"/>
  <c r="M96" i="297"/>
  <c r="N96" i="297"/>
  <c r="O96" i="297"/>
  <c r="P96" i="297"/>
  <c r="Q96" i="297"/>
  <c r="R96" i="297"/>
  <c r="S96" i="297"/>
  <c r="T96" i="297"/>
  <c r="U96" i="297"/>
  <c r="V96" i="297"/>
  <c r="W96" i="297"/>
  <c r="Z96" i="297"/>
  <c r="AD96" i="297"/>
  <c r="AE96" i="297"/>
  <c r="AF96" i="297"/>
  <c r="AJ96" i="297"/>
  <c r="AK96" i="297"/>
  <c r="AL96" i="297"/>
  <c r="AP96" i="297" s="1"/>
  <c r="AN96" i="297" s="1"/>
  <c r="AO96" i="297" s="1"/>
  <c r="AM96" i="297"/>
  <c r="G97" i="297"/>
  <c r="H97" i="297"/>
  <c r="I97" i="297"/>
  <c r="J97" i="297"/>
  <c r="K97" i="297"/>
  <c r="L97" i="297"/>
  <c r="M97" i="297"/>
  <c r="N97" i="297"/>
  <c r="O97" i="297"/>
  <c r="P97" i="297"/>
  <c r="Q97" i="297"/>
  <c r="R97" i="297"/>
  <c r="S97" i="297"/>
  <c r="T97" i="297"/>
  <c r="U97" i="297"/>
  <c r="V97" i="297"/>
  <c r="W97" i="297"/>
  <c r="AD97" i="297"/>
  <c r="AE97" i="297"/>
  <c r="AF97" i="297" s="1"/>
  <c r="AJ97" i="297"/>
  <c r="AK97" i="297"/>
  <c r="AP97" i="297" s="1"/>
  <c r="AL97" i="297"/>
  <c r="AM97" i="297"/>
  <c r="G98" i="297"/>
  <c r="H98" i="297"/>
  <c r="I98" i="297"/>
  <c r="J98" i="297"/>
  <c r="K98" i="297"/>
  <c r="L98" i="297"/>
  <c r="M98" i="297"/>
  <c r="N98" i="297"/>
  <c r="O98" i="297"/>
  <c r="P98" i="297"/>
  <c r="Q98" i="297"/>
  <c r="R98" i="297"/>
  <c r="S98" i="297"/>
  <c r="T98" i="297"/>
  <c r="U98" i="297"/>
  <c r="V98" i="297"/>
  <c r="W98" i="297"/>
  <c r="AD98" i="297"/>
  <c r="AE98" i="297" s="1"/>
  <c r="AF98" i="297" s="1"/>
  <c r="AJ98" i="297"/>
  <c r="AK98" i="297"/>
  <c r="AL98" i="297"/>
  <c r="AM98" i="297"/>
  <c r="AN98" i="297"/>
  <c r="AO98" i="297" s="1"/>
  <c r="AR98" i="297" s="1"/>
  <c r="AP98" i="297"/>
  <c r="AQ98" i="297" s="1"/>
  <c r="G99" i="297"/>
  <c r="H99" i="297"/>
  <c r="I99" i="297"/>
  <c r="J99" i="297"/>
  <c r="K99" i="297"/>
  <c r="L99" i="297"/>
  <c r="M99" i="297"/>
  <c r="N99" i="297"/>
  <c r="O99" i="297"/>
  <c r="P99" i="297"/>
  <c r="Q99" i="297"/>
  <c r="R99" i="297"/>
  <c r="S99" i="297"/>
  <c r="T99" i="297"/>
  <c r="U99" i="297"/>
  <c r="V99" i="297"/>
  <c r="W99" i="297"/>
  <c r="AD99" i="297"/>
  <c r="AE99" i="297"/>
  <c r="AF99" i="297"/>
  <c r="AJ99" i="297"/>
  <c r="AK99" i="297"/>
  <c r="AL99" i="297"/>
  <c r="AM99" i="297"/>
  <c r="G100" i="297"/>
  <c r="H100" i="297"/>
  <c r="I100" i="297"/>
  <c r="J100" i="297"/>
  <c r="K100" i="297"/>
  <c r="L100" i="297"/>
  <c r="M100" i="297"/>
  <c r="N100" i="297"/>
  <c r="O100" i="297"/>
  <c r="P100" i="297"/>
  <c r="Q100" i="297"/>
  <c r="R100" i="297"/>
  <c r="S100" i="297"/>
  <c r="T100" i="297"/>
  <c r="U100" i="297"/>
  <c r="V100" i="297"/>
  <c r="W100" i="297"/>
  <c r="AD100" i="297"/>
  <c r="AE100" i="297"/>
  <c r="AF100" i="297"/>
  <c r="AJ100" i="297"/>
  <c r="AK100" i="297"/>
  <c r="AL100" i="297"/>
  <c r="AM100" i="297"/>
  <c r="AP100" i="297"/>
  <c r="G101" i="297"/>
  <c r="H101" i="297"/>
  <c r="I101" i="297"/>
  <c r="J101" i="297"/>
  <c r="K101" i="297"/>
  <c r="L101" i="297"/>
  <c r="M101" i="297"/>
  <c r="N101" i="297"/>
  <c r="O101" i="297"/>
  <c r="P101" i="297"/>
  <c r="Q101" i="297"/>
  <c r="R101" i="297"/>
  <c r="S101" i="297"/>
  <c r="T101" i="297"/>
  <c r="U101" i="297"/>
  <c r="V101" i="297"/>
  <c r="W101" i="297"/>
  <c r="AD101" i="297"/>
  <c r="AE101" i="297"/>
  <c r="AF101" i="297" s="1"/>
  <c r="AJ101" i="297"/>
  <c r="AK101" i="297"/>
  <c r="AL101" i="297"/>
  <c r="AP101" i="297" s="1"/>
  <c r="AM101" i="297"/>
  <c r="G102" i="297"/>
  <c r="H102" i="297"/>
  <c r="I102" i="297"/>
  <c r="J102" i="297"/>
  <c r="K102" i="297"/>
  <c r="L102" i="297"/>
  <c r="M102" i="297"/>
  <c r="N102" i="297"/>
  <c r="O102" i="297"/>
  <c r="P102" i="297"/>
  <c r="Q102" i="297"/>
  <c r="R102" i="297"/>
  <c r="S102" i="297"/>
  <c r="T102" i="297"/>
  <c r="U102" i="297"/>
  <c r="V102" i="297"/>
  <c r="W102" i="297"/>
  <c r="Z102" i="297"/>
  <c r="AD102" i="297"/>
  <c r="AE102" i="297"/>
  <c r="AF102" i="297"/>
  <c r="AJ102" i="297"/>
  <c r="AK102" i="297"/>
  <c r="AL102" i="297"/>
  <c r="AP102" i="297" s="1"/>
  <c r="AN102" i="297" s="1"/>
  <c r="AO102" i="297" s="1"/>
  <c r="AM102" i="297"/>
  <c r="G103" i="297"/>
  <c r="H103" i="297"/>
  <c r="I103" i="297"/>
  <c r="Z103" i="297" s="1"/>
  <c r="J103" i="297"/>
  <c r="K103" i="297"/>
  <c r="L103" i="297"/>
  <c r="M103" i="297"/>
  <c r="N103" i="297"/>
  <c r="O103" i="297"/>
  <c r="P103" i="297"/>
  <c r="Q103" i="297"/>
  <c r="R103" i="297"/>
  <c r="S103" i="297"/>
  <c r="T103" i="297"/>
  <c r="U103" i="297"/>
  <c r="V103" i="297"/>
  <c r="W103" i="297"/>
  <c r="AD103" i="297"/>
  <c r="AE103" i="297"/>
  <c r="AF103" i="297"/>
  <c r="AJ103" i="297"/>
  <c r="AK103" i="297"/>
  <c r="AL103" i="297"/>
  <c r="AM103" i="297"/>
  <c r="AP103" i="297" s="1"/>
  <c r="G104" i="297"/>
  <c r="H104" i="297"/>
  <c r="I104" i="297"/>
  <c r="Z104" i="297" s="1"/>
  <c r="J104" i="297"/>
  <c r="K104" i="297"/>
  <c r="L104" i="297"/>
  <c r="M104" i="297"/>
  <c r="N104" i="297"/>
  <c r="O104" i="297"/>
  <c r="P104" i="297"/>
  <c r="Q104" i="297"/>
  <c r="R104" i="297"/>
  <c r="S104" i="297"/>
  <c r="T104" i="297"/>
  <c r="U104" i="297"/>
  <c r="V104" i="297"/>
  <c r="W104" i="297"/>
  <c r="AD104" i="297"/>
  <c r="AE104" i="297" s="1"/>
  <c r="AF104" i="297" s="1"/>
  <c r="AJ104" i="297"/>
  <c r="AK104" i="297"/>
  <c r="AL104" i="297"/>
  <c r="AM104" i="297"/>
  <c r="AN104" i="297"/>
  <c r="AO104" i="297" s="1"/>
  <c r="AR104" i="297" s="1"/>
  <c r="AP104" i="297"/>
  <c r="AQ104" i="297" s="1"/>
  <c r="G105" i="297"/>
  <c r="H105" i="297"/>
  <c r="I105" i="297"/>
  <c r="J105" i="297"/>
  <c r="K105" i="297"/>
  <c r="L105" i="297"/>
  <c r="M105" i="297"/>
  <c r="N105" i="297"/>
  <c r="O105" i="297"/>
  <c r="P105" i="297"/>
  <c r="Q105" i="297"/>
  <c r="R105" i="297"/>
  <c r="S105" i="297"/>
  <c r="T105" i="297"/>
  <c r="U105" i="297"/>
  <c r="V105" i="297"/>
  <c r="W105" i="297"/>
  <c r="AD105" i="297"/>
  <c r="AE105" i="297"/>
  <c r="AF105" i="297" s="1"/>
  <c r="AJ105" i="297"/>
  <c r="AK105" i="297"/>
  <c r="AP105" i="297" s="1"/>
  <c r="AL105" i="297"/>
  <c r="AM105" i="297"/>
  <c r="X107" i="297"/>
  <c r="Y107" i="297"/>
  <c r="AA107" i="297"/>
  <c r="AC107" i="297"/>
  <c r="AS107" i="297"/>
  <c r="AT107" i="297"/>
  <c r="AU107" i="297"/>
  <c r="H11" i="348"/>
  <c r="H24" i="270"/>
  <c r="G13" i="271"/>
  <c r="G14" i="271"/>
  <c r="G15" i="271"/>
  <c r="B16" i="269"/>
  <c r="C16" i="269"/>
  <c r="D16" i="269"/>
  <c r="E16" i="269"/>
  <c r="F16" i="269"/>
  <c r="I16" i="269"/>
  <c r="K16" i="269"/>
  <c r="L16" i="269"/>
  <c r="M16" i="269" s="1"/>
  <c r="N16" i="269"/>
  <c r="O16" i="269" s="1"/>
  <c r="P16" i="269"/>
  <c r="Q16" i="269" s="1"/>
  <c r="R16" i="269"/>
  <c r="S16" i="269"/>
  <c r="U16" i="269"/>
  <c r="V16" i="269" s="1"/>
  <c r="B17" i="269"/>
  <c r="C17" i="269"/>
  <c r="D17" i="269"/>
  <c r="E17" i="269"/>
  <c r="F17" i="269"/>
  <c r="I17" i="269"/>
  <c r="K17" i="269"/>
  <c r="L17" i="269"/>
  <c r="M17" i="269"/>
  <c r="N17" i="269"/>
  <c r="O17" i="269"/>
  <c r="P17" i="269"/>
  <c r="R17" i="269" s="1"/>
  <c r="S17" i="269" s="1"/>
  <c r="Q17" i="269"/>
  <c r="U17" i="269"/>
  <c r="V17" i="269"/>
  <c r="B18" i="269"/>
  <c r="C18" i="269"/>
  <c r="D18" i="269"/>
  <c r="E18" i="269"/>
  <c r="F18" i="269"/>
  <c r="I18" i="269"/>
  <c r="K18" i="269"/>
  <c r="N18" i="269"/>
  <c r="O18" i="269" s="1"/>
  <c r="P18" i="269"/>
  <c r="R18" i="269" s="1"/>
  <c r="S18" i="269" s="1"/>
  <c r="Q18" i="269"/>
  <c r="U18" i="269"/>
  <c r="V18" i="269"/>
  <c r="B19" i="269"/>
  <c r="C19" i="269"/>
  <c r="D19" i="269"/>
  <c r="E19" i="269"/>
  <c r="F19" i="269"/>
  <c r="I19" i="269"/>
  <c r="K19" i="269"/>
  <c r="N19" i="269"/>
  <c r="O19" i="269"/>
  <c r="P19" i="269"/>
  <c r="Q19" i="269"/>
  <c r="R19" i="269"/>
  <c r="S19" i="269"/>
  <c r="U19" i="269"/>
  <c r="V19" i="269"/>
  <c r="B20" i="269"/>
  <c r="C20" i="269"/>
  <c r="D20" i="269"/>
  <c r="E20" i="269"/>
  <c r="F20" i="269"/>
  <c r="I20" i="269"/>
  <c r="K20" i="269"/>
  <c r="L20" i="269"/>
  <c r="M20" i="269" s="1"/>
  <c r="N20" i="269"/>
  <c r="O20" i="269"/>
  <c r="P20" i="269"/>
  <c r="Q20" i="269" s="1"/>
  <c r="R20" i="269"/>
  <c r="S20" i="269"/>
  <c r="U20" i="269"/>
  <c r="B21" i="269"/>
  <c r="C21" i="269"/>
  <c r="D21" i="269"/>
  <c r="E21" i="269"/>
  <c r="F21" i="269"/>
  <c r="I21" i="269"/>
  <c r="K21" i="269"/>
  <c r="L21" i="269"/>
  <c r="M21" i="269"/>
  <c r="N21" i="269"/>
  <c r="O21" i="269"/>
  <c r="P21" i="269"/>
  <c r="R21" i="269" s="1"/>
  <c r="Q21" i="269"/>
  <c r="S21" i="269"/>
  <c r="U21" i="269"/>
  <c r="V21" i="269"/>
  <c r="B22" i="269"/>
  <c r="C22" i="269"/>
  <c r="D22" i="269"/>
  <c r="E22" i="269"/>
  <c r="F22" i="269"/>
  <c r="I22" i="269"/>
  <c r="K22" i="269"/>
  <c r="L22" i="269"/>
  <c r="M22" i="269"/>
  <c r="N22" i="269"/>
  <c r="O22" i="269" s="1"/>
  <c r="P22" i="269"/>
  <c r="Q22" i="269"/>
  <c r="R22" i="269"/>
  <c r="S22" i="269" s="1"/>
  <c r="U22" i="269"/>
  <c r="V22" i="269"/>
  <c r="B23" i="269"/>
  <c r="C23" i="269"/>
  <c r="D23" i="269"/>
  <c r="E23" i="269"/>
  <c r="F23" i="269"/>
  <c r="I23" i="269"/>
  <c r="K23" i="269"/>
  <c r="L23" i="269"/>
  <c r="M23" i="269"/>
  <c r="N23" i="269"/>
  <c r="O23" i="269"/>
  <c r="P23" i="269"/>
  <c r="Q23" i="269"/>
  <c r="R23" i="269"/>
  <c r="S23" i="269"/>
  <c r="U23" i="269"/>
  <c r="V23" i="269"/>
  <c r="B24" i="269"/>
  <c r="C24" i="269"/>
  <c r="D24" i="269"/>
  <c r="E24" i="269"/>
  <c r="F24" i="269"/>
  <c r="I24" i="269"/>
  <c r="K24" i="269"/>
  <c r="L24" i="269"/>
  <c r="M24" i="269" s="1"/>
  <c r="N24" i="269"/>
  <c r="O24" i="269"/>
  <c r="P24" i="269"/>
  <c r="Q24" i="269" s="1"/>
  <c r="R24" i="269"/>
  <c r="S24" i="269"/>
  <c r="U24" i="269"/>
  <c r="V24" i="269" s="1"/>
  <c r="B25" i="269"/>
  <c r="C25" i="269"/>
  <c r="D25" i="269"/>
  <c r="E25" i="269"/>
  <c r="F25" i="269"/>
  <c r="I25" i="269"/>
  <c r="K25" i="269"/>
  <c r="L25" i="269"/>
  <c r="M25" i="269"/>
  <c r="N25" i="269"/>
  <c r="O25" i="269"/>
  <c r="P25" i="269"/>
  <c r="R25" i="269" s="1"/>
  <c r="Q25" i="269"/>
  <c r="S25" i="269"/>
  <c r="U25" i="269"/>
  <c r="V25" i="269"/>
  <c r="B26" i="269"/>
  <c r="C26" i="269"/>
  <c r="D26" i="269"/>
  <c r="E26" i="269"/>
  <c r="F26" i="269"/>
  <c r="I26" i="269"/>
  <c r="K26" i="269"/>
  <c r="L26" i="269"/>
  <c r="M26" i="269"/>
  <c r="N26" i="269"/>
  <c r="O26" i="269" s="1"/>
  <c r="P26" i="269"/>
  <c r="Q26" i="269"/>
  <c r="R26" i="269"/>
  <c r="S26" i="269" s="1"/>
  <c r="U26" i="269"/>
  <c r="V26" i="269"/>
  <c r="E27" i="269"/>
  <c r="F27" i="269"/>
  <c r="I27" i="269"/>
  <c r="K27" i="269"/>
  <c r="L27" i="269"/>
  <c r="M27" i="269" s="1"/>
  <c r="N27" i="269"/>
  <c r="O27" i="269" s="1"/>
  <c r="P27" i="269"/>
  <c r="R27" i="269" s="1"/>
  <c r="Q27" i="269"/>
  <c r="U27" i="269"/>
  <c r="V27" i="269"/>
  <c r="B28" i="269"/>
  <c r="C28" i="269"/>
  <c r="D28" i="269"/>
  <c r="E28" i="269"/>
  <c r="F28" i="269"/>
  <c r="I28" i="269"/>
  <c r="K28" i="269"/>
  <c r="X28" i="269" s="1"/>
  <c r="AB28" i="269" s="1"/>
  <c r="L28" i="269"/>
  <c r="M28" i="269"/>
  <c r="N28" i="269"/>
  <c r="O28" i="269"/>
  <c r="P28" i="269"/>
  <c r="Q28" i="269"/>
  <c r="R28" i="269"/>
  <c r="S28" i="269"/>
  <c r="U28" i="269"/>
  <c r="V28" i="269"/>
  <c r="B29" i="269"/>
  <c r="C29" i="269"/>
  <c r="D29" i="269"/>
  <c r="E29" i="269"/>
  <c r="F29" i="269"/>
  <c r="I29" i="269"/>
  <c r="K29" i="269"/>
  <c r="L29" i="269"/>
  <c r="M29" i="269" s="1"/>
  <c r="N29" i="269"/>
  <c r="O29" i="269" s="1"/>
  <c r="P29" i="269"/>
  <c r="Q29" i="269" s="1"/>
  <c r="R29" i="269"/>
  <c r="S29" i="269"/>
  <c r="U29" i="269"/>
  <c r="V29" i="269" s="1"/>
  <c r="B30" i="269"/>
  <c r="C30" i="269"/>
  <c r="D30" i="269"/>
  <c r="E30" i="269"/>
  <c r="F30" i="269"/>
  <c r="I30" i="269"/>
  <c r="K30" i="269"/>
  <c r="L30" i="269"/>
  <c r="M30" i="269"/>
  <c r="N30" i="269"/>
  <c r="O30" i="269"/>
  <c r="P30" i="269"/>
  <c r="R30" i="269" s="1"/>
  <c r="S30" i="269" s="1"/>
  <c r="Q30" i="269"/>
  <c r="U30" i="269"/>
  <c r="V30" i="269"/>
  <c r="B31" i="269"/>
  <c r="C31" i="269"/>
  <c r="D31" i="269"/>
  <c r="E31" i="269"/>
  <c r="F31" i="269"/>
  <c r="I31" i="269"/>
  <c r="K31" i="269"/>
  <c r="L31" i="269"/>
  <c r="M31" i="269" s="1"/>
  <c r="N31" i="269"/>
  <c r="O31" i="269" s="1"/>
  <c r="P31" i="269"/>
  <c r="R31" i="269" s="1"/>
  <c r="S31" i="269" s="1"/>
  <c r="Q31" i="269"/>
  <c r="U31" i="269"/>
  <c r="V31" i="269"/>
  <c r="X31" i="269"/>
  <c r="B32" i="269"/>
  <c r="C32" i="269"/>
  <c r="D32" i="269"/>
  <c r="E32" i="269"/>
  <c r="F32" i="269"/>
  <c r="I32" i="269"/>
  <c r="K32" i="269"/>
  <c r="X32" i="269" s="1"/>
  <c r="AB32" i="269" s="1"/>
  <c r="L32" i="269"/>
  <c r="M32" i="269"/>
  <c r="N32" i="269"/>
  <c r="O32" i="269"/>
  <c r="P32" i="269"/>
  <c r="Q32" i="269"/>
  <c r="R32" i="269"/>
  <c r="S32" i="269"/>
  <c r="U32" i="269"/>
  <c r="V32" i="269"/>
  <c r="B33" i="269"/>
  <c r="C33" i="269"/>
  <c r="D33" i="269"/>
  <c r="E33" i="269"/>
  <c r="F33" i="269"/>
  <c r="I33" i="269"/>
  <c r="K33" i="269"/>
  <c r="L33" i="269"/>
  <c r="M33" i="269" s="1"/>
  <c r="N33" i="269"/>
  <c r="O33" i="269" s="1"/>
  <c r="P33" i="269"/>
  <c r="Q33" i="269" s="1"/>
  <c r="R33" i="269"/>
  <c r="S33" i="269"/>
  <c r="U33" i="269"/>
  <c r="V33" i="269" s="1"/>
  <c r="B34" i="269"/>
  <c r="C34" i="269"/>
  <c r="D34" i="269"/>
  <c r="E34" i="269"/>
  <c r="F34" i="269"/>
  <c r="I34" i="269"/>
  <c r="K34" i="269"/>
  <c r="L34" i="269"/>
  <c r="M34" i="269"/>
  <c r="N34" i="269"/>
  <c r="O34" i="269"/>
  <c r="P34" i="269"/>
  <c r="R34" i="269" s="1"/>
  <c r="S34" i="269" s="1"/>
  <c r="Q34" i="269"/>
  <c r="U34" i="269"/>
  <c r="V34" i="269"/>
  <c r="E35" i="269"/>
  <c r="F35" i="269"/>
  <c r="I35" i="269"/>
  <c r="K35" i="269"/>
  <c r="L35" i="269"/>
  <c r="M35" i="269"/>
  <c r="N35" i="269"/>
  <c r="O35" i="269"/>
  <c r="P35" i="269"/>
  <c r="R35" i="269" s="1"/>
  <c r="Q35" i="269"/>
  <c r="S35" i="269"/>
  <c r="U35" i="269"/>
  <c r="V35" i="269" s="1"/>
  <c r="B36" i="269"/>
  <c r="C36" i="269"/>
  <c r="D36" i="269"/>
  <c r="E36" i="269"/>
  <c r="F36" i="269"/>
  <c r="I36" i="269"/>
  <c r="K36" i="269"/>
  <c r="L36" i="269"/>
  <c r="M36" i="269"/>
  <c r="N36" i="269"/>
  <c r="O36" i="269" s="1"/>
  <c r="P36" i="269"/>
  <c r="Q36" i="269"/>
  <c r="R36" i="269"/>
  <c r="S36" i="269" s="1"/>
  <c r="U36" i="269"/>
  <c r="V36" i="269" s="1"/>
  <c r="B37" i="269"/>
  <c r="C37" i="269"/>
  <c r="D37" i="269"/>
  <c r="E37" i="269"/>
  <c r="F37" i="269"/>
  <c r="I37" i="269"/>
  <c r="K37" i="269"/>
  <c r="L37" i="269"/>
  <c r="M37" i="269"/>
  <c r="N37" i="269"/>
  <c r="O37" i="269" s="1"/>
  <c r="P37" i="269"/>
  <c r="Q37" i="269"/>
  <c r="R37" i="269"/>
  <c r="S37" i="269" s="1"/>
  <c r="U37" i="269"/>
  <c r="V37" i="269"/>
  <c r="X37" i="269"/>
  <c r="B38" i="269"/>
  <c r="C38" i="269"/>
  <c r="D38" i="269"/>
  <c r="E38" i="269"/>
  <c r="F38" i="269"/>
  <c r="I38" i="269"/>
  <c r="K38" i="269"/>
  <c r="L38" i="269"/>
  <c r="M38" i="269" s="1"/>
  <c r="N38" i="269"/>
  <c r="O38" i="269"/>
  <c r="P38" i="269"/>
  <c r="U38" i="269"/>
  <c r="V38" i="269" s="1"/>
  <c r="B39" i="269"/>
  <c r="C39" i="269"/>
  <c r="D39" i="269"/>
  <c r="D38" i="301" s="1"/>
  <c r="E39" i="269"/>
  <c r="F39" i="269"/>
  <c r="I39" i="269"/>
  <c r="K39" i="269"/>
  <c r="L39" i="269"/>
  <c r="M39" i="269"/>
  <c r="N39" i="269"/>
  <c r="O39" i="269"/>
  <c r="P39" i="269"/>
  <c r="R39" i="269" s="1"/>
  <c r="Q39" i="269"/>
  <c r="S39" i="269"/>
  <c r="U39" i="269"/>
  <c r="V39" i="269" s="1"/>
  <c r="B40" i="269"/>
  <c r="C40" i="269"/>
  <c r="D40" i="269"/>
  <c r="E40" i="269"/>
  <c r="F40" i="269"/>
  <c r="I40" i="269"/>
  <c r="K40" i="269"/>
  <c r="L40" i="269"/>
  <c r="M40" i="269"/>
  <c r="N40" i="269"/>
  <c r="O40" i="269" s="1"/>
  <c r="P40" i="269"/>
  <c r="Q40" i="269"/>
  <c r="R40" i="269"/>
  <c r="S40" i="269" s="1"/>
  <c r="U40" i="269"/>
  <c r="V40" i="269" s="1"/>
  <c r="B41" i="269"/>
  <c r="C41" i="269"/>
  <c r="D41" i="269"/>
  <c r="E41" i="269"/>
  <c r="F41" i="269"/>
  <c r="I41" i="269"/>
  <c r="K41" i="269"/>
  <c r="L41" i="269"/>
  <c r="M41" i="269"/>
  <c r="N41" i="269"/>
  <c r="O41" i="269" s="1"/>
  <c r="P41" i="269"/>
  <c r="Q41" i="269"/>
  <c r="R41" i="269"/>
  <c r="S41" i="269" s="1"/>
  <c r="U41" i="269"/>
  <c r="V41" i="269"/>
  <c r="B42" i="269"/>
  <c r="C42" i="269"/>
  <c r="D42" i="269"/>
  <c r="E42" i="269"/>
  <c r="F42" i="269"/>
  <c r="I42" i="269"/>
  <c r="K42" i="269"/>
  <c r="L42" i="269"/>
  <c r="M42" i="269" s="1"/>
  <c r="N42" i="269"/>
  <c r="O42" i="269"/>
  <c r="P42" i="269"/>
  <c r="U42" i="269"/>
  <c r="V42" i="269" s="1"/>
  <c r="B43" i="269"/>
  <c r="C43" i="269"/>
  <c r="D43" i="269"/>
  <c r="E43" i="269"/>
  <c r="F43" i="269"/>
  <c r="I43" i="269"/>
  <c r="K43" i="269"/>
  <c r="L43" i="269"/>
  <c r="M43" i="269"/>
  <c r="N43" i="269"/>
  <c r="O43" i="269"/>
  <c r="P43" i="269"/>
  <c r="R43" i="269" s="1"/>
  <c r="Q43" i="269"/>
  <c r="S43" i="269"/>
  <c r="U43" i="269"/>
  <c r="V43" i="269" s="1"/>
  <c r="E44" i="269"/>
  <c r="F44" i="269"/>
  <c r="I44" i="269"/>
  <c r="K44" i="269"/>
  <c r="L44" i="269"/>
  <c r="M44" i="269"/>
  <c r="N44" i="269"/>
  <c r="O44" i="269"/>
  <c r="P44" i="269"/>
  <c r="R44" i="269" s="1"/>
  <c r="S44" i="269" s="1"/>
  <c r="Q44" i="269"/>
  <c r="U44" i="269"/>
  <c r="V44" i="269"/>
  <c r="B45" i="269"/>
  <c r="C45" i="269"/>
  <c r="D45" i="269"/>
  <c r="E45" i="269"/>
  <c r="F45" i="269"/>
  <c r="I45" i="269"/>
  <c r="K45" i="269"/>
  <c r="L45" i="269"/>
  <c r="M45" i="269" s="1"/>
  <c r="X45" i="269" s="1"/>
  <c r="N45" i="269"/>
  <c r="O45" i="269" s="1"/>
  <c r="P45" i="269"/>
  <c r="R45" i="269" s="1"/>
  <c r="S45" i="269" s="1"/>
  <c r="Q45" i="269"/>
  <c r="U45" i="269"/>
  <c r="V45" i="269"/>
  <c r="B46" i="269"/>
  <c r="C46" i="269"/>
  <c r="D46" i="269"/>
  <c r="E46" i="269"/>
  <c r="F46" i="269"/>
  <c r="I46" i="269"/>
  <c r="K46" i="269"/>
  <c r="X46" i="269" s="1"/>
  <c r="L46" i="269"/>
  <c r="M46" i="269"/>
  <c r="N46" i="269"/>
  <c r="O46" i="269"/>
  <c r="P46" i="269"/>
  <c r="Q46" i="269"/>
  <c r="R46" i="269"/>
  <c r="S46" i="269"/>
  <c r="U46" i="269"/>
  <c r="V46" i="269"/>
  <c r="B47" i="269"/>
  <c r="C47" i="269"/>
  <c r="D47" i="269"/>
  <c r="E47" i="269"/>
  <c r="F47" i="269"/>
  <c r="I47" i="269"/>
  <c r="K47" i="269"/>
  <c r="L47" i="269"/>
  <c r="M47" i="269" s="1"/>
  <c r="N47" i="269"/>
  <c r="O47" i="269" s="1"/>
  <c r="P47" i="269"/>
  <c r="Q47" i="269" s="1"/>
  <c r="R47" i="269"/>
  <c r="S47" i="269"/>
  <c r="U47" i="269"/>
  <c r="V47" i="269" s="1"/>
  <c r="B48" i="269"/>
  <c r="B47" i="301" s="1"/>
  <c r="C48" i="269"/>
  <c r="D48" i="269"/>
  <c r="E48" i="269"/>
  <c r="F48" i="269"/>
  <c r="I48" i="269"/>
  <c r="K48" i="269"/>
  <c r="L48" i="269"/>
  <c r="M48" i="269"/>
  <c r="N48" i="269"/>
  <c r="O48" i="269"/>
  <c r="P48" i="269"/>
  <c r="R48" i="269" s="1"/>
  <c r="S48" i="269" s="1"/>
  <c r="Q48" i="269"/>
  <c r="U48" i="269"/>
  <c r="V48" i="269"/>
  <c r="B49" i="269"/>
  <c r="C49" i="269"/>
  <c r="D49" i="269"/>
  <c r="E49" i="269"/>
  <c r="F49" i="269"/>
  <c r="I49" i="269"/>
  <c r="K49" i="269"/>
  <c r="L49" i="269"/>
  <c r="M49" i="269" s="1"/>
  <c r="X49" i="269" s="1"/>
  <c r="N49" i="269"/>
  <c r="O49" i="269" s="1"/>
  <c r="P49" i="269"/>
  <c r="R49" i="269" s="1"/>
  <c r="S49" i="269" s="1"/>
  <c r="Q49" i="269"/>
  <c r="U49" i="269"/>
  <c r="V49" i="269"/>
  <c r="B50" i="269"/>
  <c r="C50" i="269"/>
  <c r="D50" i="269"/>
  <c r="E50" i="269"/>
  <c r="F50" i="269"/>
  <c r="I50" i="269"/>
  <c r="K50" i="269"/>
  <c r="X50" i="269" s="1"/>
  <c r="L50" i="269"/>
  <c r="M50" i="269"/>
  <c r="N50" i="269"/>
  <c r="O50" i="269"/>
  <c r="P50" i="269"/>
  <c r="Q50" i="269"/>
  <c r="R50" i="269"/>
  <c r="S50" i="269"/>
  <c r="U50" i="269"/>
  <c r="V50" i="269"/>
  <c r="E51" i="269"/>
  <c r="F51" i="269"/>
  <c r="I51" i="269"/>
  <c r="K51" i="269"/>
  <c r="X51" i="269" s="1"/>
  <c r="L51" i="269"/>
  <c r="M51" i="269"/>
  <c r="N51" i="269"/>
  <c r="O51" i="269"/>
  <c r="P51" i="269"/>
  <c r="Q51" i="269"/>
  <c r="R51" i="269"/>
  <c r="S51" i="269"/>
  <c r="U51" i="269"/>
  <c r="V51" i="269"/>
  <c r="B52" i="269"/>
  <c r="C52" i="269"/>
  <c r="D52" i="269"/>
  <c r="E52" i="269"/>
  <c r="F52" i="269"/>
  <c r="I52" i="269"/>
  <c r="K52" i="269"/>
  <c r="L52" i="269"/>
  <c r="M52" i="269" s="1"/>
  <c r="N52" i="269"/>
  <c r="O52" i="269" s="1"/>
  <c r="P52" i="269"/>
  <c r="Q52" i="269" s="1"/>
  <c r="R52" i="269"/>
  <c r="S52" i="269"/>
  <c r="U52" i="269"/>
  <c r="V52" i="269" s="1"/>
  <c r="B53" i="269"/>
  <c r="B52" i="301" s="1"/>
  <c r="C53" i="269"/>
  <c r="D53" i="269"/>
  <c r="E53" i="269"/>
  <c r="F53" i="269"/>
  <c r="I53" i="269"/>
  <c r="K53" i="269"/>
  <c r="L53" i="269"/>
  <c r="M53" i="269"/>
  <c r="N53" i="269"/>
  <c r="O53" i="269"/>
  <c r="P53" i="269"/>
  <c r="R53" i="269" s="1"/>
  <c r="S53" i="269" s="1"/>
  <c r="Q53" i="269"/>
  <c r="U53" i="269"/>
  <c r="V53" i="269"/>
  <c r="B54" i="269"/>
  <c r="C54" i="269"/>
  <c r="D54" i="269"/>
  <c r="E54" i="269"/>
  <c r="F54" i="269"/>
  <c r="I54" i="269"/>
  <c r="K54" i="269"/>
  <c r="L54" i="269"/>
  <c r="M54" i="269" s="1"/>
  <c r="N54" i="269"/>
  <c r="O54" i="269" s="1"/>
  <c r="P54" i="269"/>
  <c r="R54" i="269" s="1"/>
  <c r="S54" i="269" s="1"/>
  <c r="Q54" i="269"/>
  <c r="X54" i="269" s="1"/>
  <c r="U54" i="269"/>
  <c r="V54" i="269"/>
  <c r="B55" i="269"/>
  <c r="C55" i="269"/>
  <c r="D55" i="269"/>
  <c r="E55" i="269"/>
  <c r="F55" i="269"/>
  <c r="I55" i="269"/>
  <c r="K55" i="269"/>
  <c r="L55" i="269"/>
  <c r="M55" i="269" s="1"/>
  <c r="N55" i="269"/>
  <c r="O55" i="269"/>
  <c r="P55" i="269"/>
  <c r="U55" i="269"/>
  <c r="V55" i="269" s="1"/>
  <c r="B56" i="269"/>
  <c r="C56" i="269"/>
  <c r="D56" i="269"/>
  <c r="E56" i="269"/>
  <c r="F56" i="269"/>
  <c r="I56" i="269"/>
  <c r="K56" i="269"/>
  <c r="L56" i="269"/>
  <c r="M56" i="269"/>
  <c r="N56" i="269"/>
  <c r="O56" i="269"/>
  <c r="P56" i="269"/>
  <c r="R56" i="269" s="1"/>
  <c r="S56" i="269" s="1"/>
  <c r="Q56" i="269"/>
  <c r="U56" i="269"/>
  <c r="V56" i="269"/>
  <c r="B57" i="269"/>
  <c r="C57" i="269"/>
  <c r="D57" i="269"/>
  <c r="E57" i="269"/>
  <c r="F57" i="269"/>
  <c r="I57" i="269"/>
  <c r="K57" i="269"/>
  <c r="L57" i="269"/>
  <c r="M57" i="269"/>
  <c r="N57" i="269"/>
  <c r="O57" i="269" s="1"/>
  <c r="P57" i="269"/>
  <c r="Q57" i="269"/>
  <c r="R57" i="269"/>
  <c r="S57" i="269" s="1"/>
  <c r="U57" i="269"/>
  <c r="V57" i="269"/>
  <c r="B58" i="269"/>
  <c r="C58" i="269"/>
  <c r="D58" i="269"/>
  <c r="E58" i="269"/>
  <c r="F58" i="269"/>
  <c r="I58" i="269"/>
  <c r="K58" i="269"/>
  <c r="L58" i="269"/>
  <c r="M58" i="269"/>
  <c r="N58" i="269"/>
  <c r="O58" i="269"/>
  <c r="P58" i="269"/>
  <c r="Q58" i="269"/>
  <c r="R58" i="269"/>
  <c r="S58" i="269"/>
  <c r="U58" i="269"/>
  <c r="V58" i="269"/>
  <c r="E59" i="269"/>
  <c r="F59" i="269"/>
  <c r="I59" i="269"/>
  <c r="K59" i="269"/>
  <c r="L59" i="269"/>
  <c r="M59" i="269"/>
  <c r="N59" i="269"/>
  <c r="O59" i="269"/>
  <c r="P59" i="269"/>
  <c r="Q59" i="269"/>
  <c r="R59" i="269"/>
  <c r="S59" i="269"/>
  <c r="U59" i="269"/>
  <c r="V59" i="269"/>
  <c r="E60" i="269"/>
  <c r="F60" i="269"/>
  <c r="I60" i="269"/>
  <c r="K60" i="269"/>
  <c r="L60" i="269"/>
  <c r="M60" i="269"/>
  <c r="N60" i="269"/>
  <c r="O60" i="269"/>
  <c r="P60" i="269"/>
  <c r="Q60" i="269"/>
  <c r="R60" i="269"/>
  <c r="S60" i="269"/>
  <c r="U60" i="269"/>
  <c r="V60" i="269"/>
  <c r="E61" i="269"/>
  <c r="F61" i="269"/>
  <c r="I61" i="269"/>
  <c r="K61" i="269"/>
  <c r="L61" i="269"/>
  <c r="M61" i="269"/>
  <c r="N61" i="269"/>
  <c r="O61" i="269"/>
  <c r="P61" i="269"/>
  <c r="Q61" i="269"/>
  <c r="R61" i="269"/>
  <c r="S61" i="269"/>
  <c r="U61" i="269"/>
  <c r="V61" i="269"/>
  <c r="E62" i="269"/>
  <c r="F62" i="269"/>
  <c r="I62" i="269"/>
  <c r="K62" i="269"/>
  <c r="L62" i="269"/>
  <c r="M62" i="269"/>
  <c r="N62" i="269"/>
  <c r="O62" i="269"/>
  <c r="P62" i="269"/>
  <c r="Q62" i="269"/>
  <c r="R62" i="269"/>
  <c r="S62" i="269"/>
  <c r="U62" i="269"/>
  <c r="V62" i="269"/>
  <c r="E63" i="269"/>
  <c r="F63" i="269"/>
  <c r="H63" i="269"/>
  <c r="I63" i="269"/>
  <c r="K63" i="269"/>
  <c r="M63" i="269"/>
  <c r="N63" i="269"/>
  <c r="O63" i="269"/>
  <c r="P63" i="269"/>
  <c r="Q63" i="269"/>
  <c r="R63" i="269"/>
  <c r="S63" i="269"/>
  <c r="U63" i="269"/>
  <c r="V63" i="269"/>
  <c r="E64" i="269"/>
  <c r="F64" i="269"/>
  <c r="H64" i="269"/>
  <c r="I64" i="269"/>
  <c r="K64" i="269"/>
  <c r="M64" i="269"/>
  <c r="N64" i="269"/>
  <c r="O64" i="269"/>
  <c r="P64" i="269"/>
  <c r="Q64" i="269"/>
  <c r="R64" i="269"/>
  <c r="S64" i="269"/>
  <c r="U64" i="269"/>
  <c r="V64" i="269"/>
  <c r="E65" i="269"/>
  <c r="F65" i="269"/>
  <c r="H65" i="269"/>
  <c r="I65" i="269"/>
  <c r="K65" i="269"/>
  <c r="M65" i="269"/>
  <c r="N65" i="269"/>
  <c r="O65" i="269"/>
  <c r="P65" i="269"/>
  <c r="Q65" i="269"/>
  <c r="R65" i="269"/>
  <c r="S65" i="269"/>
  <c r="U65" i="269"/>
  <c r="V65" i="269"/>
  <c r="E66" i="269"/>
  <c r="F66" i="269"/>
  <c r="H66" i="269"/>
  <c r="I66" i="269"/>
  <c r="K66" i="269"/>
  <c r="M66" i="269"/>
  <c r="N66" i="269"/>
  <c r="O66" i="269"/>
  <c r="P66" i="269"/>
  <c r="Q66" i="269"/>
  <c r="R66" i="269"/>
  <c r="S66" i="269"/>
  <c r="U66" i="269"/>
  <c r="V66" i="269"/>
  <c r="E67" i="269"/>
  <c r="F67" i="269"/>
  <c r="H67" i="269"/>
  <c r="I67" i="269"/>
  <c r="K67" i="269"/>
  <c r="M67" i="269"/>
  <c r="N67" i="269"/>
  <c r="O67" i="269"/>
  <c r="P67" i="269"/>
  <c r="Q67" i="269"/>
  <c r="R67" i="269"/>
  <c r="S67" i="269"/>
  <c r="U67" i="269"/>
  <c r="V67" i="269"/>
  <c r="E68" i="269"/>
  <c r="F68" i="269"/>
  <c r="H68" i="269"/>
  <c r="I68" i="269"/>
  <c r="K68" i="269"/>
  <c r="M68" i="269"/>
  <c r="N68" i="269"/>
  <c r="O68" i="269"/>
  <c r="P68" i="269"/>
  <c r="Q68" i="269"/>
  <c r="R68" i="269"/>
  <c r="S68" i="269"/>
  <c r="U68" i="269"/>
  <c r="V68" i="269"/>
  <c r="E69" i="269"/>
  <c r="F69" i="269"/>
  <c r="H69" i="269"/>
  <c r="I69" i="269"/>
  <c r="K69" i="269"/>
  <c r="M69" i="269"/>
  <c r="N69" i="269"/>
  <c r="O69" i="269"/>
  <c r="P69" i="269"/>
  <c r="Q69" i="269"/>
  <c r="R69" i="269"/>
  <c r="S69" i="269"/>
  <c r="U69" i="269"/>
  <c r="V69" i="269"/>
  <c r="E70" i="269"/>
  <c r="F70" i="269"/>
  <c r="H70" i="269"/>
  <c r="I70" i="269"/>
  <c r="K70" i="269"/>
  <c r="M70" i="269"/>
  <c r="N70" i="269"/>
  <c r="O70" i="269"/>
  <c r="P70" i="269"/>
  <c r="Q70" i="269"/>
  <c r="R70" i="269"/>
  <c r="S70" i="269"/>
  <c r="U70" i="269"/>
  <c r="V70" i="269"/>
  <c r="E71" i="269"/>
  <c r="F71" i="269"/>
  <c r="H71" i="269"/>
  <c r="I71" i="269"/>
  <c r="K71" i="269"/>
  <c r="M71" i="269"/>
  <c r="N71" i="269"/>
  <c r="O71" i="269"/>
  <c r="P71" i="269"/>
  <c r="Q71" i="269"/>
  <c r="R71" i="269"/>
  <c r="S71" i="269"/>
  <c r="U71" i="269"/>
  <c r="V71" i="269"/>
  <c r="E72" i="269"/>
  <c r="F72" i="269"/>
  <c r="H72" i="269"/>
  <c r="I72" i="269"/>
  <c r="K72" i="269"/>
  <c r="M72" i="269"/>
  <c r="N72" i="269"/>
  <c r="O72" i="269"/>
  <c r="P72" i="269"/>
  <c r="Q72" i="269"/>
  <c r="R72" i="269"/>
  <c r="S72" i="269"/>
  <c r="U72" i="269"/>
  <c r="V72" i="269"/>
  <c r="E73" i="269"/>
  <c r="F73" i="269"/>
  <c r="H73" i="269"/>
  <c r="I73" i="269"/>
  <c r="K73" i="269"/>
  <c r="M73" i="269"/>
  <c r="N73" i="269"/>
  <c r="O73" i="269"/>
  <c r="P73" i="269"/>
  <c r="Q73" i="269"/>
  <c r="R73" i="269"/>
  <c r="S73" i="269"/>
  <c r="U73" i="269"/>
  <c r="V73" i="269"/>
  <c r="E74" i="269"/>
  <c r="F74" i="269"/>
  <c r="H74" i="269"/>
  <c r="I74" i="269"/>
  <c r="K74" i="269"/>
  <c r="M74" i="269"/>
  <c r="N74" i="269"/>
  <c r="O74" i="269"/>
  <c r="P74" i="269"/>
  <c r="Q74" i="269"/>
  <c r="R74" i="269"/>
  <c r="S74" i="269"/>
  <c r="U74" i="269"/>
  <c r="V74" i="269"/>
  <c r="E75" i="269"/>
  <c r="F75" i="269"/>
  <c r="H75" i="269"/>
  <c r="I75" i="269"/>
  <c r="K75" i="269"/>
  <c r="M75" i="269"/>
  <c r="N75" i="269"/>
  <c r="O75" i="269"/>
  <c r="P75" i="269"/>
  <c r="Q75" i="269"/>
  <c r="R75" i="269"/>
  <c r="S75" i="269"/>
  <c r="U75" i="269"/>
  <c r="V75" i="269"/>
  <c r="E76" i="269"/>
  <c r="F76" i="269"/>
  <c r="H76" i="269"/>
  <c r="I76" i="269"/>
  <c r="K76" i="269"/>
  <c r="M76" i="269"/>
  <c r="N76" i="269"/>
  <c r="O76" i="269"/>
  <c r="P76" i="269"/>
  <c r="Q76" i="269"/>
  <c r="R76" i="269"/>
  <c r="S76" i="269"/>
  <c r="U76" i="269"/>
  <c r="V76" i="269"/>
  <c r="E77" i="269"/>
  <c r="F77" i="269"/>
  <c r="H77" i="269"/>
  <c r="I77" i="269"/>
  <c r="K77" i="269"/>
  <c r="M77" i="269"/>
  <c r="N77" i="269"/>
  <c r="O77" i="269"/>
  <c r="P77" i="269"/>
  <c r="Q77" i="269"/>
  <c r="R77" i="269"/>
  <c r="S77" i="269"/>
  <c r="U77" i="269"/>
  <c r="V77" i="269"/>
  <c r="E78" i="269"/>
  <c r="F78" i="269"/>
  <c r="H78" i="269"/>
  <c r="I78" i="269"/>
  <c r="K78" i="269"/>
  <c r="M78" i="269"/>
  <c r="N78" i="269"/>
  <c r="O78" i="269"/>
  <c r="P78" i="269"/>
  <c r="Q78" i="269"/>
  <c r="R78" i="269"/>
  <c r="S78" i="269"/>
  <c r="U78" i="269"/>
  <c r="V78" i="269"/>
  <c r="E79" i="269"/>
  <c r="F79" i="269"/>
  <c r="H79" i="269"/>
  <c r="I79" i="269"/>
  <c r="K79" i="269"/>
  <c r="M79" i="269"/>
  <c r="N79" i="269"/>
  <c r="O79" i="269"/>
  <c r="P79" i="269"/>
  <c r="Q79" i="269"/>
  <c r="R79" i="269"/>
  <c r="S79" i="269"/>
  <c r="U79" i="269"/>
  <c r="V79" i="269"/>
  <c r="E80" i="269"/>
  <c r="F80" i="269"/>
  <c r="H80" i="269"/>
  <c r="I80" i="269"/>
  <c r="K80" i="269"/>
  <c r="M80" i="269"/>
  <c r="N80" i="269"/>
  <c r="O80" i="269"/>
  <c r="P80" i="269"/>
  <c r="Q80" i="269"/>
  <c r="R80" i="269"/>
  <c r="S80" i="269"/>
  <c r="U80" i="269"/>
  <c r="V80" i="269"/>
  <c r="E81" i="269"/>
  <c r="F81" i="269"/>
  <c r="H81" i="269"/>
  <c r="I81" i="269"/>
  <c r="K81" i="269"/>
  <c r="M81" i="269"/>
  <c r="N81" i="269"/>
  <c r="O81" i="269"/>
  <c r="P81" i="269"/>
  <c r="Q81" i="269"/>
  <c r="R81" i="269"/>
  <c r="S81" i="269"/>
  <c r="U81" i="269"/>
  <c r="V81" i="269"/>
  <c r="E82" i="269"/>
  <c r="F82" i="269"/>
  <c r="H82" i="269"/>
  <c r="I82" i="269"/>
  <c r="K82" i="269"/>
  <c r="M82" i="269"/>
  <c r="N82" i="269"/>
  <c r="O82" i="269"/>
  <c r="P82" i="269"/>
  <c r="Q82" i="269"/>
  <c r="R82" i="269"/>
  <c r="S82" i="269"/>
  <c r="U82" i="269"/>
  <c r="V82" i="269"/>
  <c r="E83" i="269"/>
  <c r="F83" i="269"/>
  <c r="H83" i="269"/>
  <c r="I83" i="269"/>
  <c r="K83" i="269"/>
  <c r="M83" i="269"/>
  <c r="N83" i="269"/>
  <c r="O83" i="269"/>
  <c r="P83" i="269"/>
  <c r="Q83" i="269"/>
  <c r="R83" i="269"/>
  <c r="S83" i="269"/>
  <c r="U83" i="269"/>
  <c r="V83" i="269"/>
  <c r="E84" i="269"/>
  <c r="F84" i="269"/>
  <c r="H84" i="269"/>
  <c r="I84" i="269"/>
  <c r="K84" i="269"/>
  <c r="M84" i="269"/>
  <c r="N84" i="269"/>
  <c r="O84" i="269"/>
  <c r="P84" i="269"/>
  <c r="Q84" i="269"/>
  <c r="R84" i="269"/>
  <c r="S84" i="269"/>
  <c r="U84" i="269"/>
  <c r="V84" i="269"/>
  <c r="E85" i="269"/>
  <c r="F85" i="269"/>
  <c r="H85" i="269"/>
  <c r="I85" i="269"/>
  <c r="K85" i="269"/>
  <c r="M85" i="269"/>
  <c r="N85" i="269"/>
  <c r="O85" i="269"/>
  <c r="P85" i="269"/>
  <c r="Q85" i="269"/>
  <c r="R85" i="269"/>
  <c r="S85" i="269"/>
  <c r="U85" i="269"/>
  <c r="V85" i="269"/>
  <c r="E86" i="269"/>
  <c r="F86" i="269"/>
  <c r="H86" i="269"/>
  <c r="I86" i="269"/>
  <c r="K86" i="269"/>
  <c r="M86" i="269"/>
  <c r="N86" i="269"/>
  <c r="O86" i="269"/>
  <c r="P86" i="269"/>
  <c r="Q86" i="269"/>
  <c r="R86" i="269"/>
  <c r="S86" i="269"/>
  <c r="U86" i="269"/>
  <c r="V86" i="269"/>
  <c r="E87" i="269"/>
  <c r="F87" i="269"/>
  <c r="H87" i="269"/>
  <c r="I87" i="269"/>
  <c r="K87" i="269"/>
  <c r="M87" i="269"/>
  <c r="N87" i="269"/>
  <c r="O87" i="269"/>
  <c r="P87" i="269"/>
  <c r="Q87" i="269"/>
  <c r="R87" i="269"/>
  <c r="S87" i="269"/>
  <c r="U87" i="269"/>
  <c r="V87" i="269"/>
  <c r="E88" i="269"/>
  <c r="F88" i="269"/>
  <c r="H88" i="269"/>
  <c r="I88" i="269"/>
  <c r="K88" i="269"/>
  <c r="M88" i="269"/>
  <c r="N88" i="269"/>
  <c r="O88" i="269"/>
  <c r="P88" i="269"/>
  <c r="Q88" i="269"/>
  <c r="R88" i="269"/>
  <c r="S88" i="269"/>
  <c r="U88" i="269"/>
  <c r="V88" i="269"/>
  <c r="E89" i="269"/>
  <c r="F89" i="269"/>
  <c r="H89" i="269"/>
  <c r="I89" i="269"/>
  <c r="K89" i="269"/>
  <c r="M89" i="269"/>
  <c r="N89" i="269"/>
  <c r="O89" i="269"/>
  <c r="P89" i="269"/>
  <c r="Q89" i="269"/>
  <c r="R89" i="269"/>
  <c r="S89" i="269"/>
  <c r="U89" i="269"/>
  <c r="V89" i="269"/>
  <c r="E90" i="269"/>
  <c r="F90" i="269"/>
  <c r="H90" i="269"/>
  <c r="I90" i="269"/>
  <c r="K90" i="269"/>
  <c r="M90" i="269"/>
  <c r="N90" i="269"/>
  <c r="O90" i="269"/>
  <c r="P90" i="269"/>
  <c r="Q90" i="269"/>
  <c r="R90" i="269"/>
  <c r="S90" i="269"/>
  <c r="U90" i="269"/>
  <c r="V90" i="269"/>
  <c r="E91" i="269"/>
  <c r="F91" i="269"/>
  <c r="H91" i="269"/>
  <c r="I91" i="269"/>
  <c r="K91" i="269"/>
  <c r="M91" i="269"/>
  <c r="N91" i="269"/>
  <c r="O91" i="269"/>
  <c r="P91" i="269"/>
  <c r="Q91" i="269"/>
  <c r="R91" i="269"/>
  <c r="S91" i="269"/>
  <c r="U91" i="269"/>
  <c r="V91" i="269"/>
  <c r="E92" i="269"/>
  <c r="F92" i="269"/>
  <c r="H92" i="269"/>
  <c r="I92" i="269"/>
  <c r="K92" i="269"/>
  <c r="M92" i="269"/>
  <c r="N92" i="269"/>
  <c r="O92" i="269"/>
  <c r="P92" i="269"/>
  <c r="Q92" i="269"/>
  <c r="R92" i="269"/>
  <c r="S92" i="269"/>
  <c r="U92" i="269"/>
  <c r="V92" i="269"/>
  <c r="E93" i="269"/>
  <c r="F93" i="269"/>
  <c r="H93" i="269"/>
  <c r="I93" i="269"/>
  <c r="K93" i="269"/>
  <c r="M93" i="269"/>
  <c r="N93" i="269"/>
  <c r="O93" i="269"/>
  <c r="P93" i="269"/>
  <c r="Q93" i="269"/>
  <c r="R93" i="269"/>
  <c r="S93" i="269"/>
  <c r="U93" i="269"/>
  <c r="V93" i="269"/>
  <c r="E94" i="269"/>
  <c r="F94" i="269"/>
  <c r="H94" i="269"/>
  <c r="I94" i="269"/>
  <c r="K94" i="269"/>
  <c r="M94" i="269"/>
  <c r="N94" i="269"/>
  <c r="O94" i="269"/>
  <c r="P94" i="269"/>
  <c r="Q94" i="269"/>
  <c r="R94" i="269"/>
  <c r="S94" i="269"/>
  <c r="U94" i="269"/>
  <c r="V94" i="269"/>
  <c r="E95" i="269"/>
  <c r="F95" i="269"/>
  <c r="H95" i="269"/>
  <c r="I95" i="269"/>
  <c r="K95" i="269"/>
  <c r="M95" i="269"/>
  <c r="N95" i="269"/>
  <c r="O95" i="269"/>
  <c r="P95" i="269"/>
  <c r="Q95" i="269"/>
  <c r="R95" i="269"/>
  <c r="S95" i="269"/>
  <c r="U95" i="269"/>
  <c r="V95" i="269"/>
  <c r="E96" i="269"/>
  <c r="F96" i="269"/>
  <c r="H96" i="269"/>
  <c r="I96" i="269"/>
  <c r="K96" i="269"/>
  <c r="M96" i="269"/>
  <c r="N96" i="269"/>
  <c r="O96" i="269"/>
  <c r="P96" i="269"/>
  <c r="Q96" i="269"/>
  <c r="R96" i="269"/>
  <c r="S96" i="269"/>
  <c r="U96" i="269"/>
  <c r="V96" i="269"/>
  <c r="E97" i="269"/>
  <c r="F97" i="269"/>
  <c r="H97" i="269"/>
  <c r="I97" i="269"/>
  <c r="K97" i="269"/>
  <c r="M97" i="269"/>
  <c r="N97" i="269"/>
  <c r="O97" i="269"/>
  <c r="P97" i="269"/>
  <c r="Q97" i="269"/>
  <c r="R97" i="269"/>
  <c r="S97" i="269"/>
  <c r="U97" i="269"/>
  <c r="V97" i="269"/>
  <c r="E98" i="269"/>
  <c r="F98" i="269"/>
  <c r="H98" i="269"/>
  <c r="I98" i="269"/>
  <c r="K98" i="269"/>
  <c r="M98" i="269"/>
  <c r="N98" i="269"/>
  <c r="O98" i="269"/>
  <c r="P98" i="269"/>
  <c r="Q98" i="269"/>
  <c r="R98" i="269"/>
  <c r="S98" i="269"/>
  <c r="U98" i="269"/>
  <c r="V98" i="269"/>
  <c r="E99" i="269"/>
  <c r="F99" i="269"/>
  <c r="H99" i="269"/>
  <c r="I99" i="269"/>
  <c r="K99" i="269"/>
  <c r="M99" i="269"/>
  <c r="N99" i="269"/>
  <c r="O99" i="269"/>
  <c r="P99" i="269"/>
  <c r="Q99" i="269"/>
  <c r="R99" i="269"/>
  <c r="S99" i="269"/>
  <c r="U99" i="269"/>
  <c r="V99" i="269"/>
  <c r="E100" i="269"/>
  <c r="F100" i="269"/>
  <c r="H100" i="269"/>
  <c r="I100" i="269"/>
  <c r="K100" i="269"/>
  <c r="M100" i="269"/>
  <c r="N100" i="269"/>
  <c r="O100" i="269"/>
  <c r="P100" i="269"/>
  <c r="Q100" i="269"/>
  <c r="R100" i="269"/>
  <c r="S100" i="269"/>
  <c r="U100" i="269"/>
  <c r="V100" i="269"/>
  <c r="E101" i="269"/>
  <c r="F101" i="269"/>
  <c r="H101" i="269"/>
  <c r="I101" i="269"/>
  <c r="K101" i="269"/>
  <c r="M101" i="269"/>
  <c r="N101" i="269"/>
  <c r="O101" i="269"/>
  <c r="P101" i="269"/>
  <c r="Q101" i="269"/>
  <c r="R101" i="269"/>
  <c r="S101" i="269"/>
  <c r="U101" i="269"/>
  <c r="V101" i="269"/>
  <c r="E102" i="269"/>
  <c r="F102" i="269"/>
  <c r="H102" i="269"/>
  <c r="I102" i="269"/>
  <c r="K102" i="269"/>
  <c r="M102" i="269"/>
  <c r="N102" i="269"/>
  <c r="O102" i="269"/>
  <c r="P102" i="269"/>
  <c r="Q102" i="269"/>
  <c r="R102" i="269"/>
  <c r="S102" i="269"/>
  <c r="U102" i="269"/>
  <c r="V102" i="269"/>
  <c r="E103" i="269"/>
  <c r="F103" i="269"/>
  <c r="H103" i="269"/>
  <c r="I103" i="269"/>
  <c r="K103" i="269"/>
  <c r="M103" i="269"/>
  <c r="N103" i="269"/>
  <c r="O103" i="269"/>
  <c r="P103" i="269"/>
  <c r="Q103" i="269"/>
  <c r="R103" i="269"/>
  <c r="S103" i="269"/>
  <c r="U103" i="269"/>
  <c r="V103" i="269"/>
  <c r="E104" i="269"/>
  <c r="F104" i="269"/>
  <c r="H104" i="269"/>
  <c r="I104" i="269"/>
  <c r="K104" i="269"/>
  <c r="M104" i="269"/>
  <c r="N104" i="269"/>
  <c r="O104" i="269"/>
  <c r="P104" i="269"/>
  <c r="Q104" i="269"/>
  <c r="R104" i="269"/>
  <c r="S104" i="269"/>
  <c r="U104" i="269"/>
  <c r="V104" i="269"/>
  <c r="E105" i="269"/>
  <c r="F105" i="269"/>
  <c r="H105" i="269"/>
  <c r="I105" i="269"/>
  <c r="K105" i="269"/>
  <c r="M105" i="269"/>
  <c r="N105" i="269"/>
  <c r="O105" i="269"/>
  <c r="P105" i="269"/>
  <c r="Q105" i="269"/>
  <c r="R105" i="269"/>
  <c r="S105" i="269"/>
  <c r="U105" i="269"/>
  <c r="V105" i="269"/>
  <c r="E106" i="269"/>
  <c r="F106" i="269"/>
  <c r="H106" i="269"/>
  <c r="I106" i="269"/>
  <c r="K106" i="269"/>
  <c r="M106" i="269"/>
  <c r="N106" i="269"/>
  <c r="O106" i="269"/>
  <c r="P106" i="269"/>
  <c r="Q106" i="269"/>
  <c r="R106" i="269"/>
  <c r="S106" i="269"/>
  <c r="U106" i="269"/>
  <c r="V106" i="269"/>
  <c r="E107" i="269"/>
  <c r="F107" i="269"/>
  <c r="H107" i="269"/>
  <c r="I107" i="269"/>
  <c r="K107" i="269"/>
  <c r="M107" i="269"/>
  <c r="N107" i="269"/>
  <c r="O107" i="269"/>
  <c r="P107" i="269"/>
  <c r="Q107" i="269"/>
  <c r="R107" i="269"/>
  <c r="S107" i="269"/>
  <c r="U107" i="269"/>
  <c r="V107" i="269"/>
  <c r="E108" i="269"/>
  <c r="F108" i="269"/>
  <c r="H108" i="269"/>
  <c r="I108" i="269"/>
  <c r="K108" i="269"/>
  <c r="M108" i="269"/>
  <c r="N108" i="269"/>
  <c r="O108" i="269"/>
  <c r="P108" i="269"/>
  <c r="Q108" i="269"/>
  <c r="R108" i="269"/>
  <c r="S108" i="269"/>
  <c r="U108" i="269"/>
  <c r="V108" i="269"/>
  <c r="E109" i="269"/>
  <c r="F109" i="269"/>
  <c r="H109" i="269"/>
  <c r="I109" i="269"/>
  <c r="K109" i="269"/>
  <c r="M109" i="269"/>
  <c r="N109" i="269"/>
  <c r="O109" i="269"/>
  <c r="P109" i="269"/>
  <c r="Q109" i="269"/>
  <c r="R109" i="269"/>
  <c r="S109" i="269"/>
  <c r="U109" i="269"/>
  <c r="V109" i="269"/>
  <c r="E110" i="269"/>
  <c r="F110" i="269"/>
  <c r="H110" i="269"/>
  <c r="I110" i="269"/>
  <c r="K110" i="269"/>
  <c r="M110" i="269"/>
  <c r="N110" i="269"/>
  <c r="O110" i="269"/>
  <c r="P110" i="269"/>
  <c r="Q110" i="269"/>
  <c r="R110" i="269"/>
  <c r="S110" i="269"/>
  <c r="U110" i="269"/>
  <c r="V110" i="269"/>
  <c r="E111" i="269"/>
  <c r="F111" i="269"/>
  <c r="H111" i="269"/>
  <c r="I111" i="269"/>
  <c r="K111" i="269"/>
  <c r="M111" i="269"/>
  <c r="N111" i="269"/>
  <c r="O111" i="269"/>
  <c r="P111" i="269"/>
  <c r="Q111" i="269"/>
  <c r="R111" i="269"/>
  <c r="S111" i="269"/>
  <c r="U111" i="269"/>
  <c r="V111" i="269"/>
  <c r="E112" i="269"/>
  <c r="F112" i="269"/>
  <c r="H112" i="269"/>
  <c r="I112" i="269"/>
  <c r="K112" i="269"/>
  <c r="M112" i="269"/>
  <c r="N112" i="269"/>
  <c r="O112" i="269"/>
  <c r="P112" i="269"/>
  <c r="Q112" i="269"/>
  <c r="R112" i="269"/>
  <c r="S112" i="269"/>
  <c r="U112" i="269"/>
  <c r="V112" i="269"/>
  <c r="E113" i="269"/>
  <c r="F113" i="269"/>
  <c r="H113" i="269"/>
  <c r="I113" i="269"/>
  <c r="K113" i="269"/>
  <c r="M113" i="269"/>
  <c r="N113" i="269"/>
  <c r="O113" i="269"/>
  <c r="P113" i="269"/>
  <c r="Q113" i="269"/>
  <c r="R113" i="269"/>
  <c r="S113" i="269"/>
  <c r="U113" i="269"/>
  <c r="V113" i="269"/>
  <c r="E114" i="269"/>
  <c r="F114" i="269"/>
  <c r="H114" i="269"/>
  <c r="I114" i="269"/>
  <c r="K114" i="269"/>
  <c r="M114" i="269"/>
  <c r="N114" i="269"/>
  <c r="O114" i="269"/>
  <c r="P114" i="269"/>
  <c r="Q114" i="269"/>
  <c r="R114" i="269"/>
  <c r="S114" i="269"/>
  <c r="U114" i="269"/>
  <c r="V114" i="269"/>
  <c r="E115" i="269"/>
  <c r="F115" i="269"/>
  <c r="H115" i="269"/>
  <c r="I115" i="269"/>
  <c r="K115" i="269"/>
  <c r="M115" i="269"/>
  <c r="N115" i="269"/>
  <c r="O115" i="269"/>
  <c r="P115" i="269"/>
  <c r="Q115" i="269"/>
  <c r="R115" i="269"/>
  <c r="S115" i="269"/>
  <c r="U115" i="269"/>
  <c r="V115" i="269"/>
  <c r="E116" i="269"/>
  <c r="F116" i="269"/>
  <c r="H116" i="269"/>
  <c r="I116" i="269"/>
  <c r="K116" i="269"/>
  <c r="M116" i="269"/>
  <c r="N116" i="269"/>
  <c r="O116" i="269"/>
  <c r="P116" i="269"/>
  <c r="Q116" i="269"/>
  <c r="R116" i="269"/>
  <c r="S116" i="269"/>
  <c r="U116" i="269"/>
  <c r="V116" i="269"/>
  <c r="E117" i="269"/>
  <c r="F117" i="269"/>
  <c r="H117" i="269"/>
  <c r="I117" i="269"/>
  <c r="K117" i="269"/>
  <c r="M117" i="269"/>
  <c r="N117" i="269"/>
  <c r="O117" i="269"/>
  <c r="P117" i="269"/>
  <c r="Q117" i="269"/>
  <c r="R117" i="269"/>
  <c r="S117" i="269"/>
  <c r="U117" i="269"/>
  <c r="V117" i="269"/>
  <c r="E118" i="269"/>
  <c r="F118" i="269"/>
  <c r="H118" i="269"/>
  <c r="I118" i="269"/>
  <c r="K118" i="269"/>
  <c r="M118" i="269"/>
  <c r="N118" i="269"/>
  <c r="O118" i="269"/>
  <c r="P118" i="269"/>
  <c r="Q118" i="269"/>
  <c r="R118" i="269"/>
  <c r="S118" i="269"/>
  <c r="U118" i="269"/>
  <c r="V118" i="269"/>
  <c r="E119" i="269"/>
  <c r="F119" i="269"/>
  <c r="H119" i="269"/>
  <c r="I119" i="269"/>
  <c r="K119" i="269"/>
  <c r="M119" i="269"/>
  <c r="N119" i="269"/>
  <c r="O119" i="269"/>
  <c r="P119" i="269"/>
  <c r="Q119" i="269"/>
  <c r="R119" i="269"/>
  <c r="S119" i="269"/>
  <c r="U119" i="269"/>
  <c r="V119" i="269"/>
  <c r="E120" i="269"/>
  <c r="F120" i="269"/>
  <c r="H120" i="269"/>
  <c r="I120" i="269"/>
  <c r="K120" i="269"/>
  <c r="M120" i="269"/>
  <c r="N120" i="269"/>
  <c r="O120" i="269"/>
  <c r="P120" i="269"/>
  <c r="Q120" i="269"/>
  <c r="R120" i="269"/>
  <c r="S120" i="269"/>
  <c r="U120" i="269"/>
  <c r="V120" i="269"/>
  <c r="E121" i="269"/>
  <c r="F121" i="269"/>
  <c r="H121" i="269"/>
  <c r="I121" i="269"/>
  <c r="K121" i="269"/>
  <c r="M121" i="269"/>
  <c r="N121" i="269"/>
  <c r="O121" i="269"/>
  <c r="P121" i="269"/>
  <c r="Q121" i="269"/>
  <c r="R121" i="269"/>
  <c r="S121" i="269"/>
  <c r="U121" i="269"/>
  <c r="V121" i="269"/>
  <c r="E122" i="269"/>
  <c r="F122" i="269"/>
  <c r="H122" i="269"/>
  <c r="I122" i="269"/>
  <c r="K122" i="269"/>
  <c r="M122" i="269"/>
  <c r="N122" i="269"/>
  <c r="O122" i="269"/>
  <c r="P122" i="269"/>
  <c r="Q122" i="269"/>
  <c r="R122" i="269"/>
  <c r="S122" i="269"/>
  <c r="U122" i="269"/>
  <c r="V122" i="269"/>
  <c r="E123" i="269"/>
  <c r="F123" i="269"/>
  <c r="H123" i="269"/>
  <c r="I123" i="269"/>
  <c r="K123" i="269"/>
  <c r="M123" i="269"/>
  <c r="N123" i="269"/>
  <c r="O123" i="269"/>
  <c r="P123" i="269"/>
  <c r="Q123" i="269"/>
  <c r="R123" i="269"/>
  <c r="S123" i="269"/>
  <c r="U123" i="269"/>
  <c r="V123" i="269"/>
  <c r="E124" i="269"/>
  <c r="F124" i="269"/>
  <c r="H124" i="269"/>
  <c r="I124" i="269"/>
  <c r="K124" i="269"/>
  <c r="M124" i="269"/>
  <c r="N124" i="269"/>
  <c r="O124" i="269"/>
  <c r="P124" i="269"/>
  <c r="Q124" i="269"/>
  <c r="R124" i="269"/>
  <c r="S124" i="269"/>
  <c r="U124" i="269"/>
  <c r="V124" i="269"/>
  <c r="E125" i="269"/>
  <c r="F125" i="269"/>
  <c r="H125" i="269"/>
  <c r="I125" i="269"/>
  <c r="K125" i="269"/>
  <c r="M125" i="269"/>
  <c r="N125" i="269"/>
  <c r="O125" i="269"/>
  <c r="P125" i="269"/>
  <c r="Q125" i="269"/>
  <c r="R125" i="269"/>
  <c r="S125" i="269"/>
  <c r="U125" i="269"/>
  <c r="V125" i="269"/>
  <c r="E126" i="269"/>
  <c r="F126" i="269"/>
  <c r="H126" i="269"/>
  <c r="I126" i="269"/>
  <c r="K126" i="269"/>
  <c r="M126" i="269"/>
  <c r="N126" i="269"/>
  <c r="O126" i="269"/>
  <c r="P126" i="269"/>
  <c r="Q126" i="269"/>
  <c r="R126" i="269"/>
  <c r="S126" i="269"/>
  <c r="U126" i="269"/>
  <c r="V126" i="269"/>
  <c r="E127" i="269"/>
  <c r="F127" i="269"/>
  <c r="H127" i="269"/>
  <c r="I127" i="269"/>
  <c r="K127" i="269"/>
  <c r="M127" i="269"/>
  <c r="N127" i="269"/>
  <c r="O127" i="269"/>
  <c r="P127" i="269"/>
  <c r="Q127" i="269"/>
  <c r="R127" i="269"/>
  <c r="S127" i="269"/>
  <c r="U127" i="269"/>
  <c r="V127" i="269"/>
  <c r="E128" i="269"/>
  <c r="F128" i="269"/>
  <c r="H128" i="269"/>
  <c r="I128" i="269"/>
  <c r="K128" i="269"/>
  <c r="M128" i="269"/>
  <c r="N128" i="269"/>
  <c r="O128" i="269"/>
  <c r="P128" i="269"/>
  <c r="Q128" i="269"/>
  <c r="R128" i="269"/>
  <c r="S128" i="269"/>
  <c r="U128" i="269"/>
  <c r="V128" i="269"/>
  <c r="E129" i="269"/>
  <c r="F129" i="269"/>
  <c r="H129" i="269"/>
  <c r="I129" i="269"/>
  <c r="K129" i="269"/>
  <c r="M129" i="269"/>
  <c r="N129" i="269"/>
  <c r="O129" i="269"/>
  <c r="P129" i="269"/>
  <c r="Q129" i="269"/>
  <c r="R129" i="269"/>
  <c r="S129" i="269"/>
  <c r="U129" i="269"/>
  <c r="V129" i="269"/>
  <c r="E130" i="269"/>
  <c r="F130" i="269"/>
  <c r="H130" i="269"/>
  <c r="I130" i="269"/>
  <c r="K130" i="269"/>
  <c r="M130" i="269"/>
  <c r="N130" i="269"/>
  <c r="O130" i="269"/>
  <c r="P130" i="269"/>
  <c r="Q130" i="269"/>
  <c r="R130" i="269"/>
  <c r="S130" i="269"/>
  <c r="U130" i="269"/>
  <c r="V130" i="269"/>
  <c r="E131" i="269"/>
  <c r="F131" i="269"/>
  <c r="H131" i="269"/>
  <c r="I131" i="269"/>
  <c r="K131" i="269"/>
  <c r="M131" i="269"/>
  <c r="N131" i="269"/>
  <c r="O131" i="269"/>
  <c r="P131" i="269"/>
  <c r="Q131" i="269"/>
  <c r="R131" i="269"/>
  <c r="S131" i="269"/>
  <c r="U131" i="269"/>
  <c r="V131" i="269"/>
  <c r="E132" i="269"/>
  <c r="F132" i="269"/>
  <c r="H132" i="269"/>
  <c r="I132" i="269"/>
  <c r="K132" i="269"/>
  <c r="M132" i="269"/>
  <c r="N132" i="269"/>
  <c r="O132" i="269"/>
  <c r="P132" i="269"/>
  <c r="Q132" i="269"/>
  <c r="R132" i="269"/>
  <c r="S132" i="269"/>
  <c r="U132" i="269"/>
  <c r="V132" i="269"/>
  <c r="E133" i="269"/>
  <c r="F133" i="269"/>
  <c r="H133" i="269"/>
  <c r="I133" i="269"/>
  <c r="K133" i="269"/>
  <c r="M133" i="269"/>
  <c r="N133" i="269"/>
  <c r="O133" i="269"/>
  <c r="P133" i="269"/>
  <c r="Q133" i="269"/>
  <c r="R133" i="269"/>
  <c r="S133" i="269"/>
  <c r="U133" i="269"/>
  <c r="V133" i="269"/>
  <c r="E134" i="269"/>
  <c r="F134" i="269"/>
  <c r="H134" i="269"/>
  <c r="I134" i="269"/>
  <c r="K134" i="269"/>
  <c r="M134" i="269"/>
  <c r="N134" i="269"/>
  <c r="O134" i="269"/>
  <c r="P134" i="269"/>
  <c r="Q134" i="269"/>
  <c r="R134" i="269"/>
  <c r="S134" i="269"/>
  <c r="U134" i="269"/>
  <c r="V134" i="269"/>
  <c r="E135" i="269"/>
  <c r="F135" i="269"/>
  <c r="H135" i="269"/>
  <c r="I135" i="269"/>
  <c r="K135" i="269"/>
  <c r="M135" i="269"/>
  <c r="N135" i="269"/>
  <c r="O135" i="269"/>
  <c r="P135" i="269"/>
  <c r="Q135" i="269"/>
  <c r="R135" i="269"/>
  <c r="S135" i="269"/>
  <c r="U135" i="269"/>
  <c r="V135" i="269"/>
  <c r="E136" i="269"/>
  <c r="F136" i="269"/>
  <c r="H136" i="269"/>
  <c r="I136" i="269"/>
  <c r="K136" i="269"/>
  <c r="M136" i="269"/>
  <c r="N136" i="269"/>
  <c r="O136" i="269"/>
  <c r="P136" i="269"/>
  <c r="Q136" i="269"/>
  <c r="R136" i="269"/>
  <c r="S136" i="269"/>
  <c r="U136" i="269"/>
  <c r="V136" i="269"/>
  <c r="E137" i="269"/>
  <c r="F137" i="269"/>
  <c r="H137" i="269"/>
  <c r="I137" i="269"/>
  <c r="K137" i="269"/>
  <c r="M137" i="269"/>
  <c r="N137" i="269"/>
  <c r="O137" i="269"/>
  <c r="P137" i="269"/>
  <c r="Q137" i="269"/>
  <c r="R137" i="269"/>
  <c r="S137" i="269"/>
  <c r="U137" i="269"/>
  <c r="V137" i="269"/>
  <c r="E138" i="269"/>
  <c r="F138" i="269"/>
  <c r="H138" i="269"/>
  <c r="I138" i="269"/>
  <c r="K138" i="269"/>
  <c r="M138" i="269"/>
  <c r="N138" i="269"/>
  <c r="O138" i="269"/>
  <c r="P138" i="269"/>
  <c r="Q138" i="269"/>
  <c r="R138" i="269"/>
  <c r="S138" i="269"/>
  <c r="U138" i="269"/>
  <c r="V138" i="269"/>
  <c r="E139" i="269"/>
  <c r="F139" i="269"/>
  <c r="H139" i="269"/>
  <c r="I139" i="269"/>
  <c r="X139" i="269" s="1"/>
  <c r="AB139" i="269" s="1"/>
  <c r="K139" i="269"/>
  <c r="M139" i="269"/>
  <c r="N139" i="269"/>
  <c r="O139" i="269"/>
  <c r="P139" i="269"/>
  <c r="Q139" i="269"/>
  <c r="R139" i="269"/>
  <c r="S139" i="269"/>
  <c r="U139" i="269"/>
  <c r="V139" i="269"/>
  <c r="E140" i="269"/>
  <c r="F140" i="269"/>
  <c r="H140" i="269"/>
  <c r="I140" i="269"/>
  <c r="K140" i="269"/>
  <c r="M140" i="269"/>
  <c r="N140" i="269"/>
  <c r="O140" i="269"/>
  <c r="P140" i="269"/>
  <c r="Q140" i="269"/>
  <c r="R140" i="269"/>
  <c r="S140" i="269"/>
  <c r="U140" i="269"/>
  <c r="V140" i="269"/>
  <c r="E141" i="269"/>
  <c r="F141" i="269"/>
  <c r="I141" i="269"/>
  <c r="J141" i="269"/>
  <c r="K141" i="269" s="1"/>
  <c r="X141" i="269" s="1"/>
  <c r="I140" i="301" s="1"/>
  <c r="M141" i="269"/>
  <c r="N141" i="269"/>
  <c r="O141" i="269"/>
  <c r="P141" i="269"/>
  <c r="Q141" i="269"/>
  <c r="R141" i="269"/>
  <c r="S141" i="269"/>
  <c r="U141" i="269"/>
  <c r="V141" i="269"/>
  <c r="AB141" i="269"/>
  <c r="E142" i="269"/>
  <c r="F142" i="269"/>
  <c r="I142" i="269"/>
  <c r="J142" i="269"/>
  <c r="M142" i="269"/>
  <c r="N142" i="269"/>
  <c r="O142" i="269"/>
  <c r="P142" i="269"/>
  <c r="Q142" i="269"/>
  <c r="R142" i="269"/>
  <c r="S142" i="269"/>
  <c r="U142" i="269"/>
  <c r="V142" i="269"/>
  <c r="E143" i="269"/>
  <c r="F143" i="269"/>
  <c r="I143" i="269"/>
  <c r="M143" i="269"/>
  <c r="N143" i="269"/>
  <c r="O143" i="269"/>
  <c r="P143" i="269"/>
  <c r="Q143" i="269"/>
  <c r="R143" i="269"/>
  <c r="S143" i="269"/>
  <c r="U143" i="269"/>
  <c r="V143" i="269"/>
  <c r="E144" i="269"/>
  <c r="F144" i="269"/>
  <c r="I144" i="269"/>
  <c r="M144" i="269"/>
  <c r="N144" i="269"/>
  <c r="O144" i="269"/>
  <c r="P144" i="269"/>
  <c r="Q144" i="269"/>
  <c r="R144" i="269"/>
  <c r="S144" i="269"/>
  <c r="U144" i="269"/>
  <c r="V144" i="269"/>
  <c r="E145" i="269"/>
  <c r="F145" i="269"/>
  <c r="I145" i="269"/>
  <c r="J145" i="269"/>
  <c r="K145" i="269" s="1"/>
  <c r="X145" i="269" s="1"/>
  <c r="I144" i="301" s="1"/>
  <c r="M145" i="269"/>
  <c r="N145" i="269"/>
  <c r="O145" i="269"/>
  <c r="P145" i="269"/>
  <c r="Q145" i="269"/>
  <c r="R145" i="269"/>
  <c r="S145" i="269"/>
  <c r="U145" i="269"/>
  <c r="V145" i="269"/>
  <c r="AB145" i="269"/>
  <c r="E146" i="269"/>
  <c r="F146" i="269"/>
  <c r="I146" i="269"/>
  <c r="M146" i="269"/>
  <c r="N146" i="269"/>
  <c r="O146" i="269"/>
  <c r="P146" i="269"/>
  <c r="Q146" i="269"/>
  <c r="R146" i="269"/>
  <c r="S146" i="269"/>
  <c r="U146" i="269"/>
  <c r="V146" i="269"/>
  <c r="E147" i="269"/>
  <c r="F147" i="269"/>
  <c r="I147" i="269"/>
  <c r="J147" i="269"/>
  <c r="K147" i="269" s="1"/>
  <c r="X147" i="269" s="1"/>
  <c r="M147" i="269"/>
  <c r="N147" i="269"/>
  <c r="O147" i="269"/>
  <c r="P147" i="269"/>
  <c r="Q147" i="269"/>
  <c r="R147" i="269"/>
  <c r="S147" i="269"/>
  <c r="U147" i="269"/>
  <c r="V147" i="269"/>
  <c r="AB147" i="269"/>
  <c r="E148" i="269"/>
  <c r="F148" i="269"/>
  <c r="I148" i="269"/>
  <c r="J148" i="269"/>
  <c r="K148" i="269" s="1"/>
  <c r="X148" i="269" s="1"/>
  <c r="M148" i="269"/>
  <c r="N148" i="269"/>
  <c r="O148" i="269"/>
  <c r="P148" i="269"/>
  <c r="Q148" i="269"/>
  <c r="R148" i="269"/>
  <c r="S148" i="269"/>
  <c r="U148" i="269"/>
  <c r="V148" i="269"/>
  <c r="E149" i="269"/>
  <c r="F149" i="269"/>
  <c r="I149" i="269"/>
  <c r="M149" i="269"/>
  <c r="N149" i="269"/>
  <c r="O149" i="269"/>
  <c r="P149" i="269"/>
  <c r="Q149" i="269"/>
  <c r="R149" i="269"/>
  <c r="S149" i="269"/>
  <c r="U149" i="269"/>
  <c r="V149" i="269"/>
  <c r="E150" i="269"/>
  <c r="F150" i="269"/>
  <c r="I150" i="269"/>
  <c r="M150" i="269"/>
  <c r="N150" i="269"/>
  <c r="O150" i="269"/>
  <c r="P150" i="269"/>
  <c r="Q150" i="269"/>
  <c r="R150" i="269"/>
  <c r="S150" i="269"/>
  <c r="U150" i="269"/>
  <c r="V150" i="269"/>
  <c r="E151" i="269"/>
  <c r="F151" i="269"/>
  <c r="I151" i="269"/>
  <c r="J151" i="269"/>
  <c r="K151" i="269" s="1"/>
  <c r="X151" i="269" s="1"/>
  <c r="M151" i="269"/>
  <c r="N151" i="269"/>
  <c r="O151" i="269"/>
  <c r="P151" i="269"/>
  <c r="Q151" i="269"/>
  <c r="R151" i="269"/>
  <c r="S151" i="269"/>
  <c r="U151" i="269"/>
  <c r="V151" i="269"/>
  <c r="AB151" i="269"/>
  <c r="E152" i="269"/>
  <c r="F152" i="269"/>
  <c r="I152" i="269"/>
  <c r="J152" i="269"/>
  <c r="K152" i="269" s="1"/>
  <c r="X152" i="269" s="1"/>
  <c r="M152" i="269"/>
  <c r="N152" i="269"/>
  <c r="O152" i="269"/>
  <c r="P152" i="269"/>
  <c r="Q152" i="269"/>
  <c r="R152" i="269"/>
  <c r="S152" i="269"/>
  <c r="U152" i="269"/>
  <c r="V152" i="269"/>
  <c r="E153" i="269"/>
  <c r="F153" i="269"/>
  <c r="I153" i="269"/>
  <c r="M153" i="269"/>
  <c r="N153" i="269"/>
  <c r="O153" i="269"/>
  <c r="P153" i="269"/>
  <c r="Q153" i="269"/>
  <c r="R153" i="269"/>
  <c r="S153" i="269"/>
  <c r="U153" i="269"/>
  <c r="V153" i="269"/>
  <c r="E154" i="269"/>
  <c r="F154" i="269"/>
  <c r="I154" i="269"/>
  <c r="M154" i="269"/>
  <c r="N154" i="269"/>
  <c r="O154" i="269"/>
  <c r="P154" i="269"/>
  <c r="Q154" i="269"/>
  <c r="R154" i="269"/>
  <c r="S154" i="269"/>
  <c r="U154" i="269"/>
  <c r="V154" i="269"/>
  <c r="E155" i="269"/>
  <c r="F155" i="269"/>
  <c r="I155" i="269"/>
  <c r="J155" i="269"/>
  <c r="K155" i="269" s="1"/>
  <c r="X155" i="269" s="1"/>
  <c r="M155" i="269"/>
  <c r="N155" i="269"/>
  <c r="O155" i="269"/>
  <c r="P155" i="269"/>
  <c r="Q155" i="269"/>
  <c r="R155" i="269"/>
  <c r="S155" i="269"/>
  <c r="U155" i="269"/>
  <c r="V155" i="269"/>
  <c r="AB155" i="269"/>
  <c r="E156" i="269"/>
  <c r="F156" i="269"/>
  <c r="I156" i="269"/>
  <c r="M156" i="269"/>
  <c r="N156" i="269"/>
  <c r="O156" i="269"/>
  <c r="P156" i="269"/>
  <c r="Q156" i="269"/>
  <c r="R156" i="269"/>
  <c r="S156" i="269"/>
  <c r="U156" i="269"/>
  <c r="V156" i="269"/>
  <c r="E157" i="269"/>
  <c r="F157" i="269"/>
  <c r="I157" i="269"/>
  <c r="J157" i="269"/>
  <c r="K157" i="269" s="1"/>
  <c r="X157" i="269" s="1"/>
  <c r="I156" i="301" s="1"/>
  <c r="M157" i="269"/>
  <c r="N157" i="269"/>
  <c r="O157" i="269"/>
  <c r="P157" i="269"/>
  <c r="Q157" i="269"/>
  <c r="R157" i="269"/>
  <c r="S157" i="269"/>
  <c r="U157" i="269"/>
  <c r="V157" i="269"/>
  <c r="AB157" i="269"/>
  <c r="E158" i="269"/>
  <c r="F158" i="269"/>
  <c r="I158" i="269"/>
  <c r="J158" i="269"/>
  <c r="K158" i="269" s="1"/>
  <c r="X158" i="269" s="1"/>
  <c r="M158" i="269"/>
  <c r="N158" i="269"/>
  <c r="O158" i="269"/>
  <c r="P158" i="269"/>
  <c r="Q158" i="269"/>
  <c r="R158" i="269"/>
  <c r="S158" i="269"/>
  <c r="U158" i="269"/>
  <c r="V158" i="269"/>
  <c r="E159" i="269"/>
  <c r="F159" i="269"/>
  <c r="I159" i="269"/>
  <c r="J159" i="269"/>
  <c r="K159" i="269" s="1"/>
  <c r="X159" i="269" s="1"/>
  <c r="M159" i="269"/>
  <c r="N159" i="269"/>
  <c r="O159" i="269"/>
  <c r="P159" i="269"/>
  <c r="Q159" i="269"/>
  <c r="R159" i="269"/>
  <c r="S159" i="269"/>
  <c r="U159" i="269"/>
  <c r="V159" i="269"/>
  <c r="AB159" i="269"/>
  <c r="E160" i="269"/>
  <c r="F160" i="269"/>
  <c r="I160" i="269"/>
  <c r="M160" i="269"/>
  <c r="N160" i="269"/>
  <c r="O160" i="269"/>
  <c r="P160" i="269"/>
  <c r="Q160" i="269"/>
  <c r="R160" i="269"/>
  <c r="S160" i="269"/>
  <c r="U160" i="269"/>
  <c r="V160" i="269"/>
  <c r="E161" i="269"/>
  <c r="F161" i="269"/>
  <c r="I161" i="269"/>
  <c r="J161" i="269"/>
  <c r="K161" i="269" s="1"/>
  <c r="X161" i="269" s="1"/>
  <c r="I160" i="301" s="1"/>
  <c r="M161" i="269"/>
  <c r="N161" i="269"/>
  <c r="O161" i="269"/>
  <c r="P161" i="269"/>
  <c r="Q161" i="269"/>
  <c r="R161" i="269"/>
  <c r="S161" i="269"/>
  <c r="U161" i="269"/>
  <c r="V161" i="269"/>
  <c r="AB161" i="269"/>
  <c r="E162" i="269"/>
  <c r="F162" i="269"/>
  <c r="I162" i="269"/>
  <c r="J162" i="269"/>
  <c r="K162" i="269" s="1"/>
  <c r="X162" i="269" s="1"/>
  <c r="M162" i="269"/>
  <c r="N162" i="269"/>
  <c r="O162" i="269"/>
  <c r="P162" i="269"/>
  <c r="Q162" i="269"/>
  <c r="R162" i="269"/>
  <c r="S162" i="269"/>
  <c r="U162" i="269"/>
  <c r="V162" i="269"/>
  <c r="E163" i="269"/>
  <c r="F163" i="269"/>
  <c r="I163" i="269"/>
  <c r="J163" i="269"/>
  <c r="K163" i="269" s="1"/>
  <c r="X163" i="269" s="1"/>
  <c r="M163" i="269"/>
  <c r="N163" i="269"/>
  <c r="O163" i="269"/>
  <c r="P163" i="269"/>
  <c r="Q163" i="269"/>
  <c r="R163" i="269"/>
  <c r="S163" i="269"/>
  <c r="U163" i="269"/>
  <c r="V163" i="269"/>
  <c r="AB163" i="269"/>
  <c r="E164" i="269"/>
  <c r="F164" i="269"/>
  <c r="I164" i="269"/>
  <c r="M164" i="269"/>
  <c r="N164" i="269"/>
  <c r="O164" i="269"/>
  <c r="P164" i="269"/>
  <c r="Q164" i="269"/>
  <c r="R164" i="269"/>
  <c r="S164" i="269"/>
  <c r="U164" i="269"/>
  <c r="V164" i="269"/>
  <c r="E165" i="269"/>
  <c r="F165" i="269"/>
  <c r="I165" i="269"/>
  <c r="J165" i="269"/>
  <c r="K165" i="269" s="1"/>
  <c r="X165" i="269" s="1"/>
  <c r="I164" i="301" s="1"/>
  <c r="M165" i="269"/>
  <c r="N165" i="269"/>
  <c r="O165" i="269"/>
  <c r="P165" i="269"/>
  <c r="Q165" i="269"/>
  <c r="R165" i="269"/>
  <c r="S165" i="269"/>
  <c r="U165" i="269"/>
  <c r="V165" i="269"/>
  <c r="AB165" i="269"/>
  <c r="E166" i="269"/>
  <c r="F166" i="269"/>
  <c r="I166" i="269"/>
  <c r="J166" i="269"/>
  <c r="K166" i="269" s="1"/>
  <c r="X166" i="269" s="1"/>
  <c r="M166" i="269"/>
  <c r="N166" i="269"/>
  <c r="O166" i="269"/>
  <c r="P166" i="269"/>
  <c r="Q166" i="269"/>
  <c r="R166" i="269"/>
  <c r="S166" i="269"/>
  <c r="U166" i="269"/>
  <c r="V166" i="269"/>
  <c r="E167" i="269"/>
  <c r="F167" i="269"/>
  <c r="I167" i="269"/>
  <c r="J167" i="269"/>
  <c r="K167" i="269" s="1"/>
  <c r="X167" i="269" s="1"/>
  <c r="M167" i="269"/>
  <c r="N167" i="269"/>
  <c r="O167" i="269"/>
  <c r="P167" i="269"/>
  <c r="Q167" i="269"/>
  <c r="R167" i="269"/>
  <c r="S167" i="269"/>
  <c r="U167" i="269"/>
  <c r="V167" i="269"/>
  <c r="AB167" i="269"/>
  <c r="E168" i="269"/>
  <c r="F168" i="269"/>
  <c r="I168" i="269"/>
  <c r="M168" i="269"/>
  <c r="N168" i="269"/>
  <c r="O168" i="269"/>
  <c r="P168" i="269"/>
  <c r="Q168" i="269"/>
  <c r="R168" i="269"/>
  <c r="S168" i="269"/>
  <c r="U168" i="269"/>
  <c r="V168" i="269"/>
  <c r="E169" i="269"/>
  <c r="F169" i="269"/>
  <c r="I169" i="269"/>
  <c r="J169" i="269"/>
  <c r="K169" i="269" s="1"/>
  <c r="X169" i="269" s="1"/>
  <c r="I168" i="301" s="1"/>
  <c r="M169" i="269"/>
  <c r="N169" i="269"/>
  <c r="O169" i="269"/>
  <c r="P169" i="269"/>
  <c r="Q169" i="269"/>
  <c r="R169" i="269"/>
  <c r="S169" i="269"/>
  <c r="U169" i="269"/>
  <c r="V169" i="269"/>
  <c r="AB169" i="269"/>
  <c r="E170" i="269"/>
  <c r="F170" i="269"/>
  <c r="I170" i="269"/>
  <c r="J170" i="269"/>
  <c r="K170" i="269" s="1"/>
  <c r="X170" i="269" s="1"/>
  <c r="M170" i="269"/>
  <c r="N170" i="269"/>
  <c r="O170" i="269"/>
  <c r="P170" i="269"/>
  <c r="Q170" i="269"/>
  <c r="R170" i="269"/>
  <c r="S170" i="269"/>
  <c r="U170" i="269"/>
  <c r="V170" i="269"/>
  <c r="E171" i="269"/>
  <c r="F171" i="269"/>
  <c r="I171" i="269"/>
  <c r="J171" i="269"/>
  <c r="K171" i="269" s="1"/>
  <c r="X171" i="269" s="1"/>
  <c r="M171" i="269"/>
  <c r="N171" i="269"/>
  <c r="O171" i="269"/>
  <c r="P171" i="269"/>
  <c r="Q171" i="269"/>
  <c r="R171" i="269"/>
  <c r="S171" i="269"/>
  <c r="U171" i="269"/>
  <c r="V171" i="269"/>
  <c r="AB171" i="269"/>
  <c r="E172" i="269"/>
  <c r="F172" i="269"/>
  <c r="I172" i="269"/>
  <c r="M172" i="269"/>
  <c r="N172" i="269"/>
  <c r="O172" i="269"/>
  <c r="P172" i="269"/>
  <c r="Q172" i="269"/>
  <c r="R172" i="269"/>
  <c r="S172" i="269"/>
  <c r="U172" i="269"/>
  <c r="V172" i="269"/>
  <c r="E173" i="269"/>
  <c r="F173" i="269"/>
  <c r="I173" i="269"/>
  <c r="J173" i="269"/>
  <c r="K173" i="269" s="1"/>
  <c r="X173" i="269" s="1"/>
  <c r="I172" i="301" s="1"/>
  <c r="M173" i="269"/>
  <c r="N173" i="269"/>
  <c r="O173" i="269"/>
  <c r="P173" i="269"/>
  <c r="Q173" i="269"/>
  <c r="R173" i="269"/>
  <c r="S173" i="269"/>
  <c r="U173" i="269"/>
  <c r="V173" i="269"/>
  <c r="AB173" i="269"/>
  <c r="E174" i="269"/>
  <c r="F174" i="269"/>
  <c r="I174" i="269"/>
  <c r="J174" i="269"/>
  <c r="K174" i="269" s="1"/>
  <c r="X174" i="269" s="1"/>
  <c r="M174" i="269"/>
  <c r="N174" i="269"/>
  <c r="O174" i="269"/>
  <c r="P174" i="269"/>
  <c r="Q174" i="269"/>
  <c r="R174" i="269"/>
  <c r="S174" i="269"/>
  <c r="U174" i="269"/>
  <c r="V174" i="269"/>
  <c r="E175" i="269"/>
  <c r="F175" i="269"/>
  <c r="I175" i="269"/>
  <c r="J175" i="269"/>
  <c r="K175" i="269" s="1"/>
  <c r="X175" i="269" s="1"/>
  <c r="M175" i="269"/>
  <c r="N175" i="269"/>
  <c r="O175" i="269"/>
  <c r="P175" i="269"/>
  <c r="Q175" i="269"/>
  <c r="R175" i="269"/>
  <c r="S175" i="269"/>
  <c r="U175" i="269"/>
  <c r="V175" i="269"/>
  <c r="AB175" i="269"/>
  <c r="E176" i="269"/>
  <c r="F176" i="269"/>
  <c r="I176" i="269"/>
  <c r="M176" i="269"/>
  <c r="N176" i="269"/>
  <c r="O176" i="269"/>
  <c r="P176" i="269"/>
  <c r="Q176" i="269"/>
  <c r="R176" i="269"/>
  <c r="S176" i="269"/>
  <c r="U176" i="269"/>
  <c r="V176" i="269"/>
  <c r="E177" i="269"/>
  <c r="F177" i="269"/>
  <c r="I177" i="269"/>
  <c r="J177" i="269"/>
  <c r="K177" i="269" s="1"/>
  <c r="X177" i="269" s="1"/>
  <c r="I176" i="301" s="1"/>
  <c r="M177" i="269"/>
  <c r="N177" i="269"/>
  <c r="O177" i="269"/>
  <c r="P177" i="269"/>
  <c r="Q177" i="269"/>
  <c r="R177" i="269"/>
  <c r="S177" i="269"/>
  <c r="U177" i="269"/>
  <c r="V177" i="269"/>
  <c r="AB177" i="269"/>
  <c r="E178" i="269"/>
  <c r="F178" i="269"/>
  <c r="I178" i="269"/>
  <c r="J178" i="269"/>
  <c r="K178" i="269" s="1"/>
  <c r="X178" i="269" s="1"/>
  <c r="M178" i="269"/>
  <c r="N178" i="269"/>
  <c r="O178" i="269"/>
  <c r="P178" i="269"/>
  <c r="Q178" i="269"/>
  <c r="R178" i="269"/>
  <c r="S178" i="269"/>
  <c r="U178" i="269"/>
  <c r="V178" i="269"/>
  <c r="E179" i="269"/>
  <c r="F179" i="269"/>
  <c r="I179" i="269"/>
  <c r="J179" i="269"/>
  <c r="K179" i="269" s="1"/>
  <c r="X179" i="269" s="1"/>
  <c r="M179" i="269"/>
  <c r="N179" i="269"/>
  <c r="O179" i="269"/>
  <c r="P179" i="269"/>
  <c r="Q179" i="269"/>
  <c r="R179" i="269"/>
  <c r="S179" i="269"/>
  <c r="U179" i="269"/>
  <c r="V179" i="269"/>
  <c r="AB179" i="269"/>
  <c r="E180" i="269"/>
  <c r="F180" i="269"/>
  <c r="I180" i="269"/>
  <c r="M180" i="269"/>
  <c r="N180" i="269"/>
  <c r="O180" i="269"/>
  <c r="P180" i="269"/>
  <c r="Q180" i="269"/>
  <c r="R180" i="269"/>
  <c r="S180" i="269"/>
  <c r="U180" i="269"/>
  <c r="V180" i="269"/>
  <c r="E181" i="269"/>
  <c r="F181" i="269"/>
  <c r="I181" i="269"/>
  <c r="M181" i="269"/>
  <c r="N181" i="269"/>
  <c r="O181" i="269"/>
  <c r="P181" i="269"/>
  <c r="Q181" i="269"/>
  <c r="R181" i="269"/>
  <c r="S181" i="269"/>
  <c r="U181" i="269"/>
  <c r="V181" i="269"/>
  <c r="E182" i="269"/>
  <c r="F182" i="269"/>
  <c r="I182" i="269"/>
  <c r="J182" i="269"/>
  <c r="K182" i="269" s="1"/>
  <c r="X182" i="269" s="1"/>
  <c r="M182" i="269"/>
  <c r="N182" i="269"/>
  <c r="O182" i="269"/>
  <c r="P182" i="269"/>
  <c r="Q182" i="269"/>
  <c r="R182" i="269"/>
  <c r="S182" i="269"/>
  <c r="U182" i="269"/>
  <c r="V182" i="269"/>
  <c r="E183" i="269"/>
  <c r="F183" i="269"/>
  <c r="I183" i="269"/>
  <c r="K183" i="269"/>
  <c r="L183" i="269"/>
  <c r="M183" i="269"/>
  <c r="N183" i="269"/>
  <c r="O183" i="269"/>
  <c r="P183" i="269"/>
  <c r="Q183" i="269"/>
  <c r="R183" i="269"/>
  <c r="S183" i="269"/>
  <c r="E184" i="269"/>
  <c r="F184" i="269"/>
  <c r="I184" i="269"/>
  <c r="K184" i="269"/>
  <c r="L184" i="269"/>
  <c r="M184" i="269"/>
  <c r="N184" i="269"/>
  <c r="O184" i="269"/>
  <c r="P184" i="269"/>
  <c r="R184" i="269" s="1"/>
  <c r="S184" i="269" s="1"/>
  <c r="Q184" i="269"/>
  <c r="E185" i="269"/>
  <c r="F185" i="269"/>
  <c r="I185" i="269"/>
  <c r="X185" i="269" s="1"/>
  <c r="K185" i="269"/>
  <c r="L185" i="269"/>
  <c r="M185" i="269"/>
  <c r="N185" i="269"/>
  <c r="O185" i="269"/>
  <c r="P185" i="269"/>
  <c r="Q185" i="269"/>
  <c r="R185" i="269"/>
  <c r="S185" i="269"/>
  <c r="E186" i="269"/>
  <c r="F186" i="269"/>
  <c r="I186" i="269"/>
  <c r="K186" i="269"/>
  <c r="L186" i="269"/>
  <c r="M186" i="269"/>
  <c r="N186" i="269"/>
  <c r="O186" i="269"/>
  <c r="P186" i="269"/>
  <c r="R186" i="269" s="1"/>
  <c r="S186" i="269" s="1"/>
  <c r="Q186" i="269"/>
  <c r="E187" i="269"/>
  <c r="F187" i="269"/>
  <c r="I187" i="269"/>
  <c r="K187" i="269"/>
  <c r="L187" i="269"/>
  <c r="M187" i="269"/>
  <c r="N187" i="269"/>
  <c r="O187" i="269"/>
  <c r="P187" i="269"/>
  <c r="Q187" i="269"/>
  <c r="R187" i="269"/>
  <c r="S187" i="269"/>
  <c r="E188" i="269"/>
  <c r="F188" i="269"/>
  <c r="I188" i="269"/>
  <c r="K188" i="269"/>
  <c r="L188" i="269"/>
  <c r="M188" i="269"/>
  <c r="N188" i="269"/>
  <c r="O188" i="269"/>
  <c r="P188" i="269"/>
  <c r="R188" i="269" s="1"/>
  <c r="S188" i="269" s="1"/>
  <c r="Q188" i="269"/>
  <c r="E189" i="269"/>
  <c r="F189" i="269"/>
  <c r="I189" i="269"/>
  <c r="K189" i="269"/>
  <c r="N189" i="269"/>
  <c r="O189" i="269"/>
  <c r="P189" i="269"/>
  <c r="Q189" i="269"/>
  <c r="R189" i="269"/>
  <c r="S189" i="269"/>
  <c r="E190" i="269"/>
  <c r="F190" i="269"/>
  <c r="I190" i="269"/>
  <c r="K190" i="269"/>
  <c r="L190" i="269"/>
  <c r="M190" i="269"/>
  <c r="N190" i="269"/>
  <c r="O190" i="269"/>
  <c r="P190" i="269"/>
  <c r="R190" i="269" s="1"/>
  <c r="S190" i="269" s="1"/>
  <c r="Q190" i="269"/>
  <c r="E191" i="269"/>
  <c r="F191" i="269"/>
  <c r="I191" i="269"/>
  <c r="K191" i="269"/>
  <c r="N191" i="269"/>
  <c r="O191" i="269"/>
  <c r="P191" i="269"/>
  <c r="Q191" i="269"/>
  <c r="R191" i="269"/>
  <c r="S191" i="269"/>
  <c r="E192" i="269"/>
  <c r="F192" i="269"/>
  <c r="I192" i="269"/>
  <c r="K192" i="269"/>
  <c r="N192" i="269"/>
  <c r="O192" i="269"/>
  <c r="P192" i="269"/>
  <c r="R192" i="269" s="1"/>
  <c r="S192" i="269" s="1"/>
  <c r="Q192" i="269"/>
  <c r="E193" i="269"/>
  <c r="F193" i="269"/>
  <c r="I193" i="269"/>
  <c r="K193" i="269"/>
  <c r="N193" i="269"/>
  <c r="O193" i="269"/>
  <c r="P193" i="269"/>
  <c r="Q193" i="269"/>
  <c r="R193" i="269"/>
  <c r="S193" i="269"/>
  <c r="E194" i="269"/>
  <c r="F194" i="269"/>
  <c r="I194" i="269"/>
  <c r="K194" i="269"/>
  <c r="L194" i="269"/>
  <c r="M194" i="269"/>
  <c r="N194" i="269"/>
  <c r="O194" i="269"/>
  <c r="P194" i="269"/>
  <c r="R194" i="269" s="1"/>
  <c r="S194" i="269" s="1"/>
  <c r="Q194" i="269"/>
  <c r="E195" i="269"/>
  <c r="F195" i="269"/>
  <c r="I195" i="269"/>
  <c r="K195" i="269"/>
  <c r="N195" i="269"/>
  <c r="O195" i="269"/>
  <c r="P195" i="269"/>
  <c r="Q195" i="269"/>
  <c r="R195" i="269"/>
  <c r="S195" i="269"/>
  <c r="E196" i="269"/>
  <c r="F196" i="269"/>
  <c r="I196" i="269"/>
  <c r="K196" i="269"/>
  <c r="L196" i="269"/>
  <c r="M196" i="269"/>
  <c r="N196" i="269"/>
  <c r="O196" i="269"/>
  <c r="P196" i="269"/>
  <c r="R196" i="269" s="1"/>
  <c r="S196" i="269" s="1"/>
  <c r="Q196" i="269"/>
  <c r="E197" i="269"/>
  <c r="F197" i="269"/>
  <c r="I197" i="269"/>
  <c r="K197" i="269"/>
  <c r="L197" i="269"/>
  <c r="M197" i="269"/>
  <c r="N197" i="269"/>
  <c r="O197" i="269"/>
  <c r="P197" i="269"/>
  <c r="Q197" i="269"/>
  <c r="R197" i="269"/>
  <c r="S197" i="269"/>
  <c r="E198" i="269"/>
  <c r="F198" i="269"/>
  <c r="I198" i="269"/>
  <c r="K198" i="269"/>
  <c r="L198" i="269"/>
  <c r="M198" i="269"/>
  <c r="N198" i="269"/>
  <c r="O198" i="269"/>
  <c r="P198" i="269"/>
  <c r="R198" i="269" s="1"/>
  <c r="S198" i="269" s="1"/>
  <c r="Q198" i="269"/>
  <c r="E199" i="269"/>
  <c r="F199" i="269"/>
  <c r="I199" i="269"/>
  <c r="X199" i="269" s="1"/>
  <c r="K199" i="269"/>
  <c r="L199" i="269"/>
  <c r="M199" i="269"/>
  <c r="N199" i="269"/>
  <c r="O199" i="269"/>
  <c r="P199" i="269"/>
  <c r="Q199" i="269"/>
  <c r="R199" i="269"/>
  <c r="S199" i="269"/>
  <c r="E200" i="269"/>
  <c r="F200" i="269"/>
  <c r="I200" i="269"/>
  <c r="K200" i="269"/>
  <c r="L200" i="269"/>
  <c r="M200" i="269"/>
  <c r="N200" i="269"/>
  <c r="O200" i="269"/>
  <c r="P200" i="269"/>
  <c r="R200" i="269" s="1"/>
  <c r="S200" i="269" s="1"/>
  <c r="Q200" i="269"/>
  <c r="E201" i="269"/>
  <c r="F201" i="269"/>
  <c r="I201" i="269"/>
  <c r="K201" i="269"/>
  <c r="L201" i="269"/>
  <c r="M201" i="269"/>
  <c r="N201" i="269"/>
  <c r="O201" i="269"/>
  <c r="P201" i="269"/>
  <c r="Q201" i="269"/>
  <c r="R201" i="269"/>
  <c r="S201" i="269"/>
  <c r="E202" i="269"/>
  <c r="F202" i="269"/>
  <c r="I202" i="269"/>
  <c r="K202" i="269"/>
  <c r="L202" i="269"/>
  <c r="M202" i="269"/>
  <c r="N202" i="269"/>
  <c r="O202" i="269"/>
  <c r="P202" i="269"/>
  <c r="R202" i="269" s="1"/>
  <c r="S202" i="269" s="1"/>
  <c r="Q202" i="269"/>
  <c r="E203" i="269"/>
  <c r="F203" i="269"/>
  <c r="I203" i="269"/>
  <c r="K203" i="269"/>
  <c r="L203" i="269"/>
  <c r="M203" i="269"/>
  <c r="N203" i="269"/>
  <c r="O203" i="269"/>
  <c r="P203" i="269"/>
  <c r="Q203" i="269"/>
  <c r="R203" i="269"/>
  <c r="S203" i="269"/>
  <c r="E204" i="269"/>
  <c r="F204" i="269"/>
  <c r="I204" i="269"/>
  <c r="K204" i="269"/>
  <c r="N204" i="269"/>
  <c r="O204" i="269"/>
  <c r="P204" i="269"/>
  <c r="R204" i="269" s="1"/>
  <c r="S204" i="269" s="1"/>
  <c r="Q204" i="269"/>
  <c r="E205" i="269"/>
  <c r="F205" i="269"/>
  <c r="I205" i="269"/>
  <c r="X205" i="269" s="1"/>
  <c r="K205" i="269"/>
  <c r="L205" i="269"/>
  <c r="M205" i="269"/>
  <c r="N205" i="269"/>
  <c r="O205" i="269"/>
  <c r="P205" i="269"/>
  <c r="Q205" i="269"/>
  <c r="R205" i="269"/>
  <c r="S205" i="269"/>
  <c r="E206" i="269"/>
  <c r="F206" i="269"/>
  <c r="I206" i="269"/>
  <c r="K206" i="269"/>
  <c r="N206" i="269"/>
  <c r="O206" i="269"/>
  <c r="P206" i="269"/>
  <c r="R206" i="269" s="1"/>
  <c r="S206" i="269" s="1"/>
  <c r="Q206" i="269"/>
  <c r="E207" i="269"/>
  <c r="F207" i="269"/>
  <c r="I207" i="269"/>
  <c r="K207" i="269"/>
  <c r="N207" i="269"/>
  <c r="O207" i="269"/>
  <c r="P207" i="269"/>
  <c r="Q207" i="269"/>
  <c r="R207" i="269"/>
  <c r="S207" i="269"/>
  <c r="E208" i="269"/>
  <c r="F208" i="269"/>
  <c r="I208" i="269"/>
  <c r="K208" i="269"/>
  <c r="N208" i="269"/>
  <c r="O208" i="269"/>
  <c r="P208" i="269"/>
  <c r="R208" i="269" s="1"/>
  <c r="S208" i="269" s="1"/>
  <c r="Q208" i="269"/>
  <c r="E209" i="269"/>
  <c r="F209" i="269"/>
  <c r="I209" i="269"/>
  <c r="K209" i="269"/>
  <c r="L209" i="269"/>
  <c r="M209" i="269"/>
  <c r="N209" i="269"/>
  <c r="O209" i="269"/>
  <c r="P209" i="269"/>
  <c r="Q209" i="269"/>
  <c r="R209" i="269"/>
  <c r="S209" i="269"/>
  <c r="E210" i="269"/>
  <c r="F210" i="269"/>
  <c r="I210" i="269"/>
  <c r="K210" i="269"/>
  <c r="L210" i="269"/>
  <c r="M210" i="269"/>
  <c r="N210" i="269"/>
  <c r="O210" i="269"/>
  <c r="P210" i="269"/>
  <c r="R210" i="269" s="1"/>
  <c r="S210" i="269" s="1"/>
  <c r="Q210" i="269"/>
  <c r="E211" i="269"/>
  <c r="F211" i="269"/>
  <c r="I211" i="269"/>
  <c r="K211" i="269"/>
  <c r="L211" i="269"/>
  <c r="M211" i="269"/>
  <c r="N211" i="269"/>
  <c r="O211" i="269"/>
  <c r="P211" i="269"/>
  <c r="Q211" i="269"/>
  <c r="R211" i="269"/>
  <c r="S211" i="269"/>
  <c r="E212" i="269"/>
  <c r="F212" i="269"/>
  <c r="I212" i="269"/>
  <c r="K212" i="269"/>
  <c r="L212" i="269"/>
  <c r="M212" i="269"/>
  <c r="N212" i="269"/>
  <c r="O212" i="269"/>
  <c r="P212" i="269"/>
  <c r="R212" i="269" s="1"/>
  <c r="S212" i="269" s="1"/>
  <c r="Q212" i="269"/>
  <c r="E213" i="269"/>
  <c r="F213" i="269"/>
  <c r="I213" i="269"/>
  <c r="X213" i="269" s="1"/>
  <c r="K213" i="269"/>
  <c r="L213" i="269"/>
  <c r="M213" i="269"/>
  <c r="N213" i="269"/>
  <c r="O213" i="269"/>
  <c r="P213" i="269"/>
  <c r="Q213" i="269"/>
  <c r="R213" i="269"/>
  <c r="S213" i="269"/>
  <c r="E214" i="269"/>
  <c r="F214" i="269"/>
  <c r="I214" i="269"/>
  <c r="K214" i="269"/>
  <c r="L214" i="269"/>
  <c r="M214" i="269"/>
  <c r="N214" i="269"/>
  <c r="O214" i="269"/>
  <c r="P214" i="269"/>
  <c r="R214" i="269" s="1"/>
  <c r="S214" i="269" s="1"/>
  <c r="Q214" i="269"/>
  <c r="E215" i="269"/>
  <c r="F215" i="269"/>
  <c r="I215" i="269"/>
  <c r="K215" i="269"/>
  <c r="L215" i="269"/>
  <c r="M215" i="269"/>
  <c r="N215" i="269"/>
  <c r="O215" i="269"/>
  <c r="P215" i="269"/>
  <c r="Q215" i="269"/>
  <c r="R215" i="269"/>
  <c r="S215" i="269"/>
  <c r="E216" i="269"/>
  <c r="F216" i="269"/>
  <c r="I216" i="269"/>
  <c r="K216" i="269"/>
  <c r="L216" i="269"/>
  <c r="M216" i="269"/>
  <c r="N216" i="269"/>
  <c r="O216" i="269"/>
  <c r="P216" i="269"/>
  <c r="R216" i="269" s="1"/>
  <c r="S216" i="269" s="1"/>
  <c r="Q216" i="269"/>
  <c r="E217" i="269"/>
  <c r="F217" i="269"/>
  <c r="I217" i="269"/>
  <c r="K217" i="269"/>
  <c r="L217" i="269"/>
  <c r="M217" i="269"/>
  <c r="N217" i="269"/>
  <c r="O217" i="269"/>
  <c r="P217" i="269"/>
  <c r="Q217" i="269"/>
  <c r="R217" i="269"/>
  <c r="S217" i="269"/>
  <c r="E218" i="269"/>
  <c r="F218" i="269"/>
  <c r="I218" i="269"/>
  <c r="K218" i="269"/>
  <c r="L218" i="269"/>
  <c r="M218" i="269"/>
  <c r="N218" i="269"/>
  <c r="O218" i="269"/>
  <c r="P218" i="269"/>
  <c r="R218" i="269" s="1"/>
  <c r="S218" i="269" s="1"/>
  <c r="Q218" i="269"/>
  <c r="E219" i="269"/>
  <c r="F219" i="269"/>
  <c r="I219" i="269"/>
  <c r="K219" i="269"/>
  <c r="L219" i="269"/>
  <c r="M219" i="269"/>
  <c r="N219" i="269"/>
  <c r="O219" i="269"/>
  <c r="P219" i="269"/>
  <c r="Q219" i="269"/>
  <c r="R219" i="269"/>
  <c r="S219" i="269"/>
  <c r="E220" i="269"/>
  <c r="F220" i="269"/>
  <c r="I220" i="269"/>
  <c r="K220" i="269"/>
  <c r="L220" i="269"/>
  <c r="M220" i="269"/>
  <c r="N220" i="269"/>
  <c r="O220" i="269"/>
  <c r="P220" i="269"/>
  <c r="R220" i="269" s="1"/>
  <c r="S220" i="269" s="1"/>
  <c r="Q220" i="269"/>
  <c r="E221" i="269"/>
  <c r="F221" i="269"/>
  <c r="I221" i="269"/>
  <c r="X221" i="269" s="1"/>
  <c r="K221" i="269"/>
  <c r="L221" i="269"/>
  <c r="M221" i="269"/>
  <c r="N221" i="269"/>
  <c r="O221" i="269"/>
  <c r="P221" i="269"/>
  <c r="Q221" i="269"/>
  <c r="R221" i="269"/>
  <c r="S221" i="269"/>
  <c r="E222" i="269"/>
  <c r="F222" i="269"/>
  <c r="I222" i="269"/>
  <c r="K222" i="269"/>
  <c r="L222" i="269"/>
  <c r="M222" i="269"/>
  <c r="N222" i="269"/>
  <c r="O222" i="269"/>
  <c r="P222" i="269"/>
  <c r="R222" i="269" s="1"/>
  <c r="S222" i="269" s="1"/>
  <c r="Q222" i="269"/>
  <c r="E223" i="269"/>
  <c r="F223" i="269"/>
  <c r="I223" i="269"/>
  <c r="K223" i="269"/>
  <c r="L223" i="269"/>
  <c r="M223" i="269"/>
  <c r="N223" i="269"/>
  <c r="O223" i="269"/>
  <c r="P223" i="269"/>
  <c r="Q223" i="269"/>
  <c r="R223" i="269"/>
  <c r="S223" i="269"/>
  <c r="E224" i="269"/>
  <c r="F224" i="269"/>
  <c r="I224" i="269"/>
  <c r="K224" i="269"/>
  <c r="L224" i="269"/>
  <c r="M224" i="269"/>
  <c r="N224" i="269"/>
  <c r="O224" i="269"/>
  <c r="P224" i="269"/>
  <c r="R224" i="269" s="1"/>
  <c r="S224" i="269" s="1"/>
  <c r="Q224" i="269"/>
  <c r="E225" i="269"/>
  <c r="F225" i="269"/>
  <c r="I225" i="269"/>
  <c r="K225" i="269"/>
  <c r="L225" i="269"/>
  <c r="M225" i="269"/>
  <c r="N225" i="269"/>
  <c r="O225" i="269"/>
  <c r="P225" i="269"/>
  <c r="Q225" i="269"/>
  <c r="R225" i="269"/>
  <c r="S225" i="269"/>
  <c r="E226" i="269"/>
  <c r="F226" i="269"/>
  <c r="I226" i="269"/>
  <c r="K226" i="269"/>
  <c r="N226" i="269"/>
  <c r="O226" i="269"/>
  <c r="P226" i="269"/>
  <c r="R226" i="269" s="1"/>
  <c r="S226" i="269" s="1"/>
  <c r="Q226" i="269"/>
  <c r="E227" i="269"/>
  <c r="F227" i="269"/>
  <c r="I227" i="269"/>
  <c r="K227" i="269"/>
  <c r="N227" i="269"/>
  <c r="O227" i="269"/>
  <c r="P227" i="269"/>
  <c r="Q227" i="269"/>
  <c r="R227" i="269"/>
  <c r="S227" i="269"/>
  <c r="E228" i="269"/>
  <c r="F228" i="269"/>
  <c r="I228" i="269"/>
  <c r="K228" i="269"/>
  <c r="N228" i="269"/>
  <c r="O228" i="269"/>
  <c r="P228" i="269"/>
  <c r="R228" i="269" s="1"/>
  <c r="S228" i="269" s="1"/>
  <c r="Q228" i="269"/>
  <c r="E229" i="269"/>
  <c r="F229" i="269"/>
  <c r="I229" i="269"/>
  <c r="K229" i="269"/>
  <c r="N229" i="269"/>
  <c r="O229" i="269"/>
  <c r="P229" i="269"/>
  <c r="Q229" i="269"/>
  <c r="R229" i="269"/>
  <c r="S229" i="269"/>
  <c r="E230" i="269"/>
  <c r="F230" i="269"/>
  <c r="I230" i="269"/>
  <c r="K230" i="269"/>
  <c r="L230" i="269"/>
  <c r="M230" i="269"/>
  <c r="N230" i="269"/>
  <c r="O230" i="269"/>
  <c r="P230" i="269"/>
  <c r="R230" i="269" s="1"/>
  <c r="S230" i="269" s="1"/>
  <c r="Q230" i="269"/>
  <c r="E231" i="269"/>
  <c r="F231" i="269"/>
  <c r="I231" i="269"/>
  <c r="K231" i="269"/>
  <c r="N231" i="269"/>
  <c r="O231" i="269"/>
  <c r="P231" i="269"/>
  <c r="Q231" i="269"/>
  <c r="R231" i="269"/>
  <c r="S231" i="269"/>
  <c r="E232" i="269"/>
  <c r="F232" i="269"/>
  <c r="I232" i="269"/>
  <c r="K232" i="269"/>
  <c r="L232" i="269"/>
  <c r="M232" i="269"/>
  <c r="N232" i="269"/>
  <c r="O232" i="269"/>
  <c r="P232" i="269"/>
  <c r="R232" i="269" s="1"/>
  <c r="S232" i="269" s="1"/>
  <c r="Q232" i="269"/>
  <c r="E233" i="269"/>
  <c r="F233" i="269"/>
  <c r="I233" i="269"/>
  <c r="K233" i="269"/>
  <c r="N233" i="269"/>
  <c r="O233" i="269"/>
  <c r="P233" i="269"/>
  <c r="Q233" i="269"/>
  <c r="R233" i="269"/>
  <c r="S233" i="269"/>
  <c r="E234" i="269"/>
  <c r="F234" i="269"/>
  <c r="I234" i="269"/>
  <c r="K234" i="269"/>
  <c r="L234" i="269"/>
  <c r="M234" i="269"/>
  <c r="N234" i="269"/>
  <c r="O234" i="269"/>
  <c r="P234" i="269"/>
  <c r="R234" i="269" s="1"/>
  <c r="S234" i="269" s="1"/>
  <c r="Q234" i="269"/>
  <c r="E235" i="269"/>
  <c r="F235" i="269"/>
  <c r="I235" i="269"/>
  <c r="K235" i="269"/>
  <c r="N235" i="269"/>
  <c r="O235" i="269"/>
  <c r="P235" i="269"/>
  <c r="Q235" i="269"/>
  <c r="R235" i="269"/>
  <c r="S235" i="269"/>
  <c r="E236" i="269"/>
  <c r="F236" i="269"/>
  <c r="I236" i="269"/>
  <c r="K236" i="269"/>
  <c r="L236" i="269"/>
  <c r="M236" i="269"/>
  <c r="N236" i="269"/>
  <c r="O236" i="269"/>
  <c r="P236" i="269"/>
  <c r="R236" i="269" s="1"/>
  <c r="S236" i="269" s="1"/>
  <c r="Q236" i="269"/>
  <c r="E237" i="269"/>
  <c r="F237" i="269"/>
  <c r="I237" i="269"/>
  <c r="K237" i="269"/>
  <c r="N237" i="269"/>
  <c r="O237" i="269"/>
  <c r="P237" i="269"/>
  <c r="Q237" i="269"/>
  <c r="R237" i="269"/>
  <c r="S237" i="269"/>
  <c r="E238" i="269"/>
  <c r="F238" i="269"/>
  <c r="I238" i="269"/>
  <c r="K238" i="269"/>
  <c r="L238" i="269"/>
  <c r="M238" i="269"/>
  <c r="N238" i="269"/>
  <c r="O238" i="269"/>
  <c r="P238" i="269"/>
  <c r="R238" i="269" s="1"/>
  <c r="S238" i="269" s="1"/>
  <c r="Q238" i="269"/>
  <c r="E239" i="269"/>
  <c r="F239" i="269"/>
  <c r="I239" i="269"/>
  <c r="K239" i="269"/>
  <c r="N239" i="269"/>
  <c r="O239" i="269"/>
  <c r="P239" i="269"/>
  <c r="Q239" i="269"/>
  <c r="R239" i="269"/>
  <c r="S239" i="269"/>
  <c r="E240" i="269"/>
  <c r="F240" i="269"/>
  <c r="I240" i="269"/>
  <c r="K240" i="269"/>
  <c r="L240" i="269"/>
  <c r="M240" i="269"/>
  <c r="N240" i="269"/>
  <c r="O240" i="269"/>
  <c r="P240" i="269"/>
  <c r="R240" i="269" s="1"/>
  <c r="S240" i="269" s="1"/>
  <c r="Q240" i="269"/>
  <c r="E241" i="269"/>
  <c r="F241" i="269"/>
  <c r="I241" i="269"/>
  <c r="K241" i="269"/>
  <c r="N241" i="269"/>
  <c r="O241" i="269"/>
  <c r="P241" i="269"/>
  <c r="Q241" i="269"/>
  <c r="R241" i="269"/>
  <c r="S241" i="269"/>
  <c r="E242" i="269"/>
  <c r="F242" i="269"/>
  <c r="I242" i="269"/>
  <c r="K242" i="269"/>
  <c r="L242" i="269"/>
  <c r="M242" i="269"/>
  <c r="N242" i="269"/>
  <c r="O242" i="269"/>
  <c r="P242" i="269"/>
  <c r="R242" i="269" s="1"/>
  <c r="S242" i="269" s="1"/>
  <c r="Q242" i="269"/>
  <c r="E243" i="269"/>
  <c r="F243" i="269"/>
  <c r="I243" i="269"/>
  <c r="K243" i="269"/>
  <c r="N243" i="269"/>
  <c r="O243" i="269"/>
  <c r="P243" i="269"/>
  <c r="Q243" i="269"/>
  <c r="R243" i="269"/>
  <c r="S243" i="269"/>
  <c r="E244" i="269"/>
  <c r="F244" i="269"/>
  <c r="I244" i="269"/>
  <c r="K244" i="269"/>
  <c r="L244" i="269"/>
  <c r="M244" i="269"/>
  <c r="N244" i="269"/>
  <c r="O244" i="269"/>
  <c r="P244" i="269"/>
  <c r="R244" i="269" s="1"/>
  <c r="S244" i="269" s="1"/>
  <c r="Q244" i="269"/>
  <c r="E245" i="269"/>
  <c r="F245" i="269"/>
  <c r="I245" i="269"/>
  <c r="K245" i="269"/>
  <c r="N245" i="269"/>
  <c r="O245" i="269"/>
  <c r="P245" i="269"/>
  <c r="Q245" i="269"/>
  <c r="R245" i="269"/>
  <c r="S245" i="269"/>
  <c r="E246" i="269"/>
  <c r="F246" i="269"/>
  <c r="I246" i="269"/>
  <c r="K246" i="269"/>
  <c r="L246" i="269"/>
  <c r="M246" i="269"/>
  <c r="N246" i="269"/>
  <c r="O246" i="269"/>
  <c r="P246" i="269"/>
  <c r="R246" i="269" s="1"/>
  <c r="S246" i="269" s="1"/>
  <c r="Q246" i="269"/>
  <c r="E247" i="269"/>
  <c r="F247" i="269"/>
  <c r="I247" i="269"/>
  <c r="K247" i="269"/>
  <c r="N247" i="269"/>
  <c r="O247" i="269"/>
  <c r="P247" i="269"/>
  <c r="Q247" i="269"/>
  <c r="R247" i="269"/>
  <c r="S247" i="269"/>
  <c r="E248" i="269"/>
  <c r="F248" i="269"/>
  <c r="I248" i="269"/>
  <c r="K248" i="269"/>
  <c r="L248" i="269"/>
  <c r="M248" i="269"/>
  <c r="N248" i="269"/>
  <c r="O248" i="269"/>
  <c r="P248" i="269"/>
  <c r="R248" i="269" s="1"/>
  <c r="S248" i="269" s="1"/>
  <c r="Q248" i="269"/>
  <c r="E249" i="269"/>
  <c r="F249" i="269"/>
  <c r="I249" i="269"/>
  <c r="K249" i="269"/>
  <c r="N249" i="269"/>
  <c r="O249" i="269"/>
  <c r="P249" i="269"/>
  <c r="Q249" i="269"/>
  <c r="R249" i="269"/>
  <c r="S249" i="269"/>
  <c r="E250" i="269"/>
  <c r="F250" i="269"/>
  <c r="I250" i="269"/>
  <c r="K250" i="269"/>
  <c r="L250" i="269"/>
  <c r="M250" i="269"/>
  <c r="N250" i="269"/>
  <c r="O250" i="269"/>
  <c r="P250" i="269"/>
  <c r="R250" i="269" s="1"/>
  <c r="S250" i="269" s="1"/>
  <c r="Q250" i="269"/>
  <c r="E251" i="269"/>
  <c r="F251" i="269"/>
  <c r="I251" i="269"/>
  <c r="K251" i="269"/>
  <c r="N251" i="269"/>
  <c r="O251" i="269"/>
  <c r="P251" i="269"/>
  <c r="Q251" i="269"/>
  <c r="R251" i="269"/>
  <c r="S251" i="269"/>
  <c r="E252" i="269"/>
  <c r="F252" i="269"/>
  <c r="I252" i="269"/>
  <c r="K252" i="269"/>
  <c r="L252" i="269"/>
  <c r="M252" i="269"/>
  <c r="N252" i="269"/>
  <c r="O252" i="269"/>
  <c r="P252" i="269"/>
  <c r="R252" i="269" s="1"/>
  <c r="S252" i="269" s="1"/>
  <c r="Q252" i="269"/>
  <c r="E253" i="269"/>
  <c r="F253" i="269"/>
  <c r="I253" i="269"/>
  <c r="K253" i="269"/>
  <c r="N253" i="269"/>
  <c r="O253" i="269"/>
  <c r="P253" i="269"/>
  <c r="Q253" i="269"/>
  <c r="R253" i="269"/>
  <c r="S253" i="269"/>
  <c r="E254" i="269"/>
  <c r="F254" i="269"/>
  <c r="I254" i="269"/>
  <c r="K254" i="269"/>
  <c r="L254" i="269"/>
  <c r="M254" i="269"/>
  <c r="N254" i="269"/>
  <c r="O254" i="269"/>
  <c r="P254" i="269"/>
  <c r="R254" i="269" s="1"/>
  <c r="S254" i="269" s="1"/>
  <c r="Q254" i="269"/>
  <c r="E255" i="269"/>
  <c r="F255" i="269"/>
  <c r="I255" i="269"/>
  <c r="K255" i="269"/>
  <c r="N255" i="269"/>
  <c r="O255" i="269"/>
  <c r="P255" i="269"/>
  <c r="Q255" i="269"/>
  <c r="R255" i="269"/>
  <c r="S255" i="269"/>
  <c r="E256" i="269"/>
  <c r="F256" i="269"/>
  <c r="I256" i="269"/>
  <c r="K256" i="269"/>
  <c r="L256" i="269"/>
  <c r="M256" i="269"/>
  <c r="N256" i="269"/>
  <c r="O256" i="269"/>
  <c r="P256" i="269"/>
  <c r="R256" i="269" s="1"/>
  <c r="S256" i="269" s="1"/>
  <c r="Q256" i="269"/>
  <c r="E257" i="269"/>
  <c r="F257" i="269"/>
  <c r="I257" i="269"/>
  <c r="K257" i="269"/>
  <c r="N257" i="269"/>
  <c r="O257" i="269"/>
  <c r="P257" i="269"/>
  <c r="Q257" i="269"/>
  <c r="R257" i="269"/>
  <c r="S257" i="269"/>
  <c r="E258" i="269"/>
  <c r="F258" i="269"/>
  <c r="I258" i="269"/>
  <c r="K258" i="269"/>
  <c r="L258" i="269"/>
  <c r="M258" i="269"/>
  <c r="N258" i="269"/>
  <c r="O258" i="269"/>
  <c r="P258" i="269"/>
  <c r="R258" i="269" s="1"/>
  <c r="S258" i="269" s="1"/>
  <c r="Q258" i="269"/>
  <c r="E259" i="269"/>
  <c r="F259" i="269"/>
  <c r="I259" i="269"/>
  <c r="K259" i="269"/>
  <c r="N259" i="269"/>
  <c r="O259" i="269"/>
  <c r="P259" i="269"/>
  <c r="Q259" i="269"/>
  <c r="R259" i="269"/>
  <c r="S259" i="269"/>
  <c r="E260" i="269"/>
  <c r="F260" i="269"/>
  <c r="I260" i="269"/>
  <c r="K260" i="269"/>
  <c r="L260" i="269"/>
  <c r="M260" i="269"/>
  <c r="N260" i="269"/>
  <c r="O260" i="269"/>
  <c r="P260" i="269"/>
  <c r="R260" i="269" s="1"/>
  <c r="S260" i="269" s="1"/>
  <c r="Q260" i="269"/>
  <c r="E261" i="269"/>
  <c r="F261" i="269"/>
  <c r="I261" i="269"/>
  <c r="K261" i="269"/>
  <c r="N261" i="269"/>
  <c r="O261" i="269"/>
  <c r="P261" i="269"/>
  <c r="Q261" i="269"/>
  <c r="R261" i="269"/>
  <c r="S261" i="269"/>
  <c r="E262" i="269"/>
  <c r="F262" i="269"/>
  <c r="I262" i="269"/>
  <c r="K262" i="269"/>
  <c r="L262" i="269"/>
  <c r="M262" i="269"/>
  <c r="N262" i="269"/>
  <c r="O262" i="269"/>
  <c r="P262" i="269"/>
  <c r="R262" i="269" s="1"/>
  <c r="S262" i="269" s="1"/>
  <c r="Q262" i="269"/>
  <c r="E263" i="269"/>
  <c r="F263" i="269"/>
  <c r="I263" i="269"/>
  <c r="K263" i="269"/>
  <c r="N263" i="269"/>
  <c r="O263" i="269"/>
  <c r="P263" i="269"/>
  <c r="Q263" i="269"/>
  <c r="R263" i="269"/>
  <c r="S263" i="269"/>
  <c r="E264" i="269"/>
  <c r="F264" i="269"/>
  <c r="I264" i="269"/>
  <c r="K264" i="269"/>
  <c r="L264" i="269"/>
  <c r="M264" i="269"/>
  <c r="N264" i="269"/>
  <c r="O264" i="269"/>
  <c r="P264" i="269"/>
  <c r="R264" i="269" s="1"/>
  <c r="S264" i="269" s="1"/>
  <c r="Q264" i="269"/>
  <c r="E265" i="269"/>
  <c r="F265" i="269"/>
  <c r="I265" i="269"/>
  <c r="K265" i="269"/>
  <c r="N265" i="269"/>
  <c r="O265" i="269"/>
  <c r="P265" i="269"/>
  <c r="Q265" i="269"/>
  <c r="R265" i="269"/>
  <c r="S265" i="269"/>
  <c r="E266" i="269"/>
  <c r="F266" i="269"/>
  <c r="I266" i="269"/>
  <c r="K266" i="269"/>
  <c r="L266" i="269"/>
  <c r="M266" i="269"/>
  <c r="N266" i="269"/>
  <c r="O266" i="269"/>
  <c r="P266" i="269"/>
  <c r="R266" i="269" s="1"/>
  <c r="S266" i="269" s="1"/>
  <c r="Q266" i="269"/>
  <c r="E267" i="269"/>
  <c r="F267" i="269"/>
  <c r="I267" i="269"/>
  <c r="K267" i="269"/>
  <c r="N267" i="269"/>
  <c r="O267" i="269"/>
  <c r="P267" i="269"/>
  <c r="Q267" i="269"/>
  <c r="R267" i="269"/>
  <c r="S267" i="269"/>
  <c r="E268" i="269"/>
  <c r="F268" i="269"/>
  <c r="I268" i="269"/>
  <c r="K268" i="269"/>
  <c r="L268" i="269"/>
  <c r="M268" i="269"/>
  <c r="N268" i="269"/>
  <c r="O268" i="269"/>
  <c r="P268" i="269"/>
  <c r="R268" i="269" s="1"/>
  <c r="S268" i="269" s="1"/>
  <c r="Q268" i="269"/>
  <c r="E269" i="269"/>
  <c r="F269" i="269"/>
  <c r="I269" i="269"/>
  <c r="K269" i="269"/>
  <c r="N269" i="269"/>
  <c r="O269" i="269"/>
  <c r="P269" i="269"/>
  <c r="Q269" i="269"/>
  <c r="R269" i="269"/>
  <c r="S269" i="269"/>
  <c r="E270" i="269"/>
  <c r="F270" i="269"/>
  <c r="I270" i="269"/>
  <c r="K270" i="269"/>
  <c r="L270" i="269"/>
  <c r="M270" i="269"/>
  <c r="N270" i="269"/>
  <c r="O270" i="269"/>
  <c r="P270" i="269"/>
  <c r="R270" i="269" s="1"/>
  <c r="S270" i="269" s="1"/>
  <c r="Q270" i="269"/>
  <c r="E271" i="269"/>
  <c r="F271" i="269"/>
  <c r="I271" i="269"/>
  <c r="K271" i="269"/>
  <c r="N271" i="269"/>
  <c r="O271" i="269"/>
  <c r="P271" i="269"/>
  <c r="Q271" i="269"/>
  <c r="R271" i="269"/>
  <c r="S271" i="269"/>
  <c r="E272" i="269"/>
  <c r="F272" i="269"/>
  <c r="K272" i="269"/>
  <c r="L272" i="269"/>
  <c r="M272" i="269" s="1"/>
  <c r="N272" i="269"/>
  <c r="O272" i="269"/>
  <c r="P272" i="269"/>
  <c r="E273" i="269"/>
  <c r="F273" i="269"/>
  <c r="H273" i="269"/>
  <c r="I273" i="269" s="1"/>
  <c r="K273" i="269"/>
  <c r="N273" i="269"/>
  <c r="O273" i="269"/>
  <c r="P273" i="269"/>
  <c r="R273" i="269" s="1"/>
  <c r="S273" i="269" s="1"/>
  <c r="Q273" i="269"/>
  <c r="E274" i="269"/>
  <c r="F274" i="269"/>
  <c r="K274" i="269"/>
  <c r="L274" i="269"/>
  <c r="M274" i="269"/>
  <c r="N274" i="269"/>
  <c r="O274" i="269" s="1"/>
  <c r="P274" i="269"/>
  <c r="Q274" i="269"/>
  <c r="R274" i="269"/>
  <c r="S274" i="269" s="1"/>
  <c r="E275" i="269"/>
  <c r="F275" i="269"/>
  <c r="K275" i="269"/>
  <c r="L275" i="269"/>
  <c r="M275" i="269"/>
  <c r="N275" i="269"/>
  <c r="O275" i="269"/>
  <c r="P275" i="269"/>
  <c r="Q275" i="269"/>
  <c r="R275" i="269"/>
  <c r="S275" i="269"/>
  <c r="E276" i="269"/>
  <c r="F276" i="269"/>
  <c r="H276" i="269"/>
  <c r="I276" i="269"/>
  <c r="K276" i="269"/>
  <c r="N276" i="269"/>
  <c r="O276" i="269"/>
  <c r="P276" i="269"/>
  <c r="E277" i="269"/>
  <c r="F277" i="269"/>
  <c r="H277" i="269"/>
  <c r="I277" i="269" s="1"/>
  <c r="K277" i="269"/>
  <c r="N277" i="269"/>
  <c r="O277" i="269"/>
  <c r="P277" i="269"/>
  <c r="R277" i="269" s="1"/>
  <c r="S277" i="269" s="1"/>
  <c r="Q277" i="269"/>
  <c r="E278" i="269"/>
  <c r="F278" i="269"/>
  <c r="K278" i="269"/>
  <c r="L278" i="269"/>
  <c r="M278" i="269"/>
  <c r="N278" i="269"/>
  <c r="O278" i="269" s="1"/>
  <c r="P278" i="269"/>
  <c r="Q278" i="269"/>
  <c r="R278" i="269"/>
  <c r="S278" i="269" s="1"/>
  <c r="E279" i="269"/>
  <c r="F279" i="269"/>
  <c r="K279" i="269"/>
  <c r="L279" i="269"/>
  <c r="M279" i="269"/>
  <c r="N279" i="269"/>
  <c r="O279" i="269" s="1"/>
  <c r="P279" i="269"/>
  <c r="Q279" i="269"/>
  <c r="R279" i="269"/>
  <c r="S279" i="269" s="1"/>
  <c r="E280" i="269"/>
  <c r="F280" i="269"/>
  <c r="H280" i="269"/>
  <c r="I280" i="269"/>
  <c r="K280" i="269"/>
  <c r="N280" i="269"/>
  <c r="O280" i="269"/>
  <c r="P280" i="269"/>
  <c r="E281" i="269"/>
  <c r="F281" i="269"/>
  <c r="H281" i="269"/>
  <c r="I281" i="269" s="1"/>
  <c r="K281" i="269"/>
  <c r="N281" i="269"/>
  <c r="O281" i="269"/>
  <c r="P281" i="269"/>
  <c r="R281" i="269" s="1"/>
  <c r="S281" i="269" s="1"/>
  <c r="Q281" i="269"/>
  <c r="E282" i="269"/>
  <c r="F282" i="269"/>
  <c r="K282" i="269"/>
  <c r="L282" i="269"/>
  <c r="M282" i="269"/>
  <c r="N282" i="269"/>
  <c r="O282" i="269" s="1"/>
  <c r="P282" i="269"/>
  <c r="Q282" i="269"/>
  <c r="R282" i="269"/>
  <c r="S282" i="269" s="1"/>
  <c r="E283" i="269"/>
  <c r="F283" i="269"/>
  <c r="K283" i="269"/>
  <c r="L283" i="269"/>
  <c r="M283" i="269"/>
  <c r="N283" i="269"/>
  <c r="O283" i="269"/>
  <c r="P283" i="269"/>
  <c r="Q283" i="269"/>
  <c r="R283" i="269"/>
  <c r="S283" i="269"/>
  <c r="E284" i="269"/>
  <c r="F284" i="269"/>
  <c r="H284" i="269"/>
  <c r="I284" i="269"/>
  <c r="K284" i="269"/>
  <c r="N284" i="269"/>
  <c r="O284" i="269"/>
  <c r="P284" i="269"/>
  <c r="E285" i="269"/>
  <c r="F285" i="269"/>
  <c r="H285" i="269"/>
  <c r="I285" i="269" s="1"/>
  <c r="K285" i="269"/>
  <c r="N285" i="269"/>
  <c r="O285" i="269"/>
  <c r="P285" i="269"/>
  <c r="E286" i="269"/>
  <c r="F286" i="269"/>
  <c r="K286" i="269"/>
  <c r="L286" i="269"/>
  <c r="M286" i="269"/>
  <c r="N286" i="269"/>
  <c r="O286" i="269" s="1"/>
  <c r="P286" i="269"/>
  <c r="Q286" i="269"/>
  <c r="R286" i="269"/>
  <c r="S286" i="269" s="1"/>
  <c r="E287" i="269"/>
  <c r="F287" i="269"/>
  <c r="K287" i="269"/>
  <c r="L287" i="269"/>
  <c r="M287" i="269"/>
  <c r="N287" i="269"/>
  <c r="O287" i="269"/>
  <c r="P287" i="269"/>
  <c r="Q287" i="269"/>
  <c r="R287" i="269"/>
  <c r="S287" i="269"/>
  <c r="E288" i="269"/>
  <c r="F288" i="269"/>
  <c r="H288" i="269"/>
  <c r="I288" i="269"/>
  <c r="K288" i="269"/>
  <c r="N288" i="269"/>
  <c r="O288" i="269"/>
  <c r="P288" i="269"/>
  <c r="E289" i="269"/>
  <c r="F289" i="269"/>
  <c r="H289" i="269"/>
  <c r="I289" i="269" s="1"/>
  <c r="K289" i="269"/>
  <c r="N289" i="269"/>
  <c r="O289" i="269"/>
  <c r="P289" i="269"/>
  <c r="R289" i="269" s="1"/>
  <c r="S289" i="269" s="1"/>
  <c r="Q289" i="269"/>
  <c r="E290" i="269"/>
  <c r="F290" i="269"/>
  <c r="K290" i="269"/>
  <c r="L290" i="269"/>
  <c r="M290" i="269"/>
  <c r="N290" i="269"/>
  <c r="O290" i="269" s="1"/>
  <c r="P290" i="269"/>
  <c r="Q290" i="269"/>
  <c r="R290" i="269"/>
  <c r="S290" i="269" s="1"/>
  <c r="E291" i="269"/>
  <c r="F291" i="269"/>
  <c r="K291" i="269"/>
  <c r="L291" i="269"/>
  <c r="M291" i="269"/>
  <c r="N291" i="269"/>
  <c r="O291" i="269"/>
  <c r="P291" i="269"/>
  <c r="Q291" i="269"/>
  <c r="R291" i="269"/>
  <c r="S291" i="269"/>
  <c r="E292" i="269"/>
  <c r="F292" i="269"/>
  <c r="K292" i="269"/>
  <c r="L292" i="269"/>
  <c r="M292" i="269" s="1"/>
  <c r="N292" i="269"/>
  <c r="O292" i="269"/>
  <c r="P292" i="269"/>
  <c r="E293" i="269"/>
  <c r="F293" i="269"/>
  <c r="K293" i="269"/>
  <c r="L293" i="269"/>
  <c r="M293" i="269" s="1"/>
  <c r="N293" i="269"/>
  <c r="O293" i="269"/>
  <c r="P293" i="269"/>
  <c r="E294" i="269"/>
  <c r="F294" i="269"/>
  <c r="K294" i="269"/>
  <c r="L294" i="269"/>
  <c r="M294" i="269"/>
  <c r="N294" i="269"/>
  <c r="O294" i="269" s="1"/>
  <c r="P294" i="269"/>
  <c r="Q294" i="269"/>
  <c r="R294" i="269"/>
  <c r="S294" i="269" s="1"/>
  <c r="E295" i="269"/>
  <c r="F295" i="269"/>
  <c r="K295" i="269"/>
  <c r="L295" i="269"/>
  <c r="M295" i="269"/>
  <c r="N295" i="269"/>
  <c r="O295" i="269"/>
  <c r="P295" i="269"/>
  <c r="Q295" i="269"/>
  <c r="R295" i="269"/>
  <c r="S295" i="269"/>
  <c r="E296" i="269"/>
  <c r="F296" i="269"/>
  <c r="K296" i="269"/>
  <c r="L296" i="269"/>
  <c r="M296" i="269" s="1"/>
  <c r="N296" i="269"/>
  <c r="O296" i="269"/>
  <c r="P296" i="269"/>
  <c r="E297" i="269"/>
  <c r="F297" i="269"/>
  <c r="K297" i="269"/>
  <c r="L297" i="269"/>
  <c r="M297" i="269"/>
  <c r="N297" i="269"/>
  <c r="O297" i="269"/>
  <c r="P297" i="269"/>
  <c r="R297" i="269" s="1"/>
  <c r="S297" i="269" s="1"/>
  <c r="Q297" i="269"/>
  <c r="E298" i="269"/>
  <c r="F298" i="269"/>
  <c r="K298" i="269"/>
  <c r="L298" i="269"/>
  <c r="M298" i="269"/>
  <c r="N298" i="269"/>
  <c r="O298" i="269" s="1"/>
  <c r="P298" i="269"/>
  <c r="Q298" i="269"/>
  <c r="R298" i="269"/>
  <c r="S298" i="269" s="1"/>
  <c r="E299" i="269"/>
  <c r="F299" i="269"/>
  <c r="H299" i="269"/>
  <c r="I299" i="269"/>
  <c r="K299" i="269"/>
  <c r="L299" i="269"/>
  <c r="M299" i="269"/>
  <c r="N299" i="269"/>
  <c r="O299" i="269" s="1"/>
  <c r="P299" i="269"/>
  <c r="Q299" i="269"/>
  <c r="R299" i="269"/>
  <c r="S299" i="269" s="1"/>
  <c r="E300" i="269"/>
  <c r="F300" i="269"/>
  <c r="H300" i="269"/>
  <c r="I300" i="269"/>
  <c r="K300" i="269"/>
  <c r="N300" i="269"/>
  <c r="O300" i="269"/>
  <c r="P300" i="269"/>
  <c r="E301" i="269"/>
  <c r="F301" i="269"/>
  <c r="H301" i="269"/>
  <c r="I301" i="269" s="1"/>
  <c r="K301" i="269"/>
  <c r="L301" i="269"/>
  <c r="M301" i="269"/>
  <c r="N301" i="269"/>
  <c r="O301" i="269"/>
  <c r="P301" i="269"/>
  <c r="R301" i="269" s="1"/>
  <c r="S301" i="269" s="1"/>
  <c r="Q301" i="269"/>
  <c r="X301" i="269"/>
  <c r="I300" i="301" s="1"/>
  <c r="AB301" i="269"/>
  <c r="E302" i="269"/>
  <c r="F302" i="269"/>
  <c r="K302" i="269"/>
  <c r="L302" i="269"/>
  <c r="M302" i="269"/>
  <c r="N302" i="269"/>
  <c r="O302" i="269" s="1"/>
  <c r="P302" i="269"/>
  <c r="Q302" i="269"/>
  <c r="R302" i="269"/>
  <c r="S302" i="269" s="1"/>
  <c r="E303" i="269"/>
  <c r="F303" i="269"/>
  <c r="K303" i="269"/>
  <c r="L303" i="269"/>
  <c r="M303" i="269"/>
  <c r="N303" i="269"/>
  <c r="O303" i="269"/>
  <c r="P303" i="269"/>
  <c r="Q303" i="269"/>
  <c r="R303" i="269"/>
  <c r="S303" i="269"/>
  <c r="E304" i="269"/>
  <c r="F304" i="269"/>
  <c r="H304" i="269"/>
  <c r="I304" i="269"/>
  <c r="K304" i="269"/>
  <c r="L304" i="269"/>
  <c r="M304" i="269" s="1"/>
  <c r="N304" i="269"/>
  <c r="O304" i="269"/>
  <c r="P304" i="269"/>
  <c r="E305" i="269"/>
  <c r="F305" i="269"/>
  <c r="H305" i="269"/>
  <c r="I305" i="269" s="1"/>
  <c r="K305" i="269"/>
  <c r="N305" i="269"/>
  <c r="O305" i="269"/>
  <c r="P305" i="269"/>
  <c r="E306" i="269"/>
  <c r="F306" i="269"/>
  <c r="H306" i="269"/>
  <c r="I306" i="269"/>
  <c r="K306" i="269"/>
  <c r="N306" i="269"/>
  <c r="O306" i="269" s="1"/>
  <c r="P306" i="269"/>
  <c r="Q306" i="269"/>
  <c r="R306" i="269"/>
  <c r="S306" i="269" s="1"/>
  <c r="E307" i="269"/>
  <c r="F307" i="269"/>
  <c r="K307" i="269"/>
  <c r="L307" i="269"/>
  <c r="M307" i="269"/>
  <c r="N307" i="269"/>
  <c r="O307" i="269"/>
  <c r="P307" i="269"/>
  <c r="Q307" i="269"/>
  <c r="R307" i="269"/>
  <c r="S307" i="269"/>
  <c r="E308" i="269"/>
  <c r="F308" i="269"/>
  <c r="K308" i="269"/>
  <c r="L308" i="269"/>
  <c r="M308" i="269" s="1"/>
  <c r="N308" i="269"/>
  <c r="O308" i="269"/>
  <c r="P308" i="269"/>
  <c r="E309" i="269"/>
  <c r="F309" i="269"/>
  <c r="K309" i="269"/>
  <c r="L309" i="269"/>
  <c r="M309" i="269" s="1"/>
  <c r="N309" i="269"/>
  <c r="O309" i="269"/>
  <c r="P309" i="269"/>
  <c r="E310" i="269"/>
  <c r="F310" i="269"/>
  <c r="H310" i="269"/>
  <c r="I310" i="269"/>
  <c r="K310" i="269"/>
  <c r="L310" i="269"/>
  <c r="M310" i="269"/>
  <c r="N310" i="269"/>
  <c r="O310" i="269" s="1"/>
  <c r="P310" i="269"/>
  <c r="Q310" i="269"/>
  <c r="R310" i="269"/>
  <c r="S310" i="269" s="1"/>
  <c r="E311" i="269"/>
  <c r="F311" i="269"/>
  <c r="K311" i="269"/>
  <c r="L311" i="269"/>
  <c r="M311" i="269"/>
  <c r="N311" i="269"/>
  <c r="O311" i="269"/>
  <c r="P311" i="269"/>
  <c r="Q311" i="269"/>
  <c r="R311" i="269"/>
  <c r="S311" i="269"/>
  <c r="E312" i="269"/>
  <c r="F312" i="269"/>
  <c r="K312" i="269"/>
  <c r="L312" i="269"/>
  <c r="M312" i="269" s="1"/>
  <c r="N312" i="269"/>
  <c r="O312" i="269"/>
  <c r="P312" i="269"/>
  <c r="E313" i="269"/>
  <c r="F313" i="269"/>
  <c r="K313" i="269"/>
  <c r="L313" i="269"/>
  <c r="M313" i="269"/>
  <c r="N313" i="269"/>
  <c r="O313" i="269"/>
  <c r="P313" i="269"/>
  <c r="R313" i="269" s="1"/>
  <c r="S313" i="269" s="1"/>
  <c r="Q313" i="269"/>
  <c r="E314" i="269"/>
  <c r="F314" i="269"/>
  <c r="H314" i="269"/>
  <c r="I314" i="269"/>
  <c r="K314" i="269"/>
  <c r="L314" i="269"/>
  <c r="M314" i="269"/>
  <c r="N314" i="269"/>
  <c r="O314" i="269" s="1"/>
  <c r="P314" i="269"/>
  <c r="Q314" i="269"/>
  <c r="R314" i="269"/>
  <c r="S314" i="269" s="1"/>
  <c r="E315" i="269"/>
  <c r="F315" i="269"/>
  <c r="K315" i="269"/>
  <c r="L315" i="269"/>
  <c r="M315" i="269"/>
  <c r="N315" i="269"/>
  <c r="O315" i="269"/>
  <c r="P315" i="269"/>
  <c r="Q315" i="269"/>
  <c r="R315" i="269"/>
  <c r="S315" i="269"/>
  <c r="E316" i="269"/>
  <c r="F316" i="269"/>
  <c r="K316" i="269"/>
  <c r="L316" i="269"/>
  <c r="M316" i="269" s="1"/>
  <c r="N316" i="269"/>
  <c r="O316" i="269"/>
  <c r="P316" i="269"/>
  <c r="E317" i="269"/>
  <c r="F317" i="269"/>
  <c r="K317" i="269"/>
  <c r="L317" i="269"/>
  <c r="M317" i="269"/>
  <c r="N317" i="269"/>
  <c r="O317" i="269"/>
  <c r="P317" i="269"/>
  <c r="R317" i="269" s="1"/>
  <c r="S317" i="269" s="1"/>
  <c r="Q317" i="269"/>
  <c r="E318" i="269"/>
  <c r="F318" i="269"/>
  <c r="H318" i="269"/>
  <c r="I318" i="269" s="1"/>
  <c r="K318" i="269"/>
  <c r="N318" i="269"/>
  <c r="O318" i="269" s="1"/>
  <c r="P318" i="269"/>
  <c r="Q318" i="269"/>
  <c r="R318" i="269"/>
  <c r="S318" i="269" s="1"/>
  <c r="E319" i="269"/>
  <c r="F319" i="269"/>
  <c r="K319" i="269"/>
  <c r="L319" i="269"/>
  <c r="M319" i="269"/>
  <c r="N319" i="269"/>
  <c r="O319" i="269"/>
  <c r="P319" i="269"/>
  <c r="Q319" i="269"/>
  <c r="R319" i="269"/>
  <c r="S319" i="269"/>
  <c r="E320" i="269"/>
  <c r="F320" i="269"/>
  <c r="M320" i="269"/>
  <c r="N320" i="269"/>
  <c r="O320" i="269"/>
  <c r="P320" i="269"/>
  <c r="E321" i="269"/>
  <c r="F321" i="269"/>
  <c r="J321" i="269"/>
  <c r="K321" i="269"/>
  <c r="M321" i="269"/>
  <c r="N321" i="269"/>
  <c r="O321" i="269"/>
  <c r="P321" i="269"/>
  <c r="R321" i="269" s="1"/>
  <c r="S321" i="269" s="1"/>
  <c r="Q321" i="269"/>
  <c r="E322" i="269"/>
  <c r="F322" i="269"/>
  <c r="J322" i="269"/>
  <c r="K322" i="269"/>
  <c r="M322" i="269"/>
  <c r="N322" i="269"/>
  <c r="O322" i="269" s="1"/>
  <c r="P322" i="269"/>
  <c r="Q322" i="269"/>
  <c r="R322" i="269"/>
  <c r="S322" i="269" s="1"/>
  <c r="E323" i="269"/>
  <c r="F323" i="269"/>
  <c r="J323" i="269"/>
  <c r="K323" i="269" s="1"/>
  <c r="M323" i="269"/>
  <c r="N323" i="269"/>
  <c r="O323" i="269" s="1"/>
  <c r="P323" i="269"/>
  <c r="Q323" i="269"/>
  <c r="R323" i="269"/>
  <c r="S323" i="269" s="1"/>
  <c r="E324" i="269"/>
  <c r="F324" i="269"/>
  <c r="M324" i="269"/>
  <c r="N324" i="269"/>
  <c r="O324" i="269"/>
  <c r="P324" i="269"/>
  <c r="E325" i="269"/>
  <c r="F325" i="269"/>
  <c r="J325" i="269"/>
  <c r="K325" i="269"/>
  <c r="M325" i="269"/>
  <c r="N325" i="269"/>
  <c r="O325" i="269"/>
  <c r="P325" i="269"/>
  <c r="E326" i="269"/>
  <c r="F326" i="269"/>
  <c r="H326" i="269"/>
  <c r="I326" i="269"/>
  <c r="J326" i="269"/>
  <c r="K326" i="269"/>
  <c r="M326" i="269"/>
  <c r="N326" i="269"/>
  <c r="O326" i="269" s="1"/>
  <c r="P326" i="269"/>
  <c r="Q326" i="269"/>
  <c r="R326" i="269"/>
  <c r="S326" i="269" s="1"/>
  <c r="E327" i="269"/>
  <c r="F327" i="269"/>
  <c r="J327" i="269"/>
  <c r="K327" i="269" s="1"/>
  <c r="M327" i="269"/>
  <c r="N327" i="269"/>
  <c r="O327" i="269"/>
  <c r="P327" i="269"/>
  <c r="Q327" i="269"/>
  <c r="R327" i="269"/>
  <c r="S327" i="269"/>
  <c r="E328" i="269"/>
  <c r="F328" i="269"/>
  <c r="J328" i="269"/>
  <c r="K328" i="269"/>
  <c r="M328" i="269"/>
  <c r="N328" i="269"/>
  <c r="O328" i="269"/>
  <c r="P328" i="269"/>
  <c r="E329" i="269"/>
  <c r="F329" i="269"/>
  <c r="H329" i="269"/>
  <c r="I329" i="269" s="1"/>
  <c r="J329" i="269"/>
  <c r="K329" i="269"/>
  <c r="M329" i="269"/>
  <c r="N329" i="269"/>
  <c r="O329" i="269"/>
  <c r="P329" i="269"/>
  <c r="R329" i="269" s="1"/>
  <c r="S329" i="269" s="1"/>
  <c r="Q329" i="269"/>
  <c r="X329" i="269"/>
  <c r="AB329" i="269"/>
  <c r="E330" i="269"/>
  <c r="F330" i="269"/>
  <c r="J330" i="269"/>
  <c r="K330" i="269"/>
  <c r="M330" i="269"/>
  <c r="N330" i="269"/>
  <c r="O330" i="269" s="1"/>
  <c r="P330" i="269"/>
  <c r="Q330" i="269"/>
  <c r="R330" i="269"/>
  <c r="S330" i="269" s="1"/>
  <c r="E331" i="269"/>
  <c r="F331" i="269"/>
  <c r="J331" i="269"/>
  <c r="K331" i="269" s="1"/>
  <c r="M331" i="269"/>
  <c r="N331" i="269"/>
  <c r="O331" i="269"/>
  <c r="P331" i="269"/>
  <c r="Q331" i="269"/>
  <c r="R331" i="269"/>
  <c r="S331" i="269"/>
  <c r="E332" i="269"/>
  <c r="F332" i="269"/>
  <c r="J332" i="269"/>
  <c r="K332" i="269"/>
  <c r="M332" i="269"/>
  <c r="N332" i="269"/>
  <c r="O332" i="269"/>
  <c r="P332" i="269"/>
  <c r="E333" i="269"/>
  <c r="F333" i="269"/>
  <c r="H333" i="269"/>
  <c r="I333" i="269" s="1"/>
  <c r="X333" i="269" s="1"/>
  <c r="J333" i="269"/>
  <c r="K333" i="269"/>
  <c r="M333" i="269"/>
  <c r="N333" i="269"/>
  <c r="O333" i="269"/>
  <c r="P333" i="269"/>
  <c r="R333" i="269" s="1"/>
  <c r="S333" i="269" s="1"/>
  <c r="Q333" i="269"/>
  <c r="E334" i="269"/>
  <c r="F334" i="269"/>
  <c r="J334" i="269"/>
  <c r="K334" i="269"/>
  <c r="M334" i="269"/>
  <c r="N334" i="269"/>
  <c r="O334" i="269" s="1"/>
  <c r="P334" i="269"/>
  <c r="Q334" i="269"/>
  <c r="R334" i="269"/>
  <c r="S334" i="269" s="1"/>
  <c r="E335" i="269"/>
  <c r="F335" i="269"/>
  <c r="J335" i="269"/>
  <c r="K335" i="269" s="1"/>
  <c r="M335" i="269"/>
  <c r="N335" i="269"/>
  <c r="O335" i="269"/>
  <c r="P335" i="269"/>
  <c r="Q335" i="269"/>
  <c r="R335" i="269"/>
  <c r="S335" i="269"/>
  <c r="E336" i="269"/>
  <c r="F336" i="269"/>
  <c r="J336" i="269"/>
  <c r="K336" i="269"/>
  <c r="M336" i="269"/>
  <c r="N336" i="269"/>
  <c r="O336" i="269"/>
  <c r="P336" i="269"/>
  <c r="E337" i="269"/>
  <c r="F337" i="269"/>
  <c r="H337" i="269"/>
  <c r="I337" i="269" s="1"/>
  <c r="J337" i="269"/>
  <c r="K337" i="269"/>
  <c r="X337" i="269" s="1"/>
  <c r="AB337" i="269" s="1"/>
  <c r="M337" i="269"/>
  <c r="N337" i="269"/>
  <c r="O337" i="269"/>
  <c r="P337" i="269"/>
  <c r="R337" i="269" s="1"/>
  <c r="S337" i="269" s="1"/>
  <c r="Q337" i="269"/>
  <c r="E338" i="269"/>
  <c r="F338" i="269"/>
  <c r="J338" i="269"/>
  <c r="K338" i="269"/>
  <c r="M338" i="269"/>
  <c r="N338" i="269"/>
  <c r="O338" i="269" s="1"/>
  <c r="P338" i="269"/>
  <c r="Q338" i="269"/>
  <c r="R338" i="269"/>
  <c r="S338" i="269" s="1"/>
  <c r="E339" i="269"/>
  <c r="F339" i="269"/>
  <c r="J339" i="269"/>
  <c r="K339" i="269" s="1"/>
  <c r="M339" i="269"/>
  <c r="N339" i="269"/>
  <c r="O339" i="269" s="1"/>
  <c r="P339" i="269"/>
  <c r="Q339" i="269"/>
  <c r="R339" i="269"/>
  <c r="S339" i="269" s="1"/>
  <c r="E340" i="269"/>
  <c r="F340" i="269"/>
  <c r="H340" i="269"/>
  <c r="I340" i="269"/>
  <c r="J340" i="269"/>
  <c r="K340" i="269"/>
  <c r="M340" i="269"/>
  <c r="N340" i="269"/>
  <c r="O340" i="269"/>
  <c r="P340" i="269"/>
  <c r="E341" i="269"/>
  <c r="F341" i="269"/>
  <c r="J341" i="269"/>
  <c r="K341" i="269"/>
  <c r="M341" i="269"/>
  <c r="N341" i="269"/>
  <c r="O341" i="269"/>
  <c r="P341" i="269"/>
  <c r="R341" i="269" s="1"/>
  <c r="S341" i="269" s="1"/>
  <c r="Q341" i="269"/>
  <c r="E342" i="269"/>
  <c r="F342" i="269"/>
  <c r="J342" i="269"/>
  <c r="K342" i="269"/>
  <c r="M342" i="269"/>
  <c r="N342" i="269"/>
  <c r="O342" i="269" s="1"/>
  <c r="P342" i="269"/>
  <c r="Q342" i="269"/>
  <c r="R342" i="269"/>
  <c r="S342" i="269" s="1"/>
  <c r="E343" i="269"/>
  <c r="F343" i="269"/>
  <c r="J343" i="269"/>
  <c r="K343" i="269" s="1"/>
  <c r="M343" i="269"/>
  <c r="N343" i="269"/>
  <c r="O343" i="269"/>
  <c r="P343" i="269"/>
  <c r="Q343" i="269"/>
  <c r="R343" i="269"/>
  <c r="S343" i="269"/>
  <c r="E344" i="269"/>
  <c r="F344" i="269"/>
  <c r="H344" i="269"/>
  <c r="I344" i="269"/>
  <c r="J344" i="269"/>
  <c r="K344" i="269"/>
  <c r="M344" i="269"/>
  <c r="N344" i="269"/>
  <c r="O344" i="269"/>
  <c r="P344" i="269"/>
  <c r="E345" i="269"/>
  <c r="F345" i="269"/>
  <c r="J345" i="269"/>
  <c r="K345" i="269"/>
  <c r="M345" i="269"/>
  <c r="N345" i="269"/>
  <c r="O345" i="269"/>
  <c r="P345" i="269"/>
  <c r="R345" i="269" s="1"/>
  <c r="S345" i="269" s="1"/>
  <c r="Q345" i="269"/>
  <c r="E346" i="269"/>
  <c r="F346" i="269"/>
  <c r="J346" i="269"/>
  <c r="K346" i="269"/>
  <c r="M346" i="269"/>
  <c r="N346" i="269"/>
  <c r="O346" i="269" s="1"/>
  <c r="P346" i="269"/>
  <c r="Q346" i="269"/>
  <c r="R346" i="269"/>
  <c r="S346" i="269" s="1"/>
  <c r="E347" i="269"/>
  <c r="F347" i="269"/>
  <c r="J347" i="269"/>
  <c r="K347" i="269" s="1"/>
  <c r="M347" i="269"/>
  <c r="N347" i="269"/>
  <c r="O347" i="269"/>
  <c r="P347" i="269"/>
  <c r="Q347" i="269"/>
  <c r="R347" i="269"/>
  <c r="S347" i="269"/>
  <c r="E348" i="269"/>
  <c r="F348" i="269"/>
  <c r="H348" i="269"/>
  <c r="I348" i="269"/>
  <c r="J348" i="269"/>
  <c r="K348" i="269" s="1"/>
  <c r="M348" i="269"/>
  <c r="N348" i="269"/>
  <c r="O348" i="269"/>
  <c r="P348" i="269"/>
  <c r="E349" i="269"/>
  <c r="F349" i="269"/>
  <c r="J349" i="269"/>
  <c r="K349" i="269"/>
  <c r="M349" i="269"/>
  <c r="N349" i="269"/>
  <c r="O349" i="269"/>
  <c r="P349" i="269"/>
  <c r="E350" i="269"/>
  <c r="F350" i="269"/>
  <c r="J350" i="269"/>
  <c r="K350" i="269"/>
  <c r="M350" i="269"/>
  <c r="N350" i="269"/>
  <c r="O350" i="269" s="1"/>
  <c r="P350" i="269"/>
  <c r="Q350" i="269"/>
  <c r="R350" i="269"/>
  <c r="S350" i="269" s="1"/>
  <c r="E351" i="269"/>
  <c r="F351" i="269"/>
  <c r="J351" i="269"/>
  <c r="K351" i="269" s="1"/>
  <c r="M351" i="269"/>
  <c r="N351" i="269"/>
  <c r="O351" i="269"/>
  <c r="P351" i="269"/>
  <c r="Q351" i="269"/>
  <c r="R351" i="269"/>
  <c r="S351" i="269"/>
  <c r="E352" i="269"/>
  <c r="F352" i="269"/>
  <c r="H352" i="269"/>
  <c r="I352" i="269"/>
  <c r="J352" i="269"/>
  <c r="K352" i="269"/>
  <c r="M352" i="269"/>
  <c r="N352" i="269"/>
  <c r="O352" i="269"/>
  <c r="P352" i="269"/>
  <c r="E353" i="269"/>
  <c r="F353" i="269"/>
  <c r="J353" i="269"/>
  <c r="K353" i="269"/>
  <c r="M353" i="269"/>
  <c r="N353" i="269"/>
  <c r="O353" i="269"/>
  <c r="P353" i="269"/>
  <c r="R353" i="269" s="1"/>
  <c r="S353" i="269" s="1"/>
  <c r="Q353" i="269"/>
  <c r="E354" i="269"/>
  <c r="F354" i="269"/>
  <c r="J354" i="269"/>
  <c r="K354" i="269"/>
  <c r="M354" i="269"/>
  <c r="N354" i="269"/>
  <c r="O354" i="269" s="1"/>
  <c r="P354" i="269"/>
  <c r="Q354" i="269"/>
  <c r="R354" i="269"/>
  <c r="S354" i="269" s="1"/>
  <c r="E355" i="269"/>
  <c r="F355" i="269"/>
  <c r="J355" i="269"/>
  <c r="K355" i="269" s="1"/>
  <c r="M355" i="269"/>
  <c r="N355" i="269"/>
  <c r="O355" i="269" s="1"/>
  <c r="P355" i="269"/>
  <c r="Q355" i="269"/>
  <c r="R355" i="269"/>
  <c r="S355" i="269" s="1"/>
  <c r="E356" i="269"/>
  <c r="F356" i="269"/>
  <c r="J356" i="269"/>
  <c r="K356" i="269" s="1"/>
  <c r="M356" i="269"/>
  <c r="N356" i="269"/>
  <c r="O356" i="269"/>
  <c r="P356" i="269"/>
  <c r="E357" i="269"/>
  <c r="F357" i="269"/>
  <c r="J357" i="269"/>
  <c r="K357" i="269"/>
  <c r="M357" i="269"/>
  <c r="N357" i="269"/>
  <c r="O357" i="269"/>
  <c r="P357" i="269"/>
  <c r="E358" i="269"/>
  <c r="F358" i="269"/>
  <c r="J358" i="269"/>
  <c r="K358" i="269"/>
  <c r="M358" i="269"/>
  <c r="N358" i="269"/>
  <c r="O358" i="269" s="1"/>
  <c r="P358" i="269"/>
  <c r="Q358" i="269"/>
  <c r="R358" i="269"/>
  <c r="S358" i="269" s="1"/>
  <c r="E359" i="269"/>
  <c r="F359" i="269"/>
  <c r="J359" i="269"/>
  <c r="K359" i="269" s="1"/>
  <c r="M359" i="269"/>
  <c r="N359" i="269"/>
  <c r="O359" i="269"/>
  <c r="P359" i="269"/>
  <c r="Q359" i="269"/>
  <c r="R359" i="269"/>
  <c r="S359" i="269"/>
  <c r="E360" i="269"/>
  <c r="F360" i="269"/>
  <c r="J360" i="269"/>
  <c r="K360" i="269"/>
  <c r="M360" i="269"/>
  <c r="N360" i="269"/>
  <c r="O360" i="269"/>
  <c r="P360" i="269"/>
  <c r="E361" i="269"/>
  <c r="F361" i="269"/>
  <c r="J361" i="269"/>
  <c r="K361" i="269"/>
  <c r="M361" i="269"/>
  <c r="N361" i="269"/>
  <c r="O361" i="269"/>
  <c r="P361" i="269"/>
  <c r="R361" i="269" s="1"/>
  <c r="S361" i="269" s="1"/>
  <c r="Q361" i="269"/>
  <c r="E362" i="269"/>
  <c r="F362" i="269"/>
  <c r="H362" i="269"/>
  <c r="I362" i="269"/>
  <c r="J362" i="269"/>
  <c r="K362" i="269"/>
  <c r="M362" i="269"/>
  <c r="N362" i="269"/>
  <c r="O362" i="269" s="1"/>
  <c r="P362" i="269"/>
  <c r="Q362" i="269"/>
  <c r="R362" i="269"/>
  <c r="S362" i="269" s="1"/>
  <c r="E363" i="269"/>
  <c r="F363" i="269"/>
  <c r="H363" i="269"/>
  <c r="I363" i="269"/>
  <c r="J363" i="269"/>
  <c r="K363" i="269" s="1"/>
  <c r="M363" i="269"/>
  <c r="N363" i="269"/>
  <c r="O363" i="269"/>
  <c r="P363" i="269"/>
  <c r="Q363" i="269"/>
  <c r="R363" i="269"/>
  <c r="S363" i="269"/>
  <c r="E364" i="269"/>
  <c r="F364" i="269"/>
  <c r="H364" i="269"/>
  <c r="I364" i="269"/>
  <c r="J364" i="269"/>
  <c r="K364" i="269"/>
  <c r="M364" i="269"/>
  <c r="N364" i="269"/>
  <c r="O364" i="269"/>
  <c r="P364" i="269"/>
  <c r="E365" i="269"/>
  <c r="F365" i="269"/>
  <c r="J365" i="269"/>
  <c r="K365" i="269"/>
  <c r="M365" i="269"/>
  <c r="N365" i="269"/>
  <c r="O365" i="269"/>
  <c r="P365" i="269"/>
  <c r="R365" i="269" s="1"/>
  <c r="S365" i="269" s="1"/>
  <c r="Q365" i="269"/>
  <c r="E366" i="269"/>
  <c r="F366" i="269"/>
  <c r="J366" i="269"/>
  <c r="K366" i="269"/>
  <c r="M366" i="269"/>
  <c r="N366" i="269"/>
  <c r="O366" i="269" s="1"/>
  <c r="P366" i="269"/>
  <c r="Q366" i="269"/>
  <c r="R366" i="269"/>
  <c r="S366" i="269" s="1"/>
  <c r="E367" i="269"/>
  <c r="F367" i="269"/>
  <c r="H367" i="269"/>
  <c r="I367" i="269"/>
  <c r="J367" i="269"/>
  <c r="K367" i="269" s="1"/>
  <c r="M367" i="269"/>
  <c r="N367" i="269"/>
  <c r="O367" i="269"/>
  <c r="P367" i="269"/>
  <c r="Q367" i="269"/>
  <c r="R367" i="269"/>
  <c r="S367" i="269"/>
  <c r="E368" i="269"/>
  <c r="F368" i="269"/>
  <c r="H368" i="269"/>
  <c r="I368" i="269"/>
  <c r="J368" i="269"/>
  <c r="K368" i="269"/>
  <c r="M368" i="269"/>
  <c r="N368" i="269"/>
  <c r="O368" i="269"/>
  <c r="P368" i="269"/>
  <c r="E369" i="269"/>
  <c r="F369" i="269"/>
  <c r="J369" i="269"/>
  <c r="K369" i="269"/>
  <c r="M369" i="269"/>
  <c r="N369" i="269"/>
  <c r="O369" i="269"/>
  <c r="P369" i="269"/>
  <c r="R369" i="269" s="1"/>
  <c r="S369" i="269" s="1"/>
  <c r="Q369" i="269"/>
  <c r="E370" i="269"/>
  <c r="F370" i="269"/>
  <c r="J370" i="269"/>
  <c r="K370" i="269"/>
  <c r="M370" i="269"/>
  <c r="N370" i="269"/>
  <c r="O370" i="269" s="1"/>
  <c r="P370" i="269"/>
  <c r="Q370" i="269"/>
  <c r="R370" i="269"/>
  <c r="S370" i="269" s="1"/>
  <c r="E371" i="269"/>
  <c r="F371" i="269"/>
  <c r="H371" i="269"/>
  <c r="I371" i="269"/>
  <c r="J371" i="269"/>
  <c r="K371" i="269" s="1"/>
  <c r="M371" i="269"/>
  <c r="N371" i="269"/>
  <c r="O371" i="269"/>
  <c r="P371" i="269"/>
  <c r="Q371" i="269"/>
  <c r="R371" i="269"/>
  <c r="S371" i="269"/>
  <c r="E372" i="269"/>
  <c r="F372" i="269"/>
  <c r="H372" i="269"/>
  <c r="I372" i="269"/>
  <c r="J372" i="269"/>
  <c r="K372" i="269"/>
  <c r="M372" i="269"/>
  <c r="N372" i="269"/>
  <c r="O372" i="269"/>
  <c r="P372" i="269"/>
  <c r="E373" i="269"/>
  <c r="F373" i="269"/>
  <c r="J373" i="269"/>
  <c r="K373" i="269"/>
  <c r="M373" i="269"/>
  <c r="N373" i="269"/>
  <c r="O373" i="269"/>
  <c r="P373" i="269"/>
  <c r="R373" i="269" s="1"/>
  <c r="S373" i="269" s="1"/>
  <c r="Q373" i="269"/>
  <c r="E374" i="269"/>
  <c r="F374" i="269"/>
  <c r="J374" i="269"/>
  <c r="K374" i="269"/>
  <c r="M374" i="269"/>
  <c r="N374" i="269"/>
  <c r="O374" i="269" s="1"/>
  <c r="P374" i="269"/>
  <c r="Q374" i="269"/>
  <c r="R374" i="269"/>
  <c r="S374" i="269" s="1"/>
  <c r="E375" i="269"/>
  <c r="F375" i="269"/>
  <c r="H375" i="269"/>
  <c r="I375" i="269"/>
  <c r="J375" i="269"/>
  <c r="K375" i="269" s="1"/>
  <c r="M375" i="269"/>
  <c r="N375" i="269"/>
  <c r="O375" i="269"/>
  <c r="P375" i="269"/>
  <c r="Q375" i="269"/>
  <c r="R375" i="269"/>
  <c r="S375" i="269"/>
  <c r="E376" i="269"/>
  <c r="F376" i="269"/>
  <c r="H376" i="269"/>
  <c r="I376" i="269"/>
  <c r="J376" i="269"/>
  <c r="K376" i="269"/>
  <c r="M376" i="269"/>
  <c r="N376" i="269"/>
  <c r="O376" i="269"/>
  <c r="P376" i="269"/>
  <c r="E377" i="269"/>
  <c r="F377" i="269"/>
  <c r="H377" i="269"/>
  <c r="I377" i="269" s="1"/>
  <c r="J377" i="269"/>
  <c r="K377" i="269"/>
  <c r="M377" i="269"/>
  <c r="N377" i="269"/>
  <c r="O377" i="269"/>
  <c r="P377" i="269"/>
  <c r="R377" i="269" s="1"/>
  <c r="S377" i="269" s="1"/>
  <c r="Q377" i="269"/>
  <c r="X377" i="269"/>
  <c r="AB377" i="269"/>
  <c r="E378" i="269"/>
  <c r="F378" i="269"/>
  <c r="J378" i="269"/>
  <c r="K378" i="269"/>
  <c r="M378" i="269"/>
  <c r="N378" i="269"/>
  <c r="O378" i="269" s="1"/>
  <c r="P378" i="269"/>
  <c r="Q378" i="269"/>
  <c r="R378" i="269"/>
  <c r="S378" i="269" s="1"/>
  <c r="E379" i="269"/>
  <c r="F379" i="269"/>
  <c r="H379" i="269"/>
  <c r="I379" i="269"/>
  <c r="J379" i="269"/>
  <c r="K379" i="269" s="1"/>
  <c r="M379" i="269"/>
  <c r="N379" i="269"/>
  <c r="O379" i="269"/>
  <c r="P379" i="269"/>
  <c r="Q379" i="269"/>
  <c r="R379" i="269"/>
  <c r="S379" i="269"/>
  <c r="E380" i="269"/>
  <c r="F380" i="269"/>
  <c r="H380" i="269"/>
  <c r="I380" i="269"/>
  <c r="J380" i="269"/>
  <c r="K380" i="269"/>
  <c r="M380" i="269"/>
  <c r="N380" i="269"/>
  <c r="O380" i="269"/>
  <c r="P380" i="269"/>
  <c r="E381" i="269"/>
  <c r="F381" i="269"/>
  <c r="H381" i="269"/>
  <c r="I381" i="269" s="1"/>
  <c r="J381" i="269"/>
  <c r="K381" i="269"/>
  <c r="M381" i="269"/>
  <c r="N381" i="269"/>
  <c r="O381" i="269"/>
  <c r="P381" i="269"/>
  <c r="R381" i="269" s="1"/>
  <c r="S381" i="269" s="1"/>
  <c r="Q381" i="269"/>
  <c r="X381" i="269"/>
  <c r="AB381" i="269"/>
  <c r="E382" i="269"/>
  <c r="F382" i="269"/>
  <c r="J382" i="269"/>
  <c r="K382" i="269"/>
  <c r="M382" i="269"/>
  <c r="N382" i="269"/>
  <c r="O382" i="269" s="1"/>
  <c r="P382" i="269"/>
  <c r="Q382" i="269"/>
  <c r="R382" i="269"/>
  <c r="S382" i="269" s="1"/>
  <c r="E383" i="269"/>
  <c r="F383" i="269"/>
  <c r="H383" i="269"/>
  <c r="I383" i="269"/>
  <c r="J383" i="269"/>
  <c r="K383" i="269" s="1"/>
  <c r="M383" i="269"/>
  <c r="N383" i="269"/>
  <c r="O383" i="269"/>
  <c r="P383" i="269"/>
  <c r="Q383" i="269"/>
  <c r="R383" i="269"/>
  <c r="S383" i="269"/>
  <c r="E384" i="269"/>
  <c r="F384" i="269"/>
  <c r="H384" i="269"/>
  <c r="I384" i="269"/>
  <c r="J384" i="269"/>
  <c r="K384" i="269"/>
  <c r="M384" i="269"/>
  <c r="N384" i="269"/>
  <c r="O384" i="269"/>
  <c r="P384" i="269"/>
  <c r="E385" i="269"/>
  <c r="F385" i="269"/>
  <c r="J385" i="269"/>
  <c r="K385" i="269"/>
  <c r="M385" i="269"/>
  <c r="N385" i="269"/>
  <c r="O385" i="269"/>
  <c r="P385" i="269"/>
  <c r="R385" i="269" s="1"/>
  <c r="S385" i="269" s="1"/>
  <c r="Q385" i="269"/>
  <c r="E386" i="269"/>
  <c r="F386" i="269"/>
  <c r="J386" i="269"/>
  <c r="K386" i="269"/>
  <c r="M386" i="269"/>
  <c r="N386" i="269"/>
  <c r="O386" i="269" s="1"/>
  <c r="P386" i="269"/>
  <c r="Q386" i="269"/>
  <c r="R386" i="269"/>
  <c r="S386" i="269" s="1"/>
  <c r="E387" i="269"/>
  <c r="F387" i="269"/>
  <c r="H387" i="269"/>
  <c r="I387" i="269"/>
  <c r="J387" i="269"/>
  <c r="K387" i="269" s="1"/>
  <c r="M387" i="269"/>
  <c r="N387" i="269"/>
  <c r="O387" i="269"/>
  <c r="P387" i="269"/>
  <c r="Q387" i="269"/>
  <c r="R387" i="269"/>
  <c r="S387" i="269"/>
  <c r="E388" i="269"/>
  <c r="F388" i="269"/>
  <c r="H388" i="269"/>
  <c r="I388" i="269"/>
  <c r="J388" i="269"/>
  <c r="K388" i="269"/>
  <c r="M388" i="269"/>
  <c r="N388" i="269"/>
  <c r="O388" i="269"/>
  <c r="P388" i="269"/>
  <c r="E389" i="269"/>
  <c r="F389" i="269"/>
  <c r="J389" i="269"/>
  <c r="K389" i="269"/>
  <c r="M389" i="269"/>
  <c r="N389" i="269"/>
  <c r="O389" i="269"/>
  <c r="P389" i="269"/>
  <c r="R389" i="269" s="1"/>
  <c r="S389" i="269" s="1"/>
  <c r="Q389" i="269"/>
  <c r="E390" i="269"/>
  <c r="F390" i="269"/>
  <c r="H390" i="269"/>
  <c r="I390" i="269"/>
  <c r="J390" i="269"/>
  <c r="K390" i="269"/>
  <c r="M390" i="269"/>
  <c r="N390" i="269"/>
  <c r="O390" i="269" s="1"/>
  <c r="P390" i="269"/>
  <c r="Q390" i="269"/>
  <c r="R390" i="269"/>
  <c r="S390" i="269" s="1"/>
  <c r="E391" i="269"/>
  <c r="F391" i="269"/>
  <c r="H391" i="269"/>
  <c r="I391" i="269"/>
  <c r="J391" i="269"/>
  <c r="K391" i="269" s="1"/>
  <c r="M391" i="269"/>
  <c r="N391" i="269"/>
  <c r="O391" i="269"/>
  <c r="P391" i="269"/>
  <c r="Q391" i="269"/>
  <c r="R391" i="269"/>
  <c r="S391" i="269"/>
  <c r="E392" i="269"/>
  <c r="F392" i="269"/>
  <c r="H392" i="269"/>
  <c r="I392" i="269"/>
  <c r="J392" i="269"/>
  <c r="K392" i="269"/>
  <c r="M392" i="269"/>
  <c r="N392" i="269"/>
  <c r="O392" i="269"/>
  <c r="P392" i="269"/>
  <c r="E393" i="269"/>
  <c r="F393" i="269"/>
  <c r="J393" i="269"/>
  <c r="K393" i="269"/>
  <c r="M393" i="269"/>
  <c r="N393" i="269"/>
  <c r="O393" i="269"/>
  <c r="P393" i="269"/>
  <c r="R393" i="269" s="1"/>
  <c r="S393" i="269" s="1"/>
  <c r="Q393" i="269"/>
  <c r="E394" i="269"/>
  <c r="F394" i="269"/>
  <c r="H394" i="269"/>
  <c r="I394" i="269"/>
  <c r="J394" i="269"/>
  <c r="K394" i="269"/>
  <c r="M394" i="269"/>
  <c r="N394" i="269"/>
  <c r="O394" i="269" s="1"/>
  <c r="P394" i="269"/>
  <c r="Q394" i="269"/>
  <c r="R394" i="269"/>
  <c r="S394" i="269" s="1"/>
  <c r="E395" i="269"/>
  <c r="F395" i="269"/>
  <c r="H395" i="269"/>
  <c r="I395" i="269"/>
  <c r="J395" i="269"/>
  <c r="K395" i="269" s="1"/>
  <c r="M395" i="269"/>
  <c r="N395" i="269"/>
  <c r="O395" i="269"/>
  <c r="P395" i="269"/>
  <c r="Q395" i="269"/>
  <c r="R395" i="269"/>
  <c r="S395" i="269"/>
  <c r="E396" i="269"/>
  <c r="F396" i="269"/>
  <c r="H396" i="269"/>
  <c r="I396" i="269"/>
  <c r="J396" i="269"/>
  <c r="K396" i="269"/>
  <c r="M396" i="269"/>
  <c r="N396" i="269"/>
  <c r="O396" i="269"/>
  <c r="P396" i="269"/>
  <c r="E397" i="269"/>
  <c r="F397" i="269"/>
  <c r="H397" i="269"/>
  <c r="I397" i="269" s="1"/>
  <c r="J397" i="269"/>
  <c r="K397" i="269"/>
  <c r="M397" i="269"/>
  <c r="N397" i="269"/>
  <c r="O397" i="269"/>
  <c r="P397" i="269"/>
  <c r="R397" i="269" s="1"/>
  <c r="S397" i="269" s="1"/>
  <c r="Q397" i="269"/>
  <c r="X397" i="269"/>
  <c r="AB397" i="269"/>
  <c r="E398" i="269"/>
  <c r="F398" i="269"/>
  <c r="J398" i="269"/>
  <c r="K398" i="269"/>
  <c r="M398" i="269"/>
  <c r="N398" i="269"/>
  <c r="O398" i="269" s="1"/>
  <c r="P398" i="269"/>
  <c r="Q398" i="269"/>
  <c r="R398" i="269"/>
  <c r="S398" i="269" s="1"/>
  <c r="E399" i="269"/>
  <c r="F399" i="269"/>
  <c r="J399" i="269"/>
  <c r="K399" i="269" s="1"/>
  <c r="M399" i="269"/>
  <c r="N399" i="269"/>
  <c r="O399" i="269"/>
  <c r="P399" i="269"/>
  <c r="Q399" i="269"/>
  <c r="R399" i="269"/>
  <c r="S399" i="269"/>
  <c r="E400" i="269"/>
  <c r="F400" i="269"/>
  <c r="H400" i="269"/>
  <c r="I400" i="269"/>
  <c r="J400" i="269"/>
  <c r="K400" i="269" s="1"/>
  <c r="M400" i="269"/>
  <c r="N400" i="269"/>
  <c r="O400" i="269"/>
  <c r="P400" i="269"/>
  <c r="E401" i="269"/>
  <c r="F401" i="269"/>
  <c r="H401" i="269"/>
  <c r="I401" i="269" s="1"/>
  <c r="J401" i="269"/>
  <c r="K401" i="269"/>
  <c r="M401" i="269"/>
  <c r="N401" i="269"/>
  <c r="O401" i="269"/>
  <c r="P401" i="269"/>
  <c r="E402" i="269"/>
  <c r="F402" i="269"/>
  <c r="H402" i="269"/>
  <c r="I402" i="269"/>
  <c r="J402" i="269"/>
  <c r="K402" i="269"/>
  <c r="M402" i="269"/>
  <c r="N402" i="269"/>
  <c r="O402" i="269" s="1"/>
  <c r="P402" i="269"/>
  <c r="Q402" i="269"/>
  <c r="R402" i="269"/>
  <c r="S402" i="269" s="1"/>
  <c r="E403" i="269"/>
  <c r="F403" i="269"/>
  <c r="H403" i="269"/>
  <c r="I403" i="269"/>
  <c r="J403" i="269"/>
  <c r="K403" i="269" s="1"/>
  <c r="M403" i="269"/>
  <c r="N403" i="269"/>
  <c r="O403" i="269"/>
  <c r="P403" i="269"/>
  <c r="Q403" i="269"/>
  <c r="R403" i="269"/>
  <c r="S403" i="269"/>
  <c r="E404" i="269"/>
  <c r="F404" i="269"/>
  <c r="H404" i="269"/>
  <c r="I404" i="269"/>
  <c r="M404" i="269"/>
  <c r="N404" i="269"/>
  <c r="O404" i="269"/>
  <c r="P404" i="269"/>
  <c r="E405" i="269"/>
  <c r="F405" i="269"/>
  <c r="H405" i="269"/>
  <c r="I405" i="269" s="1"/>
  <c r="M405" i="269"/>
  <c r="N405" i="269"/>
  <c r="O405" i="269"/>
  <c r="P405" i="269"/>
  <c r="R405" i="269" s="1"/>
  <c r="S405" i="269" s="1"/>
  <c r="Q405" i="269"/>
  <c r="E406" i="269"/>
  <c r="F406" i="269"/>
  <c r="H406" i="269"/>
  <c r="I406" i="269"/>
  <c r="M406" i="269"/>
  <c r="N406" i="269"/>
  <c r="O406" i="269" s="1"/>
  <c r="P406" i="269"/>
  <c r="Q406" i="269"/>
  <c r="R406" i="269"/>
  <c r="S406" i="269" s="1"/>
  <c r="E407" i="269"/>
  <c r="F407" i="269"/>
  <c r="H407" i="269"/>
  <c r="I407" i="269"/>
  <c r="M407" i="269"/>
  <c r="N407" i="269"/>
  <c r="O407" i="269"/>
  <c r="P407" i="269"/>
  <c r="Q407" i="269"/>
  <c r="R407" i="269"/>
  <c r="S407" i="269"/>
  <c r="E408" i="269"/>
  <c r="F408" i="269"/>
  <c r="H408" i="269"/>
  <c r="I408" i="269"/>
  <c r="M408" i="269"/>
  <c r="N408" i="269"/>
  <c r="O408" i="269"/>
  <c r="P408" i="269"/>
  <c r="E409" i="269"/>
  <c r="F409" i="269"/>
  <c r="H409" i="269"/>
  <c r="I409" i="269" s="1"/>
  <c r="M409" i="269"/>
  <c r="N409" i="269"/>
  <c r="O409" i="269"/>
  <c r="P409" i="269"/>
  <c r="E410" i="269"/>
  <c r="F410" i="269"/>
  <c r="H410" i="269"/>
  <c r="I410" i="269"/>
  <c r="M410" i="269"/>
  <c r="N410" i="269"/>
  <c r="O410" i="269" s="1"/>
  <c r="P410" i="269"/>
  <c r="Q410" i="269"/>
  <c r="R410" i="269"/>
  <c r="S410" i="269" s="1"/>
  <c r="E411" i="269"/>
  <c r="F411" i="269"/>
  <c r="H411" i="269"/>
  <c r="I411" i="269"/>
  <c r="M411" i="269"/>
  <c r="N411" i="269"/>
  <c r="O411" i="269" s="1"/>
  <c r="P411" i="269"/>
  <c r="Q411" i="269"/>
  <c r="R411" i="269"/>
  <c r="S411" i="269" s="1"/>
  <c r="E412" i="269"/>
  <c r="F412" i="269"/>
  <c r="M412" i="269"/>
  <c r="N412" i="269"/>
  <c r="O412" i="269"/>
  <c r="P412" i="269"/>
  <c r="Q412" i="269" s="1"/>
  <c r="R412" i="269"/>
  <c r="S412" i="269"/>
  <c r="E413" i="269"/>
  <c r="F413" i="269"/>
  <c r="H413" i="269"/>
  <c r="I413" i="269" s="1"/>
  <c r="M413" i="269"/>
  <c r="N413" i="269"/>
  <c r="O413" i="269"/>
  <c r="P413" i="269"/>
  <c r="R413" i="269" s="1"/>
  <c r="Q413" i="269"/>
  <c r="S413" i="269"/>
  <c r="E414" i="269"/>
  <c r="F414" i="269"/>
  <c r="J414" i="269"/>
  <c r="K414" i="269"/>
  <c r="M414" i="269"/>
  <c r="N414" i="269"/>
  <c r="O414" i="269" s="1"/>
  <c r="P414" i="269"/>
  <c r="Q414" i="269"/>
  <c r="R414" i="269"/>
  <c r="S414" i="269" s="1"/>
  <c r="E415" i="269"/>
  <c r="F415" i="269"/>
  <c r="H415" i="269"/>
  <c r="I415" i="269" s="1"/>
  <c r="M415" i="269"/>
  <c r="N415" i="269"/>
  <c r="O415" i="269" s="1"/>
  <c r="P415" i="269"/>
  <c r="Q415" i="269"/>
  <c r="R415" i="269"/>
  <c r="S415" i="269" s="1"/>
  <c r="E416" i="269"/>
  <c r="F416" i="269"/>
  <c r="H416" i="269"/>
  <c r="I416" i="269"/>
  <c r="J416" i="269"/>
  <c r="K416" i="269" s="1"/>
  <c r="M416" i="269"/>
  <c r="N416" i="269"/>
  <c r="O416" i="269"/>
  <c r="P416" i="269"/>
  <c r="Q416" i="269" s="1"/>
  <c r="E417" i="269"/>
  <c r="F417" i="269"/>
  <c r="H417" i="269"/>
  <c r="I417" i="269" s="1"/>
  <c r="J417" i="269"/>
  <c r="K417" i="269" s="1"/>
  <c r="M417" i="269"/>
  <c r="N417" i="269"/>
  <c r="O417" i="269"/>
  <c r="P417" i="269"/>
  <c r="R417" i="269" s="1"/>
  <c r="S417" i="269"/>
  <c r="E418" i="269"/>
  <c r="F418" i="269"/>
  <c r="H418" i="269"/>
  <c r="I418" i="269" s="1"/>
  <c r="M418" i="269"/>
  <c r="N418" i="269"/>
  <c r="O418" i="269" s="1"/>
  <c r="P418" i="269"/>
  <c r="Q418" i="269" s="1"/>
  <c r="R418" i="269"/>
  <c r="S418" i="269" s="1"/>
  <c r="E419" i="269"/>
  <c r="F419" i="269"/>
  <c r="H419" i="269"/>
  <c r="I419" i="269" s="1"/>
  <c r="M419" i="269"/>
  <c r="N419" i="269"/>
  <c r="O419" i="269" s="1"/>
  <c r="P419" i="269"/>
  <c r="Q419" i="269"/>
  <c r="R419" i="269"/>
  <c r="S419" i="269" s="1"/>
  <c r="E420" i="269"/>
  <c r="F420" i="269"/>
  <c r="H420" i="269"/>
  <c r="I420" i="269"/>
  <c r="J420" i="269"/>
  <c r="K420" i="269"/>
  <c r="M420" i="269"/>
  <c r="N420" i="269"/>
  <c r="O420" i="269"/>
  <c r="P420" i="269"/>
  <c r="E421" i="269"/>
  <c r="F421" i="269"/>
  <c r="J421" i="269"/>
  <c r="K421" i="269"/>
  <c r="M421" i="269"/>
  <c r="N421" i="269"/>
  <c r="O421" i="269"/>
  <c r="P421" i="269"/>
  <c r="E422" i="269"/>
  <c r="F422" i="269"/>
  <c r="H422" i="269"/>
  <c r="I422" i="269"/>
  <c r="M422" i="269"/>
  <c r="N422" i="269"/>
  <c r="O422" i="269" s="1"/>
  <c r="P422" i="269"/>
  <c r="E423" i="269"/>
  <c r="F423" i="269"/>
  <c r="H423" i="269"/>
  <c r="I423" i="269"/>
  <c r="M423" i="269"/>
  <c r="N423" i="269"/>
  <c r="O423" i="269"/>
  <c r="P423" i="269"/>
  <c r="Q423" i="269"/>
  <c r="R423" i="269"/>
  <c r="S423" i="269"/>
  <c r="E424" i="269"/>
  <c r="F424" i="269"/>
  <c r="H424" i="269"/>
  <c r="I424" i="269"/>
  <c r="J424" i="269"/>
  <c r="K424" i="269"/>
  <c r="M424" i="269"/>
  <c r="N424" i="269"/>
  <c r="O424" i="269" s="1"/>
  <c r="P424" i="269"/>
  <c r="Q424" i="269" s="1"/>
  <c r="R424" i="269"/>
  <c r="S424" i="269" s="1"/>
  <c r="E425" i="269"/>
  <c r="F425" i="269"/>
  <c r="H425" i="269"/>
  <c r="I425" i="269" s="1"/>
  <c r="M425" i="269"/>
  <c r="N425" i="269"/>
  <c r="O425" i="269"/>
  <c r="P425" i="269"/>
  <c r="R425" i="269" s="1"/>
  <c r="S425" i="269" s="1"/>
  <c r="Q425" i="269"/>
  <c r="E426" i="269"/>
  <c r="F426" i="269"/>
  <c r="H426" i="269"/>
  <c r="I426" i="269"/>
  <c r="J426" i="269"/>
  <c r="K426" i="269"/>
  <c r="M426" i="269"/>
  <c r="N426" i="269"/>
  <c r="O426" i="269" s="1"/>
  <c r="P426" i="269"/>
  <c r="E427" i="269"/>
  <c r="F427" i="269"/>
  <c r="H427" i="269"/>
  <c r="I427" i="269"/>
  <c r="M427" i="269"/>
  <c r="N427" i="269"/>
  <c r="O427" i="269"/>
  <c r="P427" i="269"/>
  <c r="Q427" i="269"/>
  <c r="R427" i="269"/>
  <c r="S427" i="269"/>
  <c r="E428" i="269"/>
  <c r="F428" i="269"/>
  <c r="H428" i="269"/>
  <c r="I428" i="269"/>
  <c r="M428" i="269"/>
  <c r="N428" i="269"/>
  <c r="O428" i="269" s="1"/>
  <c r="P428" i="269"/>
  <c r="Q428" i="269" s="1"/>
  <c r="R428" i="269"/>
  <c r="S428" i="269" s="1"/>
  <c r="E429" i="269"/>
  <c r="F429" i="269"/>
  <c r="H429" i="269"/>
  <c r="I429" i="269" s="1"/>
  <c r="M429" i="269"/>
  <c r="N429" i="269"/>
  <c r="O429" i="269"/>
  <c r="P429" i="269"/>
  <c r="R429" i="269" s="1"/>
  <c r="S429" i="269" s="1"/>
  <c r="Q429" i="269"/>
  <c r="E430" i="269"/>
  <c r="F430" i="269"/>
  <c r="J430" i="269"/>
  <c r="K430" i="269"/>
  <c r="M430" i="269"/>
  <c r="N430" i="269"/>
  <c r="O430" i="269" s="1"/>
  <c r="P430" i="269"/>
  <c r="E431" i="269"/>
  <c r="F431" i="269"/>
  <c r="H431" i="269"/>
  <c r="I431" i="269"/>
  <c r="M431" i="269"/>
  <c r="N431" i="269"/>
  <c r="O431" i="269"/>
  <c r="P431" i="269"/>
  <c r="Q431" i="269"/>
  <c r="R431" i="269"/>
  <c r="S431" i="269"/>
  <c r="E432" i="269"/>
  <c r="F432" i="269"/>
  <c r="H432" i="269"/>
  <c r="I432" i="269"/>
  <c r="J432" i="269"/>
  <c r="K432" i="269"/>
  <c r="M432" i="269"/>
  <c r="N432" i="269"/>
  <c r="O432" i="269" s="1"/>
  <c r="P432" i="269"/>
  <c r="Q432" i="269" s="1"/>
  <c r="R432" i="269"/>
  <c r="S432" i="269" s="1"/>
  <c r="E433" i="269"/>
  <c r="F433" i="269"/>
  <c r="H433" i="269"/>
  <c r="I433" i="269" s="1"/>
  <c r="J433" i="269"/>
  <c r="K433" i="269"/>
  <c r="M433" i="269"/>
  <c r="N433" i="269"/>
  <c r="O433" i="269"/>
  <c r="P433" i="269"/>
  <c r="R433" i="269" s="1"/>
  <c r="S433" i="269" s="1"/>
  <c r="Q433" i="269"/>
  <c r="E434" i="269"/>
  <c r="F434" i="269"/>
  <c r="H434" i="269"/>
  <c r="I434" i="269"/>
  <c r="M434" i="269"/>
  <c r="N434" i="269"/>
  <c r="O434" i="269" s="1"/>
  <c r="P434" i="269"/>
  <c r="R434" i="269" s="1"/>
  <c r="S434" i="269" s="1"/>
  <c r="Q434" i="269"/>
  <c r="E435" i="269"/>
  <c r="F435" i="269"/>
  <c r="H435" i="269"/>
  <c r="I435" i="269"/>
  <c r="M435" i="269"/>
  <c r="N435" i="269"/>
  <c r="O435" i="269"/>
  <c r="P435" i="269"/>
  <c r="Q435" i="269"/>
  <c r="R435" i="269"/>
  <c r="S435" i="269"/>
  <c r="E436" i="269"/>
  <c r="F436" i="269"/>
  <c r="H436" i="269"/>
  <c r="I436" i="269"/>
  <c r="J436" i="269"/>
  <c r="K436" i="269" s="1"/>
  <c r="M436" i="269"/>
  <c r="N436" i="269"/>
  <c r="O436" i="269" s="1"/>
  <c r="P436" i="269"/>
  <c r="Q436" i="269" s="1"/>
  <c r="R436" i="269"/>
  <c r="S436" i="269"/>
  <c r="E437" i="269"/>
  <c r="F437" i="269"/>
  <c r="J437" i="269"/>
  <c r="K437" i="269"/>
  <c r="M437" i="269"/>
  <c r="N437" i="269"/>
  <c r="O437" i="269"/>
  <c r="P437" i="269"/>
  <c r="R437" i="269" s="1"/>
  <c r="Q437" i="269"/>
  <c r="S437" i="269"/>
  <c r="E438" i="269"/>
  <c r="F438" i="269"/>
  <c r="H438" i="269"/>
  <c r="I438" i="269"/>
  <c r="M438" i="269"/>
  <c r="N438" i="269"/>
  <c r="O438" i="269" s="1"/>
  <c r="P438" i="269"/>
  <c r="Q438" i="269"/>
  <c r="R438" i="269"/>
  <c r="S438" i="269" s="1"/>
  <c r="E439" i="269"/>
  <c r="F439" i="269"/>
  <c r="H439" i="269"/>
  <c r="I439" i="269"/>
  <c r="M439" i="269"/>
  <c r="N439" i="269"/>
  <c r="O439" i="269"/>
  <c r="P439" i="269"/>
  <c r="Q439" i="269"/>
  <c r="R439" i="269"/>
  <c r="S439" i="269"/>
  <c r="E440" i="269"/>
  <c r="F440" i="269"/>
  <c r="H440" i="269"/>
  <c r="I440" i="269"/>
  <c r="J440" i="269"/>
  <c r="K440" i="269" s="1"/>
  <c r="M440" i="269"/>
  <c r="N440" i="269"/>
  <c r="O440" i="269"/>
  <c r="P440" i="269"/>
  <c r="Q440" i="269" s="1"/>
  <c r="R440" i="269"/>
  <c r="S440" i="269"/>
  <c r="X440" i="269"/>
  <c r="AB440" i="269" s="1"/>
  <c r="E441" i="269"/>
  <c r="F441" i="269"/>
  <c r="H441" i="269"/>
  <c r="I441" i="269" s="1"/>
  <c r="M441" i="269"/>
  <c r="N441" i="269"/>
  <c r="O441" i="269"/>
  <c r="P441" i="269"/>
  <c r="R441" i="269" s="1"/>
  <c r="Q441" i="269"/>
  <c r="S441" i="269"/>
  <c r="E442" i="269"/>
  <c r="F442" i="269"/>
  <c r="H442" i="269"/>
  <c r="I442" i="269" s="1"/>
  <c r="X442" i="269" s="1"/>
  <c r="AB442" i="269" s="1"/>
  <c r="J442" i="269"/>
  <c r="K442" i="269"/>
  <c r="M442" i="269"/>
  <c r="N442" i="269"/>
  <c r="O442" i="269" s="1"/>
  <c r="P442" i="269"/>
  <c r="Q442" i="269"/>
  <c r="R442" i="269"/>
  <c r="S442" i="269" s="1"/>
  <c r="E443" i="269"/>
  <c r="F443" i="269"/>
  <c r="H443" i="269"/>
  <c r="I443" i="269"/>
  <c r="M443" i="269"/>
  <c r="N443" i="269"/>
  <c r="O443" i="269"/>
  <c r="P443" i="269"/>
  <c r="Q443" i="269"/>
  <c r="R443" i="269"/>
  <c r="S443" i="269"/>
  <c r="E444" i="269"/>
  <c r="F444" i="269"/>
  <c r="H444" i="269"/>
  <c r="I444" i="269"/>
  <c r="M444" i="269"/>
  <c r="N444" i="269"/>
  <c r="O444" i="269"/>
  <c r="P444" i="269"/>
  <c r="Q444" i="269" s="1"/>
  <c r="R444" i="269"/>
  <c r="S444" i="269"/>
  <c r="E445" i="269"/>
  <c r="F445" i="269"/>
  <c r="H445" i="269"/>
  <c r="I445" i="269" s="1"/>
  <c r="M445" i="269"/>
  <c r="N445" i="269"/>
  <c r="O445" i="269"/>
  <c r="P445" i="269"/>
  <c r="R445" i="269" s="1"/>
  <c r="S445" i="269"/>
  <c r="E446" i="269"/>
  <c r="F446" i="269"/>
  <c r="H446" i="269"/>
  <c r="I446" i="269" s="1"/>
  <c r="M446" i="269"/>
  <c r="N446" i="269"/>
  <c r="O446" i="269" s="1"/>
  <c r="P446" i="269"/>
  <c r="Q446" i="269" s="1"/>
  <c r="R446" i="269"/>
  <c r="S446" i="269" s="1"/>
  <c r="E447" i="269"/>
  <c r="F447" i="269"/>
  <c r="H447" i="269"/>
  <c r="I447" i="269" s="1"/>
  <c r="M447" i="269"/>
  <c r="N447" i="269"/>
  <c r="O447" i="269" s="1"/>
  <c r="P447" i="269"/>
  <c r="Q447" i="269"/>
  <c r="R447" i="269"/>
  <c r="S447" i="269" s="1"/>
  <c r="E448" i="269"/>
  <c r="F448" i="269"/>
  <c r="H448" i="269"/>
  <c r="I448" i="269"/>
  <c r="M448" i="269"/>
  <c r="N448" i="269"/>
  <c r="O448" i="269"/>
  <c r="P448" i="269"/>
  <c r="E449" i="269"/>
  <c r="F449" i="269"/>
  <c r="H449" i="269"/>
  <c r="I449" i="269" s="1"/>
  <c r="M449" i="269"/>
  <c r="N449" i="269"/>
  <c r="O449" i="269"/>
  <c r="P449" i="269"/>
  <c r="E450" i="269"/>
  <c r="F450" i="269"/>
  <c r="H450" i="269"/>
  <c r="I450" i="269"/>
  <c r="J450" i="269"/>
  <c r="K450" i="269"/>
  <c r="M450" i="269"/>
  <c r="N450" i="269"/>
  <c r="O450" i="269" s="1"/>
  <c r="P450" i="269"/>
  <c r="Q450" i="269"/>
  <c r="R450" i="269"/>
  <c r="S450" i="269" s="1"/>
  <c r="X450" i="269"/>
  <c r="AB450" i="269" s="1"/>
  <c r="E451" i="269"/>
  <c r="F451" i="269"/>
  <c r="M451" i="269"/>
  <c r="N451" i="269"/>
  <c r="O451" i="269" s="1"/>
  <c r="P451" i="269"/>
  <c r="Q451" i="269"/>
  <c r="R451" i="269"/>
  <c r="S451" i="269" s="1"/>
  <c r="E452" i="269"/>
  <c r="F452" i="269"/>
  <c r="H452" i="269"/>
  <c r="I452" i="269"/>
  <c r="J452" i="269"/>
  <c r="K452" i="269"/>
  <c r="M452" i="269"/>
  <c r="N452" i="269"/>
  <c r="O452" i="269"/>
  <c r="P452" i="269"/>
  <c r="E453" i="269"/>
  <c r="F453" i="269"/>
  <c r="H453" i="269"/>
  <c r="I453" i="269" s="1"/>
  <c r="M453" i="269"/>
  <c r="N453" i="269"/>
  <c r="O453" i="269"/>
  <c r="P453" i="269"/>
  <c r="E454" i="269"/>
  <c r="F454" i="269"/>
  <c r="H454" i="269"/>
  <c r="I454" i="269"/>
  <c r="M454" i="269"/>
  <c r="N454" i="269"/>
  <c r="O454" i="269" s="1"/>
  <c r="P454" i="269"/>
  <c r="E455" i="269"/>
  <c r="F455" i="269"/>
  <c r="H455" i="269"/>
  <c r="I455" i="269"/>
  <c r="M455" i="269"/>
  <c r="N455" i="269"/>
  <c r="O455" i="269"/>
  <c r="P455" i="269"/>
  <c r="Q455" i="269"/>
  <c r="R455" i="269"/>
  <c r="S455" i="269"/>
  <c r="E456" i="269"/>
  <c r="F456" i="269"/>
  <c r="J456" i="269"/>
  <c r="K456" i="269"/>
  <c r="M456" i="269"/>
  <c r="N456" i="269"/>
  <c r="O456" i="269" s="1"/>
  <c r="P456" i="269"/>
  <c r="Q456" i="269" s="1"/>
  <c r="R456" i="269"/>
  <c r="S456" i="269"/>
  <c r="E457" i="269"/>
  <c r="F457" i="269"/>
  <c r="H457" i="269"/>
  <c r="I457" i="269" s="1"/>
  <c r="M457" i="269"/>
  <c r="N457" i="269"/>
  <c r="O457" i="269"/>
  <c r="P457" i="269"/>
  <c r="R457" i="269" s="1"/>
  <c r="Q457" i="269"/>
  <c r="S457" i="269"/>
  <c r="E458" i="269"/>
  <c r="F458" i="269"/>
  <c r="H458" i="269"/>
  <c r="I458" i="269"/>
  <c r="J458" i="269"/>
  <c r="K458" i="269"/>
  <c r="M458" i="269"/>
  <c r="N458" i="269"/>
  <c r="O458" i="269" s="1"/>
  <c r="P458" i="269"/>
  <c r="R458" i="269" s="1"/>
  <c r="S458" i="269" s="1"/>
  <c r="Q458" i="269"/>
  <c r="E459" i="269"/>
  <c r="F459" i="269"/>
  <c r="H459" i="269"/>
  <c r="I459" i="269"/>
  <c r="M459" i="269"/>
  <c r="N459" i="269"/>
  <c r="O459" i="269"/>
  <c r="P459" i="269"/>
  <c r="Q459" i="269"/>
  <c r="R459" i="269"/>
  <c r="S459" i="269"/>
  <c r="E460" i="269"/>
  <c r="F460" i="269"/>
  <c r="J460" i="269"/>
  <c r="K460" i="269" s="1"/>
  <c r="M460" i="269"/>
  <c r="N460" i="269"/>
  <c r="O460" i="269"/>
  <c r="P460" i="269"/>
  <c r="Q460" i="269" s="1"/>
  <c r="R460" i="269"/>
  <c r="S460" i="269"/>
  <c r="E461" i="269"/>
  <c r="F461" i="269"/>
  <c r="H461" i="269"/>
  <c r="I461" i="269" s="1"/>
  <c r="M461" i="269"/>
  <c r="N461" i="269"/>
  <c r="O461" i="269"/>
  <c r="P461" i="269"/>
  <c r="R461" i="269" s="1"/>
  <c r="Q461" i="269"/>
  <c r="S461" i="269"/>
  <c r="E462" i="269"/>
  <c r="F462" i="269"/>
  <c r="H462" i="269"/>
  <c r="I462" i="269" s="1"/>
  <c r="M462" i="269"/>
  <c r="N462" i="269"/>
  <c r="O462" i="269" s="1"/>
  <c r="P462" i="269"/>
  <c r="Q462" i="269"/>
  <c r="R462" i="269"/>
  <c r="S462" i="269" s="1"/>
  <c r="E463" i="269"/>
  <c r="F463" i="269"/>
  <c r="H463" i="269"/>
  <c r="I463" i="269" s="1"/>
  <c r="J463" i="269"/>
  <c r="K463" i="269" s="1"/>
  <c r="M463" i="269"/>
  <c r="N463" i="269"/>
  <c r="O463" i="269" s="1"/>
  <c r="P463" i="269"/>
  <c r="Q463" i="269"/>
  <c r="R463" i="269"/>
  <c r="S463" i="269" s="1"/>
  <c r="E464" i="269"/>
  <c r="F464" i="269"/>
  <c r="J464" i="269"/>
  <c r="K464" i="269"/>
  <c r="M464" i="269"/>
  <c r="N464" i="269"/>
  <c r="O464" i="269"/>
  <c r="P464" i="269"/>
  <c r="Q464" i="269" s="1"/>
  <c r="R464" i="269"/>
  <c r="S464" i="269" s="1"/>
  <c r="E465" i="269"/>
  <c r="F465" i="269"/>
  <c r="H465" i="269"/>
  <c r="I465" i="269" s="1"/>
  <c r="M465" i="269"/>
  <c r="N465" i="269"/>
  <c r="O465" i="269"/>
  <c r="P465" i="269"/>
  <c r="R465" i="269" s="1"/>
  <c r="S465" i="269" s="1"/>
  <c r="Q465" i="269"/>
  <c r="E466" i="269"/>
  <c r="F466" i="269"/>
  <c r="H466" i="269"/>
  <c r="I466" i="269"/>
  <c r="J466" i="269"/>
  <c r="K466" i="269"/>
  <c r="M466" i="269"/>
  <c r="N466" i="269"/>
  <c r="O466" i="269" s="1"/>
  <c r="P466" i="269"/>
  <c r="E467" i="269"/>
  <c r="F467" i="269"/>
  <c r="M467" i="269"/>
  <c r="N467" i="269"/>
  <c r="O467" i="269"/>
  <c r="P467" i="269"/>
  <c r="Q467" i="269"/>
  <c r="R467" i="269"/>
  <c r="S467" i="269"/>
  <c r="E468" i="269"/>
  <c r="F468" i="269"/>
  <c r="J468" i="269"/>
  <c r="K468" i="269"/>
  <c r="M468" i="269"/>
  <c r="N468" i="269"/>
  <c r="O468" i="269" s="1"/>
  <c r="P468" i="269"/>
  <c r="Q468" i="269" s="1"/>
  <c r="R468" i="269"/>
  <c r="S468" i="269"/>
  <c r="E469" i="269"/>
  <c r="F469" i="269"/>
  <c r="H469" i="269"/>
  <c r="I469" i="269" s="1"/>
  <c r="M469" i="269"/>
  <c r="N469" i="269"/>
  <c r="O469" i="269"/>
  <c r="P469" i="269"/>
  <c r="R469" i="269" s="1"/>
  <c r="Q469" i="269"/>
  <c r="S469" i="269"/>
  <c r="E470" i="269"/>
  <c r="F470" i="269"/>
  <c r="J470" i="269"/>
  <c r="K470" i="269"/>
  <c r="M470" i="269"/>
  <c r="N470" i="269"/>
  <c r="O470" i="269" s="1"/>
  <c r="P470" i="269"/>
  <c r="R470" i="269" s="1"/>
  <c r="S470" i="269" s="1"/>
  <c r="Q470" i="269"/>
  <c r="E471" i="269"/>
  <c r="F471" i="269"/>
  <c r="J471" i="269"/>
  <c r="K471" i="269" s="1"/>
  <c r="M471" i="269"/>
  <c r="N471" i="269"/>
  <c r="O471" i="269"/>
  <c r="P471" i="269"/>
  <c r="Q471" i="269"/>
  <c r="R471" i="269"/>
  <c r="S471" i="269"/>
  <c r="E472" i="269"/>
  <c r="F472" i="269"/>
  <c r="H472" i="269"/>
  <c r="I472" i="269"/>
  <c r="M472" i="269"/>
  <c r="N472" i="269"/>
  <c r="O472" i="269" s="1"/>
  <c r="P472" i="269"/>
  <c r="Q472" i="269" s="1"/>
  <c r="R472" i="269"/>
  <c r="S472" i="269"/>
  <c r="E473" i="269"/>
  <c r="F473" i="269"/>
  <c r="H473" i="269"/>
  <c r="I473" i="269" s="1"/>
  <c r="M473" i="269"/>
  <c r="N473" i="269"/>
  <c r="O473" i="269"/>
  <c r="P473" i="269"/>
  <c r="R473" i="269" s="1"/>
  <c r="Q473" i="269"/>
  <c r="S473" i="269"/>
  <c r="E474" i="269"/>
  <c r="F474" i="269"/>
  <c r="H474" i="269"/>
  <c r="I474" i="269"/>
  <c r="M474" i="269"/>
  <c r="N474" i="269"/>
  <c r="O474" i="269" s="1"/>
  <c r="P474" i="269"/>
  <c r="Q474" i="269"/>
  <c r="R474" i="269"/>
  <c r="S474" i="269" s="1"/>
  <c r="E475" i="269"/>
  <c r="F475" i="269"/>
  <c r="H475" i="269"/>
  <c r="I475" i="269"/>
  <c r="J475" i="269"/>
  <c r="K475" i="269" s="1"/>
  <c r="M475" i="269"/>
  <c r="N475" i="269"/>
  <c r="O475" i="269"/>
  <c r="P475" i="269"/>
  <c r="Q475" i="269"/>
  <c r="R475" i="269"/>
  <c r="S475" i="269"/>
  <c r="E476" i="269"/>
  <c r="F476" i="269"/>
  <c r="H476" i="269"/>
  <c r="I476" i="269"/>
  <c r="M476" i="269"/>
  <c r="N476" i="269"/>
  <c r="O476" i="269"/>
  <c r="P476" i="269"/>
  <c r="Q476" i="269" s="1"/>
  <c r="R476" i="269"/>
  <c r="S476" i="269"/>
  <c r="E477" i="269"/>
  <c r="F477" i="269"/>
  <c r="H477" i="269"/>
  <c r="I477" i="269" s="1"/>
  <c r="J477" i="269"/>
  <c r="K477" i="269" s="1"/>
  <c r="M477" i="269"/>
  <c r="N477" i="269"/>
  <c r="O477" i="269"/>
  <c r="P477" i="269"/>
  <c r="R477" i="269" s="1"/>
  <c r="Q477" i="269"/>
  <c r="S477" i="269"/>
  <c r="X477" i="269"/>
  <c r="AB477" i="269" s="1"/>
  <c r="E478" i="269"/>
  <c r="F478" i="269"/>
  <c r="H478" i="269"/>
  <c r="I478" i="269" s="1"/>
  <c r="J478" i="269"/>
  <c r="K478" i="269"/>
  <c r="M478" i="269"/>
  <c r="N478" i="269"/>
  <c r="O478" i="269" s="1"/>
  <c r="P478" i="269"/>
  <c r="Q478" i="269"/>
  <c r="R478" i="269"/>
  <c r="S478" i="269" s="1"/>
  <c r="E479" i="269"/>
  <c r="F479" i="269"/>
  <c r="J479" i="269"/>
  <c r="K479" i="269" s="1"/>
  <c r="M479" i="269"/>
  <c r="N479" i="269"/>
  <c r="O479" i="269"/>
  <c r="P479" i="269"/>
  <c r="Q479" i="269"/>
  <c r="R479" i="269"/>
  <c r="S479" i="269"/>
  <c r="E480" i="269"/>
  <c r="F480" i="269"/>
  <c r="H480" i="269"/>
  <c r="I480" i="269"/>
  <c r="M480" i="269"/>
  <c r="N480" i="269"/>
  <c r="O480" i="269"/>
  <c r="P480" i="269"/>
  <c r="Q480" i="269" s="1"/>
  <c r="R480" i="269"/>
  <c r="S480" i="269"/>
  <c r="E481" i="269"/>
  <c r="F481" i="269"/>
  <c r="H481" i="269"/>
  <c r="I481" i="269" s="1"/>
  <c r="M481" i="269"/>
  <c r="N481" i="269"/>
  <c r="O481" i="269"/>
  <c r="P481" i="269"/>
  <c r="R481" i="269" s="1"/>
  <c r="Q481" i="269"/>
  <c r="S481" i="269"/>
  <c r="E482" i="269"/>
  <c r="F482" i="269"/>
  <c r="H482" i="269"/>
  <c r="I482" i="269" s="1"/>
  <c r="M482" i="269"/>
  <c r="N482" i="269"/>
  <c r="O482" i="269" s="1"/>
  <c r="P482" i="269"/>
  <c r="Q482" i="269"/>
  <c r="R482" i="269"/>
  <c r="S482" i="269" s="1"/>
  <c r="E483" i="269"/>
  <c r="F483" i="269"/>
  <c r="H483" i="269"/>
  <c r="I483" i="269" s="1"/>
  <c r="M483" i="269"/>
  <c r="N483" i="269"/>
  <c r="O483" i="269" s="1"/>
  <c r="P483" i="269"/>
  <c r="Q483" i="269"/>
  <c r="R483" i="269"/>
  <c r="S483" i="269" s="1"/>
  <c r="E484" i="269"/>
  <c r="F484" i="269"/>
  <c r="H484" i="269"/>
  <c r="I484" i="269"/>
  <c r="M484" i="269"/>
  <c r="N484" i="269"/>
  <c r="O484" i="269"/>
  <c r="P484" i="269"/>
  <c r="E485" i="269"/>
  <c r="F485" i="269"/>
  <c r="H485" i="269"/>
  <c r="I485" i="269" s="1"/>
  <c r="M485" i="269"/>
  <c r="N485" i="269"/>
  <c r="O485" i="269"/>
  <c r="P485" i="269"/>
  <c r="E486" i="269"/>
  <c r="F486" i="269"/>
  <c r="H486" i="269"/>
  <c r="I486" i="269"/>
  <c r="M486" i="269"/>
  <c r="N486" i="269"/>
  <c r="O486" i="269" s="1"/>
  <c r="P486" i="269"/>
  <c r="E487" i="269"/>
  <c r="F487" i="269"/>
  <c r="H487" i="269"/>
  <c r="I487" i="269"/>
  <c r="J487" i="269"/>
  <c r="K487" i="269" s="1"/>
  <c r="M487" i="269"/>
  <c r="N487" i="269"/>
  <c r="O487" i="269"/>
  <c r="P487" i="269"/>
  <c r="Q487" i="269"/>
  <c r="R487" i="269"/>
  <c r="S487" i="269"/>
  <c r="E488" i="269"/>
  <c r="F488" i="269"/>
  <c r="H488" i="269"/>
  <c r="I488" i="269"/>
  <c r="M488" i="269"/>
  <c r="N488" i="269"/>
  <c r="O488" i="269"/>
  <c r="P488" i="269"/>
  <c r="Q488" i="269" s="1"/>
  <c r="R488" i="269"/>
  <c r="S488" i="269" s="1"/>
  <c r="E489" i="269"/>
  <c r="F489" i="269"/>
  <c r="H489" i="269"/>
  <c r="I489" i="269" s="1"/>
  <c r="M489" i="269"/>
  <c r="N489" i="269"/>
  <c r="O489" i="269"/>
  <c r="P489" i="269"/>
  <c r="R489" i="269" s="1"/>
  <c r="S489" i="269" s="1"/>
  <c r="Q489" i="269"/>
  <c r="E490" i="269"/>
  <c r="F490" i="269"/>
  <c r="H490" i="269"/>
  <c r="I490" i="269"/>
  <c r="M490" i="269"/>
  <c r="N490" i="269"/>
  <c r="O490" i="269" s="1"/>
  <c r="P490" i="269"/>
  <c r="R490" i="269" s="1"/>
  <c r="S490" i="269" s="1"/>
  <c r="Q490" i="269"/>
  <c r="E491" i="269"/>
  <c r="F491" i="269"/>
  <c r="H491" i="269"/>
  <c r="I491" i="269"/>
  <c r="J491" i="269"/>
  <c r="K491" i="269" s="1"/>
  <c r="M491" i="269"/>
  <c r="N491" i="269"/>
  <c r="O491" i="269"/>
  <c r="P491" i="269"/>
  <c r="Q491" i="269"/>
  <c r="R491" i="269"/>
  <c r="S491" i="269"/>
  <c r="E492" i="269"/>
  <c r="F492" i="269"/>
  <c r="H492" i="269"/>
  <c r="I492" i="269"/>
  <c r="J492" i="269"/>
  <c r="K492" i="269"/>
  <c r="M492" i="269"/>
  <c r="N492" i="269"/>
  <c r="O492" i="269" s="1"/>
  <c r="P492" i="269"/>
  <c r="Q492" i="269" s="1"/>
  <c r="R492" i="269"/>
  <c r="S492" i="269"/>
  <c r="E493" i="269"/>
  <c r="F493" i="269"/>
  <c r="H493" i="269"/>
  <c r="I493" i="269" s="1"/>
  <c r="M493" i="269"/>
  <c r="N493" i="269"/>
  <c r="O493" i="269"/>
  <c r="P493" i="269"/>
  <c r="R493" i="269" s="1"/>
  <c r="Q493" i="269"/>
  <c r="S493" i="269"/>
  <c r="E494" i="269"/>
  <c r="F494" i="269"/>
  <c r="H494" i="269"/>
  <c r="I494" i="269"/>
  <c r="M494" i="269"/>
  <c r="N494" i="269"/>
  <c r="O494" i="269" s="1"/>
  <c r="P494" i="269"/>
  <c r="Q494" i="269"/>
  <c r="R494" i="269"/>
  <c r="S494" i="269" s="1"/>
  <c r="E495" i="269"/>
  <c r="F495" i="269"/>
  <c r="H495" i="269"/>
  <c r="I495" i="269"/>
  <c r="J495" i="269"/>
  <c r="K495" i="269" s="1"/>
  <c r="M495" i="269"/>
  <c r="N495" i="269"/>
  <c r="O495" i="269"/>
  <c r="P495" i="269"/>
  <c r="Q495" i="269"/>
  <c r="R495" i="269"/>
  <c r="S495" i="269"/>
  <c r="E496" i="269"/>
  <c r="F496" i="269"/>
  <c r="H496" i="269"/>
  <c r="I496" i="269"/>
  <c r="M496" i="269"/>
  <c r="N496" i="269"/>
  <c r="O496" i="269"/>
  <c r="P496" i="269"/>
  <c r="Q496" i="269" s="1"/>
  <c r="R496" i="269"/>
  <c r="S496" i="269"/>
  <c r="E497" i="269"/>
  <c r="F497" i="269"/>
  <c r="H497" i="269"/>
  <c r="I497" i="269" s="1"/>
  <c r="M497" i="269"/>
  <c r="N497" i="269"/>
  <c r="O497" i="269"/>
  <c r="P497" i="269"/>
  <c r="R497" i="269" s="1"/>
  <c r="Q497" i="269"/>
  <c r="S497" i="269"/>
  <c r="E498" i="269"/>
  <c r="F498" i="269"/>
  <c r="H498" i="269"/>
  <c r="I498" i="269" s="1"/>
  <c r="M498" i="269"/>
  <c r="N498" i="269"/>
  <c r="O498" i="269" s="1"/>
  <c r="P498" i="269"/>
  <c r="Q498" i="269"/>
  <c r="R498" i="269"/>
  <c r="S498" i="269" s="1"/>
  <c r="E499" i="269"/>
  <c r="F499" i="269"/>
  <c r="H499" i="269"/>
  <c r="I499" i="269" s="1"/>
  <c r="J499" i="269"/>
  <c r="K499" i="269" s="1"/>
  <c r="M499" i="269"/>
  <c r="N499" i="269"/>
  <c r="O499" i="269" s="1"/>
  <c r="P499" i="269"/>
  <c r="Q499" i="269"/>
  <c r="R499" i="269"/>
  <c r="S499" i="269" s="1"/>
  <c r="AB500" i="269"/>
  <c r="T501" i="269"/>
  <c r="W501" i="269"/>
  <c r="AA501" i="269"/>
  <c r="AC501" i="269"/>
  <c r="AB502" i="269"/>
  <c r="AB503" i="269"/>
  <c r="AB504" i="269"/>
  <c r="B15" i="301"/>
  <c r="C15" i="301"/>
  <c r="D15" i="301"/>
  <c r="E15" i="301"/>
  <c r="F15" i="301"/>
  <c r="N15" i="301"/>
  <c r="D16" i="301"/>
  <c r="E16" i="301"/>
  <c r="F16" i="301"/>
  <c r="N16" i="301"/>
  <c r="D17" i="301"/>
  <c r="E17" i="301"/>
  <c r="F17" i="301"/>
  <c r="N17" i="301"/>
  <c r="D18" i="301"/>
  <c r="E18" i="301"/>
  <c r="F18" i="301"/>
  <c r="N18" i="301"/>
  <c r="D19" i="301"/>
  <c r="E19" i="301"/>
  <c r="F19" i="301"/>
  <c r="N19" i="301"/>
  <c r="D20" i="301"/>
  <c r="E20" i="301"/>
  <c r="F20" i="301"/>
  <c r="N20" i="301"/>
  <c r="D21" i="301"/>
  <c r="E21" i="301"/>
  <c r="F21" i="301"/>
  <c r="N21" i="301"/>
  <c r="D22" i="301"/>
  <c r="E22" i="301"/>
  <c r="F22" i="301"/>
  <c r="N22" i="301"/>
  <c r="D23" i="301"/>
  <c r="E23" i="301"/>
  <c r="F23" i="301"/>
  <c r="N23" i="301"/>
  <c r="D24" i="301"/>
  <c r="E24" i="301"/>
  <c r="F24" i="301"/>
  <c r="N24" i="301"/>
  <c r="D25" i="301"/>
  <c r="E25" i="301"/>
  <c r="F25" i="301"/>
  <c r="N25" i="301"/>
  <c r="E26" i="301"/>
  <c r="F26" i="301"/>
  <c r="N26" i="301"/>
  <c r="D27" i="301"/>
  <c r="E27" i="301"/>
  <c r="F27" i="301"/>
  <c r="I27" i="301"/>
  <c r="J27" i="301"/>
  <c r="M27" i="301" s="1"/>
  <c r="Q27" i="301" s="1"/>
  <c r="N27" i="301"/>
  <c r="O27" i="301"/>
  <c r="U27" i="301"/>
  <c r="D28" i="301"/>
  <c r="E28" i="301"/>
  <c r="F28" i="301"/>
  <c r="N28" i="301"/>
  <c r="D29" i="301"/>
  <c r="E29" i="301"/>
  <c r="F29" i="301"/>
  <c r="N29" i="301"/>
  <c r="D30" i="301"/>
  <c r="E30" i="301"/>
  <c r="F30" i="301"/>
  <c r="N30" i="301"/>
  <c r="D31" i="301"/>
  <c r="E31" i="301"/>
  <c r="F31" i="301"/>
  <c r="I31" i="301"/>
  <c r="J31" i="301"/>
  <c r="M31" i="301" s="1"/>
  <c r="Q31" i="301" s="1"/>
  <c r="N31" i="301"/>
  <c r="U31" i="301"/>
  <c r="D32" i="301"/>
  <c r="E32" i="301"/>
  <c r="F32" i="301"/>
  <c r="N32" i="301"/>
  <c r="D33" i="301"/>
  <c r="E33" i="301"/>
  <c r="F33" i="301"/>
  <c r="N33" i="301"/>
  <c r="E34" i="301"/>
  <c r="F34" i="301"/>
  <c r="N34" i="301"/>
  <c r="D35" i="301"/>
  <c r="E35" i="301"/>
  <c r="F35" i="301"/>
  <c r="N35" i="301"/>
  <c r="D36" i="301"/>
  <c r="E36" i="301"/>
  <c r="F36" i="301"/>
  <c r="N36" i="301"/>
  <c r="D37" i="301"/>
  <c r="E37" i="301"/>
  <c r="F37" i="301"/>
  <c r="N37" i="301"/>
  <c r="E38" i="301"/>
  <c r="F38" i="301"/>
  <c r="N38" i="301"/>
  <c r="D39" i="301"/>
  <c r="E39" i="301"/>
  <c r="F39" i="301"/>
  <c r="N39" i="301"/>
  <c r="D40" i="301"/>
  <c r="E40" i="301"/>
  <c r="F40" i="301"/>
  <c r="N40" i="301"/>
  <c r="B41" i="301"/>
  <c r="C41" i="301"/>
  <c r="D41" i="301"/>
  <c r="E41" i="301"/>
  <c r="F41" i="301"/>
  <c r="N41" i="301"/>
  <c r="B42" i="301"/>
  <c r="C42" i="301"/>
  <c r="D42" i="301"/>
  <c r="E42" i="301"/>
  <c r="F42" i="301"/>
  <c r="N42" i="301"/>
  <c r="E43" i="301"/>
  <c r="F43" i="301"/>
  <c r="N43" i="301"/>
  <c r="C44" i="301"/>
  <c r="D44" i="301"/>
  <c r="E44" i="301"/>
  <c r="F44" i="301"/>
  <c r="N44" i="301"/>
  <c r="B45" i="301"/>
  <c r="C45" i="301"/>
  <c r="D45" i="301"/>
  <c r="E45" i="301"/>
  <c r="F45" i="301"/>
  <c r="N45" i="301"/>
  <c r="C46" i="301"/>
  <c r="D46" i="301"/>
  <c r="E46" i="301"/>
  <c r="F46" i="301"/>
  <c r="N46" i="301"/>
  <c r="C47" i="301"/>
  <c r="D47" i="301"/>
  <c r="E47" i="301"/>
  <c r="F47" i="301"/>
  <c r="N47" i="301"/>
  <c r="B48" i="301"/>
  <c r="C48" i="301"/>
  <c r="D48" i="301"/>
  <c r="E48" i="301"/>
  <c r="F48" i="301"/>
  <c r="N48" i="301"/>
  <c r="B49" i="301"/>
  <c r="C49" i="301"/>
  <c r="D49" i="301"/>
  <c r="E49" i="301"/>
  <c r="F49" i="301"/>
  <c r="N49" i="301"/>
  <c r="E50" i="301"/>
  <c r="F50" i="301"/>
  <c r="N50" i="301"/>
  <c r="B51" i="301"/>
  <c r="C51" i="301"/>
  <c r="D51" i="301"/>
  <c r="E51" i="301"/>
  <c r="F51" i="301"/>
  <c r="N51" i="301"/>
  <c r="D52" i="301"/>
  <c r="E52" i="301"/>
  <c r="F52" i="301"/>
  <c r="N52" i="301"/>
  <c r="C53" i="301"/>
  <c r="D53" i="301"/>
  <c r="E53" i="301"/>
  <c r="F53" i="301"/>
  <c r="N53" i="301"/>
  <c r="B54" i="301"/>
  <c r="C54" i="301"/>
  <c r="D54" i="301"/>
  <c r="E54" i="301"/>
  <c r="F54" i="301"/>
  <c r="N54" i="301"/>
  <c r="D55" i="301"/>
  <c r="E55" i="301"/>
  <c r="F55" i="301"/>
  <c r="N55" i="301"/>
  <c r="D56" i="301"/>
  <c r="E56" i="301"/>
  <c r="F56" i="301"/>
  <c r="N56" i="301"/>
  <c r="B57" i="301"/>
  <c r="C57" i="301"/>
  <c r="D57" i="301"/>
  <c r="E57" i="301"/>
  <c r="F57" i="301"/>
  <c r="N57" i="301"/>
  <c r="E58" i="301"/>
  <c r="F58" i="301"/>
  <c r="N58" i="301"/>
  <c r="E59" i="301"/>
  <c r="F59" i="301"/>
  <c r="N59" i="301"/>
  <c r="E60" i="301"/>
  <c r="F60" i="301"/>
  <c r="N60" i="301"/>
  <c r="E61" i="301"/>
  <c r="F61" i="301"/>
  <c r="N61" i="301"/>
  <c r="E62" i="301"/>
  <c r="F62" i="301"/>
  <c r="N62" i="301"/>
  <c r="E63" i="301"/>
  <c r="F63" i="301"/>
  <c r="N63" i="301"/>
  <c r="E64" i="301"/>
  <c r="F64" i="301"/>
  <c r="N64" i="301"/>
  <c r="E65" i="301"/>
  <c r="F65" i="301"/>
  <c r="N65" i="301"/>
  <c r="E66" i="301"/>
  <c r="F66" i="301"/>
  <c r="N66" i="301"/>
  <c r="E67" i="301"/>
  <c r="F67" i="301"/>
  <c r="N67" i="301"/>
  <c r="E68" i="301"/>
  <c r="F68" i="301"/>
  <c r="N68" i="301"/>
  <c r="E69" i="301"/>
  <c r="F69" i="301"/>
  <c r="N69" i="301"/>
  <c r="E70" i="301"/>
  <c r="F70" i="301"/>
  <c r="N70" i="301"/>
  <c r="E71" i="301"/>
  <c r="F71" i="301"/>
  <c r="N71" i="301"/>
  <c r="E72" i="301"/>
  <c r="F72" i="301"/>
  <c r="N72" i="301"/>
  <c r="E73" i="301"/>
  <c r="F73" i="301"/>
  <c r="N73" i="301"/>
  <c r="E74" i="301"/>
  <c r="F74" i="301"/>
  <c r="N74" i="301"/>
  <c r="E75" i="301"/>
  <c r="F75" i="301"/>
  <c r="N75" i="301"/>
  <c r="E76" i="301"/>
  <c r="F76" i="301"/>
  <c r="N76" i="301"/>
  <c r="E77" i="301"/>
  <c r="F77" i="301"/>
  <c r="N77" i="301"/>
  <c r="E78" i="301"/>
  <c r="F78" i="301"/>
  <c r="N78" i="301"/>
  <c r="E79" i="301"/>
  <c r="F79" i="301"/>
  <c r="N79" i="301"/>
  <c r="E80" i="301"/>
  <c r="F80" i="301"/>
  <c r="N80" i="301"/>
  <c r="E81" i="301"/>
  <c r="F81" i="301"/>
  <c r="N81" i="301"/>
  <c r="E82" i="301"/>
  <c r="F82" i="301"/>
  <c r="N82" i="301"/>
  <c r="E83" i="301"/>
  <c r="F83" i="301"/>
  <c r="N83" i="301"/>
  <c r="E84" i="301"/>
  <c r="F84" i="301"/>
  <c r="N84" i="301"/>
  <c r="E85" i="301"/>
  <c r="F85" i="301"/>
  <c r="N85" i="301"/>
  <c r="E86" i="301"/>
  <c r="F86" i="301"/>
  <c r="N86" i="301"/>
  <c r="E87" i="301"/>
  <c r="F87" i="301"/>
  <c r="N87" i="301"/>
  <c r="E88" i="301"/>
  <c r="F88" i="301"/>
  <c r="N88" i="301"/>
  <c r="E89" i="301"/>
  <c r="F89" i="301"/>
  <c r="N89" i="301"/>
  <c r="E90" i="301"/>
  <c r="F90" i="301"/>
  <c r="N90" i="301"/>
  <c r="E91" i="301"/>
  <c r="F91" i="301"/>
  <c r="N91" i="301"/>
  <c r="E92" i="301"/>
  <c r="F92" i="301"/>
  <c r="N92" i="301"/>
  <c r="E93" i="301"/>
  <c r="F93" i="301"/>
  <c r="N93" i="301"/>
  <c r="E94" i="301"/>
  <c r="F94" i="301"/>
  <c r="N94" i="301"/>
  <c r="E95" i="301"/>
  <c r="F95" i="301"/>
  <c r="N95" i="301"/>
  <c r="E96" i="301"/>
  <c r="F96" i="301"/>
  <c r="N96" i="301"/>
  <c r="E97" i="301"/>
  <c r="F97" i="301"/>
  <c r="N97" i="301"/>
  <c r="E98" i="301"/>
  <c r="F98" i="301"/>
  <c r="N98" i="301"/>
  <c r="E99" i="301"/>
  <c r="F99" i="301"/>
  <c r="N99" i="301"/>
  <c r="E100" i="301"/>
  <c r="F100" i="301"/>
  <c r="N100" i="301"/>
  <c r="E101" i="301"/>
  <c r="F101" i="301"/>
  <c r="N101" i="301"/>
  <c r="E102" i="301"/>
  <c r="F102" i="301"/>
  <c r="N102" i="301"/>
  <c r="E103" i="301"/>
  <c r="F103" i="301"/>
  <c r="N103" i="301"/>
  <c r="E104" i="301"/>
  <c r="F104" i="301"/>
  <c r="N104" i="301"/>
  <c r="E105" i="301"/>
  <c r="F105" i="301"/>
  <c r="N105" i="301"/>
  <c r="E106" i="301"/>
  <c r="F106" i="301"/>
  <c r="N106" i="301"/>
  <c r="E107" i="301"/>
  <c r="F107" i="301"/>
  <c r="N107" i="301"/>
  <c r="E108" i="301"/>
  <c r="F108" i="301"/>
  <c r="N108" i="301"/>
  <c r="E109" i="301"/>
  <c r="F109" i="301"/>
  <c r="N109" i="301"/>
  <c r="E110" i="301"/>
  <c r="F110" i="301"/>
  <c r="N110" i="301"/>
  <c r="E111" i="301"/>
  <c r="F111" i="301"/>
  <c r="N111" i="301"/>
  <c r="E112" i="301"/>
  <c r="F112" i="301"/>
  <c r="N112" i="301"/>
  <c r="E113" i="301"/>
  <c r="F113" i="301"/>
  <c r="N113" i="301"/>
  <c r="E114" i="301"/>
  <c r="F114" i="301"/>
  <c r="N114" i="301"/>
  <c r="E115" i="301"/>
  <c r="F115" i="301"/>
  <c r="N115" i="301"/>
  <c r="E116" i="301"/>
  <c r="F116" i="301"/>
  <c r="N116" i="301"/>
  <c r="E117" i="301"/>
  <c r="F117" i="301"/>
  <c r="N117" i="301"/>
  <c r="E118" i="301"/>
  <c r="F118" i="301"/>
  <c r="N118" i="301"/>
  <c r="E119" i="301"/>
  <c r="F119" i="301"/>
  <c r="N119" i="301"/>
  <c r="E120" i="301"/>
  <c r="F120" i="301"/>
  <c r="N120" i="301"/>
  <c r="E121" i="301"/>
  <c r="F121" i="301"/>
  <c r="N121" i="301"/>
  <c r="E122" i="301"/>
  <c r="F122" i="301"/>
  <c r="N122" i="301"/>
  <c r="E123" i="301"/>
  <c r="F123" i="301"/>
  <c r="N123" i="301"/>
  <c r="E124" i="301"/>
  <c r="F124" i="301"/>
  <c r="N124" i="301"/>
  <c r="E125" i="301"/>
  <c r="F125" i="301"/>
  <c r="N125" i="301"/>
  <c r="E126" i="301"/>
  <c r="F126" i="301"/>
  <c r="N126" i="301"/>
  <c r="E127" i="301"/>
  <c r="F127" i="301"/>
  <c r="N127" i="301"/>
  <c r="E128" i="301"/>
  <c r="F128" i="301"/>
  <c r="N128" i="301"/>
  <c r="E129" i="301"/>
  <c r="F129" i="301"/>
  <c r="N129" i="301"/>
  <c r="E130" i="301"/>
  <c r="F130" i="301"/>
  <c r="N130" i="301"/>
  <c r="E131" i="301"/>
  <c r="F131" i="301"/>
  <c r="N131" i="301"/>
  <c r="E132" i="301"/>
  <c r="F132" i="301"/>
  <c r="N132" i="301"/>
  <c r="E133" i="301"/>
  <c r="F133" i="301"/>
  <c r="N133" i="301"/>
  <c r="E134" i="301"/>
  <c r="F134" i="301"/>
  <c r="N134" i="301"/>
  <c r="E135" i="301"/>
  <c r="F135" i="301"/>
  <c r="N135" i="301"/>
  <c r="E136" i="301"/>
  <c r="F136" i="301"/>
  <c r="N136" i="301"/>
  <c r="E137" i="301"/>
  <c r="F137" i="301"/>
  <c r="N137" i="301"/>
  <c r="E138" i="301"/>
  <c r="F138" i="301"/>
  <c r="N138" i="301"/>
  <c r="E139" i="301"/>
  <c r="F139" i="301"/>
  <c r="N139" i="301"/>
  <c r="E140" i="301"/>
  <c r="F140" i="301"/>
  <c r="J140" i="301"/>
  <c r="M140" i="301"/>
  <c r="O140" i="301" s="1"/>
  <c r="N140" i="301"/>
  <c r="P140" i="301" s="1"/>
  <c r="E141" i="301"/>
  <c r="F141" i="301"/>
  <c r="N141" i="301"/>
  <c r="E142" i="301"/>
  <c r="F142" i="301"/>
  <c r="N142" i="301"/>
  <c r="E143" i="301"/>
  <c r="F143" i="301"/>
  <c r="N143" i="301"/>
  <c r="E144" i="301"/>
  <c r="F144" i="301"/>
  <c r="J144" i="301"/>
  <c r="M144" i="301" s="1"/>
  <c r="O144" i="301" s="1"/>
  <c r="P144" i="301" s="1"/>
  <c r="N144" i="301"/>
  <c r="E145" i="301"/>
  <c r="F145" i="301"/>
  <c r="N145" i="301"/>
  <c r="E146" i="301"/>
  <c r="F146" i="301"/>
  <c r="I146" i="301"/>
  <c r="J146" i="301" s="1"/>
  <c r="M146" i="301" s="1"/>
  <c r="N146" i="301"/>
  <c r="E147" i="301"/>
  <c r="F147" i="301"/>
  <c r="N147" i="301"/>
  <c r="E148" i="301"/>
  <c r="F148" i="301"/>
  <c r="N148" i="301"/>
  <c r="E149" i="301"/>
  <c r="F149" i="301"/>
  <c r="N149" i="301"/>
  <c r="E150" i="301"/>
  <c r="F150" i="301"/>
  <c r="I150" i="301"/>
  <c r="J150" i="301"/>
  <c r="M150" i="301" s="1"/>
  <c r="Q150" i="301" s="1"/>
  <c r="N150" i="301"/>
  <c r="E151" i="301"/>
  <c r="F151" i="301"/>
  <c r="N151" i="301"/>
  <c r="E152" i="301"/>
  <c r="F152" i="301"/>
  <c r="N152" i="301"/>
  <c r="E153" i="301"/>
  <c r="F153" i="301"/>
  <c r="N153" i="301"/>
  <c r="E154" i="301"/>
  <c r="F154" i="301"/>
  <c r="I154" i="301"/>
  <c r="J154" i="301" s="1"/>
  <c r="M154" i="301" s="1"/>
  <c r="N154" i="301"/>
  <c r="E155" i="301"/>
  <c r="F155" i="301"/>
  <c r="N155" i="301"/>
  <c r="E156" i="301"/>
  <c r="F156" i="301"/>
  <c r="J156" i="301"/>
  <c r="M156" i="301"/>
  <c r="O156" i="301" s="1"/>
  <c r="N156" i="301"/>
  <c r="P156" i="301" s="1"/>
  <c r="E157" i="301"/>
  <c r="F157" i="301"/>
  <c r="N157" i="301"/>
  <c r="E158" i="301"/>
  <c r="F158" i="301"/>
  <c r="I158" i="301"/>
  <c r="J158" i="301"/>
  <c r="M158" i="301" s="1"/>
  <c r="Q158" i="301" s="1"/>
  <c r="N158" i="301"/>
  <c r="E159" i="301"/>
  <c r="F159" i="301"/>
  <c r="N159" i="301"/>
  <c r="E160" i="301"/>
  <c r="F160" i="301"/>
  <c r="J160" i="301"/>
  <c r="M160" i="301" s="1"/>
  <c r="O160" i="301" s="1"/>
  <c r="P160" i="301" s="1"/>
  <c r="N160" i="301"/>
  <c r="Q160" i="301"/>
  <c r="E161" i="301"/>
  <c r="F161" i="301"/>
  <c r="N161" i="301"/>
  <c r="E162" i="301"/>
  <c r="F162" i="301"/>
  <c r="I162" i="301"/>
  <c r="J162" i="301" s="1"/>
  <c r="M162" i="301" s="1"/>
  <c r="N162" i="301"/>
  <c r="E163" i="301"/>
  <c r="F163" i="301"/>
  <c r="N163" i="301"/>
  <c r="E164" i="301"/>
  <c r="F164" i="301"/>
  <c r="J164" i="301"/>
  <c r="M164" i="301"/>
  <c r="O164" i="301" s="1"/>
  <c r="N164" i="301"/>
  <c r="P164" i="301" s="1"/>
  <c r="E165" i="301"/>
  <c r="F165" i="301"/>
  <c r="N165" i="301"/>
  <c r="E166" i="301"/>
  <c r="F166" i="301"/>
  <c r="I166" i="301"/>
  <c r="J166" i="301"/>
  <c r="M166" i="301" s="1"/>
  <c r="Q166" i="301" s="1"/>
  <c r="N166" i="301"/>
  <c r="E167" i="301"/>
  <c r="F167" i="301"/>
  <c r="N167" i="301"/>
  <c r="E168" i="301"/>
  <c r="F168" i="301"/>
  <c r="J168" i="301"/>
  <c r="M168" i="301" s="1"/>
  <c r="O168" i="301" s="1"/>
  <c r="P168" i="301" s="1"/>
  <c r="N168" i="301"/>
  <c r="Q168" i="301"/>
  <c r="E169" i="301"/>
  <c r="F169" i="301"/>
  <c r="N169" i="301"/>
  <c r="E170" i="301"/>
  <c r="F170" i="301"/>
  <c r="I170" i="301"/>
  <c r="J170" i="301" s="1"/>
  <c r="M170" i="301" s="1"/>
  <c r="N170" i="301"/>
  <c r="E171" i="301"/>
  <c r="F171" i="301"/>
  <c r="N171" i="301"/>
  <c r="E172" i="301"/>
  <c r="F172" i="301"/>
  <c r="J172" i="301"/>
  <c r="M172" i="301"/>
  <c r="O172" i="301" s="1"/>
  <c r="N172" i="301"/>
  <c r="P172" i="301" s="1"/>
  <c r="E173" i="301"/>
  <c r="F173" i="301"/>
  <c r="N173" i="301"/>
  <c r="E174" i="301"/>
  <c r="F174" i="301"/>
  <c r="I174" i="301"/>
  <c r="J174" i="301"/>
  <c r="M174" i="301" s="1"/>
  <c r="Q174" i="301" s="1"/>
  <c r="N174" i="301"/>
  <c r="E175" i="301"/>
  <c r="F175" i="301"/>
  <c r="N175" i="301"/>
  <c r="E176" i="301"/>
  <c r="F176" i="301"/>
  <c r="J176" i="301"/>
  <c r="M176" i="301" s="1"/>
  <c r="O176" i="301" s="1"/>
  <c r="P176" i="301" s="1"/>
  <c r="N176" i="301"/>
  <c r="Q176" i="301"/>
  <c r="E177" i="301"/>
  <c r="F177" i="301"/>
  <c r="N177" i="301"/>
  <c r="E178" i="301"/>
  <c r="F178" i="301"/>
  <c r="I178" i="301"/>
  <c r="J178" i="301" s="1"/>
  <c r="M178" i="301" s="1"/>
  <c r="N178" i="301"/>
  <c r="E179" i="301"/>
  <c r="F179" i="301"/>
  <c r="N179" i="301"/>
  <c r="E180" i="301"/>
  <c r="F180" i="301"/>
  <c r="N180" i="301"/>
  <c r="E181" i="301"/>
  <c r="F181" i="301"/>
  <c r="N181" i="301"/>
  <c r="E182" i="301"/>
  <c r="F182" i="301"/>
  <c r="N182" i="301"/>
  <c r="E183" i="301"/>
  <c r="F183" i="301"/>
  <c r="N183" i="301"/>
  <c r="E184" i="301"/>
  <c r="F184" i="301"/>
  <c r="N184" i="301"/>
  <c r="E185" i="301"/>
  <c r="F185" i="301"/>
  <c r="N185" i="301"/>
  <c r="E186" i="301"/>
  <c r="F186" i="301"/>
  <c r="N186" i="301"/>
  <c r="E187" i="301"/>
  <c r="F187" i="301"/>
  <c r="N187" i="301"/>
  <c r="E188" i="301"/>
  <c r="F188" i="301"/>
  <c r="N188" i="301"/>
  <c r="E189" i="301"/>
  <c r="F189" i="301"/>
  <c r="N189" i="301"/>
  <c r="E190" i="301"/>
  <c r="F190" i="301"/>
  <c r="N190" i="301"/>
  <c r="E191" i="301"/>
  <c r="F191" i="301"/>
  <c r="N191" i="301"/>
  <c r="E192" i="301"/>
  <c r="F192" i="301"/>
  <c r="N192" i="301"/>
  <c r="E193" i="301"/>
  <c r="F193" i="301"/>
  <c r="N193" i="301"/>
  <c r="E194" i="301"/>
  <c r="F194" i="301"/>
  <c r="N194" i="301"/>
  <c r="E195" i="301"/>
  <c r="F195" i="301"/>
  <c r="N195" i="301"/>
  <c r="E196" i="301"/>
  <c r="F196" i="301"/>
  <c r="N196" i="301"/>
  <c r="E197" i="301"/>
  <c r="F197" i="301"/>
  <c r="N197" i="301"/>
  <c r="E198" i="301"/>
  <c r="F198" i="301"/>
  <c r="N198" i="301"/>
  <c r="E199" i="301"/>
  <c r="F199" i="301"/>
  <c r="N199" i="301"/>
  <c r="E200" i="301"/>
  <c r="F200" i="301"/>
  <c r="N200" i="301"/>
  <c r="E201" i="301"/>
  <c r="F201" i="301"/>
  <c r="N201" i="301"/>
  <c r="E202" i="301"/>
  <c r="F202" i="301"/>
  <c r="N202" i="301"/>
  <c r="E203" i="301"/>
  <c r="F203" i="301"/>
  <c r="N203" i="301"/>
  <c r="E204" i="301"/>
  <c r="F204" i="301"/>
  <c r="N204" i="301"/>
  <c r="E205" i="301"/>
  <c r="F205" i="301"/>
  <c r="N205" i="301"/>
  <c r="E206" i="301"/>
  <c r="F206" i="301"/>
  <c r="N206" i="301"/>
  <c r="E207" i="301"/>
  <c r="F207" i="301"/>
  <c r="N207" i="301"/>
  <c r="E208" i="301"/>
  <c r="F208" i="301"/>
  <c r="N208" i="301"/>
  <c r="E209" i="301"/>
  <c r="F209" i="301"/>
  <c r="N209" i="301"/>
  <c r="E210" i="301"/>
  <c r="F210" i="301"/>
  <c r="N210" i="301"/>
  <c r="E211" i="301"/>
  <c r="F211" i="301"/>
  <c r="N211" i="301"/>
  <c r="E212" i="301"/>
  <c r="F212" i="301"/>
  <c r="N212" i="301"/>
  <c r="E213" i="301"/>
  <c r="F213" i="301"/>
  <c r="N213" i="301"/>
  <c r="E214" i="301"/>
  <c r="F214" i="301"/>
  <c r="N214" i="301"/>
  <c r="E215" i="301"/>
  <c r="F215" i="301"/>
  <c r="N215" i="301"/>
  <c r="E216" i="301"/>
  <c r="F216" i="301"/>
  <c r="N216" i="301"/>
  <c r="E217" i="301"/>
  <c r="F217" i="301"/>
  <c r="N217" i="301"/>
  <c r="E218" i="301"/>
  <c r="F218" i="301"/>
  <c r="N218" i="301"/>
  <c r="E219" i="301"/>
  <c r="F219" i="301"/>
  <c r="N219" i="301"/>
  <c r="E220" i="301"/>
  <c r="F220" i="301"/>
  <c r="N220" i="301"/>
  <c r="E221" i="301"/>
  <c r="F221" i="301"/>
  <c r="N221" i="301"/>
  <c r="E222" i="301"/>
  <c r="F222" i="301"/>
  <c r="N222" i="301"/>
  <c r="E223" i="301"/>
  <c r="F223" i="301"/>
  <c r="N223" i="301"/>
  <c r="E224" i="301"/>
  <c r="F224" i="301"/>
  <c r="N224" i="301"/>
  <c r="E225" i="301"/>
  <c r="F225" i="301"/>
  <c r="N225" i="301"/>
  <c r="E226" i="301"/>
  <c r="F226" i="301"/>
  <c r="N226" i="301"/>
  <c r="E227" i="301"/>
  <c r="F227" i="301"/>
  <c r="N227" i="301"/>
  <c r="E228" i="301"/>
  <c r="F228" i="301"/>
  <c r="N228" i="301"/>
  <c r="E229" i="301"/>
  <c r="F229" i="301"/>
  <c r="N229" i="301"/>
  <c r="E230" i="301"/>
  <c r="F230" i="301"/>
  <c r="N230" i="301"/>
  <c r="E231" i="301"/>
  <c r="F231" i="301"/>
  <c r="N231" i="301"/>
  <c r="E232" i="301"/>
  <c r="F232" i="301"/>
  <c r="N232" i="301"/>
  <c r="E233" i="301"/>
  <c r="F233" i="301"/>
  <c r="N233" i="301"/>
  <c r="E234" i="301"/>
  <c r="F234" i="301"/>
  <c r="N234" i="301"/>
  <c r="E235" i="301"/>
  <c r="F235" i="301"/>
  <c r="N235" i="301"/>
  <c r="E236" i="301"/>
  <c r="F236" i="301"/>
  <c r="N236" i="301"/>
  <c r="E237" i="301"/>
  <c r="F237" i="301"/>
  <c r="N237" i="301"/>
  <c r="E238" i="301"/>
  <c r="F238" i="301"/>
  <c r="N238" i="301"/>
  <c r="E239" i="301"/>
  <c r="F239" i="301"/>
  <c r="N239" i="301"/>
  <c r="E240" i="301"/>
  <c r="F240" i="301"/>
  <c r="N240" i="301"/>
  <c r="E241" i="301"/>
  <c r="F241" i="301"/>
  <c r="N241" i="301"/>
  <c r="E242" i="301"/>
  <c r="F242" i="301"/>
  <c r="N242" i="301"/>
  <c r="E243" i="301"/>
  <c r="F243" i="301"/>
  <c r="N243" i="301"/>
  <c r="E244" i="301"/>
  <c r="F244" i="301"/>
  <c r="N244" i="301"/>
  <c r="E245" i="301"/>
  <c r="F245" i="301"/>
  <c r="N245" i="301"/>
  <c r="E246" i="301"/>
  <c r="F246" i="301"/>
  <c r="N246" i="301"/>
  <c r="E247" i="301"/>
  <c r="F247" i="301"/>
  <c r="N247" i="301"/>
  <c r="E248" i="301"/>
  <c r="F248" i="301"/>
  <c r="N248" i="301"/>
  <c r="E249" i="301"/>
  <c r="F249" i="301"/>
  <c r="N249" i="301"/>
  <c r="E250" i="301"/>
  <c r="F250" i="301"/>
  <c r="N250" i="301"/>
  <c r="E251" i="301"/>
  <c r="F251" i="301"/>
  <c r="N251" i="301"/>
  <c r="E252" i="301"/>
  <c r="F252" i="301"/>
  <c r="N252" i="301"/>
  <c r="E253" i="301"/>
  <c r="F253" i="301"/>
  <c r="N253" i="301"/>
  <c r="E254" i="301"/>
  <c r="F254" i="301"/>
  <c r="N254" i="301"/>
  <c r="E255" i="301"/>
  <c r="F255" i="301"/>
  <c r="N255" i="301"/>
  <c r="E256" i="301"/>
  <c r="F256" i="301"/>
  <c r="N256" i="301"/>
  <c r="E257" i="301"/>
  <c r="F257" i="301"/>
  <c r="N257" i="301"/>
  <c r="E258" i="301"/>
  <c r="F258" i="301"/>
  <c r="N258" i="301"/>
  <c r="E259" i="301"/>
  <c r="F259" i="301"/>
  <c r="N259" i="301"/>
  <c r="E260" i="301"/>
  <c r="F260" i="301"/>
  <c r="N260" i="301"/>
  <c r="E261" i="301"/>
  <c r="F261" i="301"/>
  <c r="N261" i="301"/>
  <c r="E262" i="301"/>
  <c r="F262" i="301"/>
  <c r="N262" i="301"/>
  <c r="E263" i="301"/>
  <c r="F263" i="301"/>
  <c r="N263" i="301"/>
  <c r="E264" i="301"/>
  <c r="F264" i="301"/>
  <c r="N264" i="301"/>
  <c r="E265" i="301"/>
  <c r="F265" i="301"/>
  <c r="N265" i="301"/>
  <c r="E266" i="301"/>
  <c r="F266" i="301"/>
  <c r="N266" i="301"/>
  <c r="E267" i="301"/>
  <c r="F267" i="301"/>
  <c r="N267" i="301"/>
  <c r="E268" i="301"/>
  <c r="F268" i="301"/>
  <c r="N268" i="301"/>
  <c r="E269" i="301"/>
  <c r="F269" i="301"/>
  <c r="N269" i="301"/>
  <c r="E270" i="301"/>
  <c r="F270" i="301"/>
  <c r="N270" i="301"/>
  <c r="E271" i="301"/>
  <c r="F271" i="301"/>
  <c r="N271" i="301"/>
  <c r="E272" i="301"/>
  <c r="F272" i="301"/>
  <c r="N272" i="301"/>
  <c r="E273" i="301"/>
  <c r="F273" i="301"/>
  <c r="N273" i="301"/>
  <c r="E274" i="301"/>
  <c r="F274" i="301"/>
  <c r="N274" i="301"/>
  <c r="E275" i="301"/>
  <c r="F275" i="301"/>
  <c r="N275" i="301"/>
  <c r="E276" i="301"/>
  <c r="F276" i="301"/>
  <c r="N276" i="301"/>
  <c r="E277" i="301"/>
  <c r="F277" i="301"/>
  <c r="N277" i="301"/>
  <c r="E278" i="301"/>
  <c r="F278" i="301"/>
  <c r="N278" i="301"/>
  <c r="E279" i="301"/>
  <c r="F279" i="301"/>
  <c r="N279" i="301"/>
  <c r="E280" i="301"/>
  <c r="F280" i="301"/>
  <c r="N280" i="301"/>
  <c r="E281" i="301"/>
  <c r="F281" i="301"/>
  <c r="N281" i="301"/>
  <c r="E282" i="301"/>
  <c r="F282" i="301"/>
  <c r="N282" i="301"/>
  <c r="E283" i="301"/>
  <c r="F283" i="301"/>
  <c r="N283" i="301"/>
  <c r="E284" i="301"/>
  <c r="F284" i="301"/>
  <c r="N284" i="301"/>
  <c r="E285" i="301"/>
  <c r="F285" i="301"/>
  <c r="N285" i="301"/>
  <c r="E286" i="301"/>
  <c r="F286" i="301"/>
  <c r="N286" i="301"/>
  <c r="E287" i="301"/>
  <c r="F287" i="301"/>
  <c r="N287" i="301"/>
  <c r="E288" i="301"/>
  <c r="F288" i="301"/>
  <c r="N288" i="301"/>
  <c r="E289" i="301"/>
  <c r="F289" i="301"/>
  <c r="N289" i="301"/>
  <c r="E290" i="301"/>
  <c r="F290" i="301"/>
  <c r="N290" i="301"/>
  <c r="E291" i="301"/>
  <c r="F291" i="301"/>
  <c r="N291" i="301"/>
  <c r="E292" i="301"/>
  <c r="F292" i="301"/>
  <c r="N292" i="301"/>
  <c r="E293" i="301"/>
  <c r="F293" i="301"/>
  <c r="N293" i="301"/>
  <c r="E294" i="301"/>
  <c r="F294" i="301"/>
  <c r="N294" i="301"/>
  <c r="E295" i="301"/>
  <c r="F295" i="301"/>
  <c r="N295" i="301"/>
  <c r="E296" i="301"/>
  <c r="F296" i="301"/>
  <c r="N296" i="301"/>
  <c r="E297" i="301"/>
  <c r="F297" i="301"/>
  <c r="N297" i="301"/>
  <c r="E298" i="301"/>
  <c r="F298" i="301"/>
  <c r="N298" i="301"/>
  <c r="E299" i="301"/>
  <c r="F299" i="301"/>
  <c r="N299" i="301"/>
  <c r="E300" i="301"/>
  <c r="F300" i="301"/>
  <c r="J300" i="301"/>
  <c r="M300" i="301"/>
  <c r="N300" i="301"/>
  <c r="E301" i="301"/>
  <c r="F301" i="301"/>
  <c r="N301" i="301"/>
  <c r="E302" i="301"/>
  <c r="F302" i="301"/>
  <c r="N302" i="301"/>
  <c r="E303" i="301"/>
  <c r="F303" i="301"/>
  <c r="N303" i="301"/>
  <c r="E304" i="301"/>
  <c r="F304" i="301"/>
  <c r="N304" i="301"/>
  <c r="E305" i="301"/>
  <c r="F305" i="301"/>
  <c r="N305" i="301"/>
  <c r="E306" i="301"/>
  <c r="F306" i="301"/>
  <c r="N306" i="301"/>
  <c r="E307" i="301"/>
  <c r="F307" i="301"/>
  <c r="N307" i="301"/>
  <c r="E308" i="301"/>
  <c r="F308" i="301"/>
  <c r="N308" i="301"/>
  <c r="E309" i="301"/>
  <c r="F309" i="301"/>
  <c r="N309" i="301"/>
  <c r="E310" i="301"/>
  <c r="F310" i="301"/>
  <c r="N310" i="301"/>
  <c r="E311" i="301"/>
  <c r="F311" i="301"/>
  <c r="N311" i="301"/>
  <c r="E312" i="301"/>
  <c r="F312" i="301"/>
  <c r="N312" i="301"/>
  <c r="E313" i="301"/>
  <c r="F313" i="301"/>
  <c r="N313" i="301"/>
  <c r="E314" i="301"/>
  <c r="F314" i="301"/>
  <c r="N314" i="301"/>
  <c r="E315" i="301"/>
  <c r="F315" i="301"/>
  <c r="N315" i="301"/>
  <c r="E316" i="301"/>
  <c r="F316" i="301"/>
  <c r="N316" i="301"/>
  <c r="E317" i="301"/>
  <c r="F317" i="301"/>
  <c r="N317" i="301"/>
  <c r="E318" i="301"/>
  <c r="F318" i="301"/>
  <c r="N318" i="301"/>
  <c r="E319" i="301"/>
  <c r="F319" i="301"/>
  <c r="N319" i="301"/>
  <c r="E320" i="301"/>
  <c r="F320" i="301"/>
  <c r="N320" i="301"/>
  <c r="E321" i="301"/>
  <c r="F321" i="301"/>
  <c r="N321" i="301"/>
  <c r="E322" i="301"/>
  <c r="F322" i="301"/>
  <c r="N322" i="301"/>
  <c r="E323" i="301"/>
  <c r="F323" i="301"/>
  <c r="N323" i="301"/>
  <c r="E324" i="301"/>
  <c r="F324" i="301"/>
  <c r="N324" i="301"/>
  <c r="E325" i="301"/>
  <c r="F325" i="301"/>
  <c r="N325" i="301"/>
  <c r="E326" i="301"/>
  <c r="F326" i="301"/>
  <c r="N326" i="301"/>
  <c r="E327" i="301"/>
  <c r="F327" i="301"/>
  <c r="N327" i="301"/>
  <c r="E328" i="301"/>
  <c r="F328" i="301"/>
  <c r="I328" i="301"/>
  <c r="J328" i="301"/>
  <c r="M328" i="301" s="1"/>
  <c r="Q328" i="301" s="1"/>
  <c r="N328" i="301"/>
  <c r="E329" i="301"/>
  <c r="F329" i="301"/>
  <c r="N329" i="301"/>
  <c r="E330" i="301"/>
  <c r="F330" i="301"/>
  <c r="N330" i="301"/>
  <c r="E331" i="301"/>
  <c r="F331" i="301"/>
  <c r="N331" i="301"/>
  <c r="E332" i="301"/>
  <c r="F332" i="301"/>
  <c r="N332" i="301"/>
  <c r="E333" i="301"/>
  <c r="F333" i="301"/>
  <c r="N333" i="301"/>
  <c r="E334" i="301"/>
  <c r="F334" i="301"/>
  <c r="N334" i="301"/>
  <c r="E335" i="301"/>
  <c r="F335" i="301"/>
  <c r="N335" i="301"/>
  <c r="E336" i="301"/>
  <c r="F336" i="301"/>
  <c r="I336" i="301"/>
  <c r="J336" i="301"/>
  <c r="M336" i="301" s="1"/>
  <c r="Q336" i="301" s="1"/>
  <c r="N336" i="301"/>
  <c r="E337" i="301"/>
  <c r="F337" i="301"/>
  <c r="N337" i="301"/>
  <c r="E338" i="301"/>
  <c r="F338" i="301"/>
  <c r="N338" i="301"/>
  <c r="E339" i="301"/>
  <c r="F339" i="301"/>
  <c r="N339" i="301"/>
  <c r="E340" i="301"/>
  <c r="F340" i="301"/>
  <c r="N340" i="301"/>
  <c r="E341" i="301"/>
  <c r="F341" i="301"/>
  <c r="N341" i="301"/>
  <c r="E342" i="301"/>
  <c r="F342" i="301"/>
  <c r="N342" i="301"/>
  <c r="E343" i="301"/>
  <c r="F343" i="301"/>
  <c r="N343" i="301"/>
  <c r="E344" i="301"/>
  <c r="F344" i="301"/>
  <c r="N344" i="301"/>
  <c r="E345" i="301"/>
  <c r="F345" i="301"/>
  <c r="N345" i="301"/>
  <c r="E346" i="301"/>
  <c r="F346" i="301"/>
  <c r="N346" i="301"/>
  <c r="E347" i="301"/>
  <c r="F347" i="301"/>
  <c r="N347" i="301"/>
  <c r="E348" i="301"/>
  <c r="F348" i="301"/>
  <c r="N348" i="301"/>
  <c r="E349" i="301"/>
  <c r="F349" i="301"/>
  <c r="N349" i="301"/>
  <c r="E350" i="301"/>
  <c r="F350" i="301"/>
  <c r="N350" i="301"/>
  <c r="E351" i="301"/>
  <c r="F351" i="301"/>
  <c r="N351" i="301"/>
  <c r="E352" i="301"/>
  <c r="F352" i="301"/>
  <c r="N352" i="301"/>
  <c r="E353" i="301"/>
  <c r="F353" i="301"/>
  <c r="N353" i="301"/>
  <c r="E354" i="301"/>
  <c r="F354" i="301"/>
  <c r="N354" i="301"/>
  <c r="E355" i="301"/>
  <c r="F355" i="301"/>
  <c r="N355" i="301"/>
  <c r="E356" i="301"/>
  <c r="F356" i="301"/>
  <c r="N356" i="301"/>
  <c r="E357" i="301"/>
  <c r="F357" i="301"/>
  <c r="N357" i="301"/>
  <c r="E358" i="301"/>
  <c r="F358" i="301"/>
  <c r="N358" i="301"/>
  <c r="E359" i="301"/>
  <c r="F359" i="301"/>
  <c r="N359" i="301"/>
  <c r="E360" i="301"/>
  <c r="F360" i="301"/>
  <c r="N360" i="301"/>
  <c r="E361" i="301"/>
  <c r="F361" i="301"/>
  <c r="N361" i="301"/>
  <c r="E362" i="301"/>
  <c r="F362" i="301"/>
  <c r="N362" i="301"/>
  <c r="E363" i="301"/>
  <c r="F363" i="301"/>
  <c r="N363" i="301"/>
  <c r="E364" i="301"/>
  <c r="F364" i="301"/>
  <c r="N364" i="301"/>
  <c r="E365" i="301"/>
  <c r="F365" i="301"/>
  <c r="N365" i="301"/>
  <c r="E366" i="301"/>
  <c r="F366" i="301"/>
  <c r="N366" i="301"/>
  <c r="E367" i="301"/>
  <c r="F367" i="301"/>
  <c r="N367" i="301"/>
  <c r="E368" i="301"/>
  <c r="F368" i="301"/>
  <c r="N368" i="301"/>
  <c r="E369" i="301"/>
  <c r="F369" i="301"/>
  <c r="N369" i="301"/>
  <c r="E370" i="301"/>
  <c r="F370" i="301"/>
  <c r="N370" i="301"/>
  <c r="E371" i="301"/>
  <c r="F371" i="301"/>
  <c r="N371" i="301"/>
  <c r="E372" i="301"/>
  <c r="F372" i="301"/>
  <c r="N372" i="301"/>
  <c r="E373" i="301"/>
  <c r="F373" i="301"/>
  <c r="N373" i="301"/>
  <c r="E374" i="301"/>
  <c r="F374" i="301"/>
  <c r="N374" i="301"/>
  <c r="E375" i="301"/>
  <c r="F375" i="301"/>
  <c r="N375" i="301"/>
  <c r="E376" i="301"/>
  <c r="F376" i="301"/>
  <c r="I376" i="301"/>
  <c r="J376" i="301" s="1"/>
  <c r="M376" i="301" s="1"/>
  <c r="N376" i="301"/>
  <c r="E377" i="301"/>
  <c r="F377" i="301"/>
  <c r="N377" i="301"/>
  <c r="E378" i="301"/>
  <c r="F378" i="301"/>
  <c r="N378" i="301"/>
  <c r="E379" i="301"/>
  <c r="F379" i="301"/>
  <c r="N379" i="301"/>
  <c r="E380" i="301"/>
  <c r="F380" i="301"/>
  <c r="I380" i="301"/>
  <c r="J380" i="301" s="1"/>
  <c r="M380" i="301" s="1"/>
  <c r="N380" i="301"/>
  <c r="E381" i="301"/>
  <c r="F381" i="301"/>
  <c r="N381" i="301"/>
  <c r="E382" i="301"/>
  <c r="F382" i="301"/>
  <c r="N382" i="301"/>
  <c r="E383" i="301"/>
  <c r="F383" i="301"/>
  <c r="N383" i="301"/>
  <c r="E384" i="301"/>
  <c r="F384" i="301"/>
  <c r="N384" i="301"/>
  <c r="E385" i="301"/>
  <c r="F385" i="301"/>
  <c r="N385" i="301"/>
  <c r="E386" i="301"/>
  <c r="F386" i="301"/>
  <c r="N386" i="301"/>
  <c r="E387" i="301"/>
  <c r="F387" i="301"/>
  <c r="N387" i="301"/>
  <c r="E388" i="301"/>
  <c r="F388" i="301"/>
  <c r="N388" i="301"/>
  <c r="E389" i="301"/>
  <c r="F389" i="301"/>
  <c r="N389" i="301"/>
  <c r="E390" i="301"/>
  <c r="F390" i="301"/>
  <c r="N390" i="301"/>
  <c r="E391" i="301"/>
  <c r="F391" i="301"/>
  <c r="N391" i="301"/>
  <c r="E392" i="301"/>
  <c r="F392" i="301"/>
  <c r="N392" i="301"/>
  <c r="E393" i="301"/>
  <c r="F393" i="301"/>
  <c r="N393" i="301"/>
  <c r="E394" i="301"/>
  <c r="F394" i="301"/>
  <c r="N394" i="301"/>
  <c r="E395" i="301"/>
  <c r="F395" i="301"/>
  <c r="N395" i="301"/>
  <c r="E396" i="301"/>
  <c r="F396" i="301"/>
  <c r="I396" i="301"/>
  <c r="J396" i="301" s="1"/>
  <c r="M396" i="301" s="1"/>
  <c r="N396" i="301"/>
  <c r="E397" i="301"/>
  <c r="F397" i="301"/>
  <c r="N397" i="301"/>
  <c r="E398" i="301"/>
  <c r="F398" i="301"/>
  <c r="N398" i="301"/>
  <c r="E399" i="301"/>
  <c r="F399" i="301"/>
  <c r="N399" i="301"/>
  <c r="E400" i="301"/>
  <c r="F400" i="301"/>
  <c r="N400" i="301"/>
  <c r="E401" i="301"/>
  <c r="F401" i="301"/>
  <c r="N401" i="301"/>
  <c r="E402" i="301"/>
  <c r="F402" i="301"/>
  <c r="N402" i="301"/>
  <c r="E403" i="301"/>
  <c r="F403" i="301"/>
  <c r="N403" i="301"/>
  <c r="E404" i="301"/>
  <c r="F404" i="301"/>
  <c r="N404" i="301"/>
  <c r="E405" i="301"/>
  <c r="F405" i="301"/>
  <c r="N405" i="301"/>
  <c r="E406" i="301"/>
  <c r="F406" i="301"/>
  <c r="N406" i="301"/>
  <c r="E407" i="301"/>
  <c r="F407" i="301"/>
  <c r="N407" i="301"/>
  <c r="E408" i="301"/>
  <c r="F408" i="301"/>
  <c r="N408" i="301"/>
  <c r="E409" i="301"/>
  <c r="F409" i="301"/>
  <c r="N409" i="301"/>
  <c r="E410" i="301"/>
  <c r="F410" i="301"/>
  <c r="N410" i="301"/>
  <c r="E411" i="301"/>
  <c r="F411" i="301"/>
  <c r="N411" i="301"/>
  <c r="E412" i="301"/>
  <c r="F412" i="301"/>
  <c r="N412" i="301"/>
  <c r="E413" i="301"/>
  <c r="F413" i="301"/>
  <c r="N413" i="301"/>
  <c r="E414" i="301"/>
  <c r="F414" i="301"/>
  <c r="N414" i="301"/>
  <c r="E415" i="301"/>
  <c r="F415" i="301"/>
  <c r="N415" i="301"/>
  <c r="E416" i="301"/>
  <c r="F416" i="301"/>
  <c r="N416" i="301"/>
  <c r="E417" i="301"/>
  <c r="F417" i="301"/>
  <c r="N417" i="301"/>
  <c r="E418" i="301"/>
  <c r="F418" i="301"/>
  <c r="N418" i="301"/>
  <c r="E419" i="301"/>
  <c r="F419" i="301"/>
  <c r="N419" i="301"/>
  <c r="E420" i="301"/>
  <c r="F420" i="301"/>
  <c r="N420" i="301"/>
  <c r="E421" i="301"/>
  <c r="F421" i="301"/>
  <c r="N421" i="301"/>
  <c r="E422" i="301"/>
  <c r="F422" i="301"/>
  <c r="N422" i="301"/>
  <c r="E423" i="301"/>
  <c r="F423" i="301"/>
  <c r="N423" i="301"/>
  <c r="E424" i="301"/>
  <c r="F424" i="301"/>
  <c r="N424" i="301"/>
  <c r="E425" i="301"/>
  <c r="F425" i="301"/>
  <c r="N425" i="301"/>
  <c r="E426" i="301"/>
  <c r="F426" i="301"/>
  <c r="N426" i="301"/>
  <c r="E427" i="301"/>
  <c r="F427" i="301"/>
  <c r="N427" i="301"/>
  <c r="E428" i="301"/>
  <c r="F428" i="301"/>
  <c r="N428" i="301"/>
  <c r="E429" i="301"/>
  <c r="F429" i="301"/>
  <c r="N429" i="301"/>
  <c r="E430" i="301"/>
  <c r="F430" i="301"/>
  <c r="N430" i="301"/>
  <c r="E431" i="301"/>
  <c r="F431" i="301"/>
  <c r="N431" i="301"/>
  <c r="E432" i="301"/>
  <c r="F432" i="301"/>
  <c r="N432" i="301"/>
  <c r="E433" i="301"/>
  <c r="F433" i="301"/>
  <c r="N433" i="301"/>
  <c r="E434" i="301"/>
  <c r="F434" i="301"/>
  <c r="N434" i="301"/>
  <c r="E435" i="301"/>
  <c r="F435" i="301"/>
  <c r="N435" i="301"/>
  <c r="E436" i="301"/>
  <c r="F436" i="301"/>
  <c r="N436" i="301"/>
  <c r="E437" i="301"/>
  <c r="F437" i="301"/>
  <c r="N437" i="301"/>
  <c r="E438" i="301"/>
  <c r="F438" i="301"/>
  <c r="N438" i="301"/>
  <c r="E439" i="301"/>
  <c r="F439" i="301"/>
  <c r="N439" i="301"/>
  <c r="E440" i="301"/>
  <c r="F440" i="301"/>
  <c r="N440" i="301"/>
  <c r="E441" i="301"/>
  <c r="F441" i="301"/>
  <c r="I441" i="301"/>
  <c r="J441" i="301"/>
  <c r="M441" i="301" s="1"/>
  <c r="N441" i="301"/>
  <c r="E442" i="301"/>
  <c r="F442" i="301"/>
  <c r="N442" i="301"/>
  <c r="E443" i="301"/>
  <c r="F443" i="301"/>
  <c r="N443" i="301"/>
  <c r="E444" i="301"/>
  <c r="F444" i="301"/>
  <c r="N444" i="301"/>
  <c r="E445" i="301"/>
  <c r="F445" i="301"/>
  <c r="N445" i="301"/>
  <c r="E446" i="301"/>
  <c r="F446" i="301"/>
  <c r="N446" i="301"/>
  <c r="E447" i="301"/>
  <c r="F447" i="301"/>
  <c r="N447" i="301"/>
  <c r="E448" i="301"/>
  <c r="F448" i="301"/>
  <c r="N448" i="301"/>
  <c r="E449" i="301"/>
  <c r="F449" i="301"/>
  <c r="N449" i="301"/>
  <c r="E450" i="301"/>
  <c r="F450" i="301"/>
  <c r="N450" i="301"/>
  <c r="E451" i="301"/>
  <c r="F451" i="301"/>
  <c r="N451" i="301"/>
  <c r="E452" i="301"/>
  <c r="F452" i="301"/>
  <c r="N452" i="301"/>
  <c r="E453" i="301"/>
  <c r="F453" i="301"/>
  <c r="N453" i="301"/>
  <c r="E454" i="301"/>
  <c r="F454" i="301"/>
  <c r="N454" i="301"/>
  <c r="E455" i="301"/>
  <c r="F455" i="301"/>
  <c r="N455" i="301"/>
  <c r="E456" i="301"/>
  <c r="F456" i="301"/>
  <c r="N456" i="301"/>
  <c r="E457" i="301"/>
  <c r="F457" i="301"/>
  <c r="N457" i="301"/>
  <c r="E458" i="301"/>
  <c r="F458" i="301"/>
  <c r="N458" i="301"/>
  <c r="E459" i="301"/>
  <c r="F459" i="301"/>
  <c r="N459" i="301"/>
  <c r="E460" i="301"/>
  <c r="F460" i="301"/>
  <c r="N460" i="301"/>
  <c r="E461" i="301"/>
  <c r="F461" i="301"/>
  <c r="N461" i="301"/>
  <c r="E462" i="301"/>
  <c r="F462" i="301"/>
  <c r="N462" i="301"/>
  <c r="E463" i="301"/>
  <c r="F463" i="301"/>
  <c r="N463" i="301"/>
  <c r="E464" i="301"/>
  <c r="F464" i="301"/>
  <c r="N464" i="301"/>
  <c r="E465" i="301"/>
  <c r="F465" i="301"/>
  <c r="N465" i="301"/>
  <c r="E466" i="301"/>
  <c r="F466" i="301"/>
  <c r="N466" i="301"/>
  <c r="E467" i="301"/>
  <c r="F467" i="301"/>
  <c r="N467" i="301"/>
  <c r="E468" i="301"/>
  <c r="F468" i="301"/>
  <c r="N468" i="301"/>
  <c r="E469" i="301"/>
  <c r="F469" i="301"/>
  <c r="N469" i="301"/>
  <c r="E470" i="301"/>
  <c r="F470" i="301"/>
  <c r="N470" i="301"/>
  <c r="E471" i="301"/>
  <c r="F471" i="301"/>
  <c r="N471" i="301"/>
  <c r="E472" i="301"/>
  <c r="F472" i="301"/>
  <c r="N472" i="301"/>
  <c r="E473" i="301"/>
  <c r="F473" i="301"/>
  <c r="N473" i="301"/>
  <c r="E474" i="301"/>
  <c r="F474" i="301"/>
  <c r="N474" i="301"/>
  <c r="E475" i="301"/>
  <c r="F475" i="301"/>
  <c r="N475" i="301"/>
  <c r="E476" i="301"/>
  <c r="F476" i="301"/>
  <c r="N476" i="301"/>
  <c r="E477" i="301"/>
  <c r="F477" i="301"/>
  <c r="N477" i="301"/>
  <c r="E478" i="301"/>
  <c r="F478" i="301"/>
  <c r="N478" i="301"/>
  <c r="E479" i="301"/>
  <c r="F479" i="301"/>
  <c r="N479" i="301"/>
  <c r="E480" i="301"/>
  <c r="F480" i="301"/>
  <c r="N480" i="301"/>
  <c r="E481" i="301"/>
  <c r="F481" i="301"/>
  <c r="N481" i="301"/>
  <c r="E482" i="301"/>
  <c r="F482" i="301"/>
  <c r="N482" i="301"/>
  <c r="E483" i="301"/>
  <c r="F483" i="301"/>
  <c r="N483" i="301"/>
  <c r="E484" i="301"/>
  <c r="F484" i="301"/>
  <c r="N484" i="301"/>
  <c r="E485" i="301"/>
  <c r="F485" i="301"/>
  <c r="N485" i="301"/>
  <c r="E486" i="301"/>
  <c r="F486" i="301"/>
  <c r="N486" i="301"/>
  <c r="E487" i="301"/>
  <c r="F487" i="301"/>
  <c r="N487" i="301"/>
  <c r="E488" i="301"/>
  <c r="F488" i="301"/>
  <c r="N488" i="301"/>
  <c r="E489" i="301"/>
  <c r="F489" i="301"/>
  <c r="N489" i="301"/>
  <c r="E490" i="301"/>
  <c r="F490" i="301"/>
  <c r="N490" i="301"/>
  <c r="E491" i="301"/>
  <c r="F491" i="301"/>
  <c r="N491" i="301"/>
  <c r="E492" i="301"/>
  <c r="F492" i="301"/>
  <c r="N492" i="301"/>
  <c r="E493" i="301"/>
  <c r="F493" i="301"/>
  <c r="N493" i="301"/>
  <c r="E494" i="301"/>
  <c r="F494" i="301"/>
  <c r="N494" i="301"/>
  <c r="E495" i="301"/>
  <c r="F495" i="301"/>
  <c r="N495" i="301"/>
  <c r="E496" i="301"/>
  <c r="F496" i="301"/>
  <c r="N496" i="301"/>
  <c r="E497" i="301"/>
  <c r="F497" i="301"/>
  <c r="N497" i="301"/>
  <c r="E498" i="301"/>
  <c r="F498" i="301"/>
  <c r="N498" i="301"/>
  <c r="K500" i="301"/>
  <c r="L500" i="301"/>
  <c r="N500" i="301"/>
  <c r="V500" i="301"/>
  <c r="Q441" i="301" l="1"/>
  <c r="O441" i="301"/>
  <c r="P441" i="301" s="1"/>
  <c r="AB333" i="269"/>
  <c r="I332" i="301"/>
  <c r="J332" i="301" s="1"/>
  <c r="M332" i="301" s="1"/>
  <c r="O396" i="301"/>
  <c r="P396" i="301" s="1"/>
  <c r="Q396" i="301"/>
  <c r="Q380" i="301"/>
  <c r="O380" i="301"/>
  <c r="P380" i="301" s="1"/>
  <c r="Q376" i="301"/>
  <c r="O376" i="301"/>
  <c r="P376" i="301" s="1"/>
  <c r="I449" i="301"/>
  <c r="J449" i="301" s="1"/>
  <c r="M449" i="301" s="1"/>
  <c r="Q146" i="301"/>
  <c r="O146" i="301"/>
  <c r="P146" i="301" s="1"/>
  <c r="Q144" i="301"/>
  <c r="X478" i="269"/>
  <c r="X458" i="269"/>
  <c r="R449" i="269"/>
  <c r="S449" i="269" s="1"/>
  <c r="Q449" i="269"/>
  <c r="Q448" i="269"/>
  <c r="R448" i="269"/>
  <c r="S448" i="269" s="1"/>
  <c r="X436" i="269"/>
  <c r="Q422" i="269"/>
  <c r="R422" i="269"/>
  <c r="S422" i="269" s="1"/>
  <c r="R421" i="269"/>
  <c r="S421" i="269" s="1"/>
  <c r="Q421" i="269"/>
  <c r="Q420" i="269"/>
  <c r="X420" i="269" s="1"/>
  <c r="R420" i="269"/>
  <c r="S420" i="269" s="1"/>
  <c r="X391" i="269"/>
  <c r="X390" i="269"/>
  <c r="Q352" i="269"/>
  <c r="R352" i="269"/>
  <c r="S352" i="269" s="1"/>
  <c r="X352" i="269"/>
  <c r="X314" i="269"/>
  <c r="R309" i="269"/>
  <c r="S309" i="269" s="1"/>
  <c r="Q309" i="269"/>
  <c r="X268" i="269"/>
  <c r="X236" i="269"/>
  <c r="I212" i="301"/>
  <c r="J212" i="301" s="1"/>
  <c r="M212" i="301" s="1"/>
  <c r="AB213" i="269"/>
  <c r="AB199" i="269"/>
  <c r="I198" i="301"/>
  <c r="J198" i="301" s="1"/>
  <c r="M198" i="301" s="1"/>
  <c r="I173" i="301"/>
  <c r="J173" i="301" s="1"/>
  <c r="M173" i="301" s="1"/>
  <c r="AB174" i="269"/>
  <c r="I165" i="301"/>
  <c r="J165" i="301" s="1"/>
  <c r="M165" i="301" s="1"/>
  <c r="AB166" i="269"/>
  <c r="I157" i="301"/>
  <c r="J157" i="301" s="1"/>
  <c r="M157" i="301" s="1"/>
  <c r="AB158" i="269"/>
  <c r="I151" i="301"/>
  <c r="J151" i="301" s="1"/>
  <c r="M151" i="301" s="1"/>
  <c r="AB152" i="269"/>
  <c r="X135" i="269"/>
  <c r="X119" i="269"/>
  <c r="X103" i="269"/>
  <c r="X87" i="269"/>
  <c r="X71" i="269"/>
  <c r="X52" i="269"/>
  <c r="AB50" i="269"/>
  <c r="I49" i="301"/>
  <c r="J49" i="301" s="1"/>
  <c r="M49" i="301" s="1"/>
  <c r="AB49" i="269"/>
  <c r="I48" i="301"/>
  <c r="J48" i="301" s="1"/>
  <c r="M48" i="301" s="1"/>
  <c r="AB31" i="269"/>
  <c r="I30" i="301"/>
  <c r="J30" i="301" s="1"/>
  <c r="M30" i="301" s="1"/>
  <c r="AG104" i="297"/>
  <c r="AH104" i="297" s="1"/>
  <c r="AB104" i="297"/>
  <c r="AI104" i="297" s="1"/>
  <c r="AV104" i="297" s="1"/>
  <c r="AW104" i="297" s="1"/>
  <c r="AY104" i="297" s="1"/>
  <c r="AB102" i="297"/>
  <c r="AG102" i="297"/>
  <c r="AH102" i="297" s="1"/>
  <c r="AN87" i="297"/>
  <c r="AO87" i="297" s="1"/>
  <c r="AR87" i="297" s="1"/>
  <c r="AK107" i="297"/>
  <c r="AB25" i="297"/>
  <c r="AG25" i="297"/>
  <c r="AH25" i="297" s="1"/>
  <c r="AR11" i="297"/>
  <c r="AJ107" i="297"/>
  <c r="O300" i="301"/>
  <c r="P300" i="301" s="1"/>
  <c r="Q300" i="301"/>
  <c r="R409" i="269"/>
  <c r="S409" i="269" s="1"/>
  <c r="Q409" i="269"/>
  <c r="X395" i="269"/>
  <c r="X394" i="269"/>
  <c r="X379" i="269"/>
  <c r="R357" i="269"/>
  <c r="S357" i="269" s="1"/>
  <c r="Q357" i="269"/>
  <c r="I220" i="301"/>
  <c r="J220" i="301" s="1"/>
  <c r="M220" i="301" s="1"/>
  <c r="AB221" i="269"/>
  <c r="I184" i="301"/>
  <c r="J184" i="301" s="1"/>
  <c r="M184" i="301" s="1"/>
  <c r="AB185" i="269"/>
  <c r="X123" i="269"/>
  <c r="X107" i="269"/>
  <c r="X91" i="269"/>
  <c r="X75" i="269"/>
  <c r="X59" i="269"/>
  <c r="S27" i="269"/>
  <c r="X27" i="269" s="1"/>
  <c r="V20" i="269"/>
  <c r="V501" i="269" s="1"/>
  <c r="U501" i="269"/>
  <c r="X20" i="269"/>
  <c r="AQ94" i="297"/>
  <c r="AN94" i="297"/>
  <c r="AO94" i="297" s="1"/>
  <c r="AQ84" i="297"/>
  <c r="AN84" i="297"/>
  <c r="AO84" i="297" s="1"/>
  <c r="AG63" i="297"/>
  <c r="AH63" i="297" s="1"/>
  <c r="AB63" i="297"/>
  <c r="AB33" i="297"/>
  <c r="AI33" i="297" s="1"/>
  <c r="AG33" i="297"/>
  <c r="AH33" i="297" s="1"/>
  <c r="I476" i="301"/>
  <c r="J476" i="301" s="1"/>
  <c r="M476" i="301" s="1"/>
  <c r="O336" i="301"/>
  <c r="P336" i="301" s="1"/>
  <c r="O328" i="301"/>
  <c r="P328" i="301" s="1"/>
  <c r="N501" i="269"/>
  <c r="X487" i="269"/>
  <c r="Q454" i="269"/>
  <c r="R454" i="269"/>
  <c r="S454" i="269" s="1"/>
  <c r="R453" i="269"/>
  <c r="S453" i="269" s="1"/>
  <c r="Q453" i="269"/>
  <c r="Q452" i="269"/>
  <c r="R452" i="269"/>
  <c r="S452" i="269" s="1"/>
  <c r="X452" i="269" s="1"/>
  <c r="X433" i="269"/>
  <c r="Q426" i="269"/>
  <c r="X426" i="269" s="1"/>
  <c r="R426" i="269"/>
  <c r="S426" i="269" s="1"/>
  <c r="R401" i="269"/>
  <c r="S401" i="269" s="1"/>
  <c r="X401" i="269" s="1"/>
  <c r="Q401" i="269"/>
  <c r="X387" i="269"/>
  <c r="X383" i="269"/>
  <c r="X375" i="269"/>
  <c r="X371" i="269"/>
  <c r="X367" i="269"/>
  <c r="X363" i="269"/>
  <c r="X362" i="269"/>
  <c r="R349" i="269"/>
  <c r="S349" i="269" s="1"/>
  <c r="Q349" i="269"/>
  <c r="X299" i="269"/>
  <c r="Q288" i="269"/>
  <c r="R288" i="269"/>
  <c r="S288" i="269" s="1"/>
  <c r="R285" i="269"/>
  <c r="S285" i="269" s="1"/>
  <c r="Q285" i="269"/>
  <c r="X260" i="269"/>
  <c r="X194" i="269"/>
  <c r="I181" i="301"/>
  <c r="J181" i="301" s="1"/>
  <c r="M181" i="301" s="1"/>
  <c r="AB182" i="269"/>
  <c r="AB148" i="269"/>
  <c r="I147" i="301"/>
  <c r="J147" i="301" s="1"/>
  <c r="M147" i="301" s="1"/>
  <c r="K142" i="269"/>
  <c r="X142" i="269" s="1"/>
  <c r="X131" i="269"/>
  <c r="X115" i="269"/>
  <c r="X99" i="269"/>
  <c r="X83" i="269"/>
  <c r="X67" i="269"/>
  <c r="AB54" i="269"/>
  <c r="I53" i="301"/>
  <c r="J53" i="301" s="1"/>
  <c r="M53" i="301" s="1"/>
  <c r="AB37" i="269"/>
  <c r="I36" i="301"/>
  <c r="J36" i="301" s="1"/>
  <c r="M36" i="301" s="1"/>
  <c r="X36" i="269"/>
  <c r="O501" i="269"/>
  <c r="AQ100" i="297"/>
  <c r="AN100" i="297"/>
  <c r="AO100" i="297" s="1"/>
  <c r="AR100" i="297" s="1"/>
  <c r="AN97" i="297"/>
  <c r="AO97" i="297" s="1"/>
  <c r="AQ97" i="297"/>
  <c r="Z88" i="297"/>
  <c r="AB15" i="297"/>
  <c r="AI15" i="297" s="1"/>
  <c r="AV15" i="297" s="1"/>
  <c r="AW15" i="297" s="1"/>
  <c r="AY15" i="297" s="1"/>
  <c r="AG15" i="297"/>
  <c r="AH15" i="297" s="1"/>
  <c r="T107" i="297"/>
  <c r="T108" i="297" s="1"/>
  <c r="P107" i="297"/>
  <c r="P108" i="297" s="1"/>
  <c r="L107" i="297"/>
  <c r="Q320" i="269"/>
  <c r="R320" i="269"/>
  <c r="S320" i="269" s="1"/>
  <c r="X244" i="269"/>
  <c r="X212" i="269"/>
  <c r="X198" i="269"/>
  <c r="AG34" i="290"/>
  <c r="AH34" i="290" s="1"/>
  <c r="AA34" i="290"/>
  <c r="AB34" i="290"/>
  <c r="I439" i="301"/>
  <c r="J439" i="301" s="1"/>
  <c r="M439" i="301" s="1"/>
  <c r="Q178" i="301"/>
  <c r="O178" i="301"/>
  <c r="P178" i="301" s="1"/>
  <c r="Q170" i="301"/>
  <c r="O170" i="301"/>
  <c r="P170" i="301" s="1"/>
  <c r="Q162" i="301"/>
  <c r="O162" i="301"/>
  <c r="P162" i="301" s="1"/>
  <c r="Q154" i="301"/>
  <c r="O154" i="301"/>
  <c r="P154" i="301" s="1"/>
  <c r="I138" i="301"/>
  <c r="J138" i="301" s="1"/>
  <c r="M138" i="301" s="1"/>
  <c r="P27" i="301"/>
  <c r="X499" i="269"/>
  <c r="X492" i="269"/>
  <c r="Q486" i="269"/>
  <c r="R486" i="269"/>
  <c r="S486" i="269" s="1"/>
  <c r="R485" i="269"/>
  <c r="S485" i="269" s="1"/>
  <c r="Q485" i="269"/>
  <c r="Q484" i="269"/>
  <c r="R484" i="269"/>
  <c r="S484" i="269" s="1"/>
  <c r="Q466" i="269"/>
  <c r="X466" i="269" s="1"/>
  <c r="R466" i="269"/>
  <c r="S466" i="269" s="1"/>
  <c r="X463" i="269"/>
  <c r="X432" i="269"/>
  <c r="Q430" i="269"/>
  <c r="R430" i="269"/>
  <c r="S430" i="269" s="1"/>
  <c r="X424" i="269"/>
  <c r="Q336" i="269"/>
  <c r="R336" i="269"/>
  <c r="S336" i="269" s="1"/>
  <c r="R325" i="269"/>
  <c r="S325" i="269" s="1"/>
  <c r="Q325" i="269"/>
  <c r="R305" i="269"/>
  <c r="S305" i="269" s="1"/>
  <c r="Q305" i="269"/>
  <c r="R293" i="269"/>
  <c r="S293" i="269" s="1"/>
  <c r="Q293" i="269"/>
  <c r="Q276" i="269"/>
  <c r="R276" i="269"/>
  <c r="S276" i="269" s="1"/>
  <c r="P501" i="269"/>
  <c r="X252" i="269"/>
  <c r="X220" i="269"/>
  <c r="I204" i="301"/>
  <c r="J204" i="301" s="1"/>
  <c r="M204" i="301" s="1"/>
  <c r="AB205" i="269"/>
  <c r="X184" i="269"/>
  <c r="AB178" i="269"/>
  <c r="I177" i="301"/>
  <c r="J177" i="301" s="1"/>
  <c r="M177" i="301" s="1"/>
  <c r="AB170" i="269"/>
  <c r="I169" i="301"/>
  <c r="J169" i="301" s="1"/>
  <c r="M169" i="301" s="1"/>
  <c r="AB162" i="269"/>
  <c r="I161" i="301"/>
  <c r="J161" i="301" s="1"/>
  <c r="M161" i="301" s="1"/>
  <c r="X127" i="269"/>
  <c r="X111" i="269"/>
  <c r="X95" i="269"/>
  <c r="X79" i="269"/>
  <c r="X63" i="269"/>
  <c r="X57" i="269"/>
  <c r="AB46" i="269"/>
  <c r="I45" i="301"/>
  <c r="J45" i="301" s="1"/>
  <c r="M45" i="301" s="1"/>
  <c r="AB45" i="269"/>
  <c r="I44" i="301"/>
  <c r="J44" i="301" s="1"/>
  <c r="M44" i="301" s="1"/>
  <c r="X41" i="269"/>
  <c r="X39" i="269"/>
  <c r="AN105" i="297"/>
  <c r="AO105" i="297" s="1"/>
  <c r="AR105" i="297" s="1"/>
  <c r="AQ105" i="297"/>
  <c r="AB96" i="297"/>
  <c r="AI96" i="297" s="1"/>
  <c r="AG96" i="297"/>
  <c r="AH96" i="297" s="1"/>
  <c r="Z89" i="297"/>
  <c r="AB80" i="297"/>
  <c r="AG80" i="297"/>
  <c r="AH80" i="297" s="1"/>
  <c r="AN77" i="297"/>
  <c r="AO77" i="297" s="1"/>
  <c r="AR77" i="297" s="1"/>
  <c r="AQ77" i="297"/>
  <c r="AQ51" i="297"/>
  <c r="AN51" i="297"/>
  <c r="AO51" i="297" s="1"/>
  <c r="AR51" i="297" s="1"/>
  <c r="AB41" i="297"/>
  <c r="AI41" i="297" s="1"/>
  <c r="AG41" i="297"/>
  <c r="AH41" i="297" s="1"/>
  <c r="K107" i="297"/>
  <c r="X491" i="269"/>
  <c r="X403" i="269"/>
  <c r="X402" i="269"/>
  <c r="Q340" i="269"/>
  <c r="X340" i="269" s="1"/>
  <c r="R340" i="269"/>
  <c r="S340" i="269" s="1"/>
  <c r="Q332" i="269"/>
  <c r="R332" i="269"/>
  <c r="S332" i="269" s="1"/>
  <c r="X326" i="269"/>
  <c r="Q316" i="269"/>
  <c r="R316" i="269"/>
  <c r="S316" i="269" s="1"/>
  <c r="X310" i="269"/>
  <c r="Q272" i="269"/>
  <c r="R272" i="269"/>
  <c r="S272" i="269" s="1"/>
  <c r="X266" i="269"/>
  <c r="X258" i="269"/>
  <c r="X250" i="269"/>
  <c r="X242" i="269"/>
  <c r="X234" i="269"/>
  <c r="X223" i="269"/>
  <c r="X222" i="269"/>
  <c r="X215" i="269"/>
  <c r="X214" i="269"/>
  <c r="X201" i="269"/>
  <c r="X200" i="269"/>
  <c r="X190" i="269"/>
  <c r="X187" i="269"/>
  <c r="X186" i="269"/>
  <c r="X140" i="269"/>
  <c r="X136" i="269"/>
  <c r="X132" i="269"/>
  <c r="X128" i="269"/>
  <c r="X124" i="269"/>
  <c r="X120" i="269"/>
  <c r="X116" i="269"/>
  <c r="X112" i="269"/>
  <c r="X108" i="269"/>
  <c r="X104" i="269"/>
  <c r="X100" i="269"/>
  <c r="X96" i="269"/>
  <c r="X92" i="269"/>
  <c r="X88" i="269"/>
  <c r="X84" i="269"/>
  <c r="X80" i="269"/>
  <c r="X76" i="269"/>
  <c r="X72" i="269"/>
  <c r="X68" i="269"/>
  <c r="X64" i="269"/>
  <c r="X60" i="269"/>
  <c r="Q38" i="269"/>
  <c r="R38" i="269"/>
  <c r="S38" i="269" s="1"/>
  <c r="X38" i="269" s="1"/>
  <c r="X26" i="269"/>
  <c r="X16" i="269"/>
  <c r="AN103" i="297"/>
  <c r="AO103" i="297" s="1"/>
  <c r="AQ103" i="297"/>
  <c r="AN101" i="297"/>
  <c r="AO101" i="297" s="1"/>
  <c r="AR101" i="297" s="1"/>
  <c r="AQ101" i="297"/>
  <c r="Z100" i="297"/>
  <c r="Z99" i="297"/>
  <c r="AB95" i="297"/>
  <c r="AG95" i="297"/>
  <c r="AH95" i="297" s="1"/>
  <c r="AP92" i="297"/>
  <c r="AQ90" i="297"/>
  <c r="AN90" i="297"/>
  <c r="AO90" i="297" s="1"/>
  <c r="AP89" i="297"/>
  <c r="AB87" i="297"/>
  <c r="AI87" i="297" s="1"/>
  <c r="AV87" i="297" s="1"/>
  <c r="AW87" i="297" s="1"/>
  <c r="AY87" i="297" s="1"/>
  <c r="AG87" i="297"/>
  <c r="AH87" i="297" s="1"/>
  <c r="AN85" i="297"/>
  <c r="AO85" i="297" s="1"/>
  <c r="AR85" i="297" s="1"/>
  <c r="AQ85" i="297"/>
  <c r="Z84" i="297"/>
  <c r="Z83" i="297"/>
  <c r="AB79" i="297"/>
  <c r="AI79" i="297" s="1"/>
  <c r="AG79" i="297"/>
  <c r="AH79" i="297" s="1"/>
  <c r="AB72" i="297"/>
  <c r="AG72" i="297"/>
  <c r="AH72" i="297" s="1"/>
  <c r="Z70" i="297"/>
  <c r="Z52" i="297"/>
  <c r="I107" i="297"/>
  <c r="AB47" i="297"/>
  <c r="AI47" i="297" s="1"/>
  <c r="AG47" i="297"/>
  <c r="AH47" i="297" s="1"/>
  <c r="AB39" i="297"/>
  <c r="AG39" i="297"/>
  <c r="AH39" i="297" s="1"/>
  <c r="AB31" i="297"/>
  <c r="AI31" i="297" s="1"/>
  <c r="AG31" i="297"/>
  <c r="AH31" i="297" s="1"/>
  <c r="AB23" i="297"/>
  <c r="AG23" i="297"/>
  <c r="AH23" i="297" s="1"/>
  <c r="S107" i="297"/>
  <c r="S108" i="297" s="1"/>
  <c r="O107" i="297"/>
  <c r="O108" i="297" s="1"/>
  <c r="W107" i="297"/>
  <c r="W108" i="297" s="1"/>
  <c r="Z87" i="290"/>
  <c r="Z79" i="290"/>
  <c r="Z67" i="290"/>
  <c r="Z143" i="288"/>
  <c r="Q172" i="301"/>
  <c r="Q164" i="301"/>
  <c r="Q156" i="301"/>
  <c r="Q140" i="301"/>
  <c r="X495" i="269"/>
  <c r="X475" i="269"/>
  <c r="Q445" i="269"/>
  <c r="Q417" i="269"/>
  <c r="X417" i="269" s="1"/>
  <c r="R416" i="269"/>
  <c r="S416" i="269" s="1"/>
  <c r="X416" i="269" s="1"/>
  <c r="Q408" i="269"/>
  <c r="R408" i="269"/>
  <c r="S408" i="269" s="1"/>
  <c r="Q396" i="269"/>
  <c r="X396" i="269" s="1"/>
  <c r="R396" i="269"/>
  <c r="S396" i="269" s="1"/>
  <c r="Q392" i="269"/>
  <c r="X392" i="269" s="1"/>
  <c r="R392" i="269"/>
  <c r="S392" i="269" s="1"/>
  <c r="Q388" i="269"/>
  <c r="X388" i="269" s="1"/>
  <c r="R388" i="269"/>
  <c r="S388" i="269" s="1"/>
  <c r="Q384" i="269"/>
  <c r="X384" i="269" s="1"/>
  <c r="R384" i="269"/>
  <c r="S384" i="269" s="1"/>
  <c r="Q380" i="269"/>
  <c r="X380" i="269" s="1"/>
  <c r="R380" i="269"/>
  <c r="S380" i="269" s="1"/>
  <c r="Q376" i="269"/>
  <c r="X376" i="269" s="1"/>
  <c r="R376" i="269"/>
  <c r="S376" i="269" s="1"/>
  <c r="Q372" i="269"/>
  <c r="X372" i="269" s="1"/>
  <c r="R372" i="269"/>
  <c r="S372" i="269" s="1"/>
  <c r="Q368" i="269"/>
  <c r="X368" i="269" s="1"/>
  <c r="R368" i="269"/>
  <c r="S368" i="269" s="1"/>
  <c r="Q364" i="269"/>
  <c r="X364" i="269" s="1"/>
  <c r="R364" i="269"/>
  <c r="S364" i="269" s="1"/>
  <c r="Q360" i="269"/>
  <c r="R360" i="269"/>
  <c r="S360" i="269" s="1"/>
  <c r="Q344" i="269"/>
  <c r="X344" i="269" s="1"/>
  <c r="R344" i="269"/>
  <c r="S344" i="269" s="1"/>
  <c r="Q328" i="269"/>
  <c r="R328" i="269"/>
  <c r="S328" i="269" s="1"/>
  <c r="Q312" i="269"/>
  <c r="R312" i="269"/>
  <c r="S312" i="269" s="1"/>
  <c r="Q300" i="269"/>
  <c r="R300" i="269"/>
  <c r="S300" i="269" s="1"/>
  <c r="Q296" i="269"/>
  <c r="R296" i="269"/>
  <c r="S296" i="269" s="1"/>
  <c r="Q280" i="269"/>
  <c r="R280" i="269"/>
  <c r="S280" i="269" s="1"/>
  <c r="X264" i="269"/>
  <c r="X256" i="269"/>
  <c r="X248" i="269"/>
  <c r="X240" i="269"/>
  <c r="X232" i="269"/>
  <c r="X225" i="269"/>
  <c r="X224" i="269"/>
  <c r="X217" i="269"/>
  <c r="X216" i="269"/>
  <c r="X209" i="269"/>
  <c r="X203" i="269"/>
  <c r="X202" i="269"/>
  <c r="X188" i="269"/>
  <c r="X137" i="269"/>
  <c r="X133" i="269"/>
  <c r="X129" i="269"/>
  <c r="X125" i="269"/>
  <c r="X121" i="269"/>
  <c r="X117" i="269"/>
  <c r="X113" i="269"/>
  <c r="X109" i="269"/>
  <c r="X105" i="269"/>
  <c r="X101" i="269"/>
  <c r="X97" i="269"/>
  <c r="X93" i="269"/>
  <c r="X89" i="269"/>
  <c r="X85" i="269"/>
  <c r="X81" i="269"/>
  <c r="X77" i="269"/>
  <c r="X73" i="269"/>
  <c r="X69" i="269"/>
  <c r="X65" i="269"/>
  <c r="X61" i="269"/>
  <c r="X56" i="269"/>
  <c r="Q55" i="269"/>
  <c r="X55" i="269" s="1"/>
  <c r="R55" i="269"/>
  <c r="S55" i="269" s="1"/>
  <c r="I50" i="301"/>
  <c r="J50" i="301" s="1"/>
  <c r="M50" i="301" s="1"/>
  <c r="AB51" i="269"/>
  <c r="X47" i="269"/>
  <c r="X43" i="269"/>
  <c r="X40" i="269"/>
  <c r="X35" i="269"/>
  <c r="X24" i="269"/>
  <c r="X23" i="269"/>
  <c r="Z98" i="297"/>
  <c r="AG94" i="297"/>
  <c r="AH94" i="297" s="1"/>
  <c r="AB94" i="297"/>
  <c r="Z91" i="297"/>
  <c r="AG90" i="297"/>
  <c r="AH90" i="297" s="1"/>
  <c r="AI90" i="297" s="1"/>
  <c r="Z82" i="297"/>
  <c r="AN81" i="297"/>
  <c r="AO81" i="297" s="1"/>
  <c r="AR81" i="297" s="1"/>
  <c r="AQ81" i="297"/>
  <c r="AP76" i="297"/>
  <c r="AB74" i="297"/>
  <c r="AI74" i="297" s="1"/>
  <c r="AG74" i="297"/>
  <c r="AH74" i="297" s="1"/>
  <c r="AQ72" i="297"/>
  <c r="AN72" i="297"/>
  <c r="AO72" i="297" s="1"/>
  <c r="AR72" i="297" s="1"/>
  <c r="Z71" i="297"/>
  <c r="AN69" i="297"/>
  <c r="AO69" i="297" s="1"/>
  <c r="AR69" i="297" s="1"/>
  <c r="AQ69" i="297"/>
  <c r="AQ66" i="297"/>
  <c r="AN66" i="297"/>
  <c r="AO66" i="297" s="1"/>
  <c r="Z62" i="297"/>
  <c r="AN58" i="297"/>
  <c r="AO58" i="297" s="1"/>
  <c r="AQ58" i="297"/>
  <c r="AB45" i="297"/>
  <c r="AI45" i="297" s="1"/>
  <c r="AG45" i="297"/>
  <c r="AH45" i="297" s="1"/>
  <c r="AB37" i="297"/>
  <c r="AG37" i="297"/>
  <c r="AH37" i="297" s="1"/>
  <c r="AB29" i="297"/>
  <c r="AI29" i="297" s="1"/>
  <c r="AG29" i="297"/>
  <c r="AH29" i="297" s="1"/>
  <c r="AB21" i="297"/>
  <c r="AG21" i="297"/>
  <c r="AH21" i="297" s="1"/>
  <c r="Q107" i="297"/>
  <c r="Q108" i="297" s="1"/>
  <c r="M107" i="297"/>
  <c r="M108" i="297" s="1"/>
  <c r="AB68" i="290"/>
  <c r="AI68" i="290" s="1"/>
  <c r="AG68" i="290"/>
  <c r="AH68" i="290" s="1"/>
  <c r="AA68" i="290"/>
  <c r="Z65" i="290"/>
  <c r="AO46" i="290"/>
  <c r="AP46" i="290"/>
  <c r="AQ46" i="290" s="1"/>
  <c r="O174" i="301"/>
  <c r="P174" i="301" s="1"/>
  <c r="O166" i="301"/>
  <c r="P166" i="301" s="1"/>
  <c r="O158" i="301"/>
  <c r="P158" i="301" s="1"/>
  <c r="O150" i="301"/>
  <c r="P150" i="301" s="1"/>
  <c r="O31" i="301"/>
  <c r="P31" i="301" s="1"/>
  <c r="Q404" i="269"/>
  <c r="R404" i="269"/>
  <c r="S404" i="269" s="1"/>
  <c r="Q400" i="269"/>
  <c r="X400" i="269" s="1"/>
  <c r="R400" i="269"/>
  <c r="S400" i="269" s="1"/>
  <c r="Q356" i="269"/>
  <c r="R356" i="269"/>
  <c r="S356" i="269" s="1"/>
  <c r="Q348" i="269"/>
  <c r="X348" i="269" s="1"/>
  <c r="R348" i="269"/>
  <c r="S348" i="269" s="1"/>
  <c r="Q324" i="269"/>
  <c r="R324" i="269"/>
  <c r="S324" i="269" s="1"/>
  <c r="Q308" i="269"/>
  <c r="R308" i="269"/>
  <c r="S308" i="269" s="1"/>
  <c r="Q304" i="269"/>
  <c r="R304" i="269"/>
  <c r="S304" i="269" s="1"/>
  <c r="Q292" i="269"/>
  <c r="R292" i="269"/>
  <c r="S292" i="269" s="1"/>
  <c r="Q284" i="269"/>
  <c r="R284" i="269"/>
  <c r="S284" i="269" s="1"/>
  <c r="X270" i="269"/>
  <c r="X262" i="269"/>
  <c r="X254" i="269"/>
  <c r="X246" i="269"/>
  <c r="X238" i="269"/>
  <c r="X230" i="269"/>
  <c r="X219" i="269"/>
  <c r="X218" i="269"/>
  <c r="X211" i="269"/>
  <c r="X210" i="269"/>
  <c r="X197" i="269"/>
  <c r="X196" i="269"/>
  <c r="X183" i="269"/>
  <c r="X138" i="269"/>
  <c r="X134" i="269"/>
  <c r="X130" i="269"/>
  <c r="X126" i="269"/>
  <c r="X122" i="269"/>
  <c r="X118" i="269"/>
  <c r="X114" i="269"/>
  <c r="X110" i="269"/>
  <c r="X106" i="269"/>
  <c r="X102" i="269"/>
  <c r="X98" i="269"/>
  <c r="X94" i="269"/>
  <c r="X90" i="269"/>
  <c r="X86" i="269"/>
  <c r="X82" i="269"/>
  <c r="X78" i="269"/>
  <c r="X74" i="269"/>
  <c r="X70" i="269"/>
  <c r="X66" i="269"/>
  <c r="X62" i="269"/>
  <c r="X58" i="269"/>
  <c r="Q42" i="269"/>
  <c r="X42" i="269" s="1"/>
  <c r="R42" i="269"/>
  <c r="S42" i="269" s="1"/>
  <c r="X33" i="269"/>
  <c r="X29" i="269"/>
  <c r="X22" i="269"/>
  <c r="AB103" i="297"/>
  <c r="AI103" i="297" s="1"/>
  <c r="AG103" i="297"/>
  <c r="AH103" i="297" s="1"/>
  <c r="AQ102" i="297"/>
  <c r="AR102" i="297" s="1"/>
  <c r="AQ96" i="297"/>
  <c r="AR96" i="297" s="1"/>
  <c r="AN95" i="297"/>
  <c r="AO95" i="297" s="1"/>
  <c r="AR95" i="297" s="1"/>
  <c r="AQ95" i="297"/>
  <c r="AR93" i="297"/>
  <c r="Z86" i="297"/>
  <c r="AQ80" i="297"/>
  <c r="AR80" i="297" s="1"/>
  <c r="AN79" i="297"/>
  <c r="AO79" i="297" s="1"/>
  <c r="AR79" i="297" s="1"/>
  <c r="AQ79" i="297"/>
  <c r="AG78" i="297"/>
  <c r="AH78" i="297" s="1"/>
  <c r="AB78" i="297"/>
  <c r="AN74" i="297"/>
  <c r="AO74" i="297" s="1"/>
  <c r="AR74" i="297" s="1"/>
  <c r="AQ70" i="297"/>
  <c r="AN70" i="297"/>
  <c r="AO70" i="297" s="1"/>
  <c r="AR70" i="297" s="1"/>
  <c r="AQ68" i="297"/>
  <c r="AN68" i="297"/>
  <c r="AO68" i="297" s="1"/>
  <c r="AQ62" i="297"/>
  <c r="AN62" i="297"/>
  <c r="AO62" i="297" s="1"/>
  <c r="AR62" i="297" s="1"/>
  <c r="AN60" i="297"/>
  <c r="AO60" i="297" s="1"/>
  <c r="AR60" i="297" s="1"/>
  <c r="AQ60" i="297"/>
  <c r="Z51" i="297"/>
  <c r="AB43" i="297"/>
  <c r="AI43" i="297" s="1"/>
  <c r="AG43" i="297"/>
  <c r="AH43" i="297" s="1"/>
  <c r="AB35" i="297"/>
  <c r="AI35" i="297" s="1"/>
  <c r="AG35" i="297"/>
  <c r="AH35" i="297" s="1"/>
  <c r="AB27" i="297"/>
  <c r="AI27" i="297" s="1"/>
  <c r="AG27" i="297"/>
  <c r="AH27" i="297" s="1"/>
  <c r="AB19" i="297"/>
  <c r="AI19" i="297" s="1"/>
  <c r="AG19" i="297"/>
  <c r="AH19" i="297" s="1"/>
  <c r="AM107" i="297"/>
  <c r="AB14" i="297"/>
  <c r="AI14" i="297" s="1"/>
  <c r="AV14" i="297" s="1"/>
  <c r="AW14" i="297" s="1"/>
  <c r="AY14" i="297" s="1"/>
  <c r="AG14" i="297"/>
  <c r="AH14" i="297" s="1"/>
  <c r="Z91" i="290"/>
  <c r="Z83" i="290"/>
  <c r="Z75" i="290"/>
  <c r="N95" i="290"/>
  <c r="AL95" i="290"/>
  <c r="AO30" i="290"/>
  <c r="AP30" i="290"/>
  <c r="AQ30" i="290" s="1"/>
  <c r="AJ95" i="290"/>
  <c r="Z101" i="297"/>
  <c r="AB92" i="297"/>
  <c r="AI92" i="297" s="1"/>
  <c r="AG92" i="297"/>
  <c r="AH92" i="297" s="1"/>
  <c r="Z85" i="297"/>
  <c r="AB76" i="297"/>
  <c r="AG76" i="297"/>
  <c r="AH76" i="297" s="1"/>
  <c r="Z73" i="297"/>
  <c r="AB68" i="297"/>
  <c r="AI68" i="297" s="1"/>
  <c r="AG68" i="297"/>
  <c r="AH68" i="297" s="1"/>
  <c r="AR65" i="297"/>
  <c r="AB58" i="297"/>
  <c r="AI58" i="297" s="1"/>
  <c r="AG58" i="297"/>
  <c r="AH58" i="297" s="1"/>
  <c r="AB57" i="297"/>
  <c r="AG57" i="297"/>
  <c r="AH57" i="297" s="1"/>
  <c r="AN56" i="297"/>
  <c r="AO56" i="297" s="1"/>
  <c r="AR56" i="297" s="1"/>
  <c r="AQ56" i="297"/>
  <c r="AR54" i="297"/>
  <c r="Z50" i="297"/>
  <c r="Z17" i="297"/>
  <c r="Z16" i="297"/>
  <c r="AL107" i="297"/>
  <c r="AN13" i="297"/>
  <c r="AO13" i="297" s="1"/>
  <c r="AR13" i="297" s="1"/>
  <c r="AE12" i="297"/>
  <c r="AD107" i="297"/>
  <c r="AB11" i="297"/>
  <c r="AG11" i="297"/>
  <c r="AH11" i="297" s="1"/>
  <c r="V107" i="297"/>
  <c r="V108" i="297" s="1"/>
  <c r="R107" i="297"/>
  <c r="R108" i="297" s="1"/>
  <c r="N107" i="297"/>
  <c r="N108" i="297" s="1"/>
  <c r="J107" i="297"/>
  <c r="Z10" i="297"/>
  <c r="Z71" i="290"/>
  <c r="Z69" i="290"/>
  <c r="AB56" i="290"/>
  <c r="AG56" i="290"/>
  <c r="AH56" i="290" s="1"/>
  <c r="AA56" i="290"/>
  <c r="Z55" i="290"/>
  <c r="Z53" i="290"/>
  <c r="AA48" i="290"/>
  <c r="AB48" i="290"/>
  <c r="AI48" i="290" s="1"/>
  <c r="AV48" i="290" s="1"/>
  <c r="AG48" i="290"/>
  <c r="AH48" i="290" s="1"/>
  <c r="Z47" i="290"/>
  <c r="V95" i="290"/>
  <c r="AA32" i="290"/>
  <c r="AB32" i="290"/>
  <c r="AG32" i="290"/>
  <c r="AH32" i="290" s="1"/>
  <c r="T95" i="290"/>
  <c r="P95" i="290"/>
  <c r="L95" i="290"/>
  <c r="Z31" i="290"/>
  <c r="W95" i="290"/>
  <c r="O95" i="290"/>
  <c r="Z13" i="290"/>
  <c r="K95" i="290"/>
  <c r="X53" i="269"/>
  <c r="X48" i="269"/>
  <c r="X44" i="269"/>
  <c r="X34" i="269"/>
  <c r="X30" i="269"/>
  <c r="X17" i="269"/>
  <c r="Z105" i="297"/>
  <c r="Z97" i="297"/>
  <c r="Z81" i="297"/>
  <c r="Z75" i="297"/>
  <c r="AN73" i="297"/>
  <c r="AO73" i="297" s="1"/>
  <c r="AR73" i="297" s="1"/>
  <c r="Z67" i="297"/>
  <c r="Z65" i="297"/>
  <c r="AB64" i="297"/>
  <c r="AG64" i="297"/>
  <c r="AH64" i="297" s="1"/>
  <c r="AN63" i="297"/>
  <c r="AO63" i="297" s="1"/>
  <c r="AR63" i="297" s="1"/>
  <c r="AQ63" i="297"/>
  <c r="AR61" i="297"/>
  <c r="Z60" i="297"/>
  <c r="AQ59" i="297"/>
  <c r="AN59" i="297"/>
  <c r="AO59" i="297" s="1"/>
  <c r="Z59" i="297"/>
  <c r="Z54" i="297"/>
  <c r="AB53" i="297"/>
  <c r="AI53" i="297" s="1"/>
  <c r="AV53" i="297" s="1"/>
  <c r="AW53" i="297" s="1"/>
  <c r="AY53" i="297" s="1"/>
  <c r="AG53" i="297"/>
  <c r="AH53" i="297" s="1"/>
  <c r="AN52" i="297"/>
  <c r="AO52" i="297" s="1"/>
  <c r="AQ52" i="297"/>
  <c r="Z49" i="297"/>
  <c r="Z48" i="297"/>
  <c r="AR47" i="297"/>
  <c r="Z46" i="297"/>
  <c r="AR45" i="297"/>
  <c r="Z44" i="297"/>
  <c r="AR43" i="297"/>
  <c r="Z42" i="297"/>
  <c r="AR41" i="297"/>
  <c r="Z40" i="297"/>
  <c r="AR39" i="297"/>
  <c r="Z38" i="297"/>
  <c r="AR37" i="297"/>
  <c r="Z36" i="297"/>
  <c r="AR35" i="297"/>
  <c r="Z34" i="297"/>
  <c r="AR33" i="297"/>
  <c r="Z32" i="297"/>
  <c r="AR31" i="297"/>
  <c r="Z30" i="297"/>
  <c r="AR29" i="297"/>
  <c r="Z28" i="297"/>
  <c r="AR27" i="297"/>
  <c r="Z26" i="297"/>
  <c r="AR25" i="297"/>
  <c r="Z24" i="297"/>
  <c r="AR23" i="297"/>
  <c r="Z22" i="297"/>
  <c r="AR21" i="297"/>
  <c r="Z20" i="297"/>
  <c r="AR19" i="297"/>
  <c r="Z18" i="297"/>
  <c r="AB60" i="290"/>
  <c r="AI60" i="290" s="1"/>
  <c r="AG60" i="290"/>
  <c r="AH60" i="290" s="1"/>
  <c r="AA60" i="290"/>
  <c r="Z59" i="290"/>
  <c r="Z57" i="290"/>
  <c r="AA52" i="290"/>
  <c r="AB52" i="290"/>
  <c r="AG52" i="290"/>
  <c r="AH52" i="290" s="1"/>
  <c r="R95" i="290"/>
  <c r="J95" i="290"/>
  <c r="AA136" i="288"/>
  <c r="AB136" i="288"/>
  <c r="AI136" i="288" s="1"/>
  <c r="AG136" i="288"/>
  <c r="AH136" i="288" s="1"/>
  <c r="AN133" i="288"/>
  <c r="AQ133" i="288"/>
  <c r="AR133" i="288" s="1"/>
  <c r="AP133" i="288"/>
  <c r="W148" i="288"/>
  <c r="S148" i="288"/>
  <c r="O148" i="288"/>
  <c r="K148" i="288"/>
  <c r="X25" i="269"/>
  <c r="X21" i="269"/>
  <c r="AP99" i="297"/>
  <c r="Z93" i="297"/>
  <c r="AN86" i="297"/>
  <c r="AO86" i="297" s="1"/>
  <c r="AR86" i="297" s="1"/>
  <c r="Z77" i="297"/>
  <c r="AN75" i="297"/>
  <c r="AO75" i="297" s="1"/>
  <c r="AR75" i="297" s="1"/>
  <c r="AQ71" i="297"/>
  <c r="AR71" i="297" s="1"/>
  <c r="Z69" i="297"/>
  <c r="AN67" i="297"/>
  <c r="AO67" i="297" s="1"/>
  <c r="AR67" i="297" s="1"/>
  <c r="Z66" i="297"/>
  <c r="Z61" i="297"/>
  <c r="Z56" i="297"/>
  <c r="AQ55" i="297"/>
  <c r="AN55" i="297"/>
  <c r="AO55" i="297" s="1"/>
  <c r="Z55" i="297"/>
  <c r="AR50" i="297"/>
  <c r="AR17" i="297"/>
  <c r="Z13" i="297"/>
  <c r="Z12" i="297"/>
  <c r="AR95" i="290"/>
  <c r="AA93" i="290"/>
  <c r="AB93" i="290"/>
  <c r="AI93" i="290" s="1"/>
  <c r="AV93" i="290" s="1"/>
  <c r="AG93" i="290"/>
  <c r="AH93" i="290" s="1"/>
  <c r="Z92" i="290"/>
  <c r="AA89" i="290"/>
  <c r="AB89" i="290"/>
  <c r="AI89" i="290" s="1"/>
  <c r="AV89" i="290" s="1"/>
  <c r="AG89" i="290"/>
  <c r="AH89" i="290" s="1"/>
  <c r="Z88" i="290"/>
  <c r="AA85" i="290"/>
  <c r="AB85" i="290"/>
  <c r="AI85" i="290" s="1"/>
  <c r="AV85" i="290" s="1"/>
  <c r="AG85" i="290"/>
  <c r="AH85" i="290" s="1"/>
  <c r="Z84" i="290"/>
  <c r="AA81" i="290"/>
  <c r="AB81" i="290"/>
  <c r="AI81" i="290" s="1"/>
  <c r="AV81" i="290" s="1"/>
  <c r="AG81" i="290"/>
  <c r="AH81" i="290" s="1"/>
  <c r="Z80" i="290"/>
  <c r="AA77" i="290"/>
  <c r="AB77" i="290"/>
  <c r="AI77" i="290" s="1"/>
  <c r="AV77" i="290" s="1"/>
  <c r="AG77" i="290"/>
  <c r="AH77" i="290" s="1"/>
  <c r="Z76" i="290"/>
  <c r="AA73" i="290"/>
  <c r="AB73" i="290"/>
  <c r="AI73" i="290" s="1"/>
  <c r="AV73" i="290" s="1"/>
  <c r="AG73" i="290"/>
  <c r="AH73" i="290" s="1"/>
  <c r="Z72" i="290"/>
  <c r="AB64" i="290"/>
  <c r="AG64" i="290"/>
  <c r="AH64" i="290" s="1"/>
  <c r="AA64" i="290"/>
  <c r="Z63" i="290"/>
  <c r="Z61" i="290"/>
  <c r="Z37" i="290"/>
  <c r="AN144" i="288"/>
  <c r="AP144" i="288"/>
  <c r="AQ144" i="288"/>
  <c r="AR144" i="288" s="1"/>
  <c r="AN140" i="288"/>
  <c r="AP140" i="288"/>
  <c r="AQ140" i="288"/>
  <c r="AR140" i="288" s="1"/>
  <c r="Z90" i="290"/>
  <c r="Z86" i="290"/>
  <c r="Z82" i="290"/>
  <c r="Z78" i="290"/>
  <c r="Z74" i="290"/>
  <c r="Z45" i="290"/>
  <c r="AG42" i="290"/>
  <c r="AH42" i="290" s="1"/>
  <c r="AA42" i="290"/>
  <c r="AA40" i="290"/>
  <c r="AB40" i="290"/>
  <c r="AI40" i="290" s="1"/>
  <c r="AV40" i="290" s="1"/>
  <c r="AG40" i="290"/>
  <c r="AH40" i="290" s="1"/>
  <c r="Z39" i="290"/>
  <c r="AO38" i="290"/>
  <c r="AP38" i="290"/>
  <c r="AQ38" i="290" s="1"/>
  <c r="Z29" i="290"/>
  <c r="AG14" i="290"/>
  <c r="AH14" i="290" s="1"/>
  <c r="AA14" i="290"/>
  <c r="AS95" i="290"/>
  <c r="AG10" i="290"/>
  <c r="AA10" i="290"/>
  <c r="Z145" i="288"/>
  <c r="AA144" i="288"/>
  <c r="AB144" i="288"/>
  <c r="AG144" i="288"/>
  <c r="AH144" i="288" s="1"/>
  <c r="Z141" i="288"/>
  <c r="AA140" i="288"/>
  <c r="AB140" i="288"/>
  <c r="AG140" i="288"/>
  <c r="AH140" i="288" s="1"/>
  <c r="Z138" i="288"/>
  <c r="AB137" i="288"/>
  <c r="AA137" i="288"/>
  <c r="AG137" i="288"/>
  <c r="AH137" i="288" s="1"/>
  <c r="AQ135" i="288"/>
  <c r="AR135" i="288" s="1"/>
  <c r="AP135" i="288"/>
  <c r="AN135" i="288"/>
  <c r="AL148" i="288"/>
  <c r="V148" i="288"/>
  <c r="R148" i="288"/>
  <c r="N148" i="288"/>
  <c r="AT95" i="290"/>
  <c r="AD95" i="290"/>
  <c r="AP68" i="290"/>
  <c r="AQ68" i="290" s="1"/>
  <c r="AP64" i="290"/>
  <c r="AQ64" i="290" s="1"/>
  <c r="AP60" i="290"/>
  <c r="AQ60" i="290" s="1"/>
  <c r="AP56" i="290"/>
  <c r="AQ56" i="290" s="1"/>
  <c r="Z51" i="290"/>
  <c r="Z50" i="290"/>
  <c r="Z49" i="290"/>
  <c r="Z46" i="290"/>
  <c r="AA44" i="290"/>
  <c r="AB44" i="290"/>
  <c r="AG44" i="290"/>
  <c r="AH44" i="290" s="1"/>
  <c r="Z43" i="290"/>
  <c r="AO42" i="290"/>
  <c r="AP42" i="290"/>
  <c r="AQ42" i="290" s="1"/>
  <c r="AB42" i="290"/>
  <c r="AI42" i="290" s="1"/>
  <c r="AV42" i="290" s="1"/>
  <c r="Z33" i="290"/>
  <c r="Z30" i="290"/>
  <c r="AA28" i="290"/>
  <c r="AB28" i="290"/>
  <c r="AG28" i="290"/>
  <c r="AH28" i="290" s="1"/>
  <c r="AA27" i="290"/>
  <c r="AB27" i="290"/>
  <c r="AG27" i="290"/>
  <c r="AH27" i="290" s="1"/>
  <c r="AA26" i="290"/>
  <c r="AB26" i="290"/>
  <c r="AG26" i="290"/>
  <c r="AH26" i="290" s="1"/>
  <c r="AA25" i="290"/>
  <c r="AB25" i="290"/>
  <c r="AI25" i="290" s="1"/>
  <c r="AV25" i="290" s="1"/>
  <c r="AG25" i="290"/>
  <c r="AH25" i="290" s="1"/>
  <c r="AA24" i="290"/>
  <c r="AB24" i="290"/>
  <c r="AG24" i="290"/>
  <c r="AH24" i="290" s="1"/>
  <c r="AA23" i="290"/>
  <c r="AB23" i="290"/>
  <c r="AG23" i="290"/>
  <c r="AH23" i="290" s="1"/>
  <c r="AA22" i="290"/>
  <c r="AB22" i="290"/>
  <c r="AG22" i="290"/>
  <c r="AH22" i="290" s="1"/>
  <c r="AA21" i="290"/>
  <c r="AB21" i="290"/>
  <c r="AI21" i="290" s="1"/>
  <c r="AV21" i="290" s="1"/>
  <c r="AG21" i="290"/>
  <c r="AH21" i="290" s="1"/>
  <c r="AA20" i="290"/>
  <c r="AB20" i="290"/>
  <c r="AG20" i="290"/>
  <c r="AH20" i="290" s="1"/>
  <c r="AA19" i="290"/>
  <c r="AB19" i="290"/>
  <c r="AG19" i="290"/>
  <c r="AH19" i="290" s="1"/>
  <c r="AA18" i="290"/>
  <c r="AB18" i="290"/>
  <c r="AG18" i="290"/>
  <c r="AH18" i="290" s="1"/>
  <c r="AA17" i="290"/>
  <c r="AB17" i="290"/>
  <c r="AI17" i="290" s="1"/>
  <c r="AV17" i="290" s="1"/>
  <c r="AG17" i="290"/>
  <c r="AH17" i="290" s="1"/>
  <c r="AA16" i="290"/>
  <c r="AB16" i="290"/>
  <c r="AG16" i="290"/>
  <c r="AH16" i="290" s="1"/>
  <c r="Z15" i="290"/>
  <c r="AO14" i="290"/>
  <c r="AP14" i="290"/>
  <c r="AQ14" i="290" s="1"/>
  <c r="AB14" i="290"/>
  <c r="AI14" i="290" s="1"/>
  <c r="AV14" i="290" s="1"/>
  <c r="AK95" i="290"/>
  <c r="AK98" i="290"/>
  <c r="AL98" i="290" s="1"/>
  <c r="AN13" i="290"/>
  <c r="AE13" i="290"/>
  <c r="AC95" i="290"/>
  <c r="AP12" i="290"/>
  <c r="AQ12" i="290" s="1"/>
  <c r="AA12" i="290"/>
  <c r="AB12" i="290"/>
  <c r="AI12" i="290" s="1"/>
  <c r="AV12" i="290" s="1"/>
  <c r="AG12" i="290"/>
  <c r="AH12" i="290" s="1"/>
  <c r="U95" i="290"/>
  <c r="Q95" i="290"/>
  <c r="M95" i="290"/>
  <c r="I95" i="290"/>
  <c r="Z11" i="290"/>
  <c r="AO10" i="290"/>
  <c r="AP10" i="290"/>
  <c r="AB10" i="290"/>
  <c r="AN145" i="288"/>
  <c r="AP145" i="288"/>
  <c r="AQ145" i="288"/>
  <c r="AR145" i="288" s="1"/>
  <c r="AK148" i="288"/>
  <c r="AM143" i="288"/>
  <c r="AN141" i="288"/>
  <c r="AP141" i="288"/>
  <c r="AQ141" i="288"/>
  <c r="AR141" i="288" s="1"/>
  <c r="AQ139" i="288"/>
  <c r="AR139" i="288" s="1"/>
  <c r="AP139" i="288"/>
  <c r="AG134" i="288"/>
  <c r="AH134" i="288" s="1"/>
  <c r="AB134" i="288"/>
  <c r="AA134" i="288"/>
  <c r="AQ127" i="288"/>
  <c r="AR127" i="288" s="1"/>
  <c r="AN127" i="288"/>
  <c r="AP127" i="288"/>
  <c r="AG126" i="288"/>
  <c r="AH126" i="288" s="1"/>
  <c r="AA126" i="288"/>
  <c r="AB126" i="288"/>
  <c r="AG114" i="288"/>
  <c r="AH114" i="288" s="1"/>
  <c r="AA114" i="288"/>
  <c r="AB114" i="288"/>
  <c r="AG110" i="288"/>
  <c r="AH110" i="288" s="1"/>
  <c r="AA110" i="288"/>
  <c r="AB110" i="288"/>
  <c r="AI110" i="288" s="1"/>
  <c r="AS110" i="288" s="1"/>
  <c r="AG106" i="288"/>
  <c r="AH106" i="288" s="1"/>
  <c r="AA106" i="288"/>
  <c r="AB106" i="288"/>
  <c r="AI106" i="288" s="1"/>
  <c r="AS106" i="288" s="1"/>
  <c r="AG102" i="288"/>
  <c r="AH102" i="288" s="1"/>
  <c r="AA102" i="288"/>
  <c r="AB102" i="288"/>
  <c r="U148" i="288"/>
  <c r="Q148" i="288"/>
  <c r="M148" i="288"/>
  <c r="AP91" i="290"/>
  <c r="AQ91" i="290" s="1"/>
  <c r="AP87" i="290"/>
  <c r="AQ87" i="290" s="1"/>
  <c r="AP83" i="290"/>
  <c r="AQ83" i="290" s="1"/>
  <c r="AP79" i="290"/>
  <c r="AQ79" i="290" s="1"/>
  <c r="AP75" i="290"/>
  <c r="AQ75" i="290" s="1"/>
  <c r="AP71" i="290"/>
  <c r="AQ71" i="290" s="1"/>
  <c r="Z70" i="290"/>
  <c r="Z66" i="290"/>
  <c r="Z62" i="290"/>
  <c r="Z58" i="290"/>
  <c r="Z54" i="290"/>
  <c r="Z41" i="290"/>
  <c r="Z38" i="290"/>
  <c r="AA36" i="290"/>
  <c r="AB36" i="290"/>
  <c r="AI36" i="290" s="1"/>
  <c r="AV36" i="290" s="1"/>
  <c r="AG36" i="290"/>
  <c r="AH36" i="290" s="1"/>
  <c r="Z35" i="290"/>
  <c r="AO34" i="290"/>
  <c r="AP34" i="290"/>
  <c r="AQ34" i="290" s="1"/>
  <c r="AP146" i="288"/>
  <c r="AQ146" i="288"/>
  <c r="AR146" i="288" s="1"/>
  <c r="Z146" i="288"/>
  <c r="AP142" i="288"/>
  <c r="AQ142" i="288"/>
  <c r="AR142" i="288" s="1"/>
  <c r="Z142" i="288"/>
  <c r="AN137" i="288"/>
  <c r="AQ137" i="288"/>
  <c r="AR137" i="288" s="1"/>
  <c r="AQ131" i="288"/>
  <c r="AR131" i="288" s="1"/>
  <c r="AN131" i="288"/>
  <c r="AP131" i="288"/>
  <c r="AG130" i="288"/>
  <c r="AH130" i="288" s="1"/>
  <c r="AA130" i="288"/>
  <c r="AB130" i="288"/>
  <c r="AI130" i="288" s="1"/>
  <c r="AS130" i="288" s="1"/>
  <c r="AI108" i="288"/>
  <c r="AD148" i="288"/>
  <c r="AN95" i="288"/>
  <c r="AP95" i="288"/>
  <c r="AA95" i="288"/>
  <c r="AB95" i="288"/>
  <c r="AG95" i="288"/>
  <c r="AH95" i="288" s="1"/>
  <c r="AN91" i="288"/>
  <c r="AP91" i="288"/>
  <c r="AA91" i="288"/>
  <c r="AB91" i="288"/>
  <c r="AI91" i="288" s="1"/>
  <c r="AS91" i="288" s="1"/>
  <c r="AG91" i="288"/>
  <c r="AH91" i="288" s="1"/>
  <c r="AN87" i="288"/>
  <c r="AP87" i="288"/>
  <c r="AA87" i="288"/>
  <c r="AB87" i="288"/>
  <c r="AI87" i="288" s="1"/>
  <c r="AS87" i="288" s="1"/>
  <c r="AG87" i="288"/>
  <c r="AH87" i="288" s="1"/>
  <c r="AN83" i="288"/>
  <c r="AP83" i="288"/>
  <c r="AA83" i="288"/>
  <c r="AB83" i="288"/>
  <c r="AI83" i="288" s="1"/>
  <c r="AG83" i="288"/>
  <c r="AH83" i="288" s="1"/>
  <c r="AN79" i="288"/>
  <c r="AP79" i="288"/>
  <c r="AA79" i="288"/>
  <c r="AB79" i="288"/>
  <c r="AG79" i="288"/>
  <c r="AH79" i="288" s="1"/>
  <c r="AN75" i="288"/>
  <c r="AP75" i="288"/>
  <c r="AA75" i="288"/>
  <c r="AB75" i="288"/>
  <c r="AI75" i="288" s="1"/>
  <c r="AS75" i="288" s="1"/>
  <c r="AG75" i="288"/>
  <c r="AH75" i="288" s="1"/>
  <c r="AN71" i="288"/>
  <c r="AP71" i="288"/>
  <c r="AA71" i="288"/>
  <c r="AB71" i="288"/>
  <c r="AI71" i="288" s="1"/>
  <c r="AS71" i="288" s="1"/>
  <c r="AG71" i="288"/>
  <c r="AH71" i="288" s="1"/>
  <c r="AN67" i="288"/>
  <c r="AP67" i="288"/>
  <c r="AA67" i="288"/>
  <c r="AB67" i="288"/>
  <c r="AI67" i="288" s="1"/>
  <c r="AG67" i="288"/>
  <c r="AH67" i="288" s="1"/>
  <c r="AN63" i="288"/>
  <c r="AP63" i="288"/>
  <c r="AA63" i="288"/>
  <c r="AB63" i="288"/>
  <c r="AG63" i="288"/>
  <c r="AH63" i="288" s="1"/>
  <c r="AN59" i="288"/>
  <c r="AP59" i="288"/>
  <c r="AA59" i="288"/>
  <c r="AB59" i="288"/>
  <c r="AI59" i="288" s="1"/>
  <c r="AS59" i="288" s="1"/>
  <c r="AG59" i="288"/>
  <c r="AH59" i="288" s="1"/>
  <c r="AN55" i="288"/>
  <c r="AP55" i="288"/>
  <c r="AA55" i="288"/>
  <c r="AB55" i="288"/>
  <c r="AI55" i="288" s="1"/>
  <c r="AS55" i="288" s="1"/>
  <c r="AG55" i="288"/>
  <c r="AH55" i="288" s="1"/>
  <c r="AN53" i="288"/>
  <c r="AP53" i="288"/>
  <c r="AN51" i="288"/>
  <c r="AP51" i="288"/>
  <c r="AN49" i="288"/>
  <c r="AP49" i="288"/>
  <c r="Z46" i="288"/>
  <c r="AA44" i="288"/>
  <c r="AB44" i="288"/>
  <c r="Z38" i="288"/>
  <c r="AA36" i="288"/>
  <c r="AB36" i="288"/>
  <c r="Z30" i="288"/>
  <c r="AN24" i="288"/>
  <c r="AP24" i="288"/>
  <c r="AP23" i="288"/>
  <c r="AN23" i="288"/>
  <c r="AN22" i="288"/>
  <c r="AP22" i="288"/>
  <c r="AB20" i="288"/>
  <c r="AA20" i="288"/>
  <c r="AG20" i="288"/>
  <c r="AH20" i="288" s="1"/>
  <c r="Z19" i="288"/>
  <c r="Z176" i="289"/>
  <c r="Z175" i="289"/>
  <c r="AA174" i="289"/>
  <c r="AB174" i="289"/>
  <c r="AJ174" i="289" s="1"/>
  <c r="AX174" i="289" s="1"/>
  <c r="BB174" i="289" s="1"/>
  <c r="BD174" i="289" s="1"/>
  <c r="AH174" i="289"/>
  <c r="AI174" i="289" s="1"/>
  <c r="AA173" i="289"/>
  <c r="AB173" i="289"/>
  <c r="AJ173" i="289" s="1"/>
  <c r="AX173" i="289" s="1"/>
  <c r="BB173" i="289" s="1"/>
  <c r="BD173" i="289" s="1"/>
  <c r="AH173" i="289"/>
  <c r="AI173" i="289" s="1"/>
  <c r="Z172" i="289"/>
  <c r="Z171" i="289"/>
  <c r="AA170" i="289"/>
  <c r="AB170" i="289"/>
  <c r="AJ170" i="289" s="1"/>
  <c r="AX170" i="289" s="1"/>
  <c r="BB170" i="289" s="1"/>
  <c r="BD170" i="289" s="1"/>
  <c r="AH170" i="289"/>
  <c r="AI170" i="289" s="1"/>
  <c r="AA169" i="289"/>
  <c r="AB169" i="289"/>
  <c r="AJ169" i="289" s="1"/>
  <c r="AX169" i="289" s="1"/>
  <c r="BB169" i="289" s="1"/>
  <c r="BD169" i="289" s="1"/>
  <c r="AH169" i="289"/>
  <c r="AI169" i="289" s="1"/>
  <c r="Z168" i="289"/>
  <c r="Z167" i="289"/>
  <c r="AA166" i="289"/>
  <c r="AB166" i="289"/>
  <c r="AJ166" i="289" s="1"/>
  <c r="AX166" i="289" s="1"/>
  <c r="BB166" i="289" s="1"/>
  <c r="BD166" i="289" s="1"/>
  <c r="AH166" i="289"/>
  <c r="AI166" i="289" s="1"/>
  <c r="AA165" i="289"/>
  <c r="AB165" i="289"/>
  <c r="AJ165" i="289" s="1"/>
  <c r="AX165" i="289" s="1"/>
  <c r="BB165" i="289" s="1"/>
  <c r="BD165" i="289" s="1"/>
  <c r="AH165" i="289"/>
  <c r="AI165" i="289" s="1"/>
  <c r="Z164" i="289"/>
  <c r="Z163" i="289"/>
  <c r="AA162" i="289"/>
  <c r="AB162" i="289"/>
  <c r="AJ162" i="289" s="1"/>
  <c r="AX162" i="289" s="1"/>
  <c r="BB162" i="289" s="1"/>
  <c r="BD162" i="289" s="1"/>
  <c r="AH162" i="289"/>
  <c r="AI162" i="289" s="1"/>
  <c r="AA161" i="289"/>
  <c r="AB161" i="289"/>
  <c r="AJ161" i="289" s="1"/>
  <c r="AX161" i="289" s="1"/>
  <c r="BB161" i="289" s="1"/>
  <c r="BD161" i="289" s="1"/>
  <c r="AH161" i="289"/>
  <c r="AI161" i="289" s="1"/>
  <c r="Z160" i="289"/>
  <c r="Z159" i="289"/>
  <c r="AA158" i="289"/>
  <c r="AB158" i="289"/>
  <c r="AJ158" i="289" s="1"/>
  <c r="AX158" i="289" s="1"/>
  <c r="BB158" i="289" s="1"/>
  <c r="BD158" i="289" s="1"/>
  <c r="AH158" i="289"/>
  <c r="AI158" i="289" s="1"/>
  <c r="AA157" i="289"/>
  <c r="AB157" i="289"/>
  <c r="AJ157" i="289" s="1"/>
  <c r="AX157" i="289" s="1"/>
  <c r="BB157" i="289" s="1"/>
  <c r="BD157" i="289" s="1"/>
  <c r="AH157" i="289"/>
  <c r="AI157" i="289" s="1"/>
  <c r="Z156" i="289"/>
  <c r="Z155" i="289"/>
  <c r="AA154" i="289"/>
  <c r="AB154" i="289"/>
  <c r="AJ154" i="289" s="1"/>
  <c r="AX154" i="289" s="1"/>
  <c r="BB154" i="289" s="1"/>
  <c r="BD154" i="289" s="1"/>
  <c r="AH154" i="289"/>
  <c r="AI154" i="289" s="1"/>
  <c r="AA153" i="289"/>
  <c r="AB153" i="289"/>
  <c r="AJ153" i="289" s="1"/>
  <c r="AX153" i="289" s="1"/>
  <c r="BB153" i="289" s="1"/>
  <c r="BD153" i="289" s="1"/>
  <c r="AH153" i="289"/>
  <c r="AI153" i="289" s="1"/>
  <c r="Z152" i="289"/>
  <c r="Z151" i="289"/>
  <c r="Z145" i="289"/>
  <c r="Z140" i="289"/>
  <c r="AW138" i="289"/>
  <c r="AV138" i="289"/>
  <c r="AA138" i="289"/>
  <c r="AB138" i="289"/>
  <c r="AJ138" i="289" s="1"/>
  <c r="AX138" i="289" s="1"/>
  <c r="BB138" i="289" s="1"/>
  <c r="BD138" i="289" s="1"/>
  <c r="AB134" i="289"/>
  <c r="AA134" i="289"/>
  <c r="AH134" i="289"/>
  <c r="AI134" i="289" s="1"/>
  <c r="AB132" i="289"/>
  <c r="AA132" i="289"/>
  <c r="AH132" i="289"/>
  <c r="AI132" i="289" s="1"/>
  <c r="AB126" i="289"/>
  <c r="AJ126" i="289" s="1"/>
  <c r="AX126" i="289" s="1"/>
  <c r="BB126" i="289" s="1"/>
  <c r="BD126" i="289" s="1"/>
  <c r="AA126" i="289"/>
  <c r="AH126" i="289"/>
  <c r="AI126" i="289" s="1"/>
  <c r="AB124" i="289"/>
  <c r="AA124" i="289"/>
  <c r="AH124" i="289"/>
  <c r="AI124" i="289" s="1"/>
  <c r="AB118" i="289"/>
  <c r="AA118" i="289"/>
  <c r="AH118" i="289"/>
  <c r="AI118" i="289" s="1"/>
  <c r="AB116" i="289"/>
  <c r="AA116" i="289"/>
  <c r="AH116" i="289"/>
  <c r="AI116" i="289" s="1"/>
  <c r="AB110" i="289"/>
  <c r="AJ110" i="289" s="1"/>
  <c r="AX110" i="289" s="1"/>
  <c r="BB110" i="289" s="1"/>
  <c r="BD110" i="289" s="1"/>
  <c r="AA110" i="289"/>
  <c r="AH110" i="289"/>
  <c r="AI110" i="289" s="1"/>
  <c r="AB108" i="289"/>
  <c r="AA108" i="289"/>
  <c r="AH108" i="289"/>
  <c r="AI108" i="289" s="1"/>
  <c r="AB102" i="289"/>
  <c r="AA102" i="289"/>
  <c r="AH102" i="289"/>
  <c r="AI102" i="289" s="1"/>
  <c r="AB100" i="289"/>
  <c r="AA100" i="289"/>
  <c r="AH100" i="289"/>
  <c r="AI100" i="289" s="1"/>
  <c r="AV60" i="289"/>
  <c r="AW60" i="289"/>
  <c r="AV58" i="289"/>
  <c r="AW58" i="289"/>
  <c r="AU178" i="289"/>
  <c r="AO40" i="289"/>
  <c r="AP40" i="289" s="1"/>
  <c r="AL178" i="289"/>
  <c r="AP50" i="290"/>
  <c r="AQ50" i="290" s="1"/>
  <c r="AP47" i="290"/>
  <c r="AQ47" i="290" s="1"/>
  <c r="AP43" i="290"/>
  <c r="AQ43" i="290" s="1"/>
  <c r="AP39" i="290"/>
  <c r="AQ39" i="290" s="1"/>
  <c r="AP35" i="290"/>
  <c r="AQ35" i="290" s="1"/>
  <c r="AP31" i="290"/>
  <c r="AQ31" i="290" s="1"/>
  <c r="AP15" i="290"/>
  <c r="AQ15" i="290" s="1"/>
  <c r="AP11" i="290"/>
  <c r="AQ11" i="290" s="1"/>
  <c r="AK151" i="288"/>
  <c r="AM136" i="288"/>
  <c r="AQ132" i="288"/>
  <c r="AR132" i="288" s="1"/>
  <c r="AE132" i="288"/>
  <c r="AF132" i="288" s="1"/>
  <c r="Z131" i="288"/>
  <c r="AQ128" i="288"/>
  <c r="AR128" i="288" s="1"/>
  <c r="AE128" i="288"/>
  <c r="AF128" i="288" s="1"/>
  <c r="Z127" i="288"/>
  <c r="AQ116" i="288"/>
  <c r="AR116" i="288" s="1"/>
  <c r="AE116" i="288"/>
  <c r="AF116" i="288" s="1"/>
  <c r="AQ115" i="288"/>
  <c r="AR115" i="288" s="1"/>
  <c r="AN115" i="288"/>
  <c r="Z115" i="288"/>
  <c r="AQ112" i="288"/>
  <c r="AR112" i="288" s="1"/>
  <c r="AE112" i="288"/>
  <c r="AF112" i="288" s="1"/>
  <c r="AQ111" i="288"/>
  <c r="AR111" i="288" s="1"/>
  <c r="AN111" i="288"/>
  <c r="Z111" i="288"/>
  <c r="AQ108" i="288"/>
  <c r="AR108" i="288" s="1"/>
  <c r="AE108" i="288"/>
  <c r="AF108" i="288" s="1"/>
  <c r="AQ107" i="288"/>
  <c r="AR107" i="288" s="1"/>
  <c r="AN107" i="288"/>
  <c r="Z107" i="288"/>
  <c r="AQ104" i="288"/>
  <c r="AR104" i="288" s="1"/>
  <c r="AE104" i="288"/>
  <c r="AF104" i="288" s="1"/>
  <c r="AQ103" i="288"/>
  <c r="AR103" i="288" s="1"/>
  <c r="AN103" i="288"/>
  <c r="Z103" i="288"/>
  <c r="AQ100" i="288"/>
  <c r="AR100" i="288" s="1"/>
  <c r="AE100" i="288"/>
  <c r="AF100" i="288" s="1"/>
  <c r="AQ99" i="288"/>
  <c r="AN99" i="288"/>
  <c r="Z99" i="288"/>
  <c r="Z98" i="288"/>
  <c r="AE97" i="288"/>
  <c r="AF97" i="288" s="1"/>
  <c r="Z94" i="288"/>
  <c r="AE93" i="288"/>
  <c r="AF93" i="288" s="1"/>
  <c r="Z90" i="288"/>
  <c r="AE89" i="288"/>
  <c r="AF89" i="288" s="1"/>
  <c r="Z86" i="288"/>
  <c r="AE85" i="288"/>
  <c r="AF85" i="288" s="1"/>
  <c r="Z82" i="288"/>
  <c r="AE81" i="288"/>
  <c r="AF81" i="288" s="1"/>
  <c r="Z78" i="288"/>
  <c r="AE77" i="288"/>
  <c r="AF77" i="288" s="1"/>
  <c r="Z74" i="288"/>
  <c r="AE73" i="288"/>
  <c r="AF73" i="288" s="1"/>
  <c r="Z70" i="288"/>
  <c r="AE69" i="288"/>
  <c r="AF69" i="288" s="1"/>
  <c r="Z66" i="288"/>
  <c r="AE65" i="288"/>
  <c r="AF65" i="288" s="1"/>
  <c r="Z62" i="288"/>
  <c r="AE61" i="288"/>
  <c r="AF61" i="288" s="1"/>
  <c r="Z58" i="288"/>
  <c r="AE57" i="288"/>
  <c r="AF57" i="288" s="1"/>
  <c r="AF148" i="288" s="1"/>
  <c r="AP54" i="288"/>
  <c r="AP52" i="288"/>
  <c r="AP50" i="288"/>
  <c r="AP48" i="288"/>
  <c r="AM47" i="288"/>
  <c r="AA47" i="288"/>
  <c r="AB47" i="288"/>
  <c r="AG47" i="288"/>
  <c r="AH47" i="288" s="1"/>
  <c r="AN46" i="288"/>
  <c r="AP46" i="288"/>
  <c r="Z45" i="288"/>
  <c r="AP40" i="288"/>
  <c r="AM39" i="288"/>
  <c r="AA39" i="288"/>
  <c r="AB39" i="288"/>
  <c r="AG39" i="288"/>
  <c r="AH39" i="288" s="1"/>
  <c r="AN38" i="288"/>
  <c r="AP38" i="288"/>
  <c r="Z37" i="288"/>
  <c r="AP32" i="288"/>
  <c r="AM31" i="288"/>
  <c r="AA31" i="288"/>
  <c r="AB31" i="288"/>
  <c r="AG31" i="288"/>
  <c r="AH31" i="288" s="1"/>
  <c r="AN30" i="288"/>
  <c r="AP30" i="288"/>
  <c r="Z29" i="288"/>
  <c r="AI24" i="288"/>
  <c r="AS24" i="288" s="1"/>
  <c r="AP20" i="288"/>
  <c r="AN18" i="288"/>
  <c r="AA17" i="288"/>
  <c r="AB17" i="288"/>
  <c r="AI17" i="288" s="1"/>
  <c r="AG17" i="288"/>
  <c r="AH17" i="288" s="1"/>
  <c r="AG15" i="288"/>
  <c r="AH15" i="288" s="1"/>
  <c r="AA15" i="288"/>
  <c r="AB15" i="288"/>
  <c r="AI15" i="288" s="1"/>
  <c r="AS15" i="288" s="1"/>
  <c r="Z13" i="288"/>
  <c r="AW174" i="289"/>
  <c r="AV174" i="289"/>
  <c r="AW170" i="289"/>
  <c r="AV170" i="289"/>
  <c r="AW166" i="289"/>
  <c r="AV166" i="289"/>
  <c r="AW162" i="289"/>
  <c r="AV162" i="289"/>
  <c r="AW158" i="289"/>
  <c r="AV158" i="289"/>
  <c r="AW154" i="289"/>
  <c r="AV154" i="289"/>
  <c r="AW150" i="289"/>
  <c r="AV150" i="289"/>
  <c r="AA150" i="289"/>
  <c r="AB150" i="289"/>
  <c r="AJ150" i="289" s="1"/>
  <c r="AX150" i="289" s="1"/>
  <c r="BB150" i="289" s="1"/>
  <c r="BD150" i="289" s="1"/>
  <c r="Z141" i="289"/>
  <c r="Z136" i="289"/>
  <c r="AH133" i="289"/>
  <c r="AI133" i="289" s="1"/>
  <c r="AA133" i="289"/>
  <c r="AB133" i="289"/>
  <c r="Z130" i="289"/>
  <c r="AH125" i="289"/>
  <c r="AI125" i="289" s="1"/>
  <c r="AA125" i="289"/>
  <c r="AB125" i="289"/>
  <c r="Z122" i="289"/>
  <c r="AH117" i="289"/>
  <c r="AI117" i="289" s="1"/>
  <c r="AA117" i="289"/>
  <c r="AB117" i="289"/>
  <c r="Z114" i="289"/>
  <c r="AH109" i="289"/>
  <c r="AI109" i="289" s="1"/>
  <c r="AA109" i="289"/>
  <c r="AB109" i="289"/>
  <c r="Z106" i="289"/>
  <c r="AH101" i="289"/>
  <c r="AI101" i="289" s="1"/>
  <c r="AA101" i="289"/>
  <c r="AB101" i="289"/>
  <c r="Z98" i="289"/>
  <c r="AV84" i="289"/>
  <c r="AW84" i="289"/>
  <c r="J148" i="288"/>
  <c r="AN132" i="288"/>
  <c r="AN128" i="288"/>
  <c r="AN116" i="288"/>
  <c r="AN112" i="288"/>
  <c r="AN108" i="288"/>
  <c r="AN104" i="288"/>
  <c r="AN100" i="288"/>
  <c r="AM98" i="288"/>
  <c r="AM97" i="288"/>
  <c r="AA97" i="288"/>
  <c r="AB97" i="288"/>
  <c r="AG97" i="288"/>
  <c r="AH97" i="288" s="1"/>
  <c r="AM93" i="288"/>
  <c r="AA93" i="288"/>
  <c r="AB93" i="288"/>
  <c r="AI93" i="288" s="1"/>
  <c r="AG93" i="288"/>
  <c r="AH93" i="288" s="1"/>
  <c r="AM89" i="288"/>
  <c r="AA89" i="288"/>
  <c r="AB89" i="288"/>
  <c r="AG89" i="288"/>
  <c r="AH89" i="288" s="1"/>
  <c r="AM85" i="288"/>
  <c r="AA85" i="288"/>
  <c r="AB85" i="288"/>
  <c r="AI85" i="288" s="1"/>
  <c r="AG85" i="288"/>
  <c r="AH85" i="288" s="1"/>
  <c r="AM81" i="288"/>
  <c r="AA81" i="288"/>
  <c r="AB81" i="288"/>
  <c r="AG81" i="288"/>
  <c r="AH81" i="288" s="1"/>
  <c r="AM77" i="288"/>
  <c r="AA77" i="288"/>
  <c r="AB77" i="288"/>
  <c r="AI77" i="288" s="1"/>
  <c r="AG77" i="288"/>
  <c r="AH77" i="288" s="1"/>
  <c r="AM73" i="288"/>
  <c r="AA73" i="288"/>
  <c r="AB73" i="288"/>
  <c r="AG73" i="288"/>
  <c r="AH73" i="288" s="1"/>
  <c r="AM69" i="288"/>
  <c r="AA69" i="288"/>
  <c r="AB69" i="288"/>
  <c r="AI69" i="288" s="1"/>
  <c r="AG69" i="288"/>
  <c r="AH69" i="288" s="1"/>
  <c r="AM65" i="288"/>
  <c r="AA65" i="288"/>
  <c r="AB65" i="288"/>
  <c r="AG65" i="288"/>
  <c r="AH65" i="288" s="1"/>
  <c r="AM61" i="288"/>
  <c r="AA61" i="288"/>
  <c r="AB61" i="288"/>
  <c r="AI61" i="288" s="1"/>
  <c r="AG61" i="288"/>
  <c r="AH61" i="288" s="1"/>
  <c r="AM57" i="288"/>
  <c r="AA57" i="288"/>
  <c r="AB57" i="288"/>
  <c r="AG57" i="288"/>
  <c r="AH57" i="288" s="1"/>
  <c r="Z54" i="288"/>
  <c r="Z52" i="288"/>
  <c r="Z50" i="288"/>
  <c r="Z48" i="288"/>
  <c r="Z42" i="288"/>
  <c r="Z40" i="288"/>
  <c r="Z34" i="288"/>
  <c r="Z32" i="288"/>
  <c r="AB28" i="288"/>
  <c r="AA28" i="288"/>
  <c r="AG28" i="288"/>
  <c r="AH28" i="288" s="1"/>
  <c r="Z27" i="288"/>
  <c r="AN16" i="288"/>
  <c r="AP16" i="288"/>
  <c r="AP15" i="288"/>
  <c r="AN15" i="288"/>
  <c r="AN14" i="288"/>
  <c r="AP14" i="288"/>
  <c r="AB12" i="288"/>
  <c r="AI12" i="288" s="1"/>
  <c r="AA12" i="288"/>
  <c r="AG12" i="288"/>
  <c r="AH12" i="288" s="1"/>
  <c r="Z11" i="288"/>
  <c r="Z148" i="289"/>
  <c r="AW146" i="289"/>
  <c r="AV146" i="289"/>
  <c r="AA146" i="289"/>
  <c r="AB146" i="289"/>
  <c r="AJ146" i="289" s="1"/>
  <c r="AX146" i="289" s="1"/>
  <c r="BB146" i="289" s="1"/>
  <c r="BD146" i="289" s="1"/>
  <c r="Z137" i="289"/>
  <c r="AV131" i="289"/>
  <c r="AW131" i="289"/>
  <c r="AV123" i="289"/>
  <c r="AW123" i="289"/>
  <c r="AV115" i="289"/>
  <c r="AW115" i="289"/>
  <c r="AV107" i="289"/>
  <c r="AW107" i="289"/>
  <c r="AV99" i="289"/>
  <c r="AW99" i="289"/>
  <c r="AF93" i="289"/>
  <c r="AG93" i="289" s="1"/>
  <c r="AC178" i="289"/>
  <c r="AV76" i="289"/>
  <c r="AW76" i="289"/>
  <c r="AE178" i="289"/>
  <c r="AH49" i="289"/>
  <c r="AI49" i="289" s="1"/>
  <c r="AA49" i="289"/>
  <c r="AB49" i="289"/>
  <c r="AJ49" i="289" s="1"/>
  <c r="AX49" i="289" s="1"/>
  <c r="BB49" i="289" s="1"/>
  <c r="BD49" i="289" s="1"/>
  <c r="Q178" i="289"/>
  <c r="M178" i="289"/>
  <c r="Z47" i="289"/>
  <c r="I178" i="289"/>
  <c r="AH33" i="289"/>
  <c r="AI33" i="289" s="1"/>
  <c r="AA33" i="289"/>
  <c r="AB33" i="289"/>
  <c r="AC148" i="288"/>
  <c r="I148" i="288"/>
  <c r="Z139" i="288"/>
  <c r="Z135" i="288"/>
  <c r="AG133" i="288"/>
  <c r="AH133" i="288" s="1"/>
  <c r="AI133" i="288" s="1"/>
  <c r="AS133" i="288" s="1"/>
  <c r="AA133" i="288"/>
  <c r="AA132" i="288"/>
  <c r="AG132" i="288"/>
  <c r="AH132" i="288" s="1"/>
  <c r="AI132" i="288" s="1"/>
  <c r="AS132" i="288" s="1"/>
  <c r="AN129" i="288"/>
  <c r="AQ129" i="288"/>
  <c r="AR129" i="288" s="1"/>
  <c r="Z129" i="288"/>
  <c r="AA128" i="288"/>
  <c r="AG128" i="288"/>
  <c r="AH128" i="288" s="1"/>
  <c r="AI128" i="288" s="1"/>
  <c r="AS128" i="288" s="1"/>
  <c r="AN125" i="288"/>
  <c r="AQ125" i="288"/>
  <c r="AR125" i="288" s="1"/>
  <c r="Z125" i="288"/>
  <c r="Z124" i="288"/>
  <c r="Z123" i="288"/>
  <c r="Z122" i="288"/>
  <c r="Z121" i="288"/>
  <c r="Z120" i="288"/>
  <c r="Z119" i="288"/>
  <c r="Z118" i="288"/>
  <c r="Z117" i="288"/>
  <c r="AA116" i="288"/>
  <c r="AG116" i="288"/>
  <c r="AH116" i="288" s="1"/>
  <c r="AI116" i="288" s="1"/>
  <c r="AS116" i="288" s="1"/>
  <c r="AN113" i="288"/>
  <c r="AQ113" i="288"/>
  <c r="AR113" i="288" s="1"/>
  <c r="Z113" i="288"/>
  <c r="AA112" i="288"/>
  <c r="AG112" i="288"/>
  <c r="AH112" i="288" s="1"/>
  <c r="AI112" i="288" s="1"/>
  <c r="AS112" i="288" s="1"/>
  <c r="AN109" i="288"/>
  <c r="AQ109" i="288"/>
  <c r="AR109" i="288" s="1"/>
  <c r="Z109" i="288"/>
  <c r="AA108" i="288"/>
  <c r="AG108" i="288"/>
  <c r="AH108" i="288" s="1"/>
  <c r="AN105" i="288"/>
  <c r="AQ105" i="288"/>
  <c r="AR105" i="288" s="1"/>
  <c r="Z105" i="288"/>
  <c r="AA104" i="288"/>
  <c r="AG104" i="288"/>
  <c r="AH104" i="288" s="1"/>
  <c r="AI104" i="288" s="1"/>
  <c r="AS104" i="288" s="1"/>
  <c r="AN101" i="288"/>
  <c r="AQ101" i="288"/>
  <c r="AR101" i="288" s="1"/>
  <c r="Z101" i="288"/>
  <c r="AA100" i="288"/>
  <c r="AG100" i="288"/>
  <c r="AH100" i="288" s="1"/>
  <c r="AI100" i="288" s="1"/>
  <c r="AS100" i="288" s="1"/>
  <c r="Z96" i="288"/>
  <c r="Z92" i="288"/>
  <c r="Z88" i="288"/>
  <c r="Z84" i="288"/>
  <c r="Z80" i="288"/>
  <c r="Z76" i="288"/>
  <c r="Z72" i="288"/>
  <c r="Z68" i="288"/>
  <c r="Z64" i="288"/>
  <c r="Z60" i="288"/>
  <c r="Z56" i="288"/>
  <c r="Z53" i="288"/>
  <c r="Z51" i="288"/>
  <c r="Z49" i="288"/>
  <c r="AG44" i="288"/>
  <c r="AH44" i="288" s="1"/>
  <c r="AN43" i="288"/>
  <c r="AP43" i="288"/>
  <c r="AA43" i="288"/>
  <c r="AB43" i="288"/>
  <c r="AI43" i="288" s="1"/>
  <c r="AS43" i="288" s="1"/>
  <c r="AG43" i="288"/>
  <c r="AH43" i="288" s="1"/>
  <c r="AN42" i="288"/>
  <c r="AP42" i="288"/>
  <c r="Z41" i="288"/>
  <c r="AG36" i="288"/>
  <c r="AH36" i="288" s="1"/>
  <c r="AN35" i="288"/>
  <c r="AP35" i="288"/>
  <c r="AA35" i="288"/>
  <c r="AB35" i="288"/>
  <c r="AI35" i="288" s="1"/>
  <c r="AS35" i="288" s="1"/>
  <c r="AG35" i="288"/>
  <c r="AH35" i="288" s="1"/>
  <c r="AN34" i="288"/>
  <c r="AP34" i="288"/>
  <c r="Z33" i="288"/>
  <c r="AP28" i="288"/>
  <c r="AA25" i="288"/>
  <c r="AB25" i="288"/>
  <c r="AI25" i="288" s="1"/>
  <c r="AG25" i="288"/>
  <c r="AH25" i="288" s="1"/>
  <c r="AG23" i="288"/>
  <c r="AH23" i="288" s="1"/>
  <c r="AA23" i="288"/>
  <c r="AB23" i="288"/>
  <c r="AI23" i="288" s="1"/>
  <c r="AS23" i="288" s="1"/>
  <c r="Z21" i="288"/>
  <c r="AP12" i="288"/>
  <c r="Z149" i="289"/>
  <c r="Z144" i="289"/>
  <c r="AW142" i="289"/>
  <c r="AV142" i="289"/>
  <c r="AA142" i="289"/>
  <c r="AB142" i="289"/>
  <c r="AJ142" i="289" s="1"/>
  <c r="AX142" i="289" s="1"/>
  <c r="BB142" i="289" s="1"/>
  <c r="BD142" i="289" s="1"/>
  <c r="AS97" i="289"/>
  <c r="AT97" i="289" s="1"/>
  <c r="AK178" i="289"/>
  <c r="W178" i="289"/>
  <c r="S178" i="289"/>
  <c r="Z95" i="289"/>
  <c r="K178" i="289"/>
  <c r="AA93" i="289"/>
  <c r="AB93" i="289"/>
  <c r="AJ93" i="289" s="1"/>
  <c r="AM178" i="289"/>
  <c r="V178" i="289"/>
  <c r="R178" i="289"/>
  <c r="N178" i="289"/>
  <c r="AV68" i="289"/>
  <c r="AW68" i="289"/>
  <c r="AN27" i="288"/>
  <c r="AM25" i="288"/>
  <c r="AG24" i="288"/>
  <c r="AH24" i="288" s="1"/>
  <c r="AA24" i="288"/>
  <c r="Z22" i="288"/>
  <c r="AN19" i="288"/>
  <c r="AM17" i="288"/>
  <c r="AG16" i="288"/>
  <c r="AH16" i="288" s="1"/>
  <c r="AI16" i="288" s="1"/>
  <c r="AS16" i="288" s="1"/>
  <c r="AA16" i="288"/>
  <c r="Z14" i="288"/>
  <c r="AN11" i="288"/>
  <c r="AV176" i="289"/>
  <c r="AV172" i="289"/>
  <c r="AV168" i="289"/>
  <c r="AV164" i="289"/>
  <c r="AV160" i="289"/>
  <c r="AV156" i="289"/>
  <c r="AV152" i="289"/>
  <c r="AV148" i="289"/>
  <c r="AQ147" i="289"/>
  <c r="AR147" i="289" s="1"/>
  <c r="AV144" i="289"/>
  <c r="AQ143" i="289"/>
  <c r="AR143" i="289" s="1"/>
  <c r="AV140" i="289"/>
  <c r="AQ139" i="289"/>
  <c r="AR139" i="289" s="1"/>
  <c r="AV136" i="289"/>
  <c r="AQ135" i="289"/>
  <c r="AF134" i="289"/>
  <c r="AG134" i="289" s="1"/>
  <c r="Z131" i="289"/>
  <c r="AV129" i="289"/>
  <c r="AW129" i="289"/>
  <c r="AH128" i="289"/>
  <c r="AI128" i="289" s="1"/>
  <c r="AA128" i="289"/>
  <c r="AS127" i="289"/>
  <c r="AT127" i="289" s="1"/>
  <c r="AF126" i="289"/>
  <c r="AG126" i="289" s="1"/>
  <c r="Z123" i="289"/>
  <c r="AV121" i="289"/>
  <c r="AW121" i="289"/>
  <c r="AH120" i="289"/>
  <c r="AI120" i="289" s="1"/>
  <c r="AJ120" i="289" s="1"/>
  <c r="AX120" i="289" s="1"/>
  <c r="BB120" i="289" s="1"/>
  <c r="BD120" i="289" s="1"/>
  <c r="AA120" i="289"/>
  <c r="AS119" i="289"/>
  <c r="AT119" i="289" s="1"/>
  <c r="AF118" i="289"/>
  <c r="AG118" i="289" s="1"/>
  <c r="Z115" i="289"/>
  <c r="AV113" i="289"/>
  <c r="AW113" i="289"/>
  <c r="AH112" i="289"/>
  <c r="AI112" i="289" s="1"/>
  <c r="AA112" i="289"/>
  <c r="AS111" i="289"/>
  <c r="AT111" i="289" s="1"/>
  <c r="AF110" i="289"/>
  <c r="AG110" i="289" s="1"/>
  <c r="Z107" i="289"/>
  <c r="AV105" i="289"/>
  <c r="AW105" i="289"/>
  <c r="AH104" i="289"/>
  <c r="AI104" i="289" s="1"/>
  <c r="AA104" i="289"/>
  <c r="AS103" i="289"/>
  <c r="AT103" i="289" s="1"/>
  <c r="AF102" i="289"/>
  <c r="AG102" i="289" s="1"/>
  <c r="Z99" i="289"/>
  <c r="AV97" i="289"/>
  <c r="AW97" i="289"/>
  <c r="AH96" i="289"/>
  <c r="AI96" i="289" s="1"/>
  <c r="AA96" i="289"/>
  <c r="AS95" i="289"/>
  <c r="AT95" i="289" s="1"/>
  <c r="Z92" i="289"/>
  <c r="AA91" i="289"/>
  <c r="AB91" i="289"/>
  <c r="AJ91" i="289" s="1"/>
  <c r="AX91" i="289" s="1"/>
  <c r="BB91" i="289" s="1"/>
  <c r="BD91" i="289" s="1"/>
  <c r="AS89" i="289"/>
  <c r="Z89" i="289"/>
  <c r="Z85" i="289"/>
  <c r="Z77" i="289"/>
  <c r="Z69" i="289"/>
  <c r="Z61" i="289"/>
  <c r="Z59" i="289"/>
  <c r="Z57" i="289"/>
  <c r="Z55" i="289"/>
  <c r="AV41" i="289"/>
  <c r="AW41" i="289"/>
  <c r="Z23" i="289"/>
  <c r="Z147" i="289"/>
  <c r="Z143" i="289"/>
  <c r="Z139" i="289"/>
  <c r="Z135" i="289"/>
  <c r="AF132" i="289"/>
  <c r="AG132" i="289" s="1"/>
  <c r="Z129" i="289"/>
  <c r="AJ128" i="289"/>
  <c r="AX128" i="289" s="1"/>
  <c r="BB128" i="289" s="1"/>
  <c r="BD128" i="289" s="1"/>
  <c r="AV127" i="289"/>
  <c r="AW127" i="289"/>
  <c r="AF124" i="289"/>
  <c r="AG124" i="289" s="1"/>
  <c r="Z121" i="289"/>
  <c r="AV119" i="289"/>
  <c r="AW119" i="289"/>
  <c r="AF116" i="289"/>
  <c r="AG116" i="289" s="1"/>
  <c r="Z113" i="289"/>
  <c r="AJ112" i="289"/>
  <c r="AX112" i="289" s="1"/>
  <c r="BB112" i="289" s="1"/>
  <c r="BD112" i="289" s="1"/>
  <c r="AV111" i="289"/>
  <c r="AW111" i="289"/>
  <c r="AF108" i="289"/>
  <c r="AG108" i="289" s="1"/>
  <c r="Z105" i="289"/>
  <c r="AJ104" i="289"/>
  <c r="AX104" i="289" s="1"/>
  <c r="BB104" i="289" s="1"/>
  <c r="BD104" i="289" s="1"/>
  <c r="AV103" i="289"/>
  <c r="AW103" i="289"/>
  <c r="AF100" i="289"/>
  <c r="AG100" i="289" s="1"/>
  <c r="Z97" i="289"/>
  <c r="AJ96" i="289"/>
  <c r="AX96" i="289" s="1"/>
  <c r="BB96" i="289" s="1"/>
  <c r="Z90" i="289"/>
  <c r="AA48" i="289"/>
  <c r="AB48" i="289"/>
  <c r="AJ48" i="289" s="1"/>
  <c r="AX48" i="289" s="1"/>
  <c r="BB48" i="289" s="1"/>
  <c r="BD48" i="289" s="1"/>
  <c r="Z42" i="289"/>
  <c r="AA36" i="289"/>
  <c r="AB36" i="289"/>
  <c r="AJ36" i="289" s="1"/>
  <c r="AX36" i="289" s="1"/>
  <c r="BB36" i="289" s="1"/>
  <c r="BD36" i="289" s="1"/>
  <c r="AH34" i="289"/>
  <c r="AI34" i="289" s="1"/>
  <c r="AA34" i="289"/>
  <c r="AB34" i="289"/>
  <c r="AV29" i="289"/>
  <c r="AW29" i="289"/>
  <c r="Z26" i="288"/>
  <c r="AM21" i="288"/>
  <c r="Z18" i="288"/>
  <c r="AM13" i="288"/>
  <c r="Z10" i="288"/>
  <c r="AQ149" i="289"/>
  <c r="AR149" i="289" s="1"/>
  <c r="AQ145" i="289"/>
  <c r="AR145" i="289" s="1"/>
  <c r="AQ141" i="289"/>
  <c r="AR141" i="289" s="1"/>
  <c r="AQ137" i="289"/>
  <c r="AR137" i="289" s="1"/>
  <c r="AV133" i="289"/>
  <c r="AW133" i="289"/>
  <c r="AS131" i="289"/>
  <c r="AT131" i="289" s="1"/>
  <c r="AF130" i="289"/>
  <c r="AG130" i="289" s="1"/>
  <c r="Z127" i="289"/>
  <c r="AV125" i="289"/>
  <c r="AW125" i="289"/>
  <c r="AS123" i="289"/>
  <c r="AT123" i="289" s="1"/>
  <c r="AF122" i="289"/>
  <c r="AG122" i="289" s="1"/>
  <c r="Z119" i="289"/>
  <c r="AV117" i="289"/>
  <c r="AW117" i="289"/>
  <c r="AS115" i="289"/>
  <c r="AT115" i="289" s="1"/>
  <c r="AF114" i="289"/>
  <c r="AG114" i="289" s="1"/>
  <c r="Z111" i="289"/>
  <c r="AV109" i="289"/>
  <c r="AW109" i="289"/>
  <c r="AS107" i="289"/>
  <c r="AT107" i="289" s="1"/>
  <c r="AF106" i="289"/>
  <c r="AG106" i="289" s="1"/>
  <c r="Z103" i="289"/>
  <c r="AV101" i="289"/>
  <c r="AW101" i="289"/>
  <c r="AS99" i="289"/>
  <c r="AT99" i="289" s="1"/>
  <c r="AF98" i="289"/>
  <c r="AG98" i="289" s="1"/>
  <c r="Z94" i="289"/>
  <c r="AS93" i="289"/>
  <c r="AT93" i="289" s="1"/>
  <c r="AH84" i="289"/>
  <c r="AI84" i="289" s="1"/>
  <c r="AA84" i="289"/>
  <c r="AB84" i="289"/>
  <c r="AH76" i="289"/>
  <c r="AI76" i="289" s="1"/>
  <c r="AA76" i="289"/>
  <c r="AB76" i="289"/>
  <c r="AH68" i="289"/>
  <c r="AI68" i="289" s="1"/>
  <c r="AA68" i="289"/>
  <c r="AB68" i="289"/>
  <c r="AJ68" i="289" s="1"/>
  <c r="AX68" i="289" s="1"/>
  <c r="BB68" i="289" s="1"/>
  <c r="BD68" i="289" s="1"/>
  <c r="AH62" i="289"/>
  <c r="AI62" i="289" s="1"/>
  <c r="AA62" i="289"/>
  <c r="AB62" i="289"/>
  <c r="AJ62" i="289" s="1"/>
  <c r="AX62" i="289" s="1"/>
  <c r="BB62" i="289" s="1"/>
  <c r="BD62" i="289" s="1"/>
  <c r="AN178" i="289"/>
  <c r="AA20" i="289"/>
  <c r="AB20" i="289"/>
  <c r="AJ20" i="289" s="1"/>
  <c r="AX20" i="289" s="1"/>
  <c r="BB20" i="289" s="1"/>
  <c r="BD20" i="289" s="1"/>
  <c r="T178" i="289"/>
  <c r="P178" i="289"/>
  <c r="L178" i="289"/>
  <c r="Z83" i="289"/>
  <c r="AV82" i="289"/>
  <c r="AW82" i="289"/>
  <c r="Z82" i="289"/>
  <c r="AF81" i="289"/>
  <c r="AG81" i="289" s="1"/>
  <c r="Z75" i="289"/>
  <c r="AV74" i="289"/>
  <c r="AW74" i="289"/>
  <c r="Z74" i="289"/>
  <c r="AF73" i="289"/>
  <c r="AG73" i="289" s="1"/>
  <c r="Z67" i="289"/>
  <c r="AV66" i="289"/>
  <c r="AW66" i="289"/>
  <c r="Z66" i="289"/>
  <c r="AF65" i="289"/>
  <c r="AG65" i="289" s="1"/>
  <c r="AH60" i="289"/>
  <c r="AI60" i="289" s="1"/>
  <c r="AA60" i="289"/>
  <c r="AB60" i="289"/>
  <c r="AJ60" i="289" s="1"/>
  <c r="AX60" i="289" s="1"/>
  <c r="BB60" i="289" s="1"/>
  <c r="BD60" i="289" s="1"/>
  <c r="AH58" i="289"/>
  <c r="AI58" i="289" s="1"/>
  <c r="AA58" i="289"/>
  <c r="AB58" i="289"/>
  <c r="AJ58" i="289" s="1"/>
  <c r="AX58" i="289" s="1"/>
  <c r="BB58" i="289" s="1"/>
  <c r="BD58" i="289" s="1"/>
  <c r="AA56" i="289"/>
  <c r="AB56" i="289"/>
  <c r="AJ56" i="289" s="1"/>
  <c r="AX56" i="289" s="1"/>
  <c r="BB56" i="289" s="1"/>
  <c r="BD56" i="289" s="1"/>
  <c r="Z53" i="289"/>
  <c r="AH45" i="289"/>
  <c r="AI45" i="289" s="1"/>
  <c r="AA45" i="289"/>
  <c r="AB45" i="289"/>
  <c r="AA44" i="289"/>
  <c r="AB44" i="289"/>
  <c r="AJ44" i="289" s="1"/>
  <c r="AX44" i="289" s="1"/>
  <c r="BB44" i="289" s="1"/>
  <c r="BD44" i="289" s="1"/>
  <c r="Z43" i="289"/>
  <c r="Z35" i="289"/>
  <c r="AO34" i="289"/>
  <c r="AP34" i="289" s="1"/>
  <c r="AA32" i="289"/>
  <c r="AB32" i="289"/>
  <c r="AJ32" i="289" s="1"/>
  <c r="AX32" i="289" s="1"/>
  <c r="BB32" i="289" s="1"/>
  <c r="BD32" i="289" s="1"/>
  <c r="AO31" i="289"/>
  <c r="AP31" i="289" s="1"/>
  <c r="AF31" i="289"/>
  <c r="AG31" i="289" s="1"/>
  <c r="Z30" i="289"/>
  <c r="Z29" i="289"/>
  <c r="AF28" i="289"/>
  <c r="AG28" i="289" s="1"/>
  <c r="AV25" i="289"/>
  <c r="AW25" i="289"/>
  <c r="Z19" i="289"/>
  <c r="AA16" i="289"/>
  <c r="AB16" i="289"/>
  <c r="AJ16" i="289" s="1"/>
  <c r="AX16" i="289" s="1"/>
  <c r="BB16" i="289" s="1"/>
  <c r="BD16" i="289" s="1"/>
  <c r="AH14" i="289"/>
  <c r="AI14" i="289" s="1"/>
  <c r="AA14" i="289"/>
  <c r="AH13" i="289"/>
  <c r="AI13" i="289" s="1"/>
  <c r="AA13" i="289"/>
  <c r="AB13" i="289"/>
  <c r="AJ13" i="289" s="1"/>
  <c r="AX13" i="289" s="1"/>
  <c r="BB13" i="289" s="1"/>
  <c r="BD13" i="289" s="1"/>
  <c r="AR493" i="318"/>
  <c r="AS493" i="318"/>
  <c r="J494" i="269" s="1"/>
  <c r="K494" i="269" s="1"/>
  <c r="X494" i="269" s="1"/>
  <c r="AR488" i="318"/>
  <c r="AS488" i="318"/>
  <c r="J489" i="269" s="1"/>
  <c r="K489" i="269" s="1"/>
  <c r="X489" i="269" s="1"/>
  <c r="AR481" i="318"/>
  <c r="AS481" i="318"/>
  <c r="J482" i="269" s="1"/>
  <c r="K482" i="269" s="1"/>
  <c r="X482" i="269" s="1"/>
  <c r="AR473" i="318"/>
  <c r="AS473" i="318"/>
  <c r="J474" i="269" s="1"/>
  <c r="K474" i="269" s="1"/>
  <c r="X474" i="269" s="1"/>
  <c r="AQ469" i="318"/>
  <c r="AJ469" i="318"/>
  <c r="Y457" i="318"/>
  <c r="AE457" i="318"/>
  <c r="AR454" i="318"/>
  <c r="AS454" i="318"/>
  <c r="J455" i="269" s="1"/>
  <c r="K455" i="269" s="1"/>
  <c r="X455" i="269" s="1"/>
  <c r="AP383" i="318"/>
  <c r="AS383" i="318" s="1"/>
  <c r="H386" i="269" s="1"/>
  <c r="I386" i="269" s="1"/>
  <c r="X386" i="269" s="1"/>
  <c r="AJ383" i="318"/>
  <c r="Y270" i="318"/>
  <c r="AE270" i="318"/>
  <c r="AE143" i="318"/>
  <c r="J150" i="269" s="1"/>
  <c r="K150" i="269" s="1"/>
  <c r="X150" i="269" s="1"/>
  <c r="Y143" i="318"/>
  <c r="AE137" i="318"/>
  <c r="J144" i="269" s="1"/>
  <c r="K144" i="269" s="1"/>
  <c r="X144" i="269" s="1"/>
  <c r="Y137" i="318"/>
  <c r="Z88" i="289"/>
  <c r="AF87" i="289"/>
  <c r="AG87" i="289" s="1"/>
  <c r="Z81" i="289"/>
  <c r="AV80" i="289"/>
  <c r="AW80" i="289"/>
  <c r="Z80" i="289"/>
  <c r="AF79" i="289"/>
  <c r="AG79" i="289" s="1"/>
  <c r="Z73" i="289"/>
  <c r="AV72" i="289"/>
  <c r="AW72" i="289"/>
  <c r="Z72" i="289"/>
  <c r="AF71" i="289"/>
  <c r="AG71" i="289" s="1"/>
  <c r="Z65" i="289"/>
  <c r="AV64" i="289"/>
  <c r="AW64" i="289"/>
  <c r="Z64" i="289"/>
  <c r="AA54" i="289"/>
  <c r="AB54" i="289"/>
  <c r="AJ54" i="289" s="1"/>
  <c r="AX54" i="289" s="1"/>
  <c r="BB54" i="289" s="1"/>
  <c r="BD54" i="289" s="1"/>
  <c r="Z50" i="289"/>
  <c r="AV49" i="289"/>
  <c r="AW49" i="289"/>
  <c r="AO46" i="289"/>
  <c r="AP46" i="289" s="1"/>
  <c r="Z41" i="289"/>
  <c r="AA40" i="289"/>
  <c r="AB40" i="289"/>
  <c r="AJ40" i="289" s="1"/>
  <c r="AX40" i="289" s="1"/>
  <c r="BB40" i="289" s="1"/>
  <c r="BD40" i="289" s="1"/>
  <c r="AO39" i="289"/>
  <c r="AP39" i="289" s="1"/>
  <c r="AV37" i="289"/>
  <c r="AW37" i="289"/>
  <c r="Z31" i="289"/>
  <c r="AO30" i="289"/>
  <c r="AP30" i="289" s="1"/>
  <c r="AA28" i="289"/>
  <c r="AB28" i="289"/>
  <c r="AJ28" i="289" s="1"/>
  <c r="AX28" i="289" s="1"/>
  <c r="BB28" i="289" s="1"/>
  <c r="BD28" i="289" s="1"/>
  <c r="AO27" i="289"/>
  <c r="AP27" i="289" s="1"/>
  <c r="AF27" i="289"/>
  <c r="AG27" i="289" s="1"/>
  <c r="Z26" i="289"/>
  <c r="Z25" i="289"/>
  <c r="AF24" i="289"/>
  <c r="AG24" i="289" s="1"/>
  <c r="AV21" i="289"/>
  <c r="AW21" i="289"/>
  <c r="Z15" i="289"/>
  <c r="AO14" i="289"/>
  <c r="AP14" i="289" s="1"/>
  <c r="AB14" i="289"/>
  <c r="AA12" i="289"/>
  <c r="AB12" i="289"/>
  <c r="AJ12" i="289" s="1"/>
  <c r="AX12" i="289" s="1"/>
  <c r="BB12" i="289" s="1"/>
  <c r="BD12" i="289" s="1"/>
  <c r="AO11" i="289"/>
  <c r="AF11" i="289"/>
  <c r="AR498" i="318"/>
  <c r="AR497" i="318"/>
  <c r="AS497" i="318"/>
  <c r="J498" i="269" s="1"/>
  <c r="K498" i="269" s="1"/>
  <c r="X498" i="269" s="1"/>
  <c r="AS495" i="318"/>
  <c r="J496" i="269" s="1"/>
  <c r="K496" i="269" s="1"/>
  <c r="X496" i="269" s="1"/>
  <c r="AR492" i="318"/>
  <c r="AS492" i="318"/>
  <c r="J493" i="269" s="1"/>
  <c r="K493" i="269" s="1"/>
  <c r="X493" i="269" s="1"/>
  <c r="Y486" i="318"/>
  <c r="AE486" i="318"/>
  <c r="AJ482" i="318"/>
  <c r="AP482" i="318"/>
  <c r="AR480" i="318"/>
  <c r="AS480" i="318"/>
  <c r="J481" i="269" s="1"/>
  <c r="K481" i="269" s="1"/>
  <c r="X481" i="269" s="1"/>
  <c r="AQ466" i="318"/>
  <c r="AT466" i="318" s="1"/>
  <c r="H467" i="269" s="1"/>
  <c r="I467" i="269" s="1"/>
  <c r="AJ466" i="318"/>
  <c r="AT463" i="318"/>
  <c r="H464" i="269" s="1"/>
  <c r="I464" i="269" s="1"/>
  <c r="X464" i="269" s="1"/>
  <c r="AR463" i="318"/>
  <c r="AI402" i="318"/>
  <c r="AJ405" i="318"/>
  <c r="AM405" i="318"/>
  <c r="AO404" i="318"/>
  <c r="AS404" i="318"/>
  <c r="J405" i="269" s="1"/>
  <c r="K405" i="269" s="1"/>
  <c r="X405" i="269" s="1"/>
  <c r="AJ396" i="318"/>
  <c r="AP396" i="318"/>
  <c r="AS396" i="318" s="1"/>
  <c r="H399" i="269" s="1"/>
  <c r="I399" i="269" s="1"/>
  <c r="X399" i="269" s="1"/>
  <c r="Y392" i="318"/>
  <c r="AE392" i="318"/>
  <c r="AF89" i="289"/>
  <c r="AG89" i="289" s="1"/>
  <c r="Z87" i="289"/>
  <c r="AV86" i="289"/>
  <c r="AW86" i="289"/>
  <c r="Z86" i="289"/>
  <c r="AF85" i="289"/>
  <c r="AG85" i="289" s="1"/>
  <c r="Z79" i="289"/>
  <c r="AV78" i="289"/>
  <c r="AW78" i="289"/>
  <c r="Z78" i="289"/>
  <c r="AF77" i="289"/>
  <c r="AG77" i="289" s="1"/>
  <c r="Z71" i="289"/>
  <c r="AV70" i="289"/>
  <c r="AW70" i="289"/>
  <c r="Z70" i="289"/>
  <c r="AF69" i="289"/>
  <c r="AG69" i="289" s="1"/>
  <c r="AF63" i="289"/>
  <c r="AG63" i="289" s="1"/>
  <c r="Z63" i="289"/>
  <c r="AV62" i="289"/>
  <c r="AW62" i="289"/>
  <c r="AO55" i="289"/>
  <c r="AP55" i="289" s="1"/>
  <c r="AA52" i="289"/>
  <c r="AB52" i="289"/>
  <c r="AJ52" i="289" s="1"/>
  <c r="AX52" i="289" s="1"/>
  <c r="BB52" i="289" s="1"/>
  <c r="BD52" i="289" s="1"/>
  <c r="AF51" i="289"/>
  <c r="AG51" i="289" s="1"/>
  <c r="Z51" i="289"/>
  <c r="Z46" i="289"/>
  <c r="AV45" i="289"/>
  <c r="AW45" i="289"/>
  <c r="AO42" i="289"/>
  <c r="AP42" i="289" s="1"/>
  <c r="AF39" i="289"/>
  <c r="AG39" i="289" s="1"/>
  <c r="Z39" i="289"/>
  <c r="Z38" i="289"/>
  <c r="Z37" i="289"/>
  <c r="AF36" i="289"/>
  <c r="AG36" i="289" s="1"/>
  <c r="AV33" i="289"/>
  <c r="AW33" i="289"/>
  <c r="Z27" i="289"/>
  <c r="AO26" i="289"/>
  <c r="AP26" i="289" s="1"/>
  <c r="AA24" i="289"/>
  <c r="AB24" i="289"/>
  <c r="AJ24" i="289" s="1"/>
  <c r="AX24" i="289" s="1"/>
  <c r="BB24" i="289" s="1"/>
  <c r="BD24" i="289" s="1"/>
  <c r="AO23" i="289"/>
  <c r="AP23" i="289" s="1"/>
  <c r="AF23" i="289"/>
  <c r="AG23" i="289" s="1"/>
  <c r="Z22" i="289"/>
  <c r="Z21" i="289"/>
  <c r="AF20" i="289"/>
  <c r="AG20" i="289" s="1"/>
  <c r="AV17" i="289"/>
  <c r="AW17" i="289"/>
  <c r="Z11" i="289"/>
  <c r="Z10" i="289"/>
  <c r="AR496" i="318"/>
  <c r="AS496" i="318"/>
  <c r="J497" i="269" s="1"/>
  <c r="K497" i="269" s="1"/>
  <c r="X497" i="269" s="1"/>
  <c r="Y490" i="318"/>
  <c r="AE490" i="318"/>
  <c r="AR485" i="318"/>
  <c r="AS485" i="318"/>
  <c r="J486" i="269" s="1"/>
  <c r="K486" i="269" s="1"/>
  <c r="X486" i="269" s="1"/>
  <c r="AS483" i="318"/>
  <c r="J484" i="269" s="1"/>
  <c r="K484" i="269" s="1"/>
  <c r="X484" i="269" s="1"/>
  <c r="Y479" i="318"/>
  <c r="AE479" i="318"/>
  <c r="Y477" i="318"/>
  <c r="AE477" i="318"/>
  <c r="AJ472" i="318"/>
  <c r="AP472" i="318"/>
  <c r="AJ470" i="318"/>
  <c r="AQ470" i="318"/>
  <c r="AT459" i="318"/>
  <c r="H460" i="269" s="1"/>
  <c r="I460" i="269" s="1"/>
  <c r="X460" i="269" s="1"/>
  <c r="AR459" i="318"/>
  <c r="AE456" i="318"/>
  <c r="Y456" i="318"/>
  <c r="AO428" i="318"/>
  <c r="AS428" i="318"/>
  <c r="J429" i="269" s="1"/>
  <c r="K429" i="269" s="1"/>
  <c r="X429" i="269" s="1"/>
  <c r="AJ426" i="318"/>
  <c r="AM426" i="318"/>
  <c r="AT420" i="318"/>
  <c r="H421" i="269" s="1"/>
  <c r="I421" i="269" s="1"/>
  <c r="X421" i="269" s="1"/>
  <c r="AO420" i="318"/>
  <c r="Y400" i="318"/>
  <c r="AE400" i="318"/>
  <c r="Y351" i="318"/>
  <c r="AE351" i="318"/>
  <c r="AR348" i="318"/>
  <c r="AS348" i="318"/>
  <c r="H351" i="269" s="1"/>
  <c r="I351" i="269" s="1"/>
  <c r="X351" i="269" s="1"/>
  <c r="Y345" i="318"/>
  <c r="AE345" i="318"/>
  <c r="AI316" i="318"/>
  <c r="AH18" i="289"/>
  <c r="AI18" i="289" s="1"/>
  <c r="AJ18" i="289" s="1"/>
  <c r="AX18" i="289" s="1"/>
  <c r="BB18" i="289" s="1"/>
  <c r="BD18" i="289" s="1"/>
  <c r="AA18" i="289"/>
  <c r="AH17" i="289"/>
  <c r="AI17" i="289" s="1"/>
  <c r="AA17" i="289"/>
  <c r="AB17" i="289"/>
  <c r="AJ17" i="289" s="1"/>
  <c r="AX17" i="289" s="1"/>
  <c r="BB17" i="289" s="1"/>
  <c r="BD17" i="289" s="1"/>
  <c r="AV13" i="289"/>
  <c r="AW13" i="289"/>
  <c r="Y494" i="318"/>
  <c r="AE494" i="318"/>
  <c r="AR489" i="318"/>
  <c r="AS489" i="318"/>
  <c r="J490" i="269" s="1"/>
  <c r="K490" i="269" s="1"/>
  <c r="X490" i="269" s="1"/>
  <c r="AS487" i="318"/>
  <c r="J488" i="269" s="1"/>
  <c r="K488" i="269" s="1"/>
  <c r="X488" i="269" s="1"/>
  <c r="AR484" i="318"/>
  <c r="AS484" i="318"/>
  <c r="J485" i="269" s="1"/>
  <c r="K485" i="269" s="1"/>
  <c r="X485" i="269" s="1"/>
  <c r="Y482" i="318"/>
  <c r="AE482" i="318"/>
  <c r="AS475" i="318"/>
  <c r="J476" i="269" s="1"/>
  <c r="K476" i="269" s="1"/>
  <c r="X476" i="269" s="1"/>
  <c r="AR475" i="318"/>
  <c r="Y471" i="318"/>
  <c r="AE471" i="318"/>
  <c r="AT467" i="318"/>
  <c r="H468" i="269" s="1"/>
  <c r="I468" i="269" s="1"/>
  <c r="X468" i="269" s="1"/>
  <c r="AR467" i="318"/>
  <c r="AJ460" i="318"/>
  <c r="AP460" i="318"/>
  <c r="AN450" i="318"/>
  <c r="AT450" i="318" s="1"/>
  <c r="H451" i="269" s="1"/>
  <c r="I451" i="269" s="1"/>
  <c r="AJ450" i="318"/>
  <c r="AS437" i="318"/>
  <c r="J438" i="269" s="1"/>
  <c r="K438" i="269" s="1"/>
  <c r="X438" i="269" s="1"/>
  <c r="AO437" i="318"/>
  <c r="AO430" i="318"/>
  <c r="AS430" i="318"/>
  <c r="J431" i="269" s="1"/>
  <c r="K431" i="269" s="1"/>
  <c r="X431" i="269" s="1"/>
  <c r="AJ409" i="318"/>
  <c r="AM409" i="318"/>
  <c r="AO408" i="318"/>
  <c r="AS408" i="318"/>
  <c r="J409" i="269" s="1"/>
  <c r="K409" i="269" s="1"/>
  <c r="X409" i="269" s="1"/>
  <c r="Y359" i="318"/>
  <c r="AE359" i="318"/>
  <c r="AQ478" i="318"/>
  <c r="AT478" i="318" s="1"/>
  <c r="H479" i="269" s="1"/>
  <c r="I479" i="269" s="1"/>
  <c r="X479" i="269" s="1"/>
  <c r="AR461" i="318"/>
  <c r="AS461" i="318"/>
  <c r="J462" i="269" s="1"/>
  <c r="K462" i="269" s="1"/>
  <c r="X462" i="269" s="1"/>
  <c r="AR458" i="318"/>
  <c r="AS458" i="318"/>
  <c r="J459" i="269" s="1"/>
  <c r="K459" i="269" s="1"/>
  <c r="X459" i="269" s="1"/>
  <c r="Y454" i="318"/>
  <c r="AE454" i="318"/>
  <c r="AJ452" i="318"/>
  <c r="AM452" i="318"/>
  <c r="AE448" i="318"/>
  <c r="Y448" i="318"/>
  <c r="AO446" i="318"/>
  <c r="AS446" i="318"/>
  <c r="J447" i="269" s="1"/>
  <c r="K447" i="269" s="1"/>
  <c r="X447" i="269" s="1"/>
  <c r="AS443" i="318"/>
  <c r="J444" i="269" s="1"/>
  <c r="K444" i="269" s="1"/>
  <c r="X444" i="269" s="1"/>
  <c r="AO443" i="318"/>
  <c r="AE438" i="318"/>
  <c r="Y438" i="318"/>
  <c r="AS421" i="318"/>
  <c r="J422" i="269" s="1"/>
  <c r="K422" i="269" s="1"/>
  <c r="X422" i="269" s="1"/>
  <c r="AO421" i="318"/>
  <c r="AO414" i="318"/>
  <c r="AS414" i="318"/>
  <c r="J415" i="269" s="1"/>
  <c r="K415" i="269" s="1"/>
  <c r="X415" i="269" s="1"/>
  <c r="W402" i="318"/>
  <c r="AE393" i="318"/>
  <c r="Y393" i="318"/>
  <c r="AR352" i="318"/>
  <c r="AS352" i="318"/>
  <c r="H355" i="269" s="1"/>
  <c r="I355" i="269" s="1"/>
  <c r="X355" i="269" s="1"/>
  <c r="AE305" i="318"/>
  <c r="Y305" i="318"/>
  <c r="AQ272" i="318"/>
  <c r="L277" i="269" s="1"/>
  <c r="M277" i="269" s="1"/>
  <c r="X277" i="269" s="1"/>
  <c r="AO272" i="318"/>
  <c r="AN271" i="318"/>
  <c r="AJ271" i="318"/>
  <c r="AE262" i="318"/>
  <c r="L267" i="269" s="1"/>
  <c r="M267" i="269" s="1"/>
  <c r="X267" i="269" s="1"/>
  <c r="Y262" i="318"/>
  <c r="AE254" i="318"/>
  <c r="L259" i="269" s="1"/>
  <c r="M259" i="269" s="1"/>
  <c r="X259" i="269" s="1"/>
  <c r="Y254" i="318"/>
  <c r="AE246" i="318"/>
  <c r="L251" i="269" s="1"/>
  <c r="M251" i="269" s="1"/>
  <c r="X251" i="269" s="1"/>
  <c r="Y246" i="318"/>
  <c r="AE238" i="318"/>
  <c r="L243" i="269" s="1"/>
  <c r="M243" i="269" s="1"/>
  <c r="X243" i="269" s="1"/>
  <c r="Y238" i="318"/>
  <c r="AE230" i="318"/>
  <c r="L235" i="269" s="1"/>
  <c r="M235" i="269" s="1"/>
  <c r="X235" i="269" s="1"/>
  <c r="Y230" i="318"/>
  <c r="Y221" i="318"/>
  <c r="AE221" i="318"/>
  <c r="L226" i="269" s="1"/>
  <c r="M226" i="269" s="1"/>
  <c r="X226" i="269" s="1"/>
  <c r="AP479" i="318"/>
  <c r="AJ477" i="318"/>
  <c r="AJ476" i="318"/>
  <c r="Y472" i="318"/>
  <c r="AP471" i="318"/>
  <c r="AJ467" i="318"/>
  <c r="Y465" i="318"/>
  <c r="AE465" i="318"/>
  <c r="AT455" i="318"/>
  <c r="H456" i="269" s="1"/>
  <c r="I456" i="269" s="1"/>
  <c r="X456" i="269" s="1"/>
  <c r="AQ453" i="318"/>
  <c r="AO510" i="318" s="1"/>
  <c r="AR455" i="318"/>
  <c r="AO448" i="318"/>
  <c r="AS448" i="318"/>
  <c r="J449" i="269" s="1"/>
  <c r="K449" i="269" s="1"/>
  <c r="X449" i="269" s="1"/>
  <c r="AO445" i="318"/>
  <c r="AS445" i="318"/>
  <c r="J446" i="269" s="1"/>
  <c r="K446" i="269" s="1"/>
  <c r="X446" i="269" s="1"/>
  <c r="AO438" i="318"/>
  <c r="AS438" i="318"/>
  <c r="J439" i="269" s="1"/>
  <c r="K439" i="269" s="1"/>
  <c r="X439" i="269" s="1"/>
  <c r="Y435" i="318"/>
  <c r="AE435" i="318"/>
  <c r="AT429" i="318"/>
  <c r="H430" i="269" s="1"/>
  <c r="I430" i="269" s="1"/>
  <c r="X430" i="269" s="1"/>
  <c r="AO429" i="318"/>
  <c r="AE422" i="318"/>
  <c r="Y422" i="318"/>
  <c r="AM410" i="318"/>
  <c r="AM406" i="318"/>
  <c r="AM402" i="318" s="1"/>
  <c r="AK509" i="318" s="1"/>
  <c r="AG402" i="318"/>
  <c r="AJ403" i="318"/>
  <c r="AF402" i="318"/>
  <c r="AF499" i="318" s="1"/>
  <c r="Y355" i="318"/>
  <c r="AE355" i="318"/>
  <c r="AP342" i="318"/>
  <c r="AJ342" i="318"/>
  <c r="AS339" i="318"/>
  <c r="H342" i="269" s="1"/>
  <c r="I342" i="269" s="1"/>
  <c r="X342" i="269" s="1"/>
  <c r="AR339" i="318"/>
  <c r="Y294" i="318"/>
  <c r="AE294" i="318"/>
  <c r="Y278" i="318"/>
  <c r="AE278" i="318"/>
  <c r="AR494" i="318"/>
  <c r="AR490" i="318"/>
  <c r="AR486" i="318"/>
  <c r="AJ478" i="318"/>
  <c r="AR476" i="318"/>
  <c r="AJ475" i="318"/>
  <c r="AR468" i="318"/>
  <c r="AS468" i="318"/>
  <c r="J469" i="269" s="1"/>
  <c r="K469" i="269" s="1"/>
  <c r="X469" i="269" s="1"/>
  <c r="AR466" i="318"/>
  <c r="AS466" i="318"/>
  <c r="J467" i="269" s="1"/>
  <c r="K467" i="269" s="1"/>
  <c r="AR457" i="318"/>
  <c r="AO453" i="318"/>
  <c r="AS453" i="318"/>
  <c r="J454" i="269" s="1"/>
  <c r="K454" i="269" s="1"/>
  <c r="X454" i="269" s="1"/>
  <c r="AO450" i="318"/>
  <c r="AS447" i="318"/>
  <c r="J448" i="269" s="1"/>
  <c r="K448" i="269" s="1"/>
  <c r="X448" i="269" s="1"/>
  <c r="AO447" i="318"/>
  <c r="Y445" i="318"/>
  <c r="AE445" i="318"/>
  <c r="AJ442" i="318"/>
  <c r="AM442" i="318"/>
  <c r="AT436" i="318"/>
  <c r="H437" i="269" s="1"/>
  <c r="I437" i="269" s="1"/>
  <c r="X437" i="269" s="1"/>
  <c r="AO436" i="318"/>
  <c r="AO427" i="318"/>
  <c r="AS427" i="318"/>
  <c r="J428" i="269" s="1"/>
  <c r="K428" i="269" s="1"/>
  <c r="X428" i="269" s="1"/>
  <c r="AO422" i="318"/>
  <c r="AS422" i="318"/>
  <c r="J423" i="269" s="1"/>
  <c r="K423" i="269" s="1"/>
  <c r="X423" i="269" s="1"/>
  <c r="Y419" i="318"/>
  <c r="AE419" i="318"/>
  <c r="AT413" i="318"/>
  <c r="H414" i="269" s="1"/>
  <c r="I414" i="269" s="1"/>
  <c r="X414" i="269" s="1"/>
  <c r="AO413" i="318"/>
  <c r="AS412" i="318"/>
  <c r="J413" i="269" s="1"/>
  <c r="K413" i="269" s="1"/>
  <c r="X413" i="269" s="1"/>
  <c r="AS411" i="318"/>
  <c r="J412" i="269" s="1"/>
  <c r="K412" i="269" s="1"/>
  <c r="AO407" i="318"/>
  <c r="AS407" i="318"/>
  <c r="J408" i="269" s="1"/>
  <c r="K408" i="269" s="1"/>
  <c r="X408" i="269" s="1"/>
  <c r="AO403" i="318"/>
  <c r="AS403" i="318"/>
  <c r="AR356" i="318"/>
  <c r="AS356" i="318"/>
  <c r="H359" i="269" s="1"/>
  <c r="I359" i="269" s="1"/>
  <c r="X359" i="269" s="1"/>
  <c r="AJ344" i="318"/>
  <c r="AP344" i="318"/>
  <c r="AS319" i="318"/>
  <c r="H322" i="269" s="1"/>
  <c r="I322" i="269" s="1"/>
  <c r="X322" i="269" s="1"/>
  <c r="AR319" i="318"/>
  <c r="AO313" i="318"/>
  <c r="AQ313" i="318"/>
  <c r="L318" i="269" s="1"/>
  <c r="M318" i="269" s="1"/>
  <c r="X318" i="269" s="1"/>
  <c r="AJ311" i="318"/>
  <c r="AM311" i="318"/>
  <c r="AQ280" i="318"/>
  <c r="L285" i="269" s="1"/>
  <c r="M285" i="269" s="1"/>
  <c r="X285" i="269" s="1"/>
  <c r="AO280" i="318"/>
  <c r="AN279" i="318"/>
  <c r="AJ279" i="318"/>
  <c r="Y468" i="318"/>
  <c r="AJ464" i="318"/>
  <c r="AJ462" i="318"/>
  <c r="Y461" i="318"/>
  <c r="AE461" i="318"/>
  <c r="Y460" i="318"/>
  <c r="AJ456" i="318"/>
  <c r="AS450" i="318"/>
  <c r="J451" i="269" s="1"/>
  <c r="K451" i="269" s="1"/>
  <c r="AJ448" i="318"/>
  <c r="AJ447" i="318"/>
  <c r="Y443" i="318"/>
  <c r="AM440" i="318"/>
  <c r="AO439" i="318"/>
  <c r="AJ438" i="318"/>
  <c r="AJ437" i="318"/>
  <c r="AM433" i="318"/>
  <c r="Y431" i="318"/>
  <c r="AE431" i="318"/>
  <c r="Y430" i="318"/>
  <c r="AM424" i="318"/>
  <c r="AO423" i="318"/>
  <c r="AJ422" i="318"/>
  <c r="AJ421" i="318"/>
  <c r="AM417" i="318"/>
  <c r="Y415" i="318"/>
  <c r="AE415" i="318"/>
  <c r="Y414" i="318"/>
  <c r="AN411" i="318"/>
  <c r="AL402" i="318"/>
  <c r="AJ398" i="318"/>
  <c r="Y397" i="318"/>
  <c r="AJ393" i="318"/>
  <c r="AP390" i="318"/>
  <c r="AS390" i="318" s="1"/>
  <c r="H393" i="269" s="1"/>
  <c r="I393" i="269" s="1"/>
  <c r="X393" i="269" s="1"/>
  <c r="AJ387" i="318"/>
  <c r="Y384" i="318"/>
  <c r="AE384" i="318"/>
  <c r="AP382" i="318"/>
  <c r="AS382" i="318" s="1"/>
  <c r="H385" i="269" s="1"/>
  <c r="I385" i="269" s="1"/>
  <c r="X385" i="269" s="1"/>
  <c r="AJ378" i="318"/>
  <c r="Y377" i="318"/>
  <c r="Y372" i="318"/>
  <c r="AE372" i="318"/>
  <c r="AP371" i="318"/>
  <c r="AS371" i="318" s="1"/>
  <c r="H374" i="269" s="1"/>
  <c r="I374" i="269" s="1"/>
  <c r="X374" i="269" s="1"/>
  <c r="AP370" i="318"/>
  <c r="AS370" i="318" s="1"/>
  <c r="H373" i="269" s="1"/>
  <c r="I373" i="269" s="1"/>
  <c r="X373" i="269" s="1"/>
  <c r="Y368" i="318"/>
  <c r="AE368" i="318"/>
  <c r="AP367" i="318"/>
  <c r="AS367" i="318" s="1"/>
  <c r="H370" i="269" s="1"/>
  <c r="I370" i="269" s="1"/>
  <c r="X370" i="269" s="1"/>
  <c r="AP366" i="318"/>
  <c r="AS366" i="318" s="1"/>
  <c r="H369" i="269" s="1"/>
  <c r="I369" i="269" s="1"/>
  <c r="X369" i="269" s="1"/>
  <c r="Y364" i="318"/>
  <c r="AE364" i="318"/>
  <c r="AP363" i="318"/>
  <c r="AS363" i="318" s="1"/>
  <c r="H366" i="269" s="1"/>
  <c r="I366" i="269" s="1"/>
  <c r="X366" i="269" s="1"/>
  <c r="AP362" i="318"/>
  <c r="AS362" i="318" s="1"/>
  <c r="H365" i="269" s="1"/>
  <c r="I365" i="269" s="1"/>
  <c r="X365" i="269" s="1"/>
  <c r="Y360" i="318"/>
  <c r="AE360" i="318"/>
  <c r="Y341" i="318"/>
  <c r="AE341" i="318"/>
  <c r="AP338" i="318"/>
  <c r="AJ338" i="318"/>
  <c r="AP335" i="318"/>
  <c r="Y333" i="318"/>
  <c r="AE333" i="318"/>
  <c r="AP331" i="318"/>
  <c r="Y329" i="318"/>
  <c r="AE329" i="318"/>
  <c r="AP327" i="318"/>
  <c r="Y325" i="318"/>
  <c r="AE325" i="318"/>
  <c r="AH316" i="318"/>
  <c r="AE309" i="318"/>
  <c r="Y309" i="318"/>
  <c r="AP304" i="318"/>
  <c r="H309" i="269" s="1"/>
  <c r="I309" i="269" s="1"/>
  <c r="X309" i="269" s="1"/>
  <c r="AO304" i="318"/>
  <c r="AN301" i="318"/>
  <c r="AP297" i="318"/>
  <c r="H302" i="269" s="1"/>
  <c r="I302" i="269" s="1"/>
  <c r="X302" i="269" s="1"/>
  <c r="AO297" i="318"/>
  <c r="AO296" i="318"/>
  <c r="AJ293" i="318"/>
  <c r="AM293" i="318"/>
  <c r="AE292" i="318"/>
  <c r="Y292" i="318"/>
  <c r="AM290" i="318"/>
  <c r="AJ289" i="318"/>
  <c r="AM289" i="318"/>
  <c r="AE288" i="318"/>
  <c r="Y288" i="318"/>
  <c r="AM286" i="318"/>
  <c r="AJ285" i="318"/>
  <c r="AM285" i="318"/>
  <c r="AJ277" i="318"/>
  <c r="AM277" i="318"/>
  <c r="AJ269" i="318"/>
  <c r="AM269" i="318"/>
  <c r="AE264" i="318"/>
  <c r="L269" i="269" s="1"/>
  <c r="M269" i="269" s="1"/>
  <c r="X269" i="269" s="1"/>
  <c r="Y264" i="318"/>
  <c r="AE256" i="318"/>
  <c r="L261" i="269" s="1"/>
  <c r="M261" i="269" s="1"/>
  <c r="X261" i="269" s="1"/>
  <c r="Y256" i="318"/>
  <c r="AE248" i="318"/>
  <c r="L253" i="269" s="1"/>
  <c r="M253" i="269" s="1"/>
  <c r="X253" i="269" s="1"/>
  <c r="Y248" i="318"/>
  <c r="AE240" i="318"/>
  <c r="L245" i="269" s="1"/>
  <c r="M245" i="269" s="1"/>
  <c r="X245" i="269" s="1"/>
  <c r="Y240" i="318"/>
  <c r="AE232" i="318"/>
  <c r="L237" i="269" s="1"/>
  <c r="M237" i="269" s="1"/>
  <c r="X237" i="269" s="1"/>
  <c r="Y232" i="318"/>
  <c r="AE224" i="318"/>
  <c r="L229" i="269" s="1"/>
  <c r="M229" i="269" s="1"/>
  <c r="X229" i="269" s="1"/>
  <c r="Y224" i="318"/>
  <c r="Y115" i="318"/>
  <c r="AE115" i="318"/>
  <c r="AR464" i="318"/>
  <c r="AS464" i="318"/>
  <c r="J465" i="269" s="1"/>
  <c r="K465" i="269" s="1"/>
  <c r="X465" i="269" s="1"/>
  <c r="AJ463" i="318"/>
  <c r="AR456" i="318"/>
  <c r="AS456" i="318"/>
  <c r="J457" i="269" s="1"/>
  <c r="K457" i="269" s="1"/>
  <c r="X457" i="269" s="1"/>
  <c r="AJ455" i="318"/>
  <c r="AK454" i="318" s="1"/>
  <c r="AQ513" i="318" s="1"/>
  <c r="Y453" i="318"/>
  <c r="AE453" i="318"/>
  <c r="Y452" i="318"/>
  <c r="Y442" i="318"/>
  <c r="AO435" i="318"/>
  <c r="AJ433" i="318"/>
  <c r="Y427" i="318"/>
  <c r="AE427" i="318"/>
  <c r="Y426" i="318"/>
  <c r="AO419" i="318"/>
  <c r="AJ417" i="318"/>
  <c r="AJ412" i="318"/>
  <c r="Y411" i="318"/>
  <c r="AE411" i="318"/>
  <c r="Y410" i="318"/>
  <c r="AE410" i="318"/>
  <c r="Y409" i="318"/>
  <c r="AE409" i="318"/>
  <c r="Y408" i="318"/>
  <c r="AE408" i="318"/>
  <c r="Y407" i="318"/>
  <c r="AE407" i="318"/>
  <c r="Y406" i="318"/>
  <c r="AE406" i="318"/>
  <c r="Y405" i="318"/>
  <c r="AE405" i="318"/>
  <c r="Y404" i="318"/>
  <c r="AE404" i="318"/>
  <c r="Y403" i="318"/>
  <c r="AE403" i="318"/>
  <c r="Y396" i="318"/>
  <c r="AE396" i="318"/>
  <c r="AP395" i="318"/>
  <c r="AS395" i="318" s="1"/>
  <c r="H398" i="269" s="1"/>
  <c r="I398" i="269" s="1"/>
  <c r="X398" i="269" s="1"/>
  <c r="AJ390" i="318"/>
  <c r="AJ382" i="318"/>
  <c r="Y381" i="318"/>
  <c r="Y376" i="318"/>
  <c r="AE376" i="318"/>
  <c r="AP375" i="318"/>
  <c r="AS375" i="318" s="1"/>
  <c r="H378" i="269" s="1"/>
  <c r="I378" i="269" s="1"/>
  <c r="X378" i="269" s="1"/>
  <c r="AJ370" i="318"/>
  <c r="AJ366" i="318"/>
  <c r="AJ362" i="318"/>
  <c r="AS347" i="318"/>
  <c r="H350" i="269" s="1"/>
  <c r="I350" i="269" s="1"/>
  <c r="X350" i="269" s="1"/>
  <c r="AR347" i="318"/>
  <c r="AR340" i="318"/>
  <c r="AS340" i="318"/>
  <c r="H343" i="269" s="1"/>
  <c r="I343" i="269" s="1"/>
  <c r="X343" i="269" s="1"/>
  <c r="Y337" i="318"/>
  <c r="AE337" i="318"/>
  <c r="AQ321" i="318"/>
  <c r="AT321" i="318" s="1"/>
  <c r="J324" i="269" s="1"/>
  <c r="K324" i="269" s="1"/>
  <c r="AJ321" i="318"/>
  <c r="AR320" i="318"/>
  <c r="AS320" i="318"/>
  <c r="H323" i="269" s="1"/>
  <c r="I323" i="269" s="1"/>
  <c r="X323" i="269" s="1"/>
  <c r="Y318" i="318"/>
  <c r="AE318" i="318"/>
  <c r="AE316" i="318" s="1"/>
  <c r="AG316" i="318"/>
  <c r="AQ317" i="318"/>
  <c r="AJ317" i="318"/>
  <c r="AL318" i="318"/>
  <c r="AE313" i="318"/>
  <c r="Y313" i="318"/>
  <c r="AP308" i="318"/>
  <c r="H313" i="269" s="1"/>
  <c r="I313" i="269" s="1"/>
  <c r="X313" i="269" s="1"/>
  <c r="AO308" i="318"/>
  <c r="AJ303" i="318"/>
  <c r="AM303" i="318"/>
  <c r="AQ300" i="318"/>
  <c r="L305" i="269" s="1"/>
  <c r="M305" i="269" s="1"/>
  <c r="X305" i="269" s="1"/>
  <c r="AO300" i="318"/>
  <c r="AQ284" i="318"/>
  <c r="L289" i="269" s="1"/>
  <c r="M289" i="269" s="1"/>
  <c r="X289" i="269" s="1"/>
  <c r="AO284" i="318"/>
  <c r="AN283" i="318"/>
  <c r="AJ283" i="318"/>
  <c r="Y282" i="318"/>
  <c r="AE282" i="318"/>
  <c r="AQ276" i="318"/>
  <c r="L281" i="269" s="1"/>
  <c r="M281" i="269" s="1"/>
  <c r="X281" i="269" s="1"/>
  <c r="AO276" i="318"/>
  <c r="AN275" i="318"/>
  <c r="AJ275" i="318"/>
  <c r="Y274" i="318"/>
  <c r="AE274" i="318"/>
  <c r="AQ268" i="318"/>
  <c r="AO268" i="318"/>
  <c r="AM267" i="318"/>
  <c r="AJ267" i="318"/>
  <c r="AE266" i="318"/>
  <c r="L271" i="269" s="1"/>
  <c r="M271" i="269" s="1"/>
  <c r="X271" i="269" s="1"/>
  <c r="Y266" i="318"/>
  <c r="AE258" i="318"/>
  <c r="L263" i="269" s="1"/>
  <c r="M263" i="269" s="1"/>
  <c r="X263" i="269" s="1"/>
  <c r="Y258" i="318"/>
  <c r="AE250" i="318"/>
  <c r="L255" i="269" s="1"/>
  <c r="M255" i="269" s="1"/>
  <c r="X255" i="269" s="1"/>
  <c r="Y250" i="318"/>
  <c r="AE242" i="318"/>
  <c r="L247" i="269" s="1"/>
  <c r="M247" i="269" s="1"/>
  <c r="X247" i="269" s="1"/>
  <c r="Y242" i="318"/>
  <c r="AE234" i="318"/>
  <c r="L239" i="269" s="1"/>
  <c r="M239" i="269" s="1"/>
  <c r="X239" i="269" s="1"/>
  <c r="Y234" i="318"/>
  <c r="AE226" i="318"/>
  <c r="L231" i="269" s="1"/>
  <c r="M231" i="269" s="1"/>
  <c r="X231" i="269" s="1"/>
  <c r="Y226" i="318"/>
  <c r="Y223" i="318"/>
  <c r="AE223" i="318"/>
  <c r="L228" i="269" s="1"/>
  <c r="M228" i="269" s="1"/>
  <c r="X228" i="269" s="1"/>
  <c r="AE203" i="318"/>
  <c r="L208" i="269" s="1"/>
  <c r="M208" i="269" s="1"/>
  <c r="X208" i="269" s="1"/>
  <c r="Y203" i="318"/>
  <c r="AE187" i="318"/>
  <c r="L192" i="269" s="1"/>
  <c r="M192" i="269" s="1"/>
  <c r="X192" i="269" s="1"/>
  <c r="Y187" i="318"/>
  <c r="AE184" i="318"/>
  <c r="L189" i="269" s="1"/>
  <c r="M189" i="269" s="1"/>
  <c r="X189" i="269" s="1"/>
  <c r="Y184" i="318"/>
  <c r="AG177" i="318"/>
  <c r="AB177" i="318"/>
  <c r="AE174" i="318"/>
  <c r="J181" i="269" s="1"/>
  <c r="K181" i="269" s="1"/>
  <c r="X181" i="269" s="1"/>
  <c r="Y174" i="318"/>
  <c r="AE147" i="318"/>
  <c r="J154" i="269" s="1"/>
  <c r="K154" i="269" s="1"/>
  <c r="X154" i="269" s="1"/>
  <c r="Y147" i="318"/>
  <c r="AE146" i="318"/>
  <c r="J153" i="269" s="1"/>
  <c r="K153" i="269" s="1"/>
  <c r="X153" i="269" s="1"/>
  <c r="Y146" i="318"/>
  <c r="AE139" i="318"/>
  <c r="J146" i="269" s="1"/>
  <c r="K146" i="269" s="1"/>
  <c r="X146" i="269" s="1"/>
  <c r="Y139" i="318"/>
  <c r="AE117" i="318"/>
  <c r="Y117" i="318"/>
  <c r="AI8" i="318"/>
  <c r="Y449" i="318"/>
  <c r="AE449" i="318"/>
  <c r="AO444" i="318"/>
  <c r="AS444" i="318"/>
  <c r="J445" i="269" s="1"/>
  <c r="K445" i="269" s="1"/>
  <c r="X445" i="269" s="1"/>
  <c r="Y439" i="318"/>
  <c r="AE439" i="318"/>
  <c r="AO434" i="318"/>
  <c r="AS434" i="318"/>
  <c r="J435" i="269" s="1"/>
  <c r="K435" i="269" s="1"/>
  <c r="X435" i="269" s="1"/>
  <c r="AO431" i="318"/>
  <c r="Y423" i="318"/>
  <c r="AE423" i="318"/>
  <c r="AO418" i="318"/>
  <c r="AS418" i="318"/>
  <c r="J419" i="269" s="1"/>
  <c r="K419" i="269" s="1"/>
  <c r="X419" i="269" s="1"/>
  <c r="AO415" i="318"/>
  <c r="AH402" i="318"/>
  <c r="AJ397" i="318"/>
  <c r="AJ394" i="318"/>
  <c r="Y388" i="318"/>
  <c r="AE388" i="318"/>
  <c r="AJ386" i="318"/>
  <c r="AP386" i="318"/>
  <c r="AS386" i="318" s="1"/>
  <c r="H389" i="269" s="1"/>
  <c r="I389" i="269" s="1"/>
  <c r="X389" i="269" s="1"/>
  <c r="Y380" i="318"/>
  <c r="AE380" i="318"/>
  <c r="AP379" i="318"/>
  <c r="AS379" i="318" s="1"/>
  <c r="H382" i="269" s="1"/>
  <c r="I382" i="269" s="1"/>
  <c r="X382" i="269" s="1"/>
  <c r="AJ377" i="318"/>
  <c r="AJ369" i="318"/>
  <c r="AJ365" i="318"/>
  <c r="AJ361" i="318"/>
  <c r="AK359" i="318" s="1"/>
  <c r="AQ512" i="318" s="1"/>
  <c r="AI510" i="318" s="1"/>
  <c r="AR358" i="318"/>
  <c r="AS358" i="318"/>
  <c r="H361" i="269" s="1"/>
  <c r="I361" i="269" s="1"/>
  <c r="X361" i="269" s="1"/>
  <c r="AP357" i="318"/>
  <c r="AP355" i="318"/>
  <c r="AR354" i="318"/>
  <c r="AS354" i="318"/>
  <c r="H357" i="269" s="1"/>
  <c r="I357" i="269" s="1"/>
  <c r="X357" i="269" s="1"/>
  <c r="AP353" i="318"/>
  <c r="AP351" i="318"/>
  <c r="AR350" i="318"/>
  <c r="AS350" i="318"/>
  <c r="H353" i="269" s="1"/>
  <c r="I353" i="269" s="1"/>
  <c r="X353" i="269" s="1"/>
  <c r="Y349" i="318"/>
  <c r="AE349" i="318"/>
  <c r="AP346" i="318"/>
  <c r="AJ346" i="318"/>
  <c r="AP343" i="318"/>
  <c r="AP336" i="318"/>
  <c r="AJ333" i="318"/>
  <c r="AP333" i="318"/>
  <c r="AR332" i="318"/>
  <c r="AS332" i="318"/>
  <c r="H335" i="269" s="1"/>
  <c r="I335" i="269" s="1"/>
  <c r="X335" i="269" s="1"/>
  <c r="AJ329" i="318"/>
  <c r="AP329" i="318"/>
  <c r="AR328" i="318"/>
  <c r="AS328" i="318"/>
  <c r="H331" i="269" s="1"/>
  <c r="I331" i="269" s="1"/>
  <c r="X331" i="269" s="1"/>
  <c r="AJ325" i="318"/>
  <c r="AP325" i="318"/>
  <c r="AR324" i="318"/>
  <c r="AS324" i="318"/>
  <c r="H327" i="269" s="1"/>
  <c r="I327" i="269" s="1"/>
  <c r="X327" i="269" s="1"/>
  <c r="AR322" i="318"/>
  <c r="AR321" i="318"/>
  <c r="AS321" i="318"/>
  <c r="H324" i="269" s="1"/>
  <c r="I324" i="269" s="1"/>
  <c r="X324" i="269" s="1"/>
  <c r="AR317" i="318"/>
  <c r="AS317" i="318"/>
  <c r="AF316" i="318"/>
  <c r="AP312" i="318"/>
  <c r="H317" i="269" s="1"/>
  <c r="I317" i="269" s="1"/>
  <c r="X317" i="269" s="1"/>
  <c r="AO312" i="318"/>
  <c r="AJ307" i="318"/>
  <c r="AM307" i="318"/>
  <c r="AE301" i="318"/>
  <c r="Y301" i="318"/>
  <c r="Y300" i="318"/>
  <c r="AE300" i="318"/>
  <c r="AN295" i="318"/>
  <c r="AJ295" i="318"/>
  <c r="AO292" i="318"/>
  <c r="AP292" i="318"/>
  <c r="H297" i="269" s="1"/>
  <c r="I297" i="269" s="1"/>
  <c r="X297" i="269" s="1"/>
  <c r="AJ291" i="318"/>
  <c r="AM291" i="318"/>
  <c r="AE290" i="318"/>
  <c r="Y290" i="318"/>
  <c r="AM288" i="318"/>
  <c r="AJ287" i="318"/>
  <c r="AM287" i="318"/>
  <c r="AE286" i="318"/>
  <c r="Y286" i="318"/>
  <c r="AJ281" i="318"/>
  <c r="AM281" i="318"/>
  <c r="AJ273" i="318"/>
  <c r="AM273" i="318"/>
  <c r="AE260" i="318"/>
  <c r="L265" i="269" s="1"/>
  <c r="M265" i="269" s="1"/>
  <c r="X265" i="269" s="1"/>
  <c r="Y260" i="318"/>
  <c r="AE252" i="318"/>
  <c r="L257" i="269" s="1"/>
  <c r="M257" i="269" s="1"/>
  <c r="X257" i="269" s="1"/>
  <c r="Y252" i="318"/>
  <c r="AE244" i="318"/>
  <c r="L249" i="269" s="1"/>
  <c r="M249" i="269" s="1"/>
  <c r="X249" i="269" s="1"/>
  <c r="Y244" i="318"/>
  <c r="AE236" i="318"/>
  <c r="L241" i="269" s="1"/>
  <c r="M241" i="269" s="1"/>
  <c r="X241" i="269" s="1"/>
  <c r="Y236" i="318"/>
  <c r="AE228" i="318"/>
  <c r="L233" i="269" s="1"/>
  <c r="M233" i="269" s="1"/>
  <c r="X233" i="269" s="1"/>
  <c r="Y228" i="318"/>
  <c r="Y222" i="318"/>
  <c r="AE222" i="318"/>
  <c r="L227" i="269" s="1"/>
  <c r="M227" i="269" s="1"/>
  <c r="X227" i="269" s="1"/>
  <c r="AJ334" i="318"/>
  <c r="AJ330" i="318"/>
  <c r="AJ326" i="318"/>
  <c r="AJ323" i="318"/>
  <c r="AJ319" i="318"/>
  <c r="AJ314" i="318"/>
  <c r="AJ310" i="318"/>
  <c r="AJ306" i="318"/>
  <c r="AJ302" i="318"/>
  <c r="AO298" i="318"/>
  <c r="AE202" i="318"/>
  <c r="L207" i="269" s="1"/>
  <c r="M207" i="269" s="1"/>
  <c r="X207" i="269" s="1"/>
  <c r="Y202" i="318"/>
  <c r="AE199" i="318"/>
  <c r="L204" i="269" s="1"/>
  <c r="M204" i="269" s="1"/>
  <c r="X204" i="269" s="1"/>
  <c r="Y199" i="318"/>
  <c r="AE186" i="318"/>
  <c r="L191" i="269" s="1"/>
  <c r="M191" i="269" s="1"/>
  <c r="X191" i="269" s="1"/>
  <c r="Y186" i="318"/>
  <c r="AJ180" i="318"/>
  <c r="AJ178" i="318"/>
  <c r="AF177" i="318"/>
  <c r="AJ174" i="318"/>
  <c r="AE153" i="318"/>
  <c r="J160" i="269" s="1"/>
  <c r="K160" i="269" s="1"/>
  <c r="X160" i="269" s="1"/>
  <c r="Y153" i="318"/>
  <c r="AJ143" i="318"/>
  <c r="AJ137" i="318"/>
  <c r="AJ117" i="318"/>
  <c r="AJ112" i="318"/>
  <c r="AJ347" i="318"/>
  <c r="AJ343" i="318"/>
  <c r="AJ339" i="318"/>
  <c r="AJ335" i="318"/>
  <c r="AJ331" i="318"/>
  <c r="AJ327" i="318"/>
  <c r="AS322" i="318"/>
  <c r="H325" i="269" s="1"/>
  <c r="I325" i="269" s="1"/>
  <c r="X325" i="269" s="1"/>
  <c r="AE321" i="318"/>
  <c r="AP318" i="318"/>
  <c r="AP316" i="318" s="1"/>
  <c r="Y317" i="318"/>
  <c r="W316" i="318"/>
  <c r="F506" i="318" s="1"/>
  <c r="G506" i="318" s="1"/>
  <c r="AM314" i="318"/>
  <c r="Y314" i="318"/>
  <c r="AJ313" i="318"/>
  <c r="AM310" i="318"/>
  <c r="Y310" i="318"/>
  <c r="AJ309" i="318"/>
  <c r="AM306" i="318"/>
  <c r="Y306" i="318"/>
  <c r="AJ305" i="318"/>
  <c r="AM302" i="318"/>
  <c r="Y302" i="318"/>
  <c r="AJ301" i="318"/>
  <c r="AE298" i="318"/>
  <c r="AO294" i="318"/>
  <c r="AJ292" i="318"/>
  <c r="AJ290" i="318"/>
  <c r="AJ288" i="318"/>
  <c r="AJ286" i="318"/>
  <c r="AM282" i="318"/>
  <c r="AM278" i="318"/>
  <c r="AM274" i="318"/>
  <c r="AM270" i="318"/>
  <c r="AJ266" i="318"/>
  <c r="AJ264" i="318"/>
  <c r="AJ262" i="318"/>
  <c r="AJ260" i="318"/>
  <c r="AJ258" i="318"/>
  <c r="AJ256" i="318"/>
  <c r="AJ254" i="318"/>
  <c r="AJ252" i="318"/>
  <c r="AJ250" i="318"/>
  <c r="AJ248" i="318"/>
  <c r="AJ246" i="318"/>
  <c r="AJ244" i="318"/>
  <c r="AJ242" i="318"/>
  <c r="AJ240" i="318"/>
  <c r="AJ238" i="318"/>
  <c r="AJ236" i="318"/>
  <c r="AJ234" i="318"/>
  <c r="AJ232" i="318"/>
  <c r="AJ230" i="318"/>
  <c r="AJ228" i="318"/>
  <c r="AJ226" i="318"/>
  <c r="AJ224" i="318"/>
  <c r="AK223" i="318" s="1"/>
  <c r="AQ505" i="318" s="1"/>
  <c r="Y220" i="318"/>
  <c r="AJ219" i="318"/>
  <c r="Y218" i="318"/>
  <c r="AJ217" i="318"/>
  <c r="Y216" i="318"/>
  <c r="AJ215" i="318"/>
  <c r="Y214" i="318"/>
  <c r="AJ213" i="318"/>
  <c r="Y212" i="318"/>
  <c r="AJ211" i="318"/>
  <c r="Y210" i="318"/>
  <c r="AJ209" i="318"/>
  <c r="Y208" i="318"/>
  <c r="AJ207" i="318"/>
  <c r="Y206" i="318"/>
  <c r="AJ205" i="318"/>
  <c r="Y204" i="318"/>
  <c r="AE201" i="318"/>
  <c r="L206" i="269" s="1"/>
  <c r="M206" i="269" s="1"/>
  <c r="X206" i="269" s="1"/>
  <c r="Y201" i="318"/>
  <c r="AJ197" i="318"/>
  <c r="AJ195" i="318"/>
  <c r="AJ193" i="318"/>
  <c r="AJ191" i="318"/>
  <c r="AJ188" i="318"/>
  <c r="AJ182" i="318"/>
  <c r="Y171" i="318"/>
  <c r="Y166" i="318"/>
  <c r="AE161" i="318"/>
  <c r="J168" i="269" s="1"/>
  <c r="K168" i="269" s="1"/>
  <c r="X168" i="269" s="1"/>
  <c r="Y161" i="318"/>
  <c r="AJ150" i="318"/>
  <c r="AJ125" i="318"/>
  <c r="AJ123" i="318"/>
  <c r="AJ120" i="318"/>
  <c r="AJ103" i="318"/>
  <c r="AJ13" i="318"/>
  <c r="AG8" i="318"/>
  <c r="AC8" i="318"/>
  <c r="AU8" i="318"/>
  <c r="AJ332" i="318"/>
  <c r="AJ328" i="318"/>
  <c r="AJ324" i="318"/>
  <c r="AJ312" i="318"/>
  <c r="AJ308" i="318"/>
  <c r="AJ304" i="318"/>
  <c r="AP298" i="318"/>
  <c r="H303" i="269" s="1"/>
  <c r="I303" i="269" s="1"/>
  <c r="X303" i="269" s="1"/>
  <c r="AJ297" i="318"/>
  <c r="AJ284" i="318"/>
  <c r="AJ280" i="318"/>
  <c r="AJ276" i="318"/>
  <c r="AJ272" i="318"/>
  <c r="AJ268" i="318"/>
  <c r="AE188" i="318"/>
  <c r="L193" i="269" s="1"/>
  <c r="M193" i="269" s="1"/>
  <c r="X193" i="269" s="1"/>
  <c r="Y188" i="318"/>
  <c r="Y177" i="318" s="1"/>
  <c r="AJ187" i="318"/>
  <c r="AE169" i="318"/>
  <c r="J176" i="269" s="1"/>
  <c r="K176" i="269" s="1"/>
  <c r="X176" i="269" s="1"/>
  <c r="Y169" i="318"/>
  <c r="AJ131" i="318"/>
  <c r="AJ111" i="318"/>
  <c r="AJ99" i="318"/>
  <c r="AR498" i="312"/>
  <c r="AJ199" i="318"/>
  <c r="AE190" i="318"/>
  <c r="L195" i="269" s="1"/>
  <c r="M195" i="269" s="1"/>
  <c r="X195" i="269" s="1"/>
  <c r="Y190" i="318"/>
  <c r="AJ189" i="318"/>
  <c r="AJ184" i="318"/>
  <c r="AH177" i="318"/>
  <c r="AE173" i="318"/>
  <c r="J180" i="269" s="1"/>
  <c r="K180" i="269" s="1"/>
  <c r="X180" i="269" s="1"/>
  <c r="Y173" i="318"/>
  <c r="AE165" i="318"/>
  <c r="J172" i="269" s="1"/>
  <c r="K172" i="269" s="1"/>
  <c r="X172" i="269" s="1"/>
  <c r="Y165" i="318"/>
  <c r="AE157" i="318"/>
  <c r="J164" i="269" s="1"/>
  <c r="K164" i="269" s="1"/>
  <c r="X164" i="269" s="1"/>
  <c r="Y157" i="318"/>
  <c r="AE149" i="318"/>
  <c r="J156" i="269" s="1"/>
  <c r="K156" i="269" s="1"/>
  <c r="X156" i="269" s="1"/>
  <c r="Y149" i="318"/>
  <c r="AE142" i="318"/>
  <c r="J149" i="269" s="1"/>
  <c r="K149" i="269" s="1"/>
  <c r="X149" i="269" s="1"/>
  <c r="Y142" i="318"/>
  <c r="AE136" i="318"/>
  <c r="J143" i="269" s="1"/>
  <c r="K143" i="269" s="1"/>
  <c r="X143" i="269" s="1"/>
  <c r="Y136" i="318"/>
  <c r="AJ129" i="318"/>
  <c r="AJ121" i="318"/>
  <c r="AJ113" i="318"/>
  <c r="AJ105" i="318"/>
  <c r="AK56" i="318"/>
  <c r="AQ506" i="318" s="1"/>
  <c r="AJ55" i="318"/>
  <c r="AJ51" i="318"/>
  <c r="AJ47" i="318"/>
  <c r="AJ43" i="318"/>
  <c r="AJ39" i="318"/>
  <c r="AJ35" i="318"/>
  <c r="AJ31" i="318"/>
  <c r="AJ27" i="318"/>
  <c r="AJ23" i="318"/>
  <c r="AJ19" i="318"/>
  <c r="AJ15" i="318"/>
  <c r="AA8" i="318"/>
  <c r="AA499" i="318" s="1"/>
  <c r="AJ96" i="318"/>
  <c r="Y56" i="318"/>
  <c r="AE56" i="318"/>
  <c r="AE8" i="318" s="1"/>
  <c r="AJ52" i="318"/>
  <c r="AJ48" i="318"/>
  <c r="AJ44" i="318"/>
  <c r="AJ40" i="318"/>
  <c r="AJ36" i="318"/>
  <c r="AJ32" i="318"/>
  <c r="AJ28" i="318"/>
  <c r="AJ24" i="318"/>
  <c r="AJ20" i="318"/>
  <c r="AJ16" i="318"/>
  <c r="AD8" i="318"/>
  <c r="AD499" i="318" s="1"/>
  <c r="AJ109" i="318"/>
  <c r="AJ101" i="318"/>
  <c r="AE11" i="318"/>
  <c r="L18" i="269" s="1"/>
  <c r="Y11" i="318"/>
  <c r="Y8" i="318" s="1"/>
  <c r="AH8" i="318"/>
  <c r="AE12" i="318"/>
  <c r="L19" i="269" s="1"/>
  <c r="M19" i="269" s="1"/>
  <c r="X19" i="269" s="1"/>
  <c r="Y12" i="318"/>
  <c r="AJ11" i="318"/>
  <c r="AS409" i="312"/>
  <c r="AQ498" i="312"/>
  <c r="BE165" i="312"/>
  <c r="BB500" i="312"/>
  <c r="V500" i="312"/>
  <c r="V501" i="312" s="1"/>
  <c r="R500" i="312"/>
  <c r="R501" i="312" s="1"/>
  <c r="BK6" i="312"/>
  <c r="BJ3" i="312"/>
  <c r="BE217" i="312"/>
  <c r="AB98" i="318"/>
  <c r="AQ314" i="312"/>
  <c r="AQ3" i="312" s="1"/>
  <c r="AR314" i="312"/>
  <c r="AJ196" i="318"/>
  <c r="AJ194" i="318"/>
  <c r="AJ192" i="318"/>
  <c r="AJ190" i="318"/>
  <c r="AJ181" i="318"/>
  <c r="AJ179" i="318"/>
  <c r="AC177" i="318"/>
  <c r="AC499" i="318" s="1"/>
  <c r="W177" i="318"/>
  <c r="AJ134" i="318"/>
  <c r="AK134" i="318" s="1"/>
  <c r="AQ509" i="318" s="1"/>
  <c r="AI509" i="318" s="1"/>
  <c r="AJ130" i="318"/>
  <c r="AJ126" i="318"/>
  <c r="AJ122" i="318"/>
  <c r="AJ118" i="318"/>
  <c r="AJ114" i="318"/>
  <c r="AJ110" i="318"/>
  <c r="AJ106" i="318"/>
  <c r="AJ102" i="318"/>
  <c r="AJ98" i="318"/>
  <c r="AK95" i="318" s="1"/>
  <c r="AQ507" i="318" s="1"/>
  <c r="AJ2" i="318"/>
  <c r="AF8" i="318"/>
  <c r="AJ9" i="318"/>
  <c r="W8" i="318"/>
  <c r="F503" i="318" s="1"/>
  <c r="G503" i="318" s="1"/>
  <c r="AJ1" i="318"/>
  <c r="AJ4" i="318" s="1"/>
  <c r="AS490" i="312"/>
  <c r="AS482" i="312"/>
  <c r="AS474" i="312"/>
  <c r="AS466" i="312"/>
  <c r="AS458" i="312"/>
  <c r="AS450" i="312"/>
  <c r="AS442" i="312"/>
  <c r="AS434" i="312"/>
  <c r="AS426" i="312"/>
  <c r="AS418" i="312"/>
  <c r="AS410" i="312"/>
  <c r="AS402" i="312"/>
  <c r="AS498" i="312" s="1"/>
  <c r="AS396" i="312"/>
  <c r="AS388" i="312"/>
  <c r="AS380" i="312"/>
  <c r="AS372" i="312"/>
  <c r="AS364" i="312"/>
  <c r="AS319" i="312"/>
  <c r="AQ400" i="312"/>
  <c r="AS318" i="312"/>
  <c r="AS400" i="312" s="1"/>
  <c r="AS306" i="312"/>
  <c r="AS298" i="312"/>
  <c r="AS290" i="312"/>
  <c r="AS282" i="312"/>
  <c r="AS274" i="312"/>
  <c r="AZ314" i="312"/>
  <c r="AV143" i="288" s="1"/>
  <c r="AV148" i="288" s="1"/>
  <c r="BE265" i="312"/>
  <c r="BE258" i="312"/>
  <c r="BE250" i="312"/>
  <c r="BE242" i="312"/>
  <c r="BE234" i="312"/>
  <c r="BE226" i="312"/>
  <c r="BE214" i="312"/>
  <c r="BE206" i="312"/>
  <c r="BE174" i="312"/>
  <c r="BK1" i="312"/>
  <c r="AB8" i="318"/>
  <c r="BE220" i="312"/>
  <c r="BE212" i="312"/>
  <c r="BE204" i="312"/>
  <c r="BE195" i="312"/>
  <c r="BE187" i="312"/>
  <c r="BE179" i="312"/>
  <c r="BF177" i="312"/>
  <c r="BF15" i="312"/>
  <c r="BF6" i="312" s="1"/>
  <c r="AS175" i="312"/>
  <c r="BG3" i="312"/>
  <c r="BJ6" i="312"/>
  <c r="BK3" i="312"/>
  <c r="BK2" i="312"/>
  <c r="BE159" i="312"/>
  <c r="BE151" i="312"/>
  <c r="BE143" i="312"/>
  <c r="BE135" i="312"/>
  <c r="BE127" i="312"/>
  <c r="BE119" i="312"/>
  <c r="BE111" i="312"/>
  <c r="BE103" i="312"/>
  <c r="BE95" i="312"/>
  <c r="BE87" i="312"/>
  <c r="BE79" i="312"/>
  <c r="BE71" i="312"/>
  <c r="BE63" i="312"/>
  <c r="BE55" i="312"/>
  <c r="BE47" i="312"/>
  <c r="BE39" i="312"/>
  <c r="BE31" i="312"/>
  <c r="BE23" i="312"/>
  <c r="BE15" i="312"/>
  <c r="F138" i="349"/>
  <c r="F5" i="349"/>
  <c r="BJ2" i="312"/>
  <c r="BE171" i="312"/>
  <c r="BE167" i="312"/>
  <c r="BE163" i="312"/>
  <c r="BE157" i="312"/>
  <c r="BE149" i="312"/>
  <c r="BE141" i="312"/>
  <c r="BE133" i="312"/>
  <c r="BE125" i="312"/>
  <c r="BE117" i="312"/>
  <c r="BE109" i="312"/>
  <c r="BE101" i="312"/>
  <c r="AR3" i="312"/>
  <c r="F26" i="349"/>
  <c r="AS266" i="312"/>
  <c r="AS314" i="312" s="1"/>
  <c r="BE155" i="312"/>
  <c r="BE147" i="312"/>
  <c r="BE139" i="312"/>
  <c r="AR175" i="312"/>
  <c r="BE131" i="312"/>
  <c r="BE123" i="312"/>
  <c r="BE115" i="312"/>
  <c r="BE107" i="312"/>
  <c r="BE99" i="312"/>
  <c r="BE91" i="312"/>
  <c r="BE83" i="312"/>
  <c r="BE75" i="312"/>
  <c r="BE67" i="312"/>
  <c r="BE59" i="312"/>
  <c r="BE51" i="312"/>
  <c r="BE43" i="312"/>
  <c r="BE35" i="312"/>
  <c r="BE27" i="312"/>
  <c r="BE19" i="312"/>
  <c r="BE11" i="312"/>
  <c r="BG2" i="312"/>
  <c r="BG5" i="312" s="1"/>
  <c r="BJ1" i="312"/>
  <c r="AB419" i="269" l="1"/>
  <c r="I418" i="301"/>
  <c r="J418" i="301" s="1"/>
  <c r="M418" i="301" s="1"/>
  <c r="AB454" i="269"/>
  <c r="I453" i="301"/>
  <c r="J453" i="301" s="1"/>
  <c r="M453" i="301" s="1"/>
  <c r="AB243" i="269"/>
  <c r="I242" i="301"/>
  <c r="J242" i="301" s="1"/>
  <c r="M242" i="301" s="1"/>
  <c r="AB259" i="269"/>
  <c r="I258" i="301"/>
  <c r="J258" i="301" s="1"/>
  <c r="M258" i="301" s="1"/>
  <c r="AB462" i="269"/>
  <c r="I461" i="301"/>
  <c r="J461" i="301" s="1"/>
  <c r="M461" i="301" s="1"/>
  <c r="AB438" i="269"/>
  <c r="I437" i="301"/>
  <c r="J437" i="301" s="1"/>
  <c r="M437" i="301" s="1"/>
  <c r="AB490" i="269"/>
  <c r="I489" i="301"/>
  <c r="J489" i="301" s="1"/>
  <c r="M489" i="301" s="1"/>
  <c r="AB429" i="269"/>
  <c r="I428" i="301"/>
  <c r="J428" i="301" s="1"/>
  <c r="M428" i="301" s="1"/>
  <c r="AB498" i="269"/>
  <c r="I497" i="301"/>
  <c r="J497" i="301" s="1"/>
  <c r="M497" i="301" s="1"/>
  <c r="AZ104" i="288"/>
  <c r="AX104" i="288"/>
  <c r="AZ128" i="288"/>
  <c r="AX128" i="288"/>
  <c r="AZ133" i="288"/>
  <c r="AX133" i="288"/>
  <c r="AB401" i="269"/>
  <c r="I400" i="301"/>
  <c r="J400" i="301" s="1"/>
  <c r="M400" i="301" s="1"/>
  <c r="AB452" i="269"/>
  <c r="I451" i="301"/>
  <c r="J451" i="301" s="1"/>
  <c r="M451" i="301" s="1"/>
  <c r="I192" i="301"/>
  <c r="J192" i="301" s="1"/>
  <c r="M192" i="301" s="1"/>
  <c r="AB193" i="269"/>
  <c r="I232" i="301"/>
  <c r="J232" i="301" s="1"/>
  <c r="M232" i="301" s="1"/>
  <c r="AB233" i="269"/>
  <c r="I248" i="301"/>
  <c r="J248" i="301" s="1"/>
  <c r="M248" i="301" s="1"/>
  <c r="AB249" i="269"/>
  <c r="I264" i="301"/>
  <c r="J264" i="301" s="1"/>
  <c r="M264" i="301" s="1"/>
  <c r="AB265" i="269"/>
  <c r="I434" i="301"/>
  <c r="J434" i="301" s="1"/>
  <c r="M434" i="301" s="1"/>
  <c r="AB435" i="269"/>
  <c r="AB239" i="269"/>
  <c r="I238" i="301"/>
  <c r="J238" i="301" s="1"/>
  <c r="M238" i="301" s="1"/>
  <c r="AB255" i="269"/>
  <c r="I254" i="301"/>
  <c r="J254" i="301" s="1"/>
  <c r="M254" i="301" s="1"/>
  <c r="AB271" i="269"/>
  <c r="I270" i="301"/>
  <c r="J270" i="301" s="1"/>
  <c r="M270" i="301" s="1"/>
  <c r="AB457" i="269"/>
  <c r="I456" i="301"/>
  <c r="J456" i="301" s="1"/>
  <c r="M456" i="301" s="1"/>
  <c r="I228" i="301"/>
  <c r="J228" i="301" s="1"/>
  <c r="M228" i="301" s="1"/>
  <c r="AB229" i="269"/>
  <c r="I244" i="301"/>
  <c r="J244" i="301" s="1"/>
  <c r="M244" i="301" s="1"/>
  <c r="AB245" i="269"/>
  <c r="I260" i="301"/>
  <c r="J260" i="301" s="1"/>
  <c r="M260" i="301" s="1"/>
  <c r="AB261" i="269"/>
  <c r="AB318" i="269"/>
  <c r="I317" i="301"/>
  <c r="J317" i="301" s="1"/>
  <c r="M317" i="301" s="1"/>
  <c r="AB469" i="269"/>
  <c r="I468" i="301"/>
  <c r="J468" i="301" s="1"/>
  <c r="M468" i="301" s="1"/>
  <c r="AB422" i="269"/>
  <c r="I421" i="301"/>
  <c r="J421" i="301" s="1"/>
  <c r="M421" i="301" s="1"/>
  <c r="AB409" i="269"/>
  <c r="I408" i="301"/>
  <c r="J408" i="301" s="1"/>
  <c r="M408" i="301" s="1"/>
  <c r="AB431" i="269"/>
  <c r="I430" i="301"/>
  <c r="J430" i="301" s="1"/>
  <c r="M430" i="301" s="1"/>
  <c r="AB493" i="269"/>
  <c r="I492" i="301"/>
  <c r="J492" i="301" s="1"/>
  <c r="M492" i="301" s="1"/>
  <c r="AB455" i="269"/>
  <c r="I454" i="301"/>
  <c r="J454" i="301" s="1"/>
  <c r="M454" i="301" s="1"/>
  <c r="AB494" i="269"/>
  <c r="I493" i="301"/>
  <c r="J493" i="301" s="1"/>
  <c r="M493" i="301" s="1"/>
  <c r="AZ132" i="288"/>
  <c r="AX132" i="288"/>
  <c r="AB55" i="269"/>
  <c r="I54" i="301"/>
  <c r="J54" i="301" s="1"/>
  <c r="M54" i="301" s="1"/>
  <c r="AB38" i="269"/>
  <c r="I37" i="301"/>
  <c r="J37" i="301" s="1"/>
  <c r="M37" i="301" s="1"/>
  <c r="AB19" i="269"/>
  <c r="I18" i="301"/>
  <c r="J18" i="301" s="1"/>
  <c r="M18" i="301" s="1"/>
  <c r="AB227" i="269"/>
  <c r="I226" i="301"/>
  <c r="J226" i="301" s="1"/>
  <c r="M226" i="301" s="1"/>
  <c r="AB439" i="269"/>
  <c r="I438" i="301"/>
  <c r="J438" i="301" s="1"/>
  <c r="M438" i="301" s="1"/>
  <c r="AB235" i="269"/>
  <c r="I234" i="301"/>
  <c r="J234" i="301" s="1"/>
  <c r="M234" i="301" s="1"/>
  <c r="AB251" i="269"/>
  <c r="I250" i="301"/>
  <c r="J250" i="301" s="1"/>
  <c r="M250" i="301" s="1"/>
  <c r="AB267" i="269"/>
  <c r="I266" i="301"/>
  <c r="J266" i="301" s="1"/>
  <c r="M266" i="301" s="1"/>
  <c r="I276" i="301"/>
  <c r="J276" i="301" s="1"/>
  <c r="M276" i="301" s="1"/>
  <c r="AB277" i="269"/>
  <c r="AB415" i="269"/>
  <c r="I414" i="301"/>
  <c r="J414" i="301" s="1"/>
  <c r="M414" i="301" s="1"/>
  <c r="AB447" i="269"/>
  <c r="I446" i="301"/>
  <c r="J446" i="301" s="1"/>
  <c r="M446" i="301" s="1"/>
  <c r="I458" i="301"/>
  <c r="J458" i="301" s="1"/>
  <c r="M458" i="301" s="1"/>
  <c r="AB459" i="269"/>
  <c r="AB405" i="269"/>
  <c r="I404" i="301"/>
  <c r="J404" i="301" s="1"/>
  <c r="M404" i="301" s="1"/>
  <c r="AX16" i="288"/>
  <c r="AZ16" i="288"/>
  <c r="AZ112" i="288"/>
  <c r="AX112" i="288"/>
  <c r="AB416" i="269"/>
  <c r="I415" i="301"/>
  <c r="J415" i="301" s="1"/>
  <c r="M415" i="301" s="1"/>
  <c r="AB420" i="269"/>
  <c r="I419" i="301"/>
  <c r="J419" i="301" s="1"/>
  <c r="M419" i="301" s="1"/>
  <c r="AB195" i="269"/>
  <c r="I194" i="301"/>
  <c r="J194" i="301" s="1"/>
  <c r="M194" i="301" s="1"/>
  <c r="AB191" i="269"/>
  <c r="I190" i="301"/>
  <c r="J190" i="301" s="1"/>
  <c r="M190" i="301" s="1"/>
  <c r="AB207" i="269"/>
  <c r="I206" i="301"/>
  <c r="J206" i="301" s="1"/>
  <c r="M206" i="301" s="1"/>
  <c r="I240" i="301"/>
  <c r="J240" i="301" s="1"/>
  <c r="M240" i="301" s="1"/>
  <c r="AB241" i="269"/>
  <c r="I256" i="301"/>
  <c r="J256" i="301" s="1"/>
  <c r="M256" i="301" s="1"/>
  <c r="AB257" i="269"/>
  <c r="I188" i="301"/>
  <c r="J188" i="301" s="1"/>
  <c r="M188" i="301" s="1"/>
  <c r="AB189" i="269"/>
  <c r="AB231" i="269"/>
  <c r="I230" i="301"/>
  <c r="J230" i="301" s="1"/>
  <c r="M230" i="301" s="1"/>
  <c r="AB247" i="269"/>
  <c r="I246" i="301"/>
  <c r="J246" i="301" s="1"/>
  <c r="M246" i="301" s="1"/>
  <c r="AB263" i="269"/>
  <c r="I262" i="301"/>
  <c r="J262" i="301" s="1"/>
  <c r="M262" i="301" s="1"/>
  <c r="I236" i="301"/>
  <c r="J236" i="301" s="1"/>
  <c r="M236" i="301" s="1"/>
  <c r="AB237" i="269"/>
  <c r="I252" i="301"/>
  <c r="J252" i="301" s="1"/>
  <c r="M252" i="301" s="1"/>
  <c r="AB253" i="269"/>
  <c r="I268" i="301"/>
  <c r="J268" i="301" s="1"/>
  <c r="M268" i="301" s="1"/>
  <c r="AB269" i="269"/>
  <c r="AB423" i="269"/>
  <c r="I422" i="301"/>
  <c r="J422" i="301" s="1"/>
  <c r="M422" i="301" s="1"/>
  <c r="AB486" i="269"/>
  <c r="I485" i="301"/>
  <c r="J485" i="301" s="1"/>
  <c r="M485" i="301" s="1"/>
  <c r="AB474" i="269"/>
  <c r="I473" i="301"/>
  <c r="J473" i="301" s="1"/>
  <c r="M473" i="301" s="1"/>
  <c r="AZ100" i="288"/>
  <c r="AX100" i="288"/>
  <c r="AZ116" i="288"/>
  <c r="AX116" i="288"/>
  <c r="AB348" i="269"/>
  <c r="I347" i="301"/>
  <c r="J347" i="301" s="1"/>
  <c r="M347" i="301" s="1"/>
  <c r="AB400" i="269"/>
  <c r="I399" i="301"/>
  <c r="J399" i="301" s="1"/>
  <c r="M399" i="301" s="1"/>
  <c r="AB340" i="269"/>
  <c r="I339" i="301"/>
  <c r="J339" i="301" s="1"/>
  <c r="M339" i="301" s="1"/>
  <c r="AS500" i="312"/>
  <c r="BE500" i="312"/>
  <c r="F196" i="349"/>
  <c r="AR500" i="312"/>
  <c r="I167" i="301"/>
  <c r="J167" i="301" s="1"/>
  <c r="M167" i="301" s="1"/>
  <c r="AB168" i="269"/>
  <c r="AO274" i="318"/>
  <c r="AP274" i="318"/>
  <c r="H279" i="269" s="1"/>
  <c r="I279" i="269" s="1"/>
  <c r="X279" i="269" s="1"/>
  <c r="AP314" i="318"/>
  <c r="H319" i="269" s="1"/>
  <c r="I319" i="269" s="1"/>
  <c r="X319" i="269" s="1"/>
  <c r="AO314" i="318"/>
  <c r="AK177" i="318"/>
  <c r="AQ504" i="318" s="1"/>
  <c r="AJ177" i="318"/>
  <c r="AH504" i="318" s="1"/>
  <c r="AG504" i="318" s="1"/>
  <c r="I296" i="301"/>
  <c r="J296" i="301" s="1"/>
  <c r="M296" i="301" s="1"/>
  <c r="AB297" i="269"/>
  <c r="AP307" i="318"/>
  <c r="H312" i="269" s="1"/>
  <c r="I312" i="269" s="1"/>
  <c r="X312" i="269" s="1"/>
  <c r="AO307" i="318"/>
  <c r="AB324" i="269"/>
  <c r="I323" i="301"/>
  <c r="J323" i="301" s="1"/>
  <c r="M323" i="301" s="1"/>
  <c r="AS343" i="318"/>
  <c r="H346" i="269" s="1"/>
  <c r="I346" i="269" s="1"/>
  <c r="X346" i="269" s="1"/>
  <c r="AR343" i="318"/>
  <c r="AS353" i="318"/>
  <c r="H356" i="269" s="1"/>
  <c r="I356" i="269" s="1"/>
  <c r="X356" i="269" s="1"/>
  <c r="AR353" i="318"/>
  <c r="AS357" i="318"/>
  <c r="H360" i="269" s="1"/>
  <c r="I360" i="269" s="1"/>
  <c r="X360" i="269" s="1"/>
  <c r="AR357" i="318"/>
  <c r="AH499" i="318"/>
  <c r="AK267" i="318"/>
  <c r="AQ508" i="318" s="1"/>
  <c r="L273" i="269"/>
  <c r="M273" i="269" s="1"/>
  <c r="X273" i="269" s="1"/>
  <c r="AQ275" i="318"/>
  <c r="L280" i="269" s="1"/>
  <c r="M280" i="269" s="1"/>
  <c r="X280" i="269" s="1"/>
  <c r="AO275" i="318"/>
  <c r="I288" i="301"/>
  <c r="J288" i="301" s="1"/>
  <c r="M288" i="301" s="1"/>
  <c r="AB289" i="269"/>
  <c r="AB350" i="269"/>
  <c r="I349" i="301"/>
  <c r="J349" i="301" s="1"/>
  <c r="M349" i="301" s="1"/>
  <c r="AB378" i="269"/>
  <c r="I377" i="301"/>
  <c r="J377" i="301" s="1"/>
  <c r="M377" i="301" s="1"/>
  <c r="AP289" i="318"/>
  <c r="H294" i="269" s="1"/>
  <c r="I294" i="269" s="1"/>
  <c r="X294" i="269" s="1"/>
  <c r="AO289" i="318"/>
  <c r="I308" i="301"/>
  <c r="J308" i="301" s="1"/>
  <c r="M308" i="301" s="1"/>
  <c r="AB309" i="269"/>
  <c r="AS335" i="318"/>
  <c r="H338" i="269" s="1"/>
  <c r="I338" i="269" s="1"/>
  <c r="X338" i="269" s="1"/>
  <c r="AR335" i="318"/>
  <c r="AB366" i="269"/>
  <c r="I365" i="301"/>
  <c r="J365" i="301" s="1"/>
  <c r="M365" i="301" s="1"/>
  <c r="AB370" i="269"/>
  <c r="I369" i="301"/>
  <c r="J369" i="301" s="1"/>
  <c r="M369" i="301" s="1"/>
  <c r="AB374" i="269"/>
  <c r="I373" i="301"/>
  <c r="J373" i="301" s="1"/>
  <c r="M373" i="301" s="1"/>
  <c r="AR344" i="318"/>
  <c r="AS344" i="318"/>
  <c r="H347" i="269" s="1"/>
  <c r="I347" i="269" s="1"/>
  <c r="X347" i="269" s="1"/>
  <c r="AQ271" i="318"/>
  <c r="L276" i="269" s="1"/>
  <c r="M276" i="269" s="1"/>
  <c r="X276" i="269" s="1"/>
  <c r="AO271" i="318"/>
  <c r="AB488" i="269"/>
  <c r="I487" i="301"/>
  <c r="J487" i="301" s="1"/>
  <c r="M487" i="301" s="1"/>
  <c r="AB351" i="269"/>
  <c r="I350" i="301"/>
  <c r="J350" i="301" s="1"/>
  <c r="M350" i="301" s="1"/>
  <c r="AO426" i="318"/>
  <c r="AS426" i="318"/>
  <c r="J427" i="269" s="1"/>
  <c r="K427" i="269" s="1"/>
  <c r="X427" i="269" s="1"/>
  <c r="AT470" i="318"/>
  <c r="H471" i="269" s="1"/>
  <c r="I471" i="269" s="1"/>
  <c r="X471" i="269" s="1"/>
  <c r="AR470" i="318"/>
  <c r="AB484" i="269"/>
  <c r="I483" i="301"/>
  <c r="J483" i="301" s="1"/>
  <c r="M483" i="301" s="1"/>
  <c r="AB11" i="289"/>
  <c r="AH11" i="289"/>
  <c r="AI11" i="289" s="1"/>
  <c r="AA11" i="289"/>
  <c r="AH21" i="289"/>
  <c r="AI21" i="289" s="1"/>
  <c r="AA21" i="289"/>
  <c r="AB21" i="289"/>
  <c r="AH38" i="289"/>
  <c r="AI38" i="289" s="1"/>
  <c r="AA38" i="289"/>
  <c r="AB38" i="289"/>
  <c r="AB71" i="289"/>
  <c r="AH71" i="289"/>
  <c r="AI71" i="289" s="1"/>
  <c r="AA71" i="289"/>
  <c r="AI499" i="318"/>
  <c r="X467" i="269"/>
  <c r="AB15" i="289"/>
  <c r="AJ15" i="289" s="1"/>
  <c r="AX15" i="289" s="1"/>
  <c r="BB15" i="289" s="1"/>
  <c r="BD15" i="289" s="1"/>
  <c r="AH15" i="289"/>
  <c r="AI15" i="289" s="1"/>
  <c r="AA15" i="289"/>
  <c r="AH25" i="289"/>
  <c r="AI25" i="289" s="1"/>
  <c r="AA25" i="289"/>
  <c r="AB25" i="289"/>
  <c r="AJ25" i="289" s="1"/>
  <c r="AX25" i="289" s="1"/>
  <c r="BB25" i="289" s="1"/>
  <c r="BD25" i="289" s="1"/>
  <c r="AH64" i="289"/>
  <c r="AI64" i="289" s="1"/>
  <c r="AA64" i="289"/>
  <c r="AB64" i="289"/>
  <c r="AJ64" i="289" s="1"/>
  <c r="AX64" i="289" s="1"/>
  <c r="BB64" i="289" s="1"/>
  <c r="BD64" i="289" s="1"/>
  <c r="AB73" i="289"/>
  <c r="AJ73" i="289" s="1"/>
  <c r="AX73" i="289" s="1"/>
  <c r="BB73" i="289" s="1"/>
  <c r="BD73" i="289" s="1"/>
  <c r="AH73" i="289"/>
  <c r="AI73" i="289" s="1"/>
  <c r="AA73" i="289"/>
  <c r="AB386" i="269"/>
  <c r="I385" i="301"/>
  <c r="J385" i="301" s="1"/>
  <c r="M385" i="301" s="1"/>
  <c r="AT469" i="318"/>
  <c r="H470" i="269" s="1"/>
  <c r="I470" i="269" s="1"/>
  <c r="X470" i="269" s="1"/>
  <c r="AR469" i="318"/>
  <c r="AB19" i="289"/>
  <c r="AJ19" i="289" s="1"/>
  <c r="AX19" i="289" s="1"/>
  <c r="BB19" i="289" s="1"/>
  <c r="BD19" i="289" s="1"/>
  <c r="AH19" i="289"/>
  <c r="AI19" i="289" s="1"/>
  <c r="AA19" i="289"/>
  <c r="AH29" i="289"/>
  <c r="AI29" i="289" s="1"/>
  <c r="AA29" i="289"/>
  <c r="AB29" i="289"/>
  <c r="AJ29" i="289" s="1"/>
  <c r="AX29" i="289" s="1"/>
  <c r="BB29" i="289" s="1"/>
  <c r="BD29" i="289" s="1"/>
  <c r="AB43" i="289"/>
  <c r="AH43" i="289"/>
  <c r="AI43" i="289" s="1"/>
  <c r="AA43" i="289"/>
  <c r="AH66" i="289"/>
  <c r="AI66" i="289" s="1"/>
  <c r="AA66" i="289"/>
  <c r="AB66" i="289"/>
  <c r="AB75" i="289"/>
  <c r="AJ75" i="289" s="1"/>
  <c r="AX75" i="289" s="1"/>
  <c r="BB75" i="289" s="1"/>
  <c r="BD75" i="289" s="1"/>
  <c r="AH75" i="289"/>
  <c r="AI75" i="289" s="1"/>
  <c r="AA75" i="289"/>
  <c r="AH111" i="289"/>
  <c r="AI111" i="289" s="1"/>
  <c r="AA111" i="289"/>
  <c r="AB111" i="289"/>
  <c r="AJ111" i="289" s="1"/>
  <c r="AX111" i="289" s="1"/>
  <c r="BB111" i="289" s="1"/>
  <c r="BD111" i="289" s="1"/>
  <c r="AP13" i="288"/>
  <c r="AN13" i="288"/>
  <c r="AH97" i="289"/>
  <c r="AI97" i="289" s="1"/>
  <c r="AA97" i="289"/>
  <c r="AB97" i="289"/>
  <c r="AH129" i="289"/>
  <c r="AI129" i="289" s="1"/>
  <c r="AA129" i="289"/>
  <c r="AB129" i="289"/>
  <c r="AJ129" i="289" s="1"/>
  <c r="AX129" i="289" s="1"/>
  <c r="BB129" i="289" s="1"/>
  <c r="BD129" i="289" s="1"/>
  <c r="AH143" i="289"/>
  <c r="AI143" i="289" s="1"/>
  <c r="AA143" i="289"/>
  <c r="AB143" i="289"/>
  <c r="AJ143" i="289" s="1"/>
  <c r="AX143" i="289" s="1"/>
  <c r="BB143" i="289" s="1"/>
  <c r="BD143" i="289" s="1"/>
  <c r="AB61" i="289"/>
  <c r="AJ61" i="289" s="1"/>
  <c r="AX61" i="289" s="1"/>
  <c r="BB61" i="289" s="1"/>
  <c r="BD61" i="289" s="1"/>
  <c r="AH61" i="289"/>
  <c r="AI61" i="289" s="1"/>
  <c r="AA61" i="289"/>
  <c r="AB89" i="289"/>
  <c r="AJ89" i="289" s="1"/>
  <c r="AH89" i="289"/>
  <c r="AI89" i="289" s="1"/>
  <c r="AA89" i="289"/>
  <c r="AH92" i="289"/>
  <c r="AI92" i="289" s="1"/>
  <c r="AA92" i="289"/>
  <c r="AB92" i="289"/>
  <c r="AJ92" i="289" s="1"/>
  <c r="AX92" i="289" s="1"/>
  <c r="BB92" i="289" s="1"/>
  <c r="BD92" i="289" s="1"/>
  <c r="AH115" i="289"/>
  <c r="AI115" i="289" s="1"/>
  <c r="AA115" i="289"/>
  <c r="AB115" i="289"/>
  <c r="AJ115" i="289" s="1"/>
  <c r="AX115" i="289" s="1"/>
  <c r="BB115" i="289" s="1"/>
  <c r="BD115" i="289" s="1"/>
  <c r="AR135" i="289"/>
  <c r="AR178" i="289" s="1"/>
  <c r="AQ178" i="289"/>
  <c r="AA14" i="288"/>
  <c r="AB14" i="288"/>
  <c r="AI14" i="288" s="1"/>
  <c r="AS14" i="288" s="1"/>
  <c r="AG14" i="288"/>
  <c r="AH14" i="288" s="1"/>
  <c r="AN25" i="288"/>
  <c r="AP25" i="288"/>
  <c r="AX93" i="289"/>
  <c r="BB93" i="289" s="1"/>
  <c r="BD93" i="289" s="1"/>
  <c r="AA144" i="289"/>
  <c r="AB144" i="289"/>
  <c r="AH144" i="289"/>
  <c r="AI144" i="289" s="1"/>
  <c r="AA21" i="288"/>
  <c r="AB21" i="288"/>
  <c r="AI21" i="288" s="1"/>
  <c r="AG21" i="288"/>
  <c r="AH21" i="288" s="1"/>
  <c r="AG33" i="288"/>
  <c r="AH33" i="288" s="1"/>
  <c r="AA33" i="288"/>
  <c r="AB33" i="288"/>
  <c r="AI33" i="288" s="1"/>
  <c r="AS33" i="288" s="1"/>
  <c r="AX35" i="288"/>
  <c r="AZ35" i="288"/>
  <c r="AB53" i="288"/>
  <c r="AI53" i="288" s="1"/>
  <c r="AS53" i="288" s="1"/>
  <c r="AG53" i="288"/>
  <c r="AH53" i="288" s="1"/>
  <c r="AA53" i="288"/>
  <c r="AG68" i="288"/>
  <c r="AH68" i="288" s="1"/>
  <c r="AA68" i="288"/>
  <c r="AB68" i="288"/>
  <c r="AI68" i="288" s="1"/>
  <c r="AS68" i="288" s="1"/>
  <c r="AG84" i="288"/>
  <c r="AH84" i="288" s="1"/>
  <c r="AA84" i="288"/>
  <c r="AB84" i="288"/>
  <c r="AI84" i="288" s="1"/>
  <c r="AS84" i="288" s="1"/>
  <c r="AB109" i="288"/>
  <c r="AI109" i="288" s="1"/>
  <c r="AS109" i="288" s="1"/>
  <c r="AA109" i="288"/>
  <c r="AG109" i="288"/>
  <c r="AH109" i="288" s="1"/>
  <c r="AB119" i="288"/>
  <c r="AI119" i="288" s="1"/>
  <c r="AS119" i="288" s="1"/>
  <c r="AA119" i="288"/>
  <c r="AG119" i="288"/>
  <c r="AH119" i="288" s="1"/>
  <c r="AB123" i="288"/>
  <c r="AA123" i="288"/>
  <c r="AG123" i="288"/>
  <c r="AH123" i="288" s="1"/>
  <c r="AA148" i="289"/>
  <c r="AB148" i="289"/>
  <c r="AH148" i="289"/>
  <c r="AI148" i="289" s="1"/>
  <c r="AS12" i="288"/>
  <c r="AB34" i="288"/>
  <c r="AG34" i="288"/>
  <c r="AH34" i="288" s="1"/>
  <c r="AA34" i="288"/>
  <c r="AA50" i="288"/>
  <c r="AB50" i="288"/>
  <c r="AG50" i="288"/>
  <c r="AH50" i="288" s="1"/>
  <c r="AI57" i="288"/>
  <c r="AI65" i="288"/>
  <c r="AI73" i="288"/>
  <c r="AI81" i="288"/>
  <c r="AI89" i="288"/>
  <c r="AI97" i="288"/>
  <c r="AA13" i="288"/>
  <c r="AB13" i="288"/>
  <c r="AI13" i="288" s="1"/>
  <c r="AS13" i="288" s="1"/>
  <c r="AG13" i="288"/>
  <c r="AH13" i="288" s="1"/>
  <c r="AN31" i="288"/>
  <c r="AP31" i="288"/>
  <c r="AN39" i="288"/>
  <c r="AP39" i="288"/>
  <c r="AN47" i="288"/>
  <c r="AP47" i="288"/>
  <c r="AG62" i="288"/>
  <c r="AH62" i="288" s="1"/>
  <c r="AA62" i="288"/>
  <c r="AB62" i="288"/>
  <c r="AG70" i="288"/>
  <c r="AH70" i="288" s="1"/>
  <c r="AA70" i="288"/>
  <c r="AB70" i="288"/>
  <c r="AI70" i="288" s="1"/>
  <c r="AS70" i="288" s="1"/>
  <c r="AG78" i="288"/>
  <c r="AH78" i="288" s="1"/>
  <c r="AA78" i="288"/>
  <c r="AB78" i="288"/>
  <c r="AI78" i="288" s="1"/>
  <c r="AS78" i="288" s="1"/>
  <c r="AG86" i="288"/>
  <c r="AH86" i="288" s="1"/>
  <c r="AA86" i="288"/>
  <c r="AB86" i="288"/>
  <c r="AG94" i="288"/>
  <c r="AH94" i="288" s="1"/>
  <c r="AA94" i="288"/>
  <c r="AB94" i="288"/>
  <c r="AB103" i="288"/>
  <c r="AA103" i="288"/>
  <c r="AG103" i="288"/>
  <c r="AH103" i="288" s="1"/>
  <c r="AB127" i="288"/>
  <c r="AA127" i="288"/>
  <c r="AG127" i="288"/>
  <c r="AH127" i="288" s="1"/>
  <c r="AM148" i="288"/>
  <c r="AJ100" i="289"/>
  <c r="AX100" i="289" s="1"/>
  <c r="BB100" i="289" s="1"/>
  <c r="BD100" i="289" s="1"/>
  <c r="AJ116" i="289"/>
  <c r="AX116" i="289" s="1"/>
  <c r="BB116" i="289" s="1"/>
  <c r="BD116" i="289" s="1"/>
  <c r="AJ132" i="289"/>
  <c r="AX132" i="289" s="1"/>
  <c r="BB132" i="289" s="1"/>
  <c r="BD132" i="289" s="1"/>
  <c r="AA140" i="289"/>
  <c r="AB140" i="289"/>
  <c r="AH140" i="289"/>
  <c r="AI140" i="289" s="1"/>
  <c r="AG19" i="288"/>
  <c r="AH19" i="288" s="1"/>
  <c r="AA19" i="288"/>
  <c r="AB19" i="288"/>
  <c r="AB46" i="288"/>
  <c r="AG46" i="288"/>
  <c r="AH46" i="288" s="1"/>
  <c r="AA46" i="288"/>
  <c r="AX55" i="288"/>
  <c r="AZ55" i="288"/>
  <c r="AX71" i="288"/>
  <c r="AZ71" i="288"/>
  <c r="AX87" i="288"/>
  <c r="AZ87" i="288"/>
  <c r="AZ130" i="288"/>
  <c r="AX130" i="288"/>
  <c r="AU36" i="290"/>
  <c r="AX36" i="290"/>
  <c r="AZ36" i="290" s="1"/>
  <c r="AA54" i="290"/>
  <c r="AB54" i="290"/>
  <c r="AI54" i="290" s="1"/>
  <c r="AV54" i="290" s="1"/>
  <c r="AG54" i="290"/>
  <c r="AH54" i="290" s="1"/>
  <c r="AA70" i="290"/>
  <c r="AB70" i="290"/>
  <c r="AI70" i="290" s="1"/>
  <c r="AV70" i="290" s="1"/>
  <c r="AG70" i="290"/>
  <c r="AH70" i="290" s="1"/>
  <c r="AZ110" i="288"/>
  <c r="AX110" i="288"/>
  <c r="AO95" i="290"/>
  <c r="AP13" i="290"/>
  <c r="AQ13" i="290" s="1"/>
  <c r="AO13" i="290"/>
  <c r="AI16" i="290"/>
  <c r="AV16" i="290" s="1"/>
  <c r="AI20" i="290"/>
  <c r="AV20" i="290" s="1"/>
  <c r="AI24" i="290"/>
  <c r="AV24" i="290" s="1"/>
  <c r="AI28" i="290"/>
  <c r="AV28" i="290" s="1"/>
  <c r="AX42" i="290"/>
  <c r="AZ42" i="290" s="1"/>
  <c r="AU42" i="290"/>
  <c r="AA49" i="290"/>
  <c r="AB49" i="290"/>
  <c r="AG49" i="290"/>
  <c r="AH49" i="290" s="1"/>
  <c r="AN95" i="290"/>
  <c r="AG138" i="288"/>
  <c r="AH138" i="288" s="1"/>
  <c r="AB138" i="288"/>
  <c r="AA138" i="288"/>
  <c r="AB141" i="288"/>
  <c r="AI141" i="288" s="1"/>
  <c r="AS141" i="288" s="1"/>
  <c r="AG141" i="288"/>
  <c r="AH141" i="288" s="1"/>
  <c r="AA141" i="288"/>
  <c r="AB145" i="288"/>
  <c r="AG145" i="288"/>
  <c r="AH145" i="288" s="1"/>
  <c r="AA145" i="288"/>
  <c r="AG74" i="290"/>
  <c r="AH74" i="290" s="1"/>
  <c r="AA74" i="290"/>
  <c r="AB74" i="290"/>
  <c r="AI74" i="290" s="1"/>
  <c r="AV74" i="290" s="1"/>
  <c r="AG90" i="290"/>
  <c r="AH90" i="290" s="1"/>
  <c r="AA90" i="290"/>
  <c r="AB90" i="290"/>
  <c r="AA61" i="290"/>
  <c r="AB61" i="290"/>
  <c r="AI61" i="290" s="1"/>
  <c r="AV61" i="290" s="1"/>
  <c r="AG61" i="290"/>
  <c r="AH61" i="290" s="1"/>
  <c r="AI64" i="290"/>
  <c r="AV64" i="290" s="1"/>
  <c r="AG77" i="297"/>
  <c r="AH77" i="297" s="1"/>
  <c r="AB77" i="297"/>
  <c r="AB21" i="269"/>
  <c r="I20" i="301"/>
  <c r="J20" i="301" s="1"/>
  <c r="M20" i="301" s="1"/>
  <c r="AA57" i="290"/>
  <c r="AB57" i="290"/>
  <c r="AI57" i="290" s="1"/>
  <c r="AV57" i="290" s="1"/>
  <c r="AG57" i="290"/>
  <c r="AH57" i="290" s="1"/>
  <c r="AV60" i="290"/>
  <c r="AB49" i="297"/>
  <c r="AI49" i="297" s="1"/>
  <c r="AV49" i="297" s="1"/>
  <c r="AW49" i="297" s="1"/>
  <c r="AY49" i="297" s="1"/>
  <c r="AG49" i="297"/>
  <c r="AH49" i="297" s="1"/>
  <c r="AB67" i="297"/>
  <c r="AG67" i="297"/>
  <c r="AH67" i="297" s="1"/>
  <c r="AB97" i="297"/>
  <c r="AI97" i="297" s="1"/>
  <c r="AG97" i="297"/>
  <c r="AH97" i="297" s="1"/>
  <c r="I29" i="301"/>
  <c r="J29" i="301" s="1"/>
  <c r="M29" i="301" s="1"/>
  <c r="AB30" i="269"/>
  <c r="I52" i="301"/>
  <c r="J52" i="301" s="1"/>
  <c r="M52" i="301" s="1"/>
  <c r="AB53" i="269"/>
  <c r="AB10" i="297"/>
  <c r="AG10" i="297"/>
  <c r="Z107" i="297"/>
  <c r="AF12" i="297"/>
  <c r="AF107" i="297" s="1"/>
  <c r="AE107" i="297"/>
  <c r="AB17" i="297"/>
  <c r="AG17" i="297"/>
  <c r="AH17" i="297" s="1"/>
  <c r="AG73" i="297"/>
  <c r="AH73" i="297" s="1"/>
  <c r="AB73" i="297"/>
  <c r="AI73" i="297" s="1"/>
  <c r="AV73" i="297" s="1"/>
  <c r="AW73" i="297" s="1"/>
  <c r="AY73" i="297" s="1"/>
  <c r="AG75" i="290"/>
  <c r="AH75" i="290" s="1"/>
  <c r="AA75" i="290"/>
  <c r="AB75" i="290"/>
  <c r="AI78" i="297"/>
  <c r="AV78" i="297" s="1"/>
  <c r="AW78" i="297" s="1"/>
  <c r="AY78" i="297" s="1"/>
  <c r="AV103" i="297"/>
  <c r="AW103" i="297" s="1"/>
  <c r="AY103" i="297" s="1"/>
  <c r="AB29" i="269"/>
  <c r="I28" i="301"/>
  <c r="J28" i="301" s="1"/>
  <c r="M28" i="301" s="1"/>
  <c r="I57" i="301"/>
  <c r="J57" i="301" s="1"/>
  <c r="M57" i="301" s="1"/>
  <c r="AB58" i="269"/>
  <c r="I73" i="301"/>
  <c r="J73" i="301" s="1"/>
  <c r="M73" i="301" s="1"/>
  <c r="AB74" i="269"/>
  <c r="I89" i="301"/>
  <c r="J89" i="301" s="1"/>
  <c r="M89" i="301" s="1"/>
  <c r="AB90" i="269"/>
  <c r="I105" i="301"/>
  <c r="J105" i="301" s="1"/>
  <c r="M105" i="301" s="1"/>
  <c r="AB106" i="269"/>
  <c r="I121" i="301"/>
  <c r="J121" i="301" s="1"/>
  <c r="M121" i="301" s="1"/>
  <c r="AB122" i="269"/>
  <c r="I137" i="301"/>
  <c r="J137" i="301" s="1"/>
  <c r="M137" i="301" s="1"/>
  <c r="AB138" i="269"/>
  <c r="AB210" i="269"/>
  <c r="I209" i="301"/>
  <c r="J209" i="301" s="1"/>
  <c r="M209" i="301" s="1"/>
  <c r="I229" i="301"/>
  <c r="J229" i="301" s="1"/>
  <c r="M229" i="301" s="1"/>
  <c r="AB230" i="269"/>
  <c r="I245" i="301"/>
  <c r="J245" i="301" s="1"/>
  <c r="M245" i="301" s="1"/>
  <c r="AB246" i="269"/>
  <c r="I261" i="301"/>
  <c r="J261" i="301" s="1"/>
  <c r="M261" i="301" s="1"/>
  <c r="AB262" i="269"/>
  <c r="AN76" i="297"/>
  <c r="AO76" i="297" s="1"/>
  <c r="AQ76" i="297"/>
  <c r="AG98" i="297"/>
  <c r="AH98" i="297" s="1"/>
  <c r="AB98" i="297"/>
  <c r="AB40" i="269"/>
  <c r="I39" i="301"/>
  <c r="J39" i="301" s="1"/>
  <c r="M39" i="301" s="1"/>
  <c r="O50" i="301"/>
  <c r="P50" i="301" s="1"/>
  <c r="Q50" i="301"/>
  <c r="I55" i="301"/>
  <c r="J55" i="301" s="1"/>
  <c r="M55" i="301" s="1"/>
  <c r="AB56" i="269"/>
  <c r="I72" i="301"/>
  <c r="J72" i="301" s="1"/>
  <c r="M72" i="301" s="1"/>
  <c r="AB73" i="269"/>
  <c r="I88" i="301"/>
  <c r="J88" i="301" s="1"/>
  <c r="M88" i="301" s="1"/>
  <c r="AB89" i="269"/>
  <c r="I104" i="301"/>
  <c r="J104" i="301" s="1"/>
  <c r="M104" i="301" s="1"/>
  <c r="AB105" i="269"/>
  <c r="I120" i="301"/>
  <c r="J120" i="301" s="1"/>
  <c r="M120" i="301" s="1"/>
  <c r="AB121" i="269"/>
  <c r="I136" i="301"/>
  <c r="J136" i="301" s="1"/>
  <c r="M136" i="301" s="1"/>
  <c r="AB137" i="269"/>
  <c r="AB203" i="269"/>
  <c r="I202" i="301"/>
  <c r="J202" i="301" s="1"/>
  <c r="M202" i="301" s="1"/>
  <c r="I216" i="301"/>
  <c r="J216" i="301" s="1"/>
  <c r="M216" i="301" s="1"/>
  <c r="AB217" i="269"/>
  <c r="AB344" i="269"/>
  <c r="I343" i="301"/>
  <c r="J343" i="301" s="1"/>
  <c r="M343" i="301" s="1"/>
  <c r="AB364" i="269"/>
  <c r="I363" i="301"/>
  <c r="J363" i="301" s="1"/>
  <c r="M363" i="301" s="1"/>
  <c r="AB372" i="269"/>
  <c r="I371" i="301"/>
  <c r="J371" i="301" s="1"/>
  <c r="M371" i="301" s="1"/>
  <c r="AB380" i="269"/>
  <c r="I379" i="301"/>
  <c r="J379" i="301" s="1"/>
  <c r="M379" i="301" s="1"/>
  <c r="AB388" i="269"/>
  <c r="I387" i="301"/>
  <c r="J387" i="301" s="1"/>
  <c r="M387" i="301" s="1"/>
  <c r="AB396" i="269"/>
  <c r="I395" i="301"/>
  <c r="J395" i="301" s="1"/>
  <c r="M395" i="301" s="1"/>
  <c r="AG87" i="290"/>
  <c r="AH87" i="290" s="1"/>
  <c r="AA87" i="290"/>
  <c r="AB87" i="290"/>
  <c r="AI87" i="290" s="1"/>
  <c r="AV87" i="290" s="1"/>
  <c r="I108" i="297"/>
  <c r="I110" i="297"/>
  <c r="AB100" i="297"/>
  <c r="AI100" i="297" s="1"/>
  <c r="AV100" i="297" s="1"/>
  <c r="AW100" i="297" s="1"/>
  <c r="AY100" i="297" s="1"/>
  <c r="AG100" i="297"/>
  <c r="AH100" i="297" s="1"/>
  <c r="AB68" i="269"/>
  <c r="I67" i="301"/>
  <c r="J67" i="301" s="1"/>
  <c r="M67" i="301" s="1"/>
  <c r="AB84" i="269"/>
  <c r="I83" i="301"/>
  <c r="J83" i="301" s="1"/>
  <c r="M83" i="301" s="1"/>
  <c r="AB100" i="269"/>
  <c r="I99" i="301"/>
  <c r="J99" i="301" s="1"/>
  <c r="M99" i="301" s="1"/>
  <c r="AB116" i="269"/>
  <c r="I115" i="301"/>
  <c r="J115" i="301" s="1"/>
  <c r="M115" i="301" s="1"/>
  <c r="AB132" i="269"/>
  <c r="I131" i="301"/>
  <c r="J131" i="301" s="1"/>
  <c r="M131" i="301" s="1"/>
  <c r="AB187" i="269"/>
  <c r="I186" i="301"/>
  <c r="J186" i="301" s="1"/>
  <c r="M186" i="301" s="1"/>
  <c r="I199" i="301"/>
  <c r="J199" i="301" s="1"/>
  <c r="M199" i="301" s="1"/>
  <c r="AB200" i="269"/>
  <c r="I221" i="301"/>
  <c r="J221" i="301" s="1"/>
  <c r="M221" i="301" s="1"/>
  <c r="AB222" i="269"/>
  <c r="AB242" i="269"/>
  <c r="I241" i="301"/>
  <c r="J241" i="301" s="1"/>
  <c r="M241" i="301" s="1"/>
  <c r="AB258" i="269"/>
  <c r="I257" i="301"/>
  <c r="J257" i="301" s="1"/>
  <c r="M257" i="301" s="1"/>
  <c r="AB310" i="269"/>
  <c r="I309" i="301"/>
  <c r="J309" i="301" s="1"/>
  <c r="M309" i="301" s="1"/>
  <c r="AB402" i="269"/>
  <c r="I401" i="301"/>
  <c r="J401" i="301" s="1"/>
  <c r="M401" i="301" s="1"/>
  <c r="K110" i="297"/>
  <c r="K108" i="297"/>
  <c r="AP107" i="297"/>
  <c r="AV96" i="297"/>
  <c r="AW96" i="297" s="1"/>
  <c r="AY96" i="297" s="1"/>
  <c r="Q44" i="301"/>
  <c r="U44" i="301" s="1"/>
  <c r="O44" i="301"/>
  <c r="P44" i="301" s="1"/>
  <c r="AB57" i="269"/>
  <c r="I56" i="301"/>
  <c r="J56" i="301" s="1"/>
  <c r="M56" i="301" s="1"/>
  <c r="I110" i="301"/>
  <c r="J110" i="301" s="1"/>
  <c r="M110" i="301" s="1"/>
  <c r="AB111" i="269"/>
  <c r="Q169" i="301"/>
  <c r="O169" i="301"/>
  <c r="P169" i="301" s="1"/>
  <c r="AB184" i="269"/>
  <c r="I183" i="301"/>
  <c r="J183" i="301" s="1"/>
  <c r="M183" i="301" s="1"/>
  <c r="AB220" i="269"/>
  <c r="I219" i="301"/>
  <c r="J219" i="301" s="1"/>
  <c r="M219" i="301" s="1"/>
  <c r="AB463" i="269"/>
  <c r="I462" i="301"/>
  <c r="J462" i="301" s="1"/>
  <c r="M462" i="301" s="1"/>
  <c r="AB499" i="269"/>
  <c r="I498" i="301"/>
  <c r="J498" i="301" s="1"/>
  <c r="M498" i="301" s="1"/>
  <c r="O439" i="301"/>
  <c r="P439" i="301" s="1"/>
  <c r="Q439" i="301"/>
  <c r="AB198" i="269"/>
  <c r="I197" i="301"/>
  <c r="J197" i="301" s="1"/>
  <c r="M197" i="301" s="1"/>
  <c r="O53" i="301"/>
  <c r="P53" i="301" s="1"/>
  <c r="Q53" i="301"/>
  <c r="U53" i="301" s="1"/>
  <c r="AB99" i="269"/>
  <c r="I98" i="301"/>
  <c r="J98" i="301" s="1"/>
  <c r="M98" i="301" s="1"/>
  <c r="I141" i="301"/>
  <c r="J141" i="301" s="1"/>
  <c r="M141" i="301" s="1"/>
  <c r="AB142" i="269"/>
  <c r="O181" i="301"/>
  <c r="P181" i="301" s="1"/>
  <c r="Q181" i="301"/>
  <c r="AB260" i="269"/>
  <c r="I259" i="301"/>
  <c r="J259" i="301" s="1"/>
  <c r="M259" i="301" s="1"/>
  <c r="AB363" i="269"/>
  <c r="I362" i="301"/>
  <c r="J362" i="301" s="1"/>
  <c r="M362" i="301" s="1"/>
  <c r="AB383" i="269"/>
  <c r="I382" i="301"/>
  <c r="J382" i="301" s="1"/>
  <c r="M382" i="301" s="1"/>
  <c r="AB433" i="269"/>
  <c r="I432" i="301"/>
  <c r="J432" i="301" s="1"/>
  <c r="M432" i="301" s="1"/>
  <c r="AV33" i="297"/>
  <c r="AW33" i="297" s="1"/>
  <c r="AY33" i="297" s="1"/>
  <c r="I19" i="301"/>
  <c r="J19" i="301" s="1"/>
  <c r="M19" i="301" s="1"/>
  <c r="AB20" i="269"/>
  <c r="AB27" i="269"/>
  <c r="I26" i="301"/>
  <c r="J26" i="301" s="1"/>
  <c r="M26" i="301" s="1"/>
  <c r="AB107" i="269"/>
  <c r="I106" i="301"/>
  <c r="J106" i="301" s="1"/>
  <c r="M106" i="301" s="1"/>
  <c r="AB395" i="269"/>
  <c r="I394" i="301"/>
  <c r="J394" i="301" s="1"/>
  <c r="M394" i="301" s="1"/>
  <c r="O48" i="301"/>
  <c r="P48" i="301" s="1"/>
  <c r="Q48" i="301"/>
  <c r="U48" i="301" s="1"/>
  <c r="I51" i="301"/>
  <c r="J51" i="301" s="1"/>
  <c r="M51" i="301" s="1"/>
  <c r="AB52" i="269"/>
  <c r="I118" i="301"/>
  <c r="J118" i="301" s="1"/>
  <c r="M118" i="301" s="1"/>
  <c r="AB119" i="269"/>
  <c r="AB268" i="269"/>
  <c r="I267" i="301"/>
  <c r="J267" i="301" s="1"/>
  <c r="M267" i="301" s="1"/>
  <c r="I313" i="301"/>
  <c r="J313" i="301" s="1"/>
  <c r="M313" i="301" s="1"/>
  <c r="AB314" i="269"/>
  <c r="AB390" i="269"/>
  <c r="I389" i="301"/>
  <c r="J389" i="301" s="1"/>
  <c r="M389" i="301" s="1"/>
  <c r="AB478" i="269"/>
  <c r="I477" i="301"/>
  <c r="J477" i="301" s="1"/>
  <c r="M477" i="301" s="1"/>
  <c r="I148" i="301"/>
  <c r="J148" i="301" s="1"/>
  <c r="M148" i="301" s="1"/>
  <c r="AB149" i="269"/>
  <c r="AB180" i="269"/>
  <c r="I179" i="301"/>
  <c r="J179" i="301" s="1"/>
  <c r="M179" i="301" s="1"/>
  <c r="AO278" i="318"/>
  <c r="AP278" i="318"/>
  <c r="H283" i="269" s="1"/>
  <c r="I283" i="269" s="1"/>
  <c r="X283" i="269" s="1"/>
  <c r="AP310" i="318"/>
  <c r="H315" i="269" s="1"/>
  <c r="I315" i="269" s="1"/>
  <c r="X315" i="269" s="1"/>
  <c r="AO310" i="318"/>
  <c r="AB325" i="269"/>
  <c r="I324" i="301"/>
  <c r="J324" i="301" s="1"/>
  <c r="M324" i="301" s="1"/>
  <c r="AB204" i="269"/>
  <c r="I203" i="301"/>
  <c r="J203" i="301" s="1"/>
  <c r="M203" i="301" s="1"/>
  <c r="AP281" i="318"/>
  <c r="H286" i="269" s="1"/>
  <c r="I286" i="269" s="1"/>
  <c r="X286" i="269" s="1"/>
  <c r="AO281" i="318"/>
  <c r="AP287" i="318"/>
  <c r="H292" i="269" s="1"/>
  <c r="I292" i="269" s="1"/>
  <c r="X292" i="269" s="1"/>
  <c r="AO287" i="318"/>
  <c r="H320" i="269"/>
  <c r="I320" i="269" s="1"/>
  <c r="AS325" i="318"/>
  <c r="H328" i="269" s="1"/>
  <c r="I328" i="269" s="1"/>
  <c r="X328" i="269" s="1"/>
  <c r="AR325" i="318"/>
  <c r="AS329" i="318"/>
  <c r="H332" i="269" s="1"/>
  <c r="I332" i="269" s="1"/>
  <c r="X332" i="269" s="1"/>
  <c r="AR329" i="318"/>
  <c r="AS333" i="318"/>
  <c r="H336" i="269" s="1"/>
  <c r="I336" i="269" s="1"/>
  <c r="X336" i="269" s="1"/>
  <c r="AR333" i="318"/>
  <c r="AB353" i="269"/>
  <c r="I352" i="301"/>
  <c r="J352" i="301" s="1"/>
  <c r="M352" i="301" s="1"/>
  <c r="AB357" i="269"/>
  <c r="I356" i="301"/>
  <c r="J356" i="301" s="1"/>
  <c r="M356" i="301" s="1"/>
  <c r="AB361" i="269"/>
  <c r="I360" i="301"/>
  <c r="J360" i="301" s="1"/>
  <c r="M360" i="301" s="1"/>
  <c r="I152" i="301"/>
  <c r="J152" i="301" s="1"/>
  <c r="M152" i="301" s="1"/>
  <c r="AB153" i="269"/>
  <c r="I180" i="301"/>
  <c r="J180" i="301" s="1"/>
  <c r="M180" i="301" s="1"/>
  <c r="AB181" i="269"/>
  <c r="I207" i="301"/>
  <c r="J207" i="301" s="1"/>
  <c r="M207" i="301" s="1"/>
  <c r="AB208" i="269"/>
  <c r="AM266" i="318"/>
  <c r="AG510" i="318" s="1"/>
  <c r="AO267" i="318"/>
  <c r="AP267" i="318"/>
  <c r="AB343" i="269"/>
  <c r="I342" i="301"/>
  <c r="J342" i="301" s="1"/>
  <c r="M342" i="301" s="1"/>
  <c r="AE402" i="318"/>
  <c r="AP277" i="318"/>
  <c r="H282" i="269" s="1"/>
  <c r="I282" i="269" s="1"/>
  <c r="X282" i="269" s="1"/>
  <c r="AO277" i="318"/>
  <c r="AO286" i="318"/>
  <c r="AP286" i="318"/>
  <c r="H291" i="269" s="1"/>
  <c r="I291" i="269" s="1"/>
  <c r="X291" i="269" s="1"/>
  <c r="AP293" i="318"/>
  <c r="H298" i="269" s="1"/>
  <c r="I298" i="269" s="1"/>
  <c r="X298" i="269" s="1"/>
  <c r="AO293" i="318"/>
  <c r="AB302" i="269"/>
  <c r="I301" i="301"/>
  <c r="J301" i="301" s="1"/>
  <c r="M301" i="301" s="1"/>
  <c r="AR331" i="318"/>
  <c r="AS331" i="318"/>
  <c r="H334" i="269" s="1"/>
  <c r="I334" i="269" s="1"/>
  <c r="X334" i="269" s="1"/>
  <c r="I384" i="301"/>
  <c r="J384" i="301" s="1"/>
  <c r="M384" i="301" s="1"/>
  <c r="AB385" i="269"/>
  <c r="AB393" i="269"/>
  <c r="I392" i="301"/>
  <c r="J392" i="301" s="1"/>
  <c r="M392" i="301" s="1"/>
  <c r="I284" i="301"/>
  <c r="J284" i="301" s="1"/>
  <c r="M284" i="301" s="1"/>
  <c r="AB285" i="269"/>
  <c r="J404" i="269"/>
  <c r="K404" i="269" s="1"/>
  <c r="X404" i="269" s="1"/>
  <c r="AB414" i="269"/>
  <c r="I413" i="301"/>
  <c r="J413" i="301" s="1"/>
  <c r="M413" i="301" s="1"/>
  <c r="AB437" i="269"/>
  <c r="I436" i="301"/>
  <c r="J436" i="301" s="1"/>
  <c r="M436" i="301" s="1"/>
  <c r="AS342" i="318"/>
  <c r="H345" i="269" s="1"/>
  <c r="I345" i="269" s="1"/>
  <c r="X345" i="269" s="1"/>
  <c r="AR342" i="318"/>
  <c r="AO406" i="318"/>
  <c r="AS406" i="318"/>
  <c r="J407" i="269" s="1"/>
  <c r="K407" i="269" s="1"/>
  <c r="X407" i="269" s="1"/>
  <c r="I448" i="301"/>
  <c r="J448" i="301" s="1"/>
  <c r="M448" i="301" s="1"/>
  <c r="AB449" i="269"/>
  <c r="AB456" i="269"/>
  <c r="I455" i="301"/>
  <c r="J455" i="301" s="1"/>
  <c r="M455" i="301" s="1"/>
  <c r="AS471" i="318"/>
  <c r="J472" i="269" s="1"/>
  <c r="K472" i="269" s="1"/>
  <c r="X472" i="269" s="1"/>
  <c r="AR471" i="318"/>
  <c r="AR479" i="318"/>
  <c r="AS479" i="318"/>
  <c r="J480" i="269" s="1"/>
  <c r="K480" i="269" s="1"/>
  <c r="X480" i="269" s="1"/>
  <c r="AB355" i="269"/>
  <c r="I354" i="301"/>
  <c r="J354" i="301" s="1"/>
  <c r="M354" i="301" s="1"/>
  <c r="W499" i="318"/>
  <c r="AB444" i="269"/>
  <c r="I443" i="301"/>
  <c r="J443" i="301" s="1"/>
  <c r="M443" i="301" s="1"/>
  <c r="AB497" i="269"/>
  <c r="I496" i="301"/>
  <c r="J496" i="301" s="1"/>
  <c r="M496" i="301" s="1"/>
  <c r="AH22" i="289"/>
  <c r="AI22" i="289" s="1"/>
  <c r="AA22" i="289"/>
  <c r="AB22" i="289"/>
  <c r="AJ22" i="289" s="1"/>
  <c r="AX22" i="289" s="1"/>
  <c r="BB22" i="289" s="1"/>
  <c r="BD22" i="289" s="1"/>
  <c r="AB39" i="289"/>
  <c r="AJ39" i="289" s="1"/>
  <c r="AX39" i="289" s="1"/>
  <c r="BB39" i="289" s="1"/>
  <c r="BD39" i="289" s="1"/>
  <c r="AH39" i="289"/>
  <c r="AI39" i="289" s="1"/>
  <c r="AA39" i="289"/>
  <c r="AH70" i="289"/>
  <c r="AI70" i="289" s="1"/>
  <c r="AA70" i="289"/>
  <c r="AB70" i="289"/>
  <c r="AB79" i="289"/>
  <c r="AH79" i="289"/>
  <c r="AI79" i="289" s="1"/>
  <c r="AA79" i="289"/>
  <c r="AB481" i="269"/>
  <c r="I480" i="301"/>
  <c r="J480" i="301" s="1"/>
  <c r="M480" i="301" s="1"/>
  <c r="AB496" i="269"/>
  <c r="I495" i="301"/>
  <c r="J495" i="301" s="1"/>
  <c r="M495" i="301" s="1"/>
  <c r="AH26" i="289"/>
  <c r="AI26" i="289" s="1"/>
  <c r="AA26" i="289"/>
  <c r="AB26" i="289"/>
  <c r="AJ26" i="289" s="1"/>
  <c r="AX26" i="289" s="1"/>
  <c r="BB26" i="289" s="1"/>
  <c r="BD26" i="289" s="1"/>
  <c r="AH41" i="289"/>
  <c r="AI41" i="289" s="1"/>
  <c r="AA41" i="289"/>
  <c r="AB41" i="289"/>
  <c r="AH50" i="289"/>
  <c r="AI50" i="289" s="1"/>
  <c r="AA50" i="289"/>
  <c r="AB50" i="289"/>
  <c r="AH72" i="289"/>
  <c r="AI72" i="289" s="1"/>
  <c r="AA72" i="289"/>
  <c r="AB72" i="289"/>
  <c r="AJ72" i="289" s="1"/>
  <c r="AX72" i="289" s="1"/>
  <c r="BB72" i="289" s="1"/>
  <c r="BD72" i="289" s="1"/>
  <c r="AB81" i="289"/>
  <c r="AJ81" i="289" s="1"/>
  <c r="AX81" i="289" s="1"/>
  <c r="BB81" i="289" s="1"/>
  <c r="BD81" i="289" s="1"/>
  <c r="AH81" i="289"/>
  <c r="AI81" i="289" s="1"/>
  <c r="AA81" i="289"/>
  <c r="I143" i="301"/>
  <c r="J143" i="301" s="1"/>
  <c r="M143" i="301" s="1"/>
  <c r="AB144" i="269"/>
  <c r="AB489" i="269"/>
  <c r="I488" i="301"/>
  <c r="J488" i="301" s="1"/>
  <c r="M488" i="301" s="1"/>
  <c r="AH30" i="289"/>
  <c r="AI30" i="289" s="1"/>
  <c r="AA30" i="289"/>
  <c r="AB30" i="289"/>
  <c r="AH74" i="289"/>
  <c r="AI74" i="289" s="1"/>
  <c r="AA74" i="289"/>
  <c r="AB74" i="289"/>
  <c r="AB83" i="289"/>
  <c r="AH83" i="289"/>
  <c r="AI83" i="289" s="1"/>
  <c r="AA83" i="289"/>
  <c r="AH119" i="289"/>
  <c r="AI119" i="289" s="1"/>
  <c r="AA119" i="289"/>
  <c r="AB119" i="289"/>
  <c r="AJ119" i="289" s="1"/>
  <c r="AX119" i="289" s="1"/>
  <c r="BB119" i="289" s="1"/>
  <c r="BD119" i="289" s="1"/>
  <c r="AB18" i="288"/>
  <c r="AI18" i="288" s="1"/>
  <c r="AS18" i="288" s="1"/>
  <c r="AG18" i="288"/>
  <c r="AH18" i="288" s="1"/>
  <c r="AA18" i="288"/>
  <c r="AH105" i="289"/>
  <c r="AI105" i="289" s="1"/>
  <c r="AA105" i="289"/>
  <c r="AB105" i="289"/>
  <c r="AH147" i="289"/>
  <c r="AI147" i="289" s="1"/>
  <c r="AA147" i="289"/>
  <c r="AB147" i="289"/>
  <c r="AJ147" i="289" s="1"/>
  <c r="AX147" i="289" s="1"/>
  <c r="BB147" i="289" s="1"/>
  <c r="BD147" i="289" s="1"/>
  <c r="AH55" i="289"/>
  <c r="AI55" i="289" s="1"/>
  <c r="AA55" i="289"/>
  <c r="AB55" i="289"/>
  <c r="AJ55" i="289" s="1"/>
  <c r="AX55" i="289" s="1"/>
  <c r="BB55" i="289" s="1"/>
  <c r="BD55" i="289" s="1"/>
  <c r="AB69" i="289"/>
  <c r="AJ69" i="289" s="1"/>
  <c r="AX69" i="289" s="1"/>
  <c r="BB69" i="289" s="1"/>
  <c r="BD69" i="289" s="1"/>
  <c r="AH69" i="289"/>
  <c r="AI69" i="289" s="1"/>
  <c r="AA69" i="289"/>
  <c r="AT89" i="289"/>
  <c r="AT178" i="289" s="1"/>
  <c r="AS178" i="289"/>
  <c r="AH107" i="289"/>
  <c r="AI107" i="289" s="1"/>
  <c r="AA107" i="289"/>
  <c r="AB107" i="289"/>
  <c r="AJ107" i="289" s="1"/>
  <c r="AX107" i="289" s="1"/>
  <c r="BB107" i="289" s="1"/>
  <c r="BD107" i="289" s="1"/>
  <c r="AA22" i="288"/>
  <c r="AB22" i="288"/>
  <c r="AI22" i="288" s="1"/>
  <c r="AS22" i="288" s="1"/>
  <c r="AG22" i="288"/>
  <c r="AH22" i="288" s="1"/>
  <c r="AH149" i="289"/>
  <c r="AI149" i="289" s="1"/>
  <c r="AA149" i="289"/>
  <c r="AB149" i="289"/>
  <c r="AX23" i="288"/>
  <c r="AZ23" i="288"/>
  <c r="AS25" i="288"/>
  <c r="AG41" i="288"/>
  <c r="AH41" i="288" s="1"/>
  <c r="AA41" i="288"/>
  <c r="AB41" i="288"/>
  <c r="AI41" i="288" s="1"/>
  <c r="AS41" i="288" s="1"/>
  <c r="AX43" i="288"/>
  <c r="AZ43" i="288"/>
  <c r="AG56" i="288"/>
  <c r="AH56" i="288" s="1"/>
  <c r="AA56" i="288"/>
  <c r="AB56" i="288"/>
  <c r="AI56" i="288" s="1"/>
  <c r="AS56" i="288" s="1"/>
  <c r="AG72" i="288"/>
  <c r="AH72" i="288" s="1"/>
  <c r="AA72" i="288"/>
  <c r="AB72" i="288"/>
  <c r="AI72" i="288" s="1"/>
  <c r="AS72" i="288" s="1"/>
  <c r="AG88" i="288"/>
  <c r="AH88" i="288" s="1"/>
  <c r="AA88" i="288"/>
  <c r="AB88" i="288"/>
  <c r="AB113" i="288"/>
  <c r="AI113" i="288" s="1"/>
  <c r="AS113" i="288" s="1"/>
  <c r="AA113" i="288"/>
  <c r="AG113" i="288"/>
  <c r="AH113" i="288" s="1"/>
  <c r="AB120" i="288"/>
  <c r="AA120" i="288"/>
  <c r="AG120" i="288"/>
  <c r="AH120" i="288" s="1"/>
  <c r="AB124" i="288"/>
  <c r="AA124" i="288"/>
  <c r="AG124" i="288"/>
  <c r="AH124" i="288" s="1"/>
  <c r="AG11" i="288"/>
  <c r="AH11" i="288" s="1"/>
  <c r="AA11" i="288"/>
  <c r="AB11" i="288"/>
  <c r="AA40" i="288"/>
  <c r="AB40" i="288"/>
  <c r="AI40" i="288" s="1"/>
  <c r="AS40" i="288" s="1"/>
  <c r="AG40" i="288"/>
  <c r="AH40" i="288" s="1"/>
  <c r="AA52" i="288"/>
  <c r="AB52" i="288"/>
  <c r="AG52" i="288"/>
  <c r="AH52" i="288" s="1"/>
  <c r="AX15" i="288"/>
  <c r="AZ15" i="288"/>
  <c r="AX24" i="288"/>
  <c r="AZ24" i="288"/>
  <c r="AR99" i="288"/>
  <c r="AB107" i="288"/>
  <c r="AI107" i="288" s="1"/>
  <c r="AS107" i="288" s="1"/>
  <c r="AA107" i="288"/>
  <c r="AG107" i="288"/>
  <c r="AH107" i="288" s="1"/>
  <c r="AP151" i="288"/>
  <c r="AK152" i="288"/>
  <c r="AL151" i="288"/>
  <c r="AH145" i="289"/>
  <c r="AI145" i="289" s="1"/>
  <c r="AA145" i="289"/>
  <c r="AB145" i="289"/>
  <c r="AJ145" i="289" s="1"/>
  <c r="AX145" i="289" s="1"/>
  <c r="BB145" i="289" s="1"/>
  <c r="BD145" i="289" s="1"/>
  <c r="AB38" i="288"/>
  <c r="AI38" i="288" s="1"/>
  <c r="AS38" i="288" s="1"/>
  <c r="AG38" i="288"/>
  <c r="AH38" i="288" s="1"/>
  <c r="AA38" i="288"/>
  <c r="AX59" i="288"/>
  <c r="AZ59" i="288"/>
  <c r="AX75" i="288"/>
  <c r="AZ75" i="288"/>
  <c r="AX91" i="288"/>
  <c r="AZ91" i="288"/>
  <c r="AS108" i="288"/>
  <c r="AG146" i="288"/>
  <c r="AH146" i="288" s="1"/>
  <c r="AA146" i="288"/>
  <c r="AB146" i="288"/>
  <c r="AA58" i="290"/>
  <c r="AB58" i="290"/>
  <c r="AG58" i="290"/>
  <c r="AH58" i="290" s="1"/>
  <c r="AZ106" i="288"/>
  <c r="AX106" i="288"/>
  <c r="AQ143" i="288"/>
  <c r="AR143" i="288" s="1"/>
  <c r="AN143" i="288"/>
  <c r="AP143" i="288"/>
  <c r="AB11" i="290"/>
  <c r="AG11" i="290"/>
  <c r="AH11" i="290" s="1"/>
  <c r="Z95" i="290"/>
  <c r="AA11" i="290"/>
  <c r="AI19" i="290"/>
  <c r="AV19" i="290" s="1"/>
  <c r="AI23" i="290"/>
  <c r="AV23" i="290" s="1"/>
  <c r="AI27" i="290"/>
  <c r="AV27" i="290" s="1"/>
  <c r="AI44" i="290"/>
  <c r="AV44" i="290" s="1"/>
  <c r="AB50" i="290"/>
  <c r="AG50" i="290"/>
  <c r="AH50" i="290" s="1"/>
  <c r="AA50" i="290"/>
  <c r="AB39" i="290"/>
  <c r="AG39" i="290"/>
  <c r="AH39" i="290" s="1"/>
  <c r="AA39" i="290"/>
  <c r="AG78" i="290"/>
  <c r="AH78" i="290" s="1"/>
  <c r="AA78" i="290"/>
  <c r="AB78" i="290"/>
  <c r="AI78" i="290" s="1"/>
  <c r="AV78" i="290" s="1"/>
  <c r="AG63" i="290"/>
  <c r="AH63" i="290" s="1"/>
  <c r="AA63" i="290"/>
  <c r="AB63" i="290"/>
  <c r="AI63" i="290" s="1"/>
  <c r="AV63" i="290" s="1"/>
  <c r="AB72" i="290"/>
  <c r="AI72" i="290" s="1"/>
  <c r="AV72" i="290" s="1"/>
  <c r="AG72" i="290"/>
  <c r="AH72" i="290" s="1"/>
  <c r="AA72" i="290"/>
  <c r="AB76" i="290"/>
  <c r="AG76" i="290"/>
  <c r="AH76" i="290" s="1"/>
  <c r="AA76" i="290"/>
  <c r="AB80" i="290"/>
  <c r="AG80" i="290"/>
  <c r="AH80" i="290" s="1"/>
  <c r="AA80" i="290"/>
  <c r="AB84" i="290"/>
  <c r="AI84" i="290" s="1"/>
  <c r="AV84" i="290" s="1"/>
  <c r="AG84" i="290"/>
  <c r="AH84" i="290" s="1"/>
  <c r="AA84" i="290"/>
  <c r="AB88" i="290"/>
  <c r="AI88" i="290" s="1"/>
  <c r="AV88" i="290" s="1"/>
  <c r="AG88" i="290"/>
  <c r="AH88" i="290" s="1"/>
  <c r="AA88" i="290"/>
  <c r="AB92" i="290"/>
  <c r="AG92" i="290"/>
  <c r="AH92" i="290" s="1"/>
  <c r="AA92" i="290"/>
  <c r="AG56" i="297"/>
  <c r="AH56" i="297" s="1"/>
  <c r="AB56" i="297"/>
  <c r="AI56" i="297" s="1"/>
  <c r="AV56" i="297" s="1"/>
  <c r="AW56" i="297" s="1"/>
  <c r="AY56" i="297" s="1"/>
  <c r="AG69" i="297"/>
  <c r="AH69" i="297" s="1"/>
  <c r="AB69" i="297"/>
  <c r="AB25" i="269"/>
  <c r="I24" i="301"/>
  <c r="J24" i="301" s="1"/>
  <c r="M24" i="301" s="1"/>
  <c r="AG59" i="290"/>
  <c r="AH59" i="290" s="1"/>
  <c r="AA59" i="290"/>
  <c r="AB59" i="290"/>
  <c r="AB18" i="297"/>
  <c r="AG18" i="297"/>
  <c r="AH18" i="297" s="1"/>
  <c r="AB22" i="297"/>
  <c r="AI22" i="297" s="1"/>
  <c r="AV22" i="297" s="1"/>
  <c r="AW22" i="297" s="1"/>
  <c r="AY22" i="297" s="1"/>
  <c r="AG22" i="297"/>
  <c r="AH22" i="297" s="1"/>
  <c r="AB26" i="297"/>
  <c r="AG26" i="297"/>
  <c r="AH26" i="297" s="1"/>
  <c r="AB30" i="297"/>
  <c r="AI30" i="297" s="1"/>
  <c r="AV30" i="297" s="1"/>
  <c r="AW30" i="297" s="1"/>
  <c r="AY30" i="297" s="1"/>
  <c r="AG30" i="297"/>
  <c r="AH30" i="297" s="1"/>
  <c r="AB34" i="297"/>
  <c r="AG34" i="297"/>
  <c r="AH34" i="297" s="1"/>
  <c r="AB38" i="297"/>
  <c r="AI38" i="297" s="1"/>
  <c r="AV38" i="297" s="1"/>
  <c r="AW38" i="297" s="1"/>
  <c r="AY38" i="297" s="1"/>
  <c r="AG38" i="297"/>
  <c r="AH38" i="297" s="1"/>
  <c r="AB42" i="297"/>
  <c r="AG42" i="297"/>
  <c r="AH42" i="297" s="1"/>
  <c r="AB46" i="297"/>
  <c r="AI46" i="297" s="1"/>
  <c r="AV46" i="297" s="1"/>
  <c r="AW46" i="297" s="1"/>
  <c r="AY46" i="297" s="1"/>
  <c r="AG46" i="297"/>
  <c r="AH46" i="297" s="1"/>
  <c r="AB54" i="297"/>
  <c r="AG54" i="297"/>
  <c r="AH54" i="297" s="1"/>
  <c r="AB60" i="297"/>
  <c r="AI60" i="297" s="1"/>
  <c r="AV60" i="297" s="1"/>
  <c r="AW60" i="297" s="1"/>
  <c r="AY60" i="297" s="1"/>
  <c r="AG60" i="297"/>
  <c r="AH60" i="297" s="1"/>
  <c r="AB105" i="297"/>
  <c r="AG105" i="297"/>
  <c r="AH105" i="297" s="1"/>
  <c r="I33" i="301"/>
  <c r="J33" i="301" s="1"/>
  <c r="M33" i="301" s="1"/>
  <c r="AB34" i="269"/>
  <c r="AB31" i="290"/>
  <c r="AG31" i="290"/>
  <c r="AH31" i="290" s="1"/>
  <c r="AA31" i="290"/>
  <c r="AB47" i="290"/>
  <c r="AG47" i="290"/>
  <c r="AH47" i="290" s="1"/>
  <c r="AA47" i="290"/>
  <c r="AA53" i="290"/>
  <c r="AB53" i="290"/>
  <c r="AG53" i="290"/>
  <c r="AH53" i="290" s="1"/>
  <c r="AI56" i="290"/>
  <c r="AV56" i="290" s="1"/>
  <c r="J110" i="297"/>
  <c r="J108" i="297"/>
  <c r="AB50" i="297"/>
  <c r="AG50" i="297"/>
  <c r="AH50" i="297" s="1"/>
  <c r="AG83" i="290"/>
  <c r="AH83" i="290" s="1"/>
  <c r="AA83" i="290"/>
  <c r="AB83" i="290"/>
  <c r="AI83" i="290" s="1"/>
  <c r="AV83" i="290" s="1"/>
  <c r="AV27" i="297"/>
  <c r="AW27" i="297" s="1"/>
  <c r="AY27" i="297" s="1"/>
  <c r="AV43" i="297"/>
  <c r="AW43" i="297" s="1"/>
  <c r="AY43" i="297" s="1"/>
  <c r="AG86" i="297"/>
  <c r="AH86" i="297" s="1"/>
  <c r="AB86" i="297"/>
  <c r="AI86" i="297" s="1"/>
  <c r="AV86" i="297" s="1"/>
  <c r="AW86" i="297" s="1"/>
  <c r="AY86" i="297" s="1"/>
  <c r="AB33" i="269"/>
  <c r="I32" i="301"/>
  <c r="J32" i="301" s="1"/>
  <c r="M32" i="301" s="1"/>
  <c r="I61" i="301"/>
  <c r="J61" i="301" s="1"/>
  <c r="M61" i="301" s="1"/>
  <c r="AB62" i="269"/>
  <c r="I77" i="301"/>
  <c r="J77" i="301" s="1"/>
  <c r="M77" i="301" s="1"/>
  <c r="AB78" i="269"/>
  <c r="I93" i="301"/>
  <c r="J93" i="301" s="1"/>
  <c r="M93" i="301" s="1"/>
  <c r="AB94" i="269"/>
  <c r="I109" i="301"/>
  <c r="J109" i="301" s="1"/>
  <c r="M109" i="301" s="1"/>
  <c r="AB110" i="269"/>
  <c r="I125" i="301"/>
  <c r="J125" i="301" s="1"/>
  <c r="M125" i="301" s="1"/>
  <c r="AB126" i="269"/>
  <c r="AB183" i="269"/>
  <c r="I182" i="301"/>
  <c r="J182" i="301" s="1"/>
  <c r="M182" i="301" s="1"/>
  <c r="AB211" i="269"/>
  <c r="I210" i="301"/>
  <c r="J210" i="301" s="1"/>
  <c r="M210" i="301" s="1"/>
  <c r="X304" i="269"/>
  <c r="AV68" i="290"/>
  <c r="AI21" i="297"/>
  <c r="AV21" i="297" s="1"/>
  <c r="AW21" i="297" s="1"/>
  <c r="AY21" i="297" s="1"/>
  <c r="AI37" i="297"/>
  <c r="AV37" i="297" s="1"/>
  <c r="AW37" i="297" s="1"/>
  <c r="AY37" i="297" s="1"/>
  <c r="AR58" i="297"/>
  <c r="AV58" i="297" s="1"/>
  <c r="AW58" i="297" s="1"/>
  <c r="AY58" i="297" s="1"/>
  <c r="AB91" i="297"/>
  <c r="AG91" i="297"/>
  <c r="AH91" i="297" s="1"/>
  <c r="AB23" i="269"/>
  <c r="I22" i="301"/>
  <c r="J22" i="301" s="1"/>
  <c r="M22" i="301" s="1"/>
  <c r="AB43" i="269"/>
  <c r="I42" i="301"/>
  <c r="J42" i="301" s="1"/>
  <c r="M42" i="301" s="1"/>
  <c r="I60" i="301"/>
  <c r="J60" i="301" s="1"/>
  <c r="M60" i="301" s="1"/>
  <c r="AB61" i="269"/>
  <c r="I76" i="301"/>
  <c r="J76" i="301" s="1"/>
  <c r="M76" i="301" s="1"/>
  <c r="AB77" i="269"/>
  <c r="I92" i="301"/>
  <c r="J92" i="301" s="1"/>
  <c r="M92" i="301" s="1"/>
  <c r="AB93" i="269"/>
  <c r="I108" i="301"/>
  <c r="J108" i="301" s="1"/>
  <c r="M108" i="301" s="1"/>
  <c r="AB109" i="269"/>
  <c r="I124" i="301"/>
  <c r="J124" i="301" s="1"/>
  <c r="M124" i="301" s="1"/>
  <c r="AB125" i="269"/>
  <c r="AB188" i="269"/>
  <c r="I187" i="301"/>
  <c r="J187" i="301" s="1"/>
  <c r="M187" i="301" s="1"/>
  <c r="I223" i="301"/>
  <c r="J223" i="301" s="1"/>
  <c r="M223" i="301" s="1"/>
  <c r="AB224" i="269"/>
  <c r="I239" i="301"/>
  <c r="J239" i="301" s="1"/>
  <c r="M239" i="301" s="1"/>
  <c r="AB240" i="269"/>
  <c r="I255" i="301"/>
  <c r="J255" i="301" s="1"/>
  <c r="M255" i="301" s="1"/>
  <c r="AB256" i="269"/>
  <c r="AB417" i="269"/>
  <c r="I416" i="301"/>
  <c r="J416" i="301" s="1"/>
  <c r="M416" i="301" s="1"/>
  <c r="AB475" i="269"/>
  <c r="I474" i="301"/>
  <c r="J474" i="301" s="1"/>
  <c r="M474" i="301" s="1"/>
  <c r="AA143" i="288"/>
  <c r="AB143" i="288"/>
  <c r="AG143" i="288"/>
  <c r="AH143" i="288" s="1"/>
  <c r="AI23" i="297"/>
  <c r="AV23" i="297" s="1"/>
  <c r="AW23" i="297" s="1"/>
  <c r="AY23" i="297" s="1"/>
  <c r="AI39" i="297"/>
  <c r="AV39" i="297" s="1"/>
  <c r="AW39" i="297" s="1"/>
  <c r="AY39" i="297" s="1"/>
  <c r="AG52" i="297"/>
  <c r="AH52" i="297" s="1"/>
  <c r="AB52" i="297"/>
  <c r="AI52" i="297" s="1"/>
  <c r="AV52" i="297" s="1"/>
  <c r="AW52" i="297" s="1"/>
  <c r="AY52" i="297" s="1"/>
  <c r="AI72" i="297"/>
  <c r="AV72" i="297" s="1"/>
  <c r="AW72" i="297" s="1"/>
  <c r="AY72" i="297" s="1"/>
  <c r="AB83" i="297"/>
  <c r="AG83" i="297"/>
  <c r="AH83" i="297" s="1"/>
  <c r="AR90" i="297"/>
  <c r="AV90" i="297" s="1"/>
  <c r="AW90" i="297" s="1"/>
  <c r="AY90" i="297" s="1"/>
  <c r="AI95" i="297"/>
  <c r="AV95" i="297" s="1"/>
  <c r="AW95" i="297" s="1"/>
  <c r="AY95" i="297" s="1"/>
  <c r="AR103" i="297"/>
  <c r="I71" i="301"/>
  <c r="J71" i="301" s="1"/>
  <c r="M71" i="301" s="1"/>
  <c r="AB72" i="269"/>
  <c r="I87" i="301"/>
  <c r="J87" i="301" s="1"/>
  <c r="M87" i="301" s="1"/>
  <c r="AB88" i="269"/>
  <c r="I103" i="301"/>
  <c r="J103" i="301" s="1"/>
  <c r="M103" i="301" s="1"/>
  <c r="AB104" i="269"/>
  <c r="I119" i="301"/>
  <c r="J119" i="301" s="1"/>
  <c r="M119" i="301" s="1"/>
  <c r="AB120" i="269"/>
  <c r="I135" i="301"/>
  <c r="J135" i="301" s="1"/>
  <c r="M135" i="301" s="1"/>
  <c r="AB136" i="269"/>
  <c r="I189" i="301"/>
  <c r="J189" i="301" s="1"/>
  <c r="M189" i="301" s="1"/>
  <c r="AB190" i="269"/>
  <c r="I200" i="301"/>
  <c r="J200" i="301" s="1"/>
  <c r="M200" i="301" s="1"/>
  <c r="AB201" i="269"/>
  <c r="AB223" i="269"/>
  <c r="I222" i="301"/>
  <c r="J222" i="301" s="1"/>
  <c r="M222" i="301" s="1"/>
  <c r="AB403" i="269"/>
  <c r="I402" i="301"/>
  <c r="J402" i="301" s="1"/>
  <c r="M402" i="301" s="1"/>
  <c r="AB491" i="269"/>
  <c r="I490" i="301"/>
  <c r="J490" i="301" s="1"/>
  <c r="M490" i="301" s="1"/>
  <c r="AI80" i="297"/>
  <c r="AV80" i="297" s="1"/>
  <c r="AW80" i="297" s="1"/>
  <c r="AY80" i="297" s="1"/>
  <c r="I62" i="301"/>
  <c r="J62" i="301" s="1"/>
  <c r="M62" i="301" s="1"/>
  <c r="AB63" i="269"/>
  <c r="I126" i="301"/>
  <c r="J126" i="301" s="1"/>
  <c r="M126" i="301" s="1"/>
  <c r="AB127" i="269"/>
  <c r="AB424" i="269"/>
  <c r="I423" i="301"/>
  <c r="J423" i="301" s="1"/>
  <c r="M423" i="301" s="1"/>
  <c r="AB432" i="269"/>
  <c r="I431" i="301"/>
  <c r="J431" i="301" s="1"/>
  <c r="M431" i="301" s="1"/>
  <c r="AI34" i="290"/>
  <c r="AV34" i="290" s="1"/>
  <c r="AB212" i="269"/>
  <c r="I211" i="301"/>
  <c r="J211" i="301" s="1"/>
  <c r="M211" i="301" s="1"/>
  <c r="AR97" i="297"/>
  <c r="AB36" i="269"/>
  <c r="I35" i="301"/>
  <c r="J35" i="301" s="1"/>
  <c r="M35" i="301" s="1"/>
  <c r="AB115" i="269"/>
  <c r="I114" i="301"/>
  <c r="J114" i="301" s="1"/>
  <c r="M114" i="301" s="1"/>
  <c r="O147" i="301"/>
  <c r="P147" i="301" s="1"/>
  <c r="Q147" i="301"/>
  <c r="AB194" i="269"/>
  <c r="I193" i="301"/>
  <c r="J193" i="301" s="1"/>
  <c r="M193" i="301" s="1"/>
  <c r="AB367" i="269"/>
  <c r="I366" i="301"/>
  <c r="J366" i="301" s="1"/>
  <c r="M366" i="301" s="1"/>
  <c r="AB387" i="269"/>
  <c r="I386" i="301"/>
  <c r="J386" i="301" s="1"/>
  <c r="M386" i="301" s="1"/>
  <c r="AI63" i="297"/>
  <c r="AV63" i="297" s="1"/>
  <c r="AW63" i="297" s="1"/>
  <c r="AY63" i="297" s="1"/>
  <c r="AR94" i="297"/>
  <c r="AB59" i="269"/>
  <c r="I58" i="301"/>
  <c r="J58" i="301" s="1"/>
  <c r="M58" i="301" s="1"/>
  <c r="AB123" i="269"/>
  <c r="I122" i="301"/>
  <c r="J122" i="301" s="1"/>
  <c r="M122" i="301" s="1"/>
  <c r="O220" i="301"/>
  <c r="P220" i="301" s="1"/>
  <c r="Q220" i="301"/>
  <c r="I70" i="301"/>
  <c r="J70" i="301" s="1"/>
  <c r="M70" i="301" s="1"/>
  <c r="AB71" i="269"/>
  <c r="I134" i="301"/>
  <c r="J134" i="301" s="1"/>
  <c r="M134" i="301" s="1"/>
  <c r="AB135" i="269"/>
  <c r="O157" i="301"/>
  <c r="P157" i="301" s="1"/>
  <c r="Q157" i="301"/>
  <c r="O173" i="301"/>
  <c r="P173" i="301" s="1"/>
  <c r="Q173" i="301"/>
  <c r="O212" i="301"/>
  <c r="P212" i="301" s="1"/>
  <c r="Q212" i="301"/>
  <c r="AB352" i="269"/>
  <c r="I351" i="301"/>
  <c r="J351" i="301" s="1"/>
  <c r="M351" i="301" s="1"/>
  <c r="AB391" i="269"/>
  <c r="I390" i="301"/>
  <c r="J390" i="301" s="1"/>
  <c r="M390" i="301" s="1"/>
  <c r="Q449" i="301"/>
  <c r="O449" i="301"/>
  <c r="P449" i="301" s="1"/>
  <c r="S501" i="269"/>
  <c r="AB164" i="269"/>
  <c r="I163" i="301"/>
  <c r="J163" i="301" s="1"/>
  <c r="M163" i="301" s="1"/>
  <c r="I175" i="301"/>
  <c r="J175" i="301" s="1"/>
  <c r="M175" i="301" s="1"/>
  <c r="AB176" i="269"/>
  <c r="I159" i="301"/>
  <c r="J159" i="301" s="1"/>
  <c r="M159" i="301" s="1"/>
  <c r="AB160" i="269"/>
  <c r="F508" i="318"/>
  <c r="F509" i="318" s="1"/>
  <c r="G509" i="318" s="1"/>
  <c r="AQ500" i="312"/>
  <c r="M18" i="269"/>
  <c r="AO282" i="318"/>
  <c r="AP282" i="318"/>
  <c r="H287" i="269" s="1"/>
  <c r="I287" i="269" s="1"/>
  <c r="X287" i="269" s="1"/>
  <c r="AP306" i="318"/>
  <c r="H311" i="269" s="1"/>
  <c r="I311" i="269" s="1"/>
  <c r="X311" i="269" s="1"/>
  <c r="AO306" i="318"/>
  <c r="Y316" i="318"/>
  <c r="AE177" i="318"/>
  <c r="AP291" i="318"/>
  <c r="H296" i="269" s="1"/>
  <c r="I296" i="269" s="1"/>
  <c r="X296" i="269" s="1"/>
  <c r="AO291" i="318"/>
  <c r="AS346" i="318"/>
  <c r="H349" i="269" s="1"/>
  <c r="I349" i="269" s="1"/>
  <c r="X349" i="269" s="1"/>
  <c r="AR346" i="318"/>
  <c r="I388" i="301"/>
  <c r="J388" i="301" s="1"/>
  <c r="M388" i="301" s="1"/>
  <c r="AB389" i="269"/>
  <c r="AB499" i="318"/>
  <c r="AB228" i="269"/>
  <c r="I227" i="301"/>
  <c r="J227" i="301" s="1"/>
  <c r="M227" i="301" s="1"/>
  <c r="I280" i="301"/>
  <c r="J280" i="301" s="1"/>
  <c r="M280" i="301" s="1"/>
  <c r="AB281" i="269"/>
  <c r="AQ283" i="318"/>
  <c r="L288" i="269" s="1"/>
  <c r="M288" i="269" s="1"/>
  <c r="X288" i="269" s="1"/>
  <c r="AO283" i="318"/>
  <c r="I304" i="301"/>
  <c r="J304" i="301" s="1"/>
  <c r="M304" i="301" s="1"/>
  <c r="AB305" i="269"/>
  <c r="AB313" i="269"/>
  <c r="I312" i="301"/>
  <c r="J312" i="301" s="1"/>
  <c r="M312" i="301" s="1"/>
  <c r="AK316" i="318"/>
  <c r="AQ511" i="318" s="1"/>
  <c r="AJ316" i="318"/>
  <c r="AH505" i="318" s="1"/>
  <c r="AG505" i="318" s="1"/>
  <c r="AB398" i="269"/>
  <c r="I397" i="301"/>
  <c r="J397" i="301" s="1"/>
  <c r="M397" i="301" s="1"/>
  <c r="Y402" i="318"/>
  <c r="Y499" i="318" s="1"/>
  <c r="Y500" i="318" s="1"/>
  <c r="AO290" i="318"/>
  <c r="AP290" i="318"/>
  <c r="H295" i="269" s="1"/>
  <c r="I295" i="269" s="1"/>
  <c r="X295" i="269" s="1"/>
  <c r="AO301" i="318"/>
  <c r="AQ301" i="318"/>
  <c r="L306" i="269" s="1"/>
  <c r="M306" i="269" s="1"/>
  <c r="X306" i="269" s="1"/>
  <c r="AR327" i="318"/>
  <c r="AS327" i="318"/>
  <c r="H330" i="269" s="1"/>
  <c r="I330" i="269" s="1"/>
  <c r="X330" i="269" s="1"/>
  <c r="AS338" i="318"/>
  <c r="H341" i="269" s="1"/>
  <c r="I341" i="269" s="1"/>
  <c r="X341" i="269" s="1"/>
  <c r="AR338" i="318"/>
  <c r="AT411" i="318"/>
  <c r="AN402" i="318"/>
  <c r="AK510" i="318" s="1"/>
  <c r="AI515" i="318" s="1"/>
  <c r="AI522" i="318" s="1"/>
  <c r="AM522" i="318" s="1"/>
  <c r="AS417" i="318"/>
  <c r="J418" i="269" s="1"/>
  <c r="K418" i="269" s="1"/>
  <c r="X418" i="269" s="1"/>
  <c r="AO417" i="318"/>
  <c r="AO424" i="318"/>
  <c r="AS424" i="318"/>
  <c r="J425" i="269" s="1"/>
  <c r="K425" i="269" s="1"/>
  <c r="X425" i="269" s="1"/>
  <c r="AS433" i="318"/>
  <c r="J434" i="269" s="1"/>
  <c r="K434" i="269" s="1"/>
  <c r="X434" i="269" s="1"/>
  <c r="AO433" i="318"/>
  <c r="AO440" i="318"/>
  <c r="AS440" i="318"/>
  <c r="J441" i="269" s="1"/>
  <c r="K441" i="269" s="1"/>
  <c r="X441" i="269" s="1"/>
  <c r="AP311" i="318"/>
  <c r="H316" i="269" s="1"/>
  <c r="I316" i="269" s="1"/>
  <c r="X316" i="269" s="1"/>
  <c r="AO311" i="318"/>
  <c r="AB359" i="269"/>
  <c r="I358" i="301"/>
  <c r="J358" i="301" s="1"/>
  <c r="M358" i="301" s="1"/>
  <c r="AO411" i="318"/>
  <c r="AB428" i="269"/>
  <c r="I427" i="301"/>
  <c r="J427" i="301" s="1"/>
  <c r="M427" i="301" s="1"/>
  <c r="AS442" i="318"/>
  <c r="J443" i="269" s="1"/>
  <c r="K443" i="269" s="1"/>
  <c r="X443" i="269" s="1"/>
  <c r="AO442" i="318"/>
  <c r="AK402" i="318"/>
  <c r="AQ510" i="318" s="1"/>
  <c r="AJ402" i="318"/>
  <c r="AO410" i="318"/>
  <c r="AS410" i="318"/>
  <c r="J411" i="269" s="1"/>
  <c r="K411" i="269" s="1"/>
  <c r="X411" i="269" s="1"/>
  <c r="AB430" i="269"/>
  <c r="I429" i="301"/>
  <c r="J429" i="301" s="1"/>
  <c r="M429" i="301" s="1"/>
  <c r="AB226" i="269"/>
  <c r="I225" i="301"/>
  <c r="J225" i="301" s="1"/>
  <c r="M225" i="301" s="1"/>
  <c r="AO452" i="318"/>
  <c r="AS452" i="318"/>
  <c r="J453" i="269" s="1"/>
  <c r="K453" i="269" s="1"/>
  <c r="X453" i="269" s="1"/>
  <c r="AB479" i="269"/>
  <c r="I478" i="301"/>
  <c r="J478" i="301" s="1"/>
  <c r="M478" i="301" s="1"/>
  <c r="X451" i="269"/>
  <c r="AB468" i="269"/>
  <c r="I467" i="301"/>
  <c r="J467" i="301" s="1"/>
  <c r="M467" i="301" s="1"/>
  <c r="AB476" i="269"/>
  <c r="I475" i="301"/>
  <c r="J475" i="301" s="1"/>
  <c r="M475" i="301" s="1"/>
  <c r="AB485" i="269"/>
  <c r="I484" i="301"/>
  <c r="J484" i="301" s="1"/>
  <c r="M484" i="301" s="1"/>
  <c r="AW178" i="289"/>
  <c r="AR472" i="318"/>
  <c r="AS472" i="318"/>
  <c r="J473" i="269" s="1"/>
  <c r="K473" i="269" s="1"/>
  <c r="X473" i="269" s="1"/>
  <c r="AH46" i="289"/>
  <c r="AI46" i="289" s="1"/>
  <c r="AA46" i="289"/>
  <c r="AB46" i="289"/>
  <c r="AJ46" i="289" s="1"/>
  <c r="AX46" i="289" s="1"/>
  <c r="BB46" i="289" s="1"/>
  <c r="BD46" i="289" s="1"/>
  <c r="AB63" i="289"/>
  <c r="AH63" i="289"/>
  <c r="AI63" i="289" s="1"/>
  <c r="AA63" i="289"/>
  <c r="AH78" i="289"/>
  <c r="AI78" i="289" s="1"/>
  <c r="AA78" i="289"/>
  <c r="AB78" i="289"/>
  <c r="AB87" i="289"/>
  <c r="AJ87" i="289" s="1"/>
  <c r="AX87" i="289" s="1"/>
  <c r="BB87" i="289" s="1"/>
  <c r="BD87" i="289" s="1"/>
  <c r="AH87" i="289"/>
  <c r="AI87" i="289" s="1"/>
  <c r="AA87" i="289"/>
  <c r="AB399" i="269"/>
  <c r="I398" i="301"/>
  <c r="J398" i="301" s="1"/>
  <c r="M398" i="301" s="1"/>
  <c r="AO405" i="318"/>
  <c r="AO402" i="318" s="1"/>
  <c r="AS405" i="318"/>
  <c r="J406" i="269" s="1"/>
  <c r="K406" i="269" s="1"/>
  <c r="X406" i="269" s="1"/>
  <c r="AB464" i="269"/>
  <c r="I463" i="301"/>
  <c r="J463" i="301" s="1"/>
  <c r="M463" i="301" s="1"/>
  <c r="AG11" i="289"/>
  <c r="AG178" i="289" s="1"/>
  <c r="AF178" i="289"/>
  <c r="AJ14" i="289"/>
  <c r="AX14" i="289" s="1"/>
  <c r="BB14" i="289" s="1"/>
  <c r="BD14" i="289" s="1"/>
  <c r="AH80" i="289"/>
  <c r="AI80" i="289" s="1"/>
  <c r="AA80" i="289"/>
  <c r="AB80" i="289"/>
  <c r="AH53" i="289"/>
  <c r="AI53" i="289" s="1"/>
  <c r="AA53" i="289"/>
  <c r="AB53" i="289"/>
  <c r="AH82" i="289"/>
  <c r="AI82" i="289" s="1"/>
  <c r="AA82" i="289"/>
  <c r="AB82" i="289"/>
  <c r="AJ82" i="289" s="1"/>
  <c r="AX82" i="289" s="1"/>
  <c r="BB82" i="289" s="1"/>
  <c r="BD82" i="289" s="1"/>
  <c r="AJ84" i="289"/>
  <c r="AX84" i="289" s="1"/>
  <c r="BB84" i="289" s="1"/>
  <c r="BD84" i="289" s="1"/>
  <c r="AH94" i="289"/>
  <c r="AI94" i="289" s="1"/>
  <c r="AB94" i="289"/>
  <c r="AJ94" i="289" s="1"/>
  <c r="AX94" i="289" s="1"/>
  <c r="BB94" i="289" s="1"/>
  <c r="BD94" i="289" s="1"/>
  <c r="AA94" i="289"/>
  <c r="AH127" i="289"/>
  <c r="AI127" i="289" s="1"/>
  <c r="AA127" i="289"/>
  <c r="AB127" i="289"/>
  <c r="AJ127" i="289" s="1"/>
  <c r="AX127" i="289" s="1"/>
  <c r="BB127" i="289" s="1"/>
  <c r="BD127" i="289" s="1"/>
  <c r="AP21" i="288"/>
  <c r="AN21" i="288"/>
  <c r="AJ34" i="289"/>
  <c r="AX34" i="289" s="1"/>
  <c r="BB34" i="289" s="1"/>
  <c r="BD34" i="289" s="1"/>
  <c r="AH90" i="289"/>
  <c r="AI90" i="289" s="1"/>
  <c r="AA90" i="289"/>
  <c r="AB90" i="289"/>
  <c r="AH113" i="289"/>
  <c r="AI113" i="289" s="1"/>
  <c r="AA113" i="289"/>
  <c r="AB113" i="289"/>
  <c r="AJ113" i="289" s="1"/>
  <c r="AX113" i="289" s="1"/>
  <c r="BB113" i="289" s="1"/>
  <c r="BD113" i="289" s="1"/>
  <c r="AH135" i="289"/>
  <c r="AI135" i="289" s="1"/>
  <c r="AA135" i="289"/>
  <c r="AB135" i="289"/>
  <c r="AJ135" i="289" s="1"/>
  <c r="AX135" i="289" s="1"/>
  <c r="BB135" i="289" s="1"/>
  <c r="AB23" i="289"/>
  <c r="AJ23" i="289" s="1"/>
  <c r="AX23" i="289" s="1"/>
  <c r="BB23" i="289" s="1"/>
  <c r="BD23" i="289" s="1"/>
  <c r="AH23" i="289"/>
  <c r="AI23" i="289" s="1"/>
  <c r="AA23" i="289"/>
  <c r="AB57" i="289"/>
  <c r="AJ57" i="289" s="1"/>
  <c r="AX57" i="289" s="1"/>
  <c r="BB57" i="289" s="1"/>
  <c r="AH57" i="289"/>
  <c r="AI57" i="289" s="1"/>
  <c r="AA57" i="289"/>
  <c r="AB77" i="289"/>
  <c r="AH77" i="289"/>
  <c r="AI77" i="289" s="1"/>
  <c r="AA77" i="289"/>
  <c r="AH99" i="289"/>
  <c r="AI99" i="289" s="1"/>
  <c r="AA99" i="289"/>
  <c r="AB99" i="289"/>
  <c r="AJ99" i="289" s="1"/>
  <c r="AX99" i="289" s="1"/>
  <c r="BB99" i="289" s="1"/>
  <c r="BD99" i="289" s="1"/>
  <c r="AH131" i="289"/>
  <c r="AI131" i="289" s="1"/>
  <c r="AA131" i="289"/>
  <c r="AB131" i="289"/>
  <c r="AB49" i="288"/>
  <c r="AI49" i="288" s="1"/>
  <c r="AS49" i="288" s="1"/>
  <c r="AG49" i="288"/>
  <c r="AH49" i="288" s="1"/>
  <c r="AA49" i="288"/>
  <c r="AG60" i="288"/>
  <c r="AH60" i="288" s="1"/>
  <c r="AA60" i="288"/>
  <c r="AB60" i="288"/>
  <c r="AG76" i="288"/>
  <c r="AH76" i="288" s="1"/>
  <c r="AA76" i="288"/>
  <c r="AB76" i="288"/>
  <c r="AI76" i="288" s="1"/>
  <c r="AS76" i="288" s="1"/>
  <c r="AG92" i="288"/>
  <c r="AH92" i="288" s="1"/>
  <c r="AA92" i="288"/>
  <c r="AB92" i="288"/>
  <c r="AI92" i="288" s="1"/>
  <c r="AS92" i="288" s="1"/>
  <c r="AB101" i="288"/>
  <c r="AI101" i="288" s="1"/>
  <c r="AS101" i="288" s="1"/>
  <c r="AA101" i="288"/>
  <c r="AG101" i="288"/>
  <c r="AH101" i="288" s="1"/>
  <c r="AB117" i="288"/>
  <c r="AI117" i="288" s="1"/>
  <c r="AS117" i="288" s="1"/>
  <c r="AA117" i="288"/>
  <c r="AG117" i="288"/>
  <c r="AH117" i="288" s="1"/>
  <c r="AB121" i="288"/>
  <c r="AA121" i="288"/>
  <c r="AG121" i="288"/>
  <c r="AH121" i="288" s="1"/>
  <c r="AB125" i="288"/>
  <c r="AA125" i="288"/>
  <c r="AG125" i="288"/>
  <c r="AH125" i="288" s="1"/>
  <c r="AB135" i="288"/>
  <c r="AI135" i="288" s="1"/>
  <c r="AS135" i="288" s="1"/>
  <c r="AG135" i="288"/>
  <c r="AH135" i="288" s="1"/>
  <c r="AA135" i="288"/>
  <c r="AJ33" i="289"/>
  <c r="AX33" i="289" s="1"/>
  <c r="BB33" i="289" s="1"/>
  <c r="BD33" i="289" s="1"/>
  <c r="AB47" i="289"/>
  <c r="AJ47" i="289" s="1"/>
  <c r="AX47" i="289" s="1"/>
  <c r="BB47" i="289" s="1"/>
  <c r="BD47" i="289" s="1"/>
  <c r="AH47" i="289"/>
  <c r="AI47" i="289" s="1"/>
  <c r="AA47" i="289"/>
  <c r="AI28" i="288"/>
  <c r="AS28" i="288" s="1"/>
  <c r="AB42" i="288"/>
  <c r="AI42" i="288" s="1"/>
  <c r="AS42" i="288" s="1"/>
  <c r="AG42" i="288"/>
  <c r="AH42" i="288" s="1"/>
  <c r="AA42" i="288"/>
  <c r="AA54" i="288"/>
  <c r="AB54" i="288"/>
  <c r="AI54" i="288" s="1"/>
  <c r="AS54" i="288" s="1"/>
  <c r="AG54" i="288"/>
  <c r="AH54" i="288" s="1"/>
  <c r="AN57" i="288"/>
  <c r="AP57" i="288"/>
  <c r="AP148" i="288" s="1"/>
  <c r="BB101" i="297" s="1"/>
  <c r="BC101" i="297" s="1"/>
  <c r="AN61" i="288"/>
  <c r="AP61" i="288"/>
  <c r="AS61" i="288" s="1"/>
  <c r="AN65" i="288"/>
  <c r="AP65" i="288"/>
  <c r="AN69" i="288"/>
  <c r="AP69" i="288"/>
  <c r="AS69" i="288" s="1"/>
  <c r="AN73" i="288"/>
  <c r="AP73" i="288"/>
  <c r="AN77" i="288"/>
  <c r="AP77" i="288"/>
  <c r="AS77" i="288" s="1"/>
  <c r="AN81" i="288"/>
  <c r="AP81" i="288"/>
  <c r="AN85" i="288"/>
  <c r="AP85" i="288"/>
  <c r="AS85" i="288" s="1"/>
  <c r="AN89" i="288"/>
  <c r="AP89" i="288"/>
  <c r="AN93" i="288"/>
  <c r="AP93" i="288"/>
  <c r="AS93" i="288" s="1"/>
  <c r="AN97" i="288"/>
  <c r="AP97" i="288"/>
  <c r="AB98" i="289"/>
  <c r="AJ98" i="289" s="1"/>
  <c r="AX98" i="289" s="1"/>
  <c r="BB98" i="289" s="1"/>
  <c r="BD98" i="289" s="1"/>
  <c r="AA98" i="289"/>
  <c r="AH98" i="289"/>
  <c r="AI98" i="289" s="1"/>
  <c r="AB106" i="289"/>
  <c r="AJ106" i="289" s="1"/>
  <c r="AX106" i="289" s="1"/>
  <c r="BB106" i="289" s="1"/>
  <c r="BD106" i="289" s="1"/>
  <c r="AA106" i="289"/>
  <c r="AH106" i="289"/>
  <c r="AI106" i="289" s="1"/>
  <c r="AB114" i="289"/>
  <c r="AA114" i="289"/>
  <c r="AH114" i="289"/>
  <c r="AI114" i="289" s="1"/>
  <c r="AB122" i="289"/>
  <c r="AA122" i="289"/>
  <c r="AH122" i="289"/>
  <c r="AI122" i="289" s="1"/>
  <c r="AB130" i="289"/>
  <c r="AJ130" i="289" s="1"/>
  <c r="AX130" i="289" s="1"/>
  <c r="BB130" i="289" s="1"/>
  <c r="BD130" i="289" s="1"/>
  <c r="AA130" i="289"/>
  <c r="AH130" i="289"/>
  <c r="AI130" i="289" s="1"/>
  <c r="AA136" i="289"/>
  <c r="AB136" i="289"/>
  <c r="AJ136" i="289" s="1"/>
  <c r="AX136" i="289" s="1"/>
  <c r="BB136" i="289" s="1"/>
  <c r="BD136" i="289" s="1"/>
  <c r="AH136" i="289"/>
  <c r="AI136" i="289" s="1"/>
  <c r="AG29" i="288"/>
  <c r="AH29" i="288" s="1"/>
  <c r="AA29" i="288"/>
  <c r="AB29" i="288"/>
  <c r="AI29" i="288" s="1"/>
  <c r="AS29" i="288" s="1"/>
  <c r="AI31" i="288"/>
  <c r="AS31" i="288" s="1"/>
  <c r="AG37" i="288"/>
  <c r="AH37" i="288" s="1"/>
  <c r="AA37" i="288"/>
  <c r="AB37" i="288"/>
  <c r="AI37" i="288" s="1"/>
  <c r="AS37" i="288" s="1"/>
  <c r="AI39" i="288"/>
  <c r="AS39" i="288" s="1"/>
  <c r="AG45" i="288"/>
  <c r="AH45" i="288" s="1"/>
  <c r="AA45" i="288"/>
  <c r="AB45" i="288"/>
  <c r="AI45" i="288" s="1"/>
  <c r="AS45" i="288" s="1"/>
  <c r="AI47" i="288"/>
  <c r="AS47" i="288" s="1"/>
  <c r="AG58" i="288"/>
  <c r="AH58" i="288" s="1"/>
  <c r="AA58" i="288"/>
  <c r="AB58" i="288"/>
  <c r="AI58" i="288" s="1"/>
  <c r="AS58" i="288" s="1"/>
  <c r="AG66" i="288"/>
  <c r="AH66" i="288" s="1"/>
  <c r="AA66" i="288"/>
  <c r="AB66" i="288"/>
  <c r="AI66" i="288" s="1"/>
  <c r="AS66" i="288" s="1"/>
  <c r="AG74" i="288"/>
  <c r="AH74" i="288" s="1"/>
  <c r="AA74" i="288"/>
  <c r="AB74" i="288"/>
  <c r="AG82" i="288"/>
  <c r="AH82" i="288" s="1"/>
  <c r="AA82" i="288"/>
  <c r="AB82" i="288"/>
  <c r="AG90" i="288"/>
  <c r="AH90" i="288" s="1"/>
  <c r="AA90" i="288"/>
  <c r="AB90" i="288"/>
  <c r="AI90" i="288" s="1"/>
  <c r="AS90" i="288" s="1"/>
  <c r="AG98" i="288"/>
  <c r="AH98" i="288" s="1"/>
  <c r="AA98" i="288"/>
  <c r="AB98" i="288"/>
  <c r="AI98" i="288" s="1"/>
  <c r="AS98" i="288" s="1"/>
  <c r="AB111" i="288"/>
  <c r="AI111" i="288" s="1"/>
  <c r="AS111" i="288" s="1"/>
  <c r="AA111" i="288"/>
  <c r="AG111" i="288"/>
  <c r="AH111" i="288" s="1"/>
  <c r="AN136" i="288"/>
  <c r="AN148" i="288" s="1"/>
  <c r="AP136" i="288"/>
  <c r="AP156" i="288" s="1"/>
  <c r="AQ136" i="288"/>
  <c r="AR136" i="288" s="1"/>
  <c r="AJ108" i="289"/>
  <c r="AX108" i="289" s="1"/>
  <c r="BB108" i="289" s="1"/>
  <c r="BD108" i="289" s="1"/>
  <c r="AJ124" i="289"/>
  <c r="AX124" i="289" s="1"/>
  <c r="BB124" i="289" s="1"/>
  <c r="BD124" i="289" s="1"/>
  <c r="AH151" i="289"/>
  <c r="AI151" i="289" s="1"/>
  <c r="AA151" i="289"/>
  <c r="AB151" i="289"/>
  <c r="AH155" i="289"/>
  <c r="AI155" i="289" s="1"/>
  <c r="AA155" i="289"/>
  <c r="AB155" i="289"/>
  <c r="AH159" i="289"/>
  <c r="AI159" i="289" s="1"/>
  <c r="AA159" i="289"/>
  <c r="AB159" i="289"/>
  <c r="AJ159" i="289" s="1"/>
  <c r="AX159" i="289" s="1"/>
  <c r="BB159" i="289" s="1"/>
  <c r="BD159" i="289" s="1"/>
  <c r="AH163" i="289"/>
  <c r="AI163" i="289" s="1"/>
  <c r="AA163" i="289"/>
  <c r="AB163" i="289"/>
  <c r="AJ163" i="289" s="1"/>
  <c r="AX163" i="289" s="1"/>
  <c r="BB163" i="289" s="1"/>
  <c r="BD163" i="289" s="1"/>
  <c r="AH167" i="289"/>
  <c r="AI167" i="289" s="1"/>
  <c r="AA167" i="289"/>
  <c r="AB167" i="289"/>
  <c r="AH171" i="289"/>
  <c r="AI171" i="289" s="1"/>
  <c r="AA171" i="289"/>
  <c r="AB171" i="289"/>
  <c r="AH175" i="289"/>
  <c r="AI175" i="289" s="1"/>
  <c r="AA175" i="289"/>
  <c r="AB175" i="289"/>
  <c r="AJ175" i="289" s="1"/>
  <c r="AX175" i="289" s="1"/>
  <c r="BB175" i="289" s="1"/>
  <c r="BD175" i="289" s="1"/>
  <c r="AB30" i="288"/>
  <c r="AG30" i="288"/>
  <c r="AH30" i="288" s="1"/>
  <c r="AA30" i="288"/>
  <c r="AI44" i="288"/>
  <c r="AS44" i="288" s="1"/>
  <c r="AI63" i="288"/>
  <c r="AS63" i="288" s="1"/>
  <c r="AI79" i="288"/>
  <c r="AS79" i="288" s="1"/>
  <c r="AI95" i="288"/>
  <c r="AS95" i="288" s="1"/>
  <c r="AG142" i="288"/>
  <c r="AH142" i="288" s="1"/>
  <c r="AA142" i="288"/>
  <c r="AB142" i="288"/>
  <c r="AB35" i="290"/>
  <c r="AI35" i="290" s="1"/>
  <c r="AV35" i="290" s="1"/>
  <c r="AG35" i="290"/>
  <c r="AH35" i="290" s="1"/>
  <c r="AA35" i="290"/>
  <c r="AG38" i="290"/>
  <c r="AH38" i="290" s="1"/>
  <c r="AA38" i="290"/>
  <c r="AB38" i="290"/>
  <c r="AI38" i="290" s="1"/>
  <c r="AV38" i="290" s="1"/>
  <c r="AA62" i="290"/>
  <c r="AB62" i="290"/>
  <c r="AG62" i="290"/>
  <c r="AH62" i="290" s="1"/>
  <c r="AI102" i="288"/>
  <c r="AS102" i="288" s="1"/>
  <c r="AI126" i="288"/>
  <c r="AS126" i="288" s="1"/>
  <c r="AI134" i="288"/>
  <c r="AS134" i="288" s="1"/>
  <c r="AZ9" i="290"/>
  <c r="AB15" i="290"/>
  <c r="AG15" i="290"/>
  <c r="AH15" i="290" s="1"/>
  <c r="AA15" i="290"/>
  <c r="AI18" i="290"/>
  <c r="AV18" i="290" s="1"/>
  <c r="AI22" i="290"/>
  <c r="AV22" i="290" s="1"/>
  <c r="AI26" i="290"/>
  <c r="AV26" i="290" s="1"/>
  <c r="AG30" i="290"/>
  <c r="AH30" i="290" s="1"/>
  <c r="AA30" i="290"/>
  <c r="AB30" i="290"/>
  <c r="AA51" i="290"/>
  <c r="AB51" i="290"/>
  <c r="AI51" i="290" s="1"/>
  <c r="AV51" i="290" s="1"/>
  <c r="AG51" i="290"/>
  <c r="AH51" i="290" s="1"/>
  <c r="AI140" i="288"/>
  <c r="AS140" i="288" s="1"/>
  <c r="AI144" i="288"/>
  <c r="AS144" i="288" s="1"/>
  <c r="AH10" i="290"/>
  <c r="AA29" i="290"/>
  <c r="AB29" i="290"/>
  <c r="AI29" i="290" s="1"/>
  <c r="AV29" i="290" s="1"/>
  <c r="AG29" i="290"/>
  <c r="AH29" i="290" s="1"/>
  <c r="AG82" i="290"/>
  <c r="AH82" i="290" s="1"/>
  <c r="AA82" i="290"/>
  <c r="AB82" i="290"/>
  <c r="AI82" i="290" s="1"/>
  <c r="AV82" i="290" s="1"/>
  <c r="AB12" i="297"/>
  <c r="AI12" i="297" s="1"/>
  <c r="AV12" i="297" s="1"/>
  <c r="AW12" i="297" s="1"/>
  <c r="AY12" i="297" s="1"/>
  <c r="AG12" i="297"/>
  <c r="AH12" i="297" s="1"/>
  <c r="AB55" i="297"/>
  <c r="AG55" i="297"/>
  <c r="AH55" i="297" s="1"/>
  <c r="AB61" i="297"/>
  <c r="AI61" i="297" s="1"/>
  <c r="AV61" i="297" s="1"/>
  <c r="AW61" i="297" s="1"/>
  <c r="AG61" i="297"/>
  <c r="AH61" i="297" s="1"/>
  <c r="AG93" i="297"/>
  <c r="AH93" i="297" s="1"/>
  <c r="AB93" i="297"/>
  <c r="AI93" i="297" s="1"/>
  <c r="AV93" i="297" s="1"/>
  <c r="AW93" i="297" s="1"/>
  <c r="AY93" i="297" s="1"/>
  <c r="AI52" i="290"/>
  <c r="AV52" i="290" s="1"/>
  <c r="AR52" i="297"/>
  <c r="AB59" i="297"/>
  <c r="AG59" i="297"/>
  <c r="AH59" i="297" s="1"/>
  <c r="AI64" i="297"/>
  <c r="AV64" i="297" s="1"/>
  <c r="AW64" i="297" s="1"/>
  <c r="AY64" i="297" s="1"/>
  <c r="AB75" i="297"/>
  <c r="AG75" i="297"/>
  <c r="AH75" i="297" s="1"/>
  <c r="I43" i="301"/>
  <c r="J43" i="301" s="1"/>
  <c r="M43" i="301" s="1"/>
  <c r="AB44" i="269"/>
  <c r="AA13" i="290"/>
  <c r="AA95" i="290" s="1"/>
  <c r="AB13" i="290"/>
  <c r="AI13" i="290" s="1"/>
  <c r="AV13" i="290" s="1"/>
  <c r="AG13" i="290"/>
  <c r="AH13" i="290" s="1"/>
  <c r="AI32" i="290"/>
  <c r="AV32" i="290" s="1"/>
  <c r="AG55" i="290"/>
  <c r="AH55" i="290" s="1"/>
  <c r="AA55" i="290"/>
  <c r="AB55" i="290"/>
  <c r="AI55" i="290" s="1"/>
  <c r="AV55" i="290" s="1"/>
  <c r="AA69" i="290"/>
  <c r="AB69" i="290"/>
  <c r="AG69" i="290"/>
  <c r="AH69" i="290" s="1"/>
  <c r="AI11" i="297"/>
  <c r="AV11" i="297" s="1"/>
  <c r="AW11" i="297" s="1"/>
  <c r="AY11" i="297" s="1"/>
  <c r="AI57" i="297"/>
  <c r="AV57" i="297" s="1"/>
  <c r="AW57" i="297" s="1"/>
  <c r="AY57" i="297" s="1"/>
  <c r="AI76" i="297"/>
  <c r="AG101" i="297"/>
  <c r="AH101" i="297" s="1"/>
  <c r="AB101" i="297"/>
  <c r="AG91" i="290"/>
  <c r="AH91" i="290" s="1"/>
  <c r="AA91" i="290"/>
  <c r="AB91" i="290"/>
  <c r="AI91" i="290" s="1"/>
  <c r="AV91" i="290" s="1"/>
  <c r="AB51" i="297"/>
  <c r="AI51" i="297" s="1"/>
  <c r="AV51" i="297" s="1"/>
  <c r="AW51" i="297" s="1"/>
  <c r="AY51" i="297" s="1"/>
  <c r="AG51" i="297"/>
  <c r="AH51" i="297" s="1"/>
  <c r="Q501" i="269"/>
  <c r="I65" i="301"/>
  <c r="J65" i="301" s="1"/>
  <c r="M65" i="301" s="1"/>
  <c r="AB66" i="269"/>
  <c r="I81" i="301"/>
  <c r="J81" i="301" s="1"/>
  <c r="M81" i="301" s="1"/>
  <c r="AB82" i="269"/>
  <c r="I97" i="301"/>
  <c r="J97" i="301" s="1"/>
  <c r="M97" i="301" s="1"/>
  <c r="AB98" i="269"/>
  <c r="I113" i="301"/>
  <c r="J113" i="301" s="1"/>
  <c r="M113" i="301" s="1"/>
  <c r="AB114" i="269"/>
  <c r="I129" i="301"/>
  <c r="J129" i="301" s="1"/>
  <c r="M129" i="301" s="1"/>
  <c r="AB130" i="269"/>
  <c r="AB196" i="269"/>
  <c r="I195" i="301"/>
  <c r="J195" i="301" s="1"/>
  <c r="M195" i="301" s="1"/>
  <c r="AB218" i="269"/>
  <c r="I217" i="301"/>
  <c r="J217" i="301" s="1"/>
  <c r="M217" i="301" s="1"/>
  <c r="I237" i="301"/>
  <c r="J237" i="301" s="1"/>
  <c r="M237" i="301" s="1"/>
  <c r="AB238" i="269"/>
  <c r="I253" i="301"/>
  <c r="J253" i="301" s="1"/>
  <c r="M253" i="301" s="1"/>
  <c r="AB254" i="269"/>
  <c r="I269" i="301"/>
  <c r="J269" i="301" s="1"/>
  <c r="M269" i="301" s="1"/>
  <c r="AB270" i="269"/>
  <c r="AA65" i="290"/>
  <c r="AB65" i="290"/>
  <c r="AI65" i="290" s="1"/>
  <c r="AV65" i="290" s="1"/>
  <c r="AG65" i="290"/>
  <c r="AH65" i="290" s="1"/>
  <c r="AB62" i="297"/>
  <c r="AG62" i="297"/>
  <c r="AH62" i="297" s="1"/>
  <c r="AI94" i="297"/>
  <c r="AV94" i="297" s="1"/>
  <c r="AW94" i="297" s="1"/>
  <c r="AY94" i="297" s="1"/>
  <c r="I23" i="301"/>
  <c r="J23" i="301" s="1"/>
  <c r="M23" i="301" s="1"/>
  <c r="AB24" i="269"/>
  <c r="AB47" i="269"/>
  <c r="I46" i="301"/>
  <c r="J46" i="301" s="1"/>
  <c r="M46" i="301" s="1"/>
  <c r="I64" i="301"/>
  <c r="J64" i="301" s="1"/>
  <c r="M64" i="301" s="1"/>
  <c r="AB65" i="269"/>
  <c r="I80" i="301"/>
  <c r="J80" i="301" s="1"/>
  <c r="M80" i="301" s="1"/>
  <c r="AB81" i="269"/>
  <c r="I96" i="301"/>
  <c r="J96" i="301" s="1"/>
  <c r="M96" i="301" s="1"/>
  <c r="AB97" i="269"/>
  <c r="I112" i="301"/>
  <c r="J112" i="301" s="1"/>
  <c r="M112" i="301" s="1"/>
  <c r="AB113" i="269"/>
  <c r="I128" i="301"/>
  <c r="J128" i="301" s="1"/>
  <c r="M128" i="301" s="1"/>
  <c r="AB129" i="269"/>
  <c r="I208" i="301"/>
  <c r="J208" i="301" s="1"/>
  <c r="M208" i="301" s="1"/>
  <c r="AB209" i="269"/>
  <c r="I224" i="301"/>
  <c r="J224" i="301" s="1"/>
  <c r="M224" i="301" s="1"/>
  <c r="AB225" i="269"/>
  <c r="AB368" i="269"/>
  <c r="I367" i="301"/>
  <c r="J367" i="301" s="1"/>
  <c r="M367" i="301" s="1"/>
  <c r="AB376" i="269"/>
  <c r="I375" i="301"/>
  <c r="J375" i="301" s="1"/>
  <c r="M375" i="301" s="1"/>
  <c r="AB384" i="269"/>
  <c r="I383" i="301"/>
  <c r="J383" i="301" s="1"/>
  <c r="M383" i="301" s="1"/>
  <c r="AB392" i="269"/>
  <c r="I391" i="301"/>
  <c r="J391" i="301" s="1"/>
  <c r="M391" i="301" s="1"/>
  <c r="AB495" i="269"/>
  <c r="I494" i="301"/>
  <c r="J494" i="301" s="1"/>
  <c r="M494" i="301" s="1"/>
  <c r="AG67" i="290"/>
  <c r="AH67" i="290" s="1"/>
  <c r="AA67" i="290"/>
  <c r="AB67" i="290"/>
  <c r="AI67" i="290" s="1"/>
  <c r="AV67" i="290" s="1"/>
  <c r="AB70" i="297"/>
  <c r="AI70" i="297" s="1"/>
  <c r="AV70" i="297" s="1"/>
  <c r="AW70" i="297" s="1"/>
  <c r="AY70" i="297" s="1"/>
  <c r="AG70" i="297"/>
  <c r="AH70" i="297" s="1"/>
  <c r="AB84" i="297"/>
  <c r="AG84" i="297"/>
  <c r="AH84" i="297" s="1"/>
  <c r="I15" i="301"/>
  <c r="AB16" i="269"/>
  <c r="AB60" i="269"/>
  <c r="I59" i="301"/>
  <c r="J59" i="301" s="1"/>
  <c r="M59" i="301" s="1"/>
  <c r="AB76" i="269"/>
  <c r="I75" i="301"/>
  <c r="J75" i="301" s="1"/>
  <c r="M75" i="301" s="1"/>
  <c r="AB92" i="269"/>
  <c r="I91" i="301"/>
  <c r="J91" i="301" s="1"/>
  <c r="M91" i="301" s="1"/>
  <c r="AB108" i="269"/>
  <c r="I107" i="301"/>
  <c r="J107" i="301" s="1"/>
  <c r="M107" i="301" s="1"/>
  <c r="AB124" i="269"/>
  <c r="I123" i="301"/>
  <c r="J123" i="301" s="1"/>
  <c r="M123" i="301" s="1"/>
  <c r="AB140" i="269"/>
  <c r="I139" i="301"/>
  <c r="J139" i="301" s="1"/>
  <c r="M139" i="301" s="1"/>
  <c r="I213" i="301"/>
  <c r="J213" i="301" s="1"/>
  <c r="M213" i="301" s="1"/>
  <c r="AB214" i="269"/>
  <c r="I233" i="301"/>
  <c r="J233" i="301" s="1"/>
  <c r="M233" i="301" s="1"/>
  <c r="AB234" i="269"/>
  <c r="AB250" i="269"/>
  <c r="I249" i="301"/>
  <c r="J249" i="301" s="1"/>
  <c r="M249" i="301" s="1"/>
  <c r="I265" i="301"/>
  <c r="J265" i="301" s="1"/>
  <c r="M265" i="301" s="1"/>
  <c r="AB266" i="269"/>
  <c r="AV41" i="297"/>
  <c r="AW41" i="297" s="1"/>
  <c r="AY41" i="297" s="1"/>
  <c r="AG89" i="297"/>
  <c r="AH89" i="297" s="1"/>
  <c r="AB89" i="297"/>
  <c r="AB39" i="269"/>
  <c r="I38" i="301"/>
  <c r="J38" i="301" s="1"/>
  <c r="M38" i="301" s="1"/>
  <c r="O45" i="301"/>
  <c r="P45" i="301" s="1"/>
  <c r="Q45" i="301"/>
  <c r="U45" i="301" s="1"/>
  <c r="I78" i="301"/>
  <c r="J78" i="301" s="1"/>
  <c r="M78" i="301" s="1"/>
  <c r="AB79" i="269"/>
  <c r="Q161" i="301"/>
  <c r="O161" i="301"/>
  <c r="P161" i="301" s="1"/>
  <c r="Q177" i="301"/>
  <c r="O177" i="301"/>
  <c r="P177" i="301" s="1"/>
  <c r="AB252" i="269"/>
  <c r="I251" i="301"/>
  <c r="J251" i="301" s="1"/>
  <c r="M251" i="301" s="1"/>
  <c r="AB466" i="269"/>
  <c r="I465" i="301"/>
  <c r="J465" i="301" s="1"/>
  <c r="M465" i="301" s="1"/>
  <c r="AB492" i="269"/>
  <c r="I491" i="301"/>
  <c r="J491" i="301" s="1"/>
  <c r="M491" i="301" s="1"/>
  <c r="AB244" i="269"/>
  <c r="I243" i="301"/>
  <c r="J243" i="301" s="1"/>
  <c r="M243" i="301" s="1"/>
  <c r="L110" i="297"/>
  <c r="L108" i="297"/>
  <c r="O36" i="301"/>
  <c r="P36" i="301" s="1"/>
  <c r="Q36" i="301"/>
  <c r="U36" i="301" s="1"/>
  <c r="AB67" i="269"/>
  <c r="I66" i="301"/>
  <c r="J66" i="301" s="1"/>
  <c r="M66" i="301" s="1"/>
  <c r="AB131" i="269"/>
  <c r="I130" i="301"/>
  <c r="J130" i="301" s="1"/>
  <c r="M130" i="301" s="1"/>
  <c r="AB299" i="269"/>
  <c r="I298" i="301"/>
  <c r="J298" i="301" s="1"/>
  <c r="M298" i="301" s="1"/>
  <c r="AB371" i="269"/>
  <c r="I370" i="301"/>
  <c r="J370" i="301" s="1"/>
  <c r="M370" i="301" s="1"/>
  <c r="AB426" i="269"/>
  <c r="I425" i="301"/>
  <c r="J425" i="301" s="1"/>
  <c r="M425" i="301" s="1"/>
  <c r="Q476" i="301"/>
  <c r="O476" i="301"/>
  <c r="P476" i="301" s="1"/>
  <c r="AB75" i="269"/>
  <c r="I74" i="301"/>
  <c r="J74" i="301" s="1"/>
  <c r="M74" i="301" s="1"/>
  <c r="AB379" i="269"/>
  <c r="I378" i="301"/>
  <c r="J378" i="301" s="1"/>
  <c r="M378" i="301" s="1"/>
  <c r="Q30" i="301"/>
  <c r="U30" i="301" s="1"/>
  <c r="O30" i="301"/>
  <c r="P30" i="301" s="1"/>
  <c r="Q49" i="301"/>
  <c r="U49" i="301" s="1"/>
  <c r="O49" i="301"/>
  <c r="P49" i="301" s="1"/>
  <c r="I86" i="301"/>
  <c r="J86" i="301" s="1"/>
  <c r="M86" i="301" s="1"/>
  <c r="AB87" i="269"/>
  <c r="Q198" i="301"/>
  <c r="O198" i="301"/>
  <c r="P198" i="301" s="1"/>
  <c r="AB236" i="269"/>
  <c r="I235" i="301"/>
  <c r="J235" i="301" s="1"/>
  <c r="M235" i="301" s="1"/>
  <c r="AI512" i="318"/>
  <c r="BG6" i="312"/>
  <c r="AJ8" i="318"/>
  <c r="AK9" i="318"/>
  <c r="AQ503" i="318" s="1"/>
  <c r="AH512" i="318"/>
  <c r="I142" i="301"/>
  <c r="J142" i="301" s="1"/>
  <c r="M142" i="301" s="1"/>
  <c r="AB143" i="269"/>
  <c r="AB156" i="269"/>
  <c r="I155" i="301"/>
  <c r="J155" i="301" s="1"/>
  <c r="M155" i="301" s="1"/>
  <c r="AB172" i="269"/>
  <c r="I171" i="301"/>
  <c r="J171" i="301" s="1"/>
  <c r="M171" i="301" s="1"/>
  <c r="AB303" i="269"/>
  <c r="I302" i="301"/>
  <c r="J302" i="301" s="1"/>
  <c r="M302" i="301" s="1"/>
  <c r="I205" i="301"/>
  <c r="J205" i="301" s="1"/>
  <c r="M205" i="301" s="1"/>
  <c r="AB206" i="269"/>
  <c r="AO270" i="318"/>
  <c r="AP270" i="318"/>
  <c r="H275" i="269" s="1"/>
  <c r="I275" i="269" s="1"/>
  <c r="X275" i="269" s="1"/>
  <c r="AP302" i="318"/>
  <c r="H307" i="269" s="1"/>
  <c r="I307" i="269" s="1"/>
  <c r="X307" i="269" s="1"/>
  <c r="AO302" i="318"/>
  <c r="AR318" i="318"/>
  <c r="AR316" i="318" s="1"/>
  <c r="AS318" i="318"/>
  <c r="H321" i="269" s="1"/>
  <c r="I321" i="269" s="1"/>
  <c r="X321" i="269" s="1"/>
  <c r="AM510" i="318"/>
  <c r="AI514" i="318" s="1"/>
  <c r="AI521" i="318" s="1"/>
  <c r="AM521" i="318" s="1"/>
  <c r="AP273" i="318"/>
  <c r="H278" i="269" s="1"/>
  <c r="I278" i="269" s="1"/>
  <c r="X278" i="269" s="1"/>
  <c r="AO273" i="318"/>
  <c r="AO288" i="318"/>
  <c r="AP288" i="318"/>
  <c r="H293" i="269" s="1"/>
  <c r="I293" i="269" s="1"/>
  <c r="X293" i="269" s="1"/>
  <c r="AQ295" i="318"/>
  <c r="L300" i="269" s="1"/>
  <c r="M300" i="269" s="1"/>
  <c r="X300" i="269" s="1"/>
  <c r="AO295" i="318"/>
  <c r="AB317" i="269"/>
  <c r="I316" i="301"/>
  <c r="J316" i="301" s="1"/>
  <c r="M316" i="301" s="1"/>
  <c r="AB327" i="269"/>
  <c r="I326" i="301"/>
  <c r="J326" i="301" s="1"/>
  <c r="M326" i="301" s="1"/>
  <c r="AB331" i="269"/>
  <c r="I330" i="301"/>
  <c r="J330" i="301" s="1"/>
  <c r="M330" i="301" s="1"/>
  <c r="AB335" i="269"/>
  <c r="I334" i="301"/>
  <c r="J334" i="301" s="1"/>
  <c r="M334" i="301" s="1"/>
  <c r="AR336" i="318"/>
  <c r="AS336" i="318"/>
  <c r="H339" i="269" s="1"/>
  <c r="I339" i="269" s="1"/>
  <c r="X339" i="269" s="1"/>
  <c r="AR351" i="318"/>
  <c r="AS351" i="318"/>
  <c r="H354" i="269" s="1"/>
  <c r="I354" i="269" s="1"/>
  <c r="X354" i="269" s="1"/>
  <c r="AR355" i="318"/>
  <c r="AS355" i="318"/>
  <c r="H358" i="269" s="1"/>
  <c r="I358" i="269" s="1"/>
  <c r="X358" i="269" s="1"/>
  <c r="AB382" i="269"/>
  <c r="I381" i="301"/>
  <c r="J381" i="301" s="1"/>
  <c r="M381" i="301" s="1"/>
  <c r="AB445" i="269"/>
  <c r="I444" i="301"/>
  <c r="J444" i="301" s="1"/>
  <c r="M444" i="301" s="1"/>
  <c r="AB146" i="269"/>
  <c r="I145" i="301"/>
  <c r="J145" i="301" s="1"/>
  <c r="M145" i="301" s="1"/>
  <c r="AB154" i="269"/>
  <c r="I153" i="301"/>
  <c r="J153" i="301" s="1"/>
  <c r="M153" i="301" s="1"/>
  <c r="I191" i="301"/>
  <c r="J191" i="301" s="1"/>
  <c r="M191" i="301" s="1"/>
  <c r="AB192" i="269"/>
  <c r="AN266" i="318"/>
  <c r="AG509" i="318" s="1"/>
  <c r="AP303" i="318"/>
  <c r="H308" i="269" s="1"/>
  <c r="I308" i="269" s="1"/>
  <c r="X308" i="269" s="1"/>
  <c r="AO303" i="318"/>
  <c r="AQ316" i="318"/>
  <c r="AM509" i="318" s="1"/>
  <c r="AH514" i="318" s="1"/>
  <c r="AT317" i="318"/>
  <c r="AB323" i="269"/>
  <c r="I322" i="301"/>
  <c r="J322" i="301" s="1"/>
  <c r="M322" i="301" s="1"/>
  <c r="AB465" i="269"/>
  <c r="I464" i="301"/>
  <c r="J464" i="301" s="1"/>
  <c r="M464" i="301" s="1"/>
  <c r="AP269" i="318"/>
  <c r="H274" i="269" s="1"/>
  <c r="I274" i="269" s="1"/>
  <c r="X274" i="269" s="1"/>
  <c r="AO269" i="318"/>
  <c r="AP285" i="318"/>
  <c r="H290" i="269" s="1"/>
  <c r="I290" i="269" s="1"/>
  <c r="X290" i="269" s="1"/>
  <c r="AO285" i="318"/>
  <c r="I364" i="301"/>
  <c r="J364" i="301" s="1"/>
  <c r="M364" i="301" s="1"/>
  <c r="AB365" i="269"/>
  <c r="I368" i="301"/>
  <c r="J368" i="301" s="1"/>
  <c r="M368" i="301" s="1"/>
  <c r="AB369" i="269"/>
  <c r="I372" i="301"/>
  <c r="J372" i="301" s="1"/>
  <c r="M372" i="301" s="1"/>
  <c r="AB373" i="269"/>
  <c r="AQ279" i="318"/>
  <c r="L284" i="269" s="1"/>
  <c r="M284" i="269" s="1"/>
  <c r="X284" i="269" s="1"/>
  <c r="AO279" i="318"/>
  <c r="AB322" i="269"/>
  <c r="I321" i="301"/>
  <c r="J321" i="301" s="1"/>
  <c r="M321" i="301" s="1"/>
  <c r="AB408" i="269"/>
  <c r="I407" i="301"/>
  <c r="J407" i="301" s="1"/>
  <c r="M407" i="301" s="1"/>
  <c r="AB413" i="269"/>
  <c r="I412" i="301"/>
  <c r="J412" i="301" s="1"/>
  <c r="M412" i="301" s="1"/>
  <c r="AB448" i="269"/>
  <c r="I447" i="301"/>
  <c r="J447" i="301" s="1"/>
  <c r="M447" i="301" s="1"/>
  <c r="AB342" i="269"/>
  <c r="I341" i="301"/>
  <c r="J341" i="301" s="1"/>
  <c r="M341" i="301" s="1"/>
  <c r="AG499" i="318"/>
  <c r="AB446" i="269"/>
  <c r="I445" i="301"/>
  <c r="J445" i="301" s="1"/>
  <c r="M445" i="301" s="1"/>
  <c r="AO409" i="318"/>
  <c r="AS409" i="318"/>
  <c r="J410" i="269" s="1"/>
  <c r="K410" i="269" s="1"/>
  <c r="X410" i="269" s="1"/>
  <c r="AR460" i="318"/>
  <c r="AR453" i="318" s="1"/>
  <c r="AS460" i="318"/>
  <c r="J461" i="269" s="1"/>
  <c r="K461" i="269" s="1"/>
  <c r="X461" i="269" s="1"/>
  <c r="AR478" i="318"/>
  <c r="AV178" i="289"/>
  <c r="I420" i="301"/>
  <c r="J420" i="301" s="1"/>
  <c r="M420" i="301" s="1"/>
  <c r="AB421" i="269"/>
  <c r="AB460" i="269"/>
  <c r="I459" i="301"/>
  <c r="J459" i="301" s="1"/>
  <c r="M459" i="301" s="1"/>
  <c r="AH10" i="289"/>
  <c r="AA10" i="289"/>
  <c r="AB10" i="289"/>
  <c r="Z178" i="289"/>
  <c r="AB27" i="289"/>
  <c r="AJ27" i="289" s="1"/>
  <c r="AX27" i="289" s="1"/>
  <c r="BB27" i="289" s="1"/>
  <c r="BD27" i="289" s="1"/>
  <c r="AH27" i="289"/>
  <c r="AI27" i="289" s="1"/>
  <c r="AA27" i="289"/>
  <c r="AH37" i="289"/>
  <c r="AI37" i="289" s="1"/>
  <c r="AA37" i="289"/>
  <c r="AB37" i="289"/>
  <c r="AB51" i="289"/>
  <c r="AH51" i="289"/>
  <c r="AI51" i="289" s="1"/>
  <c r="AA51" i="289"/>
  <c r="AH86" i="289"/>
  <c r="AI86" i="289" s="1"/>
  <c r="AA86" i="289"/>
  <c r="AB86" i="289"/>
  <c r="AJ86" i="289" s="1"/>
  <c r="AX86" i="289" s="1"/>
  <c r="BB86" i="289" s="1"/>
  <c r="BD86" i="289" s="1"/>
  <c r="AS482" i="318"/>
  <c r="J483" i="269" s="1"/>
  <c r="K483" i="269" s="1"/>
  <c r="X483" i="269" s="1"/>
  <c r="AR482" i="318"/>
  <c r="AP11" i="289"/>
  <c r="AP178" i="289" s="1"/>
  <c r="AO178" i="289"/>
  <c r="AB31" i="289"/>
  <c r="AJ31" i="289" s="1"/>
  <c r="AX31" i="289" s="1"/>
  <c r="BB31" i="289" s="1"/>
  <c r="BD31" i="289" s="1"/>
  <c r="AH31" i="289"/>
  <c r="AI31" i="289" s="1"/>
  <c r="AA31" i="289"/>
  <c r="AB65" i="289"/>
  <c r="AJ65" i="289" s="1"/>
  <c r="AX65" i="289" s="1"/>
  <c r="BB65" i="289" s="1"/>
  <c r="BD65" i="289" s="1"/>
  <c r="AH65" i="289"/>
  <c r="AI65" i="289" s="1"/>
  <c r="AA65" i="289"/>
  <c r="AH88" i="289"/>
  <c r="AI88" i="289" s="1"/>
  <c r="AA88" i="289"/>
  <c r="AB88" i="289"/>
  <c r="AJ88" i="289" s="1"/>
  <c r="AX88" i="289" s="1"/>
  <c r="BB88" i="289" s="1"/>
  <c r="BD88" i="289" s="1"/>
  <c r="I149" i="301"/>
  <c r="J149" i="301" s="1"/>
  <c r="M149" i="301" s="1"/>
  <c r="AB150" i="269"/>
  <c r="AP453" i="318"/>
  <c r="AO509" i="318" s="1"/>
  <c r="AH515" i="318" s="1"/>
  <c r="AB482" i="269"/>
  <c r="I481" i="301"/>
  <c r="J481" i="301" s="1"/>
  <c r="M481" i="301" s="1"/>
  <c r="AB35" i="289"/>
  <c r="AH35" i="289"/>
  <c r="AI35" i="289" s="1"/>
  <c r="AA35" i="289"/>
  <c r="AJ45" i="289"/>
  <c r="AX45" i="289" s="1"/>
  <c r="BB45" i="289" s="1"/>
  <c r="BD45" i="289" s="1"/>
  <c r="AB67" i="289"/>
  <c r="AH67" i="289"/>
  <c r="AI67" i="289" s="1"/>
  <c r="AA67" i="289"/>
  <c r="AJ76" i="289"/>
  <c r="AX76" i="289" s="1"/>
  <c r="BB76" i="289" s="1"/>
  <c r="BD76" i="289" s="1"/>
  <c r="AH103" i="289"/>
  <c r="AI103" i="289" s="1"/>
  <c r="AA103" i="289"/>
  <c r="AB103" i="289"/>
  <c r="AJ103" i="289" s="1"/>
  <c r="AX103" i="289" s="1"/>
  <c r="BB103" i="289" s="1"/>
  <c r="BD103" i="289" s="1"/>
  <c r="AB10" i="288"/>
  <c r="AG10" i="288"/>
  <c r="AA10" i="288"/>
  <c r="Z148" i="288"/>
  <c r="AB26" i="288"/>
  <c r="AG26" i="288"/>
  <c r="AH26" i="288" s="1"/>
  <c r="AA26" i="288"/>
  <c r="AH42" i="289"/>
  <c r="AI42" i="289" s="1"/>
  <c r="AA42" i="289"/>
  <c r="AB42" i="289"/>
  <c r="BD96" i="289"/>
  <c r="AH121" i="289"/>
  <c r="AI121" i="289" s="1"/>
  <c r="AA121" i="289"/>
  <c r="AB121" i="289"/>
  <c r="AJ121" i="289" s="1"/>
  <c r="AX121" i="289" s="1"/>
  <c r="BB121" i="289" s="1"/>
  <c r="BD121" i="289" s="1"/>
  <c r="AH139" i="289"/>
  <c r="AI139" i="289" s="1"/>
  <c r="AA139" i="289"/>
  <c r="AB139" i="289"/>
  <c r="AB59" i="289"/>
  <c r="AJ59" i="289" s="1"/>
  <c r="AX59" i="289" s="1"/>
  <c r="BB59" i="289" s="1"/>
  <c r="BD59" i="289" s="1"/>
  <c r="AH59" i="289"/>
  <c r="AI59" i="289" s="1"/>
  <c r="AA59" i="289"/>
  <c r="AB85" i="289"/>
  <c r="AH85" i="289"/>
  <c r="AI85" i="289" s="1"/>
  <c r="AA85" i="289"/>
  <c r="AH123" i="289"/>
  <c r="AI123" i="289" s="1"/>
  <c r="AA123" i="289"/>
  <c r="AB123" i="289"/>
  <c r="AJ123" i="289" s="1"/>
  <c r="AX123" i="289" s="1"/>
  <c r="BB123" i="289" s="1"/>
  <c r="BD123" i="289" s="1"/>
  <c r="AN17" i="288"/>
  <c r="AP17" i="288"/>
  <c r="AS17" i="288" s="1"/>
  <c r="AA95" i="289"/>
  <c r="AB95" i="289"/>
  <c r="AJ95" i="289" s="1"/>
  <c r="AX95" i="289" s="1"/>
  <c r="BB95" i="289" s="1"/>
  <c r="BD95" i="289" s="1"/>
  <c r="AH95" i="289"/>
  <c r="AI95" i="289" s="1"/>
  <c r="AB51" i="288"/>
  <c r="AG51" i="288"/>
  <c r="AH51" i="288" s="1"/>
  <c r="AA51" i="288"/>
  <c r="AG64" i="288"/>
  <c r="AH64" i="288" s="1"/>
  <c r="AA64" i="288"/>
  <c r="AB64" i="288"/>
  <c r="AI64" i="288" s="1"/>
  <c r="AS64" i="288" s="1"/>
  <c r="AG80" i="288"/>
  <c r="AH80" i="288" s="1"/>
  <c r="AA80" i="288"/>
  <c r="AB80" i="288"/>
  <c r="AG96" i="288"/>
  <c r="AH96" i="288" s="1"/>
  <c r="AA96" i="288"/>
  <c r="AB96" i="288"/>
  <c r="AB105" i="288"/>
  <c r="AA105" i="288"/>
  <c r="AG105" i="288"/>
  <c r="AH105" i="288" s="1"/>
  <c r="AB118" i="288"/>
  <c r="AA118" i="288"/>
  <c r="AG118" i="288"/>
  <c r="AH118" i="288" s="1"/>
  <c r="AB122" i="288"/>
  <c r="AI122" i="288" s="1"/>
  <c r="AS122" i="288" s="1"/>
  <c r="AA122" i="288"/>
  <c r="AG122" i="288"/>
  <c r="AH122" i="288" s="1"/>
  <c r="AB129" i="288"/>
  <c r="AI129" i="288" s="1"/>
  <c r="AS129" i="288" s="1"/>
  <c r="AA129" i="288"/>
  <c r="AG129" i="288"/>
  <c r="AH129" i="288" s="1"/>
  <c r="AB139" i="288"/>
  <c r="AG139" i="288"/>
  <c r="AH139" i="288" s="1"/>
  <c r="AA139" i="288"/>
  <c r="AH137" i="289"/>
  <c r="AI137" i="289" s="1"/>
  <c r="AA137" i="289"/>
  <c r="AB137" i="289"/>
  <c r="AJ137" i="289" s="1"/>
  <c r="AX137" i="289" s="1"/>
  <c r="BB137" i="289" s="1"/>
  <c r="BD137" i="289" s="1"/>
  <c r="AG27" i="288"/>
  <c r="AH27" i="288" s="1"/>
  <c r="AA27" i="288"/>
  <c r="AB27" i="288"/>
  <c r="AA32" i="288"/>
  <c r="AB32" i="288"/>
  <c r="AI32" i="288" s="1"/>
  <c r="AS32" i="288" s="1"/>
  <c r="AG32" i="288"/>
  <c r="AH32" i="288" s="1"/>
  <c r="AA48" i="288"/>
  <c r="AB48" i="288"/>
  <c r="AI48" i="288" s="1"/>
  <c r="AS48" i="288" s="1"/>
  <c r="AG48" i="288"/>
  <c r="AH48" i="288" s="1"/>
  <c r="AP98" i="288"/>
  <c r="AN98" i="288"/>
  <c r="AJ101" i="289"/>
  <c r="AX101" i="289" s="1"/>
  <c r="BB101" i="289" s="1"/>
  <c r="BD101" i="289" s="1"/>
  <c r="AJ109" i="289"/>
  <c r="AX109" i="289" s="1"/>
  <c r="BB109" i="289" s="1"/>
  <c r="BD109" i="289" s="1"/>
  <c r="AJ117" i="289"/>
  <c r="AX117" i="289" s="1"/>
  <c r="BB117" i="289" s="1"/>
  <c r="BD117" i="289" s="1"/>
  <c r="AJ125" i="289"/>
  <c r="AX125" i="289" s="1"/>
  <c r="BB125" i="289" s="1"/>
  <c r="BD125" i="289" s="1"/>
  <c r="AJ133" i="289"/>
  <c r="AX133" i="289" s="1"/>
  <c r="BB133" i="289" s="1"/>
  <c r="BD133" i="289" s="1"/>
  <c r="AH141" i="289"/>
  <c r="AI141" i="289" s="1"/>
  <c r="AA141" i="289"/>
  <c r="AB141" i="289"/>
  <c r="AB99" i="288"/>
  <c r="AI99" i="288" s="1"/>
  <c r="AS99" i="288" s="1"/>
  <c r="AA99" i="288"/>
  <c r="AG99" i="288"/>
  <c r="AH99" i="288" s="1"/>
  <c r="AB115" i="288"/>
  <c r="AA115" i="288"/>
  <c r="AG115" i="288"/>
  <c r="AH115" i="288" s="1"/>
  <c r="AB131" i="288"/>
  <c r="AA131" i="288"/>
  <c r="AG131" i="288"/>
  <c r="AH131" i="288" s="1"/>
  <c r="AE148" i="288"/>
  <c r="AJ102" i="289"/>
  <c r="AX102" i="289" s="1"/>
  <c r="BB102" i="289" s="1"/>
  <c r="BD102" i="289" s="1"/>
  <c r="AJ118" i="289"/>
  <c r="AX118" i="289" s="1"/>
  <c r="BB118" i="289" s="1"/>
  <c r="BD118" i="289" s="1"/>
  <c r="AJ134" i="289"/>
  <c r="AX134" i="289" s="1"/>
  <c r="BB134" i="289" s="1"/>
  <c r="BD134" i="289" s="1"/>
  <c r="AA152" i="289"/>
  <c r="AH152" i="289"/>
  <c r="AI152" i="289" s="1"/>
  <c r="AB152" i="289"/>
  <c r="AJ152" i="289" s="1"/>
  <c r="AX152" i="289" s="1"/>
  <c r="BB152" i="289" s="1"/>
  <c r="BD152" i="289" s="1"/>
  <c r="AA156" i="289"/>
  <c r="AH156" i="289"/>
  <c r="AI156" i="289" s="1"/>
  <c r="AB156" i="289"/>
  <c r="AA160" i="289"/>
  <c r="AH160" i="289"/>
  <c r="AI160" i="289" s="1"/>
  <c r="AB160" i="289"/>
  <c r="AA164" i="289"/>
  <c r="AH164" i="289"/>
  <c r="AI164" i="289" s="1"/>
  <c r="AB164" i="289"/>
  <c r="AJ164" i="289" s="1"/>
  <c r="AX164" i="289" s="1"/>
  <c r="BB164" i="289" s="1"/>
  <c r="BD164" i="289" s="1"/>
  <c r="AA168" i="289"/>
  <c r="AH168" i="289"/>
  <c r="AI168" i="289" s="1"/>
  <c r="AB168" i="289"/>
  <c r="AJ168" i="289" s="1"/>
  <c r="AX168" i="289" s="1"/>
  <c r="BB168" i="289" s="1"/>
  <c r="BD168" i="289" s="1"/>
  <c r="AA172" i="289"/>
  <c r="AH172" i="289"/>
  <c r="AI172" i="289" s="1"/>
  <c r="AB172" i="289"/>
  <c r="AA176" i="289"/>
  <c r="AH176" i="289"/>
  <c r="AI176" i="289" s="1"/>
  <c r="AB176" i="289"/>
  <c r="AI20" i="288"/>
  <c r="AS20" i="288" s="1"/>
  <c r="AI36" i="288"/>
  <c r="AS36" i="288" s="1"/>
  <c r="AS67" i="288"/>
  <c r="AS83" i="288"/>
  <c r="AA41" i="290"/>
  <c r="AB41" i="290"/>
  <c r="AG41" i="290"/>
  <c r="AH41" i="290" s="1"/>
  <c r="AA66" i="290"/>
  <c r="AB66" i="290"/>
  <c r="AG66" i="290"/>
  <c r="AH66" i="290" s="1"/>
  <c r="AI114" i="288"/>
  <c r="AS114" i="288" s="1"/>
  <c r="AQ10" i="290"/>
  <c r="AQ95" i="290" s="1"/>
  <c r="AP95" i="290"/>
  <c r="AU12" i="290"/>
  <c r="AX12" i="290"/>
  <c r="AZ12" i="290" s="1"/>
  <c r="AF13" i="290"/>
  <c r="AF95" i="290" s="1"/>
  <c r="AE95" i="290"/>
  <c r="AX14" i="290"/>
  <c r="AZ14" i="290" s="1"/>
  <c r="AU14" i="290"/>
  <c r="AX17" i="290"/>
  <c r="AZ17" i="290" s="1"/>
  <c r="AU17" i="290"/>
  <c r="AX21" i="290"/>
  <c r="AZ21" i="290" s="1"/>
  <c r="AU21" i="290"/>
  <c r="AX25" i="290"/>
  <c r="AZ25" i="290" s="1"/>
  <c r="AU25" i="290"/>
  <c r="AA33" i="290"/>
  <c r="AB33" i="290"/>
  <c r="AI33" i="290" s="1"/>
  <c r="AV33" i="290" s="1"/>
  <c r="AG33" i="290"/>
  <c r="AH33" i="290" s="1"/>
  <c r="AB43" i="290"/>
  <c r="AG43" i="290"/>
  <c r="AH43" i="290" s="1"/>
  <c r="AA43" i="290"/>
  <c r="AG46" i="290"/>
  <c r="AH46" i="290" s="1"/>
  <c r="AA46" i="290"/>
  <c r="AB46" i="290"/>
  <c r="AI137" i="288"/>
  <c r="AS137" i="288" s="1"/>
  <c r="AU40" i="290"/>
  <c r="AX40" i="290"/>
  <c r="AZ40" i="290" s="1"/>
  <c r="AA45" i="290"/>
  <c r="AB45" i="290"/>
  <c r="AI45" i="290" s="1"/>
  <c r="AV45" i="290" s="1"/>
  <c r="AG45" i="290"/>
  <c r="AH45" i="290" s="1"/>
  <c r="AG86" i="290"/>
  <c r="AH86" i="290" s="1"/>
  <c r="AA86" i="290"/>
  <c r="AB86" i="290"/>
  <c r="AI86" i="290" s="1"/>
  <c r="AV86" i="290" s="1"/>
  <c r="AA37" i="290"/>
  <c r="AB37" i="290"/>
  <c r="AG37" i="290"/>
  <c r="AH37" i="290" s="1"/>
  <c r="AU73" i="290"/>
  <c r="AX73" i="290"/>
  <c r="AZ73" i="290" s="1"/>
  <c r="AU77" i="290"/>
  <c r="AX77" i="290"/>
  <c r="AZ77" i="290" s="1"/>
  <c r="AU81" i="290"/>
  <c r="AX81" i="290"/>
  <c r="AZ81" i="290" s="1"/>
  <c r="AU85" i="290"/>
  <c r="AX85" i="290"/>
  <c r="AZ85" i="290" s="1"/>
  <c r="AU89" i="290"/>
  <c r="AX89" i="290"/>
  <c r="AZ89" i="290" s="1"/>
  <c r="AU93" i="290"/>
  <c r="AX93" i="290"/>
  <c r="AZ93" i="290" s="1"/>
  <c r="AB13" i="297"/>
  <c r="AI13" i="297" s="1"/>
  <c r="AV13" i="297" s="1"/>
  <c r="AW13" i="297" s="1"/>
  <c r="AY13" i="297" s="1"/>
  <c r="AG13" i="297"/>
  <c r="AH13" i="297" s="1"/>
  <c r="AR55" i="297"/>
  <c r="AB66" i="297"/>
  <c r="AG66" i="297"/>
  <c r="AH66" i="297" s="1"/>
  <c r="AN99" i="297"/>
  <c r="AO99" i="297" s="1"/>
  <c r="AR99" i="297" s="1"/>
  <c r="AQ99" i="297"/>
  <c r="AS136" i="288"/>
  <c r="AB20" i="297"/>
  <c r="AI20" i="297" s="1"/>
  <c r="AV20" i="297" s="1"/>
  <c r="AW20" i="297" s="1"/>
  <c r="AY20" i="297" s="1"/>
  <c r="AG20" i="297"/>
  <c r="AH20" i="297" s="1"/>
  <c r="AB24" i="297"/>
  <c r="AG24" i="297"/>
  <c r="AH24" i="297" s="1"/>
  <c r="AB28" i="297"/>
  <c r="AI28" i="297" s="1"/>
  <c r="AV28" i="297" s="1"/>
  <c r="AW28" i="297" s="1"/>
  <c r="AY28" i="297" s="1"/>
  <c r="AG28" i="297"/>
  <c r="AH28" i="297" s="1"/>
  <c r="AB32" i="297"/>
  <c r="AG32" i="297"/>
  <c r="AH32" i="297" s="1"/>
  <c r="AB36" i="297"/>
  <c r="AI36" i="297" s="1"/>
  <c r="AV36" i="297" s="1"/>
  <c r="AW36" i="297" s="1"/>
  <c r="AY36" i="297" s="1"/>
  <c r="AG36" i="297"/>
  <c r="AH36" i="297" s="1"/>
  <c r="AB40" i="297"/>
  <c r="AG40" i="297"/>
  <c r="AH40" i="297" s="1"/>
  <c r="AB44" i="297"/>
  <c r="AI44" i="297" s="1"/>
  <c r="AV44" i="297" s="1"/>
  <c r="AW44" i="297" s="1"/>
  <c r="AY44" i="297" s="1"/>
  <c r="AG44" i="297"/>
  <c r="AH44" i="297" s="1"/>
  <c r="AB48" i="297"/>
  <c r="AG48" i="297"/>
  <c r="AH48" i="297" s="1"/>
  <c r="AR59" i="297"/>
  <c r="AB65" i="297"/>
  <c r="AI65" i="297" s="1"/>
  <c r="AV65" i="297" s="1"/>
  <c r="AW65" i="297" s="1"/>
  <c r="AY65" i="297" s="1"/>
  <c r="AG65" i="297"/>
  <c r="AH65" i="297" s="1"/>
  <c r="AB81" i="297"/>
  <c r="AG81" i="297"/>
  <c r="AH81" i="297" s="1"/>
  <c r="I16" i="301"/>
  <c r="J16" i="301" s="1"/>
  <c r="M16" i="301" s="1"/>
  <c r="AB17" i="269"/>
  <c r="I47" i="301"/>
  <c r="J47" i="301" s="1"/>
  <c r="M47" i="301" s="1"/>
  <c r="AB48" i="269"/>
  <c r="AU48" i="290"/>
  <c r="AX48" i="290"/>
  <c r="AZ48" i="290" s="1"/>
  <c r="AG71" i="290"/>
  <c r="AH71" i="290" s="1"/>
  <c r="AA71" i="290"/>
  <c r="AB71" i="290"/>
  <c r="AI71" i="290" s="1"/>
  <c r="AV71" i="290" s="1"/>
  <c r="AG16" i="297"/>
  <c r="AH16" i="297" s="1"/>
  <c r="AB16" i="297"/>
  <c r="AI16" i="297" s="1"/>
  <c r="AV16" i="297" s="1"/>
  <c r="AW16" i="297" s="1"/>
  <c r="AY16" i="297" s="1"/>
  <c r="AV68" i="297"/>
  <c r="AW68" i="297" s="1"/>
  <c r="AY68" i="297" s="1"/>
  <c r="AG85" i="297"/>
  <c r="AH85" i="297" s="1"/>
  <c r="AB85" i="297"/>
  <c r="AV19" i="297"/>
  <c r="AW19" i="297" s="1"/>
  <c r="AY19" i="297" s="1"/>
  <c r="AV35" i="297"/>
  <c r="AW35" i="297" s="1"/>
  <c r="AY35" i="297" s="1"/>
  <c r="AR68" i="297"/>
  <c r="AB22" i="269"/>
  <c r="I21" i="301"/>
  <c r="J21" i="301" s="1"/>
  <c r="M21" i="301" s="1"/>
  <c r="AB42" i="269"/>
  <c r="I41" i="301"/>
  <c r="J41" i="301" s="1"/>
  <c r="M41" i="301" s="1"/>
  <c r="I69" i="301"/>
  <c r="J69" i="301" s="1"/>
  <c r="M69" i="301" s="1"/>
  <c r="AB70" i="269"/>
  <c r="I85" i="301"/>
  <c r="J85" i="301" s="1"/>
  <c r="M85" i="301" s="1"/>
  <c r="AB86" i="269"/>
  <c r="I101" i="301"/>
  <c r="J101" i="301" s="1"/>
  <c r="M101" i="301" s="1"/>
  <c r="AB102" i="269"/>
  <c r="I117" i="301"/>
  <c r="J117" i="301" s="1"/>
  <c r="M117" i="301" s="1"/>
  <c r="AB118" i="269"/>
  <c r="I133" i="301"/>
  <c r="J133" i="301" s="1"/>
  <c r="M133" i="301" s="1"/>
  <c r="AB134" i="269"/>
  <c r="I196" i="301"/>
  <c r="J196" i="301" s="1"/>
  <c r="M196" i="301" s="1"/>
  <c r="AB197" i="269"/>
  <c r="AB219" i="269"/>
  <c r="I218" i="301"/>
  <c r="J218" i="301" s="1"/>
  <c r="M218" i="301" s="1"/>
  <c r="AV29" i="297"/>
  <c r="AW29" i="297" s="1"/>
  <c r="AY29" i="297" s="1"/>
  <c r="AV45" i="297"/>
  <c r="AW45" i="297" s="1"/>
  <c r="AY45" i="297" s="1"/>
  <c r="AR66" i="297"/>
  <c r="AG71" i="297"/>
  <c r="AH71" i="297" s="1"/>
  <c r="AB71" i="297"/>
  <c r="AI71" i="297" s="1"/>
  <c r="AV71" i="297" s="1"/>
  <c r="AW71" i="297" s="1"/>
  <c r="AY71" i="297" s="1"/>
  <c r="AV74" i="297"/>
  <c r="AW74" i="297" s="1"/>
  <c r="AY74" i="297" s="1"/>
  <c r="AG82" i="297"/>
  <c r="AH82" i="297" s="1"/>
  <c r="AB82" i="297"/>
  <c r="AI82" i="297" s="1"/>
  <c r="AV82" i="297" s="1"/>
  <c r="AW82" i="297" s="1"/>
  <c r="AY82" i="297" s="1"/>
  <c r="AB35" i="269"/>
  <c r="I34" i="301"/>
  <c r="J34" i="301" s="1"/>
  <c r="M34" i="301" s="1"/>
  <c r="I68" i="301"/>
  <c r="J68" i="301" s="1"/>
  <c r="M68" i="301" s="1"/>
  <c r="AB69" i="269"/>
  <c r="I84" i="301"/>
  <c r="J84" i="301" s="1"/>
  <c r="M84" i="301" s="1"/>
  <c r="AB85" i="269"/>
  <c r="I100" i="301"/>
  <c r="J100" i="301" s="1"/>
  <c r="M100" i="301" s="1"/>
  <c r="AB101" i="269"/>
  <c r="I116" i="301"/>
  <c r="J116" i="301" s="1"/>
  <c r="M116" i="301" s="1"/>
  <c r="AB117" i="269"/>
  <c r="I132" i="301"/>
  <c r="J132" i="301" s="1"/>
  <c r="M132" i="301" s="1"/>
  <c r="AB133" i="269"/>
  <c r="AB202" i="269"/>
  <c r="I201" i="301"/>
  <c r="J201" i="301" s="1"/>
  <c r="M201" i="301" s="1"/>
  <c r="I215" i="301"/>
  <c r="J215" i="301" s="1"/>
  <c r="M215" i="301" s="1"/>
  <c r="AB216" i="269"/>
  <c r="I231" i="301"/>
  <c r="J231" i="301" s="1"/>
  <c r="M231" i="301" s="1"/>
  <c r="AB232" i="269"/>
  <c r="I247" i="301"/>
  <c r="J247" i="301" s="1"/>
  <c r="M247" i="301" s="1"/>
  <c r="AB248" i="269"/>
  <c r="I263" i="301"/>
  <c r="J263" i="301" s="1"/>
  <c r="M263" i="301" s="1"/>
  <c r="AB264" i="269"/>
  <c r="AG79" i="290"/>
  <c r="AH79" i="290" s="1"/>
  <c r="AA79" i="290"/>
  <c r="AB79" i="290"/>
  <c r="AI79" i="290" s="1"/>
  <c r="AV79" i="290" s="1"/>
  <c r="AV31" i="297"/>
  <c r="AW31" i="297" s="1"/>
  <c r="AY31" i="297" s="1"/>
  <c r="AV47" i="297"/>
  <c r="AW47" i="297" s="1"/>
  <c r="AY47" i="297" s="1"/>
  <c r="AV79" i="297"/>
  <c r="AW79" i="297" s="1"/>
  <c r="AY79" i="297" s="1"/>
  <c r="AN89" i="297"/>
  <c r="AO89" i="297" s="1"/>
  <c r="AR89" i="297" s="1"/>
  <c r="AQ89" i="297"/>
  <c r="AQ107" i="297" s="1"/>
  <c r="AN92" i="297"/>
  <c r="AO92" i="297" s="1"/>
  <c r="AQ92" i="297"/>
  <c r="AB99" i="297"/>
  <c r="AI99" i="297" s="1"/>
  <c r="AV99" i="297" s="1"/>
  <c r="AW99" i="297" s="1"/>
  <c r="AY99" i="297" s="1"/>
  <c r="AG99" i="297"/>
  <c r="AH99" i="297" s="1"/>
  <c r="AB26" i="269"/>
  <c r="I25" i="301"/>
  <c r="J25" i="301" s="1"/>
  <c r="M25" i="301" s="1"/>
  <c r="I63" i="301"/>
  <c r="J63" i="301" s="1"/>
  <c r="M63" i="301" s="1"/>
  <c r="AB64" i="269"/>
  <c r="I79" i="301"/>
  <c r="J79" i="301" s="1"/>
  <c r="M79" i="301" s="1"/>
  <c r="AB80" i="269"/>
  <c r="I95" i="301"/>
  <c r="J95" i="301" s="1"/>
  <c r="M95" i="301" s="1"/>
  <c r="AB96" i="269"/>
  <c r="I111" i="301"/>
  <c r="J111" i="301" s="1"/>
  <c r="M111" i="301" s="1"/>
  <c r="AB112" i="269"/>
  <c r="I127" i="301"/>
  <c r="J127" i="301" s="1"/>
  <c r="M127" i="301" s="1"/>
  <c r="AB128" i="269"/>
  <c r="I185" i="301"/>
  <c r="J185" i="301" s="1"/>
  <c r="M185" i="301" s="1"/>
  <c r="AB186" i="269"/>
  <c r="AB215" i="269"/>
  <c r="I214" i="301"/>
  <c r="J214" i="301" s="1"/>
  <c r="M214" i="301" s="1"/>
  <c r="AB326" i="269"/>
  <c r="I325" i="301"/>
  <c r="J325" i="301" s="1"/>
  <c r="M325" i="301" s="1"/>
  <c r="AB41" i="269"/>
  <c r="I40" i="301"/>
  <c r="J40" i="301" s="1"/>
  <c r="M40" i="301" s="1"/>
  <c r="I94" i="301"/>
  <c r="J94" i="301" s="1"/>
  <c r="M94" i="301" s="1"/>
  <c r="AB95" i="269"/>
  <c r="O204" i="301"/>
  <c r="P204" i="301" s="1"/>
  <c r="Q204" i="301"/>
  <c r="Q138" i="301"/>
  <c r="O138" i="301"/>
  <c r="P138" i="301" s="1"/>
  <c r="AB88" i="297"/>
  <c r="AI88" i="297" s="1"/>
  <c r="AV88" i="297" s="1"/>
  <c r="AW88" i="297" s="1"/>
  <c r="AY88" i="297" s="1"/>
  <c r="AG88" i="297"/>
  <c r="AH88" i="297" s="1"/>
  <c r="AB83" i="269"/>
  <c r="I82" i="301"/>
  <c r="J82" i="301" s="1"/>
  <c r="M82" i="301" s="1"/>
  <c r="AB362" i="269"/>
  <c r="I361" i="301"/>
  <c r="J361" i="301" s="1"/>
  <c r="M361" i="301" s="1"/>
  <c r="AB375" i="269"/>
  <c r="I374" i="301"/>
  <c r="J374" i="301" s="1"/>
  <c r="M374" i="301" s="1"/>
  <c r="AB487" i="269"/>
  <c r="I486" i="301"/>
  <c r="J486" i="301" s="1"/>
  <c r="M486" i="301" s="1"/>
  <c r="AR84" i="297"/>
  <c r="R501" i="269"/>
  <c r="AB91" i="269"/>
  <c r="I90" i="301"/>
  <c r="J90" i="301" s="1"/>
  <c r="M90" i="301" s="1"/>
  <c r="O184" i="301"/>
  <c r="P184" i="301" s="1"/>
  <c r="Q184" i="301"/>
  <c r="AB394" i="269"/>
  <c r="I393" i="301"/>
  <c r="J393" i="301" s="1"/>
  <c r="M393" i="301" s="1"/>
  <c r="AI25" i="297"/>
  <c r="AV25" i="297" s="1"/>
  <c r="AW25" i="297" s="1"/>
  <c r="AY25" i="297" s="1"/>
  <c r="AI102" i="297"/>
  <c r="AV102" i="297" s="1"/>
  <c r="AW102" i="297" s="1"/>
  <c r="AY102" i="297" s="1"/>
  <c r="I102" i="301"/>
  <c r="J102" i="301" s="1"/>
  <c r="M102" i="301" s="1"/>
  <c r="AB103" i="269"/>
  <c r="Q151" i="301"/>
  <c r="O151" i="301"/>
  <c r="P151" i="301" s="1"/>
  <c r="O165" i="301"/>
  <c r="P165" i="301" s="1"/>
  <c r="Q165" i="301"/>
  <c r="AB436" i="269"/>
  <c r="I435" i="301"/>
  <c r="J435" i="301" s="1"/>
  <c r="M435" i="301" s="1"/>
  <c r="AB458" i="269"/>
  <c r="I457" i="301"/>
  <c r="J457" i="301" s="1"/>
  <c r="M457" i="301" s="1"/>
  <c r="Q332" i="301"/>
  <c r="O332" i="301"/>
  <c r="P332" i="301" s="1"/>
  <c r="AQ111" i="297" l="1"/>
  <c r="AX17" i="288"/>
  <c r="AZ17" i="288"/>
  <c r="AX93" i="288"/>
  <c r="AZ93" i="288"/>
  <c r="AX85" i="288"/>
  <c r="AZ85" i="288"/>
  <c r="AX77" i="288"/>
  <c r="AZ77" i="288"/>
  <c r="AX69" i="288"/>
  <c r="AZ69" i="288"/>
  <c r="AX61" i="288"/>
  <c r="AZ61" i="288"/>
  <c r="AJ515" i="318"/>
  <c r="AH522" i="318"/>
  <c r="Q63" i="301"/>
  <c r="O63" i="301"/>
  <c r="P63" i="301" s="1"/>
  <c r="Q263" i="301"/>
  <c r="O263" i="301"/>
  <c r="P263" i="301" s="1"/>
  <c r="AU86" i="290"/>
  <c r="AX86" i="290"/>
  <c r="AZ86" i="290" s="1"/>
  <c r="AU33" i="290"/>
  <c r="AX33" i="290"/>
  <c r="AZ33" i="290" s="1"/>
  <c r="Q82" i="301"/>
  <c r="O82" i="301"/>
  <c r="P82" i="301" s="1"/>
  <c r="Q325" i="301"/>
  <c r="O325" i="301"/>
  <c r="P325" i="301" s="1"/>
  <c r="Q25" i="301"/>
  <c r="U25" i="301" s="1"/>
  <c r="O25" i="301"/>
  <c r="P25" i="301" s="1"/>
  <c r="Q218" i="301"/>
  <c r="O218" i="301"/>
  <c r="P218" i="301" s="1"/>
  <c r="Q21" i="301"/>
  <c r="U21" i="301" s="1"/>
  <c r="O21" i="301"/>
  <c r="P21" i="301" s="1"/>
  <c r="O47" i="301"/>
  <c r="P47" i="301" s="1"/>
  <c r="Q47" i="301"/>
  <c r="U47" i="301" s="1"/>
  <c r="AI81" i="297"/>
  <c r="AV81" i="297" s="1"/>
  <c r="AW81" i="297" s="1"/>
  <c r="AY81" i="297" s="1"/>
  <c r="AZ136" i="288"/>
  <c r="AX136" i="288"/>
  <c r="AI66" i="297"/>
  <c r="AV66" i="297" s="1"/>
  <c r="AW66" i="297" s="1"/>
  <c r="AY66" i="297" s="1"/>
  <c r="AI46" i="290"/>
  <c r="AV46" i="290" s="1"/>
  <c r="AI41" i="290"/>
  <c r="AV41" i="290" s="1"/>
  <c r="AZ36" i="288"/>
  <c r="AX36" i="288"/>
  <c r="AI115" i="288"/>
  <c r="AS115" i="288" s="1"/>
  <c r="AJ141" i="289"/>
  <c r="AX141" i="289" s="1"/>
  <c r="BB141" i="289" s="1"/>
  <c r="BD141" i="289" s="1"/>
  <c r="AI27" i="288"/>
  <c r="AS27" i="288" s="1"/>
  <c r="AI139" i="288"/>
  <c r="AS139" i="288" s="1"/>
  <c r="AI105" i="288"/>
  <c r="AS105" i="288" s="1"/>
  <c r="AI80" i="288"/>
  <c r="AS80" i="288" s="1"/>
  <c r="AI51" i="288"/>
  <c r="AS51" i="288" s="1"/>
  <c r="AJ85" i="289"/>
  <c r="AX85" i="289" s="1"/>
  <c r="BB85" i="289" s="1"/>
  <c r="BD85" i="289" s="1"/>
  <c r="AJ139" i="289"/>
  <c r="AX139" i="289" s="1"/>
  <c r="BB139" i="289" s="1"/>
  <c r="BD139" i="289" s="1"/>
  <c r="AJ42" i="289"/>
  <c r="AX42" i="289" s="1"/>
  <c r="BB42" i="289" s="1"/>
  <c r="BD42" i="289" s="1"/>
  <c r="AH10" i="288"/>
  <c r="AH148" i="288" s="1"/>
  <c r="AG148" i="288"/>
  <c r="AJ67" i="289"/>
  <c r="AX67" i="289" s="1"/>
  <c r="BB67" i="289" s="1"/>
  <c r="BD67" i="289" s="1"/>
  <c r="AJ35" i="289"/>
  <c r="AX35" i="289" s="1"/>
  <c r="BB35" i="289" s="1"/>
  <c r="BD35" i="289" s="1"/>
  <c r="AJ51" i="289"/>
  <c r="AX51" i="289" s="1"/>
  <c r="BB51" i="289" s="1"/>
  <c r="BD51" i="289" s="1"/>
  <c r="AB178" i="289"/>
  <c r="Q341" i="301"/>
  <c r="O341" i="301"/>
  <c r="P341" i="301" s="1"/>
  <c r="O412" i="301"/>
  <c r="P412" i="301" s="1"/>
  <c r="Q412" i="301"/>
  <c r="O321" i="301"/>
  <c r="P321" i="301" s="1"/>
  <c r="Q321" i="301"/>
  <c r="O322" i="301"/>
  <c r="P322" i="301" s="1"/>
  <c r="Q322" i="301"/>
  <c r="Q191" i="301"/>
  <c r="O191" i="301"/>
  <c r="P191" i="301" s="1"/>
  <c r="AK506" i="318"/>
  <c r="AI519" i="318"/>
  <c r="Q78" i="301"/>
  <c r="O78" i="301"/>
  <c r="P78" i="301" s="1"/>
  <c r="O139" i="301"/>
  <c r="P139" i="301" s="1"/>
  <c r="Q139" i="301"/>
  <c r="O107" i="301"/>
  <c r="P107" i="301" s="1"/>
  <c r="Q107" i="301"/>
  <c r="O75" i="301"/>
  <c r="P75" i="301" s="1"/>
  <c r="Q75" i="301"/>
  <c r="AI84" i="297"/>
  <c r="AV84" i="297" s="1"/>
  <c r="AW84" i="297" s="1"/>
  <c r="AY84" i="297" s="1"/>
  <c r="O391" i="301"/>
  <c r="P391" i="301" s="1"/>
  <c r="Q391" i="301"/>
  <c r="O375" i="301"/>
  <c r="P375" i="301" s="1"/>
  <c r="Q375" i="301"/>
  <c r="AI62" i="297"/>
  <c r="AV62" i="297" s="1"/>
  <c r="AW62" i="297" s="1"/>
  <c r="AY62" i="297" s="1"/>
  <c r="O195" i="301"/>
  <c r="P195" i="301" s="1"/>
  <c r="Q195" i="301"/>
  <c r="AI69" i="290"/>
  <c r="AV69" i="290" s="1"/>
  <c r="AI59" i="297"/>
  <c r="AV59" i="297" s="1"/>
  <c r="AW59" i="297" s="1"/>
  <c r="AY59" i="297" s="1"/>
  <c r="AI55" i="297"/>
  <c r="AV55" i="297" s="1"/>
  <c r="AW55" i="297" s="1"/>
  <c r="AY55" i="297" s="1"/>
  <c r="AZ140" i="288"/>
  <c r="AX140" i="288"/>
  <c r="AI30" i="290"/>
  <c r="AV30" i="290" s="1"/>
  <c r="AX22" i="290"/>
  <c r="AZ22" i="290" s="1"/>
  <c r="AU22" i="290"/>
  <c r="AI15" i="290"/>
  <c r="AV15" i="290" s="1"/>
  <c r="AX134" i="288"/>
  <c r="AZ134" i="288"/>
  <c r="AI62" i="290"/>
  <c r="AV62" i="290" s="1"/>
  <c r="AI142" i="288"/>
  <c r="AS142" i="288" s="1"/>
  <c r="AX79" i="288"/>
  <c r="AZ79" i="288"/>
  <c r="AJ167" i="289"/>
  <c r="AX167" i="289" s="1"/>
  <c r="BB167" i="289" s="1"/>
  <c r="BD167" i="289" s="1"/>
  <c r="AJ151" i="289"/>
  <c r="AX151" i="289" s="1"/>
  <c r="BB151" i="289" s="1"/>
  <c r="BD151" i="289" s="1"/>
  <c r="AI74" i="288"/>
  <c r="AS74" i="288" s="1"/>
  <c r="AJ114" i="289"/>
  <c r="AX114" i="289" s="1"/>
  <c r="BB114" i="289" s="1"/>
  <c r="BD114" i="289" s="1"/>
  <c r="AI121" i="288"/>
  <c r="AS121" i="288" s="1"/>
  <c r="AJ131" i="289"/>
  <c r="AX131" i="289" s="1"/>
  <c r="BB131" i="289" s="1"/>
  <c r="BD131" i="289" s="1"/>
  <c r="AJ77" i="289"/>
  <c r="AX77" i="289" s="1"/>
  <c r="BB77" i="289" s="1"/>
  <c r="BD77" i="289" s="1"/>
  <c r="AJ78" i="289"/>
  <c r="AX78" i="289" s="1"/>
  <c r="BB78" i="289" s="1"/>
  <c r="BD78" i="289" s="1"/>
  <c r="Q484" i="301"/>
  <c r="O484" i="301"/>
  <c r="P484" i="301" s="1"/>
  <c r="O467" i="301"/>
  <c r="P467" i="301" s="1"/>
  <c r="Q467" i="301"/>
  <c r="AB443" i="269"/>
  <c r="I442" i="301"/>
  <c r="J442" i="301" s="1"/>
  <c r="M442" i="301" s="1"/>
  <c r="AB316" i="269"/>
  <c r="I315" i="301"/>
  <c r="J315" i="301" s="1"/>
  <c r="M315" i="301" s="1"/>
  <c r="AB434" i="269"/>
  <c r="I433" i="301"/>
  <c r="J433" i="301" s="1"/>
  <c r="M433" i="301" s="1"/>
  <c r="AB418" i="269"/>
  <c r="I417" i="301"/>
  <c r="J417" i="301" s="1"/>
  <c r="M417" i="301" s="1"/>
  <c r="AB341" i="269"/>
  <c r="I340" i="301"/>
  <c r="J340" i="301" s="1"/>
  <c r="M340" i="301" s="1"/>
  <c r="Q397" i="301"/>
  <c r="O397" i="301"/>
  <c r="P397" i="301" s="1"/>
  <c r="Q312" i="301"/>
  <c r="O312" i="301"/>
  <c r="P312" i="301" s="1"/>
  <c r="O227" i="301"/>
  <c r="P227" i="301" s="1"/>
  <c r="Q227" i="301"/>
  <c r="Q388" i="301"/>
  <c r="O388" i="301"/>
  <c r="P388" i="301" s="1"/>
  <c r="AB296" i="269"/>
  <c r="I295" i="301"/>
  <c r="J295" i="301" s="1"/>
  <c r="M295" i="301" s="1"/>
  <c r="AB311" i="269"/>
  <c r="I310" i="301"/>
  <c r="J310" i="301" s="1"/>
  <c r="M310" i="301" s="1"/>
  <c r="X18" i="269"/>
  <c r="M501" i="269"/>
  <c r="Q159" i="301"/>
  <c r="O159" i="301"/>
  <c r="P159" i="301" s="1"/>
  <c r="Q390" i="301"/>
  <c r="O390" i="301"/>
  <c r="P390" i="301" s="1"/>
  <c r="Q122" i="301"/>
  <c r="O122" i="301"/>
  <c r="P122" i="301" s="1"/>
  <c r="O366" i="301"/>
  <c r="P366" i="301" s="1"/>
  <c r="Q366" i="301"/>
  <c r="O35" i="301"/>
  <c r="P35" i="301" s="1"/>
  <c r="Q35" i="301"/>
  <c r="U35" i="301" s="1"/>
  <c r="O423" i="301"/>
  <c r="P423" i="301" s="1"/>
  <c r="Q423" i="301"/>
  <c r="O200" i="301"/>
  <c r="P200" i="301" s="1"/>
  <c r="Q200" i="301"/>
  <c r="Q135" i="301"/>
  <c r="O135" i="301"/>
  <c r="P135" i="301" s="1"/>
  <c r="Q103" i="301"/>
  <c r="O103" i="301"/>
  <c r="P103" i="301" s="1"/>
  <c r="Q71" i="301"/>
  <c r="O71" i="301"/>
  <c r="P71" i="301" s="1"/>
  <c r="AI143" i="288"/>
  <c r="AS143" i="288" s="1"/>
  <c r="Q416" i="301"/>
  <c r="O416" i="301"/>
  <c r="P416" i="301" s="1"/>
  <c r="O187" i="301"/>
  <c r="P187" i="301" s="1"/>
  <c r="Q187" i="301"/>
  <c r="O42" i="301"/>
  <c r="P42" i="301" s="1"/>
  <c r="Q42" i="301"/>
  <c r="U42" i="301" s="1"/>
  <c r="O125" i="301"/>
  <c r="P125" i="301" s="1"/>
  <c r="Q125" i="301"/>
  <c r="O93" i="301"/>
  <c r="P93" i="301" s="1"/>
  <c r="Q93" i="301"/>
  <c r="O61" i="301"/>
  <c r="P61" i="301" s="1"/>
  <c r="Q61" i="301"/>
  <c r="AI50" i="297"/>
  <c r="AV50" i="297" s="1"/>
  <c r="AW50" i="297" s="1"/>
  <c r="AY50" i="297" s="1"/>
  <c r="AI31" i="290"/>
  <c r="AV31" i="290" s="1"/>
  <c r="AI105" i="297"/>
  <c r="AV105" i="297" s="1"/>
  <c r="AW105" i="297" s="1"/>
  <c r="AY105" i="297" s="1"/>
  <c r="AI54" i="297"/>
  <c r="AV54" i="297" s="1"/>
  <c r="AW54" i="297" s="1"/>
  <c r="AY54" i="297" s="1"/>
  <c r="AI42" i="297"/>
  <c r="AV42" i="297" s="1"/>
  <c r="AW42" i="297" s="1"/>
  <c r="AY42" i="297" s="1"/>
  <c r="AI34" i="297"/>
  <c r="AV34" i="297" s="1"/>
  <c r="AW34" i="297" s="1"/>
  <c r="AY34" i="297" s="1"/>
  <c r="AI26" i="297"/>
  <c r="AV26" i="297" s="1"/>
  <c r="AW26" i="297" s="1"/>
  <c r="AY26" i="297" s="1"/>
  <c r="AI18" i="297"/>
  <c r="AV18" i="297" s="1"/>
  <c r="AW18" i="297" s="1"/>
  <c r="AY18" i="297" s="1"/>
  <c r="O24" i="301"/>
  <c r="P24" i="301" s="1"/>
  <c r="Q24" i="301"/>
  <c r="U24" i="301" s="1"/>
  <c r="AI92" i="290"/>
  <c r="AV92" i="290" s="1"/>
  <c r="AI76" i="290"/>
  <c r="AV76" i="290" s="1"/>
  <c r="AU63" i="290"/>
  <c r="AX63" i="290"/>
  <c r="AZ63" i="290" s="1"/>
  <c r="AI39" i="290"/>
  <c r="AV39" i="290" s="1"/>
  <c r="AI50" i="290"/>
  <c r="AV50" i="290" s="1"/>
  <c r="AX19" i="290"/>
  <c r="AZ19" i="290" s="1"/>
  <c r="AU19" i="290"/>
  <c r="AI11" i="290"/>
  <c r="AV11" i="290" s="1"/>
  <c r="AI58" i="290"/>
  <c r="AV58" i="290" s="1"/>
  <c r="AQ148" i="288"/>
  <c r="AI52" i="288"/>
  <c r="AS52" i="288" s="1"/>
  <c r="AX113" i="288"/>
  <c r="AZ113" i="288"/>
  <c r="AX72" i="288"/>
  <c r="AZ72" i="288"/>
  <c r="AX41" i="288"/>
  <c r="AZ41" i="288"/>
  <c r="Q488" i="301"/>
  <c r="O488" i="301"/>
  <c r="P488" i="301" s="1"/>
  <c r="Q354" i="301"/>
  <c r="O354" i="301"/>
  <c r="P354" i="301" s="1"/>
  <c r="Q413" i="301"/>
  <c r="O413" i="301"/>
  <c r="P413" i="301" s="1"/>
  <c r="Q301" i="301"/>
  <c r="O301" i="301"/>
  <c r="P301" i="301" s="1"/>
  <c r="AB291" i="269"/>
  <c r="I290" i="301"/>
  <c r="J290" i="301" s="1"/>
  <c r="M290" i="301" s="1"/>
  <c r="AE499" i="318"/>
  <c r="AO266" i="318"/>
  <c r="O360" i="301"/>
  <c r="P360" i="301" s="1"/>
  <c r="Q360" i="301"/>
  <c r="O352" i="301"/>
  <c r="P352" i="301" s="1"/>
  <c r="Q352" i="301"/>
  <c r="Q324" i="301"/>
  <c r="O324" i="301"/>
  <c r="P324" i="301" s="1"/>
  <c r="AB283" i="269"/>
  <c r="I282" i="301"/>
  <c r="J282" i="301" s="1"/>
  <c r="M282" i="301" s="1"/>
  <c r="Q389" i="301"/>
  <c r="O389" i="301"/>
  <c r="P389" i="301" s="1"/>
  <c r="O267" i="301"/>
  <c r="P267" i="301" s="1"/>
  <c r="Q267" i="301"/>
  <c r="AO107" i="297"/>
  <c r="O19" i="301"/>
  <c r="P19" i="301" s="1"/>
  <c r="Q19" i="301"/>
  <c r="U19" i="301" s="1"/>
  <c r="O382" i="301"/>
  <c r="P382" i="301" s="1"/>
  <c r="Q382" i="301"/>
  <c r="O259" i="301"/>
  <c r="P259" i="301" s="1"/>
  <c r="Q259" i="301"/>
  <c r="O462" i="301"/>
  <c r="P462" i="301" s="1"/>
  <c r="Q462" i="301"/>
  <c r="Q183" i="301"/>
  <c r="O183" i="301"/>
  <c r="P183" i="301" s="1"/>
  <c r="Q309" i="301"/>
  <c r="O309" i="301"/>
  <c r="P309" i="301" s="1"/>
  <c r="Q241" i="301"/>
  <c r="O241" i="301"/>
  <c r="P241" i="301" s="1"/>
  <c r="O131" i="301"/>
  <c r="P131" i="301" s="1"/>
  <c r="Q131" i="301"/>
  <c r="O99" i="301"/>
  <c r="P99" i="301" s="1"/>
  <c r="Q99" i="301"/>
  <c r="O67" i="301"/>
  <c r="P67" i="301" s="1"/>
  <c r="Q67" i="301"/>
  <c r="O120" i="301"/>
  <c r="P120" i="301" s="1"/>
  <c r="Q120" i="301"/>
  <c r="O88" i="301"/>
  <c r="P88" i="301" s="1"/>
  <c r="Q88" i="301"/>
  <c r="O55" i="301"/>
  <c r="P55" i="301" s="1"/>
  <c r="Q55" i="301"/>
  <c r="U55" i="301" s="1"/>
  <c r="AR76" i="297"/>
  <c r="AR107" i="297" s="1"/>
  <c r="O245" i="301"/>
  <c r="P245" i="301" s="1"/>
  <c r="Q245" i="301"/>
  <c r="Q121" i="301"/>
  <c r="O121" i="301"/>
  <c r="P121" i="301" s="1"/>
  <c r="Q89" i="301"/>
  <c r="O89" i="301"/>
  <c r="P89" i="301" s="1"/>
  <c r="O57" i="301"/>
  <c r="P57" i="301" s="1"/>
  <c r="Q57" i="301"/>
  <c r="U57" i="301" s="1"/>
  <c r="AI17" i="297"/>
  <c r="AV17" i="297" s="1"/>
  <c r="AW17" i="297" s="1"/>
  <c r="AY17" i="297" s="1"/>
  <c r="AH10" i="297"/>
  <c r="AH107" i="297" s="1"/>
  <c r="AG107" i="297"/>
  <c r="AX60" i="290"/>
  <c r="AZ60" i="290" s="1"/>
  <c r="AU60" i="290"/>
  <c r="O20" i="301"/>
  <c r="P20" i="301" s="1"/>
  <c r="Q20" i="301"/>
  <c r="U20" i="301" s="1"/>
  <c r="AX64" i="290"/>
  <c r="AZ64" i="290" s="1"/>
  <c r="AU64" i="290"/>
  <c r="AI90" i="290"/>
  <c r="AV90" i="290" s="1"/>
  <c r="AI145" i="288"/>
  <c r="AS145" i="288" s="1"/>
  <c r="AX16" i="290"/>
  <c r="AZ16" i="290" s="1"/>
  <c r="AU16" i="290"/>
  <c r="AI46" i="288"/>
  <c r="AS46" i="288" s="1"/>
  <c r="AI103" i="288"/>
  <c r="AS103" i="288" s="1"/>
  <c r="AI86" i="288"/>
  <c r="AS86" i="288" s="1"/>
  <c r="AJ148" i="289"/>
  <c r="AX148" i="289" s="1"/>
  <c r="BB148" i="289" s="1"/>
  <c r="BD148" i="289" s="1"/>
  <c r="AI123" i="288"/>
  <c r="AS123" i="288" s="1"/>
  <c r="AJ66" i="289"/>
  <c r="AX66" i="289" s="1"/>
  <c r="BB66" i="289" s="1"/>
  <c r="BD66" i="289" s="1"/>
  <c r="AB467" i="269"/>
  <c r="I466" i="301"/>
  <c r="J466" i="301" s="1"/>
  <c r="M466" i="301" s="1"/>
  <c r="AJ71" i="289"/>
  <c r="AX71" i="289" s="1"/>
  <c r="BB71" i="289" s="1"/>
  <c r="BD71" i="289" s="1"/>
  <c r="AJ21" i="289"/>
  <c r="AX21" i="289" s="1"/>
  <c r="BB21" i="289" s="1"/>
  <c r="BD21" i="289" s="1"/>
  <c r="Q350" i="301"/>
  <c r="O350" i="301"/>
  <c r="P350" i="301" s="1"/>
  <c r="Q373" i="301"/>
  <c r="O373" i="301"/>
  <c r="P373" i="301" s="1"/>
  <c r="Q365" i="301"/>
  <c r="O365" i="301"/>
  <c r="P365" i="301" s="1"/>
  <c r="Q377" i="301"/>
  <c r="O377" i="301"/>
  <c r="P377" i="301" s="1"/>
  <c r="I272" i="301"/>
  <c r="J272" i="301" s="1"/>
  <c r="M272" i="301" s="1"/>
  <c r="AB273" i="269"/>
  <c r="AB279" i="269"/>
  <c r="I278" i="301"/>
  <c r="J278" i="301" s="1"/>
  <c r="M278" i="301" s="1"/>
  <c r="AR501" i="312"/>
  <c r="AR505" i="312" s="1"/>
  <c r="F15" i="348"/>
  <c r="G15" i="348" s="1"/>
  <c r="D17" i="270" s="1"/>
  <c r="E17" i="270" s="1"/>
  <c r="F17" i="270" s="1"/>
  <c r="Q339" i="301"/>
  <c r="O339" i="301"/>
  <c r="P339" i="301" s="1"/>
  <c r="O252" i="301"/>
  <c r="P252" i="301" s="1"/>
  <c r="Q252" i="301"/>
  <c r="O256" i="301"/>
  <c r="P256" i="301" s="1"/>
  <c r="Q256" i="301"/>
  <c r="O415" i="301"/>
  <c r="P415" i="301" s="1"/>
  <c r="Q415" i="301"/>
  <c r="Q414" i="301"/>
  <c r="O414" i="301"/>
  <c r="P414" i="301" s="1"/>
  <c r="Q266" i="301"/>
  <c r="O266" i="301"/>
  <c r="P266" i="301" s="1"/>
  <c r="Q234" i="301"/>
  <c r="O234" i="301"/>
  <c r="P234" i="301" s="1"/>
  <c r="O260" i="301"/>
  <c r="P260" i="301" s="1"/>
  <c r="Q260" i="301"/>
  <c r="O228" i="301"/>
  <c r="P228" i="301" s="1"/>
  <c r="Q228" i="301"/>
  <c r="O451" i="301"/>
  <c r="P451" i="301" s="1"/>
  <c r="Q451" i="301"/>
  <c r="Q428" i="301"/>
  <c r="O428" i="301"/>
  <c r="P428" i="301" s="1"/>
  <c r="Q437" i="301"/>
  <c r="O437" i="301"/>
  <c r="P437" i="301" s="1"/>
  <c r="Q258" i="301"/>
  <c r="O258" i="301"/>
  <c r="P258" i="301" s="1"/>
  <c r="Q453" i="301"/>
  <c r="O453" i="301"/>
  <c r="P453" i="301" s="1"/>
  <c r="Q95" i="301"/>
  <c r="O95" i="301"/>
  <c r="P95" i="301" s="1"/>
  <c r="O85" i="301"/>
  <c r="P85" i="301" s="1"/>
  <c r="Q85" i="301"/>
  <c r="Q457" i="301"/>
  <c r="O457" i="301"/>
  <c r="P457" i="301" s="1"/>
  <c r="Q393" i="301"/>
  <c r="O393" i="301"/>
  <c r="P393" i="301" s="1"/>
  <c r="Q90" i="301"/>
  <c r="O90" i="301"/>
  <c r="P90" i="301" s="1"/>
  <c r="Q486" i="301"/>
  <c r="O486" i="301"/>
  <c r="P486" i="301" s="1"/>
  <c r="Q361" i="301"/>
  <c r="O361" i="301"/>
  <c r="P361" i="301" s="1"/>
  <c r="Q94" i="301"/>
  <c r="O94" i="301"/>
  <c r="P94" i="301" s="1"/>
  <c r="Q185" i="301"/>
  <c r="O185" i="301"/>
  <c r="P185" i="301" s="1"/>
  <c r="Q111" i="301"/>
  <c r="O111" i="301"/>
  <c r="P111" i="301" s="1"/>
  <c r="Q79" i="301"/>
  <c r="O79" i="301"/>
  <c r="P79" i="301" s="1"/>
  <c r="AR92" i="297"/>
  <c r="AV92" i="297" s="1"/>
  <c r="AW92" i="297" s="1"/>
  <c r="AY92" i="297" s="1"/>
  <c r="Q247" i="301"/>
  <c r="O247" i="301"/>
  <c r="P247" i="301" s="1"/>
  <c r="Q215" i="301"/>
  <c r="O215" i="301"/>
  <c r="P215" i="301" s="1"/>
  <c r="O132" i="301"/>
  <c r="P132" i="301" s="1"/>
  <c r="Q132" i="301"/>
  <c r="O100" i="301"/>
  <c r="P100" i="301" s="1"/>
  <c r="Q100" i="301"/>
  <c r="O68" i="301"/>
  <c r="P68" i="301" s="1"/>
  <c r="Q68" i="301"/>
  <c r="O133" i="301"/>
  <c r="P133" i="301" s="1"/>
  <c r="Q133" i="301"/>
  <c r="O101" i="301"/>
  <c r="P101" i="301" s="1"/>
  <c r="Q101" i="301"/>
  <c r="O69" i="301"/>
  <c r="P69" i="301" s="1"/>
  <c r="Q69" i="301"/>
  <c r="AI85" i="297"/>
  <c r="AV85" i="297" s="1"/>
  <c r="AW85" i="297" s="1"/>
  <c r="AY85" i="297" s="1"/>
  <c r="AI48" i="297"/>
  <c r="AV48" i="297" s="1"/>
  <c r="AW48" i="297" s="1"/>
  <c r="AY48" i="297" s="1"/>
  <c r="AI40" i="297"/>
  <c r="AV40" i="297" s="1"/>
  <c r="AW40" i="297" s="1"/>
  <c r="AY40" i="297" s="1"/>
  <c r="AI32" i="297"/>
  <c r="AV32" i="297" s="1"/>
  <c r="AW32" i="297" s="1"/>
  <c r="AY32" i="297" s="1"/>
  <c r="AI24" i="297"/>
  <c r="AV24" i="297" s="1"/>
  <c r="AW24" i="297" s="1"/>
  <c r="AY24" i="297" s="1"/>
  <c r="AI37" i="290"/>
  <c r="AV37" i="290" s="1"/>
  <c r="AI43" i="290"/>
  <c r="AV43" i="290" s="1"/>
  <c r="AI66" i="290"/>
  <c r="AV66" i="290" s="1"/>
  <c r="AZ20" i="288"/>
  <c r="AX20" i="288"/>
  <c r="AJ172" i="289"/>
  <c r="AX172" i="289" s="1"/>
  <c r="BB172" i="289" s="1"/>
  <c r="BD172" i="289" s="1"/>
  <c r="AJ156" i="289"/>
  <c r="AX156" i="289" s="1"/>
  <c r="BB156" i="289" s="1"/>
  <c r="BD156" i="289" s="1"/>
  <c r="AI131" i="288"/>
  <c r="AS131" i="288" s="1"/>
  <c r="AI118" i="288"/>
  <c r="AS118" i="288" s="1"/>
  <c r="AI96" i="288"/>
  <c r="AS96" i="288" s="1"/>
  <c r="AI26" i="288"/>
  <c r="AS26" i="288" s="1"/>
  <c r="AI10" i="288"/>
  <c r="AB148" i="288"/>
  <c r="Q481" i="301"/>
  <c r="O481" i="301"/>
  <c r="P481" i="301" s="1"/>
  <c r="O149" i="301"/>
  <c r="P149" i="301" s="1"/>
  <c r="Q149" i="301"/>
  <c r="AJ37" i="289"/>
  <c r="AX37" i="289" s="1"/>
  <c r="BB37" i="289" s="1"/>
  <c r="BD37" i="289" s="1"/>
  <c r="AA178" i="289"/>
  <c r="AA97" i="290" s="1"/>
  <c r="AB461" i="269"/>
  <c r="I460" i="301"/>
  <c r="J460" i="301" s="1"/>
  <c r="M460" i="301" s="1"/>
  <c r="Q445" i="301"/>
  <c r="O445" i="301"/>
  <c r="P445" i="301" s="1"/>
  <c r="O372" i="301"/>
  <c r="P372" i="301" s="1"/>
  <c r="Q372" i="301"/>
  <c r="Q364" i="301"/>
  <c r="O364" i="301"/>
  <c r="P364" i="301" s="1"/>
  <c r="AB274" i="269"/>
  <c r="I273" i="301"/>
  <c r="J273" i="301" s="1"/>
  <c r="M273" i="301" s="1"/>
  <c r="AB308" i="269"/>
  <c r="I307" i="301"/>
  <c r="J307" i="301" s="1"/>
  <c r="M307" i="301" s="1"/>
  <c r="Q153" i="301"/>
  <c r="O153" i="301"/>
  <c r="P153" i="301" s="1"/>
  <c r="O444" i="301"/>
  <c r="P444" i="301" s="1"/>
  <c r="Q444" i="301"/>
  <c r="AB358" i="269"/>
  <c r="I357" i="301"/>
  <c r="J357" i="301" s="1"/>
  <c r="M357" i="301" s="1"/>
  <c r="AB339" i="269"/>
  <c r="I338" i="301"/>
  <c r="J338" i="301" s="1"/>
  <c r="M338" i="301" s="1"/>
  <c r="O330" i="301"/>
  <c r="P330" i="301" s="1"/>
  <c r="Q330" i="301"/>
  <c r="AB300" i="269"/>
  <c r="I299" i="301"/>
  <c r="J299" i="301" s="1"/>
  <c r="M299" i="301" s="1"/>
  <c r="AB278" i="269"/>
  <c r="I277" i="301"/>
  <c r="J277" i="301" s="1"/>
  <c r="M277" i="301" s="1"/>
  <c r="O171" i="301"/>
  <c r="P171" i="301" s="1"/>
  <c r="Q171" i="301"/>
  <c r="AG512" i="318"/>
  <c r="AQ514" i="318"/>
  <c r="AK505" i="318"/>
  <c r="O235" i="301"/>
  <c r="P235" i="301" s="1"/>
  <c r="Q235" i="301"/>
  <c r="Q74" i="301"/>
  <c r="O74" i="301"/>
  <c r="P74" i="301" s="1"/>
  <c r="Q425" i="301"/>
  <c r="O425" i="301"/>
  <c r="P425" i="301" s="1"/>
  <c r="Q298" i="301"/>
  <c r="O298" i="301"/>
  <c r="P298" i="301" s="1"/>
  <c r="Q66" i="301"/>
  <c r="O66" i="301"/>
  <c r="P66" i="301" s="1"/>
  <c r="O491" i="301"/>
  <c r="P491" i="301" s="1"/>
  <c r="Q491" i="301"/>
  <c r="O251" i="301"/>
  <c r="P251" i="301" s="1"/>
  <c r="Q251" i="301"/>
  <c r="AI89" i="297"/>
  <c r="AV89" i="297" s="1"/>
  <c r="AW89" i="297" s="1"/>
  <c r="AY89" i="297" s="1"/>
  <c r="Q265" i="301"/>
  <c r="O265" i="301"/>
  <c r="P265" i="301" s="1"/>
  <c r="Q233" i="301"/>
  <c r="O233" i="301"/>
  <c r="P233" i="301" s="1"/>
  <c r="O224" i="301"/>
  <c r="P224" i="301" s="1"/>
  <c r="Q224" i="301"/>
  <c r="O128" i="301"/>
  <c r="P128" i="301" s="1"/>
  <c r="Q128" i="301"/>
  <c r="O96" i="301"/>
  <c r="P96" i="301" s="1"/>
  <c r="Q96" i="301"/>
  <c r="O64" i="301"/>
  <c r="P64" i="301" s="1"/>
  <c r="Q64" i="301"/>
  <c r="O23" i="301"/>
  <c r="P23" i="301" s="1"/>
  <c r="Q23" i="301"/>
  <c r="U23" i="301" s="1"/>
  <c r="O269" i="301"/>
  <c r="P269" i="301" s="1"/>
  <c r="Q269" i="301"/>
  <c r="O237" i="301"/>
  <c r="P237" i="301" s="1"/>
  <c r="Q237" i="301"/>
  <c r="Q113" i="301"/>
  <c r="O113" i="301"/>
  <c r="P113" i="301" s="1"/>
  <c r="Q81" i="301"/>
  <c r="O81" i="301"/>
  <c r="P81" i="301" s="1"/>
  <c r="AU32" i="290"/>
  <c r="AX32" i="290"/>
  <c r="AZ32" i="290" s="1"/>
  <c r="AI75" i="297"/>
  <c r="AV75" i="297" s="1"/>
  <c r="AW75" i="297" s="1"/>
  <c r="AY75" i="297" s="1"/>
  <c r="AG95" i="290"/>
  <c r="AX18" i="290"/>
  <c r="AZ18" i="290" s="1"/>
  <c r="AU18" i="290"/>
  <c r="AB95" i="290"/>
  <c r="AZ126" i="288"/>
  <c r="AX126" i="288"/>
  <c r="AX63" i="288"/>
  <c r="AZ63" i="288"/>
  <c r="AI30" i="288"/>
  <c r="AS30" i="288" s="1"/>
  <c r="AJ171" i="289"/>
  <c r="AX171" i="289" s="1"/>
  <c r="BB171" i="289" s="1"/>
  <c r="BD171" i="289" s="1"/>
  <c r="AJ155" i="289"/>
  <c r="AX155" i="289" s="1"/>
  <c r="BB155" i="289" s="1"/>
  <c r="BD155" i="289" s="1"/>
  <c r="AI82" i="288"/>
  <c r="AS82" i="288" s="1"/>
  <c r="AX47" i="288"/>
  <c r="AZ47" i="288"/>
  <c r="AX39" i="288"/>
  <c r="AZ39" i="288"/>
  <c r="AX31" i="288"/>
  <c r="AZ31" i="288"/>
  <c r="AJ122" i="289"/>
  <c r="AX122" i="289" s="1"/>
  <c r="BB122" i="289" s="1"/>
  <c r="BD122" i="289" s="1"/>
  <c r="AI125" i="288"/>
  <c r="AS125" i="288" s="1"/>
  <c r="AI60" i="288"/>
  <c r="AS60" i="288" s="1"/>
  <c r="AJ90" i="289"/>
  <c r="AX90" i="289" s="1"/>
  <c r="BB90" i="289" s="1"/>
  <c r="BD90" i="289" s="1"/>
  <c r="AJ53" i="289"/>
  <c r="AX53" i="289" s="1"/>
  <c r="BB53" i="289" s="1"/>
  <c r="BD53" i="289" s="1"/>
  <c r="AJ80" i="289"/>
  <c r="AX80" i="289" s="1"/>
  <c r="BB80" i="289" s="1"/>
  <c r="BD80" i="289" s="1"/>
  <c r="AB406" i="269"/>
  <c r="I405" i="301"/>
  <c r="J405" i="301" s="1"/>
  <c r="M405" i="301" s="1"/>
  <c r="AJ63" i="289"/>
  <c r="AX63" i="289" s="1"/>
  <c r="BB63" i="289" s="1"/>
  <c r="BD63" i="289" s="1"/>
  <c r="AB473" i="269"/>
  <c r="I472" i="301"/>
  <c r="J472" i="301" s="1"/>
  <c r="M472" i="301" s="1"/>
  <c r="I452" i="301"/>
  <c r="J452" i="301" s="1"/>
  <c r="M452" i="301" s="1"/>
  <c r="AB453" i="269"/>
  <c r="Q429" i="301"/>
  <c r="O429" i="301"/>
  <c r="P429" i="301" s="1"/>
  <c r="AH506" i="318"/>
  <c r="AG506" i="318" s="1"/>
  <c r="AJ499" i="318"/>
  <c r="O427" i="301"/>
  <c r="P427" i="301" s="1"/>
  <c r="Q427" i="301"/>
  <c r="Q358" i="301"/>
  <c r="O358" i="301"/>
  <c r="P358" i="301" s="1"/>
  <c r="AB441" i="269"/>
  <c r="I440" i="301"/>
  <c r="J440" i="301" s="1"/>
  <c r="M440" i="301" s="1"/>
  <c r="AB425" i="269"/>
  <c r="I424" i="301"/>
  <c r="J424" i="301" s="1"/>
  <c r="M424" i="301" s="1"/>
  <c r="AB330" i="269"/>
  <c r="I329" i="301"/>
  <c r="J329" i="301" s="1"/>
  <c r="M329" i="301" s="1"/>
  <c r="AB295" i="269"/>
  <c r="I294" i="301"/>
  <c r="J294" i="301" s="1"/>
  <c r="M294" i="301" s="1"/>
  <c r="AB288" i="269"/>
  <c r="I287" i="301"/>
  <c r="J287" i="301" s="1"/>
  <c r="M287" i="301" s="1"/>
  <c r="AB287" i="269"/>
  <c r="I286" i="301"/>
  <c r="J286" i="301" s="1"/>
  <c r="M286" i="301" s="1"/>
  <c r="AQ501" i="312"/>
  <c r="AR504" i="312" s="1"/>
  <c r="AQ502" i="312"/>
  <c r="AR506" i="312" s="1"/>
  <c r="F14" i="348"/>
  <c r="Q70" i="301"/>
  <c r="O70" i="301"/>
  <c r="P70" i="301" s="1"/>
  <c r="AX34" i="290"/>
  <c r="AZ34" i="290" s="1"/>
  <c r="AU34" i="290"/>
  <c r="Q62" i="301"/>
  <c r="O62" i="301"/>
  <c r="P62" i="301" s="1"/>
  <c r="Q490" i="301"/>
  <c r="O490" i="301"/>
  <c r="P490" i="301" s="1"/>
  <c r="Q222" i="301"/>
  <c r="O222" i="301"/>
  <c r="P222" i="301" s="1"/>
  <c r="AI83" i="297"/>
  <c r="AV83" i="297" s="1"/>
  <c r="AW83" i="297" s="1"/>
  <c r="AY83" i="297" s="1"/>
  <c r="Q239" i="301"/>
  <c r="O239" i="301"/>
  <c r="P239" i="301" s="1"/>
  <c r="O108" i="301"/>
  <c r="P108" i="301" s="1"/>
  <c r="Q108" i="301"/>
  <c r="O76" i="301"/>
  <c r="P76" i="301" s="1"/>
  <c r="Q76" i="301"/>
  <c r="AI91" i="297"/>
  <c r="AV91" i="297" s="1"/>
  <c r="AW91" i="297" s="1"/>
  <c r="AY91" i="297" s="1"/>
  <c r="AX68" i="290"/>
  <c r="AZ68" i="290" s="1"/>
  <c r="AU68" i="290"/>
  <c r="Q182" i="301"/>
  <c r="O182" i="301"/>
  <c r="P182" i="301" s="1"/>
  <c r="Q32" i="301"/>
  <c r="U32" i="301" s="1"/>
  <c r="O32" i="301"/>
  <c r="P32" i="301" s="1"/>
  <c r="AI53" i="290"/>
  <c r="AV53" i="290" s="1"/>
  <c r="AI47" i="290"/>
  <c r="AV47" i="290" s="1"/>
  <c r="AI59" i="290"/>
  <c r="AV59" i="290" s="1"/>
  <c r="AI80" i="290"/>
  <c r="AV80" i="290" s="1"/>
  <c r="AU44" i="290"/>
  <c r="AX44" i="290"/>
  <c r="AZ44" i="290" s="1"/>
  <c r="AZ108" i="288"/>
  <c r="AX108" i="288"/>
  <c r="AR148" i="288"/>
  <c r="BB103" i="297" s="1"/>
  <c r="BC103" i="297" s="1"/>
  <c r="AI11" i="288"/>
  <c r="AS11" i="288" s="1"/>
  <c r="AI120" i="288"/>
  <c r="AS120" i="288" s="1"/>
  <c r="AI88" i="288"/>
  <c r="AS88" i="288" s="1"/>
  <c r="AJ83" i="289"/>
  <c r="AX83" i="289" s="1"/>
  <c r="BB83" i="289" s="1"/>
  <c r="BD83" i="289" s="1"/>
  <c r="AJ30" i="289"/>
  <c r="AX30" i="289" s="1"/>
  <c r="BB30" i="289" s="1"/>
  <c r="BD30" i="289" s="1"/>
  <c r="AJ41" i="289"/>
  <c r="AX41" i="289" s="1"/>
  <c r="BB41" i="289" s="1"/>
  <c r="BD41" i="289" s="1"/>
  <c r="Q480" i="301"/>
  <c r="O480" i="301"/>
  <c r="P480" i="301" s="1"/>
  <c r="AJ79" i="289"/>
  <c r="AX79" i="289" s="1"/>
  <c r="BB79" i="289" s="1"/>
  <c r="BD79" i="289" s="1"/>
  <c r="O443" i="301"/>
  <c r="P443" i="301" s="1"/>
  <c r="Q443" i="301"/>
  <c r="AB472" i="269"/>
  <c r="I471" i="301"/>
  <c r="J471" i="301" s="1"/>
  <c r="M471" i="301" s="1"/>
  <c r="Q448" i="301"/>
  <c r="O448" i="301"/>
  <c r="P448" i="301" s="1"/>
  <c r="AB345" i="269"/>
  <c r="I344" i="301"/>
  <c r="J344" i="301" s="1"/>
  <c r="M344" i="301" s="1"/>
  <c r="O284" i="301"/>
  <c r="P284" i="301" s="1"/>
  <c r="Q284" i="301"/>
  <c r="Q384" i="301"/>
  <c r="O384" i="301"/>
  <c r="P384" i="301" s="1"/>
  <c r="O342" i="301"/>
  <c r="P342" i="301" s="1"/>
  <c r="Q342" i="301"/>
  <c r="AI513" i="318"/>
  <c r="AI520" i="318" s="1"/>
  <c r="AM520" i="318" s="1"/>
  <c r="AK507" i="318"/>
  <c r="O180" i="301"/>
  <c r="P180" i="301" s="1"/>
  <c r="Q180" i="301"/>
  <c r="AB332" i="269"/>
  <c r="I331" i="301"/>
  <c r="J331" i="301" s="1"/>
  <c r="M331" i="301" s="1"/>
  <c r="AS316" i="318"/>
  <c r="I285" i="301"/>
  <c r="J285" i="301" s="1"/>
  <c r="M285" i="301" s="1"/>
  <c r="AB286" i="269"/>
  <c r="O148" i="301"/>
  <c r="P148" i="301" s="1"/>
  <c r="Q148" i="301"/>
  <c r="O51" i="301"/>
  <c r="P51" i="301" s="1"/>
  <c r="Q51" i="301"/>
  <c r="U51" i="301" s="1"/>
  <c r="Q394" i="301"/>
  <c r="O394" i="301"/>
  <c r="P394" i="301" s="1"/>
  <c r="O26" i="301"/>
  <c r="P26" i="301" s="1"/>
  <c r="Q26" i="301"/>
  <c r="O141" i="301"/>
  <c r="P141" i="301" s="1"/>
  <c r="Q141" i="301"/>
  <c r="Q110" i="301"/>
  <c r="O110" i="301"/>
  <c r="P110" i="301" s="1"/>
  <c r="Q199" i="301"/>
  <c r="O199" i="301"/>
  <c r="P199" i="301" s="1"/>
  <c r="O395" i="301"/>
  <c r="P395" i="301" s="1"/>
  <c r="Q395" i="301"/>
  <c r="O379" i="301"/>
  <c r="P379" i="301" s="1"/>
  <c r="Q379" i="301"/>
  <c r="O363" i="301"/>
  <c r="P363" i="301" s="1"/>
  <c r="Q363" i="301"/>
  <c r="AI98" i="297"/>
  <c r="AV98" i="297" s="1"/>
  <c r="AW98" i="297" s="1"/>
  <c r="AY98" i="297" s="1"/>
  <c r="O28" i="301"/>
  <c r="P28" i="301" s="1"/>
  <c r="Q28" i="301"/>
  <c r="U28" i="301" s="1"/>
  <c r="AI75" i="290"/>
  <c r="AV75" i="290" s="1"/>
  <c r="AY9" i="297"/>
  <c r="AB107" i="297"/>
  <c r="BB105" i="297" s="1"/>
  <c r="BC105" i="297" s="1"/>
  <c r="O29" i="301"/>
  <c r="P29" i="301" s="1"/>
  <c r="Q29" i="301"/>
  <c r="U29" i="301" s="1"/>
  <c r="AI67" i="297"/>
  <c r="AV67" i="297" s="1"/>
  <c r="AW67" i="297" s="1"/>
  <c r="AY67" i="297" s="1"/>
  <c r="AI138" i="288"/>
  <c r="AS138" i="288" s="1"/>
  <c r="AI49" i="290"/>
  <c r="AV49" i="290" s="1"/>
  <c r="AU28" i="290"/>
  <c r="AX28" i="290"/>
  <c r="AZ28" i="290" s="1"/>
  <c r="AI19" i="288"/>
  <c r="AS19" i="288" s="1"/>
  <c r="AJ140" i="289"/>
  <c r="AX140" i="289" s="1"/>
  <c r="BB140" i="289" s="1"/>
  <c r="BD140" i="289" s="1"/>
  <c r="AI127" i="288"/>
  <c r="AS127" i="288" s="1"/>
  <c r="AI94" i="288"/>
  <c r="AS94" i="288" s="1"/>
  <c r="AI62" i="288"/>
  <c r="AS62" i="288" s="1"/>
  <c r="AS97" i="288"/>
  <c r="AS81" i="288"/>
  <c r="AS65" i="288"/>
  <c r="AI50" i="288"/>
  <c r="AS50" i="288" s="1"/>
  <c r="AI34" i="288"/>
  <c r="AS34" i="288" s="1"/>
  <c r="AJ144" i="289"/>
  <c r="AX144" i="289" s="1"/>
  <c r="BB144" i="289" s="1"/>
  <c r="BD144" i="289" s="1"/>
  <c r="AJ97" i="289"/>
  <c r="AX97" i="289" s="1"/>
  <c r="BB97" i="289" s="1"/>
  <c r="AJ43" i="289"/>
  <c r="AX43" i="289" s="1"/>
  <c r="BB43" i="289" s="1"/>
  <c r="BD43" i="289" s="1"/>
  <c r="AB470" i="269"/>
  <c r="I469" i="301"/>
  <c r="J469" i="301" s="1"/>
  <c r="M469" i="301" s="1"/>
  <c r="AJ38" i="289"/>
  <c r="AX38" i="289" s="1"/>
  <c r="BB38" i="289" s="1"/>
  <c r="BD38" i="289" s="1"/>
  <c r="AJ11" i="289"/>
  <c r="AX11" i="289" s="1"/>
  <c r="BB11" i="289" s="1"/>
  <c r="BD11" i="289" s="1"/>
  <c r="I470" i="301"/>
  <c r="J470" i="301" s="1"/>
  <c r="M470" i="301" s="1"/>
  <c r="AB471" i="269"/>
  <c r="AB276" i="269"/>
  <c r="I275" i="301"/>
  <c r="J275" i="301" s="1"/>
  <c r="M275" i="301" s="1"/>
  <c r="O308" i="301"/>
  <c r="P308" i="301" s="1"/>
  <c r="Q308" i="301"/>
  <c r="O288" i="301"/>
  <c r="P288" i="301" s="1"/>
  <c r="Q288" i="301"/>
  <c r="AQ266" i="318"/>
  <c r="AB360" i="269"/>
  <c r="I359" i="301"/>
  <c r="J359" i="301" s="1"/>
  <c r="M359" i="301" s="1"/>
  <c r="I345" i="301"/>
  <c r="J345" i="301" s="1"/>
  <c r="M345" i="301" s="1"/>
  <c r="AB346" i="269"/>
  <c r="AB312" i="269"/>
  <c r="I311" i="301"/>
  <c r="J311" i="301" s="1"/>
  <c r="M311" i="301" s="1"/>
  <c r="AG513" i="318"/>
  <c r="O347" i="301"/>
  <c r="P347" i="301" s="1"/>
  <c r="Q347" i="301"/>
  <c r="Q485" i="301"/>
  <c r="O485" i="301"/>
  <c r="P485" i="301" s="1"/>
  <c r="Q246" i="301"/>
  <c r="O246" i="301"/>
  <c r="P246" i="301" s="1"/>
  <c r="Q190" i="301"/>
  <c r="O190" i="301"/>
  <c r="P190" i="301" s="1"/>
  <c r="O419" i="301"/>
  <c r="P419" i="301" s="1"/>
  <c r="Q419" i="301"/>
  <c r="Q458" i="301"/>
  <c r="O458" i="301"/>
  <c r="P458" i="301" s="1"/>
  <c r="Q226" i="301"/>
  <c r="O226" i="301"/>
  <c r="P226" i="301" s="1"/>
  <c r="Q37" i="301"/>
  <c r="U37" i="301" s="1"/>
  <c r="O37" i="301"/>
  <c r="P37" i="301" s="1"/>
  <c r="O454" i="301"/>
  <c r="P454" i="301" s="1"/>
  <c r="Q454" i="301"/>
  <c r="Q430" i="301"/>
  <c r="O430" i="301"/>
  <c r="P430" i="301" s="1"/>
  <c r="Q421" i="301"/>
  <c r="O421" i="301"/>
  <c r="P421" i="301" s="1"/>
  <c r="Q317" i="301"/>
  <c r="O317" i="301"/>
  <c r="P317" i="301" s="1"/>
  <c r="O456" i="301"/>
  <c r="P456" i="301" s="1"/>
  <c r="Q456" i="301"/>
  <c r="Q254" i="301"/>
  <c r="O254" i="301"/>
  <c r="P254" i="301" s="1"/>
  <c r="O264" i="301"/>
  <c r="P264" i="301" s="1"/>
  <c r="Q264" i="301"/>
  <c r="O232" i="301"/>
  <c r="P232" i="301" s="1"/>
  <c r="Q232" i="301"/>
  <c r="Q231" i="301"/>
  <c r="O231" i="301"/>
  <c r="P231" i="301" s="1"/>
  <c r="O84" i="301"/>
  <c r="P84" i="301" s="1"/>
  <c r="Q84" i="301"/>
  <c r="O117" i="301"/>
  <c r="P117" i="301" s="1"/>
  <c r="Q117" i="301"/>
  <c r="AZ137" i="288"/>
  <c r="AX137" i="288"/>
  <c r="Q102" i="301"/>
  <c r="O102" i="301"/>
  <c r="P102" i="301" s="1"/>
  <c r="O40" i="301"/>
  <c r="P40" i="301" s="1"/>
  <c r="Q40" i="301"/>
  <c r="U40" i="301" s="1"/>
  <c r="Q214" i="301"/>
  <c r="O214" i="301"/>
  <c r="P214" i="301" s="1"/>
  <c r="Q201" i="301"/>
  <c r="O201" i="301"/>
  <c r="P201" i="301" s="1"/>
  <c r="Q34" i="301"/>
  <c r="O34" i="301"/>
  <c r="P34" i="301" s="1"/>
  <c r="O41" i="301"/>
  <c r="P41" i="301" s="1"/>
  <c r="Q41" i="301"/>
  <c r="U41" i="301" s="1"/>
  <c r="AU71" i="290"/>
  <c r="AX71" i="290"/>
  <c r="AZ71" i="290" s="1"/>
  <c r="O16" i="301"/>
  <c r="P16" i="301" s="1"/>
  <c r="Q16" i="301"/>
  <c r="U16" i="301" s="1"/>
  <c r="AX83" i="288"/>
  <c r="AZ83" i="288"/>
  <c r="AJ176" i="289"/>
  <c r="AX176" i="289" s="1"/>
  <c r="BB176" i="289" s="1"/>
  <c r="BD176" i="289" s="1"/>
  <c r="AJ160" i="289"/>
  <c r="AX160" i="289" s="1"/>
  <c r="BB160" i="289" s="1"/>
  <c r="BD160" i="289" s="1"/>
  <c r="AZ32" i="288"/>
  <c r="AX32" i="288"/>
  <c r="AZ122" i="288"/>
  <c r="AX122" i="288"/>
  <c r="AB483" i="269"/>
  <c r="I482" i="301"/>
  <c r="J482" i="301" s="1"/>
  <c r="M482" i="301" s="1"/>
  <c r="AI10" i="289"/>
  <c r="AI178" i="289" s="1"/>
  <c r="AH178" i="289"/>
  <c r="O420" i="301"/>
  <c r="P420" i="301" s="1"/>
  <c r="Q420" i="301"/>
  <c r="O447" i="301"/>
  <c r="P447" i="301" s="1"/>
  <c r="Q447" i="301"/>
  <c r="O407" i="301"/>
  <c r="P407" i="301" s="1"/>
  <c r="Q407" i="301"/>
  <c r="Q464" i="301"/>
  <c r="O464" i="301"/>
  <c r="P464" i="301" s="1"/>
  <c r="AT316" i="318"/>
  <c r="J320" i="269"/>
  <c r="Q316" i="301"/>
  <c r="O316" i="301"/>
  <c r="P316" i="301" s="1"/>
  <c r="I292" i="301"/>
  <c r="J292" i="301" s="1"/>
  <c r="M292" i="301" s="1"/>
  <c r="AB293" i="269"/>
  <c r="AB307" i="269"/>
  <c r="I306" i="301"/>
  <c r="J306" i="301" s="1"/>
  <c r="M306" i="301" s="1"/>
  <c r="O205" i="301"/>
  <c r="P205" i="301" s="1"/>
  <c r="Q205" i="301"/>
  <c r="Q142" i="301"/>
  <c r="O142" i="301"/>
  <c r="P142" i="301" s="1"/>
  <c r="AJ6" i="318"/>
  <c r="AH503" i="318"/>
  <c r="Q86" i="301"/>
  <c r="O86" i="301"/>
  <c r="P86" i="301" s="1"/>
  <c r="Q249" i="301"/>
  <c r="O249" i="301"/>
  <c r="P249" i="301" s="1"/>
  <c r="O123" i="301"/>
  <c r="P123" i="301" s="1"/>
  <c r="Q123" i="301"/>
  <c r="O91" i="301"/>
  <c r="P91" i="301" s="1"/>
  <c r="Q91" i="301"/>
  <c r="O59" i="301"/>
  <c r="P59" i="301" s="1"/>
  <c r="Q59" i="301"/>
  <c r="J15" i="301"/>
  <c r="Q494" i="301"/>
  <c r="O494" i="301"/>
  <c r="P494" i="301" s="1"/>
  <c r="O383" i="301"/>
  <c r="P383" i="301" s="1"/>
  <c r="Q383" i="301"/>
  <c r="O367" i="301"/>
  <c r="P367" i="301" s="1"/>
  <c r="Q367" i="301"/>
  <c r="O46" i="301"/>
  <c r="P46" i="301" s="1"/>
  <c r="Q46" i="301"/>
  <c r="U46" i="301" s="1"/>
  <c r="AX65" i="290"/>
  <c r="AZ65" i="290" s="1"/>
  <c r="AU65" i="290"/>
  <c r="Q217" i="301"/>
  <c r="O217" i="301"/>
  <c r="P217" i="301" s="1"/>
  <c r="AI101" i="297"/>
  <c r="AV101" i="297" s="1"/>
  <c r="AW101" i="297" s="1"/>
  <c r="AY101" i="297" s="1"/>
  <c r="AU55" i="290"/>
  <c r="AX55" i="290"/>
  <c r="AZ55" i="290" s="1"/>
  <c r="O43" i="301"/>
  <c r="P43" i="301" s="1"/>
  <c r="Q43" i="301"/>
  <c r="AX52" i="290"/>
  <c r="AU52" i="290"/>
  <c r="AY61" i="297"/>
  <c r="AH95" i="290"/>
  <c r="AU51" i="290"/>
  <c r="AX51" i="290"/>
  <c r="AZ51" i="290" s="1"/>
  <c r="AI10" i="290"/>
  <c r="AZ102" i="288"/>
  <c r="AX102" i="288"/>
  <c r="AX38" i="290"/>
  <c r="AZ38" i="290" s="1"/>
  <c r="AU38" i="290"/>
  <c r="AZ44" i="288"/>
  <c r="AX44" i="288"/>
  <c r="AX111" i="288"/>
  <c r="AZ111" i="288"/>
  <c r="AX90" i="288"/>
  <c r="AZ90" i="288"/>
  <c r="AX58" i="288"/>
  <c r="AZ58" i="288"/>
  <c r="AX45" i="288"/>
  <c r="AZ45" i="288"/>
  <c r="AX37" i="288"/>
  <c r="AZ37" i="288"/>
  <c r="AX29" i="288"/>
  <c r="AZ29" i="288"/>
  <c r="AZ54" i="288"/>
  <c r="AX54" i="288"/>
  <c r="AX42" i="288"/>
  <c r="AZ42" i="288"/>
  <c r="AX135" i="288"/>
  <c r="AZ135" i="288"/>
  <c r="AX101" i="288"/>
  <c r="AZ101" i="288"/>
  <c r="AX76" i="288"/>
  <c r="AZ76" i="288"/>
  <c r="AX49" i="288"/>
  <c r="AZ49" i="288"/>
  <c r="O475" i="301"/>
  <c r="P475" i="301" s="1"/>
  <c r="Q475" i="301"/>
  <c r="AB451" i="269"/>
  <c r="I450" i="301"/>
  <c r="J450" i="301" s="1"/>
  <c r="M450" i="301" s="1"/>
  <c r="H412" i="269"/>
  <c r="I412" i="269" s="1"/>
  <c r="X412" i="269" s="1"/>
  <c r="AT402" i="318"/>
  <c r="AB349" i="269"/>
  <c r="I348" i="301"/>
  <c r="J348" i="301" s="1"/>
  <c r="M348" i="301" s="1"/>
  <c r="Q175" i="301"/>
  <c r="O175" i="301"/>
  <c r="P175" i="301" s="1"/>
  <c r="O351" i="301"/>
  <c r="P351" i="301" s="1"/>
  <c r="Q351" i="301"/>
  <c r="Q58" i="301"/>
  <c r="O58" i="301"/>
  <c r="P58" i="301" s="1"/>
  <c r="Q386" i="301"/>
  <c r="O386" i="301"/>
  <c r="P386" i="301" s="1"/>
  <c r="Q193" i="301"/>
  <c r="O193" i="301"/>
  <c r="P193" i="301" s="1"/>
  <c r="Q114" i="301"/>
  <c r="O114" i="301"/>
  <c r="P114" i="301" s="1"/>
  <c r="O431" i="301"/>
  <c r="P431" i="301" s="1"/>
  <c r="Q431" i="301"/>
  <c r="O189" i="301"/>
  <c r="P189" i="301" s="1"/>
  <c r="Q189" i="301"/>
  <c r="Q119" i="301"/>
  <c r="O119" i="301"/>
  <c r="P119" i="301" s="1"/>
  <c r="Q87" i="301"/>
  <c r="O87" i="301"/>
  <c r="P87" i="301" s="1"/>
  <c r="O474" i="301"/>
  <c r="P474" i="301" s="1"/>
  <c r="Q474" i="301"/>
  <c r="O22" i="301"/>
  <c r="P22" i="301" s="1"/>
  <c r="Q22" i="301"/>
  <c r="U22" i="301" s="1"/>
  <c r="AB304" i="269"/>
  <c r="I303" i="301"/>
  <c r="J303" i="301" s="1"/>
  <c r="M303" i="301" s="1"/>
  <c r="O109" i="301"/>
  <c r="P109" i="301" s="1"/>
  <c r="Q109" i="301"/>
  <c r="O77" i="301"/>
  <c r="P77" i="301" s="1"/>
  <c r="Q77" i="301"/>
  <c r="O33" i="301"/>
  <c r="P33" i="301" s="1"/>
  <c r="Q33" i="301"/>
  <c r="U33" i="301" s="1"/>
  <c r="AI69" i="297"/>
  <c r="AV69" i="297" s="1"/>
  <c r="AW69" i="297" s="1"/>
  <c r="AY69" i="297" s="1"/>
  <c r="AX84" i="290"/>
  <c r="AZ84" i="290" s="1"/>
  <c r="AU84" i="290"/>
  <c r="AX27" i="290"/>
  <c r="AZ27" i="290" s="1"/>
  <c r="AU27" i="290"/>
  <c r="Z97" i="290"/>
  <c r="AI146" i="288"/>
  <c r="AS146" i="288" s="1"/>
  <c r="AX38" i="288"/>
  <c r="AZ38" i="288"/>
  <c r="AR151" i="288"/>
  <c r="AI124" i="288"/>
  <c r="AS124" i="288" s="1"/>
  <c r="AJ149" i="289"/>
  <c r="AX149" i="289" s="1"/>
  <c r="BB149" i="289" s="1"/>
  <c r="BD149" i="289" s="1"/>
  <c r="AZ22" i="288"/>
  <c r="AX22" i="288"/>
  <c r="AJ105" i="289"/>
  <c r="AX105" i="289" s="1"/>
  <c r="BB105" i="289" s="1"/>
  <c r="BD105" i="289" s="1"/>
  <c r="AJ74" i="289"/>
  <c r="AX74" i="289" s="1"/>
  <c r="BB74" i="289" s="1"/>
  <c r="BD74" i="289" s="1"/>
  <c r="AJ50" i="289"/>
  <c r="AX50" i="289" s="1"/>
  <c r="BB50" i="289" s="1"/>
  <c r="BD50" i="289" s="1"/>
  <c r="AJ70" i="289"/>
  <c r="AX70" i="289" s="1"/>
  <c r="BB70" i="289" s="1"/>
  <c r="BD70" i="289" s="1"/>
  <c r="AB480" i="269"/>
  <c r="I479" i="301"/>
  <c r="J479" i="301" s="1"/>
  <c r="M479" i="301" s="1"/>
  <c r="O455" i="301"/>
  <c r="P455" i="301" s="1"/>
  <c r="Q455" i="301"/>
  <c r="AB407" i="269"/>
  <c r="I406" i="301"/>
  <c r="J406" i="301" s="1"/>
  <c r="M406" i="301" s="1"/>
  <c r="Q436" i="301"/>
  <c r="O436" i="301"/>
  <c r="P436" i="301" s="1"/>
  <c r="AB404" i="269"/>
  <c r="I403" i="301"/>
  <c r="J403" i="301" s="1"/>
  <c r="M403" i="301" s="1"/>
  <c r="Q392" i="301"/>
  <c r="O392" i="301"/>
  <c r="P392" i="301" s="1"/>
  <c r="AB334" i="269"/>
  <c r="I333" i="301"/>
  <c r="J333" i="301" s="1"/>
  <c r="M333" i="301" s="1"/>
  <c r="O356" i="301"/>
  <c r="P356" i="301" s="1"/>
  <c r="Q356" i="301"/>
  <c r="O203" i="301"/>
  <c r="P203" i="301" s="1"/>
  <c r="Q203" i="301"/>
  <c r="O179" i="301"/>
  <c r="P179" i="301" s="1"/>
  <c r="Q179" i="301"/>
  <c r="Q477" i="301"/>
  <c r="O477" i="301"/>
  <c r="P477" i="301" s="1"/>
  <c r="Q432" i="301"/>
  <c r="O432" i="301"/>
  <c r="P432" i="301" s="1"/>
  <c r="Q362" i="301"/>
  <c r="O362" i="301"/>
  <c r="P362" i="301" s="1"/>
  <c r="Q98" i="301"/>
  <c r="O98" i="301"/>
  <c r="P98" i="301" s="1"/>
  <c r="O197" i="301"/>
  <c r="P197" i="301" s="1"/>
  <c r="Q197" i="301"/>
  <c r="Q498" i="301"/>
  <c r="O498" i="301"/>
  <c r="P498" i="301" s="1"/>
  <c r="O219" i="301"/>
  <c r="P219" i="301" s="1"/>
  <c r="Q219" i="301"/>
  <c r="Q56" i="301"/>
  <c r="U56" i="301" s="1"/>
  <c r="O56" i="301"/>
  <c r="P56" i="301" s="1"/>
  <c r="Q401" i="301"/>
  <c r="O401" i="301"/>
  <c r="P401" i="301" s="1"/>
  <c r="Q257" i="301"/>
  <c r="O257" i="301"/>
  <c r="P257" i="301" s="1"/>
  <c r="Q186" i="301"/>
  <c r="O186" i="301"/>
  <c r="P186" i="301" s="1"/>
  <c r="O115" i="301"/>
  <c r="P115" i="301" s="1"/>
  <c r="Q115" i="301"/>
  <c r="O83" i="301"/>
  <c r="P83" i="301" s="1"/>
  <c r="Q83" i="301"/>
  <c r="AU87" i="290"/>
  <c r="AX87" i="290"/>
  <c r="AZ87" i="290" s="1"/>
  <c r="O216" i="301"/>
  <c r="P216" i="301" s="1"/>
  <c r="Q216" i="301"/>
  <c r="O136" i="301"/>
  <c r="P136" i="301" s="1"/>
  <c r="Q136" i="301"/>
  <c r="O104" i="301"/>
  <c r="P104" i="301" s="1"/>
  <c r="Q104" i="301"/>
  <c r="O72" i="301"/>
  <c r="P72" i="301" s="1"/>
  <c r="Q72" i="301"/>
  <c r="O261" i="301"/>
  <c r="P261" i="301" s="1"/>
  <c r="Q261" i="301"/>
  <c r="O229" i="301"/>
  <c r="P229" i="301" s="1"/>
  <c r="Q229" i="301"/>
  <c r="Q137" i="301"/>
  <c r="O137" i="301"/>
  <c r="P137" i="301" s="1"/>
  <c r="Q105" i="301"/>
  <c r="O105" i="301"/>
  <c r="P105" i="301" s="1"/>
  <c r="Q73" i="301"/>
  <c r="O73" i="301"/>
  <c r="P73" i="301" s="1"/>
  <c r="BB104" i="297"/>
  <c r="BC104" i="297" s="1"/>
  <c r="AX57" i="290"/>
  <c r="AZ57" i="290" s="1"/>
  <c r="AU57" i="290"/>
  <c r="AI77" i="297"/>
  <c r="AV77" i="297" s="1"/>
  <c r="AW77" i="297" s="1"/>
  <c r="AY77" i="297" s="1"/>
  <c r="AX61" i="290"/>
  <c r="AZ61" i="290" s="1"/>
  <c r="AU61" i="290"/>
  <c r="AX24" i="290"/>
  <c r="AZ24" i="290" s="1"/>
  <c r="AU24" i="290"/>
  <c r="AU54" i="290"/>
  <c r="AX54" i="290"/>
  <c r="AZ54" i="290" s="1"/>
  <c r="AX70" i="288"/>
  <c r="AZ70" i="288"/>
  <c r="AZ12" i="288"/>
  <c r="AX12" i="288"/>
  <c r="AX109" i="288"/>
  <c r="AZ109" i="288"/>
  <c r="AX68" i="288"/>
  <c r="AZ68" i="288"/>
  <c r="AX33" i="288"/>
  <c r="AZ33" i="288"/>
  <c r="AS21" i="288"/>
  <c r="Q385" i="301"/>
  <c r="O385" i="301"/>
  <c r="P385" i="301" s="1"/>
  <c r="O483" i="301"/>
  <c r="P483" i="301" s="1"/>
  <c r="Q483" i="301"/>
  <c r="AB427" i="269"/>
  <c r="I426" i="301"/>
  <c r="J426" i="301" s="1"/>
  <c r="M426" i="301" s="1"/>
  <c r="O487" i="301"/>
  <c r="P487" i="301" s="1"/>
  <c r="Q487" i="301"/>
  <c r="AB347" i="269"/>
  <c r="I346" i="301"/>
  <c r="J346" i="301" s="1"/>
  <c r="M346" i="301" s="1"/>
  <c r="Q369" i="301"/>
  <c r="O369" i="301"/>
  <c r="P369" i="301" s="1"/>
  <c r="Q349" i="301"/>
  <c r="O349" i="301"/>
  <c r="P349" i="301" s="1"/>
  <c r="O323" i="301"/>
  <c r="P323" i="301" s="1"/>
  <c r="Q323" i="301"/>
  <c r="O268" i="301"/>
  <c r="P268" i="301" s="1"/>
  <c r="Q268" i="301"/>
  <c r="O236" i="301"/>
  <c r="P236" i="301" s="1"/>
  <c r="Q236" i="301"/>
  <c r="O188" i="301"/>
  <c r="P188" i="301" s="1"/>
  <c r="Q188" i="301"/>
  <c r="O240" i="301"/>
  <c r="P240" i="301" s="1"/>
  <c r="Q240" i="301"/>
  <c r="O404" i="301"/>
  <c r="P404" i="301" s="1"/>
  <c r="Q404" i="301"/>
  <c r="O446" i="301"/>
  <c r="P446" i="301" s="1"/>
  <c r="Q446" i="301"/>
  <c r="Q250" i="301"/>
  <c r="O250" i="301"/>
  <c r="P250" i="301" s="1"/>
  <c r="Q438" i="301"/>
  <c r="O438" i="301"/>
  <c r="P438" i="301" s="1"/>
  <c r="O244" i="301"/>
  <c r="P244" i="301" s="1"/>
  <c r="Q244" i="301"/>
  <c r="Q434" i="301"/>
  <c r="O434" i="301"/>
  <c r="P434" i="301" s="1"/>
  <c r="O400" i="301"/>
  <c r="P400" i="301" s="1"/>
  <c r="Q400" i="301"/>
  <c r="Q497" i="301"/>
  <c r="O497" i="301"/>
  <c r="P497" i="301" s="1"/>
  <c r="Q489" i="301"/>
  <c r="O489" i="301"/>
  <c r="P489" i="301" s="1"/>
  <c r="Q461" i="301"/>
  <c r="O461" i="301"/>
  <c r="P461" i="301" s="1"/>
  <c r="Q242" i="301"/>
  <c r="O242" i="301"/>
  <c r="P242" i="301" s="1"/>
  <c r="Q418" i="301"/>
  <c r="O418" i="301"/>
  <c r="P418" i="301" s="1"/>
  <c r="O435" i="301"/>
  <c r="P435" i="301" s="1"/>
  <c r="Q435" i="301"/>
  <c r="O374" i="301"/>
  <c r="P374" i="301" s="1"/>
  <c r="Q374" i="301"/>
  <c r="Q127" i="301"/>
  <c r="O127" i="301"/>
  <c r="P127" i="301" s="1"/>
  <c r="AU79" i="290"/>
  <c r="AX79" i="290"/>
  <c r="AZ79" i="290" s="1"/>
  <c r="O116" i="301"/>
  <c r="P116" i="301" s="1"/>
  <c r="Q116" i="301"/>
  <c r="O196" i="301"/>
  <c r="P196" i="301" s="1"/>
  <c r="Q196" i="301"/>
  <c r="AU45" i="290"/>
  <c r="AX45" i="290"/>
  <c r="AZ45" i="290" s="1"/>
  <c r="AZ114" i="288"/>
  <c r="AX114" i="288"/>
  <c r="AX67" i="288"/>
  <c r="AZ67" i="288"/>
  <c r="AX99" i="288"/>
  <c r="AZ99" i="288"/>
  <c r="AZ48" i="288"/>
  <c r="AX48" i="288"/>
  <c r="AX129" i="288"/>
  <c r="AZ129" i="288"/>
  <c r="AX64" i="288"/>
  <c r="AZ64" i="288"/>
  <c r="AA148" i="288"/>
  <c r="O459" i="301"/>
  <c r="P459" i="301" s="1"/>
  <c r="Q459" i="301"/>
  <c r="AB410" i="269"/>
  <c r="I409" i="301"/>
  <c r="J409" i="301" s="1"/>
  <c r="M409" i="301" s="1"/>
  <c r="AB284" i="269"/>
  <c r="I283" i="301"/>
  <c r="J283" i="301" s="1"/>
  <c r="M283" i="301" s="1"/>
  <c r="Q368" i="301"/>
  <c r="O368" i="301"/>
  <c r="P368" i="301" s="1"/>
  <c r="AB290" i="269"/>
  <c r="I289" i="301"/>
  <c r="J289" i="301" s="1"/>
  <c r="M289" i="301" s="1"/>
  <c r="AJ514" i="318"/>
  <c r="AH521" i="318"/>
  <c r="Q145" i="301"/>
  <c r="O145" i="301"/>
  <c r="P145" i="301" s="1"/>
  <c r="Q381" i="301"/>
  <c r="O381" i="301"/>
  <c r="P381" i="301" s="1"/>
  <c r="AB354" i="269"/>
  <c r="I353" i="301"/>
  <c r="J353" i="301" s="1"/>
  <c r="M353" i="301" s="1"/>
  <c r="O334" i="301"/>
  <c r="P334" i="301" s="1"/>
  <c r="Q334" i="301"/>
  <c r="O326" i="301"/>
  <c r="P326" i="301" s="1"/>
  <c r="Q326" i="301"/>
  <c r="AB321" i="269"/>
  <c r="I320" i="301"/>
  <c r="J320" i="301" s="1"/>
  <c r="M320" i="301" s="1"/>
  <c r="AB275" i="269"/>
  <c r="I274" i="301"/>
  <c r="J274" i="301" s="1"/>
  <c r="M274" i="301" s="1"/>
  <c r="Q302" i="301"/>
  <c r="O302" i="301"/>
  <c r="P302" i="301" s="1"/>
  <c r="O155" i="301"/>
  <c r="P155" i="301" s="1"/>
  <c r="Q155" i="301"/>
  <c r="AH516" i="318"/>
  <c r="AH519" i="318"/>
  <c r="Q378" i="301"/>
  <c r="O378" i="301"/>
  <c r="P378" i="301" s="1"/>
  <c r="O370" i="301"/>
  <c r="P370" i="301" s="1"/>
  <c r="Q370" i="301"/>
  <c r="Q130" i="301"/>
  <c r="O130" i="301"/>
  <c r="P130" i="301" s="1"/>
  <c r="O243" i="301"/>
  <c r="P243" i="301" s="1"/>
  <c r="Q243" i="301"/>
  <c r="Q465" i="301"/>
  <c r="O465" i="301"/>
  <c r="P465" i="301" s="1"/>
  <c r="Q38" i="301"/>
  <c r="U38" i="301" s="1"/>
  <c r="O38" i="301"/>
  <c r="P38" i="301" s="1"/>
  <c r="O213" i="301"/>
  <c r="P213" i="301" s="1"/>
  <c r="Q213" i="301"/>
  <c r="AU67" i="290"/>
  <c r="AX67" i="290"/>
  <c r="AZ67" i="290" s="1"/>
  <c r="O208" i="301"/>
  <c r="P208" i="301" s="1"/>
  <c r="Q208" i="301"/>
  <c r="O112" i="301"/>
  <c r="P112" i="301" s="1"/>
  <c r="Q112" i="301"/>
  <c r="O80" i="301"/>
  <c r="P80" i="301" s="1"/>
  <c r="Q80" i="301"/>
  <c r="O253" i="301"/>
  <c r="P253" i="301" s="1"/>
  <c r="Q253" i="301"/>
  <c r="Q129" i="301"/>
  <c r="O129" i="301"/>
  <c r="P129" i="301" s="1"/>
  <c r="Q97" i="301"/>
  <c r="O97" i="301"/>
  <c r="P97" i="301" s="1"/>
  <c r="Q65" i="301"/>
  <c r="O65" i="301"/>
  <c r="P65" i="301" s="1"/>
  <c r="AU91" i="290"/>
  <c r="AX91" i="290"/>
  <c r="AZ91" i="290" s="1"/>
  <c r="AU13" i="290"/>
  <c r="AX13" i="290"/>
  <c r="AZ13" i="290" s="1"/>
  <c r="AN107" i="297"/>
  <c r="AU82" i="290"/>
  <c r="AX82" i="290"/>
  <c r="AZ82" i="290" s="1"/>
  <c r="AU29" i="290"/>
  <c r="AX29" i="290"/>
  <c r="AZ29" i="290" s="1"/>
  <c r="AZ144" i="288"/>
  <c r="AX144" i="288"/>
  <c r="AX26" i="290"/>
  <c r="AZ26" i="290" s="1"/>
  <c r="AU26" i="290"/>
  <c r="AX35" i="290"/>
  <c r="AZ35" i="290" s="1"/>
  <c r="AU35" i="290"/>
  <c r="AX95" i="288"/>
  <c r="AZ95" i="288"/>
  <c r="AX98" i="288"/>
  <c r="AZ98" i="288"/>
  <c r="AX66" i="288"/>
  <c r="AZ66" i="288"/>
  <c r="AZ28" i="288"/>
  <c r="AX28" i="288"/>
  <c r="AZ117" i="288"/>
  <c r="AX117" i="288"/>
  <c r="AX92" i="288"/>
  <c r="AZ92" i="288"/>
  <c r="BD57" i="289"/>
  <c r="BD135" i="289"/>
  <c r="O463" i="301"/>
  <c r="P463" i="301" s="1"/>
  <c r="Q463" i="301"/>
  <c r="Q398" i="301"/>
  <c r="O398" i="301"/>
  <c r="P398" i="301" s="1"/>
  <c r="O478" i="301"/>
  <c r="P478" i="301" s="1"/>
  <c r="Q478" i="301"/>
  <c r="Q225" i="301"/>
  <c r="O225" i="301"/>
  <c r="P225" i="301" s="1"/>
  <c r="AB411" i="269"/>
  <c r="I410" i="301"/>
  <c r="J410" i="301" s="1"/>
  <c r="M410" i="301" s="1"/>
  <c r="AB306" i="269"/>
  <c r="I305" i="301"/>
  <c r="J305" i="301" s="1"/>
  <c r="M305" i="301" s="1"/>
  <c r="O304" i="301"/>
  <c r="P304" i="301" s="1"/>
  <c r="Q304" i="301"/>
  <c r="O280" i="301"/>
  <c r="P280" i="301" s="1"/>
  <c r="Q280" i="301"/>
  <c r="L501" i="269"/>
  <c r="O163" i="301"/>
  <c r="P163" i="301" s="1"/>
  <c r="Q163" i="301"/>
  <c r="Q134" i="301"/>
  <c r="O134" i="301"/>
  <c r="P134" i="301" s="1"/>
  <c r="O211" i="301"/>
  <c r="P211" i="301" s="1"/>
  <c r="Q211" i="301"/>
  <c r="Q126" i="301"/>
  <c r="O126" i="301"/>
  <c r="P126" i="301" s="1"/>
  <c r="Q402" i="301"/>
  <c r="O402" i="301"/>
  <c r="P402" i="301" s="1"/>
  <c r="Q255" i="301"/>
  <c r="O255" i="301"/>
  <c r="P255" i="301" s="1"/>
  <c r="Q223" i="301"/>
  <c r="O223" i="301"/>
  <c r="P223" i="301" s="1"/>
  <c r="O124" i="301"/>
  <c r="P124" i="301" s="1"/>
  <c r="Q124" i="301"/>
  <c r="O92" i="301"/>
  <c r="P92" i="301" s="1"/>
  <c r="Q92" i="301"/>
  <c r="O60" i="301"/>
  <c r="P60" i="301" s="1"/>
  <c r="Q60" i="301"/>
  <c r="Q210" i="301"/>
  <c r="O210" i="301"/>
  <c r="P210" i="301" s="1"/>
  <c r="AU83" i="290"/>
  <c r="AX83" i="290"/>
  <c r="AZ83" i="290" s="1"/>
  <c r="AX56" i="290"/>
  <c r="AZ56" i="290" s="1"/>
  <c r="AU56" i="290"/>
  <c r="AX88" i="290"/>
  <c r="AZ88" i="290" s="1"/>
  <c r="AU88" i="290"/>
  <c r="AX72" i="290"/>
  <c r="AZ72" i="290" s="1"/>
  <c r="AU72" i="290"/>
  <c r="AU78" i="290"/>
  <c r="AX78" i="290"/>
  <c r="AZ78" i="290" s="1"/>
  <c r="AX23" i="290"/>
  <c r="AZ23" i="290" s="1"/>
  <c r="AU23" i="290"/>
  <c r="AM153" i="288"/>
  <c r="AL152" i="288"/>
  <c r="AX107" i="288"/>
  <c r="AZ107" i="288"/>
  <c r="AZ40" i="288"/>
  <c r="AX40" i="288"/>
  <c r="AX56" i="288"/>
  <c r="AZ56" i="288"/>
  <c r="AX25" i="288"/>
  <c r="AZ25" i="288"/>
  <c r="AZ18" i="288"/>
  <c r="AX18" i="288"/>
  <c r="Q143" i="301"/>
  <c r="O143" i="301"/>
  <c r="P143" i="301" s="1"/>
  <c r="O495" i="301"/>
  <c r="P495" i="301" s="1"/>
  <c r="Q495" i="301"/>
  <c r="O496" i="301"/>
  <c r="P496" i="301" s="1"/>
  <c r="Q496" i="301"/>
  <c r="W6" i="318"/>
  <c r="W501" i="318"/>
  <c r="W503" i="318" s="1"/>
  <c r="AS402" i="318"/>
  <c r="I297" i="301"/>
  <c r="J297" i="301" s="1"/>
  <c r="M297" i="301" s="1"/>
  <c r="AB298" i="269"/>
  <c r="I281" i="301"/>
  <c r="J281" i="301" s="1"/>
  <c r="M281" i="301" s="1"/>
  <c r="AB282" i="269"/>
  <c r="AP266" i="318"/>
  <c r="H272" i="269"/>
  <c r="Q207" i="301"/>
  <c r="O207" i="301"/>
  <c r="P207" i="301" s="1"/>
  <c r="O152" i="301"/>
  <c r="P152" i="301" s="1"/>
  <c r="Q152" i="301"/>
  <c r="AB336" i="269"/>
  <c r="I335" i="301"/>
  <c r="J335" i="301" s="1"/>
  <c r="M335" i="301" s="1"/>
  <c r="AB328" i="269"/>
  <c r="I327" i="301"/>
  <c r="J327" i="301" s="1"/>
  <c r="M327" i="301" s="1"/>
  <c r="AB292" i="269"/>
  <c r="I291" i="301"/>
  <c r="J291" i="301" s="1"/>
  <c r="M291" i="301" s="1"/>
  <c r="AB315" i="269"/>
  <c r="I314" i="301"/>
  <c r="J314" i="301" s="1"/>
  <c r="M314" i="301" s="1"/>
  <c r="O313" i="301"/>
  <c r="P313" i="301" s="1"/>
  <c r="Q313" i="301"/>
  <c r="Q118" i="301"/>
  <c r="O118" i="301"/>
  <c r="P118" i="301" s="1"/>
  <c r="Q106" i="301"/>
  <c r="O106" i="301"/>
  <c r="P106" i="301" s="1"/>
  <c r="O221" i="301"/>
  <c r="P221" i="301" s="1"/>
  <c r="Q221" i="301"/>
  <c r="O387" i="301"/>
  <c r="P387" i="301" s="1"/>
  <c r="Q387" i="301"/>
  <c r="O371" i="301"/>
  <c r="P371" i="301" s="1"/>
  <c r="Q371" i="301"/>
  <c r="O343" i="301"/>
  <c r="P343" i="301" s="1"/>
  <c r="Q343" i="301"/>
  <c r="Q202" i="301"/>
  <c r="O202" i="301"/>
  <c r="P202" i="301" s="1"/>
  <c r="O39" i="301"/>
  <c r="P39" i="301" s="1"/>
  <c r="Q39" i="301"/>
  <c r="U39" i="301" s="1"/>
  <c r="Q209" i="301"/>
  <c r="O209" i="301"/>
  <c r="P209" i="301" s="1"/>
  <c r="O52" i="301"/>
  <c r="P52" i="301" s="1"/>
  <c r="Q52" i="301"/>
  <c r="U52" i="301" s="1"/>
  <c r="AV97" i="297"/>
  <c r="AW97" i="297" s="1"/>
  <c r="AY97" i="297" s="1"/>
  <c r="AU74" i="290"/>
  <c r="AX74" i="290"/>
  <c r="AZ74" i="290" s="1"/>
  <c r="AX141" i="288"/>
  <c r="AZ141" i="288"/>
  <c r="AX20" i="290"/>
  <c r="AZ20" i="290" s="1"/>
  <c r="AU20" i="290"/>
  <c r="AU70" i="290"/>
  <c r="AX70" i="290"/>
  <c r="AZ70" i="290" s="1"/>
  <c r="AX78" i="288"/>
  <c r="AZ78" i="288"/>
  <c r="AZ13" i="288"/>
  <c r="AX13" i="288"/>
  <c r="AS89" i="288"/>
  <c r="AS73" i="288"/>
  <c r="AS57" i="288"/>
  <c r="AZ119" i="288"/>
  <c r="AX119" i="288"/>
  <c r="AX84" i="288"/>
  <c r="AZ84" i="288"/>
  <c r="AX53" i="288"/>
  <c r="AZ53" i="288"/>
  <c r="AZ14" i="288"/>
  <c r="AX14" i="288"/>
  <c r="AX89" i="289"/>
  <c r="BB89" i="289" s="1"/>
  <c r="BD89" i="289" s="1"/>
  <c r="AB338" i="269"/>
  <c r="I337" i="301"/>
  <c r="J337" i="301" s="1"/>
  <c r="M337" i="301" s="1"/>
  <c r="I293" i="301"/>
  <c r="J293" i="301" s="1"/>
  <c r="M293" i="301" s="1"/>
  <c r="AB294" i="269"/>
  <c r="AB280" i="269"/>
  <c r="I279" i="301"/>
  <c r="J279" i="301" s="1"/>
  <c r="M279" i="301" s="1"/>
  <c r="AB356" i="269"/>
  <c r="I355" i="301"/>
  <c r="J355" i="301" s="1"/>
  <c r="M355" i="301" s="1"/>
  <c r="O296" i="301"/>
  <c r="P296" i="301" s="1"/>
  <c r="Q296" i="301"/>
  <c r="AB319" i="269"/>
  <c r="I318" i="301"/>
  <c r="J318" i="301" s="1"/>
  <c r="M318" i="301" s="1"/>
  <c r="Q167" i="301"/>
  <c r="O167" i="301"/>
  <c r="P167" i="301" s="1"/>
  <c r="O399" i="301"/>
  <c r="P399" i="301" s="1"/>
  <c r="Q399" i="301"/>
  <c r="Q473" i="301"/>
  <c r="O473" i="301"/>
  <c r="P473" i="301" s="1"/>
  <c r="Q422" i="301"/>
  <c r="O422" i="301"/>
  <c r="P422" i="301" s="1"/>
  <c r="Q262" i="301"/>
  <c r="O262" i="301"/>
  <c r="P262" i="301" s="1"/>
  <c r="Q230" i="301"/>
  <c r="O230" i="301"/>
  <c r="P230" i="301" s="1"/>
  <c r="Q206" i="301"/>
  <c r="O206" i="301"/>
  <c r="P206" i="301" s="1"/>
  <c r="Q194" i="301"/>
  <c r="O194" i="301"/>
  <c r="P194" i="301" s="1"/>
  <c r="O276" i="301"/>
  <c r="P276" i="301" s="1"/>
  <c r="Q276" i="301"/>
  <c r="Q18" i="301"/>
  <c r="U18" i="301" s="1"/>
  <c r="O18" i="301"/>
  <c r="P18" i="301" s="1"/>
  <c r="O54" i="301"/>
  <c r="P54" i="301" s="1"/>
  <c r="Q54" i="301"/>
  <c r="U54" i="301" s="1"/>
  <c r="Q493" i="301"/>
  <c r="O493" i="301"/>
  <c r="P493" i="301" s="1"/>
  <c r="O492" i="301"/>
  <c r="P492" i="301" s="1"/>
  <c r="Q492" i="301"/>
  <c r="Q408" i="301"/>
  <c r="O408" i="301"/>
  <c r="P408" i="301" s="1"/>
  <c r="O468" i="301"/>
  <c r="P468" i="301" s="1"/>
  <c r="Q468" i="301"/>
  <c r="Q270" i="301"/>
  <c r="O270" i="301"/>
  <c r="P270" i="301" s="1"/>
  <c r="Q238" i="301"/>
  <c r="O238" i="301"/>
  <c r="P238" i="301" s="1"/>
  <c r="O248" i="301"/>
  <c r="P248" i="301" s="1"/>
  <c r="Q248" i="301"/>
  <c r="O192" i="301"/>
  <c r="P192" i="301" s="1"/>
  <c r="Q192" i="301"/>
  <c r="O283" i="301" l="1"/>
  <c r="P283" i="301" s="1"/>
  <c r="Q283" i="301"/>
  <c r="O285" i="301"/>
  <c r="P285" i="301" s="1"/>
  <c r="Q285" i="301"/>
  <c r="AX80" i="290"/>
  <c r="AZ80" i="290" s="1"/>
  <c r="AU80" i="290"/>
  <c r="Q452" i="301"/>
  <c r="O452" i="301"/>
  <c r="P452" i="301" s="1"/>
  <c r="AZ118" i="288"/>
  <c r="AX118" i="288"/>
  <c r="AU37" i="290"/>
  <c r="AX37" i="290"/>
  <c r="AZ37" i="290" s="1"/>
  <c r="AZ123" i="288"/>
  <c r="AX123" i="288"/>
  <c r="AX46" i="288"/>
  <c r="AZ46" i="288"/>
  <c r="AU90" i="290"/>
  <c r="AX90" i="290"/>
  <c r="AZ90" i="290" s="1"/>
  <c r="AX11" i="290"/>
  <c r="AZ11" i="290" s="1"/>
  <c r="AU11" i="290"/>
  <c r="AX39" i="290"/>
  <c r="AZ39" i="290" s="1"/>
  <c r="AU39" i="290"/>
  <c r="AX92" i="290"/>
  <c r="AZ92" i="290" s="1"/>
  <c r="AU92" i="290"/>
  <c r="Q295" i="301"/>
  <c r="O295" i="301"/>
  <c r="P295" i="301" s="1"/>
  <c r="Q315" i="301"/>
  <c r="O315" i="301"/>
  <c r="P315" i="301" s="1"/>
  <c r="AX80" i="288"/>
  <c r="AZ80" i="288"/>
  <c r="AU41" i="290"/>
  <c r="AX41" i="290"/>
  <c r="AZ41" i="290" s="1"/>
  <c r="O293" i="301"/>
  <c r="P293" i="301" s="1"/>
  <c r="Q293" i="301"/>
  <c r="AX57" i="288"/>
  <c r="AZ57" i="288"/>
  <c r="O291" i="301"/>
  <c r="P291" i="301" s="1"/>
  <c r="Q291" i="301"/>
  <c r="O335" i="301"/>
  <c r="P335" i="301" s="1"/>
  <c r="Q335" i="301"/>
  <c r="AM154" i="288"/>
  <c r="AR152" i="288" s="1"/>
  <c r="Q305" i="301"/>
  <c r="O305" i="301"/>
  <c r="P305" i="301" s="1"/>
  <c r="BC176" i="289"/>
  <c r="AZ21" i="288"/>
  <c r="AX21" i="288"/>
  <c r="AB412" i="269"/>
  <c r="I411" i="301"/>
  <c r="J411" i="301" s="1"/>
  <c r="M411" i="301" s="1"/>
  <c r="AG503" i="318"/>
  <c r="AG507" i="318" s="1"/>
  <c r="AH507" i="318"/>
  <c r="K320" i="269"/>
  <c r="J501" i="269"/>
  <c r="O482" i="301"/>
  <c r="P482" i="301" s="1"/>
  <c r="Q482" i="301"/>
  <c r="Q469" i="301"/>
  <c r="O469" i="301"/>
  <c r="P469" i="301" s="1"/>
  <c r="AX81" i="288"/>
  <c r="AZ81" i="288"/>
  <c r="AX127" i="288"/>
  <c r="AZ127" i="288"/>
  <c r="AZ120" i="288"/>
  <c r="AX120" i="288"/>
  <c r="AU59" i="290"/>
  <c r="AX59" i="290"/>
  <c r="AZ59" i="290" s="1"/>
  <c r="Q287" i="301"/>
  <c r="O287" i="301"/>
  <c r="P287" i="301" s="1"/>
  <c r="O329" i="301"/>
  <c r="P329" i="301" s="1"/>
  <c r="Q329" i="301"/>
  <c r="Q440" i="301"/>
  <c r="O440" i="301"/>
  <c r="P440" i="301" s="1"/>
  <c r="O472" i="301"/>
  <c r="P472" i="301" s="1"/>
  <c r="Q472" i="301"/>
  <c r="AX60" i="288"/>
  <c r="AZ60" i="288"/>
  <c r="AX30" i="288"/>
  <c r="AZ30" i="288"/>
  <c r="AJ512" i="318"/>
  <c r="AG516" i="318"/>
  <c r="AG519" i="318"/>
  <c r="AS10" i="288"/>
  <c r="AI148" i="288"/>
  <c r="AX131" i="288"/>
  <c r="AZ131" i="288"/>
  <c r="O466" i="301"/>
  <c r="P466" i="301" s="1"/>
  <c r="Q466" i="301"/>
  <c r="BB102" i="297"/>
  <c r="BC102" i="297" s="1"/>
  <c r="AQ110" i="297"/>
  <c r="Q290" i="301"/>
  <c r="O290" i="301"/>
  <c r="P290" i="301" s="1"/>
  <c r="AZ52" i="288"/>
  <c r="AX52" i="288"/>
  <c r="AX31" i="290"/>
  <c r="AZ31" i="290" s="1"/>
  <c r="AU31" i="290"/>
  <c r="AB18" i="269"/>
  <c r="AB501" i="269" s="1"/>
  <c r="I17" i="301"/>
  <c r="AX74" i="288"/>
  <c r="AZ74" i="288"/>
  <c r="AX30" i="290"/>
  <c r="AZ30" i="290" s="1"/>
  <c r="AU30" i="290"/>
  <c r="AI516" i="318"/>
  <c r="AX105" i="288"/>
  <c r="AZ105" i="288"/>
  <c r="AX115" i="288"/>
  <c r="AZ115" i="288"/>
  <c r="AX46" i="290"/>
  <c r="AZ46" i="290" s="1"/>
  <c r="AU46" i="290"/>
  <c r="O318" i="301"/>
  <c r="P318" i="301" s="1"/>
  <c r="Q318" i="301"/>
  <c r="O297" i="301"/>
  <c r="P297" i="301" s="1"/>
  <c r="Q297" i="301"/>
  <c r="Q274" i="301"/>
  <c r="O274" i="301"/>
  <c r="P274" i="301" s="1"/>
  <c r="AV10" i="290"/>
  <c r="AI95" i="290"/>
  <c r="O277" i="301"/>
  <c r="P277" i="301" s="1"/>
  <c r="Q277" i="301"/>
  <c r="Q273" i="301"/>
  <c r="O273" i="301"/>
  <c r="P273" i="301" s="1"/>
  <c r="BB107" i="297"/>
  <c r="BC107" i="297" s="1"/>
  <c r="Q279" i="301"/>
  <c r="O279" i="301"/>
  <c r="P279" i="301" s="1"/>
  <c r="O337" i="301"/>
  <c r="P337" i="301" s="1"/>
  <c r="Q337" i="301"/>
  <c r="AX73" i="288"/>
  <c r="AZ73" i="288"/>
  <c r="Q281" i="301"/>
  <c r="O281" i="301"/>
  <c r="P281" i="301" s="1"/>
  <c r="AL519" i="318"/>
  <c r="AH523" i="318"/>
  <c r="AH525" i="318" s="1"/>
  <c r="Q320" i="301"/>
  <c r="O320" i="301"/>
  <c r="P320" i="301" s="1"/>
  <c r="AL521" i="318"/>
  <c r="AJ521" i="318"/>
  <c r="Q409" i="301"/>
  <c r="O409" i="301"/>
  <c r="P409" i="301" s="1"/>
  <c r="Q333" i="301"/>
  <c r="O333" i="301"/>
  <c r="P333" i="301" s="1"/>
  <c r="O403" i="301"/>
  <c r="P403" i="301" s="1"/>
  <c r="Q403" i="301"/>
  <c r="Q406" i="301"/>
  <c r="O406" i="301"/>
  <c r="P406" i="301" s="1"/>
  <c r="O479" i="301"/>
  <c r="P479" i="301" s="1"/>
  <c r="Q479" i="301"/>
  <c r="Q348" i="301"/>
  <c r="O348" i="301"/>
  <c r="P348" i="301" s="1"/>
  <c r="Q450" i="301"/>
  <c r="O450" i="301"/>
  <c r="P450" i="301" s="1"/>
  <c r="M15" i="301"/>
  <c r="O292" i="301"/>
  <c r="P292" i="301" s="1"/>
  <c r="Q292" i="301"/>
  <c r="Q470" i="301"/>
  <c r="O470" i="301"/>
  <c r="P470" i="301" s="1"/>
  <c r="AX34" i="288"/>
  <c r="AZ34" i="288"/>
  <c r="AX97" i="288"/>
  <c r="AZ97" i="288"/>
  <c r="AI10" i="297"/>
  <c r="Q331" i="301"/>
  <c r="O331" i="301"/>
  <c r="P331" i="301" s="1"/>
  <c r="AL507" i="318"/>
  <c r="J17" i="348"/>
  <c r="Q344" i="301"/>
  <c r="O344" i="301"/>
  <c r="P344" i="301" s="1"/>
  <c r="O471" i="301"/>
  <c r="P471" i="301" s="1"/>
  <c r="Q471" i="301"/>
  <c r="AX11" i="288"/>
  <c r="AZ11" i="288"/>
  <c r="AX47" i="290"/>
  <c r="AZ47" i="290" s="1"/>
  <c r="AU47" i="290"/>
  <c r="AX125" i="288"/>
  <c r="AZ125" i="288"/>
  <c r="AX82" i="288"/>
  <c r="AZ82" i="288"/>
  <c r="AB97" i="290"/>
  <c r="O299" i="301"/>
  <c r="P299" i="301" s="1"/>
  <c r="Q299" i="301"/>
  <c r="O338" i="301"/>
  <c r="P338" i="301" s="1"/>
  <c r="Q338" i="301"/>
  <c r="O307" i="301"/>
  <c r="P307" i="301" s="1"/>
  <c r="Q307" i="301"/>
  <c r="AZ26" i="288"/>
  <c r="AX26" i="288"/>
  <c r="AU66" i="290"/>
  <c r="AX66" i="290"/>
  <c r="AZ66" i="290" s="1"/>
  <c r="O272" i="301"/>
  <c r="P272" i="301" s="1"/>
  <c r="Q272" i="301"/>
  <c r="AX86" i="288"/>
  <c r="AZ86" i="288"/>
  <c r="Q282" i="301"/>
  <c r="O282" i="301"/>
  <c r="P282" i="301" s="1"/>
  <c r="Q310" i="301"/>
  <c r="O310" i="301"/>
  <c r="P310" i="301" s="1"/>
  <c r="Q340" i="301"/>
  <c r="O340" i="301"/>
  <c r="P340" i="301" s="1"/>
  <c r="Q433" i="301"/>
  <c r="O433" i="301"/>
  <c r="P433" i="301" s="1"/>
  <c r="O442" i="301"/>
  <c r="P442" i="301" s="1"/>
  <c r="Q442" i="301"/>
  <c r="AX142" i="288"/>
  <c r="AZ142" i="288"/>
  <c r="AX15" i="290"/>
  <c r="AZ15" i="290" s="1"/>
  <c r="AU15" i="290"/>
  <c r="AX69" i="290"/>
  <c r="AZ69" i="290" s="1"/>
  <c r="AU69" i="290"/>
  <c r="AL506" i="318"/>
  <c r="J18" i="348"/>
  <c r="F18" i="348" s="1"/>
  <c r="G18" i="348" s="1"/>
  <c r="D20" i="270" s="1"/>
  <c r="E20" i="270" s="1"/>
  <c r="F20" i="270" s="1"/>
  <c r="AJ10" i="289"/>
  <c r="AX139" i="288"/>
  <c r="AZ139" i="288"/>
  <c r="AL522" i="318"/>
  <c r="AJ522" i="318"/>
  <c r="O355" i="301"/>
  <c r="P355" i="301" s="1"/>
  <c r="Q355" i="301"/>
  <c r="Q353" i="301"/>
  <c r="O353" i="301"/>
  <c r="P353" i="301" s="1"/>
  <c r="Q289" i="301"/>
  <c r="O289" i="301"/>
  <c r="P289" i="301" s="1"/>
  <c r="Q303" i="301"/>
  <c r="O303" i="301"/>
  <c r="P303" i="301" s="1"/>
  <c r="Q311" i="301"/>
  <c r="O311" i="301"/>
  <c r="P311" i="301" s="1"/>
  <c r="O359" i="301"/>
  <c r="P359" i="301" s="1"/>
  <c r="Q359" i="301"/>
  <c r="BD97" i="289"/>
  <c r="BC134" i="289"/>
  <c r="AX65" i="288"/>
  <c r="AZ65" i="288"/>
  <c r="AX94" i="288"/>
  <c r="AZ94" i="288"/>
  <c r="AX138" i="288"/>
  <c r="AZ138" i="288"/>
  <c r="AX88" i="288"/>
  <c r="AZ88" i="288"/>
  <c r="F16" i="348"/>
  <c r="G16" i="348" s="1"/>
  <c r="D18" i="270" s="1"/>
  <c r="E18" i="270" s="1"/>
  <c r="F18" i="270" s="1"/>
  <c r="G14" i="348"/>
  <c r="Q405" i="301"/>
  <c r="O405" i="301"/>
  <c r="P405" i="301" s="1"/>
  <c r="Q357" i="301"/>
  <c r="O357" i="301"/>
  <c r="P357" i="301" s="1"/>
  <c r="Q460" i="301"/>
  <c r="O460" i="301"/>
  <c r="P460" i="301" s="1"/>
  <c r="Q417" i="301"/>
  <c r="O417" i="301"/>
  <c r="P417" i="301" s="1"/>
  <c r="AI523" i="318"/>
  <c r="AI525" i="318" s="1"/>
  <c r="AM519" i="318"/>
  <c r="AM523" i="318" s="1"/>
  <c r="AX89" i="288"/>
  <c r="AZ89" i="288"/>
  <c r="O314" i="301"/>
  <c r="P314" i="301" s="1"/>
  <c r="Q314" i="301"/>
  <c r="O327" i="301"/>
  <c r="P327" i="301" s="1"/>
  <c r="Q327" i="301"/>
  <c r="I272" i="269"/>
  <c r="H501" i="269"/>
  <c r="Q410" i="301"/>
  <c r="O410" i="301"/>
  <c r="P410" i="301" s="1"/>
  <c r="BC95" i="289"/>
  <c r="O346" i="301"/>
  <c r="P346" i="301" s="1"/>
  <c r="Q346" i="301"/>
  <c r="O426" i="301"/>
  <c r="P426" i="301" s="1"/>
  <c r="Q426" i="301"/>
  <c r="AZ124" i="288"/>
  <c r="AX124" i="288"/>
  <c r="AX146" i="288"/>
  <c r="AZ146" i="288"/>
  <c r="AZ52" i="290"/>
  <c r="Q306" i="301"/>
  <c r="O306" i="301"/>
  <c r="P306" i="301" s="1"/>
  <c r="AJ513" i="318"/>
  <c r="AG520" i="318"/>
  <c r="O345" i="301"/>
  <c r="P345" i="301" s="1"/>
  <c r="Q345" i="301"/>
  <c r="O275" i="301"/>
  <c r="P275" i="301" s="1"/>
  <c r="Q275" i="301"/>
  <c r="AZ50" i="288"/>
  <c r="AX50" i="288"/>
  <c r="AX62" i="288"/>
  <c r="AZ62" i="288"/>
  <c r="AX19" i="288"/>
  <c r="AZ19" i="288"/>
  <c r="AU49" i="290"/>
  <c r="AX49" i="290"/>
  <c r="AZ49" i="290" s="1"/>
  <c r="AU75" i="290"/>
  <c r="AX75" i="290"/>
  <c r="AZ75" i="290" s="1"/>
  <c r="AX53" i="290"/>
  <c r="AZ53" i="290" s="1"/>
  <c r="AU53" i="290"/>
  <c r="Q286" i="301"/>
  <c r="O286" i="301"/>
  <c r="P286" i="301" s="1"/>
  <c r="Q294" i="301"/>
  <c r="O294" i="301"/>
  <c r="P294" i="301" s="1"/>
  <c r="Q424" i="301"/>
  <c r="O424" i="301"/>
  <c r="P424" i="301" s="1"/>
  <c r="AL505" i="318"/>
  <c r="AL508" i="318" s="1"/>
  <c r="AK508" i="318"/>
  <c r="J19" i="348"/>
  <c r="F19" i="348" s="1"/>
  <c r="G19" i="348" s="1"/>
  <c r="D21" i="270" s="1"/>
  <c r="E21" i="270" s="1"/>
  <c r="F21" i="270" s="1"/>
  <c r="AX96" i="288"/>
  <c r="AZ96" i="288"/>
  <c r="AX43" i="290"/>
  <c r="AZ43" i="290" s="1"/>
  <c r="AU43" i="290"/>
  <c r="Q278" i="301"/>
  <c r="O278" i="301"/>
  <c r="P278" i="301" s="1"/>
  <c r="AX103" i="288"/>
  <c r="AY146" i="288" s="1"/>
  <c r="AZ103" i="288"/>
  <c r="AX145" i="288"/>
  <c r="AZ145" i="288"/>
  <c r="AU58" i="290"/>
  <c r="AX58" i="290"/>
  <c r="AZ58" i="290" s="1"/>
  <c r="AX50" i="290"/>
  <c r="AZ50" i="290" s="1"/>
  <c r="AU50" i="290"/>
  <c r="AX76" i="290"/>
  <c r="AZ76" i="290" s="1"/>
  <c r="AU76" i="290"/>
  <c r="AX143" i="288"/>
  <c r="AZ143" i="288"/>
  <c r="AZ121" i="288"/>
  <c r="AX121" i="288"/>
  <c r="AU62" i="290"/>
  <c r="AX62" i="290"/>
  <c r="AZ62" i="290" s="1"/>
  <c r="AV76" i="297"/>
  <c r="AW76" i="297" s="1"/>
  <c r="AX51" i="288"/>
  <c r="AZ51" i="288"/>
  <c r="AX27" i="288"/>
  <c r="AZ27" i="288"/>
  <c r="F17" i="348" l="1"/>
  <c r="G17" i="348" s="1"/>
  <c r="D19" i="270" s="1"/>
  <c r="E19" i="270" s="1"/>
  <c r="F19" i="270" s="1"/>
  <c r="J20" i="348"/>
  <c r="AZ10" i="288"/>
  <c r="AZ148" i="288" s="1"/>
  <c r="AX10" i="288"/>
  <c r="AS148" i="288"/>
  <c r="K501" i="269"/>
  <c r="X320" i="269"/>
  <c r="D16" i="270"/>
  <c r="G13" i="348"/>
  <c r="G12" i="348" s="1"/>
  <c r="AJ178" i="289"/>
  <c r="AX10" i="289"/>
  <c r="O15" i="301"/>
  <c r="Q15" i="301"/>
  <c r="AX10" i="290"/>
  <c r="AU10" i="290"/>
  <c r="AU95" i="290" s="1"/>
  <c r="AV95" i="290"/>
  <c r="BC110" i="297"/>
  <c r="AV10" i="297"/>
  <c r="AI107" i="297"/>
  <c r="O411" i="301"/>
  <c r="P411" i="301" s="1"/>
  <c r="Q411" i="301"/>
  <c r="X272" i="269"/>
  <c r="I501" i="269"/>
  <c r="I504" i="269" s="1"/>
  <c r="J17" i="301"/>
  <c r="AJ519" i="318"/>
  <c r="AK519" i="318"/>
  <c r="AG523" i="318"/>
  <c r="AG525" i="318" s="1"/>
  <c r="AY98" i="288"/>
  <c r="AY76" i="297"/>
  <c r="AX105" i="297"/>
  <c r="AK520" i="318"/>
  <c r="AJ520" i="318"/>
  <c r="AY93" i="290"/>
  <c r="AL523" i="318"/>
  <c r="AJ516" i="318"/>
  <c r="M17" i="301" l="1"/>
  <c r="U15" i="301"/>
  <c r="G10" i="348"/>
  <c r="H12" i="348"/>
  <c r="P15" i="301"/>
  <c r="D15" i="270"/>
  <c r="D14" i="270" s="1"/>
  <c r="D22" i="270" s="1"/>
  <c r="H23" i="270" s="1"/>
  <c r="E16" i="270"/>
  <c r="AK523" i="318"/>
  <c r="AL525" i="318" s="1"/>
  <c r="AJ523" i="318"/>
  <c r="AB272" i="269"/>
  <c r="I271" i="301"/>
  <c r="X501" i="269"/>
  <c r="I502" i="301" s="1"/>
  <c r="AW10" i="297"/>
  <c r="AV107" i="297"/>
  <c r="AY51" i="290"/>
  <c r="AY95" i="290" s="1"/>
  <c r="AZ10" i="290"/>
  <c r="AZ95" i="290" s="1"/>
  <c r="AX95" i="290"/>
  <c r="BB113" i="297" s="1"/>
  <c r="BB10" i="289"/>
  <c r="AX178" i="289"/>
  <c r="AB320" i="269"/>
  <c r="I319" i="301"/>
  <c r="J319" i="301" s="1"/>
  <c r="M319" i="301" s="1"/>
  <c r="AY54" i="288"/>
  <c r="AY148" i="288" s="1"/>
  <c r="AX148" i="288"/>
  <c r="AZ150" i="288" l="1"/>
  <c r="BB112" i="297"/>
  <c r="BD10" i="289"/>
  <c r="BD178" i="289" s="1"/>
  <c r="BC56" i="289"/>
  <c r="BC178" i="289" s="1"/>
  <c r="BB178" i="289"/>
  <c r="O319" i="301"/>
  <c r="P319" i="301" s="1"/>
  <c r="Q319" i="301"/>
  <c r="AX60" i="297"/>
  <c r="AX107" i="297" s="1"/>
  <c r="AY10" i="297"/>
  <c r="AY107" i="297" s="1"/>
  <c r="AW107" i="297"/>
  <c r="F16" i="270"/>
  <c r="F15" i="270" s="1"/>
  <c r="E15" i="270"/>
  <c r="E14" i="270" s="1"/>
  <c r="H10" i="348"/>
  <c r="H20" i="348" s="1"/>
  <c r="G20" i="348"/>
  <c r="J22" i="348" s="1"/>
  <c r="AX111" i="297" s="1" a="1"/>
  <c r="Q17" i="301"/>
  <c r="O17" i="301"/>
  <c r="J271" i="301"/>
  <c r="I500" i="301"/>
  <c r="J503" i="301" s="1"/>
  <c r="AX111" i="297" l="1"/>
  <c r="AY111" i="297"/>
  <c r="AW110" i="297"/>
  <c r="BB114" i="297"/>
  <c r="M271" i="301"/>
  <c r="J500" i="301"/>
  <c r="U17" i="301"/>
  <c r="U500" i="301" s="1"/>
  <c r="P17" i="301"/>
  <c r="E22" i="270"/>
  <c r="G11" i="271" s="1"/>
  <c r="G10" i="271" s="1"/>
  <c r="G18" i="271" s="1"/>
  <c r="G19" i="271" s="1"/>
  <c r="F14" i="270"/>
  <c r="F22" i="270" s="1"/>
  <c r="BD180" i="289"/>
  <c r="BB111" i="297"/>
  <c r="BB115" i="297" s="1"/>
  <c r="BB116" i="297" s="1"/>
  <c r="AX112" i="297" l="1"/>
  <c r="AX113" i="297"/>
  <c r="Q271" i="301"/>
  <c r="Q500" i="301" s="1"/>
  <c r="J11" i="271" s="1"/>
  <c r="O271" i="301"/>
  <c r="M500" i="301"/>
  <c r="P271" i="301" l="1"/>
  <c r="P500" i="301" s="1"/>
  <c r="O500" i="301"/>
</calcChain>
</file>

<file path=xl/sharedStrings.xml><?xml version="1.0" encoding="utf-8"?>
<sst xmlns="http://schemas.openxmlformats.org/spreadsheetml/2006/main" count="12939" uniqueCount="1845">
  <si>
    <t>Qui khô 44%</t>
  </si>
  <si>
    <t>tổ 2</t>
  </si>
  <si>
    <t>tổ 3</t>
  </si>
  <si>
    <t>tổ 4</t>
  </si>
  <si>
    <t>tổ 5</t>
  </si>
  <si>
    <t>Tổ</t>
  </si>
  <si>
    <t>Tổng cây</t>
  </si>
  <si>
    <t>Sản lượng
(kg)</t>
  </si>
  <si>
    <t>Quy khô
44% (kg)</t>
  </si>
  <si>
    <t>TỔNG CỘNG</t>
  </si>
  <si>
    <t>CHI TIẾT SẢN XUẤT NÔNG TRƯỜNG 1 KD THÁNG 06/2022</t>
  </si>
  <si>
    <t>S
T
T</t>
  </si>
  <si>
    <t>Tên lô</t>
  </si>
  <si>
    <t>Năm trồng</t>
  </si>
  <si>
    <t>Diện
tích</t>
  </si>
  <si>
    <t>phát chổi</t>
  </si>
  <si>
    <t>bón phân</t>
  </si>
  <si>
    <t>t 4</t>
  </si>
  <si>
    <t>t 5</t>
  </si>
  <si>
    <t>KD 5</t>
  </si>
  <si>
    <t>W 15</t>
  </si>
  <si>
    <t>X 15</t>
  </si>
  <si>
    <t>X 16</t>
  </si>
  <si>
    <t>X 17</t>
  </si>
  <si>
    <t>X 19</t>
  </si>
  <si>
    <t>Y 12</t>
  </si>
  <si>
    <t>Y 13</t>
  </si>
  <si>
    <t>Y 15</t>
  </si>
  <si>
    <t>Y 16</t>
  </si>
  <si>
    <t>Y 19</t>
  </si>
  <si>
    <t>Y 20</t>
  </si>
  <si>
    <t>Y 21</t>
  </si>
  <si>
    <t>Z 14</t>
  </si>
  <si>
    <t>Z 15</t>
  </si>
  <si>
    <t>Z 16</t>
  </si>
  <si>
    <t>Z 17</t>
  </si>
  <si>
    <t>Z 18</t>
  </si>
  <si>
    <t>Z 19</t>
  </si>
  <si>
    <t>Z 20</t>
  </si>
  <si>
    <t>Z 21</t>
  </si>
  <si>
    <t>KD 4</t>
  </si>
  <si>
    <t>X 20</t>
  </si>
  <si>
    <t>X 18</t>
  </si>
  <si>
    <t>Z 23</t>
  </si>
  <si>
    <t>Z 22</t>
  </si>
  <si>
    <t>Y 18</t>
  </si>
  <si>
    <t>Y 17</t>
  </si>
  <si>
    <t>V 15</t>
  </si>
  <si>
    <t>Z 12</t>
  </si>
  <si>
    <t>Z 11</t>
  </si>
  <si>
    <t>Y 22</t>
  </si>
  <si>
    <t>Y 14</t>
  </si>
  <si>
    <t>Y 10+11</t>
  </si>
  <si>
    <t>X 14</t>
  </si>
  <si>
    <t>X 13</t>
  </si>
  <si>
    <t>X 12</t>
  </si>
  <si>
    <t>X 11</t>
  </si>
  <si>
    <t>W 16</t>
  </si>
  <si>
    <t>W 14</t>
  </si>
  <si>
    <t>W 13</t>
  </si>
  <si>
    <t>W 12</t>
  </si>
  <si>
    <t>V 9+10</t>
  </si>
  <si>
    <t>V 16</t>
  </si>
  <si>
    <t>V 13</t>
  </si>
  <si>
    <t>V 12</t>
  </si>
  <si>
    <t>V 11</t>
  </si>
  <si>
    <t>U 14</t>
  </si>
  <si>
    <t>U 13</t>
  </si>
  <si>
    <t>U 12</t>
  </si>
  <si>
    <t>U 11</t>
  </si>
  <si>
    <t>U 10</t>
  </si>
  <si>
    <t>T 10</t>
  </si>
  <si>
    <t>S 10</t>
  </si>
  <si>
    <t>KD 3</t>
  </si>
  <si>
    <t>X 21</t>
  </si>
  <si>
    <t>X 10</t>
  </si>
  <si>
    <t>W 9+10</t>
  </si>
  <si>
    <t>W 20</t>
  </si>
  <si>
    <t>W 17</t>
  </si>
  <si>
    <t>W 11</t>
  </si>
  <si>
    <t>V 14</t>
  </si>
  <si>
    <t>U 16</t>
  </si>
  <si>
    <t>U 15</t>
  </si>
  <si>
    <t>T 15</t>
  </si>
  <si>
    <t>T 12</t>
  </si>
  <si>
    <t>T 11</t>
  </si>
  <si>
    <t>ST 14</t>
  </si>
  <si>
    <t>ST 13</t>
  </si>
  <si>
    <t>U 9</t>
  </si>
  <si>
    <t>T 9 T</t>
  </si>
  <si>
    <t>T 9 Đ</t>
  </si>
  <si>
    <t>T 8</t>
  </si>
  <si>
    <t>S 9</t>
  </si>
  <si>
    <t>S 8</t>
  </si>
  <si>
    <t>RS 11</t>
  </si>
  <si>
    <t>R 9</t>
  </si>
  <si>
    <t>R 7+8</t>
  </si>
  <si>
    <t>R 12</t>
  </si>
  <si>
    <t>R 10</t>
  </si>
  <si>
    <t>QR 13</t>
  </si>
  <si>
    <t>QR 10</t>
  </si>
  <si>
    <t>Q 9</t>
  </si>
  <si>
    <t>Q 7+8</t>
  </si>
  <si>
    <t>Q 12</t>
  </si>
  <si>
    <t>Q 11</t>
  </si>
  <si>
    <t>KD 2</t>
  </si>
  <si>
    <t>W 23</t>
  </si>
  <si>
    <t>W 22</t>
  </si>
  <si>
    <t>V 24</t>
  </si>
  <si>
    <t>V 23</t>
  </si>
  <si>
    <t>V 22</t>
  </si>
  <si>
    <t>V 21</t>
  </si>
  <si>
    <t>UV 20</t>
  </si>
  <si>
    <t>UV 19</t>
  </si>
  <si>
    <t>U 21</t>
  </si>
  <si>
    <t>U 18</t>
  </si>
  <si>
    <t>T 21</t>
  </si>
  <si>
    <t>T 20</t>
  </si>
  <si>
    <t>T 19</t>
  </si>
  <si>
    <t>T 18</t>
  </si>
  <si>
    <t>T 17</t>
  </si>
  <si>
    <t>S 20</t>
  </si>
  <si>
    <t>S 19</t>
  </si>
  <si>
    <t>S 18</t>
  </si>
  <si>
    <t>S 17</t>
  </si>
  <si>
    <t>S 16</t>
  </si>
  <si>
    <t>R 21</t>
  </si>
  <si>
    <t>R 20</t>
  </si>
  <si>
    <t>R 19</t>
  </si>
  <si>
    <t>R 18</t>
  </si>
  <si>
    <t>R 17</t>
  </si>
  <si>
    <t>R 16</t>
  </si>
  <si>
    <t>Q 21</t>
  </si>
  <si>
    <t>Q 20</t>
  </si>
  <si>
    <t>Q 19</t>
  </si>
  <si>
    <t>Q 18</t>
  </si>
  <si>
    <t>Q 17</t>
  </si>
  <si>
    <t>P 18</t>
  </si>
  <si>
    <t>P 17</t>
  </si>
  <si>
    <t>R 15</t>
  </si>
  <si>
    <t>Q 16</t>
  </si>
  <si>
    <t>Q 15</t>
  </si>
  <si>
    <t>P 16</t>
  </si>
  <si>
    <t>P 15</t>
  </si>
  <si>
    <t>P 14</t>
  </si>
  <si>
    <t>P 13 N</t>
  </si>
  <si>
    <t>O 16</t>
  </si>
  <si>
    <t>O 14 Đ</t>
  </si>
  <si>
    <t>MỞ CẠO 2022</t>
  </si>
  <si>
    <t>X 25</t>
  </si>
  <si>
    <t>W 25</t>
  </si>
  <si>
    <t>W 24</t>
  </si>
  <si>
    <t>UV 25</t>
  </si>
  <si>
    <t>U 23</t>
  </si>
  <si>
    <t>U 22</t>
  </si>
  <si>
    <t>TU 24</t>
  </si>
  <si>
    <t>T 23</t>
  </si>
  <si>
    <t>T 22</t>
  </si>
  <si>
    <t>S 21&amp;22</t>
  </si>
  <si>
    <t>Z 27</t>
  </si>
  <si>
    <t>Z 26</t>
  </si>
  <si>
    <t>YZ 25</t>
  </si>
  <si>
    <t>Y 27</t>
  </si>
  <si>
    <t>Y 26</t>
  </si>
  <si>
    <t>Y 24</t>
  </si>
  <si>
    <t>X 27</t>
  </si>
  <si>
    <t>X 26</t>
  </si>
  <si>
    <t>X 23&amp;24</t>
  </si>
  <si>
    <t>W 27</t>
  </si>
  <si>
    <t>W 26</t>
  </si>
  <si>
    <t>W 25 N</t>
  </si>
  <si>
    <t>W 25 B</t>
  </si>
  <si>
    <t>W 23&amp;24</t>
  </si>
  <si>
    <t>W 19</t>
  </si>
  <si>
    <t>W 18</t>
  </si>
  <si>
    <t>V 26&amp;27</t>
  </si>
  <si>
    <t>UV 25 T</t>
  </si>
  <si>
    <t>UV 25 N</t>
  </si>
  <si>
    <t>S 22</t>
  </si>
  <si>
    <t>S 21 T</t>
  </si>
  <si>
    <t>S 15</t>
  </si>
  <si>
    <t>R 14</t>
  </si>
  <si>
    <t>Q 14</t>
  </si>
  <si>
    <t>O 13</t>
  </si>
  <si>
    <t>Q 13&amp;14</t>
  </si>
  <si>
    <t>NÔNG TRƯỜNG 1</t>
  </si>
  <si>
    <t>A</t>
  </si>
  <si>
    <t>CHĂM SÓC</t>
  </si>
  <si>
    <t>ការថែទាំ</t>
  </si>
  <si>
    <t>Phát cỏ luồng</t>
  </si>
  <si>
    <t>ជម្រះស្មៅចន្លោះរង</t>
  </si>
  <si>
    <t>Bón phân</t>
  </si>
  <si>
    <t>ដាក់ជី</t>
  </si>
  <si>
    <t>Phòng trị bệnh</t>
  </si>
  <si>
    <t>បង្ការព្យាបាលជម្ងឺ</t>
  </si>
  <si>
    <t>Làm giàn mủ tạp</t>
  </si>
  <si>
    <t>ធ្វើរានដាក់ជ័រចម្រុះ</t>
  </si>
  <si>
    <t>Phòng chống cháy + gác lửa</t>
  </si>
  <si>
    <t>ការពារភ្លើងឆេះ + យាមភ្លើង</t>
  </si>
  <si>
    <t>B</t>
  </si>
  <si>
    <t>THU HOẠCH</t>
  </si>
  <si>
    <t>ប្រមូលផល</t>
  </si>
  <si>
    <t>Kiểm kê cây cao su đầu vụ cạo</t>
  </si>
  <si>
    <t>ជំរឿនដើមកៅស៊ូនៅដើមរដូវចៀរ</t>
  </si>
  <si>
    <t>Thiết kế mặt cạo</t>
  </si>
  <si>
    <t>បែងចែកផ្ទាំងចៀរ</t>
  </si>
  <si>
    <t>Đánh dấu hao dăm quý, năm</t>
  </si>
  <si>
    <t>គូសសញ្ញាចំណាយអាចម៍ពន្លាក់ប្រចាំត្រីមាស​និងឆ្នាំ</t>
  </si>
  <si>
    <t>Chia, đánh số phần cạo</t>
  </si>
  <si>
    <t>បែងចែកនិងគូសលេខរានចៀរ</t>
  </si>
  <si>
    <t>Trang bị vật tư (Kiềng, chén)</t>
  </si>
  <si>
    <t>បំពាក់ឧបករណ៍ (កង, ចាន)</t>
  </si>
  <si>
    <t>Cạo xả miệng, đóng máng, gắn mái che chén</t>
  </si>
  <si>
    <t>បើកមុខចៀរជ័រដំបូង ដោតស្លាបព្រា​និងទគម្របចាន</t>
  </si>
  <si>
    <t>Gắn máng chắn mưa</t>
  </si>
  <si>
    <t>ការបំពាក់ក្បាំងទឹកភ្លៀង</t>
  </si>
  <si>
    <t>Vệ sinh cây cạo</t>
  </si>
  <si>
    <t>សំអាតដើមចៀរ</t>
  </si>
  <si>
    <t>Bôi thuốc kích thích</t>
  </si>
  <si>
    <t>លាបថ្នាំរំញោច</t>
  </si>
  <si>
    <t>Thu dọn cuối vụ cạo</t>
  </si>
  <si>
    <t>ប្រមូលសម្ភារៈចុងរដូវចៀរ</t>
  </si>
  <si>
    <t>Cạo, trút và giao nộp mủ</t>
  </si>
  <si>
    <t>ចៀរ សារនិងប្រគូលជ័រ</t>
  </si>
  <si>
    <t>Công nhật (25.500 KHR)</t>
  </si>
  <si>
    <t>កម្លាំងចៀរ</t>
  </si>
  <si>
    <t>Công trả sản lượng mủ</t>
  </si>
  <si>
    <t>កម្លាំងចំណាយទៅលើផលិតផលជ័រ</t>
  </si>
  <si>
    <t>C</t>
  </si>
  <si>
    <t>Bảo vệ vườn cây</t>
  </si>
  <si>
    <t>សន្តិសុខការពារចំការ</t>
  </si>
  <si>
    <t>Kinh doanh nhóm 1</t>
  </si>
  <si>
    <t>អាជីវកម្មក្រុមទី​១</t>
  </si>
  <si>
    <t>Kinh doanh năm 4</t>
  </si>
  <si>
    <t>អាជីវកម្មឆ្នាំទី​៤</t>
  </si>
  <si>
    <t>Kinh doanh năm 3</t>
  </si>
  <si>
    <t>អាជីវកម្មឆ្នាំទី​៣</t>
  </si>
  <si>
    <t>Kinh doanh năm 2</t>
  </si>
  <si>
    <t>អាជីវកម្មឆ្នាំទី​២</t>
  </si>
  <si>
    <t>Mở cạo 2021</t>
  </si>
  <si>
    <t>បើកមុខចៀរជ័រឆ្នាំ​២០២១</t>
  </si>
  <si>
    <t>Công/ha</t>
  </si>
  <si>
    <t>កម្លាំង/ហិតា</t>
  </si>
  <si>
    <t>Đợt 1</t>
  </si>
  <si>
    <t>វគ្គទី​១</t>
  </si>
  <si>
    <t>Đợt 2</t>
  </si>
  <si>
    <t>វគ្គទី​២</t>
  </si>
  <si>
    <t>Tổng 2 đợt</t>
  </si>
  <si>
    <t>សរុបទាំង​២វគ្គ</t>
  </si>
  <si>
    <t>Công/ngày</t>
  </si>
  <si>
    <t>កម្លាំង/ថ្ងៃ</t>
  </si>
  <si>
    <t>Hạng mục KTCB</t>
  </si>
  <si>
    <r>
      <t>មុខងារ</t>
    </r>
    <r>
      <rPr>
        <b/>
        <sz val="11"/>
        <color indexed="10"/>
        <rFont val="Khmer OS"/>
      </rPr>
      <t>រយៈមុនពេលប្រមូលផល</t>
    </r>
  </si>
  <si>
    <t>Phun thuốc cỏ hàng</t>
  </si>
  <si>
    <t>បាញ់ថ្នាំរង</t>
  </si>
  <si>
    <t>Phát dọn, phòng chống cháy</t>
  </si>
  <si>
    <t>ជម្រះការពារភ្លើងឆេះ</t>
  </si>
  <si>
    <t>Bảo vệ thường xuyên</t>
  </si>
  <si>
    <t>ការពារជាប្រចាំ</t>
  </si>
  <si>
    <t>Kiểm kê cuối năm</t>
  </si>
  <si>
    <t>ជំរឿនដើមកៅស៊ូនៅចុងរដូវចៀរ</t>
  </si>
  <si>
    <t>SỐ NĂM</t>
  </si>
  <si>
    <t>STT</t>
  </si>
  <si>
    <t>ប្រុល់</t>
  </si>
  <si>
    <t>ស្រី</t>
  </si>
  <si>
    <t>CMNN</t>
  </si>
  <si>
    <t>TÊN</t>
  </si>
  <si>
    <t>Số phần cây</t>
  </si>
  <si>
    <t>ឆែម ហុង</t>
  </si>
  <si>
    <t>CHHEM HONG</t>
  </si>
  <si>
    <t>GA 1</t>
  </si>
  <si>
    <t>NỮ</t>
  </si>
  <si>
    <t>ប្រុស</t>
  </si>
  <si>
    <t>សុទ្ធ សីថា</t>
  </si>
  <si>
    <t>SOT SEYTHA</t>
  </si>
  <si>
    <t>NAM</t>
  </si>
  <si>
    <t>រ៉ន ចាន់រាជ</t>
  </si>
  <si>
    <t>RORN CHANREACH</t>
  </si>
  <si>
    <t>150815265</t>
  </si>
  <si>
    <t>ណំ ធីងធីង</t>
  </si>
  <si>
    <t>NON THING THING</t>
  </si>
  <si>
    <t>វ៉ាន់ បូរ៉ុង</t>
  </si>
  <si>
    <t>VANN BORONG</t>
  </si>
  <si>
    <t>យឿង សុខជា</t>
  </si>
  <si>
    <t>YOEUNG SOKCHEA</t>
  </si>
  <si>
    <t>អួន សុភាព</t>
  </si>
  <si>
    <t>OURN SOPHEAP</t>
  </si>
  <si>
    <t>ភួន ភី</t>
  </si>
  <si>
    <t>PHUON PHY</t>
  </si>
  <si>
    <t>ទូ គុលា</t>
  </si>
  <si>
    <t>TO TOKLA</t>
  </si>
  <si>
    <t>ណំ សិទ្ធិ</t>
  </si>
  <si>
    <t>NOM SITH</t>
  </si>
  <si>
    <t>ធ្លក រាន់</t>
  </si>
  <si>
    <t>THLOK ROIN</t>
  </si>
  <si>
    <t>យ៉ែម ឃឿន</t>
  </si>
  <si>
    <t>YEM KHOEUN</t>
  </si>
  <si>
    <t>យឿង រ៉ាឌី</t>
  </si>
  <si>
    <t>YOEUNG RADIN</t>
  </si>
  <si>
    <t>វ៉ាន់ បូរិទ្ធ</t>
  </si>
  <si>
    <t>VANN BORITH</t>
  </si>
  <si>
    <t>ឆែម ហ៊ាច</t>
  </si>
  <si>
    <t>CHHEM HEACH</t>
  </si>
  <si>
    <t>ឆែម ឆុន</t>
  </si>
  <si>
    <t>CHHEN CHHON</t>
  </si>
  <si>
    <t>មាស សំឡូត</t>
  </si>
  <si>
    <t>MEAS SOMLOT</t>
  </si>
  <si>
    <t>ម៉ន វិចិត្រ</t>
  </si>
  <si>
    <t>MORN VICHET</t>
  </si>
  <si>
    <t>គ្រួច គ្រីន</t>
  </si>
  <si>
    <t>KRUOCH KRIN</t>
  </si>
  <si>
    <t>ស្រេង សំណាង</t>
  </si>
  <si>
    <t>SRENG SAMNANG</t>
  </si>
  <si>
    <t>ហ៊ិក ងួន</t>
  </si>
  <si>
    <t>HIK NGUON</t>
  </si>
  <si>
    <t>សៀក សំ</t>
  </si>
  <si>
    <t>SIEK SAM</t>
  </si>
  <si>
    <t>ឆែម ឆុំ</t>
  </si>
  <si>
    <t>CHHEIM CHHOM</t>
  </si>
  <si>
    <t>សុទ្ធ សុខជា</t>
  </si>
  <si>
    <t>SOTH SOKCHEA</t>
  </si>
  <si>
    <t>060541171</t>
  </si>
  <si>
    <t>ពិន ឆេន</t>
  </si>
  <si>
    <t>PIN CHHEN</t>
  </si>
  <si>
    <t>060540793</t>
  </si>
  <si>
    <t>កេត នី</t>
  </si>
  <si>
    <t>KET NY</t>
  </si>
  <si>
    <t>គៀវ និ</t>
  </si>
  <si>
    <t>KIEV NIK</t>
  </si>
  <si>
    <t>ដួត ដែន</t>
  </si>
  <si>
    <t>DOUT DEN</t>
  </si>
  <si>
    <t>ចាយ ពន្លក</t>
  </si>
  <si>
    <t>CHAY PONLOK</t>
  </si>
  <si>
    <t>សំ ផុន</t>
  </si>
  <si>
    <t>SOM PHON</t>
  </si>
  <si>
    <t>អ៊ុន ឆវ័ន</t>
  </si>
  <si>
    <t>UN CHORVON</t>
  </si>
  <si>
    <t>ប៉ិល ថា</t>
  </si>
  <si>
    <t>PEL THA</t>
  </si>
  <si>
    <t>ប៉ិល ផល្លា</t>
  </si>
  <si>
    <t>PEL PHALLA</t>
  </si>
  <si>
    <t>យៀត ឌី</t>
  </si>
  <si>
    <t>YIEN DY</t>
  </si>
  <si>
    <t>រឿន ចាន់រ៉ា</t>
  </si>
  <si>
    <t>ROEUN CHANRA</t>
  </si>
  <si>
    <t>អៀវ សុភ័ណ្ឌ</t>
  </si>
  <si>
    <t>IEV SOPHORN</t>
  </si>
  <si>
    <t>គុយ សឿន</t>
  </si>
  <si>
    <t>KUY SOEUN</t>
  </si>
  <si>
    <t>សាំ សុរីសា</t>
  </si>
  <si>
    <t>SAM SORYSA</t>
  </si>
  <si>
    <t>មាស សំបាន</t>
  </si>
  <si>
    <t>MEAS SOM BAN</t>
  </si>
  <si>
    <t>សុទ្ធ ឡៃហ័ន</t>
  </si>
  <si>
    <t>SOT LAYHORN</t>
  </si>
  <si>
    <t>អឿង សំអុល</t>
  </si>
  <si>
    <t>OENG SAMOL</t>
  </si>
  <si>
    <t>ឡា​ឡច</t>
  </si>
  <si>
    <t>LA LOCH</t>
  </si>
  <si>
    <t>SIEK SOM</t>
  </si>
  <si>
    <t>អ៊ីម សារ៉ាន</t>
  </si>
  <si>
    <t>IM SARAN</t>
  </si>
  <si>
    <t>គាន ខេន</t>
  </si>
  <si>
    <t>KEAN KHEN</t>
  </si>
  <si>
    <t>ទួច សុភាន់</t>
  </si>
  <si>
    <t>TUOCH SOPHOIN</t>
  </si>
  <si>
    <t>ឆេង យីន</t>
  </si>
  <si>
    <t>CHHENG YIN</t>
  </si>
  <si>
    <t>ឆែម អ៊ិន</t>
  </si>
  <si>
    <t>CHHEM IN</t>
  </si>
  <si>
    <t>វឿន លីម</t>
  </si>
  <si>
    <t>VOEUN LIM</t>
  </si>
  <si>
    <t>ហោ យ៉ាន</t>
  </si>
  <si>
    <t>HO YAN</t>
  </si>
  <si>
    <t>តោ ទឿន</t>
  </si>
  <si>
    <t>TOR TOEUN</t>
  </si>
  <si>
    <t>ញ៉ុវ ញឹម</t>
  </si>
  <si>
    <t>NHOV NHIM</t>
  </si>
  <si>
    <t>តូច ចាន់លី</t>
  </si>
  <si>
    <t>TOUCH CHANLY</t>
  </si>
  <si>
    <t>ឡោ ហ៊ុន</t>
  </si>
  <si>
    <t>LAO HUN</t>
  </si>
  <si>
    <t>ឈាន អន</t>
  </si>
  <si>
    <t>CHHEAN ORN</t>
  </si>
  <si>
    <t>មាស ណាលីន</t>
  </si>
  <si>
    <t>MEAS NALIN</t>
  </si>
  <si>
    <t>ម៉ួន ហ៊ាង</t>
  </si>
  <si>
    <t>MUON HEANG</t>
  </si>
  <si>
    <t>051669732</t>
  </si>
  <si>
    <t>យ៉េន ហៃ</t>
  </si>
  <si>
    <t>YEN HAI</t>
  </si>
  <si>
    <t>ស្រី អ៊ឹម</t>
  </si>
  <si>
    <t>SREY OEM</t>
  </si>
  <si>
    <t>ណេ សារ៉ាត់</t>
  </si>
  <si>
    <t>NE SARATH</t>
  </si>
  <si>
    <t>សន ធីន</t>
  </si>
  <si>
    <t>SORN THIN</t>
  </si>
  <si>
    <t>ម៉ន ម៉ៃ</t>
  </si>
  <si>
    <t>MORN MAY</t>
  </si>
  <si>
    <t>ជន សាមាក់</t>
  </si>
  <si>
    <t>CHORN SAMAK</t>
  </si>
  <si>
    <t>សេង មករា</t>
  </si>
  <si>
    <t>SENG MEAKARA</t>
  </si>
  <si>
    <t>ហ៊ាវ ហៃ</t>
  </si>
  <si>
    <t>HEAV HAI</t>
  </si>
  <si>
    <t>មឿន សាវន</t>
  </si>
  <si>
    <t>MOEUN SAVON</t>
  </si>
  <si>
    <t>មឿន សុខា</t>
  </si>
  <si>
    <t>MAEUN SOKHA</t>
  </si>
  <si>
    <t>ម៉ិក ស្រីលាក់</t>
  </si>
  <si>
    <t>MIK SREYLEAK</t>
  </si>
  <si>
    <t>គង់ ពន្លឺ</t>
  </si>
  <si>
    <t>KONG PUNLEU</t>
  </si>
  <si>
    <t>បាន សុខឿន</t>
  </si>
  <si>
    <t>BAN SOKHOEUN</t>
  </si>
  <si>
    <t>ខុន ស្រីនាង</t>
  </si>
  <si>
    <t>KHON SREYNEANG</t>
  </si>
  <si>
    <t>ត្រុចធីតា</t>
  </si>
  <si>
    <t>TROCH THYDA</t>
  </si>
  <si>
    <t>ផល់ ណាត</t>
  </si>
  <si>
    <t>PHOL NAT</t>
  </si>
  <si>
    <t>ពិន ចាន់នី</t>
  </si>
  <si>
    <t>PIN CHANNY</t>
  </si>
  <si>
    <t>ផា សុផុន</t>
  </si>
  <si>
    <t>PHA SOPHON</t>
  </si>
  <si>
    <t>វ៉ា វាសនា</t>
  </si>
  <si>
    <t>VA VEASNA</t>
  </si>
  <si>
    <t>060581849</t>
  </si>
  <si>
    <t>សុត តក់</t>
  </si>
  <si>
    <t>SOT TORK</t>
  </si>
  <si>
    <t>បាន ល្អិត</t>
  </si>
  <si>
    <t>BAN LOITH</t>
  </si>
  <si>
    <t>ដា វ៉ាន់ណា</t>
  </si>
  <si>
    <t>DA VANNA</t>
  </si>
  <si>
    <t>ទៀន ចែម</t>
  </si>
  <si>
    <t>TEAN CHEM</t>
  </si>
  <si>
    <t>លី ឡាត់</t>
  </si>
  <si>
    <t>LY LAYH</t>
  </si>
  <si>
    <t>ទូច ណាង</t>
  </si>
  <si>
    <t>TOUCH NANG</t>
  </si>
  <si>
    <t>មាំង ម៉ែន</t>
  </si>
  <si>
    <t>MANG MAN</t>
  </si>
  <si>
    <t>សាត សុខណេង</t>
  </si>
  <si>
    <t>SAT SOKNENG</t>
  </si>
  <si>
    <t>ស៊ុយ ចាន់នី</t>
  </si>
  <si>
    <t>SUY CHANNY</t>
  </si>
  <si>
    <t>ហង់ ហើយ</t>
  </si>
  <si>
    <t>HANG HAEUY</t>
  </si>
  <si>
    <t>ឡៃ គុណ</t>
  </si>
  <si>
    <t>LAY KUN</t>
  </si>
  <si>
    <t>ភា ស្រីភិច</t>
  </si>
  <si>
    <t>PHEA SREYPHICH</t>
  </si>
  <si>
    <t>ពិន ចាន់ណា</t>
  </si>
  <si>
    <t>PIN CHANNA</t>
  </si>
  <si>
    <t>ប៊ូ បៀន</t>
  </si>
  <si>
    <t>BO BEAN</t>
  </si>
  <si>
    <t>មឿន ម៉ាក់</t>
  </si>
  <si>
    <t>MOEUN MAK</t>
  </si>
  <si>
    <t>12/02/1984</t>
  </si>
  <si>
    <t>ស សឿ</t>
  </si>
  <si>
    <t>SOR SOEU</t>
  </si>
  <si>
    <t>ស៊ន សី</t>
  </si>
  <si>
    <t>SORN SEY</t>
  </si>
  <si>
    <t>ឡុន លាង</t>
  </si>
  <si>
    <t>LAUN LENG</t>
  </si>
  <si>
    <t>ស៊ាន ពិន</t>
  </si>
  <si>
    <t>SEAN PIN</t>
  </si>
  <si>
    <t>ប៊ូ ផៃ</t>
  </si>
  <si>
    <t>BOU PHAY</t>
  </si>
  <si>
    <t>ហួន​ ហ៊ាន</t>
  </si>
  <si>
    <t>HOURN HEAN</t>
  </si>
  <si>
    <t>ហ៊ាន តុលា</t>
  </si>
  <si>
    <t>HAN TOLA</t>
  </si>
  <si>
    <t>ទេព មឿន</t>
  </si>
  <si>
    <t>TEP MOEUN</t>
  </si>
  <si>
    <t>ប៊ូ បឿន</t>
  </si>
  <si>
    <t>BOU BOEUN</t>
  </si>
  <si>
    <t>ញ៉ីវ ហាន</t>
  </si>
  <si>
    <t>NHIV HAN</t>
  </si>
  <si>
    <t>ម៉ៅ អ៊ីម</t>
  </si>
  <si>
    <t>MAO IM</t>
  </si>
  <si>
    <t>អ៊ុង សុភ័ក្រ</t>
  </si>
  <si>
    <t>UNG SOPHEAK</t>
  </si>
  <si>
    <t>លាង ចន្ធី</t>
  </si>
  <si>
    <t>LEANG CHATHY</t>
  </si>
  <si>
    <t>ភូន ខេត</t>
  </si>
  <si>
    <t>PHOUN KHET</t>
  </si>
  <si>
    <t>ហ៊ាន់ គី</t>
  </si>
  <si>
    <t>HOINN KY</t>
  </si>
  <si>
    <t>ឃាន អំ</t>
  </si>
  <si>
    <t>KHEAN AM</t>
  </si>
  <si>
    <t>សុខ ទ្រី</t>
  </si>
  <si>
    <t>SOK TRY</t>
  </si>
  <si>
    <t>ហួន​ ហេត</t>
  </si>
  <si>
    <t>HOUN HET</t>
  </si>
  <si>
    <t>សុក ចិន</t>
  </si>
  <si>
    <t>SOK CHIN</t>
  </si>
  <si>
    <t>ផាន់ ភឿន</t>
  </si>
  <si>
    <t>PHANN PHOEUN</t>
  </si>
  <si>
    <t>ផន នាន</t>
  </si>
  <si>
    <t>PHON NEAN</t>
  </si>
  <si>
    <t>ផាន់ សុភា</t>
  </si>
  <si>
    <t>PHANN SOPHEA</t>
  </si>
  <si>
    <t>សៀន អេម</t>
  </si>
  <si>
    <t>SEAN EM</t>
  </si>
  <si>
    <t>គឿន គា</t>
  </si>
  <si>
    <t>KOEURN KEA</t>
  </si>
  <si>
    <t>ផុន អឿន</t>
  </si>
  <si>
    <t>PON OEUN</t>
  </si>
  <si>
    <t>ខា​ សុឃីម</t>
  </si>
  <si>
    <t>KHA SOKHIM</t>
  </si>
  <si>
    <t>ភា សុផាត</t>
  </si>
  <si>
    <t>PHEA SOPHAT</t>
  </si>
  <si>
    <t>វឿត សុខនីន</t>
  </si>
  <si>
    <t>VOEUT SOKNIN</t>
  </si>
  <si>
    <t>អឿ វឿត</t>
  </si>
  <si>
    <t>OEUR VOEURTH</t>
  </si>
  <si>
    <t>លាង លីម</t>
  </si>
  <si>
    <t>LEANG LIM</t>
  </si>
  <si>
    <t>ឃឹម ឡន</t>
  </si>
  <si>
    <t>KHOEM LAN</t>
  </si>
  <si>
    <t>ឈឿន សារិន</t>
  </si>
  <si>
    <t>CHHOEUN SARIN</t>
  </si>
  <si>
    <t>លាង ឡៃហេង</t>
  </si>
  <si>
    <t>LEANG LAIHENG</t>
  </si>
  <si>
    <t>ហួយ ភើក</t>
  </si>
  <si>
    <t>HOURY PHEAK</t>
  </si>
  <si>
    <t>ធឿន ​ធា</t>
  </si>
  <si>
    <t>THOEURN THEA</t>
  </si>
  <si>
    <t>យី ប៉ាង</t>
  </si>
  <si>
    <t>YI PANG</t>
  </si>
  <si>
    <t>វ៉ិត មីត</t>
  </si>
  <si>
    <t>VET MIT</t>
  </si>
  <si>
    <t>ប៉ែន វណ្ណា</t>
  </si>
  <si>
    <t>BEN VANNA</t>
  </si>
  <si>
    <t>លឿន ម៉ៅ</t>
  </si>
  <si>
    <t>LOEURN MAO</t>
  </si>
  <si>
    <t>សុក ចូក</t>
  </si>
  <si>
    <t>SOK CHOUK</t>
  </si>
  <si>
    <t>រី ឆេង</t>
  </si>
  <si>
    <t>RY CHHENG</t>
  </si>
  <si>
    <t>ហឿង រីន</t>
  </si>
  <si>
    <t>HOEUNG RIN</t>
  </si>
  <si>
    <t>ធី សុខខៃ</t>
  </si>
  <si>
    <t>THY SOKKHAI</t>
  </si>
  <si>
    <t>កើត អាត</t>
  </si>
  <si>
    <t>KOEUT AT</t>
  </si>
  <si>
    <t>150952466</t>
  </si>
  <si>
    <t>ឆ្លាម ឆ្លាត</t>
  </si>
  <si>
    <t>CHLAM CHLAT</t>
  </si>
  <si>
    <t>150865362</t>
  </si>
  <si>
    <t>សៅ​ ធី</t>
  </si>
  <si>
    <t>SOA THY</t>
  </si>
  <si>
    <t>រី អឿន</t>
  </si>
  <si>
    <t>RY OEUN</t>
  </si>
  <si>
    <t>ប៊ុត សុគង់</t>
  </si>
  <si>
    <t>BUT SOKONG</t>
  </si>
  <si>
    <t>ឡាម វង្ស</t>
  </si>
  <si>
    <t>LAM VONG</t>
  </si>
  <si>
    <t>លីម ធា</t>
  </si>
  <si>
    <t>LIM THEA</t>
  </si>
  <si>
    <t>20/3/1993</t>
  </si>
  <si>
    <t>យ៉ុន ឆាយ</t>
  </si>
  <si>
    <t>YON CHHAY</t>
  </si>
  <si>
    <t>យ៉ាត សុឃីម</t>
  </si>
  <si>
    <t>YAT SOKHIM</t>
  </si>
  <si>
    <t>ឈន ប៊ន</t>
  </si>
  <si>
    <t>CHHON BORN</t>
  </si>
  <si>
    <t>061770457</t>
  </si>
  <si>
    <t>ចន អ៊ន់</t>
  </si>
  <si>
    <t>CHAN ON</t>
  </si>
  <si>
    <t>សែម ធឿន</t>
  </si>
  <si>
    <t>SEM THOEURN</t>
  </si>
  <si>
    <t>ហ៊ាន ភ័ក្រ</t>
  </si>
  <si>
    <t>HEAN PHEAK</t>
  </si>
  <si>
    <t>ឆ្លាមឆ្លាត សុខេន</t>
  </si>
  <si>
    <t>CHHLAMCHHAT SOKHEN</t>
  </si>
  <si>
    <t>ប៊ូ ស្រីណយ</t>
  </si>
  <si>
    <t>BOU SREYNOY</t>
  </si>
  <si>
    <t>អ៊ីវ សាវុន</t>
  </si>
  <si>
    <t>IV SAVUN</t>
  </si>
  <si>
    <t>សាត គឹមសេង</t>
  </si>
  <si>
    <t>SAT KIMSENG</t>
  </si>
  <si>
    <t>ធី សៀងហេង</t>
  </si>
  <si>
    <t>THY SEANG HENG</t>
  </si>
  <si>
    <t>វ៉ាត ចន្ធី</t>
  </si>
  <si>
    <t>VAT CHANTHY</t>
  </si>
  <si>
    <t>061577117</t>
  </si>
  <si>
    <t>តែ សុនាង</t>
  </si>
  <si>
    <t>TOE AONANG</t>
  </si>
  <si>
    <t>យ៉ុន ឈីន</t>
  </si>
  <si>
    <t>YON CHHIN</t>
  </si>
  <si>
    <t>ហេង សុខ​</t>
  </si>
  <si>
    <t>HENG SOK</t>
  </si>
  <si>
    <t>150523536</t>
  </si>
  <si>
    <t>មឿន រម្យ</t>
  </si>
  <si>
    <t>MOEUN RUM</t>
  </si>
  <si>
    <t>សំ វិជ្ជា</t>
  </si>
  <si>
    <t>SAM VICHEA</t>
  </si>
  <si>
    <t>គង់ កៀន</t>
  </si>
  <si>
    <t>KONG KIEN</t>
  </si>
  <si>
    <t>បាវ ប៊ន</t>
  </si>
  <si>
    <t>BAV BORN</t>
  </si>
  <si>
    <t>ខុន ចំរ៉ុង</t>
  </si>
  <si>
    <t>KHUN CHAMRONG</t>
  </si>
  <si>
    <t>សែម មុំ</t>
  </si>
  <si>
    <t>SEM MOM</t>
  </si>
  <si>
    <t>ឈិត លាង</t>
  </si>
  <si>
    <t>CHHET LEANG</t>
  </si>
  <si>
    <t>ឡាម ពុំ</t>
  </si>
  <si>
    <t>LAM PUM</t>
  </si>
  <si>
    <t>ភ័ក្រ ធិ</t>
  </si>
  <si>
    <t>PHEAK THIK</t>
  </si>
  <si>
    <t>ជុំ មី</t>
  </si>
  <si>
    <t>CHUM ME</t>
  </si>
  <si>
    <t>សៀក សិទ្ធ</t>
  </si>
  <si>
    <t>SIEK SITH</t>
  </si>
  <si>
    <t>ណាក់ ស៊ាក</t>
  </si>
  <si>
    <t>NAK SEAK</t>
  </si>
  <si>
    <t>GA 2</t>
  </si>
  <si>
    <t>ឈុន សុខឃឿន</t>
  </si>
  <si>
    <t>CHHUN SOKHOEUN</t>
  </si>
  <si>
    <t>កោ លីណា</t>
  </si>
  <si>
    <t>KOA LYNA</t>
  </si>
  <si>
    <t>ទ្រី ចាន់ធូ</t>
  </si>
  <si>
    <t>TRY CHANTHOU</t>
  </si>
  <si>
    <t>កេរ្ត៍​ ថ្លម</t>
  </si>
  <si>
    <t>KE THNORM</t>
  </si>
  <si>
    <t>ផោន វល្លិ</t>
  </si>
  <si>
    <t>PHON VORN</t>
  </si>
  <si>
    <t>សាយ សេង</t>
  </si>
  <si>
    <t>SAY SENG</t>
  </si>
  <si>
    <t>ឃឿន ហែ</t>
  </si>
  <si>
    <t>KHOEUN HE</t>
  </si>
  <si>
    <t>ប៉ឹង ថា</t>
  </si>
  <si>
    <t>POENG THA</t>
  </si>
  <si>
    <t>កោ គង្គា</t>
  </si>
  <si>
    <t>KOR KONGKEA</t>
  </si>
  <si>
    <t>សេង សីហា</t>
  </si>
  <si>
    <t>SENG SEYHA</t>
  </si>
  <si>
    <t>ថៃ លក្ខិណា</t>
  </si>
  <si>
    <t>THAI LEAKANA</t>
  </si>
  <si>
    <t>ឈឿន សុខច័ន្ទ</t>
  </si>
  <si>
    <t>CHHOEUN SOKCHAN</t>
  </si>
  <si>
    <t>សុទ្ធ សានី</t>
  </si>
  <si>
    <t>SOTH SANY</t>
  </si>
  <si>
    <t>22211461</t>
  </si>
  <si>
    <t>យឿង សុខជាតិ</t>
  </si>
  <si>
    <t>YOEUNG SOCHEAT</t>
  </si>
  <si>
    <t>ម៉ែន មឿន</t>
  </si>
  <si>
    <t>MEN MOEUN</t>
  </si>
  <si>
    <t>220140659</t>
  </si>
  <si>
    <t>យ៉ុង រី</t>
  </si>
  <si>
    <t>YONG RY</t>
  </si>
  <si>
    <t>ហៃ អូន</t>
  </si>
  <si>
    <t>HAI ON</t>
  </si>
  <si>
    <t>វ៉ាន់ គាត</t>
  </si>
  <si>
    <t>VANN KEAT</t>
  </si>
  <si>
    <t>សេង សោភា</t>
  </si>
  <si>
    <t>SENG SOPHEA</t>
  </si>
  <si>
    <t>ឃឿន សុក</t>
  </si>
  <si>
    <t>KHOEUN SOK</t>
  </si>
  <si>
    <t>ណំ វ៉ាន់​ស៊ីង</t>
  </si>
  <si>
    <t>NOM VANSING</t>
  </si>
  <si>
    <t>ដៀប ចាន់ណា</t>
  </si>
  <si>
    <t>DIEB CHANNA</t>
  </si>
  <si>
    <t>ឆែម ឆាន</t>
  </si>
  <si>
    <t>CHHEM CHHAN</t>
  </si>
  <si>
    <t>ហៃ សុខវី</t>
  </si>
  <si>
    <t>HAY SOK VY</t>
  </si>
  <si>
    <t>ចយ សុខណា</t>
  </si>
  <si>
    <t>JOY SOKNA</t>
  </si>
  <si>
    <t>តុប តង</t>
  </si>
  <si>
    <t>TOB TORNG</t>
  </si>
  <si>
    <t>រ៉ែម រ៉ុម</t>
  </si>
  <si>
    <t>REM ROM</t>
  </si>
  <si>
    <t>ចយ សុខា</t>
  </si>
  <si>
    <t>CHORY SOKHA</t>
  </si>
  <si>
    <t>ងិន ភា</t>
  </si>
  <si>
    <t>NGIN PHEA</t>
  </si>
  <si>
    <t>ប៉ិល សុដា</t>
  </si>
  <si>
    <t>PEL SODA</t>
  </si>
  <si>
    <t>ទ្រី​ សុខខី</t>
  </si>
  <si>
    <t>TRY SOKKHEY</t>
  </si>
  <si>
    <t>ដែង ស</t>
  </si>
  <si>
    <t>DENG SOR</t>
  </si>
  <si>
    <t>អ៊ុក រដ្ឋ</t>
  </si>
  <si>
    <t>UK ROTH</t>
  </si>
  <si>
    <t>220140656</t>
  </si>
  <si>
    <t>ដែង សន</t>
  </si>
  <si>
    <t>DENG SAN</t>
  </si>
  <si>
    <t>150947762</t>
  </si>
  <si>
    <t>ញូន ស្រីខួច</t>
  </si>
  <si>
    <t>NHOUN SREYKHOUCH</t>
  </si>
  <si>
    <t>សេក សាមន់</t>
  </si>
  <si>
    <t>SEK SAMON</t>
  </si>
  <si>
    <t>សាត ម៉េងហួង</t>
  </si>
  <si>
    <t>SAT MENGHOUR</t>
  </si>
  <si>
    <t>150612299</t>
  </si>
  <si>
    <t>ខ្វាន់ ណាក់</t>
  </si>
  <si>
    <t>KHVANN NAK</t>
  </si>
  <si>
    <t>ខា សឿន</t>
  </si>
  <si>
    <t>KHA SOEUN</t>
  </si>
  <si>
    <t>ឈូក ឆោម</t>
  </si>
  <si>
    <t>CHHOUK CHHAOM</t>
  </si>
  <si>
    <t>ឡា រ៉ាសែន</t>
  </si>
  <si>
    <t>LA RASAEN</t>
  </si>
  <si>
    <t>អ៊ី សុខួច</t>
  </si>
  <si>
    <t>Y SOKHOUCH</t>
  </si>
  <si>
    <t>សាំ សាន</t>
  </si>
  <si>
    <t>SOM SAN</t>
  </si>
  <si>
    <t>190372420</t>
  </si>
  <si>
    <t>សំអុន កាសេន</t>
  </si>
  <si>
    <t>SAMUN KASEN</t>
  </si>
  <si>
    <t>ប៉ែន វី</t>
  </si>
  <si>
    <t>PEN VY</t>
  </si>
  <si>
    <t>លី​ ភៀត</t>
  </si>
  <si>
    <t>LY PHIET</t>
  </si>
  <si>
    <t>ហ៊ុយ ចយ</t>
  </si>
  <si>
    <t>HUY CHOY</t>
  </si>
  <si>
    <t>ឈាង ឆេន</t>
  </si>
  <si>
    <t>CHHEANG CHHEN</t>
  </si>
  <si>
    <t>ប៉ឹង តូច</t>
  </si>
  <si>
    <t>POENG TOUCH</t>
  </si>
  <si>
    <t>ម៉ន ស៊ីន</t>
  </si>
  <si>
    <t>MORN SIN</t>
  </si>
  <si>
    <t>យឿន យួន</t>
  </si>
  <si>
    <t>YOEUN YOUN</t>
  </si>
  <si>
    <t>ណាក់ ញ៉ាញ់</t>
  </si>
  <si>
    <t>NAK NHANH</t>
  </si>
  <si>
    <t>មាន រិទ្ធី</t>
  </si>
  <si>
    <t>MEAN RITHY</t>
  </si>
  <si>
    <t>ក្រឹង រ៉ែម</t>
  </si>
  <si>
    <t>KROENG REM</t>
  </si>
  <si>
    <t>16/01/1990</t>
  </si>
  <si>
    <t>អ៊ុក សុខគួន</t>
  </si>
  <si>
    <t>UK SOKOURN</t>
  </si>
  <si>
    <t>150306223</t>
  </si>
  <si>
    <t>ហ៊ាង ហេន</t>
  </si>
  <si>
    <t>HEANG HEN</t>
  </si>
  <si>
    <t>ហួន យ៉េ</t>
  </si>
  <si>
    <t>HOURN YE</t>
  </si>
  <si>
    <t>លី ចិត្តត្រា</t>
  </si>
  <si>
    <t>LY CHITRA</t>
  </si>
  <si>
    <t>សល់ សុភី</t>
  </si>
  <si>
    <t>SAL SOPHY</t>
  </si>
  <si>
    <t>ម៉ោន ហ៊ុំ</t>
  </si>
  <si>
    <t>MORN HUM</t>
  </si>
  <si>
    <t>លី សឹង</t>
  </si>
  <si>
    <t>LY SOENG</t>
  </si>
  <si>
    <t>220102065</t>
  </si>
  <si>
    <t>ងិន ម៉ុត</t>
  </si>
  <si>
    <t>NGIN MOT</t>
  </si>
  <si>
    <t>220137726</t>
  </si>
  <si>
    <t>វ៉ន សុភី</t>
  </si>
  <si>
    <t>VORN SOPHY</t>
  </si>
  <si>
    <t>កោ វុទ្ធី</t>
  </si>
  <si>
    <t>KOR VUTHY</t>
  </si>
  <si>
    <t>ហាយ សុភី</t>
  </si>
  <si>
    <t>HAY SOPHY</t>
  </si>
  <si>
    <t>សែ ពីពី</t>
  </si>
  <si>
    <t>SE PIPY</t>
  </si>
  <si>
    <t>26/01/1981</t>
  </si>
  <si>
    <t>ឈីវ ភាត</t>
  </si>
  <si>
    <t>CHHIV PHEAT</t>
  </si>
  <si>
    <t>សុខ ណេ</t>
  </si>
  <si>
    <t>SOK NE</t>
  </si>
  <si>
    <t>កាន់ សុគីន</t>
  </si>
  <si>
    <t>KAN SOKIN</t>
  </si>
  <si>
    <t>220140655</t>
  </si>
  <si>
    <t>ដែង តូច</t>
  </si>
  <si>
    <t>DENG TOUCH</t>
  </si>
  <si>
    <t>ហេត គឹមលីង</t>
  </si>
  <si>
    <t>HET KIMLING</t>
  </si>
  <si>
    <t>យៀត សុជឿន</t>
  </si>
  <si>
    <t>YIET SOCHOEUN</t>
  </si>
  <si>
    <t>220152900</t>
  </si>
  <si>
    <t>ឈីវ ផល</t>
  </si>
  <si>
    <t>CHHIV PHALL</t>
  </si>
  <si>
    <t>220175254</t>
  </si>
  <si>
    <t>កែវ សុខគង់</t>
  </si>
  <si>
    <t>KEO SOKONG</t>
  </si>
  <si>
    <t>បូ បូត</t>
  </si>
  <si>
    <t>BO BOUT</t>
  </si>
  <si>
    <t>ជា ណាត</t>
  </si>
  <si>
    <t>CHEA NAT</t>
  </si>
  <si>
    <t>ធា ចាន់</t>
  </si>
  <si>
    <t>THEA CHANN</t>
  </si>
  <si>
    <t>គីន ចន្ថា</t>
  </si>
  <si>
    <t>KIN CHANTHA</t>
  </si>
  <si>
    <t>ភឿន សុផល់</t>
  </si>
  <si>
    <t>PHOEUN SOPHAL</t>
  </si>
  <si>
    <t>តូច លីម</t>
  </si>
  <si>
    <t>TOUCH LIM</t>
  </si>
  <si>
    <t>040410628</t>
  </si>
  <si>
    <t>ស្រឿន ស្រីហាន់</t>
  </si>
  <si>
    <t>SROEUN SREYHANN</t>
  </si>
  <si>
    <t>ហង់ យ៉ាត់</t>
  </si>
  <si>
    <t>HANG YATH</t>
  </si>
  <si>
    <t>សែម សាមេន</t>
  </si>
  <si>
    <t>SEM SAMEN</t>
  </si>
  <si>
    <t>040410627</t>
  </si>
  <si>
    <t>ជី ឆេងលាង</t>
  </si>
  <si>
    <t>CHY CHHENGLENG</t>
  </si>
  <si>
    <t>ផាន់ ខេ</t>
  </si>
  <si>
    <t>PHANN KHE</t>
  </si>
  <si>
    <t>លន លៀម</t>
  </si>
  <si>
    <t>LON LEAM</t>
  </si>
  <si>
    <t>220102093</t>
  </si>
  <si>
    <t>ចាន់ ណារ៉ុង</t>
  </si>
  <si>
    <t>CHAN NARONG</t>
  </si>
  <si>
    <t>ង៉ា អ៊ាត</t>
  </si>
  <si>
    <t>NGAR EAT</t>
  </si>
  <si>
    <t>ហង់ ស៊ីយាន</t>
  </si>
  <si>
    <t>HONG SIYEAN</t>
  </si>
  <si>
    <t>បួ សុខជា</t>
  </si>
  <si>
    <t>BOUR SOKCHEA</t>
  </si>
  <si>
    <t>20/01/1981</t>
  </si>
  <si>
    <t>ឃឹម ធឿន</t>
  </si>
  <si>
    <t>KHOEM THOEUN</t>
  </si>
  <si>
    <t>ហន ហាយ</t>
  </si>
  <si>
    <t>HORN HAY</t>
  </si>
  <si>
    <t>លាង ផា</t>
  </si>
  <si>
    <t>LEANG PHA</t>
  </si>
  <si>
    <t>អ៊ឹម ចាន់ណា</t>
  </si>
  <si>
    <t>OEM CHANNA</t>
  </si>
  <si>
    <t>អៀង វី</t>
  </si>
  <si>
    <t>EANG VY</t>
  </si>
  <si>
    <t>បុន បួត</t>
  </si>
  <si>
    <t>BON BUOT</t>
  </si>
  <si>
    <t>អ៊ួន ខ្មិក</t>
  </si>
  <si>
    <t>OUN KHMEK</t>
  </si>
  <si>
    <t>ឡាញ់ រ៉ុម</t>
  </si>
  <si>
    <t>LANG ROM</t>
  </si>
  <si>
    <t>ឡាញ់ លី</t>
  </si>
  <si>
    <t>LANH LY</t>
  </si>
  <si>
    <t>150113511</t>
  </si>
  <si>
    <t>ប៊ិន យ៉ូត</t>
  </si>
  <si>
    <t>BIN YOUT</t>
  </si>
  <si>
    <t>ជ្រឹម សាត</t>
  </si>
  <si>
    <t>CHRIM SATH</t>
  </si>
  <si>
    <t>មិក ម៉ាច</t>
  </si>
  <si>
    <t>MIK MACH</t>
  </si>
  <si>
    <t>សៃ ឆាយា</t>
  </si>
  <si>
    <t>SAI CHHAYA</t>
  </si>
  <si>
    <t>ធី ភិរក្ស</t>
  </si>
  <si>
    <t>THY PHY REAK</t>
  </si>
  <si>
    <t>ភី ភ័ក្រ</t>
  </si>
  <si>
    <t>PHY PHAEK</t>
  </si>
  <si>
    <t>ឈួន ធី</t>
  </si>
  <si>
    <t>CHHUON THY</t>
  </si>
  <si>
    <t>អ៊ាង ឈីន</t>
  </si>
  <si>
    <t>EANG CHHIN</t>
  </si>
  <si>
    <t>លី គី</t>
  </si>
  <si>
    <t>LY KY</t>
  </si>
  <si>
    <t>220175319</t>
  </si>
  <si>
    <t>សឿង ថេង</t>
  </si>
  <si>
    <t>SOEUNG THENG</t>
  </si>
  <si>
    <t>សឿន ចាន់</t>
  </si>
  <si>
    <t>SOEUN CHAN</t>
  </si>
  <si>
    <t>ពយ នីន</t>
  </si>
  <si>
    <t>POY NIN</t>
  </si>
  <si>
    <t>150114585</t>
  </si>
  <si>
    <t>សោម ច័ន្ធសុភា</t>
  </si>
  <si>
    <t>SAOM CHAN SOPHEA</t>
  </si>
  <si>
    <t>គង់ សុផាន</t>
  </si>
  <si>
    <t>KONG SOPHAN</t>
  </si>
  <si>
    <t>051462695</t>
  </si>
  <si>
    <t>ពាង ដែន</t>
  </si>
  <si>
    <t>PEANG DEN</t>
  </si>
  <si>
    <t>ពៅ ផាត</t>
  </si>
  <si>
    <t>POV PHAT</t>
  </si>
  <si>
    <t>តុត យាង</t>
  </si>
  <si>
    <t>TOT YEANG</t>
  </si>
  <si>
    <t>ថន សាន</t>
  </si>
  <si>
    <t>THAN SAN</t>
  </si>
  <si>
    <t>គឿន សុខអន</t>
  </si>
  <si>
    <t>KOEUN SOH ON</t>
  </si>
  <si>
    <t>ជិន ជឿន</t>
  </si>
  <si>
    <t>CHIN CHOEUNG</t>
  </si>
  <si>
    <t>កុង នេត្រា</t>
  </si>
  <si>
    <t>KONG NETRA</t>
  </si>
  <si>
    <t>យាង យេង</t>
  </si>
  <si>
    <t>YEANG YENG</t>
  </si>
  <si>
    <t>សេង​ ធឿ</t>
  </si>
  <si>
    <t>SENG THOEU</t>
  </si>
  <si>
    <t>យ៉ាំ ឡត</t>
  </si>
  <si>
    <t>YAM LOTH</t>
  </si>
  <si>
    <t>វី ភក្កី</t>
  </si>
  <si>
    <t>VY PHEAKDEY</t>
  </si>
  <si>
    <t>ហាប់ វឿ</t>
  </si>
  <si>
    <t>HAB VOR</t>
  </si>
  <si>
    <t>ឃុន សុខខៃ</t>
  </si>
  <si>
    <t>KHOEN SOKKHEY</t>
  </si>
  <si>
    <t>ហាន គឹមហុង</t>
  </si>
  <si>
    <t>HEAN KIMHONG</t>
  </si>
  <si>
    <t>150574691</t>
  </si>
  <si>
    <t>ឃាន ជាង</t>
  </si>
  <si>
    <t>KHEAN CHIENG</t>
  </si>
  <si>
    <t>ឃន សាវី</t>
  </si>
  <si>
    <t>KHORN SAVY</t>
  </si>
  <si>
    <t>ផាវ ផាន់</t>
  </si>
  <si>
    <t>PHAV PHANN</t>
  </si>
  <si>
    <t>ជិន សីឡា</t>
  </si>
  <si>
    <t>CHIN SEYLA</t>
  </si>
  <si>
    <t>ជិន ឡូត</t>
  </si>
  <si>
    <t>CHIN LOT</t>
  </si>
  <si>
    <t>អឿង សុឃាក់</t>
  </si>
  <si>
    <t>EURNG SOKEAK</t>
  </si>
  <si>
    <t>ឡន លី</t>
  </si>
  <si>
    <t>LORN LY</t>
  </si>
  <si>
    <t>ឃួន លា</t>
  </si>
  <si>
    <t>KHUN LEA</t>
  </si>
  <si>
    <t>ញាន សំបុក</t>
  </si>
  <si>
    <t>NHAN SAMBOK</t>
  </si>
  <si>
    <t>ឆាង លាស</t>
  </si>
  <si>
    <t>CHHANG LEAS</t>
  </si>
  <si>
    <t>ឆែម ភាព</t>
  </si>
  <si>
    <t>CHHEM PHEAP</t>
  </si>
  <si>
    <t>ចាន់ រស់</t>
  </si>
  <si>
    <t>CHAN ROS</t>
  </si>
  <si>
    <t>សួស ថេ</t>
  </si>
  <si>
    <t>SOUS THE</t>
  </si>
  <si>
    <t>GA 3</t>
  </si>
  <si>
    <t>ហំ គា</t>
  </si>
  <si>
    <t>HOM KEA</t>
  </si>
  <si>
    <t>លី ភាក់</t>
  </si>
  <si>
    <t>LY PHEAK</t>
  </si>
  <si>
    <t>រ៉ុន​ ម៉ៃ</t>
  </si>
  <si>
    <t>RON MAY</t>
  </si>
  <si>
    <t>ហួត ហ៊ាញ</t>
  </si>
  <si>
    <t>HUOT HEANH</t>
  </si>
  <si>
    <t>ថាន់ ណារី</t>
  </si>
  <si>
    <t>THANN NARY</t>
  </si>
  <si>
    <t>ហ៊ី សុន</t>
  </si>
  <si>
    <t>HY SON</t>
  </si>
  <si>
    <t>ហោ នាង</t>
  </si>
  <si>
    <t>HAO NEANG</t>
  </si>
  <si>
    <t>ប៉ិន ប៉ីន</t>
  </si>
  <si>
    <t>BIN BEN</t>
  </si>
  <si>
    <t>ហង់ ទីន</t>
  </si>
  <si>
    <t>HANG TIN</t>
  </si>
  <si>
    <t>ខឿន ខេន</t>
  </si>
  <si>
    <t>KHOEUN KHEN</t>
  </si>
  <si>
    <t>យ៉ុង កាញ់</t>
  </si>
  <si>
    <t>YONG KANH</t>
  </si>
  <si>
    <t>ញ៉ិប អេន</t>
  </si>
  <si>
    <t>NHIB EN</t>
  </si>
  <si>
    <t>ងិន យុត</t>
  </si>
  <si>
    <t>NGIN YUT</t>
  </si>
  <si>
    <t>ឃួន ឃីម</t>
  </si>
  <si>
    <t>KHOUN KHIM</t>
  </si>
  <si>
    <t>រីម យ៉ុម</t>
  </si>
  <si>
    <t>RIM YOM</t>
  </si>
  <si>
    <t>ហឿន សារ៉េ</t>
  </si>
  <si>
    <t>HOEUN SAREN</t>
  </si>
  <si>
    <t>វន តាត</t>
  </si>
  <si>
    <t>VON TATH</t>
  </si>
  <si>
    <t>គួន រ៉ាល់</t>
  </si>
  <si>
    <t>KUON RAL</t>
  </si>
  <si>
    <t>ឃុន ស៊ីសា</t>
  </si>
  <si>
    <t>KHOUNSY SA</t>
  </si>
  <si>
    <t>អៀម យ៉េន</t>
  </si>
  <si>
    <t>EAM YEN</t>
  </si>
  <si>
    <t>លាន ស៊ីដា</t>
  </si>
  <si>
    <t>LEAN SIDA</t>
  </si>
  <si>
    <t>គីន ធី</t>
  </si>
  <si>
    <t>KIN THY</t>
  </si>
  <si>
    <t>ខ្វាន់ ឡាត់</t>
  </si>
  <si>
    <t>KHVAN LATH</t>
  </si>
  <si>
    <t>ងី វីន</t>
  </si>
  <si>
    <t>NGY VIN</t>
  </si>
  <si>
    <t>ឆេង ផល្លា</t>
  </si>
  <si>
    <t>CHHENG PHALLA</t>
  </si>
  <si>
    <t>ហោន វាសនា</t>
  </si>
  <si>
    <t>HORN VEASNA</t>
  </si>
  <si>
    <t>ឡាម ហេង</t>
  </si>
  <si>
    <t>LAM HENG</t>
  </si>
  <si>
    <t>សឿន ចំរើន</t>
  </si>
  <si>
    <t>SOEUN CHAMRAEUN</t>
  </si>
  <si>
    <t>ខា ខន</t>
  </si>
  <si>
    <t>KHA KHORN</t>
  </si>
  <si>
    <t>ជុំ ជាតិ</t>
  </si>
  <si>
    <t>CHUM CHEAT</t>
  </si>
  <si>
    <t>គឿន ភាក់</t>
  </si>
  <si>
    <t>KOEUN PHEAK</t>
  </si>
  <si>
    <t>ផាក់ វ៉ង់</t>
  </si>
  <si>
    <t>PHAK VORNG</t>
  </si>
  <si>
    <t>ហោន លីដា</t>
  </si>
  <si>
    <t>HORN LIDA</t>
  </si>
  <si>
    <t>ផល អេ</t>
  </si>
  <si>
    <t>PHAL E</t>
  </si>
  <si>
    <t>ខឹង យ៉ាត់</t>
  </si>
  <si>
    <t>KHING YATH</t>
  </si>
  <si>
    <t>ថា ស្រីអែម</t>
  </si>
  <si>
    <t>THA SREY EM</t>
  </si>
  <si>
    <t>ឆាន ណាន់</t>
  </si>
  <si>
    <t>CHHAN NANN</t>
  </si>
  <si>
    <t>គន នឿន</t>
  </si>
  <si>
    <t>KON NOEUN</t>
  </si>
  <si>
    <t>ណាន ពន្លក</t>
  </si>
  <si>
    <t>NAN POLORK</t>
  </si>
  <si>
    <t>ត្រុច ម៉ាច</t>
  </si>
  <si>
    <t>TROCH MACH</t>
  </si>
  <si>
    <t>យ៉ុន ស្រីរ័ត្ន</t>
  </si>
  <si>
    <t>YON SREYROTH</t>
  </si>
  <si>
    <t>អ៊ាង ទិត</t>
  </si>
  <si>
    <t>EANG TITH</t>
  </si>
  <si>
    <t>យ៉ុន ណែត</t>
  </si>
  <si>
    <t>YON NEIT</t>
  </si>
  <si>
    <t>អឿន វិចិត្រ</t>
  </si>
  <si>
    <t>AEURN VECHET</t>
  </si>
  <si>
    <t>ឈិត ម៉ៅ</t>
  </si>
  <si>
    <t>CHHIT MOA</t>
  </si>
  <si>
    <t>ស៊ឹម យ៉ង់</t>
  </si>
  <si>
    <t>SIM YANG</t>
  </si>
  <si>
    <t>លឹម ឡាច</t>
  </si>
  <si>
    <t>LOEM LACH</t>
  </si>
  <si>
    <t>ឈុន សុខខុម</t>
  </si>
  <si>
    <t>CHHUN SOKHOM</t>
  </si>
  <si>
    <t>ទិត ចំរើន</t>
  </si>
  <si>
    <t>TET CHAMRAEUN</t>
  </si>
  <si>
    <t>លី ចាន់នី</t>
  </si>
  <si>
    <t>LY CHANNY</t>
  </si>
  <si>
    <t>061247628</t>
  </si>
  <si>
    <t>ហេង ចាន់</t>
  </si>
  <si>
    <t>HENG CHANN</t>
  </si>
  <si>
    <t>ខុន ឃាង</t>
  </si>
  <si>
    <t>KHON KHEARNG</t>
  </si>
  <si>
    <t>គ្រីប ថេត</t>
  </si>
  <si>
    <t>KRIP THET</t>
  </si>
  <si>
    <t>ធាន​ ញ៉ាញ់</t>
  </si>
  <si>
    <t>THEAN NHANH</t>
  </si>
  <si>
    <t>ក ប៉ា</t>
  </si>
  <si>
    <t>KOR PA</t>
  </si>
  <si>
    <t>ឡុង ឡុំ</t>
  </si>
  <si>
    <t>LONG LOM</t>
  </si>
  <si>
    <t>ក កុល</t>
  </si>
  <si>
    <t>KOR KOL</t>
  </si>
  <si>
    <t>ឃី ស៊ីណា</t>
  </si>
  <si>
    <t>KHY SINA</t>
  </si>
  <si>
    <t>ទូច ចន្ថា</t>
  </si>
  <si>
    <t>TOCH CHANTHA</t>
  </si>
  <si>
    <t>ប៊ិន ចាន់</t>
  </si>
  <si>
    <t>BEN CHANN</t>
  </si>
  <si>
    <t>ធាន ថេង</t>
  </si>
  <si>
    <t>THEAN THENG</t>
  </si>
  <si>
    <t>ហ៊ន់ ហ៊ីម</t>
  </si>
  <si>
    <t>HOUN HIM</t>
  </si>
  <si>
    <t>ឈុន សុឃីម</t>
  </si>
  <si>
    <t>CHHUN SOKHIM</t>
  </si>
  <si>
    <t>អ៊ី​ សុខេង</t>
  </si>
  <si>
    <t>IY SOHKENG</t>
  </si>
  <si>
    <t>អ៊ាង ផាត</t>
  </si>
  <si>
    <t>IENG PHAT</t>
  </si>
  <si>
    <t>ហ៊ន់ ស្រីហ៊ាង</t>
  </si>
  <si>
    <t>HORN SREYHEANG</t>
  </si>
  <si>
    <t>ត្រុច ចិត្រ្តា</t>
  </si>
  <si>
    <t>TROCH CHET TRA</t>
  </si>
  <si>
    <t>ឈុន សុខធា</t>
  </si>
  <si>
    <t>CHHUN SOKTHEA</t>
  </si>
  <si>
    <t>ថាវ ផា</t>
  </si>
  <si>
    <t>THAV PHA</t>
  </si>
  <si>
    <t>លន វុត</t>
  </si>
  <si>
    <t>LORN VUT</t>
  </si>
  <si>
    <t>លីន ចាន់</t>
  </si>
  <si>
    <t>LIN CHAN</t>
  </si>
  <si>
    <t>ប៊ុណ្ណា ចាន់ទ្រា</t>
  </si>
  <si>
    <t>BUNNA CHAN TREA</t>
  </si>
  <si>
    <t>ទិត ភឿន</t>
  </si>
  <si>
    <t>TITH PHOEUN</t>
  </si>
  <si>
    <t>150236407</t>
  </si>
  <si>
    <t>យេត​ យ៉ឺ</t>
  </si>
  <si>
    <t>YET YEV</t>
  </si>
  <si>
    <t>ប៊ុនណា មករា</t>
  </si>
  <si>
    <t>BUNNA MAKARA</t>
  </si>
  <si>
    <t>ប៉ិច រក្សា</t>
  </si>
  <si>
    <t>PECH REAKSA</t>
  </si>
  <si>
    <t>គ្រីប គន្ធា</t>
  </si>
  <si>
    <t>KRIB KUNTHEA</t>
  </si>
  <si>
    <t>គ្រីប ស្រិន</t>
  </si>
  <si>
    <t>KRIB SRIN</t>
  </si>
  <si>
    <t>យូន ថាញ់</t>
  </si>
  <si>
    <t>YOUN THANH</t>
  </si>
  <si>
    <t>រត សារិ</t>
  </si>
  <si>
    <t>ROT SARIK</t>
  </si>
  <si>
    <t>គា គន្ធា</t>
  </si>
  <si>
    <t>KHEA KUNTHEA</t>
  </si>
  <si>
    <t>សេង ត្រុច</t>
  </si>
  <si>
    <t>SENG TROCH</t>
  </si>
  <si>
    <t>ឡាក់ ចំរើន</t>
  </si>
  <si>
    <t>LAK CHAMRERN</t>
  </si>
  <si>
    <t>ធី ចាន់</t>
  </si>
  <si>
    <t>THY CHAN</t>
  </si>
  <si>
    <t>GA 4</t>
  </si>
  <si>
    <t>ស៊ុត សុផល</t>
  </si>
  <si>
    <t>SUT SOPHAL</t>
  </si>
  <si>
    <t>ហៃ អុល</t>
  </si>
  <si>
    <t>HAI OL</t>
  </si>
  <si>
    <t>អាង សី</t>
  </si>
  <si>
    <t>ANG SEY</t>
  </si>
  <si>
    <t>អាន់ សំអូន</t>
  </si>
  <si>
    <t>ANN SAMOUN</t>
  </si>
  <si>
    <t>ឡូត សុភ័ក្រ</t>
  </si>
  <si>
    <t>LOT SOPHEAK</t>
  </si>
  <si>
    <t>150522977</t>
  </si>
  <si>
    <t>យ៉ុន ផល</t>
  </si>
  <si>
    <t>YON PHAL</t>
  </si>
  <si>
    <t>រឹម ធីម</t>
  </si>
  <si>
    <t>ROEM THIM</t>
  </si>
  <si>
    <t>យ៉ុន ធា</t>
  </si>
  <si>
    <t>YON THEA</t>
  </si>
  <si>
    <t>ហួន ហេង</t>
  </si>
  <si>
    <t>HOUN HENG</t>
  </si>
  <si>
    <t>ភួន ភា</t>
  </si>
  <si>
    <t>PHUON PHEA</t>
  </si>
  <si>
    <t>ងី តំ</t>
  </si>
  <si>
    <t>NGY TOM</t>
  </si>
  <si>
    <t>ហូយ វាសនា</t>
  </si>
  <si>
    <t>HAUY VEASNA</t>
  </si>
  <si>
    <t>សឿន ចែម</t>
  </si>
  <si>
    <t>SOEUN CHEM</t>
  </si>
  <si>
    <t>អាន អឿន</t>
  </si>
  <si>
    <t>AN OEURN</t>
  </si>
  <si>
    <t>ភួន ធារី</t>
  </si>
  <si>
    <t>PHUON THEARY</t>
  </si>
  <si>
    <t>150113259</t>
  </si>
  <si>
    <t>ឈិន ឈឿន</t>
  </si>
  <si>
    <t>CHHIN CHHOEUN</t>
  </si>
  <si>
    <t>យ៉ាន ត្រប់</t>
  </si>
  <si>
    <t>YAN TROB</t>
  </si>
  <si>
    <t>ឃឹម បញ្ញា</t>
  </si>
  <si>
    <t>KHOEM PHANHA</t>
  </si>
  <si>
    <t>200208616</t>
  </si>
  <si>
    <t>ឈឿន ឈួយ</t>
  </si>
  <si>
    <t>CHHOEUN CHHUOY</t>
  </si>
  <si>
    <t>150523510</t>
  </si>
  <si>
    <t>ក្រឹង រ៉ៃ</t>
  </si>
  <si>
    <t>KRENG REY</t>
  </si>
  <si>
    <t>សេន សេត</t>
  </si>
  <si>
    <t>SEN SET</t>
  </si>
  <si>
    <t>សឿន សុគឿន</t>
  </si>
  <si>
    <t>SOEUN SO KOEUN</t>
  </si>
  <si>
    <t>150523514</t>
  </si>
  <si>
    <t>ហ៊ាប យ៉ាន</t>
  </si>
  <si>
    <t>HEAB YAN</t>
  </si>
  <si>
    <t>ធី ​ពៅ</t>
  </si>
  <si>
    <t>THY POV</t>
  </si>
  <si>
    <t>ផា បូរី</t>
  </si>
  <si>
    <t>PHAA BOREY</t>
  </si>
  <si>
    <t>ងី នីម</t>
  </si>
  <si>
    <t>NGI NIM</t>
  </si>
  <si>
    <t>រ៉ុន រឿម</t>
  </si>
  <si>
    <t>RON ROEURM</t>
  </si>
  <si>
    <t>ទឹត្យ បូរី</t>
  </si>
  <si>
    <t>TOET BOUREY</t>
  </si>
  <si>
    <t>វិន មុំ</t>
  </si>
  <si>
    <t>VIN MOM</t>
  </si>
  <si>
    <t>មន ម៉ុក</t>
  </si>
  <si>
    <t>MON MOK</t>
  </si>
  <si>
    <t>ឡេង ឡៃហួត</t>
  </si>
  <si>
    <t>LENG LAYHUOT</t>
  </si>
  <si>
    <t>កាន់ថេត</t>
  </si>
  <si>
    <t>KANN THET</t>
  </si>
  <si>
    <t>ឡាក់ ចាក់</t>
  </si>
  <si>
    <t>LAK CHHAK</t>
  </si>
  <si>
    <t>ឆាង ហ៊ឺ</t>
  </si>
  <si>
    <t>CHHANG HEU</t>
  </si>
  <si>
    <t>ឡេង ឡុញ</t>
  </si>
  <si>
    <t>LENG LONH</t>
  </si>
  <si>
    <t>ធី សៀក</t>
  </si>
  <si>
    <t>THY SEAK</t>
  </si>
  <si>
    <t>រ៉ាត សារី</t>
  </si>
  <si>
    <t>RATH SARY</t>
  </si>
  <si>
    <t>សឿន ផាត</t>
  </si>
  <si>
    <t>SOEUN PHAT</t>
  </si>
  <si>
    <t>ហាត់ ធីតា</t>
  </si>
  <si>
    <t>HAT THYDA</t>
  </si>
  <si>
    <t>ពី ប៉ាត់</t>
  </si>
  <si>
    <t>PY PATH</t>
  </si>
  <si>
    <t>សរ ធាង</t>
  </si>
  <si>
    <t>SOR THEANG</t>
  </si>
  <si>
    <t>អ៊ាង អាន់</t>
  </si>
  <si>
    <t>EANG ANN</t>
  </si>
  <si>
    <t>អៀង ផុន</t>
  </si>
  <si>
    <t>EANG PHON</t>
  </si>
  <si>
    <t>ធី ធើយ</t>
  </si>
  <si>
    <t>THY THOEUY</t>
  </si>
  <si>
    <t>ចយ ជឿន</t>
  </si>
  <si>
    <t>CHAY CHOEUN</t>
  </si>
  <si>
    <t>ឈូក ស្រីម៉ៅ</t>
  </si>
  <si>
    <t>CHHOUK SREY MAO</t>
  </si>
  <si>
    <t>ភួន ឡែម</t>
  </si>
  <si>
    <t>PHUON LEM</t>
  </si>
  <si>
    <t>062315460</t>
  </si>
  <si>
    <t>ធីម ម៉ាប់</t>
  </si>
  <si>
    <t>THIM MAB</t>
  </si>
  <si>
    <t>ឆែម ហៀក</t>
  </si>
  <si>
    <t>CHHEM HEAK</t>
  </si>
  <si>
    <t>ហេន ហាត</t>
  </si>
  <si>
    <t>HEN HAT</t>
  </si>
  <si>
    <t>ថន អន</t>
  </si>
  <si>
    <t>THORN ORN</t>
  </si>
  <si>
    <t>យី​ សុខដា</t>
  </si>
  <si>
    <t>YI SOKDA</t>
  </si>
  <si>
    <t>អ៊ឹម អាន</t>
  </si>
  <si>
    <t>OEM AN</t>
  </si>
  <si>
    <t>យី អាន់</t>
  </si>
  <si>
    <t>YI ANN</t>
  </si>
  <si>
    <t>ជិន ជុំ</t>
  </si>
  <si>
    <t>CHIN CHUM</t>
  </si>
  <si>
    <t>ស៊ុំ សាលី</t>
  </si>
  <si>
    <t>SUM SALY</t>
  </si>
  <si>
    <t>យី​ វណ្ណី</t>
  </si>
  <si>
    <t>YI VANNY</t>
  </si>
  <si>
    <t>ស្រី ឈួង</t>
  </si>
  <si>
    <t>SREY CHHUONG</t>
  </si>
  <si>
    <t>សឿន សាន</t>
  </si>
  <si>
    <t>SOEUN SAN</t>
  </si>
  <si>
    <t>យួត លៀ</t>
  </si>
  <si>
    <t>YOUT LEA</t>
  </si>
  <si>
    <t>ទី វេន</t>
  </si>
  <si>
    <t>TY VEN</t>
  </si>
  <si>
    <t>យៀង សុលី</t>
  </si>
  <si>
    <t>YEANG SOLY</t>
  </si>
  <si>
    <t>អ៊ឹម អ៊ីន</t>
  </si>
  <si>
    <t>OEM IN</t>
  </si>
  <si>
    <t>លាង សុឃា</t>
  </si>
  <si>
    <t>LEANG SOKHEA</t>
  </si>
  <si>
    <t>មឿន ភាព</t>
  </si>
  <si>
    <t>MOEUN PHEP</t>
  </si>
  <si>
    <t>ហ៊ី ទីន</t>
  </si>
  <si>
    <t>HY TIN</t>
  </si>
  <si>
    <t>អឹម អន</t>
  </si>
  <si>
    <t>IM ON</t>
  </si>
  <si>
    <t>ហ៊ីម សុភក្តី</t>
  </si>
  <si>
    <t>HIM SOPHEAKDEY</t>
  </si>
  <si>
    <t>ម៉េត សុគន្ធា</t>
  </si>
  <si>
    <t>MET SOKUNTHEA</t>
  </si>
  <si>
    <t>ម៉ៅ ស្រីណុច</t>
  </si>
  <si>
    <t>MAO SREYNOCH</t>
  </si>
  <si>
    <t>ឡេង ហ៊ីម</t>
  </si>
  <si>
    <t>LENG HIM</t>
  </si>
  <si>
    <t>ហ៊ីម ហ៊ី</t>
  </si>
  <si>
    <t>HIM HY</t>
  </si>
  <si>
    <t>ហួត ផន</t>
  </si>
  <si>
    <t>HOUT PHORN</t>
  </si>
  <si>
    <t>ម៉េត សុខផៃ</t>
  </si>
  <si>
    <t>MET SOKPHAI</t>
  </si>
  <si>
    <t>ឆាង ឆើត</t>
  </si>
  <si>
    <t>CHHANG CHHEUT</t>
  </si>
  <si>
    <t>ទ្រី អឹង</t>
  </si>
  <si>
    <t>TRY EUNG</t>
  </si>
  <si>
    <t>ជា ឡៃយ៉ុន</t>
  </si>
  <si>
    <t>CHEA LAIYON</t>
  </si>
  <si>
    <t>តិប កី</t>
  </si>
  <si>
    <t>TOEB KIE</t>
  </si>
  <si>
    <t>ពរ​ ឡូ</t>
  </si>
  <si>
    <t>POR LO</t>
  </si>
  <si>
    <t>ឈួន ឆេន</t>
  </si>
  <si>
    <t>CHHOUN CHHEN</t>
  </si>
  <si>
    <t>ស៊ុត សោន</t>
  </si>
  <si>
    <t>SUT SAON</t>
  </si>
  <si>
    <t>ឈួន ឈី</t>
  </si>
  <si>
    <t>CHHUON CHHY</t>
  </si>
  <si>
    <t>ម៉េត សុផល</t>
  </si>
  <si>
    <t>MET SOPHALL</t>
  </si>
  <si>
    <t>អ៊ឹម ថូ</t>
  </si>
  <si>
    <t>OEM THO</t>
  </si>
  <si>
    <t>សៀវ រីណា</t>
  </si>
  <si>
    <t>SEAV RINA</t>
  </si>
  <si>
    <t>ផា សុសាយ</t>
  </si>
  <si>
    <t>PHA SOSAY</t>
  </si>
  <si>
    <t>ធាន អូន</t>
  </si>
  <si>
    <t>THEAN OUN</t>
  </si>
  <si>
    <t>អ៊ឹម ធារ៉ា</t>
  </si>
  <si>
    <t>OEM THEARA</t>
  </si>
  <si>
    <t>ជី ប៊ុនរ៉ូ</t>
  </si>
  <si>
    <t>CHY BUNRO</t>
  </si>
  <si>
    <t>ហឿន ឡៃហឿ</t>
  </si>
  <si>
    <t>HOEUN LYHOEU</t>
  </si>
  <si>
    <t>ព បៀវ</t>
  </si>
  <si>
    <t>POR BEAV</t>
  </si>
  <si>
    <t>061864604</t>
  </si>
  <si>
    <t>សេង ស្រីមុំ</t>
  </si>
  <si>
    <t>SENG SREYMOM</t>
  </si>
  <si>
    <t>ឆាយ គី</t>
  </si>
  <si>
    <t>CHHAY KY</t>
  </si>
  <si>
    <t>ម៉ុក សង់</t>
  </si>
  <si>
    <t>MORK SONG</t>
  </si>
  <si>
    <t>ហន ហូត</t>
  </si>
  <si>
    <t>HORN HOUT</t>
  </si>
  <si>
    <t>ហ៊ិន ហេន</t>
  </si>
  <si>
    <t>HIN HEN</t>
  </si>
  <si>
    <t>Đã mất (chêt)</t>
  </si>
  <si>
    <t/>
  </si>
  <si>
    <t>140106491</t>
  </si>
  <si>
    <t>ជិន វណ្ណហឿន</t>
  </si>
  <si>
    <t>CHIN VANHOEUN</t>
  </si>
  <si>
    <t>150664018</t>
  </si>
  <si>
    <t>ស៊ីម ហេង</t>
  </si>
  <si>
    <t>SIM HENG</t>
  </si>
  <si>
    <t>Tổ 1</t>
  </si>
  <si>
    <t>BẢNG CHẤM CÔNG CẠO MỦ THÁNG 01 /2026</t>
  </si>
  <si>
    <t>Tổ 2</t>
  </si>
  <si>
    <t>tổng 25.500 tháng 4,5</t>
  </si>
  <si>
    <t>GHI CHÚ : NGÀY 1,4,5,6,7 THÁNG 11/2025 CHO NGƯƠNG CẠO</t>
  </si>
  <si>
    <t>Tổ 3</t>
  </si>
  <si>
    <t>Stt</t>
  </si>
  <si>
    <t>Mã số CN</t>
  </si>
  <si>
    <t>Họ và tên</t>
  </si>
  <si>
    <t>Tổ khai thác</t>
  </si>
  <si>
    <t>Các ngày trong tháng</t>
  </si>
  <si>
    <t>D2</t>
  </si>
  <si>
    <t>cạo úp</t>
  </si>
  <si>
    <t>Tổng công</t>
  </si>
  <si>
    <t>Tổ 4</t>
  </si>
  <si>
    <t>Khmer</t>
  </si>
  <si>
    <t>Latinh</t>
  </si>
  <si>
    <t>1-15</t>
  </si>
  <si>
    <t>Tổng</t>
  </si>
  <si>
    <t>tháng 04/2025</t>
  </si>
  <si>
    <t>D</t>
  </si>
  <si>
    <t>cạo choàn</t>
  </si>
  <si>
    <t>+</t>
  </si>
  <si>
    <t>Cộng phiên A</t>
  </si>
  <si>
    <t>Cộng phiên B</t>
  </si>
  <si>
    <t>Cộng phiên C</t>
  </si>
  <si>
    <t>Cộng phiên D</t>
  </si>
  <si>
    <t>Tổng cộng</t>
  </si>
  <si>
    <t>CC</t>
  </si>
  <si>
    <t>Tổ 5</t>
  </si>
  <si>
    <t>Phiên cạo</t>
  </si>
  <si>
    <t>-</t>
  </si>
  <si>
    <t>Tổ 6</t>
  </si>
  <si>
    <t>x</t>
  </si>
  <si>
    <t>Tổ 7</t>
  </si>
  <si>
    <t>Tổ 8</t>
  </si>
  <si>
    <t>I</t>
  </si>
  <si>
    <t>CÔNG CHỐT 17H HÀNG NGÀY</t>
  </si>
  <si>
    <t>Công NGHIỆM THU</t>
  </si>
  <si>
    <t>Chênh lệch</t>
  </si>
  <si>
    <t xml:space="preserve">Ghi chú: </t>
  </si>
  <si>
    <t xml:space="preserve"> - X: chấm công nhật</t>
  </si>
  <si>
    <t>CẠO</t>
  </si>
  <si>
    <t xml:space="preserve"> - XX: chấm công cạo choàng</t>
  </si>
  <si>
    <t>XĂNG</t>
  </si>
  <si>
    <t>CẠO ÚP</t>
  </si>
  <si>
    <t>CẠO NGỮA</t>
  </si>
  <si>
    <t>TỔ 1</t>
  </si>
  <si>
    <t>CẠO THẤP</t>
  </si>
  <si>
    <t>SẢN LƯỢNG THÁNG 01/2026 đợt 1</t>
  </si>
  <si>
    <t>Công đợt I</t>
  </si>
  <si>
    <t>quy khô</t>
  </si>
  <si>
    <t>Sản lượng đợt I</t>
  </si>
  <si>
    <t>B-D</t>
  </si>
  <si>
    <t>C-A</t>
  </si>
  <si>
    <t>D-B</t>
  </si>
  <si>
    <t>A-C</t>
  </si>
  <si>
    <t>Tổ 9</t>
  </si>
  <si>
    <t>Tổ 10</t>
  </si>
  <si>
    <t>Tổ 11</t>
  </si>
  <si>
    <t>TỔ 4</t>
  </si>
  <si>
    <t>TỔ 5</t>
  </si>
  <si>
    <t>TỔ 7</t>
  </si>
  <si>
    <t>TỔ 2</t>
  </si>
  <si>
    <t>TỔ 3</t>
  </si>
  <si>
    <t>TỔ 6</t>
  </si>
  <si>
    <t>TỔNG</t>
  </si>
  <si>
    <t>TỔ 9</t>
  </si>
  <si>
    <t>cạo thấp</t>
  </si>
  <si>
    <t>TỔ 10</t>
  </si>
  <si>
    <t>TỔ 8</t>
  </si>
  <si>
    <t>TỔ 11</t>
  </si>
  <si>
    <t>qkho</t>
  </si>
  <si>
    <t>vc 2011</t>
  </si>
  <si>
    <t>vc 2012</t>
  </si>
  <si>
    <t>vc 2013</t>
  </si>
  <si>
    <t>VC (555)</t>
  </si>
  <si>
    <t>vc 2014</t>
  </si>
  <si>
    <t>CẠO NGƯA</t>
  </si>
  <si>
    <t>VC (505)</t>
  </si>
  <si>
    <t>phiên D</t>
  </si>
  <si>
    <t>tổ 4,5</t>
  </si>
  <si>
    <t>VC (455)</t>
  </si>
  <si>
    <t>tổ 6</t>
  </si>
  <si>
    <t>QKHO</t>
  </si>
  <si>
    <t>555 TỔ 6</t>
  </si>
  <si>
    <t>505 TỔ 7</t>
  </si>
  <si>
    <t>505 TỔ 8</t>
  </si>
  <si>
    <t>505 TỔ 9</t>
  </si>
  <si>
    <t>505 TỔ 11</t>
  </si>
  <si>
    <t xml:space="preserve"> </t>
  </si>
  <si>
    <t xml:space="preserve"> 455 TỔ 6</t>
  </si>
  <si>
    <t>455 TỔ 10</t>
  </si>
  <si>
    <t xml:space="preserve"> 455 TỔ 8</t>
  </si>
  <si>
    <t>455 TỔ 9</t>
  </si>
  <si>
    <t>455 TỔ 11</t>
  </si>
  <si>
    <t>TỎNG</t>
  </si>
  <si>
    <t>TIỀN</t>
  </si>
  <si>
    <t>QK</t>
  </si>
  <si>
    <t xml:space="preserve"> CÔNG TIỀN</t>
  </si>
  <si>
    <t xml:space="preserve">CÔNG TY TNHH CAO SU MEKONG </t>
  </si>
  <si>
    <t>ĐƠN VỊ: ĐỘI SẢN XUẤT 1</t>
  </si>
  <si>
    <t>_________________</t>
  </si>
  <si>
    <t>BẢNG CHẤM CÔNG CÔNG NHÂN KHAI THÁC</t>
  </si>
  <si>
    <t>THÁNG 01 NĂM 2026</t>
  </si>
  <si>
    <r>
      <rPr>
        <sz val="14"/>
        <rFont val="Khmer OS Muol Light"/>
      </rPr>
      <t>ល.រ</t>
    </r>
    <r>
      <rPr>
        <b/>
        <sz val="14"/>
        <rFont val="Times New Roman"/>
        <family val="1"/>
      </rPr>
      <t xml:space="preserve">
STT</t>
    </r>
  </si>
  <si>
    <t xml:space="preserve">TỔ </t>
  </si>
  <si>
    <t>Phần cây</t>
  </si>
  <si>
    <t>ឆាំ​​​កំណើត​(ប្រុស)​ Năm Sinh (Nam)</t>
  </si>
  <si>
    <t>ឆាំ​កំណើត​(ស្រី)​ Năm Sinh (Nữ)</t>
  </si>
  <si>
    <t>អត្តសញ្ញាណCMND</t>
  </si>
  <si>
    <t>ត្រកូលនិងឈ្មោះ
Họ và tên</t>
  </si>
  <si>
    <r>
      <rPr>
        <sz val="12"/>
        <rFont val="Khmer OS Muol Light"/>
      </rPr>
      <t>ត្រកូលនិងឈ្មោះ</t>
    </r>
    <r>
      <rPr>
        <b/>
        <sz val="12"/>
        <rFont val="Times New Roman"/>
        <family val="1"/>
      </rPr>
      <t xml:space="preserve">
Họ và tên</t>
    </r>
  </si>
  <si>
    <r>
      <rPr>
        <b/>
        <sz val="12"/>
        <rFont val="Khmer OS"/>
      </rPr>
      <t>កម្លាំង</t>
    </r>
    <r>
      <rPr>
        <b/>
        <sz val="12"/>
        <rFont val="Times New Roman"/>
        <family val="1"/>
      </rPr>
      <t xml:space="preserve">
Tổng công
A-B-C</t>
    </r>
  </si>
  <si>
    <r>
      <rPr>
        <b/>
        <sz val="14"/>
        <rFont val="Khmer OS"/>
      </rPr>
      <t>ជាប្រាក់</t>
    </r>
    <r>
      <rPr>
        <b/>
        <sz val="14"/>
        <rFont val="Times New Roman"/>
        <family val="1"/>
      </rPr>
      <t xml:space="preserve">
Thành tiền</t>
    </r>
  </si>
  <si>
    <r>
      <rPr>
        <b/>
        <sz val="16"/>
        <rFont val="Khmer OS"/>
      </rPr>
      <t>សាំង</t>
    </r>
    <r>
      <rPr>
        <b/>
        <sz val="12"/>
        <rFont val="Times New Roman"/>
        <family val="1"/>
      </rPr>
      <t>/ XĂNG</t>
    </r>
  </si>
  <si>
    <r>
      <rPr>
        <sz val="14"/>
        <rFont val="Khmer OS Muol Light"/>
      </rPr>
      <t>សរុប</t>
    </r>
    <r>
      <rPr>
        <b/>
        <sz val="14"/>
        <rFont val="Times New Roman"/>
        <family val="1"/>
      </rPr>
      <t xml:space="preserve">
TỔNG TIỀN</t>
    </r>
  </si>
  <si>
    <r>
      <rPr>
        <b/>
        <sz val="12"/>
        <rFont val="Khmer OS"/>
      </rPr>
      <t xml:space="preserve">​ទិន្ទផលជ័រ </t>
    </r>
    <r>
      <rPr>
        <b/>
        <sz val="12"/>
        <rFont val="Times New Roman"/>
        <family val="1"/>
      </rPr>
      <t>/SẢN LƯỢNG MỦ ĐỢT I</t>
    </r>
  </si>
  <si>
    <t>MỦ DÂY</t>
  </si>
  <si>
    <r>
      <t xml:space="preserve">TIỀN XĂNG
</t>
    </r>
    <r>
      <rPr>
        <b/>
        <sz val="12"/>
        <rFont val="Khmer OS"/>
      </rPr>
      <t>ប្រាក់​សាំង</t>
    </r>
  </si>
  <si>
    <r>
      <rPr>
        <sz val="14"/>
        <rFont val="Khmer OS Muol Light"/>
      </rPr>
      <t xml:space="preserve">ត្រូវទទួល </t>
    </r>
    <r>
      <rPr>
        <b/>
        <sz val="14"/>
        <rFont val="Times New Roman"/>
        <family val="1"/>
      </rPr>
      <t xml:space="preserve">
Thực nhận</t>
    </r>
  </si>
  <si>
    <t>GHI CHÚ</t>
  </si>
  <si>
    <r>
      <rPr>
        <b/>
        <sz val="12"/>
        <rFont val="Khmer OS"/>
      </rPr>
      <t>កម្លាំង</t>
    </r>
    <r>
      <rPr>
        <b/>
        <sz val="12"/>
        <rFont val="Times New Roman"/>
        <family val="1"/>
      </rPr>
      <t xml:space="preserve">
Công </t>
    </r>
  </si>
  <si>
    <r>
      <rPr>
        <b/>
        <sz val="12"/>
        <rFont val="Khmer OS"/>
      </rPr>
      <t>ជាប្រាក់</t>
    </r>
    <r>
      <rPr>
        <b/>
        <sz val="12"/>
        <rFont val="Times New Roman"/>
        <family val="1"/>
      </rPr>
      <t xml:space="preserve">
Thành tiền</t>
    </r>
  </si>
  <si>
    <r>
      <rPr>
        <b/>
        <sz val="12"/>
        <rFont val="Khmer OS"/>
      </rPr>
      <t>សរុបជ័រ</t>
    </r>
    <r>
      <rPr>
        <b/>
        <sz val="12"/>
        <rFont val="Times New Roman"/>
        <family val="1"/>
      </rPr>
      <t xml:space="preserve">
Công </t>
    </r>
  </si>
  <si>
    <r>
      <rPr>
        <b/>
        <sz val="12"/>
        <rFont val="Khmer OS"/>
      </rPr>
      <t>ជាប្រាក់</t>
    </r>
    <r>
      <rPr>
        <b/>
        <sz val="12"/>
        <rFont val="Times New Roman"/>
        <family val="1"/>
      </rPr>
      <t xml:space="preserve">
Tiền (44%)</t>
    </r>
  </si>
  <si>
    <t>Khối lượng 
(kg)</t>
  </si>
  <si>
    <t>Công</t>
  </si>
  <si>
    <t>Thành tiền</t>
  </si>
  <si>
    <t>Dao</t>
  </si>
  <si>
    <t>TỔNG CÔNG</t>
  </si>
  <si>
    <r>
      <rPr>
        <sz val="14"/>
        <rFont val="Khmer OS Muol Light"/>
      </rPr>
      <t>ត្រកូលនិងឈ្មោះ</t>
    </r>
    <r>
      <rPr>
        <b/>
        <sz val="14"/>
        <rFont val="Times New Roman"/>
        <family val="1"/>
      </rPr>
      <t xml:space="preserve">
Họ và tên</t>
    </r>
  </si>
  <si>
    <r>
      <t xml:space="preserve">Tạm ứng
</t>
    </r>
    <r>
      <rPr>
        <b/>
        <sz val="14"/>
        <rFont val="Khmer OS"/>
      </rPr>
      <t>ប្រាក់ ខ្ចី</t>
    </r>
  </si>
  <si>
    <t>Vườn cây 2011</t>
  </si>
  <si>
    <r>
      <rPr>
        <sz val="14"/>
        <rFont val="Khmer OS"/>
      </rPr>
      <t>ត្រកូលនិងឈ្មោះ</t>
    </r>
    <r>
      <rPr>
        <b/>
        <sz val="14"/>
        <rFont val="Khmer OS"/>
      </rPr>
      <t xml:space="preserve">
Họ và tên</t>
    </r>
  </si>
  <si>
    <t>TỔ</t>
  </si>
  <si>
    <r>
      <rPr>
        <b/>
        <sz val="12"/>
        <rFont val="Khmer OS"/>
      </rPr>
      <t>កម្លាំង</t>
    </r>
    <r>
      <rPr>
        <b/>
        <sz val="12"/>
        <rFont val="Times New Roman"/>
        <family val="1"/>
      </rPr>
      <t xml:space="preserve">
Tổng công
A-B-C-D</t>
    </r>
  </si>
  <si>
    <r>
      <rPr>
        <b/>
        <sz val="12"/>
        <rFont val="Khmer OS"/>
      </rPr>
      <t>​ទិន្ទផលជ័រ</t>
    </r>
    <r>
      <rPr>
        <b/>
        <sz val="12"/>
        <rFont val="Times New Roman"/>
        <family val="1"/>
      </rPr>
      <t xml:space="preserve"> /SẢN LƯỢNG MỦ ĐỢT I</t>
    </r>
  </si>
  <si>
    <t>công tổng hợp</t>
  </si>
  <si>
    <t>CÔNG TY TNHH CAO SU MEKONG</t>
  </si>
  <si>
    <t>ĐỘI SẢN XUẤT 1</t>
  </si>
  <si>
    <t>BẢNG TỔNG HỢP KHỐI LƯỢNG SẢN XUẤT NÔNG NGHIỆP</t>
  </si>
  <si>
    <t>VƯỜN CÂY KINH DOANH</t>
  </si>
  <si>
    <t>THÁNG 01-15/01/2026 ĐỢT I</t>
  </si>
  <si>
    <t>HẠNG MỤC</t>
  </si>
  <si>
    <t>ĐVT</t>
  </si>
  <si>
    <t>ĐỊNH MỨC NHÂN CÔNG</t>
  </si>
  <si>
    <t>THỰC HIỆN</t>
  </si>
  <si>
    <t>ĐỢT 1</t>
  </si>
  <si>
    <t>K.lượng</t>
  </si>
  <si>
    <t>KD NHÓM I</t>
  </si>
  <si>
    <t>Chăm sóc</t>
  </si>
  <si>
    <t>công</t>
  </si>
  <si>
    <t>Thu hoạch</t>
  </si>
  <si>
    <t>Cạo, trút và giao nộp mủ</t>
  </si>
  <si>
    <t>Công nhật (16.000 KHR/ngày)</t>
  </si>
  <si>
    <t>ngày</t>
  </si>
  <si>
    <t>công/ngày</t>
  </si>
  <si>
    <t>Công nhật D2 (17.000 KHR/ngày)</t>
  </si>
  <si>
    <t>Phụ cấp xăng (1.000 KHR/ngày)</t>
  </si>
  <si>
    <t>Sản lượng (455 KHR/kg)</t>
  </si>
  <si>
    <t>kg</t>
  </si>
  <si>
    <t>KHR/kg</t>
  </si>
  <si>
    <t>mủ tươi: 306.288  kg</t>
  </si>
  <si>
    <t>Sản lượng (505 KHR/kg)</t>
  </si>
  <si>
    <t>mủ tươi: 112.223  kg</t>
  </si>
  <si>
    <t>Sản lượng (555 KHR/kg)</t>
  </si>
  <si>
    <t>mủ tươi:  158.470 kg</t>
  </si>
  <si>
    <t>Kampong Thom, ngày       tháng       năm 2026</t>
  </si>
  <si>
    <t>LẬP BIỂU</t>
  </si>
  <si>
    <t>P. KTNN-QH</t>
  </si>
  <si>
    <t>Chau Col</t>
  </si>
  <si>
    <t>Phạm Thành Tường</t>
  </si>
  <si>
    <t>ក្រុមហ៊ុន កៅស៊ូ មេគង្គ ខូលអិលធីឌី</t>
  </si>
  <si>
    <t>Caoutchouc Mekong Co., Ltd</t>
  </si>
  <si>
    <t>អង្គភាព: ក្រុមផលិត​ទី ១</t>
  </si>
  <si>
    <t>_______</t>
  </si>
  <si>
    <t>តារាងបែងចែកប្រាក់បៀវត្សកម្មករ​ប្រមូលផល</t>
  </si>
  <si>
    <t>ពីថ្ងៃទី 01-15 ខែ 01 ឆ្នាំ 2026</t>
  </si>
  <si>
    <t>BẢNG PHÂN TOÁN  LƯƠNG CÔNG NHÂN KHAI THÁC</t>
  </si>
  <si>
    <t>TỪ NGÀY 01-15 THÁNG 01 NĂM 2026</t>
  </si>
  <si>
    <t>ĐVT៖ Riel</t>
  </si>
  <si>
    <t>ល.រ</t>
  </si>
  <si>
    <r>
      <rPr>
        <sz val="12"/>
        <rFont val="Khmer OS Muol Light"/>
      </rPr>
      <t>រាយនាមការងារ</t>
    </r>
    <r>
      <rPr>
        <sz val="12"/>
        <rFont val="Times New Roman"/>
        <family val="1"/>
      </rPr>
      <t xml:space="preserve">  </t>
    </r>
  </si>
  <si>
    <r>
      <rPr>
        <b/>
        <sz val="12"/>
        <rFont val="Khmer OS Muol Light"/>
      </rPr>
      <t xml:space="preserve"> </t>
    </r>
    <r>
      <rPr>
        <sz val="12"/>
        <rFont val="Khmer OS Muol Light"/>
      </rPr>
      <t>តម្លៃ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 xml:space="preserve">         </t>
    </r>
  </si>
  <si>
    <r>
      <rPr>
        <sz val="12"/>
        <rFont val="Khmer OS Muol Light"/>
      </rPr>
      <t>កម្លាំងថ្ងៃធម្មតា</t>
    </r>
    <r>
      <rPr>
        <sz val="12"/>
        <rFont val="Times New Roman"/>
        <family val="1"/>
      </rPr>
      <t xml:space="preserve">
</t>
    </r>
    <r>
      <rPr>
        <b/>
        <sz val="12"/>
        <rFont val="Times New Roman"/>
        <family val="1"/>
      </rPr>
      <t>Công ngày</t>
    </r>
  </si>
  <si>
    <r>
      <rPr>
        <sz val="12"/>
        <rFont val="Khmer OS Muol Light"/>
      </rPr>
      <t xml:space="preserve">សរុប </t>
    </r>
    <r>
      <rPr>
        <b/>
        <sz val="12"/>
        <rFont val="Times New Roman"/>
        <family val="1"/>
      </rPr>
      <t xml:space="preserve">      </t>
    </r>
  </si>
  <si>
    <t>សម្គាល់</t>
  </si>
  <si>
    <t>Hạng mục công việc</t>
  </si>
  <si>
    <t xml:space="preserve">Đơn​ gía </t>
  </si>
  <si>
    <r>
      <rPr>
        <sz val="12"/>
        <rFont val="Khmer OS Muol Light"/>
      </rPr>
      <t>កម្លាំង</t>
    </r>
    <r>
      <rPr>
        <b/>
        <sz val="12"/>
        <rFont val="Times New Roman"/>
        <family val="1"/>
      </rPr>
      <t xml:space="preserve">
Công</t>
    </r>
  </si>
  <si>
    <r>
      <rPr>
        <sz val="12"/>
        <rFont val="Khmer OS Muol Light"/>
      </rPr>
      <t>ជាប្រាក់</t>
    </r>
    <r>
      <rPr>
        <b/>
        <sz val="12"/>
        <rFont val="Times New Roman"/>
        <family val="1"/>
      </rPr>
      <t xml:space="preserve">
Thành tiền</t>
    </r>
  </si>
  <si>
    <t xml:space="preserve">Tổng cộng </t>
  </si>
  <si>
    <t>Ghi chú</t>
  </si>
  <si>
    <t>3=1*2</t>
  </si>
  <si>
    <t>VƯỜN CÂY KINH DOANH NHÓM I</t>
  </si>
  <si>
    <r>
      <rPr>
        <b/>
        <sz val="12"/>
        <rFont val="Khmer OS"/>
      </rPr>
      <t>ជៀជ័រយកកៅស៊ូ</t>
    </r>
    <r>
      <rPr>
        <b/>
        <sz val="12"/>
        <rFont val="Times New Roman"/>
        <family val="1"/>
      </rPr>
      <t xml:space="preserve"> (Cạo lấy mủ)</t>
    </r>
  </si>
  <si>
    <r>
      <rPr>
        <i/>
        <sz val="12"/>
        <color indexed="8"/>
        <rFont val="Khmer OS"/>
      </rPr>
      <t xml:space="preserve">ជៀជ័រយកកៅស៊ូ </t>
    </r>
    <r>
      <rPr>
        <i/>
        <sz val="12"/>
        <color indexed="8"/>
        <rFont val="Times New Roman"/>
        <family val="1"/>
      </rPr>
      <t>(Cạo lấy mủ) 16000 riel</t>
    </r>
  </si>
  <si>
    <r>
      <rPr>
        <i/>
        <sz val="12"/>
        <color indexed="8"/>
        <rFont val="Khmer OS"/>
      </rPr>
      <t xml:space="preserve">ជៀជ័រយកកៅស៊ូ </t>
    </r>
    <r>
      <rPr>
        <i/>
        <sz val="12"/>
        <color indexed="8"/>
        <rFont val="Times New Roman"/>
        <family val="1"/>
      </rPr>
      <t>(Cạo lấy mủ D2) 17000 riel</t>
    </r>
  </si>
  <si>
    <t>Phụ cấp xăng</t>
  </si>
  <si>
    <r>
      <rPr>
        <i/>
        <sz val="12"/>
        <color indexed="8"/>
        <rFont val="Khmer OS"/>
      </rPr>
      <t>ទិន្នផលជ័រកក</t>
    </r>
    <r>
      <rPr>
        <i/>
        <sz val="12"/>
        <color indexed="8"/>
        <rFont val="Times New Roman"/>
        <family val="1"/>
      </rPr>
      <t xml:space="preserve"> /Sản lượng (455 KHR/kg)</t>
    </r>
  </si>
  <si>
    <r>
      <rPr>
        <i/>
        <sz val="12"/>
        <color indexed="8"/>
        <rFont val="Khmer OS"/>
      </rPr>
      <t>ទិន្នផលជ័រកក</t>
    </r>
    <r>
      <rPr>
        <i/>
        <sz val="12"/>
        <color indexed="8"/>
        <rFont val="Times New Roman"/>
        <family val="1"/>
      </rPr>
      <t xml:space="preserve"> /Sản lượng (505 KHR/kg)</t>
    </r>
  </si>
  <si>
    <r>
      <rPr>
        <i/>
        <sz val="12"/>
        <color indexed="8"/>
        <rFont val="Khmer OS"/>
      </rPr>
      <t>ទិន្នផលជ័រកក</t>
    </r>
    <r>
      <rPr>
        <i/>
        <sz val="12"/>
        <color indexed="8"/>
        <rFont val="Times New Roman"/>
        <family val="1"/>
      </rPr>
      <t xml:space="preserve"> /Sản lượng (555 KHR/kg)</t>
    </r>
  </si>
  <si>
    <r>
      <rPr>
        <sz val="12"/>
        <rFont val="Khmer OS Muol Light"/>
      </rPr>
      <t>សរុប</t>
    </r>
    <r>
      <rPr>
        <b/>
        <sz val="12"/>
        <rFont val="Khmer OS Bokor"/>
      </rPr>
      <t xml:space="preserve">  </t>
    </r>
    <r>
      <rPr>
        <b/>
        <sz val="12"/>
        <rFont val="Times New Roman"/>
        <family val="1"/>
      </rPr>
      <t xml:space="preserve">Tổng cộng  </t>
    </r>
  </si>
  <si>
    <t>ជាអក្សរ៖  ពីររយសាមសិបប្រាំមួយលាន  ​ បួនរយសាមសិបបីរពាន់   បីររយហាសិបប្រាំបីររៀលគត់។</t>
  </si>
  <si>
    <t>- Bằng chữ:   Hai trăm ba mươi sáu triệu    bốn trăm ba mươi ba ngàn    ba trăm năm mươi tám Riel Chẵn.</t>
  </si>
  <si>
    <r>
      <rPr>
        <i/>
        <sz val="12"/>
        <rFont val="Khmer OS"/>
      </rPr>
      <t>កំពង់ធំ, ថ្ងៃ</t>
    </r>
    <r>
      <rPr>
        <i/>
        <sz val="12"/>
        <rFont val="Times New Roman"/>
        <family val="1"/>
      </rPr>
      <t xml:space="preserve"> (ngày)       </t>
    </r>
    <r>
      <rPr>
        <i/>
        <sz val="12"/>
        <rFont val="Khmer OS"/>
      </rPr>
      <t xml:space="preserve">ខែ </t>
    </r>
    <r>
      <rPr>
        <i/>
        <sz val="12"/>
        <rFont val="Times New Roman"/>
        <family val="1"/>
      </rPr>
      <t xml:space="preserve">(tháng)     </t>
    </r>
    <r>
      <rPr>
        <i/>
        <sz val="12"/>
        <rFont val="Khmer OS"/>
      </rPr>
      <t xml:space="preserve">ឆ្នាំ </t>
    </r>
    <r>
      <rPr>
        <i/>
        <sz val="12"/>
        <rFont val="Times New Roman"/>
        <family val="1"/>
      </rPr>
      <t>(năm) 2026</t>
    </r>
  </si>
  <si>
    <t>ក្រុមផលិត​ទី ១</t>
  </si>
  <si>
    <t>អ្នករៀបចំ</t>
  </si>
  <si>
    <t>Người lập biểu</t>
  </si>
  <si>
    <t xml:space="preserve">   </t>
  </si>
  <si>
    <t>ផ្នែក ចាត់តាំង រដ្ឋបាល</t>
  </si>
  <si>
    <t>ផ្នែក ហិរញ្ញវត្ថុ គណនេយ្យ</t>
  </si>
  <si>
    <t>PHÒNG TCHC</t>
  </si>
  <si>
    <t>PHÒNG TCKT</t>
  </si>
  <si>
    <t>អនុម័តនាយកក្រុមហ៊ុន</t>
  </si>
  <si>
    <t>DUYỆT GIÁM ĐỐC</t>
  </si>
  <si>
    <t>ព្រះរាជាណាចក្រ កម្ពុជា</t>
  </si>
  <si>
    <t>ជាតិ សាសនា ព្រះមហាក្សត្រ</t>
  </si>
  <si>
    <t>______</t>
  </si>
  <si>
    <t>តារាងតុល្យភាពបំណុល</t>
  </si>
  <si>
    <t>បៀវត្សកម្មករប្រមូលផលពីថ្ងៃទី 01 -15 ខែ 01 ឆ្នាំ​ 2026</t>
  </si>
  <si>
    <t>BẢNG CÂN ĐỐI CÔNG NỢ</t>
  </si>
  <si>
    <t>LƯƠNG CÔNG NHÂN KHAI THÁC TỪ NGÀY 01-15 THÁNG 01 NĂM 2026</t>
  </si>
  <si>
    <r>
      <t xml:space="preserve">I/ </t>
    </r>
    <r>
      <rPr>
        <u/>
        <sz val="14"/>
        <rFont val="Khmer OS Muol Light"/>
      </rPr>
      <t>សរុបបៀវត្សខែ</t>
    </r>
    <r>
      <rPr>
        <b/>
        <u/>
        <sz val="14"/>
        <rFont val="Khmer OS Muol Light"/>
      </rPr>
      <t xml:space="preserve"> 01/2026 </t>
    </r>
    <r>
      <rPr>
        <b/>
        <u/>
        <sz val="14"/>
        <rFont val="Times New Roman"/>
        <family val="1"/>
      </rPr>
      <t>(Tổng lương tháng 01/2026)</t>
    </r>
    <r>
      <rPr>
        <b/>
        <u/>
        <sz val="14"/>
        <rFont val="Khmer OS Muol Light"/>
      </rPr>
      <t>:</t>
    </r>
  </si>
  <si>
    <t>Riel</t>
  </si>
  <si>
    <t>1/ ប្រាក់បៀវត្សវគ្គ 1 (Tiền lương đợt 1):</t>
  </si>
  <si>
    <r>
      <t xml:space="preserve">2/ ប្រាក់បៀវត្សវគ្គ 2 </t>
    </r>
    <r>
      <rPr>
        <sz val="14"/>
        <rFont val="Times New Roman"/>
        <family val="1"/>
      </rPr>
      <t>(Tiền lương đợt 2)</t>
    </r>
    <r>
      <rPr>
        <sz val="14"/>
        <rFont val="Khmer OS Bokor"/>
      </rPr>
      <t>:</t>
    </r>
  </si>
  <si>
    <r>
      <t xml:space="preserve">II/ </t>
    </r>
    <r>
      <rPr>
        <u/>
        <sz val="14"/>
        <rFont val="Khmer OS Muol Light"/>
      </rPr>
      <t>ប្រាក់បានទទួល</t>
    </r>
    <r>
      <rPr>
        <b/>
        <u/>
        <sz val="14"/>
        <rFont val="Khmer OS Muol Light"/>
      </rPr>
      <t xml:space="preserve"> </t>
    </r>
    <r>
      <rPr>
        <b/>
        <u/>
        <sz val="14"/>
        <rFont val="Times New Roman"/>
        <family val="1"/>
      </rPr>
      <t>(Các khoản đã nhận)</t>
    </r>
    <r>
      <rPr>
        <b/>
        <u/>
        <sz val="14"/>
        <rFont val="Khmer OS Muol Light"/>
      </rPr>
      <t>:</t>
    </r>
  </si>
  <si>
    <t>1/ប្រាក់បៀវត្សវត្ត១បានទទូល/Lương đợt 1 đã nhận</t>
  </si>
  <si>
    <r>
      <t xml:space="preserve">III/ </t>
    </r>
    <r>
      <rPr>
        <u/>
        <sz val="14"/>
        <rFont val="Khmer OS Muol Light"/>
      </rPr>
      <t>ប្រាក់ត្រូវប្រមូល</t>
    </r>
    <r>
      <rPr>
        <b/>
        <u/>
        <sz val="14"/>
        <rFont val="Khmer OS Muol Light"/>
      </rPr>
      <t xml:space="preserve"> </t>
    </r>
    <r>
      <rPr>
        <b/>
        <u/>
        <sz val="14"/>
        <rFont val="Times New Roman"/>
        <family val="1"/>
      </rPr>
      <t>(Các khoản phải thu)</t>
    </r>
    <r>
      <rPr>
        <b/>
        <u/>
        <sz val="14"/>
        <rFont val="Khmer OS Muol Light"/>
      </rPr>
      <t>:</t>
    </r>
  </si>
  <si>
    <r>
      <t xml:space="preserve">1/ ពន្ធលើប្រាក់បៀវត្ស </t>
    </r>
    <r>
      <rPr>
        <sz val="14"/>
        <rFont val="Times New Roman"/>
        <family val="1"/>
      </rPr>
      <t>(Thuế TNCN)</t>
    </r>
    <r>
      <rPr>
        <sz val="14"/>
        <rFont val="Khmer OS Bokor"/>
      </rPr>
      <t>:</t>
    </r>
  </si>
  <si>
    <r>
      <t xml:space="preserve">2/ បុរេប្រទានផ្ទាល់ខ្លួន </t>
    </r>
    <r>
      <rPr>
        <sz val="14"/>
        <rFont val="Times New Roman"/>
        <family val="1"/>
      </rPr>
      <t>(Tạm ứng cá nhân)</t>
    </r>
    <r>
      <rPr>
        <sz val="14"/>
        <rFont val="Khmer OS Bokor"/>
      </rPr>
      <t>:</t>
    </r>
  </si>
  <si>
    <r>
      <t xml:space="preserve">IV/ </t>
    </r>
    <r>
      <rPr>
        <u/>
        <sz val="14"/>
        <rFont val="Khmer OS Muol Light"/>
      </rPr>
      <t>ប្រាក់ត្រូវទទួល</t>
    </r>
    <r>
      <rPr>
        <b/>
        <u/>
        <sz val="14"/>
        <rFont val="Khmer OS Muol Light"/>
      </rPr>
      <t xml:space="preserve"> </t>
    </r>
    <r>
      <rPr>
        <b/>
        <u/>
        <sz val="14"/>
        <rFont val="Times New Roman"/>
        <family val="1"/>
      </rPr>
      <t>(Thực nhận)</t>
    </r>
    <r>
      <rPr>
        <b/>
        <u/>
        <sz val="14"/>
        <rFont val="Khmer OS Muol Light"/>
      </rPr>
      <t>:</t>
    </r>
  </si>
  <si>
    <r>
      <t>1/ ប្រាក់បៀវត្សត្រូវទទួល</t>
    </r>
    <r>
      <rPr>
        <sz val="14"/>
        <rFont val="Times New Roman"/>
        <family val="1"/>
      </rPr>
      <t xml:space="preserve"> (Tiền lương thực nhận)</t>
    </r>
    <r>
      <rPr>
        <sz val="14"/>
        <rFont val="Khmer OS Bokor"/>
      </rPr>
      <t>:</t>
    </r>
  </si>
  <si>
    <r>
      <rPr>
        <i/>
        <sz val="12"/>
        <rFont val="Khmer OS"/>
      </rPr>
      <t>កំពង់ធំ, ថ្ងៃ</t>
    </r>
    <r>
      <rPr>
        <i/>
        <sz val="12"/>
        <rFont val="Times New Roman"/>
        <family val="1"/>
      </rPr>
      <t xml:space="preserve"> (ngày) </t>
    </r>
    <r>
      <rPr>
        <i/>
        <sz val="12"/>
        <rFont val="Khmer OS"/>
      </rPr>
      <t xml:space="preserve">    ខែ </t>
    </r>
    <r>
      <rPr>
        <i/>
        <sz val="12"/>
        <rFont val="Times New Roman"/>
        <family val="1"/>
      </rPr>
      <t xml:space="preserve">(tháng)      </t>
    </r>
    <r>
      <rPr>
        <i/>
        <sz val="12"/>
        <rFont val="Khmer OS"/>
      </rPr>
      <t xml:space="preserve">ឆ្នាំ </t>
    </r>
    <r>
      <rPr>
        <i/>
        <sz val="12"/>
        <rFont val="Times New Roman"/>
        <family val="1"/>
      </rPr>
      <t>(năm)  2026</t>
    </r>
  </si>
  <si>
    <t>ក្រុមហ៊ុន កៅស៊ូ មេគង្គ ខូអិលធីឌី</t>
  </si>
  <si>
    <t>ព្រះរាជាណាចក្រកម្ពុជា</t>
  </si>
  <si>
    <t>អង្គភាព៖ ក្រុមផលិត​ទី ១</t>
  </si>
  <si>
    <t>តារាងបរិមាណកម្មករ ក្រុម ប្រមូលផល</t>
  </si>
  <si>
    <t>ពីថ្ងៃទី 01 - 15 ខែ 01 ឆ្នាំ 2026</t>
  </si>
  <si>
    <t>BẢNG KHỐI LƯỢNG CÔNG NHÂN CAMPUCHIA VƯỜN KHAI THÁC</t>
  </si>
  <si>
    <r>
      <rPr>
        <sz val="14"/>
        <color indexed="8"/>
        <rFont val="Khmer OS Muol Light"/>
      </rPr>
      <t>ល.រ</t>
    </r>
    <r>
      <rPr>
        <b/>
        <sz val="14"/>
        <color indexed="8"/>
        <rFont val="Times New Roman"/>
        <family val="1"/>
      </rPr>
      <t xml:space="preserve">
STT</t>
    </r>
  </si>
  <si>
    <r>
      <rPr>
        <sz val="14"/>
        <color indexed="8"/>
        <rFont val="Khmer OS Muol Light"/>
      </rPr>
      <t>ត្រកូលនិងឈ្មោះ</t>
    </r>
    <r>
      <rPr>
        <b/>
        <sz val="14"/>
        <color indexed="8"/>
        <rFont val="Khmer OS Muol Light"/>
      </rPr>
      <t xml:space="preserve">
Họ và tên</t>
    </r>
  </si>
  <si>
    <r>
      <rPr>
        <sz val="14"/>
        <color indexed="8"/>
        <rFont val="Khmer OS Muol Light"/>
      </rPr>
      <t>ត្រកូលនិងឈ្មោះ</t>
    </r>
    <r>
      <rPr>
        <b/>
        <sz val="14"/>
        <color indexed="8"/>
        <rFont val="Times New Roman"/>
        <family val="1"/>
      </rPr>
      <t xml:space="preserve">
Họ và tên</t>
    </r>
  </si>
  <si>
    <t>Phần cạo</t>
  </si>
  <si>
    <r>
      <rPr>
        <b/>
        <sz val="14"/>
        <color indexed="8"/>
        <rFont val="Khmer OS Muol Light"/>
      </rPr>
      <t xml:space="preserve">ជៀយកជ័រ KD </t>
    </r>
    <r>
      <rPr>
        <b/>
        <sz val="14"/>
        <color indexed="8"/>
        <rFont val="Times New Roman"/>
        <family val="1"/>
      </rPr>
      <t xml:space="preserve">(Cạo lấy mủ) </t>
    </r>
  </si>
  <si>
    <t>Tổng tiền</t>
  </si>
  <si>
    <r>
      <rPr>
        <sz val="14"/>
        <color indexed="8"/>
        <rFont val="Khmer OS Muol Light"/>
      </rPr>
      <t>សរុប</t>
    </r>
    <r>
      <rPr>
        <b/>
        <sz val="14"/>
        <color indexed="8"/>
        <rFont val="Times New Roman"/>
        <family val="1"/>
      </rPr>
      <t xml:space="preserve">
Tổng công</t>
    </r>
  </si>
  <si>
    <r>
      <rPr>
        <sz val="14"/>
        <color indexed="8"/>
        <rFont val="Khmer OS Muol Light"/>
      </rPr>
      <t>ហត្ថលេខាទទួល</t>
    </r>
    <r>
      <rPr>
        <b/>
        <sz val="14"/>
        <color indexed="8"/>
        <rFont val="Times New Roman"/>
        <family val="1"/>
      </rPr>
      <t xml:space="preserve">
KÝ NHẬN</t>
    </r>
  </si>
  <si>
    <t>Sản lượng mủ đông KD</t>
  </si>
  <si>
    <t>Công cạo ​mủ</t>
  </si>
  <si>
    <t>Học cạo úp</t>
  </si>
  <si>
    <r>
      <rPr>
        <sz val="12"/>
        <color indexed="8"/>
        <rFont val="Khmer OS Muol Light"/>
      </rPr>
      <t>បរិមាណ</t>
    </r>
    <r>
      <rPr>
        <b/>
        <sz val="12"/>
        <color indexed="8"/>
        <rFont val="Times New Roman"/>
        <family val="1"/>
      </rPr>
      <t xml:space="preserve">
Khối lượng </t>
    </r>
  </si>
  <si>
    <r>
      <rPr>
        <sz val="12"/>
        <color indexed="8"/>
        <rFont val="Khmer OS Muol Light"/>
      </rPr>
      <t>កម្លាំង</t>
    </r>
    <r>
      <rPr>
        <b/>
        <sz val="12"/>
        <color indexed="8"/>
        <rFont val="Times New Roman"/>
        <family val="1"/>
      </rPr>
      <t xml:space="preserve">
Công</t>
    </r>
  </si>
  <si>
    <r>
      <rPr>
        <sz val="9"/>
        <color indexed="8"/>
        <rFont val="Khmer OS Muol Light"/>
      </rPr>
      <t>បរិមាណ</t>
    </r>
    <r>
      <rPr>
        <b/>
        <sz val="9"/>
        <color indexed="8"/>
        <rFont val="Times New Roman"/>
        <family val="1"/>
      </rPr>
      <t xml:space="preserve">
Khối lượng </t>
    </r>
  </si>
  <si>
    <r>
      <rPr>
        <sz val="14"/>
        <color indexed="8"/>
        <rFont val="Khmer OS Muol Light"/>
      </rPr>
      <t>បរិមាណ</t>
    </r>
    <r>
      <rPr>
        <b/>
        <sz val="14"/>
        <color indexed="8"/>
        <rFont val="Times New Roman"/>
        <family val="1"/>
      </rPr>
      <t xml:space="preserve">
Khối lượng </t>
    </r>
  </si>
  <si>
    <r>
      <rPr>
        <sz val="14"/>
        <color indexed="8"/>
        <rFont val="Khmer OS Muol Light"/>
      </rPr>
      <t>កម្លាំង</t>
    </r>
    <r>
      <rPr>
        <b/>
        <sz val="14"/>
        <color indexed="8"/>
        <rFont val="Times New Roman"/>
        <family val="1"/>
      </rPr>
      <t xml:space="preserve">
Công</t>
    </r>
  </si>
  <si>
    <t>ជាប្រាក់
Thành Tiền</t>
  </si>
  <si>
    <t>TT</t>
  </si>
  <si>
    <t>Tổng Cộng</t>
  </si>
  <si>
    <r>
      <t xml:space="preserve"> </t>
    </r>
    <r>
      <rPr>
        <sz val="12"/>
        <color indexed="8"/>
        <rFont val="Khmer OS Muol Light"/>
      </rPr>
      <t>កំពង់ធំ,ថ្ងៃ</t>
    </r>
    <r>
      <rPr>
        <sz val="12"/>
        <color indexed="8"/>
        <rFont val="Khmer OS"/>
      </rPr>
      <t xml:space="preserve"> </t>
    </r>
    <r>
      <rPr>
        <sz val="12"/>
        <color indexed="8"/>
        <rFont val="Times New Roman"/>
        <family val="1"/>
      </rPr>
      <t xml:space="preserve">(ngày)   </t>
    </r>
    <r>
      <rPr>
        <sz val="12"/>
        <color indexed="8"/>
        <rFont val="Khmer OS"/>
      </rPr>
      <t xml:space="preserve">    </t>
    </r>
    <r>
      <rPr>
        <sz val="12"/>
        <color indexed="8"/>
        <rFont val="Khmer OS Muol Light"/>
      </rPr>
      <t>ខែ</t>
    </r>
    <r>
      <rPr>
        <sz val="12"/>
        <color indexed="8"/>
        <rFont val="Times New Roman"/>
        <family val="1"/>
      </rPr>
      <t xml:space="preserve"> (tháng)</t>
    </r>
    <r>
      <rPr>
        <sz val="12"/>
        <color indexed="8"/>
        <rFont val="Khmer OS"/>
      </rPr>
      <t xml:space="preserve">     </t>
    </r>
    <r>
      <rPr>
        <sz val="12"/>
        <color indexed="8"/>
        <rFont val="Khmer OS Muol Light"/>
      </rPr>
      <t>ឆ្នាំ</t>
    </r>
    <r>
      <rPr>
        <sz val="12"/>
        <color indexed="8"/>
        <rFont val="Times New Roman"/>
        <family val="1"/>
      </rPr>
      <t xml:space="preserve"> (năm) 2026</t>
    </r>
  </si>
  <si>
    <t>khối lượng</t>
  </si>
  <si>
    <t xml:space="preserve">thành toán </t>
  </si>
  <si>
    <t>ជួន ឡំ</t>
  </si>
  <si>
    <t>CHOUN LOM</t>
  </si>
  <si>
    <t>ស៊ីម សុជាតិ</t>
  </si>
  <si>
    <t>SIM SOCHEAT</t>
  </si>
  <si>
    <t>សេត ចន</t>
  </si>
  <si>
    <t>SET CHAN</t>
  </si>
  <si>
    <t>ណាំ សិទ្ធិ</t>
  </si>
  <si>
    <t>ពិន ឡាយ</t>
  </si>
  <si>
    <t>PIN LAY</t>
  </si>
  <si>
    <t>ប៉ិន សូភ័ស</t>
  </si>
  <si>
    <t>BIN SOPHORS</t>
  </si>
  <si>
    <t>វ៉ាន់ បូរិធ្ធ</t>
  </si>
  <si>
    <t>ឈាង ផល្លាប</t>
  </si>
  <si>
    <t>CHHEANG PHALLEAB</t>
  </si>
  <si>
    <t>ឆែន ឆុន</t>
  </si>
  <si>
    <t>មាស សំឡត</t>
  </si>
  <si>
    <t>គាន ខុម</t>
  </si>
  <si>
    <t>KEAN KHOM</t>
  </si>
  <si>
    <t>ហ៊ិត ងួន</t>
  </si>
  <si>
    <t>ពិន គីម​ ព្ឬ</t>
  </si>
  <si>
    <t>PIN KIMLOEU</t>
  </si>
  <si>
    <t>យៀក ឌី</t>
  </si>
  <si>
    <t>អៀវ សុភ័ណ្ន</t>
  </si>
  <si>
    <t>ពិន អូនទូច</t>
  </si>
  <si>
    <t>PIN AUNTOUCH</t>
  </si>
  <si>
    <t>ពិន កន</t>
  </si>
  <si>
    <t>PEN SREY KAN</t>
  </si>
  <si>
    <t>ថៃ ឈាង</t>
  </si>
  <si>
    <t>THAI CHHEANG</t>
  </si>
  <si>
    <t>វឿន លឹម</t>
  </si>
  <si>
    <t>ជឿង ចន្ទ្រា</t>
  </si>
  <si>
    <t>CHOEUNG CHANTRA</t>
  </si>
  <si>
    <t>ញ៉ុវ ញីម</t>
  </si>
  <si>
    <t>តួច ចាន់លី</t>
  </si>
  <si>
    <t>ឡង សុភីន</t>
  </si>
  <si>
    <t>LONG SOPHIN</t>
  </si>
  <si>
    <t>ប៉ុន សាវីន</t>
  </si>
  <si>
    <t>POV SAVIN</t>
  </si>
  <si>
    <t>គង់ ពន្លឹ</t>
  </si>
  <si>
    <t>ត្រច ធីតា</t>
  </si>
  <si>
    <t>ភួន ខេង</t>
  </si>
  <si>
    <t>PHUON KHENG</t>
  </si>
  <si>
    <t>ហាង់ ហើយ</t>
  </si>
  <si>
    <t>ឡន លាង</t>
  </si>
  <si>
    <t>ញ៉ីវហាន</t>
  </si>
  <si>
    <t>អ៊ុ សុភ័ក្រ</t>
  </si>
  <si>
    <t>សាង ចន្ធី</t>
  </si>
  <si>
    <t>ផាន់ សិភា</t>
  </si>
  <si>
    <t>ហួន ចាន្នី</t>
  </si>
  <si>
    <t>HOUN CHANNY</t>
  </si>
  <si>
    <t>ជីម ជាត</t>
  </si>
  <si>
    <t>CHIM CHEAT</t>
  </si>
  <si>
    <t>យុន សី</t>
  </si>
  <si>
    <t>YUN SEY</t>
  </si>
  <si>
    <t>ធី ពុទ្ធិ</t>
  </si>
  <si>
    <t>THY PUTHI</t>
  </si>
  <si>
    <t>លឿន មៅ</t>
  </si>
  <si>
    <t>សុខ សន</t>
  </si>
  <si>
    <t>SOK SORN</t>
  </si>
  <si>
    <t>ហឿន រីន</t>
  </si>
  <si>
    <t>សៅ ធី</t>
  </si>
  <si>
    <t>ប៊ុត សុកង់</t>
  </si>
  <si>
    <t>យ៉ាត សសុឃីម</t>
  </si>
  <si>
    <t>ថ្លែន កុងហាក់</t>
  </si>
  <si>
    <t>THLEN TONGHAK</t>
  </si>
  <si>
    <t>ប៊ួ មករា</t>
  </si>
  <si>
    <t>BOU MAKARA</t>
  </si>
  <si>
    <t>ប៊ូ ស្រីណាយ</t>
  </si>
  <si>
    <t>អ៊ុវ សាវុន</t>
  </si>
  <si>
    <t>សាត កីមសេង</t>
  </si>
  <si>
    <t>សេន ចាន់ឌី</t>
  </si>
  <si>
    <t>SEN CHANDY</t>
  </si>
  <si>
    <t>មឿនរម្យ</t>
  </si>
  <si>
    <t>រួន រ៉ី</t>
  </si>
  <si>
    <t>RUON RY</t>
  </si>
  <si>
    <t>ប៊ូ ស្រីយ៉ា</t>
  </si>
  <si>
    <t>BOU SREYYA</t>
  </si>
  <si>
    <t>រី ធឹម</t>
  </si>
  <si>
    <t>RY THIM</t>
  </si>
  <si>
    <t>ឈិត លាក់</t>
  </si>
  <si>
    <t>CHHIT LEAK</t>
  </si>
  <si>
    <t>សៀក សិន្ធ</t>
  </si>
  <si>
    <t>ផុន វន</t>
  </si>
  <si>
    <t>សែន សឿន</t>
  </si>
  <si>
    <t>SEN SOEUN</t>
  </si>
  <si>
    <t>ប៉ីង ថា</t>
  </si>
  <si>
    <t>ណំ វ៉ាន់ស៊ីង</t>
  </si>
  <si>
    <t>ជៀប ចាន់ណា</t>
  </si>
  <si>
    <t>សាត ម៉េងហួន</t>
  </si>
  <si>
    <t>ប៉ិល សុជា</t>
  </si>
  <si>
    <t xml:space="preserve">DENG SAN </t>
  </si>
  <si>
    <t>សាយ ដួច</t>
  </si>
  <si>
    <t>SAY DUOCH</t>
  </si>
  <si>
    <t>ឡ រ៉ាសែន</t>
  </si>
  <si>
    <t>ទួន វ៉ាន់ណេត</t>
  </si>
  <si>
    <t>THOUN VANNET</t>
  </si>
  <si>
    <t>ខ្វេង ឡោះ</t>
  </si>
  <si>
    <t>KHVENG LOH</t>
  </si>
  <si>
    <t>ក្រិម រ៉ែម</t>
  </si>
  <si>
    <t>អ៊ុក សុគួន</t>
  </si>
  <si>
    <t>ហ៊ុន ឃឿន</t>
  </si>
  <si>
    <t>HUN KHOEUN</t>
  </si>
  <si>
    <t>សែ ពិពឹ</t>
  </si>
  <si>
    <t>គង់ ហេ</t>
  </si>
  <si>
    <t xml:space="preserve">KUNG HE </t>
  </si>
  <si>
    <t>ចែម រ៉ុន</t>
  </si>
  <si>
    <t xml:space="preserve">CHEM RON </t>
  </si>
  <si>
    <t>រស់ សាទ្រី</t>
  </si>
  <si>
    <t>ROS SATRY</t>
  </si>
  <si>
    <t>អាន មុំ</t>
  </si>
  <si>
    <t>AN MOM</t>
  </si>
  <si>
    <t>ហ៊ិត ផាន</t>
  </si>
  <si>
    <t>HET PHAN</t>
  </si>
  <si>
    <t>ហាង់ យ៉ាត់</t>
  </si>
  <si>
    <t>ហ៊ិត ភេន</t>
  </si>
  <si>
    <t>HIT PHEN</t>
  </si>
  <si>
    <t>យៀត ដា</t>
  </si>
  <si>
    <t>YIET DA</t>
  </si>
  <si>
    <t>អ៊ូន ខ្មិក</t>
  </si>
  <si>
    <t>ប៊ិន យ៉ួត</t>
  </si>
  <si>
    <t>នួន នាត</t>
  </si>
  <si>
    <t>NOUN NEAT</t>
  </si>
  <si>
    <t>ធី ​ភិរក្ស</t>
  </si>
  <si>
    <t>អ៊ង ឈីន</t>
  </si>
  <si>
    <t>វ៉ាត់ វុទ្ធី</t>
  </si>
  <si>
    <t>VAT VUTHY</t>
  </si>
  <si>
    <t>អូន សុខះ</t>
  </si>
  <si>
    <t>UON SOKHAK</t>
  </si>
  <si>
    <t>ប៊ួ សំណាង</t>
  </si>
  <si>
    <t>BOU SAMNANG</t>
  </si>
  <si>
    <t>គុង សំអូន</t>
  </si>
  <si>
    <t>KONG SAMAUN</t>
  </si>
  <si>
    <t>ឈួន ជឿន</t>
  </si>
  <si>
    <t>CHHOUN CHOEUN</t>
  </si>
  <si>
    <t>យីម ហ៊ាក</t>
  </si>
  <si>
    <t>YIM HEAK</t>
  </si>
  <si>
    <t>វ៉ាត់ ចំប៉ី</t>
  </si>
  <si>
    <t>VAT CHAMBEY</t>
  </si>
  <si>
    <t>សំ សុខា</t>
  </si>
  <si>
    <t>SAM SOKHA</t>
  </si>
  <si>
    <t>ជិន ឡត</t>
  </si>
  <si>
    <t>ខ្វាន់ ឡេត</t>
  </si>
  <si>
    <t>KHVAN LET</t>
  </si>
  <si>
    <t>នាង ប៊ុននំ</t>
  </si>
  <si>
    <t>NEANG BUNNOM</t>
  </si>
  <si>
    <t>ប៉ិន ប៉ឹន</t>
  </si>
  <si>
    <t>ហង្ស ណេន</t>
  </si>
  <si>
    <t>HANG NEN</t>
  </si>
  <si>
    <t>ហំ ហ៊ុល</t>
  </si>
  <si>
    <t>HOM HUL</t>
  </si>
  <si>
    <t>យ៉ុន រីម</t>
  </si>
  <si>
    <t>YUN RIM</t>
  </si>
  <si>
    <t>ឈាន លី</t>
  </si>
  <si>
    <t>CHHEAN LY</t>
  </si>
  <si>
    <t>រីម ស្រីអែម</t>
  </si>
  <si>
    <t>RIM SREYEM</t>
  </si>
  <si>
    <t>គូន រ៉ាល់</t>
  </si>
  <si>
    <t>ឃុនស៊ី សា</t>
  </si>
  <si>
    <t>ឃុនស៊ី សង់</t>
  </si>
  <si>
    <t>KHOUNSY SONG</t>
  </si>
  <si>
    <t>ខ្វាន់ ឡេត់</t>
  </si>
  <si>
    <t>ហោន ហឿន</t>
  </si>
  <si>
    <t>HORN HOEUN</t>
  </si>
  <si>
    <t>អួត អិន</t>
  </si>
  <si>
    <t>UOT ENN</t>
  </si>
  <si>
    <t>ឈុន ដាលីន</t>
  </si>
  <si>
    <t>CHHUN DALIN</t>
  </si>
  <si>
    <t>ហន ហ៊ុន</t>
  </si>
  <si>
    <t>HORN HUN</t>
  </si>
  <si>
    <t>គន កឿន</t>
  </si>
  <si>
    <t>ប៉ោង ស្រីនិច</t>
  </si>
  <si>
    <t>PORNG SREYNICH</t>
  </si>
  <si>
    <t>យ៉ុន ណៃត</t>
  </si>
  <si>
    <t>អឿន ចិចិត្រ</t>
  </si>
  <si>
    <t>ស៊ីយ៉ង់</t>
  </si>
  <si>
    <t>ងិន វន</t>
  </si>
  <si>
    <t>NGIN VORN</t>
  </si>
  <si>
    <t>ឡាច ឆេងលី</t>
  </si>
  <si>
    <t>LACH CHHENGLY</t>
  </si>
  <si>
    <t>ឡាត ម៉ោ</t>
  </si>
  <si>
    <t>LAT MAO</t>
  </si>
  <si>
    <t>ឆាន សៅ</t>
  </si>
  <si>
    <t>CHANG SAO</t>
  </si>
  <si>
    <t>ឡង ឡំ</t>
  </si>
  <si>
    <t>បិន ចាន់</t>
  </si>
  <si>
    <t>យឿន ចាន់ដារា</t>
  </si>
  <si>
    <t>YOEUN CHANDARA</t>
  </si>
  <si>
    <t>អ៊ី សុខេន</t>
  </si>
  <si>
    <t>ហ៊ាត ភាក់</t>
  </si>
  <si>
    <t>HEAT PHEAK</t>
  </si>
  <si>
    <t>យេត​ យ៉ី</t>
  </si>
  <si>
    <t>ឡក់ ឆាក់</t>
  </si>
  <si>
    <t>អឿន សាវិន</t>
  </si>
  <si>
    <t>OEUN SAVEN</t>
  </si>
  <si>
    <t>សៀន ជិនឡង</t>
  </si>
  <si>
    <t>SIEN CHINLONG</t>
  </si>
  <si>
    <t>ឃម សុខលីន</t>
  </si>
  <si>
    <t>KHIM SOKLIN</t>
  </si>
  <si>
    <t>ហួត សុវ័ន្ត</t>
  </si>
  <si>
    <t>HUOT SOVORN</t>
  </si>
  <si>
    <t>យឿន រ៉ាឌី</t>
  </si>
  <si>
    <t>ភូន ភា</t>
  </si>
  <si>
    <t>ឈឿន ដានេ</t>
  </si>
  <si>
    <t>CHOEUN DANE</t>
  </si>
  <si>
    <t>រ៉េត បូរី</t>
  </si>
  <si>
    <t>RET BORY</t>
  </si>
  <si>
    <t>ក្រីង រ៉ៃ</t>
  </si>
  <si>
    <t>ធី​ពៅ</t>
  </si>
  <si>
    <t>បៀន ចំរើន</t>
  </si>
  <si>
    <t>BEAN CHAMROEUN</t>
  </si>
  <si>
    <t>កាន់ ថេត</t>
  </si>
  <si>
    <t>ឡញ វណ្ណណែត</t>
  </si>
  <si>
    <t>LONH VANNETH</t>
  </si>
  <si>
    <t>ឃឹម សុឃីន</t>
  </si>
  <si>
    <t>KHOEM SOKHIN</t>
  </si>
  <si>
    <t>ផាត ភក្តី</t>
  </si>
  <si>
    <t>PHAT PHEAKDEY</t>
  </si>
  <si>
    <t>ឃាម ចាន់រ៉ា</t>
  </si>
  <si>
    <t>KHEAM CHANRA</t>
  </si>
  <si>
    <t>សរ បាង</t>
  </si>
  <si>
    <t>អ៊ាង អាន់់</t>
  </si>
  <si>
    <t>ភូន ឡែម</t>
  </si>
  <si>
    <t>លឿន លុយ</t>
  </si>
  <si>
    <t>LOEUN LUY</t>
  </si>
  <si>
    <t>គួន លី</t>
  </si>
  <si>
    <t>KOUN LY</t>
  </si>
  <si>
    <t>ហូន ហេង</t>
  </si>
  <si>
    <t>អ៊ីម អាន</t>
  </si>
  <si>
    <t>វិន វិត</t>
  </si>
  <si>
    <t>VIN VET</t>
  </si>
  <si>
    <t>ឈូក ខាត់ណា</t>
  </si>
  <si>
    <t>CHHOUK KHATNA</t>
  </si>
  <si>
    <t>យូត លៀ</t>
  </si>
  <si>
    <t>យួន ឃួន</t>
  </si>
  <si>
    <t>YUON KHUON</t>
  </si>
  <si>
    <t>ឈី សុខជា</t>
  </si>
  <si>
    <t>CHHY SOKCHEA</t>
  </si>
  <si>
    <t>ទ្រី​អូន</t>
  </si>
  <si>
    <t>TRY ON</t>
  </si>
  <si>
    <t>អីម អន</t>
  </si>
  <si>
    <t>ផាន់ ខាន់</t>
  </si>
  <si>
    <t>PHANN KHANN</t>
  </si>
  <si>
    <t>សេង ធឿ</t>
  </si>
  <si>
    <t>សេង ចន្ដា</t>
  </si>
  <si>
    <t>SENG CHINDA</t>
  </si>
  <si>
    <t>ត្រុច ចិន្ដា</t>
  </si>
  <si>
    <t>TROCH CHINDA</t>
  </si>
  <si>
    <t>ឈូក ឈត់</t>
  </si>
  <si>
    <t>CHHOK CHHORT</t>
  </si>
  <si>
    <t>អ៊ីម ថូ</t>
  </si>
  <si>
    <t>សៀវ រីណ</t>
  </si>
  <si>
    <t>អ៊ុត អេន</t>
  </si>
  <si>
    <t>UT EN</t>
  </si>
  <si>
    <t>ផល ចាន់ណា</t>
  </si>
  <si>
    <t>PHAL CHANNA</t>
  </si>
  <si>
    <t>ហន ហួត</t>
  </si>
  <si>
    <t>ក្រុមហ៊ុន កៅស៊ូ មេគង្គ</t>
  </si>
  <si>
    <r>
      <t>តារាងទូទាត់បៀវត្សកម្មករ</t>
    </r>
    <r>
      <rPr>
        <b/>
        <sz val="18"/>
        <rFont val="Khmer OS Muol Light"/>
      </rPr>
      <t xml:space="preserve"> ប្រមូលផល</t>
    </r>
  </si>
  <si>
    <r>
      <t xml:space="preserve">ពីថ្ងៃទី 01-15 ខែ 01 ឆ្នាំ </t>
    </r>
    <r>
      <rPr>
        <b/>
        <sz val="18"/>
        <rFont val="Khmer OS Muol Light"/>
      </rPr>
      <t>2026</t>
    </r>
  </si>
  <si>
    <t>BẢNG THANH TOÁN LƯƠNG CÔNG NHÂN​​ KHAI THÁC</t>
  </si>
  <si>
    <t>TỪ NGÀY 01 -15 THÁNG 01 NĂM 2026</t>
  </si>
  <si>
    <t>ĐVT: Riel</t>
  </si>
  <si>
    <r>
      <rPr>
        <sz val="14"/>
        <rFont val="Khmer OS Muol Light"/>
      </rPr>
      <t>បទដ្ឋាន</t>
    </r>
    <r>
      <rPr>
        <b/>
        <sz val="14"/>
        <rFont val="Times New Roman"/>
        <family val="1"/>
      </rPr>
      <t xml:space="preserve">
Định mức 31947 Rial/công</t>
    </r>
  </si>
  <si>
    <r>
      <rPr>
        <sz val="14"/>
        <rFont val="Khmer OS Muol Light"/>
      </rPr>
      <t>បៀវត្សវគ្គ១</t>
    </r>
    <r>
      <rPr>
        <sz val="14"/>
        <rFont val="Times New Roman"/>
        <family val="1"/>
      </rPr>
      <t xml:space="preserve">
</t>
    </r>
    <r>
      <rPr>
        <b/>
        <sz val="14"/>
        <rFont val="Times New Roman"/>
        <family val="1"/>
      </rPr>
      <t>Lương đợt 1</t>
    </r>
  </si>
  <si>
    <r>
      <rPr>
        <sz val="14"/>
        <rFont val="Times New Roman"/>
        <family val="1"/>
      </rPr>
      <t>បៀវត្សវគ្គ១</t>
    </r>
    <r>
      <rPr>
        <b/>
        <sz val="14"/>
        <rFont val="Times New Roman"/>
        <family val="1"/>
      </rPr>
      <t xml:space="preserve">
Lương đợt 2</t>
    </r>
  </si>
  <si>
    <t>សរុប
Tổng lương</t>
  </si>
  <si>
    <r>
      <rPr>
        <sz val="14"/>
        <rFont val="Times New Roman"/>
        <family val="1"/>
      </rPr>
      <t>បំណុល</t>
    </r>
    <r>
      <rPr>
        <b/>
        <sz val="14"/>
        <rFont val="Times New Roman"/>
        <family val="1"/>
      </rPr>
      <t xml:space="preserve">
Công nợ</t>
    </r>
  </si>
  <si>
    <t>សរុបបំណុល
Tổng nợ</t>
  </si>
  <si>
    <r>
      <rPr>
        <sz val="14"/>
        <color indexed="8"/>
        <rFont val="Khmer OS Muol Light"/>
      </rPr>
      <t>ត្រូវទទួល</t>
    </r>
    <r>
      <rPr>
        <b/>
        <sz val="14"/>
        <color indexed="8"/>
        <rFont val="Khmer OS Muol Light"/>
      </rPr>
      <t xml:space="preserve">
Thực nhận</t>
    </r>
  </si>
  <si>
    <r>
      <rPr>
        <sz val="14"/>
        <color indexed="8"/>
        <rFont val="Khmer OS Muol Light"/>
      </rPr>
      <t>ហត្ថលេខាទទួល</t>
    </r>
    <r>
      <rPr>
        <b/>
        <sz val="14"/>
        <color indexed="8"/>
        <rFont val="Khmer OS Muol Light"/>
      </rPr>
      <t xml:space="preserve">
KÝ NHẬN</t>
    </r>
  </si>
  <si>
    <r>
      <rPr>
        <sz val="12"/>
        <rFont val="Khmer OS Muol Light"/>
      </rPr>
      <t>កម្លាំង</t>
    </r>
    <r>
      <rPr>
        <b/>
        <sz val="12"/>
        <rFont val="Times New Roman"/>
        <family val="1"/>
      </rPr>
      <t xml:space="preserve">
Công </t>
    </r>
  </si>
  <si>
    <r>
      <rPr>
        <sz val="12"/>
        <color indexed="8"/>
        <rFont val="Khmer OS Muol Light"/>
      </rPr>
      <t>ជាប្រាក់</t>
    </r>
    <r>
      <rPr>
        <b/>
        <sz val="12"/>
        <color indexed="8"/>
        <rFont val="Khmer OS Muol Light"/>
      </rPr>
      <t xml:space="preserve">
Thành Tiền</t>
    </r>
  </si>
  <si>
    <r>
      <rPr>
        <sz val="14"/>
        <rFont val="Times New Roman"/>
        <family val="1"/>
      </rPr>
      <t>កម្លាំង</t>
    </r>
    <r>
      <rPr>
        <b/>
        <sz val="14"/>
        <rFont val="Times New Roman"/>
        <family val="1"/>
      </rPr>
      <t xml:space="preserve">
Công </t>
    </r>
  </si>
  <si>
    <r>
      <rPr>
        <sz val="14"/>
        <rFont val="Times New Roman"/>
        <family val="1"/>
      </rPr>
      <t>ជាប្រាក់</t>
    </r>
    <r>
      <rPr>
        <b/>
        <sz val="14"/>
        <rFont val="Times New Roman"/>
        <family val="1"/>
      </rPr>
      <t xml:space="preserve">
Thành Tiền</t>
    </r>
  </si>
  <si>
    <r>
      <rPr>
        <sz val="14"/>
        <rFont val="Times New Roman"/>
        <family val="1"/>
      </rPr>
      <t>ប្រាក់បៀវត្សបានទទួលវគ្គ១</t>
    </r>
    <r>
      <rPr>
        <b/>
        <sz val="14"/>
        <rFont val="Times New Roman"/>
        <family val="1"/>
      </rPr>
      <t>/Lương đã nhận đợt 1</t>
    </r>
  </si>
  <si>
    <r>
      <rPr>
        <sz val="14"/>
        <rFont val="Times New Roman"/>
        <family val="1"/>
      </rPr>
      <t>ពន្ធលើប្រាក់បៀវត្ស</t>
    </r>
    <r>
      <rPr>
        <b/>
        <sz val="14"/>
        <rFont val="Times New Roman"/>
        <family val="1"/>
      </rPr>
      <t xml:space="preserve">
TNCN</t>
    </r>
  </si>
  <si>
    <t>5=4*1</t>
  </si>
  <si>
    <t>9=7+8</t>
  </si>
  <si>
    <t>កំពង់ធំ, ថ្ងៃ (ngày)       ខែ (tháng)     ឆ្នាំ (năm)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</si>
</sst>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(* #,##0.00_);_(* \(#,##0.00\);_(* &quot;-&quot;??_);_(@_)"/>
    <numFmt numFmtId="171" formatCode="_-* #,##0.00_-;\-* #,##0.00_-;_-* &quot;-&quot;??_-;_-@_-"/>
    <numFmt numFmtId="176" formatCode="_-* #,##0.00\ _₫_-;\-* #,##0.00\ _₫_-;_-* &quot;-&quot;??\ _₫_-;_-@_-"/>
    <numFmt numFmtId="177" formatCode="mm/dd/yyyy"/>
    <numFmt numFmtId="178" formatCode="_-* #,##0.0_-;\-* #,##0.0_-;_-* &quot;-&quot;??_-;_-@_-"/>
    <numFmt numFmtId="179" formatCode="_-* #,##0_-;\-* #,##0_-;_-* &quot;-&quot;??_-;_-@_-"/>
    <numFmt numFmtId="180" formatCode="_-* #,##0.0_-;\-* #,##0.0_-;_-* &quot;-&quot;?_-;_-@_-"/>
    <numFmt numFmtId="181" formatCode="#,##0.0"/>
    <numFmt numFmtId="182" formatCode="_(* #,##0.0_);_(* \(#,##0.0\);_(* &quot;-&quot;??_);_(@_)"/>
    <numFmt numFmtId="183" formatCode="_(* #,##0_);_(* \(#,##0\);_(* &quot;-&quot;??_);_(@_)"/>
    <numFmt numFmtId="184" formatCode="#,##0.0000"/>
    <numFmt numFmtId="185" formatCode="_(* #,##0.0_);_(* \(#,##0.0\);_(* &quot;-&quot;?_);_(@_)"/>
    <numFmt numFmtId="186" formatCode="_-* #,##0.0000_-;\-* #,##0.0000_-;_-* &quot;-&quot;??_-;_-@_-"/>
    <numFmt numFmtId="187" formatCode="#,##0.000"/>
    <numFmt numFmtId="188" formatCode="_-* #,##0.000_-;\-* #,##0.000_-;_-* &quot;-&quot;??_-;_-@_-"/>
    <numFmt numFmtId="189" formatCode="[$-12000453]0"/>
    <numFmt numFmtId="190" formatCode="_(* #,##0.00_);_(* \(#,##0.00\);_(* &quot;-&quot;?_);_(@_)"/>
    <numFmt numFmtId="191" formatCode="_(* #,##0_);_(* \(#,##0\);_(* &quot;-&quot;?_);_(@_)"/>
    <numFmt numFmtId="192" formatCode="dd"/>
    <numFmt numFmtId="193" formatCode="_-* #,##0.0\ _₫_-;\-* #,##0.0\ _₫_-;_-* &quot;-&quot;?\ _₫_-;_-@_-"/>
    <numFmt numFmtId="194" formatCode="0.0"/>
  </numFmts>
  <fonts count="163">
    <font>
      <sz val="11"/>
      <color theme="1"/>
      <name val="Arial"/>
      <family val="2"/>
    </font>
    <font>
      <sz val="14"/>
      <name val="Times New Roman"/>
      <family val="1"/>
    </font>
    <font>
      <sz val="16"/>
      <name val="Times New Roman"/>
      <family val="1"/>
    </font>
    <font>
      <sz val="12"/>
      <name val="Times New Roman"/>
      <family val="1"/>
    </font>
    <font>
      <sz val="14"/>
      <name val="Khmer OS Muol Light"/>
    </font>
    <font>
      <b/>
      <sz val="14"/>
      <name val="Khmer OS Muol Light"/>
    </font>
    <font>
      <b/>
      <vertAlign val="superscript"/>
      <sz val="14"/>
      <name val="Times New Roman"/>
      <family val="1"/>
    </font>
    <font>
      <sz val="18"/>
      <name val="Khmer OS Muol Light"/>
    </font>
    <font>
      <b/>
      <sz val="18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b/>
      <vertAlign val="superscript"/>
      <sz val="14"/>
      <name val="Khmer OS Muol Light"/>
    </font>
    <font>
      <b/>
      <sz val="14"/>
      <color indexed="8"/>
      <name val="Khmer OS Muol Light"/>
    </font>
    <font>
      <b/>
      <sz val="12"/>
      <color indexed="8"/>
      <name val="Khmer OS Muol Light"/>
    </font>
    <font>
      <b/>
      <sz val="14"/>
      <color indexed="8"/>
      <name val="Times New Roman"/>
      <family val="1"/>
    </font>
    <font>
      <sz val="14"/>
      <name val="VNI-Times"/>
    </font>
    <font>
      <sz val="12"/>
      <name val="Khmer OS Muol Light"/>
    </font>
    <font>
      <sz val="12"/>
      <name val="Khmer OS Bokor"/>
    </font>
    <font>
      <vertAlign val="superscript"/>
      <sz val="12"/>
      <name val="Times New Roman"/>
      <family val="1"/>
    </font>
    <font>
      <vertAlign val="superscript"/>
      <sz val="14"/>
      <name val="Times New Roman"/>
      <family val="1"/>
    </font>
    <font>
      <b/>
      <u/>
      <sz val="14"/>
      <name val="Khmer OS Muol Light"/>
    </font>
    <font>
      <sz val="14"/>
      <name val="Khmer OS Bokor"/>
    </font>
    <font>
      <b/>
      <u/>
      <sz val="14"/>
      <name val="Times New Roman"/>
      <family val="1"/>
    </font>
    <font>
      <u/>
      <sz val="14"/>
      <name val="VNI-Times"/>
    </font>
    <font>
      <b/>
      <u/>
      <sz val="14"/>
      <name val="VNI-Times"/>
    </font>
    <font>
      <i/>
      <sz val="13"/>
      <name val="Times New Roman"/>
      <family val="1"/>
    </font>
    <font>
      <i/>
      <sz val="12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i/>
      <sz val="14"/>
      <name val="Times New Roman"/>
      <family val="1"/>
    </font>
    <font>
      <b/>
      <sz val="12"/>
      <name val="VNI-Times"/>
    </font>
    <font>
      <sz val="12"/>
      <name val="VNI-Times"/>
    </font>
    <font>
      <sz val="13"/>
      <name val="VNI-Times"/>
    </font>
    <font>
      <sz val="13"/>
      <name val="Khmer OS Muol Light"/>
    </font>
    <font>
      <sz val="13"/>
      <name val="Khmer OS Bokor"/>
    </font>
    <font>
      <b/>
      <vertAlign val="superscript"/>
      <sz val="13"/>
      <name val="Times New Roman"/>
      <family val="1"/>
    </font>
    <font>
      <vertAlign val="superscript"/>
      <sz val="13"/>
      <name val="Times New Roman"/>
      <family val="1"/>
    </font>
    <font>
      <i/>
      <sz val="12"/>
      <color indexed="8"/>
      <name val="Times New Roman"/>
      <family val="1"/>
    </font>
    <font>
      <i/>
      <sz val="14"/>
      <name val="Khmer OS Bokor"/>
    </font>
    <font>
      <b/>
      <sz val="13"/>
      <name val="Khmer OS Muol Light"/>
    </font>
    <font>
      <sz val="12"/>
      <name val="Khmer OS"/>
    </font>
    <font>
      <sz val="9"/>
      <name val="Times New Roman"/>
      <family val="1"/>
    </font>
    <font>
      <b/>
      <sz val="14"/>
      <name val="Khmer OS"/>
    </font>
    <font>
      <b/>
      <sz val="12"/>
      <name val="Khmer OS"/>
    </font>
    <font>
      <sz val="8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4"/>
      <name val="Khmer OS"/>
    </font>
    <font>
      <b/>
      <sz val="11"/>
      <name val="Times New Roman"/>
      <family val="1"/>
    </font>
    <font>
      <vertAlign val="superscript"/>
      <sz val="16"/>
      <name val="Times New Roman"/>
      <family val="1"/>
    </font>
    <font>
      <sz val="11"/>
      <color indexed="8"/>
      <name val="Times New Roman"/>
      <family val="1"/>
    </font>
    <font>
      <sz val="16"/>
      <color indexed="8"/>
      <name val="Times New Roman"/>
      <family val="1"/>
    </font>
    <font>
      <sz val="11"/>
      <color indexed="10"/>
      <name val="Times New Roman"/>
      <family val="1"/>
    </font>
    <font>
      <sz val="12"/>
      <color indexed="8"/>
      <name val="Times New Roman"/>
      <family val="1"/>
    </font>
    <font>
      <b/>
      <sz val="11"/>
      <color indexed="10"/>
      <name val="Times New Roman"/>
      <family val="1"/>
    </font>
    <font>
      <b/>
      <sz val="12"/>
      <color indexed="10"/>
      <name val="Times New Roman"/>
      <family val="1"/>
    </font>
    <font>
      <b/>
      <u/>
      <sz val="11"/>
      <name val="Times New Roman"/>
      <family val="1"/>
    </font>
    <font>
      <b/>
      <u/>
      <sz val="12"/>
      <name val="Times New Roman"/>
      <family val="1"/>
    </font>
    <font>
      <b/>
      <sz val="12"/>
      <color indexed="8"/>
      <name val="Times New Roman"/>
      <family val="1"/>
    </font>
    <font>
      <sz val="12"/>
      <color indexed="62"/>
      <name val="Times New Roman"/>
      <family val="1"/>
    </font>
    <font>
      <b/>
      <sz val="12"/>
      <color indexed="49"/>
      <name val="Times New Roman"/>
      <family val="1"/>
    </font>
    <font>
      <b/>
      <sz val="12"/>
      <color indexed="62"/>
      <name val="Times New Roman"/>
      <family val="1"/>
    </font>
    <font>
      <sz val="11"/>
      <color indexed="8"/>
      <name val="Arial"/>
      <family val="2"/>
    </font>
    <font>
      <sz val="14"/>
      <color indexed="8"/>
      <name val="Khmer OS Muol Light"/>
    </font>
    <font>
      <sz val="12"/>
      <color indexed="8"/>
      <name val="Khmer OS Muol Light"/>
    </font>
    <font>
      <sz val="12"/>
      <color indexed="8"/>
      <name val="Khmer OS"/>
    </font>
    <font>
      <b/>
      <sz val="12"/>
      <name val="Khmer OS Muol Light"/>
    </font>
    <font>
      <sz val="9"/>
      <color indexed="8"/>
      <name val="Khmer OS Muol Light"/>
    </font>
    <font>
      <b/>
      <sz val="9"/>
      <color indexed="8"/>
      <name val="Times New Roman"/>
      <family val="1"/>
    </font>
    <font>
      <i/>
      <sz val="12"/>
      <color indexed="8"/>
      <name val="Khmer OS"/>
    </font>
    <font>
      <u/>
      <sz val="14"/>
      <name val="Khmer OS Muol Light"/>
    </font>
    <font>
      <b/>
      <sz val="12"/>
      <name val="Khmer OS Bokor"/>
    </font>
    <font>
      <b/>
      <sz val="18"/>
      <name val="Khmer OS Muol Light"/>
    </font>
    <font>
      <b/>
      <sz val="16"/>
      <name val="Khmer OS"/>
    </font>
    <font>
      <i/>
      <sz val="12"/>
      <name val="Khmer OS"/>
    </font>
    <font>
      <b/>
      <sz val="11"/>
      <color indexed="10"/>
      <name val="Khmer OS"/>
    </font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13"/>
      <color theme="1"/>
      <name val="Arial"/>
      <family val="2"/>
      <scheme val="minor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Khmer OS"/>
    </font>
    <font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0"/>
      <name val="Times New Roman"/>
      <family val="1"/>
    </font>
    <font>
      <sz val="18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sz val="9"/>
      <color theme="1"/>
      <name val="Times New Roman"/>
      <family val="1"/>
    </font>
    <font>
      <b/>
      <sz val="14"/>
      <color theme="1"/>
      <name val="Khmer OS Muol Light"/>
    </font>
    <font>
      <b/>
      <sz val="14"/>
      <color theme="1"/>
      <name val="Khmer OS Bokor"/>
    </font>
    <font>
      <b/>
      <vertAlign val="superscript"/>
      <sz val="12"/>
      <color theme="1"/>
      <name val="Times New Roman"/>
      <family val="1"/>
    </font>
    <font>
      <sz val="18"/>
      <color theme="1"/>
      <name val="Khmer OS Muol Light"/>
    </font>
    <font>
      <b/>
      <sz val="18"/>
      <color theme="1"/>
      <name val="Times New Roman"/>
      <family val="1"/>
    </font>
    <font>
      <sz val="12"/>
      <color theme="1"/>
      <name val="Khmer OS"/>
    </font>
    <font>
      <b/>
      <vertAlign val="superscript"/>
      <sz val="14"/>
      <color theme="1"/>
      <name val="Times New Roman"/>
      <family val="1"/>
    </font>
    <font>
      <b/>
      <sz val="9"/>
      <color theme="1"/>
      <name val="Times New Roman"/>
      <family val="1"/>
    </font>
    <font>
      <sz val="14"/>
      <color theme="1"/>
      <name val="Khmer OS Muol Light"/>
    </font>
    <font>
      <b/>
      <i/>
      <sz val="14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sz val="14"/>
      <name val="Arial"/>
      <family val="2"/>
      <scheme val="minor"/>
    </font>
    <font>
      <sz val="14"/>
      <color theme="1"/>
      <name val="Arial"/>
      <family val="2"/>
    </font>
    <font>
      <b/>
      <u/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3"/>
      <color theme="1"/>
      <name val="Arial"/>
      <family val="2"/>
    </font>
    <font>
      <sz val="13"/>
      <name val="Arial"/>
      <family val="2"/>
      <scheme val="minor"/>
    </font>
    <font>
      <i/>
      <sz val="12"/>
      <color theme="1"/>
      <name val="Khmer OS Bokor"/>
    </font>
    <font>
      <sz val="12"/>
      <color theme="1"/>
      <name val="Khmer OS Battambang"/>
    </font>
    <font>
      <b/>
      <sz val="12"/>
      <color theme="1"/>
      <name val="Arial"/>
      <family val="2"/>
    </font>
    <font>
      <i/>
      <sz val="12"/>
      <color theme="1"/>
      <name val="Times New Roman"/>
      <family val="1"/>
    </font>
    <font>
      <i/>
      <sz val="14"/>
      <color theme="1"/>
      <name val="Times New Roman"/>
      <family val="1"/>
    </font>
    <font>
      <sz val="12"/>
      <color rgb="FFFF0000"/>
      <name val="Times New Roman"/>
      <family val="1"/>
    </font>
    <font>
      <i/>
      <sz val="12"/>
      <color rgb="FFFFFF00"/>
      <name val="Times New Roman"/>
      <family val="1"/>
    </font>
    <font>
      <sz val="11"/>
      <color theme="1"/>
      <name val="Khmer OS"/>
    </font>
    <font>
      <b/>
      <sz val="12"/>
      <color rgb="FFFF0000"/>
      <name val="Times New Roman"/>
      <family val="1"/>
    </font>
    <font>
      <b/>
      <sz val="14"/>
      <color rgb="FFFF0000"/>
      <name val="Times New Roman"/>
      <family val="1"/>
    </font>
    <font>
      <sz val="12"/>
      <color theme="0"/>
      <name val="Times New Roman"/>
      <family val="1"/>
    </font>
    <font>
      <sz val="14"/>
      <color theme="1"/>
      <name val="Khmer OS"/>
    </font>
    <font>
      <sz val="10"/>
      <color theme="1"/>
      <name val="Times New Roman"/>
      <family val="1"/>
    </font>
    <font>
      <sz val="14"/>
      <color theme="0"/>
      <name val="Khmer OS"/>
    </font>
    <font>
      <sz val="8"/>
      <color theme="1"/>
      <name val="Times New Roman"/>
      <family val="1"/>
    </font>
    <font>
      <sz val="9"/>
      <color theme="0"/>
      <name val="Times New Roman"/>
      <family val="1"/>
    </font>
    <font>
      <sz val="9"/>
      <color rgb="FFFF0000"/>
      <name val="Times New Roman"/>
      <family val="1"/>
    </font>
    <font>
      <sz val="14"/>
      <color rgb="FF002060"/>
      <name val="Times New Roman"/>
      <family val="1"/>
    </font>
    <font>
      <sz val="11"/>
      <color rgb="FF002060"/>
      <name val="Times New Roman"/>
      <family val="1"/>
    </font>
    <font>
      <b/>
      <sz val="11"/>
      <color theme="0"/>
      <name val="Times New Roman"/>
      <family val="1"/>
    </font>
    <font>
      <sz val="11"/>
      <color rgb="FFFF0000"/>
      <name val="Khmer OS"/>
    </font>
    <font>
      <sz val="16"/>
      <color theme="0"/>
      <name val="Times New Roman"/>
      <family val="1"/>
    </font>
    <font>
      <sz val="10"/>
      <color theme="1"/>
      <name val="Khmer OS"/>
    </font>
    <font>
      <sz val="12"/>
      <color rgb="FFFF0000"/>
      <name val="Khmer OS"/>
    </font>
    <font>
      <sz val="11"/>
      <color rgb="FFFF0000"/>
      <name val="Times New Roman"/>
      <family val="1"/>
    </font>
    <font>
      <sz val="11"/>
      <color rgb="FFFFFF00"/>
      <name val="Times New Roman"/>
      <family val="1"/>
    </font>
    <font>
      <b/>
      <sz val="11"/>
      <color rgb="FFFF0000"/>
      <name val="Times New Roman"/>
      <family val="1"/>
    </font>
    <font>
      <sz val="14"/>
      <color rgb="FFFF0000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0"/>
      <color theme="1"/>
      <name val="Times New Roman"/>
      <family val="1"/>
    </font>
    <font>
      <b/>
      <sz val="8"/>
      <color theme="1"/>
      <name val="Times New Roman"/>
      <family val="1"/>
    </font>
    <font>
      <sz val="13"/>
      <color theme="1"/>
      <name val="Khmer OS Muol Light"/>
    </font>
    <font>
      <sz val="13"/>
      <color rgb="FFFF0000"/>
      <name val="Khmer OS Muol Light"/>
    </font>
    <font>
      <sz val="14"/>
      <color theme="1"/>
      <name val="Khmer OS Muol"/>
    </font>
    <font>
      <sz val="12"/>
      <color theme="1"/>
      <name val="Khmer OS Muol"/>
    </font>
    <font>
      <sz val="13"/>
      <color theme="1"/>
      <name val="Khmer OS"/>
    </font>
    <font>
      <b/>
      <sz val="11"/>
      <color theme="1"/>
      <name val="Arial"/>
      <family val="2"/>
      <scheme val="minor"/>
    </font>
    <font>
      <sz val="13"/>
      <color theme="1"/>
      <name val="Times New Roman"/>
      <family val="1"/>
      <scheme val="major"/>
    </font>
    <font>
      <b/>
      <sz val="13"/>
      <color theme="1"/>
      <name val="Times New Roman"/>
      <family val="1"/>
      <scheme val="major"/>
    </font>
    <font>
      <b/>
      <sz val="12"/>
      <color theme="1"/>
      <name val="Khmer OS"/>
    </font>
    <font>
      <b/>
      <sz val="14"/>
      <color theme="1"/>
      <name val="Times New Roman"/>
      <family val="1"/>
      <scheme val="major"/>
    </font>
    <font>
      <b/>
      <sz val="11"/>
      <color theme="1"/>
      <name val="Khmer OS"/>
    </font>
    <font>
      <sz val="11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u/>
      <sz val="12"/>
      <color theme="1"/>
      <name val="Times New Roman"/>
      <family val="1"/>
    </font>
    <font>
      <b/>
      <sz val="13"/>
      <color theme="1"/>
      <name val="Khmer OS Muol Light"/>
    </font>
    <font>
      <i/>
      <sz val="16"/>
      <color theme="1"/>
      <name val="Khmer OS Bokor"/>
    </font>
    <font>
      <b/>
      <sz val="16"/>
      <color theme="1"/>
      <name val="Khmer OS Muol Light"/>
    </font>
    <font>
      <b/>
      <sz val="12"/>
      <color theme="1"/>
      <name val="Khmer OS Muol Light"/>
    </font>
  </fonts>
  <fills count="2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indexed="64"/>
      </patternFill>
    </fill>
  </fills>
  <borders count="10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double">
        <color indexed="64"/>
      </right>
      <top style="dotted">
        <color indexed="64"/>
      </top>
      <bottom/>
      <diagonal/>
    </border>
    <border>
      <left style="double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/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</borders>
  <cellStyleXfs count="9">
    <xf numFmtId="0" fontId="0" fillId="0" borderId="0"/>
    <xf numFmtId="171" fontId="63" fillId="0" borderId="0" applyFont="0" applyFill="0" applyBorder="0" applyAlignment="0" applyProtection="0"/>
    <xf numFmtId="43" fontId="32" fillId="0" borderId="0" applyFont="0" applyFill="0" applyBorder="0" applyAlignment="0" applyProtection="0"/>
    <xf numFmtId="176" fontId="63" fillId="0" borderId="0" applyFont="0" applyFill="0" applyBorder="0" applyAlignment="0" applyProtection="0"/>
    <xf numFmtId="0" fontId="77" fillId="0" borderId="0"/>
    <xf numFmtId="0" fontId="78" fillId="0" borderId="0"/>
    <xf numFmtId="0" fontId="63" fillId="0" borderId="0"/>
    <xf numFmtId="0" fontId="32" fillId="0" borderId="0"/>
    <xf numFmtId="0" fontId="79" fillId="0" borderId="0"/>
  </cellStyleXfs>
  <cellXfs count="1547">
    <xf numFmtId="0" fontId="0" fillId="0" borderId="0" xfId="0"/>
    <xf numFmtId="0" fontId="1" fillId="0" borderId="0" xfId="0" applyFont="1" applyFill="1" applyProtection="1">
      <protection locked="0"/>
    </xf>
    <xf numFmtId="0" fontId="2" fillId="0" borderId="0" xfId="0" applyFont="1" applyFill="1" applyProtection="1">
      <protection locked="0"/>
    </xf>
    <xf numFmtId="0" fontId="3" fillId="0" borderId="0" xfId="0" applyFont="1" applyFill="1" applyProtection="1">
      <protection locked="0"/>
    </xf>
    <xf numFmtId="0" fontId="1" fillId="0" borderId="0" xfId="0" applyFont="1" applyFill="1" applyBorder="1" applyProtection="1">
      <protection locked="0"/>
    </xf>
    <xf numFmtId="0" fontId="3" fillId="0" borderId="0" xfId="0" applyFont="1" applyFill="1" applyBorder="1" applyProtection="1">
      <protection locked="0"/>
    </xf>
    <xf numFmtId="0" fontId="2" fillId="0" borderId="0" xfId="0" applyFont="1" applyFill="1" applyAlignment="1" applyProtection="1">
      <alignment vertical="center"/>
      <protection locked="0"/>
    </xf>
    <xf numFmtId="0" fontId="2" fillId="0" borderId="0" xfId="0" applyFont="1" applyFill="1" applyAlignment="1" applyProtection="1">
      <protection locked="0"/>
    </xf>
    <xf numFmtId="0" fontId="80" fillId="0" borderId="0" xfId="0" applyFont="1" applyFill="1"/>
    <xf numFmtId="0" fontId="78" fillId="0" borderId="0" xfId="0" applyFont="1" applyFill="1"/>
    <xf numFmtId="177" fontId="78" fillId="0" borderId="0" xfId="0" applyNumberFormat="1" applyFont="1" applyFill="1"/>
    <xf numFmtId="1" fontId="78" fillId="0" borderId="0" xfId="1" applyNumberFormat="1" applyFont="1" applyFill="1"/>
    <xf numFmtId="178" fontId="78" fillId="0" borderId="0" xfId="1" applyNumberFormat="1" applyFont="1" applyFill="1"/>
    <xf numFmtId="0" fontId="4" fillId="0" borderId="0" xfId="0" applyFont="1" applyFill="1" applyAlignment="1" applyProtection="1">
      <alignment horizontal="center"/>
      <protection locked="0"/>
    </xf>
    <xf numFmtId="0" fontId="5" fillId="0" borderId="0" xfId="0" applyFont="1" applyFill="1" applyAlignment="1" applyProtection="1">
      <alignment horizontal="center"/>
      <protection locked="0"/>
    </xf>
    <xf numFmtId="0" fontId="6" fillId="0" borderId="0" xfId="0" applyFont="1" applyFill="1" applyAlignment="1" applyProtection="1">
      <protection locked="0"/>
    </xf>
    <xf numFmtId="0" fontId="7" fillId="0" borderId="0" xfId="0" applyFont="1" applyFill="1" applyAlignment="1" applyProtection="1">
      <alignment horizontal="center" vertical="center"/>
      <protection locked="0"/>
    </xf>
    <xf numFmtId="0" fontId="8" fillId="0" borderId="0" xfId="0" applyFont="1" applyFill="1" applyAlignment="1" applyProtection="1">
      <alignment horizontal="center"/>
      <protection locked="0"/>
    </xf>
    <xf numFmtId="0" fontId="9" fillId="0" borderId="0" xfId="0" applyFont="1" applyFill="1" applyAlignment="1" applyProtection="1">
      <alignment horizontal="center"/>
      <protection locked="0"/>
    </xf>
    <xf numFmtId="177" fontId="9" fillId="0" borderId="0" xfId="0" applyNumberFormat="1" applyFont="1" applyFill="1" applyAlignment="1" applyProtection="1">
      <alignment horizontal="center"/>
      <protection locked="0"/>
    </xf>
    <xf numFmtId="1" fontId="9" fillId="0" borderId="0" xfId="1" applyNumberFormat="1" applyFont="1" applyFill="1" applyAlignment="1" applyProtection="1">
      <alignment horizontal="center"/>
      <protection locked="0"/>
    </xf>
    <xf numFmtId="177" fontId="3" fillId="0" borderId="0" xfId="0" applyNumberFormat="1" applyFont="1" applyFill="1" applyProtection="1">
      <protection locked="0"/>
    </xf>
    <xf numFmtId="1" fontId="3" fillId="0" borderId="0" xfId="1" applyNumberFormat="1" applyFont="1" applyFill="1" applyProtection="1">
      <protection locked="0"/>
    </xf>
    <xf numFmtId="0" fontId="10" fillId="0" borderId="1" xfId="0" applyFont="1" applyFill="1" applyBorder="1" applyAlignment="1" applyProtection="1">
      <alignment horizontal="center" vertical="center" wrapText="1"/>
      <protection locked="0"/>
    </xf>
    <xf numFmtId="0" fontId="9" fillId="0" borderId="2" xfId="0" applyFont="1" applyFill="1" applyBorder="1" applyAlignment="1" applyProtection="1">
      <alignment horizontal="center" vertical="center"/>
      <protection locked="0"/>
    </xf>
    <xf numFmtId="177" fontId="9" fillId="0" borderId="3" xfId="0" applyNumberFormat="1" applyFont="1" applyFill="1" applyBorder="1" applyAlignment="1" applyProtection="1">
      <alignment horizontal="center" vertical="center"/>
      <protection locked="0"/>
    </xf>
    <xf numFmtId="1" fontId="9" fillId="0" borderId="3" xfId="1" applyNumberFormat="1" applyFont="1" applyFill="1" applyBorder="1" applyAlignment="1" applyProtection="1">
      <alignment horizontal="center" vertical="center"/>
      <protection locked="0"/>
    </xf>
    <xf numFmtId="0" fontId="9" fillId="0" borderId="3" xfId="0" applyFont="1" applyFill="1" applyBorder="1" applyAlignment="1" applyProtection="1">
      <alignment horizontal="center" vertical="center"/>
      <protection locked="0"/>
    </xf>
    <xf numFmtId="0" fontId="11" fillId="0" borderId="3" xfId="0" applyFont="1" applyFill="1" applyBorder="1" applyAlignment="1" applyProtection="1">
      <alignment horizontal="center" vertical="center"/>
      <protection locked="0"/>
    </xf>
    <xf numFmtId="0" fontId="81" fillId="0" borderId="3" xfId="0" applyFont="1" applyFill="1" applyBorder="1" applyAlignment="1" applyProtection="1">
      <alignment horizontal="center" vertical="center" wrapText="1"/>
      <protection locked="0"/>
    </xf>
    <xf numFmtId="0" fontId="11" fillId="0" borderId="4" xfId="0" applyFont="1" applyFill="1" applyBorder="1" applyAlignment="1" applyProtection="1">
      <alignment horizontal="center" vertical="center"/>
      <protection locked="0"/>
    </xf>
    <xf numFmtId="0" fontId="81" fillId="0" borderId="4" xfId="0" applyFont="1" applyFill="1" applyBorder="1" applyAlignment="1" applyProtection="1">
      <alignment horizontal="center" vertical="center" wrapText="1"/>
      <protection locked="0"/>
    </xf>
    <xf numFmtId="0" fontId="1" fillId="0" borderId="5" xfId="0" applyFont="1" applyFill="1" applyBorder="1" applyAlignment="1" applyProtection="1">
      <alignment horizontal="center" vertical="center"/>
      <protection locked="0"/>
    </xf>
    <xf numFmtId="0" fontId="82" fillId="0" borderId="6" xfId="0" applyFont="1" applyFill="1" applyBorder="1" applyAlignment="1" applyProtection="1">
      <alignment horizontal="left" vertical="center"/>
      <protection locked="0"/>
    </xf>
    <xf numFmtId="1" fontId="82" fillId="0" borderId="6" xfId="1" applyNumberFormat="1" applyFont="1" applyFill="1" applyBorder="1" applyAlignment="1" applyProtection="1">
      <alignment horizontal="left" vertical="center"/>
      <protection locked="0"/>
    </xf>
    <xf numFmtId="14" fontId="82" fillId="0" borderId="6" xfId="0" applyNumberFormat="1" applyFont="1" applyFill="1" applyBorder="1" applyAlignment="1" applyProtection="1">
      <alignment horizontal="left" vertical="center"/>
      <protection locked="0"/>
    </xf>
    <xf numFmtId="14" fontId="81" fillId="0" borderId="6" xfId="0" applyNumberFormat="1" applyFont="1" applyFill="1" applyBorder="1" applyAlignment="1" applyProtection="1">
      <alignment horizontal="left" vertical="center"/>
      <protection locked="0"/>
    </xf>
    <xf numFmtId="0" fontId="81" fillId="0" borderId="6" xfId="0" applyFont="1" applyFill="1" applyBorder="1" applyAlignment="1" applyProtection="1">
      <alignment horizontal="center" vertical="center"/>
      <protection locked="0"/>
    </xf>
    <xf numFmtId="3" fontId="2" fillId="0" borderId="6" xfId="0" applyNumberFormat="1" applyFont="1" applyFill="1" applyBorder="1" applyAlignment="1" applyProtection="1">
      <alignment vertical="center"/>
      <protection locked="0"/>
    </xf>
    <xf numFmtId="0" fontId="83" fillId="0" borderId="6" xfId="0" applyFont="1" applyFill="1" applyBorder="1" applyAlignment="1" applyProtection="1">
      <alignment horizontal="center" vertical="center"/>
      <protection locked="0"/>
    </xf>
    <xf numFmtId="177" fontId="81" fillId="0" borderId="6" xfId="0" applyNumberFormat="1" applyFont="1" applyFill="1" applyBorder="1" applyAlignment="1" applyProtection="1">
      <alignment horizontal="center" vertical="center"/>
      <protection locked="0"/>
    </xf>
    <xf numFmtId="178" fontId="4" fillId="0" borderId="0" xfId="1" applyNumberFormat="1" applyFont="1" applyFill="1" applyProtection="1">
      <protection locked="0"/>
    </xf>
    <xf numFmtId="0" fontId="4" fillId="0" borderId="0" xfId="0" applyFont="1" applyFill="1" applyProtection="1"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178" fontId="4" fillId="0" borderId="0" xfId="1" applyNumberFormat="1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protection locked="0"/>
    </xf>
    <xf numFmtId="178" fontId="1" fillId="0" borderId="0" xfId="1" applyNumberFormat="1" applyFont="1" applyFill="1" applyAlignment="1" applyProtection="1">
      <alignment horizontal="center"/>
      <protection locked="0"/>
    </xf>
    <xf numFmtId="0" fontId="1" fillId="0" borderId="0" xfId="0" applyFont="1" applyFill="1" applyAlignment="1" applyProtection="1">
      <alignment horizontal="center"/>
      <protection locked="0"/>
    </xf>
    <xf numFmtId="0" fontId="10" fillId="0" borderId="0" xfId="0" applyFont="1" applyFill="1" applyAlignment="1" applyProtection="1">
      <alignment horizontal="center"/>
      <protection locked="0"/>
    </xf>
    <xf numFmtId="0" fontId="6" fillId="0" borderId="0" xfId="0" applyFont="1" applyFill="1" applyAlignment="1" applyProtection="1">
      <alignment horizontal="center"/>
      <protection locked="0"/>
    </xf>
    <xf numFmtId="178" fontId="9" fillId="0" borderId="0" xfId="1" applyNumberFormat="1" applyFont="1" applyFill="1" applyAlignment="1" applyProtection="1">
      <alignment horizontal="center"/>
      <protection locked="0"/>
    </xf>
    <xf numFmtId="178" fontId="3" fillId="0" borderId="0" xfId="1" applyNumberFormat="1" applyFont="1" applyFill="1" applyProtection="1">
      <protection locked="0"/>
    </xf>
    <xf numFmtId="0" fontId="9" fillId="0" borderId="3" xfId="0" applyFont="1" applyFill="1" applyBorder="1" applyAlignment="1" applyProtection="1">
      <alignment horizontal="center" vertical="center" wrapText="1"/>
      <protection locked="0"/>
    </xf>
    <xf numFmtId="0" fontId="14" fillId="0" borderId="3" xfId="0" applyFont="1" applyFill="1" applyBorder="1" applyAlignment="1" applyProtection="1">
      <alignment horizontal="center" vertical="center" wrapText="1"/>
      <protection locked="0"/>
    </xf>
    <xf numFmtId="0" fontId="10" fillId="0" borderId="3" xfId="0" applyFont="1" applyFill="1" applyBorder="1" applyAlignment="1" applyProtection="1">
      <alignment horizontal="center" vertical="center" wrapText="1"/>
      <protection locked="0"/>
    </xf>
    <xf numFmtId="178" fontId="81" fillId="0" borderId="3" xfId="1" applyNumberFormat="1" applyFont="1" applyFill="1" applyBorder="1" applyAlignment="1" applyProtection="1">
      <alignment horizontal="center" vertical="center" wrapText="1"/>
      <protection locked="0"/>
    </xf>
    <xf numFmtId="0" fontId="81" fillId="0" borderId="3" xfId="0" applyFont="1" applyFill="1" applyBorder="1" applyAlignment="1" applyProtection="1">
      <alignment horizontal="center" vertical="center"/>
      <protection locked="0"/>
    </xf>
    <xf numFmtId="178" fontId="81" fillId="0" borderId="4" xfId="1" applyNumberFormat="1" applyFont="1" applyFill="1" applyBorder="1" applyAlignment="1" applyProtection="1">
      <alignment horizontal="center" vertical="center" wrapText="1"/>
      <protection locked="0"/>
    </xf>
    <xf numFmtId="0" fontId="81" fillId="0" borderId="4" xfId="0" applyFont="1" applyFill="1" applyBorder="1" applyAlignment="1" applyProtection="1">
      <alignment horizontal="center" vertical="center"/>
      <protection locked="0"/>
    </xf>
    <xf numFmtId="171" fontId="2" fillId="0" borderId="6" xfId="1" applyFont="1" applyFill="1" applyBorder="1" applyAlignment="1" applyProtection="1">
      <alignment horizontal="right" vertical="center"/>
      <protection locked="0"/>
    </xf>
    <xf numFmtId="178" fontId="2" fillId="0" borderId="6" xfId="1" applyNumberFormat="1" applyFont="1" applyFill="1" applyBorder="1" applyAlignment="1" applyProtection="1">
      <alignment vertical="center"/>
      <protection locked="0"/>
    </xf>
    <xf numFmtId="179" fontId="2" fillId="0" borderId="6" xfId="2" applyNumberFormat="1" applyFont="1" applyFill="1" applyBorder="1" applyAlignment="1" applyProtection="1">
      <alignment horizontal="right" vertical="center"/>
      <protection locked="0"/>
    </xf>
    <xf numFmtId="179" fontId="2" fillId="0" borderId="6" xfId="2" applyNumberFormat="1" applyFont="1" applyFill="1" applyBorder="1" applyAlignment="1" applyProtection="1">
      <alignment horizontal="right" vertical="center" shrinkToFit="1"/>
      <protection locked="0"/>
    </xf>
    <xf numFmtId="178" fontId="2" fillId="0" borderId="6" xfId="1" applyNumberFormat="1" applyFont="1" applyFill="1" applyBorder="1" applyAlignment="1" applyProtection="1">
      <alignment horizontal="right" vertical="center"/>
      <protection locked="0"/>
    </xf>
    <xf numFmtId="179" fontId="2" fillId="0" borderId="6" xfId="0" applyNumberFormat="1" applyFont="1" applyFill="1" applyBorder="1" applyAlignment="1" applyProtection="1">
      <alignment vertical="center"/>
      <protection locked="0"/>
    </xf>
    <xf numFmtId="179" fontId="2" fillId="0" borderId="6" xfId="0" applyNumberFormat="1" applyFont="1" applyFill="1" applyBorder="1" applyAlignment="1" applyProtection="1">
      <alignment horizontal="right" vertical="center"/>
      <protection locked="0"/>
    </xf>
    <xf numFmtId="179" fontId="2" fillId="0" borderId="6" xfId="1" applyNumberFormat="1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Fill="1" applyAlignment="1" applyProtection="1">
      <alignment horizontal="center"/>
      <protection locked="0"/>
    </xf>
    <xf numFmtId="178" fontId="6" fillId="0" borderId="0" xfId="1" applyNumberFormat="1" applyFont="1" applyFill="1" applyAlignment="1" applyProtection="1">
      <alignment horizontal="center"/>
      <protection locked="0"/>
    </xf>
    <xf numFmtId="171" fontId="6" fillId="0" borderId="0" xfId="1" applyFont="1" applyFill="1" applyAlignment="1" applyProtection="1">
      <alignment horizontal="center"/>
      <protection locked="0"/>
    </xf>
    <xf numFmtId="171" fontId="9" fillId="0" borderId="0" xfId="1" applyFont="1" applyFill="1" applyAlignment="1" applyProtection="1">
      <alignment horizontal="center"/>
      <protection locked="0"/>
    </xf>
    <xf numFmtId="178" fontId="3" fillId="0" borderId="7" xfId="1" applyNumberFormat="1" applyFont="1" applyFill="1" applyBorder="1" applyAlignment="1" applyProtection="1">
      <protection locked="0"/>
    </xf>
    <xf numFmtId="171" fontId="3" fillId="0" borderId="7" xfId="1" applyFont="1" applyFill="1" applyBorder="1" applyAlignment="1" applyProtection="1">
      <alignment horizontal="center"/>
      <protection locked="0"/>
    </xf>
    <xf numFmtId="171" fontId="3" fillId="0" borderId="0" xfId="1" applyFont="1" applyFill="1" applyBorder="1" applyAlignment="1" applyProtection="1">
      <alignment horizontal="center"/>
      <protection locked="0"/>
    </xf>
    <xf numFmtId="171" fontId="13" fillId="0" borderId="0" xfId="1" applyFont="1" applyFill="1" applyBorder="1" applyAlignment="1" applyProtection="1">
      <alignment horizontal="center" vertical="center" wrapText="1"/>
      <protection locked="0"/>
    </xf>
    <xf numFmtId="171" fontId="13" fillId="0" borderId="0" xfId="1" applyFont="1" applyFill="1" applyBorder="1" applyAlignment="1" applyProtection="1">
      <alignment horizontal="center" vertical="center"/>
      <protection locked="0"/>
    </xf>
    <xf numFmtId="171" fontId="81" fillId="0" borderId="8" xfId="1" applyFont="1" applyFill="1" applyBorder="1" applyAlignment="1" applyProtection="1">
      <alignment horizontal="center" vertical="center"/>
      <protection locked="0"/>
    </xf>
    <xf numFmtId="171" fontId="81" fillId="0" borderId="0" xfId="1" applyFont="1" applyFill="1" applyBorder="1" applyAlignment="1" applyProtection="1">
      <alignment horizontal="center" vertical="center"/>
      <protection locked="0"/>
    </xf>
    <xf numFmtId="171" fontId="81" fillId="0" borderId="9" xfId="1" applyFont="1" applyFill="1" applyBorder="1" applyAlignment="1" applyProtection="1">
      <alignment horizontal="center" vertical="center"/>
      <protection locked="0"/>
    </xf>
    <xf numFmtId="171" fontId="2" fillId="0" borderId="10" xfId="1" applyFont="1" applyFill="1" applyBorder="1" applyAlignment="1" applyProtection="1">
      <alignment vertical="center"/>
      <protection locked="0"/>
    </xf>
    <xf numFmtId="171" fontId="2" fillId="0" borderId="0" xfId="1" applyFont="1" applyFill="1" applyBorder="1" applyAlignment="1" applyProtection="1">
      <alignment vertical="center"/>
      <protection locked="0"/>
    </xf>
    <xf numFmtId="180" fontId="2" fillId="0" borderId="0" xfId="0" applyNumberFormat="1" applyFont="1" applyFill="1" applyAlignment="1" applyProtection="1">
      <alignment vertical="center"/>
      <protection locked="0"/>
    </xf>
    <xf numFmtId="0" fontId="81" fillId="0" borderId="11" xfId="0" applyFont="1" applyFill="1" applyBorder="1" applyAlignment="1" applyProtection="1">
      <alignment horizontal="center"/>
      <protection locked="0"/>
    </xf>
    <xf numFmtId="177" fontId="81" fillId="0" borderId="1" xfId="0" applyNumberFormat="1" applyFont="1" applyFill="1" applyBorder="1" applyAlignment="1" applyProtection="1">
      <alignment horizontal="center"/>
      <protection locked="0"/>
    </xf>
    <xf numFmtId="1" fontId="81" fillId="0" borderId="1" xfId="1" applyNumberFormat="1" applyFont="1" applyFill="1" applyBorder="1" applyAlignment="1" applyProtection="1">
      <alignment horizontal="center"/>
      <protection locked="0"/>
    </xf>
    <xf numFmtId="0" fontId="81" fillId="0" borderId="1" xfId="0" applyFont="1" applyFill="1" applyBorder="1" applyAlignment="1" applyProtection="1">
      <alignment horizontal="center"/>
      <protection locked="0"/>
    </xf>
    <xf numFmtId="0" fontId="81" fillId="0" borderId="1" xfId="0" applyFont="1" applyFill="1" applyBorder="1" applyAlignment="1" applyProtection="1">
      <alignment horizontal="left" wrapText="1"/>
      <protection locked="0"/>
    </xf>
    <xf numFmtId="181" fontId="2" fillId="0" borderId="1" xfId="0" applyNumberFormat="1" applyFont="1" applyFill="1" applyBorder="1" applyAlignment="1" applyProtection="1">
      <protection locked="0"/>
    </xf>
    <xf numFmtId="0" fontId="84" fillId="0" borderId="12" xfId="0" applyFont="1" applyFill="1" applyBorder="1" applyAlignment="1">
      <alignment horizontal="center"/>
    </xf>
    <xf numFmtId="0" fontId="81" fillId="0" borderId="12" xfId="0" applyFont="1" applyFill="1" applyBorder="1"/>
    <xf numFmtId="0" fontId="85" fillId="0" borderId="0" xfId="0" applyFont="1" applyFill="1" applyBorder="1" applyAlignment="1" applyProtection="1">
      <protection locked="0"/>
    </xf>
    <xf numFmtId="177" fontId="85" fillId="0" borderId="0" xfId="0" applyNumberFormat="1" applyFont="1" applyFill="1" applyBorder="1" applyAlignment="1" applyProtection="1">
      <protection locked="0"/>
    </xf>
    <xf numFmtId="1" fontId="85" fillId="0" borderId="0" xfId="1" applyNumberFormat="1" applyFont="1" applyFill="1" applyBorder="1" applyAlignment="1" applyProtection="1">
      <protection locked="0"/>
    </xf>
    <xf numFmtId="0" fontId="86" fillId="0" borderId="0" xfId="0" applyFont="1" applyFill="1" applyBorder="1" applyAlignment="1" applyProtection="1">
      <alignment horizontal="center"/>
      <protection locked="0"/>
    </xf>
    <xf numFmtId="0" fontId="10" fillId="0" borderId="0" xfId="0" applyFont="1" applyFill="1" applyAlignment="1">
      <alignment horizontal="center"/>
    </xf>
    <xf numFmtId="177" fontId="80" fillId="0" borderId="0" xfId="0" applyNumberFormat="1" applyFont="1" applyFill="1"/>
    <xf numFmtId="1" fontId="80" fillId="0" borderId="0" xfId="1" applyNumberFormat="1" applyFont="1" applyFill="1"/>
    <xf numFmtId="0" fontId="86" fillId="0" borderId="0" xfId="0" applyFont="1" applyFill="1" applyAlignment="1">
      <alignment horizontal="center"/>
    </xf>
    <xf numFmtId="4" fontId="2" fillId="0" borderId="1" xfId="2" applyNumberFormat="1" applyFont="1" applyFill="1" applyBorder="1" applyAlignment="1" applyProtection="1">
      <alignment horizontal="right" vertical="center"/>
      <protection locked="0"/>
    </xf>
    <xf numFmtId="178" fontId="2" fillId="0" borderId="1" xfId="1" applyNumberFormat="1" applyFont="1" applyFill="1" applyBorder="1" applyAlignment="1" applyProtection="1">
      <protection locked="0"/>
    </xf>
    <xf numFmtId="179" fontId="2" fillId="0" borderId="1" xfId="2" applyNumberFormat="1" applyFont="1" applyFill="1" applyBorder="1" applyAlignment="1" applyProtection="1">
      <alignment horizontal="right"/>
      <protection locked="0"/>
    </xf>
    <xf numFmtId="179" fontId="2" fillId="0" borderId="1" xfId="2" applyNumberFormat="1" applyFont="1" applyFill="1" applyBorder="1" applyAlignment="1" applyProtection="1">
      <alignment horizontal="right" shrinkToFit="1"/>
      <protection locked="0"/>
    </xf>
    <xf numFmtId="178" fontId="2" fillId="0" borderId="1" xfId="1" applyNumberFormat="1" applyFont="1" applyFill="1" applyBorder="1" applyAlignment="1" applyProtection="1">
      <alignment horizontal="right"/>
      <protection locked="0"/>
    </xf>
    <xf numFmtId="179" fontId="2" fillId="0" borderId="1" xfId="0" applyNumberFormat="1" applyFont="1" applyFill="1" applyBorder="1" applyAlignment="1" applyProtection="1">
      <protection locked="0"/>
    </xf>
    <xf numFmtId="179" fontId="2" fillId="0" borderId="1" xfId="0" applyNumberFormat="1" applyFont="1" applyFill="1" applyBorder="1" applyAlignment="1" applyProtection="1">
      <alignment horizontal="right"/>
      <protection locked="0"/>
    </xf>
    <xf numFmtId="179" fontId="2" fillId="0" borderId="1" xfId="1" applyNumberFormat="1" applyFont="1" applyFill="1" applyBorder="1" applyAlignment="1" applyProtection="1">
      <alignment horizontal="center" wrapText="1"/>
      <protection locked="0"/>
    </xf>
    <xf numFmtId="4" fontId="84" fillId="0" borderId="12" xfId="0" applyNumberFormat="1" applyFont="1" applyFill="1" applyBorder="1"/>
    <xf numFmtId="181" fontId="84" fillId="0" borderId="12" xfId="0" applyNumberFormat="1" applyFont="1" applyFill="1" applyBorder="1"/>
    <xf numFmtId="171" fontId="87" fillId="0" borderId="0" xfId="0" applyNumberFormat="1" applyFont="1" applyFill="1"/>
    <xf numFmtId="0" fontId="1" fillId="0" borderId="0" xfId="0" applyFont="1" applyFill="1" applyAlignment="1">
      <alignment horizontal="center" vertical="center"/>
    </xf>
    <xf numFmtId="178" fontId="80" fillId="0" borderId="0" xfId="1" applyNumberFormat="1" applyFont="1" applyFill="1"/>
    <xf numFmtId="171" fontId="2" fillId="0" borderId="13" xfId="1" applyFont="1" applyFill="1" applyBorder="1" applyAlignment="1" applyProtection="1">
      <protection locked="0"/>
    </xf>
    <xf numFmtId="171" fontId="2" fillId="0" borderId="0" xfId="1" applyFont="1" applyFill="1" applyBorder="1" applyAlignment="1" applyProtection="1">
      <protection locked="0"/>
    </xf>
    <xf numFmtId="4" fontId="78" fillId="0" borderId="0" xfId="0" applyNumberFormat="1" applyFont="1" applyFill="1"/>
    <xf numFmtId="43" fontId="78" fillId="0" borderId="0" xfId="0" applyNumberFormat="1" applyFont="1" applyFill="1"/>
    <xf numFmtId="0" fontId="5" fillId="0" borderId="0" xfId="0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86" fillId="0" borderId="0" xfId="0" applyFont="1" applyFill="1" applyProtection="1">
      <protection locked="0"/>
    </xf>
    <xf numFmtId="0" fontId="80" fillId="0" borderId="0" xfId="0" applyFont="1" applyFill="1" applyProtection="1">
      <protection locked="0"/>
    </xf>
    <xf numFmtId="0" fontId="88" fillId="0" borderId="0" xfId="0" applyFont="1" applyFill="1" applyProtection="1">
      <protection locked="0"/>
    </xf>
    <xf numFmtId="0" fontId="89" fillId="0" borderId="0" xfId="0" applyFont="1" applyFill="1" applyAlignment="1" applyProtection="1">
      <alignment horizontal="center"/>
      <protection locked="0"/>
    </xf>
    <xf numFmtId="0" fontId="90" fillId="0" borderId="0" xfId="0" applyFont="1" applyFill="1" applyAlignment="1" applyProtection="1">
      <protection locked="0"/>
    </xf>
    <xf numFmtId="0" fontId="90" fillId="0" borderId="0" xfId="0" applyFont="1" applyFill="1" applyProtection="1">
      <protection locked="0"/>
    </xf>
    <xf numFmtId="0" fontId="88" fillId="0" borderId="0" xfId="0" applyFont="1" applyFill="1" applyBorder="1" applyAlignment="1" applyProtection="1">
      <alignment vertical="center"/>
      <protection locked="0"/>
    </xf>
    <xf numFmtId="0" fontId="78" fillId="0" borderId="0" xfId="0" applyFont="1" applyFill="1" applyBorder="1" applyAlignment="1" applyProtection="1">
      <protection locked="0"/>
    </xf>
    <xf numFmtId="0" fontId="91" fillId="0" borderId="0" xfId="0" applyFont="1" applyFill="1"/>
    <xf numFmtId="0" fontId="90" fillId="0" borderId="0" xfId="0" applyFont="1" applyFill="1" applyAlignment="1"/>
    <xf numFmtId="0" fontId="84" fillId="0" borderId="0" xfId="0" applyFont="1" applyFill="1"/>
    <xf numFmtId="0" fontId="81" fillId="0" borderId="0" xfId="0" applyFont="1" applyFill="1"/>
    <xf numFmtId="0" fontId="90" fillId="0" borderId="0" xfId="0" applyFont="1" applyFill="1"/>
    <xf numFmtId="1" fontId="90" fillId="0" borderId="0" xfId="0" applyNumberFormat="1" applyFont="1" applyFill="1"/>
    <xf numFmtId="171" fontId="90" fillId="0" borderId="0" xfId="1" applyFont="1" applyFill="1"/>
    <xf numFmtId="178" fontId="90" fillId="0" borderId="0" xfId="1" applyNumberFormat="1" applyFont="1" applyFill="1"/>
    <xf numFmtId="179" fontId="90" fillId="0" borderId="0" xfId="1" applyNumberFormat="1" applyFont="1" applyFill="1"/>
    <xf numFmtId="0" fontId="92" fillId="0" borderId="0" xfId="0" applyFont="1" applyFill="1"/>
    <xf numFmtId="171" fontId="92" fillId="0" borderId="0" xfId="1" applyFont="1" applyFill="1"/>
    <xf numFmtId="0" fontId="93" fillId="0" borderId="0" xfId="0" applyFont="1" applyFill="1" applyAlignment="1" applyProtection="1">
      <alignment horizontal="center"/>
      <protection locked="0"/>
    </xf>
    <xf numFmtId="0" fontId="94" fillId="0" borderId="0" xfId="0" applyFont="1" applyFill="1" applyAlignment="1" applyProtection="1">
      <alignment horizontal="center" vertical="center"/>
      <protection locked="0"/>
    </xf>
    <xf numFmtId="0" fontId="95" fillId="0" borderId="0" xfId="0" applyFont="1" applyFill="1" applyAlignment="1" applyProtection="1">
      <protection locked="0"/>
    </xf>
    <xf numFmtId="0" fontId="86" fillId="0" borderId="0" xfId="7" applyFont="1" applyFill="1" applyAlignment="1" applyProtection="1">
      <alignment horizontal="center"/>
      <protection locked="0"/>
    </xf>
    <xf numFmtId="1" fontId="86" fillId="0" borderId="0" xfId="7" applyNumberFormat="1" applyFont="1" applyFill="1" applyAlignment="1" applyProtection="1">
      <alignment horizontal="center"/>
      <protection locked="0"/>
    </xf>
    <xf numFmtId="171" fontId="86" fillId="0" borderId="0" xfId="1" applyFont="1" applyFill="1" applyAlignment="1" applyProtection="1">
      <alignment horizontal="center"/>
      <protection locked="0"/>
    </xf>
    <xf numFmtId="0" fontId="96" fillId="0" borderId="0" xfId="7" applyFont="1" applyFill="1" applyAlignment="1" applyProtection="1">
      <alignment horizontal="center"/>
      <protection locked="0"/>
    </xf>
    <xf numFmtId="0" fontId="96" fillId="0" borderId="0" xfId="0" applyFont="1" applyFill="1" applyAlignment="1" applyProtection="1">
      <alignment horizontal="center" vertical="center"/>
      <protection locked="0"/>
    </xf>
    <xf numFmtId="0" fontId="97" fillId="0" borderId="0" xfId="7" applyFont="1" applyFill="1" applyAlignment="1" applyProtection="1">
      <alignment horizontal="center"/>
      <protection locked="0"/>
    </xf>
    <xf numFmtId="0" fontId="80" fillId="0" borderId="0" xfId="7" applyFont="1" applyFill="1" applyProtection="1">
      <protection locked="0"/>
    </xf>
    <xf numFmtId="1" fontId="80" fillId="0" borderId="0" xfId="7" applyNumberFormat="1" applyFont="1" applyFill="1" applyProtection="1">
      <protection locked="0"/>
    </xf>
    <xf numFmtId="171" fontId="80" fillId="0" borderId="0" xfId="1" applyFont="1" applyFill="1" applyProtection="1">
      <protection locked="0"/>
    </xf>
    <xf numFmtId="0" fontId="89" fillId="0" borderId="3" xfId="7" applyFont="1" applyFill="1" applyBorder="1" applyAlignment="1" applyProtection="1">
      <alignment horizontal="center" wrapText="1"/>
      <protection locked="0"/>
    </xf>
    <xf numFmtId="0" fontId="89" fillId="0" borderId="4" xfId="7" applyFont="1" applyFill="1" applyBorder="1" applyAlignment="1" applyProtection="1">
      <alignment horizontal="center" vertical="center" wrapText="1"/>
      <protection locked="0"/>
    </xf>
    <xf numFmtId="171" fontId="89" fillId="0" borderId="4" xfId="1" applyFont="1" applyFill="1" applyBorder="1" applyAlignment="1" applyProtection="1">
      <alignment horizontal="center" vertical="center" wrapText="1"/>
      <protection locked="0"/>
    </xf>
    <xf numFmtId="0" fontId="89" fillId="0" borderId="6" xfId="7" applyFont="1" applyFill="1" applyBorder="1" applyAlignment="1" applyProtection="1">
      <alignment horizontal="center" vertical="center" wrapText="1"/>
      <protection locked="0"/>
    </xf>
    <xf numFmtId="171" fontId="89" fillId="0" borderId="6" xfId="1" applyFont="1" applyFill="1" applyBorder="1" applyAlignment="1" applyProtection="1">
      <alignment horizontal="center" vertical="center" wrapText="1"/>
      <protection locked="0"/>
    </xf>
    <xf numFmtId="0" fontId="90" fillId="0" borderId="14" xfId="7" applyFont="1" applyFill="1" applyBorder="1" applyAlignment="1" applyProtection="1">
      <alignment horizontal="center" vertical="center"/>
      <protection locked="0"/>
    </xf>
    <xf numFmtId="14" fontId="98" fillId="0" borderId="6" xfId="0" applyNumberFormat="1" applyFont="1" applyFill="1" applyBorder="1" applyAlignment="1" applyProtection="1">
      <alignment horizontal="left" vertical="center"/>
      <protection locked="0"/>
    </xf>
    <xf numFmtId="0" fontId="98" fillId="0" borderId="6" xfId="0" applyNumberFormat="1" applyFont="1" applyFill="1" applyBorder="1" applyAlignment="1" applyProtection="1">
      <alignment horizontal="left" vertical="center"/>
      <protection locked="0"/>
    </xf>
    <xf numFmtId="14" fontId="90" fillId="0" borderId="6" xfId="0" applyNumberFormat="1" applyFont="1" applyFill="1" applyBorder="1" applyAlignment="1" applyProtection="1">
      <alignment horizontal="left" vertical="center"/>
      <protection locked="0"/>
    </xf>
    <xf numFmtId="0" fontId="80" fillId="0" borderId="6" xfId="0" applyFont="1" applyFill="1" applyBorder="1" applyAlignment="1" applyProtection="1">
      <alignment horizontal="center" vertical="center" wrapText="1"/>
      <protection locked="0"/>
    </xf>
    <xf numFmtId="171" fontId="90" fillId="0" borderId="6" xfId="1" applyFont="1" applyFill="1" applyBorder="1" applyAlignment="1" applyProtection="1">
      <alignment vertical="center"/>
      <protection locked="0"/>
    </xf>
    <xf numFmtId="0" fontId="93" fillId="0" borderId="0" xfId="0" applyFont="1" applyFill="1" applyAlignment="1" applyProtection="1">
      <alignment vertical="center"/>
      <protection locked="0"/>
    </xf>
    <xf numFmtId="0" fontId="86" fillId="0" borderId="0" xfId="0" applyFont="1" applyFill="1" applyAlignment="1" applyProtection="1">
      <alignment horizontal="center"/>
      <protection locked="0"/>
    </xf>
    <xf numFmtId="0" fontId="99" fillId="0" borderId="0" xfId="0" applyFont="1" applyFill="1" applyAlignment="1" applyProtection="1">
      <protection locked="0"/>
    </xf>
    <xf numFmtId="0" fontId="95" fillId="0" borderId="0" xfId="0" applyFont="1" applyFill="1" applyAlignment="1" applyProtection="1">
      <alignment horizontal="center"/>
      <protection locked="0"/>
    </xf>
    <xf numFmtId="0" fontId="99" fillId="0" borderId="0" xfId="0" applyFont="1" applyFill="1" applyAlignment="1" applyProtection="1">
      <alignment horizontal="center"/>
      <protection locked="0"/>
    </xf>
    <xf numFmtId="0" fontId="100" fillId="0" borderId="3" xfId="7" applyFont="1" applyFill="1" applyBorder="1" applyAlignment="1" applyProtection="1">
      <alignment horizontal="center" wrapText="1"/>
      <protection locked="0"/>
    </xf>
    <xf numFmtId="181" fontId="90" fillId="0" borderId="6" xfId="0" applyNumberFormat="1" applyFont="1" applyFill="1" applyBorder="1" applyAlignment="1" applyProtection="1">
      <alignment vertical="center"/>
      <protection locked="0"/>
    </xf>
    <xf numFmtId="178" fontId="90" fillId="0" borderId="6" xfId="1" applyNumberFormat="1" applyFont="1" applyFill="1" applyBorder="1" applyAlignment="1" applyProtection="1">
      <alignment vertical="center"/>
      <protection locked="0"/>
    </xf>
    <xf numFmtId="4" fontId="90" fillId="0" borderId="6" xfId="0" applyNumberFormat="1" applyFont="1" applyFill="1" applyBorder="1" applyAlignment="1" applyProtection="1">
      <alignment vertical="center"/>
      <protection locked="0"/>
    </xf>
    <xf numFmtId="0" fontId="93" fillId="0" borderId="0" xfId="0" applyFont="1" applyFill="1" applyAlignment="1" applyProtection="1">
      <alignment horizontal="center" vertical="center"/>
      <protection locked="0"/>
    </xf>
    <xf numFmtId="178" fontId="99" fillId="0" borderId="0" xfId="1" applyNumberFormat="1" applyFont="1" applyFill="1" applyAlignment="1" applyProtection="1">
      <protection locked="0"/>
    </xf>
    <xf numFmtId="179" fontId="99" fillId="0" borderId="0" xfId="1" applyNumberFormat="1" applyFont="1" applyFill="1" applyAlignment="1" applyProtection="1">
      <protection locked="0"/>
    </xf>
    <xf numFmtId="178" fontId="99" fillId="0" borderId="0" xfId="1" applyNumberFormat="1" applyFont="1" applyFill="1" applyAlignment="1" applyProtection="1">
      <alignment horizontal="center"/>
      <protection locked="0"/>
    </xf>
    <xf numFmtId="179" fontId="99" fillId="0" borderId="0" xfId="1" applyNumberFormat="1" applyFont="1" applyFill="1" applyAlignment="1" applyProtection="1">
      <alignment horizontal="center"/>
      <protection locked="0"/>
    </xf>
    <xf numFmtId="178" fontId="86" fillId="0" borderId="0" xfId="1" applyNumberFormat="1" applyFont="1" applyFill="1" applyAlignment="1" applyProtection="1">
      <alignment horizontal="center"/>
      <protection locked="0"/>
    </xf>
    <xf numFmtId="179" fontId="86" fillId="0" borderId="0" xfId="1" applyNumberFormat="1" applyFont="1" applyFill="1" applyAlignment="1" applyProtection="1">
      <alignment horizontal="center"/>
      <protection locked="0"/>
    </xf>
    <xf numFmtId="178" fontId="80" fillId="0" borderId="0" xfId="1" applyNumberFormat="1" applyFont="1" applyFill="1" applyProtection="1">
      <protection locked="0"/>
    </xf>
    <xf numFmtId="179" fontId="80" fillId="0" borderId="0" xfId="1" applyNumberFormat="1" applyFont="1" applyFill="1" applyProtection="1">
      <protection locked="0"/>
    </xf>
    <xf numFmtId="0" fontId="86" fillId="0" borderId="15" xfId="7" applyFont="1" applyFill="1" applyBorder="1" applyAlignment="1" applyProtection="1">
      <alignment vertical="center" wrapText="1"/>
      <protection locked="0"/>
    </xf>
    <xf numFmtId="0" fontId="86" fillId="0" borderId="16" xfId="7" applyFont="1" applyFill="1" applyBorder="1" applyAlignment="1" applyProtection="1">
      <alignment horizontal="center" vertical="center" wrapText="1"/>
      <protection locked="0"/>
    </xf>
    <xf numFmtId="178" fontId="89" fillId="0" borderId="3" xfId="1" applyNumberFormat="1" applyFont="1" applyFill="1" applyBorder="1" applyAlignment="1" applyProtection="1">
      <alignment horizontal="center" wrapText="1"/>
      <protection locked="0"/>
    </xf>
    <xf numFmtId="0" fontId="86" fillId="0" borderId="3" xfId="7" applyFont="1" applyFill="1" applyBorder="1" applyAlignment="1" applyProtection="1">
      <alignment horizontal="center" wrapText="1"/>
      <protection locked="0"/>
    </xf>
    <xf numFmtId="178" fontId="89" fillId="0" borderId="17" xfId="1" applyNumberFormat="1" applyFont="1" applyFill="1" applyBorder="1" applyAlignment="1">
      <alignment horizontal="right" vertical="center"/>
    </xf>
    <xf numFmtId="178" fontId="89" fillId="0" borderId="4" xfId="1" applyNumberFormat="1" applyFont="1" applyFill="1" applyBorder="1" applyAlignment="1" applyProtection="1">
      <alignment horizontal="center" vertical="center" wrapText="1"/>
      <protection locked="0"/>
    </xf>
    <xf numFmtId="179" fontId="89" fillId="0" borderId="4" xfId="1" applyNumberFormat="1" applyFont="1" applyFill="1" applyBorder="1" applyAlignment="1" applyProtection="1">
      <alignment horizontal="center" vertical="center" wrapText="1"/>
      <protection locked="0"/>
    </xf>
    <xf numFmtId="178" fontId="89" fillId="0" borderId="6" xfId="1" applyNumberFormat="1" applyFont="1" applyFill="1" applyBorder="1" applyAlignment="1" applyProtection="1">
      <alignment horizontal="center" vertical="center" wrapText="1"/>
      <protection locked="0"/>
    </xf>
    <xf numFmtId="0" fontId="89" fillId="0" borderId="6" xfId="7" applyFont="1" applyFill="1" applyBorder="1" applyAlignment="1" applyProtection="1">
      <alignment horizontal="right" wrapText="1"/>
      <protection locked="0"/>
    </xf>
    <xf numFmtId="179" fontId="90" fillId="0" borderId="6" xfId="1" applyNumberFormat="1" applyFont="1" applyFill="1" applyBorder="1" applyAlignment="1" applyProtection="1">
      <protection locked="0"/>
    </xf>
    <xf numFmtId="3" fontId="99" fillId="0" borderId="0" xfId="0" applyNumberFormat="1" applyFont="1" applyFill="1" applyAlignment="1" applyProtection="1">
      <protection locked="0"/>
    </xf>
    <xf numFmtId="0" fontId="99" fillId="0" borderId="0" xfId="7" applyFont="1" applyFill="1" applyAlignment="1" applyProtection="1">
      <alignment horizontal="center"/>
      <protection locked="0"/>
    </xf>
    <xf numFmtId="0" fontId="99" fillId="0" borderId="0" xfId="7" applyFont="1" applyFill="1" applyAlignment="1" applyProtection="1">
      <protection locked="0"/>
    </xf>
    <xf numFmtId="0" fontId="101" fillId="0" borderId="0" xfId="7" applyFont="1" applyFill="1" applyAlignment="1" applyProtection="1">
      <protection locked="0"/>
    </xf>
    <xf numFmtId="0" fontId="96" fillId="0" borderId="0" xfId="0" applyFont="1" applyFill="1" applyAlignment="1" applyProtection="1">
      <alignment vertical="center"/>
      <protection locked="0"/>
    </xf>
    <xf numFmtId="0" fontId="97" fillId="0" borderId="0" xfId="7" applyFont="1" applyFill="1" applyAlignment="1" applyProtection="1">
      <protection locked="0"/>
    </xf>
    <xf numFmtId="0" fontId="102" fillId="0" borderId="0" xfId="7" applyFont="1" applyFill="1" applyProtection="1">
      <protection locked="0"/>
    </xf>
    <xf numFmtId="0" fontId="86" fillId="0" borderId="0" xfId="7" applyFont="1" applyFill="1" applyBorder="1" applyAlignment="1" applyProtection="1">
      <alignment horizontal="center" vertical="center" wrapText="1"/>
      <protection locked="0"/>
    </xf>
    <xf numFmtId="0" fontId="90" fillId="0" borderId="0" xfId="7" applyFont="1" applyFill="1" applyBorder="1" applyAlignment="1" applyProtection="1">
      <alignment horizontal="center" vertical="center"/>
      <protection locked="0"/>
    </xf>
    <xf numFmtId="0" fontId="86" fillId="0" borderId="0" xfId="7" applyFont="1" applyFill="1" applyBorder="1" applyAlignment="1" applyProtection="1">
      <alignment horizontal="center" vertical="center"/>
      <protection locked="0"/>
    </xf>
    <xf numFmtId="0" fontId="89" fillId="0" borderId="9" xfId="7" applyFont="1" applyFill="1" applyBorder="1" applyAlignment="1" applyProtection="1">
      <alignment horizontal="center" vertical="center"/>
      <protection locked="0"/>
    </xf>
    <xf numFmtId="0" fontId="89" fillId="0" borderId="0" xfId="7" applyFont="1" applyFill="1" applyBorder="1" applyAlignment="1" applyProtection="1">
      <alignment horizontal="center" vertical="center"/>
      <protection locked="0"/>
    </xf>
    <xf numFmtId="0" fontId="89" fillId="0" borderId="10" xfId="7" applyFont="1" applyFill="1" applyBorder="1" applyAlignment="1" applyProtection="1">
      <alignment horizontal="center" vertical="center"/>
      <protection locked="0"/>
    </xf>
    <xf numFmtId="0" fontId="88" fillId="0" borderId="10" xfId="0" applyFont="1" applyFill="1" applyBorder="1" applyAlignment="1" applyProtection="1">
      <alignment vertical="center"/>
      <protection locked="0"/>
    </xf>
    <xf numFmtId="171" fontId="88" fillId="0" borderId="0" xfId="0" applyNumberFormat="1" applyFont="1" applyFill="1" applyBorder="1" applyAlignment="1" applyProtection="1">
      <alignment vertical="center"/>
      <protection locked="0"/>
    </xf>
    <xf numFmtId="43" fontId="81" fillId="0" borderId="0" xfId="0" applyNumberFormat="1" applyFont="1" applyFill="1" applyBorder="1" applyAlignment="1" applyProtection="1">
      <alignment vertical="center"/>
      <protection locked="0"/>
    </xf>
    <xf numFmtId="14" fontId="98" fillId="0" borderId="18" xfId="0" applyNumberFormat="1" applyFont="1" applyFill="1" applyBorder="1" applyAlignment="1" applyProtection="1">
      <alignment horizontal="left" vertical="center"/>
      <protection locked="0"/>
    </xf>
    <xf numFmtId="0" fontId="98" fillId="0" borderId="18" xfId="0" applyNumberFormat="1" applyFont="1" applyFill="1" applyBorder="1" applyAlignment="1" applyProtection="1">
      <alignment horizontal="left" vertical="center"/>
      <protection locked="0"/>
    </xf>
    <xf numFmtId="0" fontId="80" fillId="0" borderId="18" xfId="0" applyFont="1" applyFill="1" applyBorder="1" applyAlignment="1" applyProtection="1">
      <alignment horizontal="center" vertical="center" wrapText="1"/>
      <protection locked="0"/>
    </xf>
    <xf numFmtId="171" fontId="90" fillId="0" borderId="18" xfId="1" applyFont="1" applyFill="1" applyBorder="1" applyAlignment="1" applyProtection="1">
      <alignment vertical="center"/>
      <protection locked="0"/>
    </xf>
    <xf numFmtId="178" fontId="90" fillId="0" borderId="18" xfId="1" applyNumberFormat="1" applyFont="1" applyFill="1" applyBorder="1" applyAlignment="1" applyProtection="1">
      <alignment vertical="center"/>
      <protection locked="0"/>
    </xf>
    <xf numFmtId="0" fontId="88" fillId="0" borderId="19" xfId="0" applyFont="1" applyFill="1" applyBorder="1" applyAlignment="1" applyProtection="1">
      <alignment vertical="center"/>
      <protection locked="0"/>
    </xf>
    <xf numFmtId="0" fontId="88" fillId="0" borderId="0" xfId="0" applyFont="1" applyFill="1" applyBorder="1" applyAlignment="1" applyProtection="1">
      <alignment horizontal="center" vertical="center"/>
      <protection locked="0"/>
    </xf>
    <xf numFmtId="0" fontId="90" fillId="0" borderId="20" xfId="7" applyFont="1" applyFill="1" applyBorder="1" applyAlignment="1" applyProtection="1">
      <alignment horizontal="center" vertical="center"/>
      <protection locked="0"/>
    </xf>
    <xf numFmtId="0" fontId="78" fillId="0" borderId="11" xfId="0" applyFont="1" applyFill="1" applyBorder="1" applyAlignment="1" applyProtection="1">
      <alignment horizontal="center"/>
      <protection locked="0"/>
    </xf>
    <xf numFmtId="0" fontId="78" fillId="0" borderId="1" xfId="0" applyFont="1" applyFill="1" applyBorder="1" applyAlignment="1" applyProtection="1">
      <alignment horizontal="center"/>
      <protection locked="0"/>
    </xf>
    <xf numFmtId="1" fontId="78" fillId="0" borderId="1" xfId="0" applyNumberFormat="1" applyFont="1" applyFill="1" applyBorder="1" applyAlignment="1" applyProtection="1">
      <alignment horizontal="center"/>
      <protection locked="0"/>
    </xf>
    <xf numFmtId="14" fontId="98" fillId="0" borderId="1" xfId="0" applyNumberFormat="1" applyFont="1" applyFill="1" applyBorder="1" applyAlignment="1" applyProtection="1">
      <alignment horizontal="left" vertical="center"/>
      <protection locked="0"/>
    </xf>
    <xf numFmtId="14" fontId="90" fillId="0" borderId="1" xfId="0" applyNumberFormat="1" applyFont="1" applyFill="1" applyBorder="1" applyAlignment="1" applyProtection="1">
      <alignment horizontal="left" vertical="center"/>
      <protection locked="0"/>
    </xf>
    <xf numFmtId="0" fontId="78" fillId="0" borderId="1" xfId="0" applyFont="1" applyFill="1" applyBorder="1" applyAlignment="1" applyProtection="1">
      <alignment horizontal="center" wrapText="1"/>
      <protection locked="0"/>
    </xf>
    <xf numFmtId="171" fontId="81" fillId="0" borderId="18" xfId="1" applyFont="1" applyFill="1" applyBorder="1" applyAlignment="1" applyProtection="1">
      <alignment vertical="center"/>
      <protection locked="0"/>
    </xf>
    <xf numFmtId="171" fontId="103" fillId="0" borderId="21" xfId="1" applyFont="1" applyFill="1" applyBorder="1"/>
    <xf numFmtId="0" fontId="89" fillId="0" borderId="0" xfId="0" applyFont="1" applyFill="1" applyAlignment="1"/>
    <xf numFmtId="171" fontId="89" fillId="0" borderId="0" xfId="1" applyFont="1" applyFill="1" applyAlignment="1"/>
    <xf numFmtId="1" fontId="90" fillId="0" borderId="0" xfId="0" applyNumberFormat="1" applyFont="1" applyFill="1" applyAlignment="1"/>
    <xf numFmtId="171" fontId="90" fillId="0" borderId="0" xfId="1" applyFont="1" applyFill="1" applyAlignment="1"/>
    <xf numFmtId="0" fontId="84" fillId="0" borderId="0" xfId="0" applyFont="1" applyFill="1" applyAlignment="1">
      <alignment horizontal="center"/>
    </xf>
    <xf numFmtId="1" fontId="81" fillId="0" borderId="0" xfId="0" applyNumberFormat="1" applyFont="1" applyFill="1"/>
    <xf numFmtId="171" fontId="81" fillId="0" borderId="0" xfId="1" applyFont="1" applyFill="1"/>
    <xf numFmtId="171" fontId="90" fillId="0" borderId="18" xfId="1" applyFont="1" applyFill="1" applyBorder="1" applyAlignment="1" applyProtection="1">
      <protection locked="0"/>
    </xf>
    <xf numFmtId="4" fontId="80" fillId="0" borderId="18" xfId="0" applyNumberFormat="1" applyFont="1" applyFill="1" applyBorder="1" applyAlignment="1" applyProtection="1">
      <alignment vertical="center"/>
      <protection locked="0"/>
    </xf>
    <xf numFmtId="178" fontId="80" fillId="0" borderId="18" xfId="0" applyNumberFormat="1" applyFont="1" applyFill="1" applyBorder="1" applyAlignment="1" applyProtection="1">
      <alignment vertical="center"/>
      <protection locked="0"/>
    </xf>
    <xf numFmtId="181" fontId="80" fillId="0" borderId="18" xfId="0" applyNumberFormat="1" applyFont="1" applyFill="1" applyBorder="1" applyAlignment="1" applyProtection="1">
      <alignment vertical="center"/>
      <protection locked="0"/>
    </xf>
    <xf numFmtId="171" fontId="104" fillId="0" borderId="21" xfId="1" applyFont="1" applyFill="1" applyBorder="1"/>
    <xf numFmtId="178" fontId="103" fillId="0" borderId="21" xfId="1" applyNumberFormat="1" applyFont="1" applyFill="1" applyBorder="1"/>
    <xf numFmtId="178" fontId="80" fillId="0" borderId="18" xfId="1" applyNumberFormat="1" applyFont="1" applyFill="1" applyBorder="1" applyAlignment="1" applyProtection="1">
      <alignment vertical="center"/>
      <protection locked="0"/>
    </xf>
    <xf numFmtId="179" fontId="80" fillId="0" borderId="18" xfId="1" applyNumberFormat="1" applyFont="1" applyFill="1" applyBorder="1" applyAlignment="1" applyProtection="1">
      <alignment vertical="center"/>
      <protection locked="0"/>
    </xf>
    <xf numFmtId="178" fontId="89" fillId="0" borderId="0" xfId="1" applyNumberFormat="1" applyFont="1" applyFill="1" applyAlignment="1"/>
    <xf numFmtId="179" fontId="89" fillId="0" borderId="0" xfId="1" applyNumberFormat="1" applyFont="1" applyFill="1" applyAlignment="1"/>
    <xf numFmtId="0" fontId="90" fillId="0" borderId="0" xfId="0" applyFont="1" applyFill="1" applyAlignment="1">
      <alignment horizontal="center"/>
    </xf>
    <xf numFmtId="178" fontId="84" fillId="0" borderId="0" xfId="1" applyNumberFormat="1" applyFont="1" applyFill="1"/>
    <xf numFmtId="178" fontId="81" fillId="0" borderId="0" xfId="1" applyNumberFormat="1" applyFont="1" applyFill="1"/>
    <xf numFmtId="0" fontId="81" fillId="0" borderId="0" xfId="0" applyFont="1" applyFill="1" applyAlignment="1">
      <alignment horizontal="center"/>
    </xf>
    <xf numFmtId="179" fontId="81" fillId="0" borderId="0" xfId="1" applyNumberFormat="1" applyFont="1" applyFill="1"/>
    <xf numFmtId="0" fontId="78" fillId="0" borderId="19" xfId="0" applyFont="1" applyFill="1" applyBorder="1" applyAlignment="1" applyProtection="1">
      <protection locked="0"/>
    </xf>
    <xf numFmtId="171" fontId="103" fillId="0" borderId="22" xfId="0" applyNumberFormat="1" applyFont="1" applyFill="1" applyBorder="1"/>
    <xf numFmtId="171" fontId="103" fillId="0" borderId="23" xfId="0" applyNumberFormat="1" applyFont="1" applyFill="1" applyBorder="1"/>
    <xf numFmtId="171" fontId="103" fillId="0" borderId="12" xfId="1" applyFont="1" applyFill="1" applyBorder="1"/>
    <xf numFmtId="171" fontId="91" fillId="0" borderId="0" xfId="1" applyFont="1" applyFill="1"/>
    <xf numFmtId="171" fontId="90" fillId="0" borderId="0" xfId="0" applyNumberFormat="1" applyFont="1" applyFill="1" applyAlignment="1"/>
    <xf numFmtId="0" fontId="81" fillId="0" borderId="0" xfId="0" applyFont="1" applyFill="1" applyAlignment="1"/>
    <xf numFmtId="171" fontId="84" fillId="0" borderId="0" xfId="1" applyFont="1" applyFill="1"/>
    <xf numFmtId="0" fontId="84" fillId="0" borderId="0" xfId="0" applyFont="1" applyFill="1" applyAlignment="1"/>
    <xf numFmtId="0" fontId="89" fillId="0" borderId="0" xfId="0" applyFont="1" applyFill="1"/>
    <xf numFmtId="0" fontId="92" fillId="0" borderId="0" xfId="0" applyFont="1" applyFill="1" applyAlignment="1"/>
    <xf numFmtId="171" fontId="92" fillId="0" borderId="0" xfId="1" applyFont="1" applyFill="1" applyAlignment="1"/>
    <xf numFmtId="0" fontId="103" fillId="0" borderId="0" xfId="0" applyFont="1" applyFill="1" applyAlignment="1"/>
    <xf numFmtId="0" fontId="89" fillId="0" borderId="0" xfId="0" applyFont="1" applyFill="1" applyAlignment="1">
      <alignment horizontal="center"/>
    </xf>
    <xf numFmtId="0" fontId="1" fillId="0" borderId="0" xfId="0" applyFont="1" applyFill="1"/>
    <xf numFmtId="0" fontId="105" fillId="0" borderId="0" xfId="0" applyFont="1" applyFill="1"/>
    <xf numFmtId="0" fontId="16" fillId="0" borderId="0" xfId="0" applyFont="1" applyFill="1"/>
    <xf numFmtId="0" fontId="17" fillId="0" borderId="0" xfId="0" applyFont="1" applyFill="1"/>
    <xf numFmtId="0" fontId="10" fillId="0" borderId="0" xfId="0" applyFont="1" applyFill="1"/>
    <xf numFmtId="0" fontId="1" fillId="0" borderId="0" xfId="0" applyFont="1" applyFill="1" applyAlignment="1">
      <alignment vertical="top"/>
    </xf>
    <xf numFmtId="0" fontId="106" fillId="0" borderId="0" xfId="0" applyFont="1" applyFill="1"/>
    <xf numFmtId="4" fontId="106" fillId="0" borderId="0" xfId="0" applyNumberFormat="1" applyFont="1" applyFill="1"/>
    <xf numFmtId="14" fontId="90" fillId="0" borderId="0" xfId="0" applyNumberFormat="1" applyFont="1" applyFill="1"/>
    <xf numFmtId="181" fontId="90" fillId="0" borderId="0" xfId="0" applyNumberFormat="1" applyFont="1" applyFill="1"/>
    <xf numFmtId="3" fontId="90" fillId="0" borderId="0" xfId="0" applyNumberFormat="1" applyFont="1" applyFill="1"/>
    <xf numFmtId="0" fontId="20" fillId="0" borderId="0" xfId="0" applyFont="1" applyFill="1" applyAlignment="1"/>
    <xf numFmtId="0" fontId="21" fillId="0" borderId="0" xfId="0" applyFont="1" applyFill="1"/>
    <xf numFmtId="3" fontId="107" fillId="0" borderId="0" xfId="0" applyNumberFormat="1" applyFont="1" applyFill="1"/>
    <xf numFmtId="0" fontId="22" fillId="0" borderId="0" xfId="0" applyFont="1" applyFill="1" applyAlignment="1">
      <alignment vertical="center"/>
    </xf>
    <xf numFmtId="3" fontId="108" fillId="0" borderId="0" xfId="0" applyNumberFormat="1" applyFont="1" applyFill="1"/>
    <xf numFmtId="182" fontId="16" fillId="0" borderId="0" xfId="2" applyNumberFormat="1" applyFont="1" applyFill="1"/>
    <xf numFmtId="3" fontId="23" fillId="0" borderId="0" xfId="2" applyNumberFormat="1" applyFont="1" applyFill="1"/>
    <xf numFmtId="0" fontId="22" fillId="0" borderId="0" xfId="0" applyFont="1" applyFill="1"/>
    <xf numFmtId="0" fontId="24" fillId="0" borderId="0" xfId="0" applyFont="1" applyFill="1"/>
    <xf numFmtId="3" fontId="1" fillId="0" borderId="0" xfId="2" applyNumberFormat="1" applyFont="1" applyFill="1" applyAlignment="1"/>
    <xf numFmtId="0" fontId="25" fillId="0" borderId="0" xfId="0" applyFont="1" applyFill="1"/>
    <xf numFmtId="3" fontId="1" fillId="0" borderId="0" xfId="0" applyNumberFormat="1" applyFont="1" applyFill="1"/>
    <xf numFmtId="3" fontId="23" fillId="0" borderId="0" xfId="0" applyNumberFormat="1" applyFont="1" applyFill="1" applyAlignment="1">
      <alignment horizontal="right"/>
    </xf>
    <xf numFmtId="3" fontId="1" fillId="0" borderId="0" xfId="0" applyNumberFormat="1" applyFont="1" applyFill="1" applyAlignment="1">
      <alignment horizontal="right"/>
    </xf>
    <xf numFmtId="0" fontId="3" fillId="0" borderId="0" xfId="0" applyFont="1" applyFill="1"/>
    <xf numFmtId="3" fontId="16" fillId="0" borderId="0" xfId="0" applyNumberFormat="1" applyFont="1" applyFill="1" applyAlignment="1">
      <alignment horizontal="right"/>
    </xf>
    <xf numFmtId="0" fontId="9" fillId="0" borderId="0" xfId="0" applyFont="1" applyFill="1"/>
    <xf numFmtId="4" fontId="3" fillId="0" borderId="0" xfId="0" applyNumberFormat="1" applyFont="1" applyFill="1"/>
    <xf numFmtId="4" fontId="1" fillId="0" borderId="0" xfId="0" applyNumberFormat="1" applyFont="1" applyFill="1"/>
    <xf numFmtId="0" fontId="10" fillId="0" borderId="0" xfId="0" applyFont="1" applyFill="1" applyAlignment="1"/>
    <xf numFmtId="0" fontId="17" fillId="0" borderId="0" xfId="0" applyFont="1" applyFill="1" applyAlignment="1"/>
    <xf numFmtId="14" fontId="3" fillId="0" borderId="0" xfId="0" applyNumberFormat="1" applyFont="1" applyFill="1"/>
    <xf numFmtId="181" fontId="3" fillId="0" borderId="0" xfId="0" applyNumberFormat="1" applyFont="1" applyFill="1"/>
    <xf numFmtId="3" fontId="3" fillId="0" borderId="0" xfId="0" applyNumberFormat="1" applyFont="1" applyFill="1"/>
    <xf numFmtId="0" fontId="4" fillId="0" borderId="0" xfId="0" applyFont="1" applyFill="1" applyAlignment="1"/>
    <xf numFmtId="0" fontId="28" fillId="0" borderId="0" xfId="0" applyFont="1" applyFill="1" applyAlignment="1"/>
    <xf numFmtId="0" fontId="109" fillId="0" borderId="0" xfId="0" applyFont="1" applyFill="1"/>
    <xf numFmtId="3" fontId="106" fillId="0" borderId="0" xfId="0" applyNumberFormat="1" applyFont="1" applyFill="1"/>
    <xf numFmtId="3" fontId="109" fillId="0" borderId="0" xfId="0" applyNumberFormat="1" applyFont="1" applyFill="1"/>
    <xf numFmtId="3" fontId="16" fillId="0" borderId="0" xfId="0" applyNumberFormat="1" applyFont="1" applyFill="1"/>
    <xf numFmtId="3" fontId="110" fillId="0" borderId="0" xfId="0" applyNumberFormat="1" applyFont="1" applyFill="1"/>
    <xf numFmtId="3" fontId="105" fillId="0" borderId="0" xfId="0" applyNumberFormat="1" applyFont="1" applyFill="1"/>
    <xf numFmtId="0" fontId="111" fillId="0" borderId="0" xfId="0" applyFont="1" applyFill="1" applyAlignment="1">
      <alignment vertical="center"/>
    </xf>
    <xf numFmtId="0" fontId="111" fillId="0" borderId="0" xfId="0" applyFont="1" applyFill="1" applyAlignment="1"/>
    <xf numFmtId="0" fontId="29" fillId="0" borderId="0" xfId="0" applyFont="1" applyFill="1" applyBorder="1" applyAlignment="1"/>
    <xf numFmtId="0" fontId="30" fillId="0" borderId="0" xfId="0" applyFont="1" applyFill="1" applyAlignment="1"/>
    <xf numFmtId="3" fontId="29" fillId="0" borderId="0" xfId="0" applyNumberFormat="1" applyFont="1" applyFill="1" applyBorder="1" applyAlignment="1"/>
    <xf numFmtId="0" fontId="27" fillId="0" borderId="0" xfId="0" applyFont="1" applyFill="1" applyAlignment="1"/>
    <xf numFmtId="14" fontId="17" fillId="0" borderId="0" xfId="0" applyNumberFormat="1" applyFont="1" applyFill="1"/>
    <xf numFmtId="181" fontId="17" fillId="0" borderId="0" xfId="0" applyNumberFormat="1" applyFont="1" applyFill="1"/>
    <xf numFmtId="3" fontId="17" fillId="0" borderId="0" xfId="0" applyNumberFormat="1" applyFont="1" applyFill="1"/>
    <xf numFmtId="0" fontId="9" fillId="0" borderId="0" xfId="0" applyFont="1" applyFill="1" applyAlignment="1"/>
    <xf numFmtId="14" fontId="9" fillId="0" borderId="0" xfId="0" applyNumberFormat="1" applyFont="1" applyFill="1"/>
    <xf numFmtId="181" fontId="9" fillId="0" borderId="0" xfId="0" applyNumberFormat="1" applyFont="1" applyFill="1"/>
    <xf numFmtId="3" fontId="9" fillId="0" borderId="0" xfId="0" applyNumberFormat="1" applyFont="1" applyFill="1"/>
    <xf numFmtId="0" fontId="17" fillId="0" borderId="0" xfId="0" applyFont="1" applyFill="1" applyAlignment="1">
      <alignment vertical="top"/>
    </xf>
    <xf numFmtId="0" fontId="9" fillId="0" borderId="0" xfId="0" applyFont="1" applyFill="1" applyAlignment="1">
      <alignment vertical="top"/>
    </xf>
    <xf numFmtId="0" fontId="3" fillId="0" borderId="0" xfId="0" applyFont="1" applyFill="1" applyAlignment="1">
      <alignment vertical="top"/>
    </xf>
    <xf numFmtId="14" fontId="3" fillId="0" borderId="0" xfId="0" applyNumberFormat="1" applyFont="1" applyFill="1" applyAlignment="1">
      <alignment vertical="top"/>
    </xf>
    <xf numFmtId="181" fontId="3" fillId="0" borderId="0" xfId="0" applyNumberFormat="1" applyFont="1" applyFill="1" applyAlignment="1">
      <alignment vertical="top"/>
    </xf>
    <xf numFmtId="3" fontId="3" fillId="0" borderId="0" xfId="0" applyNumberFormat="1" applyFont="1" applyFill="1" applyAlignment="1">
      <alignment vertical="top"/>
    </xf>
    <xf numFmtId="0" fontId="9" fillId="0" borderId="0" xfId="0" applyFont="1" applyFill="1" applyAlignment="1">
      <alignment wrapText="1"/>
    </xf>
    <xf numFmtId="0" fontId="29" fillId="0" borderId="0" xfId="0" applyFont="1" applyFill="1"/>
    <xf numFmtId="0" fontId="29" fillId="0" borderId="0" xfId="0" applyFont="1" applyFill="1" applyAlignment="1"/>
    <xf numFmtId="0" fontId="3" fillId="0" borderId="0" xfId="0" applyFont="1" applyFill="1" applyAlignment="1">
      <alignment wrapText="1"/>
    </xf>
    <xf numFmtId="0" fontId="29" fillId="0" borderId="0" xfId="0" applyFont="1" applyFill="1" applyAlignment="1">
      <alignment wrapText="1"/>
    </xf>
    <xf numFmtId="0" fontId="31" fillId="0" borderId="0" xfId="0" applyFont="1" applyFill="1" applyAlignment="1">
      <alignment vertical="center"/>
    </xf>
    <xf numFmtId="0" fontId="32" fillId="0" borderId="0" xfId="0" applyFont="1" applyFill="1" applyAlignment="1">
      <alignment vertical="center"/>
    </xf>
    <xf numFmtId="0" fontId="33" fillId="18" borderId="0" xfId="0" applyFont="1" applyFill="1"/>
    <xf numFmtId="0" fontId="34" fillId="0" borderId="0" xfId="0" applyFont="1" applyFill="1"/>
    <xf numFmtId="0" fontId="29" fillId="0" borderId="0" xfId="0" applyFont="1" applyFill="1" applyAlignment="1">
      <alignment vertical="center"/>
    </xf>
    <xf numFmtId="0" fontId="110" fillId="0" borderId="0" xfId="0" applyFont="1" applyFill="1"/>
    <xf numFmtId="171" fontId="110" fillId="0" borderId="0" xfId="1" applyFont="1" applyFill="1"/>
    <xf numFmtId="0" fontId="33" fillId="0" borderId="0" xfId="0" applyFont="1" applyFill="1"/>
    <xf numFmtId="179" fontId="33" fillId="0" borderId="0" xfId="1" applyNumberFormat="1" applyFont="1" applyFill="1"/>
    <xf numFmtId="3" fontId="34" fillId="0" borderId="0" xfId="0" applyNumberFormat="1" applyFont="1" applyFill="1" applyAlignment="1"/>
    <xf numFmtId="171" fontId="28" fillId="0" borderId="0" xfId="1" applyFont="1" applyFill="1" applyAlignment="1"/>
    <xf numFmtId="3" fontId="28" fillId="0" borderId="0" xfId="0" applyNumberFormat="1" applyFont="1" applyFill="1" applyAlignment="1"/>
    <xf numFmtId="3" fontId="35" fillId="0" borderId="0" xfId="0" applyNumberFormat="1" applyFont="1" applyFill="1" applyAlignment="1"/>
    <xf numFmtId="171" fontId="36" fillId="0" borderId="0" xfId="1" applyFont="1" applyFill="1" applyAlignment="1"/>
    <xf numFmtId="0" fontId="36" fillId="0" borderId="0" xfId="0" applyFont="1" applyFill="1" applyAlignment="1"/>
    <xf numFmtId="171" fontId="28" fillId="0" borderId="0" xfId="1" applyFont="1" applyFill="1" applyAlignment="1">
      <alignment horizontal="center"/>
    </xf>
    <xf numFmtId="0" fontId="28" fillId="0" borderId="0" xfId="0" applyFont="1" applyFill="1" applyAlignment="1">
      <alignment horizontal="center"/>
    </xf>
    <xf numFmtId="171" fontId="29" fillId="0" borderId="0" xfId="1" applyFont="1" applyFill="1" applyAlignment="1"/>
    <xf numFmtId="0" fontId="28" fillId="0" borderId="7" xfId="0" applyFont="1" applyFill="1" applyBorder="1" applyAlignment="1">
      <alignment horizontal="left" vertical="center"/>
    </xf>
    <xf numFmtId="0" fontId="17" fillId="0" borderId="24" xfId="0" applyFont="1" applyFill="1" applyBorder="1" applyAlignment="1">
      <alignment horizontal="center" wrapText="1"/>
    </xf>
    <xf numFmtId="0" fontId="3" fillId="0" borderId="25" xfId="0" applyFont="1" applyFill="1" applyBorder="1" applyAlignment="1">
      <alignment horizontal="center" wrapText="1"/>
    </xf>
    <xf numFmtId="0" fontId="9" fillId="0" borderId="25" xfId="0" applyFont="1" applyFill="1" applyBorder="1" applyAlignment="1">
      <alignment horizontal="center" wrapText="1"/>
    </xf>
    <xf numFmtId="0" fontId="17" fillId="0" borderId="26" xfId="0" applyFont="1" applyFill="1" applyBorder="1" applyAlignment="1">
      <alignment horizontal="center" wrapText="1"/>
    </xf>
    <xf numFmtId="0" fontId="9" fillId="0" borderId="2" xfId="0" applyFont="1" applyFill="1" applyBorder="1" applyAlignment="1">
      <alignment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top" wrapText="1"/>
    </xf>
    <xf numFmtId="0" fontId="9" fillId="0" borderId="8" xfId="0" applyFont="1" applyFill="1" applyBorder="1" applyAlignment="1">
      <alignment horizontal="center" vertical="top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179" fontId="10" fillId="0" borderId="4" xfId="1" applyNumberFormat="1" applyFont="1" applyFill="1" applyBorder="1" applyAlignment="1">
      <alignment horizontal="left" vertical="center" wrapText="1"/>
    </xf>
    <xf numFmtId="0" fontId="10" fillId="0" borderId="9" xfId="0" applyFont="1" applyFill="1" applyBorder="1" applyAlignment="1">
      <alignment horizontal="center" vertical="center" wrapText="1"/>
    </xf>
    <xf numFmtId="3" fontId="9" fillId="0" borderId="14" xfId="0" applyNumberFormat="1" applyFont="1" applyFill="1" applyBorder="1" applyAlignment="1">
      <alignment horizontal="center" vertical="center"/>
    </xf>
    <xf numFmtId="3" fontId="9" fillId="0" borderId="6" xfId="0" applyNumberFormat="1" applyFont="1" applyFill="1" applyBorder="1" applyAlignment="1">
      <alignment horizontal="left" vertical="center" wrapText="1"/>
    </xf>
    <xf numFmtId="183" fontId="31" fillId="0" borderId="6" xfId="2" applyNumberFormat="1" applyFont="1" applyFill="1" applyBorder="1" applyAlignment="1">
      <alignment horizontal="right" vertical="center"/>
    </xf>
    <xf numFmtId="171" fontId="9" fillId="0" borderId="6" xfId="1" applyFont="1" applyFill="1" applyBorder="1" applyAlignment="1">
      <alignment horizontal="right" vertical="center"/>
    </xf>
    <xf numFmtId="3" fontId="31" fillId="0" borderId="10" xfId="0" applyNumberFormat="1" applyFont="1" applyFill="1" applyBorder="1" applyAlignment="1">
      <alignment vertical="center"/>
    </xf>
    <xf numFmtId="0" fontId="112" fillId="0" borderId="14" xfId="5" applyFont="1" applyFill="1" applyBorder="1" applyAlignment="1">
      <alignment horizontal="center" vertical="center"/>
    </xf>
    <xf numFmtId="0" fontId="38" fillId="18" borderId="6" xfId="5" applyFont="1" applyFill="1" applyBorder="1" applyAlignment="1">
      <alignment horizontal="left" vertical="center" wrapText="1"/>
    </xf>
    <xf numFmtId="183" fontId="32" fillId="0" borderId="6" xfId="2" applyNumberFormat="1" applyFont="1" applyFill="1" applyBorder="1" applyAlignment="1">
      <alignment horizontal="right" vertical="center"/>
    </xf>
    <xf numFmtId="171" fontId="3" fillId="0" borderId="6" xfId="1" applyFont="1" applyFill="1" applyBorder="1" applyAlignment="1">
      <alignment horizontal="right" vertical="center"/>
    </xf>
    <xf numFmtId="171" fontId="32" fillId="0" borderId="6" xfId="1" applyFont="1" applyFill="1" applyBorder="1" applyAlignment="1">
      <alignment horizontal="right" vertical="center" wrapText="1"/>
    </xf>
    <xf numFmtId="171" fontId="31" fillId="0" borderId="0" xfId="1" applyFont="1" applyFill="1" applyAlignment="1">
      <alignment vertical="center"/>
    </xf>
    <xf numFmtId="171" fontId="90" fillId="0" borderId="6" xfId="1" applyFont="1" applyFill="1" applyBorder="1" applyAlignment="1">
      <alignment horizontal="right" vertical="center"/>
    </xf>
    <xf numFmtId="3" fontId="32" fillId="0" borderId="10" xfId="0" applyNumberFormat="1" applyFont="1" applyFill="1" applyBorder="1" applyAlignment="1">
      <alignment vertical="center"/>
    </xf>
    <xf numFmtId="0" fontId="112" fillId="0" borderId="2" xfId="5" applyFont="1" applyFill="1" applyBorder="1" applyAlignment="1">
      <alignment horizontal="center" vertical="center"/>
    </xf>
    <xf numFmtId="0" fontId="38" fillId="18" borderId="3" xfId="5" applyFont="1" applyFill="1" applyBorder="1" applyAlignment="1">
      <alignment horizontal="left" vertical="center" wrapText="1"/>
    </xf>
    <xf numFmtId="183" fontId="32" fillId="0" borderId="3" xfId="2" applyNumberFormat="1" applyFont="1" applyFill="1" applyBorder="1" applyAlignment="1">
      <alignment horizontal="right" vertical="center"/>
    </xf>
    <xf numFmtId="171" fontId="3" fillId="0" borderId="3" xfId="1" applyFont="1" applyFill="1" applyBorder="1" applyAlignment="1">
      <alignment horizontal="right" vertical="center"/>
    </xf>
    <xf numFmtId="171" fontId="32" fillId="0" borderId="3" xfId="1" applyFont="1" applyFill="1" applyBorder="1" applyAlignment="1">
      <alignment horizontal="right" vertical="center" wrapText="1"/>
    </xf>
    <xf numFmtId="3" fontId="32" fillId="0" borderId="8" xfId="0" applyNumberFormat="1" applyFont="1" applyFill="1" applyBorder="1" applyAlignment="1">
      <alignment vertical="center"/>
    </xf>
    <xf numFmtId="183" fontId="31" fillId="0" borderId="12" xfId="2" applyNumberFormat="1" applyFont="1" applyFill="1" applyBorder="1" applyAlignment="1">
      <alignment horizontal="right" vertical="center"/>
    </xf>
    <xf numFmtId="171" fontId="113" fillId="0" borderId="12" xfId="1" applyFont="1" applyFill="1" applyBorder="1" applyAlignment="1">
      <alignment horizontal="right" vertical="center"/>
    </xf>
    <xf numFmtId="43" fontId="31" fillId="0" borderId="27" xfId="0" applyNumberFormat="1" applyFont="1" applyFill="1" applyBorder="1" applyAlignment="1">
      <alignment vertical="center"/>
    </xf>
    <xf numFmtId="43" fontId="31" fillId="0" borderId="0" xfId="0" applyNumberFormat="1" applyFont="1" applyFill="1" applyAlignment="1">
      <alignment vertical="center"/>
    </xf>
    <xf numFmtId="43" fontId="33" fillId="18" borderId="0" xfId="0" applyNumberFormat="1" applyFont="1" applyFill="1"/>
    <xf numFmtId="4" fontId="33" fillId="18" borderId="0" xfId="0" applyNumberFormat="1" applyFont="1" applyFill="1"/>
    <xf numFmtId="0" fontId="27" fillId="0" borderId="0" xfId="0" applyFont="1" applyFill="1" applyAlignment="1">
      <alignment horizontal="left"/>
    </xf>
    <xf numFmtId="0" fontId="34" fillId="0" borderId="0" xfId="0" applyFont="1" applyFill="1" applyAlignment="1">
      <alignment horizontal="center"/>
    </xf>
    <xf numFmtId="0" fontId="34" fillId="0" borderId="0" xfId="0" applyFont="1" applyFill="1" applyAlignment="1"/>
    <xf numFmtId="171" fontId="34" fillId="0" borderId="0" xfId="1" applyFont="1" applyFill="1" applyAlignment="1"/>
    <xf numFmtId="0" fontId="34" fillId="0" borderId="0" xfId="0" applyFont="1" applyFill="1" applyBorder="1" applyAlignment="1"/>
    <xf numFmtId="0" fontId="28" fillId="0" borderId="0" xfId="0" applyFont="1" applyFill="1"/>
    <xf numFmtId="171" fontId="28" fillId="0" borderId="0" xfId="1" applyFont="1" applyFill="1"/>
    <xf numFmtId="2" fontId="28" fillId="0" borderId="0" xfId="0" applyNumberFormat="1" applyFont="1" applyFill="1"/>
    <xf numFmtId="0" fontId="28" fillId="0" borderId="0" xfId="0" applyFont="1" applyFill="1" applyAlignment="1">
      <alignment vertical="center"/>
    </xf>
    <xf numFmtId="0" fontId="86" fillId="0" borderId="0" xfId="0" applyFont="1" applyFill="1" applyAlignment="1">
      <alignment horizontal="center" vertical="center"/>
    </xf>
    <xf numFmtId="171" fontId="28" fillId="0" borderId="0" xfId="1" applyFont="1" applyFill="1" applyAlignment="1">
      <alignment vertical="center"/>
    </xf>
    <xf numFmtId="0" fontId="40" fillId="0" borderId="0" xfId="0" applyFont="1" applyFill="1"/>
    <xf numFmtId="0" fontId="34" fillId="0" borderId="0" xfId="0" applyFont="1" applyFill="1" applyAlignment="1">
      <alignment vertical="top"/>
    </xf>
    <xf numFmtId="0" fontId="28" fillId="0" borderId="0" xfId="0" applyFont="1" applyFill="1" applyAlignment="1">
      <alignment vertical="center" wrapText="1"/>
    </xf>
    <xf numFmtId="179" fontId="29" fillId="0" borderId="0" xfId="1" applyNumberFormat="1" applyFont="1" applyFill="1"/>
    <xf numFmtId="179" fontId="29" fillId="0" borderId="0" xfId="1" applyNumberFormat="1" applyFont="1" applyFill="1" applyAlignment="1"/>
    <xf numFmtId="179" fontId="28" fillId="0" borderId="0" xfId="1" applyNumberFormat="1" applyFont="1" applyFill="1" applyAlignment="1"/>
    <xf numFmtId="179" fontId="3" fillId="0" borderId="0" xfId="1" applyNumberFormat="1" applyFont="1" applyFill="1" applyAlignment="1">
      <alignment wrapText="1"/>
    </xf>
    <xf numFmtId="179" fontId="29" fillId="0" borderId="0" xfId="1" applyNumberFormat="1" applyFont="1" applyFill="1" applyAlignment="1">
      <alignment wrapText="1"/>
    </xf>
    <xf numFmtId="179" fontId="31" fillId="0" borderId="0" xfId="1" applyNumberFormat="1" applyFont="1" applyFill="1" applyAlignment="1">
      <alignment vertical="center"/>
    </xf>
    <xf numFmtId="179" fontId="32" fillId="0" borderId="0" xfId="1" applyNumberFormat="1" applyFont="1" applyFill="1" applyAlignment="1">
      <alignment vertical="center"/>
    </xf>
    <xf numFmtId="179" fontId="33" fillId="18" borderId="0" xfId="1" applyNumberFormat="1" applyFont="1" applyFill="1"/>
    <xf numFmtId="179" fontId="34" fillId="0" borderId="0" xfId="1" applyNumberFormat="1" applyFont="1" applyFill="1"/>
    <xf numFmtId="179" fontId="29" fillId="0" borderId="0" xfId="1" applyNumberFormat="1" applyFont="1" applyFill="1" applyAlignment="1">
      <alignment vertical="center"/>
    </xf>
    <xf numFmtId="0" fontId="91" fillId="0" borderId="0" xfId="0" applyFont="1" applyFill="1" applyAlignment="1">
      <alignment vertical="center"/>
    </xf>
    <xf numFmtId="0" fontId="91" fillId="0" borderId="0" xfId="0" applyFont="1" applyFill="1" applyAlignment="1">
      <alignment horizontal="center" vertical="center"/>
    </xf>
    <xf numFmtId="0" fontId="91" fillId="0" borderId="0" xfId="0" applyFont="1" applyFill="1" applyAlignment="1">
      <alignment horizontal="center"/>
    </xf>
    <xf numFmtId="0" fontId="103" fillId="0" borderId="0" xfId="0" applyFont="1" applyFill="1"/>
    <xf numFmtId="0" fontId="114" fillId="0" borderId="0" xfId="0" applyFont="1" applyFill="1"/>
    <xf numFmtId="0" fontId="91" fillId="0" borderId="0" xfId="0" applyFont="1" applyFill="1" applyAlignment="1">
      <alignment horizontal="right" vertical="center"/>
    </xf>
    <xf numFmtId="0" fontId="103" fillId="0" borderId="0" xfId="0" applyFont="1" applyFill="1" applyAlignment="1">
      <alignment horizontal="center"/>
    </xf>
    <xf numFmtId="0" fontId="85" fillId="0" borderId="0" xfId="0" applyFont="1" applyFill="1" applyAlignment="1">
      <alignment horizontal="center"/>
    </xf>
    <xf numFmtId="0" fontId="85" fillId="0" borderId="0" xfId="0" applyFont="1" applyFill="1" applyBorder="1" applyAlignment="1">
      <alignment vertical="center"/>
    </xf>
    <xf numFmtId="0" fontId="86" fillId="0" borderId="0" xfId="0" applyFont="1" applyFill="1" applyBorder="1" applyAlignment="1">
      <alignment horizontal="center" vertical="center"/>
    </xf>
    <xf numFmtId="0" fontId="86" fillId="0" borderId="0" xfId="0" applyFont="1" applyFill="1" applyBorder="1" applyAlignment="1">
      <alignment vertical="center"/>
    </xf>
    <xf numFmtId="171" fontId="86" fillId="0" borderId="0" xfId="1" applyFont="1" applyFill="1" applyBorder="1" applyAlignment="1">
      <alignment vertical="center"/>
    </xf>
    <xf numFmtId="0" fontId="85" fillId="0" borderId="0" xfId="0" applyFont="1" applyFill="1" applyBorder="1" applyAlignment="1">
      <alignment vertical="top" wrapText="1"/>
    </xf>
    <xf numFmtId="0" fontId="86" fillId="0" borderId="0" xfId="0" applyFont="1" applyFill="1" applyBorder="1" applyAlignment="1">
      <alignment horizontal="center" vertical="top" wrapText="1"/>
    </xf>
    <xf numFmtId="0" fontId="86" fillId="0" borderId="0" xfId="0" applyFont="1" applyFill="1" applyBorder="1" applyAlignment="1">
      <alignment vertical="top" wrapText="1"/>
    </xf>
    <xf numFmtId="171" fontId="86" fillId="0" borderId="0" xfId="1" applyFont="1" applyFill="1" applyBorder="1" applyAlignment="1">
      <alignment vertical="top" wrapText="1"/>
    </xf>
    <xf numFmtId="171" fontId="80" fillId="0" borderId="28" xfId="1" applyFont="1" applyFill="1" applyBorder="1" applyAlignment="1">
      <alignment horizontal="center" vertical="center" wrapText="1"/>
    </xf>
    <xf numFmtId="0" fontId="86" fillId="0" borderId="29" xfId="0" applyFont="1" applyFill="1" applyBorder="1" applyAlignment="1">
      <alignment horizontal="center" vertical="center"/>
    </xf>
    <xf numFmtId="0" fontId="86" fillId="0" borderId="30" xfId="0" applyFont="1" applyFill="1" applyBorder="1" applyAlignment="1">
      <alignment horizontal="left" vertical="center"/>
    </xf>
    <xf numFmtId="0" fontId="86" fillId="0" borderId="30" xfId="0" applyFont="1" applyFill="1" applyBorder="1" applyAlignment="1">
      <alignment horizontal="center" vertical="center"/>
    </xf>
    <xf numFmtId="184" fontId="86" fillId="0" borderId="31" xfId="0" applyNumberFormat="1" applyFont="1" applyFill="1" applyBorder="1"/>
    <xf numFmtId="0" fontId="86" fillId="0" borderId="32" xfId="0" applyFont="1" applyFill="1" applyBorder="1"/>
    <xf numFmtId="171" fontId="86" fillId="0" borderId="30" xfId="1" applyFont="1" applyFill="1" applyBorder="1"/>
    <xf numFmtId="185" fontId="86" fillId="0" borderId="30" xfId="0" applyNumberFormat="1" applyFont="1" applyFill="1" applyBorder="1"/>
    <xf numFmtId="0" fontId="86" fillId="0" borderId="33" xfId="0" applyFont="1" applyFill="1" applyBorder="1" applyAlignment="1">
      <alignment horizontal="center" vertical="center"/>
    </xf>
    <xf numFmtId="0" fontId="10" fillId="0" borderId="34" xfId="0" applyFont="1" applyFill="1" applyBorder="1" applyAlignment="1">
      <alignment vertical="center"/>
    </xf>
    <xf numFmtId="0" fontId="80" fillId="0" borderId="34" xfId="0" applyFont="1" applyFill="1" applyBorder="1" applyAlignment="1">
      <alignment horizontal="center" vertical="center"/>
    </xf>
    <xf numFmtId="184" fontId="80" fillId="0" borderId="17" xfId="0" applyNumberFormat="1" applyFont="1" applyFill="1" applyBorder="1"/>
    <xf numFmtId="0" fontId="80" fillId="0" borderId="35" xfId="0" applyFont="1" applyFill="1" applyBorder="1"/>
    <xf numFmtId="171" fontId="80" fillId="0" borderId="34" xfId="1" applyFont="1" applyFill="1" applyBorder="1"/>
    <xf numFmtId="185" fontId="80" fillId="0" borderId="34" xfId="0" applyNumberFormat="1" applyFont="1" applyFill="1" applyBorder="1"/>
    <xf numFmtId="0" fontId="86" fillId="0" borderId="34" xfId="0" applyFont="1" applyFill="1" applyBorder="1" applyAlignment="1">
      <alignment horizontal="center" vertical="center"/>
    </xf>
    <xf numFmtId="0" fontId="86" fillId="0" borderId="35" xfId="0" applyFont="1" applyFill="1" applyBorder="1"/>
    <xf numFmtId="171" fontId="86" fillId="0" borderId="34" xfId="1" applyFont="1" applyFill="1" applyBorder="1"/>
    <xf numFmtId="185" fontId="86" fillId="0" borderId="34" xfId="0" applyNumberFormat="1" applyFont="1" applyFill="1" applyBorder="1"/>
    <xf numFmtId="0" fontId="80" fillId="0" borderId="33" xfId="0" applyFont="1" applyFill="1" applyBorder="1" applyAlignment="1">
      <alignment horizontal="center" vertical="center"/>
    </xf>
    <xf numFmtId="0" fontId="80" fillId="0" borderId="34" xfId="0" applyFont="1" applyFill="1" applyBorder="1" applyAlignment="1">
      <alignment vertical="center"/>
    </xf>
    <xf numFmtId="184" fontId="80" fillId="0" borderId="17" xfId="0" applyNumberFormat="1" applyFont="1" applyFill="1" applyBorder="1" applyAlignment="1">
      <alignment vertical="center"/>
    </xf>
    <xf numFmtId="0" fontId="80" fillId="0" borderId="35" xfId="0" applyFont="1" applyFill="1" applyBorder="1" applyAlignment="1">
      <alignment vertical="center"/>
    </xf>
    <xf numFmtId="171" fontId="80" fillId="0" borderId="34" xfId="1" applyFont="1" applyFill="1" applyBorder="1" applyAlignment="1">
      <alignment vertical="center"/>
    </xf>
    <xf numFmtId="171" fontId="80" fillId="0" borderId="34" xfId="1" applyFont="1" applyFill="1" applyBorder="1" applyAlignment="1">
      <alignment horizontal="right"/>
    </xf>
    <xf numFmtId="0" fontId="1" fillId="0" borderId="34" xfId="0" applyFont="1" applyFill="1" applyBorder="1" applyAlignment="1">
      <alignment vertical="center" wrapText="1"/>
    </xf>
    <xf numFmtId="186" fontId="80" fillId="0" borderId="17" xfId="1" applyNumberFormat="1" applyFont="1" applyFill="1" applyBorder="1" applyAlignment="1">
      <alignment horizontal="right"/>
    </xf>
    <xf numFmtId="187" fontId="80" fillId="0" borderId="35" xfId="1" applyNumberFormat="1" applyFont="1" applyFill="1" applyBorder="1" applyAlignment="1">
      <alignment horizontal="center"/>
    </xf>
    <xf numFmtId="0" fontId="80" fillId="0" borderId="34" xfId="0" applyFont="1" applyFill="1" applyBorder="1"/>
    <xf numFmtId="4" fontId="80" fillId="0" borderId="17" xfId="0" applyNumberFormat="1" applyFont="1" applyFill="1" applyBorder="1" applyAlignment="1">
      <alignment horizontal="right"/>
    </xf>
    <xf numFmtId="0" fontId="1" fillId="0" borderId="34" xfId="0" applyFont="1" applyFill="1" applyBorder="1" applyAlignment="1">
      <alignment vertical="center"/>
    </xf>
    <xf numFmtId="171" fontId="80" fillId="0" borderId="17" xfId="1" applyNumberFormat="1" applyFont="1" applyFill="1" applyBorder="1" applyAlignment="1">
      <alignment horizontal="right"/>
    </xf>
    <xf numFmtId="188" fontId="80" fillId="0" borderId="35" xfId="1" applyNumberFormat="1" applyFont="1" applyFill="1" applyBorder="1" applyAlignment="1">
      <alignment horizontal="center"/>
    </xf>
    <xf numFmtId="0" fontId="115" fillId="0" borderId="33" xfId="0" applyFont="1" applyFill="1" applyBorder="1" applyAlignment="1">
      <alignment horizontal="center" vertical="center"/>
    </xf>
    <xf numFmtId="0" fontId="115" fillId="0" borderId="34" xfId="0" applyFont="1" applyFill="1" applyBorder="1" applyAlignment="1">
      <alignment horizontal="left" vertical="center"/>
    </xf>
    <xf numFmtId="0" fontId="115" fillId="0" borderId="34" xfId="0" applyFont="1" applyFill="1" applyBorder="1" applyAlignment="1">
      <alignment horizontal="center" vertical="center"/>
    </xf>
    <xf numFmtId="171" fontId="115" fillId="0" borderId="17" xfId="1" applyFont="1" applyFill="1" applyBorder="1"/>
    <xf numFmtId="188" fontId="115" fillId="0" borderId="35" xfId="1" applyNumberFormat="1" applyFont="1" applyFill="1" applyBorder="1" applyAlignment="1">
      <alignment horizontal="center" vertical="center"/>
    </xf>
    <xf numFmtId="171" fontId="115" fillId="0" borderId="34" xfId="1" applyFont="1" applyFill="1" applyBorder="1"/>
    <xf numFmtId="0" fontId="115" fillId="0" borderId="34" xfId="0" applyFont="1" applyFill="1" applyBorder="1"/>
    <xf numFmtId="171" fontId="115" fillId="0" borderId="36" xfId="1" applyFont="1" applyFill="1" applyBorder="1"/>
    <xf numFmtId="0" fontId="115" fillId="0" borderId="37" xfId="0" applyFont="1" applyFill="1" applyBorder="1"/>
    <xf numFmtId="0" fontId="86" fillId="0" borderId="21" xfId="0" applyFont="1" applyFill="1" applyBorder="1" applyAlignment="1">
      <alignment horizontal="center" vertical="center"/>
    </xf>
    <xf numFmtId="0" fontId="86" fillId="0" borderId="38" xfId="0" applyFont="1" applyFill="1" applyBorder="1" applyAlignment="1">
      <alignment vertical="center"/>
    </xf>
    <xf numFmtId="0" fontId="86" fillId="0" borderId="39" xfId="0" applyFont="1" applyFill="1" applyBorder="1" applyAlignment="1">
      <alignment vertical="center"/>
    </xf>
    <xf numFmtId="171" fontId="86" fillId="0" borderId="21" xfId="1" applyFont="1" applyFill="1" applyBorder="1" applyAlignment="1">
      <alignment vertical="center"/>
    </xf>
    <xf numFmtId="181" fontId="86" fillId="0" borderId="21" xfId="1" applyNumberFormat="1" applyFont="1" applyFill="1" applyBorder="1" applyAlignment="1">
      <alignment vertical="center"/>
    </xf>
    <xf numFmtId="0" fontId="80" fillId="0" borderId="0" xfId="0" applyFont="1" applyFill="1" applyAlignment="1">
      <alignment horizontal="right" vertical="center"/>
    </xf>
    <xf numFmtId="171" fontId="80" fillId="0" borderId="0" xfId="1" applyFont="1" applyFill="1" applyAlignment="1">
      <alignment horizontal="right" vertical="center"/>
    </xf>
    <xf numFmtId="0" fontId="86" fillId="0" borderId="0" xfId="0" applyFont="1" applyFill="1"/>
    <xf numFmtId="171" fontId="86" fillId="0" borderId="0" xfId="1" applyFont="1" applyFill="1" applyAlignment="1">
      <alignment horizontal="center"/>
    </xf>
    <xf numFmtId="0" fontId="80" fillId="0" borderId="0" xfId="0" applyFont="1" applyFill="1" applyAlignment="1">
      <alignment horizontal="center"/>
    </xf>
    <xf numFmtId="171" fontId="80" fillId="0" borderId="0" xfId="1" applyFont="1" applyFill="1"/>
    <xf numFmtId="171" fontId="86" fillId="0" borderId="0" xfId="1" applyFont="1" applyFill="1"/>
    <xf numFmtId="0" fontId="86" fillId="0" borderId="40" xfId="0" applyFont="1" applyFill="1" applyBorder="1"/>
    <xf numFmtId="0" fontId="80" fillId="0" borderId="41" xfId="0" applyFont="1" applyFill="1" applyBorder="1"/>
    <xf numFmtId="0" fontId="86" fillId="0" borderId="41" xfId="0" applyFont="1" applyFill="1" applyBorder="1"/>
    <xf numFmtId="0" fontId="80" fillId="0" borderId="41" xfId="0" applyFont="1" applyFill="1" applyBorder="1" applyAlignment="1">
      <alignment vertical="center"/>
    </xf>
    <xf numFmtId="178" fontId="116" fillId="0" borderId="0" xfId="1" applyNumberFormat="1" applyFont="1" applyFill="1"/>
    <xf numFmtId="171" fontId="114" fillId="0" borderId="0" xfId="1" applyFont="1" applyFill="1"/>
    <xf numFmtId="171" fontId="114" fillId="0" borderId="0" xfId="0" applyNumberFormat="1" applyFont="1" applyFill="1"/>
    <xf numFmtId="171" fontId="117" fillId="0" borderId="0" xfId="0" applyNumberFormat="1" applyFont="1" applyFill="1"/>
    <xf numFmtId="171" fontId="86" fillId="0" borderId="22" xfId="1" applyFont="1" applyFill="1" applyBorder="1" applyAlignment="1">
      <alignment vertical="center"/>
    </xf>
    <xf numFmtId="171" fontId="103" fillId="0" borderId="0" xfId="0" applyNumberFormat="1" applyFont="1" applyFill="1"/>
    <xf numFmtId="0" fontId="2" fillId="0" borderId="0" xfId="0" applyFont="1" applyFill="1" applyAlignment="1">
      <alignment vertical="center"/>
    </xf>
    <xf numFmtId="0" fontId="3" fillId="0" borderId="0" xfId="0" applyNumberFormat="1" applyFont="1" applyFill="1"/>
    <xf numFmtId="0" fontId="4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116" fillId="0" borderId="0" xfId="0" applyFont="1" applyFill="1"/>
    <xf numFmtId="171" fontId="3" fillId="0" borderId="0" xfId="1" applyFont="1" applyFill="1"/>
    <xf numFmtId="178" fontId="3" fillId="0" borderId="0" xfId="1" applyNumberFormat="1" applyFont="1" applyFill="1"/>
    <xf numFmtId="0" fontId="42" fillId="0" borderId="0" xfId="0" applyFont="1" applyFill="1"/>
    <xf numFmtId="171" fontId="42" fillId="0" borderId="0" xfId="1" applyFont="1" applyFill="1"/>
    <xf numFmtId="178" fontId="42" fillId="0" borderId="0" xfId="1" applyNumberFormat="1" applyFont="1" applyFill="1"/>
    <xf numFmtId="0" fontId="9" fillId="0" borderId="42" xfId="0" applyFont="1" applyFill="1" applyBorder="1" applyAlignment="1">
      <alignment horizontal="center" vertical="center" wrapText="1"/>
    </xf>
    <xf numFmtId="0" fontId="9" fillId="0" borderId="43" xfId="0" applyFont="1" applyFill="1" applyBorder="1" applyAlignment="1">
      <alignment horizontal="center" vertical="center" wrapText="1"/>
    </xf>
    <xf numFmtId="0" fontId="9" fillId="0" borderId="43" xfId="0" applyNumberFormat="1" applyFont="1" applyFill="1" applyBorder="1" applyAlignment="1">
      <alignment horizontal="center" vertical="center" wrapText="1"/>
    </xf>
    <xf numFmtId="0" fontId="44" fillId="0" borderId="43" xfId="0" applyFont="1" applyFill="1" applyBorder="1" applyAlignment="1">
      <alignment horizontal="left" vertical="center" wrapText="1"/>
    </xf>
    <xf numFmtId="0" fontId="11" fillId="0" borderId="44" xfId="0" applyFont="1" applyFill="1" applyBorder="1" applyAlignment="1">
      <alignment horizontal="left" vertical="center" wrapText="1"/>
    </xf>
    <xf numFmtId="0" fontId="9" fillId="0" borderId="29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32" xfId="0" applyNumberFormat="1" applyFont="1" applyFill="1" applyBorder="1" applyAlignment="1">
      <alignment horizontal="center" vertical="center" wrapText="1"/>
    </xf>
    <xf numFmtId="0" fontId="44" fillId="0" borderId="32" xfId="0" applyFont="1" applyFill="1" applyBorder="1" applyAlignment="1">
      <alignment horizontal="left" vertical="center" wrapText="1"/>
    </xf>
    <xf numFmtId="189" fontId="11" fillId="0" borderId="31" xfId="0" applyNumberFormat="1" applyFont="1" applyFill="1" applyBorder="1" applyAlignment="1">
      <alignment vertical="center" wrapText="1"/>
    </xf>
    <xf numFmtId="0" fontId="81" fillId="0" borderId="33" xfId="0" applyFont="1" applyFill="1" applyBorder="1" applyAlignment="1">
      <alignment horizontal="center" vertical="center"/>
    </xf>
    <xf numFmtId="0" fontId="81" fillId="0" borderId="35" xfId="0" applyFont="1" applyFill="1" applyBorder="1" applyAlignment="1">
      <alignment horizontal="center" vertical="center"/>
    </xf>
    <xf numFmtId="0" fontId="80" fillId="0" borderId="34" xfId="1" applyNumberFormat="1" applyFont="1" applyFill="1" applyBorder="1" applyAlignment="1">
      <alignment horizontal="center"/>
    </xf>
    <xf numFmtId="14" fontId="118" fillId="0" borderId="34" xfId="0" applyNumberFormat="1" applyFont="1" applyFill="1" applyBorder="1" applyAlignment="1">
      <alignment horizontal="left" vertical="center"/>
    </xf>
    <xf numFmtId="0" fontId="118" fillId="0" borderId="34" xfId="0" applyNumberFormat="1" applyFont="1" applyFill="1" applyBorder="1" applyAlignment="1">
      <alignment horizontal="left" vertical="center"/>
    </xf>
    <xf numFmtId="14" fontId="82" fillId="0" borderId="34" xfId="0" applyNumberFormat="1" applyFont="1" applyFill="1" applyBorder="1" applyAlignment="1">
      <alignment horizontal="left" vertical="center"/>
    </xf>
    <xf numFmtId="14" fontId="80" fillId="0" borderId="34" xfId="0" applyNumberFormat="1" applyFont="1" applyFill="1" applyBorder="1" applyAlignment="1">
      <alignment horizontal="left" vertical="center"/>
    </xf>
    <xf numFmtId="0" fontId="9" fillId="0" borderId="45" xfId="0" applyFont="1" applyFill="1" applyBorder="1" applyAlignment="1">
      <alignment vertical="center" wrapText="1"/>
    </xf>
    <xf numFmtId="0" fontId="89" fillId="0" borderId="45" xfId="0" applyFont="1" applyFill="1" applyBorder="1" applyAlignment="1">
      <alignment vertical="center" wrapText="1"/>
    </xf>
    <xf numFmtId="0" fontId="9" fillId="0" borderId="28" xfId="0" applyFont="1" applyFill="1" applyBorder="1" applyAlignment="1">
      <alignment horizontal="center" vertical="center"/>
    </xf>
    <xf numFmtId="0" fontId="89" fillId="0" borderId="28" xfId="0" applyFont="1" applyFill="1" applyBorder="1" applyAlignment="1">
      <alignment horizontal="center" vertical="center"/>
    </xf>
    <xf numFmtId="0" fontId="9" fillId="0" borderId="44" xfId="0" applyFont="1" applyFill="1" applyBorder="1" applyAlignment="1">
      <alignment horizontal="center" vertical="center"/>
    </xf>
    <xf numFmtId="0" fontId="89" fillId="0" borderId="44" xfId="0" applyFont="1" applyFill="1" applyBorder="1" applyAlignment="1">
      <alignment horizontal="center" vertical="center"/>
    </xf>
    <xf numFmtId="0" fontId="11" fillId="0" borderId="32" xfId="0" applyFont="1" applyFill="1" applyBorder="1" applyAlignment="1">
      <alignment vertical="center" wrapText="1"/>
    </xf>
    <xf numFmtId="0" fontId="9" fillId="0" borderId="30" xfId="0" applyFont="1" applyFill="1" applyBorder="1" applyAlignment="1">
      <alignment horizontal="center" vertical="center"/>
    </xf>
    <xf numFmtId="0" fontId="89" fillId="0" borderId="30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19" fillId="0" borderId="0" xfId="0" applyFont="1" applyFill="1" applyAlignment="1"/>
    <xf numFmtId="0" fontId="119" fillId="0" borderId="45" xfId="0" applyFont="1" applyFill="1" applyBorder="1" applyAlignment="1">
      <alignment vertical="center" wrapText="1"/>
    </xf>
    <xf numFmtId="0" fontId="119" fillId="0" borderId="3" xfId="0" applyFont="1" applyFill="1" applyBorder="1" applyAlignment="1">
      <alignment horizontal="center" vertical="center"/>
    </xf>
    <xf numFmtId="0" fontId="119" fillId="0" borderId="44" xfId="0" applyFont="1" applyFill="1" applyBorder="1" applyAlignment="1">
      <alignment horizontal="center" vertical="center"/>
    </xf>
    <xf numFmtId="0" fontId="119" fillId="0" borderId="30" xfId="0" applyFont="1" applyFill="1" applyBorder="1" applyAlignment="1">
      <alignment horizontal="center" vertical="center"/>
    </xf>
    <xf numFmtId="0" fontId="83" fillId="0" borderId="34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 wrapText="1"/>
    </xf>
    <xf numFmtId="0" fontId="10" fillId="0" borderId="28" xfId="7" applyFont="1" applyFill="1" applyBorder="1" applyAlignment="1" applyProtection="1">
      <alignment horizontal="center" vertical="center"/>
      <protection locked="0"/>
    </xf>
    <xf numFmtId="0" fontId="9" fillId="0" borderId="28" xfId="0" applyFont="1" applyFill="1" applyBorder="1" applyAlignment="1">
      <alignment horizontal="center" vertical="center" wrapText="1"/>
    </xf>
    <xf numFmtId="0" fontId="9" fillId="0" borderId="44" xfId="0" applyFont="1" applyFill="1" applyBorder="1" applyAlignment="1">
      <alignment horizontal="center" vertical="center" wrapText="1"/>
    </xf>
    <xf numFmtId="171" fontId="9" fillId="0" borderId="44" xfId="1" applyFont="1" applyFill="1" applyBorder="1" applyAlignment="1">
      <alignment horizontal="center" vertical="center"/>
    </xf>
    <xf numFmtId="179" fontId="9" fillId="0" borderId="43" xfId="1" applyNumberFormat="1" applyFont="1" applyFill="1" applyBorder="1" applyAlignment="1">
      <alignment horizontal="center" vertical="center"/>
    </xf>
    <xf numFmtId="178" fontId="9" fillId="0" borderId="43" xfId="1" applyNumberFormat="1" applyFont="1" applyFill="1" applyBorder="1" applyAlignment="1">
      <alignment horizontal="center" vertical="center"/>
    </xf>
    <xf numFmtId="171" fontId="9" fillId="0" borderId="30" xfId="1" applyFont="1" applyFill="1" applyBorder="1" applyAlignment="1">
      <alignment horizontal="center" vertical="center"/>
    </xf>
    <xf numFmtId="178" fontId="9" fillId="0" borderId="30" xfId="1" applyNumberFormat="1" applyFont="1" applyFill="1" applyBorder="1" applyAlignment="1">
      <alignment horizontal="center" vertical="center"/>
    </xf>
    <xf numFmtId="178" fontId="81" fillId="0" borderId="34" xfId="1" applyNumberFormat="1" applyFont="1" applyFill="1" applyBorder="1" applyAlignment="1">
      <alignment horizontal="center" vertical="center" wrapText="1"/>
    </xf>
    <xf numFmtId="171" fontId="2" fillId="0" borderId="34" xfId="1" applyFont="1" applyFill="1" applyBorder="1" applyAlignment="1">
      <alignment horizontal="center" vertical="center" wrapText="1"/>
    </xf>
    <xf numFmtId="178" fontId="2" fillId="0" borderId="34" xfId="1" applyNumberFormat="1" applyFont="1" applyFill="1" applyBorder="1" applyAlignment="1">
      <alignment horizontal="center" vertical="center" wrapText="1"/>
    </xf>
    <xf numFmtId="0" fontId="3" fillId="0" borderId="0" xfId="0" applyFont="1" applyFill="1" applyAlignment="1"/>
    <xf numFmtId="0" fontId="9" fillId="0" borderId="46" xfId="0" applyFont="1" applyFill="1" applyBorder="1" applyAlignment="1">
      <alignment horizontal="center" vertical="center" wrapText="1"/>
    </xf>
    <xf numFmtId="171" fontId="9" fillId="0" borderId="3" xfId="1" applyFont="1" applyFill="1" applyBorder="1" applyAlignment="1">
      <alignment vertical="center"/>
    </xf>
    <xf numFmtId="179" fontId="2" fillId="0" borderId="34" xfId="1" applyNumberFormat="1" applyFont="1" applyFill="1" applyBorder="1" applyAlignment="1">
      <alignment horizontal="center" vertical="center"/>
    </xf>
    <xf numFmtId="0" fontId="2" fillId="19" borderId="34" xfId="0" applyFont="1" applyFill="1" applyBorder="1" applyAlignment="1">
      <alignment horizontal="center" vertical="center"/>
    </xf>
    <xf numFmtId="178" fontId="9" fillId="0" borderId="0" xfId="1" applyNumberFormat="1" applyFont="1" applyFill="1" applyAlignment="1"/>
    <xf numFmtId="178" fontId="3" fillId="0" borderId="0" xfId="1" applyNumberFormat="1" applyFont="1" applyFill="1" applyAlignment="1"/>
    <xf numFmtId="178" fontId="19" fillId="0" borderId="0" xfId="1" applyNumberFormat="1" applyFont="1" applyFill="1" applyAlignment="1"/>
    <xf numFmtId="178" fontId="9" fillId="0" borderId="47" xfId="1" applyNumberFormat="1" applyFont="1" applyFill="1" applyBorder="1" applyAlignment="1">
      <alignment horizontal="center" vertical="center" wrapText="1"/>
    </xf>
    <xf numFmtId="178" fontId="9" fillId="0" borderId="28" xfId="1" applyNumberFormat="1" applyFont="1" applyFill="1" applyBorder="1" applyAlignment="1">
      <alignment horizontal="center" vertical="center"/>
    </xf>
    <xf numFmtId="171" fontId="9" fillId="0" borderId="28" xfId="1" applyFont="1" applyFill="1" applyBorder="1" applyAlignment="1">
      <alignment horizontal="center" vertical="center"/>
    </xf>
    <xf numFmtId="171" fontId="9" fillId="0" borderId="28" xfId="1" applyFont="1" applyFill="1" applyBorder="1" applyAlignment="1">
      <alignment vertical="center"/>
    </xf>
    <xf numFmtId="178" fontId="9" fillId="0" borderId="44" xfId="1" applyNumberFormat="1" applyFont="1" applyFill="1" applyBorder="1" applyAlignment="1">
      <alignment horizontal="center" vertical="center"/>
    </xf>
    <xf numFmtId="178" fontId="9" fillId="0" borderId="48" xfId="1" applyNumberFormat="1" applyFont="1" applyFill="1" applyBorder="1" applyAlignment="1">
      <alignment vertical="center" wrapText="1"/>
    </xf>
    <xf numFmtId="171" fontId="9" fillId="0" borderId="49" xfId="1" applyFont="1" applyFill="1" applyBorder="1" applyAlignment="1">
      <alignment horizontal="center" vertical="center"/>
    </xf>
    <xf numFmtId="178" fontId="2" fillId="0" borderId="34" xfId="1" applyNumberFormat="1" applyFont="1" applyFill="1" applyBorder="1" applyAlignment="1">
      <alignment horizontal="center" vertical="center"/>
    </xf>
    <xf numFmtId="178" fontId="9" fillId="0" borderId="31" xfId="1" applyNumberFormat="1" applyFont="1" applyFill="1" applyBorder="1" applyAlignment="1">
      <alignment horizontal="center" vertical="center" wrapText="1"/>
    </xf>
    <xf numFmtId="178" fontId="2" fillId="0" borderId="17" xfId="1" applyNumberFormat="1" applyFont="1" applyFill="1" applyBorder="1" applyAlignment="1">
      <alignment horizontal="center"/>
    </xf>
    <xf numFmtId="178" fontId="2" fillId="0" borderId="17" xfId="1" applyNumberFormat="1" applyFont="1" applyFill="1" applyBorder="1" applyAlignment="1">
      <alignment horizontal="center" vertical="center"/>
    </xf>
    <xf numFmtId="171" fontId="9" fillId="0" borderId="0" xfId="1" applyFont="1" applyFill="1"/>
    <xf numFmtId="178" fontId="9" fillId="0" borderId="50" xfId="1" applyNumberFormat="1" applyFont="1" applyFill="1" applyBorder="1" applyAlignment="1">
      <alignment horizontal="center" vertical="center" wrapText="1"/>
    </xf>
    <xf numFmtId="178" fontId="9" fillId="0" borderId="51" xfId="1" applyNumberFormat="1" applyFont="1" applyFill="1" applyBorder="1" applyAlignment="1">
      <alignment horizontal="center" vertical="center" wrapText="1"/>
    </xf>
    <xf numFmtId="178" fontId="9" fillId="0" borderId="52" xfId="1" applyNumberFormat="1" applyFont="1" applyFill="1" applyBorder="1" applyAlignment="1">
      <alignment horizontal="center" vertical="center" wrapText="1"/>
    </xf>
    <xf numFmtId="178" fontId="9" fillId="0" borderId="53" xfId="1" applyNumberFormat="1" applyFont="1" applyFill="1" applyBorder="1" applyAlignment="1">
      <alignment horizontal="center" vertical="center" wrapText="1"/>
    </xf>
    <xf numFmtId="178" fontId="2" fillId="0" borderId="17" xfId="1" applyNumberFormat="1" applyFont="1" applyFill="1" applyBorder="1" applyAlignment="1">
      <alignment horizontal="center" wrapText="1"/>
    </xf>
    <xf numFmtId="178" fontId="9" fillId="0" borderId="40" xfId="1" applyNumberFormat="1" applyFont="1" applyFill="1" applyBorder="1" applyAlignment="1">
      <alignment horizontal="center" vertical="center" wrapText="1"/>
    </xf>
    <xf numFmtId="178" fontId="2" fillId="0" borderId="17" xfId="1" applyNumberFormat="1" applyFont="1" applyFill="1" applyBorder="1" applyAlignment="1">
      <alignment horizontal="center" vertical="center" wrapText="1"/>
    </xf>
    <xf numFmtId="178" fontId="2" fillId="0" borderId="41" xfId="1" applyNumberFormat="1" applyFont="1" applyFill="1" applyBorder="1" applyAlignment="1">
      <alignment horizontal="center" vertical="center" wrapText="1"/>
    </xf>
    <xf numFmtId="171" fontId="2" fillId="0" borderId="0" xfId="1" applyFont="1" applyFill="1" applyAlignment="1">
      <alignment vertical="center"/>
    </xf>
    <xf numFmtId="179" fontId="2" fillId="0" borderId="0" xfId="1" applyNumberFormat="1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81" fillId="0" borderId="54" xfId="0" applyFont="1" applyFill="1" applyBorder="1" applyAlignment="1">
      <alignment horizontal="center" vertical="center"/>
    </xf>
    <xf numFmtId="0" fontId="81" fillId="0" borderId="55" xfId="0" applyFont="1" applyFill="1" applyBorder="1" applyAlignment="1">
      <alignment horizontal="center" vertical="center"/>
    </xf>
    <xf numFmtId="14" fontId="118" fillId="0" borderId="56" xfId="0" applyNumberFormat="1" applyFont="1" applyFill="1" applyBorder="1" applyAlignment="1">
      <alignment horizontal="left" vertical="center"/>
    </xf>
    <xf numFmtId="0" fontId="118" fillId="0" borderId="56" xfId="0" applyNumberFormat="1" applyFont="1" applyFill="1" applyBorder="1" applyAlignment="1">
      <alignment horizontal="left" vertical="center"/>
    </xf>
    <xf numFmtId="0" fontId="9" fillId="0" borderId="0" xfId="0" applyFont="1" applyFill="1" applyAlignment="1">
      <alignment horizontal="left"/>
    </xf>
    <xf numFmtId="0" fontId="2" fillId="0" borderId="56" xfId="0" applyFont="1" applyFill="1" applyBorder="1" applyAlignment="1">
      <alignment horizontal="center" vertical="center"/>
    </xf>
    <xf numFmtId="0" fontId="81" fillId="0" borderId="56" xfId="0" applyFont="1" applyFill="1" applyBorder="1" applyAlignment="1">
      <alignment horizontal="center" vertical="center"/>
    </xf>
    <xf numFmtId="0" fontId="10" fillId="0" borderId="12" xfId="0" applyFont="1" applyFill="1" applyBorder="1"/>
    <xf numFmtId="0" fontId="83" fillId="0" borderId="56" xfId="0" applyFont="1" applyFill="1" applyBorder="1" applyAlignment="1">
      <alignment horizontal="center" vertical="center"/>
    </xf>
    <xf numFmtId="0" fontId="120" fillId="0" borderId="12" xfId="0" applyFont="1" applyFill="1" applyBorder="1"/>
    <xf numFmtId="0" fontId="119" fillId="0" borderId="0" xfId="0" applyFont="1" applyFill="1" applyAlignment="1"/>
    <xf numFmtId="179" fontId="2" fillId="0" borderId="34" xfId="1" applyNumberFormat="1" applyFont="1" applyFill="1" applyBorder="1" applyAlignment="1">
      <alignment horizontal="center" vertical="center" wrapText="1"/>
    </xf>
    <xf numFmtId="178" fontId="10" fillId="20" borderId="21" xfId="1" applyNumberFormat="1" applyFont="1" applyFill="1" applyBorder="1" applyAlignment="1">
      <alignment horizontal="center" wrapText="1"/>
    </xf>
    <xf numFmtId="171" fontId="10" fillId="0" borderId="21" xfId="1" applyFont="1" applyFill="1" applyBorder="1" applyAlignment="1">
      <alignment horizontal="center" wrapText="1"/>
    </xf>
    <xf numFmtId="179" fontId="10" fillId="20" borderId="21" xfId="1" applyNumberFormat="1" applyFont="1" applyFill="1" applyBorder="1" applyAlignment="1">
      <alignment horizontal="center" wrapText="1"/>
    </xf>
    <xf numFmtId="178" fontId="3" fillId="0" borderId="0" xfId="1" applyNumberFormat="1" applyFont="1" applyFill="1" applyBorder="1"/>
    <xf numFmtId="0" fontId="3" fillId="0" borderId="0" xfId="0" applyFont="1" applyFill="1" applyBorder="1"/>
    <xf numFmtId="171" fontId="9" fillId="0" borderId="0" xfId="1" applyFont="1" applyFill="1" applyAlignment="1"/>
    <xf numFmtId="179" fontId="2" fillId="0" borderId="56" xfId="1" applyNumberFormat="1" applyFont="1" applyFill="1" applyBorder="1" applyAlignment="1">
      <alignment horizontal="center" vertical="center"/>
    </xf>
    <xf numFmtId="179" fontId="10" fillId="0" borderId="21" xfId="1" applyNumberFormat="1" applyFont="1" applyFill="1" applyBorder="1" applyAlignment="1">
      <alignment horizontal="center" wrapText="1"/>
    </xf>
    <xf numFmtId="179" fontId="10" fillId="20" borderId="12" xfId="1" applyNumberFormat="1" applyFont="1" applyFill="1" applyBorder="1" applyAlignment="1">
      <alignment horizontal="center" wrapText="1"/>
    </xf>
    <xf numFmtId="178" fontId="2" fillId="0" borderId="56" xfId="1" applyNumberFormat="1" applyFont="1" applyFill="1" applyBorder="1" applyAlignment="1">
      <alignment horizontal="center" vertical="center"/>
    </xf>
    <xf numFmtId="178" fontId="2" fillId="0" borderId="57" xfId="1" applyNumberFormat="1" applyFont="1" applyFill="1" applyBorder="1" applyAlignment="1">
      <alignment horizontal="center" vertical="center"/>
    </xf>
    <xf numFmtId="178" fontId="10" fillId="20" borderId="12" xfId="1" applyNumberFormat="1" applyFont="1" applyFill="1" applyBorder="1" applyAlignment="1">
      <alignment horizontal="center" wrapText="1"/>
    </xf>
    <xf numFmtId="178" fontId="10" fillId="0" borderId="12" xfId="1" applyNumberFormat="1" applyFont="1" applyFill="1" applyBorder="1" applyAlignment="1">
      <alignment horizontal="center" wrapText="1"/>
    </xf>
    <xf numFmtId="171" fontId="45" fillId="0" borderId="0" xfId="1" applyFont="1" applyFill="1"/>
    <xf numFmtId="171" fontId="8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180" fontId="2" fillId="0" borderId="0" xfId="0" applyNumberFormat="1" applyFont="1" applyFill="1" applyAlignment="1">
      <alignment vertical="center"/>
    </xf>
    <xf numFmtId="171" fontId="83" fillId="0" borderId="0" xfId="0" applyNumberFormat="1" applyFont="1" applyFill="1" applyAlignment="1">
      <alignment vertical="center"/>
    </xf>
    <xf numFmtId="178" fontId="2" fillId="0" borderId="57" xfId="1" applyNumberFormat="1" applyFont="1" applyFill="1" applyBorder="1" applyAlignment="1">
      <alignment horizontal="center" vertical="center" wrapText="1"/>
    </xf>
    <xf numFmtId="178" fontId="2" fillId="0" borderId="58" xfId="1" applyNumberFormat="1" applyFont="1" applyFill="1" applyBorder="1" applyAlignment="1">
      <alignment horizontal="center" vertical="center" wrapText="1"/>
    </xf>
    <xf numFmtId="178" fontId="120" fillId="0" borderId="27" xfId="1" applyNumberFormat="1" applyFont="1" applyFill="1" applyBorder="1" applyAlignment="1">
      <alignment wrapText="1"/>
    </xf>
    <xf numFmtId="171" fontId="10" fillId="0" borderId="12" xfId="1" applyFont="1" applyFill="1" applyBorder="1" applyAlignment="1">
      <alignment horizontal="center" wrapText="1"/>
    </xf>
    <xf numFmtId="180" fontId="10" fillId="0" borderId="0" xfId="0" applyNumberFormat="1" applyFont="1" applyFill="1"/>
    <xf numFmtId="171" fontId="83" fillId="0" borderId="0" xfId="0" applyNumberFormat="1" applyFont="1" applyFill="1" applyAlignment="1">
      <alignment horizontal="center" vertical="center"/>
    </xf>
    <xf numFmtId="171" fontId="3" fillId="0" borderId="0" xfId="0" applyNumberFormat="1" applyFont="1" applyFill="1"/>
    <xf numFmtId="180" fontId="3" fillId="0" borderId="0" xfId="0" applyNumberFormat="1" applyFont="1" applyFill="1"/>
    <xf numFmtId="0" fontId="3" fillId="0" borderId="0" xfId="0" applyFont="1" applyFill="1" applyAlignment="1">
      <alignment vertical="center"/>
    </xf>
    <xf numFmtId="0" fontId="46" fillId="0" borderId="0" xfId="0" applyFont="1" applyFill="1"/>
    <xf numFmtId="0" fontId="121" fillId="0" borderId="0" xfId="0" applyFont="1" applyFill="1"/>
    <xf numFmtId="0" fontId="87" fillId="0" borderId="0" xfId="0" applyFont="1" applyFill="1"/>
    <xf numFmtId="0" fontId="47" fillId="0" borderId="0" xfId="0" applyFont="1" applyFill="1"/>
    <xf numFmtId="0" fontId="48" fillId="0" borderId="0" xfId="0" applyFont="1" applyFill="1" applyAlignment="1">
      <alignment horizontal="left"/>
    </xf>
    <xf numFmtId="0" fontId="11" fillId="0" borderId="43" xfId="0" applyFont="1" applyFill="1" applyBorder="1" applyAlignment="1">
      <alignment horizontal="left" vertical="center" wrapText="1"/>
    </xf>
    <xf numFmtId="0" fontId="9" fillId="0" borderId="44" xfId="0" applyFont="1" applyFill="1" applyBorder="1" applyAlignment="1">
      <alignment horizontal="left" vertical="center" wrapText="1"/>
    </xf>
    <xf numFmtId="14" fontId="122" fillId="0" borderId="34" xfId="0" applyNumberFormat="1" applyFont="1" applyFill="1" applyBorder="1" applyAlignment="1">
      <alignment horizontal="left" vertical="center"/>
    </xf>
    <xf numFmtId="0" fontId="122" fillId="0" borderId="34" xfId="0" applyNumberFormat="1" applyFont="1" applyFill="1" applyBorder="1" applyAlignment="1">
      <alignment horizontal="left" vertical="center"/>
    </xf>
    <xf numFmtId="0" fontId="49" fillId="0" borderId="28" xfId="0" applyFont="1" applyFill="1" applyBorder="1" applyAlignment="1">
      <alignment vertical="center" wrapText="1"/>
    </xf>
    <xf numFmtId="0" fontId="9" fillId="0" borderId="49" xfId="0" applyFont="1" applyFill="1" applyBorder="1" applyAlignment="1">
      <alignment horizontal="center" vertical="center"/>
    </xf>
    <xf numFmtId="178" fontId="2" fillId="0" borderId="56" xfId="1" applyNumberFormat="1" applyFont="1" applyFill="1" applyBorder="1" applyAlignment="1">
      <alignment horizontal="center" vertical="center" wrapText="1"/>
    </xf>
    <xf numFmtId="178" fontId="2" fillId="0" borderId="3" xfId="1" applyNumberFormat="1" applyFont="1" applyFill="1" applyBorder="1" applyAlignment="1">
      <alignment horizontal="center" vertical="center" wrapText="1"/>
    </xf>
    <xf numFmtId="178" fontId="9" fillId="0" borderId="49" xfId="1" applyNumberFormat="1" applyFont="1" applyFill="1" applyBorder="1" applyAlignment="1">
      <alignment horizontal="center" vertical="center"/>
    </xf>
    <xf numFmtId="178" fontId="2" fillId="0" borderId="49" xfId="1" applyNumberFormat="1" applyFont="1" applyFill="1" applyBorder="1" applyAlignment="1">
      <alignment horizontal="center" vertical="center" wrapText="1"/>
    </xf>
    <xf numFmtId="179" fontId="86" fillId="0" borderId="28" xfId="1" applyNumberFormat="1" applyFont="1" applyFill="1" applyBorder="1" applyAlignment="1">
      <alignment vertical="center" wrapText="1"/>
    </xf>
    <xf numFmtId="178" fontId="9" fillId="0" borderId="3" xfId="1" applyNumberFormat="1" applyFont="1" applyFill="1" applyBorder="1" applyAlignment="1">
      <alignment vertical="center"/>
    </xf>
    <xf numFmtId="0" fontId="9" fillId="0" borderId="47" xfId="0" applyFont="1" applyFill="1" applyBorder="1" applyAlignment="1">
      <alignment horizontal="center" vertical="center" wrapText="1"/>
    </xf>
    <xf numFmtId="178" fontId="9" fillId="0" borderId="37" xfId="1" applyNumberFormat="1" applyFont="1" applyFill="1" applyBorder="1" applyAlignment="1">
      <alignment horizontal="center" vertical="center"/>
    </xf>
    <xf numFmtId="171" fontId="9" fillId="0" borderId="48" xfId="1" applyFont="1" applyFill="1" applyBorder="1" applyAlignment="1">
      <alignment vertical="center" wrapText="1"/>
    </xf>
    <xf numFmtId="171" fontId="2" fillId="0" borderId="17" xfId="1" applyFont="1" applyFill="1" applyBorder="1" applyAlignment="1">
      <alignment horizontal="center" vertical="center"/>
    </xf>
    <xf numFmtId="190" fontId="1" fillId="0" borderId="17" xfId="0" applyNumberFormat="1" applyFont="1" applyFill="1" applyBorder="1" applyAlignment="1">
      <alignment horizontal="center" vertical="center"/>
    </xf>
    <xf numFmtId="191" fontId="1" fillId="0" borderId="17" xfId="0" applyNumberFormat="1" applyFont="1" applyFill="1" applyBorder="1" applyAlignment="1">
      <alignment horizontal="center" vertical="center"/>
    </xf>
    <xf numFmtId="171" fontId="9" fillId="0" borderId="0" xfId="1" applyFont="1" applyFill="1" applyAlignment="1">
      <alignment horizontal="center"/>
    </xf>
    <xf numFmtId="171" fontId="3" fillId="0" borderId="0" xfId="1" applyFont="1" applyFill="1" applyAlignment="1">
      <alignment horizontal="center"/>
    </xf>
    <xf numFmtId="171" fontId="19" fillId="0" borderId="0" xfId="1" applyFont="1" applyFill="1" applyAlignment="1">
      <alignment horizontal="center"/>
    </xf>
    <xf numFmtId="171" fontId="3" fillId="0" borderId="0" xfId="1" applyFont="1" applyFill="1" applyBorder="1" applyAlignment="1">
      <alignment horizontal="center"/>
    </xf>
    <xf numFmtId="0" fontId="9" fillId="0" borderId="59" xfId="0" applyFont="1" applyFill="1" applyBorder="1" applyAlignment="1">
      <alignment horizontal="center" vertical="center" wrapText="1"/>
    </xf>
    <xf numFmtId="171" fontId="9" fillId="0" borderId="0" xfId="1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178" fontId="9" fillId="0" borderId="30" xfId="1" applyNumberFormat="1" applyFont="1" applyFill="1" applyBorder="1" applyAlignment="1">
      <alignment horizontal="center" vertical="center" wrapText="1"/>
    </xf>
    <xf numFmtId="171" fontId="2" fillId="0" borderId="0" xfId="1" applyFont="1" applyFill="1" applyBorder="1" applyAlignment="1">
      <alignment horizontal="center" vertical="center" wrapText="1"/>
    </xf>
    <xf numFmtId="0" fontId="123" fillId="0" borderId="2" xfId="0" applyFont="1" applyFill="1" applyBorder="1" applyAlignment="1">
      <alignment horizontal="center"/>
    </xf>
    <xf numFmtId="0" fontId="123" fillId="0" borderId="16" xfId="0" applyFont="1" applyFill="1" applyBorder="1" applyAlignment="1">
      <alignment horizontal="center"/>
    </xf>
    <xf numFmtId="0" fontId="123" fillId="0" borderId="16" xfId="0" applyNumberFormat="1" applyFont="1" applyFill="1" applyBorder="1" applyAlignment="1">
      <alignment horizontal="center"/>
    </xf>
    <xf numFmtId="0" fontId="122" fillId="0" borderId="16" xfId="0" applyFont="1" applyFill="1" applyBorder="1" applyAlignment="1">
      <alignment horizontal="left"/>
    </xf>
    <xf numFmtId="0" fontId="123" fillId="0" borderId="3" xfId="0" applyFont="1" applyFill="1" applyBorder="1" applyAlignment="1">
      <alignment horizontal="left" wrapText="1"/>
    </xf>
    <xf numFmtId="0" fontId="121" fillId="0" borderId="0" xfId="0" applyNumberFormat="1" applyFont="1" applyFill="1"/>
    <xf numFmtId="0" fontId="124" fillId="0" borderId="0" xfId="0" applyFont="1" applyFill="1" applyAlignment="1">
      <alignment horizontal="left"/>
    </xf>
    <xf numFmtId="0" fontId="121" fillId="0" borderId="0" xfId="0" applyFont="1" applyFill="1" applyAlignment="1">
      <alignment horizontal="left"/>
    </xf>
    <xf numFmtId="0" fontId="87" fillId="0" borderId="0" xfId="0" applyNumberFormat="1" applyFont="1" applyFill="1"/>
    <xf numFmtId="0" fontId="87" fillId="0" borderId="0" xfId="0" applyFont="1" applyFill="1" applyAlignment="1">
      <alignment horizontal="left"/>
    </xf>
    <xf numFmtId="0" fontId="47" fillId="0" borderId="0" xfId="0" applyNumberFormat="1" applyFont="1" applyFill="1"/>
    <xf numFmtId="0" fontId="47" fillId="0" borderId="0" xfId="0" applyFont="1" applyFill="1" applyAlignment="1">
      <alignment horizontal="left"/>
    </xf>
    <xf numFmtId="0" fontId="45" fillId="0" borderId="3" xfId="0" applyFont="1" applyFill="1" applyBorder="1" applyAlignment="1">
      <alignment horizontal="center"/>
    </xf>
    <xf numFmtId="0" fontId="125" fillId="0" borderId="3" xfId="0" applyFont="1" applyFill="1" applyBorder="1" applyAlignment="1">
      <alignment horizontal="center"/>
    </xf>
    <xf numFmtId="0" fontId="86" fillId="0" borderId="12" xfId="0" applyFont="1" applyFill="1" applyBorder="1"/>
    <xf numFmtId="178" fontId="47" fillId="0" borderId="3" xfId="1" applyNumberFormat="1" applyFont="1" applyFill="1" applyBorder="1" applyAlignment="1">
      <alignment horizontal="center" wrapText="1"/>
    </xf>
    <xf numFmtId="171" fontId="3" fillId="0" borderId="37" xfId="1" applyFont="1" applyFill="1" applyBorder="1" applyAlignment="1">
      <alignment horizontal="center" wrapText="1"/>
    </xf>
    <xf numFmtId="178" fontId="121" fillId="0" borderId="0" xfId="1" applyNumberFormat="1" applyFont="1" applyFill="1"/>
    <xf numFmtId="171" fontId="121" fillId="0" borderId="0" xfId="1" applyFont="1" applyFill="1"/>
    <xf numFmtId="178" fontId="87" fillId="0" borderId="0" xfId="1" applyNumberFormat="1" applyFont="1" applyFill="1"/>
    <xf numFmtId="171" fontId="87" fillId="0" borderId="0" xfId="1" applyFont="1" applyFill="1"/>
    <xf numFmtId="0" fontId="47" fillId="0" borderId="3" xfId="0" applyFont="1" applyFill="1" applyBorder="1" applyAlignment="1">
      <alignment horizontal="center"/>
    </xf>
    <xf numFmtId="178" fontId="47" fillId="0" borderId="3" xfId="1" applyNumberFormat="1" applyFont="1" applyFill="1" applyBorder="1" applyAlignment="1">
      <alignment horizontal="center"/>
    </xf>
    <xf numFmtId="179" fontId="10" fillId="0" borderId="12" xfId="1" applyNumberFormat="1" applyFont="1" applyFill="1" applyBorder="1" applyAlignment="1">
      <alignment horizontal="center" wrapText="1"/>
    </xf>
    <xf numFmtId="0" fontId="126" fillId="0" borderId="0" xfId="0" applyFont="1" applyFill="1"/>
    <xf numFmtId="178" fontId="127" fillId="0" borderId="0" xfId="1" applyNumberFormat="1" applyFont="1" applyFill="1"/>
    <xf numFmtId="171" fontId="128" fillId="0" borderId="0" xfId="1" applyFont="1" applyFill="1"/>
    <xf numFmtId="171" fontId="129" fillId="0" borderId="0" xfId="1" applyFont="1" applyFill="1"/>
    <xf numFmtId="185" fontId="3" fillId="0" borderId="3" xfId="0" applyNumberFormat="1" applyFont="1" applyFill="1" applyBorder="1" applyAlignment="1">
      <alignment horizontal="center"/>
    </xf>
    <xf numFmtId="178" fontId="3" fillId="0" borderId="3" xfId="1" applyNumberFormat="1" applyFont="1" applyFill="1" applyBorder="1" applyAlignment="1">
      <alignment horizontal="center"/>
    </xf>
    <xf numFmtId="178" fontId="126" fillId="0" borderId="0" xfId="1" applyNumberFormat="1" applyFont="1" applyFill="1"/>
    <xf numFmtId="43" fontId="126" fillId="0" borderId="0" xfId="0" applyNumberFormat="1" applyFont="1" applyFill="1"/>
    <xf numFmtId="43" fontId="87" fillId="0" borderId="0" xfId="0" applyNumberFormat="1" applyFont="1" applyFill="1" applyAlignment="1"/>
    <xf numFmtId="178" fontId="87" fillId="0" borderId="0" xfId="1" applyNumberFormat="1" applyFont="1" applyFill="1" applyAlignment="1"/>
    <xf numFmtId="0" fontId="130" fillId="0" borderId="0" xfId="0" applyFont="1" applyFill="1" applyAlignment="1"/>
    <xf numFmtId="178" fontId="130" fillId="0" borderId="0" xfId="1" applyNumberFormat="1" applyFont="1" applyFill="1" applyAlignment="1"/>
    <xf numFmtId="178" fontId="46" fillId="0" borderId="8" xfId="1" applyNumberFormat="1" applyFont="1" applyFill="1" applyBorder="1" applyAlignment="1">
      <alignment horizontal="center" wrapText="1"/>
    </xf>
    <xf numFmtId="171" fontId="46" fillId="0" borderId="0" xfId="1" applyFont="1" applyFill="1" applyBorder="1" applyAlignment="1">
      <alignment horizontal="center" wrapText="1"/>
    </xf>
    <xf numFmtId="179" fontId="10" fillId="0" borderId="0" xfId="0" applyNumberFormat="1" applyFont="1" applyFill="1"/>
    <xf numFmtId="0" fontId="87" fillId="0" borderId="0" xfId="0" applyFont="1" applyFill="1" applyAlignment="1"/>
    <xf numFmtId="171" fontId="87" fillId="0" borderId="0" xfId="1" applyFont="1" applyFill="1" applyAlignment="1">
      <alignment horizontal="center"/>
    </xf>
    <xf numFmtId="0" fontId="49" fillId="0" borderId="0" xfId="0" applyFont="1" applyFill="1" applyAlignment="1"/>
    <xf numFmtId="171" fontId="49" fillId="0" borderId="0" xfId="1" applyFont="1" applyFill="1" applyAlignment="1">
      <alignment horizontal="center"/>
    </xf>
    <xf numFmtId="0" fontId="2" fillId="0" borderId="0" xfId="0" applyFont="1" applyFill="1"/>
    <xf numFmtId="0" fontId="83" fillId="0" borderId="0" xfId="0" applyFont="1" applyFill="1"/>
    <xf numFmtId="1" fontId="3" fillId="0" borderId="0" xfId="0" applyNumberFormat="1" applyFont="1" applyFill="1"/>
    <xf numFmtId="1" fontId="9" fillId="0" borderId="43" xfId="0" applyNumberFormat="1" applyFont="1" applyFill="1" applyBorder="1" applyAlignment="1">
      <alignment horizontal="center" vertical="center" wrapText="1"/>
    </xf>
    <xf numFmtId="1" fontId="9" fillId="0" borderId="32" xfId="0" applyNumberFormat="1" applyFont="1" applyFill="1" applyBorder="1" applyAlignment="1">
      <alignment horizontal="center" vertical="center" wrapText="1"/>
    </xf>
    <xf numFmtId="0" fontId="81" fillId="0" borderId="33" xfId="0" applyFont="1" applyFill="1" applyBorder="1" applyAlignment="1">
      <alignment horizontal="center"/>
    </xf>
    <xf numFmtId="0" fontId="81" fillId="0" borderId="35" xfId="0" applyFont="1" applyFill="1" applyBorder="1" applyAlignment="1">
      <alignment horizontal="center"/>
    </xf>
    <xf numFmtId="1" fontId="118" fillId="0" borderId="34" xfId="0" applyNumberFormat="1" applyFont="1" applyFill="1" applyBorder="1" applyAlignment="1">
      <alignment horizontal="left"/>
    </xf>
    <xf numFmtId="0" fontId="83" fillId="0" borderId="35" xfId="0" applyFont="1" applyFill="1" applyBorder="1" applyAlignment="1">
      <alignment horizontal="center"/>
    </xf>
    <xf numFmtId="1" fontId="131" fillId="0" borderId="34" xfId="0" applyNumberFormat="1" applyFont="1" applyFill="1" applyBorder="1" applyAlignment="1">
      <alignment horizontal="left"/>
    </xf>
    <xf numFmtId="0" fontId="2" fillId="0" borderId="34" xfId="0" applyFont="1" applyFill="1" applyBorder="1" applyAlignment="1">
      <alignment horizontal="center"/>
    </xf>
    <xf numFmtId="0" fontId="83" fillId="0" borderId="34" xfId="0" applyFont="1" applyFill="1" applyBorder="1" applyAlignment="1">
      <alignment horizontal="center"/>
    </xf>
    <xf numFmtId="179" fontId="9" fillId="0" borderId="49" xfId="1" applyNumberFormat="1" applyFont="1" applyFill="1" applyBorder="1" applyAlignment="1">
      <alignment horizontal="center" vertical="center"/>
    </xf>
    <xf numFmtId="178" fontId="132" fillId="0" borderId="49" xfId="1" applyNumberFormat="1" applyFont="1" applyFill="1" applyBorder="1" applyAlignment="1">
      <alignment horizontal="center" wrapText="1"/>
    </xf>
    <xf numFmtId="179" fontId="132" fillId="0" borderId="49" xfId="1" applyNumberFormat="1" applyFont="1" applyFill="1" applyBorder="1" applyAlignment="1">
      <alignment horizontal="center" wrapText="1"/>
    </xf>
    <xf numFmtId="178" fontId="81" fillId="0" borderId="34" xfId="1" applyNumberFormat="1" applyFont="1" applyFill="1" applyBorder="1" applyAlignment="1">
      <alignment horizontal="center" wrapText="1"/>
    </xf>
    <xf numFmtId="171" fontId="2" fillId="0" borderId="34" xfId="1" applyFont="1" applyFill="1" applyBorder="1" applyAlignment="1">
      <alignment horizontal="center" wrapText="1"/>
    </xf>
    <xf numFmtId="178" fontId="2" fillId="0" borderId="34" xfId="1" applyNumberFormat="1" applyFont="1" applyFill="1" applyBorder="1" applyAlignment="1">
      <alignment horizontal="center" wrapText="1"/>
    </xf>
    <xf numFmtId="0" fontId="50" fillId="0" borderId="0" xfId="0" applyFont="1" applyFill="1" applyAlignment="1"/>
    <xf numFmtId="178" fontId="2" fillId="0" borderId="34" xfId="1" applyNumberFormat="1" applyFont="1" applyFill="1" applyBorder="1" applyAlignment="1">
      <alignment horizontal="center"/>
    </xf>
    <xf numFmtId="0" fontId="9" fillId="0" borderId="28" xfId="0" applyFont="1" applyFill="1" applyBorder="1" applyAlignment="1">
      <alignment vertical="center" wrapText="1"/>
    </xf>
    <xf numFmtId="178" fontId="9" fillId="0" borderId="48" xfId="1" applyNumberFormat="1" applyFont="1" applyFill="1" applyBorder="1" applyAlignment="1">
      <alignment horizontal="center" vertical="center"/>
    </xf>
    <xf numFmtId="178" fontId="9" fillId="0" borderId="31" xfId="1" applyNumberFormat="1" applyFont="1" applyFill="1" applyBorder="1" applyAlignment="1">
      <alignment horizontal="center" vertical="center"/>
    </xf>
    <xf numFmtId="191" fontId="1" fillId="0" borderId="17" xfId="0" applyNumberFormat="1" applyFont="1" applyFill="1" applyBorder="1" applyAlignment="1">
      <alignment horizontal="center"/>
    </xf>
    <xf numFmtId="178" fontId="2" fillId="0" borderId="41" xfId="1" applyNumberFormat="1" applyFont="1" applyFill="1" applyBorder="1" applyAlignment="1">
      <alignment horizontal="center" wrapText="1"/>
    </xf>
    <xf numFmtId="171" fontId="2" fillId="0" borderId="0" xfId="1" applyFont="1" applyFill="1" applyBorder="1" applyAlignment="1">
      <alignment horizontal="center" wrapText="1"/>
    </xf>
    <xf numFmtId="179" fontId="2" fillId="0" borderId="0" xfId="1" applyNumberFormat="1" applyFont="1" applyFill="1" applyAlignment="1"/>
    <xf numFmtId="178" fontId="83" fillId="0" borderId="41" xfId="1" applyNumberFormat="1" applyFont="1" applyFill="1" applyBorder="1" applyAlignment="1">
      <alignment horizontal="center" wrapText="1"/>
    </xf>
    <xf numFmtId="179" fontId="83" fillId="0" borderId="0" xfId="1" applyNumberFormat="1" applyFont="1" applyFill="1" applyAlignment="1"/>
    <xf numFmtId="1" fontId="123" fillId="0" borderId="16" xfId="0" applyNumberFormat="1" applyFont="1" applyFill="1" applyBorder="1" applyAlignment="1">
      <alignment horizontal="center"/>
    </xf>
    <xf numFmtId="0" fontId="133" fillId="0" borderId="16" xfId="0" applyFont="1" applyFill="1" applyBorder="1" applyAlignment="1">
      <alignment horizontal="left"/>
    </xf>
    <xf numFmtId="171" fontId="47" fillId="0" borderId="3" xfId="1" applyFont="1" applyFill="1" applyBorder="1" applyAlignment="1">
      <alignment horizontal="center" wrapText="1"/>
    </xf>
    <xf numFmtId="0" fontId="10" fillId="20" borderId="12" xfId="0" applyFont="1" applyFill="1" applyBorder="1"/>
    <xf numFmtId="171" fontId="1" fillId="0" borderId="0" xfId="1" applyFont="1" applyFill="1"/>
    <xf numFmtId="171" fontId="47" fillId="0" borderId="0" xfId="0" applyNumberFormat="1" applyFont="1" applyFill="1"/>
    <xf numFmtId="178" fontId="1" fillId="0" borderId="0" xfId="1" applyNumberFormat="1" applyFont="1" applyFill="1"/>
    <xf numFmtId="171" fontId="47" fillId="0" borderId="0" xfId="1" applyFont="1" applyFill="1" applyAlignment="1"/>
    <xf numFmtId="171" fontId="42" fillId="0" borderId="0" xfId="0" applyNumberFormat="1" applyFont="1" applyFill="1"/>
    <xf numFmtId="171" fontId="123" fillId="0" borderId="0" xfId="1" applyFont="1"/>
    <xf numFmtId="178" fontId="10" fillId="0" borderId="27" xfId="1" applyNumberFormat="1" applyFont="1" applyFill="1" applyBorder="1" applyAlignment="1">
      <alignment wrapText="1"/>
    </xf>
    <xf numFmtId="171" fontId="3" fillId="0" borderId="0" xfId="1" applyFont="1" applyFill="1" applyAlignment="1">
      <alignment horizontal="center" vertical="center"/>
    </xf>
    <xf numFmtId="0" fontId="83" fillId="0" borderId="0" xfId="0" applyFont="1" applyFill="1" applyAlignment="1">
      <alignment vertical="center"/>
    </xf>
    <xf numFmtId="0" fontId="81" fillId="0" borderId="0" xfId="0" applyFont="1" applyFill="1" applyAlignment="1">
      <alignment vertical="center"/>
    </xf>
    <xf numFmtId="178" fontId="3" fillId="0" borderId="0" xfId="1" applyNumberFormat="1" applyFont="1" applyFill="1" applyAlignment="1">
      <alignment vertical="center"/>
    </xf>
    <xf numFmtId="178" fontId="42" fillId="0" borderId="0" xfId="1" applyNumberFormat="1" applyFont="1" applyFill="1" applyAlignment="1">
      <alignment horizontal="center" vertical="center"/>
    </xf>
    <xf numFmtId="1" fontId="98" fillId="0" borderId="34" xfId="0" applyNumberFormat="1" applyFont="1" applyFill="1" applyBorder="1" applyAlignment="1">
      <alignment horizontal="left" vertical="center"/>
    </xf>
    <xf numFmtId="0" fontId="83" fillId="0" borderId="35" xfId="0" applyFont="1" applyFill="1" applyBorder="1" applyAlignment="1">
      <alignment horizontal="center" vertical="center"/>
    </xf>
    <xf numFmtId="1" fontId="134" fillId="0" borderId="34" xfId="0" applyNumberFormat="1" applyFont="1" applyFill="1" applyBorder="1" applyAlignment="1">
      <alignment horizontal="left" vertical="center"/>
    </xf>
    <xf numFmtId="0" fontId="90" fillId="0" borderId="28" xfId="0" applyFont="1" applyFill="1" applyBorder="1" applyAlignment="1">
      <alignment horizontal="center" vertical="center"/>
    </xf>
    <xf numFmtId="0" fontId="90" fillId="0" borderId="44" xfId="0" applyFont="1" applyFill="1" applyBorder="1" applyAlignment="1">
      <alignment horizontal="center" vertical="center"/>
    </xf>
    <xf numFmtId="0" fontId="10" fillId="0" borderId="60" xfId="7" applyFont="1" applyFill="1" applyBorder="1" applyAlignment="1" applyProtection="1">
      <alignment horizontal="center" vertical="center" wrapText="1"/>
      <protection locked="0"/>
    </xf>
    <xf numFmtId="179" fontId="9" fillId="0" borderId="28" xfId="1" applyNumberFormat="1" applyFont="1" applyFill="1" applyBorder="1" applyAlignment="1">
      <alignment horizontal="center" vertical="center"/>
    </xf>
    <xf numFmtId="171" fontId="9" fillId="0" borderId="37" xfId="1" applyFont="1" applyFill="1" applyBorder="1" applyAlignment="1">
      <alignment horizontal="center" vertical="center"/>
    </xf>
    <xf numFmtId="178" fontId="2" fillId="0" borderId="37" xfId="1" applyNumberFormat="1" applyFont="1" applyFill="1" applyBorder="1" applyAlignment="1">
      <alignment horizontal="center" vertical="center" wrapText="1"/>
    </xf>
    <xf numFmtId="179" fontId="2" fillId="0" borderId="37" xfId="1" applyNumberFormat="1" applyFont="1" applyFill="1" applyBorder="1" applyAlignment="1">
      <alignment horizontal="center" vertical="center" wrapText="1"/>
    </xf>
    <xf numFmtId="179" fontId="81" fillId="0" borderId="34" xfId="1" applyNumberFormat="1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/>
    </xf>
    <xf numFmtId="178" fontId="9" fillId="0" borderId="0" xfId="1" applyNumberFormat="1" applyFont="1" applyFill="1" applyAlignment="1">
      <alignment horizontal="center" vertical="center"/>
    </xf>
    <xf numFmtId="178" fontId="3" fillId="0" borderId="0" xfId="1" applyNumberFormat="1" applyFont="1" applyFill="1" applyAlignment="1">
      <alignment horizontal="center" vertical="center"/>
    </xf>
    <xf numFmtId="178" fontId="19" fillId="0" borderId="0" xfId="1" applyNumberFormat="1" applyFont="1" applyFill="1" applyAlignment="1">
      <alignment horizontal="center" vertical="center"/>
    </xf>
    <xf numFmtId="178" fontId="2" fillId="0" borderId="61" xfId="1" applyNumberFormat="1" applyFont="1" applyFill="1" applyBorder="1" applyAlignment="1">
      <alignment horizontal="center" vertical="center"/>
    </xf>
    <xf numFmtId="171" fontId="2" fillId="0" borderId="62" xfId="1" applyFont="1" applyFill="1" applyBorder="1" applyAlignment="1">
      <alignment horizontal="center" vertical="center"/>
    </xf>
    <xf numFmtId="171" fontId="2" fillId="0" borderId="61" xfId="1" applyFont="1" applyFill="1" applyBorder="1" applyAlignment="1">
      <alignment horizontal="center" vertical="center"/>
    </xf>
    <xf numFmtId="178" fontId="81" fillId="0" borderId="34" xfId="1" applyNumberFormat="1" applyFont="1" applyFill="1" applyBorder="1" applyAlignment="1">
      <alignment horizontal="center" vertical="center"/>
    </xf>
    <xf numFmtId="171" fontId="81" fillId="0" borderId="17" xfId="1" applyFont="1" applyFill="1" applyBorder="1" applyAlignment="1">
      <alignment horizontal="center" vertical="center"/>
    </xf>
    <xf numFmtId="171" fontId="81" fillId="0" borderId="34" xfId="1" applyFont="1" applyFill="1" applyBorder="1" applyAlignment="1">
      <alignment horizontal="center" vertical="center"/>
    </xf>
    <xf numFmtId="0" fontId="9" fillId="0" borderId="50" xfId="0" applyFont="1" applyFill="1" applyBorder="1" applyAlignment="1">
      <alignment horizontal="center" vertical="center" wrapText="1"/>
    </xf>
    <xf numFmtId="0" fontId="9" fillId="0" borderId="51" xfId="0" applyFont="1" applyFill="1" applyBorder="1" applyAlignment="1">
      <alignment horizontal="center" vertical="center" wrapText="1"/>
    </xf>
    <xf numFmtId="0" fontId="28" fillId="0" borderId="53" xfId="0" applyFont="1" applyFill="1" applyBorder="1" applyAlignment="1">
      <alignment horizontal="center" vertical="center" wrapText="1"/>
    </xf>
    <xf numFmtId="179" fontId="2" fillId="0" borderId="61" xfId="1" applyNumberFormat="1" applyFont="1" applyFill="1" applyBorder="1" applyAlignment="1">
      <alignment horizontal="center" vertical="center"/>
    </xf>
    <xf numFmtId="178" fontId="2" fillId="0" borderId="62" xfId="1" applyNumberFormat="1" applyFont="1" applyFill="1" applyBorder="1" applyAlignment="1">
      <alignment horizontal="center" vertical="center"/>
    </xf>
    <xf numFmtId="191" fontId="2" fillId="0" borderId="62" xfId="0" applyNumberFormat="1" applyFont="1" applyFill="1" applyBorder="1" applyAlignment="1">
      <alignment horizontal="center" vertical="center"/>
    </xf>
    <xf numFmtId="178" fontId="2" fillId="0" borderId="62" xfId="1" applyNumberFormat="1" applyFont="1" applyFill="1" applyBorder="1" applyAlignment="1">
      <alignment horizontal="center" vertical="center" wrapText="1"/>
    </xf>
    <xf numFmtId="0" fontId="11" fillId="0" borderId="53" xfId="0" applyFont="1" applyFill="1" applyBorder="1" applyAlignment="1">
      <alignment horizontal="center" vertical="center" wrapText="1"/>
    </xf>
    <xf numFmtId="179" fontId="81" fillId="0" borderId="34" xfId="1" applyNumberFormat="1" applyFont="1" applyFill="1" applyBorder="1" applyAlignment="1">
      <alignment horizontal="center" vertical="center"/>
    </xf>
    <xf numFmtId="178" fontId="81" fillId="0" borderId="17" xfId="1" applyNumberFormat="1" applyFont="1" applyFill="1" applyBorder="1" applyAlignment="1">
      <alignment horizontal="center" vertical="center"/>
    </xf>
    <xf numFmtId="191" fontId="81" fillId="0" borderId="17" xfId="0" applyNumberFormat="1" applyFont="1" applyFill="1" applyBorder="1" applyAlignment="1">
      <alignment horizontal="center" vertical="center"/>
    </xf>
    <xf numFmtId="178" fontId="81" fillId="0" borderId="17" xfId="1" applyNumberFormat="1" applyFont="1" applyFill="1" applyBorder="1" applyAlignment="1">
      <alignment horizontal="center" vertical="center" wrapText="1"/>
    </xf>
    <xf numFmtId="3" fontId="2" fillId="0" borderId="41" xfId="0" applyNumberFormat="1" applyFont="1" applyFill="1" applyBorder="1" applyAlignment="1">
      <alignment horizontal="center" vertical="center" wrapText="1"/>
    </xf>
    <xf numFmtId="3" fontId="83" fillId="0" borderId="41" xfId="0" applyNumberFormat="1" applyFont="1" applyFill="1" applyBorder="1" applyAlignment="1">
      <alignment horizontal="center" vertical="center" wrapText="1"/>
    </xf>
    <xf numFmtId="3" fontId="81" fillId="0" borderId="41" xfId="0" applyNumberFormat="1" applyFont="1" applyFill="1" applyBorder="1" applyAlignment="1">
      <alignment horizontal="center" vertical="center" wrapText="1"/>
    </xf>
    <xf numFmtId="178" fontId="81" fillId="0" borderId="41" xfId="1" applyNumberFormat="1" applyFont="1" applyFill="1" applyBorder="1" applyAlignment="1">
      <alignment horizontal="center" vertical="center" wrapText="1"/>
    </xf>
    <xf numFmtId="43" fontId="2" fillId="0" borderId="0" xfId="0" applyNumberFormat="1" applyFont="1" applyFill="1" applyAlignment="1">
      <alignment vertical="center"/>
    </xf>
    <xf numFmtId="179" fontId="83" fillId="0" borderId="0" xfId="1" applyNumberFormat="1" applyFont="1" applyFill="1" applyAlignment="1">
      <alignment vertical="center"/>
    </xf>
    <xf numFmtId="43" fontId="83" fillId="0" borderId="0" xfId="0" applyNumberFormat="1" applyFont="1" applyFill="1" applyAlignment="1">
      <alignment vertical="center"/>
    </xf>
    <xf numFmtId="179" fontId="81" fillId="0" borderId="0" xfId="1" applyNumberFormat="1" applyFont="1" applyFill="1" applyAlignment="1">
      <alignment vertical="center"/>
    </xf>
    <xf numFmtId="43" fontId="81" fillId="0" borderId="0" xfId="0" applyNumberFormat="1" applyFont="1" applyFill="1" applyAlignment="1">
      <alignment vertical="center"/>
    </xf>
    <xf numFmtId="0" fontId="98" fillId="0" borderId="16" xfId="0" applyFont="1" applyFill="1" applyBorder="1" applyAlignment="1">
      <alignment horizontal="left"/>
    </xf>
    <xf numFmtId="0" fontId="90" fillId="0" borderId="3" xfId="0" applyFont="1" applyFill="1" applyBorder="1" applyAlignment="1">
      <alignment horizontal="left" wrapText="1"/>
    </xf>
    <xf numFmtId="0" fontId="28" fillId="0" borderId="12" xfId="0" applyFont="1" applyFill="1" applyBorder="1"/>
    <xf numFmtId="0" fontId="91" fillId="0" borderId="12" xfId="0" applyFont="1" applyFill="1" applyBorder="1"/>
    <xf numFmtId="179" fontId="47" fillId="0" borderId="3" xfId="1" applyNumberFormat="1" applyFont="1" applyFill="1" applyBorder="1" applyAlignment="1">
      <alignment horizontal="center" wrapText="1"/>
    </xf>
    <xf numFmtId="179" fontId="3" fillId="0" borderId="3" xfId="1" applyNumberFormat="1" applyFont="1" applyFill="1" applyBorder="1" applyAlignment="1">
      <alignment horizontal="center" wrapText="1"/>
    </xf>
    <xf numFmtId="179" fontId="47" fillId="0" borderId="3" xfId="1" applyNumberFormat="1" applyFont="1" applyFill="1" applyBorder="1" applyAlignment="1">
      <alignment horizontal="center" vertical="center" wrapText="1"/>
    </xf>
    <xf numFmtId="179" fontId="28" fillId="20" borderId="12" xfId="1" applyNumberFormat="1" applyFont="1" applyFill="1" applyBorder="1" applyAlignment="1">
      <alignment horizontal="center" wrapText="1"/>
    </xf>
    <xf numFmtId="179" fontId="28" fillId="0" borderId="12" xfId="1" applyNumberFormat="1" applyFont="1" applyFill="1" applyBorder="1" applyAlignment="1">
      <alignment horizontal="center" wrapText="1"/>
    </xf>
    <xf numFmtId="179" fontId="28" fillId="0" borderId="12" xfId="0" applyNumberFormat="1" applyFont="1" applyFill="1" applyBorder="1"/>
    <xf numFmtId="178" fontId="9" fillId="0" borderId="0" xfId="1" applyNumberFormat="1" applyFont="1" applyFill="1" applyAlignment="1">
      <alignment vertical="center"/>
    </xf>
    <xf numFmtId="178" fontId="47" fillId="0" borderId="3" xfId="1" applyNumberFormat="1" applyFont="1" applyFill="1" applyBorder="1" applyAlignment="1">
      <alignment horizontal="center" vertical="center"/>
    </xf>
    <xf numFmtId="178" fontId="28" fillId="20" borderId="12" xfId="1" applyNumberFormat="1" applyFont="1" applyFill="1" applyBorder="1" applyAlignment="1">
      <alignment horizontal="center" wrapText="1"/>
    </xf>
    <xf numFmtId="171" fontId="28" fillId="0" borderId="12" xfId="1" applyNumberFormat="1" applyFont="1" applyFill="1" applyBorder="1" applyAlignment="1">
      <alignment horizontal="center" wrapText="1"/>
    </xf>
    <xf numFmtId="3" fontId="46" fillId="0" borderId="8" xfId="0" applyNumberFormat="1" applyFont="1" applyFill="1" applyBorder="1" applyAlignment="1">
      <alignment horizontal="center" wrapText="1"/>
    </xf>
    <xf numFmtId="178" fontId="28" fillId="0" borderId="12" xfId="1" applyNumberFormat="1" applyFont="1" applyFill="1" applyBorder="1" applyAlignment="1">
      <alignment horizontal="center" wrapText="1"/>
    </xf>
    <xf numFmtId="171" fontId="120" fillId="0" borderId="27" xfId="1" applyFont="1" applyFill="1" applyBorder="1" applyAlignment="1">
      <alignment wrapText="1"/>
    </xf>
    <xf numFmtId="171" fontId="28" fillId="0" borderId="12" xfId="1" applyFont="1" applyFill="1" applyBorder="1" applyAlignment="1">
      <alignment horizontal="center" wrapText="1"/>
    </xf>
    <xf numFmtId="179" fontId="28" fillId="0" borderId="0" xfId="0" applyNumberFormat="1" applyFont="1" applyFill="1"/>
    <xf numFmtId="43" fontId="28" fillId="0" borderId="0" xfId="0" applyNumberFormat="1" applyFont="1" applyFill="1"/>
    <xf numFmtId="0" fontId="85" fillId="0" borderId="0" xfId="0" applyFont="1"/>
    <xf numFmtId="0" fontId="78" fillId="5" borderId="0" xfId="0" applyFont="1" applyFill="1"/>
    <xf numFmtId="0" fontId="85" fillId="20" borderId="0" xfId="0" applyFont="1" applyFill="1"/>
    <xf numFmtId="0" fontId="78" fillId="3" borderId="0" xfId="0" applyFont="1" applyFill="1"/>
    <xf numFmtId="0" fontId="78" fillId="20" borderId="0" xfId="0" applyFont="1" applyFill="1"/>
    <xf numFmtId="178" fontId="85" fillId="20" borderId="0" xfId="1" applyNumberFormat="1" applyFont="1" applyFill="1"/>
    <xf numFmtId="178" fontId="85" fillId="0" borderId="0" xfId="1" applyNumberFormat="1" applyFont="1" applyFill="1"/>
    <xf numFmtId="0" fontId="78" fillId="4" borderId="0" xfId="0" applyFont="1" applyFill="1"/>
    <xf numFmtId="0" fontId="78" fillId="0" borderId="0" xfId="0" applyFont="1"/>
    <xf numFmtId="0" fontId="78" fillId="0" borderId="0" xfId="0" applyNumberFormat="1" applyFont="1"/>
    <xf numFmtId="0" fontId="78" fillId="0" borderId="0" xfId="0" applyNumberFormat="1" applyFont="1" applyAlignment="1">
      <alignment horizontal="center" vertical="center"/>
    </xf>
    <xf numFmtId="0" fontId="85" fillId="0" borderId="0" xfId="0" applyFont="1" applyFill="1"/>
    <xf numFmtId="179" fontId="78" fillId="0" borderId="0" xfId="1" applyNumberFormat="1" applyFont="1"/>
    <xf numFmtId="0" fontId="78" fillId="0" borderId="0" xfId="0" applyFont="1" applyAlignment="1">
      <alignment horizontal="center"/>
    </xf>
    <xf numFmtId="0" fontId="78" fillId="0" borderId="0" xfId="0" applyFont="1" applyAlignment="1">
      <alignment horizontal="center" vertical="center"/>
    </xf>
    <xf numFmtId="0" fontId="86" fillId="0" borderId="0" xfId="0" applyFont="1" applyAlignment="1">
      <alignment horizontal="center"/>
    </xf>
    <xf numFmtId="0" fontId="135" fillId="0" borderId="0" xfId="0" applyFont="1" applyAlignment="1">
      <alignment horizontal="center"/>
    </xf>
    <xf numFmtId="0" fontId="135" fillId="0" borderId="0" xfId="0" applyFont="1" applyFill="1" applyAlignment="1">
      <alignment horizontal="center"/>
    </xf>
    <xf numFmtId="0" fontId="85" fillId="20" borderId="0" xfId="0" applyNumberFormat="1" applyFont="1" applyFill="1"/>
    <xf numFmtId="179" fontId="85" fillId="0" borderId="0" xfId="1" applyNumberFormat="1" applyFont="1" applyFill="1" applyAlignment="1">
      <alignment horizontal="center"/>
    </xf>
    <xf numFmtId="0" fontId="78" fillId="6" borderId="0" xfId="0" applyNumberFormat="1" applyFont="1" applyFill="1" applyAlignment="1">
      <alignment horizontal="center"/>
    </xf>
    <xf numFmtId="0" fontId="78" fillId="0" borderId="0" xfId="0" applyFont="1" applyFill="1" applyAlignment="1">
      <alignment horizontal="center"/>
    </xf>
    <xf numFmtId="0" fontId="78" fillId="5" borderId="0" xfId="0" applyNumberFormat="1" applyFont="1" applyFill="1" applyAlignment="1">
      <alignment horizontal="center"/>
    </xf>
    <xf numFmtId="0" fontId="78" fillId="5" borderId="0" xfId="0" applyFont="1" applyFill="1" applyAlignment="1">
      <alignment horizontal="center"/>
    </xf>
    <xf numFmtId="0" fontId="78" fillId="11" borderId="0" xfId="0" applyNumberFormat="1" applyFont="1" applyFill="1" applyAlignment="1">
      <alignment horizontal="center"/>
    </xf>
    <xf numFmtId="0" fontId="78" fillId="0" borderId="0" xfId="0" applyFont="1" applyFill="1" applyBorder="1" applyAlignment="1">
      <alignment horizontal="center"/>
    </xf>
    <xf numFmtId="0" fontId="135" fillId="20" borderId="0" xfId="0" applyFont="1" applyFill="1" applyAlignment="1">
      <alignment horizontal="center"/>
    </xf>
    <xf numFmtId="0" fontId="135" fillId="0" borderId="0" xfId="0" applyNumberFormat="1" applyFont="1" applyAlignment="1">
      <alignment horizontal="center" vertical="center"/>
    </xf>
    <xf numFmtId="171" fontId="85" fillId="20" borderId="0" xfId="1" applyFont="1" applyFill="1" applyAlignment="1">
      <alignment horizontal="center"/>
    </xf>
    <xf numFmtId="0" fontId="78" fillId="0" borderId="0" xfId="0" applyNumberFormat="1" applyFont="1" applyFill="1" applyAlignment="1">
      <alignment horizontal="center" vertical="center"/>
    </xf>
    <xf numFmtId="0" fontId="78" fillId="5" borderId="0" xfId="0" applyNumberFormat="1" applyFont="1" applyFill="1" applyAlignment="1">
      <alignment horizontal="center" vertical="center"/>
    </xf>
    <xf numFmtId="0" fontId="85" fillId="5" borderId="0" xfId="0" applyFont="1" applyFill="1"/>
    <xf numFmtId="0" fontId="136" fillId="17" borderId="0" xfId="0" applyFont="1" applyFill="1" applyAlignment="1">
      <alignment horizontal="center"/>
    </xf>
    <xf numFmtId="3" fontId="78" fillId="0" borderId="0" xfId="0" applyNumberFormat="1" applyFont="1"/>
    <xf numFmtId="171" fontId="85" fillId="0" borderId="0" xfId="0" applyNumberFormat="1" applyFont="1"/>
    <xf numFmtId="3" fontId="78" fillId="0" borderId="0" xfId="0" applyNumberFormat="1" applyFont="1" applyFill="1"/>
    <xf numFmtId="3" fontId="78" fillId="5" borderId="0" xfId="0" applyNumberFormat="1" applyFont="1" applyFill="1"/>
    <xf numFmtId="171" fontId="85" fillId="5" borderId="0" xfId="0" applyNumberFormat="1" applyFont="1" applyFill="1"/>
    <xf numFmtId="0" fontId="78" fillId="18" borderId="0" xfId="0" applyFont="1" applyFill="1"/>
    <xf numFmtId="179" fontId="78" fillId="20" borderId="0" xfId="1" applyNumberFormat="1" applyFont="1" applyFill="1"/>
    <xf numFmtId="178" fontId="78" fillId="0" borderId="0" xfId="1" applyNumberFormat="1" applyFont="1"/>
    <xf numFmtId="179" fontId="78" fillId="0" borderId="0" xfId="0" applyNumberFormat="1" applyFont="1"/>
    <xf numFmtId="178" fontId="78" fillId="0" borderId="0" xfId="0" applyNumberFormat="1" applyFont="1"/>
    <xf numFmtId="179" fontId="78" fillId="0" borderId="0" xfId="1" applyNumberFormat="1" applyFont="1" applyFill="1"/>
    <xf numFmtId="179" fontId="78" fillId="5" borderId="0" xfId="0" applyNumberFormat="1" applyFont="1" applyFill="1"/>
    <xf numFmtId="179" fontId="78" fillId="5" borderId="0" xfId="1" applyNumberFormat="1" applyFont="1" applyFill="1"/>
    <xf numFmtId="179" fontId="78" fillId="18" borderId="0" xfId="0" applyNumberFormat="1" applyFont="1" applyFill="1"/>
    <xf numFmtId="178" fontId="85" fillId="0" borderId="0" xfId="1" applyNumberFormat="1" applyFont="1"/>
    <xf numFmtId="171" fontId="85" fillId="0" borderId="0" xfId="1" applyFont="1"/>
    <xf numFmtId="178" fontId="85" fillId="0" borderId="0" xfId="0" applyNumberFormat="1" applyFont="1"/>
    <xf numFmtId="0" fontId="78" fillId="16" borderId="0" xfId="0" applyNumberFormat="1" applyFont="1" applyFill="1" applyAlignment="1">
      <alignment horizontal="center"/>
    </xf>
    <xf numFmtId="0" fontId="78" fillId="21" borderId="0" xfId="0" applyNumberFormat="1" applyFont="1" applyFill="1" applyAlignment="1">
      <alignment horizontal="center"/>
    </xf>
    <xf numFmtId="0" fontId="85" fillId="20" borderId="0" xfId="0" applyFont="1" applyFill="1" applyAlignment="1">
      <alignment horizontal="center"/>
    </xf>
    <xf numFmtId="178" fontId="85" fillId="20" borderId="0" xfId="1" applyNumberFormat="1" applyFont="1" applyFill="1" applyAlignment="1">
      <alignment horizontal="center"/>
    </xf>
    <xf numFmtId="179" fontId="85" fillId="20" borderId="0" xfId="0" applyNumberFormat="1" applyFont="1" applyFill="1"/>
    <xf numFmtId="0" fontId="78" fillId="3" borderId="0" xfId="0" applyNumberFormat="1" applyFont="1" applyFill="1" applyAlignment="1">
      <alignment horizontal="center"/>
    </xf>
    <xf numFmtId="0" fontId="78" fillId="3" borderId="0" xfId="0" applyFont="1" applyFill="1" applyAlignment="1">
      <alignment horizontal="center"/>
    </xf>
    <xf numFmtId="0" fontId="78" fillId="3" borderId="0" xfId="0" applyNumberFormat="1" applyFont="1" applyFill="1" applyAlignment="1">
      <alignment horizontal="center" vertical="center"/>
    </xf>
    <xf numFmtId="0" fontId="85" fillId="3" borderId="0" xfId="0" applyFont="1" applyFill="1"/>
    <xf numFmtId="3" fontId="78" fillId="3" borderId="0" xfId="0" applyNumberFormat="1" applyFont="1" applyFill="1"/>
    <xf numFmtId="171" fontId="85" fillId="3" borderId="0" xfId="0" applyNumberFormat="1" applyFont="1" applyFill="1"/>
    <xf numFmtId="179" fontId="78" fillId="3" borderId="0" xfId="1" applyNumberFormat="1" applyFont="1" applyFill="1"/>
    <xf numFmtId="179" fontId="78" fillId="3" borderId="0" xfId="0" applyNumberFormat="1" applyFont="1" applyFill="1"/>
    <xf numFmtId="0" fontId="78" fillId="15" borderId="0" xfId="0" applyNumberFormat="1" applyFont="1" applyFill="1" applyAlignment="1">
      <alignment horizontal="center"/>
    </xf>
    <xf numFmtId="0" fontId="135" fillId="0" borderId="0" xfId="0" applyFont="1" applyFill="1"/>
    <xf numFmtId="0" fontId="135" fillId="20" borderId="0" xfId="0" applyFont="1" applyFill="1"/>
    <xf numFmtId="179" fontId="85" fillId="20" borderId="0" xfId="1" applyNumberFormat="1" applyFont="1" applyFill="1" applyAlignment="1">
      <alignment horizontal="center"/>
    </xf>
    <xf numFmtId="0" fontId="78" fillId="8" borderId="0" xfId="0" applyNumberFormat="1" applyFont="1" applyFill="1" applyAlignment="1">
      <alignment horizontal="center"/>
    </xf>
    <xf numFmtId="0" fontId="135" fillId="0" borderId="0" xfId="0" applyNumberFormat="1" applyFont="1" applyFill="1" applyAlignment="1">
      <alignment horizontal="center" vertical="center"/>
    </xf>
    <xf numFmtId="0" fontId="78" fillId="6" borderId="0" xfId="0" applyFont="1" applyFill="1"/>
    <xf numFmtId="179" fontId="85" fillId="6" borderId="0" xfId="0" applyNumberFormat="1" applyFont="1" applyFill="1" applyAlignment="1"/>
    <xf numFmtId="179" fontId="85" fillId="6" borderId="0" xfId="1" applyNumberFormat="1" applyFont="1" applyFill="1" applyAlignment="1"/>
    <xf numFmtId="0" fontId="78" fillId="19" borderId="0" xfId="0" applyFont="1" applyFill="1"/>
    <xf numFmtId="179" fontId="78" fillId="0" borderId="0" xfId="0" applyNumberFormat="1" applyFont="1" applyFill="1"/>
    <xf numFmtId="179" fontId="78" fillId="19" borderId="0" xfId="0" applyNumberFormat="1" applyFont="1" applyFill="1"/>
    <xf numFmtId="171" fontId="78" fillId="19" borderId="0" xfId="1" applyFont="1" applyFill="1"/>
    <xf numFmtId="178" fontId="135" fillId="19" borderId="0" xfId="1" applyNumberFormat="1" applyFont="1" applyFill="1"/>
    <xf numFmtId="179" fontId="78" fillId="20" borderId="0" xfId="0" applyNumberFormat="1" applyFont="1" applyFill="1"/>
    <xf numFmtId="0" fontId="85" fillId="6" borderId="0" xfId="0" applyFont="1" applyFill="1" applyAlignment="1"/>
    <xf numFmtId="171" fontId="85" fillId="6" borderId="0" xfId="0" applyNumberFormat="1" applyFont="1" applyFill="1" applyAlignment="1"/>
    <xf numFmtId="171" fontId="78" fillId="3" borderId="0" xfId="1" applyFont="1" applyFill="1"/>
    <xf numFmtId="171" fontId="78" fillId="0" borderId="0" xfId="1" applyFont="1" applyFill="1"/>
    <xf numFmtId="171" fontId="135" fillId="0" borderId="0" xfId="1" applyFont="1" applyFill="1"/>
    <xf numFmtId="178" fontId="78" fillId="20" borderId="0" xfId="0" applyNumberFormat="1" applyFont="1" applyFill="1"/>
    <xf numFmtId="171" fontId="78" fillId="20" borderId="0" xfId="1" applyFont="1" applyFill="1"/>
    <xf numFmtId="178" fontId="78" fillId="19" borderId="0" xfId="0" applyNumberFormat="1" applyFont="1" applyFill="1"/>
    <xf numFmtId="171" fontId="78" fillId="0" borderId="0" xfId="1" applyFont="1"/>
    <xf numFmtId="0" fontId="135" fillId="5" borderId="0" xfId="0" applyFont="1" applyFill="1" applyAlignment="1">
      <alignment horizontal="center"/>
    </xf>
    <xf numFmtId="0" fontId="78" fillId="7" borderId="0" xfId="0" applyNumberFormat="1" applyFont="1" applyFill="1" applyAlignment="1">
      <alignment horizontal="center"/>
    </xf>
    <xf numFmtId="178" fontId="78" fillId="5" borderId="0" xfId="0" applyNumberFormat="1" applyFont="1" applyFill="1"/>
    <xf numFmtId="171" fontId="78" fillId="5" borderId="0" xfId="1" applyFont="1" applyFill="1"/>
    <xf numFmtId="178" fontId="85" fillId="20" borderId="0" xfId="1" applyNumberFormat="1" applyFont="1" applyFill="1" applyAlignment="1">
      <alignment horizontal="center" vertical="center"/>
    </xf>
    <xf numFmtId="0" fontId="78" fillId="0" borderId="0" xfId="1" applyNumberFormat="1" applyFont="1" applyFill="1" applyAlignment="1">
      <alignment horizontal="center"/>
    </xf>
    <xf numFmtId="0" fontId="78" fillId="10" borderId="0" xfId="1" applyNumberFormat="1" applyFont="1" applyFill="1" applyAlignment="1">
      <alignment horizontal="center"/>
    </xf>
    <xf numFmtId="179" fontId="78" fillId="0" borderId="0" xfId="1" applyNumberFormat="1" applyFont="1" applyFill="1" applyAlignment="1">
      <alignment horizontal="center" vertical="center"/>
    </xf>
    <xf numFmtId="179" fontId="78" fillId="0" borderId="0" xfId="1" applyNumberFormat="1" applyFont="1" applyFill="1" applyAlignment="1">
      <alignment vertical="center"/>
    </xf>
    <xf numFmtId="0" fontId="135" fillId="0" borderId="0" xfId="0" applyNumberFormat="1" applyFont="1" applyFill="1" applyAlignment="1">
      <alignment horizontal="center"/>
    </xf>
    <xf numFmtId="178" fontId="85" fillId="0" borderId="0" xfId="1" applyNumberFormat="1" applyFont="1" applyFill="1" applyAlignment="1">
      <alignment horizontal="center" vertical="center"/>
    </xf>
    <xf numFmtId="179" fontId="85" fillId="0" borderId="0" xfId="0" applyNumberFormat="1" applyFont="1" applyFill="1"/>
    <xf numFmtId="171" fontId="85" fillId="20" borderId="0" xfId="1" applyFont="1" applyFill="1" applyAlignment="1">
      <alignment horizontal="center" vertical="center"/>
    </xf>
    <xf numFmtId="0" fontId="78" fillId="16" borderId="0" xfId="0" applyFont="1" applyFill="1"/>
    <xf numFmtId="178" fontId="78" fillId="19" borderId="0" xfId="1" applyNumberFormat="1" applyFont="1" applyFill="1"/>
    <xf numFmtId="0" fontId="135" fillId="0" borderId="0" xfId="0" applyFont="1"/>
    <xf numFmtId="171" fontId="85" fillId="20" borderId="0" xfId="1" applyFont="1" applyFill="1"/>
    <xf numFmtId="171" fontId="85" fillId="0" borderId="0" xfId="1" applyFont="1" applyFill="1"/>
    <xf numFmtId="0" fontId="78" fillId="4" borderId="0" xfId="0" applyNumberFormat="1" applyFont="1" applyFill="1" applyAlignment="1">
      <alignment horizontal="center"/>
    </xf>
    <xf numFmtId="179" fontId="78" fillId="4" borderId="0" xfId="0" applyNumberFormat="1" applyFont="1" applyFill="1" applyAlignment="1">
      <alignment vertical="center"/>
    </xf>
    <xf numFmtId="179" fontId="78" fillId="4" borderId="0" xfId="0" applyNumberFormat="1" applyFont="1" applyFill="1" applyAlignment="1">
      <alignment horizontal="center" vertical="center"/>
    </xf>
    <xf numFmtId="179" fontId="78" fillId="0" borderId="0" xfId="0" applyNumberFormat="1" applyFont="1" applyFill="1" applyAlignment="1">
      <alignment vertical="center"/>
    </xf>
    <xf numFmtId="179" fontId="78" fillId="0" borderId="0" xfId="0" applyNumberFormat="1" applyFont="1" applyFill="1" applyAlignment="1">
      <alignment horizontal="center" vertical="center"/>
    </xf>
    <xf numFmtId="0" fontId="78" fillId="0" borderId="0" xfId="0" applyFont="1" applyFill="1" applyAlignment="1"/>
    <xf numFmtId="0" fontId="78" fillId="0" borderId="0" xfId="0" applyFont="1" applyFill="1" applyAlignment="1">
      <alignment vertical="center"/>
    </xf>
    <xf numFmtId="179" fontId="135" fillId="0" borderId="0" xfId="1" applyNumberFormat="1" applyFont="1"/>
    <xf numFmtId="179" fontId="78" fillId="0" borderId="0" xfId="1" applyNumberFormat="1" applyFont="1" applyAlignment="1">
      <alignment horizontal="center"/>
    </xf>
    <xf numFmtId="0" fontId="78" fillId="4" borderId="0" xfId="0" applyFont="1" applyFill="1" applyAlignment="1">
      <alignment horizontal="center"/>
    </xf>
    <xf numFmtId="0" fontId="85" fillId="4" borderId="0" xfId="0" applyFont="1" applyFill="1"/>
    <xf numFmtId="188" fontId="85" fillId="0" borderId="0" xfId="1" applyNumberFormat="1" applyFont="1" applyFill="1"/>
    <xf numFmtId="171" fontId="85" fillId="0" borderId="0" xfId="0" applyNumberFormat="1" applyFont="1" applyFill="1"/>
    <xf numFmtId="3" fontId="78" fillId="4" borderId="0" xfId="0" applyNumberFormat="1" applyFont="1" applyFill="1"/>
    <xf numFmtId="171" fontId="85" fillId="4" borderId="0" xfId="0" applyNumberFormat="1" applyFont="1" applyFill="1"/>
    <xf numFmtId="171" fontId="85" fillId="0" borderId="0" xfId="1" applyFont="1" applyFill="1" applyAlignment="1">
      <alignment horizontal="center"/>
    </xf>
    <xf numFmtId="178" fontId="78" fillId="0" borderId="28" xfId="1" applyNumberFormat="1" applyFont="1" applyBorder="1" applyAlignment="1">
      <alignment horizontal="center" vertical="center" wrapText="1"/>
    </xf>
    <xf numFmtId="0" fontId="78" fillId="0" borderId="28" xfId="0" applyFont="1" applyBorder="1"/>
    <xf numFmtId="178" fontId="78" fillId="19" borderId="28" xfId="1" applyNumberFormat="1" applyFont="1" applyFill="1" applyBorder="1"/>
    <xf numFmtId="179" fontId="78" fillId="4" borderId="0" xfId="1" applyNumberFormat="1" applyFont="1" applyFill="1"/>
    <xf numFmtId="179" fontId="78" fillId="4" borderId="0" xfId="0" applyNumberFormat="1" applyFont="1" applyFill="1"/>
    <xf numFmtId="9" fontId="78" fillId="0" borderId="0" xfId="0" applyNumberFormat="1" applyFont="1"/>
    <xf numFmtId="43" fontId="78" fillId="0" borderId="0" xfId="0" applyNumberFormat="1" applyFont="1"/>
    <xf numFmtId="171" fontId="78" fillId="0" borderId="0" xfId="0" applyNumberFormat="1" applyFont="1"/>
    <xf numFmtId="178" fontId="78" fillId="6" borderId="0" xfId="1" applyNumberFormat="1" applyFont="1" applyFill="1"/>
    <xf numFmtId="180" fontId="78" fillId="0" borderId="28" xfId="0" applyNumberFormat="1" applyFont="1" applyBorder="1" applyAlignment="1">
      <alignment horizontal="center" vertical="center"/>
    </xf>
    <xf numFmtId="178" fontId="78" fillId="0" borderId="28" xfId="1" applyNumberFormat="1" applyFont="1" applyBorder="1" applyAlignment="1">
      <alignment horizontal="center" vertical="center"/>
    </xf>
    <xf numFmtId="179" fontId="78" fillId="0" borderId="28" xfId="1" applyNumberFormat="1" applyFont="1" applyBorder="1" applyAlignment="1">
      <alignment horizontal="center" vertical="center" wrapText="1"/>
    </xf>
    <xf numFmtId="0" fontId="78" fillId="0" borderId="28" xfId="0" applyFont="1" applyBorder="1" applyAlignment="1">
      <alignment horizontal="center" vertical="center" wrapText="1"/>
    </xf>
    <xf numFmtId="178" fontId="78" fillId="0" borderId="28" xfId="0" applyNumberFormat="1" applyFont="1" applyBorder="1" applyAlignment="1">
      <alignment horizontal="center" vertical="center"/>
    </xf>
    <xf numFmtId="171" fontId="78" fillId="0" borderId="28" xfId="1" applyFont="1" applyFill="1" applyBorder="1" applyAlignment="1">
      <alignment horizontal="center" vertical="center"/>
    </xf>
    <xf numFmtId="178" fontId="78" fillId="0" borderId="28" xfId="1" applyNumberFormat="1" applyFont="1" applyFill="1" applyBorder="1" applyAlignment="1">
      <alignment horizontal="center" vertical="center" wrapText="1"/>
    </xf>
    <xf numFmtId="179" fontId="78" fillId="0" borderId="28" xfId="1" applyNumberFormat="1" applyFont="1" applyFill="1" applyBorder="1" applyAlignment="1">
      <alignment horizontal="center" vertical="center" wrapText="1"/>
    </xf>
    <xf numFmtId="0" fontId="78" fillId="0" borderId="28" xfId="0" applyFont="1" applyFill="1" applyBorder="1" applyAlignment="1">
      <alignment horizontal="center" vertical="center" wrapText="1"/>
    </xf>
    <xf numFmtId="0" fontId="78" fillId="6" borderId="28" xfId="0" applyFont="1" applyFill="1" applyBorder="1"/>
    <xf numFmtId="178" fontId="78" fillId="6" borderId="28" xfId="1" applyNumberFormat="1" applyFont="1" applyFill="1" applyBorder="1"/>
    <xf numFmtId="179" fontId="78" fillId="6" borderId="28" xfId="1" applyNumberFormat="1" applyFont="1" applyFill="1" applyBorder="1"/>
    <xf numFmtId="179" fontId="78" fillId="6" borderId="28" xfId="0" applyNumberFormat="1" applyFont="1" applyFill="1" applyBorder="1"/>
    <xf numFmtId="178" fontId="137" fillId="0" borderId="0" xfId="1" applyNumberFormat="1" applyFont="1" applyFill="1"/>
    <xf numFmtId="171" fontId="78" fillId="4" borderId="0" xfId="1" applyFont="1" applyFill="1"/>
    <xf numFmtId="178" fontId="78" fillId="0" borderId="28" xfId="0" applyNumberFormat="1" applyFont="1" applyBorder="1"/>
    <xf numFmtId="178" fontId="78" fillId="19" borderId="28" xfId="0" applyNumberFormat="1" applyFont="1" applyFill="1" applyBorder="1"/>
    <xf numFmtId="43" fontId="78" fillId="6" borderId="28" xfId="0" applyNumberFormat="1" applyFont="1" applyFill="1" applyBorder="1"/>
    <xf numFmtId="171" fontId="78" fillId="6" borderId="28" xfId="1" applyFont="1" applyFill="1" applyBorder="1"/>
    <xf numFmtId="171" fontId="78" fillId="6" borderId="28" xfId="0" applyNumberFormat="1" applyFont="1" applyFill="1" applyBorder="1"/>
    <xf numFmtId="0" fontId="78" fillId="0" borderId="28" xfId="0" applyFont="1" applyFill="1" applyBorder="1"/>
    <xf numFmtId="178" fontId="78" fillId="0" borderId="28" xfId="1" applyNumberFormat="1" applyFont="1" applyBorder="1"/>
    <xf numFmtId="179" fontId="78" fillId="0" borderId="28" xfId="1" applyNumberFormat="1" applyFont="1" applyBorder="1"/>
    <xf numFmtId="171" fontId="78" fillId="0" borderId="28" xfId="1" applyFont="1" applyBorder="1"/>
    <xf numFmtId="171" fontId="123" fillId="0" borderId="0" xfId="0" applyNumberFormat="1" applyFont="1"/>
    <xf numFmtId="0" fontId="86" fillId="0" borderId="0" xfId="0" applyFont="1" applyFill="1" applyAlignment="1">
      <alignment vertical="center"/>
    </xf>
    <xf numFmtId="0" fontId="138" fillId="0" borderId="0" xfId="0" applyFont="1" applyFill="1"/>
    <xf numFmtId="0" fontId="86" fillId="20" borderId="0" xfId="0" applyFont="1" applyFill="1" applyAlignment="1">
      <alignment vertical="center"/>
    </xf>
    <xf numFmtId="0" fontId="120" fillId="0" borderId="0" xfId="0" applyFont="1" applyFill="1" applyAlignment="1">
      <alignment vertical="center"/>
    </xf>
    <xf numFmtId="0" fontId="85" fillId="0" borderId="0" xfId="0" applyFont="1" applyAlignment="1">
      <alignment horizontal="center"/>
    </xf>
    <xf numFmtId="0" fontId="85" fillId="0" borderId="37" xfId="0" applyFont="1" applyBorder="1" applyAlignment="1">
      <alignment horizontal="center" vertical="center"/>
    </xf>
    <xf numFmtId="0" fontId="85" fillId="0" borderId="3" xfId="0" applyFont="1" applyBorder="1" applyAlignment="1">
      <alignment horizontal="center" vertical="center" wrapText="1"/>
    </xf>
    <xf numFmtId="0" fontId="78" fillId="0" borderId="28" xfId="0" applyFont="1" applyBorder="1" applyAlignment="1">
      <alignment horizontal="center" vertical="center"/>
    </xf>
    <xf numFmtId="192" fontId="139" fillId="0" borderId="99" xfId="0" applyNumberFormat="1" applyFont="1" applyFill="1" applyBorder="1" applyAlignment="1">
      <alignment horizontal="center" vertical="center" wrapText="1"/>
    </xf>
    <xf numFmtId="0" fontId="78" fillId="20" borderId="28" xfId="0" applyFont="1" applyFill="1" applyBorder="1" applyAlignment="1">
      <alignment horizontal="center"/>
    </xf>
    <xf numFmtId="0" fontId="85" fillId="6" borderId="28" xfId="0" applyFont="1" applyFill="1" applyBorder="1" applyAlignment="1">
      <alignment horizontal="center"/>
    </xf>
    <xf numFmtId="0" fontId="78" fillId="0" borderId="28" xfId="0" applyFont="1" applyFill="1" applyBorder="1" applyAlignment="1">
      <alignment horizontal="center"/>
    </xf>
    <xf numFmtId="0" fontId="78" fillId="0" borderId="28" xfId="0" applyFont="1" applyFill="1" applyBorder="1" applyAlignment="1">
      <alignment horizontal="left"/>
    </xf>
    <xf numFmtId="0" fontId="140" fillId="22" borderId="99" xfId="0" applyFont="1" applyFill="1" applyBorder="1" applyAlignment="1">
      <alignment horizontal="center"/>
    </xf>
    <xf numFmtId="0" fontId="85" fillId="5" borderId="28" xfId="0" applyFont="1" applyFill="1" applyBorder="1" applyAlignment="1">
      <alignment horizontal="center"/>
    </xf>
    <xf numFmtId="0" fontId="78" fillId="18" borderId="0" xfId="0" applyFont="1" applyFill="1" applyAlignment="1">
      <alignment horizontal="center"/>
    </xf>
    <xf numFmtId="0" fontId="78" fillId="0" borderId="28" xfId="0" applyFont="1" applyFill="1" applyBorder="1" applyAlignment="1">
      <alignment horizontal="center" vertical="center"/>
    </xf>
    <xf numFmtId="0" fontId="78" fillId="18" borderId="28" xfId="0" applyFont="1" applyFill="1" applyBorder="1" applyAlignment="1">
      <alignment horizontal="center" vertical="center"/>
    </xf>
    <xf numFmtId="0" fontId="135" fillId="18" borderId="0" xfId="0" applyFont="1" applyFill="1" applyAlignment="1">
      <alignment horizontal="center"/>
    </xf>
    <xf numFmtId="0" fontId="135" fillId="18" borderId="28" xfId="0" applyFont="1" applyFill="1" applyBorder="1" applyAlignment="1">
      <alignment horizontal="center" vertical="center"/>
    </xf>
    <xf numFmtId="0" fontId="137" fillId="0" borderId="28" xfId="0" applyFont="1" applyFill="1" applyBorder="1" applyAlignment="1">
      <alignment horizontal="center" vertical="center" wrapText="1"/>
    </xf>
    <xf numFmtId="0" fontId="135" fillId="18" borderId="28" xfId="0" applyFont="1" applyFill="1" applyBorder="1" applyAlignment="1">
      <alignment horizontal="center"/>
    </xf>
    <xf numFmtId="0" fontId="135" fillId="0" borderId="28" xfId="0" applyFont="1" applyBorder="1" applyAlignment="1">
      <alignment horizontal="center" vertical="center"/>
    </xf>
    <xf numFmtId="0" fontId="49" fillId="18" borderId="28" xfId="0" applyFont="1" applyFill="1" applyBorder="1" applyAlignment="1">
      <alignment vertical="center" wrapText="1"/>
    </xf>
    <xf numFmtId="0" fontId="137" fillId="0" borderId="64" xfId="0" applyFont="1" applyFill="1" applyBorder="1" applyAlignment="1">
      <alignment horizontal="center" vertical="center" wrapText="1"/>
    </xf>
    <xf numFmtId="0" fontId="135" fillId="18" borderId="64" xfId="0" applyFont="1" applyFill="1" applyBorder="1" applyAlignment="1">
      <alignment horizontal="center"/>
    </xf>
    <xf numFmtId="0" fontId="47" fillId="18" borderId="28" xfId="0" applyFont="1" applyFill="1" applyBorder="1" applyAlignment="1">
      <alignment horizontal="center"/>
    </xf>
    <xf numFmtId="0" fontId="47" fillId="0" borderId="28" xfId="0" applyFont="1" applyFill="1" applyBorder="1" applyAlignment="1">
      <alignment horizontal="center"/>
    </xf>
    <xf numFmtId="0" fontId="85" fillId="0" borderId="0" xfId="0" applyFont="1" applyFill="1" applyBorder="1" applyAlignment="1">
      <alignment horizontal="center" wrapText="1"/>
    </xf>
    <xf numFmtId="49" fontId="78" fillId="0" borderId="0" xfId="0" applyNumberFormat="1" applyFont="1" applyFill="1" applyBorder="1" applyAlignment="1">
      <alignment wrapText="1"/>
    </xf>
    <xf numFmtId="49" fontId="78" fillId="0" borderId="36" xfId="0" applyNumberFormat="1" applyFont="1" applyFill="1" applyBorder="1" applyAlignment="1">
      <alignment horizontal="center" vertical="center" wrapText="1"/>
    </xf>
    <xf numFmtId="179" fontId="78" fillId="0" borderId="0" xfId="1" applyNumberFormat="1" applyFont="1" applyBorder="1" applyAlignment="1">
      <alignment horizontal="center" vertical="center" wrapText="1"/>
    </xf>
    <xf numFmtId="49" fontId="78" fillId="0" borderId="3" xfId="0" applyNumberFormat="1" applyFont="1" applyFill="1" applyBorder="1" applyAlignment="1">
      <alignment horizontal="center" vertical="center"/>
    </xf>
    <xf numFmtId="49" fontId="78" fillId="23" borderId="3" xfId="0" applyNumberFormat="1" applyFont="1" applyFill="1" applyBorder="1" applyAlignment="1">
      <alignment horizontal="center" vertical="center"/>
    </xf>
    <xf numFmtId="49" fontId="78" fillId="0" borderId="3" xfId="0" applyNumberFormat="1" applyFont="1" applyFill="1" applyBorder="1" applyAlignment="1">
      <alignment horizontal="center" vertical="center" wrapText="1"/>
    </xf>
    <xf numFmtId="49" fontId="78" fillId="0" borderId="0" xfId="0" applyNumberFormat="1" applyFont="1" applyFill="1" applyAlignment="1">
      <alignment vertical="center" wrapText="1"/>
    </xf>
    <xf numFmtId="0" fontId="78" fillId="0" borderId="0" xfId="0" applyFont="1" applyFill="1" applyBorder="1"/>
    <xf numFmtId="0" fontId="135" fillId="0" borderId="28" xfId="0" applyFont="1" applyFill="1" applyBorder="1" applyAlignment="1">
      <alignment horizontal="center"/>
    </xf>
    <xf numFmtId="3" fontId="78" fillId="0" borderId="28" xfId="0" applyNumberFormat="1" applyFont="1" applyFill="1" applyBorder="1"/>
    <xf numFmtId="3" fontId="135" fillId="0" borderId="0" xfId="0" applyNumberFormat="1" applyFont="1" applyFill="1" applyBorder="1"/>
    <xf numFmtId="179" fontId="78" fillId="0" borderId="0" xfId="1" applyNumberFormat="1" applyFont="1" applyFill="1" applyBorder="1"/>
    <xf numFmtId="0" fontId="85" fillId="0" borderId="0" xfId="0" applyFont="1" applyBorder="1" applyAlignment="1">
      <alignment horizontal="center" wrapText="1"/>
    </xf>
    <xf numFmtId="49" fontId="78" fillId="0" borderId="0" xfId="0" applyNumberFormat="1" applyFont="1" applyAlignment="1"/>
    <xf numFmtId="49" fontId="78" fillId="0" borderId="0" xfId="0" applyNumberFormat="1" applyFont="1" applyAlignment="1">
      <alignment horizontal="center"/>
    </xf>
    <xf numFmtId="49" fontId="78" fillId="0" borderId="0" xfId="0" applyNumberFormat="1" applyFont="1" applyBorder="1" applyAlignment="1">
      <alignment horizontal="center" vertical="center"/>
    </xf>
    <xf numFmtId="179" fontId="97" fillId="0" borderId="65" xfId="1" applyNumberFormat="1" applyFont="1" applyBorder="1" applyAlignment="1">
      <alignment horizontal="center" vertical="center"/>
    </xf>
    <xf numFmtId="49" fontId="78" fillId="0" borderId="0" xfId="0" applyNumberFormat="1" applyFont="1" applyAlignment="1">
      <alignment vertical="center"/>
    </xf>
    <xf numFmtId="179" fontId="97" fillId="0" borderId="0" xfId="1" applyNumberFormat="1" applyFont="1" applyBorder="1" applyAlignment="1">
      <alignment horizontal="center" vertical="center"/>
    </xf>
    <xf numFmtId="193" fontId="78" fillId="0" borderId="0" xfId="0" applyNumberFormat="1" applyFont="1" applyFill="1"/>
    <xf numFmtId="179" fontId="85" fillId="0" borderId="0" xfId="0" applyNumberFormat="1" applyFont="1"/>
    <xf numFmtId="0" fontId="85" fillId="4" borderId="28" xfId="0" applyFont="1" applyFill="1" applyBorder="1" applyAlignment="1">
      <alignment horizontal="center"/>
    </xf>
    <xf numFmtId="0" fontId="135" fillId="20" borderId="28" xfId="0" applyFont="1" applyFill="1" applyBorder="1" applyAlignment="1">
      <alignment horizontal="center"/>
    </xf>
    <xf numFmtId="0" fontId="85" fillId="3" borderId="28" xfId="0" applyFont="1" applyFill="1" applyBorder="1" applyAlignment="1">
      <alignment horizontal="center"/>
    </xf>
    <xf numFmtId="0" fontId="85" fillId="20" borderId="28" xfId="0" applyFont="1" applyFill="1" applyBorder="1" applyAlignment="1">
      <alignment horizontal="center" vertical="center"/>
    </xf>
    <xf numFmtId="0" fontId="85" fillId="20" borderId="28" xfId="0" applyFont="1" applyFill="1" applyBorder="1" applyAlignment="1">
      <alignment horizontal="center"/>
    </xf>
    <xf numFmtId="0" fontId="85" fillId="0" borderId="28" xfId="0" applyFont="1" applyFill="1" applyBorder="1" applyAlignment="1">
      <alignment horizontal="center" vertical="center"/>
    </xf>
    <xf numFmtId="0" fontId="85" fillId="0" borderId="28" xfId="0" applyFont="1" applyFill="1" applyBorder="1" applyAlignment="1">
      <alignment horizontal="left" vertical="center"/>
    </xf>
    <xf numFmtId="0" fontId="139" fillId="0" borderId="99" xfId="0" applyNumberFormat="1" applyFont="1" applyFill="1" applyBorder="1" applyAlignment="1">
      <alignment horizontal="center" vertical="center" wrapText="1"/>
    </xf>
    <xf numFmtId="0" fontId="85" fillId="11" borderId="28" xfId="0" applyFont="1" applyFill="1" applyBorder="1" applyAlignment="1">
      <alignment horizontal="center"/>
    </xf>
    <xf numFmtId="0" fontId="49" fillId="20" borderId="28" xfId="0" applyFont="1" applyFill="1" applyBorder="1" applyAlignment="1">
      <alignment horizontal="center" vertical="center"/>
    </xf>
    <xf numFmtId="0" fontId="49" fillId="20" borderId="64" xfId="0" applyFont="1" applyFill="1" applyBorder="1" applyAlignment="1">
      <alignment horizontal="center" vertical="center"/>
    </xf>
    <xf numFmtId="0" fontId="49" fillId="0" borderId="28" xfId="0" applyNumberFormat="1" applyFont="1" applyFill="1" applyBorder="1" applyAlignment="1">
      <alignment horizontal="center" vertical="center"/>
    </xf>
    <xf numFmtId="0" fontId="135" fillId="0" borderId="64" xfId="0" applyFont="1" applyFill="1" applyBorder="1" applyAlignment="1">
      <alignment horizontal="center"/>
    </xf>
    <xf numFmtId="0" fontId="49" fillId="0" borderId="28" xfId="0" applyFont="1" applyFill="1" applyBorder="1" applyAlignment="1">
      <alignment horizontal="center" vertical="center"/>
    </xf>
    <xf numFmtId="179" fontId="85" fillId="20" borderId="28" xfId="1" applyNumberFormat="1" applyFont="1" applyFill="1" applyBorder="1" applyAlignment="1">
      <alignment horizontal="center" vertical="center"/>
    </xf>
    <xf numFmtId="0" fontId="85" fillId="0" borderId="28" xfId="0" applyNumberFormat="1" applyFont="1" applyFill="1" applyBorder="1" applyAlignment="1">
      <alignment horizontal="center" vertical="center"/>
    </xf>
    <xf numFmtId="0" fontId="85" fillId="20" borderId="28" xfId="0" applyNumberFormat="1" applyFont="1" applyFill="1" applyBorder="1" applyAlignment="1">
      <alignment horizontal="center" vertical="center"/>
    </xf>
    <xf numFmtId="0" fontId="85" fillId="20" borderId="28" xfId="0" applyNumberFormat="1" applyFont="1" applyFill="1" applyBorder="1" applyAlignment="1">
      <alignment horizontal="center"/>
    </xf>
    <xf numFmtId="0" fontId="85" fillId="0" borderId="0" xfId="0" applyNumberFormat="1" applyFont="1" applyFill="1" applyAlignment="1">
      <alignment horizontal="center" vertical="center"/>
    </xf>
    <xf numFmtId="0" fontId="85" fillId="0" borderId="0" xfId="0" applyFont="1" applyFill="1" applyBorder="1" applyAlignment="1">
      <alignment horizontal="center" vertical="center"/>
    </xf>
    <xf numFmtId="179" fontId="85" fillId="0" borderId="0" xfId="1" applyNumberFormat="1" applyFont="1" applyFill="1" applyAlignment="1">
      <alignment vertical="center"/>
    </xf>
    <xf numFmtId="3" fontId="85" fillId="0" borderId="28" xfId="0" applyNumberFormat="1" applyFont="1" applyFill="1" applyBorder="1" applyAlignment="1">
      <alignment vertical="center"/>
    </xf>
    <xf numFmtId="193" fontId="85" fillId="0" borderId="0" xfId="0" applyNumberFormat="1" applyFont="1" applyFill="1" applyAlignment="1">
      <alignment vertical="center"/>
    </xf>
    <xf numFmtId="171" fontId="85" fillId="0" borderId="0" xfId="1" applyFont="1" applyFill="1" applyAlignment="1">
      <alignment vertical="center"/>
    </xf>
    <xf numFmtId="0" fontId="85" fillId="10" borderId="28" xfId="0" applyFont="1" applyFill="1" applyBorder="1" applyAlignment="1">
      <alignment horizontal="center"/>
    </xf>
    <xf numFmtId="0" fontId="141" fillId="22" borderId="99" xfId="0" applyFont="1" applyFill="1" applyBorder="1" applyAlignment="1">
      <alignment horizontal="center"/>
    </xf>
    <xf numFmtId="0" fontId="85" fillId="9" borderId="28" xfId="0" applyFont="1" applyFill="1" applyBorder="1" applyAlignment="1">
      <alignment horizontal="center"/>
    </xf>
    <xf numFmtId="0" fontId="135" fillId="0" borderId="28" xfId="0" applyFont="1" applyFill="1" applyBorder="1" applyAlignment="1">
      <alignment horizontal="left"/>
    </xf>
    <xf numFmtId="0" fontId="78" fillId="0" borderId="64" xfId="0" applyFont="1" applyFill="1" applyBorder="1" applyAlignment="1">
      <alignment horizontal="center"/>
    </xf>
    <xf numFmtId="0" fontId="78" fillId="0" borderId="66" xfId="0" applyFont="1" applyFill="1" applyBorder="1" applyAlignment="1">
      <alignment horizontal="left"/>
    </xf>
    <xf numFmtId="0" fontId="78" fillId="0" borderId="67" xfId="0" applyFont="1" applyFill="1" applyBorder="1" applyAlignment="1">
      <alignment horizontal="center"/>
    </xf>
    <xf numFmtId="0" fontId="139" fillId="0" borderId="99" xfId="1" applyNumberFormat="1" applyFont="1" applyFill="1" applyBorder="1" applyAlignment="1">
      <alignment horizontal="center" vertical="center" wrapText="1"/>
    </xf>
    <xf numFmtId="0" fontId="85" fillId="14" borderId="64" xfId="0" applyFont="1" applyFill="1" applyBorder="1" applyAlignment="1">
      <alignment horizontal="center"/>
    </xf>
    <xf numFmtId="0" fontId="140" fillId="22" borderId="99" xfId="0" applyFont="1" applyFill="1" applyBorder="1" applyAlignment="1">
      <alignment horizontal="center" vertical="center"/>
    </xf>
    <xf numFmtId="0" fontId="141" fillId="22" borderId="99" xfId="0" applyFont="1" applyFill="1" applyBorder="1" applyAlignment="1">
      <alignment horizontal="center" vertical="center"/>
    </xf>
    <xf numFmtId="0" fontId="141" fillId="22" borderId="100" xfId="0" applyFont="1" applyFill="1" applyBorder="1" applyAlignment="1">
      <alignment horizontal="center" vertical="center"/>
    </xf>
    <xf numFmtId="0" fontId="141" fillId="22" borderId="28" xfId="0" applyFont="1" applyFill="1" applyBorder="1" applyAlignment="1">
      <alignment horizontal="center" vertical="center"/>
    </xf>
    <xf numFmtId="0" fontId="137" fillId="0" borderId="0" xfId="0" applyFont="1" applyFill="1" applyBorder="1" applyAlignment="1">
      <alignment horizontal="center" vertical="center"/>
    </xf>
    <xf numFmtId="193" fontId="135" fillId="0" borderId="0" xfId="0" applyNumberFormat="1" applyFont="1" applyFill="1"/>
    <xf numFmtId="179" fontId="135" fillId="0" borderId="0" xfId="1" applyNumberFormat="1" applyFont="1" applyFill="1"/>
    <xf numFmtId="3" fontId="135" fillId="0" borderId="28" xfId="0" applyNumberFormat="1" applyFont="1" applyFill="1" applyBorder="1"/>
    <xf numFmtId="0" fontId="85" fillId="0" borderId="64" xfId="0" applyFont="1" applyFill="1" applyBorder="1" applyAlignment="1">
      <alignment horizontal="center" vertical="center"/>
    </xf>
    <xf numFmtId="0" fontId="85" fillId="13" borderId="66" xfId="0" applyFont="1" applyFill="1" applyBorder="1" applyAlignment="1">
      <alignment horizontal="center" vertical="center"/>
    </xf>
    <xf numFmtId="0" fontId="78" fillId="0" borderId="64" xfId="0" applyFont="1" applyFill="1" applyBorder="1" applyAlignment="1">
      <alignment horizontal="center" vertical="center"/>
    </xf>
    <xf numFmtId="0" fontId="85" fillId="20" borderId="66" xfId="0" applyFont="1" applyFill="1" applyBorder="1" applyAlignment="1">
      <alignment horizontal="center" vertical="center"/>
    </xf>
    <xf numFmtId="0" fontId="85" fillId="0" borderId="66" xfId="0" applyFont="1" applyFill="1" applyBorder="1" applyAlignment="1">
      <alignment horizontal="left" vertical="center"/>
    </xf>
    <xf numFmtId="0" fontId="85" fillId="0" borderId="67" xfId="0" applyFont="1" applyFill="1" applyBorder="1" applyAlignment="1">
      <alignment horizontal="center" vertical="center"/>
    </xf>
    <xf numFmtId="0" fontId="47" fillId="0" borderId="28" xfId="0" applyFont="1" applyFill="1" applyBorder="1" applyAlignment="1">
      <alignment horizontal="center" vertical="center"/>
    </xf>
    <xf numFmtId="0" fontId="49" fillId="18" borderId="28" xfId="0" applyFont="1" applyFill="1" applyBorder="1" applyAlignment="1">
      <alignment horizontal="center" vertical="center"/>
    </xf>
    <xf numFmtId="0" fontId="78" fillId="18" borderId="28" xfId="0" applyFont="1" applyFill="1" applyBorder="1" applyAlignment="1">
      <alignment horizontal="center"/>
    </xf>
    <xf numFmtId="0" fontId="85" fillId="0" borderId="0" xfId="0" applyFont="1" applyFill="1" applyAlignment="1">
      <alignment vertical="center"/>
    </xf>
    <xf numFmtId="0" fontId="85" fillId="20" borderId="64" xfId="0" applyFont="1" applyFill="1" applyBorder="1" applyAlignment="1">
      <alignment horizontal="center" vertical="center"/>
    </xf>
    <xf numFmtId="0" fontId="85" fillId="20" borderId="66" xfId="0" applyFont="1" applyFill="1" applyBorder="1" applyAlignment="1">
      <alignment horizontal="left" vertical="center"/>
    </xf>
    <xf numFmtId="0" fontId="85" fillId="20" borderId="67" xfId="0" applyFont="1" applyFill="1" applyBorder="1" applyAlignment="1">
      <alignment horizontal="center" vertical="center"/>
    </xf>
    <xf numFmtId="0" fontId="85" fillId="18" borderId="66" xfId="0" applyFont="1" applyFill="1" applyBorder="1" applyAlignment="1">
      <alignment horizontal="center" vertical="center"/>
    </xf>
    <xf numFmtId="0" fontId="85" fillId="12" borderId="66" xfId="0" applyFont="1" applyFill="1" applyBorder="1" applyAlignment="1">
      <alignment horizontal="center" vertical="center"/>
    </xf>
    <xf numFmtId="0" fontId="47" fillId="20" borderId="28" xfId="0" applyFont="1" applyFill="1" applyBorder="1" applyAlignment="1">
      <alignment horizontal="center" vertical="center"/>
    </xf>
    <xf numFmtId="178" fontId="85" fillId="20" borderId="28" xfId="1" applyNumberFormat="1" applyFont="1" applyFill="1" applyBorder="1" applyAlignment="1">
      <alignment horizontal="center" vertical="center"/>
    </xf>
    <xf numFmtId="0" fontId="47" fillId="20" borderId="0" xfId="0" applyNumberFormat="1" applyFont="1" applyFill="1" applyAlignment="1">
      <alignment horizontal="center" vertical="center"/>
    </xf>
    <xf numFmtId="0" fontId="47" fillId="20" borderId="0" xfId="0" applyFont="1" applyFill="1" applyBorder="1" applyAlignment="1">
      <alignment horizontal="center" vertical="center"/>
    </xf>
    <xf numFmtId="3" fontId="85" fillId="20" borderId="28" xfId="0" applyNumberFormat="1" applyFont="1" applyFill="1" applyBorder="1" applyAlignment="1">
      <alignment vertical="center"/>
    </xf>
    <xf numFmtId="0" fontId="47" fillId="20" borderId="0" xfId="0" applyFont="1" applyFill="1" applyAlignment="1">
      <alignment horizontal="center" vertical="center"/>
    </xf>
    <xf numFmtId="171" fontId="85" fillId="20" borderId="0" xfId="1" applyFont="1" applyFill="1" applyAlignment="1">
      <alignment vertical="center"/>
    </xf>
    <xf numFmtId="0" fontId="85" fillId="15" borderId="66" xfId="0" applyFont="1" applyFill="1" applyBorder="1" applyAlignment="1">
      <alignment horizontal="center" vertical="center"/>
    </xf>
    <xf numFmtId="0" fontId="137" fillId="0" borderId="64" xfId="0" applyFont="1" applyFill="1" applyBorder="1" applyAlignment="1">
      <alignment horizontal="center" vertical="center"/>
    </xf>
    <xf numFmtId="0" fontId="137" fillId="0" borderId="66" xfId="0" applyFont="1" applyFill="1" applyBorder="1" applyAlignment="1">
      <alignment horizontal="left" vertical="center"/>
    </xf>
    <xf numFmtId="0" fontId="137" fillId="0" borderId="67" xfId="0" applyFont="1" applyFill="1" applyBorder="1" applyAlignment="1">
      <alignment horizontal="center" vertical="center"/>
    </xf>
    <xf numFmtId="0" fontId="85" fillId="0" borderId="66" xfId="0" applyFont="1" applyFill="1" applyBorder="1" applyAlignment="1">
      <alignment horizontal="center" vertical="center"/>
    </xf>
    <xf numFmtId="0" fontId="78" fillId="0" borderId="66" xfId="0" applyFont="1" applyFill="1" applyBorder="1" applyAlignment="1">
      <alignment horizontal="center" vertical="center"/>
    </xf>
    <xf numFmtId="0" fontId="142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7" fillId="0" borderId="0" xfId="0" applyFont="1" applyFill="1" applyAlignment="1">
      <alignment horizontal="center"/>
    </xf>
    <xf numFmtId="0" fontId="137" fillId="18" borderId="28" xfId="0" applyFont="1" applyFill="1" applyBorder="1" applyAlignment="1">
      <alignment horizontal="center" vertical="center"/>
    </xf>
    <xf numFmtId="0" fontId="46" fillId="0" borderId="0" xfId="0" applyFont="1"/>
    <xf numFmtId="0" fontId="135" fillId="0" borderId="0" xfId="0" applyFont="1" applyFill="1" applyBorder="1" applyAlignment="1">
      <alignment horizontal="center"/>
    </xf>
    <xf numFmtId="3" fontId="85" fillId="0" borderId="28" xfId="0" applyNumberFormat="1" applyFont="1" applyFill="1" applyBorder="1" applyAlignment="1">
      <alignment horizontal="center"/>
    </xf>
    <xf numFmtId="178" fontId="143" fillId="0" borderId="0" xfId="1" applyNumberFormat="1" applyFont="1" applyFill="1" applyAlignment="1">
      <alignment horizontal="center"/>
    </xf>
    <xf numFmtId="178" fontId="123" fillId="0" borderId="0" xfId="1" applyNumberFormat="1" applyFont="1" applyFill="1" applyAlignment="1">
      <alignment horizontal="center"/>
    </xf>
    <xf numFmtId="185" fontId="78" fillId="0" borderId="0" xfId="0" applyNumberFormat="1" applyFont="1" applyFill="1" applyAlignment="1">
      <alignment horizontal="center"/>
    </xf>
    <xf numFmtId="185" fontId="78" fillId="0" borderId="0" xfId="0" applyNumberFormat="1" applyFont="1" applyFill="1"/>
    <xf numFmtId="185" fontId="78" fillId="0" borderId="0" xfId="0" applyNumberFormat="1" applyFont="1"/>
    <xf numFmtId="171" fontId="78" fillId="0" borderId="0" xfId="1" applyFont="1" applyFill="1" applyAlignment="1">
      <alignment horizontal="right" vertical="center"/>
    </xf>
    <xf numFmtId="3" fontId="78" fillId="0" borderId="0" xfId="0" applyNumberFormat="1" applyFont="1" applyFill="1" applyAlignment="1">
      <alignment horizontal="center"/>
    </xf>
    <xf numFmtId="179" fontId="78" fillId="0" borderId="28" xfId="1" applyNumberFormat="1" applyFont="1" applyFill="1" applyBorder="1" applyAlignment="1">
      <alignment horizontal="center"/>
    </xf>
    <xf numFmtId="185" fontId="78" fillId="0" borderId="28" xfId="0" applyNumberFormat="1" applyFont="1" applyFill="1" applyBorder="1" applyAlignment="1">
      <alignment horizontal="center"/>
    </xf>
    <xf numFmtId="185" fontId="78" fillId="0" borderId="0" xfId="0" applyNumberFormat="1" applyFont="1" applyAlignment="1">
      <alignment horizontal="center"/>
    </xf>
    <xf numFmtId="179" fontId="78" fillId="0" borderId="0" xfId="1" applyNumberFormat="1" applyFont="1" applyFill="1" applyAlignment="1">
      <alignment horizontal="center"/>
    </xf>
    <xf numFmtId="0" fontId="137" fillId="0" borderId="0" xfId="0" applyFont="1" applyFill="1" applyAlignment="1">
      <alignment vertical="center"/>
    </xf>
    <xf numFmtId="179" fontId="137" fillId="0" borderId="0" xfId="1" applyNumberFormat="1" applyFont="1" applyFill="1" applyAlignment="1">
      <alignment vertical="center"/>
    </xf>
    <xf numFmtId="3" fontId="137" fillId="0" borderId="28" xfId="0" applyNumberFormat="1" applyFont="1" applyFill="1" applyBorder="1" applyAlignment="1">
      <alignment vertical="center"/>
    </xf>
    <xf numFmtId="0" fontId="137" fillId="0" borderId="28" xfId="0" applyFont="1" applyFill="1" applyBorder="1" applyAlignment="1">
      <alignment horizontal="center" vertical="center"/>
    </xf>
    <xf numFmtId="0" fontId="85" fillId="0" borderId="28" xfId="0" applyFont="1" applyBorder="1"/>
    <xf numFmtId="179" fontId="85" fillId="0" borderId="28" xfId="1" applyNumberFormat="1" applyFont="1" applyBorder="1"/>
    <xf numFmtId="3" fontId="85" fillId="0" borderId="28" xfId="0" applyNumberFormat="1" applyFont="1" applyBorder="1"/>
    <xf numFmtId="171" fontId="78" fillId="19" borderId="0" xfId="0" applyNumberFormat="1" applyFont="1" applyFill="1"/>
    <xf numFmtId="185" fontId="78" fillId="20" borderId="0" xfId="0" applyNumberFormat="1" applyFont="1" applyFill="1" applyAlignment="1">
      <alignment horizontal="right"/>
    </xf>
    <xf numFmtId="185" fontId="78" fillId="20" borderId="0" xfId="0" applyNumberFormat="1" applyFont="1" applyFill="1"/>
    <xf numFmtId="0" fontId="78" fillId="0" borderId="0" xfId="0" applyFont="1" applyAlignment="1">
      <alignment horizontal="right"/>
    </xf>
    <xf numFmtId="171" fontId="137" fillId="0" borderId="0" xfId="1" applyFont="1" applyFill="1" applyAlignment="1">
      <alignment vertical="center"/>
    </xf>
    <xf numFmtId="3" fontId="81" fillId="0" borderId="0" xfId="0" applyNumberFormat="1" applyFont="1" applyFill="1"/>
    <xf numFmtId="0" fontId="0" fillId="0" borderId="0" xfId="0" applyFont="1" applyFill="1"/>
    <xf numFmtId="14" fontId="78" fillId="0" borderId="0" xfId="0" applyNumberFormat="1" applyFont="1" applyFill="1"/>
    <xf numFmtId="0" fontId="90" fillId="0" borderId="0" xfId="0" applyFont="1" applyFill="1" applyAlignment="1">
      <alignment horizontal="center" vertical="center"/>
    </xf>
    <xf numFmtId="0" fontId="144" fillId="0" borderId="0" xfId="0" applyFont="1" applyFill="1" applyAlignment="1">
      <alignment vertical="top"/>
    </xf>
    <xf numFmtId="0" fontId="78" fillId="0" borderId="0" xfId="0" applyFont="1" applyFill="1" applyAlignment="1">
      <alignment horizontal="center" vertical="center"/>
    </xf>
    <xf numFmtId="14" fontId="78" fillId="0" borderId="0" xfId="0" applyNumberFormat="1" applyFont="1" applyFill="1" applyAlignment="1">
      <alignment horizontal="center" vertical="center"/>
    </xf>
    <xf numFmtId="14" fontId="90" fillId="0" borderId="28" xfId="0" applyNumberFormat="1" applyFont="1" applyFill="1" applyBorder="1"/>
    <xf numFmtId="14" fontId="98" fillId="0" borderId="28" xfId="0" applyNumberFormat="1" applyFont="1" applyFill="1" applyBorder="1" applyAlignment="1">
      <alignment horizontal="center"/>
    </xf>
    <xf numFmtId="0" fontId="90" fillId="0" borderId="28" xfId="0" applyFont="1" applyFill="1" applyBorder="1" applyAlignment="1">
      <alignment horizontal="center"/>
    </xf>
    <xf numFmtId="0" fontId="144" fillId="0" borderId="28" xfId="0" applyFont="1" applyFill="1" applyBorder="1" applyAlignment="1">
      <alignment horizontal="left" vertical="top"/>
    </xf>
    <xf numFmtId="0" fontId="90" fillId="0" borderId="28" xfId="0" applyFont="1" applyFill="1" applyBorder="1" applyAlignment="1">
      <alignment horizontal="left" vertical="center" wrapText="1"/>
    </xf>
    <xf numFmtId="0" fontId="51" fillId="0" borderId="28" xfId="0" applyFont="1" applyBorder="1" applyAlignment="1">
      <alignment horizontal="center" vertical="center"/>
    </xf>
    <xf numFmtId="0" fontId="51" fillId="0" borderId="28" xfId="0" applyFont="1" applyBorder="1"/>
    <xf numFmtId="14" fontId="78" fillId="0" borderId="28" xfId="0" applyNumberFormat="1" applyFont="1" applyFill="1" applyBorder="1"/>
    <xf numFmtId="14" fontId="98" fillId="0" borderId="28" xfId="0" applyNumberFormat="1" applyFont="1" applyFill="1" applyBorder="1" applyAlignment="1">
      <alignment horizontal="center" vertical="center"/>
    </xf>
    <xf numFmtId="14" fontId="78" fillId="0" borderId="18" xfId="0" applyNumberFormat="1" applyFont="1" applyFill="1" applyBorder="1" applyAlignment="1">
      <alignment horizontal="right" vertical="center"/>
    </xf>
    <xf numFmtId="0" fontId="90" fillId="0" borderId="18" xfId="0" applyFont="1" applyFill="1" applyBorder="1" applyAlignment="1">
      <alignment horizontal="center"/>
    </xf>
    <xf numFmtId="0" fontId="144" fillId="0" borderId="18" xfId="0" applyFont="1" applyFill="1" applyBorder="1" applyAlignment="1">
      <alignment horizontal="left" vertical="top"/>
    </xf>
    <xf numFmtId="0" fontId="90" fillId="0" borderId="18" xfId="0" applyFont="1" applyFill="1" applyBorder="1"/>
    <xf numFmtId="14" fontId="78" fillId="0" borderId="18" xfId="0" applyNumberFormat="1" applyFont="1" applyFill="1" applyBorder="1" applyAlignment="1">
      <alignment horizontal="center" vertical="center"/>
    </xf>
    <xf numFmtId="14" fontId="90" fillId="0" borderId="69" xfId="0" applyNumberFormat="1" applyFont="1" applyFill="1" applyBorder="1" applyAlignment="1">
      <alignment horizontal="center" vertical="center"/>
    </xf>
    <xf numFmtId="0" fontId="135" fillId="0" borderId="28" xfId="0" applyFont="1" applyFill="1" applyBorder="1"/>
    <xf numFmtId="0" fontId="51" fillId="20" borderId="28" xfId="0" applyFont="1" applyFill="1" applyBorder="1"/>
    <xf numFmtId="0" fontId="51" fillId="11" borderId="28" xfId="0" applyFont="1" applyFill="1" applyBorder="1"/>
    <xf numFmtId="14" fontId="78" fillId="0" borderId="28" xfId="0" applyNumberFormat="1" applyFont="1" applyFill="1" applyBorder="1" applyAlignment="1">
      <alignment horizontal="right" vertical="center"/>
    </xf>
    <xf numFmtId="0" fontId="78" fillId="0" borderId="28" xfId="0" applyFont="1" applyFill="1" applyBorder="1" applyAlignment="1">
      <alignment horizontal="left" vertical="center"/>
    </xf>
    <xf numFmtId="14" fontId="78" fillId="0" borderId="28" xfId="0" applyNumberFormat="1" applyFont="1" applyFill="1" applyBorder="1" applyAlignment="1">
      <alignment vertical="center"/>
    </xf>
    <xf numFmtId="0" fontId="144" fillId="0" borderId="28" xfId="0" applyFont="1" applyFill="1" applyBorder="1" applyAlignment="1">
      <alignment vertical="top"/>
    </xf>
    <xf numFmtId="0" fontId="78" fillId="0" borderId="28" xfId="0" applyFont="1" applyFill="1" applyBorder="1" applyAlignment="1">
      <alignment vertical="center"/>
    </xf>
    <xf numFmtId="14" fontId="90" fillId="0" borderId="69" xfId="0" applyNumberFormat="1" applyFont="1" applyFill="1" applyBorder="1" applyAlignment="1">
      <alignment horizontal="left" vertical="center"/>
    </xf>
    <xf numFmtId="0" fontId="90" fillId="0" borderId="18" xfId="0" applyFont="1" applyFill="1" applyBorder="1" applyAlignment="1">
      <alignment horizontal="center" vertical="center"/>
    </xf>
    <xf numFmtId="14" fontId="144" fillId="0" borderId="35" xfId="0" applyNumberFormat="1" applyFont="1" applyFill="1" applyBorder="1" applyAlignment="1">
      <alignment horizontal="left" vertical="top"/>
    </xf>
    <xf numFmtId="14" fontId="90" fillId="0" borderId="35" xfId="0" applyNumberFormat="1" applyFont="1" applyFill="1" applyBorder="1" applyAlignment="1">
      <alignment horizontal="left" vertical="center"/>
    </xf>
    <xf numFmtId="3" fontId="81" fillId="19" borderId="0" xfId="0" applyNumberFormat="1" applyFont="1" applyFill="1"/>
    <xf numFmtId="14" fontId="81" fillId="0" borderId="0" xfId="0" applyNumberFormat="1" applyFont="1" applyFill="1" applyAlignment="1">
      <alignment horizontal="center" vertical="center"/>
    </xf>
    <xf numFmtId="0" fontId="0" fillId="19" borderId="0" xfId="0" applyFont="1" applyFill="1"/>
    <xf numFmtId="14" fontId="0" fillId="0" borderId="0" xfId="0" applyNumberFormat="1" applyFont="1" applyFill="1" applyAlignment="1">
      <alignment horizontal="center" vertical="center"/>
    </xf>
    <xf numFmtId="0" fontId="78" fillId="19" borderId="0" xfId="0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14" fontId="81" fillId="0" borderId="0" xfId="0" applyNumberFormat="1" applyFont="1" applyFill="1"/>
    <xf numFmtId="14" fontId="0" fillId="0" borderId="0" xfId="0" applyNumberFormat="1" applyFont="1" applyFill="1"/>
    <xf numFmtId="14" fontId="78" fillId="0" borderId="44" xfId="0" applyNumberFormat="1" applyFont="1" applyFill="1" applyBorder="1"/>
    <xf numFmtId="0" fontId="90" fillId="0" borderId="44" xfId="0" applyFont="1" applyFill="1" applyBorder="1" applyAlignment="1">
      <alignment horizontal="center"/>
    </xf>
    <xf numFmtId="0" fontId="144" fillId="0" borderId="44" xfId="0" applyFont="1" applyFill="1" applyBorder="1" applyAlignment="1">
      <alignment horizontal="left" vertical="top"/>
    </xf>
    <xf numFmtId="0" fontId="51" fillId="0" borderId="44" xfId="0" applyFont="1" applyBorder="1" applyAlignment="1">
      <alignment horizontal="center" vertical="center"/>
    </xf>
    <xf numFmtId="14" fontId="90" fillId="0" borderId="35" xfId="0" applyNumberFormat="1" applyFont="1" applyFill="1" applyBorder="1"/>
    <xf numFmtId="14" fontId="90" fillId="0" borderId="69" xfId="0" applyNumberFormat="1" applyFont="1" applyFill="1" applyBorder="1" applyAlignment="1">
      <alignment horizontal="right" vertical="center"/>
    </xf>
    <xf numFmtId="1" fontId="90" fillId="0" borderId="18" xfId="0" applyNumberFormat="1" applyFont="1" applyFill="1" applyBorder="1" applyAlignment="1">
      <alignment horizontal="center"/>
    </xf>
    <xf numFmtId="14" fontId="78" fillId="0" borderId="28" xfId="0" applyNumberFormat="1" applyFont="1" applyFill="1" applyBorder="1" applyAlignment="1">
      <alignment horizontal="left" vertical="center"/>
    </xf>
    <xf numFmtId="14" fontId="78" fillId="0" borderId="6" xfId="0" applyNumberFormat="1" applyFont="1" applyFill="1" applyBorder="1" applyAlignment="1">
      <alignment horizontal="center" vertical="center"/>
    </xf>
    <xf numFmtId="0" fontId="53" fillId="0" borderId="28" xfId="0" applyFont="1" applyBorder="1" applyAlignment="1">
      <alignment horizontal="center" vertical="center"/>
    </xf>
    <xf numFmtId="14" fontId="78" fillId="0" borderId="28" xfId="0" applyNumberFormat="1" applyFont="1" applyFill="1" applyBorder="1" applyAlignment="1">
      <alignment horizontal="right"/>
    </xf>
    <xf numFmtId="0" fontId="78" fillId="0" borderId="28" xfId="0" applyFont="1" applyFill="1" applyBorder="1" applyAlignment="1">
      <alignment vertical="center" wrapText="1"/>
    </xf>
    <xf numFmtId="0" fontId="51" fillId="16" borderId="28" xfId="0" applyFont="1" applyFill="1" applyBorder="1"/>
    <xf numFmtId="0" fontId="145" fillId="20" borderId="28" xfId="0" applyFont="1" applyFill="1" applyBorder="1" applyAlignment="1">
      <alignment horizontal="left" vertical="top"/>
    </xf>
    <xf numFmtId="0" fontId="135" fillId="20" borderId="28" xfId="0" applyFont="1" applyFill="1" applyBorder="1"/>
    <xf numFmtId="14" fontId="78" fillId="0" borderId="28" xfId="0" applyNumberFormat="1" applyFont="1" applyFill="1" applyBorder="1" applyAlignment="1">
      <alignment horizontal="center" vertical="center"/>
    </xf>
    <xf numFmtId="0" fontId="90" fillId="0" borderId="28" xfId="0" applyFont="1" applyFill="1" applyBorder="1"/>
    <xf numFmtId="14" fontId="78" fillId="0" borderId="37" xfId="0" applyNumberFormat="1" applyFont="1" applyFill="1" applyBorder="1" applyAlignment="1">
      <alignment horizontal="center" vertical="center"/>
    </xf>
    <xf numFmtId="0" fontId="90" fillId="0" borderId="37" xfId="0" applyFont="1" applyFill="1" applyBorder="1" applyAlignment="1">
      <alignment horizontal="center"/>
    </xf>
    <xf numFmtId="0" fontId="144" fillId="0" borderId="37" xfId="0" applyFont="1" applyFill="1" applyBorder="1" applyAlignment="1">
      <alignment horizontal="left" vertical="top"/>
    </xf>
    <xf numFmtId="0" fontId="90" fillId="0" borderId="37" xfId="0" applyFont="1" applyFill="1" applyBorder="1"/>
    <xf numFmtId="0" fontId="90" fillId="0" borderId="28" xfId="0" applyFont="1" applyFill="1" applyBorder="1" applyAlignment="1" applyProtection="1">
      <alignment horizontal="left" vertical="center" wrapText="1"/>
      <protection locked="0"/>
    </xf>
    <xf numFmtId="0" fontId="90" fillId="0" borderId="18" xfId="0" applyFont="1" applyFill="1" applyBorder="1" applyAlignment="1">
      <alignment vertical="center"/>
    </xf>
    <xf numFmtId="0" fontId="144" fillId="0" borderId="28" xfId="0" applyFont="1" applyFill="1" applyBorder="1" applyAlignment="1">
      <alignment horizontal="left" vertical="center"/>
    </xf>
    <xf numFmtId="14" fontId="144" fillId="0" borderId="28" xfId="0" applyNumberFormat="1" applyFont="1" applyFill="1" applyBorder="1" applyAlignment="1">
      <alignment horizontal="left" vertical="center"/>
    </xf>
    <xf numFmtId="0" fontId="78" fillId="0" borderId="37" xfId="0" applyFont="1" applyFill="1" applyBorder="1"/>
    <xf numFmtId="0" fontId="146" fillId="0" borderId="28" xfId="0" applyFont="1" applyFill="1" applyBorder="1" applyAlignment="1">
      <alignment horizontal="left" vertical="top"/>
    </xf>
    <xf numFmtId="0" fontId="0" fillId="0" borderId="28" xfId="0" applyFont="1" applyFill="1" applyBorder="1" applyAlignment="1">
      <alignment horizontal="left" vertical="center"/>
    </xf>
    <xf numFmtId="0" fontId="51" fillId="2" borderId="28" xfId="0" applyFont="1" applyFill="1" applyBorder="1"/>
    <xf numFmtId="0" fontId="53" fillId="2" borderId="28" xfId="0" applyFont="1" applyFill="1" applyBorder="1"/>
    <xf numFmtId="14" fontId="90" fillId="0" borderId="64" xfId="0" applyNumberFormat="1" applyFont="1" applyFill="1" applyBorder="1" applyAlignment="1">
      <alignment horizontal="center" vertical="center"/>
    </xf>
    <xf numFmtId="14" fontId="90" fillId="0" borderId="36" xfId="0" applyNumberFormat="1" applyFont="1" applyFill="1" applyBorder="1" applyAlignment="1">
      <alignment horizontal="center" vertical="center"/>
    </xf>
    <xf numFmtId="0" fontId="144" fillId="0" borderId="3" xfId="0" applyFont="1" applyFill="1" applyBorder="1" applyAlignment="1">
      <alignment horizontal="left" vertical="top"/>
    </xf>
    <xf numFmtId="0" fontId="78" fillId="0" borderId="3" xfId="0" applyFont="1" applyFill="1" applyBorder="1"/>
    <xf numFmtId="0" fontId="51" fillId="20" borderId="28" xfId="0" applyFont="1" applyFill="1" applyBorder="1" applyAlignment="1">
      <alignment vertical="center"/>
    </xf>
    <xf numFmtId="0" fontId="51" fillId="2" borderId="28" xfId="0" applyFont="1" applyFill="1" applyBorder="1" applyAlignment="1">
      <alignment horizontal="right" vertical="center"/>
    </xf>
    <xf numFmtId="0" fontId="147" fillId="0" borderId="28" xfId="0" applyFont="1" applyFill="1" applyBorder="1"/>
    <xf numFmtId="0" fontId="148" fillId="0" borderId="0" xfId="0" applyFont="1" applyFill="1" applyAlignment="1">
      <alignment vertical="top"/>
    </xf>
    <xf numFmtId="0" fontId="149" fillId="0" borderId="0" xfId="4" applyFont="1" applyBorder="1"/>
    <xf numFmtId="0" fontId="77" fillId="0" borderId="0" xfId="4" applyFill="1" applyBorder="1"/>
    <xf numFmtId="0" fontId="77" fillId="0" borderId="0" xfId="4" applyBorder="1" applyAlignment="1">
      <alignment horizontal="center"/>
    </xf>
    <xf numFmtId="0" fontId="150" fillId="0" borderId="0" xfId="4" applyFont="1" applyBorder="1"/>
    <xf numFmtId="0" fontId="77" fillId="0" borderId="0" xfId="4" applyBorder="1"/>
    <xf numFmtId="0" fontId="86" fillId="0" borderId="0" xfId="4" applyFont="1" applyBorder="1" applyAlignment="1">
      <alignment horizontal="left" vertical="center"/>
    </xf>
    <xf numFmtId="0" fontId="151" fillId="0" borderId="0" xfId="4" applyFont="1" applyBorder="1" applyAlignment="1">
      <alignment horizontal="left" vertical="center"/>
    </xf>
    <xf numFmtId="0" fontId="98" fillId="0" borderId="0" xfId="4" applyFont="1" applyBorder="1" applyAlignment="1">
      <alignment vertical="center"/>
    </xf>
    <xf numFmtId="0" fontId="80" fillId="0" borderId="0" xfId="4" applyFont="1" applyBorder="1" applyAlignment="1">
      <alignment horizontal="left" vertical="center"/>
    </xf>
    <xf numFmtId="0" fontId="150" fillId="0" borderId="0" xfId="4" applyFont="1" applyBorder="1" applyAlignment="1">
      <alignment horizontal="left" vertical="center"/>
    </xf>
    <xf numFmtId="0" fontId="152" fillId="0" borderId="0" xfId="4" applyFont="1" applyBorder="1" applyAlignment="1">
      <alignment vertical="center"/>
    </xf>
    <xf numFmtId="0" fontId="150" fillId="0" borderId="0" xfId="4" applyFont="1" applyBorder="1" applyAlignment="1">
      <alignment vertical="center"/>
    </xf>
    <xf numFmtId="0" fontId="98" fillId="0" borderId="0" xfId="4" applyFont="1" applyBorder="1" applyAlignment="1"/>
    <xf numFmtId="0" fontId="152" fillId="0" borderId="0" xfId="4" applyFont="1" applyBorder="1" applyAlignment="1">
      <alignment horizontal="left" vertical="center"/>
    </xf>
    <xf numFmtId="0" fontId="118" fillId="0" borderId="0" xfId="4" applyFont="1" applyBorder="1"/>
    <xf numFmtId="0" fontId="153" fillId="0" borderId="0" xfId="4" applyFont="1" applyBorder="1" applyAlignment="1">
      <alignment horizontal="left"/>
    </xf>
    <xf numFmtId="0" fontId="154" fillId="0" borderId="0" xfId="4" applyFont="1" applyBorder="1"/>
    <xf numFmtId="0" fontId="77" fillId="0" borderId="0" xfId="4" applyFill="1" applyBorder="1" applyAlignment="1">
      <alignment horizontal="center"/>
    </xf>
    <xf numFmtId="0" fontId="3" fillId="0" borderId="70" xfId="8" applyFont="1" applyFill="1" applyBorder="1"/>
    <xf numFmtId="0" fontId="118" fillId="0" borderId="0" xfId="4" applyFont="1" applyFill="1" applyBorder="1"/>
    <xf numFmtId="0" fontId="54" fillId="0" borderId="0" xfId="0" applyNumberFormat="1" applyFont="1" applyFill="1" applyBorder="1" applyAlignment="1" applyProtection="1"/>
    <xf numFmtId="179" fontId="54" fillId="0" borderId="0" xfId="0" applyNumberFormat="1" applyFont="1" applyFill="1" applyBorder="1" applyAlignment="1" applyProtection="1">
      <alignment horizontal="center" vertical="center"/>
    </xf>
    <xf numFmtId="0" fontId="54" fillId="0" borderId="0" xfId="0" applyNumberFormat="1" applyFont="1" applyFill="1" applyBorder="1" applyAlignment="1" applyProtection="1">
      <alignment horizontal="center"/>
    </xf>
    <xf numFmtId="179" fontId="54" fillId="0" borderId="0" xfId="0" applyNumberFormat="1" applyFont="1" applyFill="1" applyBorder="1" applyAlignment="1" applyProtection="1"/>
    <xf numFmtId="0" fontId="15" fillId="0" borderId="0" xfId="0" applyNumberFormat="1" applyFont="1" applyFill="1" applyBorder="1" applyAlignment="1" applyProtection="1">
      <alignment vertical="center"/>
    </xf>
    <xf numFmtId="0" fontId="49" fillId="0" borderId="63" xfId="0" applyNumberFormat="1" applyFont="1" applyFill="1" applyBorder="1" applyAlignment="1" applyProtection="1">
      <alignment horizontal="center" vertical="center"/>
    </xf>
    <xf numFmtId="0" fontId="49" fillId="0" borderId="71" xfId="0" applyNumberFormat="1" applyFont="1" applyFill="1" applyBorder="1" applyAlignment="1" applyProtection="1">
      <alignment horizontal="center" vertical="center"/>
    </xf>
    <xf numFmtId="0" fontId="54" fillId="0" borderId="0" xfId="0" applyNumberFormat="1" applyFont="1" applyFill="1" applyBorder="1" applyAlignment="1" applyProtection="1">
      <alignment horizontal="center" vertical="center"/>
    </xf>
    <xf numFmtId="0" fontId="49" fillId="0" borderId="72" xfId="0" applyNumberFormat="1" applyFont="1" applyFill="1" applyBorder="1" applyAlignment="1" applyProtection="1">
      <alignment horizontal="center" vertical="center"/>
    </xf>
    <xf numFmtId="181" fontId="49" fillId="0" borderId="72" xfId="0" applyNumberFormat="1" applyFont="1" applyFill="1" applyBorder="1" applyAlignment="1" applyProtection="1">
      <alignment horizontal="center" vertical="center"/>
    </xf>
    <xf numFmtId="0" fontId="55" fillId="0" borderId="73" xfId="0" applyNumberFormat="1" applyFont="1" applyFill="1" applyBorder="1" applyAlignment="1" applyProtection="1">
      <alignment horizontal="left"/>
    </xf>
    <xf numFmtId="0" fontId="55" fillId="0" borderId="73" xfId="0" applyNumberFormat="1" applyFont="1" applyFill="1" applyBorder="1" applyAlignment="1" applyProtection="1">
      <alignment shrinkToFit="1"/>
    </xf>
    <xf numFmtId="0" fontId="56" fillId="0" borderId="73" xfId="0" applyNumberFormat="1" applyFont="1" applyFill="1" applyBorder="1" applyAlignment="1" applyProtection="1">
      <alignment horizontal="center" shrinkToFit="1"/>
    </xf>
    <xf numFmtId="181" fontId="55" fillId="0" borderId="73" xfId="0" applyNumberFormat="1" applyFont="1" applyFill="1" applyBorder="1" applyAlignment="1" applyProtection="1">
      <alignment horizontal="right" shrinkToFit="1"/>
    </xf>
    <xf numFmtId="0" fontId="47" fillId="0" borderId="74" xfId="0" applyNumberFormat="1" applyFont="1" applyFill="1" applyBorder="1" applyAlignment="1" applyProtection="1">
      <alignment horizontal="center" shrinkToFit="1"/>
    </xf>
    <xf numFmtId="0" fontId="47" fillId="0" borderId="74" xfId="0" applyNumberFormat="1" applyFont="1" applyFill="1" applyBorder="1" applyAlignment="1" applyProtection="1">
      <alignment horizontal="left" shrinkToFit="1"/>
    </xf>
    <xf numFmtId="0" fontId="3" fillId="0" borderId="74" xfId="0" applyNumberFormat="1" applyFont="1" applyFill="1" applyBorder="1" applyAlignment="1" applyProtection="1">
      <alignment horizontal="center" shrinkToFit="1"/>
    </xf>
    <xf numFmtId="181" fontId="47" fillId="0" borderId="74" xfId="0" applyNumberFormat="1" applyFont="1" applyFill="1" applyBorder="1" applyAlignment="1" applyProtection="1">
      <alignment horizontal="right" shrinkToFit="1"/>
    </xf>
    <xf numFmtId="181" fontId="155" fillId="0" borderId="101" xfId="0" applyNumberFormat="1" applyFont="1" applyBorder="1" applyAlignment="1">
      <alignment horizontal="right" shrinkToFit="1"/>
    </xf>
    <xf numFmtId="0" fontId="55" fillId="0" borderId="74" xfId="0" applyNumberFormat="1" applyFont="1" applyFill="1" applyBorder="1" applyAlignment="1" applyProtection="1">
      <alignment horizontal="left"/>
    </xf>
    <xf numFmtId="0" fontId="55" fillId="0" borderId="74" xfId="0" applyNumberFormat="1" applyFont="1" applyFill="1" applyBorder="1" applyAlignment="1" applyProtection="1">
      <alignment horizontal="left" shrinkToFit="1"/>
    </xf>
    <xf numFmtId="0" fontId="56" fillId="0" borderId="74" xfId="0" applyNumberFormat="1" applyFont="1" applyFill="1" applyBorder="1" applyAlignment="1" applyProtection="1">
      <alignment horizontal="center" shrinkToFit="1"/>
    </xf>
    <xf numFmtId="181" fontId="55" fillId="0" borderId="74" xfId="0" applyNumberFormat="1" applyFont="1" applyFill="1" applyBorder="1" applyAlignment="1" applyProtection="1">
      <alignment horizontal="right" shrinkToFit="1"/>
    </xf>
    <xf numFmtId="0" fontId="54" fillId="0" borderId="0" xfId="0" applyNumberFormat="1" applyFont="1" applyFill="1" applyBorder="1" applyAlignment="1" applyProtection="1">
      <alignment horizontal="left" vertical="center"/>
    </xf>
    <xf numFmtId="3" fontId="47" fillId="0" borderId="74" xfId="0" applyNumberFormat="1" applyFont="1" applyFill="1" applyBorder="1" applyAlignment="1" applyProtection="1">
      <alignment horizontal="left" shrinkToFit="1"/>
      <protection hidden="1"/>
    </xf>
    <xf numFmtId="194" fontId="47" fillId="0" borderId="74" xfId="0" applyNumberFormat="1" applyFont="1" applyFill="1" applyBorder="1" applyAlignment="1" applyProtection="1">
      <alignment horizontal="right" shrinkToFit="1"/>
    </xf>
    <xf numFmtId="194" fontId="155" fillId="0" borderId="101" xfId="0" applyNumberFormat="1" applyFont="1" applyBorder="1" applyAlignment="1">
      <alignment horizontal="right" shrinkToFit="1"/>
    </xf>
    <xf numFmtId="3" fontId="57" fillId="0" borderId="74" xfId="0" applyNumberFormat="1" applyFont="1" applyFill="1" applyBorder="1" applyAlignment="1" applyProtection="1">
      <alignment horizontal="left" shrinkToFit="1"/>
      <protection hidden="1"/>
    </xf>
    <xf numFmtId="0" fontId="58" fillId="0" borderId="74" xfId="0" applyNumberFormat="1" applyFont="1" applyFill="1" applyBorder="1" applyAlignment="1" applyProtection="1">
      <alignment horizontal="center" shrinkToFit="1"/>
    </xf>
    <xf numFmtId="194" fontId="57" fillId="0" borderId="74" xfId="0" applyNumberFormat="1" applyFont="1" applyFill="1" applyBorder="1" applyAlignment="1" applyProtection="1">
      <alignment horizontal="right" shrinkToFit="1"/>
    </xf>
    <xf numFmtId="194" fontId="156" fillId="0" borderId="101" xfId="0" applyNumberFormat="1" applyFont="1" applyBorder="1" applyAlignment="1">
      <alignment horizontal="right" shrinkToFit="1"/>
    </xf>
    <xf numFmtId="0" fontId="9" fillId="0" borderId="0" xfId="0" applyNumberFormat="1" applyFont="1" applyFill="1" applyBorder="1" applyAlignment="1" applyProtection="1">
      <alignment horizontal="left" vertical="center"/>
    </xf>
    <xf numFmtId="181" fontId="155" fillId="20" borderId="101" xfId="0" applyNumberFormat="1" applyFont="1" applyFill="1" applyBorder="1" applyAlignment="1">
      <alignment horizontal="right" shrinkToFit="1"/>
    </xf>
    <xf numFmtId="0" fontId="59" fillId="0" borderId="0" xfId="0" applyNumberFormat="1" applyFont="1" applyFill="1" applyBorder="1" applyAlignment="1" applyProtection="1">
      <alignment horizontal="left" vertical="center"/>
    </xf>
    <xf numFmtId="0" fontId="60" fillId="0" borderId="0" xfId="0" applyNumberFormat="1" applyFont="1" applyFill="1" applyBorder="1" applyAlignment="1" applyProtection="1">
      <alignment horizontal="left" vertical="center"/>
    </xf>
    <xf numFmtId="194" fontId="155" fillId="20" borderId="101" xfId="0" applyNumberFormat="1" applyFont="1" applyFill="1" applyBorder="1" applyAlignment="1">
      <alignment horizontal="right" shrinkToFit="1"/>
    </xf>
    <xf numFmtId="0" fontId="61" fillId="0" borderId="0" xfId="0" applyNumberFormat="1" applyFont="1" applyFill="1" applyBorder="1" applyAlignment="1" applyProtection="1"/>
    <xf numFmtId="0" fontId="47" fillId="0" borderId="74" xfId="0" applyNumberFormat="1" applyFont="1" applyFill="1" applyBorder="1" applyAlignment="1" applyProtection="1">
      <alignment horizontal="left"/>
    </xf>
    <xf numFmtId="0" fontId="47" fillId="0" borderId="74" xfId="0" applyNumberFormat="1" applyFont="1" applyFill="1" applyBorder="1" applyAlignment="1" applyProtection="1">
      <alignment horizontal="center"/>
    </xf>
    <xf numFmtId="181" fontId="47" fillId="0" borderId="74" xfId="0" applyNumberFormat="1" applyFont="1" applyFill="1" applyBorder="1" applyAlignment="1" applyProtection="1">
      <alignment horizontal="right"/>
    </xf>
    <xf numFmtId="181" fontId="155" fillId="0" borderId="101" xfId="0" applyNumberFormat="1" applyFont="1" applyBorder="1" applyAlignment="1">
      <alignment horizontal="right"/>
    </xf>
    <xf numFmtId="0" fontId="59" fillId="0" borderId="0" xfId="0" applyNumberFormat="1" applyFont="1" applyFill="1" applyBorder="1" applyAlignment="1" applyProtection="1"/>
    <xf numFmtId="0" fontId="62" fillId="0" borderId="0" xfId="0" applyNumberFormat="1" applyFont="1" applyFill="1" applyBorder="1" applyAlignment="1" applyProtection="1"/>
    <xf numFmtId="181" fontId="155" fillId="23" borderId="101" xfId="0" applyNumberFormat="1" applyFont="1" applyFill="1" applyBorder="1" applyAlignment="1">
      <alignment horizontal="right"/>
    </xf>
    <xf numFmtId="0" fontId="56" fillId="0" borderId="75" xfId="0" applyNumberFormat="1" applyFont="1" applyFill="1" applyBorder="1" applyAlignment="1" applyProtection="1"/>
    <xf numFmtId="0" fontId="55" fillId="0" borderId="74" xfId="0" applyNumberFormat="1" applyFont="1" applyFill="1" applyBorder="1" applyAlignment="1" applyProtection="1">
      <alignment horizontal="center"/>
    </xf>
    <xf numFmtId="181" fontId="55" fillId="0" borderId="74" xfId="0" applyNumberFormat="1" applyFont="1" applyFill="1" applyBorder="1" applyAlignment="1" applyProtection="1">
      <alignment horizontal="right"/>
    </xf>
    <xf numFmtId="1" fontId="54" fillId="0" borderId="74" xfId="0" applyNumberFormat="1" applyFont="1" applyFill="1" applyBorder="1" applyAlignment="1" applyProtection="1">
      <alignment horizontal="center"/>
    </xf>
    <xf numFmtId="2" fontId="54" fillId="0" borderId="74" xfId="0" applyNumberFormat="1" applyFont="1" applyFill="1" applyBorder="1" applyAlignment="1" applyProtection="1"/>
    <xf numFmtId="1" fontId="54" fillId="0" borderId="74" xfId="0" applyNumberFormat="1" applyFont="1" applyFill="1" applyBorder="1" applyAlignment="1" applyProtection="1"/>
    <xf numFmtId="181" fontId="54" fillId="0" borderId="74" xfId="0" applyNumberFormat="1" applyFont="1" applyFill="1" applyBorder="1" applyAlignment="1" applyProtection="1"/>
    <xf numFmtId="181" fontId="157" fillId="0" borderId="101" xfId="0" applyNumberFormat="1" applyFont="1" applyBorder="1"/>
    <xf numFmtId="181" fontId="157" fillId="23" borderId="101" xfId="0" applyNumberFormat="1" applyFont="1" applyFill="1" applyBorder="1"/>
    <xf numFmtId="181" fontId="157" fillId="20" borderId="101" xfId="0" applyNumberFormat="1" applyFont="1" applyFill="1" applyBorder="1"/>
    <xf numFmtId="1" fontId="54" fillId="0" borderId="76" xfId="0" applyNumberFormat="1" applyFont="1" applyFill="1" applyBorder="1" applyAlignment="1" applyProtection="1">
      <alignment horizontal="center"/>
    </xf>
    <xf numFmtId="2" fontId="54" fillId="0" borderId="76" xfId="0" applyNumberFormat="1" applyFont="1" applyFill="1" applyBorder="1" applyAlignment="1" applyProtection="1"/>
    <xf numFmtId="1" fontId="54" fillId="0" borderId="76" xfId="0" applyNumberFormat="1" applyFont="1" applyFill="1" applyBorder="1" applyAlignment="1" applyProtection="1"/>
    <xf numFmtId="181" fontId="54" fillId="0" borderId="76" xfId="0" applyNumberFormat="1" applyFont="1" applyFill="1" applyBorder="1" applyAlignment="1" applyProtection="1"/>
    <xf numFmtId="181" fontId="157" fillId="0" borderId="102" xfId="0" applyNumberFormat="1" applyFont="1" applyBorder="1"/>
    <xf numFmtId="0" fontId="56" fillId="0" borderId="63" xfId="0" applyNumberFormat="1" applyFont="1" applyFill="1" applyBorder="1" applyAlignment="1" applyProtection="1"/>
    <xf numFmtId="181" fontId="56" fillId="0" borderId="63" xfId="0" applyNumberFormat="1" applyFont="1" applyFill="1" applyBorder="1" applyAlignment="1" applyProtection="1"/>
    <xf numFmtId="181" fontId="54" fillId="0" borderId="0" xfId="0" applyNumberFormat="1" applyFont="1" applyFill="1" applyBorder="1" applyAlignment="1" applyProtection="1"/>
    <xf numFmtId="0" fontId="158" fillId="0" borderId="0" xfId="0" applyFont="1"/>
    <xf numFmtId="0" fontId="85" fillId="0" borderId="0" xfId="0" applyFont="1" applyAlignment="1">
      <alignment horizontal="center" vertical="top"/>
    </xf>
    <xf numFmtId="0" fontId="89" fillId="0" borderId="0" xfId="0" applyFont="1" applyAlignment="1"/>
    <xf numFmtId="0" fontId="85" fillId="0" borderId="77" xfId="0" applyFont="1" applyBorder="1" applyAlignment="1">
      <alignment horizontal="center" vertical="top"/>
    </xf>
    <xf numFmtId="0" fontId="85" fillId="0" borderId="78" xfId="0" applyFont="1" applyBorder="1" applyAlignment="1">
      <alignment horizontal="center" vertical="top"/>
    </xf>
    <xf numFmtId="0" fontId="85" fillId="0" borderId="78" xfId="0" applyFont="1" applyBorder="1" applyAlignment="1">
      <alignment horizontal="center" vertical="top" wrapText="1"/>
    </xf>
    <xf numFmtId="0" fontId="85" fillId="0" borderId="79" xfId="0" applyFont="1" applyBorder="1" applyAlignment="1">
      <alignment horizontal="right" vertical="top"/>
    </xf>
    <xf numFmtId="0" fontId="78" fillId="0" borderId="33" xfId="0" applyFont="1" applyBorder="1"/>
    <xf numFmtId="183" fontId="78" fillId="0" borderId="34" xfId="1" applyNumberFormat="1" applyFont="1" applyBorder="1"/>
    <xf numFmtId="0" fontId="78" fillId="0" borderId="41" xfId="0" applyFont="1" applyBorder="1"/>
    <xf numFmtId="0" fontId="78" fillId="0" borderId="80" xfId="0" applyFont="1" applyBorder="1"/>
    <xf numFmtId="183" fontId="78" fillId="0" borderId="61" xfId="1" applyNumberFormat="1" applyFont="1" applyBorder="1"/>
    <xf numFmtId="0" fontId="78" fillId="0" borderId="81" xfId="0" applyFont="1" applyBorder="1"/>
    <xf numFmtId="0" fontId="78" fillId="0" borderId="82" xfId="0" applyFont="1" applyBorder="1"/>
    <xf numFmtId="183" fontId="78" fillId="0" borderId="83" xfId="1" applyNumberFormat="1" applyFont="1" applyBorder="1"/>
    <xf numFmtId="0" fontId="78" fillId="0" borderId="84" xfId="0" applyFont="1" applyBorder="1"/>
    <xf numFmtId="0" fontId="90" fillId="0" borderId="28" xfId="0" quotePrefix="1" applyFont="1" applyFill="1" applyBorder="1" applyAlignment="1">
      <alignment horizontal="center"/>
    </xf>
    <xf numFmtId="1" fontId="90" fillId="0" borderId="28" xfId="0" quotePrefix="1" applyNumberFormat="1" applyFont="1" applyFill="1" applyBorder="1" applyAlignment="1">
      <alignment horizontal="center"/>
    </xf>
    <xf numFmtId="0" fontId="90" fillId="0" borderId="28" xfId="0" quotePrefix="1" applyFont="1" applyFill="1" applyBorder="1" applyAlignment="1">
      <alignment horizontal="center" vertical="center"/>
    </xf>
    <xf numFmtId="0" fontId="158" fillId="0" borderId="0" xfId="0" applyFont="1" applyAlignment="1">
      <alignment horizontal="center"/>
    </xf>
    <xf numFmtId="0" fontId="15" fillId="0" borderId="85" xfId="0" applyNumberFormat="1" applyFont="1" applyFill="1" applyBorder="1" applyAlignment="1" applyProtection="1">
      <alignment horizontal="center" vertical="center"/>
    </xf>
    <xf numFmtId="0" fontId="56" fillId="0" borderId="68" xfId="0" applyNumberFormat="1" applyFont="1" applyFill="1" applyBorder="1" applyAlignment="1" applyProtection="1">
      <alignment horizontal="center"/>
    </xf>
    <xf numFmtId="0" fontId="56" fillId="0" borderId="86" xfId="0" applyNumberFormat="1" applyFont="1" applyFill="1" applyBorder="1" applyAlignment="1" applyProtection="1">
      <alignment horizontal="center"/>
    </xf>
    <xf numFmtId="0" fontId="54" fillId="0" borderId="0" xfId="0" applyNumberFormat="1" applyFont="1" applyFill="1" applyBorder="1" applyAlignment="1" applyProtection="1">
      <alignment horizontal="center"/>
    </xf>
    <xf numFmtId="0" fontId="0" fillId="0" borderId="28" xfId="0" applyFont="1" applyFill="1" applyBorder="1" applyAlignment="1">
      <alignment horizontal="center"/>
    </xf>
    <xf numFmtId="14" fontId="97" fillId="0" borderId="44" xfId="0" applyNumberFormat="1" applyFont="1" applyFill="1" applyBorder="1" applyAlignment="1" applyProtection="1">
      <alignment horizontal="center" vertical="center" wrapText="1"/>
      <protection locked="0"/>
    </xf>
    <xf numFmtId="14" fontId="97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89" fillId="0" borderId="44" xfId="0" applyFont="1" applyFill="1" applyBorder="1" applyAlignment="1" applyProtection="1">
      <alignment horizontal="center" vertical="center" wrapText="1"/>
      <protection locked="0"/>
    </xf>
    <xf numFmtId="0" fontId="89" fillId="0" borderId="3" xfId="0" applyFont="1" applyFill="1" applyBorder="1" applyAlignment="1" applyProtection="1">
      <alignment horizontal="center" vertical="center" wrapText="1"/>
      <protection locked="0"/>
    </xf>
    <xf numFmtId="0" fontId="159" fillId="0" borderId="44" xfId="0" applyFont="1" applyFill="1" applyBorder="1" applyAlignment="1" applyProtection="1">
      <alignment horizontal="center" vertical="top" wrapText="1"/>
      <protection locked="0"/>
    </xf>
    <xf numFmtId="0" fontId="159" fillId="0" borderId="3" xfId="0" applyFont="1" applyFill="1" applyBorder="1" applyAlignment="1" applyProtection="1">
      <alignment horizontal="center" vertical="top" wrapText="1"/>
      <protection locked="0"/>
    </xf>
    <xf numFmtId="0" fontId="85" fillId="0" borderId="44" xfId="0" applyFont="1" applyFill="1" applyBorder="1" applyAlignment="1" applyProtection="1">
      <alignment horizontal="center" vertical="center" wrapText="1"/>
      <protection locked="0"/>
    </xf>
    <xf numFmtId="0" fontId="85" fillId="0" borderId="3" xfId="0" applyFont="1" applyFill="1" applyBorder="1" applyAlignment="1" applyProtection="1">
      <alignment horizontal="center" vertical="center" wrapText="1"/>
      <protection locked="0"/>
    </xf>
    <xf numFmtId="0" fontId="0" fillId="0" borderId="28" xfId="0" applyFont="1" applyFill="1" applyBorder="1" applyAlignment="1">
      <alignment horizontal="center" vertical="center"/>
    </xf>
    <xf numFmtId="0" fontId="0" fillId="0" borderId="28" xfId="0" applyFont="1" applyFill="1" applyBorder="1" applyAlignment="1">
      <alignment horizontal="center" vertical="center" wrapText="1"/>
    </xf>
    <xf numFmtId="3" fontId="84" fillId="0" borderId="0" xfId="0" applyNumberFormat="1" applyFont="1" applyFill="1" applyAlignment="1">
      <alignment horizontal="center" vertical="center"/>
    </xf>
    <xf numFmtId="0" fontId="51" fillId="0" borderId="28" xfId="0" applyFont="1" applyBorder="1" applyAlignment="1">
      <alignment horizontal="center"/>
    </xf>
    <xf numFmtId="0" fontId="85" fillId="0" borderId="0" xfId="0" applyFont="1" applyAlignment="1">
      <alignment horizontal="center"/>
    </xf>
    <xf numFmtId="0" fontId="85" fillId="0" borderId="64" xfId="0" applyFont="1" applyBorder="1" applyAlignment="1">
      <alignment horizontal="center" vertical="center"/>
    </xf>
    <xf numFmtId="0" fontId="85" fillId="0" borderId="67" xfId="0" applyFont="1" applyBorder="1" applyAlignment="1">
      <alignment horizontal="center" vertical="center"/>
    </xf>
    <xf numFmtId="0" fontId="85" fillId="0" borderId="66" xfId="0" applyFont="1" applyBorder="1" applyAlignment="1">
      <alignment horizontal="center" vertical="center"/>
    </xf>
    <xf numFmtId="0" fontId="137" fillId="0" borderId="64" xfId="0" applyFont="1" applyBorder="1" applyAlignment="1">
      <alignment horizontal="center" vertical="center"/>
    </xf>
    <xf numFmtId="0" fontId="137" fillId="0" borderId="66" xfId="0" applyFont="1" applyBorder="1" applyAlignment="1">
      <alignment horizontal="center" vertical="center"/>
    </xf>
    <xf numFmtId="0" fontId="137" fillId="0" borderId="67" xfId="0" applyFont="1" applyBorder="1" applyAlignment="1">
      <alignment horizontal="center" vertical="center"/>
    </xf>
    <xf numFmtId="0" fontId="85" fillId="0" borderId="28" xfId="0" applyFont="1" applyFill="1" applyBorder="1" applyAlignment="1">
      <alignment horizontal="center" vertical="center" wrapText="1"/>
    </xf>
    <xf numFmtId="0" fontId="85" fillId="0" borderId="28" xfId="0" applyFont="1" applyFill="1" applyBorder="1" applyAlignment="1">
      <alignment horizontal="center" wrapText="1"/>
    </xf>
    <xf numFmtId="0" fontId="85" fillId="0" borderId="44" xfId="0" applyFont="1" applyBorder="1" applyAlignment="1">
      <alignment horizontal="center" vertical="center"/>
    </xf>
    <xf numFmtId="0" fontId="85" fillId="0" borderId="37" xfId="0" applyFont="1" applyBorder="1" applyAlignment="1">
      <alignment horizontal="center" vertical="center"/>
    </xf>
    <xf numFmtId="0" fontId="85" fillId="0" borderId="44" xfId="0" applyFont="1" applyFill="1" applyBorder="1" applyAlignment="1">
      <alignment horizontal="center" vertical="center" wrapText="1"/>
    </xf>
    <xf numFmtId="0" fontId="85" fillId="0" borderId="37" xfId="0" applyFont="1" applyFill="1" applyBorder="1" applyAlignment="1">
      <alignment horizontal="center" vertical="center" wrapText="1"/>
    </xf>
    <xf numFmtId="0" fontId="85" fillId="0" borderId="47" xfId="0" applyFont="1" applyBorder="1" applyAlignment="1">
      <alignment horizontal="center" vertical="center"/>
    </xf>
    <xf numFmtId="0" fontId="85" fillId="0" borderId="16" xfId="0" applyFont="1" applyBorder="1" applyAlignment="1">
      <alignment horizontal="center" vertical="center"/>
    </xf>
    <xf numFmtId="0" fontId="85" fillId="18" borderId="64" xfId="0" applyFont="1" applyFill="1" applyBorder="1" applyAlignment="1">
      <alignment horizontal="center" vertical="center"/>
    </xf>
    <xf numFmtId="0" fontId="85" fillId="18" borderId="67" xfId="0" applyFont="1" applyFill="1" applyBorder="1" applyAlignment="1">
      <alignment horizontal="center" vertical="center"/>
    </xf>
    <xf numFmtId="0" fontId="85" fillId="0" borderId="64" xfId="0" applyFont="1" applyFill="1" applyBorder="1" applyAlignment="1">
      <alignment horizontal="center"/>
    </xf>
    <xf numFmtId="0" fontId="85" fillId="0" borderId="67" xfId="0" applyFont="1" applyFill="1" applyBorder="1" applyAlignment="1">
      <alignment horizontal="center"/>
    </xf>
    <xf numFmtId="0" fontId="142" fillId="20" borderId="64" xfId="0" applyFont="1" applyFill="1" applyBorder="1" applyAlignment="1">
      <alignment horizontal="center" wrapText="1"/>
    </xf>
    <xf numFmtId="0" fontId="142" fillId="20" borderId="66" xfId="0" applyFont="1" applyFill="1" applyBorder="1" applyAlignment="1">
      <alignment horizontal="center" wrapText="1"/>
    </xf>
    <xf numFmtId="0" fontId="142" fillId="20" borderId="67" xfId="0" applyFont="1" applyFill="1" applyBorder="1" applyAlignment="1">
      <alignment horizontal="center" wrapText="1"/>
    </xf>
    <xf numFmtId="0" fontId="135" fillId="0" borderId="28" xfId="0" applyFont="1" applyFill="1" applyBorder="1" applyAlignment="1">
      <alignment horizontal="center"/>
    </xf>
    <xf numFmtId="0" fontId="78" fillId="20" borderId="0" xfId="0" applyFont="1" applyFill="1" applyAlignment="1">
      <alignment horizontal="center"/>
    </xf>
    <xf numFmtId="0" fontId="78" fillId="20" borderId="0" xfId="0" applyFont="1" applyFill="1"/>
    <xf numFmtId="0" fontId="85" fillId="0" borderId="44" xfId="0" applyFont="1" applyBorder="1" applyAlignment="1">
      <alignment horizontal="center" vertical="center" wrapText="1"/>
    </xf>
    <xf numFmtId="0" fontId="85" fillId="0" borderId="3" xfId="0" applyFont="1" applyBorder="1" applyAlignment="1">
      <alignment horizontal="center" vertical="center" wrapText="1"/>
    </xf>
    <xf numFmtId="49" fontId="78" fillId="0" borderId="44" xfId="0" applyNumberFormat="1" applyFont="1" applyFill="1" applyBorder="1" applyAlignment="1">
      <alignment horizontal="center" vertical="center"/>
    </xf>
    <xf numFmtId="49" fontId="78" fillId="0" borderId="3" xfId="0" applyNumberFormat="1" applyFont="1" applyFill="1" applyBorder="1" applyAlignment="1">
      <alignment horizontal="center" vertical="center"/>
    </xf>
    <xf numFmtId="49" fontId="78" fillId="23" borderId="44" xfId="0" applyNumberFormat="1" applyFont="1" applyFill="1" applyBorder="1" applyAlignment="1">
      <alignment horizontal="center" vertical="center"/>
    </xf>
    <xf numFmtId="49" fontId="78" fillId="23" borderId="3" xfId="0" applyNumberFormat="1" applyFont="1" applyFill="1" applyBorder="1" applyAlignment="1">
      <alignment horizontal="center" vertical="center"/>
    </xf>
    <xf numFmtId="49" fontId="78" fillId="0" borderId="44" xfId="0" applyNumberFormat="1" applyFont="1" applyFill="1" applyBorder="1" applyAlignment="1">
      <alignment horizontal="center" vertical="center" wrapText="1"/>
    </xf>
    <xf numFmtId="49" fontId="78" fillId="0" borderId="3" xfId="0" applyNumberFormat="1" applyFont="1" applyFill="1" applyBorder="1" applyAlignment="1">
      <alignment horizontal="center" vertical="center" wrapText="1"/>
    </xf>
    <xf numFmtId="49" fontId="78" fillId="0" borderId="36" xfId="0" applyNumberFormat="1" applyFont="1" applyFill="1" applyBorder="1" applyAlignment="1">
      <alignment horizontal="center" vertical="center" wrapText="1"/>
    </xf>
    <xf numFmtId="0" fontId="78" fillId="0" borderId="28" xfId="0" applyFont="1" applyBorder="1" applyAlignment="1">
      <alignment horizontal="center" vertical="center" wrapText="1"/>
    </xf>
    <xf numFmtId="0" fontId="78" fillId="0" borderId="28" xfId="0" applyFont="1" applyBorder="1" applyAlignment="1">
      <alignment horizontal="center" vertical="center"/>
    </xf>
    <xf numFmtId="179" fontId="78" fillId="0" borderId="0" xfId="1" applyNumberFormat="1" applyFont="1" applyBorder="1" applyAlignment="1">
      <alignment horizontal="center" vertical="center" wrapText="1"/>
    </xf>
    <xf numFmtId="0" fontId="78" fillId="0" borderId="0" xfId="0" applyFont="1" applyAlignment="1">
      <alignment horizontal="center" vertical="center" wrapText="1"/>
    </xf>
    <xf numFmtId="49" fontId="78" fillId="0" borderId="0" xfId="0" applyNumberFormat="1" applyFont="1" applyAlignment="1">
      <alignment horizontal="center" vertical="center"/>
    </xf>
    <xf numFmtId="49" fontId="78" fillId="0" borderId="0" xfId="0" applyNumberFormat="1" applyFont="1" applyAlignment="1">
      <alignment vertical="center"/>
    </xf>
    <xf numFmtId="49" fontId="78" fillId="0" borderId="0" xfId="0" applyNumberFormat="1" applyFont="1" applyBorder="1" applyAlignment="1">
      <alignment horizontal="center" vertical="center"/>
    </xf>
    <xf numFmtId="0" fontId="78" fillId="0" borderId="0" xfId="0" applyFont="1" applyAlignment="1">
      <alignment horizontal="center"/>
    </xf>
    <xf numFmtId="0" fontId="86" fillId="0" borderId="0" xfId="0" applyFont="1" applyAlignment="1">
      <alignment horizontal="center"/>
    </xf>
    <xf numFmtId="0" fontId="85" fillId="20" borderId="0" xfId="0" applyNumberFormat="1" applyFont="1" applyFill="1" applyAlignment="1">
      <alignment horizontal="center"/>
    </xf>
    <xf numFmtId="0" fontId="78" fillId="6" borderId="0" xfId="0" applyFont="1" applyFill="1" applyAlignment="1">
      <alignment horizontal="center"/>
    </xf>
    <xf numFmtId="178" fontId="85" fillId="20" borderId="0" xfId="1" applyNumberFormat="1" applyFont="1" applyFill="1" applyAlignment="1">
      <alignment horizontal="center"/>
    </xf>
    <xf numFmtId="171" fontId="80" fillId="0" borderId="0" xfId="0" applyNumberFormat="1" applyFont="1" applyAlignment="1">
      <alignment horizontal="center"/>
    </xf>
    <xf numFmtId="179" fontId="78" fillId="0" borderId="0" xfId="1" applyNumberFormat="1" applyFont="1" applyAlignment="1">
      <alignment horizontal="center"/>
    </xf>
    <xf numFmtId="179" fontId="78" fillId="0" borderId="0" xfId="0" applyNumberFormat="1" applyFont="1" applyAlignment="1">
      <alignment horizontal="center"/>
    </xf>
    <xf numFmtId="0" fontId="9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9" fillId="0" borderId="0" xfId="0" applyFont="1" applyFill="1" applyAlignment="1">
      <alignment horizontal="center"/>
    </xf>
    <xf numFmtId="179" fontId="3" fillId="0" borderId="0" xfId="0" applyNumberFormat="1" applyFont="1" applyFill="1" applyAlignment="1">
      <alignment horizontal="center"/>
    </xf>
    <xf numFmtId="0" fontId="3" fillId="0" borderId="0" xfId="0" applyFont="1" applyFill="1" applyBorder="1" applyAlignment="1">
      <alignment horizontal="center"/>
    </xf>
    <xf numFmtId="3" fontId="11" fillId="0" borderId="60" xfId="1" applyNumberFormat="1" applyFont="1" applyFill="1" applyBorder="1" applyAlignment="1">
      <alignment horizontal="center" vertical="center" wrapText="1"/>
    </xf>
    <xf numFmtId="0" fontId="11" fillId="0" borderId="15" xfId="1" applyNumberFormat="1" applyFont="1" applyFill="1" applyBorder="1" applyAlignment="1">
      <alignment horizontal="center" vertical="center" wrapText="1"/>
    </xf>
    <xf numFmtId="0" fontId="9" fillId="0" borderId="60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91" xfId="0" applyFont="1" applyFill="1" applyBorder="1" applyAlignment="1">
      <alignment horizontal="center" vertical="center" wrapText="1"/>
    </xf>
    <xf numFmtId="0" fontId="9" fillId="0" borderId="46" xfId="0" applyFont="1" applyFill="1" applyBorder="1" applyAlignment="1">
      <alignment horizontal="center" vertical="center" wrapText="1"/>
    </xf>
    <xf numFmtId="0" fontId="9" fillId="0" borderId="92" xfId="0" applyFont="1" applyFill="1" applyBorder="1" applyAlignment="1">
      <alignment horizontal="center" vertical="center" wrapText="1"/>
    </xf>
    <xf numFmtId="0" fontId="9" fillId="0" borderId="59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10" fillId="0" borderId="45" xfId="7" applyFont="1" applyFill="1" applyBorder="1" applyAlignment="1" applyProtection="1">
      <alignment horizontal="center" vertical="center" wrapText="1"/>
      <protection locked="0"/>
    </xf>
    <xf numFmtId="0" fontId="10" fillId="0" borderId="28" xfId="7" applyFont="1" applyFill="1" applyBorder="1" applyAlignment="1" applyProtection="1">
      <alignment horizontal="center" vertical="center"/>
      <protection locked="0"/>
    </xf>
    <xf numFmtId="0" fontId="9" fillId="0" borderId="45" xfId="7" applyFont="1" applyFill="1" applyBorder="1" applyAlignment="1" applyProtection="1">
      <alignment horizontal="left" vertical="center" wrapText="1"/>
      <protection locked="0"/>
    </xf>
    <xf numFmtId="0" fontId="9" fillId="0" borderId="28" xfId="7" applyFont="1" applyFill="1" applyBorder="1" applyAlignment="1" applyProtection="1">
      <alignment horizontal="left" vertical="center"/>
      <protection locked="0"/>
    </xf>
    <xf numFmtId="0" fontId="28" fillId="0" borderId="89" xfId="0" applyFont="1" applyFill="1" applyBorder="1" applyAlignment="1">
      <alignment horizontal="center" wrapText="1"/>
    </xf>
    <xf numFmtId="0" fontId="28" fillId="0" borderId="90" xfId="0" applyFont="1" applyFill="1" applyBorder="1" applyAlignment="1">
      <alignment horizontal="center" wrapText="1"/>
    </xf>
    <xf numFmtId="0" fontId="28" fillId="0" borderId="12" xfId="0" applyFont="1" applyFill="1" applyBorder="1" applyAlignment="1">
      <alignment horizontal="center" wrapText="1"/>
    </xf>
    <xf numFmtId="179" fontId="116" fillId="0" borderId="0" xfId="0" applyNumberFormat="1" applyFont="1" applyFill="1" applyAlignment="1">
      <alignment horizontal="center"/>
    </xf>
    <xf numFmtId="0" fontId="116" fillId="0" borderId="0" xfId="0" applyFont="1" applyFill="1" applyAlignment="1">
      <alignment horizontal="center"/>
    </xf>
    <xf numFmtId="0" fontId="10" fillId="0" borderId="87" xfId="7" applyFont="1" applyFill="1" applyBorder="1" applyAlignment="1" applyProtection="1">
      <alignment horizontal="center" vertical="center" wrapText="1"/>
      <protection locked="0"/>
    </xf>
    <xf numFmtId="0" fontId="10" fillId="0" borderId="88" xfId="7" applyFont="1" applyFill="1" applyBorder="1" applyAlignment="1" applyProtection="1">
      <alignment horizontal="center" vertical="center"/>
      <protection locked="0"/>
    </xf>
    <xf numFmtId="0" fontId="10" fillId="0" borderId="25" xfId="7" applyFont="1" applyFill="1" applyBorder="1" applyAlignment="1" applyProtection="1">
      <alignment horizontal="center" vertical="center" wrapText="1"/>
      <protection locked="0"/>
    </xf>
    <xf numFmtId="0" fontId="10" fillId="0" borderId="3" xfId="7" applyFont="1" applyFill="1" applyBorder="1" applyAlignment="1" applyProtection="1">
      <alignment horizontal="center" vertical="center" wrapText="1"/>
      <protection locked="0"/>
    </xf>
    <xf numFmtId="0" fontId="5" fillId="0" borderId="25" xfId="7" applyFont="1" applyFill="1" applyBorder="1" applyAlignment="1" applyProtection="1">
      <alignment horizontal="center" vertical="center" wrapText="1"/>
      <protection locked="0"/>
    </xf>
    <xf numFmtId="0" fontId="5" fillId="0" borderId="3" xfId="7" applyFont="1" applyFill="1" applyBorder="1" applyAlignment="1" applyProtection="1">
      <alignment horizontal="center" vertical="center" wrapText="1"/>
      <protection locked="0"/>
    </xf>
    <xf numFmtId="1" fontId="10" fillId="0" borderId="25" xfId="7" applyNumberFormat="1" applyFont="1" applyFill="1" applyBorder="1" applyAlignment="1" applyProtection="1">
      <alignment horizontal="center" vertical="center" wrapText="1"/>
      <protection locked="0"/>
    </xf>
    <xf numFmtId="1" fontId="10" fillId="0" borderId="3" xfId="7" applyNumberFormat="1" applyFont="1" applyFill="1" applyBorder="1" applyAlignment="1" applyProtection="1">
      <alignment horizontal="center" vertical="center" wrapText="1"/>
      <protection locked="0"/>
    </xf>
    <xf numFmtId="0" fontId="44" fillId="0" borderId="45" xfId="7" applyFont="1" applyFill="1" applyBorder="1" applyAlignment="1" applyProtection="1">
      <alignment horizontal="left" vertical="center" wrapText="1"/>
      <protection locked="0"/>
    </xf>
    <xf numFmtId="0" fontId="44" fillId="0" borderId="28" xfId="7" applyFont="1" applyFill="1" applyBorder="1" applyAlignment="1" applyProtection="1">
      <alignment horizontal="left" vertical="center"/>
      <protection locked="0"/>
    </xf>
    <xf numFmtId="3" fontId="11" fillId="0" borderId="60" xfId="0" applyNumberFormat="1" applyFont="1" applyFill="1" applyBorder="1" applyAlignment="1">
      <alignment horizontal="center" vertical="center" wrapText="1"/>
    </xf>
    <xf numFmtId="3" fontId="11" fillId="0" borderId="91" xfId="0" applyNumberFormat="1" applyFont="1" applyFill="1" applyBorder="1" applyAlignment="1">
      <alignment horizontal="center" vertical="center" wrapText="1"/>
    </xf>
    <xf numFmtId="3" fontId="11" fillId="0" borderId="15" xfId="0" applyNumberFormat="1" applyFont="1" applyFill="1" applyBorder="1" applyAlignment="1">
      <alignment horizontal="center" vertical="center" wrapText="1"/>
    </xf>
    <xf numFmtId="0" fontId="10" fillId="0" borderId="89" xfId="0" applyFont="1" applyFill="1" applyBorder="1" applyAlignment="1">
      <alignment horizontal="center" wrapText="1"/>
    </xf>
    <xf numFmtId="0" fontId="10" fillId="0" borderId="90" xfId="0" applyFont="1" applyFill="1" applyBorder="1" applyAlignment="1">
      <alignment horizontal="center" wrapText="1"/>
    </xf>
    <xf numFmtId="0" fontId="10" fillId="0" borderId="12" xfId="0" applyFont="1" applyFill="1" applyBorder="1" applyAlignment="1">
      <alignment horizontal="center" wrapText="1"/>
    </xf>
    <xf numFmtId="171" fontId="47" fillId="0" borderId="0" xfId="1" applyFont="1" applyFill="1" applyAlignment="1">
      <alignment horizontal="center"/>
    </xf>
    <xf numFmtId="0" fontId="10" fillId="0" borderId="25" xfId="7" applyFont="1" applyFill="1" applyBorder="1" applyAlignment="1" applyProtection="1">
      <alignment horizontal="center" vertical="center"/>
      <protection locked="0"/>
    </xf>
    <xf numFmtId="0" fontId="10" fillId="0" borderId="3" xfId="7" applyFont="1" applyFill="1" applyBorder="1" applyAlignment="1" applyProtection="1">
      <alignment horizontal="center" vertical="center"/>
      <protection locked="0"/>
    </xf>
    <xf numFmtId="0" fontId="9" fillId="0" borderId="45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3" fontId="9" fillId="0" borderId="60" xfId="0" applyNumberFormat="1" applyFont="1" applyFill="1" applyBorder="1" applyAlignment="1">
      <alignment horizontal="center" vertical="center" wrapText="1"/>
    </xf>
    <xf numFmtId="3" fontId="9" fillId="0" borderId="91" xfId="0" applyNumberFormat="1" applyFont="1" applyFill="1" applyBorder="1" applyAlignment="1">
      <alignment horizontal="center" vertical="center" wrapText="1"/>
    </xf>
    <xf numFmtId="3" fontId="9" fillId="0" borderId="15" xfId="0" applyNumberFormat="1" applyFont="1" applyFill="1" applyBorder="1" applyAlignment="1">
      <alignment horizontal="center" vertical="center" wrapText="1"/>
    </xf>
    <xf numFmtId="0" fontId="10" fillId="0" borderId="45" xfId="7" applyFont="1" applyFill="1" applyBorder="1" applyAlignment="1" applyProtection="1">
      <alignment horizontal="left" vertical="center" wrapText="1"/>
      <protection locked="0"/>
    </xf>
    <xf numFmtId="0" fontId="10" fillId="0" borderId="28" xfId="7" applyFont="1" applyFill="1" applyBorder="1" applyAlignment="1" applyProtection="1">
      <alignment horizontal="left" vertical="center"/>
      <protection locked="0"/>
    </xf>
    <xf numFmtId="0" fontId="87" fillId="0" borderId="0" xfId="0" applyFont="1" applyFill="1" applyAlignment="1">
      <alignment horizontal="center"/>
    </xf>
    <xf numFmtId="0" fontId="49" fillId="0" borderId="0" xfId="0" applyFont="1" applyFill="1" applyAlignment="1">
      <alignment horizontal="center"/>
    </xf>
    <xf numFmtId="0" fontId="10" fillId="0" borderId="25" xfId="7" applyNumberFormat="1" applyFont="1" applyFill="1" applyBorder="1" applyAlignment="1" applyProtection="1">
      <alignment horizontal="center" vertical="center" wrapText="1"/>
      <protection locked="0"/>
    </xf>
    <xf numFmtId="0" fontId="10" fillId="0" borderId="3" xfId="7" applyNumberFormat="1" applyFont="1" applyFill="1" applyBorder="1" applyAlignment="1" applyProtection="1">
      <alignment horizontal="center" vertical="center" wrapText="1"/>
      <protection locked="0"/>
    </xf>
    <xf numFmtId="0" fontId="43" fillId="0" borderId="45" xfId="7" applyFont="1" applyFill="1" applyBorder="1" applyAlignment="1" applyProtection="1">
      <alignment horizontal="left" vertical="center" wrapText="1"/>
      <protection locked="0"/>
    </xf>
    <xf numFmtId="0" fontId="43" fillId="0" borderId="28" xfId="7" applyFont="1" applyFill="1" applyBorder="1" applyAlignment="1" applyProtection="1">
      <alignment horizontal="left" vertical="center"/>
      <protection locked="0"/>
    </xf>
    <xf numFmtId="178" fontId="9" fillId="0" borderId="60" xfId="1" applyNumberFormat="1" applyFont="1" applyFill="1" applyBorder="1" applyAlignment="1">
      <alignment horizontal="center" vertical="center" wrapText="1"/>
    </xf>
    <xf numFmtId="178" fontId="9" fillId="0" borderId="91" xfId="1" applyNumberFormat="1" applyFont="1" applyFill="1" applyBorder="1" applyAlignment="1">
      <alignment horizontal="center" vertical="center" wrapText="1"/>
    </xf>
    <xf numFmtId="178" fontId="9" fillId="0" borderId="15" xfId="1" applyNumberFormat="1" applyFont="1" applyFill="1" applyBorder="1" applyAlignment="1">
      <alignment horizontal="center" vertical="center" wrapText="1"/>
    </xf>
    <xf numFmtId="179" fontId="9" fillId="0" borderId="64" xfId="1" applyNumberFormat="1" applyFont="1" applyFill="1" applyBorder="1" applyAlignment="1">
      <alignment horizontal="center" vertical="center"/>
    </xf>
    <xf numFmtId="179" fontId="9" fillId="0" borderId="67" xfId="1" applyNumberFormat="1" applyFont="1" applyFill="1" applyBorder="1" applyAlignment="1">
      <alignment horizontal="center" vertical="center"/>
    </xf>
    <xf numFmtId="180" fontId="9" fillId="0" borderId="0" xfId="0" applyNumberFormat="1" applyFont="1" applyFill="1" applyAlignment="1">
      <alignment horizontal="center"/>
    </xf>
    <xf numFmtId="0" fontId="86" fillId="0" borderId="0" xfId="0" applyFont="1" applyFill="1" applyAlignment="1">
      <alignment horizontal="center"/>
    </xf>
    <xf numFmtId="0" fontId="86" fillId="0" borderId="45" xfId="0" applyFont="1" applyFill="1" applyBorder="1" applyAlignment="1">
      <alignment horizontal="center" vertical="center"/>
    </xf>
    <xf numFmtId="183" fontId="86" fillId="0" borderId="64" xfId="1" applyNumberFormat="1" applyFont="1" applyFill="1" applyBorder="1" applyAlignment="1">
      <alignment horizontal="center" vertical="center"/>
    </xf>
    <xf numFmtId="183" fontId="86" fillId="0" borderId="67" xfId="1" applyNumberFormat="1" applyFont="1" applyFill="1" applyBorder="1" applyAlignment="1">
      <alignment horizontal="center" vertical="center"/>
    </xf>
    <xf numFmtId="0" fontId="86" fillId="0" borderId="95" xfId="0" applyFont="1" applyFill="1" applyBorder="1" applyAlignment="1">
      <alignment horizontal="center" vertical="center"/>
    </xf>
    <xf numFmtId="0" fontId="86" fillId="0" borderId="21" xfId="0" applyFont="1" applyFill="1" applyBorder="1" applyAlignment="1">
      <alignment horizontal="center" vertical="center"/>
    </xf>
    <xf numFmtId="0" fontId="115" fillId="0" borderId="46" xfId="0" applyFont="1" applyFill="1" applyBorder="1" applyAlignment="1">
      <alignment horizontal="center" vertical="center"/>
    </xf>
    <xf numFmtId="171" fontId="103" fillId="0" borderId="0" xfId="0" applyNumberFormat="1" applyFont="1" applyFill="1" applyAlignment="1">
      <alignment horizontal="center"/>
    </xf>
    <xf numFmtId="0" fontId="103" fillId="0" borderId="0" xfId="0" applyFont="1" applyFill="1" applyAlignment="1">
      <alignment horizontal="center"/>
    </xf>
    <xf numFmtId="0" fontId="86" fillId="0" borderId="24" xfId="0" applyFont="1" applyFill="1" applyBorder="1" applyAlignment="1">
      <alignment horizontal="center" vertical="center"/>
    </xf>
    <xf numFmtId="0" fontId="86" fillId="0" borderId="93" xfId="0" applyFont="1" applyFill="1" applyBorder="1" applyAlignment="1">
      <alignment horizontal="center" vertical="center"/>
    </xf>
    <xf numFmtId="0" fontId="86" fillId="0" borderId="2" xfId="0" applyFont="1" applyFill="1" applyBorder="1" applyAlignment="1">
      <alignment horizontal="center" vertical="center"/>
    </xf>
    <xf numFmtId="0" fontId="86" fillId="0" borderId="25" xfId="0" applyFont="1" applyFill="1" applyBorder="1" applyAlignment="1">
      <alignment horizontal="center" vertical="center" wrapText="1"/>
    </xf>
    <xf numFmtId="0" fontId="86" fillId="0" borderId="37" xfId="0" applyFont="1" applyFill="1" applyBorder="1" applyAlignment="1">
      <alignment horizontal="center" vertical="center" wrapText="1"/>
    </xf>
    <xf numFmtId="0" fontId="86" fillId="0" borderId="3" xfId="0" applyFont="1" applyFill="1" applyBorder="1" applyAlignment="1">
      <alignment horizontal="center" vertical="center" wrapText="1"/>
    </xf>
    <xf numFmtId="0" fontId="86" fillId="0" borderId="25" xfId="0" applyFont="1" applyFill="1" applyBorder="1" applyAlignment="1">
      <alignment horizontal="center" vertical="center"/>
    </xf>
    <xf numFmtId="0" fontId="86" fillId="0" borderId="37" xfId="0" applyFont="1" applyFill="1" applyBorder="1" applyAlignment="1">
      <alignment horizontal="center" vertical="center"/>
    </xf>
    <xf numFmtId="0" fontId="86" fillId="0" borderId="3" xfId="0" applyFont="1" applyFill="1" applyBorder="1" applyAlignment="1">
      <alignment horizontal="center" vertical="center"/>
    </xf>
    <xf numFmtId="0" fontId="86" fillId="0" borderId="44" xfId="0" applyFont="1" applyFill="1" applyBorder="1" applyAlignment="1">
      <alignment horizontal="center" vertical="center" wrapText="1"/>
    </xf>
    <xf numFmtId="0" fontId="86" fillId="0" borderId="26" xfId="0" applyFont="1" applyFill="1" applyBorder="1" applyAlignment="1">
      <alignment horizontal="center" vertical="center"/>
    </xf>
    <xf numFmtId="0" fontId="86" fillId="0" borderId="94" xfId="0" applyFont="1" applyFill="1" applyBorder="1" applyAlignment="1">
      <alignment horizontal="center" vertical="center"/>
    </xf>
    <xf numFmtId="0" fontId="86" fillId="0" borderId="8" xfId="0" applyFont="1" applyFill="1" applyBorder="1" applyAlignment="1">
      <alignment horizontal="center" vertical="center"/>
    </xf>
    <xf numFmtId="0" fontId="86" fillId="0" borderId="92" xfId="0" applyFont="1" applyFill="1" applyBorder="1" applyAlignment="1">
      <alignment horizontal="center" vertical="center" wrapText="1"/>
    </xf>
    <xf numFmtId="0" fontId="86" fillId="0" borderId="59" xfId="0" applyFont="1" applyFill="1" applyBorder="1" applyAlignment="1">
      <alignment horizontal="center" vertical="center" wrapText="1"/>
    </xf>
    <xf numFmtId="0" fontId="86" fillId="0" borderId="36" xfId="0" applyFont="1" applyFill="1" applyBorder="1" applyAlignment="1">
      <alignment horizontal="center" vertical="center" wrapText="1"/>
    </xf>
    <xf numFmtId="0" fontId="86" fillId="0" borderId="65" xfId="0" applyFont="1" applyFill="1" applyBorder="1" applyAlignment="1">
      <alignment horizontal="center" vertical="center" wrapText="1"/>
    </xf>
    <xf numFmtId="0" fontId="86" fillId="0" borderId="47" xfId="0" applyFont="1" applyFill="1" applyBorder="1" applyAlignment="1">
      <alignment horizontal="center" vertical="center" wrapText="1"/>
    </xf>
    <xf numFmtId="0" fontId="86" fillId="0" borderId="16" xfId="0" applyFont="1" applyFill="1" applyBorder="1" applyAlignment="1">
      <alignment horizontal="center" vertical="center" wrapText="1"/>
    </xf>
    <xf numFmtId="3" fontId="34" fillId="0" borderId="0" xfId="0" applyNumberFormat="1" applyFont="1" applyFill="1" applyAlignment="1">
      <alignment horizontal="center"/>
    </xf>
    <xf numFmtId="3" fontId="28" fillId="0" borderId="0" xfId="0" applyNumberFormat="1" applyFont="1" applyFill="1" applyAlignment="1">
      <alignment horizontal="center" vertical="center"/>
    </xf>
    <xf numFmtId="3" fontId="35" fillId="0" borderId="0" xfId="0" applyNumberFormat="1" applyFont="1" applyFill="1" applyAlignment="1">
      <alignment horizontal="center" vertical="center"/>
    </xf>
    <xf numFmtId="0" fontId="37" fillId="0" borderId="0" xfId="0" applyFont="1" applyFill="1" applyAlignment="1">
      <alignment horizontal="center"/>
    </xf>
    <xf numFmtId="0" fontId="36" fillId="0" borderId="0" xfId="0" applyFont="1" applyFill="1" applyAlignment="1">
      <alignment horizontal="center"/>
    </xf>
    <xf numFmtId="3" fontId="4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3" fillId="0" borderId="45" xfId="0" applyFont="1" applyFill="1" applyBorder="1" applyAlignment="1">
      <alignment horizontal="center" vertical="center" wrapText="1"/>
    </xf>
    <xf numFmtId="3" fontId="9" fillId="0" borderId="89" xfId="0" applyNumberFormat="1" applyFont="1" applyFill="1" applyBorder="1" applyAlignment="1">
      <alignment horizontal="center" vertical="center"/>
    </xf>
    <xf numFmtId="3" fontId="9" fillId="0" borderId="12" xfId="0" applyNumberFormat="1" applyFont="1" applyFill="1" applyBorder="1" applyAlignment="1">
      <alignment horizontal="center" vertical="center"/>
    </xf>
    <xf numFmtId="0" fontId="39" fillId="0" borderId="46" xfId="0" applyFont="1" applyFill="1" applyBorder="1" applyAlignment="1">
      <alignment horizontal="center" vertical="top"/>
    </xf>
    <xf numFmtId="0" fontId="30" fillId="0" borderId="0" xfId="0" quotePrefix="1" applyFont="1" applyFill="1" applyBorder="1" applyAlignment="1">
      <alignment horizontal="center"/>
    </xf>
    <xf numFmtId="0" fontId="30" fillId="0" borderId="0" xfId="0" applyFont="1" applyFill="1" applyBorder="1" applyAlignment="1">
      <alignment horizontal="center"/>
    </xf>
    <xf numFmtId="0" fontId="27" fillId="0" borderId="0" xfId="0" applyFont="1" applyFill="1" applyAlignment="1">
      <alignment horizontal="center"/>
    </xf>
    <xf numFmtId="0" fontId="34" fillId="0" borderId="0" xfId="0" applyFont="1" applyFill="1" applyBorder="1" applyAlignment="1">
      <alignment horizontal="center"/>
    </xf>
    <xf numFmtId="3" fontId="28" fillId="0" borderId="0" xfId="0" applyNumberFormat="1" applyFont="1" applyFill="1" applyAlignment="1">
      <alignment horizontal="center"/>
    </xf>
    <xf numFmtId="0" fontId="28" fillId="0" borderId="0" xfId="0" applyFont="1" applyFill="1" applyAlignment="1">
      <alignment horizontal="center" vertical="center"/>
    </xf>
    <xf numFmtId="0" fontId="34" fillId="0" borderId="0" xfId="0" applyFont="1" applyFill="1" applyAlignment="1">
      <alignment horizontal="center"/>
    </xf>
    <xf numFmtId="0" fontId="28" fillId="0" borderId="0" xfId="0" applyFont="1" applyFill="1" applyAlignment="1">
      <alignment horizontal="center"/>
    </xf>
    <xf numFmtId="0" fontId="34" fillId="0" borderId="0" xfId="0" applyFont="1" applyFill="1" applyAlignment="1">
      <alignment horizontal="center" vertical="top"/>
    </xf>
    <xf numFmtId="0" fontId="28" fillId="0" borderId="0" xfId="0" applyFont="1" applyFill="1" applyAlignment="1">
      <alignment horizontal="center" vertical="center" wrapText="1"/>
    </xf>
    <xf numFmtId="3" fontId="17" fillId="0" borderId="0" xfId="0" applyNumberFormat="1" applyFont="1" applyFill="1" applyAlignment="1">
      <alignment horizontal="center"/>
    </xf>
    <xf numFmtId="0" fontId="17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160" fillId="0" borderId="0" xfId="0" quotePrefix="1" applyFont="1" applyFill="1" applyAlignment="1">
      <alignment horizontal="center" vertical="top"/>
    </xf>
    <xf numFmtId="0" fontId="160" fillId="0" borderId="0" xfId="0" applyFont="1" applyFill="1" applyAlignment="1">
      <alignment horizontal="center" vertical="top"/>
    </xf>
    <xf numFmtId="0" fontId="26" fillId="0" borderId="0" xfId="0" quotePrefix="1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27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top"/>
    </xf>
    <xf numFmtId="0" fontId="9" fillId="0" borderId="0" xfId="0" applyFont="1" applyFill="1" applyAlignment="1">
      <alignment horizontal="center" wrapText="1"/>
    </xf>
    <xf numFmtId="0" fontId="86" fillId="0" borderId="64" xfId="7" applyFont="1" applyFill="1" applyBorder="1" applyAlignment="1" applyProtection="1">
      <alignment horizontal="center" vertical="center" wrapText="1"/>
      <protection locked="0"/>
    </xf>
    <xf numFmtId="0" fontId="86" fillId="0" borderId="66" xfId="7" applyFont="1" applyFill="1" applyBorder="1" applyAlignment="1" applyProtection="1">
      <alignment horizontal="center" vertical="center" wrapText="1"/>
      <protection locked="0"/>
    </xf>
    <xf numFmtId="0" fontId="86" fillId="0" borderId="96" xfId="7" applyFont="1" applyFill="1" applyBorder="1" applyAlignment="1" applyProtection="1">
      <alignment horizontal="center" vertical="center" wrapText="1"/>
      <protection locked="0"/>
    </xf>
    <xf numFmtId="0" fontId="86" fillId="0" borderId="37" xfId="7" applyFont="1" applyFill="1" applyBorder="1" applyAlignment="1" applyProtection="1">
      <alignment horizontal="center" vertical="center" wrapText="1"/>
      <protection locked="0"/>
    </xf>
    <xf numFmtId="0" fontId="86" fillId="0" borderId="1" xfId="7" applyFont="1" applyFill="1" applyBorder="1" applyAlignment="1" applyProtection="1">
      <alignment horizontal="center" vertical="center"/>
      <protection locked="0"/>
    </xf>
    <xf numFmtId="0" fontId="93" fillId="0" borderId="0" xfId="0" applyFont="1" applyFill="1" applyAlignment="1" applyProtection="1">
      <alignment horizontal="center"/>
      <protection locked="0"/>
    </xf>
    <xf numFmtId="0" fontId="93" fillId="0" borderId="0" xfId="0" applyFont="1" applyFill="1" applyAlignment="1" applyProtection="1">
      <alignment horizontal="center" vertical="center"/>
      <protection locked="0"/>
    </xf>
    <xf numFmtId="0" fontId="86" fillId="0" borderId="0" xfId="0" applyFont="1" applyFill="1" applyAlignment="1" applyProtection="1">
      <alignment horizontal="center" vertical="center"/>
      <protection locked="0"/>
    </xf>
    <xf numFmtId="0" fontId="94" fillId="0" borderId="0" xfId="0" applyFont="1" applyFill="1" applyAlignment="1" applyProtection="1">
      <alignment horizontal="center" vertical="center"/>
      <protection locked="0"/>
    </xf>
    <xf numFmtId="0" fontId="96" fillId="0" borderId="0" xfId="7" applyFont="1" applyFill="1" applyAlignment="1" applyProtection="1">
      <alignment horizontal="center"/>
      <protection locked="0"/>
    </xf>
    <xf numFmtId="171" fontId="84" fillId="0" borderId="0" xfId="0" applyNumberFormat="1" applyFont="1" applyFill="1" applyAlignment="1">
      <alignment horizontal="center"/>
    </xf>
    <xf numFmtId="0" fontId="84" fillId="0" borderId="0" xfId="0" applyFont="1" applyFill="1" applyAlignment="1">
      <alignment horizontal="center"/>
    </xf>
    <xf numFmtId="0" fontId="161" fillId="0" borderId="0" xfId="0" applyFont="1" applyFill="1" applyAlignment="1">
      <alignment horizontal="center"/>
    </xf>
    <xf numFmtId="0" fontId="96" fillId="0" borderId="0" xfId="0" applyFont="1" applyFill="1" applyAlignment="1" applyProtection="1">
      <alignment horizontal="center" vertical="center"/>
      <protection locked="0"/>
    </xf>
    <xf numFmtId="0" fontId="97" fillId="0" borderId="0" xfId="7" applyFont="1" applyFill="1" applyAlignment="1" applyProtection="1">
      <alignment horizontal="center"/>
      <protection locked="0"/>
    </xf>
    <xf numFmtId="0" fontId="86" fillId="0" borderId="60" xfId="7" applyFont="1" applyFill="1" applyBorder="1" applyAlignment="1" applyProtection="1">
      <alignment horizontal="center" vertical="center" wrapText="1"/>
      <protection locked="0"/>
    </xf>
    <xf numFmtId="0" fontId="86" fillId="0" borderId="91" xfId="7" applyFont="1" applyFill="1" applyBorder="1" applyAlignment="1" applyProtection="1">
      <alignment horizontal="center" vertical="center" wrapText="1"/>
      <protection locked="0"/>
    </xf>
    <xf numFmtId="0" fontId="93" fillId="0" borderId="64" xfId="7" applyFont="1" applyFill="1" applyBorder="1" applyAlignment="1" applyProtection="1">
      <alignment horizontal="center" wrapText="1"/>
      <protection locked="0"/>
    </xf>
    <xf numFmtId="0" fontId="93" fillId="0" borderId="66" xfId="7" applyFont="1" applyFill="1" applyBorder="1" applyAlignment="1" applyProtection="1">
      <alignment horizontal="center" wrapText="1"/>
      <protection locked="0"/>
    </xf>
    <xf numFmtId="0" fontId="93" fillId="0" borderId="67" xfId="7" applyFont="1" applyFill="1" applyBorder="1" applyAlignment="1" applyProtection="1">
      <alignment horizontal="center" wrapText="1"/>
      <protection locked="0"/>
    </xf>
    <xf numFmtId="0" fontId="162" fillId="0" borderId="64" xfId="7" applyFont="1" applyFill="1" applyBorder="1" applyAlignment="1" applyProtection="1">
      <alignment horizontal="center" wrapText="1"/>
      <protection locked="0"/>
    </xf>
    <xf numFmtId="0" fontId="162" fillId="0" borderId="67" xfId="7" applyFont="1" applyFill="1" applyBorder="1" applyAlignment="1" applyProtection="1">
      <alignment horizontal="center" wrapText="1"/>
      <protection locked="0"/>
    </xf>
    <xf numFmtId="0" fontId="86" fillId="0" borderId="67" xfId="7" applyFont="1" applyFill="1" applyBorder="1" applyAlignment="1" applyProtection="1">
      <alignment horizontal="center" vertical="center" wrapText="1"/>
      <protection locked="0"/>
    </xf>
    <xf numFmtId="0" fontId="81" fillId="0" borderId="0" xfId="0" applyFont="1" applyFill="1" applyAlignment="1">
      <alignment horizontal="center"/>
    </xf>
    <xf numFmtId="0" fontId="86" fillId="0" borderId="98" xfId="7" applyFont="1" applyFill="1" applyBorder="1" applyAlignment="1" applyProtection="1">
      <alignment horizontal="center" vertical="center" wrapText="1"/>
      <protection locked="0"/>
    </xf>
    <xf numFmtId="0" fontId="86" fillId="0" borderId="93" xfId="7" applyFont="1" applyFill="1" applyBorder="1" applyAlignment="1" applyProtection="1">
      <alignment horizontal="center" vertical="center" wrapText="1"/>
      <protection locked="0"/>
    </xf>
    <xf numFmtId="0" fontId="86" fillId="0" borderId="11" xfId="7" applyFont="1" applyFill="1" applyBorder="1" applyAlignment="1" applyProtection="1">
      <alignment horizontal="center" vertical="center"/>
      <protection locked="0"/>
    </xf>
    <xf numFmtId="0" fontId="86" fillId="0" borderId="1" xfId="7" applyFont="1" applyFill="1" applyBorder="1" applyAlignment="1" applyProtection="1">
      <alignment horizontal="center" vertical="center" wrapText="1"/>
      <protection locked="0"/>
    </xf>
    <xf numFmtId="0" fontId="93" fillId="0" borderId="96" xfId="7" applyFont="1" applyFill="1" applyBorder="1" applyAlignment="1" applyProtection="1">
      <alignment horizontal="center" vertical="center" wrapText="1"/>
      <protection locked="0"/>
    </xf>
    <xf numFmtId="0" fontId="93" fillId="0" borderId="37" xfId="7" applyFont="1" applyFill="1" applyBorder="1" applyAlignment="1" applyProtection="1">
      <alignment horizontal="center" vertical="center" wrapText="1"/>
      <protection locked="0"/>
    </xf>
    <xf numFmtId="0" fontId="93" fillId="0" borderId="1" xfId="7" applyFont="1" applyFill="1" applyBorder="1" applyAlignment="1" applyProtection="1">
      <alignment horizontal="center" vertical="center" wrapText="1"/>
      <protection locked="0"/>
    </xf>
    <xf numFmtId="1" fontId="86" fillId="0" borderId="96" xfId="7" applyNumberFormat="1" applyFont="1" applyFill="1" applyBorder="1" applyAlignment="1" applyProtection="1">
      <alignment horizontal="center" vertical="center" wrapText="1"/>
      <protection locked="0"/>
    </xf>
    <xf numFmtId="1" fontId="86" fillId="0" borderId="37" xfId="7" applyNumberFormat="1" applyFont="1" applyFill="1" applyBorder="1" applyAlignment="1" applyProtection="1">
      <alignment horizontal="center" vertical="center" wrapText="1"/>
      <protection locked="0"/>
    </xf>
    <xf numFmtId="1" fontId="86" fillId="0" borderId="1" xfId="7" applyNumberFormat="1" applyFont="1" applyFill="1" applyBorder="1" applyAlignment="1" applyProtection="1">
      <alignment horizontal="center" vertical="center" wrapText="1"/>
      <protection locked="0"/>
    </xf>
    <xf numFmtId="0" fontId="93" fillId="0" borderId="1" xfId="7" applyFont="1" applyFill="1" applyBorder="1" applyAlignment="1" applyProtection="1">
      <alignment horizontal="center" vertical="center"/>
      <protection locked="0"/>
    </xf>
    <xf numFmtId="0" fontId="89" fillId="0" borderId="5" xfId="0" applyFont="1" applyFill="1" applyBorder="1" applyAlignment="1" applyProtection="1">
      <alignment horizontal="center" vertical="center"/>
      <protection locked="0"/>
    </xf>
    <xf numFmtId="0" fontId="89" fillId="0" borderId="4" xfId="0" applyFont="1" applyFill="1" applyBorder="1" applyAlignment="1" applyProtection="1">
      <alignment horizontal="center" vertical="center"/>
      <protection locked="0"/>
    </xf>
    <xf numFmtId="0" fontId="89" fillId="0" borderId="14" xfId="7" applyFont="1" applyFill="1" applyBorder="1" applyAlignment="1" applyProtection="1">
      <alignment horizontal="center" vertical="center"/>
      <protection locked="0"/>
    </xf>
    <xf numFmtId="0" fontId="89" fillId="0" borderId="6" xfId="7" applyFont="1" applyFill="1" applyBorder="1" applyAlignment="1" applyProtection="1">
      <alignment horizontal="center" vertical="center"/>
      <protection locked="0"/>
    </xf>
    <xf numFmtId="179" fontId="93" fillId="0" borderId="96" xfId="1" applyNumberFormat="1" applyFont="1" applyFill="1" applyBorder="1" applyAlignment="1" applyProtection="1">
      <alignment horizontal="center" vertical="center" wrapText="1"/>
      <protection locked="0"/>
    </xf>
    <xf numFmtId="179" fontId="93" fillId="0" borderId="37" xfId="1" applyNumberFormat="1" applyFont="1" applyFill="1" applyBorder="1" applyAlignment="1" applyProtection="1">
      <alignment horizontal="center" vertical="center" wrapText="1"/>
      <protection locked="0"/>
    </xf>
    <xf numFmtId="179" fontId="86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86" fillId="0" borderId="97" xfId="7" applyFont="1" applyFill="1" applyBorder="1" applyAlignment="1" applyProtection="1">
      <alignment horizontal="center" vertical="center" wrapText="1"/>
      <protection locked="0"/>
    </xf>
    <xf numFmtId="0" fontId="86" fillId="0" borderId="94" xfId="7" applyFont="1" applyFill="1" applyBorder="1" applyAlignment="1" applyProtection="1">
      <alignment horizontal="center" vertical="center" wrapText="1"/>
      <protection locked="0"/>
    </xf>
    <xf numFmtId="0" fontId="86" fillId="0" borderId="13" xfId="7" applyFont="1" applyFill="1" applyBorder="1" applyAlignment="1" applyProtection="1">
      <alignment horizontal="center" vertical="center"/>
      <protection locked="0"/>
    </xf>
    <xf numFmtId="0" fontId="90" fillId="0" borderId="0" xfId="7" applyFont="1" applyFill="1" applyBorder="1" applyAlignment="1" applyProtection="1">
      <alignment horizontal="center" vertical="center"/>
      <protection locked="0"/>
    </xf>
    <xf numFmtId="0" fontId="103" fillId="0" borderId="89" xfId="0" applyFont="1" applyFill="1" applyBorder="1" applyAlignment="1">
      <alignment horizontal="center"/>
    </xf>
    <xf numFmtId="0" fontId="103" fillId="0" borderId="12" xfId="0" applyFont="1" applyFill="1" applyBorder="1" applyAlignment="1">
      <alignment horizontal="center"/>
    </xf>
    <xf numFmtId="0" fontId="90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 applyProtection="1">
      <alignment horizont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0" fontId="5" fillId="0" borderId="0" xfId="0" applyFont="1" applyFill="1" applyAlignment="1" applyProtection="1">
      <alignment horizontal="center"/>
      <protection locked="0"/>
    </xf>
    <xf numFmtId="0" fontId="7" fillId="0" borderId="0" xfId="0" applyFont="1" applyFill="1" applyAlignment="1" applyProtection="1">
      <alignment horizontal="center" vertical="center"/>
      <protection locked="0"/>
    </xf>
    <xf numFmtId="0" fontId="8" fillId="0" borderId="0" xfId="0" applyFont="1" applyFill="1" applyAlignment="1" applyProtection="1">
      <alignment horizontal="center"/>
      <protection locked="0"/>
    </xf>
    <xf numFmtId="0" fontId="10" fillId="0" borderId="45" xfId="0" applyFont="1" applyFill="1" applyBorder="1" applyAlignment="1" applyProtection="1">
      <alignment horizontal="center" vertical="center" wrapText="1"/>
      <protection locked="0"/>
    </xf>
    <xf numFmtId="0" fontId="10" fillId="0" borderId="96" xfId="0" applyFont="1" applyFill="1" applyBorder="1" applyAlignment="1" applyProtection="1">
      <alignment horizontal="center" vertical="center" wrapText="1"/>
      <protection locked="0"/>
    </xf>
    <xf numFmtId="0" fontId="9" fillId="0" borderId="96" xfId="7" applyFont="1" applyFill="1" applyBorder="1" applyAlignment="1" applyProtection="1">
      <alignment horizontal="center" vertical="center" wrapText="1"/>
      <protection locked="0"/>
    </xf>
    <xf numFmtId="0" fontId="9" fillId="0" borderId="1" xfId="7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 applyProtection="1">
      <alignment horizontal="center" vertical="center" wrapText="1"/>
      <protection locked="0"/>
    </xf>
    <xf numFmtId="0" fontId="10" fillId="0" borderId="96" xfId="7" applyFont="1" applyFill="1" applyBorder="1" applyAlignment="1" applyProtection="1">
      <alignment horizontal="center" vertical="center" wrapText="1"/>
      <protection locked="0"/>
    </xf>
    <xf numFmtId="0" fontId="10" fillId="0" borderId="1" xfId="7" applyFont="1" applyFill="1" applyBorder="1" applyAlignment="1" applyProtection="1">
      <alignment horizontal="center" vertical="center"/>
      <protection locked="0"/>
    </xf>
    <xf numFmtId="0" fontId="10" fillId="0" borderId="5" xfId="0" applyFont="1" applyFill="1" applyBorder="1" applyAlignment="1" applyProtection="1">
      <alignment horizontal="center" vertical="center"/>
      <protection locked="0"/>
    </xf>
    <xf numFmtId="0" fontId="10" fillId="0" borderId="4" xfId="0" applyFont="1" applyFill="1" applyBorder="1" applyAlignment="1" applyProtection="1">
      <alignment horizontal="center" vertical="center"/>
      <protection locked="0"/>
    </xf>
    <xf numFmtId="0" fontId="84" fillId="0" borderId="89" xfId="0" applyFont="1" applyFill="1" applyBorder="1" applyAlignment="1">
      <alignment horizontal="center"/>
    </xf>
    <xf numFmtId="0" fontId="84" fillId="0" borderId="12" xfId="0" applyFont="1" applyFill="1" applyBorder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93" fillId="0" borderId="0" xfId="0" applyFont="1" applyFill="1" applyBorder="1" applyAlignment="1" applyProtection="1">
      <alignment horizontal="center"/>
      <protection locked="0"/>
    </xf>
    <xf numFmtId="0" fontId="5" fillId="0" borderId="0" xfId="0" applyFont="1" applyFill="1" applyAlignment="1">
      <alignment horizontal="center"/>
    </xf>
    <xf numFmtId="0" fontId="13" fillId="0" borderId="25" xfId="0" applyFont="1" applyFill="1" applyBorder="1" applyAlignment="1" applyProtection="1">
      <alignment horizontal="center" vertical="center" wrapText="1"/>
      <protection locked="0"/>
    </xf>
    <xf numFmtId="0" fontId="15" fillId="0" borderId="3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 applyProtection="1">
      <alignment horizontal="center" vertical="center"/>
      <protection locked="0"/>
    </xf>
    <xf numFmtId="178" fontId="13" fillId="0" borderId="25" xfId="1" applyNumberFormat="1" applyFont="1" applyFill="1" applyBorder="1" applyAlignment="1" applyProtection="1">
      <alignment horizontal="center" vertical="center" wrapText="1"/>
      <protection locked="0"/>
    </xf>
    <xf numFmtId="178" fontId="13" fillId="0" borderId="3" xfId="1" applyNumberFormat="1" applyFont="1" applyFill="1" applyBorder="1" applyAlignment="1" applyProtection="1">
      <alignment horizontal="center" vertical="center" wrapText="1"/>
      <protection locked="0"/>
    </xf>
    <xf numFmtId="171" fontId="13" fillId="0" borderId="26" xfId="1" applyFont="1" applyFill="1" applyBorder="1" applyAlignment="1" applyProtection="1">
      <alignment horizontal="center" vertical="center" wrapText="1"/>
      <protection locked="0"/>
    </xf>
    <xf numFmtId="171" fontId="13" fillId="0" borderId="8" xfId="1" applyFont="1" applyFill="1" applyBorder="1" applyAlignment="1" applyProtection="1">
      <alignment horizontal="center" vertical="center"/>
      <protection locked="0"/>
    </xf>
    <xf numFmtId="0" fontId="10" fillId="0" borderId="98" xfId="7" applyFont="1" applyFill="1" applyBorder="1" applyAlignment="1" applyProtection="1">
      <alignment horizontal="center" vertical="center" wrapText="1"/>
      <protection locked="0"/>
    </xf>
    <xf numFmtId="0" fontId="10" fillId="0" borderId="11" xfId="7" applyFont="1" applyFill="1" applyBorder="1" applyAlignment="1" applyProtection="1">
      <alignment horizontal="center" vertical="center"/>
      <protection locked="0"/>
    </xf>
    <xf numFmtId="177" fontId="10" fillId="0" borderId="96" xfId="7" applyNumberFormat="1" applyFont="1" applyFill="1" applyBorder="1" applyAlignment="1" applyProtection="1">
      <alignment horizontal="center" vertical="center" wrapText="1"/>
      <protection locked="0"/>
    </xf>
    <xf numFmtId="177" fontId="10" fillId="0" borderId="1" xfId="7" applyNumberFormat="1" applyFont="1" applyFill="1" applyBorder="1" applyAlignment="1" applyProtection="1">
      <alignment horizontal="center" vertical="center" wrapText="1"/>
      <protection locked="0"/>
    </xf>
    <xf numFmtId="1" fontId="10" fillId="0" borderId="96" xfId="1" applyNumberFormat="1" applyFont="1" applyFill="1" applyBorder="1" applyAlignment="1" applyProtection="1">
      <alignment horizontal="center" vertical="center" wrapText="1"/>
      <protection locked="0"/>
    </xf>
    <xf numFmtId="1" fontId="10" fillId="0" borderId="1" xfId="1" applyNumberFormat="1" applyFont="1" applyFill="1" applyBorder="1" applyAlignment="1" applyProtection="1">
      <alignment horizontal="center" vertical="center" wrapText="1"/>
      <protection locked="0"/>
    </xf>
  </cellXfs>
  <cellStyles count="9">
    <cellStyle name="Comma" xfId="1" builtinId="3"/>
    <cellStyle name="Comma 10" xfId="2" xr:uid="{B93B9BDC-ED00-4DD3-8F07-2E19694048B6}"/>
    <cellStyle name="Comma 2" xfId="3" xr:uid="{9185AD82-A7B9-44B9-8D3D-C2281F2669E9}"/>
    <cellStyle name="Normal" xfId="0" builtinId="0"/>
    <cellStyle name="Normal 15" xfId="4" xr:uid="{BDBB0C66-483C-485B-A0EE-52D3EBB149C8}"/>
    <cellStyle name="Normal 2" xfId="5" xr:uid="{07D782B8-D699-4C1A-8758-EFFE3F4951DC}"/>
    <cellStyle name="Normal 2 2" xfId="6" xr:uid="{24C1E391-F6B3-4D66-B7B0-08B7A5E1E257}"/>
    <cellStyle name="Normal 3" xfId="7" xr:uid="{003DE69B-3FD1-48CB-A76D-76BFC98839B2}"/>
    <cellStyle name="Normal 3 3" xfId="8" xr:uid="{AE3274E0-0958-4560-BE38-D5D1A6BCB75A}"/>
  </cellStyles>
  <dxfs count="247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  <dxf>
      <font>
        <b val="0"/>
        <i val="0"/>
        <strike val="0"/>
        <condense val="0"/>
        <extend val="0"/>
        <u val="none"/>
        <vertAlign val="baseline"/>
        <sz val="11"/>
        <color indexed="20"/>
      </font>
      <fill>
        <patternFill patternType="solid">
          <fgColor indexed="64"/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32658</xdr:colOff>
      <xdr:row>2</xdr:row>
      <xdr:rowOff>3265</xdr:rowOff>
    </xdr:from>
    <xdr:to>
      <xdr:col>24</xdr:col>
      <xdr:colOff>381000</xdr:colOff>
      <xdr:row>2</xdr:row>
      <xdr:rowOff>3265</xdr:rowOff>
    </xdr:to>
    <xdr:cxnSp macro="">
      <xdr:nvCxnSpPr>
        <xdr:cNvPr id="2" name="Straight Connector 2">
          <a:extLst>
            <a:ext uri="{FF2B5EF4-FFF2-40B4-BE49-F238E27FC236}">
              <a16:creationId xmlns:a16="http://schemas.microsoft.com/office/drawing/2014/main" id="{4A031596-E578-F958-5068-496ED228945F}"/>
            </a:ext>
          </a:extLst>
        </xdr:cNvPr>
        <xdr:cNvCxnSpPr/>
      </xdr:nvCxnSpPr>
      <xdr:spPr>
        <a:xfrm>
          <a:off x="11774805" y="925195"/>
          <a:ext cx="175831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195943</xdr:colOff>
      <xdr:row>2</xdr:row>
      <xdr:rowOff>252820</xdr:rowOff>
    </xdr:from>
    <xdr:to>
      <xdr:col>8</xdr:col>
      <xdr:colOff>368272</xdr:colOff>
      <xdr:row>2</xdr:row>
      <xdr:rowOff>254181</xdr:rowOff>
    </xdr:to>
    <xdr:cxnSp macro="">
      <xdr:nvCxnSpPr>
        <xdr:cNvPr id="3" name="Straight Connector 3">
          <a:extLst>
            <a:ext uri="{FF2B5EF4-FFF2-40B4-BE49-F238E27FC236}">
              <a16:creationId xmlns:a16="http://schemas.microsoft.com/office/drawing/2014/main" id="{7B535285-1C7B-3893-D4D4-53EF022E986D}"/>
            </a:ext>
          </a:extLst>
        </xdr:cNvPr>
        <xdr:cNvCxnSpPr/>
      </xdr:nvCxnSpPr>
      <xdr:spPr>
        <a:xfrm flipV="1">
          <a:off x="3708400" y="1382395"/>
          <a:ext cx="1126490" cy="1079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1077686</xdr:colOff>
      <xdr:row>2</xdr:row>
      <xdr:rowOff>8981</xdr:rowOff>
    </xdr:from>
    <xdr:to>
      <xdr:col>17</xdr:col>
      <xdr:colOff>1215921</xdr:colOff>
      <xdr:row>2</xdr:row>
      <xdr:rowOff>8981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96B0592-4266-B046-83FE-3C471FC881C3}"/>
            </a:ext>
          </a:extLst>
        </xdr:cNvPr>
        <xdr:cNvCxnSpPr/>
      </xdr:nvCxnSpPr>
      <xdr:spPr>
        <a:xfrm>
          <a:off x="11577955" y="858520"/>
          <a:ext cx="189801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381000</xdr:colOff>
      <xdr:row>3</xdr:row>
      <xdr:rowOff>23132</xdr:rowOff>
    </xdr:from>
    <xdr:to>
      <xdr:col>6</xdr:col>
      <xdr:colOff>76200</xdr:colOff>
      <xdr:row>3</xdr:row>
      <xdr:rowOff>23132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E34CA7D-AF5B-B752-E9BD-364161065AC9}"/>
            </a:ext>
          </a:extLst>
        </xdr:cNvPr>
        <xdr:cNvCxnSpPr/>
      </xdr:nvCxnSpPr>
      <xdr:spPr>
        <a:xfrm>
          <a:off x="2659380" y="1230630"/>
          <a:ext cx="189738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&#7851;u/BIEU%20MAU%20NGHIEM%20THU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B KD (Đ1)"/>
      <sheetName val="TH (Đ1)"/>
      <sheetName val="C.TIET (Đ1)"/>
      <sheetName val="BB KD (Đ2)"/>
      <sheetName val="TH (Đ2)"/>
      <sheetName val="C.TIET (Đ2)"/>
      <sheetName val="chi tiết t4-2021"/>
      <sheetName val="Ten hang muc (2)"/>
      <sheetName val="BB KTCB"/>
      <sheetName val="TH KTCB"/>
      <sheetName val="C.TIET KTC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E2C1B-1B18-451E-9D1E-34A24DC24B39}">
  <sheetPr>
    <tabColor rgb="FFFF0000"/>
  </sheetPr>
  <dimension ref="A1:P48"/>
  <sheetViews>
    <sheetView workbookViewId="0">
      <selection activeCell="E16" sqref="E16"/>
    </sheetView>
  </sheetViews>
  <sheetFormatPr defaultColWidth="8.69921875" defaultRowHeight="13.8"/>
  <cols>
    <col min="1" max="1" width="15" customWidth="1"/>
    <col min="2" max="2" width="14.69921875" customWidth="1"/>
    <col min="3" max="3" width="13.3984375" customWidth="1"/>
    <col min="4" max="5" width="18.09765625" customWidth="1"/>
  </cols>
  <sheetData>
    <row r="1" spans="1:16" s="1256" customFormat="1" ht="17.25" customHeight="1">
      <c r="B1" s="1258"/>
      <c r="C1" s="1258"/>
      <c r="D1" s="1258"/>
      <c r="G1" s="1256" t="s">
        <v>0</v>
      </c>
      <c r="I1" s="1275" t="s">
        <v>1</v>
      </c>
      <c r="J1" s="1275"/>
      <c r="K1" s="1275" t="s">
        <v>2</v>
      </c>
      <c r="L1" s="1275"/>
      <c r="M1" s="1275" t="s">
        <v>3</v>
      </c>
      <c r="N1" s="1275"/>
      <c r="O1" s="1275" t="s">
        <v>4</v>
      </c>
      <c r="P1" s="1275"/>
    </row>
    <row r="2" spans="1:16" s="1257" customFormat="1" ht="33" customHeight="1">
      <c r="A2" s="1259" t="s">
        <v>5</v>
      </c>
      <c r="B2" s="1260" t="s">
        <v>6</v>
      </c>
      <c r="C2" s="1261" t="s">
        <v>7</v>
      </c>
      <c r="D2" s="1261" t="s">
        <v>8</v>
      </c>
      <c r="E2" s="1262"/>
      <c r="G2" s="1257">
        <v>1567.3</v>
      </c>
      <c r="H2" s="1257">
        <v>3562</v>
      </c>
      <c r="I2" s="1257">
        <v>1666.3</v>
      </c>
      <c r="J2" s="1257">
        <v>3787</v>
      </c>
      <c r="K2" s="1257">
        <v>1681.7</v>
      </c>
      <c r="L2" s="1257">
        <v>3822</v>
      </c>
      <c r="M2" s="1257">
        <v>1031.8</v>
      </c>
      <c r="N2" s="1257">
        <v>2345</v>
      </c>
      <c r="O2" s="1257">
        <v>1204.7</v>
      </c>
      <c r="P2" s="1257">
        <v>2738</v>
      </c>
    </row>
    <row r="3" spans="1:16" s="798" customFormat="1" ht="17.25" customHeight="1">
      <c r="A3" s="1263">
        <v>1</v>
      </c>
      <c r="B3" s="1264">
        <v>123836</v>
      </c>
      <c r="C3" s="1264">
        <v>173374</v>
      </c>
      <c r="D3" s="1264">
        <f>ROUND(C3*0.44,0)</f>
        <v>76285</v>
      </c>
      <c r="E3" s="1265"/>
      <c r="G3" s="798">
        <v>1557.2</v>
      </c>
      <c r="H3" s="798">
        <v>3539</v>
      </c>
      <c r="I3" s="798">
        <v>1640.3</v>
      </c>
      <c r="J3" s="798">
        <v>3728</v>
      </c>
      <c r="K3" s="798">
        <v>1662.8</v>
      </c>
      <c r="L3" s="798">
        <v>3779</v>
      </c>
      <c r="M3" s="798">
        <v>1100.4000000000001</v>
      </c>
      <c r="N3" s="798">
        <v>2501</v>
      </c>
      <c r="O3" s="798">
        <v>1196.8</v>
      </c>
      <c r="P3" s="798">
        <v>2720</v>
      </c>
    </row>
    <row r="4" spans="1:16" s="798" customFormat="1" ht="17.25" customHeight="1">
      <c r="A4" s="1263">
        <v>2</v>
      </c>
      <c r="B4" s="1264">
        <v>118640</v>
      </c>
      <c r="C4" s="1264">
        <v>166096</v>
      </c>
      <c r="D4" s="1264">
        <f>ROUND(C4*0.44,0)</f>
        <v>73082</v>
      </c>
      <c r="E4" s="1265"/>
      <c r="G4" s="798">
        <v>1582.7</v>
      </c>
      <c r="H4" s="798">
        <v>3597</v>
      </c>
      <c r="I4" s="798">
        <v>1632.4</v>
      </c>
      <c r="J4" s="798">
        <v>3710</v>
      </c>
      <c r="K4" s="798">
        <v>1584.4</v>
      </c>
      <c r="L4" s="798">
        <v>3601</v>
      </c>
      <c r="M4" s="798">
        <v>1087.7</v>
      </c>
      <c r="N4" s="798">
        <v>2472</v>
      </c>
      <c r="O4" s="798">
        <v>1136.0999999999999</v>
      </c>
      <c r="P4" s="798">
        <v>2582</v>
      </c>
    </row>
    <row r="5" spans="1:16" s="798" customFormat="1" ht="17.25" customHeight="1">
      <c r="A5" s="1263">
        <v>3</v>
      </c>
      <c r="B5" s="1264">
        <v>115450</v>
      </c>
      <c r="C5" s="1264">
        <v>161633</v>
      </c>
      <c r="D5" s="1264">
        <f>ROUND(C5*0.44,0)</f>
        <v>71119</v>
      </c>
      <c r="E5" s="1265"/>
      <c r="G5" s="798">
        <v>1617</v>
      </c>
      <c r="H5" s="798">
        <v>3675</v>
      </c>
      <c r="I5" s="798">
        <v>1590.6</v>
      </c>
      <c r="J5" s="798">
        <v>3615</v>
      </c>
      <c r="K5" s="798">
        <v>1584.9</v>
      </c>
      <c r="L5" s="798">
        <v>3602</v>
      </c>
      <c r="M5" s="798">
        <v>1057.3</v>
      </c>
      <c r="N5" s="798">
        <v>2403</v>
      </c>
      <c r="O5" s="798">
        <v>1173</v>
      </c>
      <c r="P5" s="798">
        <v>2666</v>
      </c>
    </row>
    <row r="6" spans="1:16" s="798" customFormat="1" ht="17.25" customHeight="1">
      <c r="A6" s="1263">
        <v>4</v>
      </c>
      <c r="B6" s="1264">
        <v>80347</v>
      </c>
      <c r="C6" s="1264">
        <v>80347</v>
      </c>
      <c r="D6" s="1264">
        <f>ROUND(C6*0.44,0)</f>
        <v>35353</v>
      </c>
      <c r="E6" s="1265"/>
      <c r="G6" s="798">
        <v>1651.3</v>
      </c>
      <c r="H6" s="798">
        <v>3753</v>
      </c>
      <c r="I6" s="798">
        <v>1584.4</v>
      </c>
      <c r="J6" s="798">
        <v>3601</v>
      </c>
      <c r="K6" s="798">
        <v>1607.8</v>
      </c>
      <c r="L6" s="798">
        <v>3654</v>
      </c>
      <c r="M6" s="798">
        <v>1043.7</v>
      </c>
      <c r="N6" s="798">
        <v>2372</v>
      </c>
      <c r="O6" s="798">
        <v>1195.9000000000001</v>
      </c>
      <c r="P6" s="798">
        <v>2718</v>
      </c>
    </row>
    <row r="7" spans="1:16" s="798" customFormat="1" ht="17.25" customHeight="1">
      <c r="A7" s="1263">
        <v>5</v>
      </c>
      <c r="B7" s="1264">
        <v>79366</v>
      </c>
      <c r="C7" s="1264">
        <v>87306</v>
      </c>
      <c r="D7" s="1264">
        <f>ROUND(C7*0.44,0)</f>
        <v>38415</v>
      </c>
      <c r="E7" s="1265"/>
      <c r="G7" s="798">
        <v>1662.8</v>
      </c>
      <c r="H7" s="798">
        <v>3779</v>
      </c>
      <c r="I7" s="798">
        <v>1564.2</v>
      </c>
      <c r="J7" s="798">
        <v>3555</v>
      </c>
      <c r="K7" s="798">
        <v>1599</v>
      </c>
      <c r="L7" s="798">
        <v>3634</v>
      </c>
      <c r="M7" s="798">
        <v>1035.3</v>
      </c>
      <c r="N7" s="798">
        <v>2353</v>
      </c>
      <c r="O7" s="798">
        <v>1253.5999999999999</v>
      </c>
      <c r="P7" s="798">
        <v>2849</v>
      </c>
    </row>
    <row r="8" spans="1:16" s="798" customFormat="1" ht="17.25" customHeight="1">
      <c r="A8" s="1266"/>
      <c r="B8" s="1267"/>
      <c r="C8" s="1267"/>
      <c r="D8" s="1267"/>
      <c r="E8" s="1268"/>
      <c r="G8" s="798">
        <v>1671.1</v>
      </c>
      <c r="H8" s="798">
        <v>3798</v>
      </c>
      <c r="I8" s="798">
        <v>1639.9</v>
      </c>
      <c r="J8" s="798">
        <v>3727</v>
      </c>
      <c r="K8" s="798">
        <v>1618.8</v>
      </c>
      <c r="L8" s="798">
        <v>3679</v>
      </c>
      <c r="M8" s="798">
        <v>1000.1</v>
      </c>
      <c r="N8" s="798">
        <v>2273</v>
      </c>
      <c r="O8" s="798">
        <v>1238.2</v>
      </c>
      <c r="P8" s="798">
        <v>2814</v>
      </c>
    </row>
    <row r="9" spans="1:16" s="798" customFormat="1" ht="17.25" customHeight="1">
      <c r="A9" s="1269" t="s">
        <v>9</v>
      </c>
      <c r="B9" s="1270">
        <f>SUM(B3:B8)</f>
        <v>517639</v>
      </c>
      <c r="C9" s="1270">
        <f>SUM(C3:C8)</f>
        <v>668756</v>
      </c>
      <c r="D9" s="1270">
        <f>SUM(D3:D8)</f>
        <v>294254</v>
      </c>
      <c r="E9" s="1271"/>
      <c r="G9" s="798">
        <v>1619.6</v>
      </c>
      <c r="H9" s="798">
        <v>3681</v>
      </c>
      <c r="I9" s="798">
        <v>1604.7</v>
      </c>
      <c r="J9" s="798">
        <v>3647</v>
      </c>
      <c r="K9" s="798">
        <v>1602</v>
      </c>
      <c r="L9" s="798">
        <v>3641</v>
      </c>
      <c r="M9" s="798">
        <v>985.2</v>
      </c>
      <c r="N9" s="798">
        <v>2239</v>
      </c>
      <c r="O9" s="798">
        <v>1243.9000000000001</v>
      </c>
      <c r="P9" s="798">
        <v>2827</v>
      </c>
    </row>
    <row r="10" spans="1:16">
      <c r="G10">
        <v>1669.4</v>
      </c>
      <c r="H10">
        <v>3794</v>
      </c>
      <c r="I10">
        <v>1586.6</v>
      </c>
      <c r="J10">
        <v>3606</v>
      </c>
      <c r="K10">
        <v>1588.8</v>
      </c>
      <c r="L10">
        <v>3611</v>
      </c>
      <c r="M10">
        <v>963.2</v>
      </c>
      <c r="N10">
        <v>2189</v>
      </c>
      <c r="O10">
        <v>1222.8</v>
      </c>
      <c r="P10">
        <v>2779</v>
      </c>
    </row>
    <row r="11" spans="1:16">
      <c r="G11">
        <v>1613.9</v>
      </c>
      <c r="H11">
        <v>3668</v>
      </c>
      <c r="I11">
        <v>1654.4</v>
      </c>
      <c r="J11">
        <v>3760</v>
      </c>
      <c r="K11">
        <v>1604.7</v>
      </c>
      <c r="L11">
        <v>3647</v>
      </c>
      <c r="M11">
        <v>1007.2</v>
      </c>
      <c r="N11">
        <v>2289</v>
      </c>
      <c r="O11">
        <v>1194.2</v>
      </c>
      <c r="P11">
        <v>2714</v>
      </c>
    </row>
    <row r="12" spans="1:16">
      <c r="G12">
        <v>1635.5</v>
      </c>
      <c r="H12">
        <v>3717</v>
      </c>
      <c r="I12">
        <v>1654</v>
      </c>
      <c r="J12">
        <v>3759</v>
      </c>
      <c r="K12">
        <v>1585.8</v>
      </c>
      <c r="L12">
        <v>3604</v>
      </c>
      <c r="M12">
        <v>969.8</v>
      </c>
      <c r="N12">
        <v>2204</v>
      </c>
      <c r="O12">
        <v>1173.9000000000001</v>
      </c>
      <c r="P12">
        <v>2668</v>
      </c>
    </row>
    <row r="13" spans="1:16">
      <c r="G13">
        <v>1614.4</v>
      </c>
      <c r="H13">
        <v>3669</v>
      </c>
      <c r="I13">
        <v>1641.2</v>
      </c>
      <c r="J13">
        <v>3730</v>
      </c>
      <c r="K13">
        <v>1564.2</v>
      </c>
      <c r="L13">
        <v>3555</v>
      </c>
      <c r="M13">
        <v>1018.2</v>
      </c>
      <c r="N13">
        <v>2314</v>
      </c>
      <c r="O13">
        <v>1169.5</v>
      </c>
      <c r="P13">
        <v>2658</v>
      </c>
    </row>
    <row r="14" spans="1:16">
      <c r="G14">
        <v>1656.6</v>
      </c>
      <c r="H14">
        <v>3765</v>
      </c>
      <c r="I14">
        <v>1592.8</v>
      </c>
      <c r="J14">
        <v>3620</v>
      </c>
      <c r="K14">
        <v>1522.8</v>
      </c>
      <c r="L14">
        <v>3461</v>
      </c>
      <c r="M14">
        <v>1002.8</v>
      </c>
      <c r="N14">
        <v>2279</v>
      </c>
      <c r="O14">
        <v>1185.8</v>
      </c>
      <c r="P14">
        <v>2695</v>
      </c>
    </row>
    <row r="15" spans="1:16">
      <c r="G15">
        <v>1561.1</v>
      </c>
      <c r="H15">
        <v>3548</v>
      </c>
      <c r="I15">
        <v>1610.4</v>
      </c>
      <c r="J15">
        <v>3660</v>
      </c>
      <c r="K15">
        <v>1527.2</v>
      </c>
      <c r="L15">
        <v>3471</v>
      </c>
      <c r="M15">
        <v>981.6</v>
      </c>
      <c r="N15">
        <v>2231</v>
      </c>
      <c r="O15">
        <v>1123.8</v>
      </c>
      <c r="P15">
        <v>2554</v>
      </c>
    </row>
    <row r="16" spans="1:16">
      <c r="G16">
        <v>1601.6</v>
      </c>
      <c r="H16">
        <v>3640</v>
      </c>
      <c r="I16">
        <v>1620.1</v>
      </c>
      <c r="J16">
        <v>3682</v>
      </c>
      <c r="K16">
        <v>1570.4</v>
      </c>
      <c r="L16">
        <v>3569</v>
      </c>
      <c r="M16">
        <v>990.4</v>
      </c>
      <c r="N16">
        <v>2251</v>
      </c>
      <c r="O16">
        <v>1141.8</v>
      </c>
      <c r="P16">
        <v>2595</v>
      </c>
    </row>
    <row r="17" spans="7:16">
      <c r="G17">
        <v>1676.8</v>
      </c>
      <c r="H17">
        <v>3811</v>
      </c>
      <c r="I17">
        <v>1687.4</v>
      </c>
      <c r="J17">
        <v>3835</v>
      </c>
      <c r="K17">
        <v>1594.1</v>
      </c>
      <c r="L17">
        <v>3623</v>
      </c>
      <c r="M17">
        <v>1024.8</v>
      </c>
      <c r="N17">
        <v>2329</v>
      </c>
      <c r="O17">
        <v>1111.4000000000001</v>
      </c>
      <c r="P17">
        <v>2526</v>
      </c>
    </row>
    <row r="18" spans="7:16">
      <c r="G18">
        <v>1677.3</v>
      </c>
      <c r="H18">
        <v>3812</v>
      </c>
      <c r="I18">
        <v>1606</v>
      </c>
      <c r="J18">
        <v>3650</v>
      </c>
      <c r="K18">
        <v>1579.6</v>
      </c>
      <c r="L18">
        <v>3590</v>
      </c>
      <c r="M18">
        <v>1002.3</v>
      </c>
      <c r="N18">
        <v>2278</v>
      </c>
      <c r="O18">
        <v>1118.5</v>
      </c>
      <c r="P18">
        <v>2542</v>
      </c>
    </row>
    <row r="19" spans="7:16">
      <c r="G19">
        <v>1676.8</v>
      </c>
      <c r="H19">
        <v>3811</v>
      </c>
      <c r="I19">
        <v>1634.2</v>
      </c>
      <c r="J19">
        <v>3714</v>
      </c>
      <c r="K19">
        <v>1575.2</v>
      </c>
      <c r="L19">
        <v>3580</v>
      </c>
      <c r="M19">
        <v>1013.8</v>
      </c>
      <c r="N19">
        <v>2304</v>
      </c>
      <c r="O19">
        <v>1107</v>
      </c>
      <c r="P19">
        <v>2516</v>
      </c>
    </row>
    <row r="20" spans="7:16">
      <c r="G20">
        <v>1662.8</v>
      </c>
      <c r="H20">
        <v>3779</v>
      </c>
      <c r="I20">
        <v>1605.1</v>
      </c>
      <c r="J20">
        <v>3648</v>
      </c>
      <c r="K20">
        <v>1625.8</v>
      </c>
      <c r="L20">
        <v>3695</v>
      </c>
      <c r="M20">
        <v>1058.5999999999999</v>
      </c>
      <c r="N20">
        <v>2406</v>
      </c>
      <c r="O20">
        <v>1054.2</v>
      </c>
      <c r="P20">
        <v>2396</v>
      </c>
    </row>
    <row r="21" spans="7:16">
      <c r="G21">
        <v>1672</v>
      </c>
      <c r="H21">
        <v>3800</v>
      </c>
      <c r="I21">
        <v>1567.3</v>
      </c>
      <c r="J21">
        <v>3562</v>
      </c>
      <c r="K21">
        <v>1692.2</v>
      </c>
      <c r="L21">
        <v>3846</v>
      </c>
      <c r="M21">
        <v>1079.3</v>
      </c>
      <c r="N21">
        <v>2453</v>
      </c>
      <c r="O21">
        <v>1085.9000000000001</v>
      </c>
      <c r="P21">
        <v>2468</v>
      </c>
    </row>
    <row r="22" spans="7:16">
      <c r="G22">
        <v>1660.1</v>
      </c>
      <c r="H22">
        <v>3773</v>
      </c>
      <c r="I22">
        <v>1575.6</v>
      </c>
      <c r="J22">
        <v>3581</v>
      </c>
      <c r="K22">
        <v>1676.8</v>
      </c>
      <c r="L22">
        <v>3811</v>
      </c>
      <c r="M22">
        <v>1053.8</v>
      </c>
      <c r="N22">
        <v>2395</v>
      </c>
      <c r="O22">
        <v>1132.5999999999999</v>
      </c>
      <c r="P22">
        <v>2574</v>
      </c>
    </row>
    <row r="23" spans="7:16">
      <c r="G23">
        <v>1679</v>
      </c>
      <c r="H23">
        <v>3816</v>
      </c>
      <c r="I23">
        <v>1654.4</v>
      </c>
      <c r="J23">
        <v>3760</v>
      </c>
      <c r="K23">
        <v>1612.2</v>
      </c>
      <c r="L23">
        <v>3664</v>
      </c>
      <c r="M23">
        <v>1079.3</v>
      </c>
      <c r="N23">
        <v>2453</v>
      </c>
      <c r="O23">
        <v>1090.3</v>
      </c>
      <c r="P23">
        <v>2478</v>
      </c>
    </row>
    <row r="24" spans="7:16">
      <c r="G24">
        <v>1672</v>
      </c>
      <c r="H24">
        <v>3800</v>
      </c>
      <c r="I24">
        <v>1685.2</v>
      </c>
      <c r="J24">
        <v>3830</v>
      </c>
      <c r="K24">
        <v>1613.9</v>
      </c>
      <c r="L24">
        <v>3668</v>
      </c>
      <c r="M24">
        <v>1087.7</v>
      </c>
      <c r="N24">
        <v>2472</v>
      </c>
      <c r="O24">
        <v>1040.2</v>
      </c>
      <c r="P24">
        <v>2364</v>
      </c>
    </row>
    <row r="25" spans="7:16">
      <c r="G25">
        <v>1607.3</v>
      </c>
      <c r="H25">
        <v>3653</v>
      </c>
      <c r="I25">
        <v>1706.3</v>
      </c>
      <c r="J25">
        <v>3878</v>
      </c>
      <c r="K25">
        <v>1643</v>
      </c>
      <c r="L25">
        <v>3734</v>
      </c>
      <c r="M25">
        <v>1100</v>
      </c>
      <c r="N25">
        <v>2500</v>
      </c>
      <c r="O25">
        <v>1070.0999999999999</v>
      </c>
      <c r="P25">
        <v>2432</v>
      </c>
    </row>
    <row r="26" spans="7:16">
      <c r="G26">
        <v>1602</v>
      </c>
      <c r="H26">
        <v>3641</v>
      </c>
      <c r="I26">
        <v>1546.6</v>
      </c>
      <c r="J26">
        <v>3515</v>
      </c>
      <c r="K26">
        <v>1620.5</v>
      </c>
      <c r="L26">
        <v>3683</v>
      </c>
      <c r="M26">
        <v>1041.9000000000001</v>
      </c>
      <c r="N26">
        <v>2368</v>
      </c>
      <c r="O26">
        <v>1058.2</v>
      </c>
      <c r="P26">
        <v>2405</v>
      </c>
    </row>
    <row r="27" spans="7:16">
      <c r="G27">
        <v>1605.1</v>
      </c>
      <c r="H27">
        <v>3648</v>
      </c>
      <c r="I27">
        <v>1569</v>
      </c>
      <c r="J27">
        <v>3566</v>
      </c>
      <c r="K27">
        <v>1596.8</v>
      </c>
      <c r="L27">
        <v>3629</v>
      </c>
      <c r="M27">
        <v>994.8</v>
      </c>
      <c r="N27">
        <v>2261</v>
      </c>
      <c r="O27">
        <v>1069.5999999999999</v>
      </c>
      <c r="P27">
        <v>2431</v>
      </c>
    </row>
    <row r="28" spans="7:16">
      <c r="G28">
        <v>1609.1</v>
      </c>
      <c r="H28">
        <v>3657</v>
      </c>
      <c r="I28">
        <v>1553.6</v>
      </c>
      <c r="J28">
        <v>3531</v>
      </c>
      <c r="K28">
        <v>1607.8</v>
      </c>
      <c r="L28">
        <v>3654</v>
      </c>
      <c r="M28">
        <v>972.8</v>
      </c>
      <c r="N28">
        <v>2211</v>
      </c>
      <c r="O28">
        <v>1101.3</v>
      </c>
      <c r="P28">
        <v>2503</v>
      </c>
    </row>
    <row r="29" spans="7:16">
      <c r="G29">
        <v>1612.2</v>
      </c>
      <c r="H29">
        <v>3664</v>
      </c>
      <c r="I29">
        <v>1555.4</v>
      </c>
      <c r="J29">
        <v>3535</v>
      </c>
      <c r="K29">
        <v>1615.2</v>
      </c>
      <c r="L29">
        <v>3671</v>
      </c>
      <c r="M29">
        <v>1027.4000000000001</v>
      </c>
      <c r="N29">
        <v>2335</v>
      </c>
      <c r="O29">
        <v>1063.9000000000001</v>
      </c>
      <c r="P29">
        <v>2418</v>
      </c>
    </row>
    <row r="30" spans="7:16">
      <c r="G30">
        <v>1643.4</v>
      </c>
      <c r="H30">
        <v>3735</v>
      </c>
      <c r="I30">
        <v>1636.8</v>
      </c>
      <c r="J30">
        <v>3720</v>
      </c>
      <c r="K30">
        <v>1605.1</v>
      </c>
      <c r="L30">
        <v>3648</v>
      </c>
      <c r="M30">
        <v>1097.4000000000001</v>
      </c>
      <c r="N30">
        <v>2494</v>
      </c>
      <c r="O30">
        <v>1082.4000000000001</v>
      </c>
      <c r="P30">
        <v>2460</v>
      </c>
    </row>
    <row r="31" spans="7:16">
      <c r="G31">
        <v>1563.3</v>
      </c>
      <c r="H31">
        <v>3553</v>
      </c>
      <c r="I31">
        <v>1646</v>
      </c>
      <c r="J31">
        <v>3741</v>
      </c>
      <c r="K31">
        <v>1571.2</v>
      </c>
      <c r="L31">
        <v>3571</v>
      </c>
      <c r="M31">
        <v>1119.8</v>
      </c>
      <c r="N31">
        <v>2545</v>
      </c>
      <c r="O31">
        <v>1064.4000000000001</v>
      </c>
      <c r="P31">
        <v>2419</v>
      </c>
    </row>
    <row r="32" spans="7:16">
      <c r="G32">
        <v>1612.2</v>
      </c>
      <c r="H32">
        <v>3664</v>
      </c>
      <c r="I32">
        <v>1617</v>
      </c>
      <c r="J32">
        <v>3675</v>
      </c>
      <c r="K32">
        <v>1607.8</v>
      </c>
      <c r="L32">
        <v>3654</v>
      </c>
      <c r="M32">
        <v>1069.5999999999999</v>
      </c>
      <c r="N32">
        <v>2431</v>
      </c>
      <c r="O32">
        <v>1078</v>
      </c>
      <c r="P32">
        <v>2450</v>
      </c>
    </row>
    <row r="33" spans="7:16">
      <c r="G33">
        <v>1635</v>
      </c>
      <c r="H33">
        <v>3716</v>
      </c>
      <c r="I33">
        <v>1595.4</v>
      </c>
      <c r="J33">
        <v>3626</v>
      </c>
      <c r="K33">
        <v>1552.8</v>
      </c>
      <c r="L33">
        <v>3529</v>
      </c>
      <c r="M33">
        <v>1034.9000000000001</v>
      </c>
      <c r="N33">
        <v>2352</v>
      </c>
      <c r="O33">
        <v>1090.3</v>
      </c>
      <c r="P33">
        <v>2478</v>
      </c>
    </row>
    <row r="34" spans="7:16">
      <c r="G34">
        <v>1635.9</v>
      </c>
      <c r="H34">
        <v>3718</v>
      </c>
      <c r="I34">
        <v>1661.4</v>
      </c>
      <c r="J34">
        <v>3776</v>
      </c>
      <c r="K34">
        <v>1585.8</v>
      </c>
      <c r="L34">
        <v>3604</v>
      </c>
      <c r="M34">
        <v>1105.7</v>
      </c>
      <c r="N34">
        <v>2513</v>
      </c>
      <c r="O34">
        <v>1106.5999999999999</v>
      </c>
      <c r="P34">
        <v>2515</v>
      </c>
    </row>
    <row r="35" spans="7:16">
      <c r="G35">
        <v>1656.6</v>
      </c>
      <c r="H35">
        <v>3765</v>
      </c>
      <c r="I35">
        <v>1630.6</v>
      </c>
      <c r="J35">
        <v>3706</v>
      </c>
      <c r="K35">
        <v>1578.7</v>
      </c>
      <c r="L35">
        <v>3588</v>
      </c>
      <c r="M35">
        <v>1114.0999999999999</v>
      </c>
      <c r="N35">
        <v>2532</v>
      </c>
      <c r="O35">
        <v>1035.8</v>
      </c>
      <c r="P35">
        <v>2354</v>
      </c>
    </row>
    <row r="36" spans="7:16">
      <c r="G36">
        <v>1607.8</v>
      </c>
      <c r="H36">
        <v>3654</v>
      </c>
      <c r="I36">
        <v>1666.7</v>
      </c>
      <c r="J36">
        <v>3788</v>
      </c>
      <c r="K36">
        <v>1651.3</v>
      </c>
      <c r="L36">
        <v>3753</v>
      </c>
    </row>
    <row r="37" spans="7:16">
      <c r="G37">
        <v>1669.8</v>
      </c>
      <c r="H37">
        <v>3795</v>
      </c>
      <c r="I37">
        <v>1641.2</v>
      </c>
      <c r="J37">
        <v>3730</v>
      </c>
      <c r="K37">
        <v>1638.1</v>
      </c>
      <c r="L37">
        <v>3723</v>
      </c>
    </row>
    <row r="38" spans="7:16">
      <c r="G38">
        <v>1619.6</v>
      </c>
      <c r="H38">
        <v>3681</v>
      </c>
      <c r="I38">
        <v>1632.4</v>
      </c>
      <c r="J38">
        <v>3710</v>
      </c>
      <c r="K38">
        <v>1743.3</v>
      </c>
      <c r="L38">
        <v>3962</v>
      </c>
    </row>
    <row r="39" spans="7:16">
      <c r="G39">
        <v>1647.4</v>
      </c>
      <c r="H39">
        <v>3744</v>
      </c>
      <c r="I39">
        <v>1657.5</v>
      </c>
      <c r="J39">
        <v>3767</v>
      </c>
      <c r="K39">
        <v>1743.3</v>
      </c>
      <c r="L39">
        <v>3962</v>
      </c>
    </row>
    <row r="40" spans="7:16">
      <c r="G40">
        <v>1650.4</v>
      </c>
      <c r="H40">
        <v>3751</v>
      </c>
      <c r="I40">
        <v>1660.1</v>
      </c>
      <c r="J40">
        <v>3773</v>
      </c>
      <c r="K40">
        <v>1601.2</v>
      </c>
      <c r="L40">
        <v>3639</v>
      </c>
    </row>
    <row r="41" spans="7:16">
      <c r="G41">
        <v>1551.9</v>
      </c>
      <c r="H41">
        <v>3527</v>
      </c>
      <c r="I41">
        <v>1649.1</v>
      </c>
      <c r="J41">
        <v>3748</v>
      </c>
      <c r="K41">
        <v>1651.3</v>
      </c>
      <c r="L41">
        <v>3753</v>
      </c>
    </row>
    <row r="42" spans="7:16">
      <c r="G42">
        <v>1574.3</v>
      </c>
      <c r="H42">
        <v>3578</v>
      </c>
      <c r="I42">
        <v>1652.6</v>
      </c>
      <c r="J42">
        <v>3756</v>
      </c>
      <c r="K42">
        <v>1649.6</v>
      </c>
      <c r="L42">
        <v>3749</v>
      </c>
    </row>
    <row r="43" spans="7:16">
      <c r="G43">
        <v>1607.3</v>
      </c>
      <c r="H43">
        <v>3653</v>
      </c>
      <c r="I43">
        <v>1659.7</v>
      </c>
      <c r="J43">
        <v>3772</v>
      </c>
      <c r="K43">
        <v>1656.6</v>
      </c>
      <c r="L43">
        <v>3765</v>
      </c>
    </row>
    <row r="44" spans="7:16">
      <c r="G44">
        <v>1591.9</v>
      </c>
      <c r="H44">
        <v>3618</v>
      </c>
      <c r="I44">
        <v>1620.5</v>
      </c>
      <c r="J44">
        <v>3683</v>
      </c>
      <c r="K44">
        <v>1664.5</v>
      </c>
      <c r="L44">
        <v>3783</v>
      </c>
    </row>
    <row r="45" spans="7:16">
      <c r="G45">
        <v>1589.3</v>
      </c>
      <c r="H45">
        <v>3612</v>
      </c>
      <c r="I45">
        <v>1612.6</v>
      </c>
      <c r="J45">
        <v>3665</v>
      </c>
      <c r="K45">
        <v>1659.7</v>
      </c>
      <c r="L45">
        <v>3772</v>
      </c>
    </row>
    <row r="46" spans="7:16">
      <c r="G46">
        <v>1598.5</v>
      </c>
      <c r="H46">
        <v>3633</v>
      </c>
      <c r="I46">
        <v>1613.9</v>
      </c>
      <c r="J46">
        <v>3668</v>
      </c>
    </row>
    <row r="47" spans="7:16">
      <c r="G47">
        <v>1592.8</v>
      </c>
      <c r="H47">
        <v>3620</v>
      </c>
    </row>
    <row r="48" spans="7:16">
      <c r="G48">
        <v>1543.1</v>
      </c>
      <c r="H48">
        <v>3507</v>
      </c>
    </row>
  </sheetData>
  <mergeCells count="4">
    <mergeCell ref="I1:J1"/>
    <mergeCell ref="K1:L1"/>
    <mergeCell ref="M1:N1"/>
    <mergeCell ref="O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F13A-18BA-4CDF-8ABD-0F42B4F2A9FE}">
  <dimension ref="A2:IR205"/>
  <sheetViews>
    <sheetView view="pageBreakPreview" topLeftCell="A171" zoomScale="80" zoomScaleNormal="100" workbookViewId="0">
      <selection activeCell="E16" sqref="E16"/>
    </sheetView>
  </sheetViews>
  <sheetFormatPr defaultColWidth="8.69921875" defaultRowHeight="15.6"/>
  <cols>
    <col min="1" max="1" width="12.69921875" style="1194" customWidth="1"/>
    <col min="2" max="2" width="8.69921875" style="1195" customWidth="1"/>
    <col min="3" max="3" width="8.69921875" style="1196" customWidth="1"/>
    <col min="4" max="4" width="8.69921875" style="1197" customWidth="1"/>
    <col min="5" max="6" width="14.3984375" style="1197" customWidth="1"/>
    <col min="7" max="7" width="14.5" style="1197" hidden="1" customWidth="1"/>
    <col min="8" max="252" width="8.69921875" style="1194" customWidth="1"/>
  </cols>
  <sheetData>
    <row r="2" spans="1:252" ht="17.399999999999999">
      <c r="A2" s="1276" t="s">
        <v>10</v>
      </c>
      <c r="B2" s="1276"/>
      <c r="C2" s="1276"/>
      <c r="D2" s="1276"/>
      <c r="E2" s="1276"/>
      <c r="F2" s="1276"/>
      <c r="G2" s="1276"/>
      <c r="H2" s="1198"/>
      <c r="I2" s="1198"/>
      <c r="J2" s="1198"/>
      <c r="K2" s="1198"/>
      <c r="L2" s="1198"/>
      <c r="M2" s="1198"/>
      <c r="N2" s="1198"/>
      <c r="O2" s="1198"/>
    </row>
    <row r="3" spans="1:252">
      <c r="A3" s="1199" t="s">
        <v>11</v>
      </c>
      <c r="B3" s="1199" t="s">
        <v>12</v>
      </c>
      <c r="C3" s="1199" t="s">
        <v>13</v>
      </c>
      <c r="D3" s="1199" t="s">
        <v>14</v>
      </c>
      <c r="E3" s="1200" t="s">
        <v>15</v>
      </c>
      <c r="F3" s="1200" t="s">
        <v>16</v>
      </c>
      <c r="G3" s="1200"/>
      <c r="H3" s="1201" t="s">
        <v>17</v>
      </c>
      <c r="I3" s="1201" t="s">
        <v>18</v>
      </c>
      <c r="J3" s="1201"/>
      <c r="K3" s="1201"/>
      <c r="L3" s="1201"/>
      <c r="M3" s="1201"/>
      <c r="N3" s="1201"/>
      <c r="O3" s="1201"/>
      <c r="P3" s="1201"/>
      <c r="Q3" s="1201"/>
      <c r="R3" s="1201"/>
      <c r="S3" s="1201"/>
      <c r="T3" s="1201"/>
      <c r="U3" s="1201"/>
      <c r="V3" s="1201"/>
      <c r="W3" s="1201"/>
      <c r="X3" s="1201"/>
      <c r="Y3" s="1201"/>
      <c r="Z3" s="1201"/>
      <c r="AA3" s="1201"/>
      <c r="AB3" s="1201"/>
      <c r="AC3" s="1201"/>
      <c r="AD3" s="1201"/>
      <c r="AE3" s="1201"/>
      <c r="AF3" s="1201"/>
      <c r="AG3" s="1201"/>
      <c r="AH3" s="1201"/>
      <c r="AI3" s="1201"/>
      <c r="AJ3" s="1201"/>
      <c r="AK3" s="1201"/>
      <c r="AL3" s="1201"/>
      <c r="AM3" s="1201"/>
      <c r="AN3" s="1201"/>
      <c r="AO3" s="1201"/>
      <c r="AP3" s="1201"/>
      <c r="AQ3" s="1201"/>
      <c r="AR3" s="1201"/>
      <c r="AS3" s="1201"/>
      <c r="AT3" s="1201"/>
      <c r="AU3" s="1201"/>
      <c r="AV3" s="1201"/>
      <c r="AW3" s="1201"/>
      <c r="AX3" s="1201"/>
      <c r="AY3" s="1201"/>
      <c r="AZ3" s="1201"/>
      <c r="BA3" s="1201"/>
      <c r="BB3" s="1201"/>
      <c r="BC3" s="1201"/>
      <c r="BD3" s="1201"/>
      <c r="BE3" s="1201"/>
      <c r="BF3" s="1201"/>
      <c r="BG3" s="1201"/>
      <c r="BH3" s="1201"/>
      <c r="BI3" s="1201"/>
      <c r="BJ3" s="1201"/>
      <c r="BK3" s="1201"/>
      <c r="BL3" s="1201"/>
      <c r="BM3" s="1201"/>
      <c r="BN3" s="1201"/>
      <c r="BO3" s="1201"/>
      <c r="BP3" s="1201"/>
      <c r="BQ3" s="1201"/>
      <c r="BR3" s="1201"/>
      <c r="BS3" s="1201"/>
      <c r="BT3" s="1201"/>
      <c r="BU3" s="1201"/>
      <c r="BV3" s="1201"/>
      <c r="BW3" s="1201"/>
      <c r="BX3" s="1201"/>
      <c r="BY3" s="1201"/>
      <c r="BZ3" s="1201"/>
      <c r="CA3" s="1201"/>
      <c r="CB3" s="1201"/>
      <c r="CC3" s="1201"/>
      <c r="CD3" s="1201"/>
      <c r="CE3" s="1201"/>
      <c r="CF3" s="1201"/>
      <c r="CG3" s="1201"/>
      <c r="CH3" s="1201"/>
      <c r="CI3" s="1201"/>
      <c r="CJ3" s="1201"/>
      <c r="CK3" s="1201"/>
      <c r="CL3" s="1201"/>
      <c r="CM3" s="1201"/>
      <c r="CN3" s="1201"/>
      <c r="CO3" s="1201"/>
      <c r="CP3" s="1201"/>
      <c r="CQ3" s="1201"/>
      <c r="CR3" s="1201"/>
      <c r="CS3" s="1201"/>
      <c r="CT3" s="1201"/>
      <c r="CU3" s="1201"/>
      <c r="CV3" s="1201"/>
      <c r="CW3" s="1201"/>
      <c r="CX3" s="1201"/>
      <c r="CY3" s="1201"/>
      <c r="CZ3" s="1201"/>
      <c r="DA3" s="1201"/>
      <c r="DB3" s="1201"/>
      <c r="DC3" s="1201"/>
      <c r="DD3" s="1201"/>
      <c r="DE3" s="1201"/>
      <c r="DF3" s="1201"/>
      <c r="DG3" s="1201"/>
      <c r="DH3" s="1201"/>
      <c r="DI3" s="1201"/>
      <c r="DJ3" s="1201"/>
      <c r="DK3" s="1201"/>
      <c r="DL3" s="1201"/>
      <c r="DM3" s="1201"/>
      <c r="DN3" s="1201"/>
      <c r="DO3" s="1201"/>
      <c r="DP3" s="1201"/>
      <c r="DQ3" s="1201"/>
      <c r="DR3" s="1201"/>
      <c r="DS3" s="1201"/>
      <c r="DT3" s="1201"/>
      <c r="DU3" s="1201"/>
      <c r="DV3" s="1201"/>
      <c r="DW3" s="1201"/>
      <c r="DX3" s="1201"/>
      <c r="DY3" s="1201"/>
      <c r="DZ3" s="1201"/>
      <c r="EA3" s="1201"/>
      <c r="EB3" s="1201"/>
      <c r="EC3" s="1201"/>
      <c r="ED3" s="1201"/>
      <c r="EE3" s="1201"/>
      <c r="EF3" s="1201"/>
      <c r="EG3" s="1201"/>
      <c r="EH3" s="1201"/>
      <c r="EI3" s="1201"/>
      <c r="EJ3" s="1201"/>
      <c r="EK3" s="1201"/>
      <c r="EL3" s="1201"/>
      <c r="EM3" s="1201"/>
      <c r="EN3" s="1201"/>
      <c r="EO3" s="1201"/>
      <c r="EP3" s="1201"/>
      <c r="EQ3" s="1201"/>
      <c r="ER3" s="1201"/>
      <c r="ES3" s="1201"/>
      <c r="ET3" s="1201"/>
      <c r="EU3" s="1201"/>
      <c r="EV3" s="1201"/>
      <c r="EW3" s="1201"/>
      <c r="EX3" s="1201"/>
      <c r="EY3" s="1201"/>
      <c r="EZ3" s="1201"/>
      <c r="FA3" s="1201"/>
      <c r="FB3" s="1201"/>
      <c r="FC3" s="1201"/>
      <c r="FD3" s="1201"/>
      <c r="FE3" s="1201"/>
      <c r="FF3" s="1201"/>
      <c r="FG3" s="1201"/>
      <c r="FH3" s="1201"/>
      <c r="FI3" s="1201"/>
      <c r="FJ3" s="1201"/>
      <c r="FK3" s="1201"/>
      <c r="FL3" s="1201"/>
      <c r="FM3" s="1201"/>
      <c r="FN3" s="1201"/>
      <c r="FO3" s="1201"/>
      <c r="FP3" s="1201"/>
      <c r="FQ3" s="1201"/>
      <c r="FR3" s="1201"/>
      <c r="FS3" s="1201"/>
      <c r="FT3" s="1201"/>
      <c r="FU3" s="1201"/>
      <c r="FV3" s="1201"/>
      <c r="FW3" s="1201"/>
      <c r="FX3" s="1201"/>
      <c r="FY3" s="1201"/>
      <c r="FZ3" s="1201"/>
      <c r="GA3" s="1201"/>
      <c r="GB3" s="1201"/>
      <c r="GC3" s="1201"/>
      <c r="GD3" s="1201"/>
      <c r="GE3" s="1201"/>
      <c r="GF3" s="1201"/>
      <c r="GG3" s="1201"/>
      <c r="GH3" s="1201"/>
      <c r="GI3" s="1201"/>
      <c r="GJ3" s="1201"/>
      <c r="GK3" s="1201"/>
      <c r="GL3" s="1201"/>
      <c r="GM3" s="1201"/>
      <c r="GN3" s="1201"/>
      <c r="GO3" s="1201"/>
      <c r="GP3" s="1201"/>
      <c r="GQ3" s="1201"/>
      <c r="GR3" s="1201"/>
      <c r="GS3" s="1201"/>
      <c r="GT3" s="1201"/>
      <c r="GU3" s="1201"/>
      <c r="GV3" s="1201"/>
      <c r="GW3" s="1201"/>
      <c r="GX3" s="1201"/>
      <c r="GY3" s="1201"/>
      <c r="GZ3" s="1201"/>
      <c r="HA3" s="1201"/>
      <c r="HB3" s="1201"/>
      <c r="HC3" s="1201"/>
      <c r="HD3" s="1201"/>
      <c r="HE3" s="1201"/>
      <c r="HF3" s="1201"/>
      <c r="HG3" s="1201"/>
      <c r="HH3" s="1201"/>
      <c r="HI3" s="1201"/>
      <c r="HJ3" s="1201"/>
      <c r="HK3" s="1201"/>
      <c r="HL3" s="1201"/>
      <c r="HM3" s="1201"/>
      <c r="HN3" s="1201"/>
      <c r="HO3" s="1201"/>
      <c r="HP3" s="1201"/>
      <c r="HQ3" s="1201"/>
      <c r="HR3" s="1201"/>
      <c r="HS3" s="1201"/>
      <c r="HT3" s="1201"/>
      <c r="HU3" s="1201"/>
      <c r="HV3" s="1201"/>
      <c r="HW3" s="1201"/>
      <c r="HX3" s="1201"/>
      <c r="HY3" s="1201"/>
      <c r="HZ3" s="1201"/>
      <c r="IA3" s="1201"/>
      <c r="IB3" s="1201"/>
      <c r="IC3" s="1201"/>
      <c r="ID3" s="1201"/>
      <c r="IE3" s="1201"/>
      <c r="IF3" s="1201"/>
      <c r="IG3" s="1201"/>
      <c r="IH3" s="1201"/>
      <c r="II3" s="1201"/>
      <c r="IJ3" s="1201"/>
      <c r="IK3" s="1201"/>
      <c r="IL3" s="1201"/>
      <c r="IM3" s="1201"/>
      <c r="IN3" s="1201"/>
      <c r="IO3" s="1201"/>
      <c r="IP3" s="1201"/>
      <c r="IQ3" s="1201"/>
      <c r="IR3" s="1201"/>
    </row>
    <row r="4" spans="1:252">
      <c r="A4" s="1202"/>
      <c r="B4" s="1202"/>
      <c r="C4" s="1202"/>
      <c r="D4" s="1203">
        <v>2369.1</v>
      </c>
      <c r="E4" s="1203"/>
      <c r="F4" s="1203"/>
      <c r="G4" s="1203"/>
      <c r="H4" s="1201"/>
      <c r="I4" s="1201"/>
      <c r="J4" s="1201"/>
      <c r="K4" s="1201"/>
      <c r="L4" s="1201"/>
      <c r="M4" s="1201"/>
      <c r="N4" s="1201"/>
      <c r="O4" s="1201"/>
      <c r="P4" s="1201"/>
      <c r="Q4" s="1201"/>
      <c r="R4" s="1201"/>
      <c r="S4" s="1201"/>
      <c r="T4" s="1201"/>
      <c r="U4" s="1201"/>
      <c r="V4" s="1201"/>
      <c r="W4" s="1201"/>
      <c r="X4" s="1201"/>
      <c r="Y4" s="1201"/>
      <c r="Z4" s="1201"/>
      <c r="AA4" s="1201"/>
      <c r="AB4" s="1201"/>
      <c r="AC4" s="1201"/>
      <c r="AD4" s="1201"/>
      <c r="AE4" s="1201"/>
      <c r="AF4" s="1201"/>
      <c r="AG4" s="1201"/>
      <c r="AH4" s="1201"/>
      <c r="AI4" s="1201"/>
      <c r="AJ4" s="1201"/>
      <c r="AK4" s="1201"/>
      <c r="AL4" s="1201"/>
      <c r="AM4" s="1201"/>
      <c r="AN4" s="1201"/>
      <c r="AO4" s="1201"/>
      <c r="AP4" s="1201"/>
      <c r="AQ4" s="1201"/>
      <c r="AR4" s="1201"/>
      <c r="AS4" s="1201"/>
      <c r="AT4" s="1201"/>
      <c r="AU4" s="1201"/>
      <c r="AV4" s="1201"/>
      <c r="AW4" s="1201"/>
      <c r="AX4" s="1201"/>
      <c r="AY4" s="1201"/>
      <c r="AZ4" s="1201"/>
      <c r="BA4" s="1201"/>
      <c r="BB4" s="1201"/>
      <c r="BC4" s="1201"/>
      <c r="BD4" s="1201"/>
      <c r="BE4" s="1201"/>
      <c r="BF4" s="1201"/>
      <c r="BG4" s="1201"/>
      <c r="BH4" s="1201"/>
      <c r="BI4" s="1201"/>
      <c r="BJ4" s="1201"/>
      <c r="BK4" s="1201"/>
      <c r="BL4" s="1201"/>
      <c r="BM4" s="1201"/>
      <c r="BN4" s="1201"/>
      <c r="BO4" s="1201"/>
      <c r="BP4" s="1201"/>
      <c r="BQ4" s="1201"/>
      <c r="BR4" s="1201"/>
      <c r="BS4" s="1201"/>
      <c r="BT4" s="1201"/>
      <c r="BU4" s="1201"/>
      <c r="BV4" s="1201"/>
      <c r="BW4" s="1201"/>
      <c r="BX4" s="1201"/>
      <c r="BY4" s="1201"/>
      <c r="BZ4" s="1201"/>
      <c r="CA4" s="1201"/>
      <c r="CB4" s="1201"/>
      <c r="CC4" s="1201"/>
      <c r="CD4" s="1201"/>
      <c r="CE4" s="1201"/>
      <c r="CF4" s="1201"/>
      <c r="CG4" s="1201"/>
      <c r="CH4" s="1201"/>
      <c r="CI4" s="1201"/>
      <c r="CJ4" s="1201"/>
      <c r="CK4" s="1201"/>
      <c r="CL4" s="1201"/>
      <c r="CM4" s="1201"/>
      <c r="CN4" s="1201"/>
      <c r="CO4" s="1201"/>
      <c r="CP4" s="1201"/>
      <c r="CQ4" s="1201"/>
      <c r="CR4" s="1201"/>
      <c r="CS4" s="1201"/>
      <c r="CT4" s="1201"/>
      <c r="CU4" s="1201"/>
      <c r="CV4" s="1201"/>
      <c r="CW4" s="1201"/>
      <c r="CX4" s="1201"/>
      <c r="CY4" s="1201"/>
      <c r="CZ4" s="1201"/>
      <c r="DA4" s="1201"/>
      <c r="DB4" s="1201"/>
      <c r="DC4" s="1201"/>
      <c r="DD4" s="1201"/>
      <c r="DE4" s="1201"/>
      <c r="DF4" s="1201"/>
      <c r="DG4" s="1201"/>
      <c r="DH4" s="1201"/>
      <c r="DI4" s="1201"/>
      <c r="DJ4" s="1201"/>
      <c r="DK4" s="1201"/>
      <c r="DL4" s="1201"/>
      <c r="DM4" s="1201"/>
      <c r="DN4" s="1201"/>
      <c r="DO4" s="1201"/>
      <c r="DP4" s="1201"/>
      <c r="DQ4" s="1201"/>
      <c r="DR4" s="1201"/>
      <c r="DS4" s="1201"/>
      <c r="DT4" s="1201"/>
      <c r="DU4" s="1201"/>
      <c r="DV4" s="1201"/>
      <c r="DW4" s="1201"/>
      <c r="DX4" s="1201"/>
      <c r="DY4" s="1201"/>
      <c r="DZ4" s="1201"/>
      <c r="EA4" s="1201"/>
      <c r="EB4" s="1201"/>
      <c r="EC4" s="1201"/>
      <c r="ED4" s="1201"/>
      <c r="EE4" s="1201"/>
      <c r="EF4" s="1201"/>
      <c r="EG4" s="1201"/>
      <c r="EH4" s="1201"/>
      <c r="EI4" s="1201"/>
      <c r="EJ4" s="1201"/>
      <c r="EK4" s="1201"/>
      <c r="EL4" s="1201"/>
      <c r="EM4" s="1201"/>
      <c r="EN4" s="1201"/>
      <c r="EO4" s="1201"/>
      <c r="EP4" s="1201"/>
      <c r="EQ4" s="1201"/>
      <c r="ER4" s="1201"/>
      <c r="ES4" s="1201"/>
      <c r="ET4" s="1201"/>
      <c r="EU4" s="1201"/>
      <c r="EV4" s="1201"/>
      <c r="EW4" s="1201"/>
      <c r="EX4" s="1201"/>
      <c r="EY4" s="1201"/>
      <c r="EZ4" s="1201"/>
      <c r="FA4" s="1201"/>
      <c r="FB4" s="1201"/>
      <c r="FC4" s="1201"/>
      <c r="FD4" s="1201"/>
      <c r="FE4" s="1201"/>
      <c r="FF4" s="1201"/>
      <c r="FG4" s="1201"/>
      <c r="FH4" s="1201"/>
      <c r="FI4" s="1201"/>
      <c r="FJ4" s="1201"/>
      <c r="FK4" s="1201"/>
      <c r="FL4" s="1201"/>
      <c r="FM4" s="1201"/>
      <c r="FN4" s="1201"/>
      <c r="FO4" s="1201"/>
      <c r="FP4" s="1201"/>
      <c r="FQ4" s="1201"/>
      <c r="FR4" s="1201"/>
      <c r="FS4" s="1201"/>
      <c r="FT4" s="1201"/>
      <c r="FU4" s="1201"/>
      <c r="FV4" s="1201"/>
      <c r="FW4" s="1201"/>
      <c r="FX4" s="1201"/>
      <c r="FY4" s="1201"/>
      <c r="FZ4" s="1201"/>
      <c r="GA4" s="1201"/>
      <c r="GB4" s="1201"/>
      <c r="GC4" s="1201"/>
      <c r="GD4" s="1201"/>
      <c r="GE4" s="1201"/>
      <c r="GF4" s="1201"/>
      <c r="GG4" s="1201"/>
      <c r="GH4" s="1201"/>
      <c r="GI4" s="1201"/>
      <c r="GJ4" s="1201"/>
      <c r="GK4" s="1201"/>
      <c r="GL4" s="1201"/>
      <c r="GM4" s="1201"/>
      <c r="GN4" s="1201"/>
      <c r="GO4" s="1201"/>
      <c r="GP4" s="1201"/>
      <c r="GQ4" s="1201"/>
      <c r="GR4" s="1201"/>
      <c r="GS4" s="1201"/>
      <c r="GT4" s="1201"/>
      <c r="GU4" s="1201"/>
      <c r="GV4" s="1201"/>
      <c r="GW4" s="1201"/>
      <c r="GX4" s="1201"/>
      <c r="GY4" s="1201"/>
      <c r="GZ4" s="1201"/>
      <c r="HA4" s="1201"/>
      <c r="HB4" s="1201"/>
      <c r="HC4" s="1201"/>
      <c r="HD4" s="1201"/>
      <c r="HE4" s="1201"/>
      <c r="HF4" s="1201"/>
      <c r="HG4" s="1201"/>
      <c r="HH4" s="1201"/>
      <c r="HI4" s="1201"/>
      <c r="HJ4" s="1201"/>
      <c r="HK4" s="1201"/>
      <c r="HL4" s="1201"/>
      <c r="HM4" s="1201"/>
      <c r="HN4" s="1201"/>
      <c r="HO4" s="1201"/>
      <c r="HP4" s="1201"/>
      <c r="HQ4" s="1201"/>
      <c r="HR4" s="1201"/>
      <c r="HS4" s="1201"/>
      <c r="HT4" s="1201"/>
      <c r="HU4" s="1201"/>
      <c r="HV4" s="1201"/>
      <c r="HW4" s="1201"/>
      <c r="HX4" s="1201"/>
      <c r="HY4" s="1201"/>
      <c r="HZ4" s="1201"/>
      <c r="IA4" s="1201"/>
      <c r="IB4" s="1201"/>
      <c r="IC4" s="1201"/>
      <c r="ID4" s="1201"/>
      <c r="IE4" s="1201"/>
      <c r="IF4" s="1201"/>
      <c r="IG4" s="1201"/>
      <c r="IH4" s="1201"/>
      <c r="II4" s="1201"/>
      <c r="IJ4" s="1201"/>
      <c r="IK4" s="1201"/>
      <c r="IL4" s="1201"/>
      <c r="IM4" s="1201"/>
      <c r="IN4" s="1201"/>
      <c r="IO4" s="1201"/>
      <c r="IP4" s="1201"/>
      <c r="IQ4" s="1201"/>
      <c r="IR4" s="1201"/>
    </row>
    <row r="5" spans="1:252">
      <c r="A5" s="1204" t="s">
        <v>19</v>
      </c>
      <c r="B5" s="1205">
        <v>0</v>
      </c>
      <c r="C5" s="1206"/>
      <c r="D5" s="1207">
        <f>SUM(D6:D25)</f>
        <v>474.2</v>
      </c>
      <c r="E5" s="1207">
        <f>SUM(E6:E25)</f>
        <v>0</v>
      </c>
      <c r="F5" s="1207">
        <f>SUM(F6:F25)</f>
        <v>218.3</v>
      </c>
      <c r="G5" s="1207">
        <v>0</v>
      </c>
    </row>
    <row r="6" spans="1:252">
      <c r="A6" s="1208">
        <v>1</v>
      </c>
      <c r="B6" s="1209" t="s">
        <v>20</v>
      </c>
      <c r="C6" s="1210">
        <v>2011</v>
      </c>
      <c r="D6" s="1211">
        <v>24.3</v>
      </c>
      <c r="E6" s="1211"/>
      <c r="F6" s="1211">
        <f>D6</f>
        <v>24.3</v>
      </c>
      <c r="G6" s="1211"/>
      <c r="H6" s="1212"/>
      <c r="I6" s="1212"/>
    </row>
    <row r="7" spans="1:252">
      <c r="A7" s="1208">
        <v>2</v>
      </c>
      <c r="B7" s="1209" t="s">
        <v>21</v>
      </c>
      <c r="C7" s="1210">
        <v>2011</v>
      </c>
      <c r="D7" s="1211">
        <v>24.3</v>
      </c>
      <c r="E7" s="1211"/>
      <c r="F7" s="1211">
        <f>D7</f>
        <v>24.3</v>
      </c>
      <c r="G7" s="1211"/>
      <c r="H7" s="1212"/>
      <c r="I7" s="1212"/>
    </row>
    <row r="8" spans="1:252">
      <c r="A8" s="1208">
        <v>3</v>
      </c>
      <c r="B8" s="1209" t="s">
        <v>22</v>
      </c>
      <c r="C8" s="1210">
        <v>2011</v>
      </c>
      <c r="D8" s="1211">
        <v>24.3</v>
      </c>
      <c r="E8" s="1211"/>
      <c r="F8" s="1211">
        <f>D8</f>
        <v>24.3</v>
      </c>
      <c r="G8" s="1211"/>
      <c r="H8" s="1212"/>
      <c r="I8" s="1212"/>
    </row>
    <row r="9" spans="1:252">
      <c r="A9" s="1208">
        <v>4</v>
      </c>
      <c r="B9" s="1209" t="s">
        <v>23</v>
      </c>
      <c r="C9" s="1210">
        <v>2011</v>
      </c>
      <c r="D9" s="1211">
        <v>24.3</v>
      </c>
      <c r="E9" s="1211"/>
      <c r="F9" s="1211">
        <f>D9</f>
        <v>24.3</v>
      </c>
      <c r="G9" s="1211"/>
      <c r="H9" s="1212"/>
      <c r="I9" s="1212"/>
      <c r="J9" s="1217"/>
      <c r="K9" s="1217"/>
      <c r="L9" s="1217"/>
      <c r="M9" s="1217"/>
      <c r="N9" s="1217"/>
      <c r="O9" s="1217"/>
      <c r="P9" s="1217"/>
      <c r="Q9" s="1217"/>
      <c r="R9" s="1217"/>
      <c r="S9" s="1217"/>
      <c r="T9" s="1217"/>
      <c r="U9" s="1217"/>
      <c r="V9" s="1217"/>
      <c r="W9" s="1217"/>
      <c r="X9" s="1217"/>
      <c r="Y9" s="1217"/>
      <c r="Z9" s="1217"/>
      <c r="AA9" s="1217"/>
      <c r="AB9" s="1217"/>
      <c r="AC9" s="1217"/>
      <c r="AD9" s="1217"/>
      <c r="AE9" s="1217"/>
      <c r="AF9" s="1217"/>
      <c r="AG9" s="1217"/>
      <c r="AH9" s="1217"/>
      <c r="AI9" s="1217"/>
      <c r="AJ9" s="1217"/>
      <c r="AK9" s="1217"/>
      <c r="AL9" s="1217"/>
      <c r="AM9" s="1217"/>
      <c r="AN9" s="1217"/>
      <c r="AO9" s="1217"/>
      <c r="AP9" s="1217"/>
      <c r="AQ9" s="1217"/>
      <c r="AR9" s="1217"/>
      <c r="AS9" s="1217"/>
      <c r="AT9" s="1217"/>
      <c r="AU9" s="1217"/>
      <c r="AV9" s="1217"/>
      <c r="AW9" s="1217"/>
      <c r="AX9" s="1217"/>
      <c r="AY9" s="1217"/>
      <c r="AZ9" s="1217"/>
      <c r="BA9" s="1217"/>
      <c r="BB9" s="1217"/>
      <c r="BC9" s="1217"/>
      <c r="BD9" s="1217"/>
      <c r="BE9" s="1217"/>
      <c r="BF9" s="1217"/>
      <c r="BG9" s="1217"/>
      <c r="BH9" s="1217"/>
      <c r="BI9" s="1217"/>
      <c r="BJ9" s="1217"/>
      <c r="BK9" s="1217"/>
      <c r="BL9" s="1217"/>
      <c r="BM9" s="1217"/>
      <c r="BN9" s="1217"/>
      <c r="BO9" s="1217"/>
      <c r="BP9" s="1217"/>
      <c r="BQ9" s="1217"/>
      <c r="BR9" s="1217"/>
      <c r="BS9" s="1217"/>
      <c r="BT9" s="1217"/>
      <c r="BU9" s="1217"/>
      <c r="BV9" s="1217"/>
      <c r="BW9" s="1217"/>
      <c r="BX9" s="1217"/>
      <c r="BY9" s="1217"/>
      <c r="BZ9" s="1217"/>
      <c r="CA9" s="1217"/>
      <c r="CB9" s="1217"/>
      <c r="CC9" s="1217"/>
      <c r="CD9" s="1217"/>
      <c r="CE9" s="1217"/>
      <c r="CF9" s="1217"/>
      <c r="CG9" s="1217"/>
      <c r="CH9" s="1217"/>
      <c r="CI9" s="1217"/>
      <c r="CJ9" s="1217"/>
      <c r="CK9" s="1217"/>
      <c r="CL9" s="1217"/>
      <c r="CM9" s="1217"/>
      <c r="CN9" s="1217"/>
      <c r="CO9" s="1217"/>
      <c r="CP9" s="1217"/>
      <c r="CQ9" s="1217"/>
      <c r="CR9" s="1217"/>
      <c r="CS9" s="1217"/>
      <c r="CT9" s="1217"/>
      <c r="CU9" s="1217"/>
      <c r="CV9" s="1217"/>
      <c r="CW9" s="1217"/>
      <c r="CX9" s="1217"/>
      <c r="CY9" s="1217"/>
      <c r="CZ9" s="1217"/>
      <c r="DA9" s="1217"/>
      <c r="DB9" s="1217"/>
      <c r="DC9" s="1217"/>
      <c r="DD9" s="1217"/>
      <c r="DE9" s="1217"/>
      <c r="DF9" s="1217"/>
      <c r="DG9" s="1217"/>
      <c r="DH9" s="1217"/>
      <c r="DI9" s="1217"/>
      <c r="DJ9" s="1217"/>
      <c r="DK9" s="1217"/>
      <c r="DL9" s="1217"/>
      <c r="DM9" s="1217"/>
      <c r="DN9" s="1217"/>
      <c r="DO9" s="1217"/>
      <c r="DP9" s="1217"/>
      <c r="DQ9" s="1217"/>
      <c r="DR9" s="1217"/>
      <c r="DS9" s="1217"/>
      <c r="DT9" s="1217"/>
      <c r="DU9" s="1217"/>
      <c r="DV9" s="1217"/>
      <c r="DW9" s="1217"/>
      <c r="DX9" s="1217"/>
      <c r="DY9" s="1217"/>
      <c r="DZ9" s="1217"/>
      <c r="EA9" s="1217"/>
      <c r="EB9" s="1217"/>
      <c r="EC9" s="1217"/>
      <c r="ED9" s="1217"/>
      <c r="EE9" s="1217"/>
      <c r="EF9" s="1217"/>
      <c r="EG9" s="1217"/>
      <c r="EH9" s="1217"/>
      <c r="EI9" s="1217"/>
      <c r="EJ9" s="1217"/>
      <c r="EK9" s="1217"/>
      <c r="EL9" s="1217"/>
      <c r="EM9" s="1217"/>
      <c r="EN9" s="1217"/>
      <c r="EO9" s="1217"/>
      <c r="EP9" s="1217"/>
      <c r="EQ9" s="1217"/>
      <c r="ER9" s="1217"/>
      <c r="ES9" s="1217"/>
      <c r="ET9" s="1217"/>
      <c r="EU9" s="1217"/>
      <c r="EV9" s="1217"/>
      <c r="EW9" s="1217"/>
      <c r="EX9" s="1217"/>
      <c r="EY9" s="1217"/>
      <c r="EZ9" s="1217"/>
      <c r="FA9" s="1217"/>
      <c r="FB9" s="1217"/>
      <c r="FC9" s="1217"/>
      <c r="FD9" s="1217"/>
      <c r="FE9" s="1217"/>
      <c r="FF9" s="1217"/>
      <c r="FG9" s="1217"/>
      <c r="FH9" s="1217"/>
      <c r="FI9" s="1217"/>
      <c r="FJ9" s="1217"/>
      <c r="FK9" s="1217"/>
      <c r="FL9" s="1217"/>
      <c r="FM9" s="1217"/>
      <c r="FN9" s="1217"/>
      <c r="FO9" s="1217"/>
      <c r="FP9" s="1217"/>
      <c r="FQ9" s="1217"/>
      <c r="FR9" s="1217"/>
      <c r="FS9" s="1217"/>
      <c r="FT9" s="1217"/>
      <c r="FU9" s="1217"/>
      <c r="FV9" s="1217"/>
      <c r="FW9" s="1217"/>
      <c r="FX9" s="1217"/>
      <c r="FY9" s="1217"/>
      <c r="FZ9" s="1217"/>
      <c r="GA9" s="1217"/>
      <c r="GB9" s="1217"/>
      <c r="GC9" s="1217"/>
      <c r="GD9" s="1217"/>
      <c r="GE9" s="1217"/>
      <c r="GF9" s="1217"/>
      <c r="GG9" s="1217"/>
      <c r="GH9" s="1217"/>
      <c r="GI9" s="1217"/>
      <c r="GJ9" s="1217"/>
      <c r="GK9" s="1217"/>
      <c r="GL9" s="1217"/>
      <c r="GM9" s="1217"/>
      <c r="GN9" s="1217"/>
      <c r="GO9" s="1217"/>
      <c r="GP9" s="1217"/>
      <c r="GQ9" s="1217"/>
      <c r="GR9" s="1217"/>
      <c r="GS9" s="1217"/>
      <c r="GT9" s="1217"/>
      <c r="GU9" s="1217"/>
      <c r="GV9" s="1217"/>
      <c r="GW9" s="1217"/>
      <c r="GX9" s="1217"/>
      <c r="GY9" s="1217"/>
      <c r="GZ9" s="1217"/>
      <c r="HA9" s="1217"/>
      <c r="HB9" s="1217"/>
      <c r="HC9" s="1217"/>
      <c r="HD9" s="1217"/>
      <c r="HE9" s="1217"/>
      <c r="HF9" s="1217"/>
      <c r="HG9" s="1217"/>
      <c r="HH9" s="1217"/>
      <c r="HI9" s="1217"/>
      <c r="HJ9" s="1217"/>
      <c r="HK9" s="1217"/>
      <c r="HL9" s="1217"/>
      <c r="HM9" s="1217"/>
      <c r="HN9" s="1217"/>
      <c r="HO9" s="1217"/>
      <c r="HP9" s="1217"/>
      <c r="HQ9" s="1217"/>
      <c r="HR9" s="1217"/>
      <c r="HS9" s="1217"/>
      <c r="HT9" s="1217"/>
      <c r="HU9" s="1217"/>
      <c r="HV9" s="1217"/>
      <c r="HW9" s="1217"/>
      <c r="HX9" s="1217"/>
      <c r="HY9" s="1217"/>
      <c r="HZ9" s="1217"/>
      <c r="IA9" s="1217"/>
      <c r="IB9" s="1217"/>
      <c r="IC9" s="1217"/>
      <c r="ID9" s="1217"/>
      <c r="IE9" s="1217"/>
      <c r="IF9" s="1217"/>
      <c r="IG9" s="1217"/>
      <c r="IH9" s="1217"/>
      <c r="II9" s="1217"/>
      <c r="IJ9" s="1217"/>
      <c r="IK9" s="1217"/>
      <c r="IL9" s="1217"/>
      <c r="IM9" s="1217"/>
      <c r="IN9" s="1217"/>
      <c r="IO9" s="1217"/>
      <c r="IP9" s="1217"/>
      <c r="IQ9" s="1217"/>
      <c r="IR9" s="1217"/>
    </row>
    <row r="10" spans="1:252">
      <c r="A10" s="1208">
        <v>5</v>
      </c>
      <c r="B10" s="1209" t="s">
        <v>24</v>
      </c>
      <c r="C10" s="1210">
        <v>2011</v>
      </c>
      <c r="D10" s="1211">
        <v>24.3</v>
      </c>
      <c r="E10" s="1211"/>
      <c r="F10" s="1211">
        <f>D10</f>
        <v>24.3</v>
      </c>
      <c r="G10" s="1211"/>
      <c r="H10" s="1212"/>
      <c r="I10" s="1212"/>
      <c r="J10" s="1225"/>
      <c r="K10" s="1225"/>
      <c r="L10" s="1225"/>
      <c r="M10" s="1225"/>
      <c r="N10" s="1225"/>
      <c r="O10" s="1225"/>
      <c r="P10" s="1225"/>
      <c r="Q10" s="1225"/>
      <c r="R10" s="1225"/>
      <c r="S10" s="1225"/>
      <c r="T10" s="1225"/>
      <c r="U10" s="1225"/>
      <c r="V10" s="1225"/>
      <c r="W10" s="1225"/>
      <c r="X10" s="1225"/>
      <c r="Y10" s="1225"/>
      <c r="Z10" s="1225"/>
      <c r="AA10" s="1225"/>
      <c r="AB10" s="1225"/>
      <c r="AC10" s="1225"/>
      <c r="AD10" s="1225"/>
      <c r="AE10" s="1225"/>
      <c r="AF10" s="1225"/>
      <c r="AG10" s="1225"/>
      <c r="AH10" s="1225"/>
      <c r="AI10" s="1225"/>
      <c r="AJ10" s="1225"/>
      <c r="AK10" s="1225"/>
      <c r="AL10" s="1225"/>
      <c r="AM10" s="1225"/>
      <c r="AN10" s="1225"/>
      <c r="AO10" s="1225"/>
      <c r="AP10" s="1225"/>
      <c r="AQ10" s="1225"/>
      <c r="AR10" s="1225"/>
      <c r="AS10" s="1225"/>
      <c r="AT10" s="1225"/>
      <c r="AU10" s="1225"/>
      <c r="AV10" s="1225"/>
      <c r="AW10" s="1225"/>
      <c r="AX10" s="1225"/>
      <c r="AY10" s="1225"/>
      <c r="AZ10" s="1225"/>
      <c r="BA10" s="1225"/>
      <c r="BB10" s="1225"/>
      <c r="BC10" s="1225"/>
      <c r="BD10" s="1225"/>
      <c r="BE10" s="1225"/>
      <c r="BF10" s="1225"/>
      <c r="BG10" s="1225"/>
      <c r="BH10" s="1225"/>
      <c r="BI10" s="1225"/>
      <c r="BJ10" s="1225"/>
      <c r="BK10" s="1225"/>
      <c r="BL10" s="1225"/>
      <c r="BM10" s="1225"/>
      <c r="BN10" s="1225"/>
      <c r="BO10" s="1225"/>
      <c r="BP10" s="1225"/>
      <c r="BQ10" s="1225"/>
      <c r="BR10" s="1225"/>
      <c r="BS10" s="1225"/>
      <c r="BT10" s="1225"/>
      <c r="BU10" s="1225"/>
      <c r="BV10" s="1225"/>
      <c r="BW10" s="1225"/>
      <c r="BX10" s="1225"/>
      <c r="BY10" s="1225"/>
      <c r="BZ10" s="1225"/>
      <c r="CA10" s="1225"/>
      <c r="CB10" s="1225"/>
      <c r="CC10" s="1225"/>
      <c r="CD10" s="1225"/>
      <c r="CE10" s="1225"/>
      <c r="CF10" s="1225"/>
      <c r="CG10" s="1225"/>
      <c r="CH10" s="1225"/>
      <c r="CI10" s="1225"/>
      <c r="CJ10" s="1225"/>
      <c r="CK10" s="1225"/>
      <c r="CL10" s="1225"/>
      <c r="CM10" s="1225"/>
      <c r="CN10" s="1225"/>
      <c r="CO10" s="1225"/>
      <c r="CP10" s="1225"/>
      <c r="CQ10" s="1225"/>
      <c r="CR10" s="1225"/>
      <c r="CS10" s="1225"/>
      <c r="CT10" s="1225"/>
      <c r="CU10" s="1225"/>
      <c r="CV10" s="1225"/>
      <c r="CW10" s="1225"/>
      <c r="CX10" s="1225"/>
      <c r="CY10" s="1225"/>
      <c r="CZ10" s="1225"/>
      <c r="DA10" s="1225"/>
      <c r="DB10" s="1225"/>
      <c r="DC10" s="1225"/>
      <c r="DD10" s="1225"/>
      <c r="DE10" s="1225"/>
      <c r="DF10" s="1225"/>
      <c r="DG10" s="1225"/>
      <c r="DH10" s="1225"/>
      <c r="DI10" s="1225"/>
      <c r="DJ10" s="1225"/>
      <c r="DK10" s="1225"/>
      <c r="DL10" s="1225"/>
      <c r="DM10" s="1225"/>
      <c r="DN10" s="1225"/>
      <c r="DO10" s="1225"/>
      <c r="DP10" s="1225"/>
      <c r="DQ10" s="1225"/>
      <c r="DR10" s="1225"/>
      <c r="DS10" s="1225"/>
      <c r="DT10" s="1225"/>
      <c r="DU10" s="1225"/>
      <c r="DV10" s="1225"/>
      <c r="DW10" s="1225"/>
      <c r="DX10" s="1225"/>
      <c r="DY10" s="1225"/>
      <c r="DZ10" s="1225"/>
      <c r="EA10" s="1225"/>
      <c r="EB10" s="1225"/>
      <c r="EC10" s="1225"/>
      <c r="ED10" s="1225"/>
      <c r="EE10" s="1225"/>
      <c r="EF10" s="1225"/>
      <c r="EG10" s="1225"/>
      <c r="EH10" s="1225"/>
      <c r="EI10" s="1225"/>
      <c r="EJ10" s="1225"/>
      <c r="EK10" s="1225"/>
      <c r="EL10" s="1225"/>
      <c r="EM10" s="1225"/>
      <c r="EN10" s="1225"/>
      <c r="EO10" s="1225"/>
      <c r="EP10" s="1225"/>
      <c r="EQ10" s="1225"/>
      <c r="ER10" s="1225"/>
      <c r="ES10" s="1225"/>
      <c r="ET10" s="1225"/>
      <c r="EU10" s="1225"/>
      <c r="EV10" s="1225"/>
      <c r="EW10" s="1225"/>
      <c r="EX10" s="1225"/>
      <c r="EY10" s="1225"/>
      <c r="EZ10" s="1225"/>
      <c r="FA10" s="1225"/>
      <c r="FB10" s="1225"/>
      <c r="FC10" s="1225"/>
      <c r="FD10" s="1225"/>
      <c r="FE10" s="1225"/>
      <c r="FF10" s="1225"/>
      <c r="FG10" s="1225"/>
      <c r="FH10" s="1225"/>
      <c r="FI10" s="1225"/>
      <c r="FJ10" s="1225"/>
      <c r="FK10" s="1225"/>
      <c r="FL10" s="1225"/>
      <c r="FM10" s="1225"/>
      <c r="FN10" s="1225"/>
      <c r="FO10" s="1225"/>
      <c r="FP10" s="1225"/>
      <c r="FQ10" s="1225"/>
      <c r="FR10" s="1225"/>
      <c r="FS10" s="1225"/>
      <c r="FT10" s="1225"/>
      <c r="FU10" s="1225"/>
      <c r="FV10" s="1225"/>
      <c r="FW10" s="1225"/>
      <c r="FX10" s="1225"/>
      <c r="FY10" s="1225"/>
      <c r="FZ10" s="1225"/>
      <c r="GA10" s="1225"/>
      <c r="GB10" s="1225"/>
      <c r="GC10" s="1225"/>
      <c r="GD10" s="1225"/>
      <c r="GE10" s="1225"/>
      <c r="GF10" s="1225"/>
      <c r="GG10" s="1225"/>
      <c r="GH10" s="1225"/>
      <c r="GI10" s="1225"/>
      <c r="GJ10" s="1225"/>
      <c r="GK10" s="1225"/>
      <c r="GL10" s="1225"/>
      <c r="GM10" s="1225"/>
      <c r="GN10" s="1225"/>
      <c r="GO10" s="1225"/>
      <c r="GP10" s="1225"/>
      <c r="GQ10" s="1225"/>
      <c r="GR10" s="1225"/>
      <c r="GS10" s="1225"/>
      <c r="GT10" s="1225"/>
      <c r="GU10" s="1225"/>
      <c r="GV10" s="1225"/>
      <c r="GW10" s="1225"/>
      <c r="GX10" s="1225"/>
      <c r="GY10" s="1225"/>
      <c r="GZ10" s="1225"/>
      <c r="HA10" s="1225"/>
      <c r="HB10" s="1225"/>
      <c r="HC10" s="1225"/>
      <c r="HD10" s="1225"/>
      <c r="HE10" s="1225"/>
      <c r="HF10" s="1225"/>
      <c r="HG10" s="1225"/>
      <c r="HH10" s="1225"/>
      <c r="HI10" s="1225"/>
      <c r="HJ10" s="1225"/>
      <c r="HK10" s="1225"/>
      <c r="HL10" s="1225"/>
      <c r="HM10" s="1225"/>
      <c r="HN10" s="1225"/>
      <c r="HO10" s="1225"/>
      <c r="HP10" s="1225"/>
      <c r="HQ10" s="1225"/>
      <c r="HR10" s="1225"/>
      <c r="HS10" s="1225"/>
      <c r="HT10" s="1225"/>
      <c r="HU10" s="1225"/>
      <c r="HV10" s="1225"/>
      <c r="HW10" s="1225"/>
      <c r="HX10" s="1225"/>
      <c r="HY10" s="1225"/>
      <c r="HZ10" s="1225"/>
      <c r="IA10" s="1225"/>
      <c r="IB10" s="1225"/>
      <c r="IC10" s="1225"/>
      <c r="ID10" s="1225"/>
      <c r="IE10" s="1225"/>
      <c r="IF10" s="1225"/>
      <c r="IG10" s="1225"/>
      <c r="IH10" s="1225"/>
      <c r="II10" s="1225"/>
      <c r="IJ10" s="1225"/>
      <c r="IK10" s="1225"/>
      <c r="IL10" s="1225"/>
      <c r="IM10" s="1225"/>
      <c r="IN10" s="1225"/>
      <c r="IO10" s="1225"/>
      <c r="IP10" s="1225"/>
      <c r="IQ10" s="1225"/>
      <c r="IR10" s="1225"/>
    </row>
    <row r="11" spans="1:252">
      <c r="A11" s="1208">
        <v>6</v>
      </c>
      <c r="B11" s="1209" t="s">
        <v>25</v>
      </c>
      <c r="C11" s="1210">
        <v>2011</v>
      </c>
      <c r="D11" s="1211">
        <v>24.3</v>
      </c>
      <c r="E11" s="1211"/>
      <c r="F11" s="1211"/>
      <c r="G11" s="1211"/>
      <c r="H11" s="1212">
        <v>24.3</v>
      </c>
      <c r="I11" s="1212"/>
      <c r="J11" s="1217"/>
      <c r="K11" s="1217"/>
      <c r="L11" s="1217"/>
      <c r="M11" s="1217"/>
      <c r="N11" s="1217"/>
      <c r="O11" s="1217"/>
      <c r="P11" s="1217"/>
      <c r="Q11" s="1217"/>
      <c r="R11" s="1217"/>
      <c r="S11" s="1217"/>
      <c r="T11" s="1217"/>
      <c r="U11" s="1217"/>
      <c r="V11" s="1217"/>
      <c r="W11" s="1217"/>
      <c r="X11" s="1217"/>
      <c r="Y11" s="1217"/>
      <c r="Z11" s="1217"/>
      <c r="AA11" s="1217"/>
      <c r="AB11" s="1217"/>
      <c r="AC11" s="1217"/>
      <c r="AD11" s="1217"/>
      <c r="AE11" s="1217"/>
      <c r="AF11" s="1217"/>
      <c r="AG11" s="1217"/>
      <c r="AH11" s="1217"/>
      <c r="AI11" s="1217"/>
      <c r="AJ11" s="1217"/>
      <c r="AK11" s="1217"/>
      <c r="AL11" s="1217"/>
      <c r="AM11" s="1217"/>
      <c r="AN11" s="1217"/>
      <c r="AO11" s="1217"/>
      <c r="AP11" s="1217"/>
      <c r="AQ11" s="1217"/>
      <c r="AR11" s="1217"/>
      <c r="AS11" s="1217"/>
      <c r="AT11" s="1217"/>
      <c r="AU11" s="1217"/>
      <c r="AV11" s="1217"/>
      <c r="AW11" s="1217"/>
      <c r="AX11" s="1217"/>
      <c r="AY11" s="1217"/>
      <c r="AZ11" s="1217"/>
      <c r="BA11" s="1217"/>
      <c r="BB11" s="1217"/>
      <c r="BC11" s="1217"/>
      <c r="BD11" s="1217"/>
      <c r="BE11" s="1217"/>
      <c r="BF11" s="1217"/>
      <c r="BG11" s="1217"/>
      <c r="BH11" s="1217"/>
      <c r="BI11" s="1217"/>
      <c r="BJ11" s="1217"/>
      <c r="BK11" s="1217"/>
      <c r="BL11" s="1217"/>
      <c r="BM11" s="1217"/>
      <c r="BN11" s="1217"/>
      <c r="BO11" s="1217"/>
      <c r="BP11" s="1217"/>
      <c r="BQ11" s="1217"/>
      <c r="BR11" s="1217"/>
      <c r="BS11" s="1217"/>
      <c r="BT11" s="1217"/>
      <c r="BU11" s="1217"/>
      <c r="BV11" s="1217"/>
      <c r="BW11" s="1217"/>
      <c r="BX11" s="1217"/>
      <c r="BY11" s="1217"/>
      <c r="BZ11" s="1217"/>
      <c r="CA11" s="1217"/>
      <c r="CB11" s="1217"/>
      <c r="CC11" s="1217"/>
      <c r="CD11" s="1217"/>
      <c r="CE11" s="1217"/>
      <c r="CF11" s="1217"/>
      <c r="CG11" s="1217"/>
      <c r="CH11" s="1217"/>
      <c r="CI11" s="1217"/>
      <c r="CJ11" s="1217"/>
      <c r="CK11" s="1217"/>
      <c r="CL11" s="1217"/>
      <c r="CM11" s="1217"/>
      <c r="CN11" s="1217"/>
      <c r="CO11" s="1217"/>
      <c r="CP11" s="1217"/>
      <c r="CQ11" s="1217"/>
      <c r="CR11" s="1217"/>
      <c r="CS11" s="1217"/>
      <c r="CT11" s="1217"/>
      <c r="CU11" s="1217"/>
      <c r="CV11" s="1217"/>
      <c r="CW11" s="1217"/>
      <c r="CX11" s="1217"/>
      <c r="CY11" s="1217"/>
      <c r="CZ11" s="1217"/>
      <c r="DA11" s="1217"/>
      <c r="DB11" s="1217"/>
      <c r="DC11" s="1217"/>
      <c r="DD11" s="1217"/>
      <c r="DE11" s="1217"/>
      <c r="DF11" s="1217"/>
      <c r="DG11" s="1217"/>
      <c r="DH11" s="1217"/>
      <c r="DI11" s="1217"/>
      <c r="DJ11" s="1217"/>
      <c r="DK11" s="1217"/>
      <c r="DL11" s="1217"/>
      <c r="DM11" s="1217"/>
      <c r="DN11" s="1217"/>
      <c r="DO11" s="1217"/>
      <c r="DP11" s="1217"/>
      <c r="DQ11" s="1217"/>
      <c r="DR11" s="1217"/>
      <c r="DS11" s="1217"/>
      <c r="DT11" s="1217"/>
      <c r="DU11" s="1217"/>
      <c r="DV11" s="1217"/>
      <c r="DW11" s="1217"/>
      <c r="DX11" s="1217"/>
      <c r="DY11" s="1217"/>
      <c r="DZ11" s="1217"/>
      <c r="EA11" s="1217"/>
      <c r="EB11" s="1217"/>
      <c r="EC11" s="1217"/>
      <c r="ED11" s="1217"/>
      <c r="EE11" s="1217"/>
      <c r="EF11" s="1217"/>
      <c r="EG11" s="1217"/>
      <c r="EH11" s="1217"/>
      <c r="EI11" s="1217"/>
      <c r="EJ11" s="1217"/>
      <c r="EK11" s="1217"/>
      <c r="EL11" s="1217"/>
      <c r="EM11" s="1217"/>
      <c r="EN11" s="1217"/>
      <c r="EO11" s="1217"/>
      <c r="EP11" s="1217"/>
      <c r="EQ11" s="1217"/>
      <c r="ER11" s="1217"/>
      <c r="ES11" s="1217"/>
      <c r="ET11" s="1217"/>
      <c r="EU11" s="1217"/>
      <c r="EV11" s="1217"/>
      <c r="EW11" s="1217"/>
      <c r="EX11" s="1217"/>
      <c r="EY11" s="1217"/>
      <c r="EZ11" s="1217"/>
      <c r="FA11" s="1217"/>
      <c r="FB11" s="1217"/>
      <c r="FC11" s="1217"/>
      <c r="FD11" s="1217"/>
      <c r="FE11" s="1217"/>
      <c r="FF11" s="1217"/>
      <c r="FG11" s="1217"/>
      <c r="FH11" s="1217"/>
      <c r="FI11" s="1217"/>
      <c r="FJ11" s="1217"/>
      <c r="FK11" s="1217"/>
      <c r="FL11" s="1217"/>
      <c r="FM11" s="1217"/>
      <c r="FN11" s="1217"/>
      <c r="FO11" s="1217"/>
      <c r="FP11" s="1217"/>
      <c r="FQ11" s="1217"/>
      <c r="FR11" s="1217"/>
      <c r="FS11" s="1217"/>
      <c r="FT11" s="1217"/>
      <c r="FU11" s="1217"/>
      <c r="FV11" s="1217"/>
      <c r="FW11" s="1217"/>
      <c r="FX11" s="1217"/>
      <c r="FY11" s="1217"/>
      <c r="FZ11" s="1217"/>
      <c r="GA11" s="1217"/>
      <c r="GB11" s="1217"/>
      <c r="GC11" s="1217"/>
      <c r="GD11" s="1217"/>
      <c r="GE11" s="1217"/>
      <c r="GF11" s="1217"/>
      <c r="GG11" s="1217"/>
      <c r="GH11" s="1217"/>
      <c r="GI11" s="1217"/>
      <c r="GJ11" s="1217"/>
      <c r="GK11" s="1217"/>
      <c r="GL11" s="1217"/>
      <c r="GM11" s="1217"/>
      <c r="GN11" s="1217"/>
      <c r="GO11" s="1217"/>
      <c r="GP11" s="1217"/>
      <c r="GQ11" s="1217"/>
      <c r="GR11" s="1217"/>
      <c r="GS11" s="1217"/>
      <c r="GT11" s="1217"/>
      <c r="GU11" s="1217"/>
      <c r="GV11" s="1217"/>
      <c r="GW11" s="1217"/>
      <c r="GX11" s="1217"/>
      <c r="GY11" s="1217"/>
      <c r="GZ11" s="1217"/>
      <c r="HA11" s="1217"/>
      <c r="HB11" s="1217"/>
      <c r="HC11" s="1217"/>
      <c r="HD11" s="1217"/>
      <c r="HE11" s="1217"/>
      <c r="HF11" s="1217"/>
      <c r="HG11" s="1217"/>
      <c r="HH11" s="1217"/>
      <c r="HI11" s="1217"/>
      <c r="HJ11" s="1217"/>
      <c r="HK11" s="1217"/>
      <c r="HL11" s="1217"/>
      <c r="HM11" s="1217"/>
      <c r="HN11" s="1217"/>
      <c r="HO11" s="1217"/>
      <c r="HP11" s="1217"/>
      <c r="HQ11" s="1217"/>
      <c r="HR11" s="1217"/>
      <c r="HS11" s="1217"/>
      <c r="HT11" s="1217"/>
      <c r="HU11" s="1217"/>
      <c r="HV11" s="1217"/>
      <c r="HW11" s="1217"/>
      <c r="HX11" s="1217"/>
      <c r="HY11" s="1217"/>
      <c r="HZ11" s="1217"/>
      <c r="IA11" s="1217"/>
      <c r="IB11" s="1217"/>
      <c r="IC11" s="1217"/>
      <c r="ID11" s="1217"/>
      <c r="IE11" s="1217"/>
      <c r="IF11" s="1217"/>
      <c r="IG11" s="1217"/>
      <c r="IH11" s="1217"/>
      <c r="II11" s="1217"/>
      <c r="IJ11" s="1217"/>
      <c r="IK11" s="1217"/>
      <c r="IL11" s="1217"/>
      <c r="IM11" s="1217"/>
      <c r="IN11" s="1217"/>
      <c r="IO11" s="1217"/>
      <c r="IP11" s="1217"/>
      <c r="IQ11" s="1217"/>
      <c r="IR11" s="1217"/>
    </row>
    <row r="12" spans="1:252">
      <c r="A12" s="1208">
        <v>7</v>
      </c>
      <c r="B12" s="1209" t="s">
        <v>26</v>
      </c>
      <c r="C12" s="1210">
        <v>2011</v>
      </c>
      <c r="D12" s="1211">
        <v>23.8</v>
      </c>
      <c r="E12" s="1211"/>
      <c r="F12" s="1211"/>
      <c r="G12" s="1211"/>
      <c r="H12" s="1212"/>
      <c r="I12" s="1226">
        <v>23.8</v>
      </c>
      <c r="J12" s="1217"/>
      <c r="K12" s="1217"/>
      <c r="L12" s="1217"/>
      <c r="M12" s="1217"/>
      <c r="N12" s="1217"/>
      <c r="O12" s="1217"/>
      <c r="P12" s="1217"/>
      <c r="Q12" s="1217"/>
      <c r="R12" s="1217"/>
      <c r="S12" s="1217"/>
      <c r="T12" s="1217"/>
      <c r="U12" s="1217"/>
      <c r="V12" s="1217"/>
      <c r="W12" s="1217"/>
      <c r="X12" s="1217"/>
      <c r="Y12" s="1217"/>
      <c r="Z12" s="1217"/>
      <c r="AA12" s="1217"/>
      <c r="AB12" s="1217"/>
      <c r="AC12" s="1217"/>
      <c r="AD12" s="1217"/>
      <c r="AE12" s="1217"/>
      <c r="AF12" s="1217"/>
      <c r="AG12" s="1217"/>
      <c r="AH12" s="1217"/>
      <c r="AI12" s="1217"/>
      <c r="AJ12" s="1217"/>
      <c r="AK12" s="1217"/>
      <c r="AL12" s="1217"/>
      <c r="AM12" s="1217"/>
      <c r="AN12" s="1217"/>
      <c r="AO12" s="1217"/>
      <c r="AP12" s="1217"/>
      <c r="AQ12" s="1217"/>
      <c r="AR12" s="1217"/>
      <c r="AS12" s="1217"/>
      <c r="AT12" s="1217"/>
      <c r="AU12" s="1217"/>
      <c r="AV12" s="1217"/>
      <c r="AW12" s="1217"/>
      <c r="AX12" s="1217"/>
      <c r="AY12" s="1217"/>
      <c r="AZ12" s="1217"/>
      <c r="BA12" s="1217"/>
      <c r="BB12" s="1217"/>
      <c r="BC12" s="1217"/>
      <c r="BD12" s="1217"/>
      <c r="BE12" s="1217"/>
      <c r="BF12" s="1217"/>
      <c r="BG12" s="1217"/>
      <c r="BH12" s="1217"/>
      <c r="BI12" s="1217"/>
      <c r="BJ12" s="1217"/>
      <c r="BK12" s="1217"/>
      <c r="BL12" s="1217"/>
      <c r="BM12" s="1217"/>
      <c r="BN12" s="1217"/>
      <c r="BO12" s="1217"/>
      <c r="BP12" s="1217"/>
      <c r="BQ12" s="1217"/>
      <c r="BR12" s="1217"/>
      <c r="BS12" s="1217"/>
      <c r="BT12" s="1217"/>
      <c r="BU12" s="1217"/>
      <c r="BV12" s="1217"/>
      <c r="BW12" s="1217"/>
      <c r="BX12" s="1217"/>
      <c r="BY12" s="1217"/>
      <c r="BZ12" s="1217"/>
      <c r="CA12" s="1217"/>
      <c r="CB12" s="1217"/>
      <c r="CC12" s="1217"/>
      <c r="CD12" s="1217"/>
      <c r="CE12" s="1217"/>
      <c r="CF12" s="1217"/>
      <c r="CG12" s="1217"/>
      <c r="CH12" s="1217"/>
      <c r="CI12" s="1217"/>
      <c r="CJ12" s="1217"/>
      <c r="CK12" s="1217"/>
      <c r="CL12" s="1217"/>
      <c r="CM12" s="1217"/>
      <c r="CN12" s="1217"/>
      <c r="CO12" s="1217"/>
      <c r="CP12" s="1217"/>
      <c r="CQ12" s="1217"/>
      <c r="CR12" s="1217"/>
      <c r="CS12" s="1217"/>
      <c r="CT12" s="1217"/>
      <c r="CU12" s="1217"/>
      <c r="CV12" s="1217"/>
      <c r="CW12" s="1217"/>
      <c r="CX12" s="1217"/>
      <c r="CY12" s="1217"/>
      <c r="CZ12" s="1217"/>
      <c r="DA12" s="1217"/>
      <c r="DB12" s="1217"/>
      <c r="DC12" s="1217"/>
      <c r="DD12" s="1217"/>
      <c r="DE12" s="1217"/>
      <c r="DF12" s="1217"/>
      <c r="DG12" s="1217"/>
      <c r="DH12" s="1217"/>
      <c r="DI12" s="1217"/>
      <c r="DJ12" s="1217"/>
      <c r="DK12" s="1217"/>
      <c r="DL12" s="1217"/>
      <c r="DM12" s="1217"/>
      <c r="DN12" s="1217"/>
      <c r="DO12" s="1217"/>
      <c r="DP12" s="1217"/>
      <c r="DQ12" s="1217"/>
      <c r="DR12" s="1217"/>
      <c r="DS12" s="1217"/>
      <c r="DT12" s="1217"/>
      <c r="DU12" s="1217"/>
      <c r="DV12" s="1217"/>
      <c r="DW12" s="1217"/>
      <c r="DX12" s="1217"/>
      <c r="DY12" s="1217"/>
      <c r="DZ12" s="1217"/>
      <c r="EA12" s="1217"/>
      <c r="EB12" s="1217"/>
      <c r="EC12" s="1217"/>
      <c r="ED12" s="1217"/>
      <c r="EE12" s="1217"/>
      <c r="EF12" s="1217"/>
      <c r="EG12" s="1217"/>
      <c r="EH12" s="1217"/>
      <c r="EI12" s="1217"/>
      <c r="EJ12" s="1217"/>
      <c r="EK12" s="1217"/>
      <c r="EL12" s="1217"/>
      <c r="EM12" s="1217"/>
      <c r="EN12" s="1217"/>
      <c r="EO12" s="1217"/>
      <c r="EP12" s="1217"/>
      <c r="EQ12" s="1217"/>
      <c r="ER12" s="1217"/>
      <c r="ES12" s="1217"/>
      <c r="ET12" s="1217"/>
      <c r="EU12" s="1217"/>
      <c r="EV12" s="1217"/>
      <c r="EW12" s="1217"/>
      <c r="EX12" s="1217"/>
      <c r="EY12" s="1217"/>
      <c r="EZ12" s="1217"/>
      <c r="FA12" s="1217"/>
      <c r="FB12" s="1217"/>
      <c r="FC12" s="1217"/>
      <c r="FD12" s="1217"/>
      <c r="FE12" s="1217"/>
      <c r="FF12" s="1217"/>
      <c r="FG12" s="1217"/>
      <c r="FH12" s="1217"/>
      <c r="FI12" s="1217"/>
      <c r="FJ12" s="1217"/>
      <c r="FK12" s="1217"/>
      <c r="FL12" s="1217"/>
      <c r="FM12" s="1217"/>
      <c r="FN12" s="1217"/>
      <c r="FO12" s="1217"/>
      <c r="FP12" s="1217"/>
      <c r="FQ12" s="1217"/>
      <c r="FR12" s="1217"/>
      <c r="FS12" s="1217"/>
      <c r="FT12" s="1217"/>
      <c r="FU12" s="1217"/>
      <c r="FV12" s="1217"/>
      <c r="FW12" s="1217"/>
      <c r="FX12" s="1217"/>
      <c r="FY12" s="1217"/>
      <c r="FZ12" s="1217"/>
      <c r="GA12" s="1217"/>
      <c r="GB12" s="1217"/>
      <c r="GC12" s="1217"/>
      <c r="GD12" s="1217"/>
      <c r="GE12" s="1217"/>
      <c r="GF12" s="1217"/>
      <c r="GG12" s="1217"/>
      <c r="GH12" s="1217"/>
      <c r="GI12" s="1217"/>
      <c r="GJ12" s="1217"/>
      <c r="GK12" s="1217"/>
      <c r="GL12" s="1217"/>
      <c r="GM12" s="1217"/>
      <c r="GN12" s="1217"/>
      <c r="GO12" s="1217"/>
      <c r="GP12" s="1217"/>
      <c r="GQ12" s="1217"/>
      <c r="GR12" s="1217"/>
      <c r="GS12" s="1217"/>
      <c r="GT12" s="1217"/>
      <c r="GU12" s="1217"/>
      <c r="GV12" s="1217"/>
      <c r="GW12" s="1217"/>
      <c r="GX12" s="1217"/>
      <c r="GY12" s="1217"/>
      <c r="GZ12" s="1217"/>
      <c r="HA12" s="1217"/>
      <c r="HB12" s="1217"/>
      <c r="HC12" s="1217"/>
      <c r="HD12" s="1217"/>
      <c r="HE12" s="1217"/>
      <c r="HF12" s="1217"/>
      <c r="HG12" s="1217"/>
      <c r="HH12" s="1217"/>
      <c r="HI12" s="1217"/>
      <c r="HJ12" s="1217"/>
      <c r="HK12" s="1217"/>
      <c r="HL12" s="1217"/>
      <c r="HM12" s="1217"/>
      <c r="HN12" s="1217"/>
      <c r="HO12" s="1217"/>
      <c r="HP12" s="1217"/>
      <c r="HQ12" s="1217"/>
      <c r="HR12" s="1217"/>
      <c r="HS12" s="1217"/>
      <c r="HT12" s="1217"/>
      <c r="HU12" s="1217"/>
      <c r="HV12" s="1217"/>
      <c r="HW12" s="1217"/>
      <c r="HX12" s="1217"/>
      <c r="HY12" s="1217"/>
      <c r="HZ12" s="1217"/>
      <c r="IA12" s="1217"/>
      <c r="IB12" s="1217"/>
      <c r="IC12" s="1217"/>
      <c r="ID12" s="1217"/>
      <c r="IE12" s="1217"/>
      <c r="IF12" s="1217"/>
      <c r="IG12" s="1217"/>
      <c r="IH12" s="1217"/>
      <c r="II12" s="1217"/>
      <c r="IJ12" s="1217"/>
      <c r="IK12" s="1217"/>
      <c r="IL12" s="1217"/>
      <c r="IM12" s="1217"/>
      <c r="IN12" s="1217"/>
      <c r="IO12" s="1217"/>
      <c r="IP12" s="1217"/>
      <c r="IQ12" s="1217"/>
      <c r="IR12" s="1217"/>
    </row>
    <row r="13" spans="1:252">
      <c r="A13" s="1208">
        <v>8</v>
      </c>
      <c r="B13" s="1209" t="s">
        <v>27</v>
      </c>
      <c r="C13" s="1210">
        <v>2011</v>
      </c>
      <c r="D13" s="1211">
        <v>24.3</v>
      </c>
      <c r="E13" s="1211"/>
      <c r="F13" s="1211"/>
      <c r="G13" s="1211"/>
      <c r="H13" s="1212"/>
      <c r="I13" s="1226">
        <v>24.3</v>
      </c>
      <c r="J13" s="1217"/>
      <c r="K13" s="1217"/>
      <c r="L13" s="1217"/>
      <c r="M13" s="1217"/>
      <c r="N13" s="1217"/>
      <c r="O13" s="1217"/>
      <c r="P13" s="1217"/>
      <c r="Q13" s="1217"/>
      <c r="R13" s="1217"/>
      <c r="S13" s="1217"/>
      <c r="T13" s="1217"/>
      <c r="U13" s="1217"/>
      <c r="V13" s="1217"/>
      <c r="W13" s="1217"/>
      <c r="X13" s="1217"/>
      <c r="Y13" s="1217"/>
      <c r="Z13" s="1217"/>
      <c r="AA13" s="1217"/>
      <c r="AB13" s="1217"/>
      <c r="AC13" s="1217"/>
      <c r="AD13" s="1217"/>
      <c r="AE13" s="1217"/>
      <c r="AF13" s="1217"/>
      <c r="AG13" s="1217"/>
      <c r="AH13" s="1217"/>
      <c r="AI13" s="1217"/>
      <c r="AJ13" s="1217"/>
      <c r="AK13" s="1217"/>
      <c r="AL13" s="1217"/>
      <c r="AM13" s="1217"/>
      <c r="AN13" s="1217"/>
      <c r="AO13" s="1217"/>
      <c r="AP13" s="1217"/>
      <c r="AQ13" s="1217"/>
      <c r="AR13" s="1217"/>
      <c r="AS13" s="1217"/>
      <c r="AT13" s="1217"/>
      <c r="AU13" s="1217"/>
      <c r="AV13" s="1217"/>
      <c r="AW13" s="1217"/>
      <c r="AX13" s="1217"/>
      <c r="AY13" s="1217"/>
      <c r="AZ13" s="1217"/>
      <c r="BA13" s="1217"/>
      <c r="BB13" s="1217"/>
      <c r="BC13" s="1217"/>
      <c r="BD13" s="1217"/>
      <c r="BE13" s="1217"/>
      <c r="BF13" s="1217"/>
      <c r="BG13" s="1217"/>
      <c r="BH13" s="1217"/>
      <c r="BI13" s="1217"/>
      <c r="BJ13" s="1217"/>
      <c r="BK13" s="1217"/>
      <c r="BL13" s="1217"/>
      <c r="BM13" s="1217"/>
      <c r="BN13" s="1217"/>
      <c r="BO13" s="1217"/>
      <c r="BP13" s="1217"/>
      <c r="BQ13" s="1217"/>
      <c r="BR13" s="1217"/>
      <c r="BS13" s="1217"/>
      <c r="BT13" s="1217"/>
      <c r="BU13" s="1217"/>
      <c r="BV13" s="1217"/>
      <c r="BW13" s="1217"/>
      <c r="BX13" s="1217"/>
      <c r="BY13" s="1217"/>
      <c r="BZ13" s="1217"/>
      <c r="CA13" s="1217"/>
      <c r="CB13" s="1217"/>
      <c r="CC13" s="1217"/>
      <c r="CD13" s="1217"/>
      <c r="CE13" s="1217"/>
      <c r="CF13" s="1217"/>
      <c r="CG13" s="1217"/>
      <c r="CH13" s="1217"/>
      <c r="CI13" s="1217"/>
      <c r="CJ13" s="1217"/>
      <c r="CK13" s="1217"/>
      <c r="CL13" s="1217"/>
      <c r="CM13" s="1217"/>
      <c r="CN13" s="1217"/>
      <c r="CO13" s="1217"/>
      <c r="CP13" s="1217"/>
      <c r="CQ13" s="1217"/>
      <c r="CR13" s="1217"/>
      <c r="CS13" s="1217"/>
      <c r="CT13" s="1217"/>
      <c r="CU13" s="1217"/>
      <c r="CV13" s="1217"/>
      <c r="CW13" s="1217"/>
      <c r="CX13" s="1217"/>
      <c r="CY13" s="1217"/>
      <c r="CZ13" s="1217"/>
      <c r="DA13" s="1217"/>
      <c r="DB13" s="1217"/>
      <c r="DC13" s="1217"/>
      <c r="DD13" s="1217"/>
      <c r="DE13" s="1217"/>
      <c r="DF13" s="1217"/>
      <c r="DG13" s="1217"/>
      <c r="DH13" s="1217"/>
      <c r="DI13" s="1217"/>
      <c r="DJ13" s="1217"/>
      <c r="DK13" s="1217"/>
      <c r="DL13" s="1217"/>
      <c r="DM13" s="1217"/>
      <c r="DN13" s="1217"/>
      <c r="DO13" s="1217"/>
      <c r="DP13" s="1217"/>
      <c r="DQ13" s="1217"/>
      <c r="DR13" s="1217"/>
      <c r="DS13" s="1217"/>
      <c r="DT13" s="1217"/>
      <c r="DU13" s="1217"/>
      <c r="DV13" s="1217"/>
      <c r="DW13" s="1217"/>
      <c r="DX13" s="1217"/>
      <c r="DY13" s="1217"/>
      <c r="DZ13" s="1217"/>
      <c r="EA13" s="1217"/>
      <c r="EB13" s="1217"/>
      <c r="EC13" s="1217"/>
      <c r="ED13" s="1217"/>
      <c r="EE13" s="1217"/>
      <c r="EF13" s="1217"/>
      <c r="EG13" s="1217"/>
      <c r="EH13" s="1217"/>
      <c r="EI13" s="1217"/>
      <c r="EJ13" s="1217"/>
      <c r="EK13" s="1217"/>
      <c r="EL13" s="1217"/>
      <c r="EM13" s="1217"/>
      <c r="EN13" s="1217"/>
      <c r="EO13" s="1217"/>
      <c r="EP13" s="1217"/>
      <c r="EQ13" s="1217"/>
      <c r="ER13" s="1217"/>
      <c r="ES13" s="1217"/>
      <c r="ET13" s="1217"/>
      <c r="EU13" s="1217"/>
      <c r="EV13" s="1217"/>
      <c r="EW13" s="1217"/>
      <c r="EX13" s="1217"/>
      <c r="EY13" s="1217"/>
      <c r="EZ13" s="1217"/>
      <c r="FA13" s="1217"/>
      <c r="FB13" s="1217"/>
      <c r="FC13" s="1217"/>
      <c r="FD13" s="1217"/>
      <c r="FE13" s="1217"/>
      <c r="FF13" s="1217"/>
      <c r="FG13" s="1217"/>
      <c r="FH13" s="1217"/>
      <c r="FI13" s="1217"/>
      <c r="FJ13" s="1217"/>
      <c r="FK13" s="1217"/>
      <c r="FL13" s="1217"/>
      <c r="FM13" s="1217"/>
      <c r="FN13" s="1217"/>
      <c r="FO13" s="1217"/>
      <c r="FP13" s="1217"/>
      <c r="FQ13" s="1217"/>
      <c r="FR13" s="1217"/>
      <c r="FS13" s="1217"/>
      <c r="FT13" s="1217"/>
      <c r="FU13" s="1217"/>
      <c r="FV13" s="1217"/>
      <c r="FW13" s="1217"/>
      <c r="FX13" s="1217"/>
      <c r="FY13" s="1217"/>
      <c r="FZ13" s="1217"/>
      <c r="GA13" s="1217"/>
      <c r="GB13" s="1217"/>
      <c r="GC13" s="1217"/>
      <c r="GD13" s="1217"/>
      <c r="GE13" s="1217"/>
      <c r="GF13" s="1217"/>
      <c r="GG13" s="1217"/>
      <c r="GH13" s="1217"/>
      <c r="GI13" s="1217"/>
      <c r="GJ13" s="1217"/>
      <c r="GK13" s="1217"/>
      <c r="GL13" s="1217"/>
      <c r="GM13" s="1217"/>
      <c r="GN13" s="1217"/>
      <c r="GO13" s="1217"/>
      <c r="GP13" s="1217"/>
      <c r="GQ13" s="1217"/>
      <c r="GR13" s="1217"/>
      <c r="GS13" s="1217"/>
      <c r="GT13" s="1217"/>
      <c r="GU13" s="1217"/>
      <c r="GV13" s="1217"/>
      <c r="GW13" s="1217"/>
      <c r="GX13" s="1217"/>
      <c r="GY13" s="1217"/>
      <c r="GZ13" s="1217"/>
      <c r="HA13" s="1217"/>
      <c r="HB13" s="1217"/>
      <c r="HC13" s="1217"/>
      <c r="HD13" s="1217"/>
      <c r="HE13" s="1217"/>
      <c r="HF13" s="1217"/>
      <c r="HG13" s="1217"/>
      <c r="HH13" s="1217"/>
      <c r="HI13" s="1217"/>
      <c r="HJ13" s="1217"/>
      <c r="HK13" s="1217"/>
      <c r="HL13" s="1217"/>
      <c r="HM13" s="1217"/>
      <c r="HN13" s="1217"/>
      <c r="HO13" s="1217"/>
      <c r="HP13" s="1217"/>
      <c r="HQ13" s="1217"/>
      <c r="HR13" s="1217"/>
      <c r="HS13" s="1217"/>
      <c r="HT13" s="1217"/>
      <c r="HU13" s="1217"/>
      <c r="HV13" s="1217"/>
      <c r="HW13" s="1217"/>
      <c r="HX13" s="1217"/>
      <c r="HY13" s="1217"/>
      <c r="HZ13" s="1217"/>
      <c r="IA13" s="1217"/>
      <c r="IB13" s="1217"/>
      <c r="IC13" s="1217"/>
      <c r="ID13" s="1217"/>
      <c r="IE13" s="1217"/>
      <c r="IF13" s="1217"/>
      <c r="IG13" s="1217"/>
      <c r="IH13" s="1217"/>
      <c r="II13" s="1217"/>
      <c r="IJ13" s="1217"/>
      <c r="IK13" s="1217"/>
      <c r="IL13" s="1217"/>
      <c r="IM13" s="1217"/>
      <c r="IN13" s="1217"/>
      <c r="IO13" s="1217"/>
      <c r="IP13" s="1217"/>
      <c r="IQ13" s="1217"/>
      <c r="IR13" s="1217"/>
    </row>
    <row r="14" spans="1:252">
      <c r="A14" s="1208">
        <v>9</v>
      </c>
      <c r="B14" s="1209" t="s">
        <v>28</v>
      </c>
      <c r="C14" s="1210">
        <v>2011</v>
      </c>
      <c r="D14" s="1211">
        <v>24.3</v>
      </c>
      <c r="E14" s="1211"/>
      <c r="F14" s="1211">
        <f>D14</f>
        <v>24.3</v>
      </c>
      <c r="G14" s="1211"/>
      <c r="H14" s="1212"/>
      <c r="I14" s="1212"/>
      <c r="J14" s="1217"/>
      <c r="K14" s="1217"/>
      <c r="L14" s="1217"/>
      <c r="M14" s="1217"/>
      <c r="N14" s="1217"/>
      <c r="O14" s="1217"/>
      <c r="P14" s="1217"/>
      <c r="Q14" s="1217"/>
      <c r="R14" s="1217"/>
      <c r="S14" s="1217"/>
      <c r="T14" s="1217"/>
      <c r="U14" s="1217"/>
      <c r="V14" s="1217"/>
      <c r="W14" s="1217"/>
      <c r="X14" s="1217"/>
      <c r="Y14" s="1217"/>
      <c r="Z14" s="1217"/>
      <c r="AA14" s="1217"/>
      <c r="AB14" s="1217"/>
      <c r="AC14" s="1217"/>
      <c r="AD14" s="1217"/>
      <c r="AE14" s="1217"/>
      <c r="AF14" s="1217"/>
      <c r="AG14" s="1217"/>
      <c r="AH14" s="1217"/>
      <c r="AI14" s="1217"/>
      <c r="AJ14" s="1217"/>
      <c r="AK14" s="1217"/>
      <c r="AL14" s="1217"/>
      <c r="AM14" s="1217"/>
      <c r="AN14" s="1217"/>
      <c r="AO14" s="1217"/>
      <c r="AP14" s="1217"/>
      <c r="AQ14" s="1217"/>
      <c r="AR14" s="1217"/>
      <c r="AS14" s="1217"/>
      <c r="AT14" s="1217"/>
      <c r="AU14" s="1217"/>
      <c r="AV14" s="1217"/>
      <c r="AW14" s="1217"/>
      <c r="AX14" s="1217"/>
      <c r="AY14" s="1217"/>
      <c r="AZ14" s="1217"/>
      <c r="BA14" s="1217"/>
      <c r="BB14" s="1217"/>
      <c r="BC14" s="1217"/>
      <c r="BD14" s="1217"/>
      <c r="BE14" s="1217"/>
      <c r="BF14" s="1217"/>
      <c r="BG14" s="1217"/>
      <c r="BH14" s="1217"/>
      <c r="BI14" s="1217"/>
      <c r="BJ14" s="1217"/>
      <c r="BK14" s="1217"/>
      <c r="BL14" s="1217"/>
      <c r="BM14" s="1217"/>
      <c r="BN14" s="1217"/>
      <c r="BO14" s="1217"/>
      <c r="BP14" s="1217"/>
      <c r="BQ14" s="1217"/>
      <c r="BR14" s="1217"/>
      <c r="BS14" s="1217"/>
      <c r="BT14" s="1217"/>
      <c r="BU14" s="1217"/>
      <c r="BV14" s="1217"/>
      <c r="BW14" s="1217"/>
      <c r="BX14" s="1217"/>
      <c r="BY14" s="1217"/>
      <c r="BZ14" s="1217"/>
      <c r="CA14" s="1217"/>
      <c r="CB14" s="1217"/>
      <c r="CC14" s="1217"/>
      <c r="CD14" s="1217"/>
      <c r="CE14" s="1217"/>
      <c r="CF14" s="1217"/>
      <c r="CG14" s="1217"/>
      <c r="CH14" s="1217"/>
      <c r="CI14" s="1217"/>
      <c r="CJ14" s="1217"/>
      <c r="CK14" s="1217"/>
      <c r="CL14" s="1217"/>
      <c r="CM14" s="1217"/>
      <c r="CN14" s="1217"/>
      <c r="CO14" s="1217"/>
      <c r="CP14" s="1217"/>
      <c r="CQ14" s="1217"/>
      <c r="CR14" s="1217"/>
      <c r="CS14" s="1217"/>
      <c r="CT14" s="1217"/>
      <c r="CU14" s="1217"/>
      <c r="CV14" s="1217"/>
      <c r="CW14" s="1217"/>
      <c r="CX14" s="1217"/>
      <c r="CY14" s="1217"/>
      <c r="CZ14" s="1217"/>
      <c r="DA14" s="1217"/>
      <c r="DB14" s="1217"/>
      <c r="DC14" s="1217"/>
      <c r="DD14" s="1217"/>
      <c r="DE14" s="1217"/>
      <c r="DF14" s="1217"/>
      <c r="DG14" s="1217"/>
      <c r="DH14" s="1217"/>
      <c r="DI14" s="1217"/>
      <c r="DJ14" s="1217"/>
      <c r="DK14" s="1217"/>
      <c r="DL14" s="1217"/>
      <c r="DM14" s="1217"/>
      <c r="DN14" s="1217"/>
      <c r="DO14" s="1217"/>
      <c r="DP14" s="1217"/>
      <c r="DQ14" s="1217"/>
      <c r="DR14" s="1217"/>
      <c r="DS14" s="1217"/>
      <c r="DT14" s="1217"/>
      <c r="DU14" s="1217"/>
      <c r="DV14" s="1217"/>
      <c r="DW14" s="1217"/>
      <c r="DX14" s="1217"/>
      <c r="DY14" s="1217"/>
      <c r="DZ14" s="1217"/>
      <c r="EA14" s="1217"/>
      <c r="EB14" s="1217"/>
      <c r="EC14" s="1217"/>
      <c r="ED14" s="1217"/>
      <c r="EE14" s="1217"/>
      <c r="EF14" s="1217"/>
      <c r="EG14" s="1217"/>
      <c r="EH14" s="1217"/>
      <c r="EI14" s="1217"/>
      <c r="EJ14" s="1217"/>
      <c r="EK14" s="1217"/>
      <c r="EL14" s="1217"/>
      <c r="EM14" s="1217"/>
      <c r="EN14" s="1217"/>
      <c r="EO14" s="1217"/>
      <c r="EP14" s="1217"/>
      <c r="EQ14" s="1217"/>
      <c r="ER14" s="1217"/>
      <c r="ES14" s="1217"/>
      <c r="ET14" s="1217"/>
      <c r="EU14" s="1217"/>
      <c r="EV14" s="1217"/>
      <c r="EW14" s="1217"/>
      <c r="EX14" s="1217"/>
      <c r="EY14" s="1217"/>
      <c r="EZ14" s="1217"/>
      <c r="FA14" s="1217"/>
      <c r="FB14" s="1217"/>
      <c r="FC14" s="1217"/>
      <c r="FD14" s="1217"/>
      <c r="FE14" s="1217"/>
      <c r="FF14" s="1217"/>
      <c r="FG14" s="1217"/>
      <c r="FH14" s="1217"/>
      <c r="FI14" s="1217"/>
      <c r="FJ14" s="1217"/>
      <c r="FK14" s="1217"/>
      <c r="FL14" s="1217"/>
      <c r="FM14" s="1217"/>
      <c r="FN14" s="1217"/>
      <c r="FO14" s="1217"/>
      <c r="FP14" s="1217"/>
      <c r="FQ14" s="1217"/>
      <c r="FR14" s="1217"/>
      <c r="FS14" s="1217"/>
      <c r="FT14" s="1217"/>
      <c r="FU14" s="1217"/>
      <c r="FV14" s="1217"/>
      <c r="FW14" s="1217"/>
      <c r="FX14" s="1217"/>
      <c r="FY14" s="1217"/>
      <c r="FZ14" s="1217"/>
      <c r="GA14" s="1217"/>
      <c r="GB14" s="1217"/>
      <c r="GC14" s="1217"/>
      <c r="GD14" s="1217"/>
      <c r="GE14" s="1217"/>
      <c r="GF14" s="1217"/>
      <c r="GG14" s="1217"/>
      <c r="GH14" s="1217"/>
      <c r="GI14" s="1217"/>
      <c r="GJ14" s="1217"/>
      <c r="GK14" s="1217"/>
      <c r="GL14" s="1217"/>
      <c r="GM14" s="1217"/>
      <c r="GN14" s="1217"/>
      <c r="GO14" s="1217"/>
      <c r="GP14" s="1217"/>
      <c r="GQ14" s="1217"/>
      <c r="GR14" s="1217"/>
      <c r="GS14" s="1217"/>
      <c r="GT14" s="1217"/>
      <c r="GU14" s="1217"/>
      <c r="GV14" s="1217"/>
      <c r="GW14" s="1217"/>
      <c r="GX14" s="1217"/>
      <c r="GY14" s="1217"/>
      <c r="GZ14" s="1217"/>
      <c r="HA14" s="1217"/>
      <c r="HB14" s="1217"/>
      <c r="HC14" s="1217"/>
      <c r="HD14" s="1217"/>
      <c r="HE14" s="1217"/>
      <c r="HF14" s="1217"/>
      <c r="HG14" s="1217"/>
      <c r="HH14" s="1217"/>
      <c r="HI14" s="1217"/>
      <c r="HJ14" s="1217"/>
      <c r="HK14" s="1217"/>
      <c r="HL14" s="1217"/>
      <c r="HM14" s="1217"/>
      <c r="HN14" s="1217"/>
      <c r="HO14" s="1217"/>
      <c r="HP14" s="1217"/>
      <c r="HQ14" s="1217"/>
      <c r="HR14" s="1217"/>
      <c r="HS14" s="1217"/>
      <c r="HT14" s="1217"/>
      <c r="HU14" s="1217"/>
      <c r="HV14" s="1217"/>
      <c r="HW14" s="1217"/>
      <c r="HX14" s="1217"/>
      <c r="HY14" s="1217"/>
      <c r="HZ14" s="1217"/>
      <c r="IA14" s="1217"/>
      <c r="IB14" s="1217"/>
      <c r="IC14" s="1217"/>
      <c r="ID14" s="1217"/>
      <c r="IE14" s="1217"/>
      <c r="IF14" s="1217"/>
      <c r="IG14" s="1217"/>
      <c r="IH14" s="1217"/>
      <c r="II14" s="1217"/>
      <c r="IJ14" s="1217"/>
      <c r="IK14" s="1217"/>
      <c r="IL14" s="1217"/>
      <c r="IM14" s="1217"/>
      <c r="IN14" s="1217"/>
      <c r="IO14" s="1217"/>
      <c r="IP14" s="1217"/>
      <c r="IQ14" s="1217"/>
      <c r="IR14" s="1217"/>
    </row>
    <row r="15" spans="1:252">
      <c r="A15" s="1208">
        <v>10</v>
      </c>
      <c r="B15" s="1209" t="s">
        <v>29</v>
      </c>
      <c r="C15" s="1210">
        <v>2011</v>
      </c>
      <c r="D15" s="1211">
        <v>24.1</v>
      </c>
      <c r="E15" s="1211"/>
      <c r="F15" s="1211">
        <f>D15</f>
        <v>24.1</v>
      </c>
      <c r="G15" s="1211"/>
      <c r="H15" s="1212"/>
      <c r="I15" s="1212"/>
      <c r="J15" s="1217"/>
      <c r="K15" s="1217"/>
      <c r="L15" s="1217"/>
      <c r="M15" s="1217"/>
      <c r="N15" s="1217"/>
      <c r="O15" s="1217"/>
      <c r="P15" s="1217"/>
      <c r="Q15" s="1217"/>
      <c r="R15" s="1217"/>
      <c r="S15" s="1217"/>
      <c r="T15" s="1217"/>
      <c r="U15" s="1217"/>
      <c r="V15" s="1217"/>
      <c r="W15" s="1217"/>
      <c r="X15" s="1217"/>
      <c r="Y15" s="1217"/>
      <c r="Z15" s="1217"/>
      <c r="AA15" s="1217"/>
      <c r="AB15" s="1217"/>
      <c r="AC15" s="1217"/>
      <c r="AD15" s="1217"/>
      <c r="AE15" s="1217"/>
      <c r="AF15" s="1217"/>
      <c r="AG15" s="1217"/>
      <c r="AH15" s="1217"/>
      <c r="AI15" s="1217"/>
      <c r="AJ15" s="1217"/>
      <c r="AK15" s="1217"/>
      <c r="AL15" s="1217"/>
      <c r="AM15" s="1217"/>
      <c r="AN15" s="1217"/>
      <c r="AO15" s="1217"/>
      <c r="AP15" s="1217"/>
      <c r="AQ15" s="1217"/>
      <c r="AR15" s="1217"/>
      <c r="AS15" s="1217"/>
      <c r="AT15" s="1217"/>
      <c r="AU15" s="1217"/>
      <c r="AV15" s="1217"/>
      <c r="AW15" s="1217"/>
      <c r="AX15" s="1217"/>
      <c r="AY15" s="1217"/>
      <c r="AZ15" s="1217"/>
      <c r="BA15" s="1217"/>
      <c r="BB15" s="1217"/>
      <c r="BC15" s="1217"/>
      <c r="BD15" s="1217"/>
      <c r="BE15" s="1217"/>
      <c r="BF15" s="1217"/>
      <c r="BG15" s="1217"/>
      <c r="BH15" s="1217"/>
      <c r="BI15" s="1217"/>
      <c r="BJ15" s="1217"/>
      <c r="BK15" s="1217"/>
      <c r="BL15" s="1217"/>
      <c r="BM15" s="1217"/>
      <c r="BN15" s="1217"/>
      <c r="BO15" s="1217"/>
      <c r="BP15" s="1217"/>
      <c r="BQ15" s="1217"/>
      <c r="BR15" s="1217"/>
      <c r="BS15" s="1217"/>
      <c r="BT15" s="1217"/>
      <c r="BU15" s="1217"/>
      <c r="BV15" s="1217"/>
      <c r="BW15" s="1217"/>
      <c r="BX15" s="1217"/>
      <c r="BY15" s="1217"/>
      <c r="BZ15" s="1217"/>
      <c r="CA15" s="1217"/>
      <c r="CB15" s="1217"/>
      <c r="CC15" s="1217"/>
      <c r="CD15" s="1217"/>
      <c r="CE15" s="1217"/>
      <c r="CF15" s="1217"/>
      <c r="CG15" s="1217"/>
      <c r="CH15" s="1217"/>
      <c r="CI15" s="1217"/>
      <c r="CJ15" s="1217"/>
      <c r="CK15" s="1217"/>
      <c r="CL15" s="1217"/>
      <c r="CM15" s="1217"/>
      <c r="CN15" s="1217"/>
      <c r="CO15" s="1217"/>
      <c r="CP15" s="1217"/>
      <c r="CQ15" s="1217"/>
      <c r="CR15" s="1217"/>
      <c r="CS15" s="1217"/>
      <c r="CT15" s="1217"/>
      <c r="CU15" s="1217"/>
      <c r="CV15" s="1217"/>
      <c r="CW15" s="1217"/>
      <c r="CX15" s="1217"/>
      <c r="CY15" s="1217"/>
      <c r="CZ15" s="1217"/>
      <c r="DA15" s="1217"/>
      <c r="DB15" s="1217"/>
      <c r="DC15" s="1217"/>
      <c r="DD15" s="1217"/>
      <c r="DE15" s="1217"/>
      <c r="DF15" s="1217"/>
      <c r="DG15" s="1217"/>
      <c r="DH15" s="1217"/>
      <c r="DI15" s="1217"/>
      <c r="DJ15" s="1217"/>
      <c r="DK15" s="1217"/>
      <c r="DL15" s="1217"/>
      <c r="DM15" s="1217"/>
      <c r="DN15" s="1217"/>
      <c r="DO15" s="1217"/>
      <c r="DP15" s="1217"/>
      <c r="DQ15" s="1217"/>
      <c r="DR15" s="1217"/>
      <c r="DS15" s="1217"/>
      <c r="DT15" s="1217"/>
      <c r="DU15" s="1217"/>
      <c r="DV15" s="1217"/>
      <c r="DW15" s="1217"/>
      <c r="DX15" s="1217"/>
      <c r="DY15" s="1217"/>
      <c r="DZ15" s="1217"/>
      <c r="EA15" s="1217"/>
      <c r="EB15" s="1217"/>
      <c r="EC15" s="1217"/>
      <c r="ED15" s="1217"/>
      <c r="EE15" s="1217"/>
      <c r="EF15" s="1217"/>
      <c r="EG15" s="1217"/>
      <c r="EH15" s="1217"/>
      <c r="EI15" s="1217"/>
      <c r="EJ15" s="1217"/>
      <c r="EK15" s="1217"/>
      <c r="EL15" s="1217"/>
      <c r="EM15" s="1217"/>
      <c r="EN15" s="1217"/>
      <c r="EO15" s="1217"/>
      <c r="EP15" s="1217"/>
      <c r="EQ15" s="1217"/>
      <c r="ER15" s="1217"/>
      <c r="ES15" s="1217"/>
      <c r="ET15" s="1217"/>
      <c r="EU15" s="1217"/>
      <c r="EV15" s="1217"/>
      <c r="EW15" s="1217"/>
      <c r="EX15" s="1217"/>
      <c r="EY15" s="1217"/>
      <c r="EZ15" s="1217"/>
      <c r="FA15" s="1217"/>
      <c r="FB15" s="1217"/>
      <c r="FC15" s="1217"/>
      <c r="FD15" s="1217"/>
      <c r="FE15" s="1217"/>
      <c r="FF15" s="1217"/>
      <c r="FG15" s="1217"/>
      <c r="FH15" s="1217"/>
      <c r="FI15" s="1217"/>
      <c r="FJ15" s="1217"/>
      <c r="FK15" s="1217"/>
      <c r="FL15" s="1217"/>
      <c r="FM15" s="1217"/>
      <c r="FN15" s="1217"/>
      <c r="FO15" s="1217"/>
      <c r="FP15" s="1217"/>
      <c r="FQ15" s="1217"/>
      <c r="FR15" s="1217"/>
      <c r="FS15" s="1217"/>
      <c r="FT15" s="1217"/>
      <c r="FU15" s="1217"/>
      <c r="FV15" s="1217"/>
      <c r="FW15" s="1217"/>
      <c r="FX15" s="1217"/>
      <c r="FY15" s="1217"/>
      <c r="FZ15" s="1217"/>
      <c r="GA15" s="1217"/>
      <c r="GB15" s="1217"/>
      <c r="GC15" s="1217"/>
      <c r="GD15" s="1217"/>
      <c r="GE15" s="1217"/>
      <c r="GF15" s="1217"/>
      <c r="GG15" s="1217"/>
      <c r="GH15" s="1217"/>
      <c r="GI15" s="1217"/>
      <c r="GJ15" s="1217"/>
      <c r="GK15" s="1217"/>
      <c r="GL15" s="1217"/>
      <c r="GM15" s="1217"/>
      <c r="GN15" s="1217"/>
      <c r="GO15" s="1217"/>
      <c r="GP15" s="1217"/>
      <c r="GQ15" s="1217"/>
      <c r="GR15" s="1217"/>
      <c r="GS15" s="1217"/>
      <c r="GT15" s="1217"/>
      <c r="GU15" s="1217"/>
      <c r="GV15" s="1217"/>
      <c r="GW15" s="1217"/>
      <c r="GX15" s="1217"/>
      <c r="GY15" s="1217"/>
      <c r="GZ15" s="1217"/>
      <c r="HA15" s="1217"/>
      <c r="HB15" s="1217"/>
      <c r="HC15" s="1217"/>
      <c r="HD15" s="1217"/>
      <c r="HE15" s="1217"/>
      <c r="HF15" s="1217"/>
      <c r="HG15" s="1217"/>
      <c r="HH15" s="1217"/>
      <c r="HI15" s="1217"/>
      <c r="HJ15" s="1217"/>
      <c r="HK15" s="1217"/>
      <c r="HL15" s="1217"/>
      <c r="HM15" s="1217"/>
      <c r="HN15" s="1217"/>
      <c r="HO15" s="1217"/>
      <c r="HP15" s="1217"/>
      <c r="HQ15" s="1217"/>
      <c r="HR15" s="1217"/>
      <c r="HS15" s="1217"/>
      <c r="HT15" s="1217"/>
      <c r="HU15" s="1217"/>
      <c r="HV15" s="1217"/>
      <c r="HW15" s="1217"/>
      <c r="HX15" s="1217"/>
      <c r="HY15" s="1217"/>
      <c r="HZ15" s="1217"/>
      <c r="IA15" s="1217"/>
      <c r="IB15" s="1217"/>
      <c r="IC15" s="1217"/>
      <c r="ID15" s="1217"/>
      <c r="IE15" s="1217"/>
      <c r="IF15" s="1217"/>
      <c r="IG15" s="1217"/>
      <c r="IH15" s="1217"/>
      <c r="II15" s="1217"/>
      <c r="IJ15" s="1217"/>
      <c r="IK15" s="1217"/>
      <c r="IL15" s="1217"/>
      <c r="IM15" s="1217"/>
      <c r="IN15" s="1217"/>
      <c r="IO15" s="1217"/>
      <c r="IP15" s="1217"/>
      <c r="IQ15" s="1217"/>
      <c r="IR15" s="1217"/>
    </row>
    <row r="16" spans="1:252">
      <c r="A16" s="1208">
        <v>11</v>
      </c>
      <c r="B16" s="1209" t="s">
        <v>30</v>
      </c>
      <c r="C16" s="1210">
        <v>2011</v>
      </c>
      <c r="D16" s="1211">
        <v>24.1</v>
      </c>
      <c r="E16" s="1211"/>
      <c r="F16" s="1211">
        <f>D16</f>
        <v>24.1</v>
      </c>
      <c r="G16" s="1211"/>
      <c r="H16" s="1212"/>
      <c r="I16" s="1212"/>
      <c r="J16" s="1217"/>
      <c r="K16" s="1217"/>
      <c r="L16" s="1217"/>
      <c r="M16" s="1217"/>
      <c r="N16" s="1217"/>
      <c r="O16" s="1217"/>
      <c r="P16" s="1217"/>
      <c r="Q16" s="1217"/>
      <c r="R16" s="1217"/>
      <c r="S16" s="1217"/>
      <c r="T16" s="1217"/>
      <c r="U16" s="1217"/>
      <c r="V16" s="1217"/>
      <c r="W16" s="1217"/>
      <c r="X16" s="1217"/>
      <c r="Y16" s="1217"/>
      <c r="Z16" s="1217"/>
      <c r="AA16" s="1217"/>
      <c r="AB16" s="1217"/>
      <c r="AC16" s="1217"/>
      <c r="AD16" s="1217"/>
      <c r="AE16" s="1217"/>
      <c r="AF16" s="1217"/>
      <c r="AG16" s="1217"/>
      <c r="AH16" s="1217"/>
      <c r="AI16" s="1217"/>
      <c r="AJ16" s="1217"/>
      <c r="AK16" s="1217"/>
      <c r="AL16" s="1217"/>
      <c r="AM16" s="1217"/>
      <c r="AN16" s="1217"/>
      <c r="AO16" s="1217"/>
      <c r="AP16" s="1217"/>
      <c r="AQ16" s="1217"/>
      <c r="AR16" s="1217"/>
      <c r="AS16" s="1217"/>
      <c r="AT16" s="1217"/>
      <c r="AU16" s="1217"/>
      <c r="AV16" s="1217"/>
      <c r="AW16" s="1217"/>
      <c r="AX16" s="1217"/>
      <c r="AY16" s="1217"/>
      <c r="AZ16" s="1217"/>
      <c r="BA16" s="1217"/>
      <c r="BB16" s="1217"/>
      <c r="BC16" s="1217"/>
      <c r="BD16" s="1217"/>
      <c r="BE16" s="1217"/>
      <c r="BF16" s="1217"/>
      <c r="BG16" s="1217"/>
      <c r="BH16" s="1217"/>
      <c r="BI16" s="1217"/>
      <c r="BJ16" s="1217"/>
      <c r="BK16" s="1217"/>
      <c r="BL16" s="1217"/>
      <c r="BM16" s="1217"/>
      <c r="BN16" s="1217"/>
      <c r="BO16" s="1217"/>
      <c r="BP16" s="1217"/>
      <c r="BQ16" s="1217"/>
      <c r="BR16" s="1217"/>
      <c r="BS16" s="1217"/>
      <c r="BT16" s="1217"/>
      <c r="BU16" s="1217"/>
      <c r="BV16" s="1217"/>
      <c r="BW16" s="1217"/>
      <c r="BX16" s="1217"/>
      <c r="BY16" s="1217"/>
      <c r="BZ16" s="1217"/>
      <c r="CA16" s="1217"/>
      <c r="CB16" s="1217"/>
      <c r="CC16" s="1217"/>
      <c r="CD16" s="1217"/>
      <c r="CE16" s="1217"/>
      <c r="CF16" s="1217"/>
      <c r="CG16" s="1217"/>
      <c r="CH16" s="1217"/>
      <c r="CI16" s="1217"/>
      <c r="CJ16" s="1217"/>
      <c r="CK16" s="1217"/>
      <c r="CL16" s="1217"/>
      <c r="CM16" s="1217"/>
      <c r="CN16" s="1217"/>
      <c r="CO16" s="1217"/>
      <c r="CP16" s="1217"/>
      <c r="CQ16" s="1217"/>
      <c r="CR16" s="1217"/>
      <c r="CS16" s="1217"/>
      <c r="CT16" s="1217"/>
      <c r="CU16" s="1217"/>
      <c r="CV16" s="1217"/>
      <c r="CW16" s="1217"/>
      <c r="CX16" s="1217"/>
      <c r="CY16" s="1217"/>
      <c r="CZ16" s="1217"/>
      <c r="DA16" s="1217"/>
      <c r="DB16" s="1217"/>
      <c r="DC16" s="1217"/>
      <c r="DD16" s="1217"/>
      <c r="DE16" s="1217"/>
      <c r="DF16" s="1217"/>
      <c r="DG16" s="1217"/>
      <c r="DH16" s="1217"/>
      <c r="DI16" s="1217"/>
      <c r="DJ16" s="1217"/>
      <c r="DK16" s="1217"/>
      <c r="DL16" s="1217"/>
      <c r="DM16" s="1217"/>
      <c r="DN16" s="1217"/>
      <c r="DO16" s="1217"/>
      <c r="DP16" s="1217"/>
      <c r="DQ16" s="1217"/>
      <c r="DR16" s="1217"/>
      <c r="DS16" s="1217"/>
      <c r="DT16" s="1217"/>
      <c r="DU16" s="1217"/>
      <c r="DV16" s="1217"/>
      <c r="DW16" s="1217"/>
      <c r="DX16" s="1217"/>
      <c r="DY16" s="1217"/>
      <c r="DZ16" s="1217"/>
      <c r="EA16" s="1217"/>
      <c r="EB16" s="1217"/>
      <c r="EC16" s="1217"/>
      <c r="ED16" s="1217"/>
      <c r="EE16" s="1217"/>
      <c r="EF16" s="1217"/>
      <c r="EG16" s="1217"/>
      <c r="EH16" s="1217"/>
      <c r="EI16" s="1217"/>
      <c r="EJ16" s="1217"/>
      <c r="EK16" s="1217"/>
      <c r="EL16" s="1217"/>
      <c r="EM16" s="1217"/>
      <c r="EN16" s="1217"/>
      <c r="EO16" s="1217"/>
      <c r="EP16" s="1217"/>
      <c r="EQ16" s="1217"/>
      <c r="ER16" s="1217"/>
      <c r="ES16" s="1217"/>
      <c r="ET16" s="1217"/>
      <c r="EU16" s="1217"/>
      <c r="EV16" s="1217"/>
      <c r="EW16" s="1217"/>
      <c r="EX16" s="1217"/>
      <c r="EY16" s="1217"/>
      <c r="EZ16" s="1217"/>
      <c r="FA16" s="1217"/>
      <c r="FB16" s="1217"/>
      <c r="FC16" s="1217"/>
      <c r="FD16" s="1217"/>
      <c r="FE16" s="1217"/>
      <c r="FF16" s="1217"/>
      <c r="FG16" s="1217"/>
      <c r="FH16" s="1217"/>
      <c r="FI16" s="1217"/>
      <c r="FJ16" s="1217"/>
      <c r="FK16" s="1217"/>
      <c r="FL16" s="1217"/>
      <c r="FM16" s="1217"/>
      <c r="FN16" s="1217"/>
      <c r="FO16" s="1217"/>
      <c r="FP16" s="1217"/>
      <c r="FQ16" s="1217"/>
      <c r="FR16" s="1217"/>
      <c r="FS16" s="1217"/>
      <c r="FT16" s="1217"/>
      <c r="FU16" s="1217"/>
      <c r="FV16" s="1217"/>
      <c r="FW16" s="1217"/>
      <c r="FX16" s="1217"/>
      <c r="FY16" s="1217"/>
      <c r="FZ16" s="1217"/>
      <c r="GA16" s="1217"/>
      <c r="GB16" s="1217"/>
      <c r="GC16" s="1217"/>
      <c r="GD16" s="1217"/>
      <c r="GE16" s="1217"/>
      <c r="GF16" s="1217"/>
      <c r="GG16" s="1217"/>
      <c r="GH16" s="1217"/>
      <c r="GI16" s="1217"/>
      <c r="GJ16" s="1217"/>
      <c r="GK16" s="1217"/>
      <c r="GL16" s="1217"/>
      <c r="GM16" s="1217"/>
      <c r="GN16" s="1217"/>
      <c r="GO16" s="1217"/>
      <c r="GP16" s="1217"/>
      <c r="GQ16" s="1217"/>
      <c r="GR16" s="1217"/>
      <c r="GS16" s="1217"/>
      <c r="GT16" s="1217"/>
      <c r="GU16" s="1217"/>
      <c r="GV16" s="1217"/>
      <c r="GW16" s="1217"/>
      <c r="GX16" s="1217"/>
      <c r="GY16" s="1217"/>
      <c r="GZ16" s="1217"/>
      <c r="HA16" s="1217"/>
      <c r="HB16" s="1217"/>
      <c r="HC16" s="1217"/>
      <c r="HD16" s="1217"/>
      <c r="HE16" s="1217"/>
      <c r="HF16" s="1217"/>
      <c r="HG16" s="1217"/>
      <c r="HH16" s="1217"/>
      <c r="HI16" s="1217"/>
      <c r="HJ16" s="1217"/>
      <c r="HK16" s="1217"/>
      <c r="HL16" s="1217"/>
      <c r="HM16" s="1217"/>
      <c r="HN16" s="1217"/>
      <c r="HO16" s="1217"/>
      <c r="HP16" s="1217"/>
      <c r="HQ16" s="1217"/>
      <c r="HR16" s="1217"/>
      <c r="HS16" s="1217"/>
      <c r="HT16" s="1217"/>
      <c r="HU16" s="1217"/>
      <c r="HV16" s="1217"/>
      <c r="HW16" s="1217"/>
      <c r="HX16" s="1217"/>
      <c r="HY16" s="1217"/>
      <c r="HZ16" s="1217"/>
      <c r="IA16" s="1217"/>
      <c r="IB16" s="1217"/>
      <c r="IC16" s="1217"/>
      <c r="ID16" s="1217"/>
      <c r="IE16" s="1217"/>
      <c r="IF16" s="1217"/>
      <c r="IG16" s="1217"/>
      <c r="IH16" s="1217"/>
      <c r="II16" s="1217"/>
      <c r="IJ16" s="1217"/>
      <c r="IK16" s="1217"/>
      <c r="IL16" s="1217"/>
      <c r="IM16" s="1217"/>
      <c r="IN16" s="1217"/>
      <c r="IO16" s="1217"/>
      <c r="IP16" s="1217"/>
      <c r="IQ16" s="1217"/>
      <c r="IR16" s="1217"/>
    </row>
    <row r="17" spans="1:252">
      <c r="A17" s="1208">
        <v>12</v>
      </c>
      <c r="B17" s="1209" t="s">
        <v>31</v>
      </c>
      <c r="C17" s="1210">
        <v>2011</v>
      </c>
      <c r="D17" s="1211">
        <v>24.3</v>
      </c>
      <c r="E17" s="1211"/>
      <c r="F17" s="1211">
        <f>D17</f>
        <v>24.3</v>
      </c>
      <c r="G17" s="1211"/>
      <c r="H17" s="1212"/>
      <c r="I17" s="1212"/>
      <c r="J17" s="1217"/>
      <c r="K17" s="1217"/>
      <c r="L17" s="1217"/>
      <c r="M17" s="1217"/>
      <c r="N17" s="1217"/>
      <c r="O17" s="1217"/>
      <c r="P17" s="1217"/>
      <c r="Q17" s="1217"/>
      <c r="R17" s="1217"/>
      <c r="S17" s="1217"/>
      <c r="T17" s="1217"/>
      <c r="U17" s="1217"/>
      <c r="V17" s="1217"/>
      <c r="W17" s="1217"/>
      <c r="X17" s="1217"/>
      <c r="Y17" s="1217"/>
      <c r="Z17" s="1217"/>
      <c r="AA17" s="1217"/>
      <c r="AB17" s="1217"/>
      <c r="AC17" s="1217"/>
      <c r="AD17" s="1217"/>
      <c r="AE17" s="1217"/>
      <c r="AF17" s="1217"/>
      <c r="AG17" s="1217"/>
      <c r="AH17" s="1217"/>
      <c r="AI17" s="1217"/>
      <c r="AJ17" s="1217"/>
      <c r="AK17" s="1217"/>
      <c r="AL17" s="1217"/>
      <c r="AM17" s="1217"/>
      <c r="AN17" s="1217"/>
      <c r="AO17" s="1217"/>
      <c r="AP17" s="1217"/>
      <c r="AQ17" s="1217"/>
      <c r="AR17" s="1217"/>
      <c r="AS17" s="1217"/>
      <c r="AT17" s="1217"/>
      <c r="AU17" s="1217"/>
      <c r="AV17" s="1217"/>
      <c r="AW17" s="1217"/>
      <c r="AX17" s="1217"/>
      <c r="AY17" s="1217"/>
      <c r="AZ17" s="1217"/>
      <c r="BA17" s="1217"/>
      <c r="BB17" s="1217"/>
      <c r="BC17" s="1217"/>
      <c r="BD17" s="1217"/>
      <c r="BE17" s="1217"/>
      <c r="BF17" s="1217"/>
      <c r="BG17" s="1217"/>
      <c r="BH17" s="1217"/>
      <c r="BI17" s="1217"/>
      <c r="BJ17" s="1217"/>
      <c r="BK17" s="1217"/>
      <c r="BL17" s="1217"/>
      <c r="BM17" s="1217"/>
      <c r="BN17" s="1217"/>
      <c r="BO17" s="1217"/>
      <c r="BP17" s="1217"/>
      <c r="BQ17" s="1217"/>
      <c r="BR17" s="1217"/>
      <c r="BS17" s="1217"/>
      <c r="BT17" s="1217"/>
      <c r="BU17" s="1217"/>
      <c r="BV17" s="1217"/>
      <c r="BW17" s="1217"/>
      <c r="BX17" s="1217"/>
      <c r="BY17" s="1217"/>
      <c r="BZ17" s="1217"/>
      <c r="CA17" s="1217"/>
      <c r="CB17" s="1217"/>
      <c r="CC17" s="1217"/>
      <c r="CD17" s="1217"/>
      <c r="CE17" s="1217"/>
      <c r="CF17" s="1217"/>
      <c r="CG17" s="1217"/>
      <c r="CH17" s="1217"/>
      <c r="CI17" s="1217"/>
      <c r="CJ17" s="1217"/>
      <c r="CK17" s="1217"/>
      <c r="CL17" s="1217"/>
      <c r="CM17" s="1217"/>
      <c r="CN17" s="1217"/>
      <c r="CO17" s="1217"/>
      <c r="CP17" s="1217"/>
      <c r="CQ17" s="1217"/>
      <c r="CR17" s="1217"/>
      <c r="CS17" s="1217"/>
      <c r="CT17" s="1217"/>
      <c r="CU17" s="1217"/>
      <c r="CV17" s="1217"/>
      <c r="CW17" s="1217"/>
      <c r="CX17" s="1217"/>
      <c r="CY17" s="1217"/>
      <c r="CZ17" s="1217"/>
      <c r="DA17" s="1217"/>
      <c r="DB17" s="1217"/>
      <c r="DC17" s="1217"/>
      <c r="DD17" s="1217"/>
      <c r="DE17" s="1217"/>
      <c r="DF17" s="1217"/>
      <c r="DG17" s="1217"/>
      <c r="DH17" s="1217"/>
      <c r="DI17" s="1217"/>
      <c r="DJ17" s="1217"/>
      <c r="DK17" s="1217"/>
      <c r="DL17" s="1217"/>
      <c r="DM17" s="1217"/>
      <c r="DN17" s="1217"/>
      <c r="DO17" s="1217"/>
      <c r="DP17" s="1217"/>
      <c r="DQ17" s="1217"/>
      <c r="DR17" s="1217"/>
      <c r="DS17" s="1217"/>
      <c r="DT17" s="1217"/>
      <c r="DU17" s="1217"/>
      <c r="DV17" s="1217"/>
      <c r="DW17" s="1217"/>
      <c r="DX17" s="1217"/>
      <c r="DY17" s="1217"/>
      <c r="DZ17" s="1217"/>
      <c r="EA17" s="1217"/>
      <c r="EB17" s="1217"/>
      <c r="EC17" s="1217"/>
      <c r="ED17" s="1217"/>
      <c r="EE17" s="1217"/>
      <c r="EF17" s="1217"/>
      <c r="EG17" s="1217"/>
      <c r="EH17" s="1217"/>
      <c r="EI17" s="1217"/>
      <c r="EJ17" s="1217"/>
      <c r="EK17" s="1217"/>
      <c r="EL17" s="1217"/>
      <c r="EM17" s="1217"/>
      <c r="EN17" s="1217"/>
      <c r="EO17" s="1217"/>
      <c r="EP17" s="1217"/>
      <c r="EQ17" s="1217"/>
      <c r="ER17" s="1217"/>
      <c r="ES17" s="1217"/>
      <c r="ET17" s="1217"/>
      <c r="EU17" s="1217"/>
      <c r="EV17" s="1217"/>
      <c r="EW17" s="1217"/>
      <c r="EX17" s="1217"/>
      <c r="EY17" s="1217"/>
      <c r="EZ17" s="1217"/>
      <c r="FA17" s="1217"/>
      <c r="FB17" s="1217"/>
      <c r="FC17" s="1217"/>
      <c r="FD17" s="1217"/>
      <c r="FE17" s="1217"/>
      <c r="FF17" s="1217"/>
      <c r="FG17" s="1217"/>
      <c r="FH17" s="1217"/>
      <c r="FI17" s="1217"/>
      <c r="FJ17" s="1217"/>
      <c r="FK17" s="1217"/>
      <c r="FL17" s="1217"/>
      <c r="FM17" s="1217"/>
      <c r="FN17" s="1217"/>
      <c r="FO17" s="1217"/>
      <c r="FP17" s="1217"/>
      <c r="FQ17" s="1217"/>
      <c r="FR17" s="1217"/>
      <c r="FS17" s="1217"/>
      <c r="FT17" s="1217"/>
      <c r="FU17" s="1217"/>
      <c r="FV17" s="1217"/>
      <c r="FW17" s="1217"/>
      <c r="FX17" s="1217"/>
      <c r="FY17" s="1217"/>
      <c r="FZ17" s="1217"/>
      <c r="GA17" s="1217"/>
      <c r="GB17" s="1217"/>
      <c r="GC17" s="1217"/>
      <c r="GD17" s="1217"/>
      <c r="GE17" s="1217"/>
      <c r="GF17" s="1217"/>
      <c r="GG17" s="1217"/>
      <c r="GH17" s="1217"/>
      <c r="GI17" s="1217"/>
      <c r="GJ17" s="1217"/>
      <c r="GK17" s="1217"/>
      <c r="GL17" s="1217"/>
      <c r="GM17" s="1217"/>
      <c r="GN17" s="1217"/>
      <c r="GO17" s="1217"/>
      <c r="GP17" s="1217"/>
      <c r="GQ17" s="1217"/>
      <c r="GR17" s="1217"/>
      <c r="GS17" s="1217"/>
      <c r="GT17" s="1217"/>
      <c r="GU17" s="1217"/>
      <c r="GV17" s="1217"/>
      <c r="GW17" s="1217"/>
      <c r="GX17" s="1217"/>
      <c r="GY17" s="1217"/>
      <c r="GZ17" s="1217"/>
      <c r="HA17" s="1217"/>
      <c r="HB17" s="1217"/>
      <c r="HC17" s="1217"/>
      <c r="HD17" s="1217"/>
      <c r="HE17" s="1217"/>
      <c r="HF17" s="1217"/>
      <c r="HG17" s="1217"/>
      <c r="HH17" s="1217"/>
      <c r="HI17" s="1217"/>
      <c r="HJ17" s="1217"/>
      <c r="HK17" s="1217"/>
      <c r="HL17" s="1217"/>
      <c r="HM17" s="1217"/>
      <c r="HN17" s="1217"/>
      <c r="HO17" s="1217"/>
      <c r="HP17" s="1217"/>
      <c r="HQ17" s="1217"/>
      <c r="HR17" s="1217"/>
      <c r="HS17" s="1217"/>
      <c r="HT17" s="1217"/>
      <c r="HU17" s="1217"/>
      <c r="HV17" s="1217"/>
      <c r="HW17" s="1217"/>
      <c r="HX17" s="1217"/>
      <c r="HY17" s="1217"/>
      <c r="HZ17" s="1217"/>
      <c r="IA17" s="1217"/>
      <c r="IB17" s="1217"/>
      <c r="IC17" s="1217"/>
      <c r="ID17" s="1217"/>
      <c r="IE17" s="1217"/>
      <c r="IF17" s="1217"/>
      <c r="IG17" s="1217"/>
      <c r="IH17" s="1217"/>
      <c r="II17" s="1217"/>
      <c r="IJ17" s="1217"/>
      <c r="IK17" s="1217"/>
      <c r="IL17" s="1217"/>
      <c r="IM17" s="1217"/>
      <c r="IN17" s="1217"/>
      <c r="IO17" s="1217"/>
      <c r="IP17" s="1217"/>
      <c r="IQ17" s="1217"/>
      <c r="IR17" s="1217"/>
    </row>
    <row r="18" spans="1:252">
      <c r="A18" s="1208">
        <v>13</v>
      </c>
      <c r="B18" s="1209" t="s">
        <v>32</v>
      </c>
      <c r="C18" s="1210">
        <v>2011</v>
      </c>
      <c r="D18" s="1211">
        <v>22.9</v>
      </c>
      <c r="E18" s="1211"/>
      <c r="F18" s="1211"/>
      <c r="G18" s="1211"/>
      <c r="H18" s="1212">
        <v>22.9</v>
      </c>
      <c r="I18" s="1212"/>
      <c r="J18" s="1217"/>
      <c r="K18" s="1217"/>
      <c r="L18" s="1217"/>
      <c r="M18" s="1217"/>
      <c r="N18" s="1217"/>
      <c r="O18" s="1217"/>
      <c r="P18" s="1217"/>
      <c r="Q18" s="1217"/>
      <c r="R18" s="1217"/>
      <c r="S18" s="1217"/>
      <c r="T18" s="1217"/>
      <c r="U18" s="1217"/>
      <c r="V18" s="1217"/>
      <c r="W18" s="1217"/>
      <c r="X18" s="1217"/>
      <c r="Y18" s="1217"/>
      <c r="Z18" s="1217"/>
      <c r="AA18" s="1217"/>
      <c r="AB18" s="1217"/>
      <c r="AC18" s="1217"/>
      <c r="AD18" s="1217"/>
      <c r="AE18" s="1217"/>
      <c r="AF18" s="1217"/>
      <c r="AG18" s="1217"/>
      <c r="AH18" s="1217"/>
      <c r="AI18" s="1217"/>
      <c r="AJ18" s="1217"/>
      <c r="AK18" s="1217"/>
      <c r="AL18" s="1217"/>
      <c r="AM18" s="1217"/>
      <c r="AN18" s="1217"/>
      <c r="AO18" s="1217"/>
      <c r="AP18" s="1217"/>
      <c r="AQ18" s="1217"/>
      <c r="AR18" s="1217"/>
      <c r="AS18" s="1217"/>
      <c r="AT18" s="1217"/>
      <c r="AU18" s="1217"/>
      <c r="AV18" s="1217"/>
      <c r="AW18" s="1217"/>
      <c r="AX18" s="1217"/>
      <c r="AY18" s="1217"/>
      <c r="AZ18" s="1217"/>
      <c r="BA18" s="1217"/>
      <c r="BB18" s="1217"/>
      <c r="BC18" s="1217"/>
      <c r="BD18" s="1217"/>
      <c r="BE18" s="1217"/>
      <c r="BF18" s="1217"/>
      <c r="BG18" s="1217"/>
      <c r="BH18" s="1217"/>
      <c r="BI18" s="1217"/>
      <c r="BJ18" s="1217"/>
      <c r="BK18" s="1217"/>
      <c r="BL18" s="1217"/>
      <c r="BM18" s="1217"/>
      <c r="BN18" s="1217"/>
      <c r="BO18" s="1217"/>
      <c r="BP18" s="1217"/>
      <c r="BQ18" s="1217"/>
      <c r="BR18" s="1217"/>
      <c r="BS18" s="1217"/>
      <c r="BT18" s="1217"/>
      <c r="BU18" s="1217"/>
      <c r="BV18" s="1217"/>
      <c r="BW18" s="1217"/>
      <c r="BX18" s="1217"/>
      <c r="BY18" s="1217"/>
      <c r="BZ18" s="1217"/>
      <c r="CA18" s="1217"/>
      <c r="CB18" s="1217"/>
      <c r="CC18" s="1217"/>
      <c r="CD18" s="1217"/>
      <c r="CE18" s="1217"/>
      <c r="CF18" s="1217"/>
      <c r="CG18" s="1217"/>
      <c r="CH18" s="1217"/>
      <c r="CI18" s="1217"/>
      <c r="CJ18" s="1217"/>
      <c r="CK18" s="1217"/>
      <c r="CL18" s="1217"/>
      <c r="CM18" s="1217"/>
      <c r="CN18" s="1217"/>
      <c r="CO18" s="1217"/>
      <c r="CP18" s="1217"/>
      <c r="CQ18" s="1217"/>
      <c r="CR18" s="1217"/>
      <c r="CS18" s="1217"/>
      <c r="CT18" s="1217"/>
      <c r="CU18" s="1217"/>
      <c r="CV18" s="1217"/>
      <c r="CW18" s="1217"/>
      <c r="CX18" s="1217"/>
      <c r="CY18" s="1217"/>
      <c r="CZ18" s="1217"/>
      <c r="DA18" s="1217"/>
      <c r="DB18" s="1217"/>
      <c r="DC18" s="1217"/>
      <c r="DD18" s="1217"/>
      <c r="DE18" s="1217"/>
      <c r="DF18" s="1217"/>
      <c r="DG18" s="1217"/>
      <c r="DH18" s="1217"/>
      <c r="DI18" s="1217"/>
      <c r="DJ18" s="1217"/>
      <c r="DK18" s="1217"/>
      <c r="DL18" s="1217"/>
      <c r="DM18" s="1217"/>
      <c r="DN18" s="1217"/>
      <c r="DO18" s="1217"/>
      <c r="DP18" s="1217"/>
      <c r="DQ18" s="1217"/>
      <c r="DR18" s="1217"/>
      <c r="DS18" s="1217"/>
      <c r="DT18" s="1217"/>
      <c r="DU18" s="1217"/>
      <c r="DV18" s="1217"/>
      <c r="DW18" s="1217"/>
      <c r="DX18" s="1217"/>
      <c r="DY18" s="1217"/>
      <c r="DZ18" s="1217"/>
      <c r="EA18" s="1217"/>
      <c r="EB18" s="1217"/>
      <c r="EC18" s="1217"/>
      <c r="ED18" s="1217"/>
      <c r="EE18" s="1217"/>
      <c r="EF18" s="1217"/>
      <c r="EG18" s="1217"/>
      <c r="EH18" s="1217"/>
      <c r="EI18" s="1217"/>
      <c r="EJ18" s="1217"/>
      <c r="EK18" s="1217"/>
      <c r="EL18" s="1217"/>
      <c r="EM18" s="1217"/>
      <c r="EN18" s="1217"/>
      <c r="EO18" s="1217"/>
      <c r="EP18" s="1217"/>
      <c r="EQ18" s="1217"/>
      <c r="ER18" s="1217"/>
      <c r="ES18" s="1217"/>
      <c r="ET18" s="1217"/>
      <c r="EU18" s="1217"/>
      <c r="EV18" s="1217"/>
      <c r="EW18" s="1217"/>
      <c r="EX18" s="1217"/>
      <c r="EY18" s="1217"/>
      <c r="EZ18" s="1217"/>
      <c r="FA18" s="1217"/>
      <c r="FB18" s="1217"/>
      <c r="FC18" s="1217"/>
      <c r="FD18" s="1217"/>
      <c r="FE18" s="1217"/>
      <c r="FF18" s="1217"/>
      <c r="FG18" s="1217"/>
      <c r="FH18" s="1217"/>
      <c r="FI18" s="1217"/>
      <c r="FJ18" s="1217"/>
      <c r="FK18" s="1217"/>
      <c r="FL18" s="1217"/>
      <c r="FM18" s="1217"/>
      <c r="FN18" s="1217"/>
      <c r="FO18" s="1217"/>
      <c r="FP18" s="1217"/>
      <c r="FQ18" s="1217"/>
      <c r="FR18" s="1217"/>
      <c r="FS18" s="1217"/>
      <c r="FT18" s="1217"/>
      <c r="FU18" s="1217"/>
      <c r="FV18" s="1217"/>
      <c r="FW18" s="1217"/>
      <c r="FX18" s="1217"/>
      <c r="FY18" s="1217"/>
      <c r="FZ18" s="1217"/>
      <c r="GA18" s="1217"/>
      <c r="GB18" s="1217"/>
      <c r="GC18" s="1217"/>
      <c r="GD18" s="1217"/>
      <c r="GE18" s="1217"/>
      <c r="GF18" s="1217"/>
      <c r="GG18" s="1217"/>
      <c r="GH18" s="1217"/>
      <c r="GI18" s="1217"/>
      <c r="GJ18" s="1217"/>
      <c r="GK18" s="1217"/>
      <c r="GL18" s="1217"/>
      <c r="GM18" s="1217"/>
      <c r="GN18" s="1217"/>
      <c r="GO18" s="1217"/>
      <c r="GP18" s="1217"/>
      <c r="GQ18" s="1217"/>
      <c r="GR18" s="1217"/>
      <c r="GS18" s="1217"/>
      <c r="GT18" s="1217"/>
      <c r="GU18" s="1217"/>
      <c r="GV18" s="1217"/>
      <c r="GW18" s="1217"/>
      <c r="GX18" s="1217"/>
      <c r="GY18" s="1217"/>
      <c r="GZ18" s="1217"/>
      <c r="HA18" s="1217"/>
      <c r="HB18" s="1217"/>
      <c r="HC18" s="1217"/>
      <c r="HD18" s="1217"/>
      <c r="HE18" s="1217"/>
      <c r="HF18" s="1217"/>
      <c r="HG18" s="1217"/>
      <c r="HH18" s="1217"/>
      <c r="HI18" s="1217"/>
      <c r="HJ18" s="1217"/>
      <c r="HK18" s="1217"/>
      <c r="HL18" s="1217"/>
      <c r="HM18" s="1217"/>
      <c r="HN18" s="1217"/>
      <c r="HO18" s="1217"/>
      <c r="HP18" s="1217"/>
      <c r="HQ18" s="1217"/>
      <c r="HR18" s="1217"/>
      <c r="HS18" s="1217"/>
      <c r="HT18" s="1217"/>
      <c r="HU18" s="1217"/>
      <c r="HV18" s="1217"/>
      <c r="HW18" s="1217"/>
      <c r="HX18" s="1217"/>
      <c r="HY18" s="1217"/>
      <c r="HZ18" s="1217"/>
      <c r="IA18" s="1217"/>
      <c r="IB18" s="1217"/>
      <c r="IC18" s="1217"/>
      <c r="ID18" s="1217"/>
      <c r="IE18" s="1217"/>
      <c r="IF18" s="1217"/>
      <c r="IG18" s="1217"/>
      <c r="IH18" s="1217"/>
      <c r="II18" s="1217"/>
      <c r="IJ18" s="1217"/>
      <c r="IK18" s="1217"/>
      <c r="IL18" s="1217"/>
      <c r="IM18" s="1217"/>
      <c r="IN18" s="1217"/>
      <c r="IO18" s="1217"/>
      <c r="IP18" s="1217"/>
      <c r="IQ18" s="1217"/>
      <c r="IR18" s="1217"/>
    </row>
    <row r="19" spans="1:252">
      <c r="A19" s="1208">
        <v>14</v>
      </c>
      <c r="B19" s="1209" t="s">
        <v>33</v>
      </c>
      <c r="C19" s="1210">
        <v>2011</v>
      </c>
      <c r="D19" s="1211">
        <v>23.2</v>
      </c>
      <c r="E19" s="1211"/>
      <c r="F19" s="1211"/>
      <c r="G19" s="1211"/>
      <c r="H19" s="1212">
        <v>23.2</v>
      </c>
      <c r="I19" s="1212"/>
      <c r="J19" s="1217"/>
      <c r="K19" s="1217"/>
      <c r="L19" s="1217"/>
      <c r="M19" s="1217"/>
      <c r="N19" s="1217"/>
      <c r="O19" s="1217"/>
      <c r="P19" s="1217"/>
      <c r="Q19" s="1217"/>
      <c r="R19" s="1217"/>
      <c r="S19" s="1217"/>
      <c r="T19" s="1217"/>
      <c r="U19" s="1217"/>
      <c r="V19" s="1217"/>
      <c r="W19" s="1217"/>
      <c r="X19" s="1217"/>
      <c r="Y19" s="1217"/>
      <c r="Z19" s="1217"/>
      <c r="AA19" s="1217"/>
      <c r="AB19" s="1217"/>
      <c r="AC19" s="1217"/>
      <c r="AD19" s="1217"/>
      <c r="AE19" s="1217"/>
      <c r="AF19" s="1217"/>
      <c r="AG19" s="1217"/>
      <c r="AH19" s="1217"/>
      <c r="AI19" s="1217"/>
      <c r="AJ19" s="1217"/>
      <c r="AK19" s="1217"/>
      <c r="AL19" s="1217"/>
      <c r="AM19" s="1217"/>
      <c r="AN19" s="1217"/>
      <c r="AO19" s="1217"/>
      <c r="AP19" s="1217"/>
      <c r="AQ19" s="1217"/>
      <c r="AR19" s="1217"/>
      <c r="AS19" s="1217"/>
      <c r="AT19" s="1217"/>
      <c r="AU19" s="1217"/>
      <c r="AV19" s="1217"/>
      <c r="AW19" s="1217"/>
      <c r="AX19" s="1217"/>
      <c r="AY19" s="1217"/>
      <c r="AZ19" s="1217"/>
      <c r="BA19" s="1217"/>
      <c r="BB19" s="1217"/>
      <c r="BC19" s="1217"/>
      <c r="BD19" s="1217"/>
      <c r="BE19" s="1217"/>
      <c r="BF19" s="1217"/>
      <c r="BG19" s="1217"/>
      <c r="BH19" s="1217"/>
      <c r="BI19" s="1217"/>
      <c r="BJ19" s="1217"/>
      <c r="BK19" s="1217"/>
      <c r="BL19" s="1217"/>
      <c r="BM19" s="1217"/>
      <c r="BN19" s="1217"/>
      <c r="BO19" s="1217"/>
      <c r="BP19" s="1217"/>
      <c r="BQ19" s="1217"/>
      <c r="BR19" s="1217"/>
      <c r="BS19" s="1217"/>
      <c r="BT19" s="1217"/>
      <c r="BU19" s="1217"/>
      <c r="BV19" s="1217"/>
      <c r="BW19" s="1217"/>
      <c r="BX19" s="1217"/>
      <c r="BY19" s="1217"/>
      <c r="BZ19" s="1217"/>
      <c r="CA19" s="1217"/>
      <c r="CB19" s="1217"/>
      <c r="CC19" s="1217"/>
      <c r="CD19" s="1217"/>
      <c r="CE19" s="1217"/>
      <c r="CF19" s="1217"/>
      <c r="CG19" s="1217"/>
      <c r="CH19" s="1217"/>
      <c r="CI19" s="1217"/>
      <c r="CJ19" s="1217"/>
      <c r="CK19" s="1217"/>
      <c r="CL19" s="1217"/>
      <c r="CM19" s="1217"/>
      <c r="CN19" s="1217"/>
      <c r="CO19" s="1217"/>
      <c r="CP19" s="1217"/>
      <c r="CQ19" s="1217"/>
      <c r="CR19" s="1217"/>
      <c r="CS19" s="1217"/>
      <c r="CT19" s="1217"/>
      <c r="CU19" s="1217"/>
      <c r="CV19" s="1217"/>
      <c r="CW19" s="1217"/>
      <c r="CX19" s="1217"/>
      <c r="CY19" s="1217"/>
      <c r="CZ19" s="1217"/>
      <c r="DA19" s="1217"/>
      <c r="DB19" s="1217"/>
      <c r="DC19" s="1217"/>
      <c r="DD19" s="1217"/>
      <c r="DE19" s="1217"/>
      <c r="DF19" s="1217"/>
      <c r="DG19" s="1217"/>
      <c r="DH19" s="1217"/>
      <c r="DI19" s="1217"/>
      <c r="DJ19" s="1217"/>
      <c r="DK19" s="1217"/>
      <c r="DL19" s="1217"/>
      <c r="DM19" s="1217"/>
      <c r="DN19" s="1217"/>
      <c r="DO19" s="1217"/>
      <c r="DP19" s="1217"/>
      <c r="DQ19" s="1217"/>
      <c r="DR19" s="1217"/>
      <c r="DS19" s="1217"/>
      <c r="DT19" s="1217"/>
      <c r="DU19" s="1217"/>
      <c r="DV19" s="1217"/>
      <c r="DW19" s="1217"/>
      <c r="DX19" s="1217"/>
      <c r="DY19" s="1217"/>
      <c r="DZ19" s="1217"/>
      <c r="EA19" s="1217"/>
      <c r="EB19" s="1217"/>
      <c r="EC19" s="1217"/>
      <c r="ED19" s="1217"/>
      <c r="EE19" s="1217"/>
      <c r="EF19" s="1217"/>
      <c r="EG19" s="1217"/>
      <c r="EH19" s="1217"/>
      <c r="EI19" s="1217"/>
      <c r="EJ19" s="1217"/>
      <c r="EK19" s="1217"/>
      <c r="EL19" s="1217"/>
      <c r="EM19" s="1217"/>
      <c r="EN19" s="1217"/>
      <c r="EO19" s="1217"/>
      <c r="EP19" s="1217"/>
      <c r="EQ19" s="1217"/>
      <c r="ER19" s="1217"/>
      <c r="ES19" s="1217"/>
      <c r="ET19" s="1217"/>
      <c r="EU19" s="1217"/>
      <c r="EV19" s="1217"/>
      <c r="EW19" s="1217"/>
      <c r="EX19" s="1217"/>
      <c r="EY19" s="1217"/>
      <c r="EZ19" s="1217"/>
      <c r="FA19" s="1217"/>
      <c r="FB19" s="1217"/>
      <c r="FC19" s="1217"/>
      <c r="FD19" s="1217"/>
      <c r="FE19" s="1217"/>
      <c r="FF19" s="1217"/>
      <c r="FG19" s="1217"/>
      <c r="FH19" s="1217"/>
      <c r="FI19" s="1217"/>
      <c r="FJ19" s="1217"/>
      <c r="FK19" s="1217"/>
      <c r="FL19" s="1217"/>
      <c r="FM19" s="1217"/>
      <c r="FN19" s="1217"/>
      <c r="FO19" s="1217"/>
      <c r="FP19" s="1217"/>
      <c r="FQ19" s="1217"/>
      <c r="FR19" s="1217"/>
      <c r="FS19" s="1217"/>
      <c r="FT19" s="1217"/>
      <c r="FU19" s="1217"/>
      <c r="FV19" s="1217"/>
      <c r="FW19" s="1217"/>
      <c r="FX19" s="1217"/>
      <c r="FY19" s="1217"/>
      <c r="FZ19" s="1217"/>
      <c r="GA19" s="1217"/>
      <c r="GB19" s="1217"/>
      <c r="GC19" s="1217"/>
      <c r="GD19" s="1217"/>
      <c r="GE19" s="1217"/>
      <c r="GF19" s="1217"/>
      <c r="GG19" s="1217"/>
      <c r="GH19" s="1217"/>
      <c r="GI19" s="1217"/>
      <c r="GJ19" s="1217"/>
      <c r="GK19" s="1217"/>
      <c r="GL19" s="1217"/>
      <c r="GM19" s="1217"/>
      <c r="GN19" s="1217"/>
      <c r="GO19" s="1217"/>
      <c r="GP19" s="1217"/>
      <c r="GQ19" s="1217"/>
      <c r="GR19" s="1217"/>
      <c r="GS19" s="1217"/>
      <c r="GT19" s="1217"/>
      <c r="GU19" s="1217"/>
      <c r="GV19" s="1217"/>
      <c r="GW19" s="1217"/>
      <c r="GX19" s="1217"/>
      <c r="GY19" s="1217"/>
      <c r="GZ19" s="1217"/>
      <c r="HA19" s="1217"/>
      <c r="HB19" s="1217"/>
      <c r="HC19" s="1217"/>
      <c r="HD19" s="1217"/>
      <c r="HE19" s="1217"/>
      <c r="HF19" s="1217"/>
      <c r="HG19" s="1217"/>
      <c r="HH19" s="1217"/>
      <c r="HI19" s="1217"/>
      <c r="HJ19" s="1217"/>
      <c r="HK19" s="1217"/>
      <c r="HL19" s="1217"/>
      <c r="HM19" s="1217"/>
      <c r="HN19" s="1217"/>
      <c r="HO19" s="1217"/>
      <c r="HP19" s="1217"/>
      <c r="HQ19" s="1217"/>
      <c r="HR19" s="1217"/>
      <c r="HS19" s="1217"/>
      <c r="HT19" s="1217"/>
      <c r="HU19" s="1217"/>
      <c r="HV19" s="1217"/>
      <c r="HW19" s="1217"/>
      <c r="HX19" s="1217"/>
      <c r="HY19" s="1217"/>
      <c r="HZ19" s="1217"/>
      <c r="IA19" s="1217"/>
      <c r="IB19" s="1217"/>
      <c r="IC19" s="1217"/>
      <c r="ID19" s="1217"/>
      <c r="IE19" s="1217"/>
      <c r="IF19" s="1217"/>
      <c r="IG19" s="1217"/>
      <c r="IH19" s="1217"/>
      <c r="II19" s="1217"/>
      <c r="IJ19" s="1217"/>
      <c r="IK19" s="1217"/>
      <c r="IL19" s="1217"/>
      <c r="IM19" s="1217"/>
      <c r="IN19" s="1217"/>
      <c r="IO19" s="1217"/>
      <c r="IP19" s="1217"/>
      <c r="IQ19" s="1217"/>
      <c r="IR19" s="1217"/>
    </row>
    <row r="20" spans="1:252">
      <c r="A20" s="1208">
        <v>15</v>
      </c>
      <c r="B20" s="1209" t="s">
        <v>34</v>
      </c>
      <c r="C20" s="1210">
        <v>2011</v>
      </c>
      <c r="D20" s="1211">
        <v>23.2</v>
      </c>
      <c r="E20" s="1211"/>
      <c r="F20" s="1211"/>
      <c r="G20" s="1211"/>
      <c r="H20" s="1212">
        <v>23.2</v>
      </c>
      <c r="I20" s="1212"/>
      <c r="J20" s="1217"/>
      <c r="K20" s="1217"/>
      <c r="L20" s="1217"/>
      <c r="M20" s="1217"/>
      <c r="N20" s="1217"/>
      <c r="O20" s="1217"/>
      <c r="P20" s="1217"/>
      <c r="Q20" s="1217"/>
      <c r="R20" s="1217"/>
      <c r="S20" s="1217"/>
      <c r="T20" s="1217"/>
      <c r="U20" s="1217"/>
      <c r="V20" s="1217"/>
      <c r="W20" s="1217"/>
      <c r="X20" s="1217"/>
      <c r="Y20" s="1217"/>
      <c r="Z20" s="1217"/>
      <c r="AA20" s="1217"/>
      <c r="AB20" s="1217"/>
      <c r="AC20" s="1217"/>
      <c r="AD20" s="1217"/>
      <c r="AE20" s="1217"/>
      <c r="AF20" s="1217"/>
      <c r="AG20" s="1217"/>
      <c r="AH20" s="1217"/>
      <c r="AI20" s="1217"/>
      <c r="AJ20" s="1217"/>
      <c r="AK20" s="1217"/>
      <c r="AL20" s="1217"/>
      <c r="AM20" s="1217"/>
      <c r="AN20" s="1217"/>
      <c r="AO20" s="1217"/>
      <c r="AP20" s="1217"/>
      <c r="AQ20" s="1217"/>
      <c r="AR20" s="1217"/>
      <c r="AS20" s="1217"/>
      <c r="AT20" s="1217"/>
      <c r="AU20" s="1217"/>
      <c r="AV20" s="1217"/>
      <c r="AW20" s="1217"/>
      <c r="AX20" s="1217"/>
      <c r="AY20" s="1217"/>
      <c r="AZ20" s="1217"/>
      <c r="BA20" s="1217"/>
      <c r="BB20" s="1217"/>
      <c r="BC20" s="1217"/>
      <c r="BD20" s="1217"/>
      <c r="BE20" s="1217"/>
      <c r="BF20" s="1217"/>
      <c r="BG20" s="1217"/>
      <c r="BH20" s="1217"/>
      <c r="BI20" s="1217"/>
      <c r="BJ20" s="1217"/>
      <c r="BK20" s="1217"/>
      <c r="BL20" s="1217"/>
      <c r="BM20" s="1217"/>
      <c r="BN20" s="1217"/>
      <c r="BO20" s="1217"/>
      <c r="BP20" s="1217"/>
      <c r="BQ20" s="1217"/>
      <c r="BR20" s="1217"/>
      <c r="BS20" s="1217"/>
      <c r="BT20" s="1217"/>
      <c r="BU20" s="1217"/>
      <c r="BV20" s="1217"/>
      <c r="BW20" s="1217"/>
      <c r="BX20" s="1217"/>
      <c r="BY20" s="1217"/>
      <c r="BZ20" s="1217"/>
      <c r="CA20" s="1217"/>
      <c r="CB20" s="1217"/>
      <c r="CC20" s="1217"/>
      <c r="CD20" s="1217"/>
      <c r="CE20" s="1217"/>
      <c r="CF20" s="1217"/>
      <c r="CG20" s="1217"/>
      <c r="CH20" s="1217"/>
      <c r="CI20" s="1217"/>
      <c r="CJ20" s="1217"/>
      <c r="CK20" s="1217"/>
      <c r="CL20" s="1217"/>
      <c r="CM20" s="1217"/>
      <c r="CN20" s="1217"/>
      <c r="CO20" s="1217"/>
      <c r="CP20" s="1217"/>
      <c r="CQ20" s="1217"/>
      <c r="CR20" s="1217"/>
      <c r="CS20" s="1217"/>
      <c r="CT20" s="1217"/>
      <c r="CU20" s="1217"/>
      <c r="CV20" s="1217"/>
      <c r="CW20" s="1217"/>
      <c r="CX20" s="1217"/>
      <c r="CY20" s="1217"/>
      <c r="CZ20" s="1217"/>
      <c r="DA20" s="1217"/>
      <c r="DB20" s="1217"/>
      <c r="DC20" s="1217"/>
      <c r="DD20" s="1217"/>
      <c r="DE20" s="1217"/>
      <c r="DF20" s="1217"/>
      <c r="DG20" s="1217"/>
      <c r="DH20" s="1217"/>
      <c r="DI20" s="1217"/>
      <c r="DJ20" s="1217"/>
      <c r="DK20" s="1217"/>
      <c r="DL20" s="1217"/>
      <c r="DM20" s="1217"/>
      <c r="DN20" s="1217"/>
      <c r="DO20" s="1217"/>
      <c r="DP20" s="1217"/>
      <c r="DQ20" s="1217"/>
      <c r="DR20" s="1217"/>
      <c r="DS20" s="1217"/>
      <c r="DT20" s="1217"/>
      <c r="DU20" s="1217"/>
      <c r="DV20" s="1217"/>
      <c r="DW20" s="1217"/>
      <c r="DX20" s="1217"/>
      <c r="DY20" s="1217"/>
      <c r="DZ20" s="1217"/>
      <c r="EA20" s="1217"/>
      <c r="EB20" s="1217"/>
      <c r="EC20" s="1217"/>
      <c r="ED20" s="1217"/>
      <c r="EE20" s="1217"/>
      <c r="EF20" s="1217"/>
      <c r="EG20" s="1217"/>
      <c r="EH20" s="1217"/>
      <c r="EI20" s="1217"/>
      <c r="EJ20" s="1217"/>
      <c r="EK20" s="1217"/>
      <c r="EL20" s="1217"/>
      <c r="EM20" s="1217"/>
      <c r="EN20" s="1217"/>
      <c r="EO20" s="1217"/>
      <c r="EP20" s="1217"/>
      <c r="EQ20" s="1217"/>
      <c r="ER20" s="1217"/>
      <c r="ES20" s="1217"/>
      <c r="ET20" s="1217"/>
      <c r="EU20" s="1217"/>
      <c r="EV20" s="1217"/>
      <c r="EW20" s="1217"/>
      <c r="EX20" s="1217"/>
      <c r="EY20" s="1217"/>
      <c r="EZ20" s="1217"/>
      <c r="FA20" s="1217"/>
      <c r="FB20" s="1217"/>
      <c r="FC20" s="1217"/>
      <c r="FD20" s="1217"/>
      <c r="FE20" s="1217"/>
      <c r="FF20" s="1217"/>
      <c r="FG20" s="1217"/>
      <c r="FH20" s="1217"/>
      <c r="FI20" s="1217"/>
      <c r="FJ20" s="1217"/>
      <c r="FK20" s="1217"/>
      <c r="FL20" s="1217"/>
      <c r="FM20" s="1217"/>
      <c r="FN20" s="1217"/>
      <c r="FO20" s="1217"/>
      <c r="FP20" s="1217"/>
      <c r="FQ20" s="1217"/>
      <c r="FR20" s="1217"/>
      <c r="FS20" s="1217"/>
      <c r="FT20" s="1217"/>
      <c r="FU20" s="1217"/>
      <c r="FV20" s="1217"/>
      <c r="FW20" s="1217"/>
      <c r="FX20" s="1217"/>
      <c r="FY20" s="1217"/>
      <c r="FZ20" s="1217"/>
      <c r="GA20" s="1217"/>
      <c r="GB20" s="1217"/>
      <c r="GC20" s="1217"/>
      <c r="GD20" s="1217"/>
      <c r="GE20" s="1217"/>
      <c r="GF20" s="1217"/>
      <c r="GG20" s="1217"/>
      <c r="GH20" s="1217"/>
      <c r="GI20" s="1217"/>
      <c r="GJ20" s="1217"/>
      <c r="GK20" s="1217"/>
      <c r="GL20" s="1217"/>
      <c r="GM20" s="1217"/>
      <c r="GN20" s="1217"/>
      <c r="GO20" s="1217"/>
      <c r="GP20" s="1217"/>
      <c r="GQ20" s="1217"/>
      <c r="GR20" s="1217"/>
      <c r="GS20" s="1217"/>
      <c r="GT20" s="1217"/>
      <c r="GU20" s="1217"/>
      <c r="GV20" s="1217"/>
      <c r="GW20" s="1217"/>
      <c r="GX20" s="1217"/>
      <c r="GY20" s="1217"/>
      <c r="GZ20" s="1217"/>
      <c r="HA20" s="1217"/>
      <c r="HB20" s="1217"/>
      <c r="HC20" s="1217"/>
      <c r="HD20" s="1217"/>
      <c r="HE20" s="1217"/>
      <c r="HF20" s="1217"/>
      <c r="HG20" s="1217"/>
      <c r="HH20" s="1217"/>
      <c r="HI20" s="1217"/>
      <c r="HJ20" s="1217"/>
      <c r="HK20" s="1217"/>
      <c r="HL20" s="1217"/>
      <c r="HM20" s="1217"/>
      <c r="HN20" s="1217"/>
      <c r="HO20" s="1217"/>
      <c r="HP20" s="1217"/>
      <c r="HQ20" s="1217"/>
      <c r="HR20" s="1217"/>
      <c r="HS20" s="1217"/>
      <c r="HT20" s="1217"/>
      <c r="HU20" s="1217"/>
      <c r="HV20" s="1217"/>
      <c r="HW20" s="1217"/>
      <c r="HX20" s="1217"/>
      <c r="HY20" s="1217"/>
      <c r="HZ20" s="1217"/>
      <c r="IA20" s="1217"/>
      <c r="IB20" s="1217"/>
      <c r="IC20" s="1217"/>
      <c r="ID20" s="1217"/>
      <c r="IE20" s="1217"/>
      <c r="IF20" s="1217"/>
      <c r="IG20" s="1217"/>
      <c r="IH20" s="1217"/>
      <c r="II20" s="1217"/>
      <c r="IJ20" s="1217"/>
      <c r="IK20" s="1217"/>
      <c r="IL20" s="1217"/>
      <c r="IM20" s="1217"/>
      <c r="IN20" s="1217"/>
      <c r="IO20" s="1217"/>
      <c r="IP20" s="1217"/>
      <c r="IQ20" s="1217"/>
      <c r="IR20" s="1217"/>
    </row>
    <row r="21" spans="1:252">
      <c r="A21" s="1208">
        <v>16</v>
      </c>
      <c r="B21" s="1209" t="s">
        <v>35</v>
      </c>
      <c r="C21" s="1210">
        <v>2011</v>
      </c>
      <c r="D21" s="1211">
        <v>23.2</v>
      </c>
      <c r="E21" s="1211"/>
      <c r="F21" s="1211"/>
      <c r="G21" s="1211"/>
      <c r="H21" s="1212">
        <v>23.2</v>
      </c>
      <c r="I21" s="1212"/>
      <c r="J21" s="1217"/>
      <c r="K21" s="1217"/>
      <c r="L21" s="1217"/>
      <c r="M21" s="1217"/>
      <c r="N21" s="1217"/>
      <c r="O21" s="1217"/>
      <c r="P21" s="1217"/>
      <c r="Q21" s="1217"/>
      <c r="R21" s="1217"/>
      <c r="S21" s="1217"/>
      <c r="T21" s="1217"/>
      <c r="U21" s="1217"/>
      <c r="V21" s="1217"/>
      <c r="W21" s="1217"/>
      <c r="X21" s="1217"/>
      <c r="Y21" s="1217"/>
      <c r="Z21" s="1217"/>
      <c r="AA21" s="1217"/>
      <c r="AB21" s="1217"/>
      <c r="AC21" s="1217"/>
      <c r="AD21" s="1217"/>
      <c r="AE21" s="1217"/>
      <c r="AF21" s="1217"/>
      <c r="AG21" s="1217"/>
      <c r="AH21" s="1217"/>
      <c r="AI21" s="1217"/>
      <c r="AJ21" s="1217"/>
      <c r="AK21" s="1217"/>
      <c r="AL21" s="1217"/>
      <c r="AM21" s="1217"/>
      <c r="AN21" s="1217"/>
      <c r="AO21" s="1217"/>
      <c r="AP21" s="1217"/>
      <c r="AQ21" s="1217"/>
      <c r="AR21" s="1217"/>
      <c r="AS21" s="1217"/>
      <c r="AT21" s="1217"/>
      <c r="AU21" s="1217"/>
      <c r="AV21" s="1217"/>
      <c r="AW21" s="1217"/>
      <c r="AX21" s="1217"/>
      <c r="AY21" s="1217"/>
      <c r="AZ21" s="1217"/>
      <c r="BA21" s="1217"/>
      <c r="BB21" s="1217"/>
      <c r="BC21" s="1217"/>
      <c r="BD21" s="1217"/>
      <c r="BE21" s="1217"/>
      <c r="BF21" s="1217"/>
      <c r="BG21" s="1217"/>
      <c r="BH21" s="1217"/>
      <c r="BI21" s="1217"/>
      <c r="BJ21" s="1217"/>
      <c r="BK21" s="1217"/>
      <c r="BL21" s="1217"/>
      <c r="BM21" s="1217"/>
      <c r="BN21" s="1217"/>
      <c r="BO21" s="1217"/>
      <c r="BP21" s="1217"/>
      <c r="BQ21" s="1217"/>
      <c r="BR21" s="1217"/>
      <c r="BS21" s="1217"/>
      <c r="BT21" s="1217"/>
      <c r="BU21" s="1217"/>
      <c r="BV21" s="1217"/>
      <c r="BW21" s="1217"/>
      <c r="BX21" s="1217"/>
      <c r="BY21" s="1217"/>
      <c r="BZ21" s="1217"/>
      <c r="CA21" s="1217"/>
      <c r="CB21" s="1217"/>
      <c r="CC21" s="1217"/>
      <c r="CD21" s="1217"/>
      <c r="CE21" s="1217"/>
      <c r="CF21" s="1217"/>
      <c r="CG21" s="1217"/>
      <c r="CH21" s="1217"/>
      <c r="CI21" s="1217"/>
      <c r="CJ21" s="1217"/>
      <c r="CK21" s="1217"/>
      <c r="CL21" s="1217"/>
      <c r="CM21" s="1217"/>
      <c r="CN21" s="1217"/>
      <c r="CO21" s="1217"/>
      <c r="CP21" s="1217"/>
      <c r="CQ21" s="1217"/>
      <c r="CR21" s="1217"/>
      <c r="CS21" s="1217"/>
      <c r="CT21" s="1217"/>
      <c r="CU21" s="1217"/>
      <c r="CV21" s="1217"/>
      <c r="CW21" s="1217"/>
      <c r="CX21" s="1217"/>
      <c r="CY21" s="1217"/>
      <c r="CZ21" s="1217"/>
      <c r="DA21" s="1217"/>
      <c r="DB21" s="1217"/>
      <c r="DC21" s="1217"/>
      <c r="DD21" s="1217"/>
      <c r="DE21" s="1217"/>
      <c r="DF21" s="1217"/>
      <c r="DG21" s="1217"/>
      <c r="DH21" s="1217"/>
      <c r="DI21" s="1217"/>
      <c r="DJ21" s="1217"/>
      <c r="DK21" s="1217"/>
      <c r="DL21" s="1217"/>
      <c r="DM21" s="1217"/>
      <c r="DN21" s="1217"/>
      <c r="DO21" s="1217"/>
      <c r="DP21" s="1217"/>
      <c r="DQ21" s="1217"/>
      <c r="DR21" s="1217"/>
      <c r="DS21" s="1217"/>
      <c r="DT21" s="1217"/>
      <c r="DU21" s="1217"/>
      <c r="DV21" s="1217"/>
      <c r="DW21" s="1217"/>
      <c r="DX21" s="1217"/>
      <c r="DY21" s="1217"/>
      <c r="DZ21" s="1217"/>
      <c r="EA21" s="1217"/>
      <c r="EB21" s="1217"/>
      <c r="EC21" s="1217"/>
      <c r="ED21" s="1217"/>
      <c r="EE21" s="1217"/>
      <c r="EF21" s="1217"/>
      <c r="EG21" s="1217"/>
      <c r="EH21" s="1217"/>
      <c r="EI21" s="1217"/>
      <c r="EJ21" s="1217"/>
      <c r="EK21" s="1217"/>
      <c r="EL21" s="1217"/>
      <c r="EM21" s="1217"/>
      <c r="EN21" s="1217"/>
      <c r="EO21" s="1217"/>
      <c r="EP21" s="1217"/>
      <c r="EQ21" s="1217"/>
      <c r="ER21" s="1217"/>
      <c r="ES21" s="1217"/>
      <c r="ET21" s="1217"/>
      <c r="EU21" s="1217"/>
      <c r="EV21" s="1217"/>
      <c r="EW21" s="1217"/>
      <c r="EX21" s="1217"/>
      <c r="EY21" s="1217"/>
      <c r="EZ21" s="1217"/>
      <c r="FA21" s="1217"/>
      <c r="FB21" s="1217"/>
      <c r="FC21" s="1217"/>
      <c r="FD21" s="1217"/>
      <c r="FE21" s="1217"/>
      <c r="FF21" s="1217"/>
      <c r="FG21" s="1217"/>
      <c r="FH21" s="1217"/>
      <c r="FI21" s="1217"/>
      <c r="FJ21" s="1217"/>
      <c r="FK21" s="1217"/>
      <c r="FL21" s="1217"/>
      <c r="FM21" s="1217"/>
      <c r="FN21" s="1217"/>
      <c r="FO21" s="1217"/>
      <c r="FP21" s="1217"/>
      <c r="FQ21" s="1217"/>
      <c r="FR21" s="1217"/>
      <c r="FS21" s="1217"/>
      <c r="FT21" s="1217"/>
      <c r="FU21" s="1217"/>
      <c r="FV21" s="1217"/>
      <c r="FW21" s="1217"/>
      <c r="FX21" s="1217"/>
      <c r="FY21" s="1217"/>
      <c r="FZ21" s="1217"/>
      <c r="GA21" s="1217"/>
      <c r="GB21" s="1217"/>
      <c r="GC21" s="1217"/>
      <c r="GD21" s="1217"/>
      <c r="GE21" s="1217"/>
      <c r="GF21" s="1217"/>
      <c r="GG21" s="1217"/>
      <c r="GH21" s="1217"/>
      <c r="GI21" s="1217"/>
      <c r="GJ21" s="1217"/>
      <c r="GK21" s="1217"/>
      <c r="GL21" s="1217"/>
      <c r="GM21" s="1217"/>
      <c r="GN21" s="1217"/>
      <c r="GO21" s="1217"/>
      <c r="GP21" s="1217"/>
      <c r="GQ21" s="1217"/>
      <c r="GR21" s="1217"/>
      <c r="GS21" s="1217"/>
      <c r="GT21" s="1217"/>
      <c r="GU21" s="1217"/>
      <c r="GV21" s="1217"/>
      <c r="GW21" s="1217"/>
      <c r="GX21" s="1217"/>
      <c r="GY21" s="1217"/>
      <c r="GZ21" s="1217"/>
      <c r="HA21" s="1217"/>
      <c r="HB21" s="1217"/>
      <c r="HC21" s="1217"/>
      <c r="HD21" s="1217"/>
      <c r="HE21" s="1217"/>
      <c r="HF21" s="1217"/>
      <c r="HG21" s="1217"/>
      <c r="HH21" s="1217"/>
      <c r="HI21" s="1217"/>
      <c r="HJ21" s="1217"/>
      <c r="HK21" s="1217"/>
      <c r="HL21" s="1217"/>
      <c r="HM21" s="1217"/>
      <c r="HN21" s="1217"/>
      <c r="HO21" s="1217"/>
      <c r="HP21" s="1217"/>
      <c r="HQ21" s="1217"/>
      <c r="HR21" s="1217"/>
      <c r="HS21" s="1217"/>
      <c r="HT21" s="1217"/>
      <c r="HU21" s="1217"/>
      <c r="HV21" s="1217"/>
      <c r="HW21" s="1217"/>
      <c r="HX21" s="1217"/>
      <c r="HY21" s="1217"/>
      <c r="HZ21" s="1217"/>
      <c r="IA21" s="1217"/>
      <c r="IB21" s="1217"/>
      <c r="IC21" s="1217"/>
      <c r="ID21" s="1217"/>
      <c r="IE21" s="1217"/>
      <c r="IF21" s="1217"/>
      <c r="IG21" s="1217"/>
      <c r="IH21" s="1217"/>
      <c r="II21" s="1217"/>
      <c r="IJ21" s="1217"/>
      <c r="IK21" s="1217"/>
      <c r="IL21" s="1217"/>
      <c r="IM21" s="1217"/>
      <c r="IN21" s="1217"/>
      <c r="IO21" s="1217"/>
      <c r="IP21" s="1217"/>
      <c r="IQ21" s="1217"/>
      <c r="IR21" s="1217"/>
    </row>
    <row r="22" spans="1:252">
      <c r="A22" s="1208">
        <v>17</v>
      </c>
      <c r="B22" s="1209" t="s">
        <v>36</v>
      </c>
      <c r="C22" s="1210">
        <v>2011</v>
      </c>
      <c r="D22" s="1211">
        <v>23.3</v>
      </c>
      <c r="E22" s="1211"/>
      <c r="F22" s="1211"/>
      <c r="G22" s="1211"/>
      <c r="H22" s="1212">
        <v>23.3</v>
      </c>
      <c r="I22" s="1212"/>
      <c r="J22" s="1217"/>
      <c r="K22" s="1217"/>
      <c r="L22" s="1217"/>
      <c r="M22" s="1217"/>
      <c r="N22" s="1217"/>
      <c r="O22" s="1217"/>
      <c r="P22" s="1217"/>
      <c r="Q22" s="1217"/>
      <c r="R22" s="1217"/>
      <c r="S22" s="1217"/>
      <c r="T22" s="1217"/>
      <c r="U22" s="1217"/>
      <c r="V22" s="1217"/>
      <c r="W22" s="1217"/>
      <c r="X22" s="1217"/>
      <c r="Y22" s="1217"/>
      <c r="Z22" s="1217"/>
      <c r="AA22" s="1217"/>
      <c r="AB22" s="1217"/>
      <c r="AC22" s="1217"/>
      <c r="AD22" s="1217"/>
      <c r="AE22" s="1217"/>
      <c r="AF22" s="1217"/>
      <c r="AG22" s="1217"/>
      <c r="AH22" s="1217"/>
      <c r="AI22" s="1217"/>
      <c r="AJ22" s="1217"/>
      <c r="AK22" s="1217"/>
      <c r="AL22" s="1217"/>
      <c r="AM22" s="1217"/>
      <c r="AN22" s="1217"/>
      <c r="AO22" s="1217"/>
      <c r="AP22" s="1217"/>
      <c r="AQ22" s="1217"/>
      <c r="AR22" s="1217"/>
      <c r="AS22" s="1217"/>
      <c r="AT22" s="1217"/>
      <c r="AU22" s="1217"/>
      <c r="AV22" s="1217"/>
      <c r="AW22" s="1217"/>
      <c r="AX22" s="1217"/>
      <c r="AY22" s="1217"/>
      <c r="AZ22" s="1217"/>
      <c r="BA22" s="1217"/>
      <c r="BB22" s="1217"/>
      <c r="BC22" s="1217"/>
      <c r="BD22" s="1217"/>
      <c r="BE22" s="1217"/>
      <c r="BF22" s="1217"/>
      <c r="BG22" s="1217"/>
      <c r="BH22" s="1217"/>
      <c r="BI22" s="1217"/>
      <c r="BJ22" s="1217"/>
      <c r="BK22" s="1217"/>
      <c r="BL22" s="1217"/>
      <c r="BM22" s="1217"/>
      <c r="BN22" s="1217"/>
      <c r="BO22" s="1217"/>
      <c r="BP22" s="1217"/>
      <c r="BQ22" s="1217"/>
      <c r="BR22" s="1217"/>
      <c r="BS22" s="1217"/>
      <c r="BT22" s="1217"/>
      <c r="BU22" s="1217"/>
      <c r="BV22" s="1217"/>
      <c r="BW22" s="1217"/>
      <c r="BX22" s="1217"/>
      <c r="BY22" s="1217"/>
      <c r="BZ22" s="1217"/>
      <c r="CA22" s="1217"/>
      <c r="CB22" s="1217"/>
      <c r="CC22" s="1217"/>
      <c r="CD22" s="1217"/>
      <c r="CE22" s="1217"/>
      <c r="CF22" s="1217"/>
      <c r="CG22" s="1217"/>
      <c r="CH22" s="1217"/>
      <c r="CI22" s="1217"/>
      <c r="CJ22" s="1217"/>
      <c r="CK22" s="1217"/>
      <c r="CL22" s="1217"/>
      <c r="CM22" s="1217"/>
      <c r="CN22" s="1217"/>
      <c r="CO22" s="1217"/>
      <c r="CP22" s="1217"/>
      <c r="CQ22" s="1217"/>
      <c r="CR22" s="1217"/>
      <c r="CS22" s="1217"/>
      <c r="CT22" s="1217"/>
      <c r="CU22" s="1217"/>
      <c r="CV22" s="1217"/>
      <c r="CW22" s="1217"/>
      <c r="CX22" s="1217"/>
      <c r="CY22" s="1217"/>
      <c r="CZ22" s="1217"/>
      <c r="DA22" s="1217"/>
      <c r="DB22" s="1217"/>
      <c r="DC22" s="1217"/>
      <c r="DD22" s="1217"/>
      <c r="DE22" s="1217"/>
      <c r="DF22" s="1217"/>
      <c r="DG22" s="1217"/>
      <c r="DH22" s="1217"/>
      <c r="DI22" s="1217"/>
      <c r="DJ22" s="1217"/>
      <c r="DK22" s="1217"/>
      <c r="DL22" s="1217"/>
      <c r="DM22" s="1217"/>
      <c r="DN22" s="1217"/>
      <c r="DO22" s="1217"/>
      <c r="DP22" s="1217"/>
      <c r="DQ22" s="1217"/>
      <c r="DR22" s="1217"/>
      <c r="DS22" s="1217"/>
      <c r="DT22" s="1217"/>
      <c r="DU22" s="1217"/>
      <c r="DV22" s="1217"/>
      <c r="DW22" s="1217"/>
      <c r="DX22" s="1217"/>
      <c r="DY22" s="1217"/>
      <c r="DZ22" s="1217"/>
      <c r="EA22" s="1217"/>
      <c r="EB22" s="1217"/>
      <c r="EC22" s="1217"/>
      <c r="ED22" s="1217"/>
      <c r="EE22" s="1217"/>
      <c r="EF22" s="1217"/>
      <c r="EG22" s="1217"/>
      <c r="EH22" s="1217"/>
      <c r="EI22" s="1217"/>
      <c r="EJ22" s="1217"/>
      <c r="EK22" s="1217"/>
      <c r="EL22" s="1217"/>
      <c r="EM22" s="1217"/>
      <c r="EN22" s="1217"/>
      <c r="EO22" s="1217"/>
      <c r="EP22" s="1217"/>
      <c r="EQ22" s="1217"/>
      <c r="ER22" s="1217"/>
      <c r="ES22" s="1217"/>
      <c r="ET22" s="1217"/>
      <c r="EU22" s="1217"/>
      <c r="EV22" s="1217"/>
      <c r="EW22" s="1217"/>
      <c r="EX22" s="1217"/>
      <c r="EY22" s="1217"/>
      <c r="EZ22" s="1217"/>
      <c r="FA22" s="1217"/>
      <c r="FB22" s="1217"/>
      <c r="FC22" s="1217"/>
      <c r="FD22" s="1217"/>
      <c r="FE22" s="1217"/>
      <c r="FF22" s="1217"/>
      <c r="FG22" s="1217"/>
      <c r="FH22" s="1217"/>
      <c r="FI22" s="1217"/>
      <c r="FJ22" s="1217"/>
      <c r="FK22" s="1217"/>
      <c r="FL22" s="1217"/>
      <c r="FM22" s="1217"/>
      <c r="FN22" s="1217"/>
      <c r="FO22" s="1217"/>
      <c r="FP22" s="1217"/>
      <c r="FQ22" s="1217"/>
      <c r="FR22" s="1217"/>
      <c r="FS22" s="1217"/>
      <c r="FT22" s="1217"/>
      <c r="FU22" s="1217"/>
      <c r="FV22" s="1217"/>
      <c r="FW22" s="1217"/>
      <c r="FX22" s="1217"/>
      <c r="FY22" s="1217"/>
      <c r="FZ22" s="1217"/>
      <c r="GA22" s="1217"/>
      <c r="GB22" s="1217"/>
      <c r="GC22" s="1217"/>
      <c r="GD22" s="1217"/>
      <c r="GE22" s="1217"/>
      <c r="GF22" s="1217"/>
      <c r="GG22" s="1217"/>
      <c r="GH22" s="1217"/>
      <c r="GI22" s="1217"/>
      <c r="GJ22" s="1217"/>
      <c r="GK22" s="1217"/>
      <c r="GL22" s="1217"/>
      <c r="GM22" s="1217"/>
      <c r="GN22" s="1217"/>
      <c r="GO22" s="1217"/>
      <c r="GP22" s="1217"/>
      <c r="GQ22" s="1217"/>
      <c r="GR22" s="1217"/>
      <c r="GS22" s="1217"/>
      <c r="GT22" s="1217"/>
      <c r="GU22" s="1217"/>
      <c r="GV22" s="1217"/>
      <c r="GW22" s="1217"/>
      <c r="GX22" s="1217"/>
      <c r="GY22" s="1217"/>
      <c r="GZ22" s="1217"/>
      <c r="HA22" s="1217"/>
      <c r="HB22" s="1217"/>
      <c r="HC22" s="1217"/>
      <c r="HD22" s="1217"/>
      <c r="HE22" s="1217"/>
      <c r="HF22" s="1217"/>
      <c r="HG22" s="1217"/>
      <c r="HH22" s="1217"/>
      <c r="HI22" s="1217"/>
      <c r="HJ22" s="1217"/>
      <c r="HK22" s="1217"/>
      <c r="HL22" s="1217"/>
      <c r="HM22" s="1217"/>
      <c r="HN22" s="1217"/>
      <c r="HO22" s="1217"/>
      <c r="HP22" s="1217"/>
      <c r="HQ22" s="1217"/>
      <c r="HR22" s="1217"/>
      <c r="HS22" s="1217"/>
      <c r="HT22" s="1217"/>
      <c r="HU22" s="1217"/>
      <c r="HV22" s="1217"/>
      <c r="HW22" s="1217"/>
      <c r="HX22" s="1217"/>
      <c r="HY22" s="1217"/>
      <c r="HZ22" s="1217"/>
      <c r="IA22" s="1217"/>
      <c r="IB22" s="1217"/>
      <c r="IC22" s="1217"/>
      <c r="ID22" s="1217"/>
      <c r="IE22" s="1217"/>
      <c r="IF22" s="1217"/>
      <c r="IG22" s="1217"/>
      <c r="IH22" s="1217"/>
      <c r="II22" s="1217"/>
      <c r="IJ22" s="1217"/>
      <c r="IK22" s="1217"/>
      <c r="IL22" s="1217"/>
      <c r="IM22" s="1217"/>
      <c r="IN22" s="1217"/>
      <c r="IO22" s="1217"/>
      <c r="IP22" s="1217"/>
      <c r="IQ22" s="1217"/>
      <c r="IR22" s="1217"/>
    </row>
    <row r="23" spans="1:252">
      <c r="A23" s="1208">
        <v>18</v>
      </c>
      <c r="B23" s="1209" t="s">
        <v>37</v>
      </c>
      <c r="C23" s="1210">
        <v>2011</v>
      </c>
      <c r="D23" s="1211">
        <v>23.4</v>
      </c>
      <c r="E23" s="1211"/>
      <c r="F23" s="1211"/>
      <c r="G23" s="1211"/>
      <c r="H23" s="1212">
        <v>23.4</v>
      </c>
      <c r="I23" s="1212"/>
      <c r="J23" s="1217"/>
      <c r="K23" s="1217"/>
      <c r="L23" s="1217"/>
      <c r="M23" s="1217"/>
      <c r="N23" s="1217"/>
      <c r="O23" s="1217"/>
      <c r="P23" s="1217"/>
      <c r="Q23" s="1217"/>
      <c r="R23" s="1217"/>
      <c r="S23" s="1217"/>
      <c r="T23" s="1217"/>
      <c r="U23" s="1217"/>
      <c r="V23" s="1217"/>
      <c r="W23" s="1217"/>
      <c r="X23" s="1217"/>
      <c r="Y23" s="1217"/>
      <c r="Z23" s="1217"/>
      <c r="AA23" s="1217"/>
      <c r="AB23" s="1217"/>
      <c r="AC23" s="1217"/>
      <c r="AD23" s="1217"/>
      <c r="AE23" s="1217"/>
      <c r="AF23" s="1217"/>
      <c r="AG23" s="1217"/>
      <c r="AH23" s="1217"/>
      <c r="AI23" s="1217"/>
      <c r="AJ23" s="1217"/>
      <c r="AK23" s="1217"/>
      <c r="AL23" s="1217"/>
      <c r="AM23" s="1217"/>
      <c r="AN23" s="1217"/>
      <c r="AO23" s="1217"/>
      <c r="AP23" s="1217"/>
      <c r="AQ23" s="1217"/>
      <c r="AR23" s="1217"/>
      <c r="AS23" s="1217"/>
      <c r="AT23" s="1217"/>
      <c r="AU23" s="1217"/>
      <c r="AV23" s="1217"/>
      <c r="AW23" s="1217"/>
      <c r="AX23" s="1217"/>
      <c r="AY23" s="1217"/>
      <c r="AZ23" s="1217"/>
      <c r="BA23" s="1217"/>
      <c r="BB23" s="1217"/>
      <c r="BC23" s="1217"/>
      <c r="BD23" s="1217"/>
      <c r="BE23" s="1217"/>
      <c r="BF23" s="1217"/>
      <c r="BG23" s="1217"/>
      <c r="BH23" s="1217"/>
      <c r="BI23" s="1217"/>
      <c r="BJ23" s="1217"/>
      <c r="BK23" s="1217"/>
      <c r="BL23" s="1217"/>
      <c r="BM23" s="1217"/>
      <c r="BN23" s="1217"/>
      <c r="BO23" s="1217"/>
      <c r="BP23" s="1217"/>
      <c r="BQ23" s="1217"/>
      <c r="BR23" s="1217"/>
      <c r="BS23" s="1217"/>
      <c r="BT23" s="1217"/>
      <c r="BU23" s="1217"/>
      <c r="BV23" s="1217"/>
      <c r="BW23" s="1217"/>
      <c r="BX23" s="1217"/>
      <c r="BY23" s="1217"/>
      <c r="BZ23" s="1217"/>
      <c r="CA23" s="1217"/>
      <c r="CB23" s="1217"/>
      <c r="CC23" s="1217"/>
      <c r="CD23" s="1217"/>
      <c r="CE23" s="1217"/>
      <c r="CF23" s="1217"/>
      <c r="CG23" s="1217"/>
      <c r="CH23" s="1217"/>
      <c r="CI23" s="1217"/>
      <c r="CJ23" s="1217"/>
      <c r="CK23" s="1217"/>
      <c r="CL23" s="1217"/>
      <c r="CM23" s="1217"/>
      <c r="CN23" s="1217"/>
      <c r="CO23" s="1217"/>
      <c r="CP23" s="1217"/>
      <c r="CQ23" s="1217"/>
      <c r="CR23" s="1217"/>
      <c r="CS23" s="1217"/>
      <c r="CT23" s="1217"/>
      <c r="CU23" s="1217"/>
      <c r="CV23" s="1217"/>
      <c r="CW23" s="1217"/>
      <c r="CX23" s="1217"/>
      <c r="CY23" s="1217"/>
      <c r="CZ23" s="1217"/>
      <c r="DA23" s="1217"/>
      <c r="DB23" s="1217"/>
      <c r="DC23" s="1217"/>
      <c r="DD23" s="1217"/>
      <c r="DE23" s="1217"/>
      <c r="DF23" s="1217"/>
      <c r="DG23" s="1217"/>
      <c r="DH23" s="1217"/>
      <c r="DI23" s="1217"/>
      <c r="DJ23" s="1217"/>
      <c r="DK23" s="1217"/>
      <c r="DL23" s="1217"/>
      <c r="DM23" s="1217"/>
      <c r="DN23" s="1217"/>
      <c r="DO23" s="1217"/>
      <c r="DP23" s="1217"/>
      <c r="DQ23" s="1217"/>
      <c r="DR23" s="1217"/>
      <c r="DS23" s="1217"/>
      <c r="DT23" s="1217"/>
      <c r="DU23" s="1217"/>
      <c r="DV23" s="1217"/>
      <c r="DW23" s="1217"/>
      <c r="DX23" s="1217"/>
      <c r="DY23" s="1217"/>
      <c r="DZ23" s="1217"/>
      <c r="EA23" s="1217"/>
      <c r="EB23" s="1217"/>
      <c r="EC23" s="1217"/>
      <c r="ED23" s="1217"/>
      <c r="EE23" s="1217"/>
      <c r="EF23" s="1217"/>
      <c r="EG23" s="1217"/>
      <c r="EH23" s="1217"/>
      <c r="EI23" s="1217"/>
      <c r="EJ23" s="1217"/>
      <c r="EK23" s="1217"/>
      <c r="EL23" s="1217"/>
      <c r="EM23" s="1217"/>
      <c r="EN23" s="1217"/>
      <c r="EO23" s="1217"/>
      <c r="EP23" s="1217"/>
      <c r="EQ23" s="1217"/>
      <c r="ER23" s="1217"/>
      <c r="ES23" s="1217"/>
      <c r="ET23" s="1217"/>
      <c r="EU23" s="1217"/>
      <c r="EV23" s="1217"/>
      <c r="EW23" s="1217"/>
      <c r="EX23" s="1217"/>
      <c r="EY23" s="1217"/>
      <c r="EZ23" s="1217"/>
      <c r="FA23" s="1217"/>
      <c r="FB23" s="1217"/>
      <c r="FC23" s="1217"/>
      <c r="FD23" s="1217"/>
      <c r="FE23" s="1217"/>
      <c r="FF23" s="1217"/>
      <c r="FG23" s="1217"/>
      <c r="FH23" s="1217"/>
      <c r="FI23" s="1217"/>
      <c r="FJ23" s="1217"/>
      <c r="FK23" s="1217"/>
      <c r="FL23" s="1217"/>
      <c r="FM23" s="1217"/>
      <c r="FN23" s="1217"/>
      <c r="FO23" s="1217"/>
      <c r="FP23" s="1217"/>
      <c r="FQ23" s="1217"/>
      <c r="FR23" s="1217"/>
      <c r="FS23" s="1217"/>
      <c r="FT23" s="1217"/>
      <c r="FU23" s="1217"/>
      <c r="FV23" s="1217"/>
      <c r="FW23" s="1217"/>
      <c r="FX23" s="1217"/>
      <c r="FY23" s="1217"/>
      <c r="FZ23" s="1217"/>
      <c r="GA23" s="1217"/>
      <c r="GB23" s="1217"/>
      <c r="GC23" s="1217"/>
      <c r="GD23" s="1217"/>
      <c r="GE23" s="1217"/>
      <c r="GF23" s="1217"/>
      <c r="GG23" s="1217"/>
      <c r="GH23" s="1217"/>
      <c r="GI23" s="1217"/>
      <c r="GJ23" s="1217"/>
      <c r="GK23" s="1217"/>
      <c r="GL23" s="1217"/>
      <c r="GM23" s="1217"/>
      <c r="GN23" s="1217"/>
      <c r="GO23" s="1217"/>
      <c r="GP23" s="1217"/>
      <c r="GQ23" s="1217"/>
      <c r="GR23" s="1217"/>
      <c r="GS23" s="1217"/>
      <c r="GT23" s="1217"/>
      <c r="GU23" s="1217"/>
      <c r="GV23" s="1217"/>
      <c r="GW23" s="1217"/>
      <c r="GX23" s="1217"/>
      <c r="GY23" s="1217"/>
      <c r="GZ23" s="1217"/>
      <c r="HA23" s="1217"/>
      <c r="HB23" s="1217"/>
      <c r="HC23" s="1217"/>
      <c r="HD23" s="1217"/>
      <c r="HE23" s="1217"/>
      <c r="HF23" s="1217"/>
      <c r="HG23" s="1217"/>
      <c r="HH23" s="1217"/>
      <c r="HI23" s="1217"/>
      <c r="HJ23" s="1217"/>
      <c r="HK23" s="1217"/>
      <c r="HL23" s="1217"/>
      <c r="HM23" s="1217"/>
      <c r="HN23" s="1217"/>
      <c r="HO23" s="1217"/>
      <c r="HP23" s="1217"/>
      <c r="HQ23" s="1217"/>
      <c r="HR23" s="1217"/>
      <c r="HS23" s="1217"/>
      <c r="HT23" s="1217"/>
      <c r="HU23" s="1217"/>
      <c r="HV23" s="1217"/>
      <c r="HW23" s="1217"/>
      <c r="HX23" s="1217"/>
      <c r="HY23" s="1217"/>
      <c r="HZ23" s="1217"/>
      <c r="IA23" s="1217"/>
      <c r="IB23" s="1217"/>
      <c r="IC23" s="1217"/>
      <c r="ID23" s="1217"/>
      <c r="IE23" s="1217"/>
      <c r="IF23" s="1217"/>
      <c r="IG23" s="1217"/>
      <c r="IH23" s="1217"/>
      <c r="II23" s="1217"/>
      <c r="IJ23" s="1217"/>
      <c r="IK23" s="1217"/>
      <c r="IL23" s="1217"/>
      <c r="IM23" s="1217"/>
      <c r="IN23" s="1217"/>
      <c r="IO23" s="1217"/>
      <c r="IP23" s="1217"/>
      <c r="IQ23" s="1217"/>
      <c r="IR23" s="1217"/>
    </row>
    <row r="24" spans="1:252">
      <c r="A24" s="1208">
        <v>19</v>
      </c>
      <c r="B24" s="1209" t="s">
        <v>38</v>
      </c>
      <c r="C24" s="1210">
        <v>2011</v>
      </c>
      <c r="D24" s="1211">
        <v>22.3</v>
      </c>
      <c r="E24" s="1211"/>
      <c r="F24" s="1211"/>
      <c r="G24" s="1211"/>
      <c r="H24" s="1212">
        <v>22.3</v>
      </c>
      <c r="I24" s="1212"/>
      <c r="J24" s="1217"/>
      <c r="K24" s="1217"/>
      <c r="L24" s="1217"/>
      <c r="M24" s="1217"/>
      <c r="N24" s="1217"/>
      <c r="O24" s="1217"/>
      <c r="P24" s="1217"/>
      <c r="Q24" s="1217"/>
      <c r="R24" s="1217"/>
      <c r="S24" s="1217"/>
      <c r="T24" s="1217"/>
      <c r="U24" s="1217"/>
      <c r="V24" s="1217"/>
      <c r="W24" s="1217"/>
      <c r="X24" s="1217"/>
      <c r="Y24" s="1217"/>
      <c r="Z24" s="1217"/>
      <c r="AA24" s="1217"/>
      <c r="AB24" s="1217"/>
      <c r="AC24" s="1217"/>
      <c r="AD24" s="1217"/>
      <c r="AE24" s="1217"/>
      <c r="AF24" s="1217"/>
      <c r="AG24" s="1217"/>
      <c r="AH24" s="1217"/>
      <c r="AI24" s="1217"/>
      <c r="AJ24" s="1217"/>
      <c r="AK24" s="1217"/>
      <c r="AL24" s="1217"/>
      <c r="AM24" s="1217"/>
      <c r="AN24" s="1217"/>
      <c r="AO24" s="1217"/>
      <c r="AP24" s="1217"/>
      <c r="AQ24" s="1217"/>
      <c r="AR24" s="1217"/>
      <c r="AS24" s="1217"/>
      <c r="AT24" s="1217"/>
      <c r="AU24" s="1217"/>
      <c r="AV24" s="1217"/>
      <c r="AW24" s="1217"/>
      <c r="AX24" s="1217"/>
      <c r="AY24" s="1217"/>
      <c r="AZ24" s="1217"/>
      <c r="BA24" s="1217"/>
      <c r="BB24" s="1217"/>
      <c r="BC24" s="1217"/>
      <c r="BD24" s="1217"/>
      <c r="BE24" s="1217"/>
      <c r="BF24" s="1217"/>
      <c r="BG24" s="1217"/>
      <c r="BH24" s="1217"/>
      <c r="BI24" s="1217"/>
      <c r="BJ24" s="1217"/>
      <c r="BK24" s="1217"/>
      <c r="BL24" s="1217"/>
      <c r="BM24" s="1217"/>
      <c r="BN24" s="1217"/>
      <c r="BO24" s="1217"/>
      <c r="BP24" s="1217"/>
      <c r="BQ24" s="1217"/>
      <c r="BR24" s="1217"/>
      <c r="BS24" s="1217"/>
      <c r="BT24" s="1217"/>
      <c r="BU24" s="1217"/>
      <c r="BV24" s="1217"/>
      <c r="BW24" s="1217"/>
      <c r="BX24" s="1217"/>
      <c r="BY24" s="1217"/>
      <c r="BZ24" s="1217"/>
      <c r="CA24" s="1217"/>
      <c r="CB24" s="1217"/>
      <c r="CC24" s="1217"/>
      <c r="CD24" s="1217"/>
      <c r="CE24" s="1217"/>
      <c r="CF24" s="1217"/>
      <c r="CG24" s="1217"/>
      <c r="CH24" s="1217"/>
      <c r="CI24" s="1217"/>
      <c r="CJ24" s="1217"/>
      <c r="CK24" s="1217"/>
      <c r="CL24" s="1217"/>
      <c r="CM24" s="1217"/>
      <c r="CN24" s="1217"/>
      <c r="CO24" s="1217"/>
      <c r="CP24" s="1217"/>
      <c r="CQ24" s="1217"/>
      <c r="CR24" s="1217"/>
      <c r="CS24" s="1217"/>
      <c r="CT24" s="1217"/>
      <c r="CU24" s="1217"/>
      <c r="CV24" s="1217"/>
      <c r="CW24" s="1217"/>
      <c r="CX24" s="1217"/>
      <c r="CY24" s="1217"/>
      <c r="CZ24" s="1217"/>
      <c r="DA24" s="1217"/>
      <c r="DB24" s="1217"/>
      <c r="DC24" s="1217"/>
      <c r="DD24" s="1217"/>
      <c r="DE24" s="1217"/>
      <c r="DF24" s="1217"/>
      <c r="DG24" s="1217"/>
      <c r="DH24" s="1217"/>
      <c r="DI24" s="1217"/>
      <c r="DJ24" s="1217"/>
      <c r="DK24" s="1217"/>
      <c r="DL24" s="1217"/>
      <c r="DM24" s="1217"/>
      <c r="DN24" s="1217"/>
      <c r="DO24" s="1217"/>
      <c r="DP24" s="1217"/>
      <c r="DQ24" s="1217"/>
      <c r="DR24" s="1217"/>
      <c r="DS24" s="1217"/>
      <c r="DT24" s="1217"/>
      <c r="DU24" s="1217"/>
      <c r="DV24" s="1217"/>
      <c r="DW24" s="1217"/>
      <c r="DX24" s="1217"/>
      <c r="DY24" s="1217"/>
      <c r="DZ24" s="1217"/>
      <c r="EA24" s="1217"/>
      <c r="EB24" s="1217"/>
      <c r="EC24" s="1217"/>
      <c r="ED24" s="1217"/>
      <c r="EE24" s="1217"/>
      <c r="EF24" s="1217"/>
      <c r="EG24" s="1217"/>
      <c r="EH24" s="1217"/>
      <c r="EI24" s="1217"/>
      <c r="EJ24" s="1217"/>
      <c r="EK24" s="1217"/>
      <c r="EL24" s="1217"/>
      <c r="EM24" s="1217"/>
      <c r="EN24" s="1217"/>
      <c r="EO24" s="1217"/>
      <c r="EP24" s="1217"/>
      <c r="EQ24" s="1217"/>
      <c r="ER24" s="1217"/>
      <c r="ES24" s="1217"/>
      <c r="ET24" s="1217"/>
      <c r="EU24" s="1217"/>
      <c r="EV24" s="1217"/>
      <c r="EW24" s="1217"/>
      <c r="EX24" s="1217"/>
      <c r="EY24" s="1217"/>
      <c r="EZ24" s="1217"/>
      <c r="FA24" s="1217"/>
      <c r="FB24" s="1217"/>
      <c r="FC24" s="1217"/>
      <c r="FD24" s="1217"/>
      <c r="FE24" s="1217"/>
      <c r="FF24" s="1217"/>
      <c r="FG24" s="1217"/>
      <c r="FH24" s="1217"/>
      <c r="FI24" s="1217"/>
      <c r="FJ24" s="1217"/>
      <c r="FK24" s="1217"/>
      <c r="FL24" s="1217"/>
      <c r="FM24" s="1217"/>
      <c r="FN24" s="1217"/>
      <c r="FO24" s="1217"/>
      <c r="FP24" s="1217"/>
      <c r="FQ24" s="1217"/>
      <c r="FR24" s="1217"/>
      <c r="FS24" s="1217"/>
      <c r="FT24" s="1217"/>
      <c r="FU24" s="1217"/>
      <c r="FV24" s="1217"/>
      <c r="FW24" s="1217"/>
      <c r="FX24" s="1217"/>
      <c r="FY24" s="1217"/>
      <c r="FZ24" s="1217"/>
      <c r="GA24" s="1217"/>
      <c r="GB24" s="1217"/>
      <c r="GC24" s="1217"/>
      <c r="GD24" s="1217"/>
      <c r="GE24" s="1217"/>
      <c r="GF24" s="1217"/>
      <c r="GG24" s="1217"/>
      <c r="GH24" s="1217"/>
      <c r="GI24" s="1217"/>
      <c r="GJ24" s="1217"/>
      <c r="GK24" s="1217"/>
      <c r="GL24" s="1217"/>
      <c r="GM24" s="1217"/>
      <c r="GN24" s="1217"/>
      <c r="GO24" s="1217"/>
      <c r="GP24" s="1217"/>
      <c r="GQ24" s="1217"/>
      <c r="GR24" s="1217"/>
      <c r="GS24" s="1217"/>
      <c r="GT24" s="1217"/>
      <c r="GU24" s="1217"/>
      <c r="GV24" s="1217"/>
      <c r="GW24" s="1217"/>
      <c r="GX24" s="1217"/>
      <c r="GY24" s="1217"/>
      <c r="GZ24" s="1217"/>
      <c r="HA24" s="1217"/>
      <c r="HB24" s="1217"/>
      <c r="HC24" s="1217"/>
      <c r="HD24" s="1217"/>
      <c r="HE24" s="1217"/>
      <c r="HF24" s="1217"/>
      <c r="HG24" s="1217"/>
      <c r="HH24" s="1217"/>
      <c r="HI24" s="1217"/>
      <c r="HJ24" s="1217"/>
      <c r="HK24" s="1217"/>
      <c r="HL24" s="1217"/>
      <c r="HM24" s="1217"/>
      <c r="HN24" s="1217"/>
      <c r="HO24" s="1217"/>
      <c r="HP24" s="1217"/>
      <c r="HQ24" s="1217"/>
      <c r="HR24" s="1217"/>
      <c r="HS24" s="1217"/>
      <c r="HT24" s="1217"/>
      <c r="HU24" s="1217"/>
      <c r="HV24" s="1217"/>
      <c r="HW24" s="1217"/>
      <c r="HX24" s="1217"/>
      <c r="HY24" s="1217"/>
      <c r="HZ24" s="1217"/>
      <c r="IA24" s="1217"/>
      <c r="IB24" s="1217"/>
      <c r="IC24" s="1217"/>
      <c r="ID24" s="1217"/>
      <c r="IE24" s="1217"/>
      <c r="IF24" s="1217"/>
      <c r="IG24" s="1217"/>
      <c r="IH24" s="1217"/>
      <c r="II24" s="1217"/>
      <c r="IJ24" s="1217"/>
      <c r="IK24" s="1217"/>
      <c r="IL24" s="1217"/>
      <c r="IM24" s="1217"/>
      <c r="IN24" s="1217"/>
      <c r="IO24" s="1217"/>
      <c r="IP24" s="1217"/>
      <c r="IQ24" s="1217"/>
      <c r="IR24" s="1217"/>
    </row>
    <row r="25" spans="1:252">
      <c r="A25" s="1208">
        <v>20</v>
      </c>
      <c r="B25" s="1209" t="s">
        <v>39</v>
      </c>
      <c r="C25" s="1210">
        <v>2011</v>
      </c>
      <c r="D25" s="1211">
        <v>22</v>
      </c>
      <c r="E25" s="1211"/>
      <c r="F25" s="1211"/>
      <c r="G25" s="1211"/>
      <c r="H25" s="1212">
        <v>22</v>
      </c>
      <c r="I25" s="1212"/>
      <c r="J25" s="1217"/>
      <c r="K25" s="1217"/>
      <c r="L25" s="1217"/>
      <c r="M25" s="1217"/>
      <c r="N25" s="1217"/>
      <c r="O25" s="1217"/>
      <c r="P25" s="1217"/>
      <c r="Q25" s="1217"/>
      <c r="R25" s="1217"/>
      <c r="S25" s="1217"/>
      <c r="T25" s="1217"/>
      <c r="U25" s="1217"/>
      <c r="V25" s="1217"/>
      <c r="W25" s="1217"/>
      <c r="X25" s="1217"/>
      <c r="Y25" s="1217"/>
      <c r="Z25" s="1217"/>
      <c r="AA25" s="1217"/>
      <c r="AB25" s="1217"/>
      <c r="AC25" s="1217"/>
      <c r="AD25" s="1217"/>
      <c r="AE25" s="1217"/>
      <c r="AF25" s="1217"/>
      <c r="AG25" s="1217"/>
      <c r="AH25" s="1217"/>
      <c r="AI25" s="1217"/>
      <c r="AJ25" s="1217"/>
      <c r="AK25" s="1217"/>
      <c r="AL25" s="1217"/>
      <c r="AM25" s="1217"/>
      <c r="AN25" s="1217"/>
      <c r="AO25" s="1217"/>
      <c r="AP25" s="1217"/>
      <c r="AQ25" s="1217"/>
      <c r="AR25" s="1217"/>
      <c r="AS25" s="1217"/>
      <c r="AT25" s="1217"/>
      <c r="AU25" s="1217"/>
      <c r="AV25" s="1217"/>
      <c r="AW25" s="1217"/>
      <c r="AX25" s="1217"/>
      <c r="AY25" s="1217"/>
      <c r="AZ25" s="1217"/>
      <c r="BA25" s="1217"/>
      <c r="BB25" s="1217"/>
      <c r="BC25" s="1217"/>
      <c r="BD25" s="1217"/>
      <c r="BE25" s="1217"/>
      <c r="BF25" s="1217"/>
      <c r="BG25" s="1217"/>
      <c r="BH25" s="1217"/>
      <c r="BI25" s="1217"/>
      <c r="BJ25" s="1217"/>
      <c r="BK25" s="1217"/>
      <c r="BL25" s="1217"/>
      <c r="BM25" s="1217"/>
      <c r="BN25" s="1217"/>
      <c r="BO25" s="1217"/>
      <c r="BP25" s="1217"/>
      <c r="BQ25" s="1217"/>
      <c r="BR25" s="1217"/>
      <c r="BS25" s="1217"/>
      <c r="BT25" s="1217"/>
      <c r="BU25" s="1217"/>
      <c r="BV25" s="1217"/>
      <c r="BW25" s="1217"/>
      <c r="BX25" s="1217"/>
      <c r="BY25" s="1217"/>
      <c r="BZ25" s="1217"/>
      <c r="CA25" s="1217"/>
      <c r="CB25" s="1217"/>
      <c r="CC25" s="1217"/>
      <c r="CD25" s="1217"/>
      <c r="CE25" s="1217"/>
      <c r="CF25" s="1217"/>
      <c r="CG25" s="1217"/>
      <c r="CH25" s="1217"/>
      <c r="CI25" s="1217"/>
      <c r="CJ25" s="1217"/>
      <c r="CK25" s="1217"/>
      <c r="CL25" s="1217"/>
      <c r="CM25" s="1217"/>
      <c r="CN25" s="1217"/>
      <c r="CO25" s="1217"/>
      <c r="CP25" s="1217"/>
      <c r="CQ25" s="1217"/>
      <c r="CR25" s="1217"/>
      <c r="CS25" s="1217"/>
      <c r="CT25" s="1217"/>
      <c r="CU25" s="1217"/>
      <c r="CV25" s="1217"/>
      <c r="CW25" s="1217"/>
      <c r="CX25" s="1217"/>
      <c r="CY25" s="1217"/>
      <c r="CZ25" s="1217"/>
      <c r="DA25" s="1217"/>
      <c r="DB25" s="1217"/>
      <c r="DC25" s="1217"/>
      <c r="DD25" s="1217"/>
      <c r="DE25" s="1217"/>
      <c r="DF25" s="1217"/>
      <c r="DG25" s="1217"/>
      <c r="DH25" s="1217"/>
      <c r="DI25" s="1217"/>
      <c r="DJ25" s="1217"/>
      <c r="DK25" s="1217"/>
      <c r="DL25" s="1217"/>
      <c r="DM25" s="1217"/>
      <c r="DN25" s="1217"/>
      <c r="DO25" s="1217"/>
      <c r="DP25" s="1217"/>
      <c r="DQ25" s="1217"/>
      <c r="DR25" s="1217"/>
      <c r="DS25" s="1217"/>
      <c r="DT25" s="1217"/>
      <c r="DU25" s="1217"/>
      <c r="DV25" s="1217"/>
      <c r="DW25" s="1217"/>
      <c r="DX25" s="1217"/>
      <c r="DY25" s="1217"/>
      <c r="DZ25" s="1217"/>
      <c r="EA25" s="1217"/>
      <c r="EB25" s="1217"/>
      <c r="EC25" s="1217"/>
      <c r="ED25" s="1217"/>
      <c r="EE25" s="1217"/>
      <c r="EF25" s="1217"/>
      <c r="EG25" s="1217"/>
      <c r="EH25" s="1217"/>
      <c r="EI25" s="1217"/>
      <c r="EJ25" s="1217"/>
      <c r="EK25" s="1217"/>
      <c r="EL25" s="1217"/>
      <c r="EM25" s="1217"/>
      <c r="EN25" s="1217"/>
      <c r="EO25" s="1217"/>
      <c r="EP25" s="1217"/>
      <c r="EQ25" s="1217"/>
      <c r="ER25" s="1217"/>
      <c r="ES25" s="1217"/>
      <c r="ET25" s="1217"/>
      <c r="EU25" s="1217"/>
      <c r="EV25" s="1217"/>
      <c r="EW25" s="1217"/>
      <c r="EX25" s="1217"/>
      <c r="EY25" s="1217"/>
      <c r="EZ25" s="1217"/>
      <c r="FA25" s="1217"/>
      <c r="FB25" s="1217"/>
      <c r="FC25" s="1217"/>
      <c r="FD25" s="1217"/>
      <c r="FE25" s="1217"/>
      <c r="FF25" s="1217"/>
      <c r="FG25" s="1217"/>
      <c r="FH25" s="1217"/>
      <c r="FI25" s="1217"/>
      <c r="FJ25" s="1217"/>
      <c r="FK25" s="1217"/>
      <c r="FL25" s="1217"/>
      <c r="FM25" s="1217"/>
      <c r="FN25" s="1217"/>
      <c r="FO25" s="1217"/>
      <c r="FP25" s="1217"/>
      <c r="FQ25" s="1217"/>
      <c r="FR25" s="1217"/>
      <c r="FS25" s="1217"/>
      <c r="FT25" s="1217"/>
      <c r="FU25" s="1217"/>
      <c r="FV25" s="1217"/>
      <c r="FW25" s="1217"/>
      <c r="FX25" s="1217"/>
      <c r="FY25" s="1217"/>
      <c r="FZ25" s="1217"/>
      <c r="GA25" s="1217"/>
      <c r="GB25" s="1217"/>
      <c r="GC25" s="1217"/>
      <c r="GD25" s="1217"/>
      <c r="GE25" s="1217"/>
      <c r="GF25" s="1217"/>
      <c r="GG25" s="1217"/>
      <c r="GH25" s="1217"/>
      <c r="GI25" s="1217"/>
      <c r="GJ25" s="1217"/>
      <c r="GK25" s="1217"/>
      <c r="GL25" s="1217"/>
      <c r="GM25" s="1217"/>
      <c r="GN25" s="1217"/>
      <c r="GO25" s="1217"/>
      <c r="GP25" s="1217"/>
      <c r="GQ25" s="1217"/>
      <c r="GR25" s="1217"/>
      <c r="GS25" s="1217"/>
      <c r="GT25" s="1217"/>
      <c r="GU25" s="1217"/>
      <c r="GV25" s="1217"/>
      <c r="GW25" s="1217"/>
      <c r="GX25" s="1217"/>
      <c r="GY25" s="1217"/>
      <c r="GZ25" s="1217"/>
      <c r="HA25" s="1217"/>
      <c r="HB25" s="1217"/>
      <c r="HC25" s="1217"/>
      <c r="HD25" s="1217"/>
      <c r="HE25" s="1217"/>
      <c r="HF25" s="1217"/>
      <c r="HG25" s="1217"/>
      <c r="HH25" s="1217"/>
      <c r="HI25" s="1217"/>
      <c r="HJ25" s="1217"/>
      <c r="HK25" s="1217"/>
      <c r="HL25" s="1217"/>
      <c r="HM25" s="1217"/>
      <c r="HN25" s="1217"/>
      <c r="HO25" s="1217"/>
      <c r="HP25" s="1217"/>
      <c r="HQ25" s="1217"/>
      <c r="HR25" s="1217"/>
      <c r="HS25" s="1217"/>
      <c r="HT25" s="1217"/>
      <c r="HU25" s="1217"/>
      <c r="HV25" s="1217"/>
      <c r="HW25" s="1217"/>
      <c r="HX25" s="1217"/>
      <c r="HY25" s="1217"/>
      <c r="HZ25" s="1217"/>
      <c r="IA25" s="1217"/>
      <c r="IB25" s="1217"/>
      <c r="IC25" s="1217"/>
      <c r="ID25" s="1217"/>
      <c r="IE25" s="1217"/>
      <c r="IF25" s="1217"/>
      <c r="IG25" s="1217"/>
      <c r="IH25" s="1217"/>
      <c r="II25" s="1217"/>
      <c r="IJ25" s="1217"/>
      <c r="IK25" s="1217"/>
      <c r="IL25" s="1217"/>
      <c r="IM25" s="1217"/>
      <c r="IN25" s="1217"/>
      <c r="IO25" s="1217"/>
      <c r="IP25" s="1217"/>
      <c r="IQ25" s="1217"/>
      <c r="IR25" s="1217"/>
    </row>
    <row r="26" spans="1:252">
      <c r="A26" s="1213" t="s">
        <v>40</v>
      </c>
      <c r="B26" s="1214">
        <v>0</v>
      </c>
      <c r="C26" s="1215"/>
      <c r="D26" s="1216">
        <f>SUM(D27:D58)</f>
        <v>676.39999999999986</v>
      </c>
      <c r="E26" s="1216">
        <f>SUM(E27:E58)</f>
        <v>0</v>
      </c>
      <c r="F26" s="1216">
        <f>SUM(F27:F58)</f>
        <v>365.7000000000001</v>
      </c>
      <c r="G26" s="1216">
        <v>0</v>
      </c>
      <c r="H26" s="1217"/>
      <c r="I26" s="1217"/>
      <c r="J26" s="1217"/>
      <c r="K26" s="1217"/>
      <c r="L26" s="1217"/>
      <c r="M26" s="1217"/>
      <c r="N26" s="1217"/>
      <c r="O26" s="1217"/>
      <c r="P26" s="1217"/>
      <c r="Q26" s="1217"/>
      <c r="R26" s="1217"/>
      <c r="S26" s="1217"/>
      <c r="T26" s="1217"/>
      <c r="U26" s="1217"/>
      <c r="V26" s="1217"/>
      <c r="W26" s="1217"/>
      <c r="X26" s="1217"/>
      <c r="Y26" s="1217"/>
      <c r="Z26" s="1217"/>
      <c r="AA26" s="1217"/>
      <c r="AB26" s="1217"/>
      <c r="AC26" s="1217"/>
      <c r="AD26" s="1217"/>
      <c r="AE26" s="1217"/>
      <c r="AF26" s="1217"/>
      <c r="AG26" s="1217"/>
      <c r="AH26" s="1217"/>
      <c r="AI26" s="1217"/>
      <c r="AJ26" s="1217"/>
      <c r="AK26" s="1217"/>
      <c r="AL26" s="1217"/>
      <c r="AM26" s="1217"/>
      <c r="AN26" s="1217"/>
      <c r="AO26" s="1217"/>
      <c r="AP26" s="1217"/>
      <c r="AQ26" s="1217"/>
      <c r="AR26" s="1217"/>
      <c r="AS26" s="1217"/>
      <c r="AT26" s="1217"/>
      <c r="AU26" s="1217"/>
      <c r="AV26" s="1217"/>
      <c r="AW26" s="1217"/>
      <c r="AX26" s="1217"/>
      <c r="AY26" s="1217"/>
      <c r="AZ26" s="1217"/>
      <c r="BA26" s="1217"/>
      <c r="BB26" s="1217"/>
      <c r="BC26" s="1217"/>
      <c r="BD26" s="1217"/>
      <c r="BE26" s="1217"/>
      <c r="BF26" s="1217"/>
      <c r="BG26" s="1217"/>
      <c r="BH26" s="1217"/>
      <c r="BI26" s="1217"/>
      <c r="BJ26" s="1217"/>
      <c r="BK26" s="1217"/>
      <c r="BL26" s="1217"/>
      <c r="BM26" s="1217"/>
      <c r="BN26" s="1217"/>
      <c r="BO26" s="1217"/>
      <c r="BP26" s="1217"/>
      <c r="BQ26" s="1217"/>
      <c r="BR26" s="1217"/>
      <c r="BS26" s="1217"/>
      <c r="BT26" s="1217"/>
      <c r="BU26" s="1217"/>
      <c r="BV26" s="1217"/>
      <c r="BW26" s="1217"/>
      <c r="BX26" s="1217"/>
      <c r="BY26" s="1217"/>
      <c r="BZ26" s="1217"/>
      <c r="CA26" s="1217"/>
      <c r="CB26" s="1217"/>
      <c r="CC26" s="1217"/>
      <c r="CD26" s="1217"/>
      <c r="CE26" s="1217"/>
      <c r="CF26" s="1217"/>
      <c r="CG26" s="1217"/>
      <c r="CH26" s="1217"/>
      <c r="CI26" s="1217"/>
      <c r="CJ26" s="1217"/>
      <c r="CK26" s="1217"/>
      <c r="CL26" s="1217"/>
      <c r="CM26" s="1217"/>
      <c r="CN26" s="1217"/>
      <c r="CO26" s="1217"/>
      <c r="CP26" s="1217"/>
      <c r="CQ26" s="1217"/>
      <c r="CR26" s="1217"/>
      <c r="CS26" s="1217"/>
      <c r="CT26" s="1217"/>
      <c r="CU26" s="1217"/>
      <c r="CV26" s="1217"/>
      <c r="CW26" s="1217"/>
      <c r="CX26" s="1217"/>
      <c r="CY26" s="1217"/>
      <c r="CZ26" s="1217"/>
      <c r="DA26" s="1217"/>
      <c r="DB26" s="1217"/>
      <c r="DC26" s="1217"/>
      <c r="DD26" s="1217"/>
      <c r="DE26" s="1217"/>
      <c r="DF26" s="1217"/>
      <c r="DG26" s="1217"/>
      <c r="DH26" s="1217"/>
      <c r="DI26" s="1217"/>
      <c r="DJ26" s="1217"/>
      <c r="DK26" s="1217"/>
      <c r="DL26" s="1217"/>
      <c r="DM26" s="1217"/>
      <c r="DN26" s="1217"/>
      <c r="DO26" s="1217"/>
      <c r="DP26" s="1217"/>
      <c r="DQ26" s="1217"/>
      <c r="DR26" s="1217"/>
      <c r="DS26" s="1217"/>
      <c r="DT26" s="1217"/>
      <c r="DU26" s="1217"/>
      <c r="DV26" s="1217"/>
      <c r="DW26" s="1217"/>
      <c r="DX26" s="1217"/>
      <c r="DY26" s="1217"/>
      <c r="DZ26" s="1217"/>
      <c r="EA26" s="1217"/>
      <c r="EB26" s="1217"/>
      <c r="EC26" s="1217"/>
      <c r="ED26" s="1217"/>
      <c r="EE26" s="1217"/>
      <c r="EF26" s="1217"/>
      <c r="EG26" s="1217"/>
      <c r="EH26" s="1217"/>
      <c r="EI26" s="1217"/>
      <c r="EJ26" s="1217"/>
      <c r="EK26" s="1217"/>
      <c r="EL26" s="1217"/>
      <c r="EM26" s="1217"/>
      <c r="EN26" s="1217"/>
      <c r="EO26" s="1217"/>
      <c r="EP26" s="1217"/>
      <c r="EQ26" s="1217"/>
      <c r="ER26" s="1217"/>
      <c r="ES26" s="1217"/>
      <c r="ET26" s="1217"/>
      <c r="EU26" s="1217"/>
      <c r="EV26" s="1217"/>
      <c r="EW26" s="1217"/>
      <c r="EX26" s="1217"/>
      <c r="EY26" s="1217"/>
      <c r="EZ26" s="1217"/>
      <c r="FA26" s="1217"/>
      <c r="FB26" s="1217"/>
      <c r="FC26" s="1217"/>
      <c r="FD26" s="1217"/>
      <c r="FE26" s="1217"/>
      <c r="FF26" s="1217"/>
      <c r="FG26" s="1217"/>
      <c r="FH26" s="1217"/>
      <c r="FI26" s="1217"/>
      <c r="FJ26" s="1217"/>
      <c r="FK26" s="1217"/>
      <c r="FL26" s="1217"/>
      <c r="FM26" s="1217"/>
      <c r="FN26" s="1217"/>
      <c r="FO26" s="1217"/>
      <c r="FP26" s="1217"/>
      <c r="FQ26" s="1217"/>
      <c r="FR26" s="1217"/>
      <c r="FS26" s="1217"/>
      <c r="FT26" s="1217"/>
      <c r="FU26" s="1217"/>
      <c r="FV26" s="1217"/>
      <c r="FW26" s="1217"/>
      <c r="FX26" s="1217"/>
      <c r="FY26" s="1217"/>
      <c r="FZ26" s="1217"/>
      <c r="GA26" s="1217"/>
      <c r="GB26" s="1217"/>
      <c r="GC26" s="1217"/>
      <c r="GD26" s="1217"/>
      <c r="GE26" s="1217"/>
      <c r="GF26" s="1217"/>
      <c r="GG26" s="1217"/>
      <c r="GH26" s="1217"/>
      <c r="GI26" s="1217"/>
      <c r="GJ26" s="1217"/>
      <c r="GK26" s="1217"/>
      <c r="GL26" s="1217"/>
      <c r="GM26" s="1217"/>
      <c r="GN26" s="1217"/>
      <c r="GO26" s="1217"/>
      <c r="GP26" s="1217"/>
      <c r="GQ26" s="1217"/>
      <c r="GR26" s="1217"/>
      <c r="GS26" s="1217"/>
      <c r="GT26" s="1217"/>
      <c r="GU26" s="1217"/>
      <c r="GV26" s="1217"/>
      <c r="GW26" s="1217"/>
      <c r="GX26" s="1217"/>
      <c r="GY26" s="1217"/>
      <c r="GZ26" s="1217"/>
      <c r="HA26" s="1217"/>
      <c r="HB26" s="1217"/>
      <c r="HC26" s="1217"/>
      <c r="HD26" s="1217"/>
      <c r="HE26" s="1217"/>
      <c r="HF26" s="1217"/>
      <c r="HG26" s="1217"/>
      <c r="HH26" s="1217"/>
      <c r="HI26" s="1217"/>
      <c r="HJ26" s="1217"/>
      <c r="HK26" s="1217"/>
      <c r="HL26" s="1217"/>
      <c r="HM26" s="1217"/>
      <c r="HN26" s="1217"/>
      <c r="HO26" s="1217"/>
      <c r="HP26" s="1217"/>
      <c r="HQ26" s="1217"/>
      <c r="HR26" s="1217"/>
      <c r="HS26" s="1217"/>
      <c r="HT26" s="1217"/>
      <c r="HU26" s="1217"/>
      <c r="HV26" s="1217"/>
      <c r="HW26" s="1217"/>
      <c r="HX26" s="1217"/>
      <c r="HY26" s="1217"/>
      <c r="HZ26" s="1217"/>
      <c r="IA26" s="1217"/>
      <c r="IB26" s="1217"/>
      <c r="IC26" s="1217"/>
      <c r="ID26" s="1217"/>
      <c r="IE26" s="1217"/>
      <c r="IF26" s="1217"/>
      <c r="IG26" s="1217"/>
      <c r="IH26" s="1217"/>
      <c r="II26" s="1217"/>
      <c r="IJ26" s="1217"/>
      <c r="IK26" s="1217"/>
      <c r="IL26" s="1217"/>
      <c r="IM26" s="1217"/>
      <c r="IN26" s="1217"/>
      <c r="IO26" s="1217"/>
      <c r="IP26" s="1217"/>
      <c r="IQ26" s="1217"/>
      <c r="IR26" s="1217"/>
    </row>
    <row r="27" spans="1:252">
      <c r="A27" s="1208">
        <v>1</v>
      </c>
      <c r="B27" s="1218" t="s">
        <v>41</v>
      </c>
      <c r="C27" s="1210">
        <v>2011</v>
      </c>
      <c r="D27" s="1219">
        <v>24.3</v>
      </c>
      <c r="E27" s="1219"/>
      <c r="F27" s="1219">
        <f>D27</f>
        <v>24.3</v>
      </c>
      <c r="G27" s="1219"/>
      <c r="H27" s="1220"/>
      <c r="I27" s="1220"/>
      <c r="J27" s="1217"/>
      <c r="K27" s="1217"/>
      <c r="L27" s="1217"/>
      <c r="M27" s="1217"/>
      <c r="N27" s="1217"/>
      <c r="O27" s="1217"/>
      <c r="P27" s="1217"/>
      <c r="Q27" s="1217"/>
      <c r="R27" s="1217"/>
      <c r="S27" s="1217"/>
      <c r="T27" s="1217"/>
      <c r="U27" s="1217"/>
      <c r="V27" s="1217"/>
      <c r="W27" s="1217"/>
      <c r="X27" s="1217"/>
      <c r="Y27" s="1217"/>
      <c r="Z27" s="1217"/>
      <c r="AA27" s="1217"/>
      <c r="AB27" s="1217"/>
      <c r="AC27" s="1217"/>
      <c r="AD27" s="1217"/>
      <c r="AE27" s="1217"/>
      <c r="AF27" s="1217"/>
      <c r="AG27" s="1217"/>
      <c r="AH27" s="1217"/>
      <c r="AI27" s="1217"/>
      <c r="AJ27" s="1217"/>
      <c r="AK27" s="1217"/>
      <c r="AL27" s="1217"/>
      <c r="AM27" s="1217"/>
      <c r="AN27" s="1217"/>
      <c r="AO27" s="1217"/>
      <c r="AP27" s="1217"/>
      <c r="AQ27" s="1217"/>
      <c r="AR27" s="1217"/>
      <c r="AS27" s="1217"/>
      <c r="AT27" s="1217"/>
      <c r="AU27" s="1217"/>
      <c r="AV27" s="1217"/>
      <c r="AW27" s="1217"/>
      <c r="AX27" s="1217"/>
      <c r="AY27" s="1217"/>
      <c r="AZ27" s="1217"/>
      <c r="BA27" s="1217"/>
      <c r="BB27" s="1217"/>
      <c r="BC27" s="1217"/>
      <c r="BD27" s="1217"/>
      <c r="BE27" s="1217"/>
      <c r="BF27" s="1217"/>
      <c r="BG27" s="1217"/>
      <c r="BH27" s="1217"/>
      <c r="BI27" s="1217"/>
      <c r="BJ27" s="1217"/>
      <c r="BK27" s="1217"/>
      <c r="BL27" s="1217"/>
      <c r="BM27" s="1217"/>
      <c r="BN27" s="1217"/>
      <c r="BO27" s="1217"/>
      <c r="BP27" s="1217"/>
      <c r="BQ27" s="1217"/>
      <c r="BR27" s="1217"/>
      <c r="BS27" s="1217"/>
      <c r="BT27" s="1217"/>
      <c r="BU27" s="1217"/>
      <c r="BV27" s="1217"/>
      <c r="BW27" s="1217"/>
      <c r="BX27" s="1217"/>
      <c r="BY27" s="1217"/>
      <c r="BZ27" s="1217"/>
      <c r="CA27" s="1217"/>
      <c r="CB27" s="1217"/>
      <c r="CC27" s="1217"/>
      <c r="CD27" s="1217"/>
      <c r="CE27" s="1217"/>
      <c r="CF27" s="1217"/>
      <c r="CG27" s="1217"/>
      <c r="CH27" s="1217"/>
      <c r="CI27" s="1217"/>
      <c r="CJ27" s="1217"/>
      <c r="CK27" s="1217"/>
      <c r="CL27" s="1217"/>
      <c r="CM27" s="1217"/>
      <c r="CN27" s="1217"/>
      <c r="CO27" s="1217"/>
      <c r="CP27" s="1217"/>
      <c r="CQ27" s="1217"/>
      <c r="CR27" s="1217"/>
      <c r="CS27" s="1217"/>
      <c r="CT27" s="1217"/>
      <c r="CU27" s="1217"/>
      <c r="CV27" s="1217"/>
      <c r="CW27" s="1217"/>
      <c r="CX27" s="1217"/>
      <c r="CY27" s="1217"/>
      <c r="CZ27" s="1217"/>
      <c r="DA27" s="1217"/>
      <c r="DB27" s="1217"/>
      <c r="DC27" s="1217"/>
      <c r="DD27" s="1217"/>
      <c r="DE27" s="1217"/>
      <c r="DF27" s="1217"/>
      <c r="DG27" s="1217"/>
      <c r="DH27" s="1217"/>
      <c r="DI27" s="1217"/>
      <c r="DJ27" s="1217"/>
      <c r="DK27" s="1217"/>
      <c r="DL27" s="1217"/>
      <c r="DM27" s="1217"/>
      <c r="DN27" s="1217"/>
      <c r="DO27" s="1217"/>
      <c r="DP27" s="1217"/>
      <c r="DQ27" s="1217"/>
      <c r="DR27" s="1217"/>
      <c r="DS27" s="1217"/>
      <c r="DT27" s="1217"/>
      <c r="DU27" s="1217"/>
      <c r="DV27" s="1217"/>
      <c r="DW27" s="1217"/>
      <c r="DX27" s="1217"/>
      <c r="DY27" s="1217"/>
      <c r="DZ27" s="1217"/>
      <c r="EA27" s="1217"/>
      <c r="EB27" s="1217"/>
      <c r="EC27" s="1217"/>
      <c r="ED27" s="1217"/>
      <c r="EE27" s="1217"/>
      <c r="EF27" s="1217"/>
      <c r="EG27" s="1217"/>
      <c r="EH27" s="1217"/>
      <c r="EI27" s="1217"/>
      <c r="EJ27" s="1217"/>
      <c r="EK27" s="1217"/>
      <c r="EL27" s="1217"/>
      <c r="EM27" s="1217"/>
      <c r="EN27" s="1217"/>
      <c r="EO27" s="1217"/>
      <c r="EP27" s="1217"/>
      <c r="EQ27" s="1217"/>
      <c r="ER27" s="1217"/>
      <c r="ES27" s="1217"/>
      <c r="ET27" s="1217"/>
      <c r="EU27" s="1217"/>
      <c r="EV27" s="1217"/>
      <c r="EW27" s="1217"/>
      <c r="EX27" s="1217"/>
      <c r="EY27" s="1217"/>
      <c r="EZ27" s="1217"/>
      <c r="FA27" s="1217"/>
      <c r="FB27" s="1217"/>
      <c r="FC27" s="1217"/>
      <c r="FD27" s="1217"/>
      <c r="FE27" s="1217"/>
      <c r="FF27" s="1217"/>
      <c r="FG27" s="1217"/>
      <c r="FH27" s="1217"/>
      <c r="FI27" s="1217"/>
      <c r="FJ27" s="1217"/>
      <c r="FK27" s="1217"/>
      <c r="FL27" s="1217"/>
      <c r="FM27" s="1217"/>
      <c r="FN27" s="1217"/>
      <c r="FO27" s="1217"/>
      <c r="FP27" s="1217"/>
      <c r="FQ27" s="1217"/>
      <c r="FR27" s="1217"/>
      <c r="FS27" s="1217"/>
      <c r="FT27" s="1217"/>
      <c r="FU27" s="1217"/>
      <c r="FV27" s="1217"/>
      <c r="FW27" s="1217"/>
      <c r="FX27" s="1217"/>
      <c r="FY27" s="1217"/>
      <c r="FZ27" s="1217"/>
      <c r="GA27" s="1217"/>
      <c r="GB27" s="1217"/>
      <c r="GC27" s="1217"/>
      <c r="GD27" s="1217"/>
      <c r="GE27" s="1217"/>
      <c r="GF27" s="1217"/>
      <c r="GG27" s="1217"/>
      <c r="GH27" s="1217"/>
      <c r="GI27" s="1217"/>
      <c r="GJ27" s="1217"/>
      <c r="GK27" s="1217"/>
      <c r="GL27" s="1217"/>
      <c r="GM27" s="1217"/>
      <c r="GN27" s="1217"/>
      <c r="GO27" s="1217"/>
      <c r="GP27" s="1217"/>
      <c r="GQ27" s="1217"/>
      <c r="GR27" s="1217"/>
      <c r="GS27" s="1217"/>
      <c r="GT27" s="1217"/>
      <c r="GU27" s="1217"/>
      <c r="GV27" s="1217"/>
      <c r="GW27" s="1217"/>
      <c r="GX27" s="1217"/>
      <c r="GY27" s="1217"/>
      <c r="GZ27" s="1217"/>
      <c r="HA27" s="1217"/>
      <c r="HB27" s="1217"/>
      <c r="HC27" s="1217"/>
      <c r="HD27" s="1217"/>
      <c r="HE27" s="1217"/>
      <c r="HF27" s="1217"/>
      <c r="HG27" s="1217"/>
      <c r="HH27" s="1217"/>
      <c r="HI27" s="1217"/>
      <c r="HJ27" s="1217"/>
      <c r="HK27" s="1217"/>
      <c r="HL27" s="1217"/>
      <c r="HM27" s="1217"/>
      <c r="HN27" s="1217"/>
      <c r="HO27" s="1217"/>
      <c r="HP27" s="1217"/>
      <c r="HQ27" s="1217"/>
      <c r="HR27" s="1217"/>
      <c r="HS27" s="1217"/>
      <c r="HT27" s="1217"/>
      <c r="HU27" s="1217"/>
      <c r="HV27" s="1217"/>
      <c r="HW27" s="1217"/>
      <c r="HX27" s="1217"/>
      <c r="HY27" s="1217"/>
      <c r="HZ27" s="1217"/>
      <c r="IA27" s="1217"/>
      <c r="IB27" s="1217"/>
      <c r="IC27" s="1217"/>
      <c r="ID27" s="1217"/>
      <c r="IE27" s="1217"/>
      <c r="IF27" s="1217"/>
      <c r="IG27" s="1217"/>
      <c r="IH27" s="1217"/>
      <c r="II27" s="1217"/>
      <c r="IJ27" s="1217"/>
      <c r="IK27" s="1217"/>
      <c r="IL27" s="1217"/>
      <c r="IM27" s="1217"/>
      <c r="IN27" s="1217"/>
      <c r="IO27" s="1217"/>
      <c r="IP27" s="1217"/>
      <c r="IQ27" s="1217"/>
      <c r="IR27" s="1217"/>
    </row>
    <row r="28" spans="1:252">
      <c r="A28" s="1208">
        <v>2</v>
      </c>
      <c r="B28" s="1218" t="s">
        <v>42</v>
      </c>
      <c r="C28" s="1210">
        <v>2011</v>
      </c>
      <c r="D28" s="1219">
        <v>24.3</v>
      </c>
      <c r="E28" s="1219"/>
      <c r="F28" s="1219">
        <f>D28</f>
        <v>24.3</v>
      </c>
      <c r="G28" s="1219"/>
      <c r="H28" s="1220"/>
      <c r="I28" s="1220"/>
      <c r="J28" s="1217"/>
      <c r="K28" s="1217"/>
      <c r="L28" s="1217"/>
      <c r="M28" s="1217"/>
      <c r="N28" s="1217"/>
      <c r="O28" s="1217"/>
      <c r="P28" s="1217"/>
      <c r="Q28" s="1217"/>
      <c r="R28" s="1217"/>
      <c r="S28" s="1217"/>
      <c r="T28" s="1217"/>
      <c r="U28" s="1217"/>
      <c r="V28" s="1217"/>
      <c r="W28" s="1217"/>
      <c r="X28" s="1217"/>
      <c r="Y28" s="1217"/>
      <c r="Z28" s="1217"/>
      <c r="AA28" s="1217"/>
      <c r="AB28" s="1217"/>
      <c r="AC28" s="1217"/>
      <c r="AD28" s="1217"/>
      <c r="AE28" s="1217"/>
      <c r="AF28" s="1217"/>
      <c r="AG28" s="1217"/>
      <c r="AH28" s="1217"/>
      <c r="AI28" s="1217"/>
      <c r="AJ28" s="1217"/>
      <c r="AK28" s="1217"/>
      <c r="AL28" s="1217"/>
      <c r="AM28" s="1217"/>
      <c r="AN28" s="1217"/>
      <c r="AO28" s="1217"/>
      <c r="AP28" s="1217"/>
      <c r="AQ28" s="1217"/>
      <c r="AR28" s="1217"/>
      <c r="AS28" s="1217"/>
      <c r="AT28" s="1217"/>
      <c r="AU28" s="1217"/>
      <c r="AV28" s="1217"/>
      <c r="AW28" s="1217"/>
      <c r="AX28" s="1217"/>
      <c r="AY28" s="1217"/>
      <c r="AZ28" s="1217"/>
      <c r="BA28" s="1217"/>
      <c r="BB28" s="1217"/>
      <c r="BC28" s="1217"/>
      <c r="BD28" s="1217"/>
      <c r="BE28" s="1217"/>
      <c r="BF28" s="1217"/>
      <c r="BG28" s="1217"/>
      <c r="BH28" s="1217"/>
      <c r="BI28" s="1217"/>
      <c r="BJ28" s="1217"/>
      <c r="BK28" s="1217"/>
      <c r="BL28" s="1217"/>
      <c r="BM28" s="1217"/>
      <c r="BN28" s="1217"/>
      <c r="BO28" s="1217"/>
      <c r="BP28" s="1217"/>
      <c r="BQ28" s="1217"/>
      <c r="BR28" s="1217"/>
      <c r="BS28" s="1217"/>
      <c r="BT28" s="1217"/>
      <c r="BU28" s="1217"/>
      <c r="BV28" s="1217"/>
      <c r="BW28" s="1217"/>
      <c r="BX28" s="1217"/>
      <c r="BY28" s="1217"/>
      <c r="BZ28" s="1217"/>
      <c r="CA28" s="1217"/>
      <c r="CB28" s="1217"/>
      <c r="CC28" s="1217"/>
      <c r="CD28" s="1217"/>
      <c r="CE28" s="1217"/>
      <c r="CF28" s="1217"/>
      <c r="CG28" s="1217"/>
      <c r="CH28" s="1217"/>
      <c r="CI28" s="1217"/>
      <c r="CJ28" s="1217"/>
      <c r="CK28" s="1217"/>
      <c r="CL28" s="1217"/>
      <c r="CM28" s="1217"/>
      <c r="CN28" s="1217"/>
      <c r="CO28" s="1217"/>
      <c r="CP28" s="1217"/>
      <c r="CQ28" s="1217"/>
      <c r="CR28" s="1217"/>
      <c r="CS28" s="1217"/>
      <c r="CT28" s="1217"/>
      <c r="CU28" s="1217"/>
      <c r="CV28" s="1217"/>
      <c r="CW28" s="1217"/>
      <c r="CX28" s="1217"/>
      <c r="CY28" s="1217"/>
      <c r="CZ28" s="1217"/>
      <c r="DA28" s="1217"/>
      <c r="DB28" s="1217"/>
      <c r="DC28" s="1217"/>
      <c r="DD28" s="1217"/>
      <c r="DE28" s="1217"/>
      <c r="DF28" s="1217"/>
      <c r="DG28" s="1217"/>
      <c r="DH28" s="1217"/>
      <c r="DI28" s="1217"/>
      <c r="DJ28" s="1217"/>
      <c r="DK28" s="1217"/>
      <c r="DL28" s="1217"/>
      <c r="DM28" s="1217"/>
      <c r="DN28" s="1217"/>
      <c r="DO28" s="1217"/>
      <c r="DP28" s="1217"/>
      <c r="DQ28" s="1217"/>
      <c r="DR28" s="1217"/>
      <c r="DS28" s="1217"/>
      <c r="DT28" s="1217"/>
      <c r="DU28" s="1217"/>
      <c r="DV28" s="1217"/>
      <c r="DW28" s="1217"/>
      <c r="DX28" s="1217"/>
      <c r="DY28" s="1217"/>
      <c r="DZ28" s="1217"/>
      <c r="EA28" s="1217"/>
      <c r="EB28" s="1217"/>
      <c r="EC28" s="1217"/>
      <c r="ED28" s="1217"/>
      <c r="EE28" s="1217"/>
      <c r="EF28" s="1217"/>
      <c r="EG28" s="1217"/>
      <c r="EH28" s="1217"/>
      <c r="EI28" s="1217"/>
      <c r="EJ28" s="1217"/>
      <c r="EK28" s="1217"/>
      <c r="EL28" s="1217"/>
      <c r="EM28" s="1217"/>
      <c r="EN28" s="1217"/>
      <c r="EO28" s="1217"/>
      <c r="EP28" s="1217"/>
      <c r="EQ28" s="1217"/>
      <c r="ER28" s="1217"/>
      <c r="ES28" s="1217"/>
      <c r="ET28" s="1217"/>
      <c r="EU28" s="1217"/>
      <c r="EV28" s="1217"/>
      <c r="EW28" s="1217"/>
      <c r="EX28" s="1217"/>
      <c r="EY28" s="1217"/>
      <c r="EZ28" s="1217"/>
      <c r="FA28" s="1217"/>
      <c r="FB28" s="1217"/>
      <c r="FC28" s="1217"/>
      <c r="FD28" s="1217"/>
      <c r="FE28" s="1217"/>
      <c r="FF28" s="1217"/>
      <c r="FG28" s="1217"/>
      <c r="FH28" s="1217"/>
      <c r="FI28" s="1217"/>
      <c r="FJ28" s="1217"/>
      <c r="FK28" s="1217"/>
      <c r="FL28" s="1217"/>
      <c r="FM28" s="1217"/>
      <c r="FN28" s="1217"/>
      <c r="FO28" s="1217"/>
      <c r="FP28" s="1217"/>
      <c r="FQ28" s="1217"/>
      <c r="FR28" s="1217"/>
      <c r="FS28" s="1217"/>
      <c r="FT28" s="1217"/>
      <c r="FU28" s="1217"/>
      <c r="FV28" s="1217"/>
      <c r="FW28" s="1217"/>
      <c r="FX28" s="1217"/>
      <c r="FY28" s="1217"/>
      <c r="FZ28" s="1217"/>
      <c r="GA28" s="1217"/>
      <c r="GB28" s="1217"/>
      <c r="GC28" s="1217"/>
      <c r="GD28" s="1217"/>
      <c r="GE28" s="1217"/>
      <c r="GF28" s="1217"/>
      <c r="GG28" s="1217"/>
      <c r="GH28" s="1217"/>
      <c r="GI28" s="1217"/>
      <c r="GJ28" s="1217"/>
      <c r="GK28" s="1217"/>
      <c r="GL28" s="1217"/>
      <c r="GM28" s="1217"/>
      <c r="GN28" s="1217"/>
      <c r="GO28" s="1217"/>
      <c r="GP28" s="1217"/>
      <c r="GQ28" s="1217"/>
      <c r="GR28" s="1217"/>
      <c r="GS28" s="1217"/>
      <c r="GT28" s="1217"/>
      <c r="GU28" s="1217"/>
      <c r="GV28" s="1217"/>
      <c r="GW28" s="1217"/>
      <c r="GX28" s="1217"/>
      <c r="GY28" s="1217"/>
      <c r="GZ28" s="1217"/>
      <c r="HA28" s="1217"/>
      <c r="HB28" s="1217"/>
      <c r="HC28" s="1217"/>
      <c r="HD28" s="1217"/>
      <c r="HE28" s="1217"/>
      <c r="HF28" s="1217"/>
      <c r="HG28" s="1217"/>
      <c r="HH28" s="1217"/>
      <c r="HI28" s="1217"/>
      <c r="HJ28" s="1217"/>
      <c r="HK28" s="1217"/>
      <c r="HL28" s="1217"/>
      <c r="HM28" s="1217"/>
      <c r="HN28" s="1217"/>
      <c r="HO28" s="1217"/>
      <c r="HP28" s="1217"/>
      <c r="HQ28" s="1217"/>
      <c r="HR28" s="1217"/>
      <c r="HS28" s="1217"/>
      <c r="HT28" s="1217"/>
      <c r="HU28" s="1217"/>
      <c r="HV28" s="1217"/>
      <c r="HW28" s="1217"/>
      <c r="HX28" s="1217"/>
      <c r="HY28" s="1217"/>
      <c r="HZ28" s="1217"/>
      <c r="IA28" s="1217"/>
      <c r="IB28" s="1217"/>
      <c r="IC28" s="1217"/>
      <c r="ID28" s="1217"/>
      <c r="IE28" s="1217"/>
      <c r="IF28" s="1217"/>
      <c r="IG28" s="1217"/>
      <c r="IH28" s="1217"/>
      <c r="II28" s="1217"/>
      <c r="IJ28" s="1217"/>
      <c r="IK28" s="1217"/>
      <c r="IL28" s="1217"/>
      <c r="IM28" s="1217"/>
      <c r="IN28" s="1217"/>
      <c r="IO28" s="1217"/>
      <c r="IP28" s="1217"/>
      <c r="IQ28" s="1217"/>
      <c r="IR28" s="1217"/>
    </row>
    <row r="29" spans="1:252">
      <c r="A29" s="1208">
        <v>3</v>
      </c>
      <c r="B29" s="1218" t="s">
        <v>43</v>
      </c>
      <c r="C29" s="1210">
        <v>2011</v>
      </c>
      <c r="D29" s="1219">
        <v>11.6</v>
      </c>
      <c r="E29" s="1219"/>
      <c r="F29" s="1219"/>
      <c r="G29" s="1219"/>
      <c r="H29" s="1220">
        <v>11.6</v>
      </c>
      <c r="I29" s="1220"/>
      <c r="J29" s="1217"/>
      <c r="K29" s="1217"/>
      <c r="L29" s="1217"/>
      <c r="M29" s="1217"/>
      <c r="N29" s="1217"/>
      <c r="O29" s="1217"/>
      <c r="P29" s="1217"/>
      <c r="Q29" s="1217"/>
      <c r="R29" s="1217"/>
      <c r="S29" s="1217"/>
      <c r="T29" s="1217"/>
      <c r="U29" s="1217"/>
      <c r="V29" s="1217"/>
      <c r="W29" s="1217"/>
      <c r="X29" s="1217"/>
      <c r="Y29" s="1217"/>
      <c r="Z29" s="1217"/>
      <c r="AA29" s="1217"/>
      <c r="AB29" s="1217"/>
      <c r="AC29" s="1217"/>
      <c r="AD29" s="1217"/>
      <c r="AE29" s="1217"/>
      <c r="AF29" s="1217"/>
      <c r="AG29" s="1217"/>
      <c r="AH29" s="1217"/>
      <c r="AI29" s="1217"/>
      <c r="AJ29" s="1217"/>
      <c r="AK29" s="1217"/>
      <c r="AL29" s="1217"/>
      <c r="AM29" s="1217"/>
      <c r="AN29" s="1217"/>
      <c r="AO29" s="1217"/>
      <c r="AP29" s="1217"/>
      <c r="AQ29" s="1217"/>
      <c r="AR29" s="1217"/>
      <c r="AS29" s="1217"/>
      <c r="AT29" s="1217"/>
      <c r="AU29" s="1217"/>
      <c r="AV29" s="1217"/>
      <c r="AW29" s="1217"/>
      <c r="AX29" s="1217"/>
      <c r="AY29" s="1217"/>
      <c r="AZ29" s="1217"/>
      <c r="BA29" s="1217"/>
      <c r="BB29" s="1217"/>
      <c r="BC29" s="1217"/>
      <c r="BD29" s="1217"/>
      <c r="BE29" s="1217"/>
      <c r="BF29" s="1217"/>
      <c r="BG29" s="1217"/>
      <c r="BH29" s="1217"/>
      <c r="BI29" s="1217"/>
      <c r="BJ29" s="1217"/>
      <c r="BK29" s="1217"/>
      <c r="BL29" s="1217"/>
      <c r="BM29" s="1217"/>
      <c r="BN29" s="1217"/>
      <c r="BO29" s="1217"/>
      <c r="BP29" s="1217"/>
      <c r="BQ29" s="1217"/>
      <c r="BR29" s="1217"/>
      <c r="BS29" s="1217"/>
      <c r="BT29" s="1217"/>
      <c r="BU29" s="1217"/>
      <c r="BV29" s="1217"/>
      <c r="BW29" s="1217"/>
      <c r="BX29" s="1217"/>
      <c r="BY29" s="1217"/>
      <c r="BZ29" s="1217"/>
      <c r="CA29" s="1217"/>
      <c r="CB29" s="1217"/>
      <c r="CC29" s="1217"/>
      <c r="CD29" s="1217"/>
      <c r="CE29" s="1217"/>
      <c r="CF29" s="1217"/>
      <c r="CG29" s="1217"/>
      <c r="CH29" s="1217"/>
      <c r="CI29" s="1217"/>
      <c r="CJ29" s="1217"/>
      <c r="CK29" s="1217"/>
      <c r="CL29" s="1217"/>
      <c r="CM29" s="1217"/>
      <c r="CN29" s="1217"/>
      <c r="CO29" s="1217"/>
      <c r="CP29" s="1217"/>
      <c r="CQ29" s="1217"/>
      <c r="CR29" s="1217"/>
      <c r="CS29" s="1217"/>
      <c r="CT29" s="1217"/>
      <c r="CU29" s="1217"/>
      <c r="CV29" s="1217"/>
      <c r="CW29" s="1217"/>
      <c r="CX29" s="1217"/>
      <c r="CY29" s="1217"/>
      <c r="CZ29" s="1217"/>
      <c r="DA29" s="1217"/>
      <c r="DB29" s="1217"/>
      <c r="DC29" s="1217"/>
      <c r="DD29" s="1217"/>
      <c r="DE29" s="1217"/>
      <c r="DF29" s="1217"/>
      <c r="DG29" s="1217"/>
      <c r="DH29" s="1217"/>
      <c r="DI29" s="1217"/>
      <c r="DJ29" s="1217"/>
      <c r="DK29" s="1217"/>
      <c r="DL29" s="1217"/>
      <c r="DM29" s="1217"/>
      <c r="DN29" s="1217"/>
      <c r="DO29" s="1217"/>
      <c r="DP29" s="1217"/>
      <c r="DQ29" s="1217"/>
      <c r="DR29" s="1217"/>
      <c r="DS29" s="1217"/>
      <c r="DT29" s="1217"/>
      <c r="DU29" s="1217"/>
      <c r="DV29" s="1217"/>
      <c r="DW29" s="1217"/>
      <c r="DX29" s="1217"/>
      <c r="DY29" s="1217"/>
      <c r="DZ29" s="1217"/>
      <c r="EA29" s="1217"/>
      <c r="EB29" s="1217"/>
      <c r="EC29" s="1217"/>
      <c r="ED29" s="1217"/>
      <c r="EE29" s="1217"/>
      <c r="EF29" s="1217"/>
      <c r="EG29" s="1217"/>
      <c r="EH29" s="1217"/>
      <c r="EI29" s="1217"/>
      <c r="EJ29" s="1217"/>
      <c r="EK29" s="1217"/>
      <c r="EL29" s="1217"/>
      <c r="EM29" s="1217"/>
      <c r="EN29" s="1217"/>
      <c r="EO29" s="1217"/>
      <c r="EP29" s="1217"/>
      <c r="EQ29" s="1217"/>
      <c r="ER29" s="1217"/>
      <c r="ES29" s="1217"/>
      <c r="ET29" s="1217"/>
      <c r="EU29" s="1217"/>
      <c r="EV29" s="1217"/>
      <c r="EW29" s="1217"/>
      <c r="EX29" s="1217"/>
      <c r="EY29" s="1217"/>
      <c r="EZ29" s="1217"/>
      <c r="FA29" s="1217"/>
      <c r="FB29" s="1217"/>
      <c r="FC29" s="1217"/>
      <c r="FD29" s="1217"/>
      <c r="FE29" s="1217"/>
      <c r="FF29" s="1217"/>
      <c r="FG29" s="1217"/>
      <c r="FH29" s="1217"/>
      <c r="FI29" s="1217"/>
      <c r="FJ29" s="1217"/>
      <c r="FK29" s="1217"/>
      <c r="FL29" s="1217"/>
      <c r="FM29" s="1217"/>
      <c r="FN29" s="1217"/>
      <c r="FO29" s="1217"/>
      <c r="FP29" s="1217"/>
      <c r="FQ29" s="1217"/>
      <c r="FR29" s="1217"/>
      <c r="FS29" s="1217"/>
      <c r="FT29" s="1217"/>
      <c r="FU29" s="1217"/>
      <c r="FV29" s="1217"/>
      <c r="FW29" s="1217"/>
      <c r="FX29" s="1217"/>
      <c r="FY29" s="1217"/>
      <c r="FZ29" s="1217"/>
      <c r="GA29" s="1217"/>
      <c r="GB29" s="1217"/>
      <c r="GC29" s="1217"/>
      <c r="GD29" s="1217"/>
      <c r="GE29" s="1217"/>
      <c r="GF29" s="1217"/>
      <c r="GG29" s="1217"/>
      <c r="GH29" s="1217"/>
      <c r="GI29" s="1217"/>
      <c r="GJ29" s="1217"/>
      <c r="GK29" s="1217"/>
      <c r="GL29" s="1217"/>
      <c r="GM29" s="1217"/>
      <c r="GN29" s="1217"/>
      <c r="GO29" s="1217"/>
      <c r="GP29" s="1217"/>
      <c r="GQ29" s="1217"/>
      <c r="GR29" s="1217"/>
      <c r="GS29" s="1217"/>
      <c r="GT29" s="1217"/>
      <c r="GU29" s="1217"/>
      <c r="GV29" s="1217"/>
      <c r="GW29" s="1217"/>
      <c r="GX29" s="1217"/>
      <c r="GY29" s="1217"/>
      <c r="GZ29" s="1217"/>
      <c r="HA29" s="1217"/>
      <c r="HB29" s="1217"/>
      <c r="HC29" s="1217"/>
      <c r="HD29" s="1217"/>
      <c r="HE29" s="1217"/>
      <c r="HF29" s="1217"/>
      <c r="HG29" s="1217"/>
      <c r="HH29" s="1217"/>
      <c r="HI29" s="1217"/>
      <c r="HJ29" s="1217"/>
      <c r="HK29" s="1217"/>
      <c r="HL29" s="1217"/>
      <c r="HM29" s="1217"/>
      <c r="HN29" s="1217"/>
      <c r="HO29" s="1217"/>
      <c r="HP29" s="1217"/>
      <c r="HQ29" s="1217"/>
      <c r="HR29" s="1217"/>
      <c r="HS29" s="1217"/>
      <c r="HT29" s="1217"/>
      <c r="HU29" s="1217"/>
      <c r="HV29" s="1217"/>
      <c r="HW29" s="1217"/>
      <c r="HX29" s="1217"/>
      <c r="HY29" s="1217"/>
      <c r="HZ29" s="1217"/>
      <c r="IA29" s="1217"/>
      <c r="IB29" s="1217"/>
      <c r="IC29" s="1217"/>
      <c r="ID29" s="1217"/>
      <c r="IE29" s="1217"/>
      <c r="IF29" s="1217"/>
      <c r="IG29" s="1217"/>
      <c r="IH29" s="1217"/>
      <c r="II29" s="1217"/>
      <c r="IJ29" s="1217"/>
      <c r="IK29" s="1217"/>
      <c r="IL29" s="1217"/>
      <c r="IM29" s="1217"/>
      <c r="IN29" s="1217"/>
      <c r="IO29" s="1217"/>
      <c r="IP29" s="1217"/>
      <c r="IQ29" s="1217"/>
      <c r="IR29" s="1217"/>
    </row>
    <row r="30" spans="1:252">
      <c r="A30" s="1208">
        <v>4</v>
      </c>
      <c r="B30" s="1218" t="s">
        <v>44</v>
      </c>
      <c r="C30" s="1210">
        <v>2011</v>
      </c>
      <c r="D30" s="1219">
        <v>23.5</v>
      </c>
      <c r="E30" s="1219"/>
      <c r="F30" s="1219"/>
      <c r="G30" s="1219"/>
      <c r="H30" s="1220">
        <v>23.5</v>
      </c>
      <c r="I30" s="1220"/>
      <c r="J30" s="1217"/>
      <c r="K30" s="1217"/>
      <c r="L30" s="1217"/>
      <c r="M30" s="1217"/>
      <c r="N30" s="1217"/>
      <c r="O30" s="1217"/>
      <c r="P30" s="1217"/>
      <c r="Q30" s="1217"/>
      <c r="R30" s="1217"/>
      <c r="S30" s="1217"/>
      <c r="T30" s="1217"/>
      <c r="U30" s="1217"/>
      <c r="V30" s="1217"/>
      <c r="W30" s="1217"/>
      <c r="X30" s="1217"/>
      <c r="Y30" s="1217"/>
      <c r="Z30" s="1217"/>
      <c r="AA30" s="1217"/>
      <c r="AB30" s="1217"/>
      <c r="AC30" s="1217"/>
      <c r="AD30" s="1217"/>
      <c r="AE30" s="1217"/>
      <c r="AF30" s="1217"/>
      <c r="AG30" s="1217"/>
      <c r="AH30" s="1217"/>
      <c r="AI30" s="1217"/>
      <c r="AJ30" s="1217"/>
      <c r="AK30" s="1217"/>
      <c r="AL30" s="1217"/>
      <c r="AM30" s="1217"/>
      <c r="AN30" s="1217"/>
      <c r="AO30" s="1217"/>
      <c r="AP30" s="1217"/>
      <c r="AQ30" s="1217"/>
      <c r="AR30" s="1217"/>
      <c r="AS30" s="1217"/>
      <c r="AT30" s="1217"/>
      <c r="AU30" s="1217"/>
      <c r="AV30" s="1217"/>
      <c r="AW30" s="1217"/>
      <c r="AX30" s="1217"/>
      <c r="AY30" s="1217"/>
      <c r="AZ30" s="1217"/>
      <c r="BA30" s="1217"/>
      <c r="BB30" s="1217"/>
      <c r="BC30" s="1217"/>
      <c r="BD30" s="1217"/>
      <c r="BE30" s="1217"/>
      <c r="BF30" s="1217"/>
      <c r="BG30" s="1217"/>
      <c r="BH30" s="1217"/>
      <c r="BI30" s="1217"/>
      <c r="BJ30" s="1217"/>
      <c r="BK30" s="1217"/>
      <c r="BL30" s="1217"/>
      <c r="BM30" s="1217"/>
      <c r="BN30" s="1217"/>
      <c r="BO30" s="1217"/>
      <c r="BP30" s="1217"/>
      <c r="BQ30" s="1217"/>
      <c r="BR30" s="1217"/>
      <c r="BS30" s="1217"/>
      <c r="BT30" s="1217"/>
      <c r="BU30" s="1217"/>
      <c r="BV30" s="1217"/>
      <c r="BW30" s="1217"/>
      <c r="BX30" s="1217"/>
      <c r="BY30" s="1217"/>
      <c r="BZ30" s="1217"/>
      <c r="CA30" s="1217"/>
      <c r="CB30" s="1217"/>
      <c r="CC30" s="1217"/>
      <c r="CD30" s="1217"/>
      <c r="CE30" s="1217"/>
      <c r="CF30" s="1217"/>
      <c r="CG30" s="1217"/>
      <c r="CH30" s="1217"/>
      <c r="CI30" s="1217"/>
      <c r="CJ30" s="1217"/>
      <c r="CK30" s="1217"/>
      <c r="CL30" s="1217"/>
      <c r="CM30" s="1217"/>
      <c r="CN30" s="1217"/>
      <c r="CO30" s="1217"/>
      <c r="CP30" s="1217"/>
      <c r="CQ30" s="1217"/>
      <c r="CR30" s="1217"/>
      <c r="CS30" s="1217"/>
      <c r="CT30" s="1217"/>
      <c r="CU30" s="1217"/>
      <c r="CV30" s="1217"/>
      <c r="CW30" s="1217"/>
      <c r="CX30" s="1217"/>
      <c r="CY30" s="1217"/>
      <c r="CZ30" s="1217"/>
      <c r="DA30" s="1217"/>
      <c r="DB30" s="1217"/>
      <c r="DC30" s="1217"/>
      <c r="DD30" s="1217"/>
      <c r="DE30" s="1217"/>
      <c r="DF30" s="1217"/>
      <c r="DG30" s="1217"/>
      <c r="DH30" s="1217"/>
      <c r="DI30" s="1217"/>
      <c r="DJ30" s="1217"/>
      <c r="DK30" s="1217"/>
      <c r="DL30" s="1217"/>
      <c r="DM30" s="1217"/>
      <c r="DN30" s="1217"/>
      <c r="DO30" s="1217"/>
      <c r="DP30" s="1217"/>
      <c r="DQ30" s="1217"/>
      <c r="DR30" s="1217"/>
      <c r="DS30" s="1217"/>
      <c r="DT30" s="1217"/>
      <c r="DU30" s="1217"/>
      <c r="DV30" s="1217"/>
      <c r="DW30" s="1217"/>
      <c r="DX30" s="1217"/>
      <c r="DY30" s="1217"/>
      <c r="DZ30" s="1217"/>
      <c r="EA30" s="1217"/>
      <c r="EB30" s="1217"/>
      <c r="EC30" s="1217"/>
      <c r="ED30" s="1217"/>
      <c r="EE30" s="1217"/>
      <c r="EF30" s="1217"/>
      <c r="EG30" s="1217"/>
      <c r="EH30" s="1217"/>
      <c r="EI30" s="1217"/>
      <c r="EJ30" s="1217"/>
      <c r="EK30" s="1217"/>
      <c r="EL30" s="1217"/>
      <c r="EM30" s="1217"/>
      <c r="EN30" s="1217"/>
      <c r="EO30" s="1217"/>
      <c r="EP30" s="1217"/>
      <c r="EQ30" s="1217"/>
      <c r="ER30" s="1217"/>
      <c r="ES30" s="1217"/>
      <c r="ET30" s="1217"/>
      <c r="EU30" s="1217"/>
      <c r="EV30" s="1217"/>
      <c r="EW30" s="1217"/>
      <c r="EX30" s="1217"/>
      <c r="EY30" s="1217"/>
      <c r="EZ30" s="1217"/>
      <c r="FA30" s="1217"/>
      <c r="FB30" s="1217"/>
      <c r="FC30" s="1217"/>
      <c r="FD30" s="1217"/>
      <c r="FE30" s="1217"/>
      <c r="FF30" s="1217"/>
      <c r="FG30" s="1217"/>
      <c r="FH30" s="1217"/>
      <c r="FI30" s="1217"/>
      <c r="FJ30" s="1217"/>
      <c r="FK30" s="1217"/>
      <c r="FL30" s="1217"/>
      <c r="FM30" s="1217"/>
      <c r="FN30" s="1217"/>
      <c r="FO30" s="1217"/>
      <c r="FP30" s="1217"/>
      <c r="FQ30" s="1217"/>
      <c r="FR30" s="1217"/>
      <c r="FS30" s="1217"/>
      <c r="FT30" s="1217"/>
      <c r="FU30" s="1217"/>
      <c r="FV30" s="1217"/>
      <c r="FW30" s="1217"/>
      <c r="FX30" s="1217"/>
      <c r="FY30" s="1217"/>
      <c r="FZ30" s="1217"/>
      <c r="GA30" s="1217"/>
      <c r="GB30" s="1217"/>
      <c r="GC30" s="1217"/>
      <c r="GD30" s="1217"/>
      <c r="GE30" s="1217"/>
      <c r="GF30" s="1217"/>
      <c r="GG30" s="1217"/>
      <c r="GH30" s="1217"/>
      <c r="GI30" s="1217"/>
      <c r="GJ30" s="1217"/>
      <c r="GK30" s="1217"/>
      <c r="GL30" s="1217"/>
      <c r="GM30" s="1217"/>
      <c r="GN30" s="1217"/>
      <c r="GO30" s="1217"/>
      <c r="GP30" s="1217"/>
      <c r="GQ30" s="1217"/>
      <c r="GR30" s="1217"/>
      <c r="GS30" s="1217"/>
      <c r="GT30" s="1217"/>
      <c r="GU30" s="1217"/>
      <c r="GV30" s="1217"/>
      <c r="GW30" s="1217"/>
      <c r="GX30" s="1217"/>
      <c r="GY30" s="1217"/>
      <c r="GZ30" s="1217"/>
      <c r="HA30" s="1217"/>
      <c r="HB30" s="1217"/>
      <c r="HC30" s="1217"/>
      <c r="HD30" s="1217"/>
      <c r="HE30" s="1217"/>
      <c r="HF30" s="1217"/>
      <c r="HG30" s="1217"/>
      <c r="HH30" s="1217"/>
      <c r="HI30" s="1217"/>
      <c r="HJ30" s="1217"/>
      <c r="HK30" s="1217"/>
      <c r="HL30" s="1217"/>
      <c r="HM30" s="1217"/>
      <c r="HN30" s="1217"/>
      <c r="HO30" s="1217"/>
      <c r="HP30" s="1217"/>
      <c r="HQ30" s="1217"/>
      <c r="HR30" s="1217"/>
      <c r="HS30" s="1217"/>
      <c r="HT30" s="1217"/>
      <c r="HU30" s="1217"/>
      <c r="HV30" s="1217"/>
      <c r="HW30" s="1217"/>
      <c r="HX30" s="1217"/>
      <c r="HY30" s="1217"/>
      <c r="HZ30" s="1217"/>
      <c r="IA30" s="1217"/>
      <c r="IB30" s="1217"/>
      <c r="IC30" s="1217"/>
      <c r="ID30" s="1217"/>
      <c r="IE30" s="1217"/>
      <c r="IF30" s="1217"/>
      <c r="IG30" s="1217"/>
      <c r="IH30" s="1217"/>
      <c r="II30" s="1217"/>
      <c r="IJ30" s="1217"/>
      <c r="IK30" s="1217"/>
      <c r="IL30" s="1217"/>
      <c r="IM30" s="1217"/>
      <c r="IN30" s="1217"/>
      <c r="IO30" s="1217"/>
      <c r="IP30" s="1217"/>
      <c r="IQ30" s="1217"/>
      <c r="IR30" s="1217"/>
    </row>
    <row r="31" spans="1:252">
      <c r="A31" s="1208">
        <v>5</v>
      </c>
      <c r="B31" s="1218" t="s">
        <v>45</v>
      </c>
      <c r="C31" s="1210">
        <v>2011</v>
      </c>
      <c r="D31" s="1219">
        <v>24.3</v>
      </c>
      <c r="E31" s="1219"/>
      <c r="F31" s="1219">
        <f>D31</f>
        <v>24.3</v>
      </c>
      <c r="G31" s="1219"/>
      <c r="H31" s="1220"/>
      <c r="I31" s="1220"/>
      <c r="J31" s="1227"/>
      <c r="K31" s="1227"/>
      <c r="L31" s="1227"/>
      <c r="M31" s="1227"/>
      <c r="N31" s="1227"/>
      <c r="O31" s="1227"/>
      <c r="P31" s="1227"/>
      <c r="Q31" s="1227"/>
      <c r="R31" s="1227"/>
      <c r="S31" s="1227"/>
      <c r="T31" s="1227"/>
      <c r="U31" s="1227"/>
      <c r="V31" s="1227"/>
      <c r="W31" s="1227"/>
      <c r="X31" s="1227"/>
      <c r="Y31" s="1227"/>
      <c r="Z31" s="1227"/>
      <c r="AA31" s="1227"/>
      <c r="AB31" s="1227"/>
      <c r="AC31" s="1227"/>
      <c r="AD31" s="1227"/>
      <c r="AE31" s="1227"/>
      <c r="AF31" s="1227"/>
      <c r="AG31" s="1227"/>
      <c r="AH31" s="1227"/>
      <c r="AI31" s="1227"/>
      <c r="AJ31" s="1227"/>
      <c r="AK31" s="1227"/>
      <c r="AL31" s="1227"/>
      <c r="AM31" s="1227"/>
      <c r="AN31" s="1227"/>
      <c r="AO31" s="1227"/>
      <c r="AP31" s="1227"/>
      <c r="AQ31" s="1227"/>
      <c r="AR31" s="1227"/>
      <c r="AS31" s="1227"/>
      <c r="AT31" s="1227"/>
      <c r="AU31" s="1227"/>
      <c r="AV31" s="1227"/>
      <c r="AW31" s="1227"/>
      <c r="AX31" s="1227"/>
      <c r="AY31" s="1227"/>
      <c r="AZ31" s="1227"/>
      <c r="BA31" s="1227"/>
      <c r="BB31" s="1227"/>
      <c r="BC31" s="1227"/>
      <c r="BD31" s="1227"/>
      <c r="BE31" s="1227"/>
      <c r="BF31" s="1227"/>
      <c r="BG31" s="1227"/>
      <c r="BH31" s="1227"/>
      <c r="BI31" s="1227"/>
      <c r="BJ31" s="1227"/>
      <c r="BK31" s="1227"/>
      <c r="BL31" s="1227"/>
      <c r="BM31" s="1227"/>
      <c r="BN31" s="1227"/>
      <c r="BO31" s="1227"/>
      <c r="BP31" s="1227"/>
      <c r="BQ31" s="1227"/>
      <c r="BR31" s="1227"/>
      <c r="BS31" s="1227"/>
      <c r="BT31" s="1227"/>
      <c r="BU31" s="1227"/>
      <c r="BV31" s="1227"/>
      <c r="BW31" s="1227"/>
      <c r="BX31" s="1227"/>
      <c r="BY31" s="1227"/>
      <c r="BZ31" s="1227"/>
      <c r="CA31" s="1227"/>
      <c r="CB31" s="1227"/>
      <c r="CC31" s="1227"/>
      <c r="CD31" s="1227"/>
      <c r="CE31" s="1227"/>
      <c r="CF31" s="1227"/>
      <c r="CG31" s="1227"/>
      <c r="CH31" s="1227"/>
      <c r="CI31" s="1227"/>
      <c r="CJ31" s="1227"/>
      <c r="CK31" s="1227"/>
      <c r="CL31" s="1227"/>
      <c r="CM31" s="1227"/>
      <c r="CN31" s="1227"/>
      <c r="CO31" s="1227"/>
      <c r="CP31" s="1227"/>
      <c r="CQ31" s="1227"/>
      <c r="CR31" s="1227"/>
      <c r="CS31" s="1227"/>
      <c r="CT31" s="1227"/>
      <c r="CU31" s="1227"/>
      <c r="CV31" s="1227"/>
      <c r="CW31" s="1227"/>
      <c r="CX31" s="1227"/>
      <c r="CY31" s="1227"/>
      <c r="CZ31" s="1227"/>
      <c r="DA31" s="1227"/>
      <c r="DB31" s="1227"/>
      <c r="DC31" s="1227"/>
      <c r="DD31" s="1227"/>
      <c r="DE31" s="1227"/>
      <c r="DF31" s="1227"/>
      <c r="DG31" s="1227"/>
      <c r="DH31" s="1227"/>
      <c r="DI31" s="1227"/>
      <c r="DJ31" s="1227"/>
      <c r="DK31" s="1227"/>
      <c r="DL31" s="1227"/>
      <c r="DM31" s="1227"/>
      <c r="DN31" s="1227"/>
      <c r="DO31" s="1227"/>
      <c r="DP31" s="1227"/>
      <c r="DQ31" s="1227"/>
      <c r="DR31" s="1227"/>
      <c r="DS31" s="1227"/>
      <c r="DT31" s="1227"/>
      <c r="DU31" s="1227"/>
      <c r="DV31" s="1227"/>
      <c r="DW31" s="1227"/>
      <c r="DX31" s="1227"/>
      <c r="DY31" s="1227"/>
      <c r="DZ31" s="1227"/>
      <c r="EA31" s="1227"/>
      <c r="EB31" s="1227"/>
      <c r="EC31" s="1227"/>
      <c r="ED31" s="1227"/>
      <c r="EE31" s="1227"/>
      <c r="EF31" s="1227"/>
      <c r="EG31" s="1227"/>
      <c r="EH31" s="1227"/>
      <c r="EI31" s="1227"/>
      <c r="EJ31" s="1227"/>
      <c r="EK31" s="1227"/>
      <c r="EL31" s="1227"/>
      <c r="EM31" s="1227"/>
      <c r="EN31" s="1227"/>
      <c r="EO31" s="1227"/>
      <c r="EP31" s="1227"/>
      <c r="EQ31" s="1227"/>
      <c r="ER31" s="1227"/>
      <c r="ES31" s="1227"/>
      <c r="ET31" s="1227"/>
      <c r="EU31" s="1227"/>
      <c r="EV31" s="1227"/>
      <c r="EW31" s="1227"/>
      <c r="EX31" s="1227"/>
      <c r="EY31" s="1227"/>
      <c r="EZ31" s="1227"/>
      <c r="FA31" s="1227"/>
      <c r="FB31" s="1227"/>
      <c r="FC31" s="1227"/>
      <c r="FD31" s="1227"/>
      <c r="FE31" s="1227"/>
      <c r="FF31" s="1227"/>
      <c r="FG31" s="1227"/>
      <c r="FH31" s="1227"/>
      <c r="FI31" s="1227"/>
      <c r="FJ31" s="1227"/>
      <c r="FK31" s="1227"/>
      <c r="FL31" s="1227"/>
      <c r="FM31" s="1227"/>
      <c r="FN31" s="1227"/>
      <c r="FO31" s="1227"/>
      <c r="FP31" s="1227"/>
      <c r="FQ31" s="1227"/>
      <c r="FR31" s="1227"/>
      <c r="FS31" s="1227"/>
      <c r="FT31" s="1227"/>
      <c r="FU31" s="1227"/>
      <c r="FV31" s="1227"/>
      <c r="FW31" s="1227"/>
      <c r="FX31" s="1227"/>
      <c r="FY31" s="1227"/>
      <c r="FZ31" s="1227"/>
      <c r="GA31" s="1227"/>
      <c r="GB31" s="1227"/>
      <c r="GC31" s="1227"/>
      <c r="GD31" s="1227"/>
      <c r="GE31" s="1227"/>
      <c r="GF31" s="1227"/>
      <c r="GG31" s="1227"/>
      <c r="GH31" s="1227"/>
      <c r="GI31" s="1227"/>
      <c r="GJ31" s="1227"/>
      <c r="GK31" s="1227"/>
      <c r="GL31" s="1227"/>
      <c r="GM31" s="1227"/>
      <c r="GN31" s="1227"/>
      <c r="GO31" s="1227"/>
      <c r="GP31" s="1227"/>
      <c r="GQ31" s="1227"/>
      <c r="GR31" s="1227"/>
      <c r="GS31" s="1227"/>
      <c r="GT31" s="1227"/>
      <c r="GU31" s="1227"/>
      <c r="GV31" s="1227"/>
      <c r="GW31" s="1227"/>
      <c r="GX31" s="1227"/>
      <c r="GY31" s="1227"/>
      <c r="GZ31" s="1227"/>
      <c r="HA31" s="1227"/>
      <c r="HB31" s="1227"/>
      <c r="HC31" s="1227"/>
      <c r="HD31" s="1227"/>
      <c r="HE31" s="1227"/>
      <c r="HF31" s="1227"/>
      <c r="HG31" s="1227"/>
      <c r="HH31" s="1227"/>
      <c r="HI31" s="1227"/>
      <c r="HJ31" s="1227"/>
      <c r="HK31" s="1227"/>
      <c r="HL31" s="1227"/>
      <c r="HM31" s="1227"/>
      <c r="HN31" s="1227"/>
      <c r="HO31" s="1227"/>
      <c r="HP31" s="1227"/>
      <c r="HQ31" s="1227"/>
      <c r="HR31" s="1227"/>
      <c r="HS31" s="1227"/>
      <c r="HT31" s="1227"/>
      <c r="HU31" s="1227"/>
      <c r="HV31" s="1227"/>
      <c r="HW31" s="1227"/>
      <c r="HX31" s="1227"/>
      <c r="HY31" s="1227"/>
      <c r="HZ31" s="1227"/>
      <c r="IA31" s="1227"/>
      <c r="IB31" s="1227"/>
      <c r="IC31" s="1227"/>
      <c r="ID31" s="1227"/>
      <c r="IE31" s="1227"/>
      <c r="IF31" s="1227"/>
      <c r="IG31" s="1227"/>
      <c r="IH31" s="1227"/>
      <c r="II31" s="1227"/>
      <c r="IJ31" s="1227"/>
      <c r="IK31" s="1227"/>
      <c r="IL31" s="1227"/>
      <c r="IM31" s="1227"/>
      <c r="IN31" s="1227"/>
      <c r="IO31" s="1227"/>
      <c r="IP31" s="1227"/>
      <c r="IQ31" s="1227"/>
      <c r="IR31" s="1227"/>
    </row>
    <row r="32" spans="1:252">
      <c r="A32" s="1208">
        <v>6</v>
      </c>
      <c r="B32" s="1218" t="s">
        <v>46</v>
      </c>
      <c r="C32" s="1210">
        <v>2011</v>
      </c>
      <c r="D32" s="1219">
        <v>24.3</v>
      </c>
      <c r="E32" s="1219"/>
      <c r="F32" s="1219">
        <f>D32</f>
        <v>24.3</v>
      </c>
      <c r="G32" s="1219"/>
      <c r="H32" s="1220"/>
      <c r="I32" s="1220"/>
      <c r="J32" s="1228"/>
      <c r="K32" s="1228"/>
      <c r="L32" s="1228"/>
      <c r="M32" s="1228"/>
      <c r="N32" s="1228"/>
      <c r="O32" s="1228"/>
      <c r="P32" s="1228"/>
      <c r="Q32" s="1228"/>
      <c r="R32" s="1228"/>
      <c r="S32" s="1228"/>
      <c r="T32" s="1228"/>
      <c r="U32" s="1228"/>
      <c r="V32" s="1228"/>
      <c r="W32" s="1228"/>
      <c r="X32" s="1228"/>
      <c r="Y32" s="1228"/>
      <c r="Z32" s="1228"/>
      <c r="AA32" s="1228"/>
      <c r="AB32" s="1228"/>
      <c r="AC32" s="1228"/>
      <c r="AD32" s="1228"/>
      <c r="AE32" s="1228"/>
      <c r="AF32" s="1228"/>
      <c r="AG32" s="1228"/>
      <c r="AH32" s="1228"/>
      <c r="AI32" s="1228"/>
      <c r="AJ32" s="1228"/>
      <c r="AK32" s="1228"/>
      <c r="AL32" s="1228"/>
      <c r="AM32" s="1228"/>
      <c r="AN32" s="1228"/>
      <c r="AO32" s="1228"/>
      <c r="AP32" s="1228"/>
      <c r="AQ32" s="1228"/>
      <c r="AR32" s="1228"/>
      <c r="AS32" s="1228"/>
      <c r="AT32" s="1228"/>
      <c r="AU32" s="1228"/>
      <c r="AV32" s="1228"/>
      <c r="AW32" s="1228"/>
      <c r="AX32" s="1228"/>
      <c r="AY32" s="1228"/>
      <c r="AZ32" s="1228"/>
      <c r="BA32" s="1228"/>
      <c r="BB32" s="1228"/>
      <c r="BC32" s="1228"/>
      <c r="BD32" s="1228"/>
      <c r="BE32" s="1228"/>
      <c r="BF32" s="1228"/>
      <c r="BG32" s="1228"/>
      <c r="BH32" s="1228"/>
      <c r="BI32" s="1228"/>
      <c r="BJ32" s="1228"/>
      <c r="BK32" s="1228"/>
      <c r="BL32" s="1228"/>
      <c r="BM32" s="1228"/>
      <c r="BN32" s="1228"/>
      <c r="BO32" s="1228"/>
      <c r="BP32" s="1228"/>
      <c r="BQ32" s="1228"/>
      <c r="BR32" s="1228"/>
      <c r="BS32" s="1228"/>
      <c r="BT32" s="1228"/>
      <c r="BU32" s="1228"/>
      <c r="BV32" s="1228"/>
      <c r="BW32" s="1228"/>
      <c r="BX32" s="1228"/>
      <c r="BY32" s="1228"/>
      <c r="BZ32" s="1228"/>
      <c r="CA32" s="1228"/>
      <c r="CB32" s="1228"/>
      <c r="CC32" s="1228"/>
      <c r="CD32" s="1228"/>
      <c r="CE32" s="1228"/>
      <c r="CF32" s="1228"/>
      <c r="CG32" s="1228"/>
      <c r="CH32" s="1228"/>
      <c r="CI32" s="1228"/>
      <c r="CJ32" s="1228"/>
      <c r="CK32" s="1228"/>
      <c r="CL32" s="1228"/>
      <c r="CM32" s="1228"/>
      <c r="CN32" s="1228"/>
      <c r="CO32" s="1228"/>
      <c r="CP32" s="1228"/>
      <c r="CQ32" s="1228"/>
      <c r="CR32" s="1228"/>
      <c r="CS32" s="1228"/>
      <c r="CT32" s="1228"/>
      <c r="CU32" s="1228"/>
      <c r="CV32" s="1228"/>
      <c r="CW32" s="1228"/>
      <c r="CX32" s="1228"/>
      <c r="CY32" s="1228"/>
      <c r="CZ32" s="1228"/>
      <c r="DA32" s="1228"/>
      <c r="DB32" s="1228"/>
      <c r="DC32" s="1228"/>
      <c r="DD32" s="1228"/>
      <c r="DE32" s="1228"/>
      <c r="DF32" s="1228"/>
      <c r="DG32" s="1228"/>
      <c r="DH32" s="1228"/>
      <c r="DI32" s="1228"/>
      <c r="DJ32" s="1228"/>
      <c r="DK32" s="1228"/>
      <c r="DL32" s="1228"/>
      <c r="DM32" s="1228"/>
      <c r="DN32" s="1228"/>
      <c r="DO32" s="1228"/>
      <c r="DP32" s="1228"/>
      <c r="DQ32" s="1228"/>
      <c r="DR32" s="1228"/>
      <c r="DS32" s="1228"/>
      <c r="DT32" s="1228"/>
      <c r="DU32" s="1228"/>
      <c r="DV32" s="1228"/>
      <c r="DW32" s="1228"/>
      <c r="DX32" s="1228"/>
      <c r="DY32" s="1228"/>
      <c r="DZ32" s="1228"/>
      <c r="EA32" s="1228"/>
      <c r="EB32" s="1228"/>
      <c r="EC32" s="1228"/>
      <c r="ED32" s="1228"/>
      <c r="EE32" s="1228"/>
      <c r="EF32" s="1228"/>
      <c r="EG32" s="1228"/>
      <c r="EH32" s="1228"/>
      <c r="EI32" s="1228"/>
      <c r="EJ32" s="1228"/>
      <c r="EK32" s="1228"/>
      <c r="EL32" s="1228"/>
      <c r="EM32" s="1228"/>
      <c r="EN32" s="1228"/>
      <c r="EO32" s="1228"/>
      <c r="EP32" s="1228"/>
      <c r="EQ32" s="1228"/>
      <c r="ER32" s="1228"/>
      <c r="ES32" s="1228"/>
      <c r="ET32" s="1228"/>
      <c r="EU32" s="1228"/>
      <c r="EV32" s="1228"/>
      <c r="EW32" s="1228"/>
      <c r="EX32" s="1228"/>
      <c r="EY32" s="1228"/>
      <c r="EZ32" s="1228"/>
      <c r="FA32" s="1228"/>
      <c r="FB32" s="1228"/>
      <c r="FC32" s="1228"/>
      <c r="FD32" s="1228"/>
      <c r="FE32" s="1228"/>
      <c r="FF32" s="1228"/>
      <c r="FG32" s="1228"/>
      <c r="FH32" s="1228"/>
      <c r="FI32" s="1228"/>
      <c r="FJ32" s="1228"/>
      <c r="FK32" s="1228"/>
      <c r="FL32" s="1228"/>
      <c r="FM32" s="1228"/>
      <c r="FN32" s="1228"/>
      <c r="FO32" s="1228"/>
      <c r="FP32" s="1228"/>
      <c r="FQ32" s="1228"/>
      <c r="FR32" s="1228"/>
      <c r="FS32" s="1228"/>
      <c r="FT32" s="1228"/>
      <c r="FU32" s="1228"/>
      <c r="FV32" s="1228"/>
      <c r="FW32" s="1228"/>
      <c r="FX32" s="1228"/>
      <c r="FY32" s="1228"/>
      <c r="FZ32" s="1228"/>
      <c r="GA32" s="1228"/>
      <c r="GB32" s="1228"/>
      <c r="GC32" s="1228"/>
      <c r="GD32" s="1228"/>
      <c r="GE32" s="1228"/>
      <c r="GF32" s="1228"/>
      <c r="GG32" s="1228"/>
      <c r="GH32" s="1228"/>
      <c r="GI32" s="1228"/>
      <c r="GJ32" s="1228"/>
      <c r="GK32" s="1228"/>
      <c r="GL32" s="1228"/>
      <c r="GM32" s="1228"/>
      <c r="GN32" s="1228"/>
      <c r="GO32" s="1228"/>
      <c r="GP32" s="1228"/>
      <c r="GQ32" s="1228"/>
      <c r="GR32" s="1228"/>
      <c r="GS32" s="1228"/>
      <c r="GT32" s="1228"/>
      <c r="GU32" s="1228"/>
      <c r="GV32" s="1228"/>
      <c r="GW32" s="1228"/>
      <c r="GX32" s="1228"/>
      <c r="GY32" s="1228"/>
      <c r="GZ32" s="1228"/>
      <c r="HA32" s="1228"/>
      <c r="HB32" s="1228"/>
      <c r="HC32" s="1228"/>
      <c r="HD32" s="1228"/>
      <c r="HE32" s="1228"/>
      <c r="HF32" s="1228"/>
      <c r="HG32" s="1228"/>
      <c r="HH32" s="1228"/>
      <c r="HI32" s="1228"/>
      <c r="HJ32" s="1228"/>
      <c r="HK32" s="1228"/>
      <c r="HL32" s="1228"/>
      <c r="HM32" s="1228"/>
      <c r="HN32" s="1228"/>
      <c r="HO32" s="1228"/>
      <c r="HP32" s="1228"/>
      <c r="HQ32" s="1228"/>
      <c r="HR32" s="1228"/>
      <c r="HS32" s="1228"/>
      <c r="HT32" s="1228"/>
      <c r="HU32" s="1228"/>
      <c r="HV32" s="1228"/>
      <c r="HW32" s="1228"/>
      <c r="HX32" s="1228"/>
      <c r="HY32" s="1228"/>
      <c r="HZ32" s="1228"/>
      <c r="IA32" s="1228"/>
      <c r="IB32" s="1228"/>
      <c r="IC32" s="1228"/>
      <c r="ID32" s="1228"/>
      <c r="IE32" s="1228"/>
      <c r="IF32" s="1228"/>
      <c r="IG32" s="1228"/>
      <c r="IH32" s="1228"/>
      <c r="II32" s="1228"/>
      <c r="IJ32" s="1228"/>
      <c r="IK32" s="1228"/>
      <c r="IL32" s="1228"/>
      <c r="IM32" s="1228"/>
      <c r="IN32" s="1228"/>
      <c r="IO32" s="1228"/>
      <c r="IP32" s="1228"/>
      <c r="IQ32" s="1228"/>
      <c r="IR32" s="1228"/>
    </row>
    <row r="33" spans="1:252">
      <c r="A33" s="1208">
        <v>7</v>
      </c>
      <c r="B33" s="1221" t="s">
        <v>47</v>
      </c>
      <c r="C33" s="1222">
        <v>2011</v>
      </c>
      <c r="D33" s="1223">
        <v>23</v>
      </c>
      <c r="E33" s="1223"/>
      <c r="F33" s="1223">
        <f>D33</f>
        <v>23</v>
      </c>
      <c r="G33" s="1223"/>
      <c r="H33" s="1224"/>
      <c r="I33" s="1224"/>
      <c r="J33" s="1217"/>
      <c r="K33" s="1217"/>
      <c r="L33" s="1217"/>
      <c r="M33" s="1217"/>
      <c r="N33" s="1217"/>
      <c r="O33" s="1217"/>
      <c r="P33" s="1217"/>
      <c r="Q33" s="1217"/>
      <c r="R33" s="1217"/>
      <c r="S33" s="1217"/>
      <c r="T33" s="1217"/>
      <c r="U33" s="1217"/>
      <c r="V33" s="1217"/>
      <c r="W33" s="1217"/>
      <c r="X33" s="1217"/>
      <c r="Y33" s="1217"/>
      <c r="Z33" s="1217"/>
      <c r="AA33" s="1217"/>
      <c r="AB33" s="1217"/>
      <c r="AC33" s="1217"/>
      <c r="AD33" s="1217"/>
      <c r="AE33" s="1217"/>
      <c r="AF33" s="1217"/>
      <c r="AG33" s="1217"/>
      <c r="AH33" s="1217"/>
      <c r="AI33" s="1217"/>
      <c r="AJ33" s="1217"/>
      <c r="AK33" s="1217"/>
      <c r="AL33" s="1217"/>
      <c r="AM33" s="1217"/>
      <c r="AN33" s="1217"/>
      <c r="AO33" s="1217"/>
      <c r="AP33" s="1217"/>
      <c r="AQ33" s="1217"/>
      <c r="AR33" s="1217"/>
      <c r="AS33" s="1217"/>
      <c r="AT33" s="1217"/>
      <c r="AU33" s="1217"/>
      <c r="AV33" s="1217"/>
      <c r="AW33" s="1217"/>
      <c r="AX33" s="1217"/>
      <c r="AY33" s="1217"/>
      <c r="AZ33" s="1217"/>
      <c r="BA33" s="1217"/>
      <c r="BB33" s="1217"/>
      <c r="BC33" s="1217"/>
      <c r="BD33" s="1217"/>
      <c r="BE33" s="1217"/>
      <c r="BF33" s="1217"/>
      <c r="BG33" s="1217"/>
      <c r="BH33" s="1217"/>
      <c r="BI33" s="1217"/>
      <c r="BJ33" s="1217"/>
      <c r="BK33" s="1217"/>
      <c r="BL33" s="1217"/>
      <c r="BM33" s="1217"/>
      <c r="BN33" s="1217"/>
      <c r="BO33" s="1217"/>
      <c r="BP33" s="1217"/>
      <c r="BQ33" s="1217"/>
      <c r="BR33" s="1217"/>
      <c r="BS33" s="1217"/>
      <c r="BT33" s="1217"/>
      <c r="BU33" s="1217"/>
      <c r="BV33" s="1217"/>
      <c r="BW33" s="1217"/>
      <c r="BX33" s="1217"/>
      <c r="BY33" s="1217"/>
      <c r="BZ33" s="1217"/>
      <c r="CA33" s="1217"/>
      <c r="CB33" s="1217"/>
      <c r="CC33" s="1217"/>
      <c r="CD33" s="1217"/>
      <c r="CE33" s="1217"/>
      <c r="CF33" s="1217"/>
      <c r="CG33" s="1217"/>
      <c r="CH33" s="1217"/>
      <c r="CI33" s="1217"/>
      <c r="CJ33" s="1217"/>
      <c r="CK33" s="1217"/>
      <c r="CL33" s="1217"/>
      <c r="CM33" s="1217"/>
      <c r="CN33" s="1217"/>
      <c r="CO33" s="1217"/>
      <c r="CP33" s="1217"/>
      <c r="CQ33" s="1217"/>
      <c r="CR33" s="1217"/>
      <c r="CS33" s="1217"/>
      <c r="CT33" s="1217"/>
      <c r="CU33" s="1217"/>
      <c r="CV33" s="1217"/>
      <c r="CW33" s="1217"/>
      <c r="CX33" s="1217"/>
      <c r="CY33" s="1217"/>
      <c r="CZ33" s="1217"/>
      <c r="DA33" s="1217"/>
      <c r="DB33" s="1217"/>
      <c r="DC33" s="1217"/>
      <c r="DD33" s="1217"/>
      <c r="DE33" s="1217"/>
      <c r="DF33" s="1217"/>
      <c r="DG33" s="1217"/>
      <c r="DH33" s="1217"/>
      <c r="DI33" s="1217"/>
      <c r="DJ33" s="1217"/>
      <c r="DK33" s="1217"/>
      <c r="DL33" s="1217"/>
      <c r="DM33" s="1217"/>
      <c r="DN33" s="1217"/>
      <c r="DO33" s="1217"/>
      <c r="DP33" s="1217"/>
      <c r="DQ33" s="1217"/>
      <c r="DR33" s="1217"/>
      <c r="DS33" s="1217"/>
      <c r="DT33" s="1217"/>
      <c r="DU33" s="1217"/>
      <c r="DV33" s="1217"/>
      <c r="DW33" s="1217"/>
      <c r="DX33" s="1217"/>
      <c r="DY33" s="1217"/>
      <c r="DZ33" s="1217"/>
      <c r="EA33" s="1217"/>
      <c r="EB33" s="1217"/>
      <c r="EC33" s="1217"/>
      <c r="ED33" s="1217"/>
      <c r="EE33" s="1217"/>
      <c r="EF33" s="1217"/>
      <c r="EG33" s="1217"/>
      <c r="EH33" s="1217"/>
      <c r="EI33" s="1217"/>
      <c r="EJ33" s="1217"/>
      <c r="EK33" s="1217"/>
      <c r="EL33" s="1217"/>
      <c r="EM33" s="1217"/>
      <c r="EN33" s="1217"/>
      <c r="EO33" s="1217"/>
      <c r="EP33" s="1217"/>
      <c r="EQ33" s="1217"/>
      <c r="ER33" s="1217"/>
      <c r="ES33" s="1217"/>
      <c r="ET33" s="1217"/>
      <c r="EU33" s="1217"/>
      <c r="EV33" s="1217"/>
      <c r="EW33" s="1217"/>
      <c r="EX33" s="1217"/>
      <c r="EY33" s="1217"/>
      <c r="EZ33" s="1217"/>
      <c r="FA33" s="1217"/>
      <c r="FB33" s="1217"/>
      <c r="FC33" s="1217"/>
      <c r="FD33" s="1217"/>
      <c r="FE33" s="1217"/>
      <c r="FF33" s="1217"/>
      <c r="FG33" s="1217"/>
      <c r="FH33" s="1217"/>
      <c r="FI33" s="1217"/>
      <c r="FJ33" s="1217"/>
      <c r="FK33" s="1217"/>
      <c r="FL33" s="1217"/>
      <c r="FM33" s="1217"/>
      <c r="FN33" s="1217"/>
      <c r="FO33" s="1217"/>
      <c r="FP33" s="1217"/>
      <c r="FQ33" s="1217"/>
      <c r="FR33" s="1217"/>
      <c r="FS33" s="1217"/>
      <c r="FT33" s="1217"/>
      <c r="FU33" s="1217"/>
      <c r="FV33" s="1217"/>
      <c r="FW33" s="1217"/>
      <c r="FX33" s="1217"/>
      <c r="FY33" s="1217"/>
      <c r="FZ33" s="1217"/>
      <c r="GA33" s="1217"/>
      <c r="GB33" s="1217"/>
      <c r="GC33" s="1217"/>
      <c r="GD33" s="1217"/>
      <c r="GE33" s="1217"/>
      <c r="GF33" s="1217"/>
      <c r="GG33" s="1217"/>
      <c r="GH33" s="1217"/>
      <c r="GI33" s="1217"/>
      <c r="GJ33" s="1217"/>
      <c r="GK33" s="1217"/>
      <c r="GL33" s="1217"/>
      <c r="GM33" s="1217"/>
      <c r="GN33" s="1217"/>
      <c r="GO33" s="1217"/>
      <c r="GP33" s="1217"/>
      <c r="GQ33" s="1217"/>
      <c r="GR33" s="1217"/>
      <c r="GS33" s="1217"/>
      <c r="GT33" s="1217"/>
      <c r="GU33" s="1217"/>
      <c r="GV33" s="1217"/>
      <c r="GW33" s="1217"/>
      <c r="GX33" s="1217"/>
      <c r="GY33" s="1217"/>
      <c r="GZ33" s="1217"/>
      <c r="HA33" s="1217"/>
      <c r="HB33" s="1217"/>
      <c r="HC33" s="1217"/>
      <c r="HD33" s="1217"/>
      <c r="HE33" s="1217"/>
      <c r="HF33" s="1217"/>
      <c r="HG33" s="1217"/>
      <c r="HH33" s="1217"/>
      <c r="HI33" s="1217"/>
      <c r="HJ33" s="1217"/>
      <c r="HK33" s="1217"/>
      <c r="HL33" s="1217"/>
      <c r="HM33" s="1217"/>
      <c r="HN33" s="1217"/>
      <c r="HO33" s="1217"/>
      <c r="HP33" s="1217"/>
      <c r="HQ33" s="1217"/>
      <c r="HR33" s="1217"/>
      <c r="HS33" s="1217"/>
      <c r="HT33" s="1217"/>
      <c r="HU33" s="1217"/>
      <c r="HV33" s="1217"/>
      <c r="HW33" s="1217"/>
      <c r="HX33" s="1217"/>
      <c r="HY33" s="1217"/>
      <c r="HZ33" s="1217"/>
      <c r="IA33" s="1217"/>
      <c r="IB33" s="1217"/>
      <c r="IC33" s="1217"/>
      <c r="ID33" s="1217"/>
      <c r="IE33" s="1217"/>
      <c r="IF33" s="1217"/>
      <c r="IG33" s="1217"/>
      <c r="IH33" s="1217"/>
      <c r="II33" s="1217"/>
      <c r="IJ33" s="1217"/>
      <c r="IK33" s="1217"/>
      <c r="IL33" s="1217"/>
      <c r="IM33" s="1217"/>
      <c r="IN33" s="1217"/>
      <c r="IO33" s="1217"/>
      <c r="IP33" s="1217"/>
      <c r="IQ33" s="1217"/>
      <c r="IR33" s="1217"/>
    </row>
    <row r="34" spans="1:252">
      <c r="A34" s="1208">
        <v>8</v>
      </c>
      <c r="B34" s="1209" t="s">
        <v>48</v>
      </c>
      <c r="C34" s="1210">
        <v>2012</v>
      </c>
      <c r="D34" s="1219">
        <v>8.9</v>
      </c>
      <c r="E34" s="1219"/>
      <c r="F34" s="1219"/>
      <c r="G34" s="1219"/>
      <c r="H34" s="1220">
        <v>8.9</v>
      </c>
      <c r="I34" s="1220"/>
      <c r="J34" s="1217"/>
      <c r="K34" s="1217"/>
      <c r="L34" s="1217"/>
      <c r="M34" s="1217"/>
      <c r="N34" s="1217"/>
      <c r="O34" s="1217"/>
      <c r="P34" s="1217"/>
      <c r="Q34" s="1217"/>
      <c r="R34" s="1217"/>
      <c r="S34" s="1217"/>
      <c r="T34" s="1217"/>
      <c r="U34" s="1217"/>
      <c r="V34" s="1217"/>
      <c r="W34" s="1217"/>
      <c r="X34" s="1217"/>
      <c r="Y34" s="1217"/>
      <c r="Z34" s="1217"/>
      <c r="AA34" s="1217"/>
      <c r="AB34" s="1217"/>
      <c r="AC34" s="1217"/>
      <c r="AD34" s="1217"/>
      <c r="AE34" s="1217"/>
      <c r="AF34" s="1217"/>
      <c r="AG34" s="1217"/>
      <c r="AH34" s="1217"/>
      <c r="AI34" s="1217"/>
      <c r="AJ34" s="1217"/>
      <c r="AK34" s="1217"/>
      <c r="AL34" s="1217"/>
      <c r="AM34" s="1217"/>
      <c r="AN34" s="1217"/>
      <c r="AO34" s="1217"/>
      <c r="AP34" s="1217"/>
      <c r="AQ34" s="1217"/>
      <c r="AR34" s="1217"/>
      <c r="AS34" s="1217"/>
      <c r="AT34" s="1217"/>
      <c r="AU34" s="1217"/>
      <c r="AV34" s="1217"/>
      <c r="AW34" s="1217"/>
      <c r="AX34" s="1217"/>
      <c r="AY34" s="1217"/>
      <c r="AZ34" s="1217"/>
      <c r="BA34" s="1217"/>
      <c r="BB34" s="1217"/>
      <c r="BC34" s="1217"/>
      <c r="BD34" s="1217"/>
      <c r="BE34" s="1217"/>
      <c r="BF34" s="1217"/>
      <c r="BG34" s="1217"/>
      <c r="BH34" s="1217"/>
      <c r="BI34" s="1217"/>
      <c r="BJ34" s="1217"/>
      <c r="BK34" s="1217"/>
      <c r="BL34" s="1217"/>
      <c r="BM34" s="1217"/>
      <c r="BN34" s="1217"/>
      <c r="BO34" s="1217"/>
      <c r="BP34" s="1217"/>
      <c r="BQ34" s="1217"/>
      <c r="BR34" s="1217"/>
      <c r="BS34" s="1217"/>
      <c r="BT34" s="1217"/>
      <c r="BU34" s="1217"/>
      <c r="BV34" s="1217"/>
      <c r="BW34" s="1217"/>
      <c r="BX34" s="1217"/>
      <c r="BY34" s="1217"/>
      <c r="BZ34" s="1217"/>
      <c r="CA34" s="1217"/>
      <c r="CB34" s="1217"/>
      <c r="CC34" s="1217"/>
      <c r="CD34" s="1217"/>
      <c r="CE34" s="1217"/>
      <c r="CF34" s="1217"/>
      <c r="CG34" s="1217"/>
      <c r="CH34" s="1217"/>
      <c r="CI34" s="1217"/>
      <c r="CJ34" s="1217"/>
      <c r="CK34" s="1217"/>
      <c r="CL34" s="1217"/>
      <c r="CM34" s="1217"/>
      <c r="CN34" s="1217"/>
      <c r="CO34" s="1217"/>
      <c r="CP34" s="1217"/>
      <c r="CQ34" s="1217"/>
      <c r="CR34" s="1217"/>
      <c r="CS34" s="1217"/>
      <c r="CT34" s="1217"/>
      <c r="CU34" s="1217"/>
      <c r="CV34" s="1217"/>
      <c r="CW34" s="1217"/>
      <c r="CX34" s="1217"/>
      <c r="CY34" s="1217"/>
      <c r="CZ34" s="1217"/>
      <c r="DA34" s="1217"/>
      <c r="DB34" s="1217"/>
      <c r="DC34" s="1217"/>
      <c r="DD34" s="1217"/>
      <c r="DE34" s="1217"/>
      <c r="DF34" s="1217"/>
      <c r="DG34" s="1217"/>
      <c r="DH34" s="1217"/>
      <c r="DI34" s="1217"/>
      <c r="DJ34" s="1217"/>
      <c r="DK34" s="1217"/>
      <c r="DL34" s="1217"/>
      <c r="DM34" s="1217"/>
      <c r="DN34" s="1217"/>
      <c r="DO34" s="1217"/>
      <c r="DP34" s="1217"/>
      <c r="DQ34" s="1217"/>
      <c r="DR34" s="1217"/>
      <c r="DS34" s="1217"/>
      <c r="DT34" s="1217"/>
      <c r="DU34" s="1217"/>
      <c r="DV34" s="1217"/>
      <c r="DW34" s="1217"/>
      <c r="DX34" s="1217"/>
      <c r="DY34" s="1217"/>
      <c r="DZ34" s="1217"/>
      <c r="EA34" s="1217"/>
      <c r="EB34" s="1217"/>
      <c r="EC34" s="1217"/>
      <c r="ED34" s="1217"/>
      <c r="EE34" s="1217"/>
      <c r="EF34" s="1217"/>
      <c r="EG34" s="1217"/>
      <c r="EH34" s="1217"/>
      <c r="EI34" s="1217"/>
      <c r="EJ34" s="1217"/>
      <c r="EK34" s="1217"/>
      <c r="EL34" s="1217"/>
      <c r="EM34" s="1217"/>
      <c r="EN34" s="1217"/>
      <c r="EO34" s="1217"/>
      <c r="EP34" s="1217"/>
      <c r="EQ34" s="1217"/>
      <c r="ER34" s="1217"/>
      <c r="ES34" s="1217"/>
      <c r="ET34" s="1217"/>
      <c r="EU34" s="1217"/>
      <c r="EV34" s="1217"/>
      <c r="EW34" s="1217"/>
      <c r="EX34" s="1217"/>
      <c r="EY34" s="1217"/>
      <c r="EZ34" s="1217"/>
      <c r="FA34" s="1217"/>
      <c r="FB34" s="1217"/>
      <c r="FC34" s="1217"/>
      <c r="FD34" s="1217"/>
      <c r="FE34" s="1217"/>
      <c r="FF34" s="1217"/>
      <c r="FG34" s="1217"/>
      <c r="FH34" s="1217"/>
      <c r="FI34" s="1217"/>
      <c r="FJ34" s="1217"/>
      <c r="FK34" s="1217"/>
      <c r="FL34" s="1217"/>
      <c r="FM34" s="1217"/>
      <c r="FN34" s="1217"/>
      <c r="FO34" s="1217"/>
      <c r="FP34" s="1217"/>
      <c r="FQ34" s="1217"/>
      <c r="FR34" s="1217"/>
      <c r="FS34" s="1217"/>
      <c r="FT34" s="1217"/>
      <c r="FU34" s="1217"/>
      <c r="FV34" s="1217"/>
      <c r="FW34" s="1217"/>
      <c r="FX34" s="1217"/>
      <c r="FY34" s="1217"/>
      <c r="FZ34" s="1217"/>
      <c r="GA34" s="1217"/>
      <c r="GB34" s="1217"/>
      <c r="GC34" s="1217"/>
      <c r="GD34" s="1217"/>
      <c r="GE34" s="1217"/>
      <c r="GF34" s="1217"/>
      <c r="GG34" s="1217"/>
      <c r="GH34" s="1217"/>
      <c r="GI34" s="1217"/>
      <c r="GJ34" s="1217"/>
      <c r="GK34" s="1217"/>
      <c r="GL34" s="1217"/>
      <c r="GM34" s="1217"/>
      <c r="GN34" s="1217"/>
      <c r="GO34" s="1217"/>
      <c r="GP34" s="1217"/>
      <c r="GQ34" s="1217"/>
      <c r="GR34" s="1217"/>
      <c r="GS34" s="1217"/>
      <c r="GT34" s="1217"/>
      <c r="GU34" s="1217"/>
      <c r="GV34" s="1217"/>
      <c r="GW34" s="1217"/>
      <c r="GX34" s="1217"/>
      <c r="GY34" s="1217"/>
      <c r="GZ34" s="1217"/>
      <c r="HA34" s="1217"/>
      <c r="HB34" s="1217"/>
      <c r="HC34" s="1217"/>
      <c r="HD34" s="1217"/>
      <c r="HE34" s="1217"/>
      <c r="HF34" s="1217"/>
      <c r="HG34" s="1217"/>
      <c r="HH34" s="1217"/>
      <c r="HI34" s="1217"/>
      <c r="HJ34" s="1217"/>
      <c r="HK34" s="1217"/>
      <c r="HL34" s="1217"/>
      <c r="HM34" s="1217"/>
      <c r="HN34" s="1217"/>
      <c r="HO34" s="1217"/>
      <c r="HP34" s="1217"/>
      <c r="HQ34" s="1217"/>
      <c r="HR34" s="1217"/>
      <c r="HS34" s="1217"/>
      <c r="HT34" s="1217"/>
      <c r="HU34" s="1217"/>
      <c r="HV34" s="1217"/>
      <c r="HW34" s="1217"/>
      <c r="HX34" s="1217"/>
      <c r="HY34" s="1217"/>
      <c r="HZ34" s="1217"/>
      <c r="IA34" s="1217"/>
      <c r="IB34" s="1217"/>
      <c r="IC34" s="1217"/>
      <c r="ID34" s="1217"/>
      <c r="IE34" s="1217"/>
      <c r="IF34" s="1217"/>
      <c r="IG34" s="1217"/>
      <c r="IH34" s="1217"/>
      <c r="II34" s="1217"/>
      <c r="IJ34" s="1217"/>
      <c r="IK34" s="1217"/>
      <c r="IL34" s="1217"/>
      <c r="IM34" s="1217"/>
      <c r="IN34" s="1217"/>
      <c r="IO34" s="1217"/>
      <c r="IP34" s="1217"/>
      <c r="IQ34" s="1217"/>
      <c r="IR34" s="1217"/>
    </row>
    <row r="35" spans="1:252">
      <c r="A35" s="1208">
        <v>9</v>
      </c>
      <c r="B35" s="1209" t="s">
        <v>49</v>
      </c>
      <c r="C35" s="1210">
        <v>2012</v>
      </c>
      <c r="D35" s="1219">
        <v>14.8</v>
      </c>
      <c r="E35" s="1219"/>
      <c r="F35" s="1219"/>
      <c r="G35" s="1219"/>
      <c r="H35" s="1220">
        <v>14.8</v>
      </c>
      <c r="I35" s="1220"/>
      <c r="J35" s="1217"/>
      <c r="K35" s="1217"/>
      <c r="L35" s="1217"/>
      <c r="M35" s="1217"/>
      <c r="N35" s="1217"/>
      <c r="O35" s="1217"/>
      <c r="P35" s="1217"/>
      <c r="Q35" s="1217"/>
      <c r="R35" s="1217"/>
      <c r="S35" s="1217"/>
      <c r="T35" s="1217"/>
      <c r="U35" s="1217"/>
      <c r="V35" s="1217"/>
      <c r="W35" s="1217"/>
      <c r="X35" s="1217"/>
      <c r="Y35" s="1217"/>
      <c r="Z35" s="1217"/>
      <c r="AA35" s="1217"/>
      <c r="AB35" s="1217"/>
      <c r="AC35" s="1217"/>
      <c r="AD35" s="1217"/>
      <c r="AE35" s="1217"/>
      <c r="AF35" s="1217"/>
      <c r="AG35" s="1217"/>
      <c r="AH35" s="1217"/>
      <c r="AI35" s="1217"/>
      <c r="AJ35" s="1217"/>
      <c r="AK35" s="1217"/>
      <c r="AL35" s="1217"/>
      <c r="AM35" s="1217"/>
      <c r="AN35" s="1217"/>
      <c r="AO35" s="1217"/>
      <c r="AP35" s="1217"/>
      <c r="AQ35" s="1217"/>
      <c r="AR35" s="1217"/>
      <c r="AS35" s="1217"/>
      <c r="AT35" s="1217"/>
      <c r="AU35" s="1217"/>
      <c r="AV35" s="1217"/>
      <c r="AW35" s="1217"/>
      <c r="AX35" s="1217"/>
      <c r="AY35" s="1217"/>
      <c r="AZ35" s="1217"/>
      <c r="BA35" s="1217"/>
      <c r="BB35" s="1217"/>
      <c r="BC35" s="1217"/>
      <c r="BD35" s="1217"/>
      <c r="BE35" s="1217"/>
      <c r="BF35" s="1217"/>
      <c r="BG35" s="1217"/>
      <c r="BH35" s="1217"/>
      <c r="BI35" s="1217"/>
      <c r="BJ35" s="1217"/>
      <c r="BK35" s="1217"/>
      <c r="BL35" s="1217"/>
      <c r="BM35" s="1217"/>
      <c r="BN35" s="1217"/>
      <c r="BO35" s="1217"/>
      <c r="BP35" s="1217"/>
      <c r="BQ35" s="1217"/>
      <c r="BR35" s="1217"/>
      <c r="BS35" s="1217"/>
      <c r="BT35" s="1217"/>
      <c r="BU35" s="1217"/>
      <c r="BV35" s="1217"/>
      <c r="BW35" s="1217"/>
      <c r="BX35" s="1217"/>
      <c r="BY35" s="1217"/>
      <c r="BZ35" s="1217"/>
      <c r="CA35" s="1217"/>
      <c r="CB35" s="1217"/>
      <c r="CC35" s="1217"/>
      <c r="CD35" s="1217"/>
      <c r="CE35" s="1217"/>
      <c r="CF35" s="1217"/>
      <c r="CG35" s="1217"/>
      <c r="CH35" s="1217"/>
      <c r="CI35" s="1217"/>
      <c r="CJ35" s="1217"/>
      <c r="CK35" s="1217"/>
      <c r="CL35" s="1217"/>
      <c r="CM35" s="1217"/>
      <c r="CN35" s="1217"/>
      <c r="CO35" s="1217"/>
      <c r="CP35" s="1217"/>
      <c r="CQ35" s="1217"/>
      <c r="CR35" s="1217"/>
      <c r="CS35" s="1217"/>
      <c r="CT35" s="1217"/>
      <c r="CU35" s="1217"/>
      <c r="CV35" s="1217"/>
      <c r="CW35" s="1217"/>
      <c r="CX35" s="1217"/>
      <c r="CY35" s="1217"/>
      <c r="CZ35" s="1217"/>
      <c r="DA35" s="1217"/>
      <c r="DB35" s="1217"/>
      <c r="DC35" s="1217"/>
      <c r="DD35" s="1217"/>
      <c r="DE35" s="1217"/>
      <c r="DF35" s="1217"/>
      <c r="DG35" s="1217"/>
      <c r="DH35" s="1217"/>
      <c r="DI35" s="1217"/>
      <c r="DJ35" s="1217"/>
      <c r="DK35" s="1217"/>
      <c r="DL35" s="1217"/>
      <c r="DM35" s="1217"/>
      <c r="DN35" s="1217"/>
      <c r="DO35" s="1217"/>
      <c r="DP35" s="1217"/>
      <c r="DQ35" s="1217"/>
      <c r="DR35" s="1217"/>
      <c r="DS35" s="1217"/>
      <c r="DT35" s="1217"/>
      <c r="DU35" s="1217"/>
      <c r="DV35" s="1217"/>
      <c r="DW35" s="1217"/>
      <c r="DX35" s="1217"/>
      <c r="DY35" s="1217"/>
      <c r="DZ35" s="1217"/>
      <c r="EA35" s="1217"/>
      <c r="EB35" s="1217"/>
      <c r="EC35" s="1217"/>
      <c r="ED35" s="1217"/>
      <c r="EE35" s="1217"/>
      <c r="EF35" s="1217"/>
      <c r="EG35" s="1217"/>
      <c r="EH35" s="1217"/>
      <c r="EI35" s="1217"/>
      <c r="EJ35" s="1217"/>
      <c r="EK35" s="1217"/>
      <c r="EL35" s="1217"/>
      <c r="EM35" s="1217"/>
      <c r="EN35" s="1217"/>
      <c r="EO35" s="1217"/>
      <c r="EP35" s="1217"/>
      <c r="EQ35" s="1217"/>
      <c r="ER35" s="1217"/>
      <c r="ES35" s="1217"/>
      <c r="ET35" s="1217"/>
      <c r="EU35" s="1217"/>
      <c r="EV35" s="1217"/>
      <c r="EW35" s="1217"/>
      <c r="EX35" s="1217"/>
      <c r="EY35" s="1217"/>
      <c r="EZ35" s="1217"/>
      <c r="FA35" s="1217"/>
      <c r="FB35" s="1217"/>
      <c r="FC35" s="1217"/>
      <c r="FD35" s="1217"/>
      <c r="FE35" s="1217"/>
      <c r="FF35" s="1217"/>
      <c r="FG35" s="1217"/>
      <c r="FH35" s="1217"/>
      <c r="FI35" s="1217"/>
      <c r="FJ35" s="1217"/>
      <c r="FK35" s="1217"/>
      <c r="FL35" s="1217"/>
      <c r="FM35" s="1217"/>
      <c r="FN35" s="1217"/>
      <c r="FO35" s="1217"/>
      <c r="FP35" s="1217"/>
      <c r="FQ35" s="1217"/>
      <c r="FR35" s="1217"/>
      <c r="FS35" s="1217"/>
      <c r="FT35" s="1217"/>
      <c r="FU35" s="1217"/>
      <c r="FV35" s="1217"/>
      <c r="FW35" s="1217"/>
      <c r="FX35" s="1217"/>
      <c r="FY35" s="1217"/>
      <c r="FZ35" s="1217"/>
      <c r="GA35" s="1217"/>
      <c r="GB35" s="1217"/>
      <c r="GC35" s="1217"/>
      <c r="GD35" s="1217"/>
      <c r="GE35" s="1217"/>
      <c r="GF35" s="1217"/>
      <c r="GG35" s="1217"/>
      <c r="GH35" s="1217"/>
      <c r="GI35" s="1217"/>
      <c r="GJ35" s="1217"/>
      <c r="GK35" s="1217"/>
      <c r="GL35" s="1217"/>
      <c r="GM35" s="1217"/>
      <c r="GN35" s="1217"/>
      <c r="GO35" s="1217"/>
      <c r="GP35" s="1217"/>
      <c r="GQ35" s="1217"/>
      <c r="GR35" s="1217"/>
      <c r="GS35" s="1217"/>
      <c r="GT35" s="1217"/>
      <c r="GU35" s="1217"/>
      <c r="GV35" s="1217"/>
      <c r="GW35" s="1217"/>
      <c r="GX35" s="1217"/>
      <c r="GY35" s="1217"/>
      <c r="GZ35" s="1217"/>
      <c r="HA35" s="1217"/>
      <c r="HB35" s="1217"/>
      <c r="HC35" s="1217"/>
      <c r="HD35" s="1217"/>
      <c r="HE35" s="1217"/>
      <c r="HF35" s="1217"/>
      <c r="HG35" s="1217"/>
      <c r="HH35" s="1217"/>
      <c r="HI35" s="1217"/>
      <c r="HJ35" s="1217"/>
      <c r="HK35" s="1217"/>
      <c r="HL35" s="1217"/>
      <c r="HM35" s="1217"/>
      <c r="HN35" s="1217"/>
      <c r="HO35" s="1217"/>
      <c r="HP35" s="1217"/>
      <c r="HQ35" s="1217"/>
      <c r="HR35" s="1217"/>
      <c r="HS35" s="1217"/>
      <c r="HT35" s="1217"/>
      <c r="HU35" s="1217"/>
      <c r="HV35" s="1217"/>
      <c r="HW35" s="1217"/>
      <c r="HX35" s="1217"/>
      <c r="HY35" s="1217"/>
      <c r="HZ35" s="1217"/>
      <c r="IA35" s="1217"/>
      <c r="IB35" s="1217"/>
      <c r="IC35" s="1217"/>
      <c r="ID35" s="1217"/>
      <c r="IE35" s="1217"/>
      <c r="IF35" s="1217"/>
      <c r="IG35" s="1217"/>
      <c r="IH35" s="1217"/>
      <c r="II35" s="1217"/>
      <c r="IJ35" s="1217"/>
      <c r="IK35" s="1217"/>
      <c r="IL35" s="1217"/>
      <c r="IM35" s="1217"/>
      <c r="IN35" s="1217"/>
      <c r="IO35" s="1217"/>
      <c r="IP35" s="1217"/>
      <c r="IQ35" s="1217"/>
      <c r="IR35" s="1217"/>
    </row>
    <row r="36" spans="1:252">
      <c r="A36" s="1208">
        <v>10</v>
      </c>
      <c r="B36" s="1209" t="s">
        <v>50</v>
      </c>
      <c r="C36" s="1210">
        <v>2012</v>
      </c>
      <c r="D36" s="1219">
        <v>15.9</v>
      </c>
      <c r="E36" s="1219"/>
      <c r="F36" s="1219">
        <f>D36</f>
        <v>15.9</v>
      </c>
      <c r="G36" s="1219"/>
      <c r="H36" s="1220"/>
      <c r="I36" s="1220"/>
    </row>
    <row r="37" spans="1:252">
      <c r="A37" s="1208">
        <v>11</v>
      </c>
      <c r="B37" s="1209" t="s">
        <v>51</v>
      </c>
      <c r="C37" s="1210">
        <v>2012</v>
      </c>
      <c r="D37" s="1219">
        <v>21.6</v>
      </c>
      <c r="E37" s="1219"/>
      <c r="F37" s="1219"/>
      <c r="G37" s="1219"/>
      <c r="H37" s="1220"/>
      <c r="I37" s="1229">
        <v>21.6</v>
      </c>
    </row>
    <row r="38" spans="1:252">
      <c r="A38" s="1208">
        <v>12</v>
      </c>
      <c r="B38" s="1209" t="s">
        <v>52</v>
      </c>
      <c r="C38" s="1210">
        <v>2012</v>
      </c>
      <c r="D38" s="1219">
        <v>27.3</v>
      </c>
      <c r="E38" s="1219"/>
      <c r="F38" s="1219"/>
      <c r="G38" s="1219"/>
      <c r="H38" s="1220">
        <v>27.3</v>
      </c>
      <c r="I38" s="1220"/>
    </row>
    <row r="39" spans="1:252">
      <c r="A39" s="1208">
        <v>13</v>
      </c>
      <c r="B39" s="1209" t="s">
        <v>53</v>
      </c>
      <c r="C39" s="1210">
        <v>2012</v>
      </c>
      <c r="D39" s="1219">
        <v>24.3</v>
      </c>
      <c r="E39" s="1219"/>
      <c r="F39" s="1219"/>
      <c r="G39" s="1219"/>
      <c r="H39" s="1220"/>
      <c r="I39" s="1229">
        <v>24.3</v>
      </c>
    </row>
    <row r="40" spans="1:252">
      <c r="A40" s="1208">
        <v>14</v>
      </c>
      <c r="B40" s="1209" t="s">
        <v>54</v>
      </c>
      <c r="C40" s="1210">
        <v>2012</v>
      </c>
      <c r="D40" s="1219">
        <v>24.3</v>
      </c>
      <c r="E40" s="1219"/>
      <c r="F40" s="1219"/>
      <c r="G40" s="1219"/>
      <c r="H40" s="1220"/>
      <c r="I40" s="1229">
        <v>24.3</v>
      </c>
    </row>
    <row r="41" spans="1:252">
      <c r="A41" s="1208">
        <v>15</v>
      </c>
      <c r="B41" s="1209" t="s">
        <v>55</v>
      </c>
      <c r="C41" s="1210">
        <v>2012</v>
      </c>
      <c r="D41" s="1219">
        <v>24.3</v>
      </c>
      <c r="E41" s="1219"/>
      <c r="F41" s="1219"/>
      <c r="G41" s="1219"/>
      <c r="H41" s="1220">
        <v>24.3</v>
      </c>
      <c r="I41" s="1220"/>
      <c r="J41" s="1230"/>
      <c r="K41" s="1230"/>
      <c r="L41" s="1230"/>
      <c r="M41" s="1230"/>
      <c r="N41" s="1230"/>
      <c r="O41" s="1230"/>
      <c r="P41" s="1230"/>
      <c r="Q41" s="1230"/>
      <c r="R41" s="1230"/>
      <c r="S41" s="1230"/>
      <c r="T41" s="1230"/>
      <c r="U41" s="1230"/>
      <c r="V41" s="1230"/>
      <c r="W41" s="1230"/>
      <c r="X41" s="1230"/>
      <c r="Y41" s="1230"/>
      <c r="Z41" s="1230"/>
      <c r="AA41" s="1230"/>
      <c r="AB41" s="1230"/>
      <c r="AC41" s="1230"/>
      <c r="AD41" s="1230"/>
      <c r="AE41" s="1230"/>
      <c r="AF41" s="1230"/>
      <c r="AG41" s="1230"/>
      <c r="AH41" s="1230"/>
      <c r="AI41" s="1230"/>
      <c r="AJ41" s="1230"/>
      <c r="AK41" s="1230"/>
      <c r="AL41" s="1230"/>
      <c r="AM41" s="1230"/>
      <c r="AN41" s="1230"/>
      <c r="AO41" s="1230"/>
      <c r="AP41" s="1230"/>
      <c r="AQ41" s="1230"/>
      <c r="AR41" s="1230"/>
      <c r="AS41" s="1230"/>
      <c r="AT41" s="1230"/>
      <c r="AU41" s="1230"/>
      <c r="AV41" s="1230"/>
      <c r="AW41" s="1230"/>
      <c r="AX41" s="1230"/>
      <c r="AY41" s="1230"/>
      <c r="AZ41" s="1230"/>
      <c r="BA41" s="1230"/>
      <c r="BB41" s="1230"/>
      <c r="BC41" s="1230"/>
      <c r="BD41" s="1230"/>
      <c r="BE41" s="1230"/>
      <c r="BF41" s="1230"/>
      <c r="BG41" s="1230"/>
      <c r="BH41" s="1230"/>
      <c r="BI41" s="1230"/>
      <c r="BJ41" s="1230"/>
      <c r="BK41" s="1230"/>
      <c r="BL41" s="1230"/>
      <c r="BM41" s="1230"/>
      <c r="BN41" s="1230"/>
      <c r="BO41" s="1230"/>
      <c r="BP41" s="1230"/>
      <c r="BQ41" s="1230"/>
      <c r="BR41" s="1230"/>
      <c r="BS41" s="1230"/>
      <c r="BT41" s="1230"/>
      <c r="BU41" s="1230"/>
      <c r="BV41" s="1230"/>
      <c r="BW41" s="1230"/>
      <c r="BX41" s="1230"/>
      <c r="BY41" s="1230"/>
      <c r="BZ41" s="1230"/>
      <c r="CA41" s="1230"/>
      <c r="CB41" s="1230"/>
      <c r="CC41" s="1230"/>
      <c r="CD41" s="1230"/>
      <c r="CE41" s="1230"/>
      <c r="CF41" s="1230"/>
      <c r="CG41" s="1230"/>
      <c r="CH41" s="1230"/>
      <c r="CI41" s="1230"/>
      <c r="CJ41" s="1230"/>
      <c r="CK41" s="1230"/>
      <c r="CL41" s="1230"/>
      <c r="CM41" s="1230"/>
      <c r="CN41" s="1230"/>
      <c r="CO41" s="1230"/>
      <c r="CP41" s="1230"/>
      <c r="CQ41" s="1230"/>
      <c r="CR41" s="1230"/>
      <c r="CS41" s="1230"/>
      <c r="CT41" s="1230"/>
      <c r="CU41" s="1230"/>
      <c r="CV41" s="1230"/>
      <c r="CW41" s="1230"/>
      <c r="CX41" s="1230"/>
      <c r="CY41" s="1230"/>
      <c r="CZ41" s="1230"/>
      <c r="DA41" s="1230"/>
      <c r="DB41" s="1230"/>
      <c r="DC41" s="1230"/>
      <c r="DD41" s="1230"/>
      <c r="DE41" s="1230"/>
      <c r="DF41" s="1230"/>
      <c r="DG41" s="1230"/>
      <c r="DH41" s="1230"/>
      <c r="DI41" s="1230"/>
      <c r="DJ41" s="1230"/>
      <c r="DK41" s="1230"/>
      <c r="DL41" s="1230"/>
      <c r="DM41" s="1230"/>
      <c r="DN41" s="1230"/>
      <c r="DO41" s="1230"/>
      <c r="DP41" s="1230"/>
      <c r="DQ41" s="1230"/>
      <c r="DR41" s="1230"/>
      <c r="DS41" s="1230"/>
      <c r="DT41" s="1230"/>
      <c r="DU41" s="1230"/>
      <c r="DV41" s="1230"/>
      <c r="DW41" s="1230"/>
      <c r="DX41" s="1230"/>
      <c r="DY41" s="1230"/>
      <c r="DZ41" s="1230"/>
      <c r="EA41" s="1230"/>
      <c r="EB41" s="1230"/>
      <c r="EC41" s="1230"/>
      <c r="ED41" s="1230"/>
      <c r="EE41" s="1230"/>
      <c r="EF41" s="1230"/>
      <c r="EG41" s="1230"/>
      <c r="EH41" s="1230"/>
      <c r="EI41" s="1230"/>
      <c r="EJ41" s="1230"/>
      <c r="EK41" s="1230"/>
      <c r="EL41" s="1230"/>
      <c r="EM41" s="1230"/>
      <c r="EN41" s="1230"/>
      <c r="EO41" s="1230"/>
      <c r="EP41" s="1230"/>
      <c r="EQ41" s="1230"/>
      <c r="ER41" s="1230"/>
      <c r="ES41" s="1230"/>
      <c r="ET41" s="1230"/>
      <c r="EU41" s="1230"/>
      <c r="EV41" s="1230"/>
      <c r="EW41" s="1230"/>
      <c r="EX41" s="1230"/>
      <c r="EY41" s="1230"/>
      <c r="EZ41" s="1230"/>
      <c r="FA41" s="1230"/>
      <c r="FB41" s="1230"/>
      <c r="FC41" s="1230"/>
      <c r="FD41" s="1230"/>
      <c r="FE41" s="1230"/>
      <c r="FF41" s="1230"/>
      <c r="FG41" s="1230"/>
      <c r="FH41" s="1230"/>
      <c r="FI41" s="1230"/>
      <c r="FJ41" s="1230"/>
      <c r="FK41" s="1230"/>
      <c r="FL41" s="1230"/>
      <c r="FM41" s="1230"/>
      <c r="FN41" s="1230"/>
      <c r="FO41" s="1230"/>
      <c r="FP41" s="1230"/>
      <c r="FQ41" s="1230"/>
      <c r="FR41" s="1230"/>
      <c r="FS41" s="1230"/>
      <c r="FT41" s="1230"/>
      <c r="FU41" s="1230"/>
      <c r="FV41" s="1230"/>
      <c r="FW41" s="1230"/>
      <c r="FX41" s="1230"/>
      <c r="FY41" s="1230"/>
      <c r="FZ41" s="1230"/>
      <c r="GA41" s="1230"/>
      <c r="GB41" s="1230"/>
      <c r="GC41" s="1230"/>
      <c r="GD41" s="1230"/>
      <c r="GE41" s="1230"/>
      <c r="GF41" s="1230"/>
      <c r="GG41" s="1230"/>
      <c r="GH41" s="1230"/>
      <c r="GI41" s="1230"/>
      <c r="GJ41" s="1230"/>
      <c r="GK41" s="1230"/>
      <c r="GL41" s="1230"/>
      <c r="GM41" s="1230"/>
      <c r="GN41" s="1230"/>
      <c r="GO41" s="1230"/>
      <c r="GP41" s="1230"/>
      <c r="GQ41" s="1230"/>
      <c r="GR41" s="1230"/>
      <c r="GS41" s="1230"/>
      <c r="GT41" s="1230"/>
      <c r="GU41" s="1230"/>
      <c r="GV41" s="1230"/>
      <c r="GW41" s="1230"/>
      <c r="GX41" s="1230"/>
      <c r="GY41" s="1230"/>
      <c r="GZ41" s="1230"/>
      <c r="HA41" s="1230"/>
      <c r="HB41" s="1230"/>
      <c r="HC41" s="1230"/>
      <c r="HD41" s="1230"/>
      <c r="HE41" s="1230"/>
      <c r="HF41" s="1230"/>
      <c r="HG41" s="1230"/>
      <c r="HH41" s="1230"/>
      <c r="HI41" s="1230"/>
      <c r="HJ41" s="1230"/>
      <c r="HK41" s="1230"/>
      <c r="HL41" s="1230"/>
      <c r="HM41" s="1230"/>
      <c r="HN41" s="1230"/>
      <c r="HO41" s="1230"/>
      <c r="HP41" s="1230"/>
      <c r="HQ41" s="1230"/>
      <c r="HR41" s="1230"/>
      <c r="HS41" s="1230"/>
      <c r="HT41" s="1230"/>
      <c r="HU41" s="1230"/>
      <c r="HV41" s="1230"/>
      <c r="HW41" s="1230"/>
      <c r="HX41" s="1230"/>
      <c r="HY41" s="1230"/>
      <c r="HZ41" s="1230"/>
      <c r="IA41" s="1230"/>
      <c r="IB41" s="1230"/>
      <c r="IC41" s="1230"/>
      <c r="ID41" s="1230"/>
      <c r="IE41" s="1230"/>
      <c r="IF41" s="1230"/>
      <c r="IG41" s="1230"/>
      <c r="IH41" s="1230"/>
      <c r="II41" s="1230"/>
      <c r="IJ41" s="1230"/>
      <c r="IK41" s="1230"/>
      <c r="IL41" s="1230"/>
      <c r="IM41" s="1230"/>
      <c r="IN41" s="1230"/>
      <c r="IO41" s="1230"/>
      <c r="IP41" s="1230"/>
      <c r="IQ41" s="1230"/>
      <c r="IR41" s="1230"/>
    </row>
    <row r="42" spans="1:252">
      <c r="A42" s="1208">
        <v>16</v>
      </c>
      <c r="B42" s="1209" t="s">
        <v>56</v>
      </c>
      <c r="C42" s="1210">
        <v>2012</v>
      </c>
      <c r="D42" s="1219">
        <v>24.3</v>
      </c>
      <c r="E42" s="1219"/>
      <c r="F42" s="1219"/>
      <c r="G42" s="1219"/>
      <c r="H42" s="1220">
        <v>24.3</v>
      </c>
      <c r="I42" s="1220"/>
    </row>
    <row r="43" spans="1:252">
      <c r="A43" s="1208">
        <v>17</v>
      </c>
      <c r="B43" s="1209" t="s">
        <v>57</v>
      </c>
      <c r="C43" s="1210">
        <v>2012</v>
      </c>
      <c r="D43" s="1219">
        <v>24.3</v>
      </c>
      <c r="E43" s="1219"/>
      <c r="F43" s="1219">
        <f>D43</f>
        <v>24.3</v>
      </c>
      <c r="G43" s="1219"/>
      <c r="H43" s="1220"/>
      <c r="I43" s="1220"/>
    </row>
    <row r="44" spans="1:252">
      <c r="A44" s="1208">
        <v>18</v>
      </c>
      <c r="B44" s="1209" t="s">
        <v>58</v>
      </c>
      <c r="C44" s="1210">
        <v>2012</v>
      </c>
      <c r="D44" s="1219">
        <v>24.3</v>
      </c>
      <c r="E44" s="1219"/>
      <c r="F44" s="1219"/>
      <c r="G44" s="1219"/>
      <c r="H44" s="1220"/>
      <c r="I44" s="1229">
        <v>24.3</v>
      </c>
    </row>
    <row r="45" spans="1:252">
      <c r="A45" s="1208">
        <v>19</v>
      </c>
      <c r="B45" s="1209" t="s">
        <v>59</v>
      </c>
      <c r="C45" s="1210">
        <v>2012</v>
      </c>
      <c r="D45" s="1219">
        <v>24.3</v>
      </c>
      <c r="E45" s="1219"/>
      <c r="F45" s="1219"/>
      <c r="G45" s="1219"/>
      <c r="H45" s="1220"/>
      <c r="I45" s="1229">
        <v>24.3</v>
      </c>
    </row>
    <row r="46" spans="1:252">
      <c r="A46" s="1208">
        <v>20</v>
      </c>
      <c r="B46" s="1209" t="s">
        <v>60</v>
      </c>
      <c r="C46" s="1210">
        <v>2012</v>
      </c>
      <c r="D46" s="1219">
        <v>24.3</v>
      </c>
      <c r="E46" s="1219"/>
      <c r="F46" s="1219">
        <f>D46</f>
        <v>24.3</v>
      </c>
      <c r="G46" s="1219"/>
      <c r="H46" s="1220"/>
      <c r="I46" s="1220"/>
    </row>
    <row r="47" spans="1:252">
      <c r="A47" s="1208">
        <v>21</v>
      </c>
      <c r="B47" s="1209" t="s">
        <v>61</v>
      </c>
      <c r="C47" s="1210">
        <v>2012</v>
      </c>
      <c r="D47" s="1219">
        <v>27.4</v>
      </c>
      <c r="E47" s="1219"/>
      <c r="F47" s="1219"/>
      <c r="G47" s="1219"/>
      <c r="H47" s="1220"/>
      <c r="I47" s="1229">
        <v>27.4</v>
      </c>
    </row>
    <row r="48" spans="1:252">
      <c r="A48" s="1208">
        <v>22</v>
      </c>
      <c r="B48" s="1209" t="s">
        <v>62</v>
      </c>
      <c r="C48" s="1210">
        <v>2012</v>
      </c>
      <c r="D48" s="1219">
        <v>16.399999999999999</v>
      </c>
      <c r="E48" s="1219"/>
      <c r="F48" s="1219">
        <f>D48</f>
        <v>16.399999999999999</v>
      </c>
      <c r="G48" s="1219"/>
      <c r="H48" s="1220"/>
      <c r="I48" s="1220"/>
    </row>
    <row r="49" spans="1:9">
      <c r="A49" s="1208">
        <v>23</v>
      </c>
      <c r="B49" s="1209" t="s">
        <v>63</v>
      </c>
      <c r="C49" s="1210">
        <v>2012</v>
      </c>
      <c r="D49" s="1219">
        <v>24.3</v>
      </c>
      <c r="E49" s="1219"/>
      <c r="F49" s="1219"/>
      <c r="G49" s="1219"/>
      <c r="H49" s="1220"/>
      <c r="I49" s="1229">
        <v>24.3</v>
      </c>
    </row>
    <row r="50" spans="1:9">
      <c r="A50" s="1208">
        <v>24</v>
      </c>
      <c r="B50" s="1209" t="s">
        <v>64</v>
      </c>
      <c r="C50" s="1210">
        <v>2012</v>
      </c>
      <c r="D50" s="1219">
        <v>24.3</v>
      </c>
      <c r="E50" s="1219"/>
      <c r="F50" s="1219">
        <f t="shared" ref="F50:F55" si="0">D50</f>
        <v>24.3</v>
      </c>
      <c r="G50" s="1219"/>
      <c r="H50" s="1220"/>
      <c r="I50" s="1220"/>
    </row>
    <row r="51" spans="1:9">
      <c r="A51" s="1208">
        <v>25</v>
      </c>
      <c r="B51" s="1209" t="s">
        <v>65</v>
      </c>
      <c r="C51" s="1210">
        <v>2012</v>
      </c>
      <c r="D51" s="1219">
        <v>24.3</v>
      </c>
      <c r="E51" s="1219"/>
      <c r="F51" s="1219">
        <f t="shared" si="0"/>
        <v>24.3</v>
      </c>
      <c r="G51" s="1219"/>
      <c r="H51" s="1220"/>
      <c r="I51" s="1220"/>
    </row>
    <row r="52" spans="1:9">
      <c r="A52" s="1208">
        <v>26</v>
      </c>
      <c r="B52" s="1209" t="s">
        <v>66</v>
      </c>
      <c r="C52" s="1210">
        <v>2012</v>
      </c>
      <c r="D52" s="1219">
        <v>24.3</v>
      </c>
      <c r="E52" s="1219"/>
      <c r="F52" s="1219">
        <f t="shared" si="0"/>
        <v>24.3</v>
      </c>
      <c r="G52" s="1219"/>
      <c r="H52" s="1220"/>
      <c r="I52" s="1220"/>
    </row>
    <row r="53" spans="1:9">
      <c r="A53" s="1208">
        <v>27</v>
      </c>
      <c r="B53" s="1209" t="s">
        <v>67</v>
      </c>
      <c r="C53" s="1210">
        <v>2012</v>
      </c>
      <c r="D53" s="1219">
        <v>24.3</v>
      </c>
      <c r="E53" s="1219"/>
      <c r="F53" s="1219">
        <f t="shared" si="0"/>
        <v>24.3</v>
      </c>
      <c r="G53" s="1219"/>
      <c r="H53" s="1220"/>
      <c r="I53" s="1220"/>
    </row>
    <row r="54" spans="1:9">
      <c r="A54" s="1208">
        <v>28</v>
      </c>
      <c r="B54" s="1209" t="s">
        <v>68</v>
      </c>
      <c r="C54" s="1210">
        <v>2012</v>
      </c>
      <c r="D54" s="1219">
        <v>24.3</v>
      </c>
      <c r="E54" s="1219"/>
      <c r="F54" s="1219">
        <f t="shared" si="0"/>
        <v>24.3</v>
      </c>
      <c r="G54" s="1219"/>
      <c r="H54" s="1220"/>
      <c r="I54" s="1220"/>
    </row>
    <row r="55" spans="1:9">
      <c r="A55" s="1208">
        <v>29</v>
      </c>
      <c r="B55" s="1209" t="s">
        <v>69</v>
      </c>
      <c r="C55" s="1210">
        <v>2012</v>
      </c>
      <c r="D55" s="1219">
        <v>24.3</v>
      </c>
      <c r="E55" s="1219"/>
      <c r="F55" s="1219">
        <f t="shared" si="0"/>
        <v>24.3</v>
      </c>
      <c r="G55" s="1219"/>
      <c r="H55" s="1220"/>
      <c r="I55" s="1220"/>
    </row>
    <row r="56" spans="1:9">
      <c r="A56" s="1208">
        <v>30</v>
      </c>
      <c r="B56" s="1209" t="s">
        <v>70</v>
      </c>
      <c r="C56" s="1210">
        <v>2012</v>
      </c>
      <c r="D56" s="1219">
        <v>5.5</v>
      </c>
      <c r="E56" s="1219"/>
      <c r="F56" s="1219"/>
      <c r="G56" s="1219"/>
      <c r="H56" s="1220"/>
      <c r="I56" s="1229">
        <v>5.5</v>
      </c>
    </row>
    <row r="57" spans="1:9">
      <c r="A57" s="1208">
        <v>31</v>
      </c>
      <c r="B57" s="1209" t="s">
        <v>71</v>
      </c>
      <c r="C57" s="1210">
        <v>2012</v>
      </c>
      <c r="D57" s="1219">
        <v>2.6</v>
      </c>
      <c r="E57" s="1219"/>
      <c r="F57" s="1219">
        <f>D57</f>
        <v>2.6</v>
      </c>
      <c r="G57" s="1219"/>
      <c r="H57" s="1220"/>
      <c r="I57" s="1220"/>
    </row>
    <row r="58" spans="1:9">
      <c r="A58" s="1208">
        <v>32</v>
      </c>
      <c r="B58" s="1209" t="s">
        <v>72</v>
      </c>
      <c r="C58" s="1210">
        <v>2012</v>
      </c>
      <c r="D58" s="1219">
        <v>16.2</v>
      </c>
      <c r="E58" s="1219"/>
      <c r="F58" s="1219">
        <f>D58</f>
        <v>16.2</v>
      </c>
      <c r="G58" s="1219"/>
      <c r="H58" s="1220"/>
      <c r="I58" s="1220"/>
    </row>
    <row r="59" spans="1:9">
      <c r="A59" s="1213" t="s">
        <v>73</v>
      </c>
      <c r="B59" s="1214">
        <v>0</v>
      </c>
      <c r="C59" s="1215"/>
      <c r="D59" s="1216">
        <f>SUM(D60:D92)</f>
        <v>511.00000000000006</v>
      </c>
      <c r="E59" s="1216">
        <f>SUM(E60:E92)</f>
        <v>0</v>
      </c>
      <c r="F59" s="1216">
        <f>SUM(F60:F92)</f>
        <v>429.40000000000003</v>
      </c>
      <c r="G59" s="1216">
        <f>SUM(G60:G92)</f>
        <v>0</v>
      </c>
    </row>
    <row r="60" spans="1:9">
      <c r="A60" s="1208">
        <v>1</v>
      </c>
      <c r="B60" s="1209" t="s">
        <v>74</v>
      </c>
      <c r="C60" s="1210">
        <v>2012</v>
      </c>
      <c r="D60" s="1219">
        <v>15.6</v>
      </c>
      <c r="E60" s="1219"/>
      <c r="F60" s="1219">
        <f>D60</f>
        <v>15.6</v>
      </c>
      <c r="G60" s="1219"/>
      <c r="H60" s="1220"/>
      <c r="I60" s="1220"/>
    </row>
    <row r="61" spans="1:9">
      <c r="A61" s="1208">
        <v>2</v>
      </c>
      <c r="B61" s="1209" t="s">
        <v>75</v>
      </c>
      <c r="C61" s="1210">
        <v>2012</v>
      </c>
      <c r="D61" s="1219">
        <v>9</v>
      </c>
      <c r="E61" s="1219"/>
      <c r="F61" s="1219"/>
      <c r="G61" s="1219"/>
      <c r="H61" s="1220"/>
      <c r="I61" s="1229">
        <v>9</v>
      </c>
    </row>
    <row r="62" spans="1:9">
      <c r="A62" s="1208">
        <v>3</v>
      </c>
      <c r="B62" s="1209" t="s">
        <v>76</v>
      </c>
      <c r="C62" s="1210">
        <v>2012</v>
      </c>
      <c r="D62" s="1219">
        <v>22.2</v>
      </c>
      <c r="E62" s="1219"/>
      <c r="F62" s="1219"/>
      <c r="G62" s="1219"/>
      <c r="H62" s="1220"/>
      <c r="I62" s="1229">
        <v>22.2</v>
      </c>
    </row>
    <row r="63" spans="1:9">
      <c r="A63" s="1208">
        <v>4</v>
      </c>
      <c r="B63" s="1209" t="s">
        <v>77</v>
      </c>
      <c r="C63" s="1210">
        <v>2012</v>
      </c>
      <c r="D63" s="1219">
        <v>4.5</v>
      </c>
      <c r="E63" s="1219"/>
      <c r="F63" s="1219">
        <f>D63</f>
        <v>4.5</v>
      </c>
      <c r="G63" s="1219"/>
      <c r="H63" s="1220"/>
      <c r="I63" s="1220"/>
    </row>
    <row r="64" spans="1:9">
      <c r="A64" s="1208">
        <v>5</v>
      </c>
      <c r="B64" s="1209" t="s">
        <v>78</v>
      </c>
      <c r="C64" s="1210">
        <v>2012</v>
      </c>
      <c r="D64" s="1219">
        <v>24.5</v>
      </c>
      <c r="E64" s="1219"/>
      <c r="F64" s="1219">
        <f>D64</f>
        <v>24.5</v>
      </c>
      <c r="G64" s="1219"/>
      <c r="H64" s="1220"/>
      <c r="I64" s="1220"/>
    </row>
    <row r="65" spans="1:252">
      <c r="A65" s="1208">
        <v>6</v>
      </c>
      <c r="B65" s="1209" t="s">
        <v>79</v>
      </c>
      <c r="C65" s="1210">
        <v>2012</v>
      </c>
      <c r="D65" s="1219">
        <v>24.3</v>
      </c>
      <c r="E65" s="1219"/>
      <c r="F65" s="1219"/>
      <c r="G65" s="1219"/>
      <c r="H65" s="1220"/>
      <c r="I65" s="1229">
        <v>24.3</v>
      </c>
    </row>
    <row r="66" spans="1:252">
      <c r="A66" s="1208">
        <v>7</v>
      </c>
      <c r="B66" s="1209" t="s">
        <v>80</v>
      </c>
      <c r="C66" s="1210">
        <v>2012</v>
      </c>
      <c r="D66" s="1219">
        <v>24.3</v>
      </c>
      <c r="E66" s="1219"/>
      <c r="F66" s="1219"/>
      <c r="G66" s="1219"/>
      <c r="H66" s="1220"/>
      <c r="I66" s="1229">
        <v>24.3</v>
      </c>
    </row>
    <row r="67" spans="1:252">
      <c r="A67" s="1208">
        <v>8</v>
      </c>
      <c r="B67" s="1209" t="s">
        <v>81</v>
      </c>
      <c r="C67" s="1210">
        <v>2012</v>
      </c>
      <c r="D67" s="1219">
        <v>8.3000000000000007</v>
      </c>
      <c r="E67" s="1219"/>
      <c r="F67" s="1219">
        <f t="shared" ref="F67:F74" si="1">D67</f>
        <v>8.3000000000000007</v>
      </c>
      <c r="G67" s="1219"/>
      <c r="H67" s="1220"/>
      <c r="I67" s="1220"/>
    </row>
    <row r="68" spans="1:252">
      <c r="A68" s="1208">
        <v>9</v>
      </c>
      <c r="B68" s="1209" t="s">
        <v>82</v>
      </c>
      <c r="C68" s="1210">
        <v>2012</v>
      </c>
      <c r="D68" s="1219">
        <v>23.5</v>
      </c>
      <c r="E68" s="1219"/>
      <c r="F68" s="1219">
        <f t="shared" si="1"/>
        <v>23.5</v>
      </c>
      <c r="G68" s="1219"/>
      <c r="H68" s="1220"/>
      <c r="I68" s="1220"/>
    </row>
    <row r="69" spans="1:252">
      <c r="A69" s="1208">
        <v>10</v>
      </c>
      <c r="B69" s="1209" t="s">
        <v>83</v>
      </c>
      <c r="C69" s="1210">
        <v>2012</v>
      </c>
      <c r="D69" s="1219">
        <v>8.4</v>
      </c>
      <c r="E69" s="1219"/>
      <c r="F69" s="1219">
        <f t="shared" si="1"/>
        <v>8.4</v>
      </c>
      <c r="G69" s="1219"/>
      <c r="H69" s="1220"/>
      <c r="I69" s="1220"/>
      <c r="J69" s="1235"/>
      <c r="K69" s="1235"/>
      <c r="L69" s="1235"/>
      <c r="M69" s="1235"/>
      <c r="N69" s="1235"/>
      <c r="O69" s="1235"/>
      <c r="P69" s="1235"/>
      <c r="Q69" s="1235"/>
      <c r="R69" s="1235"/>
      <c r="S69" s="1235"/>
      <c r="T69" s="1235"/>
      <c r="U69" s="1235"/>
      <c r="V69" s="1235"/>
      <c r="W69" s="1235"/>
      <c r="X69" s="1235"/>
      <c r="Y69" s="1235"/>
      <c r="Z69" s="1235"/>
      <c r="AA69" s="1235"/>
      <c r="AB69" s="1235"/>
      <c r="AC69" s="1235"/>
      <c r="AD69" s="1235"/>
      <c r="AE69" s="1235"/>
      <c r="AF69" s="1235"/>
      <c r="AG69" s="1235"/>
      <c r="AH69" s="1235"/>
      <c r="AI69" s="1235"/>
      <c r="AJ69" s="1235"/>
      <c r="AK69" s="1235"/>
      <c r="AL69" s="1235"/>
      <c r="AM69" s="1235"/>
      <c r="AN69" s="1235"/>
      <c r="AO69" s="1235"/>
      <c r="AP69" s="1235"/>
      <c r="AQ69" s="1235"/>
      <c r="AR69" s="1235"/>
      <c r="AS69" s="1235"/>
      <c r="AT69" s="1235"/>
      <c r="AU69" s="1235"/>
      <c r="AV69" s="1235"/>
      <c r="AW69" s="1235"/>
      <c r="AX69" s="1235"/>
      <c r="AY69" s="1235"/>
      <c r="AZ69" s="1235"/>
      <c r="BA69" s="1235"/>
      <c r="BB69" s="1235"/>
      <c r="BC69" s="1235"/>
      <c r="BD69" s="1235"/>
      <c r="BE69" s="1235"/>
      <c r="BF69" s="1235"/>
      <c r="BG69" s="1235"/>
      <c r="BH69" s="1235"/>
      <c r="BI69" s="1235"/>
      <c r="BJ69" s="1235"/>
      <c r="BK69" s="1235"/>
      <c r="BL69" s="1235"/>
      <c r="BM69" s="1235"/>
      <c r="BN69" s="1235"/>
      <c r="BO69" s="1235"/>
      <c r="BP69" s="1235"/>
      <c r="BQ69" s="1235"/>
      <c r="BR69" s="1235"/>
      <c r="BS69" s="1235"/>
      <c r="BT69" s="1235"/>
      <c r="BU69" s="1235"/>
      <c r="BV69" s="1235"/>
      <c r="BW69" s="1235"/>
      <c r="BX69" s="1235"/>
      <c r="BY69" s="1235"/>
      <c r="BZ69" s="1235"/>
      <c r="CA69" s="1235"/>
      <c r="CB69" s="1235"/>
      <c r="CC69" s="1235"/>
      <c r="CD69" s="1235"/>
      <c r="CE69" s="1235"/>
      <c r="CF69" s="1235"/>
      <c r="CG69" s="1235"/>
      <c r="CH69" s="1235"/>
      <c r="CI69" s="1235"/>
      <c r="CJ69" s="1235"/>
      <c r="CK69" s="1235"/>
      <c r="CL69" s="1235"/>
      <c r="CM69" s="1235"/>
      <c r="CN69" s="1235"/>
      <c r="CO69" s="1235"/>
      <c r="CP69" s="1235"/>
      <c r="CQ69" s="1235"/>
      <c r="CR69" s="1235"/>
      <c r="CS69" s="1235"/>
      <c r="CT69" s="1235"/>
      <c r="CU69" s="1235"/>
      <c r="CV69" s="1235"/>
      <c r="CW69" s="1235"/>
      <c r="CX69" s="1235"/>
      <c r="CY69" s="1235"/>
      <c r="CZ69" s="1235"/>
      <c r="DA69" s="1235"/>
      <c r="DB69" s="1235"/>
      <c r="DC69" s="1235"/>
      <c r="DD69" s="1235"/>
      <c r="DE69" s="1235"/>
      <c r="DF69" s="1235"/>
      <c r="DG69" s="1235"/>
      <c r="DH69" s="1235"/>
      <c r="DI69" s="1235"/>
      <c r="DJ69" s="1235"/>
      <c r="DK69" s="1235"/>
      <c r="DL69" s="1235"/>
      <c r="DM69" s="1235"/>
      <c r="DN69" s="1235"/>
      <c r="DO69" s="1235"/>
      <c r="DP69" s="1235"/>
      <c r="DQ69" s="1235"/>
      <c r="DR69" s="1235"/>
      <c r="DS69" s="1235"/>
      <c r="DT69" s="1235"/>
      <c r="DU69" s="1235"/>
      <c r="DV69" s="1235"/>
      <c r="DW69" s="1235"/>
      <c r="DX69" s="1235"/>
      <c r="DY69" s="1235"/>
      <c r="DZ69" s="1235"/>
      <c r="EA69" s="1235"/>
      <c r="EB69" s="1235"/>
      <c r="EC69" s="1235"/>
      <c r="ED69" s="1235"/>
      <c r="EE69" s="1235"/>
      <c r="EF69" s="1235"/>
      <c r="EG69" s="1235"/>
      <c r="EH69" s="1235"/>
      <c r="EI69" s="1235"/>
      <c r="EJ69" s="1235"/>
      <c r="EK69" s="1235"/>
      <c r="EL69" s="1235"/>
      <c r="EM69" s="1235"/>
      <c r="EN69" s="1235"/>
      <c r="EO69" s="1235"/>
      <c r="EP69" s="1235"/>
      <c r="EQ69" s="1235"/>
      <c r="ER69" s="1235"/>
      <c r="ES69" s="1235"/>
      <c r="ET69" s="1235"/>
      <c r="EU69" s="1235"/>
      <c r="EV69" s="1235"/>
      <c r="EW69" s="1235"/>
      <c r="EX69" s="1235"/>
      <c r="EY69" s="1235"/>
      <c r="EZ69" s="1235"/>
      <c r="FA69" s="1235"/>
      <c r="FB69" s="1235"/>
      <c r="FC69" s="1235"/>
      <c r="FD69" s="1235"/>
      <c r="FE69" s="1235"/>
      <c r="FF69" s="1235"/>
      <c r="FG69" s="1235"/>
      <c r="FH69" s="1235"/>
      <c r="FI69" s="1235"/>
      <c r="FJ69" s="1235"/>
      <c r="FK69" s="1235"/>
      <c r="FL69" s="1235"/>
      <c r="FM69" s="1235"/>
      <c r="FN69" s="1235"/>
      <c r="FO69" s="1235"/>
      <c r="FP69" s="1235"/>
      <c r="FQ69" s="1235"/>
      <c r="FR69" s="1235"/>
      <c r="FS69" s="1235"/>
      <c r="FT69" s="1235"/>
      <c r="FU69" s="1235"/>
      <c r="FV69" s="1235"/>
      <c r="FW69" s="1235"/>
      <c r="FX69" s="1235"/>
      <c r="FY69" s="1235"/>
      <c r="FZ69" s="1235"/>
      <c r="GA69" s="1235"/>
      <c r="GB69" s="1235"/>
      <c r="GC69" s="1235"/>
      <c r="GD69" s="1235"/>
      <c r="GE69" s="1235"/>
      <c r="GF69" s="1235"/>
      <c r="GG69" s="1235"/>
      <c r="GH69" s="1235"/>
      <c r="GI69" s="1235"/>
      <c r="GJ69" s="1235"/>
      <c r="GK69" s="1235"/>
      <c r="GL69" s="1235"/>
      <c r="GM69" s="1235"/>
      <c r="GN69" s="1235"/>
      <c r="GO69" s="1235"/>
      <c r="GP69" s="1235"/>
      <c r="GQ69" s="1235"/>
      <c r="GR69" s="1235"/>
      <c r="GS69" s="1235"/>
      <c r="GT69" s="1235"/>
      <c r="GU69" s="1235"/>
      <c r="GV69" s="1235"/>
      <c r="GW69" s="1235"/>
      <c r="GX69" s="1235"/>
      <c r="GY69" s="1235"/>
      <c r="GZ69" s="1235"/>
      <c r="HA69" s="1235"/>
      <c r="HB69" s="1235"/>
      <c r="HC69" s="1235"/>
      <c r="HD69" s="1235"/>
      <c r="HE69" s="1235"/>
      <c r="HF69" s="1235"/>
      <c r="HG69" s="1235"/>
      <c r="HH69" s="1235"/>
      <c r="HI69" s="1235"/>
      <c r="HJ69" s="1235"/>
      <c r="HK69" s="1235"/>
      <c r="HL69" s="1235"/>
      <c r="HM69" s="1235"/>
      <c r="HN69" s="1235"/>
      <c r="HO69" s="1235"/>
      <c r="HP69" s="1235"/>
      <c r="HQ69" s="1235"/>
      <c r="HR69" s="1235"/>
      <c r="HS69" s="1235"/>
      <c r="HT69" s="1235"/>
      <c r="HU69" s="1235"/>
      <c r="HV69" s="1235"/>
      <c r="HW69" s="1235"/>
      <c r="HX69" s="1235"/>
      <c r="HY69" s="1235"/>
      <c r="HZ69" s="1235"/>
      <c r="IA69" s="1235"/>
      <c r="IB69" s="1235"/>
      <c r="IC69" s="1235"/>
      <c r="ID69" s="1235"/>
      <c r="IE69" s="1235"/>
      <c r="IF69" s="1235"/>
      <c r="IG69" s="1235"/>
      <c r="IH69" s="1235"/>
      <c r="II69" s="1235"/>
      <c r="IJ69" s="1235"/>
      <c r="IK69" s="1235"/>
      <c r="IL69" s="1235"/>
      <c r="IM69" s="1235"/>
      <c r="IN69" s="1235"/>
      <c r="IO69" s="1235"/>
      <c r="IP69" s="1235"/>
      <c r="IQ69" s="1235"/>
      <c r="IR69" s="1235"/>
    </row>
    <row r="70" spans="1:252">
      <c r="A70" s="1208">
        <v>11</v>
      </c>
      <c r="B70" s="1209" t="s">
        <v>84</v>
      </c>
      <c r="C70" s="1210">
        <v>2012</v>
      </c>
      <c r="D70" s="1219">
        <v>21.4</v>
      </c>
      <c r="E70" s="1219"/>
      <c r="F70" s="1219">
        <f t="shared" si="1"/>
        <v>21.4</v>
      </c>
      <c r="G70" s="1219"/>
      <c r="H70" s="1220"/>
      <c r="I70" s="1220"/>
      <c r="J70" s="1236"/>
      <c r="K70" s="1236"/>
      <c r="L70" s="1236"/>
      <c r="M70" s="1236"/>
      <c r="N70" s="1236"/>
      <c r="O70" s="1236"/>
      <c r="P70" s="1236"/>
      <c r="Q70" s="1236"/>
      <c r="R70" s="1236"/>
      <c r="S70" s="1236"/>
      <c r="T70" s="1236"/>
      <c r="U70" s="1236"/>
      <c r="V70" s="1236"/>
      <c r="W70" s="1236"/>
      <c r="X70" s="1236"/>
      <c r="Y70" s="1236"/>
      <c r="Z70" s="1236"/>
      <c r="AA70" s="1236"/>
      <c r="AB70" s="1236"/>
      <c r="AC70" s="1236"/>
      <c r="AD70" s="1236"/>
      <c r="AE70" s="1236"/>
      <c r="AF70" s="1236"/>
      <c r="AG70" s="1236"/>
      <c r="AH70" s="1236"/>
      <c r="AI70" s="1236"/>
      <c r="AJ70" s="1236"/>
      <c r="AK70" s="1236"/>
      <c r="AL70" s="1236"/>
      <c r="AM70" s="1236"/>
      <c r="AN70" s="1236"/>
      <c r="AO70" s="1236"/>
      <c r="AP70" s="1236"/>
      <c r="AQ70" s="1236"/>
      <c r="AR70" s="1236"/>
      <c r="AS70" s="1236"/>
      <c r="AT70" s="1236"/>
      <c r="AU70" s="1236"/>
      <c r="AV70" s="1236"/>
      <c r="AW70" s="1236"/>
      <c r="AX70" s="1236"/>
      <c r="AY70" s="1236"/>
      <c r="AZ70" s="1236"/>
      <c r="BA70" s="1236"/>
      <c r="BB70" s="1236"/>
      <c r="BC70" s="1236"/>
      <c r="BD70" s="1236"/>
      <c r="BE70" s="1236"/>
      <c r="BF70" s="1236"/>
      <c r="BG70" s="1236"/>
      <c r="BH70" s="1236"/>
      <c r="BI70" s="1236"/>
      <c r="BJ70" s="1236"/>
      <c r="BK70" s="1236"/>
      <c r="BL70" s="1236"/>
      <c r="BM70" s="1236"/>
      <c r="BN70" s="1236"/>
      <c r="BO70" s="1236"/>
      <c r="BP70" s="1236"/>
      <c r="BQ70" s="1236"/>
      <c r="BR70" s="1236"/>
      <c r="BS70" s="1236"/>
      <c r="BT70" s="1236"/>
      <c r="BU70" s="1236"/>
      <c r="BV70" s="1236"/>
      <c r="BW70" s="1236"/>
      <c r="BX70" s="1236"/>
      <c r="BY70" s="1236"/>
      <c r="BZ70" s="1236"/>
      <c r="CA70" s="1236"/>
      <c r="CB70" s="1236"/>
      <c r="CC70" s="1236"/>
      <c r="CD70" s="1236"/>
      <c r="CE70" s="1236"/>
      <c r="CF70" s="1236"/>
      <c r="CG70" s="1236"/>
      <c r="CH70" s="1236"/>
      <c r="CI70" s="1236"/>
      <c r="CJ70" s="1236"/>
      <c r="CK70" s="1236"/>
      <c r="CL70" s="1236"/>
      <c r="CM70" s="1236"/>
      <c r="CN70" s="1236"/>
      <c r="CO70" s="1236"/>
      <c r="CP70" s="1236"/>
      <c r="CQ70" s="1236"/>
      <c r="CR70" s="1236"/>
      <c r="CS70" s="1236"/>
      <c r="CT70" s="1236"/>
      <c r="CU70" s="1236"/>
      <c r="CV70" s="1236"/>
      <c r="CW70" s="1236"/>
      <c r="CX70" s="1236"/>
      <c r="CY70" s="1236"/>
      <c r="CZ70" s="1236"/>
      <c r="DA70" s="1236"/>
      <c r="DB70" s="1236"/>
      <c r="DC70" s="1236"/>
      <c r="DD70" s="1236"/>
      <c r="DE70" s="1236"/>
      <c r="DF70" s="1236"/>
      <c r="DG70" s="1236"/>
      <c r="DH70" s="1236"/>
      <c r="DI70" s="1236"/>
      <c r="DJ70" s="1236"/>
      <c r="DK70" s="1236"/>
      <c r="DL70" s="1236"/>
      <c r="DM70" s="1236"/>
      <c r="DN70" s="1236"/>
      <c r="DO70" s="1236"/>
      <c r="DP70" s="1236"/>
      <c r="DQ70" s="1236"/>
      <c r="DR70" s="1236"/>
      <c r="DS70" s="1236"/>
      <c r="DT70" s="1236"/>
      <c r="DU70" s="1236"/>
      <c r="DV70" s="1236"/>
      <c r="DW70" s="1236"/>
      <c r="DX70" s="1236"/>
      <c r="DY70" s="1236"/>
      <c r="DZ70" s="1236"/>
      <c r="EA70" s="1236"/>
      <c r="EB70" s="1236"/>
      <c r="EC70" s="1236"/>
      <c r="ED70" s="1236"/>
      <c r="EE70" s="1236"/>
      <c r="EF70" s="1236"/>
      <c r="EG70" s="1236"/>
      <c r="EH70" s="1236"/>
      <c r="EI70" s="1236"/>
      <c r="EJ70" s="1236"/>
      <c r="EK70" s="1236"/>
      <c r="EL70" s="1236"/>
      <c r="EM70" s="1236"/>
      <c r="EN70" s="1236"/>
      <c r="EO70" s="1236"/>
      <c r="EP70" s="1236"/>
      <c r="EQ70" s="1236"/>
      <c r="ER70" s="1236"/>
      <c r="ES70" s="1236"/>
      <c r="ET70" s="1236"/>
      <c r="EU70" s="1236"/>
      <c r="EV70" s="1236"/>
      <c r="EW70" s="1236"/>
      <c r="EX70" s="1236"/>
      <c r="EY70" s="1236"/>
      <c r="EZ70" s="1236"/>
      <c r="FA70" s="1236"/>
      <c r="FB70" s="1236"/>
      <c r="FC70" s="1236"/>
      <c r="FD70" s="1236"/>
      <c r="FE70" s="1236"/>
      <c r="FF70" s="1236"/>
      <c r="FG70" s="1236"/>
      <c r="FH70" s="1236"/>
      <c r="FI70" s="1236"/>
      <c r="FJ70" s="1236"/>
      <c r="FK70" s="1236"/>
      <c r="FL70" s="1236"/>
      <c r="FM70" s="1236"/>
      <c r="FN70" s="1236"/>
      <c r="FO70" s="1236"/>
      <c r="FP70" s="1236"/>
      <c r="FQ70" s="1236"/>
      <c r="FR70" s="1236"/>
      <c r="FS70" s="1236"/>
      <c r="FT70" s="1236"/>
      <c r="FU70" s="1236"/>
      <c r="FV70" s="1236"/>
      <c r="FW70" s="1236"/>
      <c r="FX70" s="1236"/>
      <c r="FY70" s="1236"/>
      <c r="FZ70" s="1236"/>
      <c r="GA70" s="1236"/>
      <c r="GB70" s="1236"/>
      <c r="GC70" s="1236"/>
      <c r="GD70" s="1236"/>
      <c r="GE70" s="1236"/>
      <c r="GF70" s="1236"/>
      <c r="GG70" s="1236"/>
      <c r="GH70" s="1236"/>
      <c r="GI70" s="1236"/>
      <c r="GJ70" s="1236"/>
      <c r="GK70" s="1236"/>
      <c r="GL70" s="1236"/>
      <c r="GM70" s="1236"/>
      <c r="GN70" s="1236"/>
      <c r="GO70" s="1236"/>
      <c r="GP70" s="1236"/>
      <c r="GQ70" s="1236"/>
      <c r="GR70" s="1236"/>
      <c r="GS70" s="1236"/>
      <c r="GT70" s="1236"/>
      <c r="GU70" s="1236"/>
      <c r="GV70" s="1236"/>
      <c r="GW70" s="1236"/>
      <c r="GX70" s="1236"/>
      <c r="GY70" s="1236"/>
      <c r="GZ70" s="1236"/>
      <c r="HA70" s="1236"/>
      <c r="HB70" s="1236"/>
      <c r="HC70" s="1236"/>
      <c r="HD70" s="1236"/>
      <c r="HE70" s="1236"/>
      <c r="HF70" s="1236"/>
      <c r="HG70" s="1236"/>
      <c r="HH70" s="1236"/>
      <c r="HI70" s="1236"/>
      <c r="HJ70" s="1236"/>
      <c r="HK70" s="1236"/>
      <c r="HL70" s="1236"/>
      <c r="HM70" s="1236"/>
      <c r="HN70" s="1236"/>
      <c r="HO70" s="1236"/>
      <c r="HP70" s="1236"/>
      <c r="HQ70" s="1236"/>
      <c r="HR70" s="1236"/>
      <c r="HS70" s="1236"/>
      <c r="HT70" s="1236"/>
      <c r="HU70" s="1236"/>
      <c r="HV70" s="1236"/>
      <c r="HW70" s="1236"/>
      <c r="HX70" s="1236"/>
      <c r="HY70" s="1236"/>
      <c r="HZ70" s="1236"/>
      <c r="IA70" s="1236"/>
      <c r="IB70" s="1236"/>
      <c r="IC70" s="1236"/>
      <c r="ID70" s="1236"/>
      <c r="IE70" s="1236"/>
      <c r="IF70" s="1236"/>
      <c r="IG70" s="1236"/>
      <c r="IH70" s="1236"/>
      <c r="II70" s="1236"/>
      <c r="IJ70" s="1236"/>
      <c r="IK70" s="1236"/>
      <c r="IL70" s="1236"/>
      <c r="IM70" s="1236"/>
      <c r="IN70" s="1236"/>
      <c r="IO70" s="1236"/>
      <c r="IP70" s="1236"/>
      <c r="IQ70" s="1236"/>
      <c r="IR70" s="1236"/>
    </row>
    <row r="71" spans="1:252">
      <c r="A71" s="1208">
        <v>12</v>
      </c>
      <c r="B71" s="1209" t="s">
        <v>85</v>
      </c>
      <c r="C71" s="1210">
        <v>2012</v>
      </c>
      <c r="D71" s="1219">
        <v>13.4</v>
      </c>
      <c r="E71" s="1219"/>
      <c r="F71" s="1219">
        <f t="shared" si="1"/>
        <v>13.4</v>
      </c>
      <c r="G71" s="1219"/>
      <c r="H71" s="1220"/>
      <c r="I71" s="1220"/>
    </row>
    <row r="72" spans="1:252">
      <c r="A72" s="1208">
        <v>13</v>
      </c>
      <c r="B72" s="1209" t="s">
        <v>86</v>
      </c>
      <c r="C72" s="1210">
        <v>2012</v>
      </c>
      <c r="D72" s="1219">
        <v>27.9</v>
      </c>
      <c r="E72" s="1219"/>
      <c r="F72" s="1219">
        <f t="shared" si="1"/>
        <v>27.9</v>
      </c>
      <c r="G72" s="1219"/>
      <c r="H72" s="1220"/>
      <c r="I72" s="1220"/>
    </row>
    <row r="73" spans="1:252">
      <c r="A73" s="1208">
        <v>14</v>
      </c>
      <c r="B73" s="1209" t="s">
        <v>87</v>
      </c>
      <c r="C73" s="1210">
        <v>2012</v>
      </c>
      <c r="D73" s="1219">
        <v>26.4</v>
      </c>
      <c r="E73" s="1219"/>
      <c r="F73" s="1219">
        <f t="shared" si="1"/>
        <v>26.4</v>
      </c>
      <c r="G73" s="1219"/>
      <c r="H73" s="1220"/>
      <c r="I73" s="1220"/>
    </row>
    <row r="74" spans="1:252">
      <c r="A74" s="1208">
        <v>66</v>
      </c>
      <c r="B74" s="1209" t="s">
        <v>88</v>
      </c>
      <c r="C74" s="1210">
        <v>2013</v>
      </c>
      <c r="D74" s="1219">
        <v>8.5</v>
      </c>
      <c r="E74" s="1219"/>
      <c r="F74" s="1219">
        <f t="shared" si="1"/>
        <v>8.5</v>
      </c>
      <c r="G74" s="1219"/>
      <c r="H74" s="1220"/>
      <c r="I74" s="1220"/>
    </row>
    <row r="75" spans="1:252">
      <c r="A75" s="1208">
        <v>67</v>
      </c>
      <c r="B75" s="1209" t="s">
        <v>70</v>
      </c>
      <c r="C75" s="1210">
        <v>2013</v>
      </c>
      <c r="D75" s="1219">
        <v>1.8</v>
      </c>
      <c r="E75" s="1219"/>
      <c r="F75" s="1219"/>
      <c r="G75" s="1219"/>
      <c r="H75" s="1220"/>
      <c r="I75" s="1229">
        <v>1.8</v>
      </c>
    </row>
    <row r="76" spans="1:252">
      <c r="A76" s="1208">
        <v>68</v>
      </c>
      <c r="B76" s="1209" t="s">
        <v>89</v>
      </c>
      <c r="C76" s="1210">
        <v>2013</v>
      </c>
      <c r="D76" s="1219">
        <v>6</v>
      </c>
      <c r="E76" s="1219"/>
      <c r="F76" s="1219">
        <f t="shared" ref="F76:F92" si="2">D76</f>
        <v>6</v>
      </c>
      <c r="G76" s="1219"/>
      <c r="H76" s="1220"/>
      <c r="I76" s="1220"/>
    </row>
    <row r="77" spans="1:252">
      <c r="A77" s="1208">
        <v>69</v>
      </c>
      <c r="B77" s="1209" t="s">
        <v>90</v>
      </c>
      <c r="C77" s="1210">
        <v>2013</v>
      </c>
      <c r="D77" s="1219">
        <v>13.4</v>
      </c>
      <c r="E77" s="1219"/>
      <c r="F77" s="1219">
        <f t="shared" si="2"/>
        <v>13.4</v>
      </c>
      <c r="G77" s="1219"/>
      <c r="H77" s="1220"/>
      <c r="I77" s="1220"/>
    </row>
    <row r="78" spans="1:252">
      <c r="A78" s="1208">
        <v>70</v>
      </c>
      <c r="B78" s="1209" t="s">
        <v>91</v>
      </c>
      <c r="C78" s="1210">
        <v>2013</v>
      </c>
      <c r="D78" s="1219">
        <v>1.8</v>
      </c>
      <c r="E78" s="1219"/>
      <c r="F78" s="1219">
        <f t="shared" si="2"/>
        <v>1.8</v>
      </c>
      <c r="G78" s="1219"/>
      <c r="H78" s="1220"/>
      <c r="I78" s="1220"/>
    </row>
    <row r="79" spans="1:252">
      <c r="A79" s="1208">
        <v>71</v>
      </c>
      <c r="B79" s="1209" t="s">
        <v>71</v>
      </c>
      <c r="C79" s="1210">
        <v>2013</v>
      </c>
      <c r="D79" s="1219">
        <v>7.5</v>
      </c>
      <c r="E79" s="1219"/>
      <c r="F79" s="1219">
        <f t="shared" si="2"/>
        <v>7.5</v>
      </c>
      <c r="G79" s="1219"/>
      <c r="H79" s="1220"/>
      <c r="I79" s="1220"/>
    </row>
    <row r="80" spans="1:252">
      <c r="A80" s="1208">
        <v>72</v>
      </c>
      <c r="B80" s="1209" t="s">
        <v>92</v>
      </c>
      <c r="C80" s="1210">
        <v>2013</v>
      </c>
      <c r="D80" s="1211">
        <v>24.3</v>
      </c>
      <c r="E80" s="1211"/>
      <c r="F80" s="1211">
        <f t="shared" si="2"/>
        <v>24.3</v>
      </c>
      <c r="G80" s="1211"/>
      <c r="H80" s="1212"/>
      <c r="I80" s="1212"/>
    </row>
    <row r="81" spans="1:252">
      <c r="A81" s="1208">
        <v>73</v>
      </c>
      <c r="B81" s="1209" t="s">
        <v>93</v>
      </c>
      <c r="C81" s="1210">
        <v>2013</v>
      </c>
      <c r="D81" s="1219">
        <v>11.8</v>
      </c>
      <c r="E81" s="1219"/>
      <c r="F81" s="1219">
        <f t="shared" si="2"/>
        <v>11.8</v>
      </c>
      <c r="G81" s="1219"/>
      <c r="H81" s="1220"/>
      <c r="I81" s="1220"/>
    </row>
    <row r="82" spans="1:252">
      <c r="A82" s="1208">
        <v>74</v>
      </c>
      <c r="B82" s="1209" t="s">
        <v>94</v>
      </c>
      <c r="C82" s="1210">
        <v>2013</v>
      </c>
      <c r="D82" s="1219">
        <v>25.6</v>
      </c>
      <c r="E82" s="1219"/>
      <c r="F82" s="1219">
        <f t="shared" si="2"/>
        <v>25.6</v>
      </c>
      <c r="G82" s="1219"/>
      <c r="H82" s="1220"/>
      <c r="I82" s="1220"/>
    </row>
    <row r="83" spans="1:252">
      <c r="A83" s="1208">
        <v>75</v>
      </c>
      <c r="B83" s="1209" t="s">
        <v>95</v>
      </c>
      <c r="C83" s="1210">
        <v>2013</v>
      </c>
      <c r="D83" s="1219">
        <v>22.8</v>
      </c>
      <c r="E83" s="1219"/>
      <c r="F83" s="1219">
        <f t="shared" si="2"/>
        <v>22.8</v>
      </c>
      <c r="G83" s="1219"/>
      <c r="H83" s="1220"/>
      <c r="I83" s="1220"/>
    </row>
    <row r="84" spans="1:252">
      <c r="A84" s="1208">
        <v>76</v>
      </c>
      <c r="B84" s="1209" t="s">
        <v>96</v>
      </c>
      <c r="C84" s="1210">
        <v>2013</v>
      </c>
      <c r="D84" s="1219">
        <v>21.2</v>
      </c>
      <c r="E84" s="1219"/>
      <c r="F84" s="1219">
        <f t="shared" si="2"/>
        <v>21.2</v>
      </c>
      <c r="G84" s="1219"/>
      <c r="H84" s="1220"/>
      <c r="I84" s="1220"/>
    </row>
    <row r="85" spans="1:252">
      <c r="A85" s="1208">
        <v>77</v>
      </c>
      <c r="B85" s="1209" t="s">
        <v>97</v>
      </c>
      <c r="C85" s="1210">
        <v>2013</v>
      </c>
      <c r="D85" s="1219">
        <v>11.8</v>
      </c>
      <c r="E85" s="1219"/>
      <c r="F85" s="1219">
        <f t="shared" si="2"/>
        <v>11.8</v>
      </c>
      <c r="G85" s="1219"/>
      <c r="H85" s="1220"/>
      <c r="I85" s="1220"/>
    </row>
    <row r="86" spans="1:252">
      <c r="A86" s="1208">
        <v>78</v>
      </c>
      <c r="B86" s="1209" t="s">
        <v>98</v>
      </c>
      <c r="C86" s="1210">
        <v>2013</v>
      </c>
      <c r="D86" s="1219">
        <v>2.2000000000000002</v>
      </c>
      <c r="E86" s="1219"/>
      <c r="F86" s="1219">
        <f t="shared" si="2"/>
        <v>2.2000000000000002</v>
      </c>
      <c r="G86" s="1219"/>
      <c r="H86" s="1220"/>
      <c r="I86" s="1220"/>
      <c r="J86" s="1236"/>
      <c r="K86" s="1236"/>
      <c r="L86" s="1236"/>
      <c r="M86" s="1236"/>
      <c r="N86" s="1236"/>
      <c r="O86" s="1236"/>
      <c r="P86" s="1236"/>
      <c r="Q86" s="1236"/>
      <c r="R86" s="1236"/>
      <c r="S86" s="1236"/>
      <c r="T86" s="1236"/>
      <c r="U86" s="1236"/>
      <c r="V86" s="1236"/>
      <c r="W86" s="1236"/>
      <c r="X86" s="1236"/>
      <c r="Y86" s="1236"/>
      <c r="Z86" s="1236"/>
      <c r="AA86" s="1236"/>
      <c r="AB86" s="1236"/>
      <c r="AC86" s="1236"/>
      <c r="AD86" s="1236"/>
      <c r="AE86" s="1236"/>
      <c r="AF86" s="1236"/>
      <c r="AG86" s="1236"/>
      <c r="AH86" s="1236"/>
      <c r="AI86" s="1236"/>
      <c r="AJ86" s="1236"/>
      <c r="AK86" s="1236"/>
      <c r="AL86" s="1236"/>
      <c r="AM86" s="1236"/>
      <c r="AN86" s="1236"/>
      <c r="AO86" s="1236"/>
      <c r="AP86" s="1236"/>
      <c r="AQ86" s="1236"/>
      <c r="AR86" s="1236"/>
      <c r="AS86" s="1236"/>
      <c r="AT86" s="1236"/>
      <c r="AU86" s="1236"/>
      <c r="AV86" s="1236"/>
      <c r="AW86" s="1236"/>
      <c r="AX86" s="1236"/>
      <c r="AY86" s="1236"/>
      <c r="AZ86" s="1236"/>
      <c r="BA86" s="1236"/>
      <c r="BB86" s="1236"/>
      <c r="BC86" s="1236"/>
      <c r="BD86" s="1236"/>
      <c r="BE86" s="1236"/>
      <c r="BF86" s="1236"/>
      <c r="BG86" s="1236"/>
      <c r="BH86" s="1236"/>
      <c r="BI86" s="1236"/>
      <c r="BJ86" s="1236"/>
      <c r="BK86" s="1236"/>
      <c r="BL86" s="1236"/>
      <c r="BM86" s="1236"/>
      <c r="BN86" s="1236"/>
      <c r="BO86" s="1236"/>
      <c r="BP86" s="1236"/>
      <c r="BQ86" s="1236"/>
      <c r="BR86" s="1236"/>
      <c r="BS86" s="1236"/>
      <c r="BT86" s="1236"/>
      <c r="BU86" s="1236"/>
      <c r="BV86" s="1236"/>
      <c r="BW86" s="1236"/>
      <c r="BX86" s="1236"/>
      <c r="BY86" s="1236"/>
      <c r="BZ86" s="1236"/>
      <c r="CA86" s="1236"/>
      <c r="CB86" s="1236"/>
      <c r="CC86" s="1236"/>
      <c r="CD86" s="1236"/>
      <c r="CE86" s="1236"/>
      <c r="CF86" s="1236"/>
      <c r="CG86" s="1236"/>
      <c r="CH86" s="1236"/>
      <c r="CI86" s="1236"/>
      <c r="CJ86" s="1236"/>
      <c r="CK86" s="1236"/>
      <c r="CL86" s="1236"/>
      <c r="CM86" s="1236"/>
      <c r="CN86" s="1236"/>
      <c r="CO86" s="1236"/>
      <c r="CP86" s="1236"/>
      <c r="CQ86" s="1236"/>
      <c r="CR86" s="1236"/>
      <c r="CS86" s="1236"/>
      <c r="CT86" s="1236"/>
      <c r="CU86" s="1236"/>
      <c r="CV86" s="1236"/>
      <c r="CW86" s="1236"/>
      <c r="CX86" s="1236"/>
      <c r="CY86" s="1236"/>
      <c r="CZ86" s="1236"/>
      <c r="DA86" s="1236"/>
      <c r="DB86" s="1236"/>
      <c r="DC86" s="1236"/>
      <c r="DD86" s="1236"/>
      <c r="DE86" s="1236"/>
      <c r="DF86" s="1236"/>
      <c r="DG86" s="1236"/>
      <c r="DH86" s="1236"/>
      <c r="DI86" s="1236"/>
      <c r="DJ86" s="1236"/>
      <c r="DK86" s="1236"/>
      <c r="DL86" s="1236"/>
      <c r="DM86" s="1236"/>
      <c r="DN86" s="1236"/>
      <c r="DO86" s="1236"/>
      <c r="DP86" s="1236"/>
      <c r="DQ86" s="1236"/>
      <c r="DR86" s="1236"/>
      <c r="DS86" s="1236"/>
      <c r="DT86" s="1236"/>
      <c r="DU86" s="1236"/>
      <c r="DV86" s="1236"/>
      <c r="DW86" s="1236"/>
      <c r="DX86" s="1236"/>
      <c r="DY86" s="1236"/>
      <c r="DZ86" s="1236"/>
      <c r="EA86" s="1236"/>
      <c r="EB86" s="1236"/>
      <c r="EC86" s="1236"/>
      <c r="ED86" s="1236"/>
      <c r="EE86" s="1236"/>
      <c r="EF86" s="1236"/>
      <c r="EG86" s="1236"/>
      <c r="EH86" s="1236"/>
      <c r="EI86" s="1236"/>
      <c r="EJ86" s="1236"/>
      <c r="EK86" s="1236"/>
      <c r="EL86" s="1236"/>
      <c r="EM86" s="1236"/>
      <c r="EN86" s="1236"/>
      <c r="EO86" s="1236"/>
      <c r="EP86" s="1236"/>
      <c r="EQ86" s="1236"/>
      <c r="ER86" s="1236"/>
      <c r="ES86" s="1236"/>
      <c r="ET86" s="1236"/>
      <c r="EU86" s="1236"/>
      <c r="EV86" s="1236"/>
      <c r="EW86" s="1236"/>
      <c r="EX86" s="1236"/>
      <c r="EY86" s="1236"/>
      <c r="EZ86" s="1236"/>
      <c r="FA86" s="1236"/>
      <c r="FB86" s="1236"/>
      <c r="FC86" s="1236"/>
      <c r="FD86" s="1236"/>
      <c r="FE86" s="1236"/>
      <c r="FF86" s="1236"/>
      <c r="FG86" s="1236"/>
      <c r="FH86" s="1236"/>
      <c r="FI86" s="1236"/>
      <c r="FJ86" s="1236"/>
      <c r="FK86" s="1236"/>
      <c r="FL86" s="1236"/>
      <c r="FM86" s="1236"/>
      <c r="FN86" s="1236"/>
      <c r="FO86" s="1236"/>
      <c r="FP86" s="1236"/>
      <c r="FQ86" s="1236"/>
      <c r="FR86" s="1236"/>
      <c r="FS86" s="1236"/>
      <c r="FT86" s="1236"/>
      <c r="FU86" s="1236"/>
      <c r="FV86" s="1236"/>
      <c r="FW86" s="1236"/>
      <c r="FX86" s="1236"/>
      <c r="FY86" s="1236"/>
      <c r="FZ86" s="1236"/>
      <c r="GA86" s="1236"/>
      <c r="GB86" s="1236"/>
      <c r="GC86" s="1236"/>
      <c r="GD86" s="1236"/>
      <c r="GE86" s="1236"/>
      <c r="GF86" s="1236"/>
      <c r="GG86" s="1236"/>
      <c r="GH86" s="1236"/>
      <c r="GI86" s="1236"/>
      <c r="GJ86" s="1236"/>
      <c r="GK86" s="1236"/>
      <c r="GL86" s="1236"/>
      <c r="GM86" s="1236"/>
      <c r="GN86" s="1236"/>
      <c r="GO86" s="1236"/>
      <c r="GP86" s="1236"/>
      <c r="GQ86" s="1236"/>
      <c r="GR86" s="1236"/>
      <c r="GS86" s="1236"/>
      <c r="GT86" s="1236"/>
      <c r="GU86" s="1236"/>
      <c r="GV86" s="1236"/>
      <c r="GW86" s="1236"/>
      <c r="GX86" s="1236"/>
      <c r="GY86" s="1236"/>
      <c r="GZ86" s="1236"/>
      <c r="HA86" s="1236"/>
      <c r="HB86" s="1236"/>
      <c r="HC86" s="1236"/>
      <c r="HD86" s="1236"/>
      <c r="HE86" s="1236"/>
      <c r="HF86" s="1236"/>
      <c r="HG86" s="1236"/>
      <c r="HH86" s="1236"/>
      <c r="HI86" s="1236"/>
      <c r="HJ86" s="1236"/>
      <c r="HK86" s="1236"/>
      <c r="HL86" s="1236"/>
      <c r="HM86" s="1236"/>
      <c r="HN86" s="1236"/>
      <c r="HO86" s="1236"/>
      <c r="HP86" s="1236"/>
      <c r="HQ86" s="1236"/>
      <c r="HR86" s="1236"/>
      <c r="HS86" s="1236"/>
      <c r="HT86" s="1236"/>
      <c r="HU86" s="1236"/>
      <c r="HV86" s="1236"/>
      <c r="HW86" s="1236"/>
      <c r="HX86" s="1236"/>
      <c r="HY86" s="1236"/>
      <c r="HZ86" s="1236"/>
      <c r="IA86" s="1236"/>
      <c r="IB86" s="1236"/>
      <c r="IC86" s="1236"/>
      <c r="ID86" s="1236"/>
      <c r="IE86" s="1236"/>
      <c r="IF86" s="1236"/>
      <c r="IG86" s="1236"/>
      <c r="IH86" s="1236"/>
      <c r="II86" s="1236"/>
      <c r="IJ86" s="1236"/>
      <c r="IK86" s="1236"/>
      <c r="IL86" s="1236"/>
      <c r="IM86" s="1236"/>
      <c r="IN86" s="1236"/>
      <c r="IO86" s="1236"/>
      <c r="IP86" s="1236"/>
      <c r="IQ86" s="1236"/>
      <c r="IR86" s="1236"/>
    </row>
    <row r="87" spans="1:252">
      <c r="A87" s="1208">
        <v>79</v>
      </c>
      <c r="B87" s="1209" t="s">
        <v>99</v>
      </c>
      <c r="C87" s="1210">
        <v>2013</v>
      </c>
      <c r="D87" s="1219">
        <v>10.199999999999999</v>
      </c>
      <c r="E87" s="1219"/>
      <c r="F87" s="1219">
        <f t="shared" si="2"/>
        <v>10.199999999999999</v>
      </c>
      <c r="G87" s="1219"/>
      <c r="H87" s="1220"/>
      <c r="I87" s="1220"/>
    </row>
    <row r="88" spans="1:252">
      <c r="A88" s="1208">
        <v>80</v>
      </c>
      <c r="B88" s="1209" t="s">
        <v>100</v>
      </c>
      <c r="C88" s="1210">
        <v>2013</v>
      </c>
      <c r="D88" s="1219">
        <v>21.2</v>
      </c>
      <c r="E88" s="1219"/>
      <c r="F88" s="1219">
        <f t="shared" si="2"/>
        <v>21.2</v>
      </c>
      <c r="G88" s="1219"/>
      <c r="H88" s="1220"/>
      <c r="I88" s="1220"/>
    </row>
    <row r="89" spans="1:252">
      <c r="A89" s="1208">
        <v>81</v>
      </c>
      <c r="B89" s="1209" t="s">
        <v>101</v>
      </c>
      <c r="C89" s="1210">
        <v>2013</v>
      </c>
      <c r="D89" s="1219">
        <v>2.4</v>
      </c>
      <c r="E89" s="1219"/>
      <c r="F89" s="1219">
        <f t="shared" si="2"/>
        <v>2.4</v>
      </c>
      <c r="G89" s="1219"/>
      <c r="H89" s="1220"/>
      <c r="I89" s="1220"/>
    </row>
    <row r="90" spans="1:252">
      <c r="A90" s="1208">
        <v>82</v>
      </c>
      <c r="B90" s="1209" t="s">
        <v>102</v>
      </c>
      <c r="C90" s="1210">
        <v>2013</v>
      </c>
      <c r="D90" s="1219">
        <v>16.2</v>
      </c>
      <c r="E90" s="1219"/>
      <c r="F90" s="1219">
        <f t="shared" si="2"/>
        <v>16.2</v>
      </c>
      <c r="G90" s="1219"/>
      <c r="H90" s="1220"/>
      <c r="I90" s="1220"/>
    </row>
    <row r="91" spans="1:252">
      <c r="A91" s="1208">
        <v>83</v>
      </c>
      <c r="B91" s="1209" t="s">
        <v>103</v>
      </c>
      <c r="C91" s="1210">
        <v>2013</v>
      </c>
      <c r="D91" s="1219">
        <v>24.3</v>
      </c>
      <c r="E91" s="1219"/>
      <c r="F91" s="1219">
        <f t="shared" si="2"/>
        <v>24.3</v>
      </c>
      <c r="G91" s="1219"/>
      <c r="H91" s="1220"/>
      <c r="I91" s="1220"/>
    </row>
    <row r="92" spans="1:252">
      <c r="A92" s="1208">
        <v>84</v>
      </c>
      <c r="B92" s="1209" t="s">
        <v>104</v>
      </c>
      <c r="C92" s="1210">
        <v>2013</v>
      </c>
      <c r="D92" s="1219">
        <v>24.3</v>
      </c>
      <c r="E92" s="1219"/>
      <c r="F92" s="1219">
        <f t="shared" si="2"/>
        <v>24.3</v>
      </c>
      <c r="G92" s="1219"/>
      <c r="H92" s="1220"/>
      <c r="I92" s="1220"/>
    </row>
    <row r="93" spans="1:252">
      <c r="A93" s="1213" t="s">
        <v>105</v>
      </c>
      <c r="B93" s="1214">
        <v>0</v>
      </c>
      <c r="C93" s="1215"/>
      <c r="D93" s="1216">
        <f>SUM(D94:D137)</f>
        <v>707.50000000000023</v>
      </c>
      <c r="E93" s="1216">
        <f>SUM(E94:E137)</f>
        <v>0</v>
      </c>
      <c r="F93" s="1216">
        <f>SUM(F94:F137)</f>
        <v>0</v>
      </c>
      <c r="G93" s="1216">
        <f>SUM(G94:G137)</f>
        <v>0</v>
      </c>
    </row>
    <row r="94" spans="1:252">
      <c r="A94" s="1208">
        <v>1</v>
      </c>
      <c r="B94" s="1231" t="s">
        <v>106</v>
      </c>
      <c r="C94" s="1232">
        <v>2013</v>
      </c>
      <c r="D94" s="1233">
        <v>24.4</v>
      </c>
      <c r="E94" s="1233"/>
      <c r="F94" s="1233"/>
      <c r="G94" s="1233"/>
      <c r="H94" s="1234">
        <v>24.4</v>
      </c>
      <c r="I94" s="1234"/>
    </row>
    <row r="95" spans="1:252">
      <c r="A95" s="1208">
        <v>2</v>
      </c>
      <c r="B95" s="1231" t="s">
        <v>107</v>
      </c>
      <c r="C95" s="1232">
        <v>2013</v>
      </c>
      <c r="D95" s="1233">
        <v>14.7</v>
      </c>
      <c r="E95" s="1233"/>
      <c r="F95" s="1233"/>
      <c r="G95" s="1233"/>
      <c r="H95" s="1234">
        <v>14.7</v>
      </c>
      <c r="I95" s="1234"/>
    </row>
    <row r="96" spans="1:252">
      <c r="A96" s="1208">
        <v>3</v>
      </c>
      <c r="B96" s="1231" t="s">
        <v>108</v>
      </c>
      <c r="C96" s="1232">
        <v>2013</v>
      </c>
      <c r="D96" s="1233">
        <v>24.3</v>
      </c>
      <c r="E96" s="1233"/>
      <c r="F96" s="1233"/>
      <c r="G96" s="1233"/>
      <c r="H96" s="1234"/>
      <c r="I96" s="1237">
        <v>24.3</v>
      </c>
    </row>
    <row r="97" spans="1:252">
      <c r="A97" s="1208">
        <v>4</v>
      </c>
      <c r="B97" s="1231" t="s">
        <v>109</v>
      </c>
      <c r="C97" s="1232">
        <v>2013</v>
      </c>
      <c r="D97" s="1233">
        <v>24.3</v>
      </c>
      <c r="E97" s="1233"/>
      <c r="F97" s="1233"/>
      <c r="G97" s="1233"/>
      <c r="H97" s="1234">
        <v>24.3</v>
      </c>
      <c r="I97" s="1234"/>
    </row>
    <row r="98" spans="1:252">
      <c r="A98" s="1208">
        <v>5</v>
      </c>
      <c r="B98" s="1231" t="s">
        <v>110</v>
      </c>
      <c r="C98" s="1232">
        <v>2013</v>
      </c>
      <c r="D98" s="1233">
        <v>24.3</v>
      </c>
      <c r="E98" s="1233"/>
      <c r="F98" s="1233"/>
      <c r="G98" s="1233"/>
      <c r="H98" s="1234">
        <v>24.3</v>
      </c>
      <c r="I98" s="1234"/>
    </row>
    <row r="99" spans="1:252">
      <c r="A99" s="1208">
        <v>6</v>
      </c>
      <c r="B99" s="1231" t="s">
        <v>111</v>
      </c>
      <c r="C99" s="1232">
        <v>2013</v>
      </c>
      <c r="D99" s="1233">
        <v>14.7</v>
      </c>
      <c r="E99" s="1233"/>
      <c r="F99" s="1233"/>
      <c r="G99" s="1233"/>
      <c r="H99" s="1234">
        <v>14.7</v>
      </c>
      <c r="I99" s="1234"/>
    </row>
    <row r="100" spans="1:252">
      <c r="A100" s="1208">
        <v>7</v>
      </c>
      <c r="B100" s="1231" t="s">
        <v>112</v>
      </c>
      <c r="C100" s="1232">
        <v>2013</v>
      </c>
      <c r="D100" s="1233">
        <v>28.1</v>
      </c>
      <c r="E100" s="1233"/>
      <c r="F100" s="1233"/>
      <c r="G100" s="1233"/>
      <c r="H100" s="1234">
        <v>28.1</v>
      </c>
      <c r="I100" s="1234"/>
    </row>
    <row r="101" spans="1:252">
      <c r="A101" s="1208">
        <v>8</v>
      </c>
      <c r="B101" s="1231" t="s">
        <v>113</v>
      </c>
      <c r="C101" s="1232">
        <v>2013</v>
      </c>
      <c r="D101" s="1233">
        <v>24.9</v>
      </c>
      <c r="E101" s="1233"/>
      <c r="F101" s="1233"/>
      <c r="G101" s="1233"/>
      <c r="H101" s="1234">
        <v>24.9</v>
      </c>
      <c r="I101" s="1234"/>
    </row>
    <row r="102" spans="1:252">
      <c r="A102" s="1208">
        <v>9</v>
      </c>
      <c r="B102" s="1231" t="s">
        <v>114</v>
      </c>
      <c r="C102" s="1232">
        <v>2013</v>
      </c>
      <c r="D102" s="1233">
        <v>24.3</v>
      </c>
      <c r="E102" s="1233"/>
      <c r="F102" s="1233"/>
      <c r="G102" s="1233"/>
      <c r="H102" s="1234">
        <v>24.3</v>
      </c>
      <c r="I102" s="1234"/>
    </row>
    <row r="103" spans="1:252">
      <c r="A103" s="1208">
        <v>10</v>
      </c>
      <c r="B103" s="1231" t="s">
        <v>115</v>
      </c>
      <c r="C103" s="1232">
        <v>2013</v>
      </c>
      <c r="D103" s="1233">
        <v>12.3</v>
      </c>
      <c r="E103" s="1233"/>
      <c r="F103" s="1233"/>
      <c r="G103" s="1233"/>
      <c r="H103" s="1234">
        <v>12.3</v>
      </c>
      <c r="I103" s="1234"/>
    </row>
    <row r="104" spans="1:252">
      <c r="A104" s="1208">
        <v>11</v>
      </c>
      <c r="B104" s="1231" t="s">
        <v>116</v>
      </c>
      <c r="C104" s="1232">
        <v>2013</v>
      </c>
      <c r="D104" s="1233">
        <v>24.3</v>
      </c>
      <c r="E104" s="1233"/>
      <c r="F104" s="1233"/>
      <c r="G104" s="1233"/>
      <c r="H104" s="1234">
        <v>24.3</v>
      </c>
      <c r="I104" s="1234"/>
    </row>
    <row r="105" spans="1:252">
      <c r="A105" s="1208">
        <v>12</v>
      </c>
      <c r="B105" s="1231" t="s">
        <v>117</v>
      </c>
      <c r="C105" s="1232">
        <v>2013</v>
      </c>
      <c r="D105" s="1233">
        <v>24.3</v>
      </c>
      <c r="E105" s="1233"/>
      <c r="F105" s="1233"/>
      <c r="G105" s="1233"/>
      <c r="H105" s="1234">
        <v>24.3</v>
      </c>
      <c r="I105" s="1234"/>
    </row>
    <row r="106" spans="1:252">
      <c r="A106" s="1208">
        <v>13</v>
      </c>
      <c r="B106" s="1231" t="s">
        <v>118</v>
      </c>
      <c r="C106" s="1232">
        <v>2013</v>
      </c>
      <c r="D106" s="1233">
        <v>24.3</v>
      </c>
      <c r="E106" s="1233"/>
      <c r="F106" s="1233"/>
      <c r="G106" s="1233"/>
      <c r="H106" s="1234">
        <v>24.3</v>
      </c>
      <c r="I106" s="1234"/>
      <c r="J106" s="1235"/>
      <c r="K106" s="1235"/>
      <c r="L106" s="1235"/>
      <c r="M106" s="1235"/>
      <c r="N106" s="1235"/>
      <c r="O106" s="1235"/>
      <c r="P106" s="1235"/>
      <c r="Q106" s="1235"/>
      <c r="R106" s="1235"/>
      <c r="S106" s="1235"/>
      <c r="T106" s="1235"/>
      <c r="U106" s="1235"/>
      <c r="V106" s="1235"/>
      <c r="W106" s="1235"/>
      <c r="X106" s="1235"/>
      <c r="Y106" s="1235"/>
      <c r="Z106" s="1235"/>
      <c r="AA106" s="1235"/>
      <c r="AB106" s="1235"/>
      <c r="AC106" s="1235"/>
      <c r="AD106" s="1235"/>
      <c r="AE106" s="1235"/>
      <c r="AF106" s="1235"/>
      <c r="AG106" s="1235"/>
      <c r="AH106" s="1235"/>
      <c r="AI106" s="1235"/>
      <c r="AJ106" s="1235"/>
      <c r="AK106" s="1235"/>
      <c r="AL106" s="1235"/>
      <c r="AM106" s="1235"/>
      <c r="AN106" s="1235"/>
      <c r="AO106" s="1235"/>
      <c r="AP106" s="1235"/>
      <c r="AQ106" s="1235"/>
      <c r="AR106" s="1235"/>
      <c r="AS106" s="1235"/>
      <c r="AT106" s="1235"/>
      <c r="AU106" s="1235"/>
      <c r="AV106" s="1235"/>
      <c r="AW106" s="1235"/>
      <c r="AX106" s="1235"/>
      <c r="AY106" s="1235"/>
      <c r="AZ106" s="1235"/>
      <c r="BA106" s="1235"/>
      <c r="BB106" s="1235"/>
      <c r="BC106" s="1235"/>
      <c r="BD106" s="1235"/>
      <c r="BE106" s="1235"/>
      <c r="BF106" s="1235"/>
      <c r="BG106" s="1235"/>
      <c r="BH106" s="1235"/>
      <c r="BI106" s="1235"/>
      <c r="BJ106" s="1235"/>
      <c r="BK106" s="1235"/>
      <c r="BL106" s="1235"/>
      <c r="BM106" s="1235"/>
      <c r="BN106" s="1235"/>
      <c r="BO106" s="1235"/>
      <c r="BP106" s="1235"/>
      <c r="BQ106" s="1235"/>
      <c r="BR106" s="1235"/>
      <c r="BS106" s="1235"/>
      <c r="BT106" s="1235"/>
      <c r="BU106" s="1235"/>
      <c r="BV106" s="1235"/>
      <c r="BW106" s="1235"/>
      <c r="BX106" s="1235"/>
      <c r="BY106" s="1235"/>
      <c r="BZ106" s="1235"/>
      <c r="CA106" s="1235"/>
      <c r="CB106" s="1235"/>
      <c r="CC106" s="1235"/>
      <c r="CD106" s="1235"/>
      <c r="CE106" s="1235"/>
      <c r="CF106" s="1235"/>
      <c r="CG106" s="1235"/>
      <c r="CH106" s="1235"/>
      <c r="CI106" s="1235"/>
      <c r="CJ106" s="1235"/>
      <c r="CK106" s="1235"/>
      <c r="CL106" s="1235"/>
      <c r="CM106" s="1235"/>
      <c r="CN106" s="1235"/>
      <c r="CO106" s="1235"/>
      <c r="CP106" s="1235"/>
      <c r="CQ106" s="1235"/>
      <c r="CR106" s="1235"/>
      <c r="CS106" s="1235"/>
      <c r="CT106" s="1235"/>
      <c r="CU106" s="1235"/>
      <c r="CV106" s="1235"/>
      <c r="CW106" s="1235"/>
      <c r="CX106" s="1235"/>
      <c r="CY106" s="1235"/>
      <c r="CZ106" s="1235"/>
      <c r="DA106" s="1235"/>
      <c r="DB106" s="1235"/>
      <c r="DC106" s="1235"/>
      <c r="DD106" s="1235"/>
      <c r="DE106" s="1235"/>
      <c r="DF106" s="1235"/>
      <c r="DG106" s="1235"/>
      <c r="DH106" s="1235"/>
      <c r="DI106" s="1235"/>
      <c r="DJ106" s="1235"/>
      <c r="DK106" s="1235"/>
      <c r="DL106" s="1235"/>
      <c r="DM106" s="1235"/>
      <c r="DN106" s="1235"/>
      <c r="DO106" s="1235"/>
      <c r="DP106" s="1235"/>
      <c r="DQ106" s="1235"/>
      <c r="DR106" s="1235"/>
      <c r="DS106" s="1235"/>
      <c r="DT106" s="1235"/>
      <c r="DU106" s="1235"/>
      <c r="DV106" s="1235"/>
      <c r="DW106" s="1235"/>
      <c r="DX106" s="1235"/>
      <c r="DY106" s="1235"/>
      <c r="DZ106" s="1235"/>
      <c r="EA106" s="1235"/>
      <c r="EB106" s="1235"/>
      <c r="EC106" s="1235"/>
      <c r="ED106" s="1235"/>
      <c r="EE106" s="1235"/>
      <c r="EF106" s="1235"/>
      <c r="EG106" s="1235"/>
      <c r="EH106" s="1235"/>
      <c r="EI106" s="1235"/>
      <c r="EJ106" s="1235"/>
      <c r="EK106" s="1235"/>
      <c r="EL106" s="1235"/>
      <c r="EM106" s="1235"/>
      <c r="EN106" s="1235"/>
      <c r="EO106" s="1235"/>
      <c r="EP106" s="1235"/>
      <c r="EQ106" s="1235"/>
      <c r="ER106" s="1235"/>
      <c r="ES106" s="1235"/>
      <c r="ET106" s="1235"/>
      <c r="EU106" s="1235"/>
      <c r="EV106" s="1235"/>
      <c r="EW106" s="1235"/>
      <c r="EX106" s="1235"/>
      <c r="EY106" s="1235"/>
      <c r="EZ106" s="1235"/>
      <c r="FA106" s="1235"/>
      <c r="FB106" s="1235"/>
      <c r="FC106" s="1235"/>
      <c r="FD106" s="1235"/>
      <c r="FE106" s="1235"/>
      <c r="FF106" s="1235"/>
      <c r="FG106" s="1235"/>
      <c r="FH106" s="1235"/>
      <c r="FI106" s="1235"/>
      <c r="FJ106" s="1235"/>
      <c r="FK106" s="1235"/>
      <c r="FL106" s="1235"/>
      <c r="FM106" s="1235"/>
      <c r="FN106" s="1235"/>
      <c r="FO106" s="1235"/>
      <c r="FP106" s="1235"/>
      <c r="FQ106" s="1235"/>
      <c r="FR106" s="1235"/>
      <c r="FS106" s="1235"/>
      <c r="FT106" s="1235"/>
      <c r="FU106" s="1235"/>
      <c r="FV106" s="1235"/>
      <c r="FW106" s="1235"/>
      <c r="FX106" s="1235"/>
      <c r="FY106" s="1235"/>
      <c r="FZ106" s="1235"/>
      <c r="GA106" s="1235"/>
      <c r="GB106" s="1235"/>
      <c r="GC106" s="1235"/>
      <c r="GD106" s="1235"/>
      <c r="GE106" s="1235"/>
      <c r="GF106" s="1235"/>
      <c r="GG106" s="1235"/>
      <c r="GH106" s="1235"/>
      <c r="GI106" s="1235"/>
      <c r="GJ106" s="1235"/>
      <c r="GK106" s="1235"/>
      <c r="GL106" s="1235"/>
      <c r="GM106" s="1235"/>
      <c r="GN106" s="1235"/>
      <c r="GO106" s="1235"/>
      <c r="GP106" s="1235"/>
      <c r="GQ106" s="1235"/>
      <c r="GR106" s="1235"/>
      <c r="GS106" s="1235"/>
      <c r="GT106" s="1235"/>
      <c r="GU106" s="1235"/>
      <c r="GV106" s="1235"/>
      <c r="GW106" s="1235"/>
      <c r="GX106" s="1235"/>
      <c r="GY106" s="1235"/>
      <c r="GZ106" s="1235"/>
      <c r="HA106" s="1235"/>
      <c r="HB106" s="1235"/>
      <c r="HC106" s="1235"/>
      <c r="HD106" s="1235"/>
      <c r="HE106" s="1235"/>
      <c r="HF106" s="1235"/>
      <c r="HG106" s="1235"/>
      <c r="HH106" s="1235"/>
      <c r="HI106" s="1235"/>
      <c r="HJ106" s="1235"/>
      <c r="HK106" s="1235"/>
      <c r="HL106" s="1235"/>
      <c r="HM106" s="1235"/>
      <c r="HN106" s="1235"/>
      <c r="HO106" s="1235"/>
      <c r="HP106" s="1235"/>
      <c r="HQ106" s="1235"/>
      <c r="HR106" s="1235"/>
      <c r="HS106" s="1235"/>
      <c r="HT106" s="1235"/>
      <c r="HU106" s="1235"/>
      <c r="HV106" s="1235"/>
      <c r="HW106" s="1235"/>
      <c r="HX106" s="1235"/>
      <c r="HY106" s="1235"/>
      <c r="HZ106" s="1235"/>
      <c r="IA106" s="1235"/>
      <c r="IB106" s="1235"/>
      <c r="IC106" s="1235"/>
      <c r="ID106" s="1235"/>
      <c r="IE106" s="1235"/>
      <c r="IF106" s="1235"/>
      <c r="IG106" s="1235"/>
      <c r="IH106" s="1235"/>
      <c r="II106" s="1235"/>
      <c r="IJ106" s="1235"/>
      <c r="IK106" s="1235"/>
      <c r="IL106" s="1235"/>
      <c r="IM106" s="1235"/>
      <c r="IN106" s="1235"/>
      <c r="IO106" s="1235"/>
      <c r="IP106" s="1235"/>
      <c r="IQ106" s="1235"/>
      <c r="IR106" s="1235"/>
    </row>
    <row r="107" spans="1:252">
      <c r="A107" s="1208">
        <v>14</v>
      </c>
      <c r="B107" s="1231" t="s">
        <v>119</v>
      </c>
      <c r="C107" s="1232">
        <v>2013</v>
      </c>
      <c r="D107" s="1233">
        <v>24.2</v>
      </c>
      <c r="E107" s="1233"/>
      <c r="F107" s="1233"/>
      <c r="G107" s="1233"/>
      <c r="H107" s="1234">
        <v>24.2</v>
      </c>
      <c r="I107" s="1234"/>
      <c r="J107" s="1236"/>
      <c r="K107" s="1236"/>
      <c r="L107" s="1236"/>
      <c r="M107" s="1236"/>
      <c r="N107" s="1236"/>
      <c r="O107" s="1236"/>
      <c r="P107" s="1236"/>
      <c r="Q107" s="1236"/>
      <c r="R107" s="1236"/>
      <c r="S107" s="1236"/>
      <c r="T107" s="1236"/>
      <c r="U107" s="1236"/>
      <c r="V107" s="1236"/>
      <c r="W107" s="1236"/>
      <c r="X107" s="1236"/>
      <c r="Y107" s="1236"/>
      <c r="Z107" s="1236"/>
      <c r="AA107" s="1236"/>
      <c r="AB107" s="1236"/>
      <c r="AC107" s="1236"/>
      <c r="AD107" s="1236"/>
      <c r="AE107" s="1236"/>
      <c r="AF107" s="1236"/>
      <c r="AG107" s="1236"/>
      <c r="AH107" s="1236"/>
      <c r="AI107" s="1236"/>
      <c r="AJ107" s="1236"/>
      <c r="AK107" s="1236"/>
      <c r="AL107" s="1236"/>
      <c r="AM107" s="1236"/>
      <c r="AN107" s="1236"/>
      <c r="AO107" s="1236"/>
      <c r="AP107" s="1236"/>
      <c r="AQ107" s="1236"/>
      <c r="AR107" s="1236"/>
      <c r="AS107" s="1236"/>
      <c r="AT107" s="1236"/>
      <c r="AU107" s="1236"/>
      <c r="AV107" s="1236"/>
      <c r="AW107" s="1236"/>
      <c r="AX107" s="1236"/>
      <c r="AY107" s="1236"/>
      <c r="AZ107" s="1236"/>
      <c r="BA107" s="1236"/>
      <c r="BB107" s="1236"/>
      <c r="BC107" s="1236"/>
      <c r="BD107" s="1236"/>
      <c r="BE107" s="1236"/>
      <c r="BF107" s="1236"/>
      <c r="BG107" s="1236"/>
      <c r="BH107" s="1236"/>
      <c r="BI107" s="1236"/>
      <c r="BJ107" s="1236"/>
      <c r="BK107" s="1236"/>
      <c r="BL107" s="1236"/>
      <c r="BM107" s="1236"/>
      <c r="BN107" s="1236"/>
      <c r="BO107" s="1236"/>
      <c r="BP107" s="1236"/>
      <c r="BQ107" s="1236"/>
      <c r="BR107" s="1236"/>
      <c r="BS107" s="1236"/>
      <c r="BT107" s="1236"/>
      <c r="BU107" s="1236"/>
      <c r="BV107" s="1236"/>
      <c r="BW107" s="1236"/>
      <c r="BX107" s="1236"/>
      <c r="BY107" s="1236"/>
      <c r="BZ107" s="1236"/>
      <c r="CA107" s="1236"/>
      <c r="CB107" s="1236"/>
      <c r="CC107" s="1236"/>
      <c r="CD107" s="1236"/>
      <c r="CE107" s="1236"/>
      <c r="CF107" s="1236"/>
      <c r="CG107" s="1236"/>
      <c r="CH107" s="1236"/>
      <c r="CI107" s="1236"/>
      <c r="CJ107" s="1236"/>
      <c r="CK107" s="1236"/>
      <c r="CL107" s="1236"/>
      <c r="CM107" s="1236"/>
      <c r="CN107" s="1236"/>
      <c r="CO107" s="1236"/>
      <c r="CP107" s="1236"/>
      <c r="CQ107" s="1236"/>
      <c r="CR107" s="1236"/>
      <c r="CS107" s="1236"/>
      <c r="CT107" s="1236"/>
      <c r="CU107" s="1236"/>
      <c r="CV107" s="1236"/>
      <c r="CW107" s="1236"/>
      <c r="CX107" s="1236"/>
      <c r="CY107" s="1236"/>
      <c r="CZ107" s="1236"/>
      <c r="DA107" s="1236"/>
      <c r="DB107" s="1236"/>
      <c r="DC107" s="1236"/>
      <c r="DD107" s="1236"/>
      <c r="DE107" s="1236"/>
      <c r="DF107" s="1236"/>
      <c r="DG107" s="1236"/>
      <c r="DH107" s="1236"/>
      <c r="DI107" s="1236"/>
      <c r="DJ107" s="1236"/>
      <c r="DK107" s="1236"/>
      <c r="DL107" s="1236"/>
      <c r="DM107" s="1236"/>
      <c r="DN107" s="1236"/>
      <c r="DO107" s="1236"/>
      <c r="DP107" s="1236"/>
      <c r="DQ107" s="1236"/>
      <c r="DR107" s="1236"/>
      <c r="DS107" s="1236"/>
      <c r="DT107" s="1236"/>
      <c r="DU107" s="1236"/>
      <c r="DV107" s="1236"/>
      <c r="DW107" s="1236"/>
      <c r="DX107" s="1236"/>
      <c r="DY107" s="1236"/>
      <c r="DZ107" s="1236"/>
      <c r="EA107" s="1236"/>
      <c r="EB107" s="1236"/>
      <c r="EC107" s="1236"/>
      <c r="ED107" s="1236"/>
      <c r="EE107" s="1236"/>
      <c r="EF107" s="1236"/>
      <c r="EG107" s="1236"/>
      <c r="EH107" s="1236"/>
      <c r="EI107" s="1236"/>
      <c r="EJ107" s="1236"/>
      <c r="EK107" s="1236"/>
      <c r="EL107" s="1236"/>
      <c r="EM107" s="1236"/>
      <c r="EN107" s="1236"/>
      <c r="EO107" s="1236"/>
      <c r="EP107" s="1236"/>
      <c r="EQ107" s="1236"/>
      <c r="ER107" s="1236"/>
      <c r="ES107" s="1236"/>
      <c r="ET107" s="1236"/>
      <c r="EU107" s="1236"/>
      <c r="EV107" s="1236"/>
      <c r="EW107" s="1236"/>
      <c r="EX107" s="1236"/>
      <c r="EY107" s="1236"/>
      <c r="EZ107" s="1236"/>
      <c r="FA107" s="1236"/>
      <c r="FB107" s="1236"/>
      <c r="FC107" s="1236"/>
      <c r="FD107" s="1236"/>
      <c r="FE107" s="1236"/>
      <c r="FF107" s="1236"/>
      <c r="FG107" s="1236"/>
      <c r="FH107" s="1236"/>
      <c r="FI107" s="1236"/>
      <c r="FJ107" s="1236"/>
      <c r="FK107" s="1236"/>
      <c r="FL107" s="1236"/>
      <c r="FM107" s="1236"/>
      <c r="FN107" s="1236"/>
      <c r="FO107" s="1236"/>
      <c r="FP107" s="1236"/>
      <c r="FQ107" s="1236"/>
      <c r="FR107" s="1236"/>
      <c r="FS107" s="1236"/>
      <c r="FT107" s="1236"/>
      <c r="FU107" s="1236"/>
      <c r="FV107" s="1236"/>
      <c r="FW107" s="1236"/>
      <c r="FX107" s="1236"/>
      <c r="FY107" s="1236"/>
      <c r="FZ107" s="1236"/>
      <c r="GA107" s="1236"/>
      <c r="GB107" s="1236"/>
      <c r="GC107" s="1236"/>
      <c r="GD107" s="1236"/>
      <c r="GE107" s="1236"/>
      <c r="GF107" s="1236"/>
      <c r="GG107" s="1236"/>
      <c r="GH107" s="1236"/>
      <c r="GI107" s="1236"/>
      <c r="GJ107" s="1236"/>
      <c r="GK107" s="1236"/>
      <c r="GL107" s="1236"/>
      <c r="GM107" s="1236"/>
      <c r="GN107" s="1236"/>
      <c r="GO107" s="1236"/>
      <c r="GP107" s="1236"/>
      <c r="GQ107" s="1236"/>
      <c r="GR107" s="1236"/>
      <c r="GS107" s="1236"/>
      <c r="GT107" s="1236"/>
      <c r="GU107" s="1236"/>
      <c r="GV107" s="1236"/>
      <c r="GW107" s="1236"/>
      <c r="GX107" s="1236"/>
      <c r="GY107" s="1236"/>
      <c r="GZ107" s="1236"/>
      <c r="HA107" s="1236"/>
      <c r="HB107" s="1236"/>
      <c r="HC107" s="1236"/>
      <c r="HD107" s="1236"/>
      <c r="HE107" s="1236"/>
      <c r="HF107" s="1236"/>
      <c r="HG107" s="1236"/>
      <c r="HH107" s="1236"/>
      <c r="HI107" s="1236"/>
      <c r="HJ107" s="1236"/>
      <c r="HK107" s="1236"/>
      <c r="HL107" s="1236"/>
      <c r="HM107" s="1236"/>
      <c r="HN107" s="1236"/>
      <c r="HO107" s="1236"/>
      <c r="HP107" s="1236"/>
      <c r="HQ107" s="1236"/>
      <c r="HR107" s="1236"/>
      <c r="HS107" s="1236"/>
      <c r="HT107" s="1236"/>
      <c r="HU107" s="1236"/>
      <c r="HV107" s="1236"/>
      <c r="HW107" s="1236"/>
      <c r="HX107" s="1236"/>
      <c r="HY107" s="1236"/>
      <c r="HZ107" s="1236"/>
      <c r="IA107" s="1236"/>
      <c r="IB107" s="1236"/>
      <c r="IC107" s="1236"/>
      <c r="ID107" s="1236"/>
      <c r="IE107" s="1236"/>
      <c r="IF107" s="1236"/>
      <c r="IG107" s="1236"/>
      <c r="IH107" s="1236"/>
      <c r="II107" s="1236"/>
      <c r="IJ107" s="1236"/>
      <c r="IK107" s="1236"/>
      <c r="IL107" s="1236"/>
      <c r="IM107" s="1236"/>
      <c r="IN107" s="1236"/>
      <c r="IO107" s="1236"/>
      <c r="IP107" s="1236"/>
      <c r="IQ107" s="1236"/>
      <c r="IR107" s="1236"/>
    </row>
    <row r="108" spans="1:252">
      <c r="A108" s="1208">
        <v>15</v>
      </c>
      <c r="B108" s="1231" t="s">
        <v>120</v>
      </c>
      <c r="C108" s="1232">
        <v>2013</v>
      </c>
      <c r="D108" s="1233">
        <v>4.5999999999999996</v>
      </c>
      <c r="E108" s="1233"/>
      <c r="F108" s="1233"/>
      <c r="G108" s="1233"/>
      <c r="H108" s="1234">
        <v>4.5999999999999996</v>
      </c>
      <c r="I108" s="1234"/>
    </row>
    <row r="109" spans="1:252">
      <c r="A109" s="1208">
        <v>16</v>
      </c>
      <c r="B109" s="1231" t="s">
        <v>121</v>
      </c>
      <c r="C109" s="1232">
        <v>2013</v>
      </c>
      <c r="D109" s="1233">
        <v>16.3</v>
      </c>
      <c r="E109" s="1233"/>
      <c r="F109" s="1233"/>
      <c r="G109" s="1233"/>
      <c r="H109" s="1234">
        <v>16.3</v>
      </c>
      <c r="I109" s="1234"/>
    </row>
    <row r="110" spans="1:252">
      <c r="A110" s="1208">
        <v>17</v>
      </c>
      <c r="B110" s="1231" t="s">
        <v>122</v>
      </c>
      <c r="C110" s="1232">
        <v>2013</v>
      </c>
      <c r="D110" s="1233">
        <v>24.3</v>
      </c>
      <c r="E110" s="1233"/>
      <c r="F110" s="1233"/>
      <c r="G110" s="1233"/>
      <c r="H110" s="1234">
        <v>24.3</v>
      </c>
      <c r="I110" s="1234"/>
    </row>
    <row r="111" spans="1:252">
      <c r="A111" s="1208">
        <v>18</v>
      </c>
      <c r="B111" s="1231" t="s">
        <v>123</v>
      </c>
      <c r="C111" s="1232">
        <v>2013</v>
      </c>
      <c r="D111" s="1233">
        <v>24.3</v>
      </c>
      <c r="E111" s="1233"/>
      <c r="F111" s="1233"/>
      <c r="G111" s="1233"/>
      <c r="H111" s="1234">
        <v>24.3</v>
      </c>
      <c r="I111" s="1234"/>
    </row>
    <row r="112" spans="1:252">
      <c r="A112" s="1208">
        <v>19</v>
      </c>
      <c r="B112" s="1231" t="s">
        <v>124</v>
      </c>
      <c r="C112" s="1232">
        <v>2013</v>
      </c>
      <c r="D112" s="1233">
        <v>21.1</v>
      </c>
      <c r="E112" s="1233"/>
      <c r="F112" s="1233"/>
      <c r="G112" s="1233"/>
      <c r="H112" s="1234">
        <v>21.1</v>
      </c>
      <c r="I112" s="1234"/>
    </row>
    <row r="113" spans="1:9">
      <c r="A113" s="1208">
        <v>20</v>
      </c>
      <c r="B113" s="1231" t="s">
        <v>125</v>
      </c>
      <c r="C113" s="1232">
        <v>2013</v>
      </c>
      <c r="D113" s="1233">
        <v>18.8</v>
      </c>
      <c r="E113" s="1233"/>
      <c r="F113" s="1233"/>
      <c r="G113" s="1233"/>
      <c r="H113" s="1234">
        <v>18.8</v>
      </c>
      <c r="I113" s="1234"/>
    </row>
    <row r="114" spans="1:9">
      <c r="A114" s="1208">
        <v>21</v>
      </c>
      <c r="B114" s="1231" t="s">
        <v>126</v>
      </c>
      <c r="C114" s="1232">
        <v>2013</v>
      </c>
      <c r="D114" s="1233">
        <v>6.6</v>
      </c>
      <c r="E114" s="1233"/>
      <c r="F114" s="1233"/>
      <c r="G114" s="1233"/>
      <c r="H114" s="1234">
        <v>6.6</v>
      </c>
      <c r="I114" s="1234"/>
    </row>
    <row r="115" spans="1:9">
      <c r="A115" s="1208">
        <v>22</v>
      </c>
      <c r="B115" s="1231" t="s">
        <v>127</v>
      </c>
      <c r="C115" s="1232">
        <v>2013</v>
      </c>
      <c r="D115" s="1233">
        <v>20.100000000000001</v>
      </c>
      <c r="E115" s="1233"/>
      <c r="F115" s="1233"/>
      <c r="G115" s="1233"/>
      <c r="H115" s="1234">
        <v>20.100000000000001</v>
      </c>
      <c r="I115" s="1234"/>
    </row>
    <row r="116" spans="1:9">
      <c r="A116" s="1208">
        <v>23</v>
      </c>
      <c r="B116" s="1231" t="s">
        <v>128</v>
      </c>
      <c r="C116" s="1232">
        <v>2013</v>
      </c>
      <c r="D116" s="1233">
        <v>18.7</v>
      </c>
      <c r="E116" s="1233"/>
      <c r="F116" s="1233"/>
      <c r="G116" s="1233"/>
      <c r="H116" s="1234">
        <v>18.7</v>
      </c>
      <c r="I116" s="1234"/>
    </row>
    <row r="117" spans="1:9">
      <c r="A117" s="1208">
        <v>24</v>
      </c>
      <c r="B117" s="1231" t="s">
        <v>129</v>
      </c>
      <c r="C117" s="1232">
        <v>2013</v>
      </c>
      <c r="D117" s="1233">
        <v>24.3</v>
      </c>
      <c r="E117" s="1233"/>
      <c r="F117" s="1233"/>
      <c r="G117" s="1233"/>
      <c r="H117" s="1234">
        <v>24.3</v>
      </c>
      <c r="I117" s="1234"/>
    </row>
    <row r="118" spans="1:9">
      <c r="A118" s="1208">
        <v>25</v>
      </c>
      <c r="B118" s="1231" t="s">
        <v>130</v>
      </c>
      <c r="C118" s="1232">
        <v>2013</v>
      </c>
      <c r="D118" s="1233">
        <v>24.3</v>
      </c>
      <c r="E118" s="1233"/>
      <c r="F118" s="1233"/>
      <c r="G118" s="1233"/>
      <c r="H118" s="1234">
        <v>24.3</v>
      </c>
      <c r="I118" s="1234"/>
    </row>
    <row r="119" spans="1:9">
      <c r="A119" s="1208">
        <v>26</v>
      </c>
      <c r="B119" s="1231" t="s">
        <v>131</v>
      </c>
      <c r="C119" s="1232">
        <v>2013</v>
      </c>
      <c r="D119" s="1233">
        <v>22.5</v>
      </c>
      <c r="E119" s="1233"/>
      <c r="F119" s="1233"/>
      <c r="G119" s="1233"/>
      <c r="H119" s="1234">
        <v>22.5</v>
      </c>
      <c r="I119" s="1234"/>
    </row>
    <row r="120" spans="1:9">
      <c r="A120" s="1208">
        <v>27</v>
      </c>
      <c r="B120" s="1231" t="s">
        <v>132</v>
      </c>
      <c r="C120" s="1232">
        <v>2013</v>
      </c>
      <c r="D120" s="1233">
        <v>1.6</v>
      </c>
      <c r="E120" s="1233"/>
      <c r="F120" s="1233"/>
      <c r="G120" s="1233"/>
      <c r="H120" s="1234">
        <v>1.6</v>
      </c>
      <c r="I120" s="1234"/>
    </row>
    <row r="121" spans="1:9">
      <c r="A121" s="1208">
        <v>28</v>
      </c>
      <c r="B121" s="1231" t="s">
        <v>133</v>
      </c>
      <c r="C121" s="1232">
        <v>2013</v>
      </c>
      <c r="D121" s="1233">
        <v>11.3</v>
      </c>
      <c r="E121" s="1233"/>
      <c r="F121" s="1233"/>
      <c r="G121" s="1233"/>
      <c r="H121" s="1234">
        <v>11.3</v>
      </c>
      <c r="I121" s="1234"/>
    </row>
    <row r="122" spans="1:9">
      <c r="A122" s="1208">
        <v>29</v>
      </c>
      <c r="B122" s="1231" t="s">
        <v>134</v>
      </c>
      <c r="C122" s="1232">
        <v>2013</v>
      </c>
      <c r="D122" s="1233">
        <v>3.4</v>
      </c>
      <c r="E122" s="1233"/>
      <c r="F122" s="1233"/>
      <c r="G122" s="1233"/>
      <c r="H122" s="1234">
        <v>3.4</v>
      </c>
      <c r="I122" s="1234"/>
    </row>
    <row r="123" spans="1:9">
      <c r="A123" s="1208">
        <v>30</v>
      </c>
      <c r="B123" s="1231" t="s">
        <v>135</v>
      </c>
      <c r="C123" s="1232">
        <v>2013</v>
      </c>
      <c r="D123" s="1233">
        <v>8</v>
      </c>
      <c r="E123" s="1233"/>
      <c r="F123" s="1233"/>
      <c r="G123" s="1233"/>
      <c r="H123" s="1234">
        <v>8</v>
      </c>
      <c r="I123" s="1234"/>
    </row>
    <row r="124" spans="1:9">
      <c r="A124" s="1208">
        <v>31</v>
      </c>
      <c r="B124" s="1231" t="s">
        <v>136</v>
      </c>
      <c r="C124" s="1232">
        <v>2013</v>
      </c>
      <c r="D124" s="1233">
        <v>16.8</v>
      </c>
      <c r="E124" s="1233"/>
      <c r="F124" s="1233"/>
      <c r="G124" s="1233"/>
      <c r="H124" s="1234">
        <v>16.8</v>
      </c>
      <c r="I124" s="1234"/>
    </row>
    <row r="125" spans="1:9">
      <c r="A125" s="1208">
        <v>32</v>
      </c>
      <c r="B125" s="1231" t="s">
        <v>137</v>
      </c>
      <c r="C125" s="1232">
        <v>2013</v>
      </c>
      <c r="D125" s="1233">
        <v>1.6</v>
      </c>
      <c r="E125" s="1233"/>
      <c r="F125" s="1233"/>
      <c r="G125" s="1233"/>
      <c r="H125" s="1234">
        <v>1.6</v>
      </c>
      <c r="I125" s="1234"/>
    </row>
    <row r="126" spans="1:9">
      <c r="A126" s="1208">
        <v>33</v>
      </c>
      <c r="B126" s="1231" t="s">
        <v>138</v>
      </c>
      <c r="C126" s="1232">
        <v>2013</v>
      </c>
      <c r="D126" s="1233">
        <v>4.5</v>
      </c>
      <c r="E126" s="1233"/>
      <c r="F126" s="1233"/>
      <c r="G126" s="1233"/>
      <c r="H126" s="1234">
        <v>4.5</v>
      </c>
      <c r="I126" s="1234"/>
    </row>
    <row r="127" spans="1:9">
      <c r="A127" s="1208">
        <v>1</v>
      </c>
      <c r="B127" s="1231" t="s">
        <v>131</v>
      </c>
      <c r="C127" s="1232">
        <v>2014</v>
      </c>
      <c r="D127" s="1233">
        <v>1</v>
      </c>
      <c r="E127" s="1233"/>
      <c r="F127" s="1233"/>
      <c r="G127" s="1233"/>
      <c r="H127" s="1234">
        <v>1</v>
      </c>
      <c r="I127" s="1234"/>
    </row>
    <row r="128" spans="1:9">
      <c r="A128" s="1208">
        <v>2</v>
      </c>
      <c r="B128" s="1231" t="s">
        <v>139</v>
      </c>
      <c r="C128" s="1232">
        <v>2014</v>
      </c>
      <c r="D128" s="1233">
        <v>21.6</v>
      </c>
      <c r="E128" s="1233"/>
      <c r="F128" s="1233"/>
      <c r="G128" s="1233"/>
      <c r="H128" s="1234">
        <v>21.6</v>
      </c>
      <c r="I128" s="1234"/>
    </row>
    <row r="129" spans="1:252">
      <c r="A129" s="1208">
        <v>3</v>
      </c>
      <c r="B129" s="1231" t="s">
        <v>136</v>
      </c>
      <c r="C129" s="1232">
        <v>2014</v>
      </c>
      <c r="D129" s="1233">
        <v>0.3</v>
      </c>
      <c r="E129" s="1233"/>
      <c r="F129" s="1233"/>
      <c r="G129" s="1233"/>
      <c r="H129" s="1234">
        <v>0.3</v>
      </c>
      <c r="I129" s="1234"/>
    </row>
    <row r="130" spans="1:252">
      <c r="A130" s="1208">
        <v>4</v>
      </c>
      <c r="B130" s="1231" t="s">
        <v>140</v>
      </c>
      <c r="C130" s="1232">
        <v>2014</v>
      </c>
      <c r="D130" s="1233">
        <v>15.6</v>
      </c>
      <c r="E130" s="1233"/>
      <c r="F130" s="1233"/>
      <c r="G130" s="1233"/>
      <c r="H130" s="1234">
        <v>15.6</v>
      </c>
      <c r="I130" s="1234"/>
    </row>
    <row r="131" spans="1:252">
      <c r="A131" s="1208">
        <v>5</v>
      </c>
      <c r="B131" s="1231" t="s">
        <v>141</v>
      </c>
      <c r="C131" s="1232">
        <v>2014</v>
      </c>
      <c r="D131" s="1233">
        <v>19</v>
      </c>
      <c r="E131" s="1233"/>
      <c r="F131" s="1233"/>
      <c r="G131" s="1233"/>
      <c r="H131" s="1234">
        <v>19</v>
      </c>
      <c r="I131" s="1234"/>
    </row>
    <row r="132" spans="1:252">
      <c r="A132" s="1208">
        <v>6</v>
      </c>
      <c r="B132" s="1231" t="s">
        <v>142</v>
      </c>
      <c r="C132" s="1232">
        <v>2014</v>
      </c>
      <c r="D132" s="1233">
        <v>11.5</v>
      </c>
      <c r="E132" s="1233"/>
      <c r="F132" s="1233"/>
      <c r="G132" s="1233"/>
      <c r="H132" s="1234">
        <v>11.5</v>
      </c>
      <c r="I132" s="1234"/>
    </row>
    <row r="133" spans="1:252">
      <c r="A133" s="1208">
        <v>7</v>
      </c>
      <c r="B133" s="1231" t="s">
        <v>143</v>
      </c>
      <c r="C133" s="1232">
        <v>2014</v>
      </c>
      <c r="D133" s="1233">
        <v>19.2</v>
      </c>
      <c r="E133" s="1233"/>
      <c r="F133" s="1233"/>
      <c r="G133" s="1233"/>
      <c r="H133" s="1234">
        <v>19.2</v>
      </c>
      <c r="I133" s="1234"/>
    </row>
    <row r="134" spans="1:252">
      <c r="A134" s="1208">
        <v>8</v>
      </c>
      <c r="B134" s="1231" t="s">
        <v>144</v>
      </c>
      <c r="C134" s="1232">
        <v>2014</v>
      </c>
      <c r="D134" s="1233">
        <v>21.3</v>
      </c>
      <c r="E134" s="1233"/>
      <c r="F134" s="1233"/>
      <c r="G134" s="1233"/>
      <c r="H134" s="1234">
        <v>21.3</v>
      </c>
      <c r="I134" s="1234"/>
    </row>
    <row r="135" spans="1:252">
      <c r="A135" s="1208">
        <v>9</v>
      </c>
      <c r="B135" s="1231" t="s">
        <v>145</v>
      </c>
      <c r="C135" s="1232">
        <v>2014</v>
      </c>
      <c r="D135" s="1233">
        <v>4.2</v>
      </c>
      <c r="E135" s="1233"/>
      <c r="F135" s="1233"/>
      <c r="G135" s="1233"/>
      <c r="H135" s="1234">
        <v>4.2</v>
      </c>
      <c r="I135" s="1234"/>
    </row>
    <row r="136" spans="1:252">
      <c r="A136" s="1208">
        <v>10</v>
      </c>
      <c r="B136" s="1231" t="s">
        <v>146</v>
      </c>
      <c r="C136" s="1232">
        <v>2014</v>
      </c>
      <c r="D136" s="1233">
        <v>0.6</v>
      </c>
      <c r="E136" s="1233"/>
      <c r="F136" s="1233"/>
      <c r="G136" s="1233"/>
      <c r="H136" s="1234">
        <v>0.6</v>
      </c>
      <c r="I136" s="1234"/>
    </row>
    <row r="137" spans="1:252">
      <c r="A137" s="1208">
        <v>11</v>
      </c>
      <c r="B137" s="1231" t="s">
        <v>147</v>
      </c>
      <c r="C137" s="1232">
        <v>2014</v>
      </c>
      <c r="D137" s="1233">
        <v>6.7</v>
      </c>
      <c r="E137" s="1233"/>
      <c r="F137" s="1233"/>
      <c r="G137" s="1233"/>
      <c r="H137" s="1234">
        <v>6.7</v>
      </c>
      <c r="I137" s="1234"/>
    </row>
    <row r="138" spans="1:252">
      <c r="A138" s="1213" t="s">
        <v>148</v>
      </c>
      <c r="B138" s="1238">
        <v>0</v>
      </c>
      <c r="C138" s="1239"/>
      <c r="D138" s="1240">
        <f>SUM(D139:D195)</f>
        <v>549.69999999999982</v>
      </c>
      <c r="E138" s="1240">
        <f>SUM(E139:E195)</f>
        <v>0</v>
      </c>
      <c r="F138" s="1240">
        <f>SUM(F139:F195)</f>
        <v>38.799999999999997</v>
      </c>
      <c r="G138" s="1240">
        <f>SUM(G139:G195)</f>
        <v>0</v>
      </c>
    </row>
    <row r="139" spans="1:252">
      <c r="A139" s="1241">
        <v>1</v>
      </c>
      <c r="B139" s="1242" t="s">
        <v>149</v>
      </c>
      <c r="C139" s="1243">
        <v>2013</v>
      </c>
      <c r="D139" s="1244">
        <v>5.4</v>
      </c>
      <c r="E139" s="1244"/>
      <c r="F139" s="1244"/>
      <c r="G139" s="1244"/>
      <c r="H139" s="1245"/>
      <c r="I139" s="1246">
        <v>5.4</v>
      </c>
    </row>
    <row r="140" spans="1:252">
      <c r="A140" s="1241">
        <v>2</v>
      </c>
      <c r="B140" s="1242" t="s">
        <v>150</v>
      </c>
      <c r="C140" s="1243">
        <v>2013</v>
      </c>
      <c r="D140" s="1244">
        <v>15.9</v>
      </c>
      <c r="E140" s="1244"/>
      <c r="F140" s="1244"/>
      <c r="G140" s="1244"/>
      <c r="H140" s="1245"/>
      <c r="I140" s="1246">
        <v>15.9</v>
      </c>
    </row>
    <row r="141" spans="1:252">
      <c r="A141" s="1241">
        <v>3</v>
      </c>
      <c r="B141" s="1242" t="s">
        <v>151</v>
      </c>
      <c r="C141" s="1243">
        <v>2013</v>
      </c>
      <c r="D141" s="1244">
        <v>15.8</v>
      </c>
      <c r="E141" s="1244"/>
      <c r="F141" s="1244">
        <f>D141</f>
        <v>15.8</v>
      </c>
      <c r="G141" s="1244"/>
      <c r="H141" s="1245"/>
      <c r="I141" s="1245"/>
      <c r="J141" s="1236"/>
      <c r="K141" s="1236"/>
      <c r="L141" s="1236"/>
      <c r="M141" s="1236"/>
      <c r="N141" s="1236"/>
      <c r="O141" s="1236"/>
      <c r="P141" s="1236"/>
      <c r="Q141" s="1236"/>
      <c r="R141" s="1236"/>
      <c r="S141" s="1236"/>
      <c r="T141" s="1236"/>
      <c r="U141" s="1236"/>
      <c r="V141" s="1236"/>
      <c r="W141" s="1236"/>
      <c r="X141" s="1236"/>
      <c r="Y141" s="1236"/>
      <c r="Z141" s="1236"/>
      <c r="AA141" s="1236"/>
      <c r="AB141" s="1236"/>
      <c r="AC141" s="1236"/>
      <c r="AD141" s="1236"/>
      <c r="AE141" s="1236"/>
      <c r="AF141" s="1236"/>
      <c r="AG141" s="1236"/>
      <c r="AH141" s="1236"/>
      <c r="AI141" s="1236"/>
      <c r="AJ141" s="1236"/>
      <c r="AK141" s="1236"/>
      <c r="AL141" s="1236"/>
      <c r="AM141" s="1236"/>
      <c r="AN141" s="1236"/>
      <c r="AO141" s="1236"/>
      <c r="AP141" s="1236"/>
      <c r="AQ141" s="1236"/>
      <c r="AR141" s="1236"/>
      <c r="AS141" s="1236"/>
      <c r="AT141" s="1236"/>
      <c r="AU141" s="1236"/>
      <c r="AV141" s="1236"/>
      <c r="AW141" s="1236"/>
      <c r="AX141" s="1236"/>
      <c r="AY141" s="1236"/>
      <c r="AZ141" s="1236"/>
      <c r="BA141" s="1236"/>
      <c r="BB141" s="1236"/>
      <c r="BC141" s="1236"/>
      <c r="BD141" s="1236"/>
      <c r="BE141" s="1236"/>
      <c r="BF141" s="1236"/>
      <c r="BG141" s="1236"/>
      <c r="BH141" s="1236"/>
      <c r="BI141" s="1236"/>
      <c r="BJ141" s="1236"/>
      <c r="BK141" s="1236"/>
      <c r="BL141" s="1236"/>
      <c r="BM141" s="1236"/>
      <c r="BN141" s="1236"/>
      <c r="BO141" s="1236"/>
      <c r="BP141" s="1236"/>
      <c r="BQ141" s="1236"/>
      <c r="BR141" s="1236"/>
      <c r="BS141" s="1236"/>
      <c r="BT141" s="1236"/>
      <c r="BU141" s="1236"/>
      <c r="BV141" s="1236"/>
      <c r="BW141" s="1236"/>
      <c r="BX141" s="1236"/>
      <c r="BY141" s="1236"/>
      <c r="BZ141" s="1236"/>
      <c r="CA141" s="1236"/>
      <c r="CB141" s="1236"/>
      <c r="CC141" s="1236"/>
      <c r="CD141" s="1236"/>
      <c r="CE141" s="1236"/>
      <c r="CF141" s="1236"/>
      <c r="CG141" s="1236"/>
      <c r="CH141" s="1236"/>
      <c r="CI141" s="1236"/>
      <c r="CJ141" s="1236"/>
      <c r="CK141" s="1236"/>
      <c r="CL141" s="1236"/>
      <c r="CM141" s="1236"/>
      <c r="CN141" s="1236"/>
      <c r="CO141" s="1236"/>
      <c r="CP141" s="1236"/>
      <c r="CQ141" s="1236"/>
      <c r="CR141" s="1236"/>
      <c r="CS141" s="1236"/>
      <c r="CT141" s="1236"/>
      <c r="CU141" s="1236"/>
      <c r="CV141" s="1236"/>
      <c r="CW141" s="1236"/>
      <c r="CX141" s="1236"/>
      <c r="CY141" s="1236"/>
      <c r="CZ141" s="1236"/>
      <c r="DA141" s="1236"/>
      <c r="DB141" s="1236"/>
      <c r="DC141" s="1236"/>
      <c r="DD141" s="1236"/>
      <c r="DE141" s="1236"/>
      <c r="DF141" s="1236"/>
      <c r="DG141" s="1236"/>
      <c r="DH141" s="1236"/>
      <c r="DI141" s="1236"/>
      <c r="DJ141" s="1236"/>
      <c r="DK141" s="1236"/>
      <c r="DL141" s="1236"/>
      <c r="DM141" s="1236"/>
      <c r="DN141" s="1236"/>
      <c r="DO141" s="1236"/>
      <c r="DP141" s="1236"/>
      <c r="DQ141" s="1236"/>
      <c r="DR141" s="1236"/>
      <c r="DS141" s="1236"/>
      <c r="DT141" s="1236"/>
      <c r="DU141" s="1236"/>
      <c r="DV141" s="1236"/>
      <c r="DW141" s="1236"/>
      <c r="DX141" s="1236"/>
      <c r="DY141" s="1236"/>
      <c r="DZ141" s="1236"/>
      <c r="EA141" s="1236"/>
      <c r="EB141" s="1236"/>
      <c r="EC141" s="1236"/>
      <c r="ED141" s="1236"/>
      <c r="EE141" s="1236"/>
      <c r="EF141" s="1236"/>
      <c r="EG141" s="1236"/>
      <c r="EH141" s="1236"/>
      <c r="EI141" s="1236"/>
      <c r="EJ141" s="1236"/>
      <c r="EK141" s="1236"/>
      <c r="EL141" s="1236"/>
      <c r="EM141" s="1236"/>
      <c r="EN141" s="1236"/>
      <c r="EO141" s="1236"/>
      <c r="EP141" s="1236"/>
      <c r="EQ141" s="1236"/>
      <c r="ER141" s="1236"/>
      <c r="ES141" s="1236"/>
      <c r="ET141" s="1236"/>
      <c r="EU141" s="1236"/>
      <c r="EV141" s="1236"/>
      <c r="EW141" s="1236"/>
      <c r="EX141" s="1236"/>
      <c r="EY141" s="1236"/>
      <c r="EZ141" s="1236"/>
      <c r="FA141" s="1236"/>
      <c r="FB141" s="1236"/>
      <c r="FC141" s="1236"/>
      <c r="FD141" s="1236"/>
      <c r="FE141" s="1236"/>
      <c r="FF141" s="1236"/>
      <c r="FG141" s="1236"/>
      <c r="FH141" s="1236"/>
      <c r="FI141" s="1236"/>
      <c r="FJ141" s="1236"/>
      <c r="FK141" s="1236"/>
      <c r="FL141" s="1236"/>
      <c r="FM141" s="1236"/>
      <c r="FN141" s="1236"/>
      <c r="FO141" s="1236"/>
      <c r="FP141" s="1236"/>
      <c r="FQ141" s="1236"/>
      <c r="FR141" s="1236"/>
      <c r="FS141" s="1236"/>
      <c r="FT141" s="1236"/>
      <c r="FU141" s="1236"/>
      <c r="FV141" s="1236"/>
      <c r="FW141" s="1236"/>
      <c r="FX141" s="1236"/>
      <c r="FY141" s="1236"/>
      <c r="FZ141" s="1236"/>
      <c r="GA141" s="1236"/>
      <c r="GB141" s="1236"/>
      <c r="GC141" s="1236"/>
      <c r="GD141" s="1236"/>
      <c r="GE141" s="1236"/>
      <c r="GF141" s="1236"/>
      <c r="GG141" s="1236"/>
      <c r="GH141" s="1236"/>
      <c r="GI141" s="1236"/>
      <c r="GJ141" s="1236"/>
      <c r="GK141" s="1236"/>
      <c r="GL141" s="1236"/>
      <c r="GM141" s="1236"/>
      <c r="GN141" s="1236"/>
      <c r="GO141" s="1236"/>
      <c r="GP141" s="1236"/>
      <c r="GQ141" s="1236"/>
      <c r="GR141" s="1236"/>
      <c r="GS141" s="1236"/>
      <c r="GT141" s="1236"/>
      <c r="GU141" s="1236"/>
      <c r="GV141" s="1236"/>
      <c r="GW141" s="1236"/>
      <c r="GX141" s="1236"/>
      <c r="GY141" s="1236"/>
      <c r="GZ141" s="1236"/>
      <c r="HA141" s="1236"/>
      <c r="HB141" s="1236"/>
      <c r="HC141" s="1236"/>
      <c r="HD141" s="1236"/>
      <c r="HE141" s="1236"/>
      <c r="HF141" s="1236"/>
      <c r="HG141" s="1236"/>
      <c r="HH141" s="1236"/>
      <c r="HI141" s="1236"/>
      <c r="HJ141" s="1236"/>
      <c r="HK141" s="1236"/>
      <c r="HL141" s="1236"/>
      <c r="HM141" s="1236"/>
      <c r="HN141" s="1236"/>
      <c r="HO141" s="1236"/>
      <c r="HP141" s="1236"/>
      <c r="HQ141" s="1236"/>
      <c r="HR141" s="1236"/>
      <c r="HS141" s="1236"/>
      <c r="HT141" s="1236"/>
      <c r="HU141" s="1236"/>
      <c r="HV141" s="1236"/>
      <c r="HW141" s="1236"/>
      <c r="HX141" s="1236"/>
      <c r="HY141" s="1236"/>
      <c r="HZ141" s="1236"/>
      <c r="IA141" s="1236"/>
      <c r="IB141" s="1236"/>
      <c r="IC141" s="1236"/>
      <c r="ID141" s="1236"/>
      <c r="IE141" s="1236"/>
      <c r="IF141" s="1236"/>
      <c r="IG141" s="1236"/>
      <c r="IH141" s="1236"/>
      <c r="II141" s="1236"/>
      <c r="IJ141" s="1236"/>
      <c r="IK141" s="1236"/>
      <c r="IL141" s="1236"/>
      <c r="IM141" s="1236"/>
      <c r="IN141" s="1236"/>
      <c r="IO141" s="1236"/>
      <c r="IP141" s="1236"/>
      <c r="IQ141" s="1236"/>
      <c r="IR141" s="1236"/>
    </row>
    <row r="142" spans="1:252">
      <c r="A142" s="1241">
        <v>4</v>
      </c>
      <c r="B142" s="1242" t="s">
        <v>152</v>
      </c>
      <c r="C142" s="1243">
        <v>2013</v>
      </c>
      <c r="D142" s="1244">
        <v>24.5</v>
      </c>
      <c r="E142" s="1244"/>
      <c r="F142" s="1244"/>
      <c r="G142" s="1244"/>
      <c r="H142" s="1245"/>
      <c r="I142" s="1246">
        <v>24.5</v>
      </c>
    </row>
    <row r="143" spans="1:252">
      <c r="A143" s="1241">
        <v>5</v>
      </c>
      <c r="B143" s="1242" t="s">
        <v>153</v>
      </c>
      <c r="C143" s="1243">
        <v>2013</v>
      </c>
      <c r="D143" s="1244">
        <v>13.7</v>
      </c>
      <c r="E143" s="1244"/>
      <c r="F143" s="1244"/>
      <c r="G143" s="1244"/>
      <c r="H143" s="1245">
        <v>13.7</v>
      </c>
      <c r="I143" s="1245"/>
    </row>
    <row r="144" spans="1:252">
      <c r="A144" s="1241">
        <v>6</v>
      </c>
      <c r="B144" s="1242" t="s">
        <v>154</v>
      </c>
      <c r="C144" s="1243">
        <v>2013</v>
      </c>
      <c r="D144" s="1244">
        <v>23.2</v>
      </c>
      <c r="E144" s="1244"/>
      <c r="F144" s="1244"/>
      <c r="G144" s="1244"/>
      <c r="H144" s="1245">
        <v>23.2</v>
      </c>
      <c r="I144" s="1245"/>
    </row>
    <row r="145" spans="1:252">
      <c r="A145" s="1241">
        <v>7</v>
      </c>
      <c r="B145" s="1242" t="s">
        <v>155</v>
      </c>
      <c r="C145" s="1243">
        <v>2013</v>
      </c>
      <c r="D145" s="1244">
        <v>19.399999999999999</v>
      </c>
      <c r="E145" s="1244"/>
      <c r="F145" s="1244"/>
      <c r="G145" s="1244"/>
      <c r="H145" s="1245"/>
      <c r="I145" s="1246">
        <v>19.399999999999999</v>
      </c>
    </row>
    <row r="146" spans="1:252">
      <c r="A146" s="1241">
        <v>8</v>
      </c>
      <c r="B146" s="1242" t="s">
        <v>156</v>
      </c>
      <c r="C146" s="1243">
        <v>2013</v>
      </c>
      <c r="D146" s="1244">
        <v>13</v>
      </c>
      <c r="E146" s="1244"/>
      <c r="F146" s="1244"/>
      <c r="G146" s="1244"/>
      <c r="H146" s="1245">
        <v>13</v>
      </c>
      <c r="I146" s="1245"/>
    </row>
    <row r="147" spans="1:252">
      <c r="A147" s="1241">
        <v>9</v>
      </c>
      <c r="B147" s="1242" t="s">
        <v>157</v>
      </c>
      <c r="C147" s="1243">
        <v>2013</v>
      </c>
      <c r="D147" s="1244">
        <v>18.5</v>
      </c>
      <c r="E147" s="1244"/>
      <c r="F147" s="1244"/>
      <c r="G147" s="1244"/>
      <c r="H147" s="1245">
        <v>18.5</v>
      </c>
      <c r="I147" s="1245"/>
    </row>
    <row r="148" spans="1:252">
      <c r="A148" s="1241">
        <v>10</v>
      </c>
      <c r="B148" s="1242" t="s">
        <v>158</v>
      </c>
      <c r="C148" s="1243">
        <v>2013</v>
      </c>
      <c r="D148" s="1244">
        <v>15.5</v>
      </c>
      <c r="E148" s="1244"/>
      <c r="F148" s="1244"/>
      <c r="G148" s="1244"/>
      <c r="H148" s="1245">
        <v>15.5</v>
      </c>
      <c r="I148" s="1245"/>
    </row>
    <row r="149" spans="1:252">
      <c r="A149" s="1241">
        <v>1</v>
      </c>
      <c r="B149" s="1242" t="s">
        <v>159</v>
      </c>
      <c r="C149" s="1243">
        <v>2014</v>
      </c>
      <c r="D149" s="1244">
        <v>19</v>
      </c>
      <c r="E149" s="1244"/>
      <c r="F149" s="1244"/>
      <c r="G149" s="1244"/>
      <c r="H149" s="1245"/>
      <c r="I149" s="1246">
        <v>19</v>
      </c>
    </row>
    <row r="150" spans="1:252">
      <c r="A150" s="1241">
        <v>2</v>
      </c>
      <c r="B150" s="1242" t="s">
        <v>160</v>
      </c>
      <c r="C150" s="1243">
        <v>2014</v>
      </c>
      <c r="D150" s="1244">
        <v>13.8</v>
      </c>
      <c r="E150" s="1244"/>
      <c r="F150" s="1244"/>
      <c r="G150" s="1244"/>
      <c r="H150" s="1245"/>
      <c r="I150" s="1246">
        <v>13.8</v>
      </c>
    </row>
    <row r="151" spans="1:252">
      <c r="A151" s="1241">
        <v>3</v>
      </c>
      <c r="B151" s="1242" t="s">
        <v>161</v>
      </c>
      <c r="C151" s="1243">
        <v>2014</v>
      </c>
      <c r="D151" s="1244">
        <v>24.2</v>
      </c>
      <c r="E151" s="1244"/>
      <c r="F151" s="1244"/>
      <c r="G151" s="1244"/>
      <c r="H151" s="1245"/>
      <c r="I151" s="1246">
        <v>24.2</v>
      </c>
    </row>
    <row r="152" spans="1:252">
      <c r="A152" s="1241">
        <v>4</v>
      </c>
      <c r="B152" s="1242" t="s">
        <v>162</v>
      </c>
      <c r="C152" s="1243">
        <v>2014</v>
      </c>
      <c r="D152" s="1244">
        <v>23.5</v>
      </c>
      <c r="E152" s="1244"/>
      <c r="F152" s="1244"/>
      <c r="G152" s="1244"/>
      <c r="H152" s="1245"/>
      <c r="I152" s="1246">
        <v>23.5</v>
      </c>
    </row>
    <row r="153" spans="1:252">
      <c r="A153" s="1241">
        <v>5</v>
      </c>
      <c r="B153" s="1242" t="s">
        <v>163</v>
      </c>
      <c r="C153" s="1243">
        <v>2014</v>
      </c>
      <c r="D153" s="1244">
        <v>24.3</v>
      </c>
      <c r="E153" s="1244"/>
      <c r="F153" s="1244"/>
      <c r="G153" s="1244"/>
      <c r="H153" s="1245"/>
      <c r="I153" s="1246">
        <v>24.3</v>
      </c>
    </row>
    <row r="154" spans="1:252">
      <c r="A154" s="1241">
        <v>6</v>
      </c>
      <c r="B154" s="1242" t="s">
        <v>164</v>
      </c>
      <c r="C154" s="1243">
        <v>2014</v>
      </c>
      <c r="D154" s="1244">
        <v>3.9</v>
      </c>
      <c r="E154" s="1244"/>
      <c r="F154" s="1244"/>
      <c r="G154" s="1244"/>
      <c r="H154" s="1245"/>
      <c r="I154" s="1246">
        <v>3.9</v>
      </c>
    </row>
    <row r="155" spans="1:252">
      <c r="A155" s="1241">
        <v>7</v>
      </c>
      <c r="B155" s="1242" t="s">
        <v>165</v>
      </c>
      <c r="C155" s="1243">
        <v>2014</v>
      </c>
      <c r="D155" s="1244">
        <v>21.7</v>
      </c>
      <c r="E155" s="1244"/>
      <c r="F155" s="1244"/>
      <c r="G155" s="1244"/>
      <c r="H155" s="1245"/>
      <c r="I155" s="1247">
        <v>21.7</v>
      </c>
    </row>
    <row r="156" spans="1:252">
      <c r="A156" s="1241">
        <v>8</v>
      </c>
      <c r="B156" s="1242" t="s">
        <v>166</v>
      </c>
      <c r="C156" s="1243">
        <v>2014</v>
      </c>
      <c r="D156" s="1244">
        <v>24.2</v>
      </c>
      <c r="E156" s="1244"/>
      <c r="F156" s="1244"/>
      <c r="G156" s="1244"/>
      <c r="H156" s="1245"/>
      <c r="I156" s="1247">
        <v>24.2</v>
      </c>
      <c r="J156" s="1235"/>
      <c r="K156" s="1235"/>
      <c r="L156" s="1235"/>
      <c r="M156" s="1235"/>
      <c r="N156" s="1235"/>
      <c r="O156" s="1235"/>
      <c r="P156" s="1235"/>
      <c r="Q156" s="1235"/>
      <c r="R156" s="1235"/>
      <c r="S156" s="1235"/>
      <c r="T156" s="1235"/>
      <c r="U156" s="1235"/>
      <c r="V156" s="1235"/>
      <c r="W156" s="1235"/>
      <c r="X156" s="1235"/>
      <c r="Y156" s="1235"/>
      <c r="Z156" s="1235"/>
      <c r="AA156" s="1235"/>
      <c r="AB156" s="1235"/>
      <c r="AC156" s="1235"/>
      <c r="AD156" s="1235"/>
      <c r="AE156" s="1235"/>
      <c r="AF156" s="1235"/>
      <c r="AG156" s="1235"/>
      <c r="AH156" s="1235"/>
      <c r="AI156" s="1235"/>
      <c r="AJ156" s="1235"/>
      <c r="AK156" s="1235"/>
      <c r="AL156" s="1235"/>
      <c r="AM156" s="1235"/>
      <c r="AN156" s="1235"/>
      <c r="AO156" s="1235"/>
      <c r="AP156" s="1235"/>
      <c r="AQ156" s="1235"/>
      <c r="AR156" s="1235"/>
      <c r="AS156" s="1235"/>
      <c r="AT156" s="1235"/>
      <c r="AU156" s="1235"/>
      <c r="AV156" s="1235"/>
      <c r="AW156" s="1235"/>
      <c r="AX156" s="1235"/>
      <c r="AY156" s="1235"/>
      <c r="AZ156" s="1235"/>
      <c r="BA156" s="1235"/>
      <c r="BB156" s="1235"/>
      <c r="BC156" s="1235"/>
      <c r="BD156" s="1235"/>
      <c r="BE156" s="1235"/>
      <c r="BF156" s="1235"/>
      <c r="BG156" s="1235"/>
      <c r="BH156" s="1235"/>
      <c r="BI156" s="1235"/>
      <c r="BJ156" s="1235"/>
      <c r="BK156" s="1235"/>
      <c r="BL156" s="1235"/>
      <c r="BM156" s="1235"/>
      <c r="BN156" s="1235"/>
      <c r="BO156" s="1235"/>
      <c r="BP156" s="1235"/>
      <c r="BQ156" s="1235"/>
      <c r="BR156" s="1235"/>
      <c r="BS156" s="1235"/>
      <c r="BT156" s="1235"/>
      <c r="BU156" s="1235"/>
      <c r="BV156" s="1235"/>
      <c r="BW156" s="1235"/>
      <c r="BX156" s="1235"/>
      <c r="BY156" s="1235"/>
      <c r="BZ156" s="1235"/>
      <c r="CA156" s="1235"/>
      <c r="CB156" s="1235"/>
      <c r="CC156" s="1235"/>
      <c r="CD156" s="1235"/>
      <c r="CE156" s="1235"/>
      <c r="CF156" s="1235"/>
      <c r="CG156" s="1235"/>
      <c r="CH156" s="1235"/>
      <c r="CI156" s="1235"/>
      <c r="CJ156" s="1235"/>
      <c r="CK156" s="1235"/>
      <c r="CL156" s="1235"/>
      <c r="CM156" s="1235"/>
      <c r="CN156" s="1235"/>
      <c r="CO156" s="1235"/>
      <c r="CP156" s="1235"/>
      <c r="CQ156" s="1235"/>
      <c r="CR156" s="1235"/>
      <c r="CS156" s="1235"/>
      <c r="CT156" s="1235"/>
      <c r="CU156" s="1235"/>
      <c r="CV156" s="1235"/>
      <c r="CW156" s="1235"/>
      <c r="CX156" s="1235"/>
      <c r="CY156" s="1235"/>
      <c r="CZ156" s="1235"/>
      <c r="DA156" s="1235"/>
      <c r="DB156" s="1235"/>
      <c r="DC156" s="1235"/>
      <c r="DD156" s="1235"/>
      <c r="DE156" s="1235"/>
      <c r="DF156" s="1235"/>
      <c r="DG156" s="1235"/>
      <c r="DH156" s="1235"/>
      <c r="DI156" s="1235"/>
      <c r="DJ156" s="1235"/>
      <c r="DK156" s="1235"/>
      <c r="DL156" s="1235"/>
      <c r="DM156" s="1235"/>
      <c r="DN156" s="1235"/>
      <c r="DO156" s="1235"/>
      <c r="DP156" s="1235"/>
      <c r="DQ156" s="1235"/>
      <c r="DR156" s="1235"/>
      <c r="DS156" s="1235"/>
      <c r="DT156" s="1235"/>
      <c r="DU156" s="1235"/>
      <c r="DV156" s="1235"/>
      <c r="DW156" s="1235"/>
      <c r="DX156" s="1235"/>
      <c r="DY156" s="1235"/>
      <c r="DZ156" s="1235"/>
      <c r="EA156" s="1235"/>
      <c r="EB156" s="1235"/>
      <c r="EC156" s="1235"/>
      <c r="ED156" s="1235"/>
      <c r="EE156" s="1235"/>
      <c r="EF156" s="1235"/>
      <c r="EG156" s="1235"/>
      <c r="EH156" s="1235"/>
      <c r="EI156" s="1235"/>
      <c r="EJ156" s="1235"/>
      <c r="EK156" s="1235"/>
      <c r="EL156" s="1235"/>
      <c r="EM156" s="1235"/>
      <c r="EN156" s="1235"/>
      <c r="EO156" s="1235"/>
      <c r="EP156" s="1235"/>
      <c r="EQ156" s="1235"/>
      <c r="ER156" s="1235"/>
      <c r="ES156" s="1235"/>
      <c r="ET156" s="1235"/>
      <c r="EU156" s="1235"/>
      <c r="EV156" s="1235"/>
      <c r="EW156" s="1235"/>
      <c r="EX156" s="1235"/>
      <c r="EY156" s="1235"/>
      <c r="EZ156" s="1235"/>
      <c r="FA156" s="1235"/>
      <c r="FB156" s="1235"/>
      <c r="FC156" s="1235"/>
      <c r="FD156" s="1235"/>
      <c r="FE156" s="1235"/>
      <c r="FF156" s="1235"/>
      <c r="FG156" s="1235"/>
      <c r="FH156" s="1235"/>
      <c r="FI156" s="1235"/>
      <c r="FJ156" s="1235"/>
      <c r="FK156" s="1235"/>
      <c r="FL156" s="1235"/>
      <c r="FM156" s="1235"/>
      <c r="FN156" s="1235"/>
      <c r="FO156" s="1235"/>
      <c r="FP156" s="1235"/>
      <c r="FQ156" s="1235"/>
      <c r="FR156" s="1235"/>
      <c r="FS156" s="1235"/>
      <c r="FT156" s="1235"/>
      <c r="FU156" s="1235"/>
      <c r="FV156" s="1235"/>
      <c r="FW156" s="1235"/>
      <c r="FX156" s="1235"/>
      <c r="FY156" s="1235"/>
      <c r="FZ156" s="1235"/>
      <c r="GA156" s="1235"/>
      <c r="GB156" s="1235"/>
      <c r="GC156" s="1235"/>
      <c r="GD156" s="1235"/>
      <c r="GE156" s="1235"/>
      <c r="GF156" s="1235"/>
      <c r="GG156" s="1235"/>
      <c r="GH156" s="1235"/>
      <c r="GI156" s="1235"/>
      <c r="GJ156" s="1235"/>
      <c r="GK156" s="1235"/>
      <c r="GL156" s="1235"/>
      <c r="GM156" s="1235"/>
      <c r="GN156" s="1235"/>
      <c r="GO156" s="1235"/>
      <c r="GP156" s="1235"/>
      <c r="GQ156" s="1235"/>
      <c r="GR156" s="1235"/>
      <c r="GS156" s="1235"/>
      <c r="GT156" s="1235"/>
      <c r="GU156" s="1235"/>
      <c r="GV156" s="1235"/>
      <c r="GW156" s="1235"/>
      <c r="GX156" s="1235"/>
      <c r="GY156" s="1235"/>
      <c r="GZ156" s="1235"/>
      <c r="HA156" s="1235"/>
      <c r="HB156" s="1235"/>
      <c r="HC156" s="1235"/>
      <c r="HD156" s="1235"/>
      <c r="HE156" s="1235"/>
      <c r="HF156" s="1235"/>
      <c r="HG156" s="1235"/>
      <c r="HH156" s="1235"/>
      <c r="HI156" s="1235"/>
      <c r="HJ156" s="1235"/>
      <c r="HK156" s="1235"/>
      <c r="HL156" s="1235"/>
      <c r="HM156" s="1235"/>
      <c r="HN156" s="1235"/>
      <c r="HO156" s="1235"/>
      <c r="HP156" s="1235"/>
      <c r="HQ156" s="1235"/>
      <c r="HR156" s="1235"/>
      <c r="HS156" s="1235"/>
      <c r="HT156" s="1235"/>
      <c r="HU156" s="1235"/>
      <c r="HV156" s="1235"/>
      <c r="HW156" s="1235"/>
      <c r="HX156" s="1235"/>
      <c r="HY156" s="1235"/>
      <c r="HZ156" s="1235"/>
      <c r="IA156" s="1235"/>
      <c r="IB156" s="1235"/>
      <c r="IC156" s="1235"/>
      <c r="ID156" s="1235"/>
      <c r="IE156" s="1235"/>
      <c r="IF156" s="1235"/>
      <c r="IG156" s="1235"/>
      <c r="IH156" s="1235"/>
      <c r="II156" s="1235"/>
      <c r="IJ156" s="1235"/>
      <c r="IK156" s="1235"/>
      <c r="IL156" s="1235"/>
      <c r="IM156" s="1235"/>
      <c r="IN156" s="1235"/>
      <c r="IO156" s="1235"/>
      <c r="IP156" s="1235"/>
      <c r="IQ156" s="1235"/>
      <c r="IR156" s="1235"/>
    </row>
    <row r="157" spans="1:252">
      <c r="A157" s="1241">
        <v>9</v>
      </c>
      <c r="B157" s="1242" t="s">
        <v>149</v>
      </c>
      <c r="C157" s="1243">
        <v>2014</v>
      </c>
      <c r="D157" s="1244">
        <v>19.2</v>
      </c>
      <c r="E157" s="1244"/>
      <c r="F157" s="1244"/>
      <c r="G157" s="1244"/>
      <c r="H157" s="1245"/>
      <c r="I157" s="1246">
        <v>19.2</v>
      </c>
      <c r="J157" s="1235"/>
      <c r="K157" s="1235"/>
      <c r="L157" s="1235"/>
      <c r="M157" s="1235"/>
      <c r="N157" s="1235"/>
      <c r="O157" s="1235"/>
      <c r="P157" s="1235"/>
      <c r="Q157" s="1235"/>
      <c r="R157" s="1235"/>
      <c r="S157" s="1235"/>
      <c r="T157" s="1235"/>
      <c r="U157" s="1235"/>
      <c r="V157" s="1235"/>
      <c r="W157" s="1235"/>
      <c r="X157" s="1235"/>
      <c r="Y157" s="1235"/>
      <c r="Z157" s="1235"/>
      <c r="AA157" s="1235"/>
      <c r="AB157" s="1235"/>
      <c r="AC157" s="1235"/>
      <c r="AD157" s="1235"/>
      <c r="AE157" s="1235"/>
      <c r="AF157" s="1235"/>
      <c r="AG157" s="1235"/>
      <c r="AH157" s="1235"/>
      <c r="AI157" s="1235"/>
      <c r="AJ157" s="1235"/>
      <c r="AK157" s="1235"/>
      <c r="AL157" s="1235"/>
      <c r="AM157" s="1235"/>
      <c r="AN157" s="1235"/>
      <c r="AO157" s="1235"/>
      <c r="AP157" s="1235"/>
      <c r="AQ157" s="1235"/>
      <c r="AR157" s="1235"/>
      <c r="AS157" s="1235"/>
      <c r="AT157" s="1235"/>
      <c r="AU157" s="1235"/>
      <c r="AV157" s="1235"/>
      <c r="AW157" s="1235"/>
      <c r="AX157" s="1235"/>
      <c r="AY157" s="1235"/>
      <c r="AZ157" s="1235"/>
      <c r="BA157" s="1235"/>
      <c r="BB157" s="1235"/>
      <c r="BC157" s="1235"/>
      <c r="BD157" s="1235"/>
      <c r="BE157" s="1235"/>
      <c r="BF157" s="1235"/>
      <c r="BG157" s="1235"/>
      <c r="BH157" s="1235"/>
      <c r="BI157" s="1235"/>
      <c r="BJ157" s="1235"/>
      <c r="BK157" s="1235"/>
      <c r="BL157" s="1235"/>
      <c r="BM157" s="1235"/>
      <c r="BN157" s="1235"/>
      <c r="BO157" s="1235"/>
      <c r="BP157" s="1235"/>
      <c r="BQ157" s="1235"/>
      <c r="BR157" s="1235"/>
      <c r="BS157" s="1235"/>
      <c r="BT157" s="1235"/>
      <c r="BU157" s="1235"/>
      <c r="BV157" s="1235"/>
      <c r="BW157" s="1235"/>
      <c r="BX157" s="1235"/>
      <c r="BY157" s="1235"/>
      <c r="BZ157" s="1235"/>
      <c r="CA157" s="1235"/>
      <c r="CB157" s="1235"/>
      <c r="CC157" s="1235"/>
      <c r="CD157" s="1235"/>
      <c r="CE157" s="1235"/>
      <c r="CF157" s="1235"/>
      <c r="CG157" s="1235"/>
      <c r="CH157" s="1235"/>
      <c r="CI157" s="1235"/>
      <c r="CJ157" s="1235"/>
      <c r="CK157" s="1235"/>
      <c r="CL157" s="1235"/>
      <c r="CM157" s="1235"/>
      <c r="CN157" s="1235"/>
      <c r="CO157" s="1235"/>
      <c r="CP157" s="1235"/>
      <c r="CQ157" s="1235"/>
      <c r="CR157" s="1235"/>
      <c r="CS157" s="1235"/>
      <c r="CT157" s="1235"/>
      <c r="CU157" s="1235"/>
      <c r="CV157" s="1235"/>
      <c r="CW157" s="1235"/>
      <c r="CX157" s="1235"/>
      <c r="CY157" s="1235"/>
      <c r="CZ157" s="1235"/>
      <c r="DA157" s="1235"/>
      <c r="DB157" s="1235"/>
      <c r="DC157" s="1235"/>
      <c r="DD157" s="1235"/>
      <c r="DE157" s="1235"/>
      <c r="DF157" s="1235"/>
      <c r="DG157" s="1235"/>
      <c r="DH157" s="1235"/>
      <c r="DI157" s="1235"/>
      <c r="DJ157" s="1235"/>
      <c r="DK157" s="1235"/>
      <c r="DL157" s="1235"/>
      <c r="DM157" s="1235"/>
      <c r="DN157" s="1235"/>
      <c r="DO157" s="1235"/>
      <c r="DP157" s="1235"/>
      <c r="DQ157" s="1235"/>
      <c r="DR157" s="1235"/>
      <c r="DS157" s="1235"/>
      <c r="DT157" s="1235"/>
      <c r="DU157" s="1235"/>
      <c r="DV157" s="1235"/>
      <c r="DW157" s="1235"/>
      <c r="DX157" s="1235"/>
      <c r="DY157" s="1235"/>
      <c r="DZ157" s="1235"/>
      <c r="EA157" s="1235"/>
      <c r="EB157" s="1235"/>
      <c r="EC157" s="1235"/>
      <c r="ED157" s="1235"/>
      <c r="EE157" s="1235"/>
      <c r="EF157" s="1235"/>
      <c r="EG157" s="1235"/>
      <c r="EH157" s="1235"/>
      <c r="EI157" s="1235"/>
      <c r="EJ157" s="1235"/>
      <c r="EK157" s="1235"/>
      <c r="EL157" s="1235"/>
      <c r="EM157" s="1235"/>
      <c r="EN157" s="1235"/>
      <c r="EO157" s="1235"/>
      <c r="EP157" s="1235"/>
      <c r="EQ157" s="1235"/>
      <c r="ER157" s="1235"/>
      <c r="ES157" s="1235"/>
      <c r="ET157" s="1235"/>
      <c r="EU157" s="1235"/>
      <c r="EV157" s="1235"/>
      <c r="EW157" s="1235"/>
      <c r="EX157" s="1235"/>
      <c r="EY157" s="1235"/>
      <c r="EZ157" s="1235"/>
      <c r="FA157" s="1235"/>
      <c r="FB157" s="1235"/>
      <c r="FC157" s="1235"/>
      <c r="FD157" s="1235"/>
      <c r="FE157" s="1235"/>
      <c r="FF157" s="1235"/>
      <c r="FG157" s="1235"/>
      <c r="FH157" s="1235"/>
      <c r="FI157" s="1235"/>
      <c r="FJ157" s="1235"/>
      <c r="FK157" s="1235"/>
      <c r="FL157" s="1235"/>
      <c r="FM157" s="1235"/>
      <c r="FN157" s="1235"/>
      <c r="FO157" s="1235"/>
      <c r="FP157" s="1235"/>
      <c r="FQ157" s="1235"/>
      <c r="FR157" s="1235"/>
      <c r="FS157" s="1235"/>
      <c r="FT157" s="1235"/>
      <c r="FU157" s="1235"/>
      <c r="FV157" s="1235"/>
      <c r="FW157" s="1235"/>
      <c r="FX157" s="1235"/>
      <c r="FY157" s="1235"/>
      <c r="FZ157" s="1235"/>
      <c r="GA157" s="1235"/>
      <c r="GB157" s="1235"/>
      <c r="GC157" s="1235"/>
      <c r="GD157" s="1235"/>
      <c r="GE157" s="1235"/>
      <c r="GF157" s="1235"/>
      <c r="GG157" s="1235"/>
      <c r="GH157" s="1235"/>
      <c r="GI157" s="1235"/>
      <c r="GJ157" s="1235"/>
      <c r="GK157" s="1235"/>
      <c r="GL157" s="1235"/>
      <c r="GM157" s="1235"/>
      <c r="GN157" s="1235"/>
      <c r="GO157" s="1235"/>
      <c r="GP157" s="1235"/>
      <c r="GQ157" s="1235"/>
      <c r="GR157" s="1235"/>
      <c r="GS157" s="1235"/>
      <c r="GT157" s="1235"/>
      <c r="GU157" s="1235"/>
      <c r="GV157" s="1235"/>
      <c r="GW157" s="1235"/>
      <c r="GX157" s="1235"/>
      <c r="GY157" s="1235"/>
      <c r="GZ157" s="1235"/>
      <c r="HA157" s="1235"/>
      <c r="HB157" s="1235"/>
      <c r="HC157" s="1235"/>
      <c r="HD157" s="1235"/>
      <c r="HE157" s="1235"/>
      <c r="HF157" s="1235"/>
      <c r="HG157" s="1235"/>
      <c r="HH157" s="1235"/>
      <c r="HI157" s="1235"/>
      <c r="HJ157" s="1235"/>
      <c r="HK157" s="1235"/>
      <c r="HL157" s="1235"/>
      <c r="HM157" s="1235"/>
      <c r="HN157" s="1235"/>
      <c r="HO157" s="1235"/>
      <c r="HP157" s="1235"/>
      <c r="HQ157" s="1235"/>
      <c r="HR157" s="1235"/>
      <c r="HS157" s="1235"/>
      <c r="HT157" s="1235"/>
      <c r="HU157" s="1235"/>
      <c r="HV157" s="1235"/>
      <c r="HW157" s="1235"/>
      <c r="HX157" s="1235"/>
      <c r="HY157" s="1235"/>
      <c r="HZ157" s="1235"/>
      <c r="IA157" s="1235"/>
      <c r="IB157" s="1235"/>
      <c r="IC157" s="1235"/>
      <c r="ID157" s="1235"/>
      <c r="IE157" s="1235"/>
      <c r="IF157" s="1235"/>
      <c r="IG157" s="1235"/>
      <c r="IH157" s="1235"/>
      <c r="II157" s="1235"/>
      <c r="IJ157" s="1235"/>
      <c r="IK157" s="1235"/>
      <c r="IL157" s="1235"/>
      <c r="IM157" s="1235"/>
      <c r="IN157" s="1235"/>
      <c r="IO157" s="1235"/>
      <c r="IP157" s="1235"/>
      <c r="IQ157" s="1235"/>
      <c r="IR157" s="1235"/>
    </row>
    <row r="158" spans="1:252">
      <c r="A158" s="1241">
        <v>10</v>
      </c>
      <c r="B158" s="1242" t="s">
        <v>167</v>
      </c>
      <c r="C158" s="1243">
        <v>2014</v>
      </c>
      <c r="D158" s="1244">
        <v>24.6</v>
      </c>
      <c r="E158" s="1244"/>
      <c r="F158" s="1244"/>
      <c r="G158" s="1244"/>
      <c r="H158" s="1245"/>
      <c r="I158" s="1246">
        <v>24.6</v>
      </c>
      <c r="J158" s="1235"/>
      <c r="K158" s="1235"/>
      <c r="L158" s="1235"/>
      <c r="M158" s="1235"/>
      <c r="N158" s="1235"/>
      <c r="O158" s="1235"/>
      <c r="P158" s="1235"/>
      <c r="Q158" s="1235"/>
      <c r="R158" s="1235"/>
      <c r="S158" s="1235"/>
      <c r="T158" s="1235"/>
      <c r="U158" s="1235"/>
      <c r="V158" s="1235"/>
      <c r="W158" s="1235"/>
      <c r="X158" s="1235"/>
      <c r="Y158" s="1235"/>
      <c r="Z158" s="1235"/>
      <c r="AA158" s="1235"/>
      <c r="AB158" s="1235"/>
      <c r="AC158" s="1235"/>
      <c r="AD158" s="1235"/>
      <c r="AE158" s="1235"/>
      <c r="AF158" s="1235"/>
      <c r="AG158" s="1235"/>
      <c r="AH158" s="1235"/>
      <c r="AI158" s="1235"/>
      <c r="AJ158" s="1235"/>
      <c r="AK158" s="1235"/>
      <c r="AL158" s="1235"/>
      <c r="AM158" s="1235"/>
      <c r="AN158" s="1235"/>
      <c r="AO158" s="1235"/>
      <c r="AP158" s="1235"/>
      <c r="AQ158" s="1235"/>
      <c r="AR158" s="1235"/>
      <c r="AS158" s="1235"/>
      <c r="AT158" s="1235"/>
      <c r="AU158" s="1235"/>
      <c r="AV158" s="1235"/>
      <c r="AW158" s="1235"/>
      <c r="AX158" s="1235"/>
      <c r="AY158" s="1235"/>
      <c r="AZ158" s="1235"/>
      <c r="BA158" s="1235"/>
      <c r="BB158" s="1235"/>
      <c r="BC158" s="1235"/>
      <c r="BD158" s="1235"/>
      <c r="BE158" s="1235"/>
      <c r="BF158" s="1235"/>
      <c r="BG158" s="1235"/>
      <c r="BH158" s="1235"/>
      <c r="BI158" s="1235"/>
      <c r="BJ158" s="1235"/>
      <c r="BK158" s="1235"/>
      <c r="BL158" s="1235"/>
      <c r="BM158" s="1235"/>
      <c r="BN158" s="1235"/>
      <c r="BO158" s="1235"/>
      <c r="BP158" s="1235"/>
      <c r="BQ158" s="1235"/>
      <c r="BR158" s="1235"/>
      <c r="BS158" s="1235"/>
      <c r="BT158" s="1235"/>
      <c r="BU158" s="1235"/>
      <c r="BV158" s="1235"/>
      <c r="BW158" s="1235"/>
      <c r="BX158" s="1235"/>
      <c r="BY158" s="1235"/>
      <c r="BZ158" s="1235"/>
      <c r="CA158" s="1235"/>
      <c r="CB158" s="1235"/>
      <c r="CC158" s="1235"/>
      <c r="CD158" s="1235"/>
      <c r="CE158" s="1235"/>
      <c r="CF158" s="1235"/>
      <c r="CG158" s="1235"/>
      <c r="CH158" s="1235"/>
      <c r="CI158" s="1235"/>
      <c r="CJ158" s="1235"/>
      <c r="CK158" s="1235"/>
      <c r="CL158" s="1235"/>
      <c r="CM158" s="1235"/>
      <c r="CN158" s="1235"/>
      <c r="CO158" s="1235"/>
      <c r="CP158" s="1235"/>
      <c r="CQ158" s="1235"/>
      <c r="CR158" s="1235"/>
      <c r="CS158" s="1235"/>
      <c r="CT158" s="1235"/>
      <c r="CU158" s="1235"/>
      <c r="CV158" s="1235"/>
      <c r="CW158" s="1235"/>
      <c r="CX158" s="1235"/>
      <c r="CY158" s="1235"/>
      <c r="CZ158" s="1235"/>
      <c r="DA158" s="1235"/>
      <c r="DB158" s="1235"/>
      <c r="DC158" s="1235"/>
      <c r="DD158" s="1235"/>
      <c r="DE158" s="1235"/>
      <c r="DF158" s="1235"/>
      <c r="DG158" s="1235"/>
      <c r="DH158" s="1235"/>
      <c r="DI158" s="1235"/>
      <c r="DJ158" s="1235"/>
      <c r="DK158" s="1235"/>
      <c r="DL158" s="1235"/>
      <c r="DM158" s="1235"/>
      <c r="DN158" s="1235"/>
      <c r="DO158" s="1235"/>
      <c r="DP158" s="1235"/>
      <c r="DQ158" s="1235"/>
      <c r="DR158" s="1235"/>
      <c r="DS158" s="1235"/>
      <c r="DT158" s="1235"/>
      <c r="DU158" s="1235"/>
      <c r="DV158" s="1235"/>
      <c r="DW158" s="1235"/>
      <c r="DX158" s="1235"/>
      <c r="DY158" s="1235"/>
      <c r="DZ158" s="1235"/>
      <c r="EA158" s="1235"/>
      <c r="EB158" s="1235"/>
      <c r="EC158" s="1235"/>
      <c r="ED158" s="1235"/>
      <c r="EE158" s="1235"/>
      <c r="EF158" s="1235"/>
      <c r="EG158" s="1235"/>
      <c r="EH158" s="1235"/>
      <c r="EI158" s="1235"/>
      <c r="EJ158" s="1235"/>
      <c r="EK158" s="1235"/>
      <c r="EL158" s="1235"/>
      <c r="EM158" s="1235"/>
      <c r="EN158" s="1235"/>
      <c r="EO158" s="1235"/>
      <c r="EP158" s="1235"/>
      <c r="EQ158" s="1235"/>
      <c r="ER158" s="1235"/>
      <c r="ES158" s="1235"/>
      <c r="ET158" s="1235"/>
      <c r="EU158" s="1235"/>
      <c r="EV158" s="1235"/>
      <c r="EW158" s="1235"/>
      <c r="EX158" s="1235"/>
      <c r="EY158" s="1235"/>
      <c r="EZ158" s="1235"/>
      <c r="FA158" s="1235"/>
      <c r="FB158" s="1235"/>
      <c r="FC158" s="1235"/>
      <c r="FD158" s="1235"/>
      <c r="FE158" s="1235"/>
      <c r="FF158" s="1235"/>
      <c r="FG158" s="1235"/>
      <c r="FH158" s="1235"/>
      <c r="FI158" s="1235"/>
      <c r="FJ158" s="1235"/>
      <c r="FK158" s="1235"/>
      <c r="FL158" s="1235"/>
      <c r="FM158" s="1235"/>
      <c r="FN158" s="1235"/>
      <c r="FO158" s="1235"/>
      <c r="FP158" s="1235"/>
      <c r="FQ158" s="1235"/>
      <c r="FR158" s="1235"/>
      <c r="FS158" s="1235"/>
      <c r="FT158" s="1235"/>
      <c r="FU158" s="1235"/>
      <c r="FV158" s="1235"/>
      <c r="FW158" s="1235"/>
      <c r="FX158" s="1235"/>
      <c r="FY158" s="1235"/>
      <c r="FZ158" s="1235"/>
      <c r="GA158" s="1235"/>
      <c r="GB158" s="1235"/>
      <c r="GC158" s="1235"/>
      <c r="GD158" s="1235"/>
      <c r="GE158" s="1235"/>
      <c r="GF158" s="1235"/>
      <c r="GG158" s="1235"/>
      <c r="GH158" s="1235"/>
      <c r="GI158" s="1235"/>
      <c r="GJ158" s="1235"/>
      <c r="GK158" s="1235"/>
      <c r="GL158" s="1235"/>
      <c r="GM158" s="1235"/>
      <c r="GN158" s="1235"/>
      <c r="GO158" s="1235"/>
      <c r="GP158" s="1235"/>
      <c r="GQ158" s="1235"/>
      <c r="GR158" s="1235"/>
      <c r="GS158" s="1235"/>
      <c r="GT158" s="1235"/>
      <c r="GU158" s="1235"/>
      <c r="GV158" s="1235"/>
      <c r="GW158" s="1235"/>
      <c r="GX158" s="1235"/>
      <c r="GY158" s="1235"/>
      <c r="GZ158" s="1235"/>
      <c r="HA158" s="1235"/>
      <c r="HB158" s="1235"/>
      <c r="HC158" s="1235"/>
      <c r="HD158" s="1235"/>
      <c r="HE158" s="1235"/>
      <c r="HF158" s="1235"/>
      <c r="HG158" s="1235"/>
      <c r="HH158" s="1235"/>
      <c r="HI158" s="1235"/>
      <c r="HJ158" s="1235"/>
      <c r="HK158" s="1235"/>
      <c r="HL158" s="1235"/>
      <c r="HM158" s="1235"/>
      <c r="HN158" s="1235"/>
      <c r="HO158" s="1235"/>
      <c r="HP158" s="1235"/>
      <c r="HQ158" s="1235"/>
      <c r="HR158" s="1235"/>
      <c r="HS158" s="1235"/>
      <c r="HT158" s="1235"/>
      <c r="HU158" s="1235"/>
      <c r="HV158" s="1235"/>
      <c r="HW158" s="1235"/>
      <c r="HX158" s="1235"/>
      <c r="HY158" s="1235"/>
      <c r="HZ158" s="1235"/>
      <c r="IA158" s="1235"/>
      <c r="IB158" s="1235"/>
      <c r="IC158" s="1235"/>
      <c r="ID158" s="1235"/>
      <c r="IE158" s="1235"/>
      <c r="IF158" s="1235"/>
      <c r="IG158" s="1235"/>
      <c r="IH158" s="1235"/>
      <c r="II158" s="1235"/>
      <c r="IJ158" s="1235"/>
      <c r="IK158" s="1235"/>
      <c r="IL158" s="1235"/>
      <c r="IM158" s="1235"/>
      <c r="IN158" s="1235"/>
      <c r="IO158" s="1235"/>
      <c r="IP158" s="1235"/>
      <c r="IQ158" s="1235"/>
      <c r="IR158" s="1235"/>
    </row>
    <row r="159" spans="1:252">
      <c r="A159" s="1241">
        <v>11</v>
      </c>
      <c r="B159" s="1242" t="s">
        <v>168</v>
      </c>
      <c r="C159" s="1243">
        <v>2014</v>
      </c>
      <c r="D159" s="1244">
        <v>10.9</v>
      </c>
      <c r="E159" s="1244"/>
      <c r="F159" s="1244"/>
      <c r="G159" s="1244"/>
      <c r="H159" s="1245"/>
      <c r="I159" s="1247">
        <v>10.9</v>
      </c>
      <c r="J159" s="1235"/>
      <c r="K159" s="1235"/>
      <c r="L159" s="1235"/>
      <c r="M159" s="1235"/>
      <c r="N159" s="1235"/>
      <c r="O159" s="1235"/>
      <c r="P159" s="1235"/>
      <c r="Q159" s="1235"/>
      <c r="R159" s="1235"/>
      <c r="S159" s="1235"/>
      <c r="T159" s="1235"/>
      <c r="U159" s="1235"/>
      <c r="V159" s="1235"/>
      <c r="W159" s="1235"/>
      <c r="X159" s="1235"/>
      <c r="Y159" s="1235"/>
      <c r="Z159" s="1235"/>
      <c r="AA159" s="1235"/>
      <c r="AB159" s="1235"/>
      <c r="AC159" s="1235"/>
      <c r="AD159" s="1235"/>
      <c r="AE159" s="1235"/>
      <c r="AF159" s="1235"/>
      <c r="AG159" s="1235"/>
      <c r="AH159" s="1235"/>
      <c r="AI159" s="1235"/>
      <c r="AJ159" s="1235"/>
      <c r="AK159" s="1235"/>
      <c r="AL159" s="1235"/>
      <c r="AM159" s="1235"/>
      <c r="AN159" s="1235"/>
      <c r="AO159" s="1235"/>
      <c r="AP159" s="1235"/>
      <c r="AQ159" s="1235"/>
      <c r="AR159" s="1235"/>
      <c r="AS159" s="1235"/>
      <c r="AT159" s="1235"/>
      <c r="AU159" s="1235"/>
      <c r="AV159" s="1235"/>
      <c r="AW159" s="1235"/>
      <c r="AX159" s="1235"/>
      <c r="AY159" s="1235"/>
      <c r="AZ159" s="1235"/>
      <c r="BA159" s="1235"/>
      <c r="BB159" s="1235"/>
      <c r="BC159" s="1235"/>
      <c r="BD159" s="1235"/>
      <c r="BE159" s="1235"/>
      <c r="BF159" s="1235"/>
      <c r="BG159" s="1235"/>
      <c r="BH159" s="1235"/>
      <c r="BI159" s="1235"/>
      <c r="BJ159" s="1235"/>
      <c r="BK159" s="1235"/>
      <c r="BL159" s="1235"/>
      <c r="BM159" s="1235"/>
      <c r="BN159" s="1235"/>
      <c r="BO159" s="1235"/>
      <c r="BP159" s="1235"/>
      <c r="BQ159" s="1235"/>
      <c r="BR159" s="1235"/>
      <c r="BS159" s="1235"/>
      <c r="BT159" s="1235"/>
      <c r="BU159" s="1235"/>
      <c r="BV159" s="1235"/>
      <c r="BW159" s="1235"/>
      <c r="BX159" s="1235"/>
      <c r="BY159" s="1235"/>
      <c r="BZ159" s="1235"/>
      <c r="CA159" s="1235"/>
      <c r="CB159" s="1235"/>
      <c r="CC159" s="1235"/>
      <c r="CD159" s="1235"/>
      <c r="CE159" s="1235"/>
      <c r="CF159" s="1235"/>
      <c r="CG159" s="1235"/>
      <c r="CH159" s="1235"/>
      <c r="CI159" s="1235"/>
      <c r="CJ159" s="1235"/>
      <c r="CK159" s="1235"/>
      <c r="CL159" s="1235"/>
      <c r="CM159" s="1235"/>
      <c r="CN159" s="1235"/>
      <c r="CO159" s="1235"/>
      <c r="CP159" s="1235"/>
      <c r="CQ159" s="1235"/>
      <c r="CR159" s="1235"/>
      <c r="CS159" s="1235"/>
      <c r="CT159" s="1235"/>
      <c r="CU159" s="1235"/>
      <c r="CV159" s="1235"/>
      <c r="CW159" s="1235"/>
      <c r="CX159" s="1235"/>
      <c r="CY159" s="1235"/>
      <c r="CZ159" s="1235"/>
      <c r="DA159" s="1235"/>
      <c r="DB159" s="1235"/>
      <c r="DC159" s="1235"/>
      <c r="DD159" s="1235"/>
      <c r="DE159" s="1235"/>
      <c r="DF159" s="1235"/>
      <c r="DG159" s="1235"/>
      <c r="DH159" s="1235"/>
      <c r="DI159" s="1235"/>
      <c r="DJ159" s="1235"/>
      <c r="DK159" s="1235"/>
      <c r="DL159" s="1235"/>
      <c r="DM159" s="1235"/>
      <c r="DN159" s="1235"/>
      <c r="DO159" s="1235"/>
      <c r="DP159" s="1235"/>
      <c r="DQ159" s="1235"/>
      <c r="DR159" s="1235"/>
      <c r="DS159" s="1235"/>
      <c r="DT159" s="1235"/>
      <c r="DU159" s="1235"/>
      <c r="DV159" s="1235"/>
      <c r="DW159" s="1235"/>
      <c r="DX159" s="1235"/>
      <c r="DY159" s="1235"/>
      <c r="DZ159" s="1235"/>
      <c r="EA159" s="1235"/>
      <c r="EB159" s="1235"/>
      <c r="EC159" s="1235"/>
      <c r="ED159" s="1235"/>
      <c r="EE159" s="1235"/>
      <c r="EF159" s="1235"/>
      <c r="EG159" s="1235"/>
      <c r="EH159" s="1235"/>
      <c r="EI159" s="1235"/>
      <c r="EJ159" s="1235"/>
      <c r="EK159" s="1235"/>
      <c r="EL159" s="1235"/>
      <c r="EM159" s="1235"/>
      <c r="EN159" s="1235"/>
      <c r="EO159" s="1235"/>
      <c r="EP159" s="1235"/>
      <c r="EQ159" s="1235"/>
      <c r="ER159" s="1235"/>
      <c r="ES159" s="1235"/>
      <c r="ET159" s="1235"/>
      <c r="EU159" s="1235"/>
      <c r="EV159" s="1235"/>
      <c r="EW159" s="1235"/>
      <c r="EX159" s="1235"/>
      <c r="EY159" s="1235"/>
      <c r="EZ159" s="1235"/>
      <c r="FA159" s="1235"/>
      <c r="FB159" s="1235"/>
      <c r="FC159" s="1235"/>
      <c r="FD159" s="1235"/>
      <c r="FE159" s="1235"/>
      <c r="FF159" s="1235"/>
      <c r="FG159" s="1235"/>
      <c r="FH159" s="1235"/>
      <c r="FI159" s="1235"/>
      <c r="FJ159" s="1235"/>
      <c r="FK159" s="1235"/>
      <c r="FL159" s="1235"/>
      <c r="FM159" s="1235"/>
      <c r="FN159" s="1235"/>
      <c r="FO159" s="1235"/>
      <c r="FP159" s="1235"/>
      <c r="FQ159" s="1235"/>
      <c r="FR159" s="1235"/>
      <c r="FS159" s="1235"/>
      <c r="FT159" s="1235"/>
      <c r="FU159" s="1235"/>
      <c r="FV159" s="1235"/>
      <c r="FW159" s="1235"/>
      <c r="FX159" s="1235"/>
      <c r="FY159" s="1235"/>
      <c r="FZ159" s="1235"/>
      <c r="GA159" s="1235"/>
      <c r="GB159" s="1235"/>
      <c r="GC159" s="1235"/>
      <c r="GD159" s="1235"/>
      <c r="GE159" s="1235"/>
      <c r="GF159" s="1235"/>
      <c r="GG159" s="1235"/>
      <c r="GH159" s="1235"/>
      <c r="GI159" s="1235"/>
      <c r="GJ159" s="1235"/>
      <c r="GK159" s="1235"/>
      <c r="GL159" s="1235"/>
      <c r="GM159" s="1235"/>
      <c r="GN159" s="1235"/>
      <c r="GO159" s="1235"/>
      <c r="GP159" s="1235"/>
      <c r="GQ159" s="1235"/>
      <c r="GR159" s="1235"/>
      <c r="GS159" s="1235"/>
      <c r="GT159" s="1235"/>
      <c r="GU159" s="1235"/>
      <c r="GV159" s="1235"/>
      <c r="GW159" s="1235"/>
      <c r="GX159" s="1235"/>
      <c r="GY159" s="1235"/>
      <c r="GZ159" s="1235"/>
      <c r="HA159" s="1235"/>
      <c r="HB159" s="1235"/>
      <c r="HC159" s="1235"/>
      <c r="HD159" s="1235"/>
      <c r="HE159" s="1235"/>
      <c r="HF159" s="1235"/>
      <c r="HG159" s="1235"/>
      <c r="HH159" s="1235"/>
      <c r="HI159" s="1235"/>
      <c r="HJ159" s="1235"/>
      <c r="HK159" s="1235"/>
      <c r="HL159" s="1235"/>
      <c r="HM159" s="1235"/>
      <c r="HN159" s="1235"/>
      <c r="HO159" s="1235"/>
      <c r="HP159" s="1235"/>
      <c r="HQ159" s="1235"/>
      <c r="HR159" s="1235"/>
      <c r="HS159" s="1235"/>
      <c r="HT159" s="1235"/>
      <c r="HU159" s="1235"/>
      <c r="HV159" s="1235"/>
      <c r="HW159" s="1235"/>
      <c r="HX159" s="1235"/>
      <c r="HY159" s="1235"/>
      <c r="HZ159" s="1235"/>
      <c r="IA159" s="1235"/>
      <c r="IB159" s="1235"/>
      <c r="IC159" s="1235"/>
      <c r="ID159" s="1235"/>
      <c r="IE159" s="1235"/>
      <c r="IF159" s="1235"/>
      <c r="IG159" s="1235"/>
      <c r="IH159" s="1235"/>
      <c r="II159" s="1235"/>
      <c r="IJ159" s="1235"/>
      <c r="IK159" s="1235"/>
      <c r="IL159" s="1235"/>
      <c r="IM159" s="1235"/>
      <c r="IN159" s="1235"/>
      <c r="IO159" s="1235"/>
      <c r="IP159" s="1235"/>
      <c r="IQ159" s="1235"/>
      <c r="IR159" s="1235"/>
    </row>
    <row r="160" spans="1:252">
      <c r="A160" s="1241">
        <v>12</v>
      </c>
      <c r="B160" s="1242" t="s">
        <v>169</v>
      </c>
      <c r="C160" s="1243">
        <v>2014</v>
      </c>
      <c r="D160" s="1244">
        <v>15.2</v>
      </c>
      <c r="E160" s="1244"/>
      <c r="F160" s="1244"/>
      <c r="G160" s="1244"/>
      <c r="H160" s="1245"/>
      <c r="I160" s="1247">
        <v>15.2</v>
      </c>
    </row>
    <row r="161" spans="1:9">
      <c r="A161" s="1241">
        <v>13</v>
      </c>
      <c r="B161" s="1242" t="s">
        <v>170</v>
      </c>
      <c r="C161" s="1243">
        <v>2014</v>
      </c>
      <c r="D161" s="1244">
        <v>5.6</v>
      </c>
      <c r="E161" s="1244"/>
      <c r="F161" s="1244"/>
      <c r="G161" s="1244"/>
      <c r="H161" s="1245"/>
      <c r="I161" s="1246">
        <v>5.6</v>
      </c>
    </row>
    <row r="162" spans="1:9">
      <c r="A162" s="1241">
        <v>14</v>
      </c>
      <c r="B162" s="1242" t="s">
        <v>171</v>
      </c>
      <c r="C162" s="1243">
        <v>2014</v>
      </c>
      <c r="D162" s="1244">
        <v>1</v>
      </c>
      <c r="E162" s="1244"/>
      <c r="F162" s="1244"/>
      <c r="G162" s="1244"/>
      <c r="H162" s="1245"/>
      <c r="I162" s="1246">
        <v>1</v>
      </c>
    </row>
    <row r="163" spans="1:9">
      <c r="A163" s="1241">
        <v>15</v>
      </c>
      <c r="B163" s="1242" t="s">
        <v>172</v>
      </c>
      <c r="C163" s="1243">
        <v>2014</v>
      </c>
      <c r="D163" s="1244">
        <v>8.5</v>
      </c>
      <c r="E163" s="1244"/>
      <c r="F163" s="1244"/>
      <c r="G163" s="1244"/>
      <c r="H163" s="1245"/>
      <c r="I163" s="1246">
        <v>8.5</v>
      </c>
    </row>
    <row r="164" spans="1:9">
      <c r="A164" s="1241">
        <v>16</v>
      </c>
      <c r="B164" s="1242" t="s">
        <v>173</v>
      </c>
      <c r="C164" s="1243">
        <v>2014</v>
      </c>
      <c r="D164" s="1244">
        <v>6.8</v>
      </c>
      <c r="E164" s="1244"/>
      <c r="F164" s="1244">
        <f>D164</f>
        <v>6.8</v>
      </c>
      <c r="G164" s="1244"/>
      <c r="H164" s="1245"/>
      <c r="I164" s="1245"/>
    </row>
    <row r="165" spans="1:9">
      <c r="A165" s="1241">
        <v>17</v>
      </c>
      <c r="B165" s="1242" t="s">
        <v>174</v>
      </c>
      <c r="C165" s="1243">
        <v>2014</v>
      </c>
      <c r="D165" s="1244">
        <v>10.199999999999999</v>
      </c>
      <c r="E165" s="1244"/>
      <c r="F165" s="1244">
        <f>D165</f>
        <v>10.199999999999999</v>
      </c>
      <c r="G165" s="1244"/>
      <c r="H165" s="1245"/>
      <c r="I165" s="1245"/>
    </row>
    <row r="166" spans="1:9">
      <c r="A166" s="1241">
        <v>18</v>
      </c>
      <c r="B166" s="1242" t="s">
        <v>175</v>
      </c>
      <c r="C166" s="1243">
        <v>2014</v>
      </c>
      <c r="D166" s="1244">
        <v>12.9</v>
      </c>
      <c r="E166" s="1244"/>
      <c r="F166" s="1244"/>
      <c r="G166" s="1244"/>
      <c r="H166" s="1245"/>
      <c r="I166" s="1247">
        <v>12.9</v>
      </c>
    </row>
    <row r="167" spans="1:9">
      <c r="A167" s="1241">
        <v>19</v>
      </c>
      <c r="B167" s="1242" t="s">
        <v>111</v>
      </c>
      <c r="C167" s="1243">
        <v>2014</v>
      </c>
      <c r="D167" s="1244">
        <v>0.8</v>
      </c>
      <c r="E167" s="1244"/>
      <c r="F167" s="1244"/>
      <c r="G167" s="1244"/>
      <c r="H167" s="1245">
        <v>0.8</v>
      </c>
      <c r="I167" s="1245"/>
    </row>
    <row r="168" spans="1:9">
      <c r="A168" s="1241">
        <v>20</v>
      </c>
      <c r="B168" s="1242" t="s">
        <v>176</v>
      </c>
      <c r="C168" s="1243">
        <v>2014</v>
      </c>
      <c r="D168" s="1244">
        <v>3.4</v>
      </c>
      <c r="E168" s="1244"/>
      <c r="F168" s="1244"/>
      <c r="G168" s="1244"/>
      <c r="H168" s="1245"/>
      <c r="I168" s="1246">
        <v>3.4</v>
      </c>
    </row>
    <row r="169" spans="1:9">
      <c r="A169" s="1241">
        <v>21</v>
      </c>
      <c r="B169" s="1242" t="s">
        <v>177</v>
      </c>
      <c r="C169" s="1243">
        <v>2014</v>
      </c>
      <c r="D169" s="1244">
        <v>1.6</v>
      </c>
      <c r="E169" s="1244"/>
      <c r="F169" s="1244"/>
      <c r="G169" s="1244"/>
      <c r="H169" s="1245"/>
      <c r="I169" s="1246">
        <v>1.6</v>
      </c>
    </row>
    <row r="170" spans="1:9">
      <c r="A170" s="1241">
        <v>22</v>
      </c>
      <c r="B170" s="1242" t="s">
        <v>153</v>
      </c>
      <c r="C170" s="1243">
        <v>2014</v>
      </c>
      <c r="D170" s="1244">
        <v>7.4</v>
      </c>
      <c r="E170" s="1244"/>
      <c r="F170" s="1244"/>
      <c r="G170" s="1244"/>
      <c r="H170" s="1245">
        <v>7.4</v>
      </c>
      <c r="I170" s="1245"/>
    </row>
    <row r="171" spans="1:9">
      <c r="A171" s="1241">
        <v>23</v>
      </c>
      <c r="B171" s="1242" t="s">
        <v>154</v>
      </c>
      <c r="C171" s="1243">
        <v>2014</v>
      </c>
      <c r="D171" s="1244">
        <v>0.5</v>
      </c>
      <c r="E171" s="1244"/>
      <c r="F171" s="1244"/>
      <c r="G171" s="1244"/>
      <c r="H171" s="1245">
        <v>0.5</v>
      </c>
      <c r="I171" s="1245"/>
    </row>
    <row r="172" spans="1:9">
      <c r="A172" s="1241">
        <v>24</v>
      </c>
      <c r="B172" s="1242" t="s">
        <v>155</v>
      </c>
      <c r="C172" s="1243">
        <v>2014</v>
      </c>
      <c r="D172" s="1244">
        <v>1.3</v>
      </c>
      <c r="E172" s="1244"/>
      <c r="F172" s="1244"/>
      <c r="G172" s="1244"/>
      <c r="H172" s="1245"/>
      <c r="I172" s="1246">
        <v>1.3</v>
      </c>
    </row>
    <row r="173" spans="1:9">
      <c r="A173" s="1241">
        <v>25</v>
      </c>
      <c r="B173" s="1242" t="s">
        <v>156</v>
      </c>
      <c r="C173" s="1243">
        <v>2014</v>
      </c>
      <c r="D173" s="1244">
        <v>0.8</v>
      </c>
      <c r="E173" s="1244"/>
      <c r="F173" s="1244"/>
      <c r="G173" s="1244"/>
      <c r="H173" s="1245">
        <v>0.8</v>
      </c>
      <c r="I173" s="1245"/>
    </row>
    <row r="174" spans="1:9">
      <c r="A174" s="1241">
        <v>26</v>
      </c>
      <c r="B174" s="1242" t="s">
        <v>157</v>
      </c>
      <c r="C174" s="1243">
        <v>2014</v>
      </c>
      <c r="D174" s="1244">
        <v>5.7</v>
      </c>
      <c r="E174" s="1244"/>
      <c r="F174" s="1244"/>
      <c r="G174" s="1244"/>
      <c r="H174" s="1245">
        <v>5.7</v>
      </c>
      <c r="I174" s="1245"/>
    </row>
    <row r="175" spans="1:9">
      <c r="A175" s="1241">
        <v>27</v>
      </c>
      <c r="B175" s="1242" t="s">
        <v>178</v>
      </c>
      <c r="C175" s="1243">
        <v>2014</v>
      </c>
      <c r="D175" s="1244">
        <v>6.3</v>
      </c>
      <c r="E175" s="1244"/>
      <c r="F175" s="1244"/>
      <c r="G175" s="1244"/>
      <c r="H175" s="1245">
        <v>6.3</v>
      </c>
      <c r="I175" s="1245"/>
    </row>
    <row r="176" spans="1:9">
      <c r="A176" s="1241">
        <v>28</v>
      </c>
      <c r="B176" s="1242" t="s">
        <v>179</v>
      </c>
      <c r="C176" s="1243">
        <v>2014</v>
      </c>
      <c r="D176" s="1244">
        <v>3.6</v>
      </c>
      <c r="E176" s="1244"/>
      <c r="F176" s="1244"/>
      <c r="G176" s="1244"/>
      <c r="H176" s="1245">
        <v>3.6</v>
      </c>
      <c r="I176" s="1245"/>
    </row>
    <row r="177" spans="1:9">
      <c r="A177" s="1241">
        <v>29</v>
      </c>
      <c r="B177" s="1242" t="s">
        <v>180</v>
      </c>
      <c r="C177" s="1243">
        <v>2014</v>
      </c>
      <c r="D177" s="1244">
        <v>3.8</v>
      </c>
      <c r="E177" s="1244"/>
      <c r="F177" s="1244"/>
      <c r="G177" s="1244"/>
      <c r="H177" s="1245">
        <v>3.8</v>
      </c>
      <c r="I177" s="1245"/>
    </row>
    <row r="178" spans="1:9">
      <c r="A178" s="1241">
        <v>30</v>
      </c>
      <c r="B178" s="1242" t="s">
        <v>126</v>
      </c>
      <c r="C178" s="1243">
        <v>2014</v>
      </c>
      <c r="D178" s="1244">
        <v>2.2999999999999998</v>
      </c>
      <c r="E178" s="1244"/>
      <c r="F178" s="1244"/>
      <c r="G178" s="1244"/>
      <c r="H178" s="1245">
        <v>2.2999999999999998</v>
      </c>
      <c r="I178" s="1245"/>
    </row>
    <row r="179" spans="1:9">
      <c r="A179" s="1241">
        <v>31</v>
      </c>
      <c r="B179" s="1242" t="s">
        <v>127</v>
      </c>
      <c r="C179" s="1243">
        <v>2014</v>
      </c>
      <c r="D179" s="1244">
        <v>1.8</v>
      </c>
      <c r="E179" s="1244"/>
      <c r="F179" s="1244"/>
      <c r="G179" s="1244"/>
      <c r="H179" s="1245">
        <v>1.8</v>
      </c>
      <c r="I179" s="1245"/>
    </row>
    <row r="180" spans="1:9">
      <c r="A180" s="1241">
        <v>32</v>
      </c>
      <c r="B180" s="1242" t="s">
        <v>181</v>
      </c>
      <c r="C180" s="1243">
        <v>2014</v>
      </c>
      <c r="D180" s="1244">
        <v>10.8</v>
      </c>
      <c r="E180" s="1244"/>
      <c r="F180" s="1244"/>
      <c r="G180" s="1244"/>
      <c r="H180" s="1245">
        <v>10.8</v>
      </c>
      <c r="I180" s="1245"/>
    </row>
    <row r="181" spans="1:9">
      <c r="A181" s="1241">
        <v>33</v>
      </c>
      <c r="B181" s="1242" t="s">
        <v>133</v>
      </c>
      <c r="C181" s="1243">
        <v>2014</v>
      </c>
      <c r="D181" s="1244">
        <v>5.4</v>
      </c>
      <c r="E181" s="1244"/>
      <c r="F181" s="1244"/>
      <c r="G181" s="1244"/>
      <c r="H181" s="1245">
        <v>5.4</v>
      </c>
      <c r="I181" s="1245"/>
    </row>
    <row r="182" spans="1:9">
      <c r="A182" s="1241">
        <v>34</v>
      </c>
      <c r="B182" s="1242" t="s">
        <v>182</v>
      </c>
      <c r="C182" s="1243">
        <v>2014</v>
      </c>
      <c r="D182" s="1244">
        <v>12.9</v>
      </c>
      <c r="E182" s="1244"/>
      <c r="F182" s="1244"/>
      <c r="G182" s="1244"/>
      <c r="H182" s="1245">
        <v>12.9</v>
      </c>
      <c r="I182" s="1245"/>
    </row>
    <row r="183" spans="1:9">
      <c r="A183" s="1241">
        <v>35</v>
      </c>
      <c r="B183" s="1242" t="s">
        <v>183</v>
      </c>
      <c r="C183" s="1243">
        <v>2014</v>
      </c>
      <c r="D183" s="1244">
        <v>1</v>
      </c>
      <c r="E183" s="1244"/>
      <c r="F183" s="1244"/>
      <c r="G183" s="1244"/>
      <c r="H183" s="1245">
        <v>1</v>
      </c>
      <c r="I183" s="1245"/>
    </row>
    <row r="184" spans="1:9">
      <c r="A184" s="1241">
        <v>1</v>
      </c>
      <c r="B184" s="1242" t="s">
        <v>131</v>
      </c>
      <c r="C184" s="1243">
        <v>2015</v>
      </c>
      <c r="D184" s="1244">
        <v>0.8</v>
      </c>
      <c r="E184" s="1244"/>
      <c r="F184" s="1244"/>
      <c r="G184" s="1244"/>
      <c r="H184" s="1245">
        <v>0.8</v>
      </c>
      <c r="I184" s="1245"/>
    </row>
    <row r="185" spans="1:9">
      <c r="A185" s="1241">
        <v>2</v>
      </c>
      <c r="B185" s="1242" t="s">
        <v>139</v>
      </c>
      <c r="C185" s="1243">
        <v>2015</v>
      </c>
      <c r="D185" s="1244">
        <v>0.7</v>
      </c>
      <c r="E185" s="1244"/>
      <c r="F185" s="1244"/>
      <c r="G185" s="1244"/>
      <c r="H185" s="1245">
        <v>0.7</v>
      </c>
      <c r="I185" s="1245"/>
    </row>
    <row r="186" spans="1:9">
      <c r="A186" s="1241">
        <v>3</v>
      </c>
      <c r="B186" s="1242" t="s">
        <v>136</v>
      </c>
      <c r="C186" s="1243">
        <v>2015</v>
      </c>
      <c r="D186" s="1244">
        <v>3.7</v>
      </c>
      <c r="E186" s="1244"/>
      <c r="F186" s="1244"/>
      <c r="G186" s="1244"/>
      <c r="H186" s="1245">
        <v>3.7</v>
      </c>
      <c r="I186" s="1245"/>
    </row>
    <row r="187" spans="1:9">
      <c r="A187" s="1241">
        <v>4</v>
      </c>
      <c r="B187" s="1242" t="s">
        <v>140</v>
      </c>
      <c r="C187" s="1243">
        <v>2015</v>
      </c>
      <c r="D187" s="1244">
        <v>6.3</v>
      </c>
      <c r="E187" s="1244"/>
      <c r="F187" s="1244"/>
      <c r="G187" s="1244"/>
      <c r="H187" s="1245">
        <v>6.3</v>
      </c>
      <c r="I187" s="1245"/>
    </row>
    <row r="188" spans="1:9">
      <c r="A188" s="1241">
        <v>5</v>
      </c>
      <c r="B188" s="1242" t="s">
        <v>141</v>
      </c>
      <c r="C188" s="1243">
        <v>2015</v>
      </c>
      <c r="D188" s="1244">
        <v>5.3</v>
      </c>
      <c r="E188" s="1244"/>
      <c r="F188" s="1244"/>
      <c r="G188" s="1244"/>
      <c r="H188" s="1245">
        <v>5.3</v>
      </c>
      <c r="I188" s="1245"/>
    </row>
    <row r="189" spans="1:9">
      <c r="A189" s="1241">
        <v>6</v>
      </c>
      <c r="B189" s="1242" t="s">
        <v>184</v>
      </c>
      <c r="C189" s="1243">
        <v>2015</v>
      </c>
      <c r="D189" s="1244">
        <v>11.5</v>
      </c>
      <c r="E189" s="1244"/>
      <c r="F189" s="1244"/>
      <c r="G189" s="1244"/>
      <c r="H189" s="1245">
        <v>11.5</v>
      </c>
      <c r="I189" s="1245"/>
    </row>
    <row r="190" spans="1:9">
      <c r="A190" s="1241">
        <v>7</v>
      </c>
      <c r="B190" s="1242" t="s">
        <v>142</v>
      </c>
      <c r="C190" s="1243">
        <v>2015</v>
      </c>
      <c r="D190" s="1244">
        <v>0.9</v>
      </c>
      <c r="E190" s="1244"/>
      <c r="F190" s="1244"/>
      <c r="G190" s="1244"/>
      <c r="H190" s="1245">
        <v>0.9</v>
      </c>
      <c r="I190" s="1245"/>
    </row>
    <row r="191" spans="1:9">
      <c r="A191" s="1241">
        <v>8</v>
      </c>
      <c r="B191" s="1242" t="s">
        <v>143</v>
      </c>
      <c r="C191" s="1243">
        <v>2015</v>
      </c>
      <c r="D191" s="1244">
        <v>3.5</v>
      </c>
      <c r="E191" s="1244"/>
      <c r="F191" s="1244"/>
      <c r="G191" s="1244"/>
      <c r="H191" s="1245">
        <v>3.5</v>
      </c>
      <c r="I191" s="1245"/>
    </row>
    <row r="192" spans="1:9">
      <c r="A192" s="1241">
        <v>9</v>
      </c>
      <c r="B192" s="1242" t="s">
        <v>144</v>
      </c>
      <c r="C192" s="1243">
        <v>2015</v>
      </c>
      <c r="D192" s="1244">
        <v>3</v>
      </c>
      <c r="E192" s="1244"/>
      <c r="F192" s="1244"/>
      <c r="G192" s="1244"/>
      <c r="H192" s="1245">
        <v>3</v>
      </c>
      <c r="I192" s="1245"/>
    </row>
    <row r="193" spans="1:10">
      <c r="A193" s="1241">
        <v>10</v>
      </c>
      <c r="B193" s="1242" t="s">
        <v>147</v>
      </c>
      <c r="C193" s="1243">
        <v>2015</v>
      </c>
      <c r="D193" s="1244">
        <v>1.3</v>
      </c>
      <c r="E193" s="1244"/>
      <c r="F193" s="1244"/>
      <c r="G193" s="1244"/>
      <c r="H193" s="1245">
        <v>1.3</v>
      </c>
      <c r="I193" s="1245"/>
    </row>
    <row r="194" spans="1:10">
      <c r="A194" s="1241">
        <v>1</v>
      </c>
      <c r="B194" s="1242" t="s">
        <v>159</v>
      </c>
      <c r="C194" s="1243">
        <v>2015</v>
      </c>
      <c r="D194" s="1244">
        <v>2.9</v>
      </c>
      <c r="E194" s="1244"/>
      <c r="F194" s="1244"/>
      <c r="G194" s="1244"/>
      <c r="H194" s="1245"/>
      <c r="I194" s="1246">
        <v>2.9</v>
      </c>
    </row>
    <row r="195" spans="1:10">
      <c r="A195" s="1248">
        <v>2</v>
      </c>
      <c r="B195" s="1249" t="s">
        <v>50</v>
      </c>
      <c r="C195" s="1250">
        <v>2015</v>
      </c>
      <c r="D195" s="1251">
        <v>6</v>
      </c>
      <c r="E195" s="1251"/>
      <c r="F195" s="1251">
        <f>D195</f>
        <v>6</v>
      </c>
      <c r="G195" s="1251"/>
      <c r="H195" s="1252"/>
      <c r="I195" s="1252"/>
    </row>
    <row r="196" spans="1:10">
      <c r="A196" s="1277" t="s">
        <v>9</v>
      </c>
      <c r="B196" s="1278"/>
      <c r="C196" s="1253"/>
      <c r="D196" s="1254">
        <f>D138+D93+D59+D26+D5</f>
        <v>2918.7999999999997</v>
      </c>
      <c r="E196" s="1254">
        <f>E138+E93+E59+E26+E5</f>
        <v>0</v>
      </c>
      <c r="F196" s="1254">
        <f>F138+F93+F59+F26+F5</f>
        <v>1052.2</v>
      </c>
      <c r="G196" s="1254"/>
      <c r="J196" s="1194">
        <v>2295.3000000000002</v>
      </c>
    </row>
    <row r="197" spans="1:10">
      <c r="J197" s="1255">
        <v>-2295.3000000000002</v>
      </c>
    </row>
    <row r="198" spans="1:10">
      <c r="A198" s="1279" t="s">
        <v>185</v>
      </c>
      <c r="B198" s="1279"/>
    </row>
    <row r="205" spans="1:10">
      <c r="A205" s="1279"/>
      <c r="B205" s="1279"/>
    </row>
  </sheetData>
  <mergeCells count="4">
    <mergeCell ref="A2:G2"/>
    <mergeCell ref="A196:B196"/>
    <mergeCell ref="A198:B198"/>
    <mergeCell ref="A205:B20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A959-2A18-479D-B04B-D0AF88630502}">
  <sheetPr>
    <tabColor rgb="FFFF0000"/>
  </sheetPr>
  <dimension ref="A1:C38"/>
  <sheetViews>
    <sheetView topLeftCell="A10" workbookViewId="0">
      <selection activeCell="C14" sqref="C14"/>
    </sheetView>
  </sheetViews>
  <sheetFormatPr defaultColWidth="8.69921875" defaultRowHeight="16.8"/>
  <cols>
    <col min="1" max="1" width="6.19921875" style="1176" customWidth="1"/>
    <col min="2" max="2" width="50.69921875" style="1177" customWidth="1"/>
    <col min="3" max="3" width="45.59765625" style="1178" customWidth="1"/>
    <col min="4" max="32" width="9" style="1178" bestFit="1" customWidth="1"/>
    <col min="33" max="16384" width="8.69921875" style="1178"/>
  </cols>
  <sheetData>
    <row r="1" spans="1:3" ht="17.399999999999999">
      <c r="A1" s="1179" t="s">
        <v>186</v>
      </c>
      <c r="B1" s="1180" t="s">
        <v>187</v>
      </c>
      <c r="C1" s="1181" t="s">
        <v>188</v>
      </c>
    </row>
    <row r="2" spans="1:3" ht="18">
      <c r="A2" s="1182">
        <v>1</v>
      </c>
      <c r="B2" s="1183" t="s">
        <v>189</v>
      </c>
      <c r="C2" s="1181" t="s">
        <v>190</v>
      </c>
    </row>
    <row r="3" spans="1:3" ht="18">
      <c r="A3" s="1182">
        <v>2</v>
      </c>
      <c r="B3" s="1183" t="s">
        <v>191</v>
      </c>
      <c r="C3" s="1181" t="s">
        <v>192</v>
      </c>
    </row>
    <row r="4" spans="1:3" ht="18">
      <c r="A4" s="1182">
        <v>3</v>
      </c>
      <c r="B4" s="1183" t="s">
        <v>193</v>
      </c>
      <c r="C4" s="1181" t="s">
        <v>194</v>
      </c>
    </row>
    <row r="5" spans="1:3" ht="18">
      <c r="A5" s="1182">
        <v>4</v>
      </c>
      <c r="B5" s="1183" t="s">
        <v>195</v>
      </c>
      <c r="C5" s="1181" t="s">
        <v>196</v>
      </c>
    </row>
    <row r="6" spans="1:3" ht="18">
      <c r="A6" s="1182">
        <v>5</v>
      </c>
      <c r="B6" s="1183" t="s">
        <v>197</v>
      </c>
      <c r="C6" s="1181" t="s">
        <v>198</v>
      </c>
    </row>
    <row r="7" spans="1:3" ht="17.399999999999999">
      <c r="A7" s="1179" t="s">
        <v>199</v>
      </c>
      <c r="B7" s="1180" t="s">
        <v>200</v>
      </c>
      <c r="C7" s="1181" t="s">
        <v>201</v>
      </c>
    </row>
    <row r="8" spans="1:3" ht="18">
      <c r="A8" s="1182">
        <v>1</v>
      </c>
      <c r="B8" s="1183" t="s">
        <v>202</v>
      </c>
      <c r="C8" s="1181" t="s">
        <v>203</v>
      </c>
    </row>
    <row r="9" spans="1:3" ht="18">
      <c r="A9" s="1182">
        <v>2</v>
      </c>
      <c r="B9" s="1183" t="s">
        <v>204</v>
      </c>
      <c r="C9" s="1181" t="s">
        <v>205</v>
      </c>
    </row>
    <row r="10" spans="1:3" ht="18">
      <c r="A10" s="1182">
        <v>3</v>
      </c>
      <c r="B10" s="1183" t="s">
        <v>206</v>
      </c>
      <c r="C10" s="1181" t="s">
        <v>207</v>
      </c>
    </row>
    <row r="11" spans="1:3" ht="18">
      <c r="A11" s="1182">
        <v>4</v>
      </c>
      <c r="B11" s="1183" t="s">
        <v>208</v>
      </c>
      <c r="C11" s="1181" t="s">
        <v>209</v>
      </c>
    </row>
    <row r="12" spans="1:3" ht="18">
      <c r="A12" s="1182">
        <v>5</v>
      </c>
      <c r="B12" s="1183" t="s">
        <v>210</v>
      </c>
      <c r="C12" s="1181" t="s">
        <v>211</v>
      </c>
    </row>
    <row r="13" spans="1:3" ht="18">
      <c r="A13" s="1182">
        <v>6</v>
      </c>
      <c r="B13" s="1183" t="s">
        <v>212</v>
      </c>
      <c r="C13" s="1181" t="s">
        <v>213</v>
      </c>
    </row>
    <row r="14" spans="1:3" ht="18">
      <c r="A14" s="1182">
        <v>7</v>
      </c>
      <c r="B14" s="1183" t="s">
        <v>214</v>
      </c>
      <c r="C14" s="1181" t="s">
        <v>215</v>
      </c>
    </row>
    <row r="15" spans="1:3" ht="18">
      <c r="A15" s="1182">
        <v>8</v>
      </c>
      <c r="B15" s="1183" t="s">
        <v>216</v>
      </c>
      <c r="C15" s="1181" t="s">
        <v>217</v>
      </c>
    </row>
    <row r="16" spans="1:3" ht="18">
      <c r="A16" s="1182">
        <v>9</v>
      </c>
      <c r="B16" s="1183" t="s">
        <v>218</v>
      </c>
      <c r="C16" s="1181" t="s">
        <v>219</v>
      </c>
    </row>
    <row r="17" spans="1:3" ht="18">
      <c r="A17" s="1182">
        <v>10</v>
      </c>
      <c r="B17" s="1183" t="s">
        <v>220</v>
      </c>
      <c r="C17" s="1181" t="s">
        <v>221</v>
      </c>
    </row>
    <row r="18" spans="1:3" s="1174" customFormat="1" ht="17.399999999999999">
      <c r="A18" s="1179">
        <v>11</v>
      </c>
      <c r="B18" s="1180" t="s">
        <v>222</v>
      </c>
      <c r="C18" s="1184" t="s">
        <v>223</v>
      </c>
    </row>
    <row r="19" spans="1:3" ht="17.399999999999999">
      <c r="A19" s="1179">
        <v>12</v>
      </c>
      <c r="B19" s="1185" t="s">
        <v>224</v>
      </c>
      <c r="C19" s="1186" t="s">
        <v>225</v>
      </c>
    </row>
    <row r="20" spans="1:3" ht="17.399999999999999">
      <c r="A20" s="1179">
        <v>13</v>
      </c>
      <c r="B20" s="1185" t="s">
        <v>226</v>
      </c>
      <c r="C20" s="1186" t="s">
        <v>227</v>
      </c>
    </row>
    <row r="21" spans="1:3" s="1174" customFormat="1" ht="17.399999999999999">
      <c r="A21" s="1179" t="s">
        <v>228</v>
      </c>
      <c r="B21" s="1180" t="s">
        <v>229</v>
      </c>
      <c r="C21" s="1187" t="s">
        <v>230</v>
      </c>
    </row>
    <row r="22" spans="1:3">
      <c r="B22" s="1185" t="s">
        <v>231</v>
      </c>
      <c r="C22" s="1188" t="s">
        <v>232</v>
      </c>
    </row>
    <row r="23" spans="1:3">
      <c r="B23" s="1185" t="s">
        <v>233</v>
      </c>
      <c r="C23" s="1188" t="s">
        <v>234</v>
      </c>
    </row>
    <row r="24" spans="1:3">
      <c r="B24" s="1185" t="s">
        <v>235</v>
      </c>
      <c r="C24" s="1188" t="s">
        <v>236</v>
      </c>
    </row>
    <row r="25" spans="1:3">
      <c r="B25" s="1185" t="s">
        <v>237</v>
      </c>
      <c r="C25" s="1188" t="s">
        <v>238</v>
      </c>
    </row>
    <row r="26" spans="1:3">
      <c r="B26" s="1185" t="s">
        <v>239</v>
      </c>
      <c r="C26" s="1188" t="s">
        <v>240</v>
      </c>
    </row>
    <row r="27" spans="1:3">
      <c r="B27" s="1185" t="s">
        <v>241</v>
      </c>
      <c r="C27" s="1188" t="s">
        <v>242</v>
      </c>
    </row>
    <row r="28" spans="1:3">
      <c r="B28" s="1177" t="s">
        <v>243</v>
      </c>
      <c r="C28" s="1188" t="s">
        <v>244</v>
      </c>
    </row>
    <row r="29" spans="1:3">
      <c r="B29" s="1177" t="s">
        <v>245</v>
      </c>
      <c r="C29" s="1188" t="s">
        <v>246</v>
      </c>
    </row>
    <row r="30" spans="1:3">
      <c r="B30" s="1177" t="s">
        <v>247</v>
      </c>
      <c r="C30" s="1188" t="s">
        <v>248</v>
      </c>
    </row>
    <row r="31" spans="1:3">
      <c r="B31" s="1185" t="s">
        <v>249</v>
      </c>
      <c r="C31" s="1188" t="s">
        <v>250</v>
      </c>
    </row>
    <row r="32" spans="1:3" ht="17.399999999999999">
      <c r="A32" s="1189" t="s">
        <v>251</v>
      </c>
      <c r="C32" s="1190" t="s">
        <v>252</v>
      </c>
    </row>
    <row r="33" spans="1:3" s="1175" customFormat="1" ht="15.6">
      <c r="A33" s="1191"/>
      <c r="B33" s="1192" t="s">
        <v>253</v>
      </c>
      <c r="C33" s="1193" t="s">
        <v>254</v>
      </c>
    </row>
    <row r="34" spans="1:3" s="1175" customFormat="1" ht="15.6">
      <c r="A34" s="1191"/>
      <c r="B34" s="1192" t="s">
        <v>189</v>
      </c>
      <c r="C34" s="1193" t="s">
        <v>190</v>
      </c>
    </row>
    <row r="35" spans="1:3" s="1175" customFormat="1" ht="15.6">
      <c r="A35" s="1191"/>
      <c r="B35" s="1192" t="s">
        <v>255</v>
      </c>
      <c r="C35" s="1193" t="s">
        <v>256</v>
      </c>
    </row>
    <row r="36" spans="1:3" s="1175" customFormat="1" ht="15.6">
      <c r="A36" s="1191"/>
      <c r="B36" s="1192" t="s">
        <v>193</v>
      </c>
      <c r="C36" s="1181" t="s">
        <v>194</v>
      </c>
    </row>
    <row r="37" spans="1:3" s="1175" customFormat="1" ht="15.6">
      <c r="A37" s="1191"/>
      <c r="B37" s="1192" t="s">
        <v>257</v>
      </c>
      <c r="C37" s="1193" t="s">
        <v>258</v>
      </c>
    </row>
    <row r="38" spans="1:3" s="1175" customFormat="1" ht="15.6">
      <c r="A38" s="1191"/>
      <c r="B38" s="1192" t="s">
        <v>259</v>
      </c>
      <c r="C38" s="1181" t="s">
        <v>260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AF884-EC7E-43DE-B09E-2EAB3F0E8797}">
  <dimension ref="A1:V580"/>
  <sheetViews>
    <sheetView topLeftCell="A328" zoomScale="90" workbookViewId="0">
      <selection activeCell="D495" sqref="D495"/>
    </sheetView>
  </sheetViews>
  <sheetFormatPr defaultColWidth="8.69921875" defaultRowHeight="16.8"/>
  <cols>
    <col min="1" max="1" width="9.19921875" style="9" bestFit="1" customWidth="1"/>
    <col min="2" max="3" width="19.69921875" style="1096" customWidth="1"/>
    <col min="4" max="4" width="19.69921875" style="1097" customWidth="1"/>
    <col min="5" max="5" width="20.19921875" style="1098" customWidth="1"/>
    <col min="6" max="6" width="24.59765625" style="9" customWidth="1"/>
    <col min="7" max="7" width="11.19921875" style="1099" customWidth="1"/>
    <col min="8" max="8" width="11.19921875" style="9" customWidth="1"/>
    <col min="9" max="9" width="9.19921875" style="862" bestFit="1" customWidth="1"/>
    <col min="10" max="11" width="8.69921875" style="9" hidden="1" customWidth="1"/>
    <col min="12" max="12" width="11.69921875" style="9" hidden="1" customWidth="1"/>
    <col min="13" max="13" width="15.69921875" style="9" hidden="1" customWidth="1"/>
    <col min="14" max="14" width="15.09765625" style="9" hidden="1" customWidth="1"/>
    <col min="15" max="15" width="9.5" style="9" hidden="1" customWidth="1"/>
    <col min="16" max="18" width="11.69921875" style="1100" customWidth="1"/>
    <col min="19" max="21" width="17.09765625" style="1096" customWidth="1"/>
    <col min="22" max="23" width="17.09765625" style="9" customWidth="1"/>
    <col min="24" max="16384" width="8.69921875" style="9"/>
  </cols>
  <sheetData>
    <row r="1" spans="1:22" s="1094" customFormat="1" ht="34.5" customHeight="1">
      <c r="B1" s="1291"/>
      <c r="C1" s="1291"/>
      <c r="D1" s="1291"/>
      <c r="E1" s="1291"/>
      <c r="F1" s="1291"/>
      <c r="G1" s="1291"/>
      <c r="H1" s="1291"/>
      <c r="I1" s="1128"/>
      <c r="P1" s="1129" t="s">
        <v>261</v>
      </c>
      <c r="Q1" s="1129"/>
      <c r="R1" s="1129"/>
      <c r="S1" s="1134"/>
      <c r="T1" s="1134"/>
      <c r="U1" s="1134"/>
    </row>
    <row r="2" spans="1:22" s="1095" customFormat="1" ht="15" customHeight="1">
      <c r="A2" s="1280" t="s">
        <v>262</v>
      </c>
      <c r="B2" s="1281" t="s">
        <v>263</v>
      </c>
      <c r="C2" s="1281" t="s">
        <v>264</v>
      </c>
      <c r="D2" s="1283" t="s">
        <v>265</v>
      </c>
      <c r="E2" s="1285"/>
      <c r="F2" s="1287" t="s">
        <v>266</v>
      </c>
      <c r="G2" s="1289" t="s">
        <v>5</v>
      </c>
      <c r="H2" s="1290" t="s">
        <v>267</v>
      </c>
      <c r="I2" s="1130"/>
      <c r="P2" s="1131"/>
      <c r="Q2" s="1131"/>
      <c r="R2" s="1131"/>
      <c r="S2" s="1135"/>
      <c r="T2" s="1135"/>
      <c r="U2" s="1135"/>
    </row>
    <row r="3" spans="1:22" s="1095" customFormat="1" ht="17.399999999999999" customHeight="1">
      <c r="A3" s="1280"/>
      <c r="B3" s="1282"/>
      <c r="C3" s="1282"/>
      <c r="D3" s="1284"/>
      <c r="E3" s="1286"/>
      <c r="F3" s="1288"/>
      <c r="G3" s="1289"/>
      <c r="H3" s="1290"/>
      <c r="I3" s="1130"/>
      <c r="P3" s="1131"/>
      <c r="Q3" s="1131"/>
      <c r="R3" s="1131"/>
      <c r="S3" s="1135"/>
      <c r="T3" s="1135"/>
      <c r="U3" s="1135"/>
    </row>
    <row r="4" spans="1:22" ht="30" customHeight="1">
      <c r="A4" s="940">
        <v>1</v>
      </c>
      <c r="B4" s="1101">
        <v>33030</v>
      </c>
      <c r="C4" s="1102" t="s">
        <v>264</v>
      </c>
      <c r="D4" s="1103">
        <v>150429518</v>
      </c>
      <c r="E4" s="1104" t="s">
        <v>268</v>
      </c>
      <c r="F4" s="1105" t="s">
        <v>269</v>
      </c>
      <c r="G4" s="1106">
        <v>1</v>
      </c>
      <c r="H4" s="1107">
        <v>1</v>
      </c>
      <c r="I4" s="1132" t="s">
        <v>270</v>
      </c>
      <c r="O4" s="1096">
        <f ca="1">YEAR(NOW())-YEAR(B4)</f>
        <v>36</v>
      </c>
      <c r="P4" s="1133">
        <f t="shared" ref="P4:P62" ca="1" si="0">IF(O4&lt;=59,O4,IF(O4=60,1))</f>
        <v>36</v>
      </c>
      <c r="Q4" s="1133"/>
      <c r="R4" s="1133"/>
      <c r="U4" s="1096">
        <v>33030</v>
      </c>
      <c r="V4" s="9" t="s">
        <v>271</v>
      </c>
    </row>
    <row r="5" spans="1:22" ht="25.95" customHeight="1">
      <c r="A5" s="940">
        <v>2</v>
      </c>
      <c r="B5" s="1108">
        <v>35982</v>
      </c>
      <c r="C5" s="1109" t="s">
        <v>272</v>
      </c>
      <c r="D5" s="1103">
        <v>220140698</v>
      </c>
      <c r="E5" s="1104" t="s">
        <v>273</v>
      </c>
      <c r="F5" s="940" t="s">
        <v>274</v>
      </c>
      <c r="G5" s="1106">
        <v>1</v>
      </c>
      <c r="H5" s="1107">
        <v>2</v>
      </c>
      <c r="I5" s="1132" t="s">
        <v>270</v>
      </c>
      <c r="O5" s="1096">
        <f t="shared" ref="O5:O68" ca="1" si="1">YEAR(NOW())-YEAR(B5)</f>
        <v>28</v>
      </c>
      <c r="P5" s="1133">
        <f t="shared" ca="1" si="0"/>
        <v>28</v>
      </c>
      <c r="Q5" s="1133"/>
      <c r="R5" s="1133"/>
      <c r="U5" s="1096">
        <v>35982</v>
      </c>
      <c r="V5" s="9" t="s">
        <v>275</v>
      </c>
    </row>
    <row r="6" spans="1:22" ht="25.95" customHeight="1">
      <c r="A6" s="940">
        <v>3</v>
      </c>
      <c r="B6" s="1108">
        <v>38457</v>
      </c>
      <c r="C6" s="1109" t="s">
        <v>272</v>
      </c>
      <c r="D6" s="1103">
        <v>151027370</v>
      </c>
      <c r="E6" s="1104" t="s">
        <v>276</v>
      </c>
      <c r="F6" s="940" t="s">
        <v>277</v>
      </c>
      <c r="G6" s="1106">
        <v>1</v>
      </c>
      <c r="H6" s="1107">
        <v>3</v>
      </c>
      <c r="I6" s="1132" t="s">
        <v>270</v>
      </c>
      <c r="O6" s="1096">
        <f t="shared" ca="1" si="1"/>
        <v>21</v>
      </c>
      <c r="P6" s="1133">
        <f t="shared" ca="1" si="0"/>
        <v>21</v>
      </c>
      <c r="Q6" s="1133"/>
      <c r="R6" s="1133"/>
      <c r="U6" s="1096">
        <v>38457</v>
      </c>
      <c r="V6" s="9" t="s">
        <v>275</v>
      </c>
    </row>
    <row r="7" spans="1:22" ht="25.95" customHeight="1">
      <c r="A7" s="940">
        <v>4</v>
      </c>
      <c r="B7" s="1108">
        <v>36175</v>
      </c>
      <c r="C7" s="1102" t="s">
        <v>264</v>
      </c>
      <c r="D7" s="1103" t="s">
        <v>278</v>
      </c>
      <c r="E7" s="1104" t="s">
        <v>279</v>
      </c>
      <c r="F7" s="940" t="s">
        <v>280</v>
      </c>
      <c r="G7" s="1106">
        <v>1</v>
      </c>
      <c r="H7" s="1107">
        <v>4</v>
      </c>
      <c r="I7" s="1132" t="s">
        <v>270</v>
      </c>
      <c r="O7" s="1096">
        <f t="shared" ca="1" si="1"/>
        <v>27</v>
      </c>
      <c r="P7" s="1133">
        <f t="shared" ca="1" si="0"/>
        <v>27</v>
      </c>
      <c r="Q7" s="1133"/>
      <c r="R7" s="1133"/>
      <c r="U7" s="1096">
        <v>36175</v>
      </c>
      <c r="V7" s="9" t="s">
        <v>271</v>
      </c>
    </row>
    <row r="8" spans="1:22" ht="25.95" customHeight="1">
      <c r="A8" s="940">
        <v>5</v>
      </c>
      <c r="B8" s="1108">
        <v>33615</v>
      </c>
      <c r="C8" s="1109" t="s">
        <v>272</v>
      </c>
      <c r="D8" s="731">
        <v>150523483</v>
      </c>
      <c r="E8" s="1104" t="s">
        <v>281</v>
      </c>
      <c r="F8" s="940" t="s">
        <v>282</v>
      </c>
      <c r="G8" s="1106">
        <v>1</v>
      </c>
      <c r="H8" s="1107">
        <v>5</v>
      </c>
      <c r="I8" s="1132" t="s">
        <v>270</v>
      </c>
      <c r="O8" s="1096">
        <f t="shared" ca="1" si="1"/>
        <v>34</v>
      </c>
      <c r="P8" s="1133">
        <f t="shared" ca="1" si="0"/>
        <v>34</v>
      </c>
      <c r="Q8" s="1133"/>
      <c r="R8" s="1133"/>
      <c r="U8" s="1096">
        <v>33615</v>
      </c>
      <c r="V8" s="9" t="s">
        <v>275</v>
      </c>
    </row>
    <row r="9" spans="1:22" ht="25.95" customHeight="1">
      <c r="A9" s="940">
        <v>6</v>
      </c>
      <c r="B9" s="1108">
        <v>35986</v>
      </c>
      <c r="C9" s="1109" t="s">
        <v>272</v>
      </c>
      <c r="D9" s="1103">
        <v>220152906</v>
      </c>
      <c r="E9" s="1104" t="s">
        <v>283</v>
      </c>
      <c r="F9" s="940" t="s">
        <v>284</v>
      </c>
      <c r="G9" s="1106">
        <v>1</v>
      </c>
      <c r="H9" s="1107">
        <v>6</v>
      </c>
      <c r="I9" s="1132" t="s">
        <v>270</v>
      </c>
      <c r="O9" s="1096">
        <f t="shared" ca="1" si="1"/>
        <v>28</v>
      </c>
      <c r="P9" s="1133">
        <f t="shared" ca="1" si="0"/>
        <v>28</v>
      </c>
      <c r="Q9" s="1133"/>
      <c r="R9" s="1133"/>
      <c r="U9" s="1096">
        <v>35986</v>
      </c>
      <c r="V9" s="9" t="s">
        <v>275</v>
      </c>
    </row>
    <row r="10" spans="1:22" ht="25.95" customHeight="1">
      <c r="A10" s="940">
        <v>7</v>
      </c>
      <c r="B10" s="1108">
        <v>36651</v>
      </c>
      <c r="C10" s="1109" t="s">
        <v>272</v>
      </c>
      <c r="D10" s="1103">
        <v>220175364</v>
      </c>
      <c r="E10" s="1104" t="s">
        <v>285</v>
      </c>
      <c r="F10" s="940" t="s">
        <v>286</v>
      </c>
      <c r="G10" s="1106">
        <v>1</v>
      </c>
      <c r="H10" s="1107">
        <v>7</v>
      </c>
      <c r="I10" s="1132" t="s">
        <v>270</v>
      </c>
      <c r="O10" s="1096">
        <f t="shared" ca="1" si="1"/>
        <v>26</v>
      </c>
      <c r="P10" s="1133">
        <f t="shared" ca="1" si="0"/>
        <v>26</v>
      </c>
      <c r="Q10" s="1133"/>
      <c r="R10" s="1133"/>
      <c r="U10" s="1096">
        <v>36651</v>
      </c>
      <c r="V10" s="9" t="s">
        <v>275</v>
      </c>
    </row>
    <row r="11" spans="1:22" ht="25.95" customHeight="1">
      <c r="A11" s="940">
        <v>8</v>
      </c>
      <c r="B11" s="1108">
        <v>35950</v>
      </c>
      <c r="C11" s="1109" t="s">
        <v>272</v>
      </c>
      <c r="D11" s="1103">
        <v>220209900</v>
      </c>
      <c r="E11" s="1104" t="s">
        <v>287</v>
      </c>
      <c r="F11" s="940" t="s">
        <v>288</v>
      </c>
      <c r="G11" s="1106">
        <v>1</v>
      </c>
      <c r="H11" s="1107">
        <v>8</v>
      </c>
      <c r="I11" s="1132" t="s">
        <v>270</v>
      </c>
      <c r="O11" s="1096">
        <f t="shared" ca="1" si="1"/>
        <v>28</v>
      </c>
      <c r="P11" s="1133">
        <f t="shared" ca="1" si="0"/>
        <v>28</v>
      </c>
      <c r="Q11" s="1133"/>
      <c r="R11" s="1133"/>
      <c r="U11" s="1096">
        <v>35950</v>
      </c>
      <c r="V11" s="9" t="s">
        <v>275</v>
      </c>
    </row>
    <row r="12" spans="1:22" ht="25.95" customHeight="1">
      <c r="A12" s="940">
        <v>9</v>
      </c>
      <c r="B12" s="1108">
        <v>36447</v>
      </c>
      <c r="C12" s="1109" t="s">
        <v>272</v>
      </c>
      <c r="D12" s="1103">
        <v>150789799</v>
      </c>
      <c r="E12" s="1104" t="s">
        <v>289</v>
      </c>
      <c r="F12" s="940" t="s">
        <v>290</v>
      </c>
      <c r="G12" s="1106">
        <v>1</v>
      </c>
      <c r="H12" s="1107">
        <v>9</v>
      </c>
      <c r="I12" s="1132" t="s">
        <v>270</v>
      </c>
      <c r="O12" s="1096">
        <f t="shared" ca="1" si="1"/>
        <v>27</v>
      </c>
      <c r="P12" s="1133">
        <f t="shared" ca="1" si="0"/>
        <v>27</v>
      </c>
      <c r="Q12" s="1133"/>
      <c r="R12" s="1133"/>
      <c r="U12" s="1096">
        <v>36447</v>
      </c>
      <c r="V12" s="9" t="s">
        <v>275</v>
      </c>
    </row>
    <row r="13" spans="1:22" ht="25.95" customHeight="1">
      <c r="A13" s="940">
        <v>10</v>
      </c>
      <c r="B13" s="1108">
        <v>38244</v>
      </c>
      <c r="C13" s="1102" t="s">
        <v>264</v>
      </c>
      <c r="D13" s="731">
        <v>150983095</v>
      </c>
      <c r="E13" s="1104" t="s">
        <v>291</v>
      </c>
      <c r="F13" s="940" t="s">
        <v>292</v>
      </c>
      <c r="G13" s="1106">
        <v>1</v>
      </c>
      <c r="H13" s="1107">
        <v>10</v>
      </c>
      <c r="I13" s="1132" t="s">
        <v>270</v>
      </c>
      <c r="O13" s="1096">
        <f t="shared" ca="1" si="1"/>
        <v>22</v>
      </c>
      <c r="P13" s="1133">
        <f t="shared" ca="1" si="0"/>
        <v>22</v>
      </c>
      <c r="Q13" s="1133"/>
      <c r="R13" s="1133"/>
      <c r="U13" s="1096">
        <v>38244</v>
      </c>
      <c r="V13" s="9" t="s">
        <v>271</v>
      </c>
    </row>
    <row r="14" spans="1:22" ht="25.95" customHeight="1">
      <c r="A14" s="940">
        <v>11</v>
      </c>
      <c r="B14" s="1108">
        <v>29073</v>
      </c>
      <c r="C14" s="1102" t="s">
        <v>264</v>
      </c>
      <c r="D14" s="731">
        <v>150814730</v>
      </c>
      <c r="E14" s="1104" t="s">
        <v>293</v>
      </c>
      <c r="F14" s="940" t="s">
        <v>294</v>
      </c>
      <c r="G14" s="1106">
        <v>1</v>
      </c>
      <c r="H14" s="1107">
        <v>11</v>
      </c>
      <c r="I14" s="1132" t="s">
        <v>270</v>
      </c>
      <c r="O14" s="1096">
        <f t="shared" ca="1" si="1"/>
        <v>47</v>
      </c>
      <c r="P14" s="1133">
        <f t="shared" ca="1" si="0"/>
        <v>47</v>
      </c>
      <c r="Q14" s="1133"/>
      <c r="R14" s="1133"/>
      <c r="U14" s="1096">
        <v>29073</v>
      </c>
      <c r="V14" s="9" t="s">
        <v>271</v>
      </c>
    </row>
    <row r="15" spans="1:22" ht="25.95" customHeight="1">
      <c r="A15" s="940">
        <v>12</v>
      </c>
      <c r="B15" s="1108">
        <v>29082</v>
      </c>
      <c r="C15" s="1102" t="s">
        <v>264</v>
      </c>
      <c r="D15" s="731">
        <v>150427542</v>
      </c>
      <c r="E15" s="1104" t="s">
        <v>295</v>
      </c>
      <c r="F15" s="940" t="s">
        <v>296</v>
      </c>
      <c r="G15" s="1106">
        <v>1</v>
      </c>
      <c r="H15" s="1107">
        <v>12</v>
      </c>
      <c r="I15" s="1132" t="s">
        <v>270</v>
      </c>
      <c r="O15" s="1096">
        <f t="shared" ca="1" si="1"/>
        <v>47</v>
      </c>
      <c r="P15" s="1133">
        <f t="shared" ca="1" si="0"/>
        <v>47</v>
      </c>
      <c r="Q15" s="1133"/>
      <c r="R15" s="1133"/>
      <c r="U15" s="1096">
        <v>29082</v>
      </c>
      <c r="V15" s="9" t="s">
        <v>271</v>
      </c>
    </row>
    <row r="16" spans="1:22" ht="25.95" customHeight="1">
      <c r="A16" s="940">
        <v>13</v>
      </c>
      <c r="B16" s="1108">
        <v>37848</v>
      </c>
      <c r="C16" s="1109" t="s">
        <v>272</v>
      </c>
      <c r="D16" s="731">
        <v>220234084</v>
      </c>
      <c r="E16" s="1104" t="s">
        <v>297</v>
      </c>
      <c r="F16" s="940" t="s">
        <v>298</v>
      </c>
      <c r="G16" s="1106">
        <v>1</v>
      </c>
      <c r="H16" s="1107">
        <v>13</v>
      </c>
      <c r="I16" s="1132" t="s">
        <v>270</v>
      </c>
      <c r="O16" s="1096">
        <f t="shared" ca="1" si="1"/>
        <v>23</v>
      </c>
      <c r="P16" s="1133">
        <f t="shared" ca="1" si="0"/>
        <v>23</v>
      </c>
      <c r="Q16" s="1133"/>
      <c r="R16" s="1133"/>
      <c r="U16" s="1096">
        <v>37848</v>
      </c>
      <c r="V16" s="9" t="s">
        <v>275</v>
      </c>
    </row>
    <row r="17" spans="1:22" ht="25.95" customHeight="1">
      <c r="A17" s="940">
        <v>14</v>
      </c>
      <c r="B17" s="1108">
        <v>34127</v>
      </c>
      <c r="C17" s="1109" t="s">
        <v>272</v>
      </c>
      <c r="D17" s="731">
        <v>150468345</v>
      </c>
      <c r="E17" s="1104" t="s">
        <v>299</v>
      </c>
      <c r="F17" s="940" t="s">
        <v>300</v>
      </c>
      <c r="G17" s="1106">
        <v>1</v>
      </c>
      <c r="H17" s="1107">
        <v>14</v>
      </c>
      <c r="I17" s="1132" t="s">
        <v>270</v>
      </c>
      <c r="O17" s="1096">
        <f t="shared" ca="1" si="1"/>
        <v>33</v>
      </c>
      <c r="P17" s="1133">
        <f t="shared" ca="1" si="0"/>
        <v>33</v>
      </c>
      <c r="Q17" s="1133"/>
      <c r="R17" s="1133"/>
      <c r="U17" s="1096">
        <v>34127</v>
      </c>
      <c r="V17" s="9" t="s">
        <v>275</v>
      </c>
    </row>
    <row r="18" spans="1:22" ht="25.95" customHeight="1">
      <c r="A18" s="940">
        <v>15</v>
      </c>
      <c r="B18" s="1108">
        <v>30477</v>
      </c>
      <c r="C18" s="1102" t="s">
        <v>264</v>
      </c>
      <c r="D18" s="731">
        <v>250230683</v>
      </c>
      <c r="E18" s="1104" t="s">
        <v>301</v>
      </c>
      <c r="F18" s="940" t="s">
        <v>302</v>
      </c>
      <c r="G18" s="1106">
        <v>1</v>
      </c>
      <c r="H18" s="1107">
        <v>15</v>
      </c>
      <c r="I18" s="1132" t="s">
        <v>270</v>
      </c>
      <c r="O18" s="1096">
        <f t="shared" ca="1" si="1"/>
        <v>43</v>
      </c>
      <c r="P18" s="1133">
        <f t="shared" ca="1" si="0"/>
        <v>43</v>
      </c>
      <c r="Q18" s="1133"/>
      <c r="R18" s="1133"/>
      <c r="U18" s="1096">
        <v>30477</v>
      </c>
      <c r="V18" s="9" t="s">
        <v>271</v>
      </c>
    </row>
    <row r="19" spans="1:22" ht="25.95" customHeight="1">
      <c r="A19" s="940">
        <v>16</v>
      </c>
      <c r="B19" s="1110">
        <v>34095</v>
      </c>
      <c r="C19" s="1109" t="s">
        <v>272</v>
      </c>
      <c r="D19" s="1111">
        <v>150523533</v>
      </c>
      <c r="E19" s="1112" t="s">
        <v>303</v>
      </c>
      <c r="F19" s="1113" t="s">
        <v>304</v>
      </c>
      <c r="G19" s="1106">
        <v>1</v>
      </c>
      <c r="H19" s="1107">
        <v>16</v>
      </c>
      <c r="I19" s="1132" t="s">
        <v>270</v>
      </c>
      <c r="O19" s="1096">
        <f t="shared" ca="1" si="1"/>
        <v>33</v>
      </c>
      <c r="P19" s="1133">
        <f t="shared" ca="1" si="0"/>
        <v>33</v>
      </c>
      <c r="Q19" s="1133"/>
      <c r="R19" s="1133"/>
      <c r="U19" s="1096">
        <v>34095</v>
      </c>
      <c r="V19" s="9" t="s">
        <v>275</v>
      </c>
    </row>
    <row r="20" spans="1:22" ht="25.95" customHeight="1">
      <c r="A20" s="940">
        <v>17</v>
      </c>
      <c r="B20" s="1108">
        <v>34015</v>
      </c>
      <c r="C20" s="1102" t="s">
        <v>264</v>
      </c>
      <c r="D20" s="731">
        <v>150483982</v>
      </c>
      <c r="E20" s="1104" t="s">
        <v>305</v>
      </c>
      <c r="F20" s="940" t="s">
        <v>306</v>
      </c>
      <c r="G20" s="1106">
        <v>1</v>
      </c>
      <c r="H20" s="1107">
        <v>17</v>
      </c>
      <c r="I20" s="1132" t="s">
        <v>270</v>
      </c>
      <c r="O20" s="1096">
        <f t="shared" ca="1" si="1"/>
        <v>33</v>
      </c>
      <c r="P20" s="1133">
        <f t="shared" ca="1" si="0"/>
        <v>33</v>
      </c>
      <c r="Q20" s="1133"/>
      <c r="R20" s="1133"/>
      <c r="U20" s="1096">
        <v>34015</v>
      </c>
      <c r="V20" s="9" t="s">
        <v>271</v>
      </c>
    </row>
    <row r="21" spans="1:22" ht="25.95" customHeight="1">
      <c r="A21" s="940">
        <v>18</v>
      </c>
      <c r="B21" s="1108">
        <v>34125</v>
      </c>
      <c r="C21" s="1109" t="s">
        <v>272</v>
      </c>
      <c r="D21" s="731">
        <v>220102090</v>
      </c>
      <c r="E21" s="1104" t="s">
        <v>307</v>
      </c>
      <c r="F21" s="940" t="s">
        <v>308</v>
      </c>
      <c r="G21" s="1106">
        <v>1</v>
      </c>
      <c r="H21" s="1107">
        <v>18</v>
      </c>
      <c r="I21" s="1132" t="s">
        <v>270</v>
      </c>
      <c r="O21" s="1096">
        <f t="shared" ca="1" si="1"/>
        <v>33</v>
      </c>
      <c r="P21" s="1133">
        <f t="shared" ca="1" si="0"/>
        <v>33</v>
      </c>
      <c r="Q21" s="1133"/>
      <c r="R21" s="1133"/>
      <c r="U21" s="1096">
        <v>34125</v>
      </c>
      <c r="V21" s="9" t="s">
        <v>275</v>
      </c>
    </row>
    <row r="22" spans="1:22" ht="25.95" customHeight="1">
      <c r="A22" s="940">
        <v>19</v>
      </c>
      <c r="B22" s="1108">
        <v>29474</v>
      </c>
      <c r="C22" s="1109" t="s">
        <v>272</v>
      </c>
      <c r="D22" s="731">
        <v>250230682</v>
      </c>
      <c r="E22" s="1104" t="s">
        <v>309</v>
      </c>
      <c r="F22" s="940" t="s">
        <v>310</v>
      </c>
      <c r="G22" s="1106">
        <v>1</v>
      </c>
      <c r="H22" s="1107">
        <v>19</v>
      </c>
      <c r="I22" s="1132" t="s">
        <v>270</v>
      </c>
      <c r="O22" s="1096">
        <f t="shared" ca="1" si="1"/>
        <v>46</v>
      </c>
      <c r="P22" s="1133">
        <f t="shared" ca="1" si="0"/>
        <v>46</v>
      </c>
      <c r="Q22" s="1133"/>
      <c r="R22" s="1133"/>
      <c r="U22" s="1096">
        <v>29474</v>
      </c>
      <c r="V22" s="9" t="s">
        <v>275</v>
      </c>
    </row>
    <row r="23" spans="1:22" ht="25.95" customHeight="1">
      <c r="A23" s="940">
        <v>20</v>
      </c>
      <c r="B23" s="1108">
        <v>34523</v>
      </c>
      <c r="C23" s="1109" t="s">
        <v>272</v>
      </c>
      <c r="D23" s="731">
        <v>220205841</v>
      </c>
      <c r="E23" s="1104" t="s">
        <v>311</v>
      </c>
      <c r="F23" s="940" t="s">
        <v>312</v>
      </c>
      <c r="G23" s="1106">
        <v>1</v>
      </c>
      <c r="H23" s="1107">
        <v>20</v>
      </c>
      <c r="I23" s="1132" t="s">
        <v>270</v>
      </c>
      <c r="O23" s="1096">
        <f t="shared" ca="1" si="1"/>
        <v>32</v>
      </c>
      <c r="P23" s="1133">
        <f t="shared" ca="1" si="0"/>
        <v>32</v>
      </c>
      <c r="Q23" s="1133"/>
      <c r="R23" s="1133"/>
      <c r="U23" s="1096">
        <v>34523</v>
      </c>
      <c r="V23" s="9" t="s">
        <v>275</v>
      </c>
    </row>
    <row r="24" spans="1:22" ht="25.95" customHeight="1">
      <c r="A24" s="940">
        <v>21</v>
      </c>
      <c r="B24" s="1114">
        <v>32936</v>
      </c>
      <c r="C24" s="1109" t="s">
        <v>272</v>
      </c>
      <c r="D24" s="1111">
        <v>220175291</v>
      </c>
      <c r="E24" s="1112" t="s">
        <v>313</v>
      </c>
      <c r="F24" s="1113" t="s">
        <v>314</v>
      </c>
      <c r="G24" s="1106">
        <v>1</v>
      </c>
      <c r="H24" s="1107">
        <v>21</v>
      </c>
      <c r="I24" s="1132" t="s">
        <v>270</v>
      </c>
      <c r="O24" s="1096">
        <f t="shared" ca="1" si="1"/>
        <v>36</v>
      </c>
      <c r="P24" s="1133">
        <f t="shared" ca="1" si="0"/>
        <v>36</v>
      </c>
      <c r="Q24" s="1133"/>
      <c r="R24" s="1133"/>
      <c r="U24" s="1096">
        <v>32936</v>
      </c>
      <c r="V24" s="9" t="s">
        <v>275</v>
      </c>
    </row>
    <row r="25" spans="1:22" ht="25.95" customHeight="1">
      <c r="A25" s="940">
        <v>22</v>
      </c>
      <c r="B25" s="1108">
        <v>34552</v>
      </c>
      <c r="C25" s="1109" t="s">
        <v>272</v>
      </c>
      <c r="D25" s="731">
        <v>220234353</v>
      </c>
      <c r="E25" s="1104" t="s">
        <v>315</v>
      </c>
      <c r="F25" s="940" t="s">
        <v>316</v>
      </c>
      <c r="G25" s="1106">
        <v>1</v>
      </c>
      <c r="H25" s="1107">
        <v>22</v>
      </c>
      <c r="I25" s="1132" t="s">
        <v>270</v>
      </c>
      <c r="O25" s="1096">
        <f t="shared" ca="1" si="1"/>
        <v>32</v>
      </c>
      <c r="P25" s="1133">
        <f t="shared" ca="1" si="0"/>
        <v>32</v>
      </c>
      <c r="Q25" s="1133"/>
      <c r="R25" s="1133"/>
      <c r="U25" s="1096">
        <v>34552</v>
      </c>
      <c r="V25" s="9" t="s">
        <v>275</v>
      </c>
    </row>
    <row r="26" spans="1:22" ht="25.95" customHeight="1">
      <c r="A26" s="940">
        <v>23</v>
      </c>
      <c r="B26" s="1110">
        <v>36692</v>
      </c>
      <c r="C26" s="1109" t="s">
        <v>272</v>
      </c>
      <c r="D26" s="1111">
        <v>150836178</v>
      </c>
      <c r="E26" s="1112" t="s">
        <v>317</v>
      </c>
      <c r="F26" s="1113" t="s">
        <v>318</v>
      </c>
      <c r="G26" s="1106">
        <v>1</v>
      </c>
      <c r="H26" s="1107">
        <v>23</v>
      </c>
      <c r="I26" s="1132" t="s">
        <v>270</v>
      </c>
      <c r="O26" s="1096">
        <f t="shared" ca="1" si="1"/>
        <v>26</v>
      </c>
      <c r="P26" s="1133">
        <f t="shared" ca="1" si="0"/>
        <v>26</v>
      </c>
      <c r="Q26" s="1133"/>
      <c r="R26" s="1133"/>
      <c r="U26" s="1096">
        <v>36692</v>
      </c>
      <c r="V26" s="9" t="s">
        <v>275</v>
      </c>
    </row>
    <row r="27" spans="1:22" ht="25.95" customHeight="1">
      <c r="A27" s="940">
        <v>24</v>
      </c>
      <c r="B27" s="1108">
        <v>35189</v>
      </c>
      <c r="C27" s="1109" t="s">
        <v>272</v>
      </c>
      <c r="D27" s="1103">
        <v>220208788</v>
      </c>
      <c r="E27" s="1104" t="s">
        <v>319</v>
      </c>
      <c r="F27" s="940" t="s">
        <v>320</v>
      </c>
      <c r="G27" s="1106">
        <v>1</v>
      </c>
      <c r="H27" s="1107">
        <v>24</v>
      </c>
      <c r="I27" s="1132" t="s">
        <v>270</v>
      </c>
      <c r="O27" s="1096">
        <f t="shared" ca="1" si="1"/>
        <v>30</v>
      </c>
      <c r="P27" s="1133">
        <f t="shared" ca="1" si="0"/>
        <v>30</v>
      </c>
      <c r="Q27" s="1133"/>
      <c r="R27" s="1133"/>
      <c r="U27" s="1096">
        <v>35189</v>
      </c>
      <c r="V27" s="9" t="s">
        <v>275</v>
      </c>
    </row>
    <row r="28" spans="1:22" ht="25.95" customHeight="1">
      <c r="A28" s="940">
        <v>25</v>
      </c>
      <c r="B28" s="1108">
        <v>31200</v>
      </c>
      <c r="C28" s="1102" t="s">
        <v>264</v>
      </c>
      <c r="D28" s="1272" t="s">
        <v>321</v>
      </c>
      <c r="E28" s="1104" t="s">
        <v>322</v>
      </c>
      <c r="F28" s="940" t="s">
        <v>323</v>
      </c>
      <c r="G28" s="1106">
        <v>1</v>
      </c>
      <c r="H28" s="1107">
        <v>25</v>
      </c>
      <c r="I28" s="1132" t="s">
        <v>270</v>
      </c>
      <c r="O28" s="1096">
        <f t="shared" ca="1" si="1"/>
        <v>41</v>
      </c>
      <c r="P28" s="1133">
        <f t="shared" ca="1" si="0"/>
        <v>41</v>
      </c>
      <c r="Q28" s="1133"/>
      <c r="R28" s="1133"/>
      <c r="U28" s="1096">
        <v>31200</v>
      </c>
      <c r="V28" s="9" t="s">
        <v>271</v>
      </c>
    </row>
    <row r="29" spans="1:22" ht="25.95" customHeight="1">
      <c r="A29" s="940">
        <v>26</v>
      </c>
      <c r="B29" s="1108">
        <v>30904</v>
      </c>
      <c r="C29" s="1109" t="s">
        <v>272</v>
      </c>
      <c r="D29" s="1272" t="s">
        <v>324</v>
      </c>
      <c r="E29" s="1104" t="s">
        <v>325</v>
      </c>
      <c r="F29" s="940" t="s">
        <v>326</v>
      </c>
      <c r="G29" s="1106">
        <v>1</v>
      </c>
      <c r="H29" s="1107">
        <v>26</v>
      </c>
      <c r="I29" s="1132" t="s">
        <v>270</v>
      </c>
      <c r="O29" s="1096">
        <f t="shared" ca="1" si="1"/>
        <v>42</v>
      </c>
      <c r="P29" s="1133">
        <f t="shared" ca="1" si="0"/>
        <v>42</v>
      </c>
      <c r="Q29" s="1133"/>
      <c r="R29" s="1133"/>
      <c r="U29" s="1096">
        <v>30904</v>
      </c>
      <c r="V29" s="9" t="s">
        <v>275</v>
      </c>
    </row>
    <row r="30" spans="1:22" ht="25.95" customHeight="1">
      <c r="A30" s="940">
        <v>27</v>
      </c>
      <c r="B30" s="1108">
        <v>38861</v>
      </c>
      <c r="C30" s="1109" t="s">
        <v>272</v>
      </c>
      <c r="D30" s="731">
        <v>250373915</v>
      </c>
      <c r="E30" s="1104" t="s">
        <v>327</v>
      </c>
      <c r="F30" s="940" t="s">
        <v>328</v>
      </c>
      <c r="G30" s="1106">
        <v>1</v>
      </c>
      <c r="H30" s="1107">
        <v>27</v>
      </c>
      <c r="I30" s="1132" t="s">
        <v>270</v>
      </c>
      <c r="O30" s="1096">
        <f t="shared" ca="1" si="1"/>
        <v>20</v>
      </c>
      <c r="P30" s="1133">
        <f t="shared" ca="1" si="0"/>
        <v>20</v>
      </c>
      <c r="Q30" s="1133"/>
      <c r="R30" s="1133"/>
      <c r="U30" s="1096">
        <v>38861</v>
      </c>
      <c r="V30" s="9" t="s">
        <v>275</v>
      </c>
    </row>
    <row r="31" spans="1:22" ht="25.95" customHeight="1">
      <c r="A31" s="940">
        <v>28</v>
      </c>
      <c r="B31" s="1108">
        <v>39434</v>
      </c>
      <c r="C31" s="1109" t="s">
        <v>272</v>
      </c>
      <c r="D31" s="731">
        <v>151065238</v>
      </c>
      <c r="E31" s="1104" t="s">
        <v>329</v>
      </c>
      <c r="F31" s="940" t="s">
        <v>330</v>
      </c>
      <c r="G31" s="1106">
        <v>1</v>
      </c>
      <c r="H31" s="1107">
        <v>28</v>
      </c>
      <c r="I31" s="1132" t="s">
        <v>270</v>
      </c>
      <c r="O31" s="1096">
        <f t="shared" ca="1" si="1"/>
        <v>19</v>
      </c>
      <c r="P31" s="1133">
        <f t="shared" ca="1" si="0"/>
        <v>19</v>
      </c>
      <c r="Q31" s="1133"/>
      <c r="R31" s="1133"/>
      <c r="U31" s="1096">
        <v>39434</v>
      </c>
      <c r="V31" s="9" t="s">
        <v>275</v>
      </c>
    </row>
    <row r="32" spans="1:22" ht="25.95" customHeight="1">
      <c r="A32" s="940">
        <v>29</v>
      </c>
      <c r="B32" s="1108">
        <v>39615</v>
      </c>
      <c r="C32" s="1102" t="s">
        <v>264</v>
      </c>
      <c r="D32" s="731">
        <v>151057212</v>
      </c>
      <c r="E32" s="1104" t="s">
        <v>331</v>
      </c>
      <c r="F32" s="940" t="s">
        <v>332</v>
      </c>
      <c r="G32" s="1106">
        <v>1</v>
      </c>
      <c r="H32" s="1107">
        <v>29</v>
      </c>
      <c r="I32" s="1132" t="s">
        <v>270</v>
      </c>
      <c r="O32" s="1096">
        <f t="shared" ca="1" si="1"/>
        <v>18</v>
      </c>
      <c r="P32" s="1133">
        <f t="shared" ca="1" si="0"/>
        <v>18</v>
      </c>
      <c r="Q32" s="1133"/>
      <c r="R32" s="1133"/>
      <c r="U32" s="1096">
        <v>39615</v>
      </c>
      <c r="V32" s="9" t="s">
        <v>271</v>
      </c>
    </row>
    <row r="33" spans="1:22" ht="25.95" customHeight="1">
      <c r="A33" s="940">
        <v>30</v>
      </c>
      <c r="B33" s="1108">
        <v>28982</v>
      </c>
      <c r="C33" s="1109" t="s">
        <v>272</v>
      </c>
      <c r="D33" s="731">
        <v>150978869</v>
      </c>
      <c r="E33" s="1104" t="s">
        <v>333</v>
      </c>
      <c r="F33" s="940" t="s">
        <v>334</v>
      </c>
      <c r="G33" s="1106">
        <v>1</v>
      </c>
      <c r="H33" s="1107">
        <v>30</v>
      </c>
      <c r="I33" s="1132" t="s">
        <v>270</v>
      </c>
      <c r="O33" s="1096">
        <f t="shared" ca="1" si="1"/>
        <v>47</v>
      </c>
      <c r="P33" s="1133">
        <f t="shared" ca="1" si="0"/>
        <v>47</v>
      </c>
      <c r="Q33" s="1133"/>
      <c r="R33" s="1133"/>
      <c r="U33" s="1096">
        <v>28982</v>
      </c>
      <c r="V33" s="9" t="s">
        <v>275</v>
      </c>
    </row>
    <row r="34" spans="1:22" ht="25.95" customHeight="1">
      <c r="A34" s="940">
        <v>31</v>
      </c>
      <c r="B34" s="1108">
        <v>38595</v>
      </c>
      <c r="C34" s="1102" t="s">
        <v>264</v>
      </c>
      <c r="D34" s="1103">
        <v>150983094</v>
      </c>
      <c r="E34" s="1104" t="s">
        <v>335</v>
      </c>
      <c r="F34" s="940" t="s">
        <v>336</v>
      </c>
      <c r="G34" s="1106">
        <v>1</v>
      </c>
      <c r="H34" s="1107">
        <v>31</v>
      </c>
      <c r="I34" s="1132" t="s">
        <v>270</v>
      </c>
      <c r="O34" s="1096">
        <f t="shared" ca="1" si="1"/>
        <v>21</v>
      </c>
      <c r="P34" s="1133">
        <f t="shared" ca="1" si="0"/>
        <v>21</v>
      </c>
      <c r="Q34" s="1133"/>
      <c r="R34" s="1133"/>
      <c r="U34" s="1096">
        <v>38595</v>
      </c>
      <c r="V34" s="9" t="s">
        <v>271</v>
      </c>
    </row>
    <row r="35" spans="1:22" ht="25.95" customHeight="1">
      <c r="A35" s="940">
        <v>32</v>
      </c>
      <c r="B35" s="1110">
        <v>30503</v>
      </c>
      <c r="C35" s="1109" t="s">
        <v>272</v>
      </c>
      <c r="D35" s="1111">
        <v>220175216</v>
      </c>
      <c r="E35" s="1112" t="s">
        <v>337</v>
      </c>
      <c r="F35" s="1113" t="s">
        <v>338</v>
      </c>
      <c r="G35" s="1106">
        <v>1</v>
      </c>
      <c r="H35" s="1107">
        <v>32</v>
      </c>
      <c r="I35" s="1132" t="s">
        <v>270</v>
      </c>
      <c r="O35" s="1096">
        <f t="shared" ca="1" si="1"/>
        <v>43</v>
      </c>
      <c r="P35" s="1133">
        <f t="shared" ca="1" si="0"/>
        <v>43</v>
      </c>
      <c r="Q35" s="1133"/>
      <c r="R35" s="1133"/>
      <c r="U35" s="1096">
        <v>30503</v>
      </c>
      <c r="V35" s="9" t="s">
        <v>275</v>
      </c>
    </row>
    <row r="36" spans="1:22" ht="25.95" customHeight="1">
      <c r="A36" s="940">
        <v>33</v>
      </c>
      <c r="B36" s="1108">
        <v>31663</v>
      </c>
      <c r="C36" s="1109" t="s">
        <v>272</v>
      </c>
      <c r="D36" s="731">
        <v>220175443</v>
      </c>
      <c r="E36" s="1104" t="s">
        <v>339</v>
      </c>
      <c r="F36" s="940" t="s">
        <v>340</v>
      </c>
      <c r="G36" s="1106">
        <v>1</v>
      </c>
      <c r="H36" s="1107">
        <v>33</v>
      </c>
      <c r="I36" s="1132" t="s">
        <v>270</v>
      </c>
      <c r="O36" s="1096">
        <f t="shared" ca="1" si="1"/>
        <v>40</v>
      </c>
      <c r="P36" s="1133">
        <f t="shared" ca="1" si="0"/>
        <v>40</v>
      </c>
      <c r="Q36" s="1133"/>
      <c r="R36" s="1133"/>
      <c r="U36" s="1096">
        <v>31663</v>
      </c>
      <c r="V36" s="9" t="s">
        <v>275</v>
      </c>
    </row>
    <row r="37" spans="1:22" ht="25.95" customHeight="1">
      <c r="A37" s="940">
        <v>34</v>
      </c>
      <c r="B37" s="1108">
        <v>37412</v>
      </c>
      <c r="C37" s="1109" t="s">
        <v>272</v>
      </c>
      <c r="D37" s="731">
        <v>220208812</v>
      </c>
      <c r="E37" s="1104" t="s">
        <v>341</v>
      </c>
      <c r="F37" s="940" t="s">
        <v>342</v>
      </c>
      <c r="G37" s="1106">
        <v>1</v>
      </c>
      <c r="H37" s="1107">
        <v>34</v>
      </c>
      <c r="I37" s="1132" t="s">
        <v>270</v>
      </c>
      <c r="O37" s="1096">
        <f t="shared" ca="1" si="1"/>
        <v>24</v>
      </c>
      <c r="P37" s="1133">
        <f t="shared" ca="1" si="0"/>
        <v>24</v>
      </c>
      <c r="Q37" s="1133"/>
      <c r="R37" s="1133"/>
      <c r="U37" s="1096">
        <v>37412</v>
      </c>
      <c r="V37" s="9" t="s">
        <v>275</v>
      </c>
    </row>
    <row r="38" spans="1:22" ht="25.95" customHeight="1">
      <c r="A38" s="940">
        <v>35</v>
      </c>
      <c r="B38" s="1108">
        <v>30868</v>
      </c>
      <c r="C38" s="1102" t="s">
        <v>264</v>
      </c>
      <c r="D38" s="731">
        <v>220175374</v>
      </c>
      <c r="E38" s="1104" t="s">
        <v>343</v>
      </c>
      <c r="F38" s="940" t="s">
        <v>344</v>
      </c>
      <c r="G38" s="1106">
        <v>1</v>
      </c>
      <c r="H38" s="1107">
        <v>35</v>
      </c>
      <c r="I38" s="1132" t="s">
        <v>270</v>
      </c>
      <c r="O38" s="1096">
        <f t="shared" ca="1" si="1"/>
        <v>42</v>
      </c>
      <c r="P38" s="1133">
        <f t="shared" ca="1" si="0"/>
        <v>42</v>
      </c>
      <c r="Q38" s="1133"/>
      <c r="R38" s="1133"/>
      <c r="U38" s="1096">
        <v>30868</v>
      </c>
      <c r="V38" s="9" t="s">
        <v>271</v>
      </c>
    </row>
    <row r="39" spans="1:22" ht="25.95" customHeight="1">
      <c r="A39" s="940">
        <v>36</v>
      </c>
      <c r="B39" s="1108">
        <v>38777</v>
      </c>
      <c r="C39" s="1102" t="s">
        <v>264</v>
      </c>
      <c r="D39" s="731">
        <v>220234356</v>
      </c>
      <c r="E39" s="1104" t="s">
        <v>345</v>
      </c>
      <c r="F39" s="940" t="s">
        <v>346</v>
      </c>
      <c r="G39" s="1106">
        <v>1</v>
      </c>
      <c r="H39" s="1107">
        <v>36</v>
      </c>
      <c r="I39" s="1132" t="s">
        <v>270</v>
      </c>
      <c r="O39" s="1096">
        <f t="shared" ca="1" si="1"/>
        <v>20</v>
      </c>
      <c r="P39" s="1133">
        <f t="shared" ca="1" si="0"/>
        <v>20</v>
      </c>
      <c r="Q39" s="1133"/>
      <c r="R39" s="1133"/>
      <c r="U39" s="1096">
        <v>38777</v>
      </c>
      <c r="V39" s="9" t="s">
        <v>271</v>
      </c>
    </row>
    <row r="40" spans="1:22" ht="25.95" customHeight="1">
      <c r="A40" s="940">
        <v>37</v>
      </c>
      <c r="B40" s="1108">
        <v>30835</v>
      </c>
      <c r="C40" s="1109" t="s">
        <v>272</v>
      </c>
      <c r="D40" s="731">
        <v>160485580</v>
      </c>
      <c r="E40" s="1104" t="s">
        <v>347</v>
      </c>
      <c r="F40" s="940" t="s">
        <v>348</v>
      </c>
      <c r="G40" s="1106">
        <v>1</v>
      </c>
      <c r="H40" s="1107">
        <v>37</v>
      </c>
      <c r="I40" s="1132" t="s">
        <v>270</v>
      </c>
      <c r="O40" s="1096">
        <f t="shared" ca="1" si="1"/>
        <v>42</v>
      </c>
      <c r="P40" s="1133">
        <f t="shared" ca="1" si="0"/>
        <v>42</v>
      </c>
      <c r="Q40" s="1133"/>
      <c r="R40" s="1133"/>
      <c r="U40" s="1096">
        <v>30835</v>
      </c>
      <c r="V40" s="9" t="s">
        <v>275</v>
      </c>
    </row>
    <row r="41" spans="1:22" ht="25.95" customHeight="1">
      <c r="A41" s="940">
        <v>38</v>
      </c>
      <c r="B41" s="1108">
        <v>35066</v>
      </c>
      <c r="C41" s="1102" t="s">
        <v>264</v>
      </c>
      <c r="D41" s="731">
        <v>150523513</v>
      </c>
      <c r="E41" s="1104" t="s">
        <v>349</v>
      </c>
      <c r="F41" s="940" t="s">
        <v>350</v>
      </c>
      <c r="G41" s="1106">
        <v>1</v>
      </c>
      <c r="H41" s="1107">
        <v>38</v>
      </c>
      <c r="I41" s="1132" t="s">
        <v>270</v>
      </c>
      <c r="O41" s="1096">
        <f t="shared" ca="1" si="1"/>
        <v>30</v>
      </c>
      <c r="P41" s="1133">
        <f t="shared" ca="1" si="0"/>
        <v>30</v>
      </c>
      <c r="Q41" s="1133"/>
      <c r="R41" s="1133"/>
      <c r="U41" s="1096">
        <v>35066</v>
      </c>
      <c r="V41" s="9" t="s">
        <v>271</v>
      </c>
    </row>
    <row r="42" spans="1:22" ht="25.95" customHeight="1">
      <c r="A42" s="940">
        <v>39</v>
      </c>
      <c r="B42" s="1108">
        <v>33401</v>
      </c>
      <c r="C42" s="1109" t="s">
        <v>272</v>
      </c>
      <c r="D42" s="731">
        <v>150648033</v>
      </c>
      <c r="E42" s="1104" t="s">
        <v>351</v>
      </c>
      <c r="F42" s="940" t="s">
        <v>352</v>
      </c>
      <c r="G42" s="1106">
        <v>1</v>
      </c>
      <c r="H42" s="1107">
        <v>39</v>
      </c>
      <c r="I42" s="1132" t="s">
        <v>270</v>
      </c>
      <c r="O42" s="1096">
        <f t="shared" ca="1" si="1"/>
        <v>35</v>
      </c>
      <c r="P42" s="1133">
        <f t="shared" ca="1" si="0"/>
        <v>35</v>
      </c>
      <c r="Q42" s="1133"/>
      <c r="R42" s="1133"/>
      <c r="U42" s="1096">
        <v>33401</v>
      </c>
      <c r="V42" s="9" t="s">
        <v>275</v>
      </c>
    </row>
    <row r="43" spans="1:22" ht="25.95" customHeight="1">
      <c r="A43" s="940">
        <v>40</v>
      </c>
      <c r="B43" s="1108">
        <v>38363</v>
      </c>
      <c r="C43" s="1102" t="s">
        <v>264</v>
      </c>
      <c r="D43" s="731">
        <v>220220033</v>
      </c>
      <c r="E43" s="1104" t="s">
        <v>353</v>
      </c>
      <c r="F43" s="940" t="s">
        <v>354</v>
      </c>
      <c r="G43" s="1106">
        <v>1</v>
      </c>
      <c r="H43" s="1107">
        <v>40</v>
      </c>
      <c r="I43" s="1132" t="s">
        <v>270</v>
      </c>
      <c r="O43" s="1096">
        <f t="shared" ca="1" si="1"/>
        <v>21</v>
      </c>
      <c r="P43" s="1133">
        <f t="shared" ca="1" si="0"/>
        <v>21</v>
      </c>
      <c r="Q43" s="1133"/>
      <c r="R43" s="1133"/>
      <c r="U43" s="1096">
        <v>38363</v>
      </c>
      <c r="V43" s="9" t="s">
        <v>271</v>
      </c>
    </row>
    <row r="44" spans="1:22" ht="25.95" customHeight="1">
      <c r="A44" s="940">
        <v>41</v>
      </c>
      <c r="B44" s="1108">
        <v>37441</v>
      </c>
      <c r="C44" s="1109" t="s">
        <v>272</v>
      </c>
      <c r="D44" s="731">
        <v>150935343</v>
      </c>
      <c r="E44" s="1104" t="s">
        <v>355</v>
      </c>
      <c r="F44" s="940" t="s">
        <v>356</v>
      </c>
      <c r="G44" s="1106">
        <v>1</v>
      </c>
      <c r="H44" s="1107">
        <v>41</v>
      </c>
      <c r="I44" s="1132" t="s">
        <v>270</v>
      </c>
      <c r="O44" s="1096">
        <f t="shared" ca="1" si="1"/>
        <v>24</v>
      </c>
      <c r="P44" s="1133">
        <f t="shared" ca="1" si="0"/>
        <v>24</v>
      </c>
      <c r="Q44" s="1133"/>
      <c r="R44" s="1133"/>
      <c r="U44" s="1096">
        <v>37441</v>
      </c>
      <c r="V44" s="9" t="s">
        <v>275</v>
      </c>
    </row>
    <row r="45" spans="1:22" ht="25.95" customHeight="1">
      <c r="A45" s="940">
        <v>42</v>
      </c>
      <c r="B45" s="1108">
        <v>33796</v>
      </c>
      <c r="C45" s="1109" t="s">
        <v>272</v>
      </c>
      <c r="D45" s="731">
        <v>150468460</v>
      </c>
      <c r="E45" s="1104" t="s">
        <v>357</v>
      </c>
      <c r="F45" s="940" t="s">
        <v>358</v>
      </c>
      <c r="G45" s="1106">
        <v>1</v>
      </c>
      <c r="H45" s="1107">
        <v>42</v>
      </c>
      <c r="I45" s="1132" t="s">
        <v>270</v>
      </c>
      <c r="O45" s="1096">
        <f t="shared" ca="1" si="1"/>
        <v>34</v>
      </c>
      <c r="P45" s="1133">
        <f t="shared" ca="1" si="0"/>
        <v>34</v>
      </c>
      <c r="Q45" s="1133"/>
      <c r="R45" s="1133"/>
      <c r="U45" s="1096">
        <v>33796</v>
      </c>
      <c r="V45" s="9" t="s">
        <v>275</v>
      </c>
    </row>
    <row r="46" spans="1:22" ht="25.95" customHeight="1">
      <c r="A46" s="940">
        <v>43</v>
      </c>
      <c r="B46" s="1108">
        <v>32968</v>
      </c>
      <c r="C46" s="1109" t="s">
        <v>272</v>
      </c>
      <c r="D46" s="731">
        <v>220175299</v>
      </c>
      <c r="E46" s="1104" t="s">
        <v>315</v>
      </c>
      <c r="F46" s="940" t="s">
        <v>359</v>
      </c>
      <c r="G46" s="1106">
        <v>1</v>
      </c>
      <c r="H46" s="1107">
        <v>43</v>
      </c>
      <c r="I46" s="1132" t="s">
        <v>270</v>
      </c>
      <c r="O46" s="1096">
        <f t="shared" ca="1" si="1"/>
        <v>36</v>
      </c>
      <c r="P46" s="1133">
        <f t="shared" ca="1" si="0"/>
        <v>36</v>
      </c>
      <c r="Q46" s="1133"/>
      <c r="R46" s="1133"/>
      <c r="U46" s="1096">
        <v>32968</v>
      </c>
      <c r="V46" s="9" t="s">
        <v>275</v>
      </c>
    </row>
    <row r="47" spans="1:22" ht="25.95" customHeight="1">
      <c r="A47" s="940">
        <v>44</v>
      </c>
      <c r="B47" s="1115">
        <v>36783</v>
      </c>
      <c r="C47" s="1102" t="s">
        <v>264</v>
      </c>
      <c r="D47" s="1111">
        <v>150982919</v>
      </c>
      <c r="E47" s="1112" t="s">
        <v>360</v>
      </c>
      <c r="F47" s="1113" t="s">
        <v>361</v>
      </c>
      <c r="G47" s="1106">
        <v>1</v>
      </c>
      <c r="H47" s="1107">
        <v>44</v>
      </c>
      <c r="I47" s="1132" t="s">
        <v>270</v>
      </c>
      <c r="O47" s="1096">
        <f t="shared" ca="1" si="1"/>
        <v>26</v>
      </c>
      <c r="P47" s="1133">
        <f t="shared" ca="1" si="0"/>
        <v>26</v>
      </c>
      <c r="Q47" s="1133"/>
      <c r="R47" s="1133"/>
      <c r="U47" s="1096">
        <v>36783</v>
      </c>
      <c r="V47" s="9" t="s">
        <v>271</v>
      </c>
    </row>
    <row r="48" spans="1:22" ht="25.95" customHeight="1">
      <c r="A48" s="940">
        <v>45</v>
      </c>
      <c r="B48" s="1108">
        <v>36670</v>
      </c>
      <c r="C48" s="1109" t="s">
        <v>272</v>
      </c>
      <c r="D48" s="1103">
        <v>150865342</v>
      </c>
      <c r="E48" s="1104" t="s">
        <v>362</v>
      </c>
      <c r="F48" s="1105" t="s">
        <v>363</v>
      </c>
      <c r="G48" s="1106">
        <v>1</v>
      </c>
      <c r="H48" s="1107">
        <v>45</v>
      </c>
      <c r="I48" s="1132" t="s">
        <v>270</v>
      </c>
      <c r="O48" s="1096">
        <f t="shared" ca="1" si="1"/>
        <v>26</v>
      </c>
      <c r="P48" s="1133">
        <f t="shared" ca="1" si="0"/>
        <v>26</v>
      </c>
      <c r="Q48" s="1133"/>
      <c r="R48" s="1133"/>
      <c r="U48" s="1096">
        <v>36670</v>
      </c>
      <c r="V48" s="9" t="s">
        <v>275</v>
      </c>
    </row>
    <row r="49" spans="1:22" ht="25.95" customHeight="1">
      <c r="A49" s="940">
        <v>46</v>
      </c>
      <c r="B49" s="1108">
        <v>37842</v>
      </c>
      <c r="C49" s="1109" t="s">
        <v>272</v>
      </c>
      <c r="D49" s="731">
        <v>151016972</v>
      </c>
      <c r="E49" s="1104" t="s">
        <v>364</v>
      </c>
      <c r="F49" s="940" t="s">
        <v>365</v>
      </c>
      <c r="G49" s="1106">
        <v>1</v>
      </c>
      <c r="H49" s="1107">
        <v>46</v>
      </c>
      <c r="I49" s="1132" t="s">
        <v>270</v>
      </c>
      <c r="O49" s="1096">
        <f t="shared" ca="1" si="1"/>
        <v>23</v>
      </c>
      <c r="P49" s="1133">
        <f t="shared" ca="1" si="0"/>
        <v>23</v>
      </c>
      <c r="Q49" s="1133"/>
      <c r="R49" s="1133"/>
      <c r="U49" s="1096">
        <v>37842</v>
      </c>
      <c r="V49" s="9" t="s">
        <v>275</v>
      </c>
    </row>
    <row r="50" spans="1:22" ht="25.95" customHeight="1">
      <c r="A50" s="940">
        <v>47</v>
      </c>
      <c r="B50" s="1108">
        <v>30868</v>
      </c>
      <c r="C50" s="1102" t="s">
        <v>264</v>
      </c>
      <c r="D50" s="1103">
        <v>150574873</v>
      </c>
      <c r="E50" s="1104" t="s">
        <v>366</v>
      </c>
      <c r="F50" s="1116" t="s">
        <v>367</v>
      </c>
      <c r="G50" s="1106">
        <v>1</v>
      </c>
      <c r="H50" s="1107">
        <v>47</v>
      </c>
      <c r="I50" s="1132" t="s">
        <v>270</v>
      </c>
      <c r="O50" s="1096">
        <f t="shared" ca="1" si="1"/>
        <v>42</v>
      </c>
      <c r="P50" s="1133">
        <f t="shared" ca="1" si="0"/>
        <v>42</v>
      </c>
      <c r="Q50" s="1133"/>
      <c r="R50" s="1133"/>
      <c r="U50" s="1096">
        <v>30868</v>
      </c>
      <c r="V50" s="9" t="s">
        <v>271</v>
      </c>
    </row>
    <row r="51" spans="1:22" ht="25.95" customHeight="1">
      <c r="A51" s="940">
        <v>48</v>
      </c>
      <c r="B51" s="1108">
        <v>32151</v>
      </c>
      <c r="C51" s="1109" t="s">
        <v>272</v>
      </c>
      <c r="D51" s="1103">
        <v>200053838</v>
      </c>
      <c r="E51" s="1104" t="s">
        <v>368</v>
      </c>
      <c r="F51" s="940" t="s">
        <v>369</v>
      </c>
      <c r="G51" s="1106">
        <v>4</v>
      </c>
      <c r="H51" s="1117">
        <v>137</v>
      </c>
      <c r="I51" s="1132" t="s">
        <v>270</v>
      </c>
      <c r="O51" s="1096">
        <f t="shared" ca="1" si="1"/>
        <v>38</v>
      </c>
      <c r="P51" s="1133">
        <f t="shared" ca="1" si="0"/>
        <v>38</v>
      </c>
      <c r="Q51" s="1133"/>
      <c r="R51" s="1133"/>
      <c r="U51" s="1096">
        <v>32151</v>
      </c>
      <c r="V51" s="9" t="s">
        <v>275</v>
      </c>
    </row>
    <row r="52" spans="1:22" ht="25.95" customHeight="1">
      <c r="A52" s="940">
        <v>49</v>
      </c>
      <c r="B52" s="1108">
        <v>31426</v>
      </c>
      <c r="C52" s="1102" t="s">
        <v>264</v>
      </c>
      <c r="D52" s="1103">
        <v>200053839</v>
      </c>
      <c r="E52" s="1104" t="s">
        <v>370</v>
      </c>
      <c r="F52" s="940" t="s">
        <v>371</v>
      </c>
      <c r="G52" s="1106">
        <v>4</v>
      </c>
      <c r="H52" s="1118">
        <v>138</v>
      </c>
      <c r="I52" s="1132" t="s">
        <v>270</v>
      </c>
      <c r="O52" s="1096">
        <f t="shared" ca="1" si="1"/>
        <v>40</v>
      </c>
      <c r="P52" s="1133">
        <f t="shared" ca="1" si="0"/>
        <v>40</v>
      </c>
      <c r="Q52" s="1133"/>
      <c r="R52" s="1133"/>
      <c r="U52" s="1096">
        <v>31426</v>
      </c>
      <c r="V52" s="9" t="s">
        <v>271</v>
      </c>
    </row>
    <row r="53" spans="1:22" ht="25.95" customHeight="1">
      <c r="A53" s="940">
        <v>50</v>
      </c>
      <c r="B53" s="1108">
        <v>30921</v>
      </c>
      <c r="C53" s="1102" t="s">
        <v>264</v>
      </c>
      <c r="D53" s="1103">
        <v>150236406</v>
      </c>
      <c r="E53" s="1104" t="s">
        <v>372</v>
      </c>
      <c r="F53" s="940" t="s">
        <v>373</v>
      </c>
      <c r="G53" s="1106">
        <v>4</v>
      </c>
      <c r="H53" s="1118">
        <v>139</v>
      </c>
      <c r="I53" s="1132" t="s">
        <v>270</v>
      </c>
      <c r="O53" s="1096">
        <f t="shared" ca="1" si="1"/>
        <v>42</v>
      </c>
      <c r="P53" s="1133">
        <f t="shared" ca="1" si="0"/>
        <v>42</v>
      </c>
      <c r="Q53" s="1133"/>
      <c r="R53" s="1133"/>
      <c r="U53" s="1096">
        <v>30921</v>
      </c>
      <c r="V53" s="9" t="s">
        <v>271</v>
      </c>
    </row>
    <row r="54" spans="1:22" ht="25.95" customHeight="1">
      <c r="A54" s="940">
        <v>51</v>
      </c>
      <c r="B54" s="1108">
        <v>33136</v>
      </c>
      <c r="C54" s="1109" t="s">
        <v>272</v>
      </c>
      <c r="D54" s="1103">
        <v>150468401</v>
      </c>
      <c r="E54" s="1104" t="s">
        <v>374</v>
      </c>
      <c r="F54" s="940" t="s">
        <v>375</v>
      </c>
      <c r="G54" s="1106">
        <v>4</v>
      </c>
      <c r="H54" s="1118">
        <v>140</v>
      </c>
      <c r="I54" s="1132" t="s">
        <v>270</v>
      </c>
      <c r="O54" s="1096">
        <f t="shared" ca="1" si="1"/>
        <v>36</v>
      </c>
      <c r="P54" s="1133">
        <f t="shared" ca="1" si="0"/>
        <v>36</v>
      </c>
      <c r="Q54" s="1133"/>
      <c r="R54" s="1133"/>
      <c r="U54" s="1096">
        <v>33136</v>
      </c>
      <c r="V54" s="9" t="s">
        <v>275</v>
      </c>
    </row>
    <row r="55" spans="1:22" ht="25.95" customHeight="1">
      <c r="A55" s="940">
        <v>52</v>
      </c>
      <c r="B55" s="1108">
        <v>28896</v>
      </c>
      <c r="C55" s="1109" t="s">
        <v>272</v>
      </c>
      <c r="D55" s="1103">
        <v>150113053</v>
      </c>
      <c r="E55" s="1104" t="s">
        <v>376</v>
      </c>
      <c r="F55" s="940" t="s">
        <v>377</v>
      </c>
      <c r="G55" s="1106">
        <v>4</v>
      </c>
      <c r="H55" s="1118">
        <v>141</v>
      </c>
      <c r="I55" s="1132" t="s">
        <v>270</v>
      </c>
      <c r="O55" s="1096">
        <f t="shared" ca="1" si="1"/>
        <v>47</v>
      </c>
      <c r="P55" s="1133">
        <f t="shared" ca="1" si="0"/>
        <v>47</v>
      </c>
      <c r="Q55" s="1133"/>
      <c r="R55" s="1133"/>
      <c r="U55" s="1096">
        <v>28896</v>
      </c>
      <c r="V55" s="9" t="s">
        <v>275</v>
      </c>
    </row>
    <row r="56" spans="1:22" ht="25.95" customHeight="1">
      <c r="A56" s="940">
        <v>53</v>
      </c>
      <c r="B56" s="1119">
        <v>31780</v>
      </c>
      <c r="C56" s="1109" t="s">
        <v>272</v>
      </c>
      <c r="D56" s="731">
        <v>220140705</v>
      </c>
      <c r="E56" s="1104" t="s">
        <v>378</v>
      </c>
      <c r="F56" s="1120" t="s">
        <v>379</v>
      </c>
      <c r="G56" s="1106">
        <v>4</v>
      </c>
      <c r="H56" s="1118">
        <v>142</v>
      </c>
      <c r="I56" s="1132" t="s">
        <v>270</v>
      </c>
      <c r="O56" s="1096">
        <f t="shared" ca="1" si="1"/>
        <v>39</v>
      </c>
      <c r="P56" s="1133">
        <f t="shared" ca="1" si="0"/>
        <v>39</v>
      </c>
      <c r="Q56" s="1133"/>
      <c r="R56" s="1133"/>
      <c r="U56" s="1096">
        <v>31780</v>
      </c>
      <c r="V56" s="9" t="s">
        <v>275</v>
      </c>
    </row>
    <row r="57" spans="1:22" ht="25.95" customHeight="1">
      <c r="A57" s="940">
        <v>54</v>
      </c>
      <c r="B57" s="1108">
        <v>29482</v>
      </c>
      <c r="C57" s="1102" t="s">
        <v>264</v>
      </c>
      <c r="D57" s="1103">
        <v>150865582</v>
      </c>
      <c r="E57" s="1104" t="s">
        <v>380</v>
      </c>
      <c r="F57" s="940" t="s">
        <v>381</v>
      </c>
      <c r="G57" s="1106">
        <v>4</v>
      </c>
      <c r="H57" s="1118">
        <v>143</v>
      </c>
      <c r="I57" s="1132" t="s">
        <v>270</v>
      </c>
      <c r="O57" s="1096">
        <f t="shared" ca="1" si="1"/>
        <v>46</v>
      </c>
      <c r="P57" s="1133">
        <f t="shared" ca="1" si="0"/>
        <v>46</v>
      </c>
      <c r="Q57" s="1133"/>
      <c r="R57" s="1133"/>
      <c r="U57" s="1096">
        <v>29482</v>
      </c>
      <c r="V57" s="9" t="s">
        <v>271</v>
      </c>
    </row>
    <row r="58" spans="1:22" ht="25.95" customHeight="1">
      <c r="A58" s="940">
        <v>55</v>
      </c>
      <c r="B58" s="1108">
        <v>31940</v>
      </c>
      <c r="C58" s="1102" t="s">
        <v>264</v>
      </c>
      <c r="D58" s="1103">
        <v>150427588</v>
      </c>
      <c r="E58" s="1104" t="s">
        <v>382</v>
      </c>
      <c r="F58" s="940" t="s">
        <v>383</v>
      </c>
      <c r="G58" s="1106">
        <v>4</v>
      </c>
      <c r="H58" s="1118">
        <v>144</v>
      </c>
      <c r="I58" s="1132" t="s">
        <v>270</v>
      </c>
      <c r="O58" s="1096">
        <f t="shared" ca="1" si="1"/>
        <v>39</v>
      </c>
      <c r="P58" s="1133">
        <f t="shared" ca="1" si="0"/>
        <v>39</v>
      </c>
      <c r="Q58" s="1133"/>
      <c r="R58" s="1133"/>
      <c r="U58" s="1096">
        <v>31940</v>
      </c>
      <c r="V58" s="9" t="s">
        <v>271</v>
      </c>
    </row>
    <row r="59" spans="1:22" ht="25.95" customHeight="1">
      <c r="A59" s="940">
        <v>56</v>
      </c>
      <c r="B59" s="1108">
        <v>32554</v>
      </c>
      <c r="C59" s="1102" t="s">
        <v>264</v>
      </c>
      <c r="D59" s="1103">
        <v>150429561</v>
      </c>
      <c r="E59" s="1104" t="s">
        <v>384</v>
      </c>
      <c r="F59" s="940" t="s">
        <v>385</v>
      </c>
      <c r="G59" s="1106">
        <v>4</v>
      </c>
      <c r="H59" s="1118">
        <v>145</v>
      </c>
      <c r="I59" s="1132" t="s">
        <v>270</v>
      </c>
      <c r="O59" s="1096">
        <f t="shared" ca="1" si="1"/>
        <v>37</v>
      </c>
      <c r="P59" s="1133">
        <f t="shared" ca="1" si="0"/>
        <v>37</v>
      </c>
      <c r="Q59" s="1133"/>
      <c r="R59" s="1133"/>
      <c r="U59" s="1096">
        <v>32554</v>
      </c>
      <c r="V59" s="9" t="s">
        <v>271</v>
      </c>
    </row>
    <row r="60" spans="1:22" ht="25.95" customHeight="1">
      <c r="A60" s="940">
        <v>57</v>
      </c>
      <c r="B60" s="1108">
        <v>38127</v>
      </c>
      <c r="C60" s="1102" t="s">
        <v>264</v>
      </c>
      <c r="D60" s="1103">
        <v>150949342</v>
      </c>
      <c r="E60" s="1104" t="s">
        <v>386</v>
      </c>
      <c r="F60" s="940" t="s">
        <v>387</v>
      </c>
      <c r="G60" s="1106">
        <v>4</v>
      </c>
      <c r="H60" s="1118">
        <v>146</v>
      </c>
      <c r="I60" s="1132" t="s">
        <v>270</v>
      </c>
      <c r="O60" s="1096">
        <f t="shared" ca="1" si="1"/>
        <v>22</v>
      </c>
      <c r="P60" s="1133">
        <f t="shared" ca="1" si="0"/>
        <v>22</v>
      </c>
      <c r="Q60" s="1133"/>
      <c r="R60" s="1133"/>
      <c r="U60" s="1096">
        <v>38127</v>
      </c>
      <c r="V60" s="9" t="s">
        <v>271</v>
      </c>
    </row>
    <row r="61" spans="1:22" ht="25.95" customHeight="1">
      <c r="A61" s="940">
        <v>58</v>
      </c>
      <c r="B61" s="1108">
        <v>37818</v>
      </c>
      <c r="C61" s="1109" t="s">
        <v>272</v>
      </c>
      <c r="D61" s="1103" t="s">
        <v>388</v>
      </c>
      <c r="E61" s="1104" t="s">
        <v>389</v>
      </c>
      <c r="F61" s="940" t="s">
        <v>390</v>
      </c>
      <c r="G61" s="1106">
        <v>4</v>
      </c>
      <c r="H61" s="1118">
        <v>147</v>
      </c>
      <c r="I61" s="1132" t="s">
        <v>270</v>
      </c>
      <c r="O61" s="1096">
        <f t="shared" ca="1" si="1"/>
        <v>23</v>
      </c>
      <c r="P61" s="1133">
        <f t="shared" ca="1" si="0"/>
        <v>23</v>
      </c>
      <c r="Q61" s="1133"/>
      <c r="R61" s="1133"/>
      <c r="U61" s="1096">
        <v>37818</v>
      </c>
      <c r="V61" s="9" t="s">
        <v>275</v>
      </c>
    </row>
    <row r="62" spans="1:22" ht="25.95" customHeight="1">
      <c r="A62" s="940">
        <v>59</v>
      </c>
      <c r="B62" s="1108">
        <v>24275</v>
      </c>
      <c r="C62" s="1109" t="s">
        <v>272</v>
      </c>
      <c r="D62" s="1103">
        <v>150360039</v>
      </c>
      <c r="E62" s="1104" t="s">
        <v>391</v>
      </c>
      <c r="F62" s="940" t="s">
        <v>392</v>
      </c>
      <c r="G62" s="1106">
        <v>4</v>
      </c>
      <c r="H62" s="1118">
        <v>148</v>
      </c>
      <c r="I62" s="1132" t="s">
        <v>270</v>
      </c>
      <c r="O62" s="1096">
        <f t="shared" ca="1" si="1"/>
        <v>60</v>
      </c>
      <c r="P62" s="1133">
        <f t="shared" ca="1" si="0"/>
        <v>1</v>
      </c>
      <c r="Q62" s="1133"/>
      <c r="R62" s="1133"/>
      <c r="U62" s="1096">
        <v>24275</v>
      </c>
      <c r="V62" s="9" t="s">
        <v>275</v>
      </c>
    </row>
    <row r="63" spans="1:22" ht="25.95" customHeight="1">
      <c r="A63" s="940">
        <v>60</v>
      </c>
      <c r="B63" s="1121">
        <v>33636</v>
      </c>
      <c r="C63" s="1109" t="s">
        <v>272</v>
      </c>
      <c r="D63" s="731">
        <v>150523030</v>
      </c>
      <c r="E63" s="1122" t="s">
        <v>393</v>
      </c>
      <c r="F63" s="1123" t="s">
        <v>394</v>
      </c>
      <c r="G63" s="1106">
        <v>4</v>
      </c>
      <c r="H63" s="1118">
        <v>149</v>
      </c>
      <c r="I63" s="1132" t="s">
        <v>270</v>
      </c>
      <c r="O63" s="1096">
        <f t="shared" ca="1" si="1"/>
        <v>34</v>
      </c>
      <c r="P63" s="1133">
        <f t="shared" ref="P63:P126" ca="1" si="2">IF(O63&lt;=59,O63,IF(O63=60,1))</f>
        <v>34</v>
      </c>
      <c r="Q63" s="1133"/>
      <c r="R63" s="1133"/>
      <c r="U63" s="1096">
        <v>33636</v>
      </c>
      <c r="V63" s="9" t="s">
        <v>275</v>
      </c>
    </row>
    <row r="64" spans="1:22" ht="25.95" customHeight="1">
      <c r="A64" s="940">
        <v>61</v>
      </c>
      <c r="B64" s="1124">
        <v>30757</v>
      </c>
      <c r="C64" s="1102" t="s">
        <v>264</v>
      </c>
      <c r="D64" s="1125">
        <v>150236408</v>
      </c>
      <c r="E64" s="1126" t="s">
        <v>395</v>
      </c>
      <c r="F64" s="1127" t="s">
        <v>396</v>
      </c>
      <c r="G64" s="1106">
        <v>4</v>
      </c>
      <c r="H64" s="1118">
        <v>150</v>
      </c>
      <c r="I64" s="1132" t="s">
        <v>270</v>
      </c>
      <c r="O64" s="1096">
        <f t="shared" ca="1" si="1"/>
        <v>42</v>
      </c>
      <c r="P64" s="1133">
        <f t="shared" ca="1" si="2"/>
        <v>42</v>
      </c>
      <c r="Q64" s="1133"/>
      <c r="R64" s="1133"/>
      <c r="U64" s="1096">
        <v>30757</v>
      </c>
      <c r="V64" s="9" t="s">
        <v>271</v>
      </c>
    </row>
    <row r="65" spans="1:22" ht="25.95" customHeight="1">
      <c r="A65" s="940">
        <v>62</v>
      </c>
      <c r="B65" s="1108">
        <v>28445</v>
      </c>
      <c r="C65" s="1109" t="s">
        <v>272</v>
      </c>
      <c r="D65" s="1103">
        <v>150523289</v>
      </c>
      <c r="E65" s="1104" t="s">
        <v>397</v>
      </c>
      <c r="F65" s="940" t="s">
        <v>398</v>
      </c>
      <c r="G65" s="1106">
        <v>4</v>
      </c>
      <c r="H65" s="1118">
        <v>151</v>
      </c>
      <c r="I65" s="1132" t="s">
        <v>270</v>
      </c>
      <c r="O65" s="1096">
        <f t="shared" ca="1" si="1"/>
        <v>49</v>
      </c>
      <c r="P65" s="1133">
        <f t="shared" ca="1" si="2"/>
        <v>49</v>
      </c>
      <c r="Q65" s="1133"/>
      <c r="R65" s="1133"/>
      <c r="U65" s="1096">
        <v>28445</v>
      </c>
      <c r="V65" s="9" t="s">
        <v>275</v>
      </c>
    </row>
    <row r="66" spans="1:22" ht="25.95" customHeight="1">
      <c r="A66" s="940">
        <v>63</v>
      </c>
      <c r="B66" s="1108">
        <v>28158</v>
      </c>
      <c r="C66" s="1102" t="s">
        <v>264</v>
      </c>
      <c r="D66" s="1103">
        <v>150523290</v>
      </c>
      <c r="E66" s="1104" t="s">
        <v>399</v>
      </c>
      <c r="F66" s="940" t="s">
        <v>400</v>
      </c>
      <c r="G66" s="1106">
        <v>4</v>
      </c>
      <c r="H66" s="1118">
        <v>152</v>
      </c>
      <c r="I66" s="1132" t="s">
        <v>270</v>
      </c>
      <c r="O66" s="1096">
        <f t="shared" ca="1" si="1"/>
        <v>49</v>
      </c>
      <c r="P66" s="1133">
        <f t="shared" ca="1" si="2"/>
        <v>49</v>
      </c>
      <c r="Q66" s="1133"/>
      <c r="R66" s="1133"/>
      <c r="U66" s="1096">
        <v>28158</v>
      </c>
      <c r="V66" s="9" t="s">
        <v>271</v>
      </c>
    </row>
    <row r="67" spans="1:22" ht="25.95" customHeight="1">
      <c r="A67" s="940">
        <v>64</v>
      </c>
      <c r="B67" s="1108">
        <v>37640</v>
      </c>
      <c r="C67" s="1102" t="s">
        <v>264</v>
      </c>
      <c r="D67" s="1103">
        <v>150938986</v>
      </c>
      <c r="E67" s="1104" t="s">
        <v>401</v>
      </c>
      <c r="F67" s="940" t="s">
        <v>402</v>
      </c>
      <c r="G67" s="1106">
        <v>4</v>
      </c>
      <c r="H67" s="1118">
        <v>153</v>
      </c>
      <c r="I67" s="1132" t="s">
        <v>270</v>
      </c>
      <c r="O67" s="1096">
        <f t="shared" ca="1" si="1"/>
        <v>23</v>
      </c>
      <c r="P67" s="1133">
        <f t="shared" ca="1" si="2"/>
        <v>23</v>
      </c>
      <c r="Q67" s="1133"/>
      <c r="R67" s="1133"/>
      <c r="U67" s="1096">
        <v>37640</v>
      </c>
      <c r="V67" s="9" t="s">
        <v>271</v>
      </c>
    </row>
    <row r="68" spans="1:22" ht="25.95" customHeight="1">
      <c r="A68" s="940">
        <v>65</v>
      </c>
      <c r="B68" s="1108">
        <v>30443</v>
      </c>
      <c r="C68" s="1109" t="s">
        <v>272</v>
      </c>
      <c r="D68" s="1103">
        <v>150612485</v>
      </c>
      <c r="E68" s="1104" t="s">
        <v>403</v>
      </c>
      <c r="F68" s="940" t="s">
        <v>404</v>
      </c>
      <c r="G68" s="1106">
        <v>4</v>
      </c>
      <c r="H68" s="1118">
        <v>154</v>
      </c>
      <c r="I68" s="1132" t="s">
        <v>270</v>
      </c>
      <c r="O68" s="1096">
        <f t="shared" ca="1" si="1"/>
        <v>43</v>
      </c>
      <c r="P68" s="1133">
        <f t="shared" ca="1" si="2"/>
        <v>43</v>
      </c>
      <c r="Q68" s="1133"/>
      <c r="R68" s="1133"/>
      <c r="U68" s="1096">
        <v>30443</v>
      </c>
      <c r="V68" s="9" t="s">
        <v>275</v>
      </c>
    </row>
    <row r="69" spans="1:22" ht="25.95" customHeight="1">
      <c r="A69" s="940">
        <v>66</v>
      </c>
      <c r="B69" s="1108">
        <v>29954</v>
      </c>
      <c r="C69" s="1102" t="s">
        <v>264</v>
      </c>
      <c r="D69" s="1103">
        <v>150612484</v>
      </c>
      <c r="E69" s="1104" t="s">
        <v>405</v>
      </c>
      <c r="F69" s="940" t="s">
        <v>406</v>
      </c>
      <c r="G69" s="1106">
        <v>4</v>
      </c>
      <c r="H69" s="1118">
        <v>155</v>
      </c>
      <c r="I69" s="1132" t="s">
        <v>270</v>
      </c>
      <c r="O69" s="1096">
        <f t="shared" ref="O69:O132" ca="1" si="3">YEAR(NOW())-YEAR(B69)</f>
        <v>44</v>
      </c>
      <c r="P69" s="1133">
        <f t="shared" ca="1" si="2"/>
        <v>44</v>
      </c>
      <c r="Q69" s="1133"/>
      <c r="R69" s="1133"/>
      <c r="U69" s="1096">
        <v>29954</v>
      </c>
      <c r="V69" s="9" t="s">
        <v>271</v>
      </c>
    </row>
    <row r="70" spans="1:22" ht="25.95" customHeight="1">
      <c r="A70" s="940">
        <v>67</v>
      </c>
      <c r="B70" s="1108">
        <v>35930</v>
      </c>
      <c r="C70" s="1109" t="s">
        <v>272</v>
      </c>
      <c r="D70" s="1103">
        <v>150755457</v>
      </c>
      <c r="E70" s="1104" t="s">
        <v>407</v>
      </c>
      <c r="F70" s="940" t="s">
        <v>408</v>
      </c>
      <c r="G70" s="1106">
        <v>4</v>
      </c>
      <c r="H70" s="1118">
        <v>156</v>
      </c>
      <c r="I70" s="1132" t="s">
        <v>270</v>
      </c>
      <c r="O70" s="1096">
        <f t="shared" ca="1" si="3"/>
        <v>28</v>
      </c>
      <c r="P70" s="1133">
        <f t="shared" ca="1" si="2"/>
        <v>28</v>
      </c>
      <c r="Q70" s="1133"/>
      <c r="R70" s="1133"/>
      <c r="U70" s="1096">
        <v>35930</v>
      </c>
      <c r="V70" s="9" t="s">
        <v>275</v>
      </c>
    </row>
    <row r="71" spans="1:22" ht="25.95" customHeight="1">
      <c r="A71" s="940">
        <v>68</v>
      </c>
      <c r="B71" s="1108">
        <v>33339</v>
      </c>
      <c r="C71" s="1102" t="s">
        <v>264</v>
      </c>
      <c r="D71" s="1103">
        <v>150469788</v>
      </c>
      <c r="E71" s="1104" t="s">
        <v>409</v>
      </c>
      <c r="F71" s="940" t="s">
        <v>410</v>
      </c>
      <c r="G71" s="1106">
        <v>4</v>
      </c>
      <c r="H71" s="1118">
        <v>157</v>
      </c>
      <c r="I71" s="1132" t="s">
        <v>270</v>
      </c>
      <c r="O71" s="1096">
        <f t="shared" ca="1" si="3"/>
        <v>35</v>
      </c>
      <c r="P71" s="1133">
        <f t="shared" ca="1" si="2"/>
        <v>35</v>
      </c>
      <c r="Q71" s="1133"/>
      <c r="R71" s="1133"/>
      <c r="U71" s="1096">
        <v>33339</v>
      </c>
      <c r="V71" s="9" t="s">
        <v>271</v>
      </c>
    </row>
    <row r="72" spans="1:22" ht="25.95" customHeight="1">
      <c r="A72" s="940">
        <v>69</v>
      </c>
      <c r="B72" s="1108">
        <v>38045</v>
      </c>
      <c r="C72" s="1109" t="s">
        <v>272</v>
      </c>
      <c r="D72" s="1103">
        <v>220244414</v>
      </c>
      <c r="E72" s="1104" t="s">
        <v>411</v>
      </c>
      <c r="F72" s="940" t="s">
        <v>412</v>
      </c>
      <c r="G72" s="1106">
        <v>4</v>
      </c>
      <c r="H72" s="1118">
        <v>158</v>
      </c>
      <c r="I72" s="1132" t="s">
        <v>270</v>
      </c>
      <c r="O72" s="1096">
        <f t="shared" ca="1" si="3"/>
        <v>22</v>
      </c>
      <c r="P72" s="1133">
        <f t="shared" ca="1" si="2"/>
        <v>22</v>
      </c>
      <c r="Q72" s="1133"/>
      <c r="R72" s="1133"/>
      <c r="U72" s="1096">
        <v>38045</v>
      </c>
      <c r="V72" s="9" t="s">
        <v>275</v>
      </c>
    </row>
    <row r="73" spans="1:22" ht="25.95" customHeight="1">
      <c r="A73" s="940">
        <v>70</v>
      </c>
      <c r="B73" s="1108">
        <v>31265</v>
      </c>
      <c r="C73" s="1109" t="s">
        <v>272</v>
      </c>
      <c r="D73" s="1103">
        <v>220171344</v>
      </c>
      <c r="E73" s="1104" t="s">
        <v>413</v>
      </c>
      <c r="F73" s="940" t="s">
        <v>414</v>
      </c>
      <c r="G73" s="1106">
        <v>4</v>
      </c>
      <c r="H73" s="1118">
        <v>159</v>
      </c>
      <c r="I73" s="1132" t="s">
        <v>270</v>
      </c>
      <c r="O73" s="1096">
        <f t="shared" ca="1" si="3"/>
        <v>41</v>
      </c>
      <c r="P73" s="1133">
        <f t="shared" ca="1" si="2"/>
        <v>41</v>
      </c>
      <c r="Q73" s="1133"/>
      <c r="R73" s="1133"/>
      <c r="U73" s="1096">
        <v>31265</v>
      </c>
      <c r="V73" s="9" t="s">
        <v>275</v>
      </c>
    </row>
    <row r="74" spans="1:22" ht="25.95" customHeight="1">
      <c r="A74" s="940">
        <v>71</v>
      </c>
      <c r="B74" s="1108">
        <v>31089</v>
      </c>
      <c r="C74" s="1102" t="s">
        <v>264</v>
      </c>
      <c r="D74" s="1103">
        <v>220171330</v>
      </c>
      <c r="E74" s="1104" t="s">
        <v>415</v>
      </c>
      <c r="F74" s="940" t="s">
        <v>416</v>
      </c>
      <c r="G74" s="1106">
        <v>4</v>
      </c>
      <c r="H74" s="1118">
        <v>160</v>
      </c>
      <c r="I74" s="1132" t="s">
        <v>270</v>
      </c>
      <c r="O74" s="1096">
        <f t="shared" ca="1" si="3"/>
        <v>41</v>
      </c>
      <c r="P74" s="1133">
        <f t="shared" ca="1" si="2"/>
        <v>41</v>
      </c>
      <c r="Q74" s="1133"/>
      <c r="R74" s="1133"/>
      <c r="U74" s="1096">
        <v>31089</v>
      </c>
      <c r="V74" s="9" t="s">
        <v>271</v>
      </c>
    </row>
    <row r="75" spans="1:22" ht="25.95" customHeight="1">
      <c r="A75" s="940">
        <v>72</v>
      </c>
      <c r="B75" s="1108">
        <v>34986</v>
      </c>
      <c r="C75" s="1109" t="s">
        <v>272</v>
      </c>
      <c r="D75" s="1103">
        <v>150648456</v>
      </c>
      <c r="E75" s="1104" t="s">
        <v>417</v>
      </c>
      <c r="F75" s="940" t="s">
        <v>418</v>
      </c>
      <c r="G75" s="1106">
        <v>4</v>
      </c>
      <c r="H75" s="1118">
        <v>161</v>
      </c>
      <c r="I75" s="1132" t="s">
        <v>270</v>
      </c>
      <c r="O75" s="1096">
        <f t="shared" ca="1" si="3"/>
        <v>31</v>
      </c>
      <c r="P75" s="1133">
        <f t="shared" ca="1" si="2"/>
        <v>31</v>
      </c>
      <c r="Q75" s="1133"/>
      <c r="R75" s="1133"/>
      <c r="U75" s="1096">
        <v>34986</v>
      </c>
      <c r="V75" s="9" t="s">
        <v>275</v>
      </c>
    </row>
    <row r="76" spans="1:22" ht="25.95" customHeight="1">
      <c r="A76" s="940">
        <v>73</v>
      </c>
      <c r="B76" s="1108">
        <v>31037</v>
      </c>
      <c r="C76" s="1109" t="s">
        <v>272</v>
      </c>
      <c r="D76" s="1103">
        <v>180898705</v>
      </c>
      <c r="E76" s="1104" t="s">
        <v>419</v>
      </c>
      <c r="F76" s="940" t="s">
        <v>420</v>
      </c>
      <c r="G76" s="1106">
        <v>4</v>
      </c>
      <c r="H76" s="1118">
        <v>162</v>
      </c>
      <c r="I76" s="1132" t="s">
        <v>270</v>
      </c>
      <c r="O76" s="1096">
        <f t="shared" ca="1" si="3"/>
        <v>42</v>
      </c>
      <c r="P76" s="1133">
        <f t="shared" ca="1" si="2"/>
        <v>42</v>
      </c>
      <c r="Q76" s="1133"/>
      <c r="R76" s="1133"/>
      <c r="U76" s="1096">
        <v>31037</v>
      </c>
      <c r="V76" s="9" t="s">
        <v>275</v>
      </c>
    </row>
    <row r="77" spans="1:22" ht="25.95" customHeight="1">
      <c r="A77" s="940">
        <v>74</v>
      </c>
      <c r="B77" s="1108">
        <v>39592</v>
      </c>
      <c r="C77" s="1102" t="s">
        <v>264</v>
      </c>
      <c r="D77" s="1103">
        <v>151049055</v>
      </c>
      <c r="E77" s="1104" t="s">
        <v>421</v>
      </c>
      <c r="F77" s="940" t="s">
        <v>422</v>
      </c>
      <c r="G77" s="1106">
        <v>4</v>
      </c>
      <c r="H77" s="1118">
        <v>163</v>
      </c>
      <c r="I77" s="1132" t="s">
        <v>270</v>
      </c>
      <c r="O77" s="1096">
        <f t="shared" ca="1" si="3"/>
        <v>18</v>
      </c>
      <c r="P77" s="1133">
        <f t="shared" ca="1" si="2"/>
        <v>18</v>
      </c>
      <c r="Q77" s="1133"/>
      <c r="R77" s="1133"/>
      <c r="U77" s="1096">
        <v>39592</v>
      </c>
      <c r="V77" s="9" t="s">
        <v>271</v>
      </c>
    </row>
    <row r="78" spans="1:22" ht="25.95" customHeight="1">
      <c r="A78" s="940">
        <v>75</v>
      </c>
      <c r="B78" s="1108">
        <v>33714</v>
      </c>
      <c r="C78" s="1109" t="s">
        <v>272</v>
      </c>
      <c r="D78" s="1103">
        <v>150469728</v>
      </c>
      <c r="E78" s="1104" t="s">
        <v>423</v>
      </c>
      <c r="F78" s="940" t="s">
        <v>424</v>
      </c>
      <c r="G78" s="1106">
        <v>4</v>
      </c>
      <c r="H78" s="1118">
        <v>164</v>
      </c>
      <c r="I78" s="1132" t="s">
        <v>270</v>
      </c>
      <c r="O78" s="1096">
        <f t="shared" ca="1" si="3"/>
        <v>34</v>
      </c>
      <c r="P78" s="1133">
        <f t="shared" ca="1" si="2"/>
        <v>34</v>
      </c>
      <c r="Q78" s="1133"/>
      <c r="R78" s="1133"/>
      <c r="U78" s="1096">
        <v>33714</v>
      </c>
      <c r="V78" s="9" t="s">
        <v>275</v>
      </c>
    </row>
    <row r="79" spans="1:22" ht="25.95" customHeight="1">
      <c r="A79" s="940">
        <v>76</v>
      </c>
      <c r="B79" s="1108">
        <v>34231</v>
      </c>
      <c r="C79" s="1102" t="s">
        <v>264</v>
      </c>
      <c r="D79" s="1103">
        <v>150523250</v>
      </c>
      <c r="E79" s="1104" t="s">
        <v>425</v>
      </c>
      <c r="F79" s="940" t="s">
        <v>426</v>
      </c>
      <c r="G79" s="1106">
        <v>4</v>
      </c>
      <c r="H79" s="1118">
        <v>165</v>
      </c>
      <c r="I79" s="1132" t="s">
        <v>270</v>
      </c>
      <c r="O79" s="1096">
        <f t="shared" ca="1" si="3"/>
        <v>33</v>
      </c>
      <c r="P79" s="1133">
        <f t="shared" ca="1" si="2"/>
        <v>33</v>
      </c>
      <c r="Q79" s="1133"/>
      <c r="R79" s="1133"/>
      <c r="U79" s="1096">
        <v>34231</v>
      </c>
      <c r="V79" s="9" t="s">
        <v>271</v>
      </c>
    </row>
    <row r="80" spans="1:22" ht="25.95" customHeight="1">
      <c r="A80" s="940">
        <v>77</v>
      </c>
      <c r="B80" s="1108">
        <v>28865</v>
      </c>
      <c r="C80" s="1109" t="s">
        <v>272</v>
      </c>
      <c r="D80" s="237" t="s">
        <v>427</v>
      </c>
      <c r="E80" s="1104" t="s">
        <v>428</v>
      </c>
      <c r="F80" s="940" t="s">
        <v>429</v>
      </c>
      <c r="G80" s="1106">
        <v>4</v>
      </c>
      <c r="H80" s="1118">
        <v>166</v>
      </c>
      <c r="I80" s="1132" t="s">
        <v>270</v>
      </c>
      <c r="O80" s="1096">
        <f t="shared" ca="1" si="3"/>
        <v>47</v>
      </c>
      <c r="P80" s="1133">
        <f t="shared" ca="1" si="2"/>
        <v>47</v>
      </c>
      <c r="Q80" s="1133"/>
      <c r="R80" s="1133"/>
      <c r="U80" s="1096">
        <v>28865</v>
      </c>
      <c r="V80" s="9" t="s">
        <v>275</v>
      </c>
    </row>
    <row r="81" spans="1:22" ht="25.95" customHeight="1">
      <c r="A81" s="940">
        <v>78</v>
      </c>
      <c r="B81" s="1108">
        <v>32333</v>
      </c>
      <c r="C81" s="1102" t="s">
        <v>264</v>
      </c>
      <c r="D81" s="1103">
        <v>220175240</v>
      </c>
      <c r="E81" s="1104" t="s">
        <v>430</v>
      </c>
      <c r="F81" s="940" t="s">
        <v>431</v>
      </c>
      <c r="G81" s="1106">
        <v>4</v>
      </c>
      <c r="H81" s="1118">
        <v>167</v>
      </c>
      <c r="I81" s="1132" t="s">
        <v>270</v>
      </c>
      <c r="O81" s="1096">
        <f t="shared" ca="1" si="3"/>
        <v>38</v>
      </c>
      <c r="P81" s="1133">
        <f t="shared" ca="1" si="2"/>
        <v>38</v>
      </c>
      <c r="Q81" s="1133"/>
      <c r="R81" s="1133"/>
      <c r="U81" s="1096">
        <v>32333</v>
      </c>
      <c r="V81" s="9" t="s">
        <v>271</v>
      </c>
    </row>
    <row r="82" spans="1:22" ht="25.95" customHeight="1">
      <c r="A82" s="940">
        <v>79</v>
      </c>
      <c r="B82" s="1108">
        <v>36832</v>
      </c>
      <c r="C82" s="1102" t="s">
        <v>264</v>
      </c>
      <c r="D82" s="1103">
        <v>150895877</v>
      </c>
      <c r="E82" s="1104" t="s">
        <v>432</v>
      </c>
      <c r="F82" s="940" t="s">
        <v>433</v>
      </c>
      <c r="G82" s="1106">
        <v>4</v>
      </c>
      <c r="H82" s="1118">
        <v>168</v>
      </c>
      <c r="I82" s="1132" t="s">
        <v>270</v>
      </c>
      <c r="O82" s="1096">
        <f t="shared" ca="1" si="3"/>
        <v>26</v>
      </c>
      <c r="P82" s="1133">
        <f t="shared" ca="1" si="2"/>
        <v>26</v>
      </c>
      <c r="Q82" s="1133"/>
      <c r="R82" s="1133"/>
      <c r="U82" s="1096">
        <v>36832</v>
      </c>
      <c r="V82" s="9" t="s">
        <v>271</v>
      </c>
    </row>
    <row r="83" spans="1:22" ht="25.95" customHeight="1">
      <c r="A83" s="940">
        <v>80</v>
      </c>
      <c r="B83" s="1108">
        <v>31584</v>
      </c>
      <c r="C83" s="1102" t="s">
        <v>264</v>
      </c>
      <c r="D83" s="1103">
        <v>150873361</v>
      </c>
      <c r="E83" s="1104" t="s">
        <v>434</v>
      </c>
      <c r="F83" s="940" t="s">
        <v>435</v>
      </c>
      <c r="G83" s="1106">
        <v>4</v>
      </c>
      <c r="H83" s="1118">
        <v>169</v>
      </c>
      <c r="I83" s="1132" t="s">
        <v>270</v>
      </c>
      <c r="O83" s="1096">
        <f t="shared" ca="1" si="3"/>
        <v>40</v>
      </c>
      <c r="P83" s="1133">
        <f t="shared" ca="1" si="2"/>
        <v>40</v>
      </c>
      <c r="Q83" s="1133"/>
      <c r="R83" s="1133"/>
      <c r="U83" s="1096">
        <v>31584</v>
      </c>
      <c r="V83" s="9" t="s">
        <v>271</v>
      </c>
    </row>
    <row r="84" spans="1:22" ht="25.95" customHeight="1">
      <c r="A84" s="940">
        <v>81</v>
      </c>
      <c r="B84" s="1108">
        <v>30531</v>
      </c>
      <c r="C84" s="1109" t="s">
        <v>272</v>
      </c>
      <c r="D84" s="1103">
        <v>150657963</v>
      </c>
      <c r="E84" s="1104" t="s">
        <v>436</v>
      </c>
      <c r="F84" s="940" t="s">
        <v>437</v>
      </c>
      <c r="G84" s="1106">
        <v>4</v>
      </c>
      <c r="H84" s="1118">
        <v>170</v>
      </c>
      <c r="I84" s="1132" t="s">
        <v>270</v>
      </c>
      <c r="O84" s="1096">
        <f t="shared" ca="1" si="3"/>
        <v>43</v>
      </c>
      <c r="P84" s="1133">
        <f t="shared" ca="1" si="2"/>
        <v>43</v>
      </c>
      <c r="Q84" s="1133"/>
      <c r="R84" s="1133"/>
      <c r="U84" s="1096">
        <v>30531</v>
      </c>
      <c r="V84" s="9" t="s">
        <v>275</v>
      </c>
    </row>
    <row r="85" spans="1:22" ht="25.95" customHeight="1">
      <c r="A85" s="940">
        <v>82</v>
      </c>
      <c r="B85" s="1108">
        <v>33299</v>
      </c>
      <c r="C85" s="1102" t="s">
        <v>264</v>
      </c>
      <c r="D85" s="1103">
        <v>150468339</v>
      </c>
      <c r="E85" s="1104" t="s">
        <v>438</v>
      </c>
      <c r="F85" s="940" t="s">
        <v>439</v>
      </c>
      <c r="G85" s="1106">
        <v>4</v>
      </c>
      <c r="H85" s="1118">
        <v>171</v>
      </c>
      <c r="I85" s="1132" t="s">
        <v>270</v>
      </c>
      <c r="O85" s="1096">
        <f t="shared" ca="1" si="3"/>
        <v>35</v>
      </c>
      <c r="P85" s="1133">
        <f t="shared" ca="1" si="2"/>
        <v>35</v>
      </c>
      <c r="Q85" s="1133"/>
      <c r="R85" s="1133"/>
      <c r="U85" s="1096">
        <v>33299</v>
      </c>
      <c r="V85" s="9" t="s">
        <v>271</v>
      </c>
    </row>
    <row r="86" spans="1:22" ht="25.95" customHeight="1">
      <c r="A86" s="940">
        <v>83</v>
      </c>
      <c r="B86" s="1108">
        <v>32036</v>
      </c>
      <c r="C86" s="1109" t="s">
        <v>272</v>
      </c>
      <c r="D86" s="1103">
        <v>150307661</v>
      </c>
      <c r="E86" s="1104" t="s">
        <v>440</v>
      </c>
      <c r="F86" s="940" t="s">
        <v>441</v>
      </c>
      <c r="G86" s="1106">
        <v>4</v>
      </c>
      <c r="H86" s="1118">
        <v>172</v>
      </c>
      <c r="I86" s="1132" t="s">
        <v>270</v>
      </c>
      <c r="O86" s="1096">
        <f t="shared" ca="1" si="3"/>
        <v>39</v>
      </c>
      <c r="P86" s="1133">
        <f t="shared" ca="1" si="2"/>
        <v>39</v>
      </c>
      <c r="Q86" s="1133"/>
      <c r="R86" s="1133"/>
      <c r="U86" s="1096">
        <v>32036</v>
      </c>
      <c r="V86" s="9" t="s">
        <v>275</v>
      </c>
    </row>
    <row r="87" spans="1:22" ht="25.95" customHeight="1">
      <c r="A87" s="940">
        <v>84</v>
      </c>
      <c r="B87" s="1108">
        <v>36348</v>
      </c>
      <c r="C87" s="1102" t="s">
        <v>264</v>
      </c>
      <c r="D87" s="1103">
        <v>220208910</v>
      </c>
      <c r="E87" s="1104" t="s">
        <v>442</v>
      </c>
      <c r="F87" s="940" t="s">
        <v>443</v>
      </c>
      <c r="G87" s="1106">
        <v>4</v>
      </c>
      <c r="H87" s="1118">
        <v>173</v>
      </c>
      <c r="I87" s="1132" t="s">
        <v>270</v>
      </c>
      <c r="O87" s="1096">
        <f t="shared" ca="1" si="3"/>
        <v>27</v>
      </c>
      <c r="P87" s="1133">
        <f t="shared" ca="1" si="2"/>
        <v>27</v>
      </c>
      <c r="Q87" s="1133"/>
      <c r="R87" s="1133"/>
      <c r="U87" s="1096">
        <v>36348</v>
      </c>
      <c r="V87" s="9" t="s">
        <v>271</v>
      </c>
    </row>
    <row r="88" spans="1:22" ht="25.95" customHeight="1">
      <c r="A88" s="940">
        <v>85</v>
      </c>
      <c r="B88" s="1108">
        <v>33710</v>
      </c>
      <c r="C88" s="1109" t="s">
        <v>272</v>
      </c>
      <c r="D88" s="1103">
        <v>220243810</v>
      </c>
      <c r="E88" s="1104" t="s">
        <v>444</v>
      </c>
      <c r="F88" s="940" t="s">
        <v>445</v>
      </c>
      <c r="G88" s="1106">
        <v>4</v>
      </c>
      <c r="H88" s="1118">
        <v>174</v>
      </c>
      <c r="I88" s="1132" t="s">
        <v>270</v>
      </c>
      <c r="O88" s="1096">
        <f t="shared" ca="1" si="3"/>
        <v>34</v>
      </c>
      <c r="P88" s="1133">
        <f t="shared" ca="1" si="2"/>
        <v>34</v>
      </c>
      <c r="Q88" s="1133"/>
      <c r="R88" s="1133"/>
      <c r="U88" s="1096">
        <v>33710</v>
      </c>
      <c r="V88" s="9" t="s">
        <v>275</v>
      </c>
    </row>
    <row r="89" spans="1:22" ht="25.95" customHeight="1">
      <c r="A89" s="940">
        <v>86</v>
      </c>
      <c r="B89" s="1136">
        <v>33362</v>
      </c>
      <c r="C89" s="1109" t="s">
        <v>272</v>
      </c>
      <c r="D89" s="1137">
        <v>150946031</v>
      </c>
      <c r="E89" s="1138" t="s">
        <v>446</v>
      </c>
      <c r="F89" s="1095" t="s">
        <v>447</v>
      </c>
      <c r="G89" s="1139">
        <v>4</v>
      </c>
      <c r="H89" s="1118">
        <v>175</v>
      </c>
      <c r="I89" s="1132" t="s">
        <v>270</v>
      </c>
      <c r="O89" s="1096">
        <f t="shared" ca="1" si="3"/>
        <v>35</v>
      </c>
      <c r="P89" s="1133">
        <f t="shared" ca="1" si="2"/>
        <v>35</v>
      </c>
      <c r="Q89" s="1133"/>
      <c r="R89" s="1133"/>
      <c r="U89" s="1096">
        <v>33362</v>
      </c>
      <c r="V89" s="9" t="s">
        <v>275</v>
      </c>
    </row>
    <row r="90" spans="1:22" ht="25.95" customHeight="1">
      <c r="A90" s="940">
        <v>87</v>
      </c>
      <c r="B90" s="1108">
        <v>35394</v>
      </c>
      <c r="C90" s="1109" t="s">
        <v>272</v>
      </c>
      <c r="D90" s="731">
        <v>150522887</v>
      </c>
      <c r="E90" s="1104" t="s">
        <v>448</v>
      </c>
      <c r="F90" s="940" t="s">
        <v>449</v>
      </c>
      <c r="G90" s="1106">
        <v>5</v>
      </c>
      <c r="H90" s="1117">
        <v>176</v>
      </c>
      <c r="I90" s="1132" t="s">
        <v>270</v>
      </c>
      <c r="O90" s="1096">
        <f t="shared" ca="1" si="3"/>
        <v>30</v>
      </c>
      <c r="P90" s="1133">
        <f t="shared" ca="1" si="2"/>
        <v>30</v>
      </c>
      <c r="Q90" s="1133"/>
      <c r="R90" s="1133"/>
      <c r="U90" s="1096">
        <v>35394</v>
      </c>
      <c r="V90" s="9" t="s">
        <v>275</v>
      </c>
    </row>
    <row r="91" spans="1:22" ht="25.95" customHeight="1">
      <c r="A91" s="940">
        <v>88</v>
      </c>
      <c r="B91" s="1108">
        <v>36743</v>
      </c>
      <c r="C91" s="1102" t="s">
        <v>264</v>
      </c>
      <c r="D91" s="1103">
        <v>150761767</v>
      </c>
      <c r="E91" s="1104" t="s">
        <v>450</v>
      </c>
      <c r="F91" s="940" t="s">
        <v>451</v>
      </c>
      <c r="G91" s="1106">
        <v>5</v>
      </c>
      <c r="H91" s="1118">
        <v>177</v>
      </c>
      <c r="I91" s="1132" t="s">
        <v>270</v>
      </c>
      <c r="O91" s="1096">
        <f t="shared" ca="1" si="3"/>
        <v>26</v>
      </c>
      <c r="P91" s="1133">
        <f t="shared" ca="1" si="2"/>
        <v>26</v>
      </c>
      <c r="Q91" s="1133"/>
      <c r="R91" s="1133"/>
      <c r="U91" s="1096">
        <v>36743</v>
      </c>
      <c r="V91" s="9" t="s">
        <v>271</v>
      </c>
    </row>
    <row r="92" spans="1:22" ht="25.95" customHeight="1">
      <c r="A92" s="940">
        <v>89</v>
      </c>
      <c r="B92" s="1108">
        <v>38363</v>
      </c>
      <c r="C92" s="1102" t="s">
        <v>264</v>
      </c>
      <c r="D92" s="1103">
        <v>150961109</v>
      </c>
      <c r="E92" s="1104" t="s">
        <v>452</v>
      </c>
      <c r="F92" s="940" t="s">
        <v>453</v>
      </c>
      <c r="G92" s="1106">
        <v>5</v>
      </c>
      <c r="H92" s="1118">
        <v>178</v>
      </c>
      <c r="I92" s="1132" t="s">
        <v>270</v>
      </c>
      <c r="O92" s="1096">
        <f t="shared" ca="1" si="3"/>
        <v>21</v>
      </c>
      <c r="P92" s="1133">
        <f t="shared" ca="1" si="2"/>
        <v>21</v>
      </c>
      <c r="Q92" s="1133"/>
      <c r="R92" s="1133"/>
      <c r="U92" s="1096">
        <v>38363</v>
      </c>
      <c r="V92" s="9" t="s">
        <v>271</v>
      </c>
    </row>
    <row r="93" spans="1:22" ht="25.95" customHeight="1">
      <c r="A93" s="940">
        <v>90</v>
      </c>
      <c r="B93" s="1108">
        <v>29567</v>
      </c>
      <c r="C93" s="1109" t="s">
        <v>272</v>
      </c>
      <c r="D93" s="1103">
        <v>150117995</v>
      </c>
      <c r="E93" s="1104" t="s">
        <v>454</v>
      </c>
      <c r="F93" s="940" t="s">
        <v>455</v>
      </c>
      <c r="G93" s="1106">
        <v>5</v>
      </c>
      <c r="H93" s="1118">
        <v>179</v>
      </c>
      <c r="I93" s="1132" t="s">
        <v>270</v>
      </c>
      <c r="O93" s="1096">
        <f t="shared" ca="1" si="3"/>
        <v>46</v>
      </c>
      <c r="P93" s="1133">
        <f t="shared" ca="1" si="2"/>
        <v>46</v>
      </c>
      <c r="Q93" s="1133"/>
      <c r="R93" s="1133"/>
      <c r="U93" s="1096">
        <v>29567</v>
      </c>
      <c r="V93" s="9" t="s">
        <v>275</v>
      </c>
    </row>
    <row r="94" spans="1:22" ht="25.95" customHeight="1">
      <c r="A94" s="940">
        <v>91</v>
      </c>
      <c r="B94" s="1108">
        <v>30139</v>
      </c>
      <c r="C94" s="1109" t="s">
        <v>272</v>
      </c>
      <c r="D94" s="1103">
        <v>150354785</v>
      </c>
      <c r="E94" s="1104" t="s">
        <v>456</v>
      </c>
      <c r="F94" s="940" t="s">
        <v>457</v>
      </c>
      <c r="G94" s="1106">
        <v>5</v>
      </c>
      <c r="H94" s="1118">
        <v>180</v>
      </c>
      <c r="I94" s="1132" t="s">
        <v>270</v>
      </c>
      <c r="O94" s="1096">
        <f t="shared" ca="1" si="3"/>
        <v>44</v>
      </c>
      <c r="P94" s="1133">
        <f t="shared" ca="1" si="2"/>
        <v>44</v>
      </c>
      <c r="Q94" s="1133"/>
      <c r="R94" s="1133"/>
      <c r="U94" s="1096">
        <v>30139</v>
      </c>
      <c r="V94" s="9" t="s">
        <v>275</v>
      </c>
    </row>
    <row r="95" spans="1:22" ht="25.95" customHeight="1">
      <c r="A95" s="940">
        <v>92</v>
      </c>
      <c r="B95" s="1108" t="s">
        <v>458</v>
      </c>
      <c r="C95" s="1102" t="s">
        <v>264</v>
      </c>
      <c r="D95" s="1103">
        <v>150354789</v>
      </c>
      <c r="E95" s="1104" t="s">
        <v>459</v>
      </c>
      <c r="F95" s="940" t="s">
        <v>460</v>
      </c>
      <c r="G95" s="1106">
        <v>5</v>
      </c>
      <c r="H95" s="1118">
        <v>181</v>
      </c>
      <c r="I95" s="1132" t="s">
        <v>270</v>
      </c>
      <c r="O95" s="1096">
        <f t="shared" ca="1" si="3"/>
        <v>42</v>
      </c>
      <c r="P95" s="1133">
        <f t="shared" ca="1" si="2"/>
        <v>42</v>
      </c>
      <c r="Q95" s="1133"/>
      <c r="R95" s="1133"/>
      <c r="U95" s="1096" t="s">
        <v>458</v>
      </c>
      <c r="V95" s="9" t="s">
        <v>271</v>
      </c>
    </row>
    <row r="96" spans="1:22" ht="25.95" customHeight="1">
      <c r="A96" s="940">
        <v>93</v>
      </c>
      <c r="B96" s="1108">
        <v>30843</v>
      </c>
      <c r="C96" s="1109" t="s">
        <v>272</v>
      </c>
      <c r="D96" s="1103">
        <v>150113757</v>
      </c>
      <c r="E96" s="1104" t="s">
        <v>461</v>
      </c>
      <c r="F96" s="940" t="s">
        <v>462</v>
      </c>
      <c r="G96" s="1106">
        <v>5</v>
      </c>
      <c r="H96" s="1118">
        <v>182</v>
      </c>
      <c r="I96" s="1132" t="s">
        <v>270</v>
      </c>
      <c r="O96" s="1096">
        <f t="shared" ca="1" si="3"/>
        <v>42</v>
      </c>
      <c r="P96" s="1133">
        <f t="shared" ca="1" si="2"/>
        <v>42</v>
      </c>
      <c r="Q96" s="1133"/>
      <c r="R96" s="1133"/>
      <c r="U96" s="1096">
        <v>30843</v>
      </c>
      <c r="V96" s="9" t="s">
        <v>275</v>
      </c>
    </row>
    <row r="97" spans="1:22" ht="25.95" customHeight="1">
      <c r="A97" s="940">
        <v>94</v>
      </c>
      <c r="B97" s="1108">
        <v>31575</v>
      </c>
      <c r="C97" s="1102" t="s">
        <v>264</v>
      </c>
      <c r="D97" s="1103">
        <v>150360266</v>
      </c>
      <c r="E97" s="1104" t="s">
        <v>463</v>
      </c>
      <c r="F97" s="940" t="s">
        <v>464</v>
      </c>
      <c r="G97" s="1106">
        <v>5</v>
      </c>
      <c r="H97" s="1118">
        <v>183</v>
      </c>
      <c r="I97" s="1132" t="s">
        <v>270</v>
      </c>
      <c r="O97" s="1096">
        <f t="shared" ca="1" si="3"/>
        <v>40</v>
      </c>
      <c r="P97" s="1133">
        <f t="shared" ca="1" si="2"/>
        <v>40</v>
      </c>
      <c r="Q97" s="1133"/>
      <c r="R97" s="1133"/>
      <c r="U97" s="1096">
        <v>31575</v>
      </c>
      <c r="V97" s="9" t="s">
        <v>271</v>
      </c>
    </row>
    <row r="98" spans="1:22" ht="25.95" customHeight="1">
      <c r="A98" s="940">
        <v>95</v>
      </c>
      <c r="B98" s="1108">
        <v>31593</v>
      </c>
      <c r="C98" s="1109" t="s">
        <v>272</v>
      </c>
      <c r="D98" s="1103">
        <v>150427531</v>
      </c>
      <c r="E98" s="1104" t="s">
        <v>465</v>
      </c>
      <c r="F98" s="940" t="s">
        <v>466</v>
      </c>
      <c r="G98" s="1106">
        <v>5</v>
      </c>
      <c r="H98" s="1118">
        <v>184</v>
      </c>
      <c r="I98" s="1132" t="s">
        <v>270</v>
      </c>
      <c r="O98" s="1096">
        <f t="shared" ca="1" si="3"/>
        <v>40</v>
      </c>
      <c r="P98" s="1133">
        <f t="shared" ca="1" si="2"/>
        <v>40</v>
      </c>
      <c r="Q98" s="1133"/>
      <c r="R98" s="1133"/>
      <c r="U98" s="1096">
        <v>31593</v>
      </c>
      <c r="V98" s="9" t="s">
        <v>275</v>
      </c>
    </row>
    <row r="99" spans="1:22" ht="25.95" customHeight="1">
      <c r="A99" s="940">
        <v>96</v>
      </c>
      <c r="B99" s="1108">
        <v>32539</v>
      </c>
      <c r="C99" s="1102" t="s">
        <v>264</v>
      </c>
      <c r="D99" s="1103">
        <v>150354762</v>
      </c>
      <c r="E99" s="1104" t="s">
        <v>467</v>
      </c>
      <c r="F99" s="940" t="s">
        <v>468</v>
      </c>
      <c r="G99" s="1106">
        <v>5</v>
      </c>
      <c r="H99" s="1118">
        <v>185</v>
      </c>
      <c r="I99" s="1132" t="s">
        <v>270</v>
      </c>
      <c r="O99" s="1096">
        <f t="shared" ca="1" si="3"/>
        <v>37</v>
      </c>
      <c r="P99" s="1133">
        <f t="shared" ca="1" si="2"/>
        <v>37</v>
      </c>
      <c r="Q99" s="1133"/>
      <c r="R99" s="1133"/>
      <c r="U99" s="1096">
        <v>32539</v>
      </c>
      <c r="V99" s="9" t="s">
        <v>271</v>
      </c>
    </row>
    <row r="100" spans="1:22" ht="25.95" customHeight="1">
      <c r="A100" s="940">
        <v>97</v>
      </c>
      <c r="B100" s="1108">
        <v>26831</v>
      </c>
      <c r="C100" s="1109" t="s">
        <v>272</v>
      </c>
      <c r="D100" s="1103">
        <v>150574729</v>
      </c>
      <c r="E100" s="1104" t="s">
        <v>469</v>
      </c>
      <c r="F100" s="940" t="s">
        <v>470</v>
      </c>
      <c r="G100" s="1106">
        <v>5</v>
      </c>
      <c r="H100" s="1118">
        <v>186</v>
      </c>
      <c r="I100" s="1132" t="s">
        <v>270</v>
      </c>
      <c r="O100" s="1096">
        <f t="shared" ca="1" si="3"/>
        <v>53</v>
      </c>
      <c r="P100" s="1133">
        <f t="shared" ca="1" si="2"/>
        <v>53</v>
      </c>
      <c r="Q100" s="1133"/>
      <c r="R100" s="1133"/>
      <c r="U100" s="1096">
        <v>26831</v>
      </c>
      <c r="V100" s="9" t="s">
        <v>275</v>
      </c>
    </row>
    <row r="101" spans="1:22" ht="25.95" customHeight="1">
      <c r="A101" s="940">
        <v>98</v>
      </c>
      <c r="B101" s="1096">
        <v>39014</v>
      </c>
      <c r="C101" s="1102" t="s">
        <v>264</v>
      </c>
      <c r="D101" s="1103">
        <v>151013388</v>
      </c>
      <c r="E101" s="1104" t="s">
        <v>471</v>
      </c>
      <c r="F101" s="940" t="s">
        <v>472</v>
      </c>
      <c r="G101" s="1106">
        <v>5</v>
      </c>
      <c r="H101" s="1118">
        <v>187</v>
      </c>
      <c r="I101" s="1132" t="s">
        <v>270</v>
      </c>
      <c r="O101" s="1096">
        <f t="shared" ca="1" si="3"/>
        <v>20</v>
      </c>
      <c r="P101" s="1133">
        <f t="shared" ca="1" si="2"/>
        <v>20</v>
      </c>
      <c r="Q101" s="1133"/>
      <c r="R101" s="1133"/>
      <c r="U101" s="1096">
        <v>39014</v>
      </c>
      <c r="V101" s="9" t="s">
        <v>271</v>
      </c>
    </row>
    <row r="102" spans="1:22" ht="25.95" customHeight="1">
      <c r="A102" s="940">
        <v>99</v>
      </c>
      <c r="B102" s="1108">
        <v>29173</v>
      </c>
      <c r="C102" s="1109" t="s">
        <v>272</v>
      </c>
      <c r="D102" s="1103">
        <v>110334693</v>
      </c>
      <c r="E102" s="1104" t="s">
        <v>473</v>
      </c>
      <c r="F102" s="940" t="s">
        <v>474</v>
      </c>
      <c r="G102" s="1106">
        <v>5</v>
      </c>
      <c r="H102" s="1118">
        <v>188</v>
      </c>
      <c r="I102" s="1132" t="s">
        <v>270</v>
      </c>
      <c r="O102" s="1096">
        <f t="shared" ca="1" si="3"/>
        <v>47</v>
      </c>
      <c r="P102" s="1133">
        <f t="shared" ca="1" si="2"/>
        <v>47</v>
      </c>
      <c r="Q102" s="1133"/>
      <c r="R102" s="1133"/>
      <c r="U102" s="1096">
        <v>29173</v>
      </c>
      <c r="V102" s="9" t="s">
        <v>275</v>
      </c>
    </row>
    <row r="103" spans="1:22" ht="25.95" customHeight="1">
      <c r="A103" s="940">
        <v>100</v>
      </c>
      <c r="B103" s="1114">
        <v>33073</v>
      </c>
      <c r="C103" s="1109" t="s">
        <v>272</v>
      </c>
      <c r="D103" s="1111">
        <v>150523506</v>
      </c>
      <c r="E103" s="1126" t="s">
        <v>475</v>
      </c>
      <c r="F103" s="1140" t="s">
        <v>476</v>
      </c>
      <c r="G103" s="1106">
        <v>5</v>
      </c>
      <c r="H103" s="1118">
        <v>189</v>
      </c>
      <c r="I103" s="1132" t="s">
        <v>270</v>
      </c>
      <c r="O103" s="1096">
        <f t="shared" ca="1" si="3"/>
        <v>36</v>
      </c>
      <c r="P103" s="1133">
        <f t="shared" ca="1" si="2"/>
        <v>36</v>
      </c>
      <c r="Q103" s="1133"/>
      <c r="R103" s="1133"/>
      <c r="U103" s="1096">
        <v>33073</v>
      </c>
      <c r="V103" s="9" t="s">
        <v>275</v>
      </c>
    </row>
    <row r="104" spans="1:22" ht="25.95" customHeight="1">
      <c r="A104" s="940">
        <v>101</v>
      </c>
      <c r="B104" s="1108">
        <v>29504</v>
      </c>
      <c r="C104" s="1109" t="s">
        <v>272</v>
      </c>
      <c r="D104" s="1103">
        <v>150788568</v>
      </c>
      <c r="E104" s="1104" t="s">
        <v>477</v>
      </c>
      <c r="F104" s="940" t="s">
        <v>478</v>
      </c>
      <c r="G104" s="1106">
        <v>5</v>
      </c>
      <c r="H104" s="1118">
        <v>190</v>
      </c>
      <c r="I104" s="1132" t="s">
        <v>270</v>
      </c>
      <c r="O104" s="1096">
        <f t="shared" ca="1" si="3"/>
        <v>46</v>
      </c>
      <c r="P104" s="1133">
        <f t="shared" ca="1" si="2"/>
        <v>46</v>
      </c>
      <c r="Q104" s="1133"/>
      <c r="R104" s="1133"/>
      <c r="U104" s="1096">
        <v>29504</v>
      </c>
      <c r="V104" s="9" t="s">
        <v>275</v>
      </c>
    </row>
    <row r="105" spans="1:22" ht="25.95" customHeight="1">
      <c r="A105" s="940">
        <v>102</v>
      </c>
      <c r="B105" s="1108">
        <v>29648</v>
      </c>
      <c r="C105" s="1102" t="s">
        <v>264</v>
      </c>
      <c r="D105" s="1103">
        <v>150788567</v>
      </c>
      <c r="E105" s="1104" t="s">
        <v>479</v>
      </c>
      <c r="F105" s="940" t="s">
        <v>480</v>
      </c>
      <c r="G105" s="1106">
        <v>5</v>
      </c>
      <c r="H105" s="1118">
        <v>191</v>
      </c>
      <c r="I105" s="1132" t="s">
        <v>270</v>
      </c>
      <c r="O105" s="1096">
        <f t="shared" ca="1" si="3"/>
        <v>45</v>
      </c>
      <c r="P105" s="1133">
        <f t="shared" ca="1" si="2"/>
        <v>45</v>
      </c>
      <c r="Q105" s="1133"/>
      <c r="R105" s="1133"/>
      <c r="U105" s="1096">
        <v>29648</v>
      </c>
      <c r="V105" s="9" t="s">
        <v>271</v>
      </c>
    </row>
    <row r="106" spans="1:22" ht="25.95" customHeight="1">
      <c r="A106" s="940">
        <v>103</v>
      </c>
      <c r="B106" s="1108">
        <v>35326</v>
      </c>
      <c r="C106" s="1109" t="s">
        <v>272</v>
      </c>
      <c r="D106" s="1103">
        <v>220204515</v>
      </c>
      <c r="E106" s="1104" t="s">
        <v>481</v>
      </c>
      <c r="F106" s="940" t="s">
        <v>482</v>
      </c>
      <c r="G106" s="1106">
        <v>5</v>
      </c>
      <c r="H106" s="1118">
        <v>192</v>
      </c>
      <c r="I106" s="1132" t="s">
        <v>270</v>
      </c>
      <c r="O106" s="1096">
        <f t="shared" ca="1" si="3"/>
        <v>30</v>
      </c>
      <c r="P106" s="1133">
        <f t="shared" ca="1" si="2"/>
        <v>30</v>
      </c>
      <c r="Q106" s="1133"/>
      <c r="R106" s="1133"/>
      <c r="U106" s="1096">
        <v>35326</v>
      </c>
      <c r="V106" s="9" t="s">
        <v>275</v>
      </c>
    </row>
    <row r="107" spans="1:22" ht="25.95" customHeight="1">
      <c r="A107" s="940">
        <v>104</v>
      </c>
      <c r="B107" s="1141">
        <v>35806</v>
      </c>
      <c r="C107" s="1102" t="s">
        <v>264</v>
      </c>
      <c r="D107" s="1142">
        <v>150648532</v>
      </c>
      <c r="E107" s="1126" t="s">
        <v>483</v>
      </c>
      <c r="F107" s="1140" t="s">
        <v>484</v>
      </c>
      <c r="G107" s="1106">
        <v>5</v>
      </c>
      <c r="H107" s="1118">
        <v>193</v>
      </c>
      <c r="I107" s="1132" t="s">
        <v>270</v>
      </c>
      <c r="O107" s="1096">
        <f t="shared" ca="1" si="3"/>
        <v>28</v>
      </c>
      <c r="P107" s="1133">
        <f t="shared" ca="1" si="2"/>
        <v>28</v>
      </c>
      <c r="Q107" s="1133"/>
      <c r="R107" s="1133"/>
      <c r="U107" s="1096">
        <v>35806</v>
      </c>
      <c r="V107" s="9" t="s">
        <v>271</v>
      </c>
    </row>
    <row r="108" spans="1:22" ht="25.95" customHeight="1">
      <c r="A108" s="940">
        <v>105</v>
      </c>
      <c r="B108" s="1108">
        <v>29356</v>
      </c>
      <c r="C108" s="1109" t="s">
        <v>272</v>
      </c>
      <c r="D108" s="1103">
        <v>220234432</v>
      </c>
      <c r="E108" s="1104" t="s">
        <v>485</v>
      </c>
      <c r="F108" s="940" t="s">
        <v>486</v>
      </c>
      <c r="G108" s="1106">
        <v>5</v>
      </c>
      <c r="H108" s="1118">
        <v>194</v>
      </c>
      <c r="I108" s="1132" t="s">
        <v>270</v>
      </c>
      <c r="O108" s="1096">
        <f t="shared" ca="1" si="3"/>
        <v>46</v>
      </c>
      <c r="P108" s="1133">
        <f t="shared" ca="1" si="2"/>
        <v>46</v>
      </c>
      <c r="Q108" s="1133"/>
      <c r="R108" s="1133"/>
      <c r="U108" s="1096">
        <v>29356</v>
      </c>
      <c r="V108" s="9" t="s">
        <v>275</v>
      </c>
    </row>
    <row r="109" spans="1:22" ht="25.95" customHeight="1">
      <c r="A109" s="940">
        <v>106</v>
      </c>
      <c r="B109" s="1108">
        <v>32996</v>
      </c>
      <c r="C109" s="1102" t="s">
        <v>264</v>
      </c>
      <c r="D109" s="1103">
        <v>220234344</v>
      </c>
      <c r="E109" s="1104" t="s">
        <v>487</v>
      </c>
      <c r="F109" s="940" t="s">
        <v>488</v>
      </c>
      <c r="G109" s="1106">
        <v>5</v>
      </c>
      <c r="H109" s="1118">
        <v>195</v>
      </c>
      <c r="I109" s="1132" t="s">
        <v>270</v>
      </c>
      <c r="O109" s="1096">
        <f t="shared" ca="1" si="3"/>
        <v>36</v>
      </c>
      <c r="P109" s="1133">
        <f t="shared" ca="1" si="2"/>
        <v>36</v>
      </c>
      <c r="Q109" s="1133"/>
      <c r="R109" s="1133"/>
      <c r="U109" s="1096">
        <v>32996</v>
      </c>
      <c r="V109" s="9" t="s">
        <v>271</v>
      </c>
    </row>
    <row r="110" spans="1:22" ht="25.95" customHeight="1">
      <c r="A110" s="940">
        <v>107</v>
      </c>
      <c r="B110" s="1108">
        <v>31797</v>
      </c>
      <c r="C110" s="1102" t="s">
        <v>264</v>
      </c>
      <c r="D110" s="1103">
        <v>150326632</v>
      </c>
      <c r="E110" s="1104" t="s">
        <v>489</v>
      </c>
      <c r="F110" s="940" t="s">
        <v>490</v>
      </c>
      <c r="G110" s="1106">
        <v>5</v>
      </c>
      <c r="H110" s="1118">
        <v>196</v>
      </c>
      <c r="I110" s="1132" t="s">
        <v>270</v>
      </c>
      <c r="O110" s="1096">
        <f t="shared" ca="1" si="3"/>
        <v>39</v>
      </c>
      <c r="P110" s="1133">
        <f t="shared" ca="1" si="2"/>
        <v>39</v>
      </c>
      <c r="Q110" s="1133"/>
      <c r="R110" s="1133"/>
      <c r="U110" s="1096">
        <v>31797</v>
      </c>
      <c r="V110" s="9" t="s">
        <v>271</v>
      </c>
    </row>
    <row r="111" spans="1:22" ht="25.95" customHeight="1">
      <c r="A111" s="940">
        <v>108</v>
      </c>
      <c r="B111" s="1108">
        <v>31610</v>
      </c>
      <c r="C111" s="1109" t="s">
        <v>272</v>
      </c>
      <c r="D111" s="1103">
        <v>150959866</v>
      </c>
      <c r="E111" s="1104" t="s">
        <v>491</v>
      </c>
      <c r="F111" s="940" t="s">
        <v>492</v>
      </c>
      <c r="G111" s="1106">
        <v>5</v>
      </c>
      <c r="H111" s="1118">
        <v>197</v>
      </c>
      <c r="I111" s="1132" t="s">
        <v>270</v>
      </c>
      <c r="O111" s="1096">
        <f t="shared" ca="1" si="3"/>
        <v>40</v>
      </c>
      <c r="P111" s="1133">
        <f t="shared" ca="1" si="2"/>
        <v>40</v>
      </c>
      <c r="Q111" s="1133"/>
      <c r="R111" s="1133"/>
      <c r="U111" s="1096">
        <v>31610</v>
      </c>
      <c r="V111" s="9" t="s">
        <v>275</v>
      </c>
    </row>
    <row r="112" spans="1:22" ht="25.95" customHeight="1">
      <c r="A112" s="940">
        <v>109</v>
      </c>
      <c r="B112" s="1108">
        <v>31413</v>
      </c>
      <c r="C112" s="1109" t="s">
        <v>272</v>
      </c>
      <c r="D112" s="1103">
        <v>150326792</v>
      </c>
      <c r="E112" s="1104" t="s">
        <v>493</v>
      </c>
      <c r="F112" s="940" t="s">
        <v>494</v>
      </c>
      <c r="G112" s="1106">
        <v>5</v>
      </c>
      <c r="H112" s="1118">
        <v>198</v>
      </c>
      <c r="I112" s="1132" t="s">
        <v>270</v>
      </c>
      <c r="O112" s="1096">
        <f t="shared" ca="1" si="3"/>
        <v>40</v>
      </c>
      <c r="P112" s="1133">
        <f t="shared" ca="1" si="2"/>
        <v>40</v>
      </c>
      <c r="Q112" s="1133"/>
      <c r="R112" s="1133"/>
      <c r="U112" s="1096">
        <v>31413</v>
      </c>
      <c r="V112" s="9" t="s">
        <v>275</v>
      </c>
    </row>
    <row r="113" spans="1:22" ht="25.95" customHeight="1">
      <c r="A113" s="940">
        <v>110</v>
      </c>
      <c r="B113" s="1115">
        <v>30108</v>
      </c>
      <c r="C113" s="1102" t="s">
        <v>264</v>
      </c>
      <c r="D113" s="1111">
        <v>150113301</v>
      </c>
      <c r="E113" s="1126" t="s">
        <v>495</v>
      </c>
      <c r="F113" s="1140" t="s">
        <v>496</v>
      </c>
      <c r="G113" s="1106">
        <v>5</v>
      </c>
      <c r="H113" s="1118">
        <v>199</v>
      </c>
      <c r="I113" s="1132" t="s">
        <v>270</v>
      </c>
      <c r="O113" s="1096">
        <f t="shared" ca="1" si="3"/>
        <v>44</v>
      </c>
      <c r="P113" s="1133">
        <f t="shared" ca="1" si="2"/>
        <v>44</v>
      </c>
      <c r="Q113" s="1133"/>
      <c r="R113" s="1133"/>
      <c r="U113" s="1096">
        <v>30108</v>
      </c>
      <c r="V113" s="9" t="s">
        <v>271</v>
      </c>
    </row>
    <row r="114" spans="1:22" ht="25.95" customHeight="1">
      <c r="A114" s="940">
        <v>111</v>
      </c>
      <c r="B114" s="1108">
        <v>27216</v>
      </c>
      <c r="C114" s="1109" t="s">
        <v>272</v>
      </c>
      <c r="D114" s="1103">
        <v>150113647</v>
      </c>
      <c r="E114" s="1104" t="s">
        <v>497</v>
      </c>
      <c r="F114" s="940" t="s">
        <v>498</v>
      </c>
      <c r="G114" s="1106">
        <v>5</v>
      </c>
      <c r="H114" s="1118">
        <v>200</v>
      </c>
      <c r="I114" s="1132" t="s">
        <v>270</v>
      </c>
      <c r="O114" s="1096">
        <f t="shared" ca="1" si="3"/>
        <v>52</v>
      </c>
      <c r="P114" s="1133">
        <f t="shared" ca="1" si="2"/>
        <v>52</v>
      </c>
      <c r="Q114" s="1133"/>
      <c r="R114" s="1133"/>
      <c r="U114" s="1096">
        <v>27216</v>
      </c>
      <c r="V114" s="9" t="s">
        <v>275</v>
      </c>
    </row>
    <row r="115" spans="1:22" ht="25.95" customHeight="1">
      <c r="A115" s="940">
        <v>112</v>
      </c>
      <c r="B115" s="1108">
        <v>27829</v>
      </c>
      <c r="C115" s="1102" t="s">
        <v>264</v>
      </c>
      <c r="D115" s="1103">
        <v>150887113</v>
      </c>
      <c r="E115" s="1104" t="s">
        <v>499</v>
      </c>
      <c r="F115" s="940" t="s">
        <v>500</v>
      </c>
      <c r="G115" s="1106">
        <v>5</v>
      </c>
      <c r="H115" s="1118">
        <v>201</v>
      </c>
      <c r="I115" s="1132" t="s">
        <v>270</v>
      </c>
      <c r="O115" s="1096">
        <f t="shared" ca="1" si="3"/>
        <v>50</v>
      </c>
      <c r="P115" s="1133">
        <f t="shared" ca="1" si="2"/>
        <v>50</v>
      </c>
      <c r="Q115" s="1133"/>
      <c r="R115" s="1133"/>
      <c r="U115" s="1096">
        <v>27829</v>
      </c>
      <c r="V115" s="9" t="s">
        <v>271</v>
      </c>
    </row>
    <row r="116" spans="1:22" ht="25.95" customHeight="1">
      <c r="A116" s="940">
        <v>113</v>
      </c>
      <c r="B116" s="1108">
        <v>32222</v>
      </c>
      <c r="C116" s="1102" t="s">
        <v>264</v>
      </c>
      <c r="D116" s="1103">
        <v>150745552</v>
      </c>
      <c r="E116" s="1104" t="s">
        <v>501</v>
      </c>
      <c r="F116" s="940" t="s">
        <v>502</v>
      </c>
      <c r="G116" s="1106">
        <v>5</v>
      </c>
      <c r="H116" s="1118">
        <v>202</v>
      </c>
      <c r="I116" s="1132" t="s">
        <v>270</v>
      </c>
      <c r="O116" s="1096">
        <f t="shared" ca="1" si="3"/>
        <v>38</v>
      </c>
      <c r="P116" s="1133">
        <f t="shared" ca="1" si="2"/>
        <v>38</v>
      </c>
      <c r="Q116" s="1133"/>
      <c r="R116" s="1133"/>
      <c r="U116" s="1096">
        <v>32222</v>
      </c>
      <c r="V116" s="9" t="s">
        <v>271</v>
      </c>
    </row>
    <row r="117" spans="1:22" ht="25.95" customHeight="1">
      <c r="A117" s="940">
        <v>114</v>
      </c>
      <c r="B117" s="1108">
        <v>32547</v>
      </c>
      <c r="C117" s="1109" t="s">
        <v>272</v>
      </c>
      <c r="D117" s="1103">
        <v>150745550</v>
      </c>
      <c r="E117" s="1104" t="s">
        <v>503</v>
      </c>
      <c r="F117" s="940" t="s">
        <v>504</v>
      </c>
      <c r="G117" s="1106">
        <v>5</v>
      </c>
      <c r="H117" s="1118">
        <v>203</v>
      </c>
      <c r="I117" s="1132" t="s">
        <v>270</v>
      </c>
      <c r="O117" s="1096">
        <f t="shared" ca="1" si="3"/>
        <v>37</v>
      </c>
      <c r="P117" s="1133">
        <f t="shared" ca="1" si="2"/>
        <v>37</v>
      </c>
      <c r="Q117" s="1133"/>
      <c r="R117" s="1133"/>
      <c r="U117" s="1096">
        <v>32547</v>
      </c>
      <c r="V117" s="9" t="s">
        <v>275</v>
      </c>
    </row>
    <row r="118" spans="1:22" ht="25.95" customHeight="1">
      <c r="A118" s="940">
        <v>115</v>
      </c>
      <c r="B118" s="1108">
        <v>38334</v>
      </c>
      <c r="C118" s="1109" t="s">
        <v>272</v>
      </c>
      <c r="D118" s="1103">
        <v>181042037</v>
      </c>
      <c r="E118" s="1104" t="s">
        <v>505</v>
      </c>
      <c r="F118" s="940" t="s">
        <v>506</v>
      </c>
      <c r="G118" s="1106">
        <v>5</v>
      </c>
      <c r="H118" s="1118">
        <v>204</v>
      </c>
      <c r="I118" s="1132" t="s">
        <v>270</v>
      </c>
      <c r="O118" s="1096">
        <f t="shared" ca="1" si="3"/>
        <v>22</v>
      </c>
      <c r="P118" s="1133">
        <f t="shared" ca="1" si="2"/>
        <v>22</v>
      </c>
      <c r="Q118" s="1133"/>
      <c r="R118" s="1133"/>
      <c r="U118" s="1096">
        <v>38334</v>
      </c>
      <c r="V118" s="9" t="s">
        <v>275</v>
      </c>
    </row>
    <row r="119" spans="1:22" ht="25.95" customHeight="1">
      <c r="A119" s="940">
        <v>116</v>
      </c>
      <c r="B119" s="1108">
        <v>35576</v>
      </c>
      <c r="C119" s="1102" t="s">
        <v>264</v>
      </c>
      <c r="D119" s="1103">
        <v>150659225</v>
      </c>
      <c r="E119" s="1104" t="s">
        <v>507</v>
      </c>
      <c r="F119" s="940" t="s">
        <v>508</v>
      </c>
      <c r="G119" s="1106">
        <v>5</v>
      </c>
      <c r="H119" s="1118">
        <v>205</v>
      </c>
      <c r="I119" s="1132" t="s">
        <v>270</v>
      </c>
      <c r="O119" s="1096">
        <f t="shared" ca="1" si="3"/>
        <v>29</v>
      </c>
      <c r="P119" s="1133">
        <f t="shared" ca="1" si="2"/>
        <v>29</v>
      </c>
      <c r="Q119" s="1133"/>
      <c r="R119" s="1133"/>
      <c r="U119" s="1096">
        <v>35576</v>
      </c>
      <c r="V119" s="9" t="s">
        <v>271</v>
      </c>
    </row>
    <row r="120" spans="1:22" ht="25.95" customHeight="1">
      <c r="A120" s="940">
        <v>117</v>
      </c>
      <c r="B120" s="1108">
        <v>36919</v>
      </c>
      <c r="C120" s="1109" t="s">
        <v>272</v>
      </c>
      <c r="D120" s="1103">
        <v>150827505</v>
      </c>
      <c r="E120" s="1104" t="s">
        <v>509</v>
      </c>
      <c r="F120" s="940" t="s">
        <v>510</v>
      </c>
      <c r="G120" s="1106">
        <v>5</v>
      </c>
      <c r="H120" s="1118">
        <v>206</v>
      </c>
      <c r="I120" s="1132" t="s">
        <v>270</v>
      </c>
      <c r="O120" s="1096">
        <f t="shared" ca="1" si="3"/>
        <v>25</v>
      </c>
      <c r="P120" s="1133">
        <f t="shared" ca="1" si="2"/>
        <v>25</v>
      </c>
      <c r="Q120" s="1133"/>
      <c r="R120" s="1133"/>
      <c r="U120" s="1096">
        <v>36919</v>
      </c>
      <c r="V120" s="9" t="s">
        <v>275</v>
      </c>
    </row>
    <row r="121" spans="1:22" ht="25.95" customHeight="1">
      <c r="A121" s="940">
        <v>118</v>
      </c>
      <c r="B121" s="1108">
        <v>35522</v>
      </c>
      <c r="C121" s="1109" t="s">
        <v>272</v>
      </c>
      <c r="D121" s="1103">
        <v>150701493</v>
      </c>
      <c r="E121" s="1104" t="s">
        <v>511</v>
      </c>
      <c r="F121" s="940" t="s">
        <v>512</v>
      </c>
      <c r="G121" s="1106">
        <v>5</v>
      </c>
      <c r="H121" s="1118">
        <v>207</v>
      </c>
      <c r="I121" s="1132" t="s">
        <v>270</v>
      </c>
      <c r="O121" s="1096">
        <f t="shared" ca="1" si="3"/>
        <v>29</v>
      </c>
      <c r="P121" s="1133">
        <f t="shared" ca="1" si="2"/>
        <v>29</v>
      </c>
      <c r="Q121" s="1133"/>
      <c r="R121" s="1133"/>
      <c r="U121" s="1096">
        <v>35522</v>
      </c>
      <c r="V121" s="9" t="s">
        <v>275</v>
      </c>
    </row>
    <row r="122" spans="1:22" ht="25.95" customHeight="1">
      <c r="A122" s="940">
        <v>119</v>
      </c>
      <c r="B122" s="1108">
        <v>37897</v>
      </c>
      <c r="C122" s="1102" t="s">
        <v>264</v>
      </c>
      <c r="D122" s="1103">
        <v>150952564</v>
      </c>
      <c r="E122" s="1104" t="s">
        <v>513</v>
      </c>
      <c r="F122" s="940" t="s">
        <v>514</v>
      </c>
      <c r="G122" s="1106">
        <v>5</v>
      </c>
      <c r="H122" s="1118">
        <v>208</v>
      </c>
      <c r="I122" s="1132" t="s">
        <v>270</v>
      </c>
      <c r="O122" s="1096">
        <f t="shared" ca="1" si="3"/>
        <v>23</v>
      </c>
      <c r="P122" s="1133">
        <f t="shared" ca="1" si="2"/>
        <v>23</v>
      </c>
      <c r="Q122" s="1133"/>
      <c r="R122" s="1133"/>
      <c r="U122" s="1096">
        <v>37897</v>
      </c>
      <c r="V122" s="9" t="s">
        <v>271</v>
      </c>
    </row>
    <row r="123" spans="1:22" ht="25.95" customHeight="1">
      <c r="A123" s="940">
        <v>120</v>
      </c>
      <c r="B123" s="1108">
        <v>29374</v>
      </c>
      <c r="C123" s="1109" t="s">
        <v>272</v>
      </c>
      <c r="D123" s="1103">
        <v>150113853</v>
      </c>
      <c r="E123" s="1104" t="s">
        <v>515</v>
      </c>
      <c r="F123" s="940" t="s">
        <v>516</v>
      </c>
      <c r="G123" s="1106">
        <v>5</v>
      </c>
      <c r="H123" s="1118">
        <v>209</v>
      </c>
      <c r="I123" s="1132" t="s">
        <v>270</v>
      </c>
      <c r="O123" s="1096">
        <f t="shared" ca="1" si="3"/>
        <v>46</v>
      </c>
      <c r="P123" s="1133">
        <f t="shared" ca="1" si="2"/>
        <v>46</v>
      </c>
      <c r="Q123" s="1133"/>
      <c r="R123" s="1133"/>
      <c r="U123" s="1096">
        <v>29374</v>
      </c>
      <c r="V123" s="9" t="s">
        <v>275</v>
      </c>
    </row>
    <row r="124" spans="1:22" ht="25.95" customHeight="1">
      <c r="A124" s="940">
        <v>121</v>
      </c>
      <c r="B124" s="1108">
        <v>33604</v>
      </c>
      <c r="C124" s="1109" t="s">
        <v>272</v>
      </c>
      <c r="D124" s="1103">
        <v>150651781</v>
      </c>
      <c r="E124" s="1104" t="s">
        <v>517</v>
      </c>
      <c r="F124" s="940" t="s">
        <v>518</v>
      </c>
      <c r="G124" s="1106">
        <v>5</v>
      </c>
      <c r="H124" s="1118">
        <v>210</v>
      </c>
      <c r="I124" s="1132" t="s">
        <v>270</v>
      </c>
      <c r="O124" s="1096">
        <f t="shared" ca="1" si="3"/>
        <v>34</v>
      </c>
      <c r="P124" s="1133">
        <f t="shared" ca="1" si="2"/>
        <v>34</v>
      </c>
      <c r="Q124" s="1133"/>
      <c r="R124" s="1133"/>
      <c r="U124" s="1096">
        <v>33604</v>
      </c>
      <c r="V124" s="9" t="s">
        <v>275</v>
      </c>
    </row>
    <row r="125" spans="1:22" ht="25.95" customHeight="1">
      <c r="A125" s="940">
        <v>122</v>
      </c>
      <c r="B125" s="1108">
        <v>31077</v>
      </c>
      <c r="C125" s="1109" t="s">
        <v>272</v>
      </c>
      <c r="D125" s="1103">
        <v>150360191</v>
      </c>
      <c r="E125" s="1104" t="s">
        <v>519</v>
      </c>
      <c r="F125" s="940" t="s">
        <v>520</v>
      </c>
      <c r="G125" s="1106">
        <v>5</v>
      </c>
      <c r="H125" s="1118">
        <v>211</v>
      </c>
      <c r="I125" s="1132" t="s">
        <v>270</v>
      </c>
      <c r="O125" s="1096">
        <f t="shared" ca="1" si="3"/>
        <v>41</v>
      </c>
      <c r="P125" s="1133">
        <f t="shared" ca="1" si="2"/>
        <v>41</v>
      </c>
      <c r="Q125" s="1133"/>
      <c r="R125" s="1133"/>
      <c r="U125" s="1096">
        <v>31077</v>
      </c>
      <c r="V125" s="9" t="s">
        <v>275</v>
      </c>
    </row>
    <row r="126" spans="1:22" ht="25.95" customHeight="1">
      <c r="A126" s="940">
        <v>123</v>
      </c>
      <c r="B126" s="1108">
        <v>32874</v>
      </c>
      <c r="C126" s="1102" t="s">
        <v>264</v>
      </c>
      <c r="D126" s="1103">
        <v>151013375</v>
      </c>
      <c r="E126" s="1104" t="s">
        <v>521</v>
      </c>
      <c r="F126" s="940" t="s">
        <v>522</v>
      </c>
      <c r="G126" s="1106">
        <v>5</v>
      </c>
      <c r="H126" s="1118">
        <v>212</v>
      </c>
      <c r="I126" s="1132" t="s">
        <v>270</v>
      </c>
      <c r="O126" s="1096">
        <f t="shared" ca="1" si="3"/>
        <v>36</v>
      </c>
      <c r="P126" s="1133">
        <f t="shared" ca="1" si="2"/>
        <v>36</v>
      </c>
      <c r="Q126" s="1133"/>
      <c r="R126" s="1133"/>
      <c r="U126" s="1096">
        <v>32874</v>
      </c>
      <c r="V126" s="9" t="s">
        <v>271</v>
      </c>
    </row>
    <row r="127" spans="1:22" ht="25.95" customHeight="1">
      <c r="A127" s="940">
        <v>124</v>
      </c>
      <c r="B127" s="1108">
        <v>38695</v>
      </c>
      <c r="C127" s="1109" t="s">
        <v>272</v>
      </c>
      <c r="D127" s="1103">
        <v>151003589</v>
      </c>
      <c r="E127" s="1104" t="s">
        <v>523</v>
      </c>
      <c r="F127" s="940" t="s">
        <v>524</v>
      </c>
      <c r="G127" s="1106">
        <v>5</v>
      </c>
      <c r="H127" s="1118">
        <v>213</v>
      </c>
      <c r="I127" s="1132" t="s">
        <v>270</v>
      </c>
      <c r="O127" s="1096">
        <f t="shared" ca="1" si="3"/>
        <v>21</v>
      </c>
      <c r="P127" s="1133">
        <f t="shared" ref="P127:P190" ca="1" si="4">IF(O127&lt;=59,O127,IF(O127=60,1))</f>
        <v>21</v>
      </c>
      <c r="Q127" s="1133"/>
      <c r="R127" s="1133"/>
      <c r="U127" s="1096">
        <v>38695</v>
      </c>
      <c r="V127" s="9" t="s">
        <v>275</v>
      </c>
    </row>
    <row r="128" spans="1:22" ht="25.95" customHeight="1">
      <c r="A128" s="940">
        <v>125</v>
      </c>
      <c r="B128" s="1108">
        <v>35803</v>
      </c>
      <c r="C128" s="1109" t="s">
        <v>272</v>
      </c>
      <c r="D128" s="1103">
        <v>150662006</v>
      </c>
      <c r="E128" s="1104" t="s">
        <v>525</v>
      </c>
      <c r="F128" s="940" t="s">
        <v>526</v>
      </c>
      <c r="G128" s="1106">
        <v>5</v>
      </c>
      <c r="H128" s="1118">
        <v>214</v>
      </c>
      <c r="I128" s="1132" t="s">
        <v>270</v>
      </c>
      <c r="O128" s="1096">
        <f t="shared" ca="1" si="3"/>
        <v>28</v>
      </c>
      <c r="P128" s="1133">
        <f t="shared" ca="1" si="4"/>
        <v>28</v>
      </c>
      <c r="Q128" s="1133"/>
      <c r="R128" s="1133"/>
      <c r="U128" s="1096">
        <v>35803</v>
      </c>
      <c r="V128" s="9" t="s">
        <v>275</v>
      </c>
    </row>
    <row r="129" spans="1:22" ht="25.95" customHeight="1">
      <c r="A129" s="940">
        <v>126</v>
      </c>
      <c r="B129" s="1108">
        <v>29470</v>
      </c>
      <c r="C129" s="1109" t="s">
        <v>272</v>
      </c>
      <c r="D129" s="1103">
        <v>60581573</v>
      </c>
      <c r="E129" s="1104" t="s">
        <v>527</v>
      </c>
      <c r="F129" s="1120" t="s">
        <v>528</v>
      </c>
      <c r="G129" s="1106">
        <v>7</v>
      </c>
      <c r="H129" s="1117">
        <v>251</v>
      </c>
      <c r="I129" s="1132" t="s">
        <v>270</v>
      </c>
      <c r="O129" s="1096">
        <f t="shared" ca="1" si="3"/>
        <v>46</v>
      </c>
      <c r="P129" s="1133">
        <f t="shared" ca="1" si="4"/>
        <v>46</v>
      </c>
      <c r="Q129" s="1133"/>
      <c r="R129" s="1133"/>
      <c r="U129" s="1096">
        <v>29470</v>
      </c>
      <c r="V129" s="9" t="s">
        <v>275</v>
      </c>
    </row>
    <row r="130" spans="1:22" ht="25.95" customHeight="1">
      <c r="A130" s="940">
        <v>127</v>
      </c>
      <c r="B130" s="1143">
        <v>27855</v>
      </c>
      <c r="C130" s="1102" t="s">
        <v>264</v>
      </c>
      <c r="D130" s="731">
        <v>60959899</v>
      </c>
      <c r="E130" s="1104" t="s">
        <v>529</v>
      </c>
      <c r="F130" s="1120" t="s">
        <v>530</v>
      </c>
      <c r="G130" s="1106">
        <v>7</v>
      </c>
      <c r="H130" s="1118">
        <v>252</v>
      </c>
      <c r="I130" s="1132" t="s">
        <v>270</v>
      </c>
      <c r="O130" s="1096">
        <f t="shared" ca="1" si="3"/>
        <v>50</v>
      </c>
      <c r="P130" s="1133">
        <f t="shared" ca="1" si="4"/>
        <v>50</v>
      </c>
      <c r="Q130" s="1133"/>
      <c r="R130" s="1133"/>
      <c r="U130" s="1096">
        <v>27855</v>
      </c>
      <c r="V130" s="9" t="s">
        <v>271</v>
      </c>
    </row>
    <row r="131" spans="1:22" ht="25.95" customHeight="1">
      <c r="A131" s="940">
        <v>128</v>
      </c>
      <c r="B131" s="1144">
        <v>38465</v>
      </c>
      <c r="C131" s="1109" t="s">
        <v>272</v>
      </c>
      <c r="D131" s="1111">
        <v>2504114202</v>
      </c>
      <c r="E131" s="1104" t="s">
        <v>531</v>
      </c>
      <c r="F131" s="940" t="s">
        <v>532</v>
      </c>
      <c r="G131" s="1106">
        <v>7</v>
      </c>
      <c r="H131" s="1118">
        <v>253</v>
      </c>
      <c r="I131" s="1132" t="s">
        <v>270</v>
      </c>
      <c r="O131" s="1096">
        <f t="shared" ca="1" si="3"/>
        <v>21</v>
      </c>
      <c r="P131" s="1133">
        <f t="shared" ca="1" si="4"/>
        <v>21</v>
      </c>
      <c r="Q131" s="1133"/>
      <c r="R131" s="1133"/>
      <c r="U131" s="1096">
        <v>38465</v>
      </c>
      <c r="V131" s="9" t="s">
        <v>275</v>
      </c>
    </row>
    <row r="132" spans="1:22" ht="25.95" customHeight="1">
      <c r="A132" s="940">
        <v>129</v>
      </c>
      <c r="B132" s="1108">
        <v>34433</v>
      </c>
      <c r="C132" s="1109" t="s">
        <v>272</v>
      </c>
      <c r="D132" s="1103">
        <v>200145177</v>
      </c>
      <c r="E132" s="1104" t="s">
        <v>533</v>
      </c>
      <c r="F132" s="940" t="s">
        <v>534</v>
      </c>
      <c r="G132" s="1106">
        <v>7</v>
      </c>
      <c r="H132" s="1118">
        <v>254</v>
      </c>
      <c r="I132" s="1132" t="s">
        <v>270</v>
      </c>
      <c r="O132" s="1096">
        <f t="shared" ca="1" si="3"/>
        <v>32</v>
      </c>
      <c r="P132" s="1133">
        <f t="shared" ca="1" si="4"/>
        <v>32</v>
      </c>
      <c r="Q132" s="1133"/>
      <c r="R132" s="1133"/>
      <c r="U132" s="1096">
        <v>34433</v>
      </c>
      <c r="V132" s="9" t="s">
        <v>275</v>
      </c>
    </row>
    <row r="133" spans="1:22" ht="25.95" customHeight="1">
      <c r="A133" s="940">
        <v>130</v>
      </c>
      <c r="B133" s="1108">
        <v>33430</v>
      </c>
      <c r="C133" s="1102" t="s">
        <v>264</v>
      </c>
      <c r="D133" s="1103">
        <v>150650892</v>
      </c>
      <c r="E133" s="1104" t="s">
        <v>535</v>
      </c>
      <c r="F133" s="940" t="s">
        <v>536</v>
      </c>
      <c r="G133" s="1145">
        <v>7</v>
      </c>
      <c r="H133" s="1118">
        <v>255</v>
      </c>
      <c r="I133" s="1132" t="s">
        <v>270</v>
      </c>
      <c r="O133" s="1096">
        <f t="shared" ref="O133:O196" ca="1" si="5">YEAR(NOW())-YEAR(B133)</f>
        <v>35</v>
      </c>
      <c r="P133" s="1133">
        <f t="shared" ca="1" si="4"/>
        <v>35</v>
      </c>
      <c r="Q133" s="1133"/>
      <c r="R133" s="1133"/>
      <c r="U133" s="1096">
        <v>33430</v>
      </c>
      <c r="V133" s="9" t="s">
        <v>271</v>
      </c>
    </row>
    <row r="134" spans="1:22" ht="25.95" customHeight="1">
      <c r="A134" s="940">
        <v>131</v>
      </c>
      <c r="B134" s="1108">
        <v>35465</v>
      </c>
      <c r="C134" s="1109" t="s">
        <v>272</v>
      </c>
      <c r="D134" s="1103">
        <v>160389647</v>
      </c>
      <c r="E134" s="1104" t="s">
        <v>537</v>
      </c>
      <c r="F134" s="940" t="s">
        <v>538</v>
      </c>
      <c r="G134" s="1106">
        <v>7</v>
      </c>
      <c r="H134" s="1118">
        <v>256</v>
      </c>
      <c r="I134" s="1132" t="s">
        <v>270</v>
      </c>
      <c r="O134" s="1096">
        <f t="shared" ca="1" si="5"/>
        <v>29</v>
      </c>
      <c r="P134" s="1133">
        <f t="shared" ca="1" si="4"/>
        <v>29</v>
      </c>
      <c r="Q134" s="1133"/>
      <c r="R134" s="1133"/>
      <c r="U134" s="1096">
        <v>35465</v>
      </c>
      <c r="V134" s="9" t="s">
        <v>275</v>
      </c>
    </row>
    <row r="135" spans="1:22" ht="25.95" customHeight="1">
      <c r="A135" s="940">
        <v>132</v>
      </c>
      <c r="B135" s="1108">
        <v>30022</v>
      </c>
      <c r="C135" s="1102" t="s">
        <v>264</v>
      </c>
      <c r="D135" s="1103">
        <v>150111119</v>
      </c>
      <c r="E135" s="1104" t="s">
        <v>539</v>
      </c>
      <c r="F135" s="940" t="s">
        <v>540</v>
      </c>
      <c r="G135" s="1106">
        <v>7</v>
      </c>
      <c r="H135" s="1118">
        <v>257</v>
      </c>
      <c r="I135" s="1132" t="s">
        <v>270</v>
      </c>
      <c r="O135" s="1096">
        <f t="shared" ca="1" si="5"/>
        <v>44</v>
      </c>
      <c r="P135" s="1133">
        <f t="shared" ca="1" si="4"/>
        <v>44</v>
      </c>
      <c r="Q135" s="1133"/>
      <c r="R135" s="1133"/>
      <c r="U135" s="1096">
        <v>30022</v>
      </c>
      <c r="V135" s="9" t="s">
        <v>271</v>
      </c>
    </row>
    <row r="136" spans="1:22" ht="25.95" customHeight="1">
      <c r="A136" s="940">
        <v>133</v>
      </c>
      <c r="B136" s="1108">
        <v>26946</v>
      </c>
      <c r="C136" s="1109" t="s">
        <v>272</v>
      </c>
      <c r="D136" s="1103">
        <v>150111229</v>
      </c>
      <c r="E136" s="1104" t="s">
        <v>541</v>
      </c>
      <c r="F136" s="1095" t="s">
        <v>542</v>
      </c>
      <c r="G136" s="1106">
        <v>7</v>
      </c>
      <c r="H136" s="1118">
        <v>258</v>
      </c>
      <c r="I136" s="1132" t="s">
        <v>270</v>
      </c>
      <c r="O136" s="1096">
        <f t="shared" ca="1" si="5"/>
        <v>53</v>
      </c>
      <c r="P136" s="1133">
        <f t="shared" ca="1" si="4"/>
        <v>53</v>
      </c>
      <c r="Q136" s="1133"/>
      <c r="R136" s="1133"/>
      <c r="U136" s="1096">
        <v>26946</v>
      </c>
      <c r="V136" s="9" t="s">
        <v>275</v>
      </c>
    </row>
    <row r="137" spans="1:22" ht="25.95" customHeight="1">
      <c r="A137" s="940">
        <v>134</v>
      </c>
      <c r="B137" s="1108">
        <v>32306</v>
      </c>
      <c r="C137" s="1109" t="s">
        <v>272</v>
      </c>
      <c r="D137" s="1103">
        <v>150360188</v>
      </c>
      <c r="E137" s="1104" t="s">
        <v>543</v>
      </c>
      <c r="F137" s="940" t="s">
        <v>544</v>
      </c>
      <c r="G137" s="1106">
        <v>7</v>
      </c>
      <c r="H137" s="1118">
        <v>259</v>
      </c>
      <c r="I137" s="1132" t="s">
        <v>270</v>
      </c>
      <c r="O137" s="1096">
        <f t="shared" ca="1" si="5"/>
        <v>38</v>
      </c>
      <c r="P137" s="1133">
        <f t="shared" ca="1" si="4"/>
        <v>38</v>
      </c>
      <c r="Q137" s="1133"/>
      <c r="R137" s="1133"/>
      <c r="U137" s="1096">
        <v>32306</v>
      </c>
      <c r="V137" s="9" t="s">
        <v>275</v>
      </c>
    </row>
    <row r="138" spans="1:22" ht="25.95" customHeight="1">
      <c r="A138" s="940">
        <v>135</v>
      </c>
      <c r="B138" s="1108">
        <v>31868</v>
      </c>
      <c r="C138" s="1102" t="s">
        <v>264</v>
      </c>
      <c r="D138" s="1103">
        <v>150429558</v>
      </c>
      <c r="E138" s="1104" t="s">
        <v>545</v>
      </c>
      <c r="F138" s="1095" t="s">
        <v>546</v>
      </c>
      <c r="G138" s="1106">
        <v>7</v>
      </c>
      <c r="H138" s="1118">
        <v>260</v>
      </c>
      <c r="I138" s="1132" t="s">
        <v>270</v>
      </c>
      <c r="O138" s="1096">
        <f t="shared" ca="1" si="5"/>
        <v>39</v>
      </c>
      <c r="P138" s="1133">
        <f t="shared" ca="1" si="4"/>
        <v>39</v>
      </c>
      <c r="Q138" s="1133"/>
      <c r="R138" s="1133"/>
      <c r="U138" s="1096">
        <v>31868</v>
      </c>
      <c r="V138" s="9" t="s">
        <v>271</v>
      </c>
    </row>
    <row r="139" spans="1:22" ht="25.95" customHeight="1">
      <c r="A139" s="940">
        <v>136</v>
      </c>
      <c r="B139" s="1108">
        <v>30812</v>
      </c>
      <c r="C139" s="1109" t="s">
        <v>272</v>
      </c>
      <c r="D139" s="1103" t="s">
        <v>547</v>
      </c>
      <c r="E139" s="1104" t="s">
        <v>548</v>
      </c>
      <c r="F139" s="940" t="s">
        <v>549</v>
      </c>
      <c r="G139" s="1106">
        <v>7</v>
      </c>
      <c r="H139" s="1118">
        <v>261</v>
      </c>
      <c r="I139" s="1132" t="s">
        <v>270</v>
      </c>
      <c r="O139" s="1096">
        <f t="shared" ca="1" si="5"/>
        <v>42</v>
      </c>
      <c r="P139" s="1133">
        <f t="shared" ca="1" si="4"/>
        <v>42</v>
      </c>
      <c r="Q139" s="1133"/>
      <c r="R139" s="1133"/>
      <c r="U139" s="1096">
        <v>30812</v>
      </c>
      <c r="V139" s="9" t="s">
        <v>275</v>
      </c>
    </row>
    <row r="140" spans="1:22" ht="25.95" customHeight="1">
      <c r="A140" s="940">
        <v>137</v>
      </c>
      <c r="B140" s="1108">
        <v>30812</v>
      </c>
      <c r="C140" s="1102" t="s">
        <v>264</v>
      </c>
      <c r="D140" s="1103" t="s">
        <v>550</v>
      </c>
      <c r="E140" s="1104" t="s">
        <v>551</v>
      </c>
      <c r="F140" s="940" t="s">
        <v>552</v>
      </c>
      <c r="G140" s="1106">
        <v>7</v>
      </c>
      <c r="H140" s="1118">
        <v>262</v>
      </c>
      <c r="I140" s="1132" t="s">
        <v>270</v>
      </c>
      <c r="O140" s="1096">
        <f t="shared" ca="1" si="5"/>
        <v>42</v>
      </c>
      <c r="P140" s="1133">
        <f t="shared" ca="1" si="4"/>
        <v>42</v>
      </c>
      <c r="Q140" s="1133"/>
      <c r="R140" s="1133"/>
      <c r="U140" s="1096">
        <v>30812</v>
      </c>
      <c r="V140" s="9" t="s">
        <v>271</v>
      </c>
    </row>
    <row r="141" spans="1:22" ht="25.95" customHeight="1">
      <c r="A141" s="940">
        <v>138</v>
      </c>
      <c r="B141" s="1108">
        <v>35834</v>
      </c>
      <c r="C141" s="1102" t="s">
        <v>264</v>
      </c>
      <c r="D141" s="1103">
        <v>150842439</v>
      </c>
      <c r="E141" s="1104" t="s">
        <v>553</v>
      </c>
      <c r="F141" s="940" t="s">
        <v>554</v>
      </c>
      <c r="G141" s="1106">
        <v>7</v>
      </c>
      <c r="H141" s="1118">
        <v>263</v>
      </c>
      <c r="I141" s="1132" t="s">
        <v>270</v>
      </c>
      <c r="O141" s="1096">
        <f t="shared" ca="1" si="5"/>
        <v>28</v>
      </c>
      <c r="P141" s="1133">
        <f t="shared" ca="1" si="4"/>
        <v>28</v>
      </c>
      <c r="Q141" s="1133"/>
      <c r="R141" s="1133"/>
      <c r="U141" s="1096">
        <v>35834</v>
      </c>
      <c r="V141" s="9" t="s">
        <v>271</v>
      </c>
    </row>
    <row r="142" spans="1:22" ht="25.95" customHeight="1">
      <c r="A142" s="940">
        <v>139</v>
      </c>
      <c r="B142" s="1108">
        <v>34134</v>
      </c>
      <c r="C142" s="1109" t="s">
        <v>272</v>
      </c>
      <c r="D142" s="1103">
        <v>150925337</v>
      </c>
      <c r="E142" s="1104" t="s">
        <v>555</v>
      </c>
      <c r="F142" s="940" t="s">
        <v>556</v>
      </c>
      <c r="G142" s="1106">
        <v>7</v>
      </c>
      <c r="H142" s="1118">
        <v>264</v>
      </c>
      <c r="I142" s="1132" t="s">
        <v>270</v>
      </c>
      <c r="O142" s="1096">
        <f t="shared" ca="1" si="5"/>
        <v>33</v>
      </c>
      <c r="P142" s="1133">
        <f t="shared" ca="1" si="4"/>
        <v>33</v>
      </c>
      <c r="Q142" s="1133"/>
      <c r="R142" s="1133"/>
      <c r="U142" s="1096">
        <v>34134</v>
      </c>
      <c r="V142" s="9" t="s">
        <v>275</v>
      </c>
    </row>
    <row r="143" spans="1:22" ht="25.95" customHeight="1">
      <c r="A143" s="940">
        <v>140</v>
      </c>
      <c r="B143" s="1108">
        <v>34678</v>
      </c>
      <c r="C143" s="1109" t="s">
        <v>272</v>
      </c>
      <c r="D143" s="1103">
        <v>150469699</v>
      </c>
      <c r="E143" s="1104" t="s">
        <v>557</v>
      </c>
      <c r="F143" s="940" t="s">
        <v>558</v>
      </c>
      <c r="G143" s="1106">
        <v>7</v>
      </c>
      <c r="H143" s="1118">
        <v>265</v>
      </c>
      <c r="I143" s="1132" t="s">
        <v>270</v>
      </c>
      <c r="O143" s="1096">
        <f t="shared" ca="1" si="5"/>
        <v>32</v>
      </c>
      <c r="P143" s="1133">
        <f t="shared" ca="1" si="4"/>
        <v>32</v>
      </c>
      <c r="Q143" s="1133"/>
      <c r="R143" s="1133"/>
      <c r="U143" s="1096">
        <v>34678</v>
      </c>
      <c r="V143" s="9" t="s">
        <v>275</v>
      </c>
    </row>
    <row r="144" spans="1:22" ht="25.95" customHeight="1">
      <c r="A144" s="940">
        <v>141</v>
      </c>
      <c r="B144" s="1108">
        <v>34099</v>
      </c>
      <c r="C144" s="1102" t="s">
        <v>264</v>
      </c>
      <c r="D144" s="1103">
        <v>150484003</v>
      </c>
      <c r="E144" s="1104" t="s">
        <v>559</v>
      </c>
      <c r="F144" s="940" t="s">
        <v>560</v>
      </c>
      <c r="G144" s="1106">
        <v>7</v>
      </c>
      <c r="H144" s="1118">
        <v>266</v>
      </c>
      <c r="I144" s="1132" t="s">
        <v>270</v>
      </c>
      <c r="O144" s="1096">
        <f t="shared" ca="1" si="5"/>
        <v>33</v>
      </c>
      <c r="P144" s="1133">
        <f t="shared" ca="1" si="4"/>
        <v>33</v>
      </c>
      <c r="Q144" s="1133"/>
      <c r="R144" s="1133"/>
      <c r="U144" s="1096">
        <v>34099</v>
      </c>
      <c r="V144" s="9" t="s">
        <v>271</v>
      </c>
    </row>
    <row r="145" spans="1:22" ht="25.95" customHeight="1">
      <c r="A145" s="940">
        <v>142</v>
      </c>
      <c r="B145" s="1146" t="s">
        <v>561</v>
      </c>
      <c r="C145" s="1102" t="s">
        <v>264</v>
      </c>
      <c r="D145" s="1103">
        <v>150522984</v>
      </c>
      <c r="E145" s="1104" t="s">
        <v>562</v>
      </c>
      <c r="F145" s="940" t="s">
        <v>563</v>
      </c>
      <c r="G145" s="1106">
        <v>7</v>
      </c>
      <c r="H145" s="1118">
        <v>267</v>
      </c>
      <c r="I145" s="1132" t="s">
        <v>270</v>
      </c>
      <c r="O145" s="1096">
        <f t="shared" ca="1" si="5"/>
        <v>33</v>
      </c>
      <c r="P145" s="1133">
        <f t="shared" ca="1" si="4"/>
        <v>33</v>
      </c>
      <c r="Q145" s="1133"/>
      <c r="R145" s="1133"/>
      <c r="U145" s="1096" t="s">
        <v>561</v>
      </c>
      <c r="V145" s="9" t="s">
        <v>271</v>
      </c>
    </row>
    <row r="146" spans="1:22" ht="25.95" customHeight="1">
      <c r="A146" s="940">
        <v>143</v>
      </c>
      <c r="B146" s="1108">
        <v>35986</v>
      </c>
      <c r="C146" s="1102" t="s">
        <v>264</v>
      </c>
      <c r="D146" s="1103">
        <v>150849956</v>
      </c>
      <c r="E146" s="1104" t="s">
        <v>564</v>
      </c>
      <c r="F146" s="940" t="s">
        <v>565</v>
      </c>
      <c r="G146" s="1106">
        <v>7</v>
      </c>
      <c r="H146" s="1118">
        <v>268</v>
      </c>
      <c r="I146" s="1132" t="s">
        <v>270</v>
      </c>
      <c r="O146" s="1096">
        <f t="shared" ca="1" si="5"/>
        <v>28</v>
      </c>
      <c r="P146" s="1133">
        <f t="shared" ca="1" si="4"/>
        <v>28</v>
      </c>
      <c r="Q146" s="1133"/>
      <c r="R146" s="1133"/>
      <c r="U146" s="1096">
        <v>35986</v>
      </c>
      <c r="V146" s="9" t="s">
        <v>271</v>
      </c>
    </row>
    <row r="147" spans="1:22" ht="25.95" customHeight="1">
      <c r="A147" s="940">
        <v>144</v>
      </c>
      <c r="B147" s="1108">
        <v>30081</v>
      </c>
      <c r="C147" s="1109" t="s">
        <v>272</v>
      </c>
      <c r="D147" s="1103">
        <v>150699250</v>
      </c>
      <c r="E147" s="1104" t="s">
        <v>566</v>
      </c>
      <c r="F147" s="940" t="s">
        <v>567</v>
      </c>
      <c r="G147">
        <v>7</v>
      </c>
      <c r="H147" s="1118">
        <v>269</v>
      </c>
      <c r="I147" s="1132" t="s">
        <v>270</v>
      </c>
      <c r="O147" s="1096">
        <f t="shared" ca="1" si="5"/>
        <v>44</v>
      </c>
      <c r="P147" s="1133">
        <f t="shared" ca="1" si="4"/>
        <v>44</v>
      </c>
      <c r="Q147" s="1133"/>
      <c r="R147" s="1133"/>
      <c r="U147" s="1096">
        <v>30081</v>
      </c>
      <c r="V147" s="9" t="s">
        <v>275</v>
      </c>
    </row>
    <row r="148" spans="1:22" ht="25.95" customHeight="1">
      <c r="A148" s="940">
        <v>145</v>
      </c>
      <c r="B148" s="1108">
        <v>30555</v>
      </c>
      <c r="C148" s="1102" t="s">
        <v>264</v>
      </c>
      <c r="D148" s="1272" t="s">
        <v>568</v>
      </c>
      <c r="E148" s="1104" t="s">
        <v>569</v>
      </c>
      <c r="F148" s="940" t="s">
        <v>570</v>
      </c>
      <c r="G148" s="1106">
        <v>7</v>
      </c>
      <c r="H148" s="1118">
        <v>270</v>
      </c>
      <c r="I148" s="1132" t="s">
        <v>270</v>
      </c>
      <c r="O148" s="1096">
        <f t="shared" ca="1" si="5"/>
        <v>43</v>
      </c>
      <c r="P148" s="1133">
        <f t="shared" ca="1" si="4"/>
        <v>43</v>
      </c>
      <c r="Q148" s="1133"/>
      <c r="R148" s="1133"/>
      <c r="U148" s="1096">
        <v>30555</v>
      </c>
      <c r="V148" s="9" t="s">
        <v>271</v>
      </c>
    </row>
    <row r="149" spans="1:22" ht="25.95" customHeight="1">
      <c r="A149" s="940">
        <v>146</v>
      </c>
      <c r="B149" s="1108">
        <v>30817</v>
      </c>
      <c r="C149" s="1109" t="s">
        <v>272</v>
      </c>
      <c r="D149" s="1103">
        <v>160541149</v>
      </c>
      <c r="E149" s="1104" t="s">
        <v>571</v>
      </c>
      <c r="F149" s="940" t="s">
        <v>572</v>
      </c>
      <c r="G149" s="1106">
        <v>7</v>
      </c>
      <c r="H149" s="1118">
        <v>271</v>
      </c>
      <c r="I149" s="1132" t="s">
        <v>270</v>
      </c>
      <c r="O149" s="1096">
        <f t="shared" ca="1" si="5"/>
        <v>42</v>
      </c>
      <c r="P149" s="1133">
        <f t="shared" ca="1" si="4"/>
        <v>42</v>
      </c>
      <c r="Q149" s="1133"/>
      <c r="R149" s="1133"/>
      <c r="U149" s="1096">
        <v>30817</v>
      </c>
      <c r="V149" s="9" t="s">
        <v>275</v>
      </c>
    </row>
    <row r="150" spans="1:22" ht="25.95" customHeight="1">
      <c r="A150" s="940">
        <v>147</v>
      </c>
      <c r="B150" s="1108">
        <v>30695</v>
      </c>
      <c r="C150" s="1109" t="s">
        <v>272</v>
      </c>
      <c r="D150" s="1103">
        <v>150306097</v>
      </c>
      <c r="E150" s="1104" t="s">
        <v>573</v>
      </c>
      <c r="F150" s="940" t="s">
        <v>574</v>
      </c>
      <c r="G150" s="1106">
        <v>7</v>
      </c>
      <c r="H150" s="1118">
        <v>272</v>
      </c>
      <c r="I150" s="1132" t="s">
        <v>270</v>
      </c>
      <c r="O150" s="1096">
        <f t="shared" ca="1" si="5"/>
        <v>42</v>
      </c>
      <c r="P150" s="1133">
        <f t="shared" ca="1" si="4"/>
        <v>42</v>
      </c>
      <c r="Q150" s="1133"/>
      <c r="R150" s="1133"/>
      <c r="U150" s="1096">
        <v>30695</v>
      </c>
      <c r="V150" s="9" t="s">
        <v>275</v>
      </c>
    </row>
    <row r="151" spans="1:22" ht="25.95" customHeight="1">
      <c r="A151" s="940">
        <v>148</v>
      </c>
      <c r="B151" s="1108">
        <v>38240</v>
      </c>
      <c r="C151" s="1109" t="s">
        <v>272</v>
      </c>
      <c r="D151" s="1103">
        <v>150983081</v>
      </c>
      <c r="E151" s="1104" t="s">
        <v>575</v>
      </c>
      <c r="F151" s="940" t="s">
        <v>576</v>
      </c>
      <c r="G151" s="1106">
        <v>7</v>
      </c>
      <c r="H151" s="1118">
        <v>273</v>
      </c>
      <c r="I151" s="1132" t="s">
        <v>270</v>
      </c>
      <c r="O151" s="1096">
        <f t="shared" ca="1" si="5"/>
        <v>22</v>
      </c>
      <c r="P151" s="1133">
        <f t="shared" ca="1" si="4"/>
        <v>22</v>
      </c>
      <c r="Q151" s="1133"/>
      <c r="R151" s="1133"/>
      <c r="U151" s="1096">
        <v>38240</v>
      </c>
      <c r="V151" s="9" t="s">
        <v>275</v>
      </c>
    </row>
    <row r="152" spans="1:22" ht="25.95" customHeight="1">
      <c r="A152" s="940">
        <v>149</v>
      </c>
      <c r="B152" s="1108">
        <v>37895</v>
      </c>
      <c r="C152" s="1102" t="s">
        <v>264</v>
      </c>
      <c r="D152" s="1103">
        <v>200269631</v>
      </c>
      <c r="E152" s="1104" t="s">
        <v>577</v>
      </c>
      <c r="F152" s="940" t="s">
        <v>578</v>
      </c>
      <c r="G152" s="1106">
        <v>7</v>
      </c>
      <c r="H152" s="1118">
        <v>274</v>
      </c>
      <c r="I152" s="1132" t="s">
        <v>270</v>
      </c>
      <c r="O152" s="1096">
        <f t="shared" ca="1" si="5"/>
        <v>23</v>
      </c>
      <c r="P152" s="1133">
        <f t="shared" ca="1" si="4"/>
        <v>23</v>
      </c>
      <c r="Q152" s="1133"/>
      <c r="R152" s="1133"/>
      <c r="U152" s="1096">
        <v>37895</v>
      </c>
      <c r="V152" s="9" t="s">
        <v>271</v>
      </c>
    </row>
    <row r="153" spans="1:22" ht="25.95" customHeight="1">
      <c r="A153" s="940">
        <v>150</v>
      </c>
      <c r="B153" s="1108">
        <v>35804</v>
      </c>
      <c r="C153" s="1109" t="s">
        <v>272</v>
      </c>
      <c r="D153" s="1103">
        <v>150778859</v>
      </c>
      <c r="E153" s="1104" t="s">
        <v>579</v>
      </c>
      <c r="F153" s="940" t="s">
        <v>580</v>
      </c>
      <c r="G153" s="1106">
        <v>7</v>
      </c>
      <c r="H153" s="1118">
        <v>275</v>
      </c>
      <c r="I153" s="1132" t="s">
        <v>270</v>
      </c>
      <c r="O153" s="1096">
        <f t="shared" ca="1" si="5"/>
        <v>28</v>
      </c>
      <c r="P153" s="1133">
        <f t="shared" ca="1" si="4"/>
        <v>28</v>
      </c>
      <c r="Q153" s="1133"/>
      <c r="R153" s="1133"/>
      <c r="U153" s="1096">
        <v>35804</v>
      </c>
      <c r="V153" s="9" t="s">
        <v>275</v>
      </c>
    </row>
    <row r="154" spans="1:22" ht="25.95" customHeight="1">
      <c r="A154" s="940">
        <v>151</v>
      </c>
      <c r="B154" s="1108">
        <v>34805</v>
      </c>
      <c r="C154" s="1102" t="s">
        <v>264</v>
      </c>
      <c r="D154" s="1103">
        <v>150522917</v>
      </c>
      <c r="E154" s="1104" t="s">
        <v>581</v>
      </c>
      <c r="F154" s="940" t="s">
        <v>582</v>
      </c>
      <c r="G154" s="1106">
        <v>7</v>
      </c>
      <c r="H154" s="1118">
        <v>276</v>
      </c>
      <c r="I154" s="1132" t="s">
        <v>270</v>
      </c>
      <c r="O154" s="1096">
        <f t="shared" ca="1" si="5"/>
        <v>31</v>
      </c>
      <c r="P154" s="1133">
        <f t="shared" ca="1" si="4"/>
        <v>31</v>
      </c>
      <c r="Q154" s="1133"/>
      <c r="R154" s="1133"/>
      <c r="U154" s="1096">
        <v>34805</v>
      </c>
      <c r="V154" s="9" t="s">
        <v>271</v>
      </c>
    </row>
    <row r="155" spans="1:22" ht="25.95" customHeight="1">
      <c r="A155" s="940">
        <v>152</v>
      </c>
      <c r="B155" s="1108">
        <v>30362</v>
      </c>
      <c r="C155" s="1109" t="s">
        <v>272</v>
      </c>
      <c r="D155" s="1103">
        <v>150468275</v>
      </c>
      <c r="E155" s="1104" t="s">
        <v>583</v>
      </c>
      <c r="F155" s="940" t="s">
        <v>584</v>
      </c>
      <c r="G155" s="1106">
        <v>7</v>
      </c>
      <c r="H155" s="1118">
        <v>277</v>
      </c>
      <c r="I155" s="1132" t="s">
        <v>270</v>
      </c>
      <c r="O155" s="1096">
        <f t="shared" ca="1" si="5"/>
        <v>43</v>
      </c>
      <c r="P155" s="1133">
        <f t="shared" ca="1" si="4"/>
        <v>43</v>
      </c>
      <c r="Q155" s="1133"/>
      <c r="R155" s="1133"/>
      <c r="U155" s="1096">
        <v>30362</v>
      </c>
      <c r="V155" s="9" t="s">
        <v>275</v>
      </c>
    </row>
    <row r="156" spans="1:22" ht="25.95" customHeight="1">
      <c r="A156" s="940">
        <v>153</v>
      </c>
      <c r="B156" s="1108">
        <v>31294</v>
      </c>
      <c r="C156" s="1102" t="s">
        <v>264</v>
      </c>
      <c r="D156" s="1103">
        <v>150360124</v>
      </c>
      <c r="E156" s="1104" t="s">
        <v>585</v>
      </c>
      <c r="F156" s="940" t="s">
        <v>586</v>
      </c>
      <c r="G156" s="1106">
        <v>7</v>
      </c>
      <c r="H156" s="1118">
        <v>278</v>
      </c>
      <c r="I156" s="1132" t="s">
        <v>270</v>
      </c>
      <c r="O156" s="1096">
        <f t="shared" ca="1" si="5"/>
        <v>41</v>
      </c>
      <c r="P156" s="1133">
        <f t="shared" ca="1" si="4"/>
        <v>41</v>
      </c>
      <c r="Q156" s="1133"/>
      <c r="R156" s="1133"/>
      <c r="U156" s="1096">
        <v>31294</v>
      </c>
      <c r="V156" s="9" t="s">
        <v>271</v>
      </c>
    </row>
    <row r="157" spans="1:22" ht="25.95" customHeight="1">
      <c r="A157" s="940">
        <v>154</v>
      </c>
      <c r="B157" s="1108">
        <v>27931</v>
      </c>
      <c r="C157" s="1102" t="s">
        <v>264</v>
      </c>
      <c r="D157" s="1272" t="s">
        <v>587</v>
      </c>
      <c r="E157" s="1104" t="s">
        <v>588</v>
      </c>
      <c r="F157" s="940" t="s">
        <v>589</v>
      </c>
      <c r="G157" s="1106">
        <v>7</v>
      </c>
      <c r="H157" s="1118">
        <v>279</v>
      </c>
      <c r="I157" s="1132" t="s">
        <v>270</v>
      </c>
      <c r="O157" s="1096">
        <f t="shared" ca="1" si="5"/>
        <v>50</v>
      </c>
      <c r="P157" s="1133">
        <f t="shared" ca="1" si="4"/>
        <v>50</v>
      </c>
      <c r="Q157" s="1133"/>
      <c r="R157" s="1133"/>
      <c r="U157" s="1096">
        <v>27931</v>
      </c>
      <c r="V157" s="9" t="s">
        <v>271</v>
      </c>
    </row>
    <row r="158" spans="1:22" ht="25.95" customHeight="1">
      <c r="A158" s="940">
        <v>155</v>
      </c>
      <c r="B158" s="1108">
        <v>33624</v>
      </c>
      <c r="C158" s="1102" t="s">
        <v>264</v>
      </c>
      <c r="D158" s="1103">
        <v>150427585</v>
      </c>
      <c r="E158" s="1104" t="s">
        <v>590</v>
      </c>
      <c r="F158" s="940" t="s">
        <v>591</v>
      </c>
      <c r="G158" s="1106">
        <v>7</v>
      </c>
      <c r="H158" s="1118">
        <v>280</v>
      </c>
      <c r="I158" s="1132" t="s">
        <v>270</v>
      </c>
      <c r="O158" s="1096">
        <f t="shared" ca="1" si="5"/>
        <v>34</v>
      </c>
      <c r="P158" s="1133">
        <f t="shared" ca="1" si="4"/>
        <v>34</v>
      </c>
      <c r="Q158" s="1133"/>
      <c r="R158" s="1133"/>
      <c r="U158" s="1096">
        <v>33624</v>
      </c>
      <c r="V158" s="9" t="s">
        <v>271</v>
      </c>
    </row>
    <row r="159" spans="1:22" ht="25.95" customHeight="1">
      <c r="A159" s="940">
        <v>156</v>
      </c>
      <c r="B159" s="1108">
        <v>34145</v>
      </c>
      <c r="C159" s="1109" t="s">
        <v>272</v>
      </c>
      <c r="D159" s="1103">
        <v>220157977</v>
      </c>
      <c r="E159" s="1104" t="s">
        <v>592</v>
      </c>
      <c r="F159" s="940" t="s">
        <v>593</v>
      </c>
      <c r="G159" s="1106">
        <v>7</v>
      </c>
      <c r="H159" s="1118">
        <v>281</v>
      </c>
      <c r="I159" s="1132" t="s">
        <v>270</v>
      </c>
      <c r="O159" s="1096">
        <f t="shared" ca="1" si="5"/>
        <v>33</v>
      </c>
      <c r="P159" s="1133">
        <f t="shared" ca="1" si="4"/>
        <v>33</v>
      </c>
      <c r="Q159" s="1133"/>
      <c r="R159" s="1133"/>
      <c r="U159" s="1096">
        <v>34145</v>
      </c>
      <c r="V159" s="9" t="s">
        <v>275</v>
      </c>
    </row>
    <row r="160" spans="1:22" ht="25.95" customHeight="1">
      <c r="A160" s="940">
        <v>157</v>
      </c>
      <c r="B160" s="1108">
        <v>34711</v>
      </c>
      <c r="C160" s="1102" t="s">
        <v>264</v>
      </c>
      <c r="D160" s="1103" t="s">
        <v>594</v>
      </c>
      <c r="E160" s="1104" t="s">
        <v>595</v>
      </c>
      <c r="F160" s="940" t="s">
        <v>596</v>
      </c>
      <c r="G160" s="1106">
        <v>7</v>
      </c>
      <c r="H160" s="1118">
        <v>282</v>
      </c>
      <c r="I160" s="1132" t="s">
        <v>270</v>
      </c>
      <c r="O160" s="1096">
        <f t="shared" ca="1" si="5"/>
        <v>31</v>
      </c>
      <c r="P160" s="1133">
        <f t="shared" ca="1" si="4"/>
        <v>31</v>
      </c>
      <c r="Q160" s="1133"/>
      <c r="R160" s="1133"/>
      <c r="U160" s="1096">
        <v>34711</v>
      </c>
      <c r="V160" s="9" t="s">
        <v>271</v>
      </c>
    </row>
    <row r="161" spans="1:22" ht="25.95" customHeight="1">
      <c r="A161" s="940">
        <v>158</v>
      </c>
      <c r="B161" s="1108">
        <v>34473</v>
      </c>
      <c r="C161" s="1109" t="s">
        <v>272</v>
      </c>
      <c r="D161" s="1103">
        <v>220194831</v>
      </c>
      <c r="E161" s="1104" t="s">
        <v>597</v>
      </c>
      <c r="F161" s="940" t="s">
        <v>598</v>
      </c>
      <c r="G161" s="1106">
        <v>7</v>
      </c>
      <c r="H161" s="1118">
        <v>283</v>
      </c>
      <c r="I161" s="1132" t="s">
        <v>270</v>
      </c>
      <c r="O161" s="1096">
        <f t="shared" ca="1" si="5"/>
        <v>32</v>
      </c>
      <c r="P161" s="1133">
        <f t="shared" ca="1" si="4"/>
        <v>32</v>
      </c>
      <c r="Q161" s="1133"/>
      <c r="R161" s="1133"/>
      <c r="U161" s="1096">
        <v>34473</v>
      </c>
      <c r="V161" s="9" t="s">
        <v>275</v>
      </c>
    </row>
    <row r="162" spans="1:22" ht="25.95" customHeight="1">
      <c r="A162" s="940">
        <v>159</v>
      </c>
      <c r="B162" s="1108">
        <v>37165</v>
      </c>
      <c r="C162" s="1109" t="s">
        <v>272</v>
      </c>
      <c r="D162" s="1103">
        <v>220209055</v>
      </c>
      <c r="E162" s="1104" t="s">
        <v>599</v>
      </c>
      <c r="F162" s="940" t="s">
        <v>600</v>
      </c>
      <c r="G162" s="1106">
        <v>7</v>
      </c>
      <c r="H162" s="1118">
        <v>284</v>
      </c>
      <c r="I162" s="1132" t="s">
        <v>270</v>
      </c>
      <c r="O162" s="1096">
        <f t="shared" ca="1" si="5"/>
        <v>25</v>
      </c>
      <c r="P162" s="1133">
        <f t="shared" ca="1" si="4"/>
        <v>25</v>
      </c>
      <c r="Q162" s="1133"/>
      <c r="R162" s="1133"/>
      <c r="U162" s="1096">
        <v>37165</v>
      </c>
      <c r="V162" s="9" t="s">
        <v>275</v>
      </c>
    </row>
    <row r="163" spans="1:22" ht="25.95" customHeight="1">
      <c r="A163" s="940">
        <v>160</v>
      </c>
      <c r="B163" s="1108">
        <v>38446</v>
      </c>
      <c r="C163" s="1109" t="s">
        <v>272</v>
      </c>
      <c r="D163" s="1103">
        <v>151024368</v>
      </c>
      <c r="E163" s="1104" t="s">
        <v>601</v>
      </c>
      <c r="F163" s="940" t="s">
        <v>602</v>
      </c>
      <c r="G163" s="1106">
        <v>7</v>
      </c>
      <c r="H163" s="1118">
        <v>285</v>
      </c>
      <c r="I163" s="1132" t="s">
        <v>270</v>
      </c>
      <c r="O163" s="1096">
        <f t="shared" ca="1" si="5"/>
        <v>21</v>
      </c>
      <c r="P163" s="1133">
        <f t="shared" ca="1" si="4"/>
        <v>21</v>
      </c>
      <c r="Q163" s="1133"/>
      <c r="R163" s="1133"/>
      <c r="U163" s="1096">
        <v>38446</v>
      </c>
      <c r="V163" s="9" t="s">
        <v>275</v>
      </c>
    </row>
    <row r="164" spans="1:22" ht="25.95" customHeight="1">
      <c r="A164" s="940">
        <v>161</v>
      </c>
      <c r="B164" s="1108">
        <v>36402</v>
      </c>
      <c r="C164" s="1102" t="s">
        <v>264</v>
      </c>
      <c r="D164" s="1103">
        <v>170847271</v>
      </c>
      <c r="E164" s="1104" t="s">
        <v>603</v>
      </c>
      <c r="F164" s="940" t="s">
        <v>604</v>
      </c>
      <c r="G164" s="1106">
        <v>7</v>
      </c>
      <c r="H164" s="1118">
        <v>286</v>
      </c>
      <c r="I164" s="1132" t="s">
        <v>270</v>
      </c>
      <c r="O164" s="1096">
        <f t="shared" ca="1" si="5"/>
        <v>27</v>
      </c>
      <c r="P164" s="1133">
        <f t="shared" ca="1" si="4"/>
        <v>27</v>
      </c>
      <c r="Q164" s="1133"/>
      <c r="R164" s="1133"/>
      <c r="U164" s="1096">
        <v>36402</v>
      </c>
      <c r="V164" s="9" t="s">
        <v>271</v>
      </c>
    </row>
    <row r="165" spans="1:22" ht="25.95" customHeight="1">
      <c r="A165" s="940">
        <v>162</v>
      </c>
      <c r="B165" s="1108">
        <v>31792</v>
      </c>
      <c r="C165" s="1102" t="s">
        <v>264</v>
      </c>
      <c r="D165" s="1103">
        <v>180838374</v>
      </c>
      <c r="E165" s="1104" t="s">
        <v>605</v>
      </c>
      <c r="F165" s="940" t="s">
        <v>606</v>
      </c>
      <c r="G165" s="1106">
        <v>7</v>
      </c>
      <c r="H165" s="1118">
        <v>287</v>
      </c>
      <c r="I165" s="1132" t="s">
        <v>270</v>
      </c>
      <c r="O165" s="1096">
        <f t="shared" ca="1" si="5"/>
        <v>39</v>
      </c>
      <c r="P165" s="1133">
        <f t="shared" ca="1" si="4"/>
        <v>39</v>
      </c>
      <c r="Q165" s="1133"/>
      <c r="R165" s="1133"/>
      <c r="U165" s="1096">
        <v>31792</v>
      </c>
      <c r="V165" s="9" t="s">
        <v>271</v>
      </c>
    </row>
    <row r="166" spans="1:22" ht="25.95" customHeight="1">
      <c r="A166" s="940">
        <v>163</v>
      </c>
      <c r="B166" s="1108">
        <v>34895</v>
      </c>
      <c r="C166" s="1109" t="s">
        <v>272</v>
      </c>
      <c r="D166" s="1103">
        <v>150522943</v>
      </c>
      <c r="E166" s="1104" t="s">
        <v>607</v>
      </c>
      <c r="F166" s="940" t="s">
        <v>608</v>
      </c>
      <c r="G166" s="1106">
        <v>7</v>
      </c>
      <c r="H166" s="1118">
        <v>288</v>
      </c>
      <c r="I166" s="1132" t="s">
        <v>270</v>
      </c>
      <c r="O166" s="1096">
        <f t="shared" ca="1" si="5"/>
        <v>31</v>
      </c>
      <c r="P166" s="1133">
        <f t="shared" ca="1" si="4"/>
        <v>31</v>
      </c>
      <c r="Q166" s="1133"/>
      <c r="R166" s="1133"/>
      <c r="U166" s="1096">
        <v>34895</v>
      </c>
      <c r="V166" s="9" t="s">
        <v>275</v>
      </c>
    </row>
    <row r="167" spans="1:22" ht="25.95" customHeight="1">
      <c r="A167" s="940">
        <v>164</v>
      </c>
      <c r="B167" s="1108">
        <v>35958</v>
      </c>
      <c r="C167" s="1102" t="s">
        <v>264</v>
      </c>
      <c r="D167" s="1103">
        <v>150756456</v>
      </c>
      <c r="E167" s="1104" t="s">
        <v>609</v>
      </c>
      <c r="F167" s="940" t="s">
        <v>610</v>
      </c>
      <c r="G167" s="1106">
        <v>7</v>
      </c>
      <c r="H167" s="1118">
        <v>289</v>
      </c>
      <c r="I167" s="1132" t="s">
        <v>270</v>
      </c>
      <c r="O167" s="1096">
        <f t="shared" ca="1" si="5"/>
        <v>28</v>
      </c>
      <c r="P167" s="1133">
        <f t="shared" ca="1" si="4"/>
        <v>28</v>
      </c>
      <c r="Q167" s="1133"/>
      <c r="R167" s="1133"/>
      <c r="U167" s="1096">
        <v>35958</v>
      </c>
      <c r="V167" s="9" t="s">
        <v>271</v>
      </c>
    </row>
    <row r="168" spans="1:22" ht="25.95" customHeight="1">
      <c r="A168" s="940">
        <v>165</v>
      </c>
      <c r="B168" s="1108">
        <v>39786</v>
      </c>
      <c r="C168" s="1109" t="s">
        <v>272</v>
      </c>
      <c r="D168" s="1103">
        <v>151060416</v>
      </c>
      <c r="E168" s="1104" t="s">
        <v>611</v>
      </c>
      <c r="F168" s="940" t="s">
        <v>612</v>
      </c>
      <c r="G168" s="1106">
        <v>7</v>
      </c>
      <c r="H168" s="1118">
        <v>290</v>
      </c>
      <c r="I168" s="1132" t="s">
        <v>270</v>
      </c>
      <c r="O168" s="1096">
        <f t="shared" ca="1" si="5"/>
        <v>18</v>
      </c>
      <c r="P168" s="1133">
        <f t="shared" ca="1" si="4"/>
        <v>18</v>
      </c>
      <c r="Q168" s="1133"/>
      <c r="R168" s="1133"/>
      <c r="U168" s="1096">
        <v>39786</v>
      </c>
      <c r="V168" s="9" t="s">
        <v>275</v>
      </c>
    </row>
    <row r="169" spans="1:22" ht="25.95" customHeight="1">
      <c r="A169" s="940">
        <v>166</v>
      </c>
      <c r="B169" s="1108">
        <v>31787</v>
      </c>
      <c r="C169" s="1102" t="s">
        <v>264</v>
      </c>
      <c r="D169" s="1103">
        <v>160541150</v>
      </c>
      <c r="E169" s="1104" t="s">
        <v>613</v>
      </c>
      <c r="F169" s="940" t="s">
        <v>614</v>
      </c>
      <c r="G169" s="1106">
        <v>7</v>
      </c>
      <c r="H169" s="1118">
        <v>291</v>
      </c>
      <c r="I169" s="1132" t="s">
        <v>270</v>
      </c>
      <c r="O169" s="1096">
        <f t="shared" ca="1" si="5"/>
        <v>39</v>
      </c>
      <c r="P169" s="1133">
        <f t="shared" ca="1" si="4"/>
        <v>39</v>
      </c>
      <c r="Q169" s="1133"/>
      <c r="R169" s="1133"/>
      <c r="U169" s="1096">
        <v>31787</v>
      </c>
      <c r="V169" s="9" t="s">
        <v>271</v>
      </c>
    </row>
    <row r="170" spans="1:22" ht="25.95" customHeight="1">
      <c r="A170" s="940">
        <v>167</v>
      </c>
      <c r="B170" s="1108">
        <v>35280</v>
      </c>
      <c r="C170" s="1102" t="s">
        <v>264</v>
      </c>
      <c r="D170" s="1103">
        <v>220102070</v>
      </c>
      <c r="E170" s="1104" t="s">
        <v>615</v>
      </c>
      <c r="F170" s="940" t="s">
        <v>616</v>
      </c>
      <c r="G170" s="1106">
        <v>7</v>
      </c>
      <c r="H170" s="1118">
        <v>292</v>
      </c>
      <c r="I170" s="1132" t="s">
        <v>270</v>
      </c>
      <c r="O170" s="1096">
        <f t="shared" ca="1" si="5"/>
        <v>30</v>
      </c>
      <c r="P170" s="1133">
        <f t="shared" ca="1" si="4"/>
        <v>30</v>
      </c>
      <c r="Q170" s="1133"/>
      <c r="R170" s="1133"/>
      <c r="U170" s="1096">
        <v>35280</v>
      </c>
      <c r="V170" s="9" t="s">
        <v>271</v>
      </c>
    </row>
    <row r="171" spans="1:22" ht="25.95" customHeight="1">
      <c r="A171" s="940">
        <v>168</v>
      </c>
      <c r="B171" s="1108">
        <v>33868</v>
      </c>
      <c r="C171" s="1102" t="s">
        <v>264</v>
      </c>
      <c r="D171" s="1103">
        <v>150468418</v>
      </c>
      <c r="E171" s="1104" t="s">
        <v>617</v>
      </c>
      <c r="F171" s="940" t="s">
        <v>618</v>
      </c>
      <c r="G171" s="1106">
        <v>2</v>
      </c>
      <c r="H171" s="1117">
        <v>48</v>
      </c>
      <c r="I171" s="1132" t="s">
        <v>619</v>
      </c>
      <c r="O171" s="1096">
        <f t="shared" ca="1" si="5"/>
        <v>34</v>
      </c>
      <c r="P171" s="1133">
        <f t="shared" ca="1" si="4"/>
        <v>34</v>
      </c>
      <c r="Q171" s="1133"/>
      <c r="R171" s="1133"/>
      <c r="U171" s="1096">
        <v>33868</v>
      </c>
      <c r="V171" s="9" t="s">
        <v>271</v>
      </c>
    </row>
    <row r="172" spans="1:22" ht="25.95" customHeight="1">
      <c r="A172" s="940">
        <v>169</v>
      </c>
      <c r="B172" s="1108">
        <v>32060</v>
      </c>
      <c r="C172" s="1109" t="s">
        <v>272</v>
      </c>
      <c r="D172" s="1103">
        <v>150523352</v>
      </c>
      <c r="E172" s="1104" t="s">
        <v>620</v>
      </c>
      <c r="F172" s="1147" t="s">
        <v>621</v>
      </c>
      <c r="G172" s="1106">
        <v>2</v>
      </c>
      <c r="H172" s="1148">
        <v>49</v>
      </c>
      <c r="I172" s="1132" t="s">
        <v>619</v>
      </c>
      <c r="O172" s="1096">
        <f t="shared" ca="1" si="5"/>
        <v>39</v>
      </c>
      <c r="P172" s="1133">
        <f t="shared" ca="1" si="4"/>
        <v>39</v>
      </c>
      <c r="Q172" s="1133"/>
      <c r="R172" s="1133"/>
      <c r="U172" s="1096">
        <v>32060</v>
      </c>
      <c r="V172" s="9" t="s">
        <v>275</v>
      </c>
    </row>
    <row r="173" spans="1:22" ht="25.95" customHeight="1">
      <c r="A173" s="940">
        <v>170</v>
      </c>
      <c r="B173" s="1108">
        <v>34156</v>
      </c>
      <c r="C173" s="1109" t="s">
        <v>272</v>
      </c>
      <c r="D173" s="1103">
        <v>220234410</v>
      </c>
      <c r="E173" s="1104" t="s">
        <v>622</v>
      </c>
      <c r="F173" s="940" t="s">
        <v>623</v>
      </c>
      <c r="G173" s="1106">
        <v>2</v>
      </c>
      <c r="H173" s="1148">
        <v>50</v>
      </c>
      <c r="I173" s="1132" t="s">
        <v>619</v>
      </c>
      <c r="O173" s="1096">
        <f t="shared" ca="1" si="5"/>
        <v>33</v>
      </c>
      <c r="P173" s="1133">
        <f t="shared" ca="1" si="4"/>
        <v>33</v>
      </c>
      <c r="Q173" s="1133"/>
      <c r="R173" s="1133"/>
      <c r="U173" s="1096">
        <v>34156</v>
      </c>
      <c r="V173" s="9" t="s">
        <v>275</v>
      </c>
    </row>
    <row r="174" spans="1:22" ht="25.95" customHeight="1">
      <c r="A174" s="940">
        <v>171</v>
      </c>
      <c r="B174" s="1101">
        <v>33284</v>
      </c>
      <c r="C174" s="1102" t="s">
        <v>264</v>
      </c>
      <c r="D174" s="1103">
        <v>220123636</v>
      </c>
      <c r="E174" s="1104" t="s">
        <v>624</v>
      </c>
      <c r="F174" s="1105" t="s">
        <v>625</v>
      </c>
      <c r="G174" s="1106">
        <v>2</v>
      </c>
      <c r="H174" s="1148">
        <v>51</v>
      </c>
      <c r="I174" s="1132" t="s">
        <v>619</v>
      </c>
      <c r="O174" s="1096">
        <f t="shared" ca="1" si="5"/>
        <v>35</v>
      </c>
      <c r="P174" s="1133">
        <f t="shared" ca="1" si="4"/>
        <v>35</v>
      </c>
      <c r="Q174" s="1133"/>
      <c r="R174" s="1133"/>
      <c r="U174" s="1096">
        <v>33284</v>
      </c>
      <c r="V174" s="9" t="s">
        <v>271</v>
      </c>
    </row>
    <row r="175" spans="1:22" ht="25.95" customHeight="1">
      <c r="A175" s="940">
        <v>172</v>
      </c>
      <c r="B175" s="1108">
        <v>37809</v>
      </c>
      <c r="C175" s="1102" t="s">
        <v>264</v>
      </c>
      <c r="D175" s="1103">
        <v>220217185</v>
      </c>
      <c r="E175" s="1149" t="s">
        <v>626</v>
      </c>
      <c r="F175" s="1150" t="s">
        <v>627</v>
      </c>
      <c r="G175" s="1106">
        <v>2</v>
      </c>
      <c r="H175" s="1148">
        <v>52</v>
      </c>
      <c r="I175" s="1132" t="s">
        <v>619</v>
      </c>
      <c r="O175" s="1096">
        <f t="shared" ca="1" si="5"/>
        <v>23</v>
      </c>
      <c r="P175" s="1133">
        <f t="shared" ca="1" si="4"/>
        <v>23</v>
      </c>
      <c r="Q175" s="1108">
        <v>34125</v>
      </c>
      <c r="R175" s="1102" t="s">
        <v>264</v>
      </c>
      <c r="S175" s="1103">
        <v>150522862</v>
      </c>
      <c r="T175" s="1104" t="s">
        <v>628</v>
      </c>
      <c r="U175" s="1116" t="s">
        <v>629</v>
      </c>
      <c r="V175" s="9" t="s">
        <v>271</v>
      </c>
    </row>
    <row r="176" spans="1:22" ht="25.95" customHeight="1">
      <c r="A176" s="940">
        <v>173</v>
      </c>
      <c r="B176" s="1108">
        <v>34787</v>
      </c>
      <c r="C176" s="1109" t="s">
        <v>272</v>
      </c>
      <c r="D176" s="1103">
        <v>220097689</v>
      </c>
      <c r="E176" s="1104" t="s">
        <v>630</v>
      </c>
      <c r="F176" s="940" t="s">
        <v>631</v>
      </c>
      <c r="G176" s="1106">
        <v>2</v>
      </c>
      <c r="H176" s="1148">
        <v>53</v>
      </c>
      <c r="I176" s="1132" t="s">
        <v>619</v>
      </c>
      <c r="O176" s="1096">
        <f t="shared" ca="1" si="5"/>
        <v>31</v>
      </c>
      <c r="P176" s="1133">
        <f t="shared" ca="1" si="4"/>
        <v>31</v>
      </c>
      <c r="Q176" s="1133"/>
      <c r="R176" s="1133"/>
      <c r="U176" s="1096">
        <v>34787</v>
      </c>
      <c r="V176" s="9" t="s">
        <v>275</v>
      </c>
    </row>
    <row r="177" spans="1:22" ht="25.95" customHeight="1">
      <c r="A177" s="940">
        <v>174</v>
      </c>
      <c r="B177" s="1108">
        <v>33776</v>
      </c>
      <c r="C177" s="1102" t="s">
        <v>264</v>
      </c>
      <c r="D177" s="1103">
        <v>150483966</v>
      </c>
      <c r="E177" s="1104" t="s">
        <v>632</v>
      </c>
      <c r="F177" s="940" t="s">
        <v>633</v>
      </c>
      <c r="G177" s="1106">
        <v>2</v>
      </c>
      <c r="H177" s="1148">
        <v>54</v>
      </c>
      <c r="I177" s="1132" t="s">
        <v>619</v>
      </c>
      <c r="O177" s="1096">
        <f t="shared" ca="1" si="5"/>
        <v>34</v>
      </c>
      <c r="P177" s="1133">
        <f t="shared" ca="1" si="4"/>
        <v>34</v>
      </c>
      <c r="Q177" s="1133"/>
      <c r="R177" s="1133"/>
      <c r="U177" s="1096">
        <v>33776</v>
      </c>
      <c r="V177" s="9" t="s">
        <v>271</v>
      </c>
    </row>
    <row r="178" spans="1:22" ht="25.95" customHeight="1">
      <c r="A178" s="940">
        <v>175</v>
      </c>
      <c r="B178" s="1151">
        <v>31550</v>
      </c>
      <c r="C178" s="1109" t="s">
        <v>272</v>
      </c>
      <c r="D178" s="1103">
        <v>220071768</v>
      </c>
      <c r="E178" s="1104" t="s">
        <v>634</v>
      </c>
      <c r="F178" s="1152" t="s">
        <v>635</v>
      </c>
      <c r="G178" s="1106">
        <v>2</v>
      </c>
      <c r="H178" s="1148">
        <v>55</v>
      </c>
      <c r="I178" s="1132" t="s">
        <v>619</v>
      </c>
      <c r="O178" s="1096">
        <f t="shared" ca="1" si="5"/>
        <v>40</v>
      </c>
      <c r="P178" s="1133">
        <f t="shared" ca="1" si="4"/>
        <v>40</v>
      </c>
      <c r="Q178" s="1133"/>
      <c r="R178" s="1133"/>
      <c r="U178" s="1096">
        <v>31550</v>
      </c>
      <c r="V178" s="9" t="s">
        <v>275</v>
      </c>
    </row>
    <row r="179" spans="1:22" ht="25.95" customHeight="1">
      <c r="A179" s="940">
        <v>176</v>
      </c>
      <c r="B179" s="1153">
        <v>36411</v>
      </c>
      <c r="C179" s="1109" t="s">
        <v>272</v>
      </c>
      <c r="D179" s="1154">
        <v>220137755</v>
      </c>
      <c r="E179" s="1155" t="s">
        <v>636</v>
      </c>
      <c r="F179" s="1156" t="s">
        <v>637</v>
      </c>
      <c r="G179" s="1106">
        <v>2</v>
      </c>
      <c r="H179" s="1148">
        <v>56</v>
      </c>
      <c r="I179" s="1132" t="s">
        <v>619</v>
      </c>
      <c r="O179" s="1096">
        <f t="shared" ca="1" si="5"/>
        <v>27</v>
      </c>
      <c r="P179" s="1133">
        <f t="shared" ca="1" si="4"/>
        <v>27</v>
      </c>
      <c r="Q179" s="1133"/>
      <c r="R179" s="1133"/>
      <c r="U179" s="1096">
        <v>36411</v>
      </c>
      <c r="V179" s="9" t="s">
        <v>275</v>
      </c>
    </row>
    <row r="180" spans="1:22" ht="25.95" customHeight="1">
      <c r="A180" s="940">
        <v>177</v>
      </c>
      <c r="B180" s="1108">
        <v>36012</v>
      </c>
      <c r="C180" s="1109" t="s">
        <v>272</v>
      </c>
      <c r="D180" s="1103">
        <v>150889479</v>
      </c>
      <c r="E180" s="1104" t="s">
        <v>638</v>
      </c>
      <c r="F180" s="940" t="s">
        <v>639</v>
      </c>
      <c r="G180" s="1106">
        <v>2</v>
      </c>
      <c r="H180" s="1148">
        <v>57</v>
      </c>
      <c r="I180" s="1132" t="s">
        <v>619</v>
      </c>
      <c r="O180" s="1096">
        <f t="shared" ca="1" si="5"/>
        <v>28</v>
      </c>
      <c r="P180" s="1133">
        <f t="shared" ca="1" si="4"/>
        <v>28</v>
      </c>
      <c r="Q180" s="1133"/>
      <c r="R180" s="1133"/>
      <c r="U180" s="1096">
        <v>36012</v>
      </c>
      <c r="V180" s="9" t="s">
        <v>275</v>
      </c>
    </row>
    <row r="181" spans="1:22" ht="25.95" customHeight="1">
      <c r="A181" s="940">
        <v>178</v>
      </c>
      <c r="B181" s="1108">
        <v>34202</v>
      </c>
      <c r="C181" s="1102" t="s">
        <v>264</v>
      </c>
      <c r="D181" s="1103">
        <v>150468220</v>
      </c>
      <c r="E181" s="1104" t="s">
        <v>640</v>
      </c>
      <c r="F181" s="940" t="s">
        <v>641</v>
      </c>
      <c r="G181" s="1106">
        <v>2</v>
      </c>
      <c r="H181" s="1148">
        <v>58</v>
      </c>
      <c r="I181" s="1132" t="s">
        <v>619</v>
      </c>
      <c r="O181" s="1096">
        <f t="shared" ca="1" si="5"/>
        <v>33</v>
      </c>
      <c r="P181" s="1133">
        <f t="shared" ca="1" si="4"/>
        <v>33</v>
      </c>
      <c r="Q181" s="1133"/>
      <c r="R181" s="1133"/>
      <c r="U181" s="1096">
        <v>34202</v>
      </c>
      <c r="V181" s="9" t="s">
        <v>271</v>
      </c>
    </row>
    <row r="182" spans="1:22" ht="25.95" customHeight="1">
      <c r="A182" s="940">
        <v>179</v>
      </c>
      <c r="B182" s="1108">
        <v>35586</v>
      </c>
      <c r="C182" s="1102" t="s">
        <v>264</v>
      </c>
      <c r="D182" s="1103">
        <v>220102078</v>
      </c>
      <c r="E182" s="1104" t="s">
        <v>642</v>
      </c>
      <c r="F182" s="940" t="s">
        <v>643</v>
      </c>
      <c r="G182" s="1106">
        <v>2</v>
      </c>
      <c r="H182" s="1148">
        <v>59</v>
      </c>
      <c r="I182" s="1132" t="s">
        <v>619</v>
      </c>
      <c r="O182" s="1096">
        <f t="shared" ca="1" si="5"/>
        <v>29</v>
      </c>
      <c r="P182" s="1133">
        <f t="shared" ca="1" si="4"/>
        <v>29</v>
      </c>
      <c r="Q182" s="1133"/>
      <c r="R182" s="1133"/>
      <c r="U182" s="1096">
        <v>35586</v>
      </c>
      <c r="V182" s="9" t="s">
        <v>271</v>
      </c>
    </row>
    <row r="183" spans="1:22" ht="25.95" customHeight="1">
      <c r="A183" s="940">
        <v>180</v>
      </c>
      <c r="B183" s="1108">
        <v>36992</v>
      </c>
      <c r="C183" s="1109" t="s">
        <v>272</v>
      </c>
      <c r="D183" s="1103">
        <v>220208779</v>
      </c>
      <c r="E183" s="1104" t="s">
        <v>644</v>
      </c>
      <c r="F183" s="940" t="s">
        <v>645</v>
      </c>
      <c r="G183" s="1106">
        <v>2</v>
      </c>
      <c r="H183" s="1148">
        <v>60</v>
      </c>
      <c r="I183" s="1132" t="s">
        <v>619</v>
      </c>
      <c r="O183" s="1096">
        <f t="shared" ca="1" si="5"/>
        <v>25</v>
      </c>
      <c r="P183" s="1133">
        <f t="shared" ca="1" si="4"/>
        <v>25</v>
      </c>
      <c r="Q183" s="1133"/>
      <c r="R183" s="1133"/>
      <c r="U183" s="1096">
        <v>36992</v>
      </c>
      <c r="V183" s="9" t="s">
        <v>275</v>
      </c>
    </row>
    <row r="184" spans="1:22" ht="25.95" customHeight="1">
      <c r="A184" s="940">
        <v>181</v>
      </c>
      <c r="B184" s="1108">
        <v>36595</v>
      </c>
      <c r="C184" s="1109" t="s">
        <v>272</v>
      </c>
      <c r="D184" s="1103" t="s">
        <v>646</v>
      </c>
      <c r="E184" s="1104" t="s">
        <v>647</v>
      </c>
      <c r="F184" s="940" t="s">
        <v>648</v>
      </c>
      <c r="G184" s="1106">
        <v>2</v>
      </c>
      <c r="H184" s="1148">
        <v>61</v>
      </c>
      <c r="I184" s="1132" t="s">
        <v>619</v>
      </c>
      <c r="O184" s="1096">
        <f t="shared" ca="1" si="5"/>
        <v>26</v>
      </c>
      <c r="P184" s="1133">
        <f t="shared" ca="1" si="4"/>
        <v>26</v>
      </c>
      <c r="Q184" s="1133"/>
      <c r="R184" s="1133"/>
      <c r="U184" s="1096">
        <v>36595</v>
      </c>
      <c r="V184" s="9" t="s">
        <v>275</v>
      </c>
    </row>
    <row r="185" spans="1:22" ht="25.95" customHeight="1">
      <c r="A185" s="940">
        <v>182</v>
      </c>
      <c r="B185" s="1108">
        <v>31234</v>
      </c>
      <c r="C185" s="1109" t="s">
        <v>272</v>
      </c>
      <c r="D185" s="1103">
        <v>220175460</v>
      </c>
      <c r="E185" s="1104" t="s">
        <v>649</v>
      </c>
      <c r="F185" s="940" t="s">
        <v>650</v>
      </c>
      <c r="G185" s="1106">
        <v>2</v>
      </c>
      <c r="H185" s="1148">
        <v>62</v>
      </c>
      <c r="I185" s="1132" t="s">
        <v>619</v>
      </c>
      <c r="O185" s="1096">
        <f t="shared" ca="1" si="5"/>
        <v>41</v>
      </c>
      <c r="P185" s="1133">
        <f t="shared" ca="1" si="4"/>
        <v>41</v>
      </c>
      <c r="Q185" s="1133"/>
      <c r="R185" s="1133"/>
      <c r="U185" s="1096">
        <v>31234</v>
      </c>
      <c r="V185" s="9" t="s">
        <v>275</v>
      </c>
    </row>
    <row r="186" spans="1:22" ht="25.95" customHeight="1">
      <c r="A186" s="940">
        <v>183</v>
      </c>
      <c r="B186" s="1108">
        <v>35345</v>
      </c>
      <c r="C186" s="1102" t="s">
        <v>264</v>
      </c>
      <c r="D186" s="1103" t="s">
        <v>651</v>
      </c>
      <c r="E186" s="1104" t="s">
        <v>652</v>
      </c>
      <c r="F186" s="940" t="s">
        <v>653</v>
      </c>
      <c r="G186" s="1106">
        <v>2</v>
      </c>
      <c r="H186" s="1148">
        <v>63</v>
      </c>
      <c r="I186" s="1132" t="s">
        <v>619</v>
      </c>
      <c r="O186" s="1096">
        <f t="shared" ca="1" si="5"/>
        <v>30</v>
      </c>
      <c r="P186" s="1133">
        <f t="shared" ca="1" si="4"/>
        <v>30</v>
      </c>
      <c r="Q186" s="1133"/>
      <c r="R186" s="1133"/>
      <c r="U186" s="1096">
        <v>35345</v>
      </c>
      <c r="V186" s="9" t="s">
        <v>271</v>
      </c>
    </row>
    <row r="187" spans="1:22" ht="25.95" customHeight="1">
      <c r="A187" s="940">
        <v>184</v>
      </c>
      <c r="B187" s="1108">
        <v>33154</v>
      </c>
      <c r="C187" s="1102" t="s">
        <v>264</v>
      </c>
      <c r="D187" s="1103">
        <v>150468201</v>
      </c>
      <c r="E187" s="1104" t="s">
        <v>654</v>
      </c>
      <c r="F187" s="940" t="s">
        <v>655</v>
      </c>
      <c r="G187" s="1106">
        <v>2</v>
      </c>
      <c r="H187" s="1148">
        <v>64</v>
      </c>
      <c r="I187" s="1132" t="s">
        <v>619</v>
      </c>
      <c r="O187" s="1096">
        <f t="shared" ca="1" si="5"/>
        <v>36</v>
      </c>
      <c r="P187" s="1133">
        <f t="shared" ca="1" si="4"/>
        <v>36</v>
      </c>
      <c r="Q187" s="1133"/>
      <c r="R187" s="1133"/>
      <c r="U187" s="1096">
        <v>33154</v>
      </c>
      <c r="V187" s="9" t="s">
        <v>271</v>
      </c>
    </row>
    <row r="188" spans="1:22" ht="25.95" customHeight="1">
      <c r="A188" s="940">
        <v>185</v>
      </c>
      <c r="B188" s="1114">
        <v>32637</v>
      </c>
      <c r="C188" s="1109" t="s">
        <v>272</v>
      </c>
      <c r="D188" s="1111">
        <v>150811807</v>
      </c>
      <c r="E188" s="1112" t="s">
        <v>656</v>
      </c>
      <c r="F188" s="1113" t="s">
        <v>657</v>
      </c>
      <c r="G188" s="1106">
        <v>2</v>
      </c>
      <c r="H188" s="1148">
        <v>65</v>
      </c>
      <c r="I188" s="1132" t="s">
        <v>619</v>
      </c>
      <c r="O188" s="1096">
        <f t="shared" ca="1" si="5"/>
        <v>37</v>
      </c>
      <c r="P188" s="1133">
        <f t="shared" ca="1" si="4"/>
        <v>37</v>
      </c>
      <c r="Q188" s="1133"/>
      <c r="R188" s="1133"/>
      <c r="U188" s="1096">
        <v>32637</v>
      </c>
      <c r="V188" s="9" t="s">
        <v>275</v>
      </c>
    </row>
    <row r="189" spans="1:22" ht="25.95" customHeight="1">
      <c r="A189" s="940">
        <v>186</v>
      </c>
      <c r="B189" s="1108">
        <v>34976</v>
      </c>
      <c r="C189" s="1102" t="s">
        <v>264</v>
      </c>
      <c r="D189" s="1103">
        <v>150648038</v>
      </c>
      <c r="E189" s="1104" t="s">
        <v>658</v>
      </c>
      <c r="F189" s="940" t="s">
        <v>659</v>
      </c>
      <c r="G189" s="1106">
        <v>2</v>
      </c>
      <c r="H189" s="1148">
        <v>66</v>
      </c>
      <c r="I189" s="1132" t="s">
        <v>619</v>
      </c>
      <c r="O189" s="1096">
        <f t="shared" ca="1" si="5"/>
        <v>31</v>
      </c>
      <c r="P189" s="1133">
        <f t="shared" ca="1" si="4"/>
        <v>31</v>
      </c>
      <c r="Q189" s="1133"/>
      <c r="R189" s="1133"/>
      <c r="U189" s="1096">
        <v>34976</v>
      </c>
      <c r="V189" s="9" t="s">
        <v>271</v>
      </c>
    </row>
    <row r="190" spans="1:22" ht="25.95" customHeight="1">
      <c r="A190" s="940">
        <v>187</v>
      </c>
      <c r="B190" s="1108">
        <v>31103</v>
      </c>
      <c r="C190" s="1109" t="s">
        <v>272</v>
      </c>
      <c r="D190" s="1103">
        <v>150306508</v>
      </c>
      <c r="E190" s="1104" t="s">
        <v>660</v>
      </c>
      <c r="F190" s="940" t="s">
        <v>661</v>
      </c>
      <c r="G190" s="1106">
        <v>2</v>
      </c>
      <c r="H190" s="1148">
        <v>67</v>
      </c>
      <c r="I190" s="1132" t="s">
        <v>619</v>
      </c>
      <c r="O190" s="1096">
        <f t="shared" ca="1" si="5"/>
        <v>41</v>
      </c>
      <c r="P190" s="1133">
        <f t="shared" ca="1" si="4"/>
        <v>41</v>
      </c>
      <c r="Q190" s="1133"/>
      <c r="R190" s="1133"/>
      <c r="U190" s="1096">
        <v>31103</v>
      </c>
      <c r="V190" s="9" t="s">
        <v>275</v>
      </c>
    </row>
    <row r="191" spans="1:22" ht="25.95" customHeight="1">
      <c r="A191" s="940">
        <v>188</v>
      </c>
      <c r="B191" s="1108">
        <v>37309</v>
      </c>
      <c r="C191" s="1109" t="s">
        <v>272</v>
      </c>
      <c r="D191" s="1103">
        <v>150935164</v>
      </c>
      <c r="E191" s="1104" t="s">
        <v>662</v>
      </c>
      <c r="F191" s="940" t="s">
        <v>663</v>
      </c>
      <c r="G191" s="1106">
        <v>2</v>
      </c>
      <c r="H191" s="1148">
        <v>68</v>
      </c>
      <c r="I191" s="1132" t="s">
        <v>619</v>
      </c>
      <c r="O191" s="1096">
        <f t="shared" ca="1" si="5"/>
        <v>24</v>
      </c>
      <c r="P191" s="1133">
        <f t="shared" ref="P191:P254" ca="1" si="6">IF(O191&lt;=59,O191,IF(O191=60,1))</f>
        <v>24</v>
      </c>
      <c r="Q191" s="1133"/>
      <c r="R191" s="1133"/>
      <c r="U191" s="1096">
        <v>37309</v>
      </c>
      <c r="V191" s="9" t="s">
        <v>275</v>
      </c>
    </row>
    <row r="192" spans="1:22" ht="25.95" customHeight="1">
      <c r="A192" s="940">
        <v>189</v>
      </c>
      <c r="B192" s="1108">
        <v>34155</v>
      </c>
      <c r="C192" s="1102" t="s">
        <v>264</v>
      </c>
      <c r="D192" s="1103">
        <v>220234390</v>
      </c>
      <c r="E192" s="1104" t="s">
        <v>664</v>
      </c>
      <c r="F192" s="940" t="s">
        <v>665</v>
      </c>
      <c r="G192" s="1106">
        <v>2</v>
      </c>
      <c r="H192" s="1148">
        <v>69</v>
      </c>
      <c r="I192" s="1132" t="s">
        <v>619</v>
      </c>
      <c r="O192" s="1096">
        <f t="shared" ca="1" si="5"/>
        <v>33</v>
      </c>
      <c r="P192" s="1133">
        <f t="shared" ca="1" si="6"/>
        <v>33</v>
      </c>
      <c r="Q192" s="1133"/>
      <c r="R192" s="1133"/>
      <c r="U192" s="1096">
        <v>34155</v>
      </c>
      <c r="V192" s="9" t="s">
        <v>271</v>
      </c>
    </row>
    <row r="193" spans="1:22" ht="25.95" customHeight="1">
      <c r="A193" s="940">
        <v>190</v>
      </c>
      <c r="B193" s="1108">
        <v>35130</v>
      </c>
      <c r="C193" s="1109" t="s">
        <v>272</v>
      </c>
      <c r="D193" s="1103">
        <v>150523488</v>
      </c>
      <c r="E193" s="1104" t="s">
        <v>666</v>
      </c>
      <c r="F193" s="940" t="s">
        <v>667</v>
      </c>
      <c r="G193" s="1106">
        <v>2</v>
      </c>
      <c r="H193" s="1148">
        <v>70</v>
      </c>
      <c r="I193" s="1132" t="s">
        <v>619</v>
      </c>
      <c r="O193" s="1096">
        <f t="shared" ca="1" si="5"/>
        <v>30</v>
      </c>
      <c r="P193" s="1133">
        <f t="shared" ca="1" si="6"/>
        <v>30</v>
      </c>
      <c r="Q193" s="1133"/>
      <c r="R193" s="1133"/>
      <c r="U193" s="1096">
        <v>35130</v>
      </c>
      <c r="V193" s="9" t="s">
        <v>275</v>
      </c>
    </row>
    <row r="194" spans="1:22" ht="25.95" customHeight="1">
      <c r="A194" s="940">
        <v>191</v>
      </c>
      <c r="B194" s="1108">
        <v>35470</v>
      </c>
      <c r="C194" s="1102" t="s">
        <v>264</v>
      </c>
      <c r="D194" s="1103">
        <v>150522955</v>
      </c>
      <c r="E194" s="1104" t="s">
        <v>668</v>
      </c>
      <c r="F194" s="940" t="s">
        <v>669</v>
      </c>
      <c r="G194" s="1106">
        <v>2</v>
      </c>
      <c r="H194" s="1148">
        <v>71</v>
      </c>
      <c r="I194" s="1132" t="s">
        <v>619</v>
      </c>
      <c r="O194" s="1096">
        <f t="shared" ca="1" si="5"/>
        <v>29</v>
      </c>
      <c r="P194" s="1133">
        <f t="shared" ca="1" si="6"/>
        <v>29</v>
      </c>
      <c r="Q194" s="1133"/>
      <c r="R194" s="1133"/>
      <c r="U194" s="1096">
        <v>35470</v>
      </c>
      <c r="V194" s="9" t="s">
        <v>271</v>
      </c>
    </row>
    <row r="195" spans="1:22" ht="25.95" customHeight="1">
      <c r="A195" s="940">
        <v>192</v>
      </c>
      <c r="B195" s="1108">
        <v>35079</v>
      </c>
      <c r="C195" s="1109" t="s">
        <v>272</v>
      </c>
      <c r="D195" s="1103">
        <v>150574688</v>
      </c>
      <c r="E195" s="1104" t="s">
        <v>670</v>
      </c>
      <c r="F195" s="1105" t="s">
        <v>671</v>
      </c>
      <c r="G195" s="1106">
        <v>2</v>
      </c>
      <c r="H195" s="1148">
        <v>72</v>
      </c>
      <c r="I195" s="1132" t="s">
        <v>619</v>
      </c>
      <c r="O195" s="1096">
        <f t="shared" ca="1" si="5"/>
        <v>30</v>
      </c>
      <c r="P195" s="1133">
        <f t="shared" ca="1" si="6"/>
        <v>30</v>
      </c>
      <c r="Q195" s="1133"/>
      <c r="R195" s="1133"/>
      <c r="U195" s="1096">
        <v>35079</v>
      </c>
      <c r="V195" s="9" t="s">
        <v>275</v>
      </c>
    </row>
    <row r="196" spans="1:22" ht="25.95" customHeight="1">
      <c r="A196" s="940">
        <v>193</v>
      </c>
      <c r="B196" s="1108">
        <v>33127</v>
      </c>
      <c r="C196" s="1109" t="s">
        <v>272</v>
      </c>
      <c r="D196" s="1103">
        <v>150427586</v>
      </c>
      <c r="E196" s="1104" t="s">
        <v>672</v>
      </c>
      <c r="F196" s="1116" t="s">
        <v>673</v>
      </c>
      <c r="G196" s="1106">
        <v>2</v>
      </c>
      <c r="H196" s="1148">
        <v>73</v>
      </c>
      <c r="I196" s="1132" t="s">
        <v>619</v>
      </c>
      <c r="O196" s="1096">
        <f t="shared" ca="1" si="5"/>
        <v>36</v>
      </c>
      <c r="P196" s="1133">
        <f t="shared" ca="1" si="6"/>
        <v>36</v>
      </c>
      <c r="Q196" s="1133"/>
      <c r="R196" s="1133"/>
      <c r="U196" s="1096">
        <v>33127</v>
      </c>
      <c r="V196" s="9" t="s">
        <v>275</v>
      </c>
    </row>
    <row r="197" spans="1:22" ht="25.95" customHeight="1">
      <c r="A197" s="940">
        <v>194</v>
      </c>
      <c r="B197" s="1108">
        <v>33612</v>
      </c>
      <c r="C197" s="1109" t="s">
        <v>272</v>
      </c>
      <c r="D197" s="1103">
        <v>150470017</v>
      </c>
      <c r="E197" s="1104" t="s">
        <v>674</v>
      </c>
      <c r="F197" s="940" t="s">
        <v>675</v>
      </c>
      <c r="G197" s="1106">
        <v>2</v>
      </c>
      <c r="H197" s="1148">
        <v>74</v>
      </c>
      <c r="I197" s="1132" t="s">
        <v>619</v>
      </c>
      <c r="O197" s="1096">
        <f t="shared" ref="O197:O260" ca="1" si="7">YEAR(NOW())-YEAR(B197)</f>
        <v>34</v>
      </c>
      <c r="P197" s="1133">
        <f t="shared" ca="1" si="6"/>
        <v>34</v>
      </c>
      <c r="Q197" s="1133"/>
      <c r="R197" s="1133"/>
      <c r="U197" s="1096">
        <v>33612</v>
      </c>
      <c r="V197" s="9" t="s">
        <v>275</v>
      </c>
    </row>
    <row r="198" spans="1:22" ht="25.95" customHeight="1">
      <c r="A198" s="940">
        <v>195</v>
      </c>
      <c r="B198" s="1108">
        <v>34141</v>
      </c>
      <c r="C198" s="1102" t="s">
        <v>264</v>
      </c>
      <c r="D198" s="1103">
        <v>150468211</v>
      </c>
      <c r="E198" s="1104" t="s">
        <v>676</v>
      </c>
      <c r="F198" s="940" t="s">
        <v>677</v>
      </c>
      <c r="G198" s="1106">
        <v>2</v>
      </c>
      <c r="H198" s="1148">
        <v>75</v>
      </c>
      <c r="I198" s="1132" t="s">
        <v>619</v>
      </c>
      <c r="O198" s="1096">
        <f t="shared" ca="1" si="7"/>
        <v>33</v>
      </c>
      <c r="P198" s="1133">
        <f t="shared" ca="1" si="6"/>
        <v>33</v>
      </c>
      <c r="Q198" s="1133"/>
      <c r="R198" s="1133"/>
      <c r="U198" s="1096">
        <v>34141</v>
      </c>
      <c r="V198" s="9" t="s">
        <v>271</v>
      </c>
    </row>
    <row r="199" spans="1:22" ht="25.95" customHeight="1">
      <c r="A199" s="940">
        <v>196</v>
      </c>
      <c r="B199" s="1108">
        <v>36262</v>
      </c>
      <c r="C199" s="1109" t="s">
        <v>272</v>
      </c>
      <c r="D199" s="1103">
        <v>150981378</v>
      </c>
      <c r="E199" s="1104" t="s">
        <v>678</v>
      </c>
      <c r="F199" s="940" t="s">
        <v>679</v>
      </c>
      <c r="G199" s="1106">
        <v>2</v>
      </c>
      <c r="H199" s="1148">
        <v>76</v>
      </c>
      <c r="I199" s="1132" t="s">
        <v>619</v>
      </c>
      <c r="O199" s="1096">
        <f t="shared" ca="1" si="7"/>
        <v>27</v>
      </c>
      <c r="P199" s="1133">
        <f t="shared" ca="1" si="6"/>
        <v>27</v>
      </c>
      <c r="Q199" s="1133"/>
      <c r="R199" s="1133"/>
      <c r="U199" s="1096">
        <v>35071</v>
      </c>
      <c r="V199" s="9" t="s">
        <v>271</v>
      </c>
    </row>
    <row r="200" spans="1:22" ht="25.95" customHeight="1">
      <c r="A200" s="940">
        <v>197</v>
      </c>
      <c r="B200" s="1108">
        <v>30932</v>
      </c>
      <c r="C200" s="1102" t="s">
        <v>264</v>
      </c>
      <c r="D200" s="1103">
        <v>220175459</v>
      </c>
      <c r="E200" s="1104" t="s">
        <v>680</v>
      </c>
      <c r="F200" s="940" t="s">
        <v>681</v>
      </c>
      <c r="G200" s="1106">
        <v>2</v>
      </c>
      <c r="H200" s="1148">
        <v>77</v>
      </c>
      <c r="I200" s="1132" t="s">
        <v>619</v>
      </c>
      <c r="O200" s="1096">
        <f t="shared" ca="1" si="7"/>
        <v>42</v>
      </c>
      <c r="P200" s="1133">
        <f t="shared" ca="1" si="6"/>
        <v>42</v>
      </c>
      <c r="Q200" s="1133"/>
      <c r="R200" s="1133"/>
      <c r="U200" s="1096">
        <v>30932</v>
      </c>
      <c r="V200" s="9" t="s">
        <v>271</v>
      </c>
    </row>
    <row r="201" spans="1:22" ht="32.4" customHeight="1">
      <c r="A201" s="940">
        <v>198</v>
      </c>
      <c r="B201" s="1101">
        <v>36574</v>
      </c>
      <c r="C201" s="1102" t="s">
        <v>264</v>
      </c>
      <c r="D201" s="1103">
        <v>220140665</v>
      </c>
      <c r="E201" s="1104" t="s">
        <v>682</v>
      </c>
      <c r="F201" s="1157" t="s">
        <v>683</v>
      </c>
      <c r="G201" s="1106">
        <v>2</v>
      </c>
      <c r="H201" s="1148">
        <v>78</v>
      </c>
      <c r="I201" s="1132" t="s">
        <v>619</v>
      </c>
      <c r="O201" s="1096">
        <f t="shared" ca="1" si="7"/>
        <v>26</v>
      </c>
      <c r="P201" s="1133">
        <f t="shared" ca="1" si="6"/>
        <v>26</v>
      </c>
      <c r="Q201" s="1133"/>
      <c r="R201" s="1133"/>
      <c r="U201" s="1096">
        <v>36574</v>
      </c>
      <c r="V201" s="9" t="s">
        <v>271</v>
      </c>
    </row>
    <row r="202" spans="1:22" ht="25.95" customHeight="1">
      <c r="A202" s="940">
        <v>199</v>
      </c>
      <c r="B202" s="1108">
        <v>30786</v>
      </c>
      <c r="C202" s="1102" t="s">
        <v>264</v>
      </c>
      <c r="D202" s="1103">
        <v>220175435</v>
      </c>
      <c r="E202" s="1104" t="s">
        <v>684</v>
      </c>
      <c r="F202" s="940" t="s">
        <v>685</v>
      </c>
      <c r="G202" s="1106">
        <v>2</v>
      </c>
      <c r="H202" s="1148">
        <v>79</v>
      </c>
      <c r="I202" s="1132" t="s">
        <v>619</v>
      </c>
      <c r="O202" s="1096">
        <f t="shared" ca="1" si="7"/>
        <v>42</v>
      </c>
      <c r="P202" s="1133">
        <f t="shared" ca="1" si="6"/>
        <v>42</v>
      </c>
      <c r="Q202" s="1133"/>
      <c r="R202" s="1133"/>
      <c r="U202" s="1096">
        <v>30786</v>
      </c>
      <c r="V202" s="9" t="s">
        <v>271</v>
      </c>
    </row>
    <row r="203" spans="1:22" ht="25.95" customHeight="1">
      <c r="A203" s="940">
        <v>200</v>
      </c>
      <c r="B203" s="1108">
        <v>34073</v>
      </c>
      <c r="C203" s="1109" t="s">
        <v>272</v>
      </c>
      <c r="D203" s="1103">
        <v>220234391</v>
      </c>
      <c r="E203" s="1104" t="s">
        <v>686</v>
      </c>
      <c r="F203" s="940" t="s">
        <v>687</v>
      </c>
      <c r="G203" s="1106">
        <v>2</v>
      </c>
      <c r="H203" s="1148">
        <v>80</v>
      </c>
      <c r="I203" s="1132" t="s">
        <v>619</v>
      </c>
      <c r="O203" s="1096">
        <f t="shared" ca="1" si="7"/>
        <v>33</v>
      </c>
      <c r="P203" s="1133">
        <f t="shared" ca="1" si="6"/>
        <v>33</v>
      </c>
      <c r="Q203" s="1133"/>
      <c r="R203" s="1133"/>
      <c r="U203" s="1096">
        <v>34073</v>
      </c>
      <c r="V203" s="9" t="s">
        <v>275</v>
      </c>
    </row>
    <row r="204" spans="1:22" ht="25.95" customHeight="1">
      <c r="A204" s="940">
        <v>201</v>
      </c>
      <c r="B204" s="1108">
        <v>35051</v>
      </c>
      <c r="C204" s="1102" t="s">
        <v>264</v>
      </c>
      <c r="D204" s="1103" t="s">
        <v>688</v>
      </c>
      <c r="E204" s="1104" t="s">
        <v>689</v>
      </c>
      <c r="F204" s="940" t="s">
        <v>690</v>
      </c>
      <c r="G204" s="1106">
        <v>2</v>
      </c>
      <c r="H204" s="1148">
        <v>81</v>
      </c>
      <c r="I204" s="1132" t="s">
        <v>619</v>
      </c>
      <c r="O204" s="1096">
        <f t="shared" ca="1" si="7"/>
        <v>31</v>
      </c>
      <c r="P204" s="1133">
        <f t="shared" ca="1" si="6"/>
        <v>31</v>
      </c>
      <c r="Q204" s="1133"/>
      <c r="R204" s="1133"/>
      <c r="U204" s="1096">
        <v>35051</v>
      </c>
      <c r="V204" s="9" t="s">
        <v>271</v>
      </c>
    </row>
    <row r="205" spans="1:22" ht="25.95" customHeight="1">
      <c r="A205" s="940">
        <v>202</v>
      </c>
      <c r="B205" s="1115">
        <v>37652</v>
      </c>
      <c r="C205" s="1102" t="s">
        <v>264</v>
      </c>
      <c r="D205" s="1111" t="s">
        <v>691</v>
      </c>
      <c r="E205" s="1112" t="s">
        <v>692</v>
      </c>
      <c r="F205" s="1158" t="s">
        <v>693</v>
      </c>
      <c r="G205" s="1106">
        <v>2</v>
      </c>
      <c r="H205" s="1148">
        <v>82</v>
      </c>
      <c r="I205" s="1132" t="s">
        <v>619</v>
      </c>
      <c r="O205" s="1096">
        <f t="shared" ca="1" si="7"/>
        <v>23</v>
      </c>
      <c r="P205" s="1133">
        <f t="shared" ca="1" si="6"/>
        <v>23</v>
      </c>
      <c r="Q205" s="1133"/>
      <c r="R205" s="1133"/>
      <c r="U205" s="1096">
        <v>37652</v>
      </c>
      <c r="V205" s="9" t="s">
        <v>271</v>
      </c>
    </row>
    <row r="206" spans="1:22" ht="25.95" customHeight="1">
      <c r="A206" s="940">
        <v>203</v>
      </c>
      <c r="B206" s="1108">
        <v>35158</v>
      </c>
      <c r="C206" s="1102" t="s">
        <v>264</v>
      </c>
      <c r="D206" s="1103">
        <v>180544724</v>
      </c>
      <c r="E206" s="1104" t="s">
        <v>694</v>
      </c>
      <c r="F206" s="940" t="s">
        <v>695</v>
      </c>
      <c r="G206" s="1106">
        <v>2</v>
      </c>
      <c r="H206" s="1148">
        <v>83</v>
      </c>
      <c r="I206" s="1132" t="s">
        <v>619</v>
      </c>
      <c r="O206" s="1096">
        <f t="shared" ca="1" si="7"/>
        <v>30</v>
      </c>
      <c r="P206" s="1133">
        <f t="shared" ca="1" si="6"/>
        <v>30</v>
      </c>
      <c r="Q206" s="1133"/>
      <c r="R206" s="1133"/>
      <c r="U206" s="1096">
        <v>35158</v>
      </c>
      <c r="V206" s="9" t="s">
        <v>271</v>
      </c>
    </row>
    <row r="207" spans="1:22" ht="25.95" customHeight="1">
      <c r="A207" s="940">
        <v>204</v>
      </c>
      <c r="B207" s="1108">
        <v>35071</v>
      </c>
      <c r="C207" s="1102" t="s">
        <v>264</v>
      </c>
      <c r="D207" s="1103">
        <v>220208916</v>
      </c>
      <c r="E207" s="1104" t="s">
        <v>696</v>
      </c>
      <c r="F207" s="940" t="s">
        <v>697</v>
      </c>
      <c r="G207" s="1106">
        <v>2</v>
      </c>
      <c r="H207" s="1148">
        <v>84</v>
      </c>
      <c r="I207" s="1132" t="s">
        <v>619</v>
      </c>
      <c r="O207" s="1096">
        <f t="shared" ca="1" si="7"/>
        <v>30</v>
      </c>
      <c r="P207" s="1133">
        <f t="shared" ca="1" si="6"/>
        <v>30</v>
      </c>
      <c r="Q207" s="1133"/>
      <c r="R207" s="1133"/>
      <c r="U207" s="1096">
        <v>32978</v>
      </c>
      <c r="V207" s="9" t="s">
        <v>275</v>
      </c>
    </row>
    <row r="208" spans="1:22" ht="25.95" customHeight="1">
      <c r="A208" s="940">
        <v>205</v>
      </c>
      <c r="B208" s="1108">
        <v>33063</v>
      </c>
      <c r="C208" s="1109" t="s">
        <v>272</v>
      </c>
      <c r="D208" s="1103" t="s">
        <v>698</v>
      </c>
      <c r="E208" s="1104" t="s">
        <v>699</v>
      </c>
      <c r="F208" s="940" t="s">
        <v>700</v>
      </c>
      <c r="G208" s="1106">
        <v>2</v>
      </c>
      <c r="H208" s="1148">
        <v>85</v>
      </c>
      <c r="I208" s="1132" t="s">
        <v>619</v>
      </c>
      <c r="O208" s="1096">
        <f t="shared" ca="1" si="7"/>
        <v>36</v>
      </c>
      <c r="P208" s="1133">
        <f t="shared" ca="1" si="6"/>
        <v>36</v>
      </c>
      <c r="Q208" s="1133"/>
      <c r="R208" s="1133"/>
      <c r="U208" s="1096">
        <v>33063</v>
      </c>
      <c r="V208" s="9" t="s">
        <v>275</v>
      </c>
    </row>
    <row r="209" spans="1:22" ht="25.95" customHeight="1">
      <c r="A209" s="940">
        <v>206</v>
      </c>
      <c r="B209" s="1108">
        <v>35967</v>
      </c>
      <c r="C209" s="1102" t="s">
        <v>264</v>
      </c>
      <c r="D209" s="1103">
        <v>150648385</v>
      </c>
      <c r="E209" s="1104" t="s">
        <v>701</v>
      </c>
      <c r="F209" s="940" t="s">
        <v>702</v>
      </c>
      <c r="G209" s="1106">
        <v>2</v>
      </c>
      <c r="H209" s="1148">
        <v>86</v>
      </c>
      <c r="I209" s="1132" t="s">
        <v>619</v>
      </c>
      <c r="O209" s="1096">
        <f t="shared" ca="1" si="7"/>
        <v>28</v>
      </c>
      <c r="P209" s="1133">
        <f t="shared" ca="1" si="6"/>
        <v>28</v>
      </c>
      <c r="Q209" s="1133"/>
      <c r="R209" s="1133"/>
      <c r="U209" s="1096">
        <v>35967</v>
      </c>
      <c r="V209" s="9" t="s">
        <v>271</v>
      </c>
    </row>
    <row r="210" spans="1:22" ht="25.95" customHeight="1">
      <c r="A210" s="940">
        <v>207</v>
      </c>
      <c r="B210" s="1108">
        <v>34132</v>
      </c>
      <c r="C210" s="1109" t="s">
        <v>272</v>
      </c>
      <c r="D210" s="1103">
        <v>150759229</v>
      </c>
      <c r="E210" s="1104" t="s">
        <v>703</v>
      </c>
      <c r="F210" s="940" t="s">
        <v>704</v>
      </c>
      <c r="G210" s="1106">
        <v>2</v>
      </c>
      <c r="H210" s="1148">
        <v>87</v>
      </c>
      <c r="I210" s="1132" t="s">
        <v>619</v>
      </c>
      <c r="O210" s="1096">
        <f t="shared" ca="1" si="7"/>
        <v>33</v>
      </c>
      <c r="P210" s="1133">
        <f t="shared" ca="1" si="6"/>
        <v>33</v>
      </c>
      <c r="Q210" s="1133"/>
      <c r="R210" s="1133"/>
      <c r="U210" s="1096">
        <v>34132</v>
      </c>
      <c r="V210" s="9" t="s">
        <v>275</v>
      </c>
    </row>
    <row r="211" spans="1:22" ht="25.95" customHeight="1">
      <c r="A211" s="940">
        <v>208</v>
      </c>
      <c r="B211" s="1108">
        <v>36202</v>
      </c>
      <c r="C211" s="1102" t="s">
        <v>264</v>
      </c>
      <c r="D211" s="1103">
        <v>150836140</v>
      </c>
      <c r="E211" s="1104" t="s">
        <v>705</v>
      </c>
      <c r="F211" s="940" t="s">
        <v>706</v>
      </c>
      <c r="G211" s="1106">
        <v>2</v>
      </c>
      <c r="H211" s="1148">
        <v>88</v>
      </c>
      <c r="I211" s="1132" t="s">
        <v>619</v>
      </c>
      <c r="O211" s="1096">
        <f t="shared" ca="1" si="7"/>
        <v>27</v>
      </c>
      <c r="P211" s="1133">
        <f t="shared" ca="1" si="6"/>
        <v>27</v>
      </c>
      <c r="Q211" s="1133"/>
      <c r="R211" s="1133"/>
      <c r="U211" s="1096">
        <v>36202</v>
      </c>
      <c r="V211" s="9" t="s">
        <v>271</v>
      </c>
    </row>
    <row r="212" spans="1:22" ht="25.95" customHeight="1">
      <c r="A212" s="940">
        <v>209</v>
      </c>
      <c r="B212" s="1108">
        <v>37357</v>
      </c>
      <c r="C212" s="1109" t="s">
        <v>272</v>
      </c>
      <c r="D212" s="1103">
        <v>220208792</v>
      </c>
      <c r="E212" s="1104" t="s">
        <v>707</v>
      </c>
      <c r="F212" s="940" t="s">
        <v>708</v>
      </c>
      <c r="G212" s="1106">
        <v>2</v>
      </c>
      <c r="H212" s="1148">
        <v>89</v>
      </c>
      <c r="I212" s="1132" t="s">
        <v>619</v>
      </c>
      <c r="O212" s="1096">
        <f t="shared" ca="1" si="7"/>
        <v>24</v>
      </c>
      <c r="P212" s="1133">
        <f t="shared" ca="1" si="6"/>
        <v>24</v>
      </c>
      <c r="Q212" s="1133"/>
      <c r="R212" s="1133"/>
      <c r="U212" s="1096">
        <v>37357</v>
      </c>
      <c r="V212" s="9" t="s">
        <v>275</v>
      </c>
    </row>
    <row r="213" spans="1:22" ht="25.95" customHeight="1">
      <c r="A213" s="940">
        <v>210</v>
      </c>
      <c r="B213" s="1141">
        <v>31119</v>
      </c>
      <c r="C213" s="1102" t="s">
        <v>264</v>
      </c>
      <c r="D213" s="1111">
        <v>150836155</v>
      </c>
      <c r="E213" s="1112" t="s">
        <v>709</v>
      </c>
      <c r="F213" s="1113" t="s">
        <v>710</v>
      </c>
      <c r="G213" s="1106">
        <v>2</v>
      </c>
      <c r="H213" s="1148">
        <v>90</v>
      </c>
      <c r="I213" s="1132" t="s">
        <v>619</v>
      </c>
      <c r="O213" s="1096">
        <f t="shared" ca="1" si="7"/>
        <v>41</v>
      </c>
      <c r="P213" s="1133">
        <f t="shared" ca="1" si="6"/>
        <v>41</v>
      </c>
      <c r="Q213" s="1133"/>
      <c r="R213" s="1133"/>
      <c r="U213" s="1096">
        <v>31119</v>
      </c>
      <c r="V213" s="9" t="s">
        <v>271</v>
      </c>
    </row>
    <row r="214" spans="1:22" ht="25.95" customHeight="1">
      <c r="A214" s="940">
        <v>211</v>
      </c>
      <c r="B214" s="1108">
        <v>30865</v>
      </c>
      <c r="C214" s="1109" t="s">
        <v>272</v>
      </c>
      <c r="D214" s="1103" t="s">
        <v>711</v>
      </c>
      <c r="E214" s="1104" t="s">
        <v>712</v>
      </c>
      <c r="F214" s="940" t="s">
        <v>713</v>
      </c>
      <c r="G214" s="1106">
        <v>2</v>
      </c>
      <c r="H214" s="1148">
        <v>91</v>
      </c>
      <c r="I214" s="1132" t="s">
        <v>619</v>
      </c>
      <c r="O214" s="1096">
        <f t="shared" ca="1" si="7"/>
        <v>42</v>
      </c>
      <c r="P214" s="1133">
        <f t="shared" ca="1" si="6"/>
        <v>42</v>
      </c>
      <c r="Q214" s="1133"/>
      <c r="R214" s="1133"/>
      <c r="U214" s="1096">
        <v>30865</v>
      </c>
      <c r="V214" s="9" t="s">
        <v>275</v>
      </c>
    </row>
    <row r="215" spans="1:22" ht="25.95" customHeight="1">
      <c r="A215" s="940">
        <v>212</v>
      </c>
      <c r="B215" s="1108">
        <v>30239</v>
      </c>
      <c r="C215" s="1109" t="s">
        <v>272</v>
      </c>
      <c r="D215" s="1103">
        <v>150427619</v>
      </c>
      <c r="E215" s="1104" t="s">
        <v>714</v>
      </c>
      <c r="F215" s="940" t="s">
        <v>715</v>
      </c>
      <c r="G215" s="1106">
        <v>2</v>
      </c>
      <c r="H215" s="1148">
        <v>92</v>
      </c>
      <c r="I215" s="1132" t="s">
        <v>619</v>
      </c>
      <c r="O215" s="1096">
        <f t="shared" ca="1" si="7"/>
        <v>44</v>
      </c>
      <c r="P215" s="1133">
        <f t="shared" ca="1" si="6"/>
        <v>44</v>
      </c>
      <c r="Q215" s="1133"/>
      <c r="R215" s="1133"/>
      <c r="U215" s="1096">
        <v>30239</v>
      </c>
      <c r="V215" s="9" t="s">
        <v>275</v>
      </c>
    </row>
    <row r="216" spans="1:22" ht="25.95" customHeight="1">
      <c r="A216" s="940">
        <v>213</v>
      </c>
      <c r="B216" s="1108">
        <v>31093</v>
      </c>
      <c r="C216" s="1109" t="s">
        <v>272</v>
      </c>
      <c r="D216" s="1103">
        <v>220175370</v>
      </c>
      <c r="E216" s="1104" t="s">
        <v>716</v>
      </c>
      <c r="F216" s="940" t="s">
        <v>717</v>
      </c>
      <c r="G216" s="1106">
        <v>3</v>
      </c>
      <c r="H216" s="1117">
        <v>93</v>
      </c>
      <c r="I216" s="1132" t="s">
        <v>619</v>
      </c>
      <c r="O216" s="1096">
        <f t="shared" ca="1" si="7"/>
        <v>41</v>
      </c>
      <c r="P216" s="1133">
        <f t="shared" ca="1" si="6"/>
        <v>41</v>
      </c>
      <c r="Q216" s="1133"/>
      <c r="R216" s="1133"/>
      <c r="U216" s="1096">
        <v>31093</v>
      </c>
      <c r="V216" s="9" t="s">
        <v>275</v>
      </c>
    </row>
    <row r="217" spans="1:22" ht="25.95" customHeight="1">
      <c r="A217" s="940">
        <v>214</v>
      </c>
      <c r="B217" s="1108">
        <v>30419</v>
      </c>
      <c r="C217" s="1109" t="s">
        <v>272</v>
      </c>
      <c r="D217" s="1103">
        <v>150354766</v>
      </c>
      <c r="E217" s="1104" t="s">
        <v>718</v>
      </c>
      <c r="F217" s="940" t="s">
        <v>719</v>
      </c>
      <c r="G217" s="1106">
        <v>3</v>
      </c>
      <c r="H217" s="1118">
        <v>94</v>
      </c>
      <c r="I217" s="1132" t="s">
        <v>619</v>
      </c>
      <c r="O217" s="1096">
        <f t="shared" ca="1" si="7"/>
        <v>43</v>
      </c>
      <c r="P217" s="1133">
        <f t="shared" ca="1" si="6"/>
        <v>43</v>
      </c>
      <c r="Q217" s="1133"/>
      <c r="R217" s="1133"/>
      <c r="U217" s="1096">
        <v>30419</v>
      </c>
      <c r="V217" s="9" t="s">
        <v>275</v>
      </c>
    </row>
    <row r="218" spans="1:22" ht="25.95" customHeight="1">
      <c r="A218" s="940">
        <v>215</v>
      </c>
      <c r="B218" s="1108">
        <v>30073</v>
      </c>
      <c r="C218" s="1109" t="s">
        <v>272</v>
      </c>
      <c r="D218" s="1103">
        <v>150853546</v>
      </c>
      <c r="E218" s="1104" t="s">
        <v>720</v>
      </c>
      <c r="F218" s="940" t="s">
        <v>721</v>
      </c>
      <c r="G218" s="1106">
        <v>3</v>
      </c>
      <c r="H218" s="1118">
        <v>95</v>
      </c>
      <c r="I218" s="1132" t="s">
        <v>619</v>
      </c>
      <c r="O218" s="1096">
        <f t="shared" ca="1" si="7"/>
        <v>44</v>
      </c>
      <c r="P218" s="1133">
        <f t="shared" ca="1" si="6"/>
        <v>44</v>
      </c>
      <c r="Q218" s="1133"/>
      <c r="R218" s="1133"/>
      <c r="U218" s="1096">
        <v>30073</v>
      </c>
      <c r="V218" s="9" t="s">
        <v>275</v>
      </c>
    </row>
    <row r="219" spans="1:22" ht="25.95" customHeight="1">
      <c r="A219" s="940">
        <v>216</v>
      </c>
      <c r="B219" s="1108">
        <v>32334</v>
      </c>
      <c r="C219" s="1102" t="s">
        <v>264</v>
      </c>
      <c r="D219" s="1103">
        <v>220175369</v>
      </c>
      <c r="E219" s="1104" t="s">
        <v>722</v>
      </c>
      <c r="F219" s="940" t="s">
        <v>723</v>
      </c>
      <c r="G219" s="1106">
        <v>3</v>
      </c>
      <c r="H219" s="1118">
        <v>96</v>
      </c>
      <c r="I219" s="1132" t="s">
        <v>619</v>
      </c>
      <c r="O219" s="1096">
        <f t="shared" ca="1" si="7"/>
        <v>38</v>
      </c>
      <c r="P219" s="1133">
        <f t="shared" ca="1" si="6"/>
        <v>38</v>
      </c>
      <c r="Q219" s="1133"/>
      <c r="R219" s="1133"/>
      <c r="U219" s="1096">
        <v>32334</v>
      </c>
      <c r="V219" s="9" t="s">
        <v>271</v>
      </c>
    </row>
    <row r="220" spans="1:22" ht="25.95" customHeight="1">
      <c r="A220" s="940">
        <v>217</v>
      </c>
      <c r="B220" s="1108">
        <v>30051</v>
      </c>
      <c r="C220" s="1102" t="s">
        <v>264</v>
      </c>
      <c r="D220" s="1103">
        <v>150114404</v>
      </c>
      <c r="E220" s="1104" t="s">
        <v>724</v>
      </c>
      <c r="F220" s="940" t="s">
        <v>725</v>
      </c>
      <c r="G220" s="1106">
        <v>3</v>
      </c>
      <c r="H220" s="1118">
        <v>97</v>
      </c>
      <c r="I220" s="1132" t="s">
        <v>619</v>
      </c>
      <c r="O220" s="1096">
        <f t="shared" ca="1" si="7"/>
        <v>44</v>
      </c>
      <c r="P220" s="1133">
        <f t="shared" ca="1" si="6"/>
        <v>44</v>
      </c>
      <c r="Q220" s="1133"/>
      <c r="R220" s="1133"/>
      <c r="U220" s="1096">
        <v>30051</v>
      </c>
      <c r="V220" s="9" t="s">
        <v>271</v>
      </c>
    </row>
    <row r="221" spans="1:22" ht="25.95" customHeight="1">
      <c r="A221" s="940">
        <v>218</v>
      </c>
      <c r="B221" s="1108">
        <v>33640</v>
      </c>
      <c r="C221" s="1102" t="s">
        <v>264</v>
      </c>
      <c r="D221" s="1103">
        <v>150523523</v>
      </c>
      <c r="E221" s="1104" t="s">
        <v>726</v>
      </c>
      <c r="F221" s="940" t="s">
        <v>727</v>
      </c>
      <c r="G221" s="1106">
        <v>3</v>
      </c>
      <c r="H221" s="1118">
        <v>98</v>
      </c>
      <c r="I221" s="1132" t="s">
        <v>619</v>
      </c>
      <c r="O221" s="1096">
        <f t="shared" ca="1" si="7"/>
        <v>34</v>
      </c>
      <c r="P221" s="1133">
        <f t="shared" ca="1" si="6"/>
        <v>34</v>
      </c>
      <c r="Q221" s="1133"/>
      <c r="R221" s="1133"/>
      <c r="U221" s="1096">
        <v>33640</v>
      </c>
      <c r="V221" s="9" t="s">
        <v>271</v>
      </c>
    </row>
    <row r="222" spans="1:22" ht="25.95" customHeight="1">
      <c r="A222" s="940">
        <v>219</v>
      </c>
      <c r="B222" s="1108">
        <v>30137</v>
      </c>
      <c r="C222" s="1102" t="s">
        <v>264</v>
      </c>
      <c r="D222" s="1103">
        <v>220175282</v>
      </c>
      <c r="E222" s="1104" t="s">
        <v>728</v>
      </c>
      <c r="F222" s="940" t="s">
        <v>729</v>
      </c>
      <c r="G222" s="1106">
        <v>3</v>
      </c>
      <c r="H222" s="1118">
        <v>99</v>
      </c>
      <c r="I222" s="1132" t="s">
        <v>619</v>
      </c>
      <c r="O222" s="1096">
        <f t="shared" ca="1" si="7"/>
        <v>44</v>
      </c>
      <c r="P222" s="1133">
        <f t="shared" ca="1" si="6"/>
        <v>44</v>
      </c>
      <c r="Q222" s="1133"/>
      <c r="R222" s="1133"/>
      <c r="U222" s="1096">
        <v>30137</v>
      </c>
      <c r="V222" s="9" t="s">
        <v>271</v>
      </c>
    </row>
    <row r="223" spans="1:22" ht="25.95" customHeight="1">
      <c r="A223" s="940">
        <v>220</v>
      </c>
      <c r="B223" s="1108">
        <v>33796</v>
      </c>
      <c r="C223" s="1109" t="s">
        <v>272</v>
      </c>
      <c r="D223" s="1103">
        <v>150462882</v>
      </c>
      <c r="E223" s="1104" t="s">
        <v>730</v>
      </c>
      <c r="F223" s="940" t="s">
        <v>731</v>
      </c>
      <c r="G223" s="1106">
        <v>3</v>
      </c>
      <c r="H223" s="1118">
        <v>100</v>
      </c>
      <c r="I223" s="1132" t="s">
        <v>619</v>
      </c>
      <c r="O223" s="1096">
        <f t="shared" ca="1" si="7"/>
        <v>34</v>
      </c>
      <c r="P223" s="1133">
        <f t="shared" ca="1" si="6"/>
        <v>34</v>
      </c>
      <c r="Q223" s="1133"/>
      <c r="R223" s="1133"/>
      <c r="U223" s="1096">
        <v>33796</v>
      </c>
      <c r="V223" s="9" t="s">
        <v>275</v>
      </c>
    </row>
    <row r="224" spans="1:22" ht="25.95" customHeight="1">
      <c r="A224" s="940">
        <v>221</v>
      </c>
      <c r="B224" s="1108">
        <v>29118</v>
      </c>
      <c r="C224" s="1102" t="s">
        <v>264</v>
      </c>
      <c r="D224" s="1103">
        <v>150306224</v>
      </c>
      <c r="E224" s="1104" t="s">
        <v>732</v>
      </c>
      <c r="F224" s="940" t="s">
        <v>733</v>
      </c>
      <c r="G224" s="1106">
        <v>3</v>
      </c>
      <c r="H224" s="1118">
        <v>101</v>
      </c>
      <c r="I224" s="1132" t="s">
        <v>619</v>
      </c>
      <c r="O224" s="1096">
        <f t="shared" ca="1" si="7"/>
        <v>47</v>
      </c>
      <c r="P224" s="1133">
        <f t="shared" ca="1" si="6"/>
        <v>47</v>
      </c>
      <c r="Q224" s="1133"/>
      <c r="R224" s="1133"/>
      <c r="U224" s="1096">
        <v>29118</v>
      </c>
      <c r="V224" s="9" t="s">
        <v>271</v>
      </c>
    </row>
    <row r="225" spans="1:22" ht="25.95" customHeight="1">
      <c r="A225" s="940">
        <v>222</v>
      </c>
      <c r="B225" s="1146" t="s">
        <v>734</v>
      </c>
      <c r="C225" s="1102" t="s">
        <v>264</v>
      </c>
      <c r="D225" s="1103">
        <v>220234400</v>
      </c>
      <c r="E225" s="1104" t="s">
        <v>735</v>
      </c>
      <c r="F225" s="940" t="s">
        <v>736</v>
      </c>
      <c r="G225" s="1106">
        <v>3</v>
      </c>
      <c r="H225" s="1118">
        <v>102</v>
      </c>
      <c r="I225" s="1132" t="s">
        <v>619</v>
      </c>
      <c r="O225" s="1096">
        <f t="shared" ca="1" si="7"/>
        <v>36</v>
      </c>
      <c r="P225" s="1133">
        <f t="shared" ca="1" si="6"/>
        <v>36</v>
      </c>
      <c r="Q225" s="1133"/>
      <c r="R225" s="1133"/>
      <c r="U225" s="1096" t="s">
        <v>734</v>
      </c>
      <c r="V225" s="9" t="s">
        <v>271</v>
      </c>
    </row>
    <row r="226" spans="1:22" ht="25.95" customHeight="1">
      <c r="A226" s="940">
        <v>223</v>
      </c>
      <c r="B226" s="1108">
        <v>29636</v>
      </c>
      <c r="C226" s="1109" t="s">
        <v>272</v>
      </c>
      <c r="D226" s="1103" t="s">
        <v>737</v>
      </c>
      <c r="E226" s="1104" t="s">
        <v>738</v>
      </c>
      <c r="F226" s="940" t="s">
        <v>739</v>
      </c>
      <c r="G226" s="1106">
        <v>3</v>
      </c>
      <c r="H226" s="1118">
        <v>103</v>
      </c>
      <c r="I226" s="1132" t="s">
        <v>619</v>
      </c>
      <c r="O226" s="1096">
        <f t="shared" ca="1" si="7"/>
        <v>45</v>
      </c>
      <c r="P226" s="1133">
        <f t="shared" ca="1" si="6"/>
        <v>45</v>
      </c>
      <c r="Q226" s="1133"/>
      <c r="R226" s="1133"/>
      <c r="U226" s="1096">
        <v>29636</v>
      </c>
      <c r="V226" s="9" t="s">
        <v>275</v>
      </c>
    </row>
    <row r="227" spans="1:22" ht="25.95" customHeight="1">
      <c r="A227" s="940">
        <v>224</v>
      </c>
      <c r="B227" s="1108">
        <v>35695</v>
      </c>
      <c r="C227" s="1102" t="s">
        <v>264</v>
      </c>
      <c r="D227" s="1103">
        <v>150588184</v>
      </c>
      <c r="E227" s="1104" t="s">
        <v>740</v>
      </c>
      <c r="F227" s="940" t="s">
        <v>741</v>
      </c>
      <c r="G227" s="1106">
        <v>3</v>
      </c>
      <c r="H227" s="1118">
        <v>104</v>
      </c>
      <c r="I227" s="1132" t="s">
        <v>619</v>
      </c>
      <c r="O227" s="1096">
        <f t="shared" ca="1" si="7"/>
        <v>29</v>
      </c>
      <c r="P227" s="1133">
        <f t="shared" ca="1" si="6"/>
        <v>29</v>
      </c>
      <c r="Q227" s="1133"/>
      <c r="R227" s="1133"/>
      <c r="U227" s="1096">
        <v>35695</v>
      </c>
      <c r="V227" s="9" t="s">
        <v>271</v>
      </c>
    </row>
    <row r="228" spans="1:22" ht="25.95" customHeight="1">
      <c r="A228" s="940">
        <v>225</v>
      </c>
      <c r="B228" s="1108">
        <v>33121</v>
      </c>
      <c r="C228" s="1109" t="s">
        <v>272</v>
      </c>
      <c r="D228" s="1103">
        <v>150421333</v>
      </c>
      <c r="E228" s="1104" t="s">
        <v>742</v>
      </c>
      <c r="F228" s="940" t="s">
        <v>743</v>
      </c>
      <c r="G228" s="1106">
        <v>3</v>
      </c>
      <c r="H228" s="1118">
        <v>105</v>
      </c>
      <c r="I228" s="1132" t="s">
        <v>619</v>
      </c>
      <c r="O228" s="1096">
        <f t="shared" ca="1" si="7"/>
        <v>36</v>
      </c>
      <c r="P228" s="1133">
        <f t="shared" ca="1" si="6"/>
        <v>36</v>
      </c>
      <c r="Q228" s="1133"/>
      <c r="R228" s="1133"/>
      <c r="U228" s="1096">
        <v>33121</v>
      </c>
      <c r="V228" s="9" t="s">
        <v>275</v>
      </c>
    </row>
    <row r="229" spans="1:22" ht="25.95" customHeight="1">
      <c r="A229" s="940">
        <v>226</v>
      </c>
      <c r="B229" s="1108">
        <v>36559</v>
      </c>
      <c r="C229" s="1102" t="s">
        <v>264</v>
      </c>
      <c r="D229" s="1103">
        <v>220140704</v>
      </c>
      <c r="E229" s="1104" t="s">
        <v>744</v>
      </c>
      <c r="F229" s="940" t="s">
        <v>745</v>
      </c>
      <c r="G229" s="1106">
        <v>3</v>
      </c>
      <c r="H229" s="1118">
        <v>106</v>
      </c>
      <c r="I229" s="1132" t="s">
        <v>619</v>
      </c>
      <c r="O229" s="1096">
        <f t="shared" ca="1" si="7"/>
        <v>26</v>
      </c>
      <c r="P229" s="1133">
        <f t="shared" ca="1" si="6"/>
        <v>26</v>
      </c>
      <c r="Q229" s="1133"/>
      <c r="R229" s="1133"/>
      <c r="U229" s="1096">
        <v>36559</v>
      </c>
      <c r="V229" s="9" t="s">
        <v>271</v>
      </c>
    </row>
    <row r="230" spans="1:22" ht="25.95" customHeight="1">
      <c r="A230" s="940">
        <v>227</v>
      </c>
      <c r="B230" s="1108">
        <v>34794</v>
      </c>
      <c r="C230" s="1102" t="s">
        <v>264</v>
      </c>
      <c r="D230" s="1103">
        <v>220137727</v>
      </c>
      <c r="E230" s="1104" t="s">
        <v>746</v>
      </c>
      <c r="F230" s="940" t="s">
        <v>747</v>
      </c>
      <c r="G230" s="1106">
        <v>3</v>
      </c>
      <c r="H230" s="1118">
        <v>107</v>
      </c>
      <c r="I230" s="1132" t="s">
        <v>619</v>
      </c>
      <c r="O230" s="1096">
        <f t="shared" ca="1" si="7"/>
        <v>31</v>
      </c>
      <c r="P230" s="1133">
        <f t="shared" ca="1" si="6"/>
        <v>31</v>
      </c>
      <c r="Q230" s="1133"/>
      <c r="R230" s="1133"/>
      <c r="U230" s="1096">
        <v>34794</v>
      </c>
      <c r="V230" s="9" t="s">
        <v>271</v>
      </c>
    </row>
    <row r="231" spans="1:22" ht="25.95" customHeight="1">
      <c r="A231" s="940">
        <v>228</v>
      </c>
      <c r="B231" s="1108">
        <v>30919</v>
      </c>
      <c r="C231" s="1102" t="s">
        <v>264</v>
      </c>
      <c r="D231" s="1103">
        <v>150868625</v>
      </c>
      <c r="E231" s="1104" t="s">
        <v>748</v>
      </c>
      <c r="F231" s="940" t="s">
        <v>749</v>
      </c>
      <c r="G231" s="1106">
        <v>3</v>
      </c>
      <c r="H231" s="1118">
        <v>108</v>
      </c>
      <c r="I231" s="1132" t="s">
        <v>619</v>
      </c>
      <c r="O231" s="1096">
        <f t="shared" ca="1" si="7"/>
        <v>42</v>
      </c>
      <c r="P231" s="1133">
        <f t="shared" ca="1" si="6"/>
        <v>42</v>
      </c>
      <c r="Q231" s="1133"/>
      <c r="R231" s="1133"/>
      <c r="U231" s="1096">
        <v>30919</v>
      </c>
      <c r="V231" s="9" t="s">
        <v>271</v>
      </c>
    </row>
    <row r="232" spans="1:22" ht="25.95" customHeight="1">
      <c r="A232" s="940">
        <v>229</v>
      </c>
      <c r="B232" s="1108">
        <v>30191</v>
      </c>
      <c r="C232" s="1109" t="s">
        <v>272</v>
      </c>
      <c r="D232" s="1103" t="s">
        <v>750</v>
      </c>
      <c r="E232" s="1104" t="s">
        <v>751</v>
      </c>
      <c r="F232" s="940" t="s">
        <v>752</v>
      </c>
      <c r="G232" s="1106">
        <v>3</v>
      </c>
      <c r="H232" s="1118">
        <v>109</v>
      </c>
      <c r="I232" s="1132" t="s">
        <v>619</v>
      </c>
      <c r="O232" s="1096">
        <f t="shared" ca="1" si="7"/>
        <v>44</v>
      </c>
      <c r="P232" s="1133">
        <f t="shared" ca="1" si="6"/>
        <v>44</v>
      </c>
      <c r="Q232" s="1133"/>
      <c r="R232" s="1133"/>
      <c r="U232" s="1096">
        <v>30191</v>
      </c>
      <c r="V232" s="9" t="s">
        <v>275</v>
      </c>
    </row>
    <row r="233" spans="1:22" ht="25.95" customHeight="1">
      <c r="A233" s="940">
        <v>230</v>
      </c>
      <c r="B233" s="1108">
        <v>30106</v>
      </c>
      <c r="C233" s="1102" t="s">
        <v>264</v>
      </c>
      <c r="D233" s="1103" t="s">
        <v>753</v>
      </c>
      <c r="E233" s="1104" t="s">
        <v>754</v>
      </c>
      <c r="F233" s="940" t="s">
        <v>755</v>
      </c>
      <c r="G233" s="1106">
        <v>3</v>
      </c>
      <c r="H233" s="1118">
        <v>110</v>
      </c>
      <c r="I233" s="1132" t="s">
        <v>619</v>
      </c>
      <c r="O233" s="1096">
        <f t="shared" ca="1" si="7"/>
        <v>44</v>
      </c>
      <c r="P233" s="1133">
        <f t="shared" ca="1" si="6"/>
        <v>44</v>
      </c>
      <c r="Q233" s="1133"/>
      <c r="R233" s="1133"/>
      <c r="U233" s="1096">
        <v>30106</v>
      </c>
      <c r="V233" s="9" t="s">
        <v>271</v>
      </c>
    </row>
    <row r="234" spans="1:22" ht="25.95" customHeight="1">
      <c r="A234" s="940">
        <v>231</v>
      </c>
      <c r="B234" s="1108">
        <v>32664</v>
      </c>
      <c r="C234" s="1109" t="s">
        <v>272</v>
      </c>
      <c r="D234" s="1103">
        <v>220175275</v>
      </c>
      <c r="E234" s="1104" t="s">
        <v>756</v>
      </c>
      <c r="F234" s="940" t="s">
        <v>757</v>
      </c>
      <c r="G234" s="1106">
        <v>3</v>
      </c>
      <c r="H234" s="1118">
        <v>111</v>
      </c>
      <c r="I234" s="1132" t="s">
        <v>619</v>
      </c>
      <c r="O234" s="1096">
        <f t="shared" ca="1" si="7"/>
        <v>37</v>
      </c>
      <c r="P234" s="1133">
        <f t="shared" ca="1" si="6"/>
        <v>37</v>
      </c>
      <c r="Q234" s="1133"/>
      <c r="R234" s="1133"/>
      <c r="U234" s="1096">
        <v>32664</v>
      </c>
      <c r="V234" s="9" t="s">
        <v>275</v>
      </c>
    </row>
    <row r="235" spans="1:22" ht="25.95" customHeight="1">
      <c r="A235" s="940">
        <v>232</v>
      </c>
      <c r="B235" s="1108">
        <v>35444</v>
      </c>
      <c r="C235" s="1102" t="s">
        <v>264</v>
      </c>
      <c r="D235" s="1103">
        <v>150739908</v>
      </c>
      <c r="E235" s="1104" t="s">
        <v>758</v>
      </c>
      <c r="F235" s="940" t="s">
        <v>759</v>
      </c>
      <c r="G235" s="1106">
        <v>3</v>
      </c>
      <c r="H235" s="1118">
        <v>112</v>
      </c>
      <c r="I235" s="1132" t="s">
        <v>619</v>
      </c>
      <c r="O235" s="1096">
        <f t="shared" ca="1" si="7"/>
        <v>29</v>
      </c>
      <c r="P235" s="1133">
        <f t="shared" ca="1" si="6"/>
        <v>29</v>
      </c>
      <c r="Q235" s="1133"/>
      <c r="R235" s="1133"/>
      <c r="U235" s="1096">
        <v>35444</v>
      </c>
      <c r="V235" s="9" t="s">
        <v>271</v>
      </c>
    </row>
    <row r="236" spans="1:22" ht="25.95" customHeight="1">
      <c r="A236" s="940">
        <v>233</v>
      </c>
      <c r="B236" s="1108">
        <v>38402</v>
      </c>
      <c r="C236" s="1109" t="s">
        <v>272</v>
      </c>
      <c r="D236" s="1103">
        <v>220239985</v>
      </c>
      <c r="E236" s="1104" t="s">
        <v>760</v>
      </c>
      <c r="F236" s="940" t="s">
        <v>761</v>
      </c>
      <c r="G236" s="1106">
        <v>3</v>
      </c>
      <c r="H236" s="1118">
        <v>113</v>
      </c>
      <c r="I236" s="1132" t="s">
        <v>619</v>
      </c>
      <c r="O236" s="1096">
        <f t="shared" ca="1" si="7"/>
        <v>21</v>
      </c>
      <c r="P236" s="1133">
        <f t="shared" ca="1" si="6"/>
        <v>21</v>
      </c>
      <c r="Q236" s="1133"/>
      <c r="R236" s="1133"/>
      <c r="U236" s="1096">
        <v>38402</v>
      </c>
      <c r="V236" s="9" t="s">
        <v>275</v>
      </c>
    </row>
    <row r="237" spans="1:22" ht="25.95" customHeight="1">
      <c r="A237" s="940">
        <v>234</v>
      </c>
      <c r="B237" s="1146" t="s">
        <v>762</v>
      </c>
      <c r="C237" s="1109" t="s">
        <v>272</v>
      </c>
      <c r="D237" s="1103">
        <v>150127067</v>
      </c>
      <c r="E237" s="1104" t="s">
        <v>763</v>
      </c>
      <c r="F237" s="940" t="s">
        <v>764</v>
      </c>
      <c r="G237" s="1106">
        <v>3</v>
      </c>
      <c r="H237" s="1118">
        <v>114</v>
      </c>
      <c r="I237" s="1132" t="s">
        <v>619</v>
      </c>
      <c r="O237" s="1096">
        <f t="shared" ca="1" si="7"/>
        <v>45</v>
      </c>
      <c r="P237" s="1133">
        <f t="shared" ca="1" si="6"/>
        <v>45</v>
      </c>
      <c r="Q237" s="1133"/>
      <c r="R237" s="1133"/>
      <c r="U237" s="1096" t="s">
        <v>762</v>
      </c>
      <c r="V237" s="9" t="s">
        <v>275</v>
      </c>
    </row>
    <row r="238" spans="1:22" ht="25.95" customHeight="1">
      <c r="A238" s="940">
        <v>235</v>
      </c>
      <c r="B238" s="1108">
        <v>32373</v>
      </c>
      <c r="C238" s="1102" t="s">
        <v>264</v>
      </c>
      <c r="D238" s="1103">
        <v>150763411</v>
      </c>
      <c r="E238" s="1104" t="s">
        <v>765</v>
      </c>
      <c r="F238" s="940" t="s">
        <v>766</v>
      </c>
      <c r="G238" s="1106">
        <v>3</v>
      </c>
      <c r="H238" s="1118">
        <v>115</v>
      </c>
      <c r="I238" s="1132" t="s">
        <v>619</v>
      </c>
      <c r="O238" s="1096">
        <f t="shared" ca="1" si="7"/>
        <v>38</v>
      </c>
      <c r="P238" s="1133">
        <f t="shared" ca="1" si="6"/>
        <v>38</v>
      </c>
      <c r="Q238" s="1133"/>
      <c r="R238" s="1133"/>
      <c r="U238" s="1096">
        <v>32373</v>
      </c>
      <c r="V238" s="9" t="s">
        <v>271</v>
      </c>
    </row>
    <row r="239" spans="1:22" ht="25.95" customHeight="1">
      <c r="A239" s="940">
        <v>236</v>
      </c>
      <c r="B239" s="1108">
        <v>32035</v>
      </c>
      <c r="C239" s="1109" t="s">
        <v>272</v>
      </c>
      <c r="D239" s="1103">
        <v>150763902</v>
      </c>
      <c r="E239" s="1104" t="s">
        <v>767</v>
      </c>
      <c r="F239" s="940" t="s">
        <v>768</v>
      </c>
      <c r="G239" s="1106">
        <v>3</v>
      </c>
      <c r="H239" s="1118">
        <v>116</v>
      </c>
      <c r="I239" s="1132" t="s">
        <v>619</v>
      </c>
      <c r="O239" s="1096">
        <f t="shared" ca="1" si="7"/>
        <v>39</v>
      </c>
      <c r="P239" s="1133">
        <f t="shared" ca="1" si="6"/>
        <v>39</v>
      </c>
      <c r="Q239" s="1133"/>
      <c r="R239" s="1133"/>
      <c r="U239" s="1096">
        <v>32035</v>
      </c>
      <c r="V239" s="9" t="s">
        <v>275</v>
      </c>
    </row>
    <row r="240" spans="1:22" ht="25.95" customHeight="1">
      <c r="A240" s="940">
        <v>237</v>
      </c>
      <c r="B240" s="1108">
        <v>30106</v>
      </c>
      <c r="C240" s="1109" t="s">
        <v>272</v>
      </c>
      <c r="D240" s="1103" t="s">
        <v>769</v>
      </c>
      <c r="E240" s="1104" t="s">
        <v>770</v>
      </c>
      <c r="F240" s="940" t="s">
        <v>771</v>
      </c>
      <c r="G240" s="1106">
        <v>3</v>
      </c>
      <c r="H240" s="1118">
        <v>117</v>
      </c>
      <c r="I240" s="1132" t="s">
        <v>619</v>
      </c>
      <c r="O240" s="1096">
        <f t="shared" ca="1" si="7"/>
        <v>44</v>
      </c>
      <c r="P240" s="1133">
        <f t="shared" ca="1" si="6"/>
        <v>44</v>
      </c>
      <c r="Q240" s="1133"/>
      <c r="R240" s="1133"/>
      <c r="U240" s="1096">
        <v>30106</v>
      </c>
      <c r="V240" s="9" t="s">
        <v>275</v>
      </c>
    </row>
    <row r="241" spans="1:22" ht="25.95" customHeight="1">
      <c r="A241" s="940">
        <v>238</v>
      </c>
      <c r="B241" s="1108">
        <v>39832</v>
      </c>
      <c r="C241" s="1109" t="s">
        <v>272</v>
      </c>
      <c r="D241" s="1103">
        <v>151075284</v>
      </c>
      <c r="E241" s="1104" t="s">
        <v>772</v>
      </c>
      <c r="F241" s="940" t="s">
        <v>773</v>
      </c>
      <c r="G241" s="1106">
        <v>3</v>
      </c>
      <c r="H241" s="1118">
        <v>118</v>
      </c>
      <c r="I241" s="1132" t="s">
        <v>619</v>
      </c>
      <c r="O241" s="1096">
        <f t="shared" ca="1" si="7"/>
        <v>17</v>
      </c>
      <c r="P241" s="1133">
        <f t="shared" ca="1" si="6"/>
        <v>17</v>
      </c>
      <c r="Q241" s="1133"/>
      <c r="R241" s="1133"/>
      <c r="U241" s="1096">
        <v>39832</v>
      </c>
      <c r="V241" s="9" t="s">
        <v>275</v>
      </c>
    </row>
    <row r="242" spans="1:22" ht="25.95" customHeight="1">
      <c r="A242" s="940">
        <v>239</v>
      </c>
      <c r="B242" s="1108">
        <v>36600</v>
      </c>
      <c r="C242" s="1109" t="s">
        <v>272</v>
      </c>
      <c r="D242" s="1103">
        <v>220263827</v>
      </c>
      <c r="E242" s="1104" t="s">
        <v>774</v>
      </c>
      <c r="F242" s="940" t="s">
        <v>775</v>
      </c>
      <c r="G242" s="1106">
        <v>3</v>
      </c>
      <c r="H242" s="1118">
        <v>119</v>
      </c>
      <c r="I242" s="1132" t="s">
        <v>619</v>
      </c>
      <c r="O242" s="1096">
        <f t="shared" ca="1" si="7"/>
        <v>26</v>
      </c>
      <c r="P242" s="1133">
        <f t="shared" ca="1" si="6"/>
        <v>26</v>
      </c>
      <c r="Q242" s="1133"/>
      <c r="R242" s="1133"/>
      <c r="U242" s="1096">
        <v>36600</v>
      </c>
      <c r="V242" s="9" t="s">
        <v>275</v>
      </c>
    </row>
    <row r="243" spans="1:22" ht="25.95" customHeight="1">
      <c r="A243" s="940">
        <v>240</v>
      </c>
      <c r="B243" s="1108">
        <v>28869</v>
      </c>
      <c r="C243" s="1109" t="s">
        <v>272</v>
      </c>
      <c r="D243" s="1103" t="s">
        <v>776</v>
      </c>
      <c r="E243" s="1104" t="s">
        <v>777</v>
      </c>
      <c r="F243" s="940" t="s">
        <v>778</v>
      </c>
      <c r="G243" s="1106">
        <v>3</v>
      </c>
      <c r="H243" s="1118">
        <v>120</v>
      </c>
      <c r="I243" s="1132" t="s">
        <v>619</v>
      </c>
      <c r="O243" s="1096">
        <f t="shared" ca="1" si="7"/>
        <v>47</v>
      </c>
      <c r="P243" s="1133">
        <f t="shared" ca="1" si="6"/>
        <v>47</v>
      </c>
      <c r="Q243" s="1133"/>
      <c r="R243" s="1133"/>
      <c r="U243" s="1096">
        <v>28869</v>
      </c>
      <c r="V243" s="9" t="s">
        <v>275</v>
      </c>
    </row>
    <row r="244" spans="1:22" ht="25.95" customHeight="1">
      <c r="A244" s="940">
        <v>241</v>
      </c>
      <c r="B244" s="1108">
        <v>36382</v>
      </c>
      <c r="C244" s="1102" t="s">
        <v>264</v>
      </c>
      <c r="D244" s="1103" t="s">
        <v>779</v>
      </c>
      <c r="E244" s="1104" t="s">
        <v>780</v>
      </c>
      <c r="F244" s="940" t="s">
        <v>781</v>
      </c>
      <c r="G244" s="1106">
        <v>3</v>
      </c>
      <c r="H244" s="1118">
        <v>121</v>
      </c>
      <c r="I244" s="1132" t="s">
        <v>619</v>
      </c>
      <c r="O244" s="1096">
        <f t="shared" ca="1" si="7"/>
        <v>27</v>
      </c>
      <c r="P244" s="1133">
        <f t="shared" ca="1" si="6"/>
        <v>27</v>
      </c>
      <c r="Q244" s="1133"/>
      <c r="R244" s="1133"/>
      <c r="U244" s="1096">
        <v>36382</v>
      </c>
      <c r="V244" s="9" t="s">
        <v>271</v>
      </c>
    </row>
    <row r="245" spans="1:22" ht="25.95" customHeight="1">
      <c r="A245" s="940">
        <v>242</v>
      </c>
      <c r="B245" s="1108">
        <v>34061</v>
      </c>
      <c r="C245" s="1109" t="s">
        <v>272</v>
      </c>
      <c r="D245" s="1103">
        <v>150468334</v>
      </c>
      <c r="E245" s="1104" t="s">
        <v>782</v>
      </c>
      <c r="F245" s="940" t="s">
        <v>783</v>
      </c>
      <c r="G245" s="1106">
        <v>3</v>
      </c>
      <c r="H245" s="1118">
        <v>122</v>
      </c>
      <c r="I245" s="1132" t="s">
        <v>619</v>
      </c>
      <c r="J245" s="1108"/>
      <c r="K245" s="1108">
        <v>35189</v>
      </c>
      <c r="L245" s="1103">
        <v>150574784</v>
      </c>
      <c r="M245" s="1104" t="s">
        <v>784</v>
      </c>
      <c r="N245" s="940" t="s">
        <v>785</v>
      </c>
      <c r="O245" s="1096">
        <f t="shared" ca="1" si="7"/>
        <v>33</v>
      </c>
      <c r="P245" s="1133">
        <f t="shared" ca="1" si="6"/>
        <v>33</v>
      </c>
      <c r="Q245" s="1133"/>
      <c r="R245" s="1133"/>
      <c r="U245" s="1096">
        <v>34061</v>
      </c>
      <c r="V245" s="9" t="s">
        <v>275</v>
      </c>
    </row>
    <row r="246" spans="1:22" ht="25.95" customHeight="1">
      <c r="A246" s="940">
        <v>243</v>
      </c>
      <c r="B246" s="1108">
        <v>38475</v>
      </c>
      <c r="C246" s="1109" t="s">
        <v>272</v>
      </c>
      <c r="D246" s="1103">
        <v>151052651</v>
      </c>
      <c r="E246" s="1104" t="s">
        <v>786</v>
      </c>
      <c r="F246" s="940" t="s">
        <v>787</v>
      </c>
      <c r="G246" s="1106">
        <v>3</v>
      </c>
      <c r="H246" s="1118">
        <v>123</v>
      </c>
      <c r="I246" s="1132" t="s">
        <v>619</v>
      </c>
      <c r="O246" s="1096">
        <f t="shared" ca="1" si="7"/>
        <v>21</v>
      </c>
      <c r="P246" s="1133">
        <f t="shared" ca="1" si="6"/>
        <v>21</v>
      </c>
      <c r="Q246" s="1133"/>
      <c r="R246" s="1133"/>
      <c r="U246" s="1096">
        <v>38475</v>
      </c>
      <c r="V246" s="9" t="s">
        <v>275</v>
      </c>
    </row>
    <row r="247" spans="1:22" ht="25.95" customHeight="1">
      <c r="A247" s="940">
        <v>244</v>
      </c>
      <c r="B247" s="1108">
        <v>38563</v>
      </c>
      <c r="C247" s="1102" t="s">
        <v>264</v>
      </c>
      <c r="D247" s="1103">
        <v>150983108</v>
      </c>
      <c r="E247" s="1104" t="s">
        <v>788</v>
      </c>
      <c r="F247" s="940" t="s">
        <v>789</v>
      </c>
      <c r="G247" s="1106">
        <v>3</v>
      </c>
      <c r="H247" s="1118">
        <v>124</v>
      </c>
      <c r="I247" s="1132" t="s">
        <v>619</v>
      </c>
      <c r="J247" s="1108">
        <v>37817</v>
      </c>
      <c r="K247" s="1108"/>
      <c r="L247" s="1103">
        <v>150952574</v>
      </c>
      <c r="M247" s="1104" t="s">
        <v>790</v>
      </c>
      <c r="N247" s="940" t="s">
        <v>791</v>
      </c>
      <c r="O247" s="1096">
        <f t="shared" ca="1" si="7"/>
        <v>21</v>
      </c>
      <c r="P247" s="1133">
        <f t="shared" ca="1" si="6"/>
        <v>21</v>
      </c>
      <c r="Q247" s="1133"/>
      <c r="R247" s="1133"/>
      <c r="U247" s="1096">
        <v>38563</v>
      </c>
      <c r="V247" s="9" t="s">
        <v>271</v>
      </c>
    </row>
    <row r="248" spans="1:22" ht="25.95" customHeight="1">
      <c r="A248" s="940">
        <v>245</v>
      </c>
      <c r="B248" s="1108">
        <v>36630</v>
      </c>
      <c r="C248" s="1109" t="s">
        <v>272</v>
      </c>
      <c r="D248" s="1103">
        <v>220140663</v>
      </c>
      <c r="E248" s="1104" t="s">
        <v>792</v>
      </c>
      <c r="F248" s="940" t="s">
        <v>793</v>
      </c>
      <c r="G248" s="1106">
        <v>3</v>
      </c>
      <c r="H248" s="1118">
        <v>125</v>
      </c>
      <c r="I248" s="1132" t="s">
        <v>619</v>
      </c>
      <c r="O248" s="1096">
        <f t="shared" ca="1" si="7"/>
        <v>26</v>
      </c>
      <c r="P248" s="1133">
        <f t="shared" ca="1" si="6"/>
        <v>26</v>
      </c>
      <c r="Q248" s="1133"/>
      <c r="R248" s="1133"/>
      <c r="U248" s="1096">
        <v>36630</v>
      </c>
      <c r="V248" s="9" t="s">
        <v>275</v>
      </c>
    </row>
    <row r="249" spans="1:22" ht="25.95" customHeight="1">
      <c r="A249" s="940">
        <v>246</v>
      </c>
      <c r="B249" s="1108">
        <v>32664</v>
      </c>
      <c r="C249" s="1102" t="s">
        <v>264</v>
      </c>
      <c r="D249" s="1272" t="s">
        <v>794</v>
      </c>
      <c r="E249" s="1104" t="s">
        <v>795</v>
      </c>
      <c r="F249" s="940" t="s">
        <v>796</v>
      </c>
      <c r="G249" s="1106">
        <v>3</v>
      </c>
      <c r="H249" s="1118">
        <v>126</v>
      </c>
      <c r="I249" s="1132" t="s">
        <v>619</v>
      </c>
      <c r="O249" s="1096">
        <f t="shared" ca="1" si="7"/>
        <v>37</v>
      </c>
      <c r="P249" s="1133">
        <f t="shared" ca="1" si="6"/>
        <v>37</v>
      </c>
      <c r="Q249" s="1133"/>
      <c r="R249" s="1133"/>
      <c r="U249" s="1096">
        <v>32664</v>
      </c>
      <c r="V249" s="9" t="s">
        <v>271</v>
      </c>
    </row>
    <row r="250" spans="1:22" ht="25.95" customHeight="1">
      <c r="A250" s="940">
        <v>247</v>
      </c>
      <c r="B250" s="1108">
        <v>34262</v>
      </c>
      <c r="C250" s="1102" t="s">
        <v>264</v>
      </c>
      <c r="D250" s="1103">
        <v>150739945</v>
      </c>
      <c r="E250" s="1104" t="s">
        <v>797</v>
      </c>
      <c r="F250" s="940" t="s">
        <v>798</v>
      </c>
      <c r="G250" s="1106">
        <v>3</v>
      </c>
      <c r="H250" s="1118">
        <v>127</v>
      </c>
      <c r="I250" s="1132" t="s">
        <v>619</v>
      </c>
      <c r="O250" s="1096">
        <f t="shared" ca="1" si="7"/>
        <v>33</v>
      </c>
      <c r="P250" s="1133">
        <f t="shared" ca="1" si="6"/>
        <v>33</v>
      </c>
      <c r="Q250" s="1133"/>
      <c r="R250" s="1133"/>
      <c r="U250" s="1096">
        <v>34262</v>
      </c>
      <c r="V250" s="9" t="s">
        <v>271</v>
      </c>
    </row>
    <row r="251" spans="1:22" ht="25.95" customHeight="1">
      <c r="A251" s="940">
        <v>248</v>
      </c>
      <c r="B251" s="1108">
        <v>34588</v>
      </c>
      <c r="C251" s="1102" t="s">
        <v>264</v>
      </c>
      <c r="D251" s="1103">
        <v>150483985</v>
      </c>
      <c r="E251" s="1104" t="s">
        <v>799</v>
      </c>
      <c r="F251" s="940" t="s">
        <v>800</v>
      </c>
      <c r="G251" s="1106">
        <v>3</v>
      </c>
      <c r="H251" s="1118">
        <v>128</v>
      </c>
      <c r="I251" s="1132" t="s">
        <v>619</v>
      </c>
      <c r="O251" s="1096">
        <f t="shared" ca="1" si="7"/>
        <v>32</v>
      </c>
      <c r="P251" s="1133">
        <f t="shared" ca="1" si="6"/>
        <v>32</v>
      </c>
      <c r="Q251" s="1133"/>
      <c r="R251" s="1133"/>
      <c r="U251" s="1096">
        <v>34588</v>
      </c>
      <c r="V251" s="9" t="s">
        <v>271</v>
      </c>
    </row>
    <row r="252" spans="1:22" ht="25.95" customHeight="1">
      <c r="A252" s="940">
        <v>249</v>
      </c>
      <c r="B252" s="1108">
        <v>32143</v>
      </c>
      <c r="C252" s="1109" t="s">
        <v>272</v>
      </c>
      <c r="D252" s="1272" t="s">
        <v>801</v>
      </c>
      <c r="E252" s="1104" t="s">
        <v>802</v>
      </c>
      <c r="F252" s="940" t="s">
        <v>803</v>
      </c>
      <c r="G252" s="1106">
        <v>3</v>
      </c>
      <c r="H252" s="1118">
        <v>129</v>
      </c>
      <c r="I252" s="1132" t="s">
        <v>619</v>
      </c>
      <c r="O252" s="1096">
        <f t="shared" ca="1" si="7"/>
        <v>38</v>
      </c>
      <c r="P252" s="1133">
        <f t="shared" ca="1" si="6"/>
        <v>38</v>
      </c>
      <c r="Q252" s="1133"/>
      <c r="R252" s="1133"/>
      <c r="U252" s="1096">
        <v>32143</v>
      </c>
      <c r="V252" s="9" t="s">
        <v>275</v>
      </c>
    </row>
    <row r="253" spans="1:22" ht="25.95" customHeight="1">
      <c r="A253" s="940">
        <v>250</v>
      </c>
      <c r="B253" s="1108">
        <v>33624</v>
      </c>
      <c r="C253" s="1102" t="s">
        <v>264</v>
      </c>
      <c r="D253" s="1103">
        <v>150648408</v>
      </c>
      <c r="E253" s="1104" t="s">
        <v>804</v>
      </c>
      <c r="F253" s="940" t="s">
        <v>805</v>
      </c>
      <c r="G253" s="1106">
        <v>3</v>
      </c>
      <c r="H253" s="1118">
        <v>130</v>
      </c>
      <c r="I253" s="1132" t="s">
        <v>619</v>
      </c>
      <c r="O253" s="1096">
        <f t="shared" ca="1" si="7"/>
        <v>34</v>
      </c>
      <c r="P253" s="1133">
        <f t="shared" ca="1" si="6"/>
        <v>34</v>
      </c>
      <c r="Q253" s="1133"/>
      <c r="R253" s="1133"/>
      <c r="U253" s="1096">
        <v>33624</v>
      </c>
      <c r="V253" s="9" t="s">
        <v>271</v>
      </c>
    </row>
    <row r="254" spans="1:22" ht="25.95" customHeight="1">
      <c r="A254" s="940">
        <v>251</v>
      </c>
      <c r="B254" s="1108">
        <v>31837</v>
      </c>
      <c r="C254" s="1109" t="s">
        <v>272</v>
      </c>
      <c r="D254" s="1103">
        <v>150347358</v>
      </c>
      <c r="E254" s="1104" t="s">
        <v>806</v>
      </c>
      <c r="F254" s="940" t="s">
        <v>807</v>
      </c>
      <c r="G254" s="1106">
        <v>3</v>
      </c>
      <c r="H254" s="1118">
        <v>131</v>
      </c>
      <c r="I254" s="1132" t="s">
        <v>619</v>
      </c>
      <c r="O254" s="1096">
        <f t="shared" ca="1" si="7"/>
        <v>39</v>
      </c>
      <c r="P254" s="1133">
        <f t="shared" ca="1" si="6"/>
        <v>39</v>
      </c>
      <c r="Q254" s="1133"/>
      <c r="R254" s="1133"/>
      <c r="U254" s="1096">
        <v>31837</v>
      </c>
      <c r="V254" s="9" t="s">
        <v>275</v>
      </c>
    </row>
    <row r="255" spans="1:22" ht="25.95" customHeight="1">
      <c r="A255" s="940">
        <v>252</v>
      </c>
      <c r="B255" s="1108">
        <v>34093</v>
      </c>
      <c r="C255" s="1109" t="s">
        <v>272</v>
      </c>
      <c r="D255" s="1103" t="s">
        <v>808</v>
      </c>
      <c r="E255" s="1104" t="s">
        <v>809</v>
      </c>
      <c r="F255" s="940" t="s">
        <v>810</v>
      </c>
      <c r="G255" s="1106">
        <v>3</v>
      </c>
      <c r="H255" s="1118">
        <v>132</v>
      </c>
      <c r="I255" s="1132" t="s">
        <v>619</v>
      </c>
      <c r="O255" s="1096">
        <f t="shared" ca="1" si="7"/>
        <v>33</v>
      </c>
      <c r="P255" s="1133">
        <f t="shared" ref="P255:P318" ca="1" si="8">IF(O255&lt;=59,O255,IF(O255=60,1))</f>
        <v>33</v>
      </c>
      <c r="Q255" s="1133"/>
      <c r="R255" s="1133"/>
      <c r="U255" s="1096">
        <v>34093</v>
      </c>
      <c r="V255" s="9" t="s">
        <v>275</v>
      </c>
    </row>
    <row r="256" spans="1:22" ht="25.95" customHeight="1">
      <c r="A256" s="940">
        <v>253</v>
      </c>
      <c r="B256" s="1108">
        <v>31705</v>
      </c>
      <c r="C256" s="1102" t="s">
        <v>264</v>
      </c>
      <c r="D256" s="1103">
        <v>150811767</v>
      </c>
      <c r="E256" s="1104" t="s">
        <v>811</v>
      </c>
      <c r="F256" s="940" t="s">
        <v>812</v>
      </c>
      <c r="G256" s="1106">
        <v>3</v>
      </c>
      <c r="H256" s="1118">
        <v>133</v>
      </c>
      <c r="I256" s="1132" t="s">
        <v>619</v>
      </c>
      <c r="O256" s="1096">
        <f t="shared" ca="1" si="7"/>
        <v>40</v>
      </c>
      <c r="P256" s="1133">
        <f t="shared" ca="1" si="8"/>
        <v>40</v>
      </c>
      <c r="Q256" s="1133"/>
      <c r="R256" s="1133"/>
      <c r="U256" s="1096">
        <v>31705</v>
      </c>
      <c r="V256" s="9" t="s">
        <v>271</v>
      </c>
    </row>
    <row r="257" spans="1:22" ht="25.95" customHeight="1">
      <c r="A257" s="940">
        <v>254</v>
      </c>
      <c r="B257" s="1108">
        <v>35614</v>
      </c>
      <c r="C257" s="1102" t="s">
        <v>264</v>
      </c>
      <c r="D257" s="1103">
        <v>150657945</v>
      </c>
      <c r="E257" s="1104" t="s">
        <v>813</v>
      </c>
      <c r="F257" s="940" t="s">
        <v>814</v>
      </c>
      <c r="G257" s="1106">
        <v>3</v>
      </c>
      <c r="H257" s="1118">
        <v>134</v>
      </c>
      <c r="I257" s="1132" t="s">
        <v>619</v>
      </c>
      <c r="O257" s="1096">
        <f t="shared" ca="1" si="7"/>
        <v>29</v>
      </c>
      <c r="P257" s="1133">
        <f t="shared" ca="1" si="8"/>
        <v>29</v>
      </c>
      <c r="Q257" s="1133"/>
      <c r="R257" s="1133"/>
      <c r="U257" s="1096">
        <v>35614</v>
      </c>
      <c r="V257" s="9" t="s">
        <v>271</v>
      </c>
    </row>
    <row r="258" spans="1:22" ht="25.95" customHeight="1">
      <c r="A258" s="940">
        <v>255</v>
      </c>
      <c r="B258" s="1108">
        <v>30854</v>
      </c>
      <c r="C258" s="1102" t="s">
        <v>264</v>
      </c>
      <c r="D258" s="1103">
        <v>220175379</v>
      </c>
      <c r="E258" s="1104" t="s">
        <v>815</v>
      </c>
      <c r="F258" s="940" t="s">
        <v>816</v>
      </c>
      <c r="G258" s="1106">
        <v>3</v>
      </c>
      <c r="H258" s="1118">
        <v>135</v>
      </c>
      <c r="I258" s="1132" t="s">
        <v>619</v>
      </c>
      <c r="O258" s="1096">
        <f t="shared" ca="1" si="7"/>
        <v>42</v>
      </c>
      <c r="P258" s="1133">
        <f t="shared" ca="1" si="8"/>
        <v>42</v>
      </c>
      <c r="Q258" s="1133"/>
      <c r="R258" s="1133"/>
      <c r="U258" s="1096">
        <v>30854</v>
      </c>
      <c r="V258" s="9" t="s">
        <v>271</v>
      </c>
    </row>
    <row r="259" spans="1:22" ht="25.95" customHeight="1">
      <c r="A259" s="940">
        <v>256</v>
      </c>
      <c r="B259" s="1146" t="s">
        <v>817</v>
      </c>
      <c r="C259" s="1102" t="s">
        <v>264</v>
      </c>
      <c r="D259" s="1103">
        <v>220175396</v>
      </c>
      <c r="E259" s="1104" t="s">
        <v>818</v>
      </c>
      <c r="F259" s="940" t="s">
        <v>819</v>
      </c>
      <c r="G259" s="1106">
        <v>3</v>
      </c>
      <c r="H259" s="1118">
        <v>136</v>
      </c>
      <c r="I259" s="1132" t="s">
        <v>619</v>
      </c>
      <c r="O259" s="1096">
        <f t="shared" ca="1" si="7"/>
        <v>45</v>
      </c>
      <c r="P259" s="1133">
        <f t="shared" ca="1" si="8"/>
        <v>45</v>
      </c>
      <c r="Q259" s="1133"/>
      <c r="R259" s="1133"/>
      <c r="U259" s="1096" t="s">
        <v>817</v>
      </c>
      <c r="V259" s="9" t="s">
        <v>271</v>
      </c>
    </row>
    <row r="260" spans="1:22" ht="25.95" customHeight="1">
      <c r="A260" s="940">
        <v>257</v>
      </c>
      <c r="B260" s="1108">
        <v>37820</v>
      </c>
      <c r="C260" s="1109" t="s">
        <v>272</v>
      </c>
      <c r="D260" s="1103">
        <v>150974087</v>
      </c>
      <c r="E260" s="1104" t="s">
        <v>820</v>
      </c>
      <c r="F260" s="940" t="s">
        <v>821</v>
      </c>
      <c r="G260" s="1106">
        <v>6</v>
      </c>
      <c r="H260" s="1117">
        <v>215</v>
      </c>
      <c r="I260" s="1132" t="s">
        <v>619</v>
      </c>
      <c r="O260" s="1096">
        <f t="shared" ca="1" si="7"/>
        <v>23</v>
      </c>
      <c r="P260" s="1133">
        <f t="shared" ca="1" si="8"/>
        <v>23</v>
      </c>
      <c r="Q260" s="1133"/>
      <c r="R260" s="1133"/>
      <c r="U260" s="1096">
        <v>37820</v>
      </c>
      <c r="V260" s="9" t="s">
        <v>275</v>
      </c>
    </row>
    <row r="261" spans="1:22" ht="25.95" customHeight="1">
      <c r="A261" s="940">
        <v>258</v>
      </c>
      <c r="B261" s="1108">
        <v>35230</v>
      </c>
      <c r="C261" s="1102" t="s">
        <v>264</v>
      </c>
      <c r="D261" s="1103">
        <v>150588170</v>
      </c>
      <c r="E261" s="1104" t="s">
        <v>822</v>
      </c>
      <c r="F261" s="940" t="s">
        <v>823</v>
      </c>
      <c r="G261" s="1106">
        <v>6</v>
      </c>
      <c r="H261" s="1118">
        <v>216</v>
      </c>
      <c r="I261" s="1132" t="s">
        <v>619</v>
      </c>
      <c r="O261" s="1096">
        <f t="shared" ref="O261:O324" ca="1" si="9">YEAR(NOW())-YEAR(B261)</f>
        <v>30</v>
      </c>
      <c r="P261" s="1133">
        <f t="shared" ca="1" si="8"/>
        <v>30</v>
      </c>
      <c r="Q261" s="1133"/>
      <c r="R261" s="1133"/>
      <c r="U261" s="1096">
        <v>35230</v>
      </c>
      <c r="V261" s="9" t="s">
        <v>271</v>
      </c>
    </row>
    <row r="262" spans="1:22" ht="25.95" customHeight="1">
      <c r="A262" s="940">
        <v>259</v>
      </c>
      <c r="B262" s="1108">
        <v>34028</v>
      </c>
      <c r="C262" s="1109" t="s">
        <v>272</v>
      </c>
      <c r="D262" s="1103">
        <v>150522981</v>
      </c>
      <c r="E262" s="1104" t="s">
        <v>824</v>
      </c>
      <c r="F262" s="940" t="s">
        <v>825</v>
      </c>
      <c r="G262" s="1106">
        <v>6</v>
      </c>
      <c r="H262" s="1118">
        <v>217</v>
      </c>
      <c r="I262" s="1132" t="s">
        <v>619</v>
      </c>
      <c r="O262" s="1096">
        <f t="shared" ca="1" si="9"/>
        <v>33</v>
      </c>
      <c r="P262" s="1133">
        <f t="shared" ca="1" si="8"/>
        <v>33</v>
      </c>
      <c r="Q262" s="1133"/>
      <c r="R262" s="1133"/>
      <c r="U262" s="1096">
        <v>34028</v>
      </c>
      <c r="V262" s="9" t="s">
        <v>275</v>
      </c>
    </row>
    <row r="263" spans="1:22" ht="25.95" customHeight="1">
      <c r="A263" s="940">
        <v>260</v>
      </c>
      <c r="B263" s="1108">
        <v>33996</v>
      </c>
      <c r="C263" s="1109" t="s">
        <v>272</v>
      </c>
      <c r="D263" s="1103">
        <v>150468280</v>
      </c>
      <c r="E263" s="1104" t="s">
        <v>826</v>
      </c>
      <c r="F263" s="940" t="s">
        <v>827</v>
      </c>
      <c r="G263" s="1106">
        <v>6</v>
      </c>
      <c r="H263" s="1118">
        <v>218</v>
      </c>
      <c r="I263" s="1132" t="s">
        <v>619</v>
      </c>
      <c r="O263" s="1096">
        <f t="shared" ca="1" si="9"/>
        <v>33</v>
      </c>
      <c r="P263" s="1133">
        <f t="shared" ca="1" si="8"/>
        <v>33</v>
      </c>
      <c r="Q263" s="1133"/>
      <c r="R263" s="1133"/>
      <c r="U263" s="1096">
        <v>33996</v>
      </c>
      <c r="V263" s="9" t="s">
        <v>275</v>
      </c>
    </row>
    <row r="264" spans="1:22" ht="25.95" customHeight="1">
      <c r="A264" s="940">
        <v>261</v>
      </c>
      <c r="B264" s="1108">
        <v>35802</v>
      </c>
      <c r="C264" s="1109" t="s">
        <v>272</v>
      </c>
      <c r="D264" s="1103">
        <v>220176115</v>
      </c>
      <c r="E264" s="1104" t="s">
        <v>828</v>
      </c>
      <c r="F264" s="940" t="s">
        <v>829</v>
      </c>
      <c r="G264" s="1106">
        <v>6</v>
      </c>
      <c r="H264" s="1118">
        <v>219</v>
      </c>
      <c r="I264" s="1132" t="s">
        <v>619</v>
      </c>
      <c r="O264" s="1096">
        <f t="shared" ca="1" si="9"/>
        <v>28</v>
      </c>
      <c r="P264" s="1133">
        <f t="shared" ca="1" si="8"/>
        <v>28</v>
      </c>
      <c r="Q264" s="1133"/>
      <c r="R264" s="1133"/>
      <c r="U264" s="1096">
        <v>35802</v>
      </c>
      <c r="V264" s="9" t="s">
        <v>275</v>
      </c>
    </row>
    <row r="265" spans="1:22" ht="25.95" customHeight="1">
      <c r="A265" s="940">
        <v>262</v>
      </c>
      <c r="B265" s="1108">
        <v>34736</v>
      </c>
      <c r="C265" s="1102" t="s">
        <v>264</v>
      </c>
      <c r="D265" s="1103">
        <v>150522844</v>
      </c>
      <c r="E265" s="1104" t="s">
        <v>830</v>
      </c>
      <c r="F265" s="940" t="s">
        <v>831</v>
      </c>
      <c r="G265" s="1106">
        <v>6</v>
      </c>
      <c r="H265" s="1118">
        <v>220</v>
      </c>
      <c r="I265" s="1132" t="s">
        <v>619</v>
      </c>
      <c r="O265" s="1096">
        <f t="shared" ca="1" si="9"/>
        <v>31</v>
      </c>
      <c r="P265" s="1133">
        <f t="shared" ca="1" si="8"/>
        <v>31</v>
      </c>
      <c r="Q265" s="1133"/>
      <c r="R265" s="1133"/>
      <c r="U265" s="1096">
        <v>34736</v>
      </c>
      <c r="V265" s="9" t="s">
        <v>271</v>
      </c>
    </row>
    <row r="266" spans="1:22" ht="25.95" customHeight="1">
      <c r="A266" s="940">
        <v>263</v>
      </c>
      <c r="B266" s="1108">
        <v>35807</v>
      </c>
      <c r="C266" s="1109" t="s">
        <v>272</v>
      </c>
      <c r="D266" s="1103">
        <v>150648462</v>
      </c>
      <c r="E266" s="1104" t="s">
        <v>832</v>
      </c>
      <c r="F266" s="940" t="s">
        <v>833</v>
      </c>
      <c r="G266" s="1106">
        <v>6</v>
      </c>
      <c r="H266" s="1118">
        <v>221</v>
      </c>
      <c r="I266" s="1132" t="s">
        <v>619</v>
      </c>
      <c r="O266" s="1096">
        <f t="shared" ca="1" si="9"/>
        <v>28</v>
      </c>
      <c r="P266" s="1133">
        <f t="shared" ca="1" si="8"/>
        <v>28</v>
      </c>
      <c r="Q266" s="1133"/>
      <c r="R266" s="1133"/>
      <c r="U266" s="1096">
        <v>35807</v>
      </c>
      <c r="V266" s="9" t="s">
        <v>275</v>
      </c>
    </row>
    <row r="267" spans="1:22" ht="25.95" customHeight="1">
      <c r="A267" s="940">
        <v>264</v>
      </c>
      <c r="B267" s="1108">
        <v>34367</v>
      </c>
      <c r="C267" s="1102" t="s">
        <v>264</v>
      </c>
      <c r="D267" s="1103">
        <v>150468203</v>
      </c>
      <c r="E267" s="1104" t="s">
        <v>834</v>
      </c>
      <c r="F267" s="940" t="s">
        <v>835</v>
      </c>
      <c r="G267" s="1106">
        <v>6</v>
      </c>
      <c r="H267" s="1118">
        <v>222</v>
      </c>
      <c r="I267" s="1132" t="s">
        <v>619</v>
      </c>
      <c r="O267" s="1096">
        <f t="shared" ca="1" si="9"/>
        <v>32</v>
      </c>
      <c r="P267" s="1133">
        <f t="shared" ca="1" si="8"/>
        <v>32</v>
      </c>
      <c r="Q267" s="1133"/>
      <c r="R267" s="1133"/>
      <c r="U267" s="1096">
        <v>34367</v>
      </c>
      <c r="V267" s="9" t="s">
        <v>271</v>
      </c>
    </row>
    <row r="268" spans="1:22" ht="30.6" customHeight="1">
      <c r="A268" s="940">
        <v>265</v>
      </c>
      <c r="B268" s="1108">
        <v>28886</v>
      </c>
      <c r="C268" s="1102" t="s">
        <v>264</v>
      </c>
      <c r="D268" s="1103" t="s">
        <v>836</v>
      </c>
      <c r="E268" s="1159" t="s">
        <v>837</v>
      </c>
      <c r="F268" s="940" t="s">
        <v>838</v>
      </c>
      <c r="G268" s="1106">
        <v>6</v>
      </c>
      <c r="H268" s="1118">
        <v>223</v>
      </c>
      <c r="I268" s="1132" t="s">
        <v>619</v>
      </c>
      <c r="O268" s="1096">
        <f t="shared" ca="1" si="9"/>
        <v>47</v>
      </c>
      <c r="P268" s="1133">
        <f t="shared" ca="1" si="8"/>
        <v>47</v>
      </c>
      <c r="Q268" s="1133"/>
      <c r="R268" s="1133"/>
      <c r="U268" s="1096">
        <v>28886</v>
      </c>
      <c r="V268" s="9" t="s">
        <v>271</v>
      </c>
    </row>
    <row r="269" spans="1:22" ht="25.95" customHeight="1">
      <c r="A269" s="940">
        <v>266</v>
      </c>
      <c r="B269" s="1108">
        <v>28889</v>
      </c>
      <c r="C269" s="1109" t="s">
        <v>272</v>
      </c>
      <c r="D269" s="1103">
        <v>150113509</v>
      </c>
      <c r="E269" s="1104" t="s">
        <v>839</v>
      </c>
      <c r="F269" s="940" t="s">
        <v>840</v>
      </c>
      <c r="G269" s="1106">
        <v>6</v>
      </c>
      <c r="H269" s="1118">
        <v>224</v>
      </c>
      <c r="I269" s="1132" t="s">
        <v>619</v>
      </c>
      <c r="O269" s="1096">
        <f t="shared" ca="1" si="9"/>
        <v>47</v>
      </c>
      <c r="P269" s="1133">
        <f t="shared" ca="1" si="8"/>
        <v>47</v>
      </c>
      <c r="Q269" s="1133"/>
      <c r="R269" s="1133"/>
      <c r="U269" s="1096">
        <v>28889</v>
      </c>
      <c r="V269" s="9" t="s">
        <v>275</v>
      </c>
    </row>
    <row r="270" spans="1:22" ht="25.95" customHeight="1">
      <c r="A270" s="940">
        <v>267</v>
      </c>
      <c r="B270" s="1108">
        <v>38449</v>
      </c>
      <c r="C270" s="1102" t="s">
        <v>264</v>
      </c>
      <c r="D270" s="1103">
        <v>150969641</v>
      </c>
      <c r="E270" s="1104" t="s">
        <v>841</v>
      </c>
      <c r="F270" s="940" t="s">
        <v>842</v>
      </c>
      <c r="G270" s="1106">
        <v>6</v>
      </c>
      <c r="H270" s="1118">
        <v>225</v>
      </c>
      <c r="I270" s="1132" t="s">
        <v>619</v>
      </c>
      <c r="O270" s="1096">
        <f t="shared" ca="1" si="9"/>
        <v>21</v>
      </c>
      <c r="P270" s="1133">
        <f t="shared" ca="1" si="8"/>
        <v>21</v>
      </c>
      <c r="Q270" s="1133"/>
      <c r="R270" s="1133"/>
      <c r="U270" s="1096">
        <v>38449</v>
      </c>
      <c r="V270" s="9" t="s">
        <v>271</v>
      </c>
    </row>
    <row r="271" spans="1:22" ht="25.95" customHeight="1">
      <c r="A271" s="940">
        <v>268</v>
      </c>
      <c r="B271" s="1108">
        <v>37848</v>
      </c>
      <c r="C271" s="1109" t="s">
        <v>272</v>
      </c>
      <c r="D271" s="1103">
        <v>150952552</v>
      </c>
      <c r="E271" s="1104" t="s">
        <v>843</v>
      </c>
      <c r="F271" s="940" t="s">
        <v>844</v>
      </c>
      <c r="G271" s="1106">
        <v>6</v>
      </c>
      <c r="H271" s="1118">
        <v>226</v>
      </c>
      <c r="I271" s="1132" t="s">
        <v>619</v>
      </c>
      <c r="O271" s="1096">
        <f t="shared" ca="1" si="9"/>
        <v>23</v>
      </c>
      <c r="P271" s="1133">
        <f t="shared" ca="1" si="8"/>
        <v>23</v>
      </c>
      <c r="Q271" s="1133"/>
      <c r="R271" s="1133"/>
      <c r="U271" s="1096">
        <v>37848</v>
      </c>
      <c r="V271" s="9" t="s">
        <v>275</v>
      </c>
    </row>
    <row r="272" spans="1:22" ht="25.95" customHeight="1">
      <c r="A272" s="940">
        <v>269</v>
      </c>
      <c r="B272" s="1108">
        <v>34519</v>
      </c>
      <c r="C272" s="1109" t="s">
        <v>272</v>
      </c>
      <c r="D272" s="1103">
        <v>150523233</v>
      </c>
      <c r="E272" s="1104" t="s">
        <v>845</v>
      </c>
      <c r="F272" s="940" t="s">
        <v>846</v>
      </c>
      <c r="G272" s="1106">
        <v>6</v>
      </c>
      <c r="H272" s="1118">
        <v>227</v>
      </c>
      <c r="I272" s="1132" t="s">
        <v>619</v>
      </c>
      <c r="O272" s="1096">
        <f t="shared" ca="1" si="9"/>
        <v>32</v>
      </c>
      <c r="P272" s="1133">
        <f t="shared" ca="1" si="8"/>
        <v>32</v>
      </c>
      <c r="Q272" s="1133"/>
      <c r="R272" s="1133"/>
      <c r="U272" s="1096">
        <v>34519</v>
      </c>
      <c r="V272" s="9" t="s">
        <v>275</v>
      </c>
    </row>
    <row r="273" spans="1:22" ht="25.95" customHeight="1">
      <c r="A273" s="940">
        <v>270</v>
      </c>
      <c r="B273" s="1108">
        <v>33312</v>
      </c>
      <c r="C273" s="1109" t="s">
        <v>272</v>
      </c>
      <c r="D273" s="1103">
        <v>150523279</v>
      </c>
      <c r="E273" s="1104" t="s">
        <v>847</v>
      </c>
      <c r="F273" s="940" t="s">
        <v>848</v>
      </c>
      <c r="G273" s="1106">
        <v>6</v>
      </c>
      <c r="H273" s="1118">
        <v>228</v>
      </c>
      <c r="I273" s="1132" t="s">
        <v>619</v>
      </c>
      <c r="O273" s="1096">
        <f t="shared" ca="1" si="9"/>
        <v>35</v>
      </c>
      <c r="P273" s="1133">
        <f t="shared" ca="1" si="8"/>
        <v>35</v>
      </c>
      <c r="Q273" s="1133"/>
      <c r="R273" s="1133"/>
      <c r="U273" s="1096">
        <v>33312</v>
      </c>
      <c r="V273" s="9" t="s">
        <v>275</v>
      </c>
    </row>
    <row r="274" spans="1:22" ht="25.95" customHeight="1">
      <c r="A274" s="940">
        <v>271</v>
      </c>
      <c r="B274" s="1108">
        <v>36418</v>
      </c>
      <c r="C274" s="1109" t="s">
        <v>272</v>
      </c>
      <c r="D274" s="1103">
        <v>220234517</v>
      </c>
      <c r="E274" s="1104" t="s">
        <v>849</v>
      </c>
      <c r="F274" s="940" t="s">
        <v>850</v>
      </c>
      <c r="G274" s="1106">
        <v>6</v>
      </c>
      <c r="H274" s="1118">
        <v>229</v>
      </c>
      <c r="I274" s="1132" t="s">
        <v>619</v>
      </c>
      <c r="O274" s="1096">
        <f t="shared" ca="1" si="9"/>
        <v>27</v>
      </c>
      <c r="P274" s="1133">
        <f t="shared" ca="1" si="8"/>
        <v>27</v>
      </c>
      <c r="Q274" s="1133"/>
      <c r="R274" s="1133"/>
      <c r="U274" s="1096">
        <v>36418</v>
      </c>
      <c r="V274" s="9" t="s">
        <v>275</v>
      </c>
    </row>
    <row r="275" spans="1:22" ht="25.95" customHeight="1">
      <c r="A275" s="940">
        <v>272</v>
      </c>
      <c r="B275" s="1108">
        <v>30123</v>
      </c>
      <c r="C275" s="1102" t="s">
        <v>264</v>
      </c>
      <c r="D275" s="1103">
        <v>150611400</v>
      </c>
      <c r="E275" s="1104" t="s">
        <v>851</v>
      </c>
      <c r="F275" s="940" t="s">
        <v>852</v>
      </c>
      <c r="G275" s="1106">
        <v>6</v>
      </c>
      <c r="H275" s="1118">
        <v>230</v>
      </c>
      <c r="I275" s="1132" t="s">
        <v>619</v>
      </c>
      <c r="O275" s="1096">
        <f t="shared" ca="1" si="9"/>
        <v>44</v>
      </c>
      <c r="P275" s="1133">
        <f t="shared" ca="1" si="8"/>
        <v>44</v>
      </c>
      <c r="Q275" s="1133"/>
      <c r="R275" s="1133"/>
      <c r="U275" s="1096">
        <v>30123</v>
      </c>
      <c r="V275" s="9" t="s">
        <v>271</v>
      </c>
    </row>
    <row r="276" spans="1:22" ht="25.95" customHeight="1">
      <c r="A276" s="940">
        <v>273</v>
      </c>
      <c r="B276" s="1108">
        <v>32181</v>
      </c>
      <c r="C276" s="1102" t="s">
        <v>264</v>
      </c>
      <c r="D276" s="1103">
        <v>220140657</v>
      </c>
      <c r="E276" s="1104" t="s">
        <v>853</v>
      </c>
      <c r="F276" s="940" t="s">
        <v>854</v>
      </c>
      <c r="G276" s="1106">
        <v>6</v>
      </c>
      <c r="H276" s="1118">
        <v>231</v>
      </c>
      <c r="I276" s="1132" t="s">
        <v>619</v>
      </c>
      <c r="O276" s="1096">
        <f t="shared" ca="1" si="9"/>
        <v>38</v>
      </c>
      <c r="P276" s="1133">
        <f t="shared" ca="1" si="8"/>
        <v>38</v>
      </c>
      <c r="Q276" s="1133"/>
      <c r="R276" s="1133"/>
      <c r="U276" s="1096">
        <v>32181</v>
      </c>
      <c r="V276" s="9" t="s">
        <v>271</v>
      </c>
    </row>
    <row r="277" spans="1:22" ht="25.95" customHeight="1">
      <c r="A277" s="940">
        <v>274</v>
      </c>
      <c r="B277" s="1108">
        <v>31072</v>
      </c>
      <c r="C277" s="1109" t="s">
        <v>272</v>
      </c>
      <c r="D277" s="1103" t="s">
        <v>855</v>
      </c>
      <c r="E277" s="1104" t="s">
        <v>856</v>
      </c>
      <c r="F277" s="940" t="s">
        <v>857</v>
      </c>
      <c r="G277" s="1106">
        <v>6</v>
      </c>
      <c r="H277" s="1118">
        <v>232</v>
      </c>
      <c r="I277" s="1132" t="s">
        <v>619</v>
      </c>
      <c r="O277" s="1096">
        <f t="shared" ca="1" si="9"/>
        <v>41</v>
      </c>
      <c r="P277" s="1133">
        <f t="shared" ca="1" si="8"/>
        <v>41</v>
      </c>
      <c r="Q277" s="1133"/>
      <c r="R277" s="1133"/>
      <c r="U277" s="1096">
        <v>31072</v>
      </c>
      <c r="V277" s="9" t="s">
        <v>275</v>
      </c>
    </row>
    <row r="278" spans="1:22" ht="25.95" customHeight="1">
      <c r="A278" s="940">
        <v>275</v>
      </c>
      <c r="B278" s="1101">
        <v>31458</v>
      </c>
      <c r="C278" s="1102" t="s">
        <v>264</v>
      </c>
      <c r="D278" s="1103">
        <v>150306110</v>
      </c>
      <c r="E278" s="1104" t="s">
        <v>858</v>
      </c>
      <c r="F278" s="1105" t="s">
        <v>859</v>
      </c>
      <c r="G278" s="1106">
        <v>6</v>
      </c>
      <c r="H278" s="1118">
        <v>233</v>
      </c>
      <c r="I278" s="1132" t="s">
        <v>619</v>
      </c>
      <c r="O278" s="1096">
        <f t="shared" ca="1" si="9"/>
        <v>40</v>
      </c>
      <c r="P278" s="1133">
        <f t="shared" ca="1" si="8"/>
        <v>40</v>
      </c>
      <c r="Q278" s="1133"/>
      <c r="R278" s="1133"/>
      <c r="U278" s="1096">
        <v>31458</v>
      </c>
      <c r="V278" s="9" t="s">
        <v>271</v>
      </c>
    </row>
    <row r="279" spans="1:22" ht="25.95" customHeight="1">
      <c r="A279" s="940">
        <v>276</v>
      </c>
      <c r="B279" s="1108">
        <v>35144</v>
      </c>
      <c r="C279" s="1102" t="s">
        <v>264</v>
      </c>
      <c r="D279" s="1103">
        <v>150769398</v>
      </c>
      <c r="E279" s="1104" t="s">
        <v>860</v>
      </c>
      <c r="F279" s="940" t="s">
        <v>861</v>
      </c>
      <c r="G279" s="1106">
        <v>6</v>
      </c>
      <c r="H279" s="1118">
        <v>234</v>
      </c>
      <c r="I279" s="1132" t="s">
        <v>619</v>
      </c>
      <c r="O279" s="1096">
        <f t="shared" ca="1" si="9"/>
        <v>30</v>
      </c>
      <c r="P279" s="1133">
        <f t="shared" ca="1" si="8"/>
        <v>30</v>
      </c>
      <c r="Q279" s="1133"/>
      <c r="R279" s="1133"/>
      <c r="U279" s="1096">
        <v>35144</v>
      </c>
      <c r="V279" s="9" t="s">
        <v>271</v>
      </c>
    </row>
    <row r="280" spans="1:22" ht="25.95" customHeight="1">
      <c r="A280" s="940">
        <v>277</v>
      </c>
      <c r="B280" s="1108">
        <v>30233</v>
      </c>
      <c r="C280" s="1102" t="s">
        <v>264</v>
      </c>
      <c r="D280" s="1103" t="s">
        <v>862</v>
      </c>
      <c r="E280" s="1104" t="s">
        <v>863</v>
      </c>
      <c r="F280" s="940" t="s">
        <v>864</v>
      </c>
      <c r="G280" s="1106">
        <v>6</v>
      </c>
      <c r="H280" s="1118">
        <v>235</v>
      </c>
      <c r="I280" s="1132" t="s">
        <v>619</v>
      </c>
      <c r="O280" s="1096">
        <f t="shared" ca="1" si="9"/>
        <v>44</v>
      </c>
      <c r="P280" s="1133">
        <f t="shared" ca="1" si="8"/>
        <v>44</v>
      </c>
      <c r="Q280" s="1133"/>
      <c r="R280" s="1133"/>
      <c r="U280" s="1096">
        <v>30233</v>
      </c>
      <c r="V280" s="9" t="s">
        <v>271</v>
      </c>
    </row>
    <row r="281" spans="1:22" ht="25.95" customHeight="1">
      <c r="A281" s="940">
        <v>278</v>
      </c>
      <c r="B281" s="1108">
        <v>29281</v>
      </c>
      <c r="C281" s="1109" t="s">
        <v>272</v>
      </c>
      <c r="D281" s="1103">
        <v>150806561</v>
      </c>
      <c r="E281" s="1104" t="s">
        <v>865</v>
      </c>
      <c r="F281" s="940" t="s">
        <v>866</v>
      </c>
      <c r="G281" s="1106">
        <v>6</v>
      </c>
      <c r="H281" s="1118">
        <v>236</v>
      </c>
      <c r="I281" s="1132" t="s">
        <v>619</v>
      </c>
      <c r="O281" s="1096">
        <f t="shared" ca="1" si="9"/>
        <v>46</v>
      </c>
      <c r="P281" s="1133">
        <f t="shared" ca="1" si="8"/>
        <v>46</v>
      </c>
      <c r="Q281" s="1133"/>
      <c r="R281" s="1133"/>
      <c r="U281" s="1096">
        <v>29281</v>
      </c>
      <c r="V281" s="9" t="s">
        <v>275</v>
      </c>
    </row>
    <row r="282" spans="1:22" ht="25.95" customHeight="1">
      <c r="A282" s="940">
        <v>279</v>
      </c>
      <c r="B282" s="1108">
        <v>34648</v>
      </c>
      <c r="C282" s="1109" t="s">
        <v>272</v>
      </c>
      <c r="D282" s="1273" t="s">
        <v>867</v>
      </c>
      <c r="E282" s="1104" t="s">
        <v>868</v>
      </c>
      <c r="F282" s="940" t="s">
        <v>869</v>
      </c>
      <c r="G282" s="1106">
        <v>6</v>
      </c>
      <c r="H282" s="1118">
        <v>237</v>
      </c>
      <c r="I282" s="1132" t="s">
        <v>619</v>
      </c>
      <c r="O282" s="1096">
        <f t="shared" ca="1" si="9"/>
        <v>32</v>
      </c>
      <c r="P282" s="1133">
        <f t="shared" ca="1" si="8"/>
        <v>32</v>
      </c>
      <c r="Q282" s="1133"/>
      <c r="R282" s="1133"/>
      <c r="U282" s="1096">
        <v>34648</v>
      </c>
      <c r="V282" s="9" t="s">
        <v>275</v>
      </c>
    </row>
    <row r="283" spans="1:22" ht="25.95" customHeight="1">
      <c r="A283" s="940">
        <v>280</v>
      </c>
      <c r="B283" s="1108">
        <v>29257</v>
      </c>
      <c r="C283" s="1109" t="s">
        <v>272</v>
      </c>
      <c r="D283" s="1103">
        <v>150583177</v>
      </c>
      <c r="E283" s="1104" t="s">
        <v>870</v>
      </c>
      <c r="F283" s="940" t="s">
        <v>871</v>
      </c>
      <c r="G283" s="1106">
        <v>6</v>
      </c>
      <c r="H283" s="1118">
        <v>238</v>
      </c>
      <c r="I283" s="1132" t="s">
        <v>619</v>
      </c>
      <c r="O283" s="1096">
        <f t="shared" ca="1" si="9"/>
        <v>46</v>
      </c>
      <c r="P283" s="1133">
        <f t="shared" ca="1" si="8"/>
        <v>46</v>
      </c>
      <c r="Q283" s="1133"/>
      <c r="R283" s="1133"/>
      <c r="U283" s="1096">
        <v>29257</v>
      </c>
      <c r="V283" s="9" t="s">
        <v>275</v>
      </c>
    </row>
    <row r="284" spans="1:22" ht="25.95" customHeight="1">
      <c r="A284" s="940">
        <v>281</v>
      </c>
      <c r="B284" s="1108">
        <v>30362</v>
      </c>
      <c r="C284" s="1109" t="s">
        <v>272</v>
      </c>
      <c r="D284" s="1103">
        <v>150111007</v>
      </c>
      <c r="E284" s="1104" t="s">
        <v>872</v>
      </c>
      <c r="F284" s="940" t="s">
        <v>873</v>
      </c>
      <c r="G284" s="1106">
        <v>6</v>
      </c>
      <c r="H284" s="1118">
        <v>239</v>
      </c>
      <c r="I284" s="1132" t="s">
        <v>619</v>
      </c>
      <c r="O284" s="1096">
        <f t="shared" ca="1" si="9"/>
        <v>43</v>
      </c>
      <c r="P284" s="1133">
        <f t="shared" ca="1" si="8"/>
        <v>43</v>
      </c>
      <c r="Q284" s="1133"/>
      <c r="R284" s="1133"/>
      <c r="U284" s="1096">
        <v>30362</v>
      </c>
      <c r="V284" s="9" t="s">
        <v>275</v>
      </c>
    </row>
    <row r="285" spans="1:22" ht="25.95" customHeight="1">
      <c r="A285" s="940">
        <v>282</v>
      </c>
      <c r="B285" s="1108">
        <v>30771</v>
      </c>
      <c r="C285" s="1102" t="s">
        <v>264</v>
      </c>
      <c r="D285" s="1103">
        <v>150293157</v>
      </c>
      <c r="E285" s="1104" t="s">
        <v>874</v>
      </c>
      <c r="F285" s="940" t="s">
        <v>875</v>
      </c>
      <c r="G285" s="1106">
        <v>6</v>
      </c>
      <c r="H285" s="1118">
        <v>240</v>
      </c>
      <c r="I285" s="1132" t="s">
        <v>619</v>
      </c>
      <c r="O285" s="1096">
        <f t="shared" ca="1" si="9"/>
        <v>42</v>
      </c>
      <c r="P285" s="1133">
        <f t="shared" ca="1" si="8"/>
        <v>42</v>
      </c>
      <c r="Q285" s="1133"/>
      <c r="R285" s="1133"/>
      <c r="U285" s="1096">
        <v>30771</v>
      </c>
      <c r="V285" s="9" t="s">
        <v>271</v>
      </c>
    </row>
    <row r="286" spans="1:22" ht="25.95" customHeight="1">
      <c r="A286" s="940">
        <v>283</v>
      </c>
      <c r="B286" s="1108">
        <v>36382</v>
      </c>
      <c r="C286" s="1102" t="s">
        <v>264</v>
      </c>
      <c r="D286" s="1103">
        <v>150769393</v>
      </c>
      <c r="E286" s="1104" t="s">
        <v>876</v>
      </c>
      <c r="F286" s="940" t="s">
        <v>877</v>
      </c>
      <c r="G286" s="1106">
        <v>6</v>
      </c>
      <c r="H286" s="1118">
        <v>241</v>
      </c>
      <c r="I286" s="1132" t="s">
        <v>619</v>
      </c>
      <c r="O286" s="1096">
        <f t="shared" ca="1" si="9"/>
        <v>27</v>
      </c>
      <c r="P286" s="1133">
        <f t="shared" ca="1" si="8"/>
        <v>27</v>
      </c>
      <c r="Q286" s="1133"/>
      <c r="R286" s="1133"/>
      <c r="U286" s="1096">
        <v>36382</v>
      </c>
      <c r="V286" s="9" t="s">
        <v>271</v>
      </c>
    </row>
    <row r="287" spans="1:22" ht="25.95" customHeight="1">
      <c r="A287" s="940">
        <v>284</v>
      </c>
      <c r="B287" s="1108">
        <v>36526</v>
      </c>
      <c r="C287" s="1109" t="s">
        <v>272</v>
      </c>
      <c r="D287" s="1103">
        <v>150871914</v>
      </c>
      <c r="E287" s="1160" t="s">
        <v>878</v>
      </c>
      <c r="F287" s="940" t="s">
        <v>879</v>
      </c>
      <c r="G287" s="1106">
        <v>6</v>
      </c>
      <c r="H287" s="1118">
        <v>242</v>
      </c>
      <c r="I287" s="1132" t="s">
        <v>619</v>
      </c>
      <c r="O287" s="1096">
        <f t="shared" ca="1" si="9"/>
        <v>26</v>
      </c>
      <c r="P287" s="1133">
        <f t="shared" ca="1" si="8"/>
        <v>26</v>
      </c>
      <c r="Q287" s="1133"/>
      <c r="R287" s="1133"/>
      <c r="U287" s="1096">
        <v>36526</v>
      </c>
      <c r="V287" s="9" t="s">
        <v>275</v>
      </c>
    </row>
    <row r="288" spans="1:22" ht="25.95" customHeight="1">
      <c r="A288" s="940">
        <v>285</v>
      </c>
      <c r="B288" s="1108">
        <v>37968</v>
      </c>
      <c r="C288" s="1109" t="s">
        <v>272</v>
      </c>
      <c r="D288" s="1103">
        <v>150971181</v>
      </c>
      <c r="E288" s="1104" t="s">
        <v>880</v>
      </c>
      <c r="F288" s="940" t="s">
        <v>881</v>
      </c>
      <c r="G288" s="1106">
        <v>6</v>
      </c>
      <c r="H288" s="1118">
        <v>243</v>
      </c>
      <c r="I288" s="1132" t="s">
        <v>619</v>
      </c>
      <c r="O288" s="1096">
        <f t="shared" ca="1" si="9"/>
        <v>23</v>
      </c>
      <c r="P288" s="1133">
        <f t="shared" ca="1" si="8"/>
        <v>23</v>
      </c>
      <c r="Q288" s="1133"/>
      <c r="R288" s="1133"/>
      <c r="U288" s="1096">
        <v>37968</v>
      </c>
      <c r="V288" s="9" t="s">
        <v>275</v>
      </c>
    </row>
    <row r="289" spans="1:22" ht="25.95" customHeight="1">
      <c r="A289" s="940">
        <v>286</v>
      </c>
      <c r="B289" s="1108">
        <v>35951</v>
      </c>
      <c r="C289" s="1109" t="s">
        <v>272</v>
      </c>
      <c r="D289" s="1103">
        <v>150962794</v>
      </c>
      <c r="E289" s="1104" t="s">
        <v>882</v>
      </c>
      <c r="F289" s="940" t="s">
        <v>883</v>
      </c>
      <c r="G289" s="1106">
        <v>6</v>
      </c>
      <c r="H289" s="1118">
        <v>244</v>
      </c>
      <c r="I289" s="1132" t="s">
        <v>619</v>
      </c>
      <c r="O289" s="1096">
        <f t="shared" ca="1" si="9"/>
        <v>28</v>
      </c>
      <c r="P289" s="1133">
        <f t="shared" ca="1" si="8"/>
        <v>28</v>
      </c>
      <c r="Q289" s="1133"/>
      <c r="R289" s="1133"/>
      <c r="U289" s="1096">
        <v>35951</v>
      </c>
      <c r="V289" s="9" t="s">
        <v>275</v>
      </c>
    </row>
    <row r="290" spans="1:22" ht="25.95" customHeight="1">
      <c r="A290" s="940">
        <v>287</v>
      </c>
      <c r="B290" s="1108">
        <v>34002</v>
      </c>
      <c r="C290" s="1109" t="s">
        <v>272</v>
      </c>
      <c r="D290" s="1103">
        <v>150522918</v>
      </c>
      <c r="E290" s="1104" t="s">
        <v>884</v>
      </c>
      <c r="F290" s="940" t="s">
        <v>885</v>
      </c>
      <c r="G290" s="1106">
        <v>6</v>
      </c>
      <c r="H290" s="1118">
        <v>245</v>
      </c>
      <c r="I290" s="1132" t="s">
        <v>619</v>
      </c>
      <c r="O290" s="1096">
        <f t="shared" ca="1" si="9"/>
        <v>33</v>
      </c>
      <c r="P290" s="1133">
        <f t="shared" ca="1" si="8"/>
        <v>33</v>
      </c>
      <c r="Q290" s="1133"/>
      <c r="R290" s="1133"/>
      <c r="U290" s="1096">
        <v>34002</v>
      </c>
      <c r="V290" s="9" t="s">
        <v>275</v>
      </c>
    </row>
    <row r="291" spans="1:22" ht="25.95" customHeight="1">
      <c r="A291" s="940">
        <v>288</v>
      </c>
      <c r="B291" s="1108">
        <v>32583</v>
      </c>
      <c r="C291" s="1102" t="s">
        <v>264</v>
      </c>
      <c r="D291" s="1103">
        <v>150848341</v>
      </c>
      <c r="E291" s="1104" t="s">
        <v>886</v>
      </c>
      <c r="F291" s="940" t="s">
        <v>887</v>
      </c>
      <c r="G291" s="1106">
        <v>6</v>
      </c>
      <c r="H291" s="1118">
        <v>246</v>
      </c>
      <c r="I291" s="1132" t="s">
        <v>619</v>
      </c>
      <c r="O291" s="1096">
        <f t="shared" ca="1" si="9"/>
        <v>37</v>
      </c>
      <c r="P291" s="1133">
        <f t="shared" ca="1" si="8"/>
        <v>37</v>
      </c>
      <c r="Q291" s="1133"/>
      <c r="R291" s="1133"/>
      <c r="U291" s="1096">
        <v>32583</v>
      </c>
      <c r="V291" s="9" t="s">
        <v>271</v>
      </c>
    </row>
    <row r="292" spans="1:22" ht="25.95" customHeight="1">
      <c r="A292" s="940">
        <v>289</v>
      </c>
      <c r="B292" s="1108">
        <v>38442</v>
      </c>
      <c r="C292" s="1109" t="s">
        <v>272</v>
      </c>
      <c r="D292" s="1103">
        <v>150962779</v>
      </c>
      <c r="E292" s="1104" t="s">
        <v>888</v>
      </c>
      <c r="F292" s="1161" t="s">
        <v>889</v>
      </c>
      <c r="G292" s="1106">
        <v>6</v>
      </c>
      <c r="H292" s="1118">
        <v>247</v>
      </c>
      <c r="I292" s="1132" t="s">
        <v>619</v>
      </c>
      <c r="O292" s="1096">
        <f t="shared" ca="1" si="9"/>
        <v>21</v>
      </c>
      <c r="P292" s="1133">
        <f t="shared" ca="1" si="8"/>
        <v>21</v>
      </c>
      <c r="Q292" s="1133"/>
      <c r="R292" s="1133"/>
      <c r="U292" s="1096">
        <v>38442</v>
      </c>
      <c r="V292" s="9" t="s">
        <v>275</v>
      </c>
    </row>
    <row r="293" spans="1:22" ht="25.95" customHeight="1">
      <c r="A293" s="940">
        <v>290</v>
      </c>
      <c r="B293" s="1108">
        <v>32604</v>
      </c>
      <c r="C293" s="1109" t="s">
        <v>272</v>
      </c>
      <c r="D293" s="1103">
        <v>150360491</v>
      </c>
      <c r="E293" s="1104" t="s">
        <v>890</v>
      </c>
      <c r="F293" s="940" t="s">
        <v>891</v>
      </c>
      <c r="G293" s="1106">
        <v>6</v>
      </c>
      <c r="H293" s="1118">
        <v>248</v>
      </c>
      <c r="I293" s="1132" t="s">
        <v>619</v>
      </c>
      <c r="O293" s="1096">
        <f t="shared" ca="1" si="9"/>
        <v>37</v>
      </c>
      <c r="P293" s="1133">
        <f t="shared" ca="1" si="8"/>
        <v>37</v>
      </c>
      <c r="Q293" s="1133"/>
      <c r="R293" s="1133"/>
      <c r="U293" s="1096">
        <v>32604</v>
      </c>
      <c r="V293" s="9" t="s">
        <v>275</v>
      </c>
    </row>
    <row r="294" spans="1:22" ht="25.95" customHeight="1">
      <c r="A294" s="940">
        <v>291</v>
      </c>
      <c r="B294" s="1108">
        <v>34048</v>
      </c>
      <c r="C294" s="1109" t="s">
        <v>272</v>
      </c>
      <c r="D294" s="1103">
        <v>150574719</v>
      </c>
      <c r="E294" s="1104" t="s">
        <v>892</v>
      </c>
      <c r="F294" s="940" t="s">
        <v>893</v>
      </c>
      <c r="G294" s="1106">
        <v>6</v>
      </c>
      <c r="H294" s="1118">
        <v>249</v>
      </c>
      <c r="I294" s="1132" t="s">
        <v>619</v>
      </c>
      <c r="O294" s="1096">
        <f t="shared" ca="1" si="9"/>
        <v>33</v>
      </c>
      <c r="P294" s="1133">
        <f t="shared" ca="1" si="8"/>
        <v>33</v>
      </c>
      <c r="Q294" s="1133"/>
      <c r="R294" s="1133"/>
      <c r="U294" s="1096">
        <v>34048</v>
      </c>
      <c r="V294" s="9" t="s">
        <v>275</v>
      </c>
    </row>
    <row r="295" spans="1:22" ht="25.95" customHeight="1">
      <c r="A295" s="940">
        <v>292</v>
      </c>
      <c r="B295" s="1108">
        <v>32863</v>
      </c>
      <c r="C295" s="1102" t="s">
        <v>264</v>
      </c>
      <c r="D295" s="1103">
        <v>150918234</v>
      </c>
      <c r="E295" s="1162" t="s">
        <v>894</v>
      </c>
      <c r="F295" s="940" t="s">
        <v>895</v>
      </c>
      <c r="G295" s="1106">
        <v>6</v>
      </c>
      <c r="H295" s="1118">
        <v>250</v>
      </c>
      <c r="I295" s="1132" t="s">
        <v>619</v>
      </c>
      <c r="O295" s="1096">
        <f t="shared" ca="1" si="9"/>
        <v>37</v>
      </c>
      <c r="P295" s="1133">
        <f t="shared" ca="1" si="8"/>
        <v>37</v>
      </c>
      <c r="Q295" s="1133"/>
      <c r="R295" s="1133"/>
      <c r="U295" s="1096">
        <v>32863</v>
      </c>
      <c r="V295" s="9" t="s">
        <v>271</v>
      </c>
    </row>
    <row r="296" spans="1:22" ht="25.95" customHeight="1">
      <c r="A296" s="940">
        <v>293</v>
      </c>
      <c r="B296" s="1101">
        <v>33990</v>
      </c>
      <c r="C296" s="1109" t="s">
        <v>272</v>
      </c>
      <c r="D296" s="731" t="s">
        <v>896</v>
      </c>
      <c r="E296" s="1104" t="s">
        <v>897</v>
      </c>
      <c r="F296" s="1163" t="s">
        <v>898</v>
      </c>
      <c r="G296" s="1106">
        <v>6</v>
      </c>
      <c r="H296" s="1118">
        <v>499</v>
      </c>
      <c r="I296" s="1132" t="s">
        <v>619</v>
      </c>
      <c r="O296" s="1096">
        <f t="shared" ca="1" si="9"/>
        <v>33</v>
      </c>
      <c r="P296" s="1133">
        <f t="shared" ca="1" si="8"/>
        <v>33</v>
      </c>
      <c r="Q296" s="1133"/>
      <c r="R296" s="1133"/>
      <c r="U296" s="1096">
        <v>33990</v>
      </c>
      <c r="V296" s="9" t="s">
        <v>275</v>
      </c>
    </row>
    <row r="297" spans="1:22" ht="25.95" customHeight="1">
      <c r="A297" s="940">
        <v>294</v>
      </c>
      <c r="B297" s="1108">
        <v>35075</v>
      </c>
      <c r="C297" s="1102" t="s">
        <v>264</v>
      </c>
      <c r="D297" s="1103">
        <v>150522824</v>
      </c>
      <c r="E297" s="1104" t="s">
        <v>899</v>
      </c>
      <c r="F297" s="940" t="s">
        <v>900</v>
      </c>
      <c r="G297" s="1106">
        <v>6</v>
      </c>
      <c r="H297" s="1118">
        <v>500</v>
      </c>
      <c r="I297" s="1132" t="s">
        <v>619</v>
      </c>
      <c r="O297" s="1096">
        <f t="shared" ca="1" si="9"/>
        <v>30</v>
      </c>
      <c r="P297" s="1133">
        <f t="shared" ca="1" si="8"/>
        <v>30</v>
      </c>
      <c r="Q297" s="1133"/>
      <c r="R297" s="1133"/>
      <c r="U297" s="1096">
        <v>35075</v>
      </c>
      <c r="V297" s="9" t="s">
        <v>271</v>
      </c>
    </row>
    <row r="298" spans="1:22" ht="25.95" customHeight="1">
      <c r="A298" s="940">
        <v>295</v>
      </c>
      <c r="B298" s="1108">
        <v>28534</v>
      </c>
      <c r="C298" s="1109" t="s">
        <v>272</v>
      </c>
      <c r="D298" s="1103">
        <v>150848342</v>
      </c>
      <c r="E298" s="1104" t="s">
        <v>901</v>
      </c>
      <c r="F298" s="940" t="s">
        <v>902</v>
      </c>
      <c r="G298" s="1106">
        <v>6</v>
      </c>
      <c r="H298" s="1118">
        <v>501</v>
      </c>
      <c r="I298" s="1132" t="s">
        <v>619</v>
      </c>
      <c r="O298" s="1096">
        <f t="shared" ca="1" si="9"/>
        <v>48</v>
      </c>
      <c r="P298" s="1133">
        <f t="shared" ca="1" si="8"/>
        <v>48</v>
      </c>
      <c r="Q298" s="1133"/>
      <c r="R298" s="1133"/>
      <c r="U298" s="1096">
        <v>28534</v>
      </c>
      <c r="V298" s="9" t="s">
        <v>275</v>
      </c>
    </row>
    <row r="299" spans="1:22" ht="25.95" customHeight="1">
      <c r="A299" s="940">
        <v>296</v>
      </c>
      <c r="B299" s="1108">
        <v>37633</v>
      </c>
      <c r="C299" s="1102" t="s">
        <v>264</v>
      </c>
      <c r="D299" s="1103">
        <v>150952484</v>
      </c>
      <c r="E299" s="1104" t="s">
        <v>903</v>
      </c>
      <c r="F299" s="940" t="s">
        <v>904</v>
      </c>
      <c r="G299" s="1106">
        <v>6</v>
      </c>
      <c r="H299" s="1118">
        <v>502</v>
      </c>
      <c r="I299" s="1132" t="s">
        <v>619</v>
      </c>
      <c r="O299" s="1096">
        <f t="shared" ca="1" si="9"/>
        <v>23</v>
      </c>
      <c r="P299" s="1133">
        <f t="shared" ca="1" si="8"/>
        <v>23</v>
      </c>
      <c r="Q299" s="1133"/>
      <c r="R299" s="1133"/>
      <c r="U299" s="1096">
        <v>37633</v>
      </c>
      <c r="V299" s="9" t="s">
        <v>271</v>
      </c>
    </row>
    <row r="300" spans="1:22" ht="25.95" customHeight="1">
      <c r="A300" s="940">
        <v>297</v>
      </c>
      <c r="B300" s="1108">
        <v>38496</v>
      </c>
      <c r="C300" s="1102" t="s">
        <v>264</v>
      </c>
      <c r="D300" s="1103">
        <v>151034023</v>
      </c>
      <c r="E300" s="1104" t="s">
        <v>905</v>
      </c>
      <c r="F300" s="940" t="s">
        <v>906</v>
      </c>
      <c r="G300" s="1106">
        <v>6</v>
      </c>
      <c r="H300" s="1118">
        <v>503</v>
      </c>
      <c r="I300" s="1132" t="s">
        <v>619</v>
      </c>
      <c r="O300" s="1096">
        <f t="shared" ca="1" si="9"/>
        <v>21</v>
      </c>
      <c r="P300" s="1133">
        <f t="shared" ca="1" si="8"/>
        <v>21</v>
      </c>
      <c r="Q300" s="1133"/>
      <c r="R300" s="1133"/>
      <c r="U300" s="1096">
        <v>38496</v>
      </c>
      <c r="V300" s="9" t="s">
        <v>271</v>
      </c>
    </row>
    <row r="301" spans="1:22" ht="25.95" customHeight="1">
      <c r="A301" s="940">
        <v>298</v>
      </c>
      <c r="B301" s="1108">
        <v>36753</v>
      </c>
      <c r="C301" s="1102" t="s">
        <v>264</v>
      </c>
      <c r="D301" s="1103">
        <v>150785454</v>
      </c>
      <c r="E301" s="1104" t="s">
        <v>907</v>
      </c>
      <c r="F301" s="940" t="s">
        <v>908</v>
      </c>
      <c r="G301" s="1106">
        <v>6</v>
      </c>
      <c r="H301" s="1118">
        <v>504</v>
      </c>
      <c r="I301" s="1132" t="s">
        <v>619</v>
      </c>
      <c r="O301" s="1096">
        <f t="shared" ca="1" si="9"/>
        <v>26</v>
      </c>
      <c r="P301" s="1133">
        <f t="shared" ca="1" si="8"/>
        <v>26</v>
      </c>
      <c r="Q301" s="1133"/>
      <c r="R301" s="1133"/>
      <c r="U301" s="1096">
        <v>36753</v>
      </c>
      <c r="V301" s="9" t="s">
        <v>271</v>
      </c>
    </row>
    <row r="302" spans="1:22" ht="25.95" customHeight="1">
      <c r="A302" s="940">
        <v>299</v>
      </c>
      <c r="B302" s="1108">
        <v>35981</v>
      </c>
      <c r="C302" s="1109" t="s">
        <v>272</v>
      </c>
      <c r="D302" s="1103">
        <v>150740087</v>
      </c>
      <c r="E302" s="1104" t="s">
        <v>909</v>
      </c>
      <c r="F302" s="940" t="s">
        <v>910</v>
      </c>
      <c r="G302" s="1106">
        <v>6</v>
      </c>
      <c r="H302" s="1118">
        <v>505</v>
      </c>
      <c r="I302" s="1132" t="s">
        <v>619</v>
      </c>
      <c r="O302" s="1096">
        <f t="shared" ca="1" si="9"/>
        <v>28</v>
      </c>
      <c r="P302" s="1133">
        <f t="shared" ca="1" si="8"/>
        <v>28</v>
      </c>
      <c r="Q302" s="1133"/>
      <c r="R302" s="1133"/>
      <c r="U302" s="1096">
        <v>35981</v>
      </c>
      <c r="V302" s="9" t="s">
        <v>275</v>
      </c>
    </row>
    <row r="303" spans="1:22" ht="25.95" customHeight="1">
      <c r="A303" s="940">
        <v>300</v>
      </c>
      <c r="B303" s="1108">
        <v>35226</v>
      </c>
      <c r="C303" s="1102" t="s">
        <v>264</v>
      </c>
      <c r="D303" s="1103">
        <v>150523529</v>
      </c>
      <c r="E303" s="1104" t="s">
        <v>911</v>
      </c>
      <c r="F303" s="940" t="s">
        <v>912</v>
      </c>
      <c r="G303" s="1106">
        <v>6</v>
      </c>
      <c r="H303" s="1118">
        <v>506</v>
      </c>
      <c r="I303" s="1132" t="s">
        <v>619</v>
      </c>
      <c r="O303" s="1096">
        <f t="shared" ca="1" si="9"/>
        <v>30</v>
      </c>
      <c r="P303" s="1133">
        <f t="shared" ca="1" si="8"/>
        <v>30</v>
      </c>
      <c r="Q303" s="1133"/>
      <c r="R303" s="1133"/>
      <c r="U303" s="1096">
        <v>35226</v>
      </c>
      <c r="V303" s="9" t="s">
        <v>271</v>
      </c>
    </row>
    <row r="304" spans="1:22" ht="25.95" customHeight="1">
      <c r="A304" s="940">
        <v>301</v>
      </c>
      <c r="B304" s="1108">
        <v>34834</v>
      </c>
      <c r="C304" s="1109" t="s">
        <v>272</v>
      </c>
      <c r="D304" s="1103">
        <v>150548612</v>
      </c>
      <c r="E304" s="1104" t="s">
        <v>913</v>
      </c>
      <c r="F304" s="940" t="s">
        <v>914</v>
      </c>
      <c r="G304" s="1106">
        <v>6</v>
      </c>
      <c r="H304" s="1118">
        <v>507</v>
      </c>
      <c r="I304" s="1132" t="s">
        <v>619</v>
      </c>
      <c r="O304" s="1096">
        <f t="shared" ca="1" si="9"/>
        <v>31</v>
      </c>
      <c r="P304" s="1133">
        <f t="shared" ca="1" si="8"/>
        <v>31</v>
      </c>
      <c r="Q304" s="1133"/>
      <c r="R304" s="1133"/>
      <c r="U304" s="1096">
        <v>34834</v>
      </c>
      <c r="V304" s="9" t="s">
        <v>275</v>
      </c>
    </row>
    <row r="305" spans="1:22" ht="25.95" customHeight="1">
      <c r="A305" s="940">
        <v>302</v>
      </c>
      <c r="B305" s="1108">
        <v>33292</v>
      </c>
      <c r="C305" s="1102" t="s">
        <v>264</v>
      </c>
      <c r="D305" s="1103">
        <v>150740996</v>
      </c>
      <c r="E305" s="1104" t="s">
        <v>915</v>
      </c>
      <c r="F305" s="940" t="s">
        <v>916</v>
      </c>
      <c r="G305" s="1106">
        <v>6</v>
      </c>
      <c r="H305" s="1118">
        <v>508</v>
      </c>
      <c r="I305" s="1132" t="s">
        <v>619</v>
      </c>
      <c r="O305" s="1096">
        <f t="shared" ca="1" si="9"/>
        <v>35</v>
      </c>
      <c r="P305" s="1133">
        <f t="shared" ca="1" si="8"/>
        <v>35</v>
      </c>
      <c r="Q305" s="1133"/>
      <c r="R305" s="1133"/>
      <c r="U305" s="1096">
        <v>33292</v>
      </c>
      <c r="V305" s="9" t="s">
        <v>271</v>
      </c>
    </row>
    <row r="306" spans="1:22" ht="25.95" customHeight="1">
      <c r="A306" s="940">
        <v>303</v>
      </c>
      <c r="B306" s="1108">
        <v>31385</v>
      </c>
      <c r="C306" s="1102" t="s">
        <v>264</v>
      </c>
      <c r="D306" s="1103">
        <v>150940860</v>
      </c>
      <c r="E306" s="1104" t="s">
        <v>917</v>
      </c>
      <c r="F306" s="940" t="s">
        <v>918</v>
      </c>
      <c r="G306" s="1106">
        <v>6</v>
      </c>
      <c r="H306" s="1118">
        <v>509</v>
      </c>
      <c r="I306" s="1132" t="s">
        <v>619</v>
      </c>
      <c r="O306" s="1096">
        <f t="shared" ca="1" si="9"/>
        <v>41</v>
      </c>
      <c r="P306" s="1133">
        <f t="shared" ca="1" si="8"/>
        <v>41</v>
      </c>
      <c r="Q306" s="1133"/>
      <c r="R306" s="1133"/>
      <c r="U306" s="1096">
        <v>31385</v>
      </c>
      <c r="V306" s="9" t="s">
        <v>271</v>
      </c>
    </row>
    <row r="307" spans="1:22" ht="31.2" customHeight="1">
      <c r="A307" s="940">
        <v>304</v>
      </c>
      <c r="B307" s="1108">
        <v>31052</v>
      </c>
      <c r="C307" s="1109" t="s">
        <v>272</v>
      </c>
      <c r="D307" s="1103">
        <v>150940791</v>
      </c>
      <c r="E307" s="1104" t="s">
        <v>919</v>
      </c>
      <c r="F307" s="940" t="s">
        <v>920</v>
      </c>
      <c r="G307" s="1106">
        <v>6</v>
      </c>
      <c r="H307" s="1118">
        <v>510</v>
      </c>
      <c r="I307" s="1132" t="s">
        <v>619</v>
      </c>
      <c r="O307" s="1096">
        <f t="shared" ca="1" si="9"/>
        <v>41</v>
      </c>
      <c r="P307" s="1133">
        <f t="shared" ca="1" si="8"/>
        <v>41</v>
      </c>
      <c r="Q307" s="1133"/>
      <c r="R307" s="1133"/>
      <c r="U307" s="1096">
        <v>31052</v>
      </c>
      <c r="V307" s="9" t="s">
        <v>275</v>
      </c>
    </row>
    <row r="308" spans="1:22" ht="25.95" customHeight="1">
      <c r="A308" s="940">
        <v>305</v>
      </c>
      <c r="B308" s="1108">
        <v>37717</v>
      </c>
      <c r="C308" s="1109" t="s">
        <v>272</v>
      </c>
      <c r="D308" s="1103">
        <v>220217962</v>
      </c>
      <c r="E308" s="1104" t="s">
        <v>921</v>
      </c>
      <c r="F308" s="940" t="s">
        <v>922</v>
      </c>
      <c r="G308" s="1106">
        <v>9</v>
      </c>
      <c r="H308" s="1117">
        <v>344</v>
      </c>
      <c r="I308" s="1132" t="s">
        <v>923</v>
      </c>
      <c r="O308" s="1096">
        <f t="shared" ca="1" si="9"/>
        <v>23</v>
      </c>
      <c r="P308" s="1133">
        <f t="shared" ca="1" si="8"/>
        <v>23</v>
      </c>
      <c r="Q308" s="1133"/>
      <c r="R308" s="1133"/>
      <c r="U308" s="1096">
        <v>37717</v>
      </c>
      <c r="V308" s="9" t="s">
        <v>275</v>
      </c>
    </row>
    <row r="309" spans="1:22" ht="25.95" customHeight="1">
      <c r="A309" s="940">
        <v>306</v>
      </c>
      <c r="B309" s="1108">
        <v>34031</v>
      </c>
      <c r="C309" s="1102" t="s">
        <v>264</v>
      </c>
      <c r="D309" s="1103">
        <v>150468357</v>
      </c>
      <c r="E309" s="1104" t="s">
        <v>924</v>
      </c>
      <c r="F309" s="940" t="s">
        <v>925</v>
      </c>
      <c r="G309" s="1106">
        <v>9</v>
      </c>
      <c r="H309" s="1118">
        <v>345</v>
      </c>
      <c r="I309" s="1132" t="s">
        <v>923</v>
      </c>
      <c r="O309" s="1096">
        <f t="shared" ca="1" si="9"/>
        <v>33</v>
      </c>
      <c r="P309" s="1133">
        <f t="shared" ca="1" si="8"/>
        <v>33</v>
      </c>
      <c r="Q309" s="1133"/>
      <c r="R309" s="1133"/>
      <c r="U309" s="1096">
        <v>34031</v>
      </c>
      <c r="V309" s="9" t="s">
        <v>271</v>
      </c>
    </row>
    <row r="310" spans="1:22" ht="25.95" customHeight="1">
      <c r="A310" s="940">
        <v>307</v>
      </c>
      <c r="B310" s="1108">
        <v>33348</v>
      </c>
      <c r="C310" s="1109" t="s">
        <v>272</v>
      </c>
      <c r="D310" s="1103">
        <v>150522964</v>
      </c>
      <c r="E310" s="1104" t="s">
        <v>926</v>
      </c>
      <c r="F310" s="940" t="s">
        <v>927</v>
      </c>
      <c r="G310" s="1106">
        <v>9</v>
      </c>
      <c r="H310" s="1118">
        <v>346</v>
      </c>
      <c r="I310" s="1132" t="s">
        <v>923</v>
      </c>
      <c r="O310" s="1096">
        <f t="shared" ca="1" si="9"/>
        <v>35</v>
      </c>
      <c r="P310" s="1133">
        <f t="shared" ca="1" si="8"/>
        <v>35</v>
      </c>
      <c r="Q310" s="1133"/>
      <c r="R310" s="1133"/>
      <c r="U310" s="1096">
        <v>33348</v>
      </c>
      <c r="V310" s="9" t="s">
        <v>275</v>
      </c>
    </row>
    <row r="311" spans="1:22" ht="25.95" customHeight="1">
      <c r="A311" s="940">
        <v>308</v>
      </c>
      <c r="B311" s="1108">
        <v>35076</v>
      </c>
      <c r="C311" s="1102" t="s">
        <v>264</v>
      </c>
      <c r="D311" s="1103">
        <v>150522846</v>
      </c>
      <c r="E311" s="1104" t="s">
        <v>928</v>
      </c>
      <c r="F311" s="940" t="s">
        <v>929</v>
      </c>
      <c r="G311" s="1106">
        <v>9</v>
      </c>
      <c r="H311" s="1118">
        <v>347</v>
      </c>
      <c r="I311" s="1132" t="s">
        <v>923</v>
      </c>
      <c r="O311" s="1096">
        <f t="shared" ca="1" si="9"/>
        <v>30</v>
      </c>
      <c r="P311" s="1133">
        <f t="shared" ca="1" si="8"/>
        <v>30</v>
      </c>
      <c r="Q311" s="1133"/>
      <c r="R311" s="1133"/>
      <c r="U311" s="1096">
        <v>35076</v>
      </c>
      <c r="V311" s="9" t="s">
        <v>271</v>
      </c>
    </row>
    <row r="312" spans="1:22" ht="25.95" customHeight="1">
      <c r="A312" s="940">
        <v>309</v>
      </c>
      <c r="B312" s="1108">
        <v>31578</v>
      </c>
      <c r="C312" s="1109" t="s">
        <v>272</v>
      </c>
      <c r="D312" s="1103">
        <v>150306687</v>
      </c>
      <c r="E312" s="1104" t="s">
        <v>930</v>
      </c>
      <c r="F312" s="940" t="s">
        <v>931</v>
      </c>
      <c r="G312" s="1106">
        <v>9</v>
      </c>
      <c r="H312" s="1118">
        <v>348</v>
      </c>
      <c r="I312" s="1132" t="s">
        <v>923</v>
      </c>
      <c r="O312" s="1096">
        <f t="shared" ca="1" si="9"/>
        <v>40</v>
      </c>
      <c r="P312" s="1133">
        <f t="shared" ca="1" si="8"/>
        <v>40</v>
      </c>
      <c r="Q312" s="1133"/>
      <c r="R312" s="1133"/>
      <c r="U312" s="1096">
        <v>31578</v>
      </c>
      <c r="V312" s="9" t="s">
        <v>275</v>
      </c>
    </row>
    <row r="313" spans="1:22" ht="25.95" customHeight="1">
      <c r="A313" s="940">
        <v>310</v>
      </c>
      <c r="B313" s="1108">
        <v>30873</v>
      </c>
      <c r="C313" s="1102" t="s">
        <v>264</v>
      </c>
      <c r="D313" s="1103">
        <v>150334789</v>
      </c>
      <c r="E313" s="1104" t="s">
        <v>932</v>
      </c>
      <c r="F313" s="940" t="s">
        <v>933</v>
      </c>
      <c r="G313" s="1106">
        <v>9</v>
      </c>
      <c r="H313" s="1118">
        <v>349</v>
      </c>
      <c r="I313" s="1132" t="s">
        <v>923</v>
      </c>
      <c r="O313" s="1096">
        <f t="shared" ca="1" si="9"/>
        <v>42</v>
      </c>
      <c r="P313" s="1133">
        <f t="shared" ca="1" si="8"/>
        <v>42</v>
      </c>
      <c r="Q313" s="1133"/>
      <c r="R313" s="1133"/>
      <c r="U313" s="1096">
        <v>30873</v>
      </c>
      <c r="V313" s="9" t="s">
        <v>271</v>
      </c>
    </row>
    <row r="314" spans="1:22" ht="25.95" customHeight="1">
      <c r="A314" s="940">
        <v>311</v>
      </c>
      <c r="B314" s="1108">
        <v>29587</v>
      </c>
      <c r="C314" s="1102" t="s">
        <v>264</v>
      </c>
      <c r="D314" s="1103">
        <v>150307779</v>
      </c>
      <c r="E314" s="1104" t="s">
        <v>934</v>
      </c>
      <c r="F314" s="940" t="s">
        <v>935</v>
      </c>
      <c r="G314" s="1106">
        <v>9</v>
      </c>
      <c r="H314" s="1118">
        <v>350</v>
      </c>
      <c r="I314" s="1132" t="s">
        <v>923</v>
      </c>
      <c r="O314" s="1096">
        <f t="shared" ca="1" si="9"/>
        <v>45</v>
      </c>
      <c r="P314" s="1133">
        <f t="shared" ca="1" si="8"/>
        <v>45</v>
      </c>
      <c r="Q314" s="1133"/>
      <c r="R314" s="1133"/>
      <c r="U314" s="1096">
        <v>29587</v>
      </c>
      <c r="V314" s="9" t="s">
        <v>271</v>
      </c>
    </row>
    <row r="315" spans="1:22" ht="25.95" customHeight="1">
      <c r="A315" s="940">
        <v>312</v>
      </c>
      <c r="B315" s="1108">
        <v>29421</v>
      </c>
      <c r="C315" s="1109" t="s">
        <v>272</v>
      </c>
      <c r="D315" s="1103">
        <v>150741224</v>
      </c>
      <c r="E315" s="1104" t="s">
        <v>936</v>
      </c>
      <c r="F315" s="940" t="s">
        <v>937</v>
      </c>
      <c r="G315" s="1106">
        <v>9</v>
      </c>
      <c r="H315" s="1118">
        <v>351</v>
      </c>
      <c r="I315" s="1132" t="s">
        <v>923</v>
      </c>
      <c r="O315" s="1096">
        <f t="shared" ca="1" si="9"/>
        <v>46</v>
      </c>
      <c r="P315" s="1133">
        <f t="shared" ca="1" si="8"/>
        <v>46</v>
      </c>
      <c r="Q315" s="1133"/>
      <c r="R315" s="1133"/>
      <c r="U315" s="1096">
        <v>29421</v>
      </c>
      <c r="V315" s="9" t="s">
        <v>275</v>
      </c>
    </row>
    <row r="316" spans="1:22" ht="25.95" customHeight="1">
      <c r="A316" s="940">
        <v>313</v>
      </c>
      <c r="B316" s="1108">
        <v>34412</v>
      </c>
      <c r="C316" s="1109" t="s">
        <v>272</v>
      </c>
      <c r="D316" s="1103">
        <v>150658008</v>
      </c>
      <c r="E316" s="1104" t="s">
        <v>938</v>
      </c>
      <c r="F316" s="940" t="s">
        <v>939</v>
      </c>
      <c r="G316" s="1106">
        <v>9</v>
      </c>
      <c r="H316" s="1118">
        <v>352</v>
      </c>
      <c r="I316" s="1132" t="s">
        <v>923</v>
      </c>
      <c r="O316" s="1096">
        <f t="shared" ca="1" si="9"/>
        <v>32</v>
      </c>
      <c r="P316" s="1133">
        <f t="shared" ca="1" si="8"/>
        <v>32</v>
      </c>
      <c r="Q316" s="1133"/>
      <c r="R316" s="1133"/>
      <c r="U316" s="1096">
        <v>34412</v>
      </c>
      <c r="V316" s="9" t="s">
        <v>275</v>
      </c>
    </row>
    <row r="317" spans="1:22" ht="25.95" customHeight="1">
      <c r="A317" s="940">
        <v>314</v>
      </c>
      <c r="B317" s="1108">
        <v>36539</v>
      </c>
      <c r="C317" s="1109" t="s">
        <v>272</v>
      </c>
      <c r="D317" s="1103">
        <v>150791135</v>
      </c>
      <c r="E317" s="1104" t="s">
        <v>940</v>
      </c>
      <c r="F317" s="940" t="s">
        <v>941</v>
      </c>
      <c r="G317" s="1106">
        <v>9</v>
      </c>
      <c r="H317" s="1118">
        <v>353</v>
      </c>
      <c r="I317" s="1132" t="s">
        <v>923</v>
      </c>
      <c r="O317" s="1096">
        <f t="shared" ca="1" si="9"/>
        <v>26</v>
      </c>
      <c r="P317" s="1133">
        <f t="shared" ca="1" si="8"/>
        <v>26</v>
      </c>
      <c r="Q317" s="1133"/>
      <c r="R317" s="1133"/>
      <c r="U317" s="1096">
        <v>36539</v>
      </c>
      <c r="V317" s="9" t="s">
        <v>275</v>
      </c>
    </row>
    <row r="318" spans="1:22" ht="25.95" customHeight="1">
      <c r="A318" s="940">
        <v>315</v>
      </c>
      <c r="B318" s="1108">
        <v>31790</v>
      </c>
      <c r="C318" s="1109" t="s">
        <v>272</v>
      </c>
      <c r="D318" s="1103">
        <v>150306396</v>
      </c>
      <c r="E318" s="1104" t="s">
        <v>942</v>
      </c>
      <c r="F318" s="940" t="s">
        <v>943</v>
      </c>
      <c r="G318" s="1106">
        <v>9</v>
      </c>
      <c r="H318" s="1118">
        <v>354</v>
      </c>
      <c r="I318" s="1132" t="s">
        <v>923</v>
      </c>
      <c r="O318" s="1096">
        <f t="shared" ca="1" si="9"/>
        <v>39</v>
      </c>
      <c r="P318" s="1133">
        <f t="shared" ca="1" si="8"/>
        <v>39</v>
      </c>
      <c r="Q318" s="1133"/>
      <c r="R318" s="1133"/>
      <c r="U318" s="1096">
        <v>31790</v>
      </c>
      <c r="V318" s="9" t="s">
        <v>275</v>
      </c>
    </row>
    <row r="319" spans="1:22" ht="25.95" customHeight="1">
      <c r="A319" s="940">
        <v>316</v>
      </c>
      <c r="B319" s="1108">
        <v>31584</v>
      </c>
      <c r="C319" s="1102" t="s">
        <v>264</v>
      </c>
      <c r="D319" s="1103">
        <v>150306282</v>
      </c>
      <c r="E319" s="1104" t="s">
        <v>944</v>
      </c>
      <c r="F319" s="940" t="s">
        <v>945</v>
      </c>
      <c r="G319" s="1106">
        <v>9</v>
      </c>
      <c r="H319" s="1118">
        <v>355</v>
      </c>
      <c r="I319" s="1132" t="s">
        <v>923</v>
      </c>
      <c r="O319" s="1096">
        <f t="shared" ca="1" si="9"/>
        <v>40</v>
      </c>
      <c r="P319" s="1133">
        <f t="shared" ref="P319:P382" ca="1" si="10">IF(O319&lt;=59,O319,IF(O319=60,1))</f>
        <v>40</v>
      </c>
      <c r="Q319" s="1133"/>
      <c r="R319" s="1133"/>
      <c r="U319" s="1096">
        <v>31584</v>
      </c>
      <c r="V319" s="9" t="s">
        <v>271</v>
      </c>
    </row>
    <row r="320" spans="1:22" ht="25.95" customHeight="1">
      <c r="A320" s="940">
        <v>317</v>
      </c>
      <c r="B320" s="1108">
        <v>31868</v>
      </c>
      <c r="C320" s="1102" t="s">
        <v>264</v>
      </c>
      <c r="D320" s="1103">
        <v>150306067</v>
      </c>
      <c r="E320" s="1104" t="s">
        <v>946</v>
      </c>
      <c r="F320" s="940" t="s">
        <v>947</v>
      </c>
      <c r="G320" s="1106">
        <v>9</v>
      </c>
      <c r="H320" s="1118">
        <v>356</v>
      </c>
      <c r="I320" s="1132" t="s">
        <v>923</v>
      </c>
      <c r="O320" s="1096">
        <f t="shared" ca="1" si="9"/>
        <v>39</v>
      </c>
      <c r="P320" s="1133">
        <f t="shared" ca="1" si="10"/>
        <v>39</v>
      </c>
      <c r="Q320" s="1133"/>
      <c r="R320" s="1133"/>
      <c r="U320" s="1096">
        <v>31868</v>
      </c>
      <c r="V320" s="9" t="s">
        <v>271</v>
      </c>
    </row>
    <row r="321" spans="1:22" ht="25.95" customHeight="1">
      <c r="A321" s="940">
        <v>318</v>
      </c>
      <c r="B321" s="1108">
        <v>29650</v>
      </c>
      <c r="C321" s="1102" t="s">
        <v>264</v>
      </c>
      <c r="D321" s="1103">
        <v>150113426</v>
      </c>
      <c r="E321" s="1104" t="s">
        <v>948</v>
      </c>
      <c r="F321" s="940" t="s">
        <v>949</v>
      </c>
      <c r="G321" s="1106">
        <v>9</v>
      </c>
      <c r="H321" s="1118">
        <v>357</v>
      </c>
      <c r="I321" s="1132" t="s">
        <v>923</v>
      </c>
      <c r="O321" s="1096">
        <f t="shared" ca="1" si="9"/>
        <v>45</v>
      </c>
      <c r="P321" s="1133">
        <f t="shared" ca="1" si="10"/>
        <v>45</v>
      </c>
      <c r="Q321" s="1133"/>
      <c r="R321" s="1133"/>
      <c r="U321" s="1096">
        <v>29650</v>
      </c>
      <c r="V321" s="9" t="s">
        <v>271</v>
      </c>
    </row>
    <row r="322" spans="1:22" ht="25.95" customHeight="1">
      <c r="A322" s="940">
        <v>319</v>
      </c>
      <c r="B322" s="1108">
        <v>28978</v>
      </c>
      <c r="C322" s="1109" t="s">
        <v>272</v>
      </c>
      <c r="D322" s="1103">
        <v>150113483</v>
      </c>
      <c r="E322" s="1104" t="s">
        <v>950</v>
      </c>
      <c r="F322" s="940" t="s">
        <v>951</v>
      </c>
      <c r="G322" s="1106">
        <v>9</v>
      </c>
      <c r="H322" s="1118">
        <v>358</v>
      </c>
      <c r="I322" s="1132" t="s">
        <v>923</v>
      </c>
      <c r="O322" s="1096">
        <f t="shared" ca="1" si="9"/>
        <v>47</v>
      </c>
      <c r="P322" s="1133">
        <f t="shared" ca="1" si="10"/>
        <v>47</v>
      </c>
      <c r="Q322" s="1133"/>
      <c r="R322" s="1133"/>
      <c r="U322" s="1096">
        <v>28978</v>
      </c>
      <c r="V322" s="9" t="s">
        <v>275</v>
      </c>
    </row>
    <row r="323" spans="1:22" ht="25.95" customHeight="1">
      <c r="A323" s="940">
        <v>320</v>
      </c>
      <c r="B323" s="1108">
        <v>35966</v>
      </c>
      <c r="C323" s="1102" t="s">
        <v>264</v>
      </c>
      <c r="D323" s="1103">
        <v>150657912</v>
      </c>
      <c r="E323" s="1104" t="s">
        <v>952</v>
      </c>
      <c r="F323" s="940" t="s">
        <v>953</v>
      </c>
      <c r="G323" s="1106">
        <v>9</v>
      </c>
      <c r="H323" s="1118">
        <v>359</v>
      </c>
      <c r="I323" s="1132" t="s">
        <v>923</v>
      </c>
      <c r="O323" s="1096">
        <f t="shared" ca="1" si="9"/>
        <v>28</v>
      </c>
      <c r="P323" s="1133">
        <f t="shared" ca="1" si="10"/>
        <v>28</v>
      </c>
      <c r="Q323" s="1133"/>
      <c r="R323" s="1133"/>
      <c r="U323" s="1096">
        <v>35966</v>
      </c>
      <c r="V323" s="9" t="s">
        <v>271</v>
      </c>
    </row>
    <row r="324" spans="1:22" ht="25.95" customHeight="1">
      <c r="A324" s="940">
        <v>321</v>
      </c>
      <c r="B324" s="1108">
        <v>36288</v>
      </c>
      <c r="C324" s="1102" t="s">
        <v>264</v>
      </c>
      <c r="D324" s="1103">
        <v>150837360</v>
      </c>
      <c r="E324" s="1104" t="s">
        <v>954</v>
      </c>
      <c r="F324" s="940" t="s">
        <v>955</v>
      </c>
      <c r="G324" s="1106">
        <v>9</v>
      </c>
      <c r="H324" s="1118">
        <v>360</v>
      </c>
      <c r="I324" s="1132" t="s">
        <v>923</v>
      </c>
      <c r="O324" s="1096">
        <f t="shared" ca="1" si="9"/>
        <v>27</v>
      </c>
      <c r="P324" s="1133">
        <f t="shared" ca="1" si="10"/>
        <v>27</v>
      </c>
      <c r="Q324" s="1133"/>
      <c r="R324" s="1133"/>
      <c r="U324" s="1096">
        <v>36288</v>
      </c>
      <c r="V324" s="9" t="s">
        <v>271</v>
      </c>
    </row>
    <row r="325" spans="1:22" ht="25.95" customHeight="1">
      <c r="A325" s="940">
        <v>322</v>
      </c>
      <c r="B325" s="1108">
        <v>29155</v>
      </c>
      <c r="C325" s="1102" t="s">
        <v>264</v>
      </c>
      <c r="D325" s="1103">
        <v>150117884</v>
      </c>
      <c r="E325" s="1104" t="s">
        <v>956</v>
      </c>
      <c r="F325" s="940" t="s">
        <v>957</v>
      </c>
      <c r="G325" s="1106">
        <v>9</v>
      </c>
      <c r="H325" s="1118">
        <v>361</v>
      </c>
      <c r="I325" s="1132" t="s">
        <v>923</v>
      </c>
      <c r="O325" s="1096">
        <f t="shared" ref="O325:O388" ca="1" si="11">YEAR(NOW())-YEAR(B325)</f>
        <v>47</v>
      </c>
      <c r="P325" s="1133">
        <f t="shared" ca="1" si="10"/>
        <v>47</v>
      </c>
      <c r="Q325" s="1133"/>
      <c r="R325" s="1133"/>
      <c r="U325" s="1096">
        <v>29155</v>
      </c>
      <c r="V325" s="9" t="s">
        <v>271</v>
      </c>
    </row>
    <row r="326" spans="1:22" ht="25.95" customHeight="1">
      <c r="A326" s="940">
        <v>323</v>
      </c>
      <c r="B326" s="1108">
        <v>29473</v>
      </c>
      <c r="C326" s="1109" t="s">
        <v>272</v>
      </c>
      <c r="D326" s="1103">
        <v>150117755</v>
      </c>
      <c r="E326" s="1104" t="s">
        <v>958</v>
      </c>
      <c r="F326" s="1108" t="s">
        <v>959</v>
      </c>
      <c r="G326" s="1106">
        <v>9</v>
      </c>
      <c r="H326" s="1118">
        <v>362</v>
      </c>
      <c r="I326" s="1132" t="s">
        <v>923</v>
      </c>
      <c r="O326" s="1096">
        <f t="shared" ca="1" si="11"/>
        <v>46</v>
      </c>
      <c r="P326" s="1133">
        <f t="shared" ca="1" si="10"/>
        <v>46</v>
      </c>
      <c r="Q326" s="1133"/>
      <c r="R326" s="1133"/>
      <c r="U326" s="1096">
        <v>29473</v>
      </c>
      <c r="V326" s="9" t="s">
        <v>275</v>
      </c>
    </row>
    <row r="327" spans="1:22" ht="25.95" customHeight="1">
      <c r="A327" s="940">
        <v>324</v>
      </c>
      <c r="B327" s="1108">
        <v>32654</v>
      </c>
      <c r="C327" s="1109" t="s">
        <v>272</v>
      </c>
      <c r="D327" s="1103">
        <v>150836170</v>
      </c>
      <c r="E327" s="1104" t="s">
        <v>960</v>
      </c>
      <c r="F327" s="940" t="s">
        <v>961</v>
      </c>
      <c r="G327" s="1106">
        <v>9</v>
      </c>
      <c r="H327" s="1118">
        <v>363</v>
      </c>
      <c r="I327" s="1132" t="s">
        <v>923</v>
      </c>
      <c r="O327" s="1096">
        <f t="shared" ca="1" si="11"/>
        <v>37</v>
      </c>
      <c r="P327" s="1133">
        <f t="shared" ca="1" si="10"/>
        <v>37</v>
      </c>
      <c r="Q327" s="1133"/>
      <c r="R327" s="1133"/>
      <c r="U327" s="1096">
        <v>32654</v>
      </c>
      <c r="V327" s="9" t="s">
        <v>275</v>
      </c>
    </row>
    <row r="328" spans="1:22" ht="25.95" customHeight="1">
      <c r="A328" s="940">
        <v>325</v>
      </c>
      <c r="B328" s="1108">
        <v>33155</v>
      </c>
      <c r="C328" s="1102" t="s">
        <v>264</v>
      </c>
      <c r="D328" s="1103">
        <v>150469847</v>
      </c>
      <c r="E328" s="1104" t="s">
        <v>962</v>
      </c>
      <c r="F328" s="940" t="s">
        <v>963</v>
      </c>
      <c r="G328" s="1106">
        <v>9</v>
      </c>
      <c r="H328" s="1118">
        <v>364</v>
      </c>
      <c r="I328" s="1132" t="s">
        <v>923</v>
      </c>
      <c r="O328" s="1096">
        <f t="shared" ca="1" si="11"/>
        <v>36</v>
      </c>
      <c r="P328" s="1133">
        <f t="shared" ca="1" si="10"/>
        <v>36</v>
      </c>
      <c r="Q328" s="1133"/>
      <c r="R328" s="1133"/>
      <c r="U328" s="1096">
        <v>33155</v>
      </c>
      <c r="V328" s="9" t="s">
        <v>271</v>
      </c>
    </row>
    <row r="329" spans="1:22" ht="25.95" customHeight="1">
      <c r="A329" s="940">
        <v>326</v>
      </c>
      <c r="B329" s="1108">
        <v>33434</v>
      </c>
      <c r="C329" s="1102" t="s">
        <v>264</v>
      </c>
      <c r="D329" s="1103">
        <v>15052285</v>
      </c>
      <c r="E329" s="1104" t="s">
        <v>964</v>
      </c>
      <c r="F329" s="940" t="s">
        <v>965</v>
      </c>
      <c r="G329" s="1106">
        <v>9</v>
      </c>
      <c r="H329" s="1118">
        <v>365</v>
      </c>
      <c r="I329" s="1132" t="s">
        <v>923</v>
      </c>
      <c r="O329" s="1096">
        <f t="shared" ca="1" si="11"/>
        <v>35</v>
      </c>
      <c r="P329" s="1133">
        <f t="shared" ca="1" si="10"/>
        <v>35</v>
      </c>
      <c r="Q329" s="1133"/>
      <c r="R329" s="1133"/>
      <c r="U329" s="1096">
        <v>33434</v>
      </c>
      <c r="V329" s="9" t="s">
        <v>271</v>
      </c>
    </row>
    <row r="330" spans="1:22" ht="25.95" customHeight="1">
      <c r="A330" s="940">
        <v>327</v>
      </c>
      <c r="B330" s="1108">
        <v>33734</v>
      </c>
      <c r="C330" s="1109" t="s">
        <v>272</v>
      </c>
      <c r="D330" s="1103">
        <v>220106377</v>
      </c>
      <c r="E330" s="1104" t="s">
        <v>966</v>
      </c>
      <c r="F330" s="940" t="s">
        <v>967</v>
      </c>
      <c r="G330" s="1106">
        <v>9</v>
      </c>
      <c r="H330" s="1118">
        <v>366</v>
      </c>
      <c r="I330" s="1132" t="s">
        <v>923</v>
      </c>
      <c r="O330" s="1096">
        <f t="shared" ca="1" si="11"/>
        <v>34</v>
      </c>
      <c r="P330" s="1133">
        <f t="shared" ca="1" si="10"/>
        <v>34</v>
      </c>
      <c r="Q330" s="1133"/>
      <c r="R330" s="1133"/>
      <c r="U330" s="1096">
        <v>33734</v>
      </c>
      <c r="V330" s="9" t="s">
        <v>275</v>
      </c>
    </row>
    <row r="331" spans="1:22" ht="25.95" customHeight="1">
      <c r="A331" s="940">
        <v>328</v>
      </c>
      <c r="B331" s="1108">
        <v>33720</v>
      </c>
      <c r="C331" s="1102" t="s">
        <v>264</v>
      </c>
      <c r="D331" s="1103">
        <v>150469786</v>
      </c>
      <c r="E331" s="1104" t="s">
        <v>968</v>
      </c>
      <c r="F331" s="940" t="s">
        <v>969</v>
      </c>
      <c r="G331" s="1106">
        <v>9</v>
      </c>
      <c r="H331" s="1118">
        <v>367</v>
      </c>
      <c r="I331" s="1132" t="s">
        <v>923</v>
      </c>
      <c r="O331" s="1096">
        <f t="shared" ca="1" si="11"/>
        <v>34</v>
      </c>
      <c r="P331" s="1133">
        <f t="shared" ca="1" si="10"/>
        <v>34</v>
      </c>
      <c r="Q331" s="1133"/>
      <c r="R331" s="1133"/>
      <c r="U331" s="1096">
        <v>33720</v>
      </c>
      <c r="V331" s="9" t="s">
        <v>271</v>
      </c>
    </row>
    <row r="332" spans="1:22" ht="25.95" customHeight="1">
      <c r="A332" s="940">
        <v>329</v>
      </c>
      <c r="B332" s="1108">
        <v>30711</v>
      </c>
      <c r="C332" s="1109" t="s">
        <v>272</v>
      </c>
      <c r="D332" s="1103">
        <v>150306060</v>
      </c>
      <c r="E332" s="1104" t="s">
        <v>970</v>
      </c>
      <c r="F332" s="940" t="s">
        <v>971</v>
      </c>
      <c r="G332" s="1106">
        <v>9</v>
      </c>
      <c r="H332" s="1118">
        <v>368</v>
      </c>
      <c r="I332" s="1132" t="s">
        <v>923</v>
      </c>
      <c r="O332" s="1096">
        <f t="shared" ca="1" si="11"/>
        <v>42</v>
      </c>
      <c r="P332" s="1133">
        <f t="shared" ca="1" si="10"/>
        <v>42</v>
      </c>
      <c r="Q332" s="1133"/>
      <c r="R332" s="1133"/>
      <c r="U332" s="1096">
        <v>30711</v>
      </c>
      <c r="V332" s="9" t="s">
        <v>275</v>
      </c>
    </row>
    <row r="333" spans="1:22" ht="25.95" customHeight="1">
      <c r="A333" s="940">
        <v>330</v>
      </c>
      <c r="B333" s="1108">
        <v>29441</v>
      </c>
      <c r="C333" s="1102" t="s">
        <v>264</v>
      </c>
      <c r="D333" s="1103">
        <v>220175427</v>
      </c>
      <c r="E333" s="1104" t="s">
        <v>972</v>
      </c>
      <c r="F333" s="940" t="s">
        <v>973</v>
      </c>
      <c r="G333" s="1106">
        <v>9</v>
      </c>
      <c r="H333" s="1118">
        <v>369</v>
      </c>
      <c r="I333" s="1132" t="s">
        <v>923</v>
      </c>
      <c r="O333" s="1096">
        <f t="shared" ca="1" si="11"/>
        <v>46</v>
      </c>
      <c r="P333" s="1133">
        <f t="shared" ca="1" si="10"/>
        <v>46</v>
      </c>
      <c r="Q333" s="1133"/>
      <c r="R333" s="1133"/>
      <c r="U333" s="1096">
        <v>29441</v>
      </c>
      <c r="V333" s="9" t="s">
        <v>271</v>
      </c>
    </row>
    <row r="334" spans="1:22" ht="25.95" customHeight="1">
      <c r="A334" s="940">
        <v>331</v>
      </c>
      <c r="B334" s="1108">
        <v>36898</v>
      </c>
      <c r="C334" s="1102" t="s">
        <v>264</v>
      </c>
      <c r="D334" s="1103">
        <v>220175398</v>
      </c>
      <c r="E334" s="1104" t="s">
        <v>974</v>
      </c>
      <c r="F334" s="940" t="s">
        <v>975</v>
      </c>
      <c r="G334" s="1106">
        <v>9</v>
      </c>
      <c r="H334" s="1118">
        <v>370</v>
      </c>
      <c r="I334" s="1132" t="s">
        <v>923</v>
      </c>
      <c r="O334" s="1096">
        <f t="shared" ca="1" si="11"/>
        <v>25</v>
      </c>
      <c r="P334" s="1133">
        <f t="shared" ca="1" si="10"/>
        <v>25</v>
      </c>
      <c r="Q334" s="1133"/>
      <c r="R334" s="1133"/>
      <c r="U334" s="1096">
        <v>36898</v>
      </c>
      <c r="V334" s="9" t="s">
        <v>271</v>
      </c>
    </row>
    <row r="335" spans="1:22" ht="25.95" customHeight="1">
      <c r="A335" s="940">
        <v>332</v>
      </c>
      <c r="B335" s="1108">
        <v>35381</v>
      </c>
      <c r="C335" s="1109" t="s">
        <v>272</v>
      </c>
      <c r="D335" s="1103">
        <v>150811668</v>
      </c>
      <c r="E335" s="1104" t="s">
        <v>976</v>
      </c>
      <c r="F335" s="940" t="s">
        <v>977</v>
      </c>
      <c r="G335" s="1106">
        <v>9</v>
      </c>
      <c r="H335" s="1118">
        <v>371</v>
      </c>
      <c r="I335" s="1132" t="s">
        <v>923</v>
      </c>
      <c r="O335" s="1096">
        <f t="shared" ca="1" si="11"/>
        <v>30</v>
      </c>
      <c r="P335" s="1133">
        <f t="shared" ca="1" si="10"/>
        <v>30</v>
      </c>
      <c r="Q335" s="1133"/>
      <c r="R335" s="1133"/>
      <c r="U335" s="1096">
        <v>35381</v>
      </c>
      <c r="V335" s="9" t="s">
        <v>275</v>
      </c>
    </row>
    <row r="336" spans="1:22" ht="25.95" customHeight="1">
      <c r="A336" s="940">
        <v>333</v>
      </c>
      <c r="B336" s="1108">
        <v>32894</v>
      </c>
      <c r="C336" s="1109" t="s">
        <v>272</v>
      </c>
      <c r="D336" s="1103">
        <v>171032353</v>
      </c>
      <c r="E336" s="1104" t="s">
        <v>978</v>
      </c>
      <c r="F336" s="940" t="s">
        <v>979</v>
      </c>
      <c r="G336" s="1106">
        <v>9</v>
      </c>
      <c r="H336" s="1118">
        <v>372</v>
      </c>
      <c r="I336" s="1132" t="s">
        <v>923</v>
      </c>
      <c r="O336" s="1096">
        <f t="shared" ca="1" si="11"/>
        <v>36</v>
      </c>
      <c r="P336" s="1133">
        <f t="shared" ca="1" si="10"/>
        <v>36</v>
      </c>
      <c r="Q336" s="1133"/>
      <c r="R336" s="1133"/>
      <c r="U336" s="1096">
        <v>32894</v>
      </c>
      <c r="V336" s="9" t="s">
        <v>275</v>
      </c>
    </row>
    <row r="337" spans="1:22" ht="25.95" customHeight="1">
      <c r="A337" s="940">
        <v>334</v>
      </c>
      <c r="B337" s="1108">
        <v>34132</v>
      </c>
      <c r="C337" s="1109" t="s">
        <v>272</v>
      </c>
      <c r="D337" s="1103">
        <v>150469696</v>
      </c>
      <c r="E337" s="1104" t="s">
        <v>980</v>
      </c>
      <c r="F337" s="940" t="s">
        <v>981</v>
      </c>
      <c r="G337" s="1106">
        <v>9</v>
      </c>
      <c r="H337" s="1118">
        <v>373</v>
      </c>
      <c r="I337" s="1132" t="s">
        <v>923</v>
      </c>
      <c r="O337" s="1096">
        <f t="shared" ca="1" si="11"/>
        <v>33</v>
      </c>
      <c r="P337" s="1133">
        <f t="shared" ca="1" si="10"/>
        <v>33</v>
      </c>
      <c r="Q337" s="1133"/>
      <c r="R337" s="1133"/>
      <c r="U337" s="1096">
        <v>34132</v>
      </c>
      <c r="V337" s="9" t="s">
        <v>275</v>
      </c>
    </row>
    <row r="338" spans="1:22" ht="25.95" customHeight="1">
      <c r="A338" s="940">
        <v>335</v>
      </c>
      <c r="B338" s="1108">
        <v>31544</v>
      </c>
      <c r="C338" s="1109" t="s">
        <v>272</v>
      </c>
      <c r="D338" s="1103">
        <v>150293629</v>
      </c>
      <c r="E338" s="1104" t="s">
        <v>982</v>
      </c>
      <c r="F338" s="940" t="s">
        <v>983</v>
      </c>
      <c r="G338" s="1106">
        <v>9</v>
      </c>
      <c r="H338" s="1118">
        <v>374</v>
      </c>
      <c r="I338" s="1132" t="s">
        <v>923</v>
      </c>
      <c r="O338" s="1096">
        <f t="shared" ca="1" si="11"/>
        <v>40</v>
      </c>
      <c r="P338" s="1133">
        <f t="shared" ca="1" si="10"/>
        <v>40</v>
      </c>
      <c r="Q338" s="1133"/>
      <c r="R338" s="1133"/>
      <c r="U338" s="1096">
        <v>31544</v>
      </c>
      <c r="V338" s="9" t="s">
        <v>275</v>
      </c>
    </row>
    <row r="339" spans="1:22" ht="25.95" customHeight="1">
      <c r="A339" s="940">
        <v>336</v>
      </c>
      <c r="B339" s="1108">
        <v>34376</v>
      </c>
      <c r="C339" s="1102" t="s">
        <v>264</v>
      </c>
      <c r="D339" s="1103">
        <v>150468652</v>
      </c>
      <c r="E339" s="1104" t="s">
        <v>984</v>
      </c>
      <c r="F339" s="940" t="s">
        <v>985</v>
      </c>
      <c r="G339" s="1106">
        <v>9</v>
      </c>
      <c r="H339" s="1118">
        <v>375</v>
      </c>
      <c r="I339" s="1132" t="s">
        <v>923</v>
      </c>
      <c r="O339" s="1096">
        <f t="shared" ca="1" si="11"/>
        <v>32</v>
      </c>
      <c r="P339" s="1133">
        <f t="shared" ca="1" si="10"/>
        <v>32</v>
      </c>
      <c r="Q339" s="1133"/>
      <c r="R339" s="1133"/>
      <c r="U339" s="1096">
        <v>34376</v>
      </c>
      <c r="V339" s="9" t="s">
        <v>271</v>
      </c>
    </row>
    <row r="340" spans="1:22" ht="25.95" customHeight="1">
      <c r="A340" s="940">
        <v>337</v>
      </c>
      <c r="B340" s="1108">
        <v>35159</v>
      </c>
      <c r="C340" s="1109" t="s">
        <v>272</v>
      </c>
      <c r="D340" s="1103">
        <v>200189880</v>
      </c>
      <c r="E340" s="1104" t="s">
        <v>986</v>
      </c>
      <c r="F340" s="940" t="s">
        <v>987</v>
      </c>
      <c r="G340" s="1106">
        <v>9</v>
      </c>
      <c r="H340" s="1118">
        <v>376</v>
      </c>
      <c r="I340" s="1132" t="s">
        <v>923</v>
      </c>
      <c r="O340" s="1096">
        <f t="shared" ca="1" si="11"/>
        <v>30</v>
      </c>
      <c r="P340" s="1133">
        <f t="shared" ca="1" si="10"/>
        <v>30</v>
      </c>
      <c r="Q340" s="1133"/>
      <c r="R340" s="1133"/>
      <c r="U340" s="1096">
        <v>35159</v>
      </c>
      <c r="V340" s="9" t="s">
        <v>275</v>
      </c>
    </row>
    <row r="341" spans="1:22" ht="25.95" customHeight="1">
      <c r="A341" s="940">
        <v>338</v>
      </c>
      <c r="B341" s="1108">
        <v>38372</v>
      </c>
      <c r="C341" s="1102" t="s">
        <v>264</v>
      </c>
      <c r="D341" s="1103">
        <v>220222918</v>
      </c>
      <c r="E341" s="1104" t="s">
        <v>988</v>
      </c>
      <c r="F341" s="940" t="s">
        <v>989</v>
      </c>
      <c r="G341" s="1106">
        <v>9</v>
      </c>
      <c r="H341" s="1118">
        <v>377</v>
      </c>
      <c r="I341" s="1132" t="s">
        <v>923</v>
      </c>
      <c r="O341" s="1096">
        <f t="shared" ca="1" si="11"/>
        <v>21</v>
      </c>
      <c r="P341" s="1133">
        <f t="shared" ca="1" si="10"/>
        <v>21</v>
      </c>
      <c r="Q341" s="1133"/>
      <c r="R341" s="1133"/>
      <c r="U341" s="1096">
        <v>38372</v>
      </c>
      <c r="V341" s="9" t="s">
        <v>271</v>
      </c>
    </row>
    <row r="342" spans="1:22" ht="25.95" customHeight="1">
      <c r="A342" s="940">
        <v>339</v>
      </c>
      <c r="B342" s="1108">
        <v>31534</v>
      </c>
      <c r="C342" s="1109" t="s">
        <v>272</v>
      </c>
      <c r="D342" s="1103">
        <v>150741226</v>
      </c>
      <c r="E342" s="1104" t="s">
        <v>990</v>
      </c>
      <c r="F342" s="940" t="s">
        <v>991</v>
      </c>
      <c r="G342" s="1106">
        <v>9</v>
      </c>
      <c r="H342" s="1118">
        <v>378</v>
      </c>
      <c r="I342" s="1132" t="s">
        <v>923</v>
      </c>
      <c r="O342" s="1096">
        <f t="shared" ca="1" si="11"/>
        <v>40</v>
      </c>
      <c r="P342" s="1133">
        <f t="shared" ca="1" si="10"/>
        <v>40</v>
      </c>
      <c r="Q342" s="1133"/>
      <c r="R342" s="1133"/>
      <c r="U342" s="1096">
        <v>31534</v>
      </c>
      <c r="V342" s="9" t="s">
        <v>275</v>
      </c>
    </row>
    <row r="343" spans="1:22" ht="25.95" customHeight="1">
      <c r="A343" s="940">
        <v>340</v>
      </c>
      <c r="B343" s="1108">
        <v>30812</v>
      </c>
      <c r="C343" s="1109" t="s">
        <v>272</v>
      </c>
      <c r="D343" s="1103">
        <v>150306668</v>
      </c>
      <c r="E343" s="1104" t="s">
        <v>992</v>
      </c>
      <c r="F343" s="940" t="s">
        <v>993</v>
      </c>
      <c r="G343" s="1106">
        <v>9</v>
      </c>
      <c r="H343" s="1118">
        <v>379</v>
      </c>
      <c r="I343" s="1132" t="s">
        <v>923</v>
      </c>
      <c r="O343" s="1096">
        <f t="shared" ca="1" si="11"/>
        <v>42</v>
      </c>
      <c r="P343" s="1133">
        <f t="shared" ca="1" si="10"/>
        <v>42</v>
      </c>
      <c r="Q343" s="1133"/>
      <c r="R343" s="1133"/>
      <c r="U343" s="1096">
        <v>30812</v>
      </c>
      <c r="V343" s="9" t="s">
        <v>275</v>
      </c>
    </row>
    <row r="344" spans="1:22" ht="25.95" customHeight="1">
      <c r="A344" s="940">
        <v>341</v>
      </c>
      <c r="B344" s="1108">
        <v>33644</v>
      </c>
      <c r="C344" s="1102" t="s">
        <v>264</v>
      </c>
      <c r="D344" s="1103">
        <v>150657911</v>
      </c>
      <c r="E344" s="1104" t="s">
        <v>994</v>
      </c>
      <c r="F344" s="940" t="s">
        <v>995</v>
      </c>
      <c r="G344" s="1106">
        <v>9</v>
      </c>
      <c r="H344" s="1118">
        <v>380</v>
      </c>
      <c r="I344" s="1132" t="s">
        <v>923</v>
      </c>
      <c r="O344" s="1096">
        <f t="shared" ca="1" si="11"/>
        <v>34</v>
      </c>
      <c r="P344" s="1133">
        <f t="shared" ca="1" si="10"/>
        <v>34</v>
      </c>
      <c r="Q344" s="1133"/>
      <c r="R344" s="1133"/>
      <c r="U344" s="1096">
        <v>33644</v>
      </c>
      <c r="V344" s="9" t="s">
        <v>271</v>
      </c>
    </row>
    <row r="345" spans="1:22" ht="25.95" customHeight="1">
      <c r="A345" s="940">
        <v>342</v>
      </c>
      <c r="B345" s="1108">
        <v>30411</v>
      </c>
      <c r="C345" s="1102" t="s">
        <v>264</v>
      </c>
      <c r="D345" s="1103">
        <v>150612307</v>
      </c>
      <c r="E345" s="1104" t="s">
        <v>996</v>
      </c>
      <c r="F345" s="940" t="s">
        <v>997</v>
      </c>
      <c r="G345" s="1106">
        <v>9</v>
      </c>
      <c r="H345" s="1118">
        <v>381</v>
      </c>
      <c r="I345" s="1132" t="s">
        <v>923</v>
      </c>
      <c r="O345" s="1096">
        <f t="shared" ca="1" si="11"/>
        <v>43</v>
      </c>
      <c r="P345" s="1133">
        <f t="shared" ca="1" si="10"/>
        <v>43</v>
      </c>
      <c r="Q345" s="1133"/>
      <c r="R345" s="1133"/>
      <c r="U345" s="1096">
        <v>30411</v>
      </c>
      <c r="V345" s="9" t="s">
        <v>271</v>
      </c>
    </row>
    <row r="346" spans="1:22" ht="25.95" customHeight="1">
      <c r="A346" s="940">
        <v>343</v>
      </c>
      <c r="B346" s="1108">
        <v>26007</v>
      </c>
      <c r="C346" s="1109" t="s">
        <v>272</v>
      </c>
      <c r="D346" s="1103">
        <v>150306210</v>
      </c>
      <c r="E346" s="1104" t="s">
        <v>998</v>
      </c>
      <c r="F346" s="940" t="s">
        <v>999</v>
      </c>
      <c r="G346" s="1106">
        <v>9</v>
      </c>
      <c r="H346" s="1118">
        <v>382</v>
      </c>
      <c r="I346" s="1132" t="s">
        <v>923</v>
      </c>
      <c r="O346" s="1096">
        <f t="shared" ca="1" si="11"/>
        <v>55</v>
      </c>
      <c r="P346" s="1133">
        <f t="shared" ca="1" si="10"/>
        <v>55</v>
      </c>
      <c r="Q346" s="1133"/>
      <c r="R346" s="1133"/>
      <c r="U346" s="1096">
        <v>26007</v>
      </c>
      <c r="V346" s="9" t="s">
        <v>275</v>
      </c>
    </row>
    <row r="347" spans="1:22" ht="25.95" customHeight="1">
      <c r="A347" s="940">
        <v>344</v>
      </c>
      <c r="B347" s="1108">
        <v>38128</v>
      </c>
      <c r="C347" s="1109" t="s">
        <v>272</v>
      </c>
      <c r="D347" s="1103">
        <v>150959815</v>
      </c>
      <c r="E347" s="1104" t="s">
        <v>1000</v>
      </c>
      <c r="F347" s="940" t="s">
        <v>1001</v>
      </c>
      <c r="G347" s="1106">
        <v>9</v>
      </c>
      <c r="H347" s="1118">
        <v>383</v>
      </c>
      <c r="I347" s="1132" t="s">
        <v>923</v>
      </c>
      <c r="O347" s="1096">
        <f t="shared" ca="1" si="11"/>
        <v>22</v>
      </c>
      <c r="P347" s="1133">
        <f t="shared" ca="1" si="10"/>
        <v>22</v>
      </c>
      <c r="Q347" s="1133"/>
      <c r="R347" s="1133"/>
      <c r="U347" s="1096">
        <v>38128</v>
      </c>
      <c r="V347" s="9" t="s">
        <v>275</v>
      </c>
    </row>
    <row r="348" spans="1:22" ht="25.95" customHeight="1">
      <c r="A348" s="940">
        <v>345</v>
      </c>
      <c r="B348" s="1108">
        <v>32964</v>
      </c>
      <c r="C348" s="1102" t="s">
        <v>264</v>
      </c>
      <c r="D348" s="1103">
        <v>150427594</v>
      </c>
      <c r="E348" s="1104" t="s">
        <v>1002</v>
      </c>
      <c r="F348" s="940" t="s">
        <v>1003</v>
      </c>
      <c r="G348" s="1106">
        <v>9</v>
      </c>
      <c r="H348" s="1118">
        <v>384</v>
      </c>
      <c r="I348" s="1132" t="s">
        <v>923</v>
      </c>
      <c r="O348" s="1096">
        <f t="shared" ca="1" si="11"/>
        <v>36</v>
      </c>
      <c r="P348" s="1133">
        <f t="shared" ca="1" si="10"/>
        <v>36</v>
      </c>
      <c r="Q348" s="1133"/>
      <c r="R348" s="1133"/>
      <c r="U348" s="1096">
        <v>32964</v>
      </c>
      <c r="V348" s="9" t="s">
        <v>271</v>
      </c>
    </row>
    <row r="349" spans="1:22" ht="25.95" customHeight="1">
      <c r="A349" s="940">
        <v>346</v>
      </c>
      <c r="B349" s="1108">
        <v>38502</v>
      </c>
      <c r="C349" s="1102" t="s">
        <v>264</v>
      </c>
      <c r="D349" s="1103">
        <v>151046475</v>
      </c>
      <c r="E349" s="1104" t="s">
        <v>1004</v>
      </c>
      <c r="F349" s="940" t="s">
        <v>1005</v>
      </c>
      <c r="G349" s="1106">
        <v>9</v>
      </c>
      <c r="H349" s="1118">
        <v>385</v>
      </c>
      <c r="I349" s="1132" t="s">
        <v>923</v>
      </c>
      <c r="O349" s="1096">
        <f t="shared" ca="1" si="11"/>
        <v>21</v>
      </c>
      <c r="P349" s="1133">
        <f t="shared" ca="1" si="10"/>
        <v>21</v>
      </c>
      <c r="Q349" s="1133"/>
      <c r="R349" s="1133"/>
      <c r="U349" s="1096">
        <v>38502</v>
      </c>
      <c r="V349" s="9" t="s">
        <v>271</v>
      </c>
    </row>
    <row r="350" spans="1:22" ht="25.95" customHeight="1">
      <c r="A350" s="940">
        <v>347</v>
      </c>
      <c r="B350" s="1108">
        <v>35339</v>
      </c>
      <c r="C350" s="1109" t="s">
        <v>272</v>
      </c>
      <c r="D350" s="1103">
        <v>150523486</v>
      </c>
      <c r="E350" s="1104" t="s">
        <v>1006</v>
      </c>
      <c r="F350" s="940" t="s">
        <v>1007</v>
      </c>
      <c r="G350" s="1106">
        <v>10</v>
      </c>
      <c r="H350" s="1117">
        <v>386</v>
      </c>
      <c r="I350" s="1132" t="s">
        <v>923</v>
      </c>
      <c r="O350" s="1096">
        <f t="shared" ca="1" si="11"/>
        <v>30</v>
      </c>
      <c r="P350" s="1133">
        <f t="shared" ca="1" si="10"/>
        <v>30</v>
      </c>
      <c r="Q350" s="1133"/>
      <c r="R350" s="1133"/>
      <c r="U350" s="1096">
        <v>35339</v>
      </c>
      <c r="V350" s="9" t="s">
        <v>275</v>
      </c>
    </row>
    <row r="351" spans="1:22" ht="25.95" customHeight="1">
      <c r="A351" s="940">
        <v>348</v>
      </c>
      <c r="B351" s="1108">
        <v>36779</v>
      </c>
      <c r="C351" s="1102" t="s">
        <v>264</v>
      </c>
      <c r="D351" s="1103">
        <v>150836175</v>
      </c>
      <c r="E351" s="1104" t="s">
        <v>1008</v>
      </c>
      <c r="F351" s="940" t="s">
        <v>1009</v>
      </c>
      <c r="G351" s="1106">
        <v>10</v>
      </c>
      <c r="H351" s="1164">
        <v>387</v>
      </c>
      <c r="I351" s="1132" t="s">
        <v>923</v>
      </c>
      <c r="O351" s="1096">
        <f t="shared" ca="1" si="11"/>
        <v>26</v>
      </c>
      <c r="P351" s="1133">
        <f t="shared" ca="1" si="10"/>
        <v>26</v>
      </c>
      <c r="Q351" s="1133"/>
      <c r="R351" s="1133"/>
      <c r="U351" s="1096">
        <v>36779</v>
      </c>
      <c r="V351" s="9" t="s">
        <v>271</v>
      </c>
    </row>
    <row r="352" spans="1:22" ht="25.95" customHeight="1">
      <c r="A352" s="940">
        <v>349</v>
      </c>
      <c r="B352" s="1108">
        <v>34157</v>
      </c>
      <c r="C352" s="1109" t="s">
        <v>272</v>
      </c>
      <c r="D352" s="1103">
        <v>150934789</v>
      </c>
      <c r="E352" s="1104" t="s">
        <v>1010</v>
      </c>
      <c r="F352" s="940" t="s">
        <v>1011</v>
      </c>
      <c r="G352" s="1106">
        <v>10</v>
      </c>
      <c r="H352" s="1164">
        <v>388</v>
      </c>
      <c r="I352" s="1132" t="s">
        <v>923</v>
      </c>
      <c r="O352" s="1096">
        <f t="shared" ca="1" si="11"/>
        <v>33</v>
      </c>
      <c r="P352" s="1133">
        <f t="shared" ca="1" si="10"/>
        <v>33</v>
      </c>
      <c r="Q352" s="1133"/>
      <c r="R352" s="1133"/>
      <c r="U352" s="1096">
        <v>34157</v>
      </c>
      <c r="V352" s="9" t="s">
        <v>275</v>
      </c>
    </row>
    <row r="353" spans="1:22" ht="25.95" customHeight="1">
      <c r="A353" s="940">
        <v>350</v>
      </c>
      <c r="B353" s="1108">
        <v>27404</v>
      </c>
      <c r="C353" s="1102" t="s">
        <v>264</v>
      </c>
      <c r="D353" s="1103">
        <v>150840499</v>
      </c>
      <c r="E353" s="1104" t="s">
        <v>1012</v>
      </c>
      <c r="F353" s="940" t="s">
        <v>1013</v>
      </c>
      <c r="G353" s="1106">
        <v>10</v>
      </c>
      <c r="H353" s="1164">
        <v>389</v>
      </c>
      <c r="I353" s="1132" t="s">
        <v>923</v>
      </c>
      <c r="O353" s="1096">
        <f t="shared" ca="1" si="11"/>
        <v>51</v>
      </c>
      <c r="P353" s="1133">
        <f t="shared" ca="1" si="10"/>
        <v>51</v>
      </c>
      <c r="Q353" s="1133"/>
      <c r="R353" s="1133"/>
      <c r="U353" s="1096">
        <v>27404</v>
      </c>
      <c r="V353" s="9" t="s">
        <v>271</v>
      </c>
    </row>
    <row r="354" spans="1:22" ht="25.95" customHeight="1">
      <c r="A354" s="940">
        <v>351</v>
      </c>
      <c r="B354" s="1108">
        <v>28646</v>
      </c>
      <c r="C354" s="1109" t="s">
        <v>272</v>
      </c>
      <c r="D354" s="1103">
        <v>150639086</v>
      </c>
      <c r="E354" s="1104" t="s">
        <v>1014</v>
      </c>
      <c r="F354" s="940" t="s">
        <v>1015</v>
      </c>
      <c r="G354" s="1106">
        <v>10</v>
      </c>
      <c r="H354" s="1164">
        <v>390</v>
      </c>
      <c r="I354" s="1132" t="s">
        <v>923</v>
      </c>
      <c r="O354" s="1096">
        <f t="shared" ca="1" si="11"/>
        <v>48</v>
      </c>
      <c r="P354" s="1133">
        <f t="shared" ca="1" si="10"/>
        <v>48</v>
      </c>
      <c r="Q354" s="1133"/>
      <c r="R354" s="1133"/>
      <c r="U354" s="1096">
        <v>28646</v>
      </c>
      <c r="V354" s="9" t="s">
        <v>275</v>
      </c>
    </row>
    <row r="355" spans="1:22" ht="25.95" customHeight="1">
      <c r="A355" s="940">
        <v>352</v>
      </c>
      <c r="B355" s="1108">
        <v>29468</v>
      </c>
      <c r="C355" s="1109" t="s">
        <v>272</v>
      </c>
      <c r="D355" s="1103">
        <v>150306268</v>
      </c>
      <c r="E355" s="1104" t="s">
        <v>1016</v>
      </c>
      <c r="F355" s="940" t="s">
        <v>1017</v>
      </c>
      <c r="G355" s="1106">
        <v>10</v>
      </c>
      <c r="H355" s="1164">
        <v>391</v>
      </c>
      <c r="I355" s="1132" t="s">
        <v>923</v>
      </c>
      <c r="O355" s="1096">
        <f t="shared" ca="1" si="11"/>
        <v>46</v>
      </c>
      <c r="P355" s="1133">
        <f t="shared" ca="1" si="10"/>
        <v>46</v>
      </c>
      <c r="Q355" s="1133"/>
      <c r="R355" s="1133"/>
      <c r="U355" s="1096">
        <v>29468</v>
      </c>
      <c r="V355" s="9" t="s">
        <v>275</v>
      </c>
    </row>
    <row r="356" spans="1:22" ht="25.95" customHeight="1">
      <c r="A356" s="940">
        <v>353</v>
      </c>
      <c r="B356" s="1108">
        <v>35189</v>
      </c>
      <c r="C356" s="1102" t="s">
        <v>264</v>
      </c>
      <c r="D356" s="1103">
        <v>150756151</v>
      </c>
      <c r="E356" s="1104" t="s">
        <v>1018</v>
      </c>
      <c r="F356" s="940" t="s">
        <v>1019</v>
      </c>
      <c r="G356" s="1106">
        <v>10</v>
      </c>
      <c r="H356" s="1164">
        <v>392</v>
      </c>
      <c r="I356" s="1132" t="s">
        <v>923</v>
      </c>
      <c r="O356" s="1096">
        <f t="shared" ca="1" si="11"/>
        <v>30</v>
      </c>
      <c r="P356" s="1133">
        <f t="shared" ca="1" si="10"/>
        <v>30</v>
      </c>
      <c r="Q356" s="1133"/>
      <c r="R356" s="1133"/>
      <c r="U356" s="1096">
        <v>35189</v>
      </c>
      <c r="V356" s="9" t="s">
        <v>271</v>
      </c>
    </row>
    <row r="357" spans="1:22" ht="25.95" customHeight="1">
      <c r="A357" s="940">
        <v>354</v>
      </c>
      <c r="B357" s="1108">
        <v>34719</v>
      </c>
      <c r="C357" s="1109" t="s">
        <v>272</v>
      </c>
      <c r="D357" s="1103">
        <v>150588224</v>
      </c>
      <c r="E357" s="1104" t="s">
        <v>1020</v>
      </c>
      <c r="F357" s="940" t="s">
        <v>1021</v>
      </c>
      <c r="G357" s="1106">
        <v>10</v>
      </c>
      <c r="H357" s="1164">
        <v>393</v>
      </c>
      <c r="I357" s="1132" t="s">
        <v>923</v>
      </c>
      <c r="O357" s="1096">
        <f t="shared" ca="1" si="11"/>
        <v>31</v>
      </c>
      <c r="P357" s="1133">
        <f t="shared" ca="1" si="10"/>
        <v>31</v>
      </c>
      <c r="Q357" s="1133"/>
      <c r="R357" s="1133"/>
      <c r="U357" s="1096">
        <v>34719</v>
      </c>
      <c r="V357" s="9" t="s">
        <v>275</v>
      </c>
    </row>
    <row r="358" spans="1:22" ht="25.95" customHeight="1">
      <c r="A358" s="940">
        <v>355</v>
      </c>
      <c r="B358" s="1108">
        <v>33608</v>
      </c>
      <c r="C358" s="1109" t="s">
        <v>272</v>
      </c>
      <c r="D358" s="1103">
        <v>150326634</v>
      </c>
      <c r="E358" s="1104" t="s">
        <v>1022</v>
      </c>
      <c r="F358" s="940" t="s">
        <v>1023</v>
      </c>
      <c r="G358" s="1106">
        <v>10</v>
      </c>
      <c r="H358" s="1164">
        <v>394</v>
      </c>
      <c r="I358" s="1132" t="s">
        <v>923</v>
      </c>
      <c r="O358" s="1096">
        <f t="shared" ca="1" si="11"/>
        <v>34</v>
      </c>
      <c r="P358" s="1133">
        <f t="shared" ca="1" si="10"/>
        <v>34</v>
      </c>
      <c r="Q358" s="1133"/>
      <c r="R358" s="1133"/>
      <c r="U358" s="1096">
        <v>33608</v>
      </c>
      <c r="V358" s="9" t="s">
        <v>275</v>
      </c>
    </row>
    <row r="359" spans="1:22" ht="25.95" customHeight="1">
      <c r="A359" s="940">
        <v>356</v>
      </c>
      <c r="B359" s="1108">
        <v>31870</v>
      </c>
      <c r="C359" s="1109" t="s">
        <v>272</v>
      </c>
      <c r="D359" s="1272" t="s">
        <v>1024</v>
      </c>
      <c r="E359" s="1104" t="s">
        <v>1025</v>
      </c>
      <c r="F359" s="940" t="s">
        <v>1026</v>
      </c>
      <c r="G359" s="1106">
        <v>10</v>
      </c>
      <c r="H359" s="1165">
        <v>395</v>
      </c>
      <c r="I359" s="1132" t="s">
        <v>923</v>
      </c>
      <c r="O359" s="1096">
        <f t="shared" ca="1" si="11"/>
        <v>39</v>
      </c>
      <c r="P359" s="1133">
        <f t="shared" ca="1" si="10"/>
        <v>39</v>
      </c>
      <c r="Q359" s="1133"/>
      <c r="R359" s="1133"/>
      <c r="U359" s="1096">
        <v>31870</v>
      </c>
      <c r="V359" s="9" t="s">
        <v>275</v>
      </c>
    </row>
    <row r="360" spans="1:22" ht="25.95" customHeight="1">
      <c r="A360" s="940">
        <v>357</v>
      </c>
      <c r="B360" s="1108">
        <v>33121</v>
      </c>
      <c r="C360" s="1109" t="s">
        <v>272</v>
      </c>
      <c r="D360" s="1103">
        <v>190571356</v>
      </c>
      <c r="E360" s="1104" t="s">
        <v>1027</v>
      </c>
      <c r="F360" s="940" t="s">
        <v>1028</v>
      </c>
      <c r="G360" s="1106">
        <v>10</v>
      </c>
      <c r="H360" s="1164">
        <v>396</v>
      </c>
      <c r="I360" s="1132" t="s">
        <v>923</v>
      </c>
      <c r="O360" s="1096">
        <f t="shared" ca="1" si="11"/>
        <v>36</v>
      </c>
      <c r="P360" s="1133">
        <f t="shared" ca="1" si="10"/>
        <v>36</v>
      </c>
      <c r="Q360" s="1133"/>
      <c r="R360" s="1133"/>
      <c r="U360" s="1096">
        <v>33121</v>
      </c>
      <c r="V360" s="9" t="s">
        <v>275</v>
      </c>
    </row>
    <row r="361" spans="1:22" ht="25.95" customHeight="1">
      <c r="A361" s="940">
        <v>358</v>
      </c>
      <c r="B361" s="1108">
        <v>33334</v>
      </c>
      <c r="C361" s="1102" t="s">
        <v>264</v>
      </c>
      <c r="D361" s="1103">
        <v>150523663</v>
      </c>
      <c r="E361" s="1104" t="s">
        <v>1029</v>
      </c>
      <c r="F361" s="940" t="s">
        <v>1030</v>
      </c>
      <c r="G361" s="1106">
        <v>10</v>
      </c>
      <c r="H361" s="1164">
        <v>397</v>
      </c>
      <c r="I361" s="1132" t="s">
        <v>923</v>
      </c>
      <c r="O361" s="1096">
        <f t="shared" ca="1" si="11"/>
        <v>35</v>
      </c>
      <c r="P361" s="1133">
        <f t="shared" ca="1" si="10"/>
        <v>35</v>
      </c>
      <c r="Q361" s="1133"/>
      <c r="R361" s="1133"/>
      <c r="U361" s="1096">
        <v>33334</v>
      </c>
      <c r="V361" s="9" t="s">
        <v>271</v>
      </c>
    </row>
    <row r="362" spans="1:22" ht="25.95" customHeight="1">
      <c r="A362" s="940">
        <v>359</v>
      </c>
      <c r="B362" s="1108">
        <v>32721</v>
      </c>
      <c r="C362" s="1102" t="s">
        <v>264</v>
      </c>
      <c r="D362" s="1103">
        <v>150976582</v>
      </c>
      <c r="E362" s="1104" t="s">
        <v>1031</v>
      </c>
      <c r="F362" s="940" t="s">
        <v>1032</v>
      </c>
      <c r="G362" s="1106">
        <v>10</v>
      </c>
      <c r="H362" s="1164">
        <v>398</v>
      </c>
      <c r="I362" s="1132" t="s">
        <v>923</v>
      </c>
      <c r="O362" s="1096">
        <f t="shared" ca="1" si="11"/>
        <v>37</v>
      </c>
      <c r="P362" s="1133">
        <f t="shared" ca="1" si="10"/>
        <v>37</v>
      </c>
      <c r="Q362" s="1133"/>
      <c r="R362" s="1133"/>
      <c r="U362" s="1096">
        <v>32721</v>
      </c>
      <c r="V362" s="9" t="s">
        <v>271</v>
      </c>
    </row>
    <row r="363" spans="1:22" ht="25.95" customHeight="1">
      <c r="A363" s="940">
        <v>360</v>
      </c>
      <c r="B363" s="1108">
        <v>26706</v>
      </c>
      <c r="C363" s="1102" t="s">
        <v>264</v>
      </c>
      <c r="D363" s="1103">
        <v>150238983</v>
      </c>
      <c r="E363" s="1104" t="s">
        <v>1033</v>
      </c>
      <c r="F363" s="940" t="s">
        <v>1034</v>
      </c>
      <c r="G363" s="1106">
        <v>10</v>
      </c>
      <c r="H363" s="1164">
        <v>399</v>
      </c>
      <c r="I363" s="1132" t="s">
        <v>923</v>
      </c>
      <c r="O363" s="1096">
        <f t="shared" ca="1" si="11"/>
        <v>53</v>
      </c>
      <c r="P363" s="1133">
        <f t="shared" ca="1" si="10"/>
        <v>53</v>
      </c>
      <c r="Q363" s="1133"/>
      <c r="R363" s="1133"/>
      <c r="U363" s="1096">
        <v>26706</v>
      </c>
      <c r="V363" s="9" t="s">
        <v>271</v>
      </c>
    </row>
    <row r="364" spans="1:22" ht="25.95" customHeight="1">
      <c r="A364" s="940">
        <v>361</v>
      </c>
      <c r="B364" s="1108">
        <v>31188</v>
      </c>
      <c r="C364" s="1109" t="s">
        <v>272</v>
      </c>
      <c r="D364" s="1103">
        <v>150326584</v>
      </c>
      <c r="E364" s="1104" t="s">
        <v>1035</v>
      </c>
      <c r="F364" s="940" t="s">
        <v>1036</v>
      </c>
      <c r="G364" s="1106">
        <v>10</v>
      </c>
      <c r="H364" s="1164">
        <v>400</v>
      </c>
      <c r="I364" s="1132" t="s">
        <v>923</v>
      </c>
      <c r="O364" s="1096">
        <f t="shared" ca="1" si="11"/>
        <v>41</v>
      </c>
      <c r="P364" s="1133">
        <f t="shared" ca="1" si="10"/>
        <v>41</v>
      </c>
      <c r="Q364" s="1133"/>
      <c r="R364" s="1133"/>
      <c r="U364" s="1096">
        <v>31188</v>
      </c>
      <c r="V364" s="9" t="s">
        <v>275</v>
      </c>
    </row>
    <row r="365" spans="1:22" ht="25.95" customHeight="1">
      <c r="A365" s="940">
        <v>362</v>
      </c>
      <c r="B365" s="1108">
        <v>26369</v>
      </c>
      <c r="C365" s="1109" t="s">
        <v>272</v>
      </c>
      <c r="D365" s="1103">
        <v>150360044</v>
      </c>
      <c r="E365" s="1104" t="s">
        <v>1037</v>
      </c>
      <c r="F365" s="940" t="s">
        <v>1038</v>
      </c>
      <c r="G365" s="1106">
        <v>10</v>
      </c>
      <c r="H365" s="1164">
        <v>401</v>
      </c>
      <c r="I365" s="1132" t="s">
        <v>923</v>
      </c>
      <c r="O365" s="1096">
        <f t="shared" ca="1" si="11"/>
        <v>54</v>
      </c>
      <c r="P365" s="1133">
        <f t="shared" ca="1" si="10"/>
        <v>54</v>
      </c>
      <c r="Q365" s="1133"/>
      <c r="R365" s="1133"/>
      <c r="U365" s="1096">
        <v>26369</v>
      </c>
      <c r="V365" s="9" t="s">
        <v>275</v>
      </c>
    </row>
    <row r="366" spans="1:22" ht="25.95" customHeight="1">
      <c r="A366" s="940">
        <v>363</v>
      </c>
      <c r="B366" s="1108">
        <v>30317</v>
      </c>
      <c r="C366" s="1102" t="s">
        <v>264</v>
      </c>
      <c r="D366" s="1103">
        <v>150574803</v>
      </c>
      <c r="E366" s="1104" t="s">
        <v>1039</v>
      </c>
      <c r="F366" s="940" t="s">
        <v>1040</v>
      </c>
      <c r="G366" s="1106">
        <v>10</v>
      </c>
      <c r="H366" s="1164">
        <v>402</v>
      </c>
      <c r="I366" s="1132" t="s">
        <v>923</v>
      </c>
      <c r="O366" s="1096">
        <f t="shared" ca="1" si="11"/>
        <v>43</v>
      </c>
      <c r="P366" s="1133">
        <f t="shared" ca="1" si="10"/>
        <v>43</v>
      </c>
      <c r="Q366" s="1133"/>
      <c r="R366" s="1133"/>
      <c r="U366" s="1096">
        <v>30317</v>
      </c>
      <c r="V366" s="9" t="s">
        <v>271</v>
      </c>
    </row>
    <row r="367" spans="1:22" ht="25.95" customHeight="1">
      <c r="A367" s="940">
        <v>364</v>
      </c>
      <c r="B367" s="1108">
        <v>28995</v>
      </c>
      <c r="C367" s="1102" t="s">
        <v>264</v>
      </c>
      <c r="D367" s="1103">
        <v>150612281</v>
      </c>
      <c r="E367" s="1104" t="s">
        <v>1041</v>
      </c>
      <c r="F367" s="940" t="s">
        <v>1042</v>
      </c>
      <c r="G367" s="1106">
        <v>10</v>
      </c>
      <c r="H367" s="1164">
        <v>403</v>
      </c>
      <c r="I367" s="1132" t="s">
        <v>923</v>
      </c>
      <c r="O367" s="1096">
        <f t="shared" ca="1" si="11"/>
        <v>47</v>
      </c>
      <c r="P367" s="1133">
        <f t="shared" ca="1" si="10"/>
        <v>47</v>
      </c>
      <c r="Q367" s="1133"/>
      <c r="R367" s="1133"/>
      <c r="U367" s="1096">
        <v>28995</v>
      </c>
      <c r="V367" s="9" t="s">
        <v>271</v>
      </c>
    </row>
    <row r="368" spans="1:22" ht="25.95" customHeight="1">
      <c r="A368" s="940">
        <v>365</v>
      </c>
      <c r="B368" s="1108">
        <v>27857</v>
      </c>
      <c r="C368" s="1109" t="s">
        <v>272</v>
      </c>
      <c r="D368" s="1103">
        <v>150612359</v>
      </c>
      <c r="E368" s="1104" t="s">
        <v>1043</v>
      </c>
      <c r="F368" s="940" t="s">
        <v>1044</v>
      </c>
      <c r="G368" s="1106">
        <v>10</v>
      </c>
      <c r="H368" s="1164">
        <v>404</v>
      </c>
      <c r="I368" s="1132" t="s">
        <v>923</v>
      </c>
      <c r="O368" s="1096">
        <f t="shared" ca="1" si="11"/>
        <v>50</v>
      </c>
      <c r="P368" s="1133">
        <f t="shared" ca="1" si="10"/>
        <v>50</v>
      </c>
      <c r="Q368" s="1133"/>
      <c r="R368" s="1133"/>
      <c r="U368" s="1096">
        <v>27857</v>
      </c>
      <c r="V368" s="9" t="s">
        <v>275</v>
      </c>
    </row>
    <row r="369" spans="1:22" ht="25.95" customHeight="1">
      <c r="A369" s="940">
        <v>366</v>
      </c>
      <c r="B369" s="1108">
        <v>29230</v>
      </c>
      <c r="C369" s="1102" t="s">
        <v>264</v>
      </c>
      <c r="D369" s="1103">
        <v>151024428</v>
      </c>
      <c r="E369" s="1104" t="s">
        <v>1045</v>
      </c>
      <c r="F369" s="940" t="s">
        <v>1046</v>
      </c>
      <c r="G369" s="1106">
        <v>10</v>
      </c>
      <c r="H369" s="1164">
        <v>405</v>
      </c>
      <c r="I369" s="1132" t="s">
        <v>923</v>
      </c>
      <c r="O369" s="1096">
        <f t="shared" ca="1" si="11"/>
        <v>46</v>
      </c>
      <c r="P369" s="1133">
        <f t="shared" ca="1" si="10"/>
        <v>46</v>
      </c>
      <c r="Q369" s="1133"/>
      <c r="R369" s="1133"/>
      <c r="U369" s="1096">
        <v>29230</v>
      </c>
      <c r="V369" s="9" t="s">
        <v>271</v>
      </c>
    </row>
    <row r="370" spans="1:22" ht="25.95" customHeight="1">
      <c r="A370" s="940">
        <v>367</v>
      </c>
      <c r="B370" s="1108">
        <v>36474</v>
      </c>
      <c r="C370" s="1102" t="s">
        <v>264</v>
      </c>
      <c r="D370" s="1103">
        <v>150932586</v>
      </c>
      <c r="E370" s="1104" t="s">
        <v>1047</v>
      </c>
      <c r="F370" s="940" t="s">
        <v>1048</v>
      </c>
      <c r="G370" s="1106">
        <v>10</v>
      </c>
      <c r="H370" s="1164">
        <v>406</v>
      </c>
      <c r="I370" s="1132" t="s">
        <v>923</v>
      </c>
      <c r="O370" s="1096">
        <f t="shared" ca="1" si="11"/>
        <v>27</v>
      </c>
      <c r="P370" s="1133">
        <f t="shared" ca="1" si="10"/>
        <v>27</v>
      </c>
      <c r="Q370" s="1133"/>
      <c r="R370" s="1133"/>
      <c r="U370" s="1096">
        <v>36474</v>
      </c>
      <c r="V370" s="9" t="s">
        <v>271</v>
      </c>
    </row>
    <row r="371" spans="1:22" ht="25.95" customHeight="1">
      <c r="A371" s="940">
        <v>368</v>
      </c>
      <c r="B371" s="1108">
        <v>36198</v>
      </c>
      <c r="C371" s="1102" t="s">
        <v>264</v>
      </c>
      <c r="D371" s="1103">
        <v>150648468</v>
      </c>
      <c r="E371" s="1104" t="s">
        <v>1049</v>
      </c>
      <c r="F371" s="940" t="s">
        <v>1050</v>
      </c>
      <c r="G371" s="1106">
        <v>10</v>
      </c>
      <c r="H371" s="1164">
        <v>407</v>
      </c>
      <c r="I371" s="1132" t="s">
        <v>923</v>
      </c>
      <c r="O371" s="1096">
        <f t="shared" ca="1" si="11"/>
        <v>27</v>
      </c>
      <c r="P371" s="1133">
        <f t="shared" ca="1" si="10"/>
        <v>27</v>
      </c>
      <c r="Q371" s="1133"/>
      <c r="R371" s="1133"/>
      <c r="U371" s="1096">
        <v>36198</v>
      </c>
      <c r="V371" s="9" t="s">
        <v>271</v>
      </c>
    </row>
    <row r="372" spans="1:22" ht="25.95" customHeight="1">
      <c r="A372" s="940">
        <v>369</v>
      </c>
      <c r="B372" s="1108">
        <v>36906</v>
      </c>
      <c r="C372" s="1109" t="s">
        <v>272</v>
      </c>
      <c r="D372" s="1103">
        <v>150811813</v>
      </c>
      <c r="E372" s="1104" t="s">
        <v>1051</v>
      </c>
      <c r="F372" s="940" t="s">
        <v>1052</v>
      </c>
      <c r="G372" s="1106">
        <v>10</v>
      </c>
      <c r="H372" s="1164">
        <v>408</v>
      </c>
      <c r="I372" s="1132" t="s">
        <v>923</v>
      </c>
      <c r="O372" s="1096">
        <f t="shared" ca="1" si="11"/>
        <v>25</v>
      </c>
      <c r="P372" s="1133">
        <f t="shared" ca="1" si="10"/>
        <v>25</v>
      </c>
      <c r="Q372" s="1133"/>
      <c r="R372" s="1133"/>
      <c r="U372" s="1096">
        <v>36906</v>
      </c>
      <c r="V372" s="9" t="s">
        <v>275</v>
      </c>
    </row>
    <row r="373" spans="1:22" ht="25.95" customHeight="1">
      <c r="A373" s="940">
        <v>370</v>
      </c>
      <c r="B373" s="1108">
        <v>35358</v>
      </c>
      <c r="C373" s="1102" t="s">
        <v>264</v>
      </c>
      <c r="D373" s="1103">
        <v>150574859</v>
      </c>
      <c r="E373" s="1104" t="s">
        <v>1053</v>
      </c>
      <c r="F373" s="940" t="s">
        <v>1054</v>
      </c>
      <c r="G373" s="1106">
        <v>10</v>
      </c>
      <c r="H373" s="1164">
        <v>409</v>
      </c>
      <c r="I373" s="1132" t="s">
        <v>923</v>
      </c>
      <c r="O373" s="1096">
        <f t="shared" ca="1" si="11"/>
        <v>30</v>
      </c>
      <c r="P373" s="1133">
        <f t="shared" ca="1" si="10"/>
        <v>30</v>
      </c>
      <c r="Q373" s="1133"/>
      <c r="R373" s="1133"/>
      <c r="U373" s="1096">
        <v>35358</v>
      </c>
      <c r="V373" s="9" t="s">
        <v>271</v>
      </c>
    </row>
    <row r="374" spans="1:22" ht="25.95" customHeight="1">
      <c r="A374" s="940">
        <v>371</v>
      </c>
      <c r="B374" s="1108">
        <v>39693</v>
      </c>
      <c r="C374" s="1102" t="s">
        <v>264</v>
      </c>
      <c r="D374" s="1103">
        <v>151060863</v>
      </c>
      <c r="E374" s="1104" t="s">
        <v>1055</v>
      </c>
      <c r="F374" s="940" t="s">
        <v>1056</v>
      </c>
      <c r="G374" s="1106">
        <v>10</v>
      </c>
      <c r="H374" s="1164">
        <v>410</v>
      </c>
      <c r="I374" s="1132" t="s">
        <v>923</v>
      </c>
      <c r="O374" s="1096">
        <f t="shared" ca="1" si="11"/>
        <v>18</v>
      </c>
      <c r="P374" s="1133">
        <f t="shared" ca="1" si="10"/>
        <v>18</v>
      </c>
      <c r="Q374" s="1133"/>
      <c r="R374" s="1133"/>
      <c r="U374" s="1096">
        <v>39693</v>
      </c>
      <c r="V374" s="9" t="s">
        <v>271</v>
      </c>
    </row>
    <row r="375" spans="1:22" ht="25.95" customHeight="1">
      <c r="A375" s="940">
        <v>372</v>
      </c>
      <c r="B375" s="1108">
        <v>34060</v>
      </c>
      <c r="C375" s="1109" t="s">
        <v>272</v>
      </c>
      <c r="D375" s="1103">
        <v>150522905</v>
      </c>
      <c r="E375" s="1104" t="s">
        <v>1057</v>
      </c>
      <c r="F375" s="940" t="s">
        <v>1058</v>
      </c>
      <c r="G375" s="1106">
        <v>10</v>
      </c>
      <c r="H375" s="1164">
        <v>411</v>
      </c>
      <c r="I375" s="1132" t="s">
        <v>923</v>
      </c>
      <c r="O375" s="1096">
        <f t="shared" ca="1" si="11"/>
        <v>33</v>
      </c>
      <c r="P375" s="1133">
        <f t="shared" ca="1" si="10"/>
        <v>33</v>
      </c>
      <c r="Q375" s="1133"/>
      <c r="R375" s="1133"/>
      <c r="U375" s="1096">
        <v>34060</v>
      </c>
      <c r="V375" s="9" t="s">
        <v>275</v>
      </c>
    </row>
    <row r="376" spans="1:22" ht="25.95" customHeight="1">
      <c r="A376" s="940">
        <v>373</v>
      </c>
      <c r="B376" s="1108">
        <v>34368</v>
      </c>
      <c r="C376" s="1102" t="s">
        <v>264</v>
      </c>
      <c r="D376" s="1103">
        <v>150469863</v>
      </c>
      <c r="E376" s="1104" t="s">
        <v>1059</v>
      </c>
      <c r="F376" s="940" t="s">
        <v>1060</v>
      </c>
      <c r="G376" s="1106">
        <v>10</v>
      </c>
      <c r="H376" s="1164">
        <v>412</v>
      </c>
      <c r="I376" s="1132" t="s">
        <v>923</v>
      </c>
      <c r="O376" s="1096">
        <f t="shared" ca="1" si="11"/>
        <v>32</v>
      </c>
      <c r="P376" s="1133">
        <f t="shared" ca="1" si="10"/>
        <v>32</v>
      </c>
      <c r="Q376" s="1133"/>
      <c r="R376" s="1133"/>
      <c r="U376" s="1096">
        <v>34368</v>
      </c>
      <c r="V376" s="9" t="s">
        <v>271</v>
      </c>
    </row>
    <row r="377" spans="1:22" ht="25.95" customHeight="1">
      <c r="A377" s="940">
        <v>374</v>
      </c>
      <c r="B377" s="1108">
        <v>33125</v>
      </c>
      <c r="C377" s="1102" t="s">
        <v>264</v>
      </c>
      <c r="D377" s="1103">
        <v>150829557</v>
      </c>
      <c r="E377" s="1104" t="s">
        <v>1061</v>
      </c>
      <c r="F377" s="940" t="s">
        <v>1062</v>
      </c>
      <c r="G377" s="1106">
        <v>10</v>
      </c>
      <c r="H377" s="1164">
        <v>413</v>
      </c>
      <c r="I377" s="1132" t="s">
        <v>923</v>
      </c>
      <c r="O377" s="1096">
        <f t="shared" ca="1" si="11"/>
        <v>36</v>
      </c>
      <c r="P377" s="1133">
        <f t="shared" ca="1" si="10"/>
        <v>36</v>
      </c>
      <c r="Q377" s="1133"/>
      <c r="R377" s="1133"/>
      <c r="U377" s="1096">
        <v>33125</v>
      </c>
      <c r="V377" s="9" t="s">
        <v>271</v>
      </c>
    </row>
    <row r="378" spans="1:22" ht="25.95" customHeight="1">
      <c r="A378" s="940">
        <v>375</v>
      </c>
      <c r="B378" s="1108">
        <v>30682</v>
      </c>
      <c r="C378" s="1109" t="s">
        <v>272</v>
      </c>
      <c r="D378" s="1103">
        <v>150805836</v>
      </c>
      <c r="E378" s="1104" t="s">
        <v>1063</v>
      </c>
      <c r="F378" s="940" t="s">
        <v>1064</v>
      </c>
      <c r="G378" s="1106">
        <v>10</v>
      </c>
      <c r="H378" s="1164">
        <v>414</v>
      </c>
      <c r="I378" s="1132" t="s">
        <v>923</v>
      </c>
      <c r="O378" s="1096">
        <f t="shared" ca="1" si="11"/>
        <v>42</v>
      </c>
      <c r="P378" s="1133">
        <f t="shared" ca="1" si="10"/>
        <v>42</v>
      </c>
      <c r="Q378" s="1133"/>
      <c r="R378" s="1133"/>
      <c r="U378" s="1096">
        <v>30682</v>
      </c>
      <c r="V378" s="9" t="s">
        <v>275</v>
      </c>
    </row>
    <row r="379" spans="1:22" ht="25.95" customHeight="1">
      <c r="A379" s="940">
        <v>376</v>
      </c>
      <c r="B379" s="1108">
        <v>36651</v>
      </c>
      <c r="C379" s="1102" t="s">
        <v>264</v>
      </c>
      <c r="D379" s="1103">
        <v>150811857</v>
      </c>
      <c r="E379" s="1104" t="s">
        <v>1065</v>
      </c>
      <c r="F379" s="1095" t="s">
        <v>1066</v>
      </c>
      <c r="G379" s="1106">
        <v>10</v>
      </c>
      <c r="H379" s="1164">
        <v>415</v>
      </c>
      <c r="I379" s="1132" t="s">
        <v>923</v>
      </c>
      <c r="O379" s="1096">
        <f t="shared" ca="1" si="11"/>
        <v>26</v>
      </c>
      <c r="P379" s="1133">
        <f t="shared" ca="1" si="10"/>
        <v>26</v>
      </c>
      <c r="Q379" s="1133"/>
      <c r="R379" s="1133"/>
      <c r="U379" s="1096">
        <v>36651</v>
      </c>
      <c r="V379" s="9" t="s">
        <v>271</v>
      </c>
    </row>
    <row r="380" spans="1:22" ht="25.95" customHeight="1">
      <c r="A380" s="940">
        <v>377</v>
      </c>
      <c r="B380" s="1108">
        <v>35279</v>
      </c>
      <c r="C380" s="1102" t="s">
        <v>264</v>
      </c>
      <c r="D380" s="1103">
        <v>150522879</v>
      </c>
      <c r="E380" s="1104" t="s">
        <v>1067</v>
      </c>
      <c r="F380" s="940" t="s">
        <v>1068</v>
      </c>
      <c r="G380" s="1106">
        <v>10</v>
      </c>
      <c r="H380" s="1164">
        <v>416</v>
      </c>
      <c r="I380" s="1132" t="s">
        <v>923</v>
      </c>
      <c r="O380" s="1096">
        <f t="shared" ca="1" si="11"/>
        <v>30</v>
      </c>
      <c r="P380" s="1133">
        <f t="shared" ca="1" si="10"/>
        <v>30</v>
      </c>
      <c r="Q380" s="1133"/>
      <c r="R380" s="1133"/>
      <c r="U380" s="1096">
        <v>35279</v>
      </c>
      <c r="V380" s="9" t="s">
        <v>271</v>
      </c>
    </row>
    <row r="381" spans="1:22" ht="25.95" customHeight="1">
      <c r="A381" s="940">
        <v>378</v>
      </c>
      <c r="B381" s="1108">
        <v>29983</v>
      </c>
      <c r="C381" s="1102" t="s">
        <v>264</v>
      </c>
      <c r="D381" s="1103">
        <v>150611497</v>
      </c>
      <c r="E381" s="1104" t="s">
        <v>1069</v>
      </c>
      <c r="F381" s="940" t="s">
        <v>1070</v>
      </c>
      <c r="G381" s="1106">
        <v>10</v>
      </c>
      <c r="H381" s="1164">
        <v>417</v>
      </c>
      <c r="I381" s="1132" t="s">
        <v>923</v>
      </c>
      <c r="O381" s="1096">
        <f t="shared" ca="1" si="11"/>
        <v>44</v>
      </c>
      <c r="P381" s="1133">
        <f t="shared" ca="1" si="10"/>
        <v>44</v>
      </c>
      <c r="Q381" s="1133"/>
      <c r="R381" s="1133"/>
      <c r="U381" s="1096">
        <v>29983</v>
      </c>
      <c r="V381" s="9" t="s">
        <v>271</v>
      </c>
    </row>
    <row r="382" spans="1:22" ht="25.95" customHeight="1">
      <c r="A382" s="940">
        <v>379</v>
      </c>
      <c r="B382" s="1108">
        <v>30998</v>
      </c>
      <c r="C382" s="1102" t="s">
        <v>264</v>
      </c>
      <c r="D382" s="1103" t="s">
        <v>1071</v>
      </c>
      <c r="E382" s="1104" t="s">
        <v>1072</v>
      </c>
      <c r="F382" s="940" t="s">
        <v>1073</v>
      </c>
      <c r="G382" s="1106">
        <v>10</v>
      </c>
      <c r="H382" s="1164">
        <v>418</v>
      </c>
      <c r="I382" s="1132" t="s">
        <v>923</v>
      </c>
      <c r="O382" s="1096">
        <f t="shared" ca="1" si="11"/>
        <v>42</v>
      </c>
      <c r="P382" s="1133">
        <f t="shared" ca="1" si="10"/>
        <v>42</v>
      </c>
      <c r="Q382" s="1133"/>
      <c r="R382" s="1133"/>
      <c r="U382" s="1096">
        <v>30998</v>
      </c>
      <c r="V382" s="9" t="s">
        <v>271</v>
      </c>
    </row>
    <row r="383" spans="1:22" ht="25.95" customHeight="1">
      <c r="A383" s="940">
        <v>380</v>
      </c>
      <c r="B383" s="1108">
        <v>37297</v>
      </c>
      <c r="C383" s="1102" t="s">
        <v>264</v>
      </c>
      <c r="D383" s="1103">
        <v>150901603</v>
      </c>
      <c r="E383" s="1104" t="s">
        <v>1074</v>
      </c>
      <c r="F383" s="940" t="s">
        <v>1075</v>
      </c>
      <c r="G383" s="1106">
        <v>10</v>
      </c>
      <c r="H383" s="1164">
        <v>419</v>
      </c>
      <c r="I383" s="1132" t="s">
        <v>923</v>
      </c>
      <c r="O383" s="1096">
        <f t="shared" ca="1" si="11"/>
        <v>24</v>
      </c>
      <c r="P383" s="1133">
        <f t="shared" ref="P383:P446" ca="1" si="12">IF(O383&lt;=59,O383,IF(O383=60,1))</f>
        <v>24</v>
      </c>
      <c r="Q383" s="1133"/>
      <c r="R383" s="1133"/>
      <c r="U383" s="1096">
        <v>37297</v>
      </c>
      <c r="V383" s="9" t="s">
        <v>271</v>
      </c>
    </row>
    <row r="384" spans="1:22" ht="25.95" customHeight="1">
      <c r="A384" s="940">
        <v>381</v>
      </c>
      <c r="B384" s="1108">
        <v>33069</v>
      </c>
      <c r="C384" s="1109" t="s">
        <v>272</v>
      </c>
      <c r="D384" s="1103">
        <v>170698193</v>
      </c>
      <c r="E384" s="1104" t="s">
        <v>1076</v>
      </c>
      <c r="F384" s="940" t="s">
        <v>1077</v>
      </c>
      <c r="G384" s="1106">
        <v>10</v>
      </c>
      <c r="H384" s="1164">
        <v>420</v>
      </c>
      <c r="I384" s="1132" t="s">
        <v>923</v>
      </c>
      <c r="O384" s="1096">
        <f t="shared" ca="1" si="11"/>
        <v>36</v>
      </c>
      <c r="P384" s="1133">
        <f t="shared" ca="1" si="12"/>
        <v>36</v>
      </c>
      <c r="Q384" s="1133"/>
      <c r="R384" s="1133"/>
      <c r="U384" s="1096">
        <v>33069</v>
      </c>
      <c r="V384" s="9" t="s">
        <v>275</v>
      </c>
    </row>
    <row r="385" spans="1:22" ht="25.95" customHeight="1">
      <c r="A385" s="940">
        <v>382</v>
      </c>
      <c r="B385" s="1108">
        <v>32242</v>
      </c>
      <c r="C385" s="1102" t="s">
        <v>264</v>
      </c>
      <c r="D385" s="1103">
        <v>151030685</v>
      </c>
      <c r="E385" s="1104" t="s">
        <v>1078</v>
      </c>
      <c r="F385" s="940" t="s">
        <v>1079</v>
      </c>
      <c r="G385" s="1106">
        <v>10</v>
      </c>
      <c r="H385" s="1164">
        <v>421</v>
      </c>
      <c r="I385" s="1132" t="s">
        <v>923</v>
      </c>
      <c r="O385" s="1096">
        <f t="shared" ca="1" si="11"/>
        <v>38</v>
      </c>
      <c r="P385" s="1133">
        <f t="shared" ca="1" si="12"/>
        <v>38</v>
      </c>
      <c r="Q385" s="1133"/>
      <c r="R385" s="1133"/>
      <c r="U385" s="1096">
        <v>32242</v>
      </c>
      <c r="V385" s="9" t="s">
        <v>271</v>
      </c>
    </row>
    <row r="386" spans="1:22" ht="25.95" customHeight="1">
      <c r="A386" s="940">
        <v>383</v>
      </c>
      <c r="B386" s="1108">
        <v>31088</v>
      </c>
      <c r="C386" s="1109" t="s">
        <v>272</v>
      </c>
      <c r="D386" s="1103">
        <v>150844478</v>
      </c>
      <c r="E386" s="1104" t="s">
        <v>1080</v>
      </c>
      <c r="F386" s="940" t="s">
        <v>1081</v>
      </c>
      <c r="G386" s="1106">
        <v>10</v>
      </c>
      <c r="H386" s="1164">
        <v>422</v>
      </c>
      <c r="I386" s="1132" t="s">
        <v>923</v>
      </c>
      <c r="O386" s="1096">
        <f t="shared" ca="1" si="11"/>
        <v>41</v>
      </c>
      <c r="P386" s="1133">
        <f t="shared" ca="1" si="12"/>
        <v>41</v>
      </c>
      <c r="Q386" s="1133"/>
      <c r="R386" s="1133"/>
      <c r="U386" s="1096">
        <v>31088</v>
      </c>
      <c r="V386" s="9" t="s">
        <v>275</v>
      </c>
    </row>
    <row r="387" spans="1:22" ht="25.95" customHeight="1">
      <c r="A387" s="940">
        <v>384</v>
      </c>
      <c r="B387" s="1108">
        <v>31740</v>
      </c>
      <c r="C387" s="1102" t="s">
        <v>264</v>
      </c>
      <c r="D387" s="1103">
        <v>150844477</v>
      </c>
      <c r="E387" s="1104" t="s">
        <v>1082</v>
      </c>
      <c r="F387" s="940" t="s">
        <v>1083</v>
      </c>
      <c r="G387" s="1106">
        <v>10</v>
      </c>
      <c r="H387" s="1164">
        <v>423</v>
      </c>
      <c r="I387" s="1132" t="s">
        <v>923</v>
      </c>
      <c r="O387" s="1096">
        <f t="shared" ca="1" si="11"/>
        <v>40</v>
      </c>
      <c r="P387" s="1133">
        <f t="shared" ca="1" si="12"/>
        <v>40</v>
      </c>
      <c r="Q387" s="1133"/>
      <c r="R387" s="1133"/>
      <c r="U387" s="1096">
        <v>31740</v>
      </c>
      <c r="V387" s="9" t="s">
        <v>271</v>
      </c>
    </row>
    <row r="388" spans="1:22" ht="25.95" customHeight="1">
      <c r="A388" s="940">
        <v>385</v>
      </c>
      <c r="B388" s="1108">
        <v>26886</v>
      </c>
      <c r="C388" s="1109" t="s">
        <v>272</v>
      </c>
      <c r="D388" s="1103">
        <v>150306660</v>
      </c>
      <c r="E388" s="1104" t="s">
        <v>1084</v>
      </c>
      <c r="F388" s="940" t="s">
        <v>1085</v>
      </c>
      <c r="G388" s="1106">
        <v>10</v>
      </c>
      <c r="H388" s="1164">
        <v>424</v>
      </c>
      <c r="I388" s="1132" t="s">
        <v>923</v>
      </c>
      <c r="O388" s="1096">
        <f t="shared" ca="1" si="11"/>
        <v>53</v>
      </c>
      <c r="P388" s="1133">
        <f t="shared" ca="1" si="12"/>
        <v>53</v>
      </c>
      <c r="Q388" s="1133"/>
      <c r="R388" s="1133"/>
      <c r="U388" s="1096">
        <v>26886</v>
      </c>
      <c r="V388" s="9" t="s">
        <v>275</v>
      </c>
    </row>
    <row r="389" spans="1:22" ht="25.95" customHeight="1">
      <c r="A389" s="940">
        <v>386</v>
      </c>
      <c r="B389" s="1108">
        <v>35221</v>
      </c>
      <c r="C389" s="1109" t="s">
        <v>272</v>
      </c>
      <c r="D389" s="1103">
        <v>200271936</v>
      </c>
      <c r="E389" s="1104" t="s">
        <v>1086</v>
      </c>
      <c r="F389" s="940" t="s">
        <v>1087</v>
      </c>
      <c r="G389" s="1106">
        <v>10</v>
      </c>
      <c r="H389" s="1164">
        <v>425</v>
      </c>
      <c r="I389" s="1132" t="s">
        <v>923</v>
      </c>
      <c r="O389" s="1096">
        <f t="shared" ref="O389:O452" ca="1" si="13">YEAR(NOW())-YEAR(B389)</f>
        <v>30</v>
      </c>
      <c r="P389" s="1133">
        <f t="shared" ca="1" si="12"/>
        <v>30</v>
      </c>
      <c r="Q389" s="1133"/>
      <c r="R389" s="1133"/>
      <c r="U389" s="1096">
        <v>35221</v>
      </c>
      <c r="V389" s="9" t="s">
        <v>275</v>
      </c>
    </row>
    <row r="390" spans="1:22" ht="25.95" customHeight="1">
      <c r="A390" s="940">
        <v>387</v>
      </c>
      <c r="B390" s="1108">
        <v>25572</v>
      </c>
      <c r="C390" s="1109" t="s">
        <v>272</v>
      </c>
      <c r="D390" s="1103">
        <v>150840527</v>
      </c>
      <c r="E390" s="1104" t="s">
        <v>1088</v>
      </c>
      <c r="F390" s="940" t="s">
        <v>1089</v>
      </c>
      <c r="G390" s="1106">
        <v>10</v>
      </c>
      <c r="H390" s="1164">
        <v>426</v>
      </c>
      <c r="I390" s="1132" t="s">
        <v>923</v>
      </c>
      <c r="O390" s="1096">
        <f t="shared" ca="1" si="13"/>
        <v>56</v>
      </c>
      <c r="P390" s="1133">
        <f t="shared" ca="1" si="12"/>
        <v>56</v>
      </c>
      <c r="Q390" s="1133"/>
      <c r="R390" s="1133"/>
      <c r="U390" s="1096">
        <v>25572</v>
      </c>
      <c r="V390" s="9" t="s">
        <v>275</v>
      </c>
    </row>
    <row r="391" spans="1:22" ht="25.95" customHeight="1">
      <c r="A391" s="940">
        <v>388</v>
      </c>
      <c r="B391" s="1108">
        <v>33862</v>
      </c>
      <c r="C391" s="1102" t="s">
        <v>264</v>
      </c>
      <c r="D391" s="1103">
        <v>200196116</v>
      </c>
      <c r="E391" s="1104" t="s">
        <v>1090</v>
      </c>
      <c r="F391" s="940" t="s">
        <v>1091</v>
      </c>
      <c r="G391" s="1106">
        <v>10</v>
      </c>
      <c r="H391" s="1164">
        <v>427</v>
      </c>
      <c r="I391" s="1132" t="s">
        <v>923</v>
      </c>
      <c r="O391" s="1096">
        <f t="shared" ca="1" si="13"/>
        <v>34</v>
      </c>
      <c r="P391" s="1133">
        <f t="shared" ca="1" si="12"/>
        <v>34</v>
      </c>
      <c r="Q391" s="1133"/>
      <c r="R391" s="1133"/>
      <c r="U391" s="1096">
        <v>33862</v>
      </c>
      <c r="V391" s="9" t="s">
        <v>271</v>
      </c>
    </row>
    <row r="392" spans="1:22" ht="25.95" customHeight="1">
      <c r="A392" s="940">
        <v>389</v>
      </c>
      <c r="B392" s="1108">
        <v>34713</v>
      </c>
      <c r="C392" s="1102" t="s">
        <v>264</v>
      </c>
      <c r="D392" s="1103">
        <v>220140654</v>
      </c>
      <c r="E392" s="1104" t="s">
        <v>1092</v>
      </c>
      <c r="F392" s="940" t="s">
        <v>1093</v>
      </c>
      <c r="G392" s="1106">
        <v>8</v>
      </c>
      <c r="H392" s="1117">
        <v>293</v>
      </c>
      <c r="I392" s="1132" t="s">
        <v>1094</v>
      </c>
      <c r="O392" s="1096">
        <f t="shared" ca="1" si="13"/>
        <v>31</v>
      </c>
      <c r="P392" s="1133">
        <f t="shared" ca="1" si="12"/>
        <v>31</v>
      </c>
      <c r="Q392" s="1133"/>
      <c r="R392" s="1133"/>
      <c r="U392" s="1096">
        <v>34713</v>
      </c>
      <c r="V392" s="9" t="s">
        <v>271</v>
      </c>
    </row>
    <row r="393" spans="1:22" ht="25.95" customHeight="1">
      <c r="A393" s="940">
        <v>390</v>
      </c>
      <c r="B393" s="1108">
        <v>33583</v>
      </c>
      <c r="C393" s="1109" t="s">
        <v>272</v>
      </c>
      <c r="D393" s="1103">
        <v>150427634</v>
      </c>
      <c r="E393" s="1104" t="s">
        <v>1095</v>
      </c>
      <c r="F393" s="940" t="s">
        <v>1096</v>
      </c>
      <c r="G393" s="1106">
        <v>8</v>
      </c>
      <c r="H393" s="1118">
        <v>294</v>
      </c>
      <c r="I393" s="1132" t="s">
        <v>1094</v>
      </c>
      <c r="O393" s="1096">
        <f t="shared" ca="1" si="13"/>
        <v>35</v>
      </c>
      <c r="P393" s="1133">
        <f t="shared" ca="1" si="12"/>
        <v>35</v>
      </c>
      <c r="Q393" s="1133"/>
      <c r="R393" s="1133"/>
      <c r="U393" s="1096">
        <v>33583</v>
      </c>
      <c r="V393" s="9" t="s">
        <v>275</v>
      </c>
    </row>
    <row r="394" spans="1:22" ht="25.95" customHeight="1">
      <c r="A394" s="940">
        <v>391</v>
      </c>
      <c r="B394" s="1166">
        <v>34135</v>
      </c>
      <c r="C394" s="1102" t="s">
        <v>264</v>
      </c>
      <c r="D394" s="1103">
        <v>150468202</v>
      </c>
      <c r="E394" s="1104" t="s">
        <v>1097</v>
      </c>
      <c r="F394" s="940" t="s">
        <v>1098</v>
      </c>
      <c r="G394" s="1106">
        <v>8</v>
      </c>
      <c r="H394" s="1118">
        <v>295</v>
      </c>
      <c r="I394" s="1132" t="s">
        <v>1094</v>
      </c>
      <c r="O394" s="1096">
        <f t="shared" ca="1" si="13"/>
        <v>33</v>
      </c>
      <c r="P394" s="1133">
        <f t="shared" ca="1" si="12"/>
        <v>33</v>
      </c>
      <c r="Q394" s="1133"/>
      <c r="R394" s="1133"/>
      <c r="U394" s="1096">
        <v>34135</v>
      </c>
      <c r="V394" s="9" t="s">
        <v>271</v>
      </c>
    </row>
    <row r="395" spans="1:22" ht="25.95" customHeight="1">
      <c r="A395" s="940">
        <v>392</v>
      </c>
      <c r="B395" s="1167">
        <v>33736</v>
      </c>
      <c r="C395" s="1102" t="s">
        <v>264</v>
      </c>
      <c r="D395" s="1154">
        <v>150469700</v>
      </c>
      <c r="E395" s="1168" t="s">
        <v>1099</v>
      </c>
      <c r="F395" s="1169" t="s">
        <v>1100</v>
      </c>
      <c r="G395" s="1106">
        <v>8</v>
      </c>
      <c r="H395" s="1118">
        <v>296</v>
      </c>
      <c r="I395" s="1132" t="s">
        <v>1094</v>
      </c>
      <c r="O395" s="1096">
        <f t="shared" ca="1" si="13"/>
        <v>34</v>
      </c>
      <c r="P395" s="1133">
        <f t="shared" ca="1" si="12"/>
        <v>34</v>
      </c>
      <c r="Q395" s="1133"/>
      <c r="R395" s="1133"/>
      <c r="U395" s="1096">
        <v>33736</v>
      </c>
      <c r="V395" s="9" t="s">
        <v>271</v>
      </c>
    </row>
    <row r="396" spans="1:22" ht="25.95" customHeight="1">
      <c r="A396" s="940">
        <v>393</v>
      </c>
      <c r="B396" s="1108">
        <v>38327</v>
      </c>
      <c r="C396" s="1109" t="s">
        <v>272</v>
      </c>
      <c r="D396" s="1103">
        <v>151003825</v>
      </c>
      <c r="E396" s="1104" t="s">
        <v>1101</v>
      </c>
      <c r="F396" s="940" t="s">
        <v>1102</v>
      </c>
      <c r="G396" s="1106">
        <v>8</v>
      </c>
      <c r="H396" s="1118">
        <v>297</v>
      </c>
      <c r="I396" s="1132" t="s">
        <v>1094</v>
      </c>
      <c r="O396" s="1096">
        <f t="shared" ca="1" si="13"/>
        <v>22</v>
      </c>
      <c r="P396" s="1133">
        <f t="shared" ca="1" si="12"/>
        <v>22</v>
      </c>
      <c r="Q396" s="1133"/>
      <c r="R396" s="1133"/>
      <c r="U396" s="1096">
        <v>38327</v>
      </c>
      <c r="V396" s="9" t="s">
        <v>275</v>
      </c>
    </row>
    <row r="397" spans="1:22" ht="25.95" customHeight="1">
      <c r="A397" s="940">
        <v>394</v>
      </c>
      <c r="B397" s="1108">
        <v>38585</v>
      </c>
      <c r="C397" s="1102" t="s">
        <v>264</v>
      </c>
      <c r="D397" s="1103">
        <v>150994490</v>
      </c>
      <c r="E397" s="1104" t="s">
        <v>1103</v>
      </c>
      <c r="F397" s="940" t="s">
        <v>1104</v>
      </c>
      <c r="G397" s="1106">
        <v>8</v>
      </c>
      <c r="H397" s="1118">
        <v>298</v>
      </c>
      <c r="I397" s="1132" t="s">
        <v>1094</v>
      </c>
      <c r="O397" s="1096">
        <f t="shared" ca="1" si="13"/>
        <v>21</v>
      </c>
      <c r="P397" s="1133">
        <f t="shared" ca="1" si="12"/>
        <v>21</v>
      </c>
      <c r="Q397" s="1133"/>
      <c r="R397" s="1133"/>
      <c r="U397" s="1096">
        <v>38585</v>
      </c>
      <c r="V397" s="9" t="s">
        <v>271</v>
      </c>
    </row>
    <row r="398" spans="1:22" ht="25.95" customHeight="1">
      <c r="A398" s="940">
        <v>395</v>
      </c>
      <c r="B398" s="1108">
        <v>35432</v>
      </c>
      <c r="C398" s="1109" t="s">
        <v>272</v>
      </c>
      <c r="D398" s="1103" t="s">
        <v>1105</v>
      </c>
      <c r="E398" s="1104" t="s">
        <v>1106</v>
      </c>
      <c r="F398" s="940" t="s">
        <v>1107</v>
      </c>
      <c r="G398" s="1106">
        <v>8</v>
      </c>
      <c r="H398" s="1118">
        <v>299</v>
      </c>
      <c r="I398" s="1132" t="s">
        <v>1094</v>
      </c>
      <c r="O398" s="1096">
        <f t="shared" ca="1" si="13"/>
        <v>29</v>
      </c>
      <c r="P398" s="1133">
        <f t="shared" ca="1" si="12"/>
        <v>29</v>
      </c>
      <c r="Q398" s="1133"/>
      <c r="R398" s="1133"/>
      <c r="U398" s="1096">
        <v>35432</v>
      </c>
      <c r="V398" s="9" t="s">
        <v>275</v>
      </c>
    </row>
    <row r="399" spans="1:22" ht="25.95" customHeight="1">
      <c r="A399" s="940">
        <v>396</v>
      </c>
      <c r="B399" s="1108">
        <v>31068</v>
      </c>
      <c r="C399" s="1102" t="s">
        <v>264</v>
      </c>
      <c r="D399" s="1103">
        <v>150306200</v>
      </c>
      <c r="E399" s="1104" t="s">
        <v>1108</v>
      </c>
      <c r="F399" s="940" t="s">
        <v>1109</v>
      </c>
      <c r="G399" s="1106">
        <v>8</v>
      </c>
      <c r="H399" s="1118">
        <v>300</v>
      </c>
      <c r="I399" s="1132" t="s">
        <v>1094</v>
      </c>
      <c r="O399" s="1096">
        <f t="shared" ca="1" si="13"/>
        <v>41</v>
      </c>
      <c r="P399" s="1133">
        <f t="shared" ca="1" si="12"/>
        <v>41</v>
      </c>
      <c r="Q399" s="1133"/>
      <c r="R399" s="1133"/>
      <c r="U399" s="1096">
        <v>31068</v>
      </c>
      <c r="V399" s="9" t="s">
        <v>271</v>
      </c>
    </row>
    <row r="400" spans="1:22" ht="25.95" customHeight="1">
      <c r="A400" s="940">
        <v>397</v>
      </c>
      <c r="B400" s="1108">
        <v>36901</v>
      </c>
      <c r="C400" s="1109" t="s">
        <v>272</v>
      </c>
      <c r="D400" s="1103">
        <v>150865247</v>
      </c>
      <c r="E400" s="1104" t="s">
        <v>1110</v>
      </c>
      <c r="F400" s="940" t="s">
        <v>1111</v>
      </c>
      <c r="G400" s="1106">
        <v>8</v>
      </c>
      <c r="H400" s="1118">
        <v>301</v>
      </c>
      <c r="I400" s="1132" t="s">
        <v>1094</v>
      </c>
      <c r="O400" s="1096">
        <f t="shared" ca="1" si="13"/>
        <v>25</v>
      </c>
      <c r="P400" s="1133">
        <f t="shared" ca="1" si="12"/>
        <v>25</v>
      </c>
      <c r="Q400" s="1133"/>
      <c r="R400" s="1133"/>
      <c r="U400" s="1096">
        <v>36901</v>
      </c>
      <c r="V400" s="9" t="s">
        <v>275</v>
      </c>
    </row>
    <row r="401" spans="1:22" ht="25.95" customHeight="1">
      <c r="A401" s="940">
        <v>398</v>
      </c>
      <c r="B401" s="1146">
        <v>32557</v>
      </c>
      <c r="C401" s="1109" t="s">
        <v>272</v>
      </c>
      <c r="D401" s="731">
        <v>150360082</v>
      </c>
      <c r="E401" s="1104" t="s">
        <v>1112</v>
      </c>
      <c r="F401" s="1120" t="s">
        <v>1113</v>
      </c>
      <c r="G401" s="1106">
        <v>8</v>
      </c>
      <c r="H401" s="1118">
        <v>302</v>
      </c>
      <c r="I401" s="1132" t="s">
        <v>1094</v>
      </c>
      <c r="O401" s="1096">
        <f t="shared" ca="1" si="13"/>
        <v>37</v>
      </c>
      <c r="P401" s="1133">
        <f t="shared" ca="1" si="12"/>
        <v>37</v>
      </c>
      <c r="Q401" s="1133"/>
      <c r="R401" s="1133"/>
      <c r="U401" s="1096">
        <v>32557</v>
      </c>
      <c r="V401" s="9" t="s">
        <v>275</v>
      </c>
    </row>
    <row r="402" spans="1:22" ht="25.95" customHeight="1">
      <c r="A402" s="940">
        <v>399</v>
      </c>
      <c r="B402" s="1108">
        <v>35188</v>
      </c>
      <c r="C402" s="1109" t="s">
        <v>272</v>
      </c>
      <c r="D402" s="1103">
        <v>220102057</v>
      </c>
      <c r="E402" s="1104" t="s">
        <v>1114</v>
      </c>
      <c r="F402" s="940" t="s">
        <v>1115</v>
      </c>
      <c r="G402" s="1106">
        <v>8</v>
      </c>
      <c r="H402" s="1118">
        <v>303</v>
      </c>
      <c r="I402" s="1132" t="s">
        <v>1094</v>
      </c>
      <c r="O402" s="1096">
        <f t="shared" ca="1" si="13"/>
        <v>30</v>
      </c>
      <c r="P402" s="1133">
        <f t="shared" ca="1" si="12"/>
        <v>30</v>
      </c>
      <c r="Q402" s="1133"/>
      <c r="R402" s="1133"/>
      <c r="U402" s="1096">
        <v>35188</v>
      </c>
      <c r="V402" s="9" t="s">
        <v>275</v>
      </c>
    </row>
    <row r="403" spans="1:22" ht="25.95" customHeight="1">
      <c r="A403" s="940">
        <v>400</v>
      </c>
      <c r="B403" s="1108">
        <v>31553</v>
      </c>
      <c r="C403" s="1102" t="s">
        <v>264</v>
      </c>
      <c r="D403" s="1103">
        <v>150306061</v>
      </c>
      <c r="E403" s="1104" t="s">
        <v>1116</v>
      </c>
      <c r="F403" s="940" t="s">
        <v>1117</v>
      </c>
      <c r="G403" s="1106">
        <v>8</v>
      </c>
      <c r="H403" s="1118">
        <v>304</v>
      </c>
      <c r="I403" s="1132" t="s">
        <v>1094</v>
      </c>
      <c r="O403" s="1096">
        <f t="shared" ca="1" si="13"/>
        <v>40</v>
      </c>
      <c r="P403" s="1133">
        <f t="shared" ca="1" si="12"/>
        <v>40</v>
      </c>
      <c r="Q403" s="1133"/>
      <c r="R403" s="1133"/>
      <c r="U403" s="1096">
        <v>31553</v>
      </c>
      <c r="V403" s="9" t="s">
        <v>271</v>
      </c>
    </row>
    <row r="404" spans="1:22" ht="25.95" customHeight="1">
      <c r="A404" s="940">
        <v>401</v>
      </c>
      <c r="B404" s="1108">
        <v>35221</v>
      </c>
      <c r="C404" s="1109" t="s">
        <v>272</v>
      </c>
      <c r="D404" s="1103">
        <v>170967584</v>
      </c>
      <c r="E404" s="1104" t="s">
        <v>1118</v>
      </c>
      <c r="F404" s="940" t="s">
        <v>1119</v>
      </c>
      <c r="G404" s="1106">
        <v>8</v>
      </c>
      <c r="H404" s="1118">
        <v>305</v>
      </c>
      <c r="I404" s="1132" t="s">
        <v>1094</v>
      </c>
      <c r="O404" s="1096">
        <f t="shared" ca="1" si="13"/>
        <v>30</v>
      </c>
      <c r="P404" s="1133">
        <f t="shared" ca="1" si="12"/>
        <v>30</v>
      </c>
      <c r="Q404" s="1133"/>
      <c r="R404" s="1133"/>
      <c r="U404" s="1096">
        <v>35221</v>
      </c>
      <c r="V404" s="9" t="s">
        <v>275</v>
      </c>
    </row>
    <row r="405" spans="1:22" ht="25.95" customHeight="1">
      <c r="A405" s="940">
        <v>402</v>
      </c>
      <c r="B405" s="1108">
        <v>33036</v>
      </c>
      <c r="C405" s="1102" t="s">
        <v>264</v>
      </c>
      <c r="D405" s="1103">
        <v>150938989</v>
      </c>
      <c r="E405" s="1104" t="s">
        <v>1120</v>
      </c>
      <c r="F405" s="940" t="s">
        <v>1121</v>
      </c>
      <c r="G405" s="1106">
        <v>8</v>
      </c>
      <c r="H405" s="1118">
        <v>306</v>
      </c>
      <c r="I405" s="1132" t="s">
        <v>1094</v>
      </c>
      <c r="O405" s="1096">
        <f t="shared" ca="1" si="13"/>
        <v>36</v>
      </c>
      <c r="P405" s="1133">
        <f t="shared" ca="1" si="12"/>
        <v>36</v>
      </c>
      <c r="Q405" s="1133"/>
      <c r="R405" s="1133"/>
      <c r="U405" s="1096">
        <v>33036</v>
      </c>
      <c r="V405" s="9" t="s">
        <v>271</v>
      </c>
    </row>
    <row r="406" spans="1:22" ht="25.95" customHeight="1">
      <c r="A406" s="940">
        <v>403</v>
      </c>
      <c r="B406" s="1108">
        <v>30869</v>
      </c>
      <c r="C406" s="1109" t="s">
        <v>272</v>
      </c>
      <c r="D406" s="1103">
        <v>170928946</v>
      </c>
      <c r="E406" s="1104" t="s">
        <v>1122</v>
      </c>
      <c r="F406" s="940" t="s">
        <v>1123</v>
      </c>
      <c r="G406" s="1106">
        <v>8</v>
      </c>
      <c r="H406" s="1118">
        <v>307</v>
      </c>
      <c r="I406" s="1132" t="s">
        <v>1094</v>
      </c>
      <c r="O406" s="1096">
        <f t="shared" ca="1" si="13"/>
        <v>42</v>
      </c>
      <c r="P406" s="1133">
        <f t="shared" ca="1" si="12"/>
        <v>42</v>
      </c>
      <c r="Q406" s="1133"/>
      <c r="R406" s="1133"/>
      <c r="U406" s="1096">
        <v>30869</v>
      </c>
      <c r="V406" s="9" t="s">
        <v>275</v>
      </c>
    </row>
    <row r="407" spans="1:22" ht="25.95" customHeight="1">
      <c r="A407" s="940">
        <v>404</v>
      </c>
      <c r="B407" s="1108">
        <v>36776</v>
      </c>
      <c r="C407" s="1102" t="s">
        <v>264</v>
      </c>
      <c r="D407" s="1103">
        <v>220175278</v>
      </c>
      <c r="E407" s="1104" t="s">
        <v>1124</v>
      </c>
      <c r="F407" s="940" t="s">
        <v>1125</v>
      </c>
      <c r="G407" s="1106">
        <v>8</v>
      </c>
      <c r="H407" s="1118">
        <v>308</v>
      </c>
      <c r="I407" s="1132" t="s">
        <v>1094</v>
      </c>
      <c r="O407" s="1096">
        <f t="shared" ca="1" si="13"/>
        <v>26</v>
      </c>
      <c r="P407" s="1133">
        <f t="shared" ca="1" si="12"/>
        <v>26</v>
      </c>
      <c r="Q407" s="1133"/>
      <c r="R407" s="1133"/>
      <c r="U407" s="1096">
        <v>36776</v>
      </c>
      <c r="V407" s="9" t="s">
        <v>271</v>
      </c>
    </row>
    <row r="408" spans="1:22" ht="25.95" customHeight="1">
      <c r="A408" s="940">
        <v>405</v>
      </c>
      <c r="B408" s="1108">
        <v>29996</v>
      </c>
      <c r="C408" s="1109" t="s">
        <v>272</v>
      </c>
      <c r="D408" s="1103" t="s">
        <v>1126</v>
      </c>
      <c r="E408" s="1104" t="s">
        <v>1127</v>
      </c>
      <c r="F408" s="940" t="s">
        <v>1128</v>
      </c>
      <c r="G408" s="1106">
        <v>8</v>
      </c>
      <c r="H408" s="1118">
        <v>309</v>
      </c>
      <c r="I408" s="1132" t="s">
        <v>1094</v>
      </c>
      <c r="O408" s="1096">
        <f t="shared" ca="1" si="13"/>
        <v>44</v>
      </c>
      <c r="P408" s="1133">
        <f t="shared" ca="1" si="12"/>
        <v>44</v>
      </c>
      <c r="Q408" s="1133"/>
      <c r="R408" s="1133"/>
      <c r="U408" s="1096">
        <v>29996</v>
      </c>
      <c r="V408" s="9" t="s">
        <v>275</v>
      </c>
    </row>
    <row r="409" spans="1:22" ht="25.95" customHeight="1">
      <c r="A409" s="940">
        <v>406</v>
      </c>
      <c r="B409" s="1108">
        <v>35014</v>
      </c>
      <c r="C409" s="1102" t="s">
        <v>264</v>
      </c>
      <c r="D409" s="1103">
        <v>150522553</v>
      </c>
      <c r="E409" s="1104" t="s">
        <v>1129</v>
      </c>
      <c r="F409" s="940" t="s">
        <v>1130</v>
      </c>
      <c r="G409" s="1106">
        <v>8</v>
      </c>
      <c r="H409" s="1118">
        <v>310</v>
      </c>
      <c r="I409" s="1132" t="s">
        <v>1094</v>
      </c>
      <c r="O409" s="1096">
        <f t="shared" ca="1" si="13"/>
        <v>31</v>
      </c>
      <c r="P409" s="1133">
        <f t="shared" ca="1" si="12"/>
        <v>31</v>
      </c>
      <c r="Q409" s="1133"/>
      <c r="R409" s="1133"/>
      <c r="U409" s="1096">
        <v>35014</v>
      </c>
      <c r="V409" s="9" t="s">
        <v>271</v>
      </c>
    </row>
    <row r="410" spans="1:22" ht="25.95" customHeight="1">
      <c r="A410" s="940">
        <v>407</v>
      </c>
      <c r="B410" s="1108">
        <v>38808</v>
      </c>
      <c r="C410" s="1109" t="s">
        <v>272</v>
      </c>
      <c r="D410" s="1103">
        <v>151013384</v>
      </c>
      <c r="E410" s="1104" t="s">
        <v>1131</v>
      </c>
      <c r="F410" s="940" t="s">
        <v>1132</v>
      </c>
      <c r="G410" s="1106">
        <v>8</v>
      </c>
      <c r="H410" s="1118">
        <v>311</v>
      </c>
      <c r="I410" s="1132" t="s">
        <v>1094</v>
      </c>
      <c r="O410" s="1096">
        <f t="shared" ca="1" si="13"/>
        <v>20</v>
      </c>
      <c r="P410" s="1133">
        <f t="shared" ca="1" si="12"/>
        <v>20</v>
      </c>
      <c r="Q410" s="1133"/>
      <c r="R410" s="1133"/>
      <c r="U410" s="1096">
        <v>38808</v>
      </c>
      <c r="V410" s="9" t="s">
        <v>275</v>
      </c>
    </row>
    <row r="411" spans="1:22" ht="25.95" customHeight="1">
      <c r="A411" s="940">
        <v>408</v>
      </c>
      <c r="B411" s="1108">
        <v>35767</v>
      </c>
      <c r="C411" s="1109" t="s">
        <v>272</v>
      </c>
      <c r="D411" s="1103" t="s">
        <v>1133</v>
      </c>
      <c r="E411" s="1104" t="s">
        <v>1134</v>
      </c>
      <c r="F411" s="940" t="s">
        <v>1135</v>
      </c>
      <c r="G411" s="1106">
        <v>8</v>
      </c>
      <c r="H411" s="1118">
        <v>312</v>
      </c>
      <c r="I411" s="1132" t="s">
        <v>1094</v>
      </c>
      <c r="O411" s="1096">
        <f t="shared" ca="1" si="13"/>
        <v>29</v>
      </c>
      <c r="P411" s="1133">
        <f t="shared" ca="1" si="12"/>
        <v>29</v>
      </c>
      <c r="Q411" s="1133"/>
      <c r="R411" s="1133"/>
      <c r="U411" s="1096">
        <v>35767</v>
      </c>
      <c r="V411" s="9" t="s">
        <v>275</v>
      </c>
    </row>
    <row r="412" spans="1:22" ht="25.95" customHeight="1">
      <c r="A412" s="940">
        <v>409</v>
      </c>
      <c r="B412" s="1108">
        <v>34261</v>
      </c>
      <c r="C412" s="1102" t="s">
        <v>264</v>
      </c>
      <c r="D412" s="1103" t="s">
        <v>1136</v>
      </c>
      <c r="E412" s="1104" t="s">
        <v>1137</v>
      </c>
      <c r="F412" s="940" t="s">
        <v>1138</v>
      </c>
      <c r="G412" s="1106">
        <v>8</v>
      </c>
      <c r="H412" s="1118">
        <v>313</v>
      </c>
      <c r="I412" s="1132" t="s">
        <v>1094</v>
      </c>
      <c r="O412" s="1096">
        <f t="shared" ca="1" si="13"/>
        <v>33</v>
      </c>
      <c r="P412" s="1133">
        <f t="shared" ca="1" si="12"/>
        <v>33</v>
      </c>
      <c r="Q412" s="1133"/>
      <c r="R412" s="1133"/>
      <c r="U412" s="1096">
        <v>34261</v>
      </c>
      <c r="V412" s="9" t="s">
        <v>271</v>
      </c>
    </row>
    <row r="413" spans="1:22" ht="25.95" customHeight="1">
      <c r="A413" s="940">
        <v>410</v>
      </c>
      <c r="B413" s="1108">
        <v>30104</v>
      </c>
      <c r="C413" s="1109" t="s">
        <v>272</v>
      </c>
      <c r="D413" s="1103">
        <v>150306382</v>
      </c>
      <c r="E413" s="1104" t="s">
        <v>1139</v>
      </c>
      <c r="F413" s="940" t="s">
        <v>1140</v>
      </c>
      <c r="G413" s="1106">
        <v>8</v>
      </c>
      <c r="H413" s="1118">
        <v>314</v>
      </c>
      <c r="I413" s="1132" t="s">
        <v>1094</v>
      </c>
      <c r="O413" s="1096">
        <f t="shared" ca="1" si="13"/>
        <v>44</v>
      </c>
      <c r="P413" s="1133">
        <f t="shared" ca="1" si="12"/>
        <v>44</v>
      </c>
      <c r="Q413" s="1133"/>
      <c r="R413" s="1133"/>
      <c r="U413" s="1096">
        <v>30104</v>
      </c>
      <c r="V413" s="9" t="s">
        <v>275</v>
      </c>
    </row>
    <row r="414" spans="1:22" ht="25.95" customHeight="1">
      <c r="A414" s="940">
        <v>411</v>
      </c>
      <c r="B414" s="1108">
        <v>29797</v>
      </c>
      <c r="C414" s="1102" t="s">
        <v>264</v>
      </c>
      <c r="D414" s="1103">
        <v>150117925</v>
      </c>
      <c r="E414" s="1104" t="s">
        <v>1141</v>
      </c>
      <c r="F414" s="940" t="s">
        <v>1142</v>
      </c>
      <c r="G414" s="1106">
        <v>8</v>
      </c>
      <c r="H414" s="1118">
        <v>315</v>
      </c>
      <c r="I414" s="1132" t="s">
        <v>1094</v>
      </c>
      <c r="O414" s="1096">
        <f t="shared" ca="1" si="13"/>
        <v>45</v>
      </c>
      <c r="P414" s="1133">
        <f t="shared" ca="1" si="12"/>
        <v>45</v>
      </c>
      <c r="Q414" s="1133"/>
      <c r="R414" s="1133"/>
      <c r="U414" s="1096">
        <v>29797</v>
      </c>
      <c r="V414" s="9" t="s">
        <v>271</v>
      </c>
    </row>
    <row r="415" spans="1:22" ht="25.95" customHeight="1">
      <c r="A415" s="940">
        <v>412</v>
      </c>
      <c r="B415" s="1108">
        <v>30381</v>
      </c>
      <c r="C415" s="1109" t="s">
        <v>272</v>
      </c>
      <c r="D415" s="1103" t="s">
        <v>1143</v>
      </c>
      <c r="E415" s="1104" t="s">
        <v>1144</v>
      </c>
      <c r="F415" s="940" t="s">
        <v>1145</v>
      </c>
      <c r="G415" s="1106">
        <v>8</v>
      </c>
      <c r="H415" s="1118">
        <v>316</v>
      </c>
      <c r="I415" s="1132" t="s">
        <v>1094</v>
      </c>
      <c r="O415" s="1096">
        <f t="shared" ca="1" si="13"/>
        <v>43</v>
      </c>
      <c r="P415" s="1133">
        <f t="shared" ca="1" si="12"/>
        <v>43</v>
      </c>
      <c r="Q415" s="1133"/>
      <c r="R415" s="1133"/>
      <c r="U415" s="1096">
        <v>30381</v>
      </c>
      <c r="V415" s="9" t="s">
        <v>275</v>
      </c>
    </row>
    <row r="416" spans="1:22" ht="25.95" customHeight="1">
      <c r="A416" s="940">
        <v>413</v>
      </c>
      <c r="B416" s="1108">
        <v>38674</v>
      </c>
      <c r="C416" s="1102" t="s">
        <v>264</v>
      </c>
      <c r="D416" s="1103">
        <v>220234402</v>
      </c>
      <c r="E416" s="1104" t="s">
        <v>1146</v>
      </c>
      <c r="F416" s="940" t="s">
        <v>1147</v>
      </c>
      <c r="G416" s="1106">
        <v>8</v>
      </c>
      <c r="H416" s="1118">
        <v>317</v>
      </c>
      <c r="I416" s="1132" t="s">
        <v>1094</v>
      </c>
      <c r="O416" s="1096">
        <f t="shared" ca="1" si="13"/>
        <v>21</v>
      </c>
      <c r="P416" s="1133">
        <f t="shared" ca="1" si="12"/>
        <v>21</v>
      </c>
      <c r="Q416" s="1133"/>
      <c r="R416" s="1133"/>
      <c r="U416" s="1096">
        <v>38674</v>
      </c>
      <c r="V416" s="9" t="s">
        <v>271</v>
      </c>
    </row>
    <row r="417" spans="1:22" ht="25.95" customHeight="1">
      <c r="A417" s="940">
        <v>414</v>
      </c>
      <c r="B417" s="1108">
        <v>35127</v>
      </c>
      <c r="C417" s="1102" t="s">
        <v>264</v>
      </c>
      <c r="D417" s="1103">
        <v>220102060</v>
      </c>
      <c r="E417" s="1104" t="s">
        <v>1148</v>
      </c>
      <c r="F417" s="940" t="s">
        <v>1149</v>
      </c>
      <c r="G417" s="1106">
        <v>8</v>
      </c>
      <c r="H417" s="1118">
        <v>318</v>
      </c>
      <c r="I417" s="1132" t="s">
        <v>1094</v>
      </c>
      <c r="O417" s="1096">
        <f t="shared" ca="1" si="13"/>
        <v>30</v>
      </c>
      <c r="P417" s="1133">
        <f t="shared" ca="1" si="12"/>
        <v>30</v>
      </c>
      <c r="Q417" s="1133"/>
      <c r="R417" s="1133"/>
      <c r="U417" s="1096">
        <v>35127</v>
      </c>
      <c r="V417" s="9" t="s">
        <v>271</v>
      </c>
    </row>
    <row r="418" spans="1:22" ht="25.95" customHeight="1">
      <c r="A418" s="940">
        <v>415</v>
      </c>
      <c r="B418" s="1108">
        <v>29769</v>
      </c>
      <c r="C418" s="1102" t="s">
        <v>264</v>
      </c>
      <c r="D418" s="1103">
        <v>150113377</v>
      </c>
      <c r="E418" s="1104" t="s">
        <v>1150</v>
      </c>
      <c r="F418" s="940" t="s">
        <v>1151</v>
      </c>
      <c r="G418" s="1106">
        <v>8</v>
      </c>
      <c r="H418" s="1118">
        <v>319</v>
      </c>
      <c r="I418" s="1132" t="s">
        <v>1094</v>
      </c>
      <c r="O418" s="1096">
        <f t="shared" ca="1" si="13"/>
        <v>45</v>
      </c>
      <c r="P418" s="1133">
        <f t="shared" ca="1" si="12"/>
        <v>45</v>
      </c>
      <c r="Q418" s="1133"/>
      <c r="R418" s="1133"/>
      <c r="U418" s="1096">
        <v>29769</v>
      </c>
      <c r="V418" s="9" t="s">
        <v>271</v>
      </c>
    </row>
    <row r="419" spans="1:22" ht="25.95" customHeight="1">
      <c r="A419" s="940">
        <v>416</v>
      </c>
      <c r="B419" s="1108">
        <v>34232</v>
      </c>
      <c r="C419" s="1102" t="s">
        <v>264</v>
      </c>
      <c r="D419" s="1103">
        <v>220139885</v>
      </c>
      <c r="E419" s="1104" t="s">
        <v>1152</v>
      </c>
      <c r="F419" s="940" t="s">
        <v>1153</v>
      </c>
      <c r="G419" s="1106">
        <v>8</v>
      </c>
      <c r="H419" s="1118">
        <v>320</v>
      </c>
      <c r="I419" s="1132" t="s">
        <v>1094</v>
      </c>
      <c r="O419" s="1096">
        <f t="shared" ca="1" si="13"/>
        <v>33</v>
      </c>
      <c r="P419" s="1133">
        <f t="shared" ca="1" si="12"/>
        <v>33</v>
      </c>
      <c r="Q419" s="1133"/>
      <c r="R419" s="1133"/>
      <c r="U419" s="1096">
        <v>34232</v>
      </c>
      <c r="V419" s="9" t="s">
        <v>271</v>
      </c>
    </row>
    <row r="420" spans="1:22" ht="25.95" customHeight="1">
      <c r="A420" s="940">
        <v>417</v>
      </c>
      <c r="B420" s="1108">
        <v>35614</v>
      </c>
      <c r="C420" s="1109" t="s">
        <v>272</v>
      </c>
      <c r="D420" s="1103">
        <v>220208824</v>
      </c>
      <c r="E420" s="1104" t="s">
        <v>1154</v>
      </c>
      <c r="F420" s="940" t="s">
        <v>1155</v>
      </c>
      <c r="G420" s="1106">
        <v>8</v>
      </c>
      <c r="H420" s="1118">
        <v>321</v>
      </c>
      <c r="I420" s="1132" t="s">
        <v>1094</v>
      </c>
      <c r="O420" s="1096">
        <f t="shared" ca="1" si="13"/>
        <v>29</v>
      </c>
      <c r="P420" s="1133">
        <f t="shared" ca="1" si="12"/>
        <v>29</v>
      </c>
      <c r="Q420" s="1133"/>
      <c r="R420" s="1133"/>
      <c r="U420" s="1096">
        <v>35614</v>
      </c>
      <c r="V420" s="9" t="s">
        <v>275</v>
      </c>
    </row>
    <row r="421" spans="1:22" ht="25.95" customHeight="1">
      <c r="A421" s="940">
        <v>418</v>
      </c>
      <c r="B421" s="1108">
        <v>31547</v>
      </c>
      <c r="C421" s="1102" t="s">
        <v>264</v>
      </c>
      <c r="D421" s="1103">
        <v>150354751</v>
      </c>
      <c r="E421" s="1104" t="s">
        <v>1156</v>
      </c>
      <c r="F421" s="940" t="s">
        <v>1157</v>
      </c>
      <c r="G421" s="1106">
        <v>8</v>
      </c>
      <c r="H421" s="1118">
        <v>322</v>
      </c>
      <c r="I421" s="1132" t="s">
        <v>1094</v>
      </c>
      <c r="O421" s="1096">
        <f t="shared" ca="1" si="13"/>
        <v>40</v>
      </c>
      <c r="P421" s="1133">
        <f t="shared" ca="1" si="12"/>
        <v>40</v>
      </c>
      <c r="Q421" s="1133"/>
      <c r="R421" s="1133"/>
      <c r="U421" s="1096">
        <v>31547</v>
      </c>
      <c r="V421" s="9" t="s">
        <v>271</v>
      </c>
    </row>
    <row r="422" spans="1:22" ht="25.95" customHeight="1">
      <c r="A422" s="940">
        <v>419</v>
      </c>
      <c r="B422" s="1108">
        <v>29939</v>
      </c>
      <c r="C422" s="1109" t="s">
        <v>272</v>
      </c>
      <c r="D422" s="1103">
        <v>150791146</v>
      </c>
      <c r="E422" s="1104" t="s">
        <v>1158</v>
      </c>
      <c r="F422" s="940" t="s">
        <v>1159</v>
      </c>
      <c r="G422" s="1106">
        <v>8</v>
      </c>
      <c r="H422" s="1118">
        <v>323</v>
      </c>
      <c r="I422" s="1132" t="s">
        <v>1094</v>
      </c>
      <c r="O422" s="1096">
        <f t="shared" ca="1" si="13"/>
        <v>45</v>
      </c>
      <c r="P422" s="1133">
        <f t="shared" ca="1" si="12"/>
        <v>45</v>
      </c>
      <c r="Q422" s="1133"/>
      <c r="R422" s="1133"/>
      <c r="U422" s="1096">
        <v>29939</v>
      </c>
      <c r="V422" s="9" t="s">
        <v>275</v>
      </c>
    </row>
    <row r="423" spans="1:22" ht="25.95" customHeight="1">
      <c r="A423" s="940">
        <v>420</v>
      </c>
      <c r="B423" s="1108">
        <v>37759</v>
      </c>
      <c r="C423" s="1102" t="s">
        <v>264</v>
      </c>
      <c r="D423" s="1103">
        <v>150952648</v>
      </c>
      <c r="E423" s="1104" t="s">
        <v>1160</v>
      </c>
      <c r="F423" s="940" t="s">
        <v>1161</v>
      </c>
      <c r="G423" s="1106">
        <v>8</v>
      </c>
      <c r="H423" s="1118">
        <v>324</v>
      </c>
      <c r="I423" s="1132" t="s">
        <v>1094</v>
      </c>
      <c r="O423" s="1096">
        <f t="shared" ca="1" si="13"/>
        <v>23</v>
      </c>
      <c r="P423" s="1133">
        <f t="shared" ca="1" si="12"/>
        <v>23</v>
      </c>
      <c r="Q423" s="1133"/>
      <c r="R423" s="1133"/>
      <c r="U423" s="1096">
        <v>37759</v>
      </c>
      <c r="V423" s="9" t="s">
        <v>271</v>
      </c>
    </row>
    <row r="424" spans="1:22" ht="25.95" customHeight="1">
      <c r="A424" s="940">
        <v>421</v>
      </c>
      <c r="B424" s="1108">
        <v>31107</v>
      </c>
      <c r="C424" s="1102" t="s">
        <v>264</v>
      </c>
      <c r="D424" s="1103">
        <v>150784830</v>
      </c>
      <c r="E424" s="1104" t="s">
        <v>1162</v>
      </c>
      <c r="F424" s="940" t="s">
        <v>1163</v>
      </c>
      <c r="G424" s="1106">
        <v>8</v>
      </c>
      <c r="H424" s="1118">
        <v>325</v>
      </c>
      <c r="I424" s="1132" t="s">
        <v>1094</v>
      </c>
      <c r="O424" s="1096">
        <f t="shared" ca="1" si="13"/>
        <v>41</v>
      </c>
      <c r="P424" s="1133">
        <f t="shared" ca="1" si="12"/>
        <v>41</v>
      </c>
      <c r="Q424" s="1133"/>
      <c r="R424" s="1133"/>
      <c r="U424" s="1096">
        <v>31107</v>
      </c>
      <c r="V424" s="9" t="s">
        <v>271</v>
      </c>
    </row>
    <row r="425" spans="1:22" ht="25.95" customHeight="1">
      <c r="A425" s="940">
        <v>422</v>
      </c>
      <c r="B425" s="1108">
        <v>32691</v>
      </c>
      <c r="C425" s="1109" t="s">
        <v>272</v>
      </c>
      <c r="D425" s="1103">
        <v>150588235</v>
      </c>
      <c r="E425" s="1104" t="s">
        <v>1164</v>
      </c>
      <c r="F425" s="940" t="s">
        <v>1165</v>
      </c>
      <c r="G425" s="1106">
        <v>8</v>
      </c>
      <c r="H425" s="1118">
        <v>326</v>
      </c>
      <c r="I425" s="1132" t="s">
        <v>1094</v>
      </c>
      <c r="O425" s="1096">
        <f t="shared" ca="1" si="13"/>
        <v>37</v>
      </c>
      <c r="P425" s="1133">
        <f t="shared" ca="1" si="12"/>
        <v>37</v>
      </c>
      <c r="Q425" s="1133"/>
      <c r="R425" s="1133"/>
      <c r="U425" s="1096">
        <v>38882</v>
      </c>
      <c r="V425" s="9" t="s">
        <v>275</v>
      </c>
    </row>
    <row r="426" spans="1:22" ht="25.95" customHeight="1">
      <c r="A426" s="940">
        <v>423</v>
      </c>
      <c r="B426" s="1108">
        <v>29961</v>
      </c>
      <c r="C426" s="1102" t="s">
        <v>264</v>
      </c>
      <c r="D426" s="1103">
        <v>150238487</v>
      </c>
      <c r="E426" s="1104" t="s">
        <v>1166</v>
      </c>
      <c r="F426" s="940" t="s">
        <v>1167</v>
      </c>
      <c r="G426" s="1106">
        <v>8</v>
      </c>
      <c r="H426" s="1118">
        <v>327</v>
      </c>
      <c r="I426" s="1132" t="s">
        <v>1094</v>
      </c>
      <c r="O426" s="1096">
        <f t="shared" ca="1" si="13"/>
        <v>44</v>
      </c>
      <c r="P426" s="1133">
        <f t="shared" ca="1" si="12"/>
        <v>44</v>
      </c>
      <c r="Q426" s="1133"/>
      <c r="R426" s="1133"/>
      <c r="U426" s="1096">
        <v>29961</v>
      </c>
      <c r="V426" s="9" t="s">
        <v>271</v>
      </c>
    </row>
    <row r="427" spans="1:22" ht="25.95" customHeight="1">
      <c r="A427" s="940">
        <v>424</v>
      </c>
      <c r="B427" s="1108">
        <v>30058</v>
      </c>
      <c r="C427" s="1109" t="s">
        <v>272</v>
      </c>
      <c r="D427" s="1103">
        <v>150306706</v>
      </c>
      <c r="E427" s="1104" t="s">
        <v>1168</v>
      </c>
      <c r="F427" s="940" t="s">
        <v>1169</v>
      </c>
      <c r="G427" s="1106">
        <v>8</v>
      </c>
      <c r="H427" s="1118">
        <v>328</v>
      </c>
      <c r="I427" s="1132" t="s">
        <v>1094</v>
      </c>
      <c r="O427" s="1096">
        <f t="shared" ca="1" si="13"/>
        <v>44</v>
      </c>
      <c r="P427" s="1133">
        <f t="shared" ca="1" si="12"/>
        <v>44</v>
      </c>
      <c r="Q427" s="1133"/>
      <c r="R427" s="1133"/>
      <c r="U427" s="1096">
        <v>30058</v>
      </c>
      <c r="V427" s="9" t="s">
        <v>275</v>
      </c>
    </row>
    <row r="428" spans="1:22" ht="25.95" customHeight="1">
      <c r="A428" s="940">
        <v>425</v>
      </c>
      <c r="B428" s="1108">
        <v>30348</v>
      </c>
      <c r="C428" s="1102" t="s">
        <v>264</v>
      </c>
      <c r="D428" s="1103">
        <v>150611414</v>
      </c>
      <c r="E428" s="1104" t="s">
        <v>1170</v>
      </c>
      <c r="F428" s="1152" t="s">
        <v>1171</v>
      </c>
      <c r="G428" s="1106">
        <v>8</v>
      </c>
      <c r="H428" s="1118">
        <v>329</v>
      </c>
      <c r="I428" s="1132" t="s">
        <v>1094</v>
      </c>
      <c r="O428" s="1096">
        <f t="shared" ca="1" si="13"/>
        <v>43</v>
      </c>
      <c r="P428" s="1133">
        <f t="shared" ca="1" si="12"/>
        <v>43</v>
      </c>
      <c r="Q428" s="1133"/>
      <c r="R428" s="1133"/>
      <c r="U428" s="1096">
        <v>30348</v>
      </c>
      <c r="V428" s="9" t="s">
        <v>271</v>
      </c>
    </row>
    <row r="429" spans="1:22" ht="25.95" customHeight="1">
      <c r="A429" s="940">
        <v>426</v>
      </c>
      <c r="B429" s="1108">
        <v>30569</v>
      </c>
      <c r="C429" s="1102" t="s">
        <v>264</v>
      </c>
      <c r="D429" s="1103">
        <v>150811842</v>
      </c>
      <c r="E429" s="1104" t="s">
        <v>1172</v>
      </c>
      <c r="F429" s="940" t="s">
        <v>1173</v>
      </c>
      <c r="G429" s="1106">
        <v>8</v>
      </c>
      <c r="H429" s="1118">
        <v>330</v>
      </c>
      <c r="I429" s="1132" t="s">
        <v>1094</v>
      </c>
      <c r="O429" s="1096">
        <f t="shared" ca="1" si="13"/>
        <v>43</v>
      </c>
      <c r="P429" s="1133">
        <f t="shared" ca="1" si="12"/>
        <v>43</v>
      </c>
      <c r="Q429" s="1133"/>
      <c r="R429" s="1133"/>
      <c r="U429" s="1096">
        <v>30569</v>
      </c>
      <c r="V429" s="9" t="s">
        <v>271</v>
      </c>
    </row>
    <row r="430" spans="1:22" ht="25.95" customHeight="1">
      <c r="A430" s="940">
        <v>427</v>
      </c>
      <c r="B430" s="1108">
        <v>29953</v>
      </c>
      <c r="C430" s="1109" t="s">
        <v>272</v>
      </c>
      <c r="D430" s="1103">
        <v>150113772</v>
      </c>
      <c r="E430" s="1104" t="s">
        <v>1174</v>
      </c>
      <c r="F430" s="940" t="s">
        <v>1175</v>
      </c>
      <c r="G430" s="1106">
        <v>8</v>
      </c>
      <c r="H430" s="1118">
        <v>331</v>
      </c>
      <c r="I430" s="1132" t="s">
        <v>1094</v>
      </c>
      <c r="O430" s="1096">
        <f t="shared" ca="1" si="13"/>
        <v>44</v>
      </c>
      <c r="P430" s="1133">
        <f t="shared" ca="1" si="12"/>
        <v>44</v>
      </c>
      <c r="Q430" s="1133"/>
      <c r="R430" s="1133"/>
      <c r="U430" s="1096">
        <v>29953</v>
      </c>
      <c r="V430" s="9" t="s">
        <v>275</v>
      </c>
    </row>
    <row r="431" spans="1:22" ht="25.95" customHeight="1">
      <c r="A431" s="940">
        <v>428</v>
      </c>
      <c r="B431" s="1108">
        <v>37987</v>
      </c>
      <c r="C431" s="1102" t="s">
        <v>264</v>
      </c>
      <c r="D431" s="1103">
        <v>150952651</v>
      </c>
      <c r="E431" s="1104" t="s">
        <v>1176</v>
      </c>
      <c r="F431" s="940" t="s">
        <v>1177</v>
      </c>
      <c r="G431" s="1106">
        <v>8</v>
      </c>
      <c r="H431" s="1118">
        <v>332</v>
      </c>
      <c r="I431" s="1132" t="s">
        <v>1094</v>
      </c>
      <c r="O431" s="1096">
        <f t="shared" ca="1" si="13"/>
        <v>22</v>
      </c>
      <c r="P431" s="1133">
        <f t="shared" ca="1" si="12"/>
        <v>22</v>
      </c>
      <c r="Q431" s="1133"/>
      <c r="R431" s="1133"/>
      <c r="U431" s="1096">
        <v>37987</v>
      </c>
      <c r="V431" s="9" t="s">
        <v>271</v>
      </c>
    </row>
    <row r="432" spans="1:22" ht="25.95" customHeight="1">
      <c r="A432" s="940">
        <v>429</v>
      </c>
      <c r="B432" s="1108">
        <v>27519</v>
      </c>
      <c r="C432" s="1109" t="s">
        <v>272</v>
      </c>
      <c r="D432" s="1103">
        <v>150113904</v>
      </c>
      <c r="E432" s="1104" t="s">
        <v>1178</v>
      </c>
      <c r="F432" s="940" t="s">
        <v>1179</v>
      </c>
      <c r="G432" s="1106">
        <v>8</v>
      </c>
      <c r="H432" s="1118">
        <v>333</v>
      </c>
      <c r="I432" s="1132" t="s">
        <v>1094</v>
      </c>
      <c r="O432" s="1096">
        <f t="shared" ca="1" si="13"/>
        <v>51</v>
      </c>
      <c r="P432" s="1133">
        <f t="shared" ca="1" si="12"/>
        <v>51</v>
      </c>
      <c r="Q432" s="1133"/>
      <c r="R432" s="1133"/>
      <c r="U432" s="1096">
        <v>27519</v>
      </c>
      <c r="V432" s="9" t="s">
        <v>275</v>
      </c>
    </row>
    <row r="433" spans="1:22" ht="25.95" customHeight="1">
      <c r="A433" s="940">
        <v>430</v>
      </c>
      <c r="B433" s="1108">
        <v>30114</v>
      </c>
      <c r="C433" s="1102" t="s">
        <v>264</v>
      </c>
      <c r="D433" s="1103">
        <v>150113709</v>
      </c>
      <c r="E433" s="1104" t="s">
        <v>1180</v>
      </c>
      <c r="F433" s="940" t="s">
        <v>1181</v>
      </c>
      <c r="G433" s="1106">
        <v>8</v>
      </c>
      <c r="H433" s="1118">
        <v>334</v>
      </c>
      <c r="I433" s="1132" t="s">
        <v>1094</v>
      </c>
      <c r="O433" s="1096">
        <f t="shared" ca="1" si="13"/>
        <v>44</v>
      </c>
      <c r="P433" s="1133">
        <f t="shared" ca="1" si="12"/>
        <v>44</v>
      </c>
      <c r="Q433" s="1133"/>
      <c r="R433" s="1133"/>
      <c r="U433" s="1096">
        <v>30114</v>
      </c>
      <c r="V433" s="9" t="s">
        <v>271</v>
      </c>
    </row>
    <row r="434" spans="1:22" ht="25.95" customHeight="1">
      <c r="A434" s="940">
        <v>431</v>
      </c>
      <c r="B434" s="1108">
        <v>28984</v>
      </c>
      <c r="C434" s="1109" t="s">
        <v>272</v>
      </c>
      <c r="D434" s="1103">
        <v>150354731</v>
      </c>
      <c r="E434" s="1104" t="s">
        <v>1182</v>
      </c>
      <c r="F434" s="940" t="s">
        <v>1183</v>
      </c>
      <c r="G434" s="1106">
        <v>8</v>
      </c>
      <c r="H434" s="1118">
        <v>335</v>
      </c>
      <c r="I434" s="1132" t="s">
        <v>1094</v>
      </c>
      <c r="O434" s="1096">
        <f t="shared" ca="1" si="13"/>
        <v>47</v>
      </c>
      <c r="P434" s="1133">
        <f t="shared" ca="1" si="12"/>
        <v>47</v>
      </c>
      <c r="Q434" s="1133"/>
      <c r="R434" s="1133"/>
      <c r="U434" s="1096">
        <v>28984</v>
      </c>
      <c r="V434" s="9" t="s">
        <v>275</v>
      </c>
    </row>
    <row r="435" spans="1:22" ht="25.95" customHeight="1">
      <c r="A435" s="940">
        <v>432</v>
      </c>
      <c r="B435" s="1108">
        <v>30244</v>
      </c>
      <c r="C435" s="1102" t="s">
        <v>264</v>
      </c>
      <c r="D435" s="1103">
        <v>150354738</v>
      </c>
      <c r="E435" s="1104" t="s">
        <v>1184</v>
      </c>
      <c r="F435" s="940" t="s">
        <v>1185</v>
      </c>
      <c r="G435" s="1106">
        <v>8</v>
      </c>
      <c r="H435" s="1118">
        <v>336</v>
      </c>
      <c r="I435" s="1132" t="s">
        <v>1094</v>
      </c>
      <c r="O435" s="1096">
        <f t="shared" ca="1" si="13"/>
        <v>44</v>
      </c>
      <c r="P435" s="1133">
        <f t="shared" ca="1" si="12"/>
        <v>44</v>
      </c>
      <c r="Q435" s="1133"/>
      <c r="R435" s="1133"/>
      <c r="U435" s="1096">
        <v>30244</v>
      </c>
      <c r="V435" s="9" t="s">
        <v>271</v>
      </c>
    </row>
    <row r="436" spans="1:22" ht="25.95" customHeight="1">
      <c r="A436" s="940">
        <v>433</v>
      </c>
      <c r="B436" s="1108">
        <v>29646</v>
      </c>
      <c r="C436" s="1109" t="s">
        <v>272</v>
      </c>
      <c r="D436" s="961">
        <v>150315361</v>
      </c>
      <c r="E436" s="1104" t="s">
        <v>1186</v>
      </c>
      <c r="F436" s="1120" t="s">
        <v>1187</v>
      </c>
      <c r="G436" s="1106">
        <v>8</v>
      </c>
      <c r="H436" s="1118">
        <v>337</v>
      </c>
      <c r="I436" s="1132" t="s">
        <v>1094</v>
      </c>
      <c r="O436" s="1096">
        <f t="shared" ca="1" si="13"/>
        <v>45</v>
      </c>
      <c r="P436" s="1133">
        <f t="shared" ca="1" si="12"/>
        <v>45</v>
      </c>
      <c r="Q436" s="1133"/>
      <c r="R436" s="1133"/>
      <c r="U436" s="1096">
        <v>29646</v>
      </c>
      <c r="V436" s="9" t="s">
        <v>275</v>
      </c>
    </row>
    <row r="437" spans="1:22" ht="25.95" customHeight="1">
      <c r="A437" s="940">
        <v>434</v>
      </c>
      <c r="B437" s="1108">
        <v>34031</v>
      </c>
      <c r="C437" s="1109" t="s">
        <v>272</v>
      </c>
      <c r="D437" s="1103">
        <v>150468467</v>
      </c>
      <c r="E437" s="1104" t="s">
        <v>1188</v>
      </c>
      <c r="F437" s="940" t="s">
        <v>1189</v>
      </c>
      <c r="G437" s="1106">
        <v>8</v>
      </c>
      <c r="H437" s="1118">
        <v>338</v>
      </c>
      <c r="I437" s="1132" t="s">
        <v>1094</v>
      </c>
      <c r="O437" s="1096">
        <f t="shared" ca="1" si="13"/>
        <v>33</v>
      </c>
      <c r="P437" s="1133">
        <f t="shared" ca="1" si="12"/>
        <v>33</v>
      </c>
      <c r="Q437" s="1133"/>
      <c r="R437" s="1133"/>
      <c r="U437" s="1096">
        <v>34031</v>
      </c>
      <c r="V437" s="9" t="s">
        <v>275</v>
      </c>
    </row>
    <row r="438" spans="1:22" ht="25.95" customHeight="1">
      <c r="A438" s="940">
        <v>435</v>
      </c>
      <c r="B438" s="1108">
        <v>34860</v>
      </c>
      <c r="C438" s="1102" t="s">
        <v>264</v>
      </c>
      <c r="D438" s="1103">
        <v>150648449</v>
      </c>
      <c r="E438" s="1104" t="s">
        <v>1190</v>
      </c>
      <c r="F438" s="940" t="s">
        <v>1191</v>
      </c>
      <c r="G438" s="1106">
        <v>8</v>
      </c>
      <c r="H438" s="1118">
        <v>339</v>
      </c>
      <c r="I438" s="1132" t="s">
        <v>1094</v>
      </c>
      <c r="O438" s="1096">
        <f t="shared" ca="1" si="13"/>
        <v>31</v>
      </c>
      <c r="P438" s="1133">
        <f t="shared" ca="1" si="12"/>
        <v>31</v>
      </c>
      <c r="Q438" s="1133"/>
      <c r="R438" s="1133"/>
      <c r="U438" s="1096">
        <v>34860</v>
      </c>
      <c r="V438" s="9" t="s">
        <v>271</v>
      </c>
    </row>
    <row r="439" spans="1:22" ht="25.95" customHeight="1">
      <c r="A439" s="940">
        <v>436</v>
      </c>
      <c r="B439" s="1108">
        <v>38810</v>
      </c>
      <c r="C439" s="1109" t="s">
        <v>272</v>
      </c>
      <c r="D439" s="1103">
        <v>220234306</v>
      </c>
      <c r="E439" s="1104" t="s">
        <v>1192</v>
      </c>
      <c r="F439" s="940" t="s">
        <v>1193</v>
      </c>
      <c r="G439" s="1106">
        <v>8</v>
      </c>
      <c r="H439" s="1118">
        <v>340</v>
      </c>
      <c r="I439" s="1132" t="s">
        <v>1094</v>
      </c>
      <c r="O439" s="1096">
        <f t="shared" ca="1" si="13"/>
        <v>20</v>
      </c>
      <c r="P439" s="1133">
        <f t="shared" ca="1" si="12"/>
        <v>20</v>
      </c>
      <c r="Q439" s="1133"/>
      <c r="R439" s="1133"/>
      <c r="U439" s="1096">
        <v>38810</v>
      </c>
      <c r="V439" s="9" t="s">
        <v>275</v>
      </c>
    </row>
    <row r="440" spans="1:22" ht="25.95" customHeight="1">
      <c r="A440" s="940">
        <v>437</v>
      </c>
      <c r="B440" s="1108">
        <v>36263</v>
      </c>
      <c r="C440" s="1109" t="s">
        <v>272</v>
      </c>
      <c r="D440" s="1272" t="s">
        <v>1194</v>
      </c>
      <c r="E440" s="1104" t="s">
        <v>1195</v>
      </c>
      <c r="F440" s="940" t="s">
        <v>1196</v>
      </c>
      <c r="G440" s="1106">
        <v>8</v>
      </c>
      <c r="H440" s="1118">
        <v>341</v>
      </c>
      <c r="I440" s="1132" t="s">
        <v>1094</v>
      </c>
      <c r="O440" s="1096">
        <f t="shared" ca="1" si="13"/>
        <v>27</v>
      </c>
      <c r="P440" s="1133">
        <f t="shared" ca="1" si="12"/>
        <v>27</v>
      </c>
      <c r="Q440" s="1133"/>
      <c r="R440" s="1133"/>
      <c r="U440" s="1096">
        <v>36263</v>
      </c>
      <c r="V440" s="9" t="s">
        <v>275</v>
      </c>
    </row>
    <row r="441" spans="1:22" ht="25.95" customHeight="1">
      <c r="A441" s="940">
        <v>438</v>
      </c>
      <c r="B441" s="1108">
        <v>34158</v>
      </c>
      <c r="C441" s="1102" t="s">
        <v>264</v>
      </c>
      <c r="D441" s="1103">
        <v>150865150</v>
      </c>
      <c r="E441" s="1104" t="s">
        <v>1197</v>
      </c>
      <c r="F441" s="940" t="s">
        <v>1198</v>
      </c>
      <c r="G441" s="1106">
        <v>8</v>
      </c>
      <c r="H441" s="1118">
        <v>342</v>
      </c>
      <c r="I441" s="1132" t="s">
        <v>1094</v>
      </c>
      <c r="O441" s="1096">
        <f t="shared" ca="1" si="13"/>
        <v>33</v>
      </c>
      <c r="P441" s="1133">
        <f t="shared" ca="1" si="12"/>
        <v>33</v>
      </c>
      <c r="Q441" s="1133"/>
      <c r="R441" s="1133"/>
      <c r="U441" s="1096">
        <v>34158</v>
      </c>
      <c r="V441" s="9" t="s">
        <v>271</v>
      </c>
    </row>
    <row r="442" spans="1:22" ht="25.95" customHeight="1">
      <c r="A442" s="940">
        <v>439</v>
      </c>
      <c r="B442" s="1108">
        <v>36982</v>
      </c>
      <c r="C442" s="1109" t="s">
        <v>272</v>
      </c>
      <c r="D442" s="1103">
        <v>150946050</v>
      </c>
      <c r="E442" s="1104" t="s">
        <v>1199</v>
      </c>
      <c r="F442" s="940" t="s">
        <v>1200</v>
      </c>
      <c r="G442" s="1106">
        <v>8</v>
      </c>
      <c r="H442" s="1118">
        <v>343</v>
      </c>
      <c r="I442" s="1132" t="s">
        <v>1094</v>
      </c>
      <c r="O442" s="1096">
        <f t="shared" ca="1" si="13"/>
        <v>25</v>
      </c>
      <c r="P442" s="1133">
        <f t="shared" ca="1" si="12"/>
        <v>25</v>
      </c>
      <c r="Q442" s="1133"/>
      <c r="R442" s="1133"/>
      <c r="U442" s="1096">
        <v>36982</v>
      </c>
      <c r="V442" s="9" t="s">
        <v>275</v>
      </c>
    </row>
    <row r="443" spans="1:22" ht="25.95" customHeight="1">
      <c r="A443" s="940">
        <v>440</v>
      </c>
      <c r="B443" s="1121">
        <v>32958</v>
      </c>
      <c r="C443" s="1109" t="s">
        <v>272</v>
      </c>
      <c r="D443" s="731">
        <v>150360172</v>
      </c>
      <c r="E443" s="1122" t="s">
        <v>1201</v>
      </c>
      <c r="F443" s="1123" t="s">
        <v>1202</v>
      </c>
      <c r="G443" s="1106">
        <v>11</v>
      </c>
      <c r="H443" s="1170">
        <v>428</v>
      </c>
      <c r="I443" s="1132" t="s">
        <v>1094</v>
      </c>
      <c r="O443" s="1096">
        <f t="shared" ca="1" si="13"/>
        <v>36</v>
      </c>
      <c r="P443" s="1133">
        <f t="shared" ca="1" si="12"/>
        <v>36</v>
      </c>
      <c r="Q443" s="1133"/>
      <c r="R443" s="1133"/>
      <c r="U443" s="1096">
        <v>32958</v>
      </c>
      <c r="V443" s="9" t="s">
        <v>275</v>
      </c>
    </row>
    <row r="444" spans="1:22" ht="25.95" customHeight="1">
      <c r="A444" s="940">
        <v>441</v>
      </c>
      <c r="B444" s="1108">
        <v>34504</v>
      </c>
      <c r="C444" s="1102" t="s">
        <v>264</v>
      </c>
      <c r="D444" s="731">
        <v>150468371</v>
      </c>
      <c r="E444" s="1104" t="s">
        <v>1203</v>
      </c>
      <c r="F444" s="1120" t="s">
        <v>1204</v>
      </c>
      <c r="G444" s="1106">
        <v>11</v>
      </c>
      <c r="H444" s="1171">
        <v>429</v>
      </c>
      <c r="I444" s="1132" t="s">
        <v>1094</v>
      </c>
      <c r="O444" s="1096">
        <f t="shared" ca="1" si="13"/>
        <v>32</v>
      </c>
      <c r="P444" s="1133">
        <f t="shared" ca="1" si="12"/>
        <v>32</v>
      </c>
      <c r="Q444" s="1133"/>
      <c r="R444" s="1133"/>
      <c r="U444" s="1096">
        <v>34504</v>
      </c>
      <c r="V444" s="9" t="s">
        <v>271</v>
      </c>
    </row>
    <row r="445" spans="1:22" ht="25.95" customHeight="1">
      <c r="A445" s="940">
        <v>442</v>
      </c>
      <c r="B445" s="1108">
        <v>32418</v>
      </c>
      <c r="C445" s="1109" t="s">
        <v>272</v>
      </c>
      <c r="D445" s="731">
        <v>150360099</v>
      </c>
      <c r="E445" s="1104" t="s">
        <v>1205</v>
      </c>
      <c r="F445" s="1120" t="s">
        <v>1206</v>
      </c>
      <c r="G445" s="1106">
        <v>11</v>
      </c>
      <c r="H445" s="1171">
        <v>430</v>
      </c>
      <c r="I445" s="1132" t="s">
        <v>1094</v>
      </c>
      <c r="O445" s="1096">
        <f t="shared" ca="1" si="13"/>
        <v>38</v>
      </c>
      <c r="P445" s="1133">
        <f t="shared" ca="1" si="12"/>
        <v>38</v>
      </c>
      <c r="Q445" s="1133"/>
      <c r="R445" s="1133"/>
      <c r="U445" s="1096">
        <v>32418</v>
      </c>
      <c r="V445" s="9" t="s">
        <v>275</v>
      </c>
    </row>
    <row r="446" spans="1:22" ht="25.95" customHeight="1">
      <c r="A446" s="940">
        <v>443</v>
      </c>
      <c r="B446" s="1108">
        <v>31798</v>
      </c>
      <c r="C446" s="1102" t="s">
        <v>264</v>
      </c>
      <c r="D446" s="731">
        <v>150427628</v>
      </c>
      <c r="E446" s="1104" t="s">
        <v>1207</v>
      </c>
      <c r="F446" s="1120" t="s">
        <v>1208</v>
      </c>
      <c r="G446" s="1106">
        <v>11</v>
      </c>
      <c r="H446" s="1171">
        <v>431</v>
      </c>
      <c r="I446" s="1132" t="s">
        <v>1094</v>
      </c>
      <c r="O446" s="1096">
        <f t="shared" ca="1" si="13"/>
        <v>39</v>
      </c>
      <c r="P446" s="1133">
        <f t="shared" ca="1" si="12"/>
        <v>39</v>
      </c>
      <c r="Q446" s="1133"/>
      <c r="R446" s="1133"/>
      <c r="U446" s="1096">
        <v>31798</v>
      </c>
      <c r="V446" s="9" t="s">
        <v>271</v>
      </c>
    </row>
    <row r="447" spans="1:22" ht="25.95" customHeight="1">
      <c r="A447" s="940">
        <v>444</v>
      </c>
      <c r="B447" s="1108">
        <v>32246</v>
      </c>
      <c r="C447" s="1109" t="s">
        <v>272</v>
      </c>
      <c r="D447" s="731">
        <v>150306062</v>
      </c>
      <c r="E447" s="1104" t="s">
        <v>1209</v>
      </c>
      <c r="F447" s="1120" t="s">
        <v>1210</v>
      </c>
      <c r="G447" s="1106">
        <v>11</v>
      </c>
      <c r="H447" s="1171">
        <v>432</v>
      </c>
      <c r="I447" s="1132" t="s">
        <v>1094</v>
      </c>
      <c r="O447" s="1096">
        <f t="shared" ca="1" si="13"/>
        <v>38</v>
      </c>
      <c r="P447" s="1133">
        <f t="shared" ref="P447:P487" ca="1" si="14">IF(O447&lt;=59,O447,IF(O447=60,1))</f>
        <v>38</v>
      </c>
      <c r="Q447" s="1133"/>
      <c r="R447" s="1133"/>
      <c r="U447" s="1096">
        <v>32246</v>
      </c>
      <c r="V447" s="9" t="s">
        <v>275</v>
      </c>
    </row>
    <row r="448" spans="1:22" ht="25.95" customHeight="1">
      <c r="A448" s="940">
        <v>445</v>
      </c>
      <c r="B448" s="1108">
        <v>35023</v>
      </c>
      <c r="C448" s="1102" t="s">
        <v>264</v>
      </c>
      <c r="D448" s="731">
        <v>150523277</v>
      </c>
      <c r="E448" s="1104" t="s">
        <v>1211</v>
      </c>
      <c r="F448" s="1120" t="s">
        <v>1212</v>
      </c>
      <c r="G448" s="1106">
        <v>11</v>
      </c>
      <c r="H448" s="1171">
        <v>433</v>
      </c>
      <c r="I448" s="1132" t="s">
        <v>1094</v>
      </c>
      <c r="O448" s="1096">
        <f t="shared" ca="1" si="13"/>
        <v>31</v>
      </c>
      <c r="P448" s="1133">
        <f t="shared" ca="1" si="14"/>
        <v>31</v>
      </c>
      <c r="Q448" s="1133"/>
      <c r="R448" s="1133"/>
      <c r="U448" s="1096">
        <v>35023</v>
      </c>
      <c r="V448" s="9" t="s">
        <v>271</v>
      </c>
    </row>
    <row r="449" spans="1:22" ht="25.95" customHeight="1">
      <c r="A449" s="940">
        <v>446</v>
      </c>
      <c r="B449" s="1108">
        <v>38639</v>
      </c>
      <c r="C449" s="1109" t="s">
        <v>272</v>
      </c>
      <c r="D449" s="731">
        <v>150983074</v>
      </c>
      <c r="E449" s="1104" t="s">
        <v>1213</v>
      </c>
      <c r="F449" s="1120" t="s">
        <v>1214</v>
      </c>
      <c r="G449" s="1106">
        <v>11</v>
      </c>
      <c r="H449" s="1171">
        <v>434</v>
      </c>
      <c r="I449" s="1132" t="s">
        <v>1094</v>
      </c>
      <c r="O449" s="1096">
        <f t="shared" ca="1" si="13"/>
        <v>21</v>
      </c>
      <c r="P449" s="1133">
        <f t="shared" ca="1" si="14"/>
        <v>21</v>
      </c>
      <c r="Q449" s="1133"/>
      <c r="R449" s="1133"/>
      <c r="U449" s="1096">
        <v>38639</v>
      </c>
      <c r="V449" s="9" t="s">
        <v>275</v>
      </c>
    </row>
    <row r="450" spans="1:22" ht="25.95" customHeight="1">
      <c r="A450" s="940">
        <v>447</v>
      </c>
      <c r="B450" s="1108">
        <v>39235</v>
      </c>
      <c r="C450" s="1109" t="s">
        <v>272</v>
      </c>
      <c r="D450" s="731">
        <v>151027346</v>
      </c>
      <c r="E450" s="1104" t="s">
        <v>1215</v>
      </c>
      <c r="F450" s="1120" t="s">
        <v>1216</v>
      </c>
      <c r="G450" s="1106">
        <v>11</v>
      </c>
      <c r="H450" s="1171">
        <v>435</v>
      </c>
      <c r="I450" s="1132" t="s">
        <v>1094</v>
      </c>
      <c r="O450" s="1096">
        <f t="shared" ca="1" si="13"/>
        <v>19</v>
      </c>
      <c r="P450" s="1133">
        <f t="shared" ca="1" si="14"/>
        <v>19</v>
      </c>
      <c r="Q450" s="1133"/>
      <c r="R450" s="1133"/>
      <c r="U450" s="1096">
        <v>39235</v>
      </c>
      <c r="V450" s="9" t="s">
        <v>275</v>
      </c>
    </row>
    <row r="451" spans="1:22" ht="25.95" customHeight="1">
      <c r="A451" s="940">
        <v>448</v>
      </c>
      <c r="B451" s="1108">
        <v>31713</v>
      </c>
      <c r="C451" s="1109" t="s">
        <v>272</v>
      </c>
      <c r="D451" s="731">
        <v>150354742</v>
      </c>
      <c r="E451" s="1104" t="s">
        <v>1217</v>
      </c>
      <c r="F451" s="1120" t="s">
        <v>1218</v>
      </c>
      <c r="G451" s="1106">
        <v>11</v>
      </c>
      <c r="H451" s="1171">
        <v>436</v>
      </c>
      <c r="I451" s="1132" t="s">
        <v>1094</v>
      </c>
      <c r="O451" s="1096">
        <f t="shared" ca="1" si="13"/>
        <v>40</v>
      </c>
      <c r="P451" s="1133">
        <f t="shared" ca="1" si="14"/>
        <v>40</v>
      </c>
      <c r="Q451" s="1133"/>
      <c r="R451" s="1133"/>
      <c r="U451" s="1096">
        <v>31713</v>
      </c>
      <c r="V451" s="9" t="s">
        <v>275</v>
      </c>
    </row>
    <row r="452" spans="1:22" ht="25.95" customHeight="1">
      <c r="A452" s="940">
        <v>449</v>
      </c>
      <c r="B452" s="1108">
        <v>32640</v>
      </c>
      <c r="C452" s="1102" t="s">
        <v>264</v>
      </c>
      <c r="D452" s="731">
        <v>150326752</v>
      </c>
      <c r="E452" s="1104" t="s">
        <v>1219</v>
      </c>
      <c r="F452" s="1120" t="s">
        <v>1220</v>
      </c>
      <c r="G452" s="1106">
        <v>11</v>
      </c>
      <c r="H452" s="1171">
        <v>437</v>
      </c>
      <c r="I452" s="1132" t="s">
        <v>1094</v>
      </c>
      <c r="O452" s="1096">
        <f t="shared" ca="1" si="13"/>
        <v>37</v>
      </c>
      <c r="P452" s="1133">
        <f t="shared" ca="1" si="14"/>
        <v>37</v>
      </c>
      <c r="Q452" s="1133"/>
      <c r="R452" s="1133"/>
      <c r="U452" s="1096">
        <v>32640</v>
      </c>
      <c r="V452" s="9" t="s">
        <v>271</v>
      </c>
    </row>
    <row r="453" spans="1:22" ht="25.95" customHeight="1">
      <c r="A453" s="940">
        <v>450</v>
      </c>
      <c r="B453" s="1108">
        <v>31584</v>
      </c>
      <c r="C453" s="1109" t="s">
        <v>272</v>
      </c>
      <c r="D453" s="731">
        <v>150326807</v>
      </c>
      <c r="E453" s="1104" t="s">
        <v>1221</v>
      </c>
      <c r="F453" s="1120" t="s">
        <v>1222</v>
      </c>
      <c r="G453" s="1106">
        <v>11</v>
      </c>
      <c r="H453" s="1171">
        <v>438</v>
      </c>
      <c r="I453" s="1132" t="s">
        <v>1094</v>
      </c>
      <c r="O453" s="1096">
        <f t="shared" ref="O453:O487" ca="1" si="15">YEAR(NOW())-YEAR(B453)</f>
        <v>40</v>
      </c>
      <c r="P453" s="1133">
        <f t="shared" ca="1" si="14"/>
        <v>40</v>
      </c>
      <c r="Q453" s="1133"/>
      <c r="R453" s="1133"/>
      <c r="U453" s="1096">
        <v>31584</v>
      </c>
      <c r="V453" s="9" t="s">
        <v>275</v>
      </c>
    </row>
    <row r="454" spans="1:22" ht="25.95" customHeight="1">
      <c r="A454" s="940">
        <v>451</v>
      </c>
      <c r="B454" s="1108">
        <v>37696</v>
      </c>
      <c r="C454" s="1102" t="s">
        <v>264</v>
      </c>
      <c r="D454" s="731">
        <v>150952485</v>
      </c>
      <c r="E454" s="1104" t="s">
        <v>1223</v>
      </c>
      <c r="F454" s="1120" t="s">
        <v>1224</v>
      </c>
      <c r="G454" s="1106">
        <v>11</v>
      </c>
      <c r="H454" s="1171">
        <v>439</v>
      </c>
      <c r="I454" s="1132" t="s">
        <v>1094</v>
      </c>
      <c r="O454" s="1096">
        <f t="shared" ca="1" si="15"/>
        <v>23</v>
      </c>
      <c r="P454" s="1133">
        <f t="shared" ca="1" si="14"/>
        <v>23</v>
      </c>
      <c r="Q454" s="1133"/>
      <c r="R454" s="1133"/>
      <c r="U454" s="1096">
        <v>37696</v>
      </c>
      <c r="V454" s="9" t="s">
        <v>271</v>
      </c>
    </row>
    <row r="455" spans="1:22" ht="25.95" customHeight="1">
      <c r="A455" s="940">
        <v>452</v>
      </c>
      <c r="B455" s="1108">
        <v>34522</v>
      </c>
      <c r="C455" s="1102" t="s">
        <v>264</v>
      </c>
      <c r="D455" s="731">
        <v>150611460</v>
      </c>
      <c r="E455" s="1104" t="s">
        <v>1225</v>
      </c>
      <c r="F455" s="1120" t="s">
        <v>1226</v>
      </c>
      <c r="G455" s="1106">
        <v>11</v>
      </c>
      <c r="H455" s="1171">
        <v>440</v>
      </c>
      <c r="I455" s="1132" t="s">
        <v>1094</v>
      </c>
      <c r="O455" s="1096">
        <f t="shared" ca="1" si="15"/>
        <v>32</v>
      </c>
      <c r="P455" s="1133">
        <f t="shared" ca="1" si="14"/>
        <v>32</v>
      </c>
      <c r="Q455" s="1133"/>
      <c r="R455" s="1133"/>
      <c r="U455" s="1096">
        <v>34522</v>
      </c>
      <c r="V455" s="9" t="s">
        <v>271</v>
      </c>
    </row>
    <row r="456" spans="1:22" ht="25.95" customHeight="1">
      <c r="A456" s="940">
        <v>453</v>
      </c>
      <c r="B456" s="1108">
        <v>35924</v>
      </c>
      <c r="C456" s="1102" t="s">
        <v>264</v>
      </c>
      <c r="D456" s="731">
        <v>150648598</v>
      </c>
      <c r="E456" s="1104" t="s">
        <v>1227</v>
      </c>
      <c r="F456" s="1120" t="s">
        <v>1228</v>
      </c>
      <c r="G456" s="1106">
        <v>11</v>
      </c>
      <c r="H456" s="1171">
        <v>441</v>
      </c>
      <c r="I456" s="1132" t="s">
        <v>1094</v>
      </c>
      <c r="O456" s="1096">
        <f t="shared" ca="1" si="15"/>
        <v>28</v>
      </c>
      <c r="P456" s="1133">
        <f t="shared" ca="1" si="14"/>
        <v>28</v>
      </c>
      <c r="Q456" s="1133"/>
      <c r="R456" s="1133"/>
      <c r="U456" s="1096">
        <v>35924</v>
      </c>
      <c r="V456" s="9" t="s">
        <v>271</v>
      </c>
    </row>
    <row r="457" spans="1:22" ht="25.95" customHeight="1">
      <c r="A457" s="940">
        <v>454</v>
      </c>
      <c r="B457" s="1108">
        <v>33253</v>
      </c>
      <c r="C457" s="1109" t="s">
        <v>272</v>
      </c>
      <c r="D457" s="731">
        <v>150469695</v>
      </c>
      <c r="E457" s="1104" t="s">
        <v>1229</v>
      </c>
      <c r="F457" s="1120" t="s">
        <v>1230</v>
      </c>
      <c r="G457" s="1106">
        <v>11</v>
      </c>
      <c r="H457" s="1171">
        <v>442</v>
      </c>
      <c r="I457" s="1132" t="s">
        <v>1094</v>
      </c>
      <c r="O457" s="1096">
        <f t="shared" ca="1" si="15"/>
        <v>35</v>
      </c>
      <c r="P457" s="1133">
        <f t="shared" ca="1" si="14"/>
        <v>35</v>
      </c>
      <c r="Q457" s="1133"/>
      <c r="R457" s="1133"/>
      <c r="U457" s="1096">
        <v>33253</v>
      </c>
      <c r="V457" s="9" t="s">
        <v>275</v>
      </c>
    </row>
    <row r="458" spans="1:22" ht="25.95" customHeight="1">
      <c r="A458" s="940">
        <v>455</v>
      </c>
      <c r="B458" s="1108">
        <v>30482</v>
      </c>
      <c r="C458" s="1102" t="s">
        <v>264</v>
      </c>
      <c r="D458" s="731">
        <v>150169571</v>
      </c>
      <c r="E458" s="1104" t="s">
        <v>1231</v>
      </c>
      <c r="F458" s="1120" t="s">
        <v>1232</v>
      </c>
      <c r="G458" s="1106">
        <v>11</v>
      </c>
      <c r="H458" s="1171">
        <v>443</v>
      </c>
      <c r="I458" s="1132" t="s">
        <v>1094</v>
      </c>
      <c r="O458" s="1096">
        <f t="shared" ca="1" si="15"/>
        <v>43</v>
      </c>
      <c r="P458" s="1133">
        <f t="shared" ca="1" si="14"/>
        <v>43</v>
      </c>
      <c r="Q458" s="1133"/>
      <c r="R458" s="1133"/>
      <c r="U458" s="1096">
        <v>30482</v>
      </c>
      <c r="V458" s="9" t="s">
        <v>271</v>
      </c>
    </row>
    <row r="459" spans="1:22" ht="25.95" customHeight="1">
      <c r="A459" s="940">
        <v>456</v>
      </c>
      <c r="B459" s="1108">
        <v>30845</v>
      </c>
      <c r="C459" s="1109" t="s">
        <v>272</v>
      </c>
      <c r="D459" s="731">
        <v>150238605</v>
      </c>
      <c r="E459" s="1104" t="s">
        <v>1233</v>
      </c>
      <c r="F459" s="1120" t="s">
        <v>1234</v>
      </c>
      <c r="G459" s="1106">
        <v>11</v>
      </c>
      <c r="H459" s="1171">
        <v>444</v>
      </c>
      <c r="I459" s="1132" t="s">
        <v>1094</v>
      </c>
      <c r="O459" s="1096">
        <f t="shared" ca="1" si="15"/>
        <v>42</v>
      </c>
      <c r="P459" s="1133">
        <f t="shared" ca="1" si="14"/>
        <v>42</v>
      </c>
      <c r="Q459" s="1133"/>
      <c r="R459" s="1133"/>
      <c r="U459" s="1096">
        <v>30845</v>
      </c>
      <c r="V459" s="9" t="s">
        <v>275</v>
      </c>
    </row>
    <row r="460" spans="1:22" ht="25.95" customHeight="1">
      <c r="A460" s="940">
        <v>457</v>
      </c>
      <c r="B460" s="1108">
        <v>32612</v>
      </c>
      <c r="C460" s="1102" t="s">
        <v>264</v>
      </c>
      <c r="D460" s="731">
        <v>150522837</v>
      </c>
      <c r="E460" s="1104" t="s">
        <v>1235</v>
      </c>
      <c r="F460" s="1120" t="s">
        <v>1236</v>
      </c>
      <c r="G460" s="1106">
        <v>11</v>
      </c>
      <c r="H460" s="1171">
        <v>445</v>
      </c>
      <c r="I460" s="1132" t="s">
        <v>1094</v>
      </c>
      <c r="O460" s="1096">
        <f t="shared" ca="1" si="15"/>
        <v>37</v>
      </c>
      <c r="P460" s="1133">
        <f t="shared" ca="1" si="14"/>
        <v>37</v>
      </c>
      <c r="Q460" s="1133"/>
      <c r="R460" s="1133"/>
      <c r="U460" s="1096">
        <v>32612</v>
      </c>
      <c r="V460" s="9" t="s">
        <v>271</v>
      </c>
    </row>
    <row r="461" spans="1:22" ht="25.95" customHeight="1">
      <c r="A461" s="940">
        <v>458</v>
      </c>
      <c r="B461" s="1108">
        <v>35198</v>
      </c>
      <c r="C461" s="1109" t="s">
        <v>272</v>
      </c>
      <c r="D461" s="731">
        <v>150538290</v>
      </c>
      <c r="E461" s="1104" t="s">
        <v>1237</v>
      </c>
      <c r="F461" s="1120" t="s">
        <v>1238</v>
      </c>
      <c r="G461" s="1106">
        <v>11</v>
      </c>
      <c r="H461" s="1171">
        <v>446</v>
      </c>
      <c r="I461" s="1132" t="s">
        <v>1094</v>
      </c>
      <c r="O461" s="1096">
        <f t="shared" ca="1" si="15"/>
        <v>30</v>
      </c>
      <c r="P461" s="1133">
        <f t="shared" ca="1" si="14"/>
        <v>30</v>
      </c>
      <c r="Q461" s="1133"/>
      <c r="R461" s="1133"/>
      <c r="U461" s="1096">
        <v>35198</v>
      </c>
      <c r="V461" s="9" t="s">
        <v>275</v>
      </c>
    </row>
    <row r="462" spans="1:22" ht="25.95" customHeight="1">
      <c r="A462" s="940">
        <v>459</v>
      </c>
      <c r="B462" s="1108">
        <v>39637</v>
      </c>
      <c r="C462" s="1102" t="s">
        <v>264</v>
      </c>
      <c r="D462" s="731">
        <v>151072874</v>
      </c>
      <c r="E462" s="1104" t="s">
        <v>1239</v>
      </c>
      <c r="F462" s="1120" t="s">
        <v>1240</v>
      </c>
      <c r="G462" s="1106">
        <v>11</v>
      </c>
      <c r="H462" s="1171">
        <v>447</v>
      </c>
      <c r="I462" s="1132" t="s">
        <v>1094</v>
      </c>
      <c r="O462" s="1096">
        <f t="shared" ca="1" si="15"/>
        <v>18</v>
      </c>
      <c r="P462" s="1133">
        <f t="shared" ca="1" si="14"/>
        <v>18</v>
      </c>
      <c r="Q462" s="1133"/>
      <c r="R462" s="1133"/>
      <c r="U462" s="1096">
        <v>39637</v>
      </c>
      <c r="V462" s="9" t="s">
        <v>271</v>
      </c>
    </row>
    <row r="463" spans="1:22" ht="25.95" customHeight="1">
      <c r="A463" s="940">
        <v>460</v>
      </c>
      <c r="B463" s="1108">
        <v>26122</v>
      </c>
      <c r="C463" s="1102" t="s">
        <v>264</v>
      </c>
      <c r="D463" s="731">
        <v>150675126</v>
      </c>
      <c r="E463" s="1104" t="s">
        <v>1241</v>
      </c>
      <c r="F463" s="1120" t="s">
        <v>1242</v>
      </c>
      <c r="G463" s="1106">
        <v>11</v>
      </c>
      <c r="H463" s="1171">
        <v>448</v>
      </c>
      <c r="I463" s="1132" t="s">
        <v>1094</v>
      </c>
      <c r="O463" s="1096">
        <f t="shared" ca="1" si="15"/>
        <v>55</v>
      </c>
      <c r="P463" s="1133">
        <f t="shared" ca="1" si="14"/>
        <v>55</v>
      </c>
      <c r="Q463" s="1133"/>
      <c r="R463" s="1133"/>
      <c r="U463" s="1096">
        <v>26122</v>
      </c>
      <c r="V463" s="9" t="s">
        <v>271</v>
      </c>
    </row>
    <row r="464" spans="1:22" ht="25.95" customHeight="1">
      <c r="A464" s="940">
        <v>461</v>
      </c>
      <c r="B464" s="1108">
        <v>32540</v>
      </c>
      <c r="C464" s="1109" t="s">
        <v>272</v>
      </c>
      <c r="D464" s="731">
        <v>150352382</v>
      </c>
      <c r="E464" s="1104" t="s">
        <v>1243</v>
      </c>
      <c r="F464" s="1120" t="s">
        <v>1244</v>
      </c>
      <c r="G464" s="1106">
        <v>11</v>
      </c>
      <c r="H464" s="1171">
        <v>449</v>
      </c>
      <c r="I464" s="1132" t="s">
        <v>1094</v>
      </c>
      <c r="O464" s="1096">
        <f t="shared" ca="1" si="15"/>
        <v>37</v>
      </c>
      <c r="P464" s="1133">
        <f t="shared" ca="1" si="14"/>
        <v>37</v>
      </c>
      <c r="Q464" s="1133"/>
      <c r="R464" s="1133"/>
      <c r="U464" s="1096">
        <v>32540</v>
      </c>
      <c r="V464" s="9" t="s">
        <v>275</v>
      </c>
    </row>
    <row r="465" spans="1:22" ht="25.95" customHeight="1">
      <c r="A465" s="940">
        <v>462</v>
      </c>
      <c r="B465" s="1108">
        <v>30838</v>
      </c>
      <c r="C465" s="1102" t="s">
        <v>264</v>
      </c>
      <c r="D465" s="731">
        <v>150238279</v>
      </c>
      <c r="E465" s="1104" t="s">
        <v>1245</v>
      </c>
      <c r="F465" s="1120" t="s">
        <v>1246</v>
      </c>
      <c r="G465" s="1106">
        <v>11</v>
      </c>
      <c r="H465" s="1171">
        <v>450</v>
      </c>
      <c r="I465" s="1132" t="s">
        <v>1094</v>
      </c>
      <c r="O465" s="1096">
        <f t="shared" ca="1" si="15"/>
        <v>42</v>
      </c>
      <c r="P465" s="1133">
        <f t="shared" ca="1" si="14"/>
        <v>42</v>
      </c>
      <c r="Q465" s="1133"/>
      <c r="R465" s="1133"/>
      <c r="U465" s="1096">
        <v>30838</v>
      </c>
      <c r="V465" s="9" t="s">
        <v>271</v>
      </c>
    </row>
    <row r="466" spans="1:22" ht="25.95" customHeight="1">
      <c r="A466" s="940">
        <v>463</v>
      </c>
      <c r="B466" s="1108">
        <v>37829</v>
      </c>
      <c r="C466" s="1109" t="s">
        <v>272</v>
      </c>
      <c r="D466" s="731">
        <v>150986972</v>
      </c>
      <c r="E466" s="1104" t="s">
        <v>1247</v>
      </c>
      <c r="F466" s="1120" t="s">
        <v>1248</v>
      </c>
      <c r="G466" s="1106">
        <v>11</v>
      </c>
      <c r="H466" s="1171">
        <v>451</v>
      </c>
      <c r="I466" s="1132" t="s">
        <v>1094</v>
      </c>
      <c r="O466" s="1096">
        <f t="shared" ca="1" si="15"/>
        <v>23</v>
      </c>
      <c r="P466" s="1133">
        <f t="shared" ca="1" si="14"/>
        <v>23</v>
      </c>
      <c r="Q466" s="1133"/>
      <c r="R466" s="1133"/>
      <c r="U466" s="1096">
        <v>37829</v>
      </c>
      <c r="V466" s="9" t="s">
        <v>275</v>
      </c>
    </row>
    <row r="467" spans="1:22" ht="25.95" customHeight="1">
      <c r="A467" s="940">
        <v>464</v>
      </c>
      <c r="B467" s="1108">
        <v>33825</v>
      </c>
      <c r="C467" s="1109" t="s">
        <v>272</v>
      </c>
      <c r="D467" s="731">
        <v>150939281</v>
      </c>
      <c r="E467" s="1104" t="s">
        <v>1249</v>
      </c>
      <c r="F467" s="1120" t="s">
        <v>1250</v>
      </c>
      <c r="G467" s="1106">
        <v>11</v>
      </c>
      <c r="H467" s="1171">
        <v>452</v>
      </c>
      <c r="I467" s="1132" t="s">
        <v>1094</v>
      </c>
      <c r="O467" s="1096">
        <f t="shared" ca="1" si="15"/>
        <v>34</v>
      </c>
      <c r="P467" s="1133">
        <f t="shared" ca="1" si="14"/>
        <v>34</v>
      </c>
      <c r="Q467" s="1133"/>
      <c r="R467" s="1133"/>
      <c r="U467" s="1096">
        <v>33825</v>
      </c>
      <c r="V467" s="9" t="s">
        <v>275</v>
      </c>
    </row>
    <row r="468" spans="1:22" ht="25.95" customHeight="1">
      <c r="A468" s="940">
        <v>465</v>
      </c>
      <c r="B468" s="1108">
        <v>34469</v>
      </c>
      <c r="C468" s="1102" t="s">
        <v>264</v>
      </c>
      <c r="D468" s="731">
        <v>150522920</v>
      </c>
      <c r="E468" s="1104" t="s">
        <v>1251</v>
      </c>
      <c r="F468" s="1120" t="s">
        <v>1252</v>
      </c>
      <c r="G468" s="1106">
        <v>11</v>
      </c>
      <c r="H468" s="1171">
        <v>453</v>
      </c>
      <c r="I468" s="1132" t="s">
        <v>1094</v>
      </c>
      <c r="O468" s="1096">
        <f t="shared" ca="1" si="15"/>
        <v>32</v>
      </c>
      <c r="P468" s="1133">
        <f t="shared" ca="1" si="14"/>
        <v>32</v>
      </c>
      <c r="Q468" s="1133"/>
      <c r="R468" s="1133"/>
      <c r="U468" s="1096">
        <v>34469</v>
      </c>
      <c r="V468" s="9" t="s">
        <v>271</v>
      </c>
    </row>
    <row r="469" spans="1:22" ht="25.95" customHeight="1">
      <c r="A469" s="940">
        <v>466</v>
      </c>
      <c r="B469" s="1108">
        <v>38782</v>
      </c>
      <c r="C469" s="1102" t="s">
        <v>264</v>
      </c>
      <c r="D469" s="731">
        <v>150994495</v>
      </c>
      <c r="E469" s="1104" t="s">
        <v>1253</v>
      </c>
      <c r="F469" s="1120" t="s">
        <v>1254</v>
      </c>
      <c r="G469" s="1106">
        <v>11</v>
      </c>
      <c r="H469" s="1171">
        <v>454</v>
      </c>
      <c r="I469" s="1132" t="s">
        <v>1094</v>
      </c>
      <c r="O469" s="1096">
        <f t="shared" ca="1" si="15"/>
        <v>20</v>
      </c>
      <c r="P469" s="1133">
        <f t="shared" ca="1" si="14"/>
        <v>20</v>
      </c>
      <c r="Q469" s="1133"/>
      <c r="R469" s="1133"/>
      <c r="U469" s="1096">
        <v>38782</v>
      </c>
      <c r="V469" s="9" t="s">
        <v>271</v>
      </c>
    </row>
    <row r="470" spans="1:22" ht="25.95" customHeight="1">
      <c r="A470" s="940">
        <v>467</v>
      </c>
      <c r="B470" s="1108">
        <v>25430</v>
      </c>
      <c r="C470" s="1102" t="s">
        <v>264</v>
      </c>
      <c r="D470" s="731">
        <v>150840533</v>
      </c>
      <c r="E470" s="1104" t="s">
        <v>1255</v>
      </c>
      <c r="F470" s="1120" t="s">
        <v>1256</v>
      </c>
      <c r="G470" s="1106">
        <v>11</v>
      </c>
      <c r="H470" s="1171">
        <v>455</v>
      </c>
      <c r="I470" s="1132" t="s">
        <v>1094</v>
      </c>
      <c r="O470" s="1096">
        <f t="shared" ca="1" si="15"/>
        <v>57</v>
      </c>
      <c r="P470" s="1133">
        <f t="shared" ca="1" si="14"/>
        <v>57</v>
      </c>
      <c r="Q470" s="1133"/>
      <c r="R470" s="1133"/>
      <c r="U470" s="1096">
        <v>25430</v>
      </c>
      <c r="V470" s="9" t="s">
        <v>271</v>
      </c>
    </row>
    <row r="471" spans="1:22" ht="25.95" customHeight="1">
      <c r="A471" s="940">
        <v>468</v>
      </c>
      <c r="B471" s="1108">
        <v>32518</v>
      </c>
      <c r="C471" s="1109" t="s">
        <v>272</v>
      </c>
      <c r="D471" s="731">
        <v>150983075</v>
      </c>
      <c r="E471" s="1104" t="s">
        <v>1257</v>
      </c>
      <c r="F471" s="1120" t="s">
        <v>1258</v>
      </c>
      <c r="G471" s="1106">
        <v>11</v>
      </c>
      <c r="H471" s="1171">
        <v>456</v>
      </c>
      <c r="I471" s="1132" t="s">
        <v>1094</v>
      </c>
      <c r="O471" s="1096">
        <f t="shared" ca="1" si="15"/>
        <v>37</v>
      </c>
      <c r="P471" s="1133">
        <f t="shared" ca="1" si="14"/>
        <v>37</v>
      </c>
      <c r="Q471" s="1133"/>
      <c r="R471" s="1133"/>
      <c r="U471" s="1096">
        <v>32518</v>
      </c>
      <c r="V471" s="9" t="s">
        <v>275</v>
      </c>
    </row>
    <row r="472" spans="1:22" ht="25.95" customHeight="1">
      <c r="A472" s="940">
        <v>469</v>
      </c>
      <c r="B472" s="1108">
        <v>30723</v>
      </c>
      <c r="C472" s="1109" t="s">
        <v>272</v>
      </c>
      <c r="D472" s="731">
        <v>150779727</v>
      </c>
      <c r="E472" s="1104" t="s">
        <v>1259</v>
      </c>
      <c r="F472" s="1120" t="s">
        <v>1260</v>
      </c>
      <c r="G472" s="1106">
        <v>11</v>
      </c>
      <c r="H472" s="1171">
        <v>457</v>
      </c>
      <c r="I472" s="1132" t="s">
        <v>1094</v>
      </c>
      <c r="O472" s="1096">
        <f t="shared" ca="1" si="15"/>
        <v>42</v>
      </c>
      <c r="P472" s="1133">
        <f t="shared" ca="1" si="14"/>
        <v>42</v>
      </c>
      <c r="Q472" s="1133"/>
      <c r="R472" s="1133"/>
      <c r="U472" s="1096">
        <v>30723</v>
      </c>
      <c r="V472" s="9" t="s">
        <v>275</v>
      </c>
    </row>
    <row r="473" spans="1:22" ht="25.95" customHeight="1">
      <c r="A473" s="940">
        <v>470</v>
      </c>
      <c r="B473" s="1108">
        <v>32706</v>
      </c>
      <c r="C473" s="1102" t="s">
        <v>264</v>
      </c>
      <c r="D473" s="731">
        <v>150326856</v>
      </c>
      <c r="E473" s="1104" t="s">
        <v>1261</v>
      </c>
      <c r="F473" s="1120" t="s">
        <v>1262</v>
      </c>
      <c r="G473" s="1106">
        <v>11</v>
      </c>
      <c r="H473" s="1171">
        <v>458</v>
      </c>
      <c r="I473" s="1132" t="s">
        <v>1094</v>
      </c>
      <c r="O473" s="1096">
        <f t="shared" ca="1" si="15"/>
        <v>37</v>
      </c>
      <c r="P473" s="1133">
        <f t="shared" ca="1" si="14"/>
        <v>37</v>
      </c>
      <c r="Q473" s="1133"/>
      <c r="R473" s="1133"/>
      <c r="U473" s="1096">
        <v>32706</v>
      </c>
      <c r="V473" s="9" t="s">
        <v>271</v>
      </c>
    </row>
    <row r="474" spans="1:22" ht="25.95" customHeight="1">
      <c r="A474" s="940">
        <v>471</v>
      </c>
      <c r="B474" s="1108">
        <v>32743</v>
      </c>
      <c r="C474" s="1109" t="s">
        <v>272</v>
      </c>
      <c r="D474" s="731">
        <v>150360126</v>
      </c>
      <c r="E474" s="1104" t="s">
        <v>1263</v>
      </c>
      <c r="F474" s="1120" t="s">
        <v>1264</v>
      </c>
      <c r="G474" s="1106">
        <v>11</v>
      </c>
      <c r="H474" s="1171">
        <v>459</v>
      </c>
      <c r="I474" s="1132" t="s">
        <v>1094</v>
      </c>
      <c r="O474" s="1096">
        <f t="shared" ca="1" si="15"/>
        <v>37</v>
      </c>
      <c r="P474" s="1133">
        <f t="shared" ca="1" si="14"/>
        <v>37</v>
      </c>
      <c r="Q474" s="1133"/>
      <c r="R474" s="1133"/>
      <c r="U474" s="1096">
        <v>32743</v>
      </c>
      <c r="V474" s="9" t="s">
        <v>275</v>
      </c>
    </row>
    <row r="475" spans="1:22" ht="25.95" customHeight="1">
      <c r="A475" s="940">
        <v>472</v>
      </c>
      <c r="B475" s="1108">
        <v>26461</v>
      </c>
      <c r="C475" s="1109" t="s">
        <v>272</v>
      </c>
      <c r="D475" s="731">
        <v>150846084</v>
      </c>
      <c r="E475" s="1104" t="s">
        <v>1265</v>
      </c>
      <c r="F475" s="1120" t="s">
        <v>1266</v>
      </c>
      <c r="G475" s="1106">
        <v>11</v>
      </c>
      <c r="H475" s="1171">
        <v>460</v>
      </c>
      <c r="I475" s="1132" t="s">
        <v>1094</v>
      </c>
      <c r="O475" s="1096">
        <f t="shared" ca="1" si="15"/>
        <v>54</v>
      </c>
      <c r="P475" s="1133">
        <f t="shared" ca="1" si="14"/>
        <v>54</v>
      </c>
      <c r="Q475" s="1133"/>
      <c r="R475" s="1133"/>
      <c r="U475" s="1096">
        <v>26461</v>
      </c>
      <c r="V475" s="9" t="s">
        <v>275</v>
      </c>
    </row>
    <row r="476" spans="1:22" ht="25.95" customHeight="1">
      <c r="A476" s="940">
        <v>473</v>
      </c>
      <c r="B476" s="1108">
        <v>38969</v>
      </c>
      <c r="C476" s="1109" t="s">
        <v>272</v>
      </c>
      <c r="D476" s="731">
        <v>151019094</v>
      </c>
      <c r="E476" s="1104" t="s">
        <v>1267</v>
      </c>
      <c r="F476" s="1120" t="s">
        <v>1268</v>
      </c>
      <c r="G476" s="1106">
        <v>11</v>
      </c>
      <c r="H476" s="1171">
        <v>461</v>
      </c>
      <c r="I476" s="1132" t="s">
        <v>1094</v>
      </c>
      <c r="O476" s="1096">
        <f t="shared" ca="1" si="15"/>
        <v>20</v>
      </c>
      <c r="P476" s="1133">
        <f t="shared" ca="1" si="14"/>
        <v>20</v>
      </c>
      <c r="Q476" s="1133"/>
      <c r="R476" s="1133"/>
      <c r="U476" s="1096">
        <v>38969</v>
      </c>
      <c r="V476" s="9" t="s">
        <v>275</v>
      </c>
    </row>
    <row r="477" spans="1:22" ht="25.95" customHeight="1">
      <c r="A477" s="940">
        <v>474</v>
      </c>
      <c r="B477" s="1108">
        <v>37332</v>
      </c>
      <c r="C477" s="1102" t="s">
        <v>264</v>
      </c>
      <c r="D477" s="731">
        <v>151037608</v>
      </c>
      <c r="E477" s="1104" t="s">
        <v>1269</v>
      </c>
      <c r="F477" s="1120" t="s">
        <v>1270</v>
      </c>
      <c r="G477" s="1106">
        <v>11</v>
      </c>
      <c r="H477" s="1171">
        <v>462</v>
      </c>
      <c r="I477" s="1132" t="s">
        <v>1094</v>
      </c>
      <c r="O477" s="1096">
        <f t="shared" ca="1" si="15"/>
        <v>24</v>
      </c>
      <c r="P477" s="1133">
        <f t="shared" ca="1" si="14"/>
        <v>24</v>
      </c>
      <c r="Q477" s="1133"/>
      <c r="R477" s="1133"/>
      <c r="U477" s="1096">
        <v>37332</v>
      </c>
      <c r="V477" s="9" t="s">
        <v>271</v>
      </c>
    </row>
    <row r="478" spans="1:22" ht="25.95" customHeight="1">
      <c r="A478" s="940">
        <v>475</v>
      </c>
      <c r="B478" s="1108">
        <v>37135</v>
      </c>
      <c r="C478" s="1102" t="s">
        <v>264</v>
      </c>
      <c r="D478" s="731">
        <v>150911062</v>
      </c>
      <c r="E478" s="1104" t="s">
        <v>1271</v>
      </c>
      <c r="F478" s="1120" t="s">
        <v>1272</v>
      </c>
      <c r="G478" s="1106">
        <v>11</v>
      </c>
      <c r="H478" s="1171">
        <v>463</v>
      </c>
      <c r="I478" s="1132" t="s">
        <v>1094</v>
      </c>
      <c r="O478" s="1096">
        <f t="shared" ca="1" si="15"/>
        <v>25</v>
      </c>
      <c r="P478" s="1133">
        <f t="shared" ca="1" si="14"/>
        <v>25</v>
      </c>
      <c r="Q478" s="1133"/>
      <c r="R478" s="1133"/>
      <c r="U478" s="1096">
        <v>37135</v>
      </c>
      <c r="V478" s="9" t="s">
        <v>271</v>
      </c>
    </row>
    <row r="479" spans="1:22" ht="25.95" customHeight="1">
      <c r="A479" s="940">
        <v>476</v>
      </c>
      <c r="B479" s="1108">
        <v>34495</v>
      </c>
      <c r="C479" s="1102" t="s">
        <v>264</v>
      </c>
      <c r="D479" s="731">
        <v>150811653</v>
      </c>
      <c r="E479" s="1104" t="s">
        <v>1273</v>
      </c>
      <c r="F479" s="1095" t="s">
        <v>1274</v>
      </c>
      <c r="G479" s="1106">
        <v>11</v>
      </c>
      <c r="H479" s="1171">
        <v>464</v>
      </c>
      <c r="I479" s="1132" t="s">
        <v>1094</v>
      </c>
      <c r="O479" s="1096">
        <f t="shared" ca="1" si="15"/>
        <v>32</v>
      </c>
      <c r="P479" s="1133">
        <f t="shared" ca="1" si="14"/>
        <v>32</v>
      </c>
      <c r="Q479" s="1133"/>
      <c r="R479" s="1133"/>
      <c r="U479" s="1096">
        <v>34495</v>
      </c>
      <c r="V479" s="9" t="s">
        <v>271</v>
      </c>
    </row>
    <row r="480" spans="1:22" ht="25.95" customHeight="1">
      <c r="A480" s="940">
        <v>477</v>
      </c>
      <c r="B480" s="1108">
        <v>38029</v>
      </c>
      <c r="C480" s="1109" t="s">
        <v>272</v>
      </c>
      <c r="D480" s="731">
        <v>150982920</v>
      </c>
      <c r="E480" s="1104" t="s">
        <v>1275</v>
      </c>
      <c r="F480" s="1120" t="s">
        <v>1276</v>
      </c>
      <c r="G480" s="1106">
        <v>11</v>
      </c>
      <c r="H480" s="1171">
        <v>465</v>
      </c>
      <c r="I480" s="1132" t="s">
        <v>1094</v>
      </c>
      <c r="O480" s="1096">
        <f t="shared" ca="1" si="15"/>
        <v>22</v>
      </c>
      <c r="P480" s="1133">
        <f t="shared" ca="1" si="14"/>
        <v>22</v>
      </c>
      <c r="Q480" s="1133"/>
      <c r="R480" s="1133"/>
      <c r="U480" s="1096">
        <v>38029</v>
      </c>
      <c r="V480" s="9" t="s">
        <v>275</v>
      </c>
    </row>
    <row r="481" spans="1:22" ht="25.95" customHeight="1">
      <c r="A481" s="940">
        <v>478</v>
      </c>
      <c r="B481" s="1108">
        <v>37626</v>
      </c>
      <c r="C481" s="1109" t="s">
        <v>272</v>
      </c>
      <c r="D481" s="731">
        <v>151041981</v>
      </c>
      <c r="E481" s="1104" t="s">
        <v>1277</v>
      </c>
      <c r="F481" s="1120" t="s">
        <v>1278</v>
      </c>
      <c r="G481" s="1106">
        <v>11</v>
      </c>
      <c r="H481" s="1171">
        <v>466</v>
      </c>
      <c r="I481" s="1132" t="s">
        <v>1094</v>
      </c>
      <c r="O481" s="1096">
        <f t="shared" ca="1" si="15"/>
        <v>23</v>
      </c>
      <c r="P481" s="1133">
        <f t="shared" ca="1" si="14"/>
        <v>23</v>
      </c>
      <c r="Q481" s="1133"/>
      <c r="R481" s="1133"/>
      <c r="U481" s="1096">
        <v>37626</v>
      </c>
      <c r="V481" s="9" t="s">
        <v>275</v>
      </c>
    </row>
    <row r="482" spans="1:22" ht="25.95" customHeight="1">
      <c r="A482" s="940">
        <v>479</v>
      </c>
      <c r="B482" s="1108">
        <v>33101</v>
      </c>
      <c r="C482" s="1109" t="s">
        <v>272</v>
      </c>
      <c r="D482" s="731">
        <v>150543334</v>
      </c>
      <c r="E482" s="1104" t="s">
        <v>1279</v>
      </c>
      <c r="F482" s="1120" t="s">
        <v>1280</v>
      </c>
      <c r="G482" s="1106">
        <v>11</v>
      </c>
      <c r="H482" s="1171">
        <v>467</v>
      </c>
      <c r="I482" s="1132" t="s">
        <v>1094</v>
      </c>
      <c r="O482" s="1096">
        <f t="shared" ca="1" si="15"/>
        <v>36</v>
      </c>
      <c r="P482" s="1133">
        <f t="shared" ca="1" si="14"/>
        <v>36</v>
      </c>
      <c r="Q482" s="1133"/>
      <c r="R482" s="1133"/>
      <c r="U482" s="1096">
        <v>33101</v>
      </c>
      <c r="V482" s="9" t="s">
        <v>275</v>
      </c>
    </row>
    <row r="483" spans="1:22" ht="25.95" customHeight="1">
      <c r="A483" s="940">
        <v>480</v>
      </c>
      <c r="B483" s="1108">
        <v>33091</v>
      </c>
      <c r="C483" s="1102" t="s">
        <v>264</v>
      </c>
      <c r="D483" s="731">
        <v>150468292</v>
      </c>
      <c r="E483" s="1104" t="s">
        <v>1281</v>
      </c>
      <c r="F483" s="1120" t="s">
        <v>1282</v>
      </c>
      <c r="G483" s="1106">
        <v>11</v>
      </c>
      <c r="H483" s="1171">
        <v>468</v>
      </c>
      <c r="I483" s="1132" t="s">
        <v>1094</v>
      </c>
      <c r="O483" s="1096">
        <f t="shared" ca="1" si="15"/>
        <v>36</v>
      </c>
      <c r="P483" s="1133">
        <f t="shared" ca="1" si="14"/>
        <v>36</v>
      </c>
      <c r="Q483" s="1133"/>
      <c r="R483" s="1133"/>
      <c r="U483" s="1096">
        <v>33091</v>
      </c>
      <c r="V483" s="9" t="s">
        <v>271</v>
      </c>
    </row>
    <row r="484" spans="1:22" ht="25.95" customHeight="1">
      <c r="A484" s="940">
        <v>481</v>
      </c>
      <c r="B484" s="1108">
        <v>36559</v>
      </c>
      <c r="C484" s="1102" t="s">
        <v>264</v>
      </c>
      <c r="D484" s="1274" t="s">
        <v>1283</v>
      </c>
      <c r="E484" s="1104" t="s">
        <v>1284</v>
      </c>
      <c r="F484" s="1120" t="s">
        <v>1285</v>
      </c>
      <c r="G484" s="1106">
        <v>11</v>
      </c>
      <c r="H484" s="1171">
        <v>469</v>
      </c>
      <c r="I484" s="1132" t="s">
        <v>1094</v>
      </c>
      <c r="O484" s="1096">
        <f t="shared" ca="1" si="15"/>
        <v>26</v>
      </c>
      <c r="P484" s="1133">
        <f t="shared" ca="1" si="14"/>
        <v>26</v>
      </c>
      <c r="Q484" s="1133"/>
      <c r="R484" s="1133"/>
      <c r="U484" s="1096">
        <v>36559</v>
      </c>
      <c r="V484" s="9" t="s">
        <v>271</v>
      </c>
    </row>
    <row r="485" spans="1:22" ht="25.95" customHeight="1">
      <c r="A485" s="940">
        <v>482</v>
      </c>
      <c r="B485" s="1108">
        <v>32178</v>
      </c>
      <c r="C485" s="1109" t="s">
        <v>272</v>
      </c>
      <c r="D485" s="1103">
        <v>180893241</v>
      </c>
      <c r="E485" s="1104" t="s">
        <v>1286</v>
      </c>
      <c r="F485" s="940" t="s">
        <v>1287</v>
      </c>
      <c r="G485" s="1106">
        <v>11</v>
      </c>
      <c r="H485" s="1171">
        <v>470</v>
      </c>
      <c r="I485" s="1132" t="s">
        <v>1094</v>
      </c>
      <c r="O485" s="1096">
        <f t="shared" ca="1" si="15"/>
        <v>38</v>
      </c>
      <c r="P485" s="1133">
        <f t="shared" ca="1" si="14"/>
        <v>38</v>
      </c>
      <c r="Q485" s="1133"/>
      <c r="R485" s="1133"/>
      <c r="U485" s="1096">
        <v>32178</v>
      </c>
      <c r="V485" s="9" t="s">
        <v>275</v>
      </c>
    </row>
    <row r="486" spans="1:22" ht="25.95" customHeight="1">
      <c r="A486" s="940">
        <v>483</v>
      </c>
      <c r="B486" s="1108">
        <v>36560</v>
      </c>
      <c r="C486" s="1102" t="s">
        <v>264</v>
      </c>
      <c r="D486" s="731">
        <v>150836147</v>
      </c>
      <c r="E486" s="1104" t="s">
        <v>1288</v>
      </c>
      <c r="F486" s="1120" t="s">
        <v>1289</v>
      </c>
      <c r="G486" s="1106">
        <v>11</v>
      </c>
      <c r="H486" s="1171">
        <v>471</v>
      </c>
      <c r="I486" s="1132" t="s">
        <v>1094</v>
      </c>
      <c r="O486" s="1096">
        <f t="shared" ca="1" si="15"/>
        <v>26</v>
      </c>
      <c r="P486" s="1133">
        <f t="shared" ca="1" si="14"/>
        <v>26</v>
      </c>
      <c r="Q486" s="1133"/>
      <c r="R486" s="1133"/>
      <c r="U486" s="1096">
        <v>36560</v>
      </c>
      <c r="V486" s="9" t="s">
        <v>271</v>
      </c>
    </row>
    <row r="487" spans="1:22" ht="25.95" customHeight="1">
      <c r="A487" s="940">
        <v>484</v>
      </c>
      <c r="B487" s="1108">
        <v>36497</v>
      </c>
      <c r="C487" s="1109" t="s">
        <v>272</v>
      </c>
      <c r="D487" s="731">
        <v>150871929</v>
      </c>
      <c r="E487" s="1104" t="s">
        <v>1290</v>
      </c>
      <c r="F487" s="1120" t="s">
        <v>1291</v>
      </c>
      <c r="G487" s="1106">
        <v>11</v>
      </c>
      <c r="H487" s="1171">
        <v>472</v>
      </c>
      <c r="I487" s="1132" t="s">
        <v>1094</v>
      </c>
      <c r="O487" s="1096">
        <f t="shared" ca="1" si="15"/>
        <v>27</v>
      </c>
      <c r="P487" s="1133">
        <f t="shared" ca="1" si="14"/>
        <v>27</v>
      </c>
      <c r="Q487" s="1133"/>
      <c r="R487" s="1133"/>
      <c r="U487" s="1096">
        <v>36497</v>
      </c>
      <c r="V487" s="9" t="s">
        <v>275</v>
      </c>
    </row>
    <row r="488" spans="1:22" ht="25.95" customHeight="1">
      <c r="A488" s="981"/>
      <c r="C488" s="1102"/>
      <c r="D488" s="731"/>
      <c r="E488" s="1104"/>
      <c r="F488" s="1120"/>
      <c r="G488" s="1106"/>
      <c r="H488" s="1171"/>
      <c r="I488" s="1132"/>
    </row>
    <row r="489" spans="1:22" ht="25.95" customHeight="1">
      <c r="A489" s="981"/>
      <c r="C489" s="1108"/>
      <c r="D489" s="731"/>
      <c r="E489" s="1104"/>
      <c r="F489" s="1120"/>
      <c r="G489" s="1106"/>
      <c r="H489" s="1171"/>
      <c r="I489" s="1132"/>
    </row>
    <row r="490" spans="1:22" ht="15.6">
      <c r="B490" s="1108">
        <v>30441</v>
      </c>
      <c r="C490" s="1108"/>
      <c r="D490" s="731">
        <v>220244416</v>
      </c>
      <c r="E490" s="1172" t="s">
        <v>1292</v>
      </c>
      <c r="F490" s="940" t="s">
        <v>1293</v>
      </c>
      <c r="G490" s="1292" t="s">
        <v>1294</v>
      </c>
      <c r="H490" s="1292"/>
    </row>
    <row r="491" spans="1:22">
      <c r="B491" s="1108">
        <v>31015</v>
      </c>
      <c r="C491" s="1108" t="s">
        <v>1295</v>
      </c>
      <c r="D491" s="731" t="s">
        <v>1296</v>
      </c>
      <c r="E491" s="1122" t="s">
        <v>1297</v>
      </c>
      <c r="F491" s="940" t="s">
        <v>1298</v>
      </c>
      <c r="G491" s="1292" t="s">
        <v>1294</v>
      </c>
      <c r="H491" s="1292"/>
    </row>
    <row r="492" spans="1:22" ht="15.6">
      <c r="B492" s="1108">
        <v>20164</v>
      </c>
      <c r="C492" s="1108" t="s">
        <v>1295</v>
      </c>
      <c r="D492" s="731" t="s">
        <v>1299</v>
      </c>
      <c r="E492" s="1172" t="s">
        <v>1300</v>
      </c>
      <c r="F492" s="940" t="s">
        <v>1301</v>
      </c>
      <c r="G492" s="1292" t="s">
        <v>1294</v>
      </c>
      <c r="H492" s="1292"/>
    </row>
    <row r="493" spans="1:22">
      <c r="E493" s="1173"/>
    </row>
    <row r="494" spans="1:22">
      <c r="D494" s="1097">
        <v>171032353</v>
      </c>
    </row>
    <row r="495" spans="1:22">
      <c r="F495" s="981"/>
    </row>
    <row r="496" spans="1:22">
      <c r="F496" s="981"/>
    </row>
    <row r="497" spans="6:6">
      <c r="F497" s="981"/>
    </row>
    <row r="498" spans="6:6">
      <c r="F498" s="981"/>
    </row>
    <row r="499" spans="6:6">
      <c r="F499" s="981"/>
    </row>
    <row r="500" spans="6:6">
      <c r="F500" s="981"/>
    </row>
    <row r="501" spans="6:6">
      <c r="F501" s="981"/>
    </row>
    <row r="502" spans="6:6">
      <c r="F502" s="981"/>
    </row>
    <row r="503" spans="6:6">
      <c r="F503" s="981"/>
    </row>
    <row r="504" spans="6:6">
      <c r="F504" s="981"/>
    </row>
    <row r="505" spans="6:6">
      <c r="F505" s="981"/>
    </row>
    <row r="506" spans="6:6">
      <c r="F506" s="981"/>
    </row>
    <row r="507" spans="6:6">
      <c r="F507" s="981"/>
    </row>
    <row r="508" spans="6:6">
      <c r="F508" s="981"/>
    </row>
    <row r="509" spans="6:6">
      <c r="F509" s="981"/>
    </row>
    <row r="510" spans="6:6">
      <c r="F510" s="981"/>
    </row>
    <row r="511" spans="6:6">
      <c r="F511" s="981"/>
    </row>
    <row r="512" spans="6:6">
      <c r="F512" s="981"/>
    </row>
    <row r="513" spans="6:6">
      <c r="F513" s="981"/>
    </row>
    <row r="514" spans="6:6">
      <c r="F514" s="981"/>
    </row>
    <row r="515" spans="6:6">
      <c r="F515" s="981"/>
    </row>
    <row r="516" spans="6:6">
      <c r="F516" s="981"/>
    </row>
    <row r="517" spans="6:6">
      <c r="F517" s="981"/>
    </row>
    <row r="518" spans="6:6">
      <c r="F518" s="981"/>
    </row>
    <row r="519" spans="6:6">
      <c r="F519" s="981"/>
    </row>
    <row r="520" spans="6:6">
      <c r="F520" s="981"/>
    </row>
    <row r="521" spans="6:6">
      <c r="F521" s="981"/>
    </row>
    <row r="522" spans="6:6">
      <c r="F522" s="981"/>
    </row>
    <row r="523" spans="6:6">
      <c r="F523" s="981"/>
    </row>
    <row r="524" spans="6:6">
      <c r="F524" s="981"/>
    </row>
    <row r="525" spans="6:6">
      <c r="F525" s="981"/>
    </row>
    <row r="526" spans="6:6">
      <c r="F526" s="981"/>
    </row>
    <row r="527" spans="6:6">
      <c r="F527" s="981"/>
    </row>
    <row r="528" spans="6:6">
      <c r="F528" s="981"/>
    </row>
    <row r="529" spans="6:6">
      <c r="F529" s="981"/>
    </row>
    <row r="530" spans="6:6">
      <c r="F530" s="981"/>
    </row>
    <row r="531" spans="6:6">
      <c r="F531" s="981"/>
    </row>
    <row r="532" spans="6:6">
      <c r="F532" s="981"/>
    </row>
    <row r="533" spans="6:6">
      <c r="F533" s="981"/>
    </row>
    <row r="534" spans="6:6">
      <c r="F534" s="981"/>
    </row>
    <row r="535" spans="6:6">
      <c r="F535" s="981"/>
    </row>
    <row r="536" spans="6:6">
      <c r="F536" s="981"/>
    </row>
    <row r="537" spans="6:6">
      <c r="F537" s="981"/>
    </row>
    <row r="538" spans="6:6">
      <c r="F538" s="981"/>
    </row>
    <row r="539" spans="6:6">
      <c r="F539" s="981"/>
    </row>
    <row r="540" spans="6:6">
      <c r="F540" s="981"/>
    </row>
    <row r="541" spans="6:6">
      <c r="F541" s="981"/>
    </row>
    <row r="542" spans="6:6">
      <c r="F542" s="981"/>
    </row>
    <row r="543" spans="6:6">
      <c r="F543" s="981"/>
    </row>
    <row r="544" spans="6:6">
      <c r="F544" s="981"/>
    </row>
    <row r="545" spans="6:6">
      <c r="F545" s="981"/>
    </row>
    <row r="546" spans="6:6">
      <c r="F546" s="981"/>
    </row>
    <row r="547" spans="6:6">
      <c r="F547" s="981"/>
    </row>
    <row r="548" spans="6:6">
      <c r="F548" s="981"/>
    </row>
    <row r="549" spans="6:6">
      <c r="F549" s="981"/>
    </row>
    <row r="550" spans="6:6">
      <c r="F550" s="981"/>
    </row>
    <row r="551" spans="6:6">
      <c r="F551" s="981"/>
    </row>
    <row r="552" spans="6:6">
      <c r="F552" s="981"/>
    </row>
    <row r="553" spans="6:6">
      <c r="F553" s="981"/>
    </row>
    <row r="554" spans="6:6">
      <c r="F554" s="981"/>
    </row>
    <row r="555" spans="6:6">
      <c r="F555" s="981"/>
    </row>
    <row r="556" spans="6:6">
      <c r="F556" s="981"/>
    </row>
    <row r="557" spans="6:6">
      <c r="F557" s="981"/>
    </row>
    <row r="558" spans="6:6">
      <c r="F558" s="981"/>
    </row>
    <row r="559" spans="6:6">
      <c r="F559" s="981"/>
    </row>
    <row r="560" spans="6:6">
      <c r="F560" s="981"/>
    </row>
    <row r="561" spans="6:6">
      <c r="F561" s="981"/>
    </row>
    <row r="562" spans="6:6">
      <c r="F562" s="981"/>
    </row>
    <row r="563" spans="6:6">
      <c r="F563" s="981"/>
    </row>
    <row r="564" spans="6:6">
      <c r="F564" s="981"/>
    </row>
    <row r="565" spans="6:6">
      <c r="F565" s="981"/>
    </row>
    <row r="566" spans="6:6">
      <c r="F566" s="981"/>
    </row>
    <row r="567" spans="6:6">
      <c r="F567" s="981"/>
    </row>
    <row r="568" spans="6:6">
      <c r="F568" s="981"/>
    </row>
    <row r="569" spans="6:6">
      <c r="F569" s="981"/>
    </row>
    <row r="570" spans="6:6">
      <c r="F570" s="981"/>
    </row>
    <row r="571" spans="6:6">
      <c r="F571" s="981"/>
    </row>
    <row r="572" spans="6:6">
      <c r="F572" s="981"/>
    </row>
    <row r="573" spans="6:6">
      <c r="F573" s="981"/>
    </row>
    <row r="574" spans="6:6">
      <c r="F574" s="981"/>
    </row>
    <row r="575" spans="6:6">
      <c r="F575" s="981"/>
    </row>
    <row r="576" spans="6:6">
      <c r="F576" s="981"/>
    </row>
    <row r="577" spans="6:6">
      <c r="F577" s="981"/>
    </row>
    <row r="578" spans="6:6">
      <c r="F578" s="981"/>
    </row>
    <row r="579" spans="6:6">
      <c r="F579" s="981"/>
    </row>
    <row r="580" spans="6:6">
      <c r="F580" s="981"/>
    </row>
  </sheetData>
  <mergeCells count="12">
    <mergeCell ref="G2:G3"/>
    <mergeCell ref="H2:H3"/>
    <mergeCell ref="B1:H1"/>
    <mergeCell ref="G490:H490"/>
    <mergeCell ref="G491:H491"/>
    <mergeCell ref="G492:H492"/>
    <mergeCell ref="A2:A3"/>
    <mergeCell ref="B2:B3"/>
    <mergeCell ref="C2:C3"/>
    <mergeCell ref="D2:D3"/>
    <mergeCell ref="E2:E3"/>
    <mergeCell ref="F2:F3"/>
  </mergeCells>
  <conditionalFormatting sqref="B4">
    <cfRule type="expression" dxfId="2478" priority="565" stopIfTrue="1">
      <formula>AND(COUNTIF($C$4:$C$65536,B4)+COUNTIF($C$1:$C$2,B4)&gt;1,NOT(ISBLANK(B4)))</formula>
    </cfRule>
  </conditionalFormatting>
  <conditionalFormatting sqref="B7">
    <cfRule type="expression" dxfId="2477" priority="564" stopIfTrue="1">
      <formula>AND(COUNTIF($C$4:$C$65536,B7)+COUNTIF($C$1:$C$2,B7)&gt;1,NOT(ISBLANK(B7)))</formula>
    </cfRule>
  </conditionalFormatting>
  <conditionalFormatting sqref="C7">
    <cfRule type="expression" dxfId="2476" priority="261" stopIfTrue="1">
      <formula>AND(COUNTIF($B$134:$F$142,C7)+COUNTIF($B$144:$F$65536,C7)+COUNTIF($B$8:$F$9,C7)+COUNTIF($B$11:$F$26,C7)+COUNTIF($B$28:$F$132,C7)+COUNTIF($B$4:$F$4,C7)+COUNTIF($B$1:$F$2,C7)&gt;1,NOT(ISBLANK(C7)))</formula>
    </cfRule>
    <cfRule type="expression" dxfId="2475" priority="262" stopIfTrue="1">
      <formula>AND(COUNTIF($B$134:$F$142,C7)+COUNTIF($B$144:$F$65536,C7)+COUNTIF($B$8:$F$9,C7)+COUNTIF($B$11:$F$26,C7)+COUNTIF($B$28:$F$132,C7)+COUNTIF($B$4:$F$4,C7)+COUNTIF($B$1:$F$2,C7)&gt;1,NOT(ISBLANK(C7)))</formula>
    </cfRule>
    <cfRule type="expression" dxfId="2474" priority="263" stopIfTrue="1">
      <formula>AND(COUNTIF($B$134:$F$142,C7)+COUNTIF($B$144:$F$65536,C7)+COUNTIF($B$8:$F$9,C7)+COUNTIF($B$11:$F$26,C7)+COUNTIF($B$28:$F$132,C7)+COUNTIF($B$4:$F$4,C7)+COUNTIF($B$1:$F$2,C7)&gt;1,NOT(ISBLANK(C7)))</formula>
    </cfRule>
    <cfRule type="expression" dxfId="1337" priority="264" stopIfTrue="1">
      <formula>AND(COUNTIF($B$8:$F$9,C7)+COUNTIF($B$11:$F$26,C7)+COUNTIF($B$28:$F$65536,C7)+COUNTIF($B$4:$F$4,C7)+COUNTIF($B$1:$F$2,C7)&gt;1,NOT(ISBLANK(C7)))</formula>
    </cfRule>
    <cfRule type="expression" dxfId="1336" priority="265" stopIfTrue="1">
      <formula>AND(COUNTIF($B$8:$F$9,C7)+COUNTIF($B$11:$F$26,C7)+COUNTIF($B$28:$F$65536,C7)+COUNTIF($B$4:$F$4,C7)+COUNTIF($B$1:$F$2,C7)&gt;1,NOT(ISBLANK(C7)))</formula>
    </cfRule>
    <cfRule type="expression" dxfId="1335" priority="266" stopIfTrue="1">
      <formula>AND(COUNTIF($B$8:$F$9,C7)+COUNTIF($B$11:$F$26,C7)+COUNTIF($B$28:$F$65536,C7)+COUNTIF($B$4:$F$4,C7)+COUNTIF($B$1:$F$2,C7)&gt;1,NOT(ISBLANK(C7)))</formula>
    </cfRule>
    <cfRule type="expression" dxfId="1334" priority="267" stopIfTrue="1">
      <formula>AND(COUNTIF($C$134:$F$142,C7)+COUNTIF($C$144:$F$65536,C7)+COUNTIF($C$8:$F$9,C7)+COUNTIF($C$11:$F$26,C7)+COUNTIF($C$28:$F$132,C7)+COUNTIF($C$4:$F$4,C7)+COUNTIF($C$1:$F$2,C7)&gt;1,NOT(ISBLANK(C7)))</formula>
    </cfRule>
  </conditionalFormatting>
  <conditionalFormatting sqref="C8">
    <cfRule type="expression" dxfId="2473" priority="998" stopIfTrue="1">
      <formula>AND(COUNTIF($D$8:$F$9,C8)+COUNTIF($D$1:$F$2,C8)+COUNTIF($D$11:$F$26,C8)+COUNTIF($D$28:$F$65536,C8)+COUNTIF($D$4:$F$4,C8)&gt;1,NOT(ISBLANK(C8)))</formula>
    </cfRule>
    <cfRule type="expression" dxfId="2472" priority="999" stopIfTrue="1">
      <formula>AND(COUNTIF($D$8:$F$9,C8)+COUNTIF($D$1:$F$2,C8)+COUNTIF($D$11:$F$26,C8)+COUNTIF($D$28:$F$65536,C8)+COUNTIF($D$4:$F$4,C8)&gt;1,NOT(ISBLANK(C8)))</formula>
    </cfRule>
    <cfRule type="expression" dxfId="2471" priority="1000" stopIfTrue="1">
      <formula>AND(COUNTIF($D$8:$F$9,C8)+COUNTIF($D$1:$F$2,C8)+COUNTIF($D$11:$F$26,C8)+COUNTIF($D$28:$F$65536,C8)+COUNTIF($D$4:$F$4,C8)&gt;1,NOT(ISBLANK(C8)))</formula>
    </cfRule>
    <cfRule type="expression" dxfId="1333" priority="1001" stopIfTrue="1">
      <formula>AND(COUNTIF($D$8:$D$9,C8)+COUNTIF($D$1:$D$2,C8)+COUNTIF($D$11:$D$26,C8)+COUNTIF($D$28:$D$65536,C8)+COUNTIF($D$4:$D$4,C8)&gt;1,NOT(ISBLANK(C8)))</formula>
    </cfRule>
    <cfRule type="expression" dxfId="1332" priority="1002" stopIfTrue="1">
      <formula>AND(COUNTIF($D$8:$D$9,C8)+COUNTIF($D$1:$D$2,C8)+COUNTIF($D$11:$D$26,C8)+COUNTIF($D$28:$D$65536,C8)+COUNTIF($D$4:$D$4,C8)&gt;1,NOT(ISBLANK(C8)))</formula>
    </cfRule>
    <cfRule type="expression" dxfId="1331" priority="1003" stopIfTrue="1">
      <formula>AND(COUNTIF($D$8:$D$9,C8)+COUNTIF($D$1:$D$2,C8)+COUNTIF($D$11:$D$26,C8)+COUNTIF($D$28:$D$65536,C8)+COUNTIF($D$4:$D$4,C8)&gt;1,NOT(ISBLANK(C8)))</formula>
    </cfRule>
    <cfRule type="expression" dxfId="1330" priority="1004" stopIfTrue="1">
      <formula>AND(COUNTIF($D$134:$D$142,C8)+COUNTIF($D$144:$D$65536,C8)+COUNTIF($D$1:$D$2,C8)+COUNTIF($D$8:$D$9,C8)+COUNTIF($D$11:$D$26,C8)+COUNTIF($D$28:$D$132,C8)+COUNTIF($D$4:$D$4,C8)&gt;1,NOT(ISBLANK(C8)))</formula>
    </cfRule>
    <cfRule type="duplicateValues" dxfId="1329" priority="1005" stopIfTrue="1"/>
    <cfRule type="duplicateValues" dxfId="1328" priority="1006" stopIfTrue="1"/>
    <cfRule type="duplicateValues" dxfId="1327" priority="1007" stopIfTrue="1"/>
    <cfRule type="duplicateValues" dxfId="1326" priority="1008" stopIfTrue="1"/>
    <cfRule type="duplicateValues" dxfId="1325" priority="1009" stopIfTrue="1"/>
    <cfRule type="duplicateValues" dxfId="1324" priority="1010" stopIfTrue="1"/>
    <cfRule type="duplicateValues" dxfId="1323" priority="1011" stopIfTrue="1"/>
    <cfRule type="duplicateValues" dxfId="1322" priority="1012" stopIfTrue="1"/>
    <cfRule type="duplicateValues" dxfId="1321" priority="1013" stopIfTrue="1"/>
    <cfRule type="expression" dxfId="1320" priority="1014" stopIfTrue="1">
      <formula>AND(COUNTIF($D$4:$D$65536,C8)+COUNTIF($D$1:$D$2,C8)&gt;1,NOT(ISBLANK(C8)))</formula>
    </cfRule>
    <cfRule type="expression" dxfId="1319" priority="1015" stopIfTrue="1">
      <formula>AND(COUNTIF($D$4:$D$65536,C8)+COUNTIF($D$1:$D$2,C8)&gt;1,NOT(ISBLANK(C8)))</formula>
    </cfRule>
    <cfRule type="expression" dxfId="1318" priority="1016" stopIfTrue="1">
      <formula>AND(COUNTIF($D$4:$D$65536,C8)+COUNTIF($D$1:$D$2,C8)&gt;1,NOT(ISBLANK(C8)))</formula>
    </cfRule>
    <cfRule type="expression" dxfId="1317" priority="1017" stopIfTrue="1">
      <formula>AND(COUNTIF($D$1:$D$350,C8)+COUNTIF($D$352:$D$372,C8)+COUNTIF($D$374:$D$65536,C8)&gt;1,NOT(ISBLANK(C8)))</formula>
    </cfRule>
    <cfRule type="expression" dxfId="1316" priority="1018" stopIfTrue="1">
      <formula>AND(COUNTIF($D$1:$D$350,C8)+COUNTIF($D$352:$D$372,C8)+COUNTIF($D$374:$D$65536,C8)&gt;1,NOT(ISBLANK(C8)))</formula>
    </cfRule>
    <cfRule type="duplicateValues" dxfId="1315" priority="1019" stopIfTrue="1"/>
  </conditionalFormatting>
  <conditionalFormatting sqref="D17">
    <cfRule type="duplicateValues" dxfId="2470" priority="1750" stopIfTrue="1"/>
    <cfRule type="duplicateValues" dxfId="2469" priority="1751" stopIfTrue="1"/>
    <cfRule type="duplicateValues" dxfId="2468" priority="1752" stopIfTrue="1"/>
    <cfRule type="duplicateValues" dxfId="1314" priority="1753" stopIfTrue="1"/>
    <cfRule type="duplicateValues" dxfId="1313" priority="1754" stopIfTrue="1"/>
    <cfRule type="duplicateValues" dxfId="1312" priority="1755" stopIfTrue="1"/>
    <cfRule type="duplicateValues" dxfId="1311" priority="1756" stopIfTrue="1"/>
    <cfRule type="duplicateValues" dxfId="1310" priority="1757" stopIfTrue="1"/>
    <cfRule type="duplicateValues" dxfId="1309" priority="1758" stopIfTrue="1"/>
    <cfRule type="duplicateValues" dxfId="1308" priority="1759" stopIfTrue="1"/>
    <cfRule type="expression" dxfId="1307" priority="1760" stopIfTrue="1">
      <formula>AND(COUNTIF($D$4:$D$65536,D17)+COUNTIF($D$1:$D$2,D17)&gt;1,NOT(ISBLANK(D17)))</formula>
    </cfRule>
    <cfRule type="expression" dxfId="1306" priority="1761" stopIfTrue="1">
      <formula>AND(COUNTIF($D$4:$D$65536,D17)+COUNTIF($D$1:$D$2,D17)&gt;1,NOT(ISBLANK(D17)))</formula>
    </cfRule>
    <cfRule type="expression" dxfId="1305" priority="1762" stopIfTrue="1">
      <formula>AND(COUNTIF($D$4:$D$65536,D17)+COUNTIF($D$1:$D$2,D17)&gt;1,NOT(ISBLANK(D17)))</formula>
    </cfRule>
    <cfRule type="expression" dxfId="1304" priority="1763" stopIfTrue="1">
      <formula>AND(COUNTIF($D$1:$D$363,D17)+COUNTIF($D$365:$D$385,D17)+COUNTIF($D$387:$D$65536,D17)&gt;1,NOT(ISBLANK(D17)))</formula>
    </cfRule>
    <cfRule type="expression" dxfId="1303" priority="1764" stopIfTrue="1">
      <formula>AND(COUNTIF($D$1:$D$363,D17)+COUNTIF($D$365:$D$385,D17)+COUNTIF($D$387:$D$65536,D17)&gt;1,NOT(ISBLANK(D17)))</formula>
    </cfRule>
  </conditionalFormatting>
  <conditionalFormatting sqref="E17">
    <cfRule type="duplicateValues" dxfId="2467" priority="1100" stopIfTrue="1"/>
    <cfRule type="duplicateValues" dxfId="2466" priority="1101" stopIfTrue="1"/>
    <cfRule type="duplicateValues" dxfId="2465" priority="1102" stopIfTrue="1"/>
    <cfRule type="duplicateValues" dxfId="1302" priority="1103" stopIfTrue="1"/>
    <cfRule type="duplicateValues" dxfId="1301" priority="1104" stopIfTrue="1"/>
  </conditionalFormatting>
  <conditionalFormatting sqref="F17">
    <cfRule type="duplicateValues" dxfId="2464" priority="1622" stopIfTrue="1"/>
    <cfRule type="duplicateValues" dxfId="2463" priority="1623" stopIfTrue="1"/>
    <cfRule type="duplicateValues" dxfId="2462" priority="1624" stopIfTrue="1"/>
    <cfRule type="duplicateValues" dxfId="1300" priority="1625" stopIfTrue="1"/>
    <cfRule type="duplicateValues" dxfId="1299" priority="1626" stopIfTrue="1"/>
    <cfRule type="expression" dxfId="1298" priority="1627" stopIfTrue="1">
      <formula>AND(COUNTIF($F$4:$F$4,F17)+COUNTIF($F$8:$F$9,F17)+COUNTIF($F$11:$F$26,F17)+COUNTIF($F$28:$F$173,F17)&gt;1,NOT(ISBLANK(F17)))</formula>
    </cfRule>
  </conditionalFormatting>
  <conditionalFormatting sqref="B18">
    <cfRule type="expression" dxfId="2461" priority="560" stopIfTrue="1">
      <formula>AND(COUNTIF($C$134:$F$142,B18)+COUNTIF($C$144:$F$65536,B18)+COUNTIF($C$8:$F$9,B18)+COUNTIF($C$11:$F$26,B18)+COUNTIF($C$28:$F$132,B18)+COUNTIF($C$4:$F$4,B18)+COUNTIF($C$1:$F$2,B18)&gt;1,NOT(ISBLANK(B18)))</formula>
    </cfRule>
    <cfRule type="expression" dxfId="2460" priority="561" stopIfTrue="1">
      <formula>AND(COUNTIF($C$4:$C$65536,B18)+COUNTIF($C$1:$C$2,B18)&gt;1,NOT(ISBLANK(B18)))</formula>
    </cfRule>
  </conditionalFormatting>
  <conditionalFormatting sqref="B20">
    <cfRule type="expression" dxfId="2459" priority="558" stopIfTrue="1">
      <formula>AND(COUNTIF($C$134:$F$142,B20)+COUNTIF($C$144:$F$65536,B20)+COUNTIF($C$8:$F$9,B20)+COUNTIF($C$11:$F$26,B20)+COUNTIF($C$28:$F$132,B20)+COUNTIF($C$4:$F$4,B20)+COUNTIF($C$1:$F$2,B20)&gt;1,NOT(ISBLANK(B20)))</formula>
    </cfRule>
    <cfRule type="expression" dxfId="2458" priority="559" stopIfTrue="1">
      <formula>AND(COUNTIF($C$4:$C$65536,B20)+COUNTIF($C$1:$C$2,B20)&gt;1,NOT(ISBLANK(B20)))</formula>
    </cfRule>
  </conditionalFormatting>
  <conditionalFormatting sqref="B22:E22">
    <cfRule type="duplicateValues" dxfId="2457" priority="1529" stopIfTrue="1"/>
    <cfRule type="duplicateValues" dxfId="2456" priority="1530" stopIfTrue="1"/>
  </conditionalFormatting>
  <conditionalFormatting sqref="D27">
    <cfRule type="duplicateValues" dxfId="2455" priority="1765" stopIfTrue="1"/>
    <cfRule type="duplicateValues" dxfId="2454" priority="1766" stopIfTrue="1"/>
    <cfRule type="duplicateValues" dxfId="2453" priority="1767" stopIfTrue="1"/>
    <cfRule type="duplicateValues" dxfId="1297" priority="1768" stopIfTrue="1"/>
    <cfRule type="duplicateValues" dxfId="1296" priority="1769" stopIfTrue="1"/>
    <cfRule type="duplicateValues" dxfId="1295" priority="1770" stopIfTrue="1"/>
    <cfRule type="duplicateValues" dxfId="1294" priority="1771" stopIfTrue="1"/>
    <cfRule type="duplicateValues" dxfId="1293" priority="1772" stopIfTrue="1"/>
    <cfRule type="duplicateValues" dxfId="1292" priority="1773" stopIfTrue="1"/>
    <cfRule type="duplicateValues" dxfId="1291" priority="1774" stopIfTrue="1"/>
    <cfRule type="expression" dxfId="1290" priority="1775" stopIfTrue="1">
      <formula>AND(COUNTIF($D$4:$D$65536,D27)+COUNTIF($D$1:$D$2,D27)&gt;1,NOT(ISBLANK(D27)))</formula>
    </cfRule>
    <cfRule type="expression" dxfId="1289" priority="1776" stopIfTrue="1">
      <formula>AND(COUNTIF($D$4:$D$65536,D27)+COUNTIF($D$1:$D$2,D27)&gt;1,NOT(ISBLANK(D27)))</formula>
    </cfRule>
    <cfRule type="expression" dxfId="1288" priority="1777" stopIfTrue="1">
      <formula>AND(COUNTIF($D$4:$D$65536,D27)+COUNTIF($D$1:$D$2,D27)&gt;1,NOT(ISBLANK(D27)))</formula>
    </cfRule>
    <cfRule type="expression" dxfId="1287" priority="1778" stopIfTrue="1">
      <formula>AND(COUNTIF($D$1:$D$363,D27)+COUNTIF($D$365:$D$385,D27)+COUNTIF($D$387:$D$65536,D27)&gt;1,NOT(ISBLANK(D27)))</formula>
    </cfRule>
    <cfRule type="expression" dxfId="1286" priority="1779" stopIfTrue="1">
      <formula>AND(COUNTIF($D$1:$D$363,D27)+COUNTIF($D$365:$D$385,D27)+COUNTIF($D$387:$D$65536,D27)&gt;1,NOT(ISBLANK(D27)))</formula>
    </cfRule>
  </conditionalFormatting>
  <conditionalFormatting sqref="E27">
    <cfRule type="duplicateValues" dxfId="2452" priority="1091" stopIfTrue="1"/>
    <cfRule type="duplicateValues" dxfId="2451" priority="1092" stopIfTrue="1"/>
    <cfRule type="duplicateValues" dxfId="2450" priority="1093" stopIfTrue="1"/>
    <cfRule type="duplicateValues" dxfId="1285" priority="1094" stopIfTrue="1"/>
    <cfRule type="duplicateValues" dxfId="1284" priority="1098" stopIfTrue="1"/>
  </conditionalFormatting>
  <conditionalFormatting sqref="F27">
    <cfRule type="duplicateValues" dxfId="2449" priority="1090" stopIfTrue="1"/>
    <cfRule type="duplicateValues" dxfId="2448" priority="1095" stopIfTrue="1"/>
    <cfRule type="duplicateValues" dxfId="2447" priority="1096" stopIfTrue="1"/>
    <cfRule type="duplicateValues" dxfId="1283" priority="1097" stopIfTrue="1"/>
    <cfRule type="duplicateValues" dxfId="1282" priority="1099" stopIfTrue="1"/>
  </conditionalFormatting>
  <conditionalFormatting sqref="B28">
    <cfRule type="expression" dxfId="2446" priority="556" stopIfTrue="1">
      <formula>AND(COUNTIF($C$134:$F$142,B28)+COUNTIF($C$144:$F$65536,B28)+COUNTIF($C$8:$F$9,B28)+COUNTIF($C$11:$F$26,B28)+COUNTIF($C$28:$F$132,B28)+COUNTIF($C$4:$F$4,B28)+COUNTIF($C$1:$F$2,B28)&gt;1,NOT(ISBLANK(B28)))</formula>
    </cfRule>
    <cfRule type="expression" dxfId="2445" priority="557" stopIfTrue="1">
      <formula>AND(COUNTIF($C$4:$C$65536,B28)+COUNTIF($C$1:$C$2,B28)&gt;1,NOT(ISBLANK(B28)))</formula>
    </cfRule>
  </conditionalFormatting>
  <conditionalFormatting sqref="E28">
    <cfRule type="duplicateValues" dxfId="2444" priority="1906" stopIfTrue="1"/>
    <cfRule type="expression" dxfId="2443" priority="1907" stopIfTrue="1">
      <formula>AND(COUNTIF($E$4:$E$65536,E28)+COUNTIF($E$1:$E$2,E28)&gt;1,NOT(ISBLANK(E28)))</formula>
    </cfRule>
    <cfRule type="expression" dxfId="2442" priority="1908" stopIfTrue="1">
      <formula>AND(COUNTIF($E$4:$E$65536,E28)+COUNTIF($E$1:$E$2,E28)&gt;1,NOT(ISBLANK(E28)))</formula>
    </cfRule>
    <cfRule type="expression" dxfId="1281" priority="1909" stopIfTrue="1">
      <formula>AND(COUNTIF($E$486:$E$65536,E28)+COUNTIF($E$1:$E$2,E28)+COUNTIF($E$134:$E$142,E28)+COUNTIF($E$144:$E$483,E28)+COUNTIF($E$8:$E$9,E28)+COUNTIF($E$11:$E$26,E28)+COUNTIF($E$28:$E$132,E28)+COUNTIF($E$4:$E$4,E28)&gt;1,NOT(ISBLANK(E28)))</formula>
    </cfRule>
    <cfRule type="expression" dxfId="1280" priority="1910" stopIfTrue="1">
      <formula>AND(COUNTIF($E$134:$E$142,E28)+COUNTIF($E$1:$E$2,E28)+COUNTIF($E$144:$E$65536,E28)+COUNTIF($E$8:$E$9,E28)+COUNTIF($E$11:$E$26,E28)+COUNTIF($E$28:$E$132,E28)+COUNTIF($E$4:$E$4,E28)&gt;1,NOT(ISBLANK(E28)))</formula>
    </cfRule>
    <cfRule type="expression" dxfId="1279" priority="1911" stopIfTrue="1">
      <formula>AND(COUNTIF($E$8:$E$9,E28)+COUNTIF($E$1:$E$2,E28)+COUNTIF($E$11:$E$26,E28)+COUNTIF($E$28:$E$65536,E28)+COUNTIF($E$4:$E$4,E28)&gt;1,NOT(ISBLANK(E28)))</formula>
    </cfRule>
  </conditionalFormatting>
  <conditionalFormatting sqref="B32">
    <cfRule type="expression" dxfId="2441" priority="554" stopIfTrue="1">
      <formula>AND(COUNTIF($C$134:$F$142,B32)+COUNTIF($C$144:$F$65536,B32)+COUNTIF($C$8:$F$9,B32)+COUNTIF($C$11:$F$26,B32)+COUNTIF($C$28:$F$132,B32)+COUNTIF($C$4:$F$4,B32)+COUNTIF($C$1:$F$2,B32)&gt;1,NOT(ISBLANK(B32)))</formula>
    </cfRule>
    <cfRule type="expression" dxfId="2440" priority="555" stopIfTrue="1">
      <formula>AND(COUNTIF($C$4:$C$65536,B32)+COUNTIF($C$1:$C$2,B32)&gt;1,NOT(ISBLANK(B32)))</formula>
    </cfRule>
  </conditionalFormatting>
  <conditionalFormatting sqref="B34">
    <cfRule type="expression" dxfId="2439" priority="552" stopIfTrue="1">
      <formula>AND(COUNTIF($C$134:$F$142,B34)+COUNTIF($C$144:$F$65536,B34)+COUNTIF($C$8:$F$9,B34)+COUNTIF($C$11:$F$26,B34)+COUNTIF($C$28:$F$132,B34)+COUNTIF($C$4:$F$4,B34)+COUNTIF($C$1:$F$2,B34)&gt;1,NOT(ISBLANK(B34)))</formula>
    </cfRule>
    <cfRule type="expression" dxfId="2438" priority="553" stopIfTrue="1">
      <formula>AND(COUNTIF($C$4:$C$65536,B34)+COUNTIF($C$1:$C$2,B34)&gt;1,NOT(ISBLANK(B34)))</formula>
    </cfRule>
  </conditionalFormatting>
  <conditionalFormatting sqref="B38">
    <cfRule type="expression" dxfId="2437" priority="548" stopIfTrue="1">
      <formula>AND(COUNTIF($C$134:$F$142,B38)+COUNTIF($C$144:$F$65536,B38)+COUNTIF($C$8:$F$9,B38)+COUNTIF($C$11:$F$26,B38)+COUNTIF($C$28:$F$132,B38)+COUNTIF($C$4:$F$4,B38)+COUNTIF($C$1:$F$2,B38)&gt;1,NOT(ISBLANK(B38)))</formula>
    </cfRule>
    <cfRule type="expression" dxfId="2436" priority="549" stopIfTrue="1">
      <formula>AND(COUNTIF($C$4:$C$65536,B38)+COUNTIF($C$1:$C$2,B38)&gt;1,NOT(ISBLANK(B38)))</formula>
    </cfRule>
  </conditionalFormatting>
  <conditionalFormatting sqref="B39">
    <cfRule type="expression" dxfId="2435" priority="550" stopIfTrue="1">
      <formula>AND(COUNTIF($C$134:$F$142,B39)+COUNTIF($C$144:$F$65536,B39)+COUNTIF($C$8:$F$9,B39)+COUNTIF($C$11:$F$26,B39)+COUNTIF($C$28:$F$132,B39)+COUNTIF($C$4:$F$4,B39)+COUNTIF($C$1:$F$2,B39)&gt;1,NOT(ISBLANK(B39)))</formula>
    </cfRule>
    <cfRule type="expression" dxfId="2434" priority="551" stopIfTrue="1">
      <formula>AND(COUNTIF($C$4:$C$65536,B39)+COUNTIF($C$1:$C$2,B39)&gt;1,NOT(ISBLANK(B39)))</formula>
    </cfRule>
  </conditionalFormatting>
  <conditionalFormatting sqref="B41:D41">
    <cfRule type="duplicateValues" dxfId="2433" priority="1527" stopIfTrue="1"/>
    <cfRule type="duplicateValues" dxfId="2432" priority="1528" stopIfTrue="1"/>
  </conditionalFormatting>
  <conditionalFormatting sqref="B41">
    <cfRule type="expression" dxfId="2431" priority="546" stopIfTrue="1">
      <formula>AND(COUNTIF($C$134:$F$142,B41)+COUNTIF($C$144:$F$65536,B41)+COUNTIF($C$8:$F$9,B41)+COUNTIF($C$11:$F$26,B41)+COUNTIF($C$28:$F$132,B41)+COUNTIF($C$4:$F$4,B41)+COUNTIF($C$1:$F$2,B41)&gt;1,NOT(ISBLANK(B41)))</formula>
    </cfRule>
    <cfRule type="expression" dxfId="2430" priority="547" stopIfTrue="1">
      <formula>AND(COUNTIF($C$4:$C$65536,B41)+COUNTIF($C$1:$C$2,B41)&gt;1,NOT(ISBLANK(B41)))</formula>
    </cfRule>
  </conditionalFormatting>
  <conditionalFormatting sqref="B43">
    <cfRule type="expression" dxfId="2429" priority="544" stopIfTrue="1">
      <formula>AND(COUNTIF($C$134:$F$142,B43)+COUNTIF($C$144:$F$65536,B43)+COUNTIF($C$8:$F$9,B43)+COUNTIF($C$11:$F$26,B43)+COUNTIF($C$28:$F$132,B43)+COUNTIF($C$4:$F$4,B43)+COUNTIF($C$1:$F$2,B43)&gt;1,NOT(ISBLANK(B43)))</formula>
    </cfRule>
    <cfRule type="expression" dxfId="2428" priority="545" stopIfTrue="1">
      <formula>AND(COUNTIF($C$4:$C$65536,B43)+COUNTIF($C$1:$C$2,B43)&gt;1,NOT(ISBLANK(B43)))</formula>
    </cfRule>
  </conditionalFormatting>
  <conditionalFormatting sqref="C46:E46">
    <cfRule type="duplicateValues" dxfId="2427" priority="1526" stopIfTrue="1"/>
  </conditionalFormatting>
  <conditionalFormatting sqref="B47">
    <cfRule type="expression" dxfId="2426" priority="542" stopIfTrue="1">
      <formula>AND(COUNTIF($C$134:$F$142,B47)+COUNTIF($C$144:$F$65536,B47)+COUNTIF($C$8:$F$9,B47)+COUNTIF($C$11:$F$26,B47)+COUNTIF($C$28:$F$132,B47)+COUNTIF($C$4:$F$4,B47)+COUNTIF($C$1:$F$2,B47)&gt;1,NOT(ISBLANK(B47)))</formula>
    </cfRule>
    <cfRule type="expression" dxfId="2425" priority="543" stopIfTrue="1">
      <formula>AND(COUNTIF($C$4:$C$65536,B47)+COUNTIF($C$1:$C$2,B47)&gt;1,NOT(ISBLANK(B47)))</formula>
    </cfRule>
  </conditionalFormatting>
  <conditionalFormatting sqref="B50">
    <cfRule type="expression" dxfId="2424" priority="540" stopIfTrue="1">
      <formula>AND(COUNTIF($C$134:$F$142,B50)+COUNTIF($C$144:$F$65536,B50)+COUNTIF($C$8:$F$9,B50)+COUNTIF($C$11:$F$26,B50)+COUNTIF($C$28:$F$132,B50)+COUNTIF($C$4:$F$4,B50)+COUNTIF($C$1:$F$2,B50)&gt;1,NOT(ISBLANK(B50)))</formula>
    </cfRule>
    <cfRule type="expression" dxfId="2423" priority="541" stopIfTrue="1">
      <formula>AND(COUNTIF($C$4:$C$65536,B50)+COUNTIF($C$1:$C$2,B50)&gt;1,NOT(ISBLANK(B50)))</formula>
    </cfRule>
  </conditionalFormatting>
  <conditionalFormatting sqref="D53">
    <cfRule type="duplicateValues" dxfId="2422" priority="1780" stopIfTrue="1"/>
    <cfRule type="duplicateValues" dxfId="2421" priority="1781" stopIfTrue="1"/>
    <cfRule type="duplicateValues" dxfId="2420" priority="1782" stopIfTrue="1"/>
    <cfRule type="duplicateValues" dxfId="1278" priority="1783" stopIfTrue="1"/>
    <cfRule type="expression" dxfId="1277" priority="1784" stopIfTrue="1">
      <formula>AND(COUNTIF($D$4:$D$65536,D53)+COUNTIF($D$1:$D$2,D53)&gt;1,NOT(ISBLANK(D53)))</formula>
    </cfRule>
    <cfRule type="expression" dxfId="1276" priority="1785" stopIfTrue="1">
      <formula>AND(COUNTIF($D$4:$D$65536,D53)+COUNTIF($D$1:$D$2,D53)&gt;1,NOT(ISBLANK(D53)))</formula>
    </cfRule>
    <cfRule type="expression" dxfId="1275" priority="1786" stopIfTrue="1">
      <formula>AND(COUNTIF($D$4:$D$65536,D53)+COUNTIF($D$1:$D$2,D53)&gt;1,NOT(ISBLANK(D53)))</formula>
    </cfRule>
    <cfRule type="expression" dxfId="1274" priority="1787" stopIfTrue="1">
      <formula>AND(COUNTIF($D$8:$D$9,D53)+COUNTIF($D$1:$D$2,D53)+COUNTIF($D$11:$D$26,D53)+COUNTIF($D$28:$D$65536,D53)+COUNTIF($D$4:$D$4,D53)&gt;1,NOT(ISBLANK(D53)))</formula>
    </cfRule>
    <cfRule type="expression" dxfId="1273" priority="1788" stopIfTrue="1">
      <formula>AND(COUNTIF($D$8:$D$9,D53)+COUNTIF($D$1:$D$2,D53)+COUNTIF($D$11:$D$26,D53)+COUNTIF($D$28:$D$65536,D53)+COUNTIF($D$4:$D$4,D53)&gt;1,NOT(ISBLANK(D53)))</formula>
    </cfRule>
    <cfRule type="expression" dxfId="1272" priority="1789" stopIfTrue="1">
      <formula>AND(COUNTIF($D$8:$D$9,D53)+COUNTIF($D$1:$D$2,D53)+COUNTIF($D$11:$D$26,D53)+COUNTIF($D$28:$D$65536,D53)+COUNTIF($D$4:$D$4,D53)&gt;1,NOT(ISBLANK(D53)))</formula>
    </cfRule>
    <cfRule type="expression" dxfId="1271" priority="1790" stopIfTrue="1">
      <formula>AND(COUNTIF($D$134:$D$142,D53)+COUNTIF($D$144:$D$65536,D53)+COUNTIF($D$1:$D$2,D53)+COUNTIF($D$8:$D$9,D53)+COUNTIF($D$11:$D$26,D53)+COUNTIF($D$28:$D$132,D53)+COUNTIF($D$4:$D$4,D53)&gt;1,NOT(ISBLANK(D53)))</formula>
    </cfRule>
    <cfRule type="expression" dxfId="1270" priority="1791" stopIfTrue="1">
      <formula>AND(COUNTIF($D$1:$D$350,D53)+COUNTIF($D$352:$D$372,D53)+COUNTIF($D$374:$D$65536,D53)&gt;1,NOT(ISBLANK(D53)))</formula>
    </cfRule>
    <cfRule type="expression" dxfId="1269" priority="1792" stopIfTrue="1">
      <formula>AND(COUNTIF($D$1:$D$350,D53)+COUNTIF($D$352:$D$372,D53)+COUNTIF($D$374:$D$65536,D53)&gt;1,NOT(ISBLANK(D53)))</formula>
    </cfRule>
    <cfRule type="duplicateValues" dxfId="1268" priority="1793" stopIfTrue="1"/>
    <cfRule type="duplicateValues" dxfId="1267" priority="1794" stopIfTrue="1"/>
    <cfRule type="duplicateValues" dxfId="1266" priority="1795" stopIfTrue="1"/>
    <cfRule type="duplicateValues" dxfId="1265" priority="1796" stopIfTrue="1"/>
  </conditionalFormatting>
  <conditionalFormatting sqref="F53">
    <cfRule type="duplicateValues" dxfId="2419" priority="1894" stopIfTrue="1"/>
    <cfRule type="expression" dxfId="2418" priority="1895" stopIfTrue="1">
      <formula>AND(COUNTIF($F$4:$F$65536,F53)+COUNTIF($F$1:$F$2,F53)&gt;1,NOT(ISBLANK(F53)))</formula>
    </cfRule>
    <cfRule type="expression" dxfId="2417" priority="1896" stopIfTrue="1">
      <formula>AND(COUNTIF($F$4:$F$65536,F53)+COUNTIF($F$1:$F$2,F53)&gt;1,NOT(ISBLANK(F53)))</formula>
    </cfRule>
    <cfRule type="expression" dxfId="1264" priority="1897" stopIfTrue="1">
      <formula>AND(COUNTIF($F$8:$F$9,F53)+COUNTIF($F$1:$F$2,F53)+COUNTIF($F$11:$F$26,F53)+COUNTIF($F$28:$F$65536,F53)+COUNTIF($F$4:$F$4,F53)&gt;1,NOT(ISBLANK(F53)))</formula>
    </cfRule>
    <cfRule type="expression" dxfId="1263" priority="1898" stopIfTrue="1">
      <formula>AND(COUNTIF($F$8:$F$9,F53)+COUNTIF($F$1:$F$2,F53)+COUNTIF($F$11:$F$26,F53)+COUNTIF($F$28:$F$65536,F53)+COUNTIF($F$4:$F$4,F53)&gt;1,NOT(ISBLANK(F53)))</formula>
    </cfRule>
    <cfRule type="expression" dxfId="1262" priority="1899" stopIfTrue="1">
      <formula>AND(COUNTIF($F$8:$F$9,F53)+COUNTIF($F$1:$F$2,F53)+COUNTIF($F$11:$F$26,F53)+COUNTIF($F$28:$F$65536,F53)+COUNTIF($F$4:$F$4,F53)&gt;1,NOT(ISBLANK(F53)))</formula>
    </cfRule>
    <cfRule type="expression" dxfId="1261" priority="1900" stopIfTrue="1">
      <formula>AND(COUNTIF($F$486:$F$65536,F53)+COUNTIF($F$1:$F$2,F53)+COUNTIF($F$134:$F$142,F53)+COUNTIF($F$144:$F$483,F53)+COUNTIF($F$8:$F$9,F53)+COUNTIF($F$11:$F$26,F53)+COUNTIF($F$28:$F$132,F53)+COUNTIF($F$4:$F$4,F53)&gt;1,NOT(ISBLANK(F53)))</formula>
    </cfRule>
    <cfRule type="expression" dxfId="1260" priority="1901" stopIfTrue="1">
      <formula>AND(COUNTIF($F$486:$F$65536,F53)+COUNTIF($F$1:$F$2,F53)+COUNTIF($F$134:$F$142,F53)+COUNTIF($F$144:$F$483,F53)+COUNTIF($F$8:$F$9,F53)+COUNTIF($F$11:$F$26,F53)+COUNTIF($F$28:$F$132,F53)+COUNTIF($F$4:$F$4,F53)&gt;1,NOT(ISBLANK(F53)))</formula>
    </cfRule>
    <cfRule type="expression" dxfId="1259" priority="1902" stopIfTrue="1">
      <formula>AND(COUNTIF($F$486:$F$65536,F53)+COUNTIF($F$1:$F$2,F53)+COUNTIF($F$134:$F$142,F53)+COUNTIF($F$144:$F$483,F53)+COUNTIF($F$8:$F$9,F53)+COUNTIF($F$11:$F$26,F53)+COUNTIF($F$28:$F$132,F53)+COUNTIF($F$4:$F$4,F53)&gt;1,NOT(ISBLANK(F53)))</formula>
    </cfRule>
    <cfRule type="expression" dxfId="1258" priority="1903" stopIfTrue="1">
      <formula>AND(COUNTIF($F$134:$F$142,F53)+COUNTIF($F$1:$F$2,F53)+COUNTIF($F$144:$F$65536,F53)+COUNTIF($F$8:$F$9,F53)+COUNTIF($F$11:$F$26,F53)+COUNTIF($F$28:$F$132,F53)+COUNTIF($F$4:$F$4,F53)&gt;1,NOT(ISBLANK(F53)))</formula>
    </cfRule>
    <cfRule type="expression" dxfId="1257" priority="1904" stopIfTrue="1">
      <formula>AND(COUNTIF($F$134:$F$142,F53)+COUNTIF($F$1:$F$2,F53)+COUNTIF($F$144:$F$65536,F53)+COUNTIF($F$8:$F$9,F53)+COUNTIF($F$11:$F$26,F53)+COUNTIF($F$28:$F$132,F53)+COUNTIF($F$4:$F$4,F53)&gt;1,NOT(ISBLANK(F53)))</formula>
    </cfRule>
    <cfRule type="expression" dxfId="1256" priority="1905" stopIfTrue="1">
      <formula>AND(COUNTIF($F$134:$F$142,F53)+COUNTIF($F$1:$F$2,F53)+COUNTIF($F$144:$F$65536,F53)+COUNTIF($F$8:$F$9,F53)+COUNTIF($F$11:$F$26,F53)+COUNTIF($F$28:$F$132,F53)+COUNTIF($F$4:$F$4,F53)&gt;1,NOT(ISBLANK(F53)))</formula>
    </cfRule>
  </conditionalFormatting>
  <conditionalFormatting sqref="B57:E57">
    <cfRule type="duplicateValues" dxfId="2416" priority="1518" stopIfTrue="1"/>
    <cfRule type="duplicateValues" dxfId="2415" priority="1519" stopIfTrue="1"/>
  </conditionalFormatting>
  <conditionalFormatting sqref="C63">
    <cfRule type="duplicateValues" dxfId="2414" priority="1517" stopIfTrue="1"/>
  </conditionalFormatting>
  <conditionalFormatting sqref="B64">
    <cfRule type="expression" dxfId="2413" priority="534" stopIfTrue="1">
      <formula>AND(COUNTIF($C$134:$F$142,B64)+COUNTIF($C$144:$F$65536,B64)+COUNTIF($C$8:$F$9,B64)+COUNTIF($C$11:$F$26,B64)+COUNTIF($C$28:$F$132,B64)+COUNTIF($C$4:$F$4,B64)+COUNTIF($C$1:$F$2,B64)&gt;1,NOT(ISBLANK(B64)))</formula>
    </cfRule>
    <cfRule type="expression" dxfId="2412" priority="535" stopIfTrue="1">
      <formula>AND(COUNTIF($C$4:$C$65536,B64)+COUNTIF($C$1:$C$2,B64)&gt;1,NOT(ISBLANK(B64)))</formula>
    </cfRule>
  </conditionalFormatting>
  <conditionalFormatting sqref="B69">
    <cfRule type="expression" dxfId="2411" priority="530" stopIfTrue="1">
      <formula>AND(COUNTIF($C$134:$F$142,B69)+COUNTIF($C$144:$F$65536,B69)+COUNTIF($C$8:$F$9,B69)+COUNTIF($C$11:$F$26,B69)+COUNTIF($C$28:$F$132,B69)+COUNTIF($C$4:$F$4,B69)+COUNTIF($C$1:$F$2,B69)&gt;1,NOT(ISBLANK(B69)))</formula>
    </cfRule>
    <cfRule type="expression" dxfId="2410" priority="531" stopIfTrue="1">
      <formula>AND(COUNTIF($C$4:$C$65536,B69)+COUNTIF($C$1:$C$2,B69)&gt;1,NOT(ISBLANK(B69)))</formula>
    </cfRule>
  </conditionalFormatting>
  <conditionalFormatting sqref="B71">
    <cfRule type="expression" dxfId="2409" priority="528" stopIfTrue="1">
      <formula>AND(COUNTIF($C$134:$F$142,B71)+COUNTIF($C$144:$F$65536,B71)+COUNTIF($C$8:$F$9,B71)+COUNTIF($C$11:$F$26,B71)+COUNTIF($C$28:$F$132,B71)+COUNTIF($C$4:$F$4,B71)+COUNTIF($C$1:$F$2,B71)&gt;1,NOT(ISBLANK(B71)))</formula>
    </cfRule>
    <cfRule type="expression" dxfId="2408" priority="529" stopIfTrue="1">
      <formula>AND(COUNTIF($C$4:$C$65536,B71)+COUNTIF($C$1:$C$2,B71)&gt;1,NOT(ISBLANK(B71)))</formula>
    </cfRule>
  </conditionalFormatting>
  <conditionalFormatting sqref="B74">
    <cfRule type="expression" dxfId="2407" priority="526" stopIfTrue="1">
      <formula>AND(COUNTIF($C$134:$F$142,B74)+COUNTIF($C$144:$F$65536,B74)+COUNTIF($C$8:$F$9,B74)+COUNTIF($C$11:$F$26,B74)+COUNTIF($C$28:$F$132,B74)+COUNTIF($C$4:$F$4,B74)+COUNTIF($C$1:$F$2,B74)&gt;1,NOT(ISBLANK(B74)))</formula>
    </cfRule>
    <cfRule type="expression" dxfId="2406" priority="527" stopIfTrue="1">
      <formula>AND(COUNTIF($C$4:$C$65536,B74)+COUNTIF($C$1:$C$2,B74)&gt;1,NOT(ISBLANK(B74)))</formula>
    </cfRule>
  </conditionalFormatting>
  <conditionalFormatting sqref="B77">
    <cfRule type="expression" dxfId="2405" priority="524" stopIfTrue="1">
      <formula>AND(COUNTIF($C$134:$F$142,B77)+COUNTIF($C$144:$F$65536,B77)+COUNTIF($C$8:$F$9,B77)+COUNTIF($C$11:$F$26,B77)+COUNTIF($C$28:$F$132,B77)+COUNTIF($C$4:$F$4,B77)+COUNTIF($C$1:$F$2,B77)&gt;1,NOT(ISBLANK(B77)))</formula>
    </cfRule>
    <cfRule type="expression" dxfId="2404" priority="525" stopIfTrue="1">
      <formula>AND(COUNTIF($C$4:$C$65536,B77)+COUNTIF($C$1:$C$2,B77)&gt;1,NOT(ISBLANK(B77)))</formula>
    </cfRule>
  </conditionalFormatting>
  <conditionalFormatting sqref="D77">
    <cfRule type="duplicateValues" dxfId="2403" priority="1489" stopIfTrue="1"/>
    <cfRule type="duplicateValues" dxfId="2402" priority="1492" stopIfTrue="1"/>
    <cfRule type="duplicateValues" dxfId="2401" priority="1494" stopIfTrue="1"/>
    <cfRule type="duplicateValues" dxfId="1255" priority="1495" stopIfTrue="1"/>
    <cfRule type="duplicateValues" dxfId="1254" priority="1497" stopIfTrue="1"/>
    <cfRule type="duplicateValues" dxfId="1253" priority="1498" stopIfTrue="1"/>
    <cfRule type="duplicateValues" dxfId="1252" priority="1499" stopIfTrue="1"/>
    <cfRule type="duplicateValues" dxfId="1251" priority="1500" stopIfTrue="1"/>
    <cfRule type="duplicateValues" dxfId="1250" priority="1501" stopIfTrue="1"/>
    <cfRule type="duplicateValues" dxfId="1249" priority="1502" stopIfTrue="1"/>
  </conditionalFormatting>
  <conditionalFormatting sqref="E77">
    <cfRule type="duplicateValues" dxfId="2400" priority="1493" stopIfTrue="1"/>
  </conditionalFormatting>
  <conditionalFormatting sqref="F77">
    <cfRule type="duplicateValues" dxfId="2399" priority="1488" stopIfTrue="1"/>
    <cfRule type="duplicateValues" dxfId="2398" priority="1490" stopIfTrue="1"/>
    <cfRule type="duplicateValues" dxfId="2397" priority="1491" stopIfTrue="1"/>
    <cfRule type="duplicateValues" dxfId="1248" priority="1496" stopIfTrue="1"/>
  </conditionalFormatting>
  <conditionalFormatting sqref="B79">
    <cfRule type="expression" dxfId="2396" priority="522" stopIfTrue="1">
      <formula>AND(COUNTIF($C$134:$F$142,B79)+COUNTIF($C$144:$F$65536,B79)+COUNTIF($C$8:$F$9,B79)+COUNTIF($C$11:$F$26,B79)+COUNTIF($C$28:$F$132,B79)+COUNTIF($C$4:$F$4,B79)+COUNTIF($C$1:$F$2,B79)&gt;1,NOT(ISBLANK(B79)))</formula>
    </cfRule>
    <cfRule type="expression" dxfId="2395" priority="523" stopIfTrue="1">
      <formula>AND(COUNTIF($C$4:$C$65536,B79)+COUNTIF($C$1:$C$2,B79)&gt;1,NOT(ISBLANK(B79)))</formula>
    </cfRule>
  </conditionalFormatting>
  <conditionalFormatting sqref="D80">
    <cfRule type="duplicateValues" dxfId="2394" priority="1515" stopIfTrue="1"/>
    <cfRule type="duplicateValues" dxfId="2393" priority="1516" stopIfTrue="1"/>
  </conditionalFormatting>
  <conditionalFormatting sqref="D82">
    <cfRule type="duplicateValues" dxfId="2392" priority="1504" stopIfTrue="1"/>
    <cfRule type="duplicateValues" dxfId="2391" priority="1506" stopIfTrue="1"/>
    <cfRule type="duplicateValues" dxfId="2390" priority="1507" stopIfTrue="1"/>
    <cfRule type="duplicateValues" dxfId="1247" priority="1509" stopIfTrue="1"/>
    <cfRule type="duplicateValues" dxfId="1246" priority="1510" stopIfTrue="1"/>
    <cfRule type="duplicateValues" dxfId="1245" priority="1511" stopIfTrue="1"/>
    <cfRule type="duplicateValues" dxfId="1244" priority="1512" stopIfTrue="1"/>
    <cfRule type="duplicateValues" dxfId="1243" priority="1513" stopIfTrue="1"/>
    <cfRule type="duplicateValues" dxfId="1242" priority="1514" stopIfTrue="1"/>
  </conditionalFormatting>
  <conditionalFormatting sqref="E82">
    <cfRule type="duplicateValues" dxfId="2389" priority="1505" stopIfTrue="1"/>
  </conditionalFormatting>
  <conditionalFormatting sqref="F82">
    <cfRule type="duplicateValues" dxfId="2388" priority="1503" stopIfTrue="1"/>
    <cfRule type="duplicateValues" dxfId="2387" priority="1508" stopIfTrue="1"/>
  </conditionalFormatting>
  <conditionalFormatting sqref="B83">
    <cfRule type="expression" dxfId="2386" priority="518" stopIfTrue="1">
      <formula>AND(COUNTIF($C$134:$F$142,B83)+COUNTIF($C$144:$F$65536,B83)+COUNTIF($C$8:$F$9,B83)+COUNTIF($C$11:$F$26,B83)+COUNTIF($C$28:$F$132,B83)+COUNTIF($C$4:$F$4,B83)+COUNTIF($C$1:$F$2,B83)&gt;1,NOT(ISBLANK(B83)))</formula>
    </cfRule>
    <cfRule type="expression" dxfId="2385" priority="519" stopIfTrue="1">
      <formula>AND(COUNTIF($C$4:$C$65536,B83)+COUNTIF($C$1:$C$2,B83)&gt;1,NOT(ISBLANK(B83)))</formula>
    </cfRule>
  </conditionalFormatting>
  <conditionalFormatting sqref="B85">
    <cfRule type="expression" dxfId="2384" priority="516" stopIfTrue="1">
      <formula>AND(COUNTIF($C$134:$F$142,B85)+COUNTIF($C$144:$F$65536,B85)+COUNTIF($C$8:$F$9,B85)+COUNTIF($C$11:$F$26,B85)+COUNTIF($C$28:$F$132,B85)+COUNTIF($C$4:$F$4,B85)+COUNTIF($C$1:$F$2,B85)&gt;1,NOT(ISBLANK(B85)))</formula>
    </cfRule>
    <cfRule type="expression" dxfId="2383" priority="517" stopIfTrue="1">
      <formula>AND(COUNTIF($C$4:$C$65536,B85)+COUNTIF($C$1:$C$2,B85)&gt;1,NOT(ISBLANK(B85)))</formula>
    </cfRule>
  </conditionalFormatting>
  <conditionalFormatting sqref="B87:E87">
    <cfRule type="duplicateValues" dxfId="2382" priority="1523" stopIfTrue="1"/>
  </conditionalFormatting>
  <conditionalFormatting sqref="B87:F87">
    <cfRule type="duplicateValues" dxfId="2381" priority="1525" stopIfTrue="1"/>
  </conditionalFormatting>
  <conditionalFormatting sqref="B87">
    <cfRule type="expression" dxfId="2380" priority="514" stopIfTrue="1">
      <formula>AND(COUNTIF($C$134:$F$142,B87)+COUNTIF($C$144:$F$65536,B87)+COUNTIF($C$8:$F$9,B87)+COUNTIF($C$11:$F$26,B87)+COUNTIF($C$28:$F$132,B87)+COUNTIF($C$4:$F$4,B87)+COUNTIF($C$1:$F$2,B87)&gt;1,NOT(ISBLANK(B87)))</formula>
    </cfRule>
    <cfRule type="expression" dxfId="2379" priority="515" stopIfTrue="1">
      <formula>AND(COUNTIF($C$4:$C$65536,B87)+COUNTIF($C$1:$C$2,B87)&gt;1,NOT(ISBLANK(B87)))</formula>
    </cfRule>
  </conditionalFormatting>
  <conditionalFormatting sqref="F87">
    <cfRule type="duplicateValues" dxfId="2378" priority="1520" stopIfTrue="1"/>
    <cfRule type="duplicateValues" dxfId="2377" priority="1521" stopIfTrue="1"/>
    <cfRule type="duplicateValues" dxfId="2376" priority="1522" stopIfTrue="1"/>
    <cfRule type="duplicateValues" dxfId="1241" priority="1524" stopIfTrue="1"/>
  </conditionalFormatting>
  <conditionalFormatting sqref="B91">
    <cfRule type="expression" dxfId="2375" priority="512" stopIfTrue="1">
      <formula>AND(COUNTIF($C$134:$F$142,B91)+COUNTIF($C$144:$F$65536,B91)+COUNTIF($C$8:$F$9,B91)+COUNTIF($C$11:$F$26,B91)+COUNTIF($C$28:$F$132,B91)+COUNTIF($C$4:$F$4,B91)+COUNTIF($C$1:$F$2,B91)&gt;1,NOT(ISBLANK(B91)))</formula>
    </cfRule>
    <cfRule type="expression" dxfId="2374" priority="513" stopIfTrue="1">
      <formula>AND(COUNTIF($C$4:$C$65536,B91)+COUNTIF($C$1:$C$2,B91)&gt;1,NOT(ISBLANK(B91)))</formula>
    </cfRule>
  </conditionalFormatting>
  <conditionalFormatting sqref="B92">
    <cfRule type="expression" dxfId="2373" priority="510" stopIfTrue="1">
      <formula>AND(COUNTIF($C$134:$F$142,B92)+COUNTIF($C$144:$F$65536,B92)+COUNTIF($C$8:$F$9,B92)+COUNTIF($C$11:$F$26,B92)+COUNTIF($C$28:$F$132,B92)+COUNTIF($C$4:$F$4,B92)+COUNTIF($C$1:$F$2,B92)&gt;1,NOT(ISBLANK(B92)))</formula>
    </cfRule>
    <cfRule type="expression" dxfId="2372" priority="511" stopIfTrue="1">
      <formula>AND(COUNTIF($C$4:$C$65536,B92)+COUNTIF($C$1:$C$2,B92)&gt;1,NOT(ISBLANK(B92)))</formula>
    </cfRule>
  </conditionalFormatting>
  <conditionalFormatting sqref="B95">
    <cfRule type="expression" dxfId="2371" priority="508" stopIfTrue="1">
      <formula>AND(COUNTIF($C$134:$F$142,B95)+COUNTIF($C$144:$F$65536,B95)+COUNTIF($C$8:$F$9,B95)+COUNTIF($C$11:$F$26,B95)+COUNTIF($C$28:$F$132,B95)+COUNTIF($C$4:$F$4,B95)+COUNTIF($C$1:$F$2,B95)&gt;1,NOT(ISBLANK(B95)))</formula>
    </cfRule>
    <cfRule type="expression" dxfId="2370" priority="509" stopIfTrue="1">
      <formula>AND(COUNTIF($C$4:$C$65536,B95)+COUNTIF($C$1:$C$2,B95)&gt;1,NOT(ISBLANK(B95)))</formula>
    </cfRule>
  </conditionalFormatting>
  <conditionalFormatting sqref="B97">
    <cfRule type="expression" dxfId="2369" priority="506" stopIfTrue="1">
      <formula>AND(COUNTIF($C$134:$F$142,B97)+COUNTIF($C$144:$F$65536,B97)+COUNTIF($C$8:$F$9,B97)+COUNTIF($C$11:$F$26,B97)+COUNTIF($C$28:$F$132,B97)+COUNTIF($C$4:$F$4,B97)+COUNTIF($C$1:$F$2,B97)&gt;1,NOT(ISBLANK(B97)))</formula>
    </cfRule>
    <cfRule type="expression" dxfId="2368" priority="507" stopIfTrue="1">
      <formula>AND(COUNTIF($C$4:$C$65536,B97)+COUNTIF($C$1:$C$2,B97)&gt;1,NOT(ISBLANK(B97)))</formula>
    </cfRule>
  </conditionalFormatting>
  <conditionalFormatting sqref="B99">
    <cfRule type="expression" dxfId="2367" priority="504" stopIfTrue="1">
      <formula>AND(COUNTIF($C$134:$F$142,B99)+COUNTIF($C$144:$F$65536,B99)+COUNTIF($C$8:$F$9,B99)+COUNTIF($C$11:$F$26,B99)+COUNTIF($C$28:$F$132,B99)+COUNTIF($C$4:$F$4,B99)+COUNTIF($C$1:$F$2,B99)&gt;1,NOT(ISBLANK(B99)))</formula>
    </cfRule>
    <cfRule type="expression" dxfId="2366" priority="505" stopIfTrue="1">
      <formula>AND(COUNTIF($C$4:$C$65536,B99)+COUNTIF($C$1:$C$2,B99)&gt;1,NOT(ISBLANK(B99)))</formula>
    </cfRule>
  </conditionalFormatting>
  <conditionalFormatting sqref="B105">
    <cfRule type="expression" dxfId="2365" priority="502" stopIfTrue="1">
      <formula>AND(COUNTIF($C$134:$F$142,B105)+COUNTIF($C$144:$F$65536,B105)+COUNTIF($C$8:$F$9,B105)+COUNTIF($C$11:$F$26,B105)+COUNTIF($C$28:$F$132,B105)+COUNTIF($C$4:$F$4,B105)+COUNTIF($C$1:$F$2,B105)&gt;1,NOT(ISBLANK(B105)))</formula>
    </cfRule>
    <cfRule type="expression" dxfId="2364" priority="503" stopIfTrue="1">
      <formula>AND(COUNTIF($C$4:$C$65536,B105)+COUNTIF($C$1:$C$2,B105)&gt;1,NOT(ISBLANK(B105)))</formula>
    </cfRule>
  </conditionalFormatting>
  <conditionalFormatting sqref="B107">
    <cfRule type="expression" dxfId="2363" priority="500" stopIfTrue="1">
      <formula>AND(COUNTIF($C$134:$F$142,B107)+COUNTIF($C$144:$F$65536,B107)+COUNTIF($C$8:$F$9,B107)+COUNTIF($C$11:$F$26,B107)+COUNTIF($C$28:$F$132,B107)+COUNTIF($C$4:$F$4,B107)+COUNTIF($C$1:$F$2,B107)&gt;1,NOT(ISBLANK(B107)))</formula>
    </cfRule>
    <cfRule type="expression" dxfId="2362" priority="501" stopIfTrue="1">
      <formula>AND(COUNTIF($C$4:$C$65536,B107)+COUNTIF($C$1:$C$2,B107)&gt;1,NOT(ISBLANK(B107)))</formula>
    </cfRule>
  </conditionalFormatting>
  <conditionalFormatting sqref="B113">
    <cfRule type="expression" dxfId="2361" priority="496" stopIfTrue="1">
      <formula>AND(COUNTIF($C$134:$F$142,B113)+COUNTIF($C$144:$F$65536,B113)+COUNTIF($C$8:$F$9,B113)+COUNTIF($C$11:$F$26,B113)+COUNTIF($C$28:$F$132,B113)+COUNTIF($C$4:$F$4,B113)+COUNTIF($C$1:$F$2,B113)&gt;1,NOT(ISBLANK(B113)))</formula>
    </cfRule>
    <cfRule type="expression" dxfId="2360" priority="497" stopIfTrue="1">
      <formula>AND(COUNTIF($C$4:$C$65536,B113)+COUNTIF($C$1:$C$2,B113)&gt;1,NOT(ISBLANK(B113)))</formula>
    </cfRule>
  </conditionalFormatting>
  <conditionalFormatting sqref="B119">
    <cfRule type="expression" dxfId="2359" priority="492" stopIfTrue="1">
      <formula>AND(COUNTIF($C$134:$F$142,B119)+COUNTIF($C$144:$F$65536,B119)+COUNTIF($C$8:$F$9,B119)+COUNTIF($C$11:$F$26,B119)+COUNTIF($C$28:$F$132,B119)+COUNTIF($C$4:$F$4,B119)+COUNTIF($C$1:$F$2,B119)&gt;1,NOT(ISBLANK(B119)))</formula>
    </cfRule>
    <cfRule type="expression" dxfId="2358" priority="493" stopIfTrue="1">
      <formula>AND(COUNTIF($C$4:$C$65536,B119)+COUNTIF($C$1:$C$2,B119)&gt;1,NOT(ISBLANK(B119)))</formula>
    </cfRule>
  </conditionalFormatting>
  <conditionalFormatting sqref="B122">
    <cfRule type="expression" dxfId="2357" priority="490" stopIfTrue="1">
      <formula>AND(COUNTIF($C$134:$F$142,B122)+COUNTIF($C$144:$F$65536,B122)+COUNTIF($C$8:$F$9,B122)+COUNTIF($C$11:$F$26,B122)+COUNTIF($C$28:$F$132,B122)+COUNTIF($C$4:$F$4,B122)+COUNTIF($C$1:$F$2,B122)&gt;1,NOT(ISBLANK(B122)))</formula>
    </cfRule>
    <cfRule type="expression" dxfId="2356" priority="491" stopIfTrue="1">
      <formula>AND(COUNTIF($C$4:$C$65536,B122)+COUNTIF($C$1:$C$2,B122)&gt;1,NOT(ISBLANK(B122)))</formula>
    </cfRule>
  </conditionalFormatting>
  <conditionalFormatting sqref="B126">
    <cfRule type="expression" dxfId="2355" priority="488" stopIfTrue="1">
      <formula>AND(COUNTIF($C$134:$F$142,B126)+COUNTIF($C$144:$F$65536,B126)+COUNTIF($C$8:$F$9,B126)+COUNTIF($C$11:$F$26,B126)+COUNTIF($C$28:$F$132,B126)+COUNTIF($C$4:$F$4,B126)+COUNTIF($C$1:$F$2,B126)&gt;1,NOT(ISBLANK(B126)))</formula>
    </cfRule>
    <cfRule type="expression" dxfId="2354" priority="489" stopIfTrue="1">
      <formula>AND(COUNTIF($C$4:$C$65536,B126)+COUNTIF($C$1:$C$2,B126)&gt;1,NOT(ISBLANK(B126)))</formula>
    </cfRule>
  </conditionalFormatting>
  <conditionalFormatting sqref="B130">
    <cfRule type="expression" dxfId="2353" priority="486" stopIfTrue="1">
      <formula>AND(COUNTIF($C$134:$F$142,B130)+COUNTIF($C$144:$F$65536,B130)+COUNTIF($C$8:$F$9,B130)+COUNTIF($C$11:$F$26,B130)+COUNTIF($C$28:$F$132,B130)+COUNTIF($C$4:$F$4,B130)+COUNTIF($C$1:$F$2,B130)&gt;1,NOT(ISBLANK(B130)))</formula>
    </cfRule>
    <cfRule type="expression" dxfId="2352" priority="487" stopIfTrue="1">
      <formula>AND(COUNTIF($C$4:$C$65536,B130)+COUNTIF($C$1:$C$2,B130)&gt;1,NOT(ISBLANK(B130)))</formula>
    </cfRule>
  </conditionalFormatting>
  <conditionalFormatting sqref="B133">
    <cfRule type="expression" dxfId="2351" priority="484" stopIfTrue="1">
      <formula>AND(COUNTIF($C$134:$F$142,B133)+COUNTIF($C$144:$F$65536,B133)+COUNTIF($C$8:$F$9,B133)+COUNTIF($C$11:$F$26,B133)+COUNTIF($C$28:$F$132,B133)+COUNTIF($C$4:$F$4,B133)+COUNTIF($C$1:$F$2,B133)&gt;1,NOT(ISBLANK(B133)))</formula>
    </cfRule>
    <cfRule type="expression" dxfId="2350" priority="485" stopIfTrue="1">
      <formula>AND(COUNTIF($C$4:$C$65536,B133)+COUNTIF($C$1:$C$2,B133)&gt;1,NOT(ISBLANK(B133)))</formula>
    </cfRule>
  </conditionalFormatting>
  <conditionalFormatting sqref="D133">
    <cfRule type="duplicateValues" dxfId="2349" priority="1036" stopIfTrue="1"/>
    <cfRule type="duplicateValues" dxfId="2348" priority="1039" stopIfTrue="1"/>
    <cfRule type="duplicateValues" dxfId="2347" priority="1041" stopIfTrue="1"/>
    <cfRule type="duplicateValues" dxfId="1240" priority="1042" stopIfTrue="1"/>
    <cfRule type="duplicateValues" dxfId="1239" priority="1044" stopIfTrue="1"/>
    <cfRule type="duplicateValues" dxfId="1238" priority="1045" stopIfTrue="1"/>
    <cfRule type="duplicateValues" dxfId="1237" priority="1046" stopIfTrue="1"/>
    <cfRule type="duplicateValues" dxfId="1236" priority="1047" stopIfTrue="1"/>
    <cfRule type="duplicateValues" dxfId="1235" priority="1048" stopIfTrue="1"/>
    <cfRule type="duplicateValues" dxfId="1234" priority="1049" stopIfTrue="1"/>
  </conditionalFormatting>
  <conditionalFormatting sqref="E133">
    <cfRule type="duplicateValues" dxfId="2346" priority="1031" stopIfTrue="1"/>
    <cfRule type="duplicateValues" dxfId="2345" priority="1032" stopIfTrue="1"/>
    <cfRule type="duplicateValues" dxfId="2344" priority="1033" stopIfTrue="1"/>
    <cfRule type="duplicateValues" dxfId="1233" priority="1034" stopIfTrue="1"/>
    <cfRule type="duplicateValues" dxfId="1232" priority="1040" stopIfTrue="1"/>
  </conditionalFormatting>
  <conditionalFormatting sqref="F133">
    <cfRule type="duplicateValues" dxfId="2343" priority="1030" stopIfTrue="1"/>
    <cfRule type="duplicateValues" dxfId="2342" priority="1035" stopIfTrue="1"/>
    <cfRule type="duplicateValues" dxfId="2341" priority="1037" stopIfTrue="1"/>
    <cfRule type="duplicateValues" dxfId="1231" priority="1038" stopIfTrue="1"/>
    <cfRule type="duplicateValues" dxfId="1230" priority="1043" stopIfTrue="1"/>
  </conditionalFormatting>
  <conditionalFormatting sqref="B135">
    <cfRule type="expression" dxfId="2340" priority="482" stopIfTrue="1">
      <formula>AND(COUNTIF($C$134:$F$142,B135)+COUNTIF($C$144:$F$65536,B135)+COUNTIF($C$8:$F$9,B135)+COUNTIF($C$11:$F$26,B135)+COUNTIF($C$28:$F$132,B135)+COUNTIF($C$4:$F$4,B135)+COUNTIF($C$1:$F$2,B135)&gt;1,NOT(ISBLANK(B135)))</formula>
    </cfRule>
    <cfRule type="expression" dxfId="2339" priority="483" stopIfTrue="1">
      <formula>AND(COUNTIF($C$4:$C$65536,B135)+COUNTIF($C$1:$C$2,B135)&gt;1,NOT(ISBLANK(B135)))</formula>
    </cfRule>
  </conditionalFormatting>
  <conditionalFormatting sqref="B138">
    <cfRule type="expression" dxfId="2338" priority="480" stopIfTrue="1">
      <formula>AND(COUNTIF($C$134:$F$142,B138)+COUNTIF($C$144:$F$65536,B138)+COUNTIF($C$8:$F$9,B138)+COUNTIF($C$11:$F$26,B138)+COUNTIF($C$28:$F$132,B138)+COUNTIF($C$4:$F$4,B138)+COUNTIF($C$1:$F$2,B138)&gt;1,NOT(ISBLANK(B138)))</formula>
    </cfRule>
    <cfRule type="expression" dxfId="2337" priority="481" stopIfTrue="1">
      <formula>AND(COUNTIF($C$4:$C$65536,B138)+COUNTIF($C$1:$C$2,B138)&gt;1,NOT(ISBLANK(B138)))</formula>
    </cfRule>
  </conditionalFormatting>
  <conditionalFormatting sqref="D141">
    <cfRule type="duplicateValues" dxfId="2336" priority="1056" stopIfTrue="1"/>
    <cfRule type="duplicateValues" dxfId="2335" priority="1059" stopIfTrue="1"/>
    <cfRule type="duplicateValues" dxfId="2334" priority="1061" stopIfTrue="1"/>
    <cfRule type="duplicateValues" dxfId="1229" priority="1062" stopIfTrue="1"/>
    <cfRule type="duplicateValues" dxfId="1228" priority="1064" stopIfTrue="1"/>
    <cfRule type="duplicateValues" dxfId="1227" priority="1065" stopIfTrue="1"/>
    <cfRule type="duplicateValues" dxfId="1226" priority="1066" stopIfTrue="1"/>
    <cfRule type="duplicateValues" dxfId="1225" priority="1067" stopIfTrue="1"/>
    <cfRule type="duplicateValues" dxfId="1224" priority="1068" stopIfTrue="1"/>
    <cfRule type="duplicateValues" dxfId="1223" priority="1069" stopIfTrue="1"/>
  </conditionalFormatting>
  <conditionalFormatting sqref="E141">
    <cfRule type="duplicateValues" dxfId="2333" priority="1051" stopIfTrue="1"/>
    <cfRule type="duplicateValues" dxfId="2332" priority="1052" stopIfTrue="1"/>
    <cfRule type="duplicateValues" dxfId="2331" priority="1053" stopIfTrue="1"/>
    <cfRule type="duplicateValues" dxfId="1222" priority="1054" stopIfTrue="1"/>
    <cfRule type="duplicateValues" dxfId="1221" priority="1060" stopIfTrue="1"/>
  </conditionalFormatting>
  <conditionalFormatting sqref="F141">
    <cfRule type="duplicateValues" dxfId="2330" priority="1050" stopIfTrue="1"/>
    <cfRule type="duplicateValues" dxfId="2329" priority="1055" stopIfTrue="1"/>
    <cfRule type="duplicateValues" dxfId="2328" priority="1057" stopIfTrue="1"/>
    <cfRule type="duplicateValues" dxfId="1220" priority="1058" stopIfTrue="1"/>
    <cfRule type="duplicateValues" dxfId="1219" priority="1063" stopIfTrue="1"/>
  </conditionalFormatting>
  <conditionalFormatting sqref="B146:F146">
    <cfRule type="duplicateValues" dxfId="2327" priority="1406" stopIfTrue="1"/>
    <cfRule type="duplicateValues" dxfId="2326" priority="1411" stopIfTrue="1"/>
    <cfRule type="duplicateValues" dxfId="2325" priority="1412" stopIfTrue="1"/>
    <cfRule type="duplicateValues" dxfId="1218" priority="1415" stopIfTrue="1"/>
    <cfRule type="duplicateValues" dxfId="1217" priority="1424" stopIfTrue="1"/>
  </conditionalFormatting>
  <conditionalFormatting sqref="C146">
    <cfRule type="expression" dxfId="2324" priority="218" stopIfTrue="1">
      <formula>AND(COUNTIF($C$134:$F$142,C146)+COUNTIF($C$144:$F$65536,C146)+COUNTIF($C$8:$F$9,C146)+COUNTIF($C$11:$F$26,C146)+COUNTIF($C$28:$F$132,C146)+COUNTIF($C$4:$F$4,C146)+COUNTIF($C$1:$F$2,C146)&gt;1,NOT(ISBLANK(C146)))</formula>
    </cfRule>
  </conditionalFormatting>
  <conditionalFormatting sqref="D146">
    <cfRule type="duplicateValues" dxfId="2323" priority="1409" stopIfTrue="1"/>
  </conditionalFormatting>
  <conditionalFormatting sqref="E146">
    <cfRule type="duplicateValues" dxfId="2322" priority="1408" stopIfTrue="1"/>
    <cfRule type="duplicateValues" dxfId="2321" priority="1416" stopIfTrue="1"/>
  </conditionalFormatting>
  <conditionalFormatting sqref="F146">
    <cfRule type="duplicateValues" dxfId="2320" priority="1407" stopIfTrue="1"/>
    <cfRule type="duplicateValues" dxfId="2319" priority="1410" stopIfTrue="1"/>
    <cfRule type="duplicateValues" dxfId="2318" priority="1413" stopIfTrue="1"/>
    <cfRule type="duplicateValues" dxfId="1216" priority="1414" stopIfTrue="1"/>
    <cfRule type="duplicateValues" dxfId="1215" priority="1417" stopIfTrue="1"/>
    <cfRule type="duplicateValues" dxfId="1214" priority="1418" stopIfTrue="1"/>
    <cfRule type="duplicateValues" dxfId="1213" priority="1419" stopIfTrue="1"/>
    <cfRule type="duplicateValues" dxfId="1212" priority="1420"/>
    <cfRule type="duplicateValues" dxfId="1211" priority="1421" stopIfTrue="1"/>
    <cfRule type="duplicateValues" dxfId="1210" priority="1422" stopIfTrue="1"/>
    <cfRule type="duplicateValues" dxfId="1209" priority="1423" stopIfTrue="1"/>
    <cfRule type="duplicateValues" dxfId="1208" priority="1425" stopIfTrue="1"/>
  </conditionalFormatting>
  <conditionalFormatting sqref="B148">
    <cfRule type="expression" dxfId="2317" priority="474" stopIfTrue="1">
      <formula>AND(COUNTIF($C$134:$F$142,B148)+COUNTIF($C$144:$F$65536,B148)+COUNTIF($C$8:$F$9,B148)+COUNTIF($C$11:$F$26,B148)+COUNTIF($C$28:$F$132,B148)+COUNTIF($C$4:$F$4,B148)+COUNTIF($C$1:$F$2,B148)&gt;1,NOT(ISBLANK(B148)))</formula>
    </cfRule>
    <cfRule type="expression" dxfId="2316" priority="475" stopIfTrue="1">
      <formula>AND(COUNTIF($C$4:$C$65536,B148)+COUNTIF($C$1:$C$2,B148)&gt;1,NOT(ISBLANK(B148)))</formula>
    </cfRule>
  </conditionalFormatting>
  <conditionalFormatting sqref="B152">
    <cfRule type="expression" dxfId="2315" priority="472" stopIfTrue="1">
      <formula>AND(COUNTIF($C$134:$F$142,B152)+COUNTIF($C$144:$F$65536,B152)+COUNTIF($C$8:$F$9,B152)+COUNTIF($C$11:$F$26,B152)+COUNTIF($C$28:$F$132,B152)+COUNTIF($C$4:$F$4,B152)+COUNTIF($C$1:$F$2,B152)&gt;1,NOT(ISBLANK(B152)))</formula>
    </cfRule>
    <cfRule type="expression" dxfId="2314" priority="473" stopIfTrue="1">
      <formula>AND(COUNTIF($C$4:$C$65536,B152)+COUNTIF($C$1:$C$2,B152)&gt;1,NOT(ISBLANK(B152)))</formula>
    </cfRule>
  </conditionalFormatting>
  <conditionalFormatting sqref="B154">
    <cfRule type="expression" dxfId="2313" priority="470" stopIfTrue="1">
      <formula>AND(COUNTIF($C$134:$F$142,B154)+COUNTIF($C$144:$F$65536,B154)+COUNTIF($C$8:$F$9,B154)+COUNTIF($C$11:$F$26,B154)+COUNTIF($C$28:$F$132,B154)+COUNTIF($C$4:$F$4,B154)+COUNTIF($C$1:$F$2,B154)&gt;1,NOT(ISBLANK(B154)))</formula>
    </cfRule>
    <cfRule type="expression" dxfId="2312" priority="471" stopIfTrue="1">
      <formula>AND(COUNTIF($C$4:$C$65536,B154)+COUNTIF($C$1:$C$2,B154)&gt;1,NOT(ISBLANK(B154)))</formula>
    </cfRule>
  </conditionalFormatting>
  <conditionalFormatting sqref="B156:F156">
    <cfRule type="duplicateValues" dxfId="2311" priority="1386" stopIfTrue="1"/>
    <cfRule type="duplicateValues" dxfId="2310" priority="1391" stopIfTrue="1"/>
    <cfRule type="duplicateValues" dxfId="2309" priority="1392" stopIfTrue="1"/>
    <cfRule type="duplicateValues" dxfId="1207" priority="1395" stopIfTrue="1"/>
    <cfRule type="duplicateValues" dxfId="1206" priority="1404" stopIfTrue="1"/>
  </conditionalFormatting>
  <conditionalFormatting sqref="C156">
    <cfRule type="expression" dxfId="2308" priority="211" stopIfTrue="1">
      <formula>AND(COUNTIF($C$134:$F$142,C156)+COUNTIF($C$144:$F$65536,C156)+COUNTIF($C$8:$F$9,C156)+COUNTIF($C$11:$F$26,C156)+COUNTIF($C$28:$F$132,C156)+COUNTIF($C$4:$F$4,C156)+COUNTIF($C$1:$F$2,C156)&gt;1,NOT(ISBLANK(C156)))</formula>
    </cfRule>
  </conditionalFormatting>
  <conditionalFormatting sqref="D156">
    <cfRule type="duplicateValues" dxfId="2307" priority="1389" stopIfTrue="1"/>
  </conditionalFormatting>
  <conditionalFormatting sqref="E156">
    <cfRule type="duplicateValues" dxfId="2306" priority="1388" stopIfTrue="1"/>
    <cfRule type="duplicateValues" dxfId="2305" priority="1396" stopIfTrue="1"/>
  </conditionalFormatting>
  <conditionalFormatting sqref="F156">
    <cfRule type="duplicateValues" dxfId="2304" priority="1387" stopIfTrue="1"/>
    <cfRule type="duplicateValues" dxfId="2303" priority="1390" stopIfTrue="1"/>
    <cfRule type="duplicateValues" dxfId="2302" priority="1393" stopIfTrue="1"/>
    <cfRule type="duplicateValues" dxfId="1205" priority="1394" stopIfTrue="1"/>
    <cfRule type="duplicateValues" dxfId="1204" priority="1397" stopIfTrue="1"/>
    <cfRule type="duplicateValues" dxfId="1203" priority="1398" stopIfTrue="1"/>
    <cfRule type="duplicateValues" dxfId="1202" priority="1399" stopIfTrue="1"/>
    <cfRule type="duplicateValues" dxfId="1201" priority="1400"/>
    <cfRule type="duplicateValues" dxfId="1200" priority="1401" stopIfTrue="1"/>
    <cfRule type="duplicateValues" dxfId="1199" priority="1402" stopIfTrue="1"/>
    <cfRule type="duplicateValues" dxfId="1198" priority="1403" stopIfTrue="1"/>
    <cfRule type="duplicateValues" dxfId="1197" priority="1405" stopIfTrue="1"/>
  </conditionalFormatting>
  <conditionalFormatting sqref="B160">
    <cfRule type="expression" dxfId="2301" priority="466" stopIfTrue="1">
      <formula>AND(COUNTIF($C$134:$F$142,B160)+COUNTIF($C$144:$F$65536,B160)+COUNTIF($C$8:$F$9,B160)+COUNTIF($C$11:$F$26,B160)+COUNTIF($C$28:$F$132,B160)+COUNTIF($C$4:$F$4,B160)+COUNTIF($C$1:$F$2,B160)&gt;1,NOT(ISBLANK(B160)))</formula>
    </cfRule>
    <cfRule type="expression" dxfId="2300" priority="467" stopIfTrue="1">
      <formula>AND(COUNTIF($C$4:$C$65536,B160)+COUNTIF($C$1:$C$2,B160)&gt;1,NOT(ISBLANK(B160)))</formula>
    </cfRule>
  </conditionalFormatting>
  <conditionalFormatting sqref="B167">
    <cfRule type="expression" dxfId="2299" priority="462" stopIfTrue="1">
      <formula>AND(COUNTIF($C$134:$F$142,B167)+COUNTIF($C$144:$F$65536,B167)+COUNTIF($C$8:$F$9,B167)+COUNTIF($C$11:$F$26,B167)+COUNTIF($C$28:$F$132,B167)+COUNTIF($C$4:$F$4,B167)+COUNTIF($C$1:$F$2,B167)&gt;1,NOT(ISBLANK(B167)))</formula>
    </cfRule>
    <cfRule type="expression" dxfId="2298" priority="463" stopIfTrue="1">
      <formula>AND(COUNTIF($C$4:$C$65536,B167)+COUNTIF($C$1:$C$2,B167)&gt;1,NOT(ISBLANK(B167)))</formula>
    </cfRule>
  </conditionalFormatting>
  <conditionalFormatting sqref="B174">
    <cfRule type="expression" dxfId="2297" priority="458" stopIfTrue="1">
      <formula>AND(COUNTIF($C$134:$F$142,B174)+COUNTIF($C$144:$F$65536,B174)+COUNTIF($C$8:$F$9,B174)+COUNTIF($C$11:$F$26,B174)+COUNTIF($C$28:$F$132,B174)+COUNTIF($C$4:$F$4,B174)+COUNTIF($C$1:$F$2,B174)&gt;1,NOT(ISBLANK(B174)))</formula>
    </cfRule>
    <cfRule type="expression" dxfId="2296" priority="459" stopIfTrue="1">
      <formula>AND(COUNTIF($C$4:$C$65536,B174)+COUNTIF($C$1:$C$2,B174)&gt;1,NOT(ISBLANK(B174)))</formula>
    </cfRule>
  </conditionalFormatting>
  <conditionalFormatting sqref="F174">
    <cfRule type="duplicateValues" dxfId="2295" priority="1531" stopIfTrue="1"/>
    <cfRule type="duplicateValues" dxfId="2294" priority="1532" stopIfTrue="1"/>
    <cfRule type="duplicateValues" dxfId="2293" priority="1533" stopIfTrue="1"/>
    <cfRule type="duplicateValues" dxfId="1196" priority="1534" stopIfTrue="1"/>
    <cfRule type="duplicateValues" dxfId="1195" priority="1536" stopIfTrue="1"/>
  </conditionalFormatting>
  <conditionalFormatting sqref="B175">
    <cfRule type="expression" dxfId="2292" priority="456" stopIfTrue="1">
      <formula>AND(COUNTIF($C$134:$F$142,B175)+COUNTIF($C$144:$F$65536,B175)+COUNTIF($C$8:$F$9,B175)+COUNTIF($C$11:$F$26,B175)+COUNTIF($C$28:$F$132,B175)+COUNTIF($C$4:$F$4,B175)+COUNTIF($C$1:$F$2,B175)&gt;1,NOT(ISBLANK(B175)))</formula>
    </cfRule>
    <cfRule type="expression" dxfId="2291" priority="457" stopIfTrue="1">
      <formula>AND(COUNTIF($C$4:$C$65536,B175)+COUNTIF($C$1:$C$2,B175)&gt;1,NOT(ISBLANK(B175)))</formula>
    </cfRule>
  </conditionalFormatting>
  <conditionalFormatting sqref="Q175">
    <cfRule type="expression" dxfId="2290" priority="5" stopIfTrue="1">
      <formula>AND(COUNTIF($C$134:$F$142,Q175)+COUNTIF($C$144:$F$65536,Q175)+COUNTIF($C$8:$F$9,Q175)+COUNTIF($C$11:$F$26,Q175)+COUNTIF($C$28:$F$132,Q175)+COUNTIF($C$4:$F$4,Q175)+COUNTIF($C$1:$F$2,Q175)&gt;1,NOT(ISBLANK(Q175)))</formula>
    </cfRule>
    <cfRule type="expression" dxfId="2289" priority="6" stopIfTrue="1">
      <formula>AND(COUNTIF($C$4:$C$65536,Q175)+COUNTIF($C$1:$C$2,Q175)&gt;1,NOT(ISBLANK(Q175)))</formula>
    </cfRule>
    <cfRule type="expression" dxfId="2288" priority="75" stopIfTrue="1">
      <formula>AND(COUNTIF($B$4:$B$65536,Q175)+COUNTIF($B$1:$B$2,Q175)&gt;1,NOT(ISBLANK(Q175)))</formula>
    </cfRule>
  </conditionalFormatting>
  <conditionalFormatting sqref="Q175:U175">
    <cfRule type="expression" dxfId="2287" priority="30" stopIfTrue="1">
      <formula>AND(COUNTIF($B$134:$F$142,Q175)+COUNTIF($B$144:$F$65536,Q175)+COUNTIF($B$8:$F$9,Q175)+COUNTIF($B$11:$F$26,Q175)+COUNTIF($B$28:$F$132,Q175)+COUNTIF($B$4:$F$4,Q175)+COUNTIF($B$1:$F$2,Q175)&gt;1,NOT(ISBLANK(Q175)))</formula>
    </cfRule>
    <cfRule type="expression" dxfId="2286" priority="31" stopIfTrue="1">
      <formula>AND(COUNTIF($B$134:$F$142,Q175)+COUNTIF($B$144:$F$65536,Q175)+COUNTIF($B$8:$F$9,Q175)+COUNTIF($B$11:$F$26,Q175)+COUNTIF($B$28:$F$132,Q175)+COUNTIF($B$4:$F$4,Q175)+COUNTIF($B$1:$F$2,Q175)&gt;1,NOT(ISBLANK(Q175)))</formula>
    </cfRule>
    <cfRule type="expression" dxfId="2285" priority="32" stopIfTrue="1">
      <formula>AND(COUNTIF($B$134:$F$142,Q175)+COUNTIF($B$144:$F$65536,Q175)+COUNTIF($B$8:$F$9,Q175)+COUNTIF($B$11:$F$26,Q175)+COUNTIF($B$28:$F$132,Q175)+COUNTIF($B$4:$F$4,Q175)+COUNTIF($B$1:$F$2,Q175)&gt;1,NOT(ISBLANK(Q175)))</formula>
    </cfRule>
    <cfRule type="expression" dxfId="1194" priority="33" stopIfTrue="1">
      <formula>AND(COUNTIF($B$8:$F$9,Q175)+COUNTIF($B$11:$F$26,Q175)+COUNTIF($B$28:$F$65536,Q175)+COUNTIF($B$4:$F$4,Q175)+COUNTIF($B$1:$F$2,Q175)&gt;1,NOT(ISBLANK(Q175)))</formula>
    </cfRule>
    <cfRule type="expression" dxfId="1193" priority="34" stopIfTrue="1">
      <formula>AND(COUNTIF($B$8:$F$9,Q175)+COUNTIF($B$11:$F$26,Q175)+COUNTIF($B$28:$F$65536,Q175)+COUNTIF($B$4:$F$4,Q175)+COUNTIF($B$1:$F$2,Q175)&gt;1,NOT(ISBLANK(Q175)))</formula>
    </cfRule>
    <cfRule type="expression" dxfId="1192" priority="35" stopIfTrue="1">
      <formula>AND(COUNTIF($B$8:$F$9,Q175)+COUNTIF($B$11:$F$26,Q175)+COUNTIF($B$28:$F$65536,Q175)+COUNTIF($B$4:$F$4,Q175)+COUNTIF($B$1:$F$2,Q175)&gt;1,NOT(ISBLANK(Q175)))</formula>
    </cfRule>
  </conditionalFormatting>
  <conditionalFormatting sqref="R175">
    <cfRule type="duplicateValues" priority="2" stopIfTrue="1"/>
    <cfRule type="top10" priority="3" stopIfTrue="1" rank="10"/>
    <cfRule type="expression" dxfId="2284" priority="74" stopIfTrue="1">
      <formula>AND(COUNTIF($C$4:$C$65536,R175)+COUNTIF($C$1:$C$2,R175)&gt;1,NOT(ISBLANK(R175)))</formula>
    </cfRule>
    <cfRule type="colorScale" priority="4">
      <colorScale>
        <cfvo type="min"/>
        <cfvo type="max"/>
        <color rgb="FFFF7128"/>
        <color rgb="FFFFEF9C"/>
      </colorScale>
    </cfRule>
  </conditionalFormatting>
  <conditionalFormatting sqref="R175:U175">
    <cfRule type="expression" dxfId="2283" priority="69" stopIfTrue="1">
      <formula>AND(COUNTIF($C$134:$F$142,R175)+COUNTIF($C$144:$F$65536,R175)+COUNTIF($C$8:$F$9,R175)+COUNTIF($C$11:$F$26,R175)+COUNTIF($C$28:$F$132,R175)+COUNTIF($C$4:$F$4,R175)+COUNTIF($C$1:$F$2,R175)&gt;1,NOT(ISBLANK(R175)))</formula>
    </cfRule>
  </conditionalFormatting>
  <conditionalFormatting sqref="S175">
    <cfRule type="duplicateValues" dxfId="2282" priority="1" stopIfTrue="1"/>
    <cfRule type="duplicateValues" dxfId="2281" priority="8" stopIfTrue="1"/>
    <cfRule type="duplicateValues" dxfId="2280" priority="9" stopIfTrue="1"/>
    <cfRule type="duplicateValues" dxfId="1191" priority="12" stopIfTrue="1"/>
    <cfRule type="duplicateValues" dxfId="1190" priority="18" stopIfTrue="1"/>
    <cfRule type="duplicateValues" dxfId="1189" priority="19" stopIfTrue="1"/>
    <cfRule type="expression" dxfId="1188" priority="36" stopIfTrue="1">
      <formula>AND(COUNTIF($D$8:$D$9,S175)+COUNTIF($D$1:$D$2,S175)+COUNTIF($D$11:$D$26,S175)+COUNTIF($D$28:$D$65536,S175)+COUNTIF($D$4:$D$4,S175)&gt;1,NOT(ISBLANK(S175)))</formula>
    </cfRule>
    <cfRule type="expression" dxfId="1187" priority="37" stopIfTrue="1">
      <formula>AND(COUNTIF($D$8:$D$9,S175)+COUNTIF($D$1:$D$2,S175)+COUNTIF($D$11:$D$26,S175)+COUNTIF($D$28:$D$65536,S175)+COUNTIF($D$4:$D$4,S175)&gt;1,NOT(ISBLANK(S175)))</formula>
    </cfRule>
    <cfRule type="expression" dxfId="1186" priority="38" stopIfTrue="1">
      <formula>AND(COUNTIF($D$8:$D$9,S175)+COUNTIF($D$1:$D$2,S175)+COUNTIF($D$11:$D$26,S175)+COUNTIF($D$28:$D$65536,S175)+COUNTIF($D$4:$D$4,S175)&gt;1,NOT(ISBLANK(S175)))</formula>
    </cfRule>
    <cfRule type="expression" dxfId="1185" priority="39" stopIfTrue="1">
      <formula>AND(COUNTIF($D$134:$D$142,S175)+COUNTIF($D$144:$D$65536,S175)+COUNTIF($D$1:$D$2,S175)+COUNTIF($D$8:$D$9,S175)+COUNTIF($D$11:$D$26,S175)+COUNTIF($D$28:$D$132,S175)+COUNTIF($D$4:$D$4,S175)&gt;1,NOT(ISBLANK(S175)))</formula>
    </cfRule>
    <cfRule type="duplicateValues" dxfId="1184" priority="52" stopIfTrue="1"/>
    <cfRule type="duplicateValues" dxfId="1183" priority="53" stopIfTrue="1"/>
    <cfRule type="duplicateValues" dxfId="1182" priority="54" stopIfTrue="1"/>
    <cfRule type="duplicateValues" dxfId="1181" priority="58" stopIfTrue="1"/>
    <cfRule type="duplicateValues" dxfId="1180" priority="59" stopIfTrue="1"/>
    <cfRule type="duplicateValues" dxfId="1179" priority="60" stopIfTrue="1"/>
    <cfRule type="duplicateValues" dxfId="1178" priority="61" stopIfTrue="1"/>
    <cfRule type="duplicateValues" dxfId="1177" priority="62" stopIfTrue="1"/>
    <cfRule type="duplicateValues" dxfId="1176" priority="63" stopIfTrue="1"/>
    <cfRule type="expression" dxfId="1175" priority="64" stopIfTrue="1">
      <formula>AND(COUNTIF($D$4:$D$65536,S175)+COUNTIF($D$1:$D$2,S175)&gt;1,NOT(ISBLANK(S175)))</formula>
    </cfRule>
    <cfRule type="expression" dxfId="1174" priority="65" stopIfTrue="1">
      <formula>AND(COUNTIF($D$4:$D$65536,S175)+COUNTIF($D$1:$D$2,S175)&gt;1,NOT(ISBLANK(S175)))</formula>
    </cfRule>
    <cfRule type="expression" dxfId="1173" priority="66" stopIfTrue="1">
      <formula>AND(COUNTIF($D$4:$D$65536,S175)+COUNTIF($D$1:$D$2,S175)&gt;1,NOT(ISBLANK(S175)))</formula>
    </cfRule>
    <cfRule type="expression" dxfId="1172" priority="67" stopIfTrue="1">
      <formula>AND(COUNTIF($D$1:$D$350,S175)+COUNTIF($D$352:$D$372,S175)+COUNTIF($D$374:$D$65536,S175)&gt;1,NOT(ISBLANK(S175)))</formula>
    </cfRule>
    <cfRule type="expression" dxfId="1171" priority="68" stopIfTrue="1">
      <formula>AND(COUNTIF($D$1:$D$350,S175)+COUNTIF($D$352:$D$372,S175)+COUNTIF($D$374:$D$65536,S175)&gt;1,NOT(ISBLANK(S175)))</formula>
    </cfRule>
  </conditionalFormatting>
  <conditionalFormatting sqref="S175:U175">
    <cfRule type="expression" dxfId="2279" priority="70" stopIfTrue="1">
      <formula>AND(COUNTIF($D$8:$F$9,S175)+COUNTIF($D$1:$F$2,S175)+COUNTIF($D$11:$F$26,S175)+COUNTIF($D$28:$F$65536,S175)+COUNTIF($D$4:$F$4,S175)&gt;1,NOT(ISBLANK(S175)))</formula>
    </cfRule>
    <cfRule type="expression" dxfId="2278" priority="71" stopIfTrue="1">
      <formula>AND(COUNTIF($D$8:$F$9,S175)+COUNTIF($D$1:$F$2,S175)+COUNTIF($D$11:$F$26,S175)+COUNTIF($D$28:$F$65536,S175)+COUNTIF($D$4:$F$4,S175)&gt;1,NOT(ISBLANK(S175)))</formula>
    </cfRule>
    <cfRule type="expression" dxfId="2277" priority="72" stopIfTrue="1">
      <formula>AND(COUNTIF($D$8:$F$9,S175)+COUNTIF($D$1:$F$2,S175)+COUNTIF($D$11:$F$26,S175)+COUNTIF($D$28:$F$65536,S175)+COUNTIF($D$4:$F$4,S175)&gt;1,NOT(ISBLANK(S175)))</formula>
    </cfRule>
  </conditionalFormatting>
  <conditionalFormatting sqref="T175:U175">
    <cfRule type="expression" dxfId="2276" priority="73" stopIfTrue="1">
      <formula>AND(COUNTIF($E$8:$F$9,T175)+COUNTIF($E$1:$F$2,T175)+COUNTIF($E$11:$F$26,T175)+COUNTIF($E$28:$F$65536,T175)+COUNTIF($E$4:$F$4,T175)&gt;1,NOT(ISBLANK(T175)))</formula>
    </cfRule>
  </conditionalFormatting>
  <conditionalFormatting sqref="T175">
    <cfRule type="duplicateValues" dxfId="2275" priority="10" stopIfTrue="1"/>
    <cfRule type="duplicateValues" dxfId="2274" priority="16" stopIfTrue="1"/>
    <cfRule type="duplicateValues" dxfId="2273" priority="20" stopIfTrue="1"/>
    <cfRule type="duplicateValues" dxfId="1170" priority="21" stopIfTrue="1"/>
    <cfRule type="duplicateValues" dxfId="1169" priority="22" stopIfTrue="1"/>
    <cfRule type="duplicateValues" dxfId="1168" priority="23" stopIfTrue="1"/>
    <cfRule type="duplicateValues" dxfId="1167" priority="24" stopIfTrue="1"/>
    <cfRule type="expression" dxfId="1166" priority="40" stopIfTrue="1">
      <formula>AND(COUNTIF($E$486:$E$65536,T175)+COUNTIF($E$1:$E$2,T175)+COUNTIF($E$134:$E$142,T175)+COUNTIF($E$144:$E$483,T175)+COUNTIF($E$8:$E$9,T175)+COUNTIF($E$11:$E$26,T175)+COUNTIF($E$28:$E$132,T175)+COUNTIF($E$4:$E$4,T175)&gt;1,NOT(ISBLANK(T175)))</formula>
    </cfRule>
    <cfRule type="expression" dxfId="1165" priority="41" stopIfTrue="1">
      <formula>AND(COUNTIF($E$134:$E$142,T175)+COUNTIF($E$1:$E$2,T175)+COUNTIF($E$144:$E$65536,T175)+COUNTIF($E$8:$E$9,T175)+COUNTIF($E$11:$E$26,T175)+COUNTIF($E$28:$E$132,T175)+COUNTIF($E$4:$E$4,T175)&gt;1,NOT(ISBLANK(T175)))</formula>
    </cfRule>
    <cfRule type="expression" dxfId="1164" priority="42" stopIfTrue="1">
      <formula>AND(COUNTIF($E$8:$E$9,T175)+COUNTIF($E$1:$E$2,T175)+COUNTIF($E$11:$E$26,T175)+COUNTIF($E$28:$E$65536,T175)+COUNTIF($E$4:$E$4,T175)&gt;1,NOT(ISBLANK(T175)))</formula>
    </cfRule>
    <cfRule type="duplicateValues" dxfId="1163" priority="55" stopIfTrue="1"/>
    <cfRule type="expression" dxfId="1162" priority="76" stopIfTrue="1">
      <formula>AND(COUNTIF($E$4:$E$65536,T175)+COUNTIF($E$1:$E$2,T175)&gt;1,NOT(ISBLANK(T175)))</formula>
    </cfRule>
    <cfRule type="expression" dxfId="1161" priority="77" stopIfTrue="1">
      <formula>AND(COUNTIF($E$4:$E$65536,T175)+COUNTIF($E$1:$E$2,T175)&gt;1,NOT(ISBLANK(T175)))</formula>
    </cfRule>
  </conditionalFormatting>
  <conditionalFormatting sqref="U175">
    <cfRule type="duplicateValues" dxfId="2272" priority="7" stopIfTrue="1"/>
    <cfRule type="duplicateValues" dxfId="2271" priority="11" stopIfTrue="1"/>
    <cfRule type="duplicateValues" dxfId="2270" priority="13" stopIfTrue="1"/>
    <cfRule type="duplicateValues" dxfId="1160" priority="14" stopIfTrue="1"/>
    <cfRule type="duplicateValues" dxfId="1159" priority="15" stopIfTrue="1"/>
    <cfRule type="duplicateValues" dxfId="1158" priority="17" stopIfTrue="1"/>
    <cfRule type="duplicateValues" dxfId="1157" priority="25" stopIfTrue="1"/>
    <cfRule type="duplicateValues" dxfId="1156" priority="26" stopIfTrue="1"/>
    <cfRule type="duplicateValues" dxfId="1155" priority="27" stopIfTrue="1"/>
    <cfRule type="duplicateValues" dxfId="1154" priority="28" stopIfTrue="1"/>
    <cfRule type="duplicateValues" dxfId="1153" priority="29" stopIfTrue="1"/>
    <cfRule type="expression" dxfId="1152" priority="43" stopIfTrue="1">
      <formula>AND(COUNTIF($F$8:$F$9,U175)+COUNTIF($F$1:$F$2,U175)+COUNTIF($F$11:$F$26,U175)+COUNTIF($F$28:$F$65536,U175)+COUNTIF($F$4:$F$4,U175)&gt;1,NOT(ISBLANK(U175)))</formula>
    </cfRule>
    <cfRule type="expression" dxfId="1151" priority="44" stopIfTrue="1">
      <formula>AND(COUNTIF($F$8:$F$9,U175)+COUNTIF($F$1:$F$2,U175)+COUNTIF($F$11:$F$26,U175)+COUNTIF($F$28:$F$65536,U175)+COUNTIF($F$4:$F$4,U175)&gt;1,NOT(ISBLANK(U175)))</formula>
    </cfRule>
    <cfRule type="expression" dxfId="1150" priority="45" stopIfTrue="1">
      <formula>AND(COUNTIF($F$8:$F$9,U175)+COUNTIF($F$1:$F$2,U175)+COUNTIF($F$11:$F$26,U175)+COUNTIF($F$28:$F$65536,U175)+COUNTIF($F$4:$F$4,U175)&gt;1,NOT(ISBLANK(U175)))</formula>
    </cfRule>
    <cfRule type="expression" dxfId="1149" priority="46" stopIfTrue="1">
      <formula>AND(COUNTIF($F$486:$F$65536,U175)+COUNTIF($F$1:$F$2,U175)+COUNTIF($F$134:$F$142,U175)+COUNTIF($F$144:$F$483,U175)+COUNTIF($F$8:$F$9,U175)+COUNTIF($F$11:$F$26,U175)+COUNTIF($F$28:$F$132,U175)+COUNTIF($F$4:$F$4,U175)&gt;1,NOT(ISBLANK(U175)))</formula>
    </cfRule>
    <cfRule type="expression" dxfId="1148" priority="47" stopIfTrue="1">
      <formula>AND(COUNTIF($F$486:$F$65536,U175)+COUNTIF($F$1:$F$2,U175)+COUNTIF($F$134:$F$142,U175)+COUNTIF($F$144:$F$483,U175)+COUNTIF($F$8:$F$9,U175)+COUNTIF($F$11:$F$26,U175)+COUNTIF($F$28:$F$132,U175)+COUNTIF($F$4:$F$4,U175)&gt;1,NOT(ISBLANK(U175)))</formula>
    </cfRule>
    <cfRule type="expression" dxfId="1147" priority="48" stopIfTrue="1">
      <formula>AND(COUNTIF($F$486:$F$65536,U175)+COUNTIF($F$1:$F$2,U175)+COUNTIF($F$134:$F$142,U175)+COUNTIF($F$144:$F$483,U175)+COUNTIF($F$8:$F$9,U175)+COUNTIF($F$11:$F$26,U175)+COUNTIF($F$28:$F$132,U175)+COUNTIF($F$4:$F$4,U175)&gt;1,NOT(ISBLANK(U175)))</formula>
    </cfRule>
    <cfRule type="expression" dxfId="1146" priority="49" stopIfTrue="1">
      <formula>AND(COUNTIF($F$134:$F$142,U175)+COUNTIF($F$1:$F$2,U175)+COUNTIF($F$144:$F$65536,U175)+COUNTIF($F$8:$F$9,U175)+COUNTIF($F$11:$F$26,U175)+COUNTIF($F$28:$F$132,U175)+COUNTIF($F$4:$F$4,U175)&gt;1,NOT(ISBLANK(U175)))</formula>
    </cfRule>
    <cfRule type="expression" dxfId="1145" priority="50" stopIfTrue="1">
      <formula>AND(COUNTIF($F$134:$F$142,U175)+COUNTIF($F$1:$F$2,U175)+COUNTIF($F$144:$F$65536,U175)+COUNTIF($F$8:$F$9,U175)+COUNTIF($F$11:$F$26,U175)+COUNTIF($F$28:$F$132,U175)+COUNTIF($F$4:$F$4,U175)&gt;1,NOT(ISBLANK(U175)))</formula>
    </cfRule>
    <cfRule type="expression" dxfId="1144" priority="51" stopIfTrue="1">
      <formula>AND(COUNTIF($F$134:$F$142,U175)+COUNTIF($F$1:$F$2,U175)+COUNTIF($F$144:$F$65536,U175)+COUNTIF($F$8:$F$9,U175)+COUNTIF($F$11:$F$26,U175)+COUNTIF($F$28:$F$132,U175)+COUNTIF($F$4:$F$4,U175)&gt;1,NOT(ISBLANK(U175)))</formula>
    </cfRule>
    <cfRule type="duplicateValues" dxfId="1143" priority="56" stopIfTrue="1"/>
    <cfRule type="duplicateValues" dxfId="1142" priority="57" stopIfTrue="1"/>
    <cfRule type="expression" dxfId="1141" priority="78" stopIfTrue="1">
      <formula>AND(COUNTIF($F$4:$F$65536,U175)+COUNTIF($F$1:$F$2,U175)&gt;1,NOT(ISBLANK(U175)))</formula>
    </cfRule>
    <cfRule type="expression" dxfId="1140" priority="79" stopIfTrue="1">
      <formula>AND(COUNTIF($F$4:$F$65536,U175)+COUNTIF($F$1:$F$2,U175)&gt;1,NOT(ISBLANK(U175)))</formula>
    </cfRule>
  </conditionalFormatting>
  <conditionalFormatting sqref="B177">
    <cfRule type="expression" dxfId="2269" priority="454" stopIfTrue="1">
      <formula>AND(COUNTIF($C$134:$F$142,B177)+COUNTIF($C$144:$F$65536,B177)+COUNTIF($C$8:$F$9,B177)+COUNTIF($C$11:$F$26,B177)+COUNTIF($C$28:$F$132,B177)+COUNTIF($C$4:$F$4,B177)+COUNTIF($C$1:$F$2,B177)&gt;1,NOT(ISBLANK(B177)))</formula>
    </cfRule>
    <cfRule type="expression" dxfId="2268" priority="455" stopIfTrue="1">
      <formula>AND(COUNTIF($C$4:$C$65536,B177)+COUNTIF($C$1:$C$2,B177)&gt;1,NOT(ISBLANK(B177)))</formula>
    </cfRule>
  </conditionalFormatting>
  <conditionalFormatting sqref="D179">
    <cfRule type="duplicateValues" dxfId="2267" priority="1720" stopIfTrue="1"/>
    <cfRule type="duplicateValues" dxfId="2266" priority="1721" stopIfTrue="1"/>
    <cfRule type="duplicateValues" dxfId="2265" priority="1722" stopIfTrue="1"/>
    <cfRule type="duplicateValues" dxfId="1139" priority="1723" stopIfTrue="1"/>
    <cfRule type="duplicateValues" dxfId="1138" priority="1724" stopIfTrue="1"/>
    <cfRule type="duplicateValues" dxfId="1137" priority="1725" stopIfTrue="1"/>
    <cfRule type="duplicateValues" dxfId="1136" priority="1726" stopIfTrue="1"/>
    <cfRule type="duplicateValues" dxfId="1135" priority="1727" stopIfTrue="1"/>
    <cfRule type="duplicateValues" dxfId="1134" priority="1728" stopIfTrue="1"/>
    <cfRule type="duplicateValues" dxfId="1133" priority="1729" stopIfTrue="1"/>
    <cfRule type="expression" dxfId="1132" priority="1730" stopIfTrue="1">
      <formula>AND(COUNTIF($D$4:$D$65536,D179)+COUNTIF($D$1:$D$2,D179)&gt;1,NOT(ISBLANK(D179)))</formula>
    </cfRule>
    <cfRule type="expression" dxfId="1131" priority="1731" stopIfTrue="1">
      <formula>AND(COUNTIF($D$4:$D$65536,D179)+COUNTIF($D$1:$D$2,D179)&gt;1,NOT(ISBLANK(D179)))</formula>
    </cfRule>
    <cfRule type="expression" dxfId="1130" priority="1732" stopIfTrue="1">
      <formula>AND(COUNTIF($D$4:$D$65536,D179)+COUNTIF($D$1:$D$2,D179)&gt;1,NOT(ISBLANK(D179)))</formula>
    </cfRule>
    <cfRule type="expression" dxfId="1129" priority="1733" stopIfTrue="1">
      <formula>AND(COUNTIF($D$1:$D$363,D179)+COUNTIF($D$365:$D$385,D179)+COUNTIF($D$387:$D$65536,D179)&gt;1,NOT(ISBLANK(D179)))</formula>
    </cfRule>
    <cfRule type="expression" dxfId="1128" priority="1734" stopIfTrue="1">
      <formula>AND(COUNTIF($D$1:$D$363,D179)+COUNTIF($D$365:$D$385,D179)+COUNTIF($D$387:$D$65536,D179)&gt;1,NOT(ISBLANK(D179)))</formula>
    </cfRule>
  </conditionalFormatting>
  <conditionalFormatting sqref="E179">
    <cfRule type="duplicateValues" dxfId="2264" priority="1081" stopIfTrue="1"/>
    <cfRule type="duplicateValues" dxfId="2263" priority="1082" stopIfTrue="1"/>
    <cfRule type="duplicateValues" dxfId="2262" priority="1083" stopIfTrue="1"/>
    <cfRule type="duplicateValues" dxfId="1127" priority="1084" stopIfTrue="1"/>
    <cfRule type="duplicateValues" dxfId="1126" priority="1088" stopIfTrue="1"/>
  </conditionalFormatting>
  <conditionalFormatting sqref="F179">
    <cfRule type="duplicateValues" dxfId="2261" priority="1080" stopIfTrue="1"/>
    <cfRule type="duplicateValues" dxfId="2260" priority="1085" stopIfTrue="1"/>
    <cfRule type="duplicateValues" dxfId="2259" priority="1086" stopIfTrue="1"/>
    <cfRule type="duplicateValues" dxfId="1125" priority="1087" stopIfTrue="1"/>
    <cfRule type="duplicateValues" dxfId="1124" priority="1089" stopIfTrue="1"/>
  </conditionalFormatting>
  <conditionalFormatting sqref="B189">
    <cfRule type="expression" dxfId="2258" priority="448" stopIfTrue="1">
      <formula>AND(COUNTIF($C$134:$F$142,B189)+COUNTIF($C$144:$F$65536,B189)+COUNTIF($C$8:$F$9,B189)+COUNTIF($C$11:$F$26,B189)+COUNTIF($C$28:$F$132,B189)+COUNTIF($C$4:$F$4,B189)+COUNTIF($C$1:$F$2,B189)&gt;1,NOT(ISBLANK(B189)))</formula>
    </cfRule>
    <cfRule type="expression" dxfId="2257" priority="449" stopIfTrue="1">
      <formula>AND(COUNTIF($C$4:$C$65536,B189)+COUNTIF($C$1:$C$2,B189)&gt;1,NOT(ISBLANK(B189)))</formula>
    </cfRule>
  </conditionalFormatting>
  <conditionalFormatting sqref="B192">
    <cfRule type="expression" dxfId="2256" priority="446" stopIfTrue="1">
      <formula>AND(COUNTIF($C$134:$F$142,B192)+COUNTIF($C$144:$F$65536,B192)+COUNTIF($C$8:$F$9,B192)+COUNTIF($C$11:$F$26,B192)+COUNTIF($C$28:$F$132,B192)+COUNTIF($C$4:$F$4,B192)+COUNTIF($C$1:$F$2,B192)&gt;1,NOT(ISBLANK(B192)))</formula>
    </cfRule>
    <cfRule type="expression" dxfId="2255" priority="447" stopIfTrue="1">
      <formula>AND(COUNTIF($C$4:$C$65536,B192)+COUNTIF($C$1:$C$2,B192)&gt;1,NOT(ISBLANK(B192)))</formula>
    </cfRule>
  </conditionalFormatting>
  <conditionalFormatting sqref="B194">
    <cfRule type="expression" dxfId="2254" priority="444" stopIfTrue="1">
      <formula>AND(COUNTIF($C$134:$F$142,B194)+COUNTIF($C$144:$F$65536,B194)+COUNTIF($C$8:$F$9,B194)+COUNTIF($C$11:$F$26,B194)+COUNTIF($C$28:$F$132,B194)+COUNTIF($C$4:$F$4,B194)+COUNTIF($C$1:$F$2,B194)&gt;1,NOT(ISBLANK(B194)))</formula>
    </cfRule>
    <cfRule type="expression" dxfId="2253" priority="445" stopIfTrue="1">
      <formula>AND(COUNTIF($C$4:$C$65536,B194)+COUNTIF($C$1:$C$2,B194)&gt;1,NOT(ISBLANK(B194)))</formula>
    </cfRule>
  </conditionalFormatting>
  <conditionalFormatting sqref="B195:E195">
    <cfRule type="duplicateValues" dxfId="2252" priority="1553" stopIfTrue="1"/>
  </conditionalFormatting>
  <conditionalFormatting sqref="B195:F195">
    <cfRule type="duplicateValues" dxfId="2251" priority="1555" stopIfTrue="1"/>
  </conditionalFormatting>
  <conditionalFormatting sqref="F195">
    <cfRule type="duplicateValues" dxfId="2250" priority="1549" stopIfTrue="1"/>
    <cfRule type="duplicateValues" dxfId="2249" priority="1550" stopIfTrue="1"/>
    <cfRule type="duplicateValues" dxfId="2248" priority="1551" stopIfTrue="1"/>
    <cfRule type="duplicateValues" dxfId="1123" priority="1552" stopIfTrue="1"/>
    <cfRule type="duplicateValues" dxfId="1122" priority="1554" stopIfTrue="1"/>
  </conditionalFormatting>
  <conditionalFormatting sqref="B198">
    <cfRule type="expression" dxfId="2247" priority="442" stopIfTrue="1">
      <formula>AND(COUNTIF($C$134:$F$142,B198)+COUNTIF($C$144:$F$65536,B198)+COUNTIF($C$8:$F$9,B198)+COUNTIF($C$11:$F$26,B198)+COUNTIF($C$28:$F$132,B198)+COUNTIF($C$4:$F$4,B198)+COUNTIF($C$1:$F$2,B198)&gt;1,NOT(ISBLANK(B198)))</formula>
    </cfRule>
    <cfRule type="expression" dxfId="2246" priority="443" stopIfTrue="1">
      <formula>AND(COUNTIF($C$4:$C$65536,B198)+COUNTIF($C$1:$C$2,B198)&gt;1,NOT(ISBLANK(B198)))</formula>
    </cfRule>
  </conditionalFormatting>
  <conditionalFormatting sqref="C200">
    <cfRule type="expression" dxfId="2245" priority="198" stopIfTrue="1">
      <formula>AND(COUNTIF($B$134:$F$142,C200)+COUNTIF($B$144:$F$65536,C200)+COUNTIF($B$8:$F$9,C200)+COUNTIF($B$11:$F$26,C200)+COUNTIF($B$28:$F$132,C200)+COUNTIF($B$4:$F$4,C200)+COUNTIF($B$1:$F$2,C200)&gt;1,NOT(ISBLANK(C200)))</formula>
    </cfRule>
    <cfRule type="expression" dxfId="2244" priority="199" stopIfTrue="1">
      <formula>AND(COUNTIF($B$134:$F$142,C200)+COUNTIF($B$144:$F$65536,C200)+COUNTIF($B$8:$F$9,C200)+COUNTIF($B$11:$F$26,C200)+COUNTIF($B$28:$F$132,C200)+COUNTIF($B$4:$F$4,C200)+COUNTIF($B$1:$F$2,C200)&gt;1,NOT(ISBLANK(C200)))</formula>
    </cfRule>
    <cfRule type="expression" dxfId="2243" priority="200" stopIfTrue="1">
      <formula>AND(COUNTIF($B$134:$F$142,C200)+COUNTIF($B$144:$F$65536,C200)+COUNTIF($B$8:$F$9,C200)+COUNTIF($B$11:$F$26,C200)+COUNTIF($B$28:$F$132,C200)+COUNTIF($B$4:$F$4,C200)+COUNTIF($B$1:$F$2,C200)&gt;1,NOT(ISBLANK(C200)))</formula>
    </cfRule>
    <cfRule type="expression" dxfId="1121" priority="201" stopIfTrue="1">
      <formula>AND(COUNTIF($B$8:$F$9,C200)+COUNTIF($B$11:$F$26,C200)+COUNTIF($B$28:$F$65536,C200)+COUNTIF($B$4:$F$4,C200)+COUNTIF($B$1:$F$2,C200)&gt;1,NOT(ISBLANK(C200)))</formula>
    </cfRule>
    <cfRule type="expression" dxfId="1120" priority="202" stopIfTrue="1">
      <formula>AND(COUNTIF($B$8:$F$9,C200)+COUNTIF($B$11:$F$26,C200)+COUNTIF($B$28:$F$65536,C200)+COUNTIF($B$4:$F$4,C200)+COUNTIF($B$1:$F$2,C200)&gt;1,NOT(ISBLANK(C200)))</formula>
    </cfRule>
    <cfRule type="expression" dxfId="1119" priority="203" stopIfTrue="1">
      <formula>AND(COUNTIF($B$8:$F$9,C200)+COUNTIF($B$11:$F$26,C200)+COUNTIF($B$28:$F$65536,C200)+COUNTIF($B$4:$F$4,C200)+COUNTIF($B$1:$F$2,C200)&gt;1,NOT(ISBLANK(C200)))</formula>
    </cfRule>
    <cfRule type="expression" dxfId="1118" priority="204" stopIfTrue="1">
      <formula>AND(COUNTIF($C$134:$F$142,C200)+COUNTIF($C$144:$F$65536,C200)+COUNTIF($C$8:$F$9,C200)+COUNTIF($C$11:$F$26,C200)+COUNTIF($C$28:$F$132,C200)+COUNTIF($C$4:$F$4,C200)+COUNTIF($C$1:$F$2,C200)&gt;1,NOT(ISBLANK(C200)))</formula>
    </cfRule>
  </conditionalFormatting>
  <conditionalFormatting sqref="D200">
    <cfRule type="duplicateValues" dxfId="2242" priority="1735" stopIfTrue="1"/>
    <cfRule type="duplicateValues" dxfId="2241" priority="1736" stopIfTrue="1"/>
    <cfRule type="duplicateValues" dxfId="2240" priority="1737" stopIfTrue="1"/>
    <cfRule type="duplicateValues" dxfId="1117" priority="1738" stopIfTrue="1"/>
    <cfRule type="duplicateValues" dxfId="1116" priority="1739" stopIfTrue="1"/>
    <cfRule type="duplicateValues" dxfId="1115" priority="1740" stopIfTrue="1"/>
    <cfRule type="duplicateValues" dxfId="1114" priority="1741" stopIfTrue="1"/>
    <cfRule type="duplicateValues" dxfId="1113" priority="1742" stopIfTrue="1"/>
    <cfRule type="duplicateValues" dxfId="1112" priority="1743" stopIfTrue="1"/>
    <cfRule type="duplicateValues" dxfId="1111" priority="1744" stopIfTrue="1"/>
    <cfRule type="expression" dxfId="1110" priority="1745" stopIfTrue="1">
      <formula>AND(COUNTIF($D$4:$D$65536,D200)+COUNTIF($D$1:$D$2,D200)&gt;1,NOT(ISBLANK(D200)))</formula>
    </cfRule>
    <cfRule type="expression" dxfId="1109" priority="1746" stopIfTrue="1">
      <formula>AND(COUNTIF($D$4:$D$65536,D200)+COUNTIF($D$1:$D$2,D200)&gt;1,NOT(ISBLANK(D200)))</formula>
    </cfRule>
    <cfRule type="expression" dxfId="1108" priority="1747" stopIfTrue="1">
      <formula>AND(COUNTIF($D$4:$D$65536,D200)+COUNTIF($D$1:$D$2,D200)&gt;1,NOT(ISBLANK(D200)))</formula>
    </cfRule>
    <cfRule type="expression" dxfId="1107" priority="1748" stopIfTrue="1">
      <formula>AND(COUNTIF($D$1:$D$363,D200)+COUNTIF($D$365:$D$385,D200)+COUNTIF($D$387:$D$65536,D200)&gt;1,NOT(ISBLANK(D200)))</formula>
    </cfRule>
    <cfRule type="expression" dxfId="1106" priority="1749" stopIfTrue="1">
      <formula>AND(COUNTIF($D$1:$D$363,D200)+COUNTIF($D$365:$D$385,D200)+COUNTIF($D$387:$D$65536,D200)&gt;1,NOT(ISBLANK(D200)))</formula>
    </cfRule>
  </conditionalFormatting>
  <conditionalFormatting sqref="E200">
    <cfRule type="duplicateValues" dxfId="2239" priority="1071" stopIfTrue="1"/>
    <cfRule type="duplicateValues" dxfId="2238" priority="1072" stopIfTrue="1"/>
    <cfRule type="duplicateValues" dxfId="2237" priority="1073" stopIfTrue="1"/>
    <cfRule type="duplicateValues" dxfId="1105" priority="1074" stopIfTrue="1"/>
    <cfRule type="duplicateValues" dxfId="1104" priority="1078" stopIfTrue="1"/>
  </conditionalFormatting>
  <conditionalFormatting sqref="F200">
    <cfRule type="duplicateValues" dxfId="2236" priority="1070" stopIfTrue="1"/>
    <cfRule type="duplicateValues" dxfId="2235" priority="1075" stopIfTrue="1"/>
    <cfRule type="duplicateValues" dxfId="2234" priority="1076" stopIfTrue="1"/>
    <cfRule type="duplicateValues" dxfId="1103" priority="1077" stopIfTrue="1"/>
    <cfRule type="duplicateValues" dxfId="1102" priority="1079" stopIfTrue="1"/>
  </conditionalFormatting>
  <conditionalFormatting sqref="B201:E201">
    <cfRule type="duplicateValues" dxfId="2233" priority="1546" stopIfTrue="1"/>
  </conditionalFormatting>
  <conditionalFormatting sqref="B201:F201">
    <cfRule type="duplicateValues" dxfId="2232" priority="1548" stopIfTrue="1"/>
  </conditionalFormatting>
  <conditionalFormatting sqref="F201">
    <cfRule type="duplicateValues" dxfId="2231" priority="1538" stopIfTrue="1"/>
    <cfRule type="duplicateValues" dxfId="2230" priority="1539" stopIfTrue="1"/>
    <cfRule type="duplicateValues" dxfId="2229" priority="1540" stopIfTrue="1"/>
    <cfRule type="duplicateValues" dxfId="1101" priority="1541" stopIfTrue="1"/>
    <cfRule type="duplicateValues" dxfId="1100" priority="1542" stopIfTrue="1"/>
    <cfRule type="duplicateValues" dxfId="1099" priority="1543" stopIfTrue="1"/>
    <cfRule type="duplicateValues" dxfId="1098" priority="1544" stopIfTrue="1"/>
    <cfRule type="duplicateValues" dxfId="1097" priority="1545" stopIfTrue="1"/>
    <cfRule type="duplicateValues" dxfId="1096" priority="1547" stopIfTrue="1"/>
  </conditionalFormatting>
  <conditionalFormatting sqref="B207">
    <cfRule type="expression" dxfId="2228" priority="784" stopIfTrue="1">
      <formula>AND(COUNTIF($C$4:$C$65536,B207)+COUNTIF($C$1:$C$2,B207)&gt;1,NOT(ISBLANK(B207)))</formula>
    </cfRule>
  </conditionalFormatting>
  <conditionalFormatting sqref="C207">
    <cfRule type="expression" dxfId="2227" priority="191" stopIfTrue="1">
      <formula>AND(COUNTIF($B$134:$F$142,C207)+COUNTIF($B$144:$F$65536,C207)+COUNTIF($B$8:$F$9,C207)+COUNTIF($B$11:$F$26,C207)+COUNTIF($B$28:$F$132,C207)+COUNTIF($B$4:$F$4,C207)+COUNTIF($B$1:$F$2,C207)&gt;1,NOT(ISBLANK(C207)))</formula>
    </cfRule>
    <cfRule type="expression" dxfId="2226" priority="192" stopIfTrue="1">
      <formula>AND(COUNTIF($B$134:$F$142,C207)+COUNTIF($B$144:$F$65536,C207)+COUNTIF($B$8:$F$9,C207)+COUNTIF($B$11:$F$26,C207)+COUNTIF($B$28:$F$132,C207)+COUNTIF($B$4:$F$4,C207)+COUNTIF($B$1:$F$2,C207)&gt;1,NOT(ISBLANK(C207)))</formula>
    </cfRule>
    <cfRule type="expression" dxfId="2225" priority="193" stopIfTrue="1">
      <formula>AND(COUNTIF($B$134:$F$142,C207)+COUNTIF($B$144:$F$65536,C207)+COUNTIF($B$8:$F$9,C207)+COUNTIF($B$11:$F$26,C207)+COUNTIF($B$28:$F$132,C207)+COUNTIF($B$4:$F$4,C207)+COUNTIF($B$1:$F$2,C207)&gt;1,NOT(ISBLANK(C207)))</formula>
    </cfRule>
    <cfRule type="expression" dxfId="1095" priority="194" stopIfTrue="1">
      <formula>AND(COUNTIF($B$8:$F$9,C207)+COUNTIF($B$11:$F$26,C207)+COUNTIF($B$28:$F$65536,C207)+COUNTIF($B$4:$F$4,C207)+COUNTIF($B$1:$F$2,C207)&gt;1,NOT(ISBLANK(C207)))</formula>
    </cfRule>
    <cfRule type="expression" dxfId="1094" priority="195" stopIfTrue="1">
      <formula>AND(COUNTIF($B$8:$F$9,C207)+COUNTIF($B$11:$F$26,C207)+COUNTIF($B$28:$F$65536,C207)+COUNTIF($B$4:$F$4,C207)+COUNTIF($B$1:$F$2,C207)&gt;1,NOT(ISBLANK(C207)))</formula>
    </cfRule>
    <cfRule type="expression" dxfId="1093" priority="196" stopIfTrue="1">
      <formula>AND(COUNTIF($B$8:$F$9,C207)+COUNTIF($B$11:$F$26,C207)+COUNTIF($B$28:$F$65536,C207)+COUNTIF($B$4:$F$4,C207)+COUNTIF($B$1:$F$2,C207)&gt;1,NOT(ISBLANK(C207)))</formula>
    </cfRule>
    <cfRule type="expression" dxfId="1092" priority="197" stopIfTrue="1">
      <formula>AND(COUNTIF($C$134:$F$142,C207)+COUNTIF($C$144:$F$65536,C207)+COUNTIF($C$8:$F$9,C207)+COUNTIF($C$11:$F$26,C207)+COUNTIF($C$28:$F$132,C207)+COUNTIF($C$4:$F$4,C207)+COUNTIF($C$1:$F$2,C207)&gt;1,NOT(ISBLANK(C207)))</formula>
    </cfRule>
  </conditionalFormatting>
  <conditionalFormatting sqref="D207">
    <cfRule type="duplicateValues" dxfId="2224" priority="719" stopIfTrue="1"/>
    <cfRule type="duplicateValues" dxfId="2223" priority="722" stopIfTrue="1"/>
    <cfRule type="duplicateValues" dxfId="2222" priority="728" stopIfTrue="1"/>
    <cfRule type="duplicateValues" dxfId="1091" priority="729" stopIfTrue="1"/>
    <cfRule type="expression" dxfId="1090" priority="746" stopIfTrue="1">
      <formula>AND(COUNTIF($D$8:$D$9,D207)+COUNTIF($D$1:$D$2,D207)+COUNTIF($D$11:$D$26,D207)+COUNTIF($D$28:$D$65536,D207)+COUNTIF($D$4:$D$4,D207)&gt;1,NOT(ISBLANK(D207)))</formula>
    </cfRule>
    <cfRule type="expression" dxfId="1089" priority="747" stopIfTrue="1">
      <formula>AND(COUNTIF($D$8:$D$9,D207)+COUNTIF($D$1:$D$2,D207)+COUNTIF($D$11:$D$26,D207)+COUNTIF($D$28:$D$65536,D207)+COUNTIF($D$4:$D$4,D207)&gt;1,NOT(ISBLANK(D207)))</formula>
    </cfRule>
    <cfRule type="expression" dxfId="1088" priority="748" stopIfTrue="1">
      <formula>AND(COUNTIF($D$8:$D$9,D207)+COUNTIF($D$1:$D$2,D207)+COUNTIF($D$11:$D$26,D207)+COUNTIF($D$28:$D$65536,D207)+COUNTIF($D$4:$D$4,D207)&gt;1,NOT(ISBLANK(D207)))</formula>
    </cfRule>
    <cfRule type="expression" dxfId="1087" priority="749" stopIfTrue="1">
      <formula>AND(COUNTIF($D$134:$D$142,D207)+COUNTIF($D$144:$D$65536,D207)+COUNTIF($D$1:$D$2,D207)+COUNTIF($D$8:$D$9,D207)+COUNTIF($D$11:$D$26,D207)+COUNTIF($D$28:$D$132,D207)+COUNTIF($D$4:$D$4,D207)&gt;1,NOT(ISBLANK(D207)))</formula>
    </cfRule>
    <cfRule type="duplicateValues" dxfId="1086" priority="762" stopIfTrue="1"/>
    <cfRule type="duplicateValues" dxfId="1085" priority="763" stopIfTrue="1"/>
    <cfRule type="duplicateValues" dxfId="1084" priority="764" stopIfTrue="1"/>
    <cfRule type="duplicateValues" dxfId="1083" priority="768" stopIfTrue="1"/>
    <cfRule type="duplicateValues" dxfId="1082" priority="769" stopIfTrue="1"/>
    <cfRule type="duplicateValues" dxfId="1081" priority="770" stopIfTrue="1"/>
    <cfRule type="duplicateValues" dxfId="1080" priority="771" stopIfTrue="1"/>
    <cfRule type="duplicateValues" dxfId="1079" priority="772" stopIfTrue="1"/>
    <cfRule type="duplicateValues" dxfId="1078" priority="773" stopIfTrue="1"/>
    <cfRule type="expression" dxfId="1077" priority="774" stopIfTrue="1">
      <formula>AND(COUNTIF($D$4:$D$65536,D207)+COUNTIF($D$1:$D$2,D207)&gt;1,NOT(ISBLANK(D207)))</formula>
    </cfRule>
    <cfRule type="expression" dxfId="1076" priority="775" stopIfTrue="1">
      <formula>AND(COUNTIF($D$4:$D$65536,D207)+COUNTIF($D$1:$D$2,D207)&gt;1,NOT(ISBLANK(D207)))</formula>
    </cfRule>
    <cfRule type="expression" dxfId="1075" priority="776" stopIfTrue="1">
      <formula>AND(COUNTIF($D$4:$D$65536,D207)+COUNTIF($D$1:$D$2,D207)&gt;1,NOT(ISBLANK(D207)))</formula>
    </cfRule>
    <cfRule type="expression" dxfId="1074" priority="777" stopIfTrue="1">
      <formula>AND(COUNTIF($D$1:$D$350,D207)+COUNTIF($D$352:$D$372,D207)+COUNTIF($D$374:$D$65536,D207)&gt;1,NOT(ISBLANK(D207)))</formula>
    </cfRule>
    <cfRule type="expression" dxfId="1073" priority="778" stopIfTrue="1">
      <formula>AND(COUNTIF($D$1:$D$350,D207)+COUNTIF($D$352:$D$372,D207)+COUNTIF($D$374:$D$65536,D207)&gt;1,NOT(ISBLANK(D207)))</formula>
    </cfRule>
  </conditionalFormatting>
  <conditionalFormatting sqref="D207:F207">
    <cfRule type="expression" dxfId="2221" priority="780" stopIfTrue="1">
      <formula>AND(COUNTIF($D$8:$F$9,D207)+COUNTIF($D$1:$F$2,D207)+COUNTIF($D$11:$F$26,D207)+COUNTIF($D$28:$F$65536,D207)+COUNTIF($D$4:$F$4,D207)&gt;1,NOT(ISBLANK(D207)))</formula>
    </cfRule>
    <cfRule type="expression" dxfId="2220" priority="781" stopIfTrue="1">
      <formula>AND(COUNTIF($D$8:$F$9,D207)+COUNTIF($D$1:$F$2,D207)+COUNTIF($D$11:$F$26,D207)+COUNTIF($D$28:$F$65536,D207)+COUNTIF($D$4:$F$4,D207)&gt;1,NOT(ISBLANK(D207)))</formula>
    </cfRule>
    <cfRule type="expression" dxfId="2219" priority="782" stopIfTrue="1">
      <formula>AND(COUNTIF($D$8:$F$9,D207)+COUNTIF($D$1:$F$2,D207)+COUNTIF($D$11:$F$26,D207)+COUNTIF($D$28:$F$65536,D207)+COUNTIF($D$4:$F$4,D207)&gt;1,NOT(ISBLANK(D207)))</formula>
    </cfRule>
  </conditionalFormatting>
  <conditionalFormatting sqref="E207:F207">
    <cfRule type="expression" dxfId="2218" priority="783" stopIfTrue="1">
      <formula>AND(COUNTIF($E$8:$F$9,E207)+COUNTIF($E$1:$F$2,E207)+COUNTIF($E$11:$F$26,E207)+COUNTIF($E$28:$F$65536,E207)+COUNTIF($E$4:$F$4,E207)&gt;1,NOT(ISBLANK(E207)))</formula>
    </cfRule>
  </conditionalFormatting>
  <conditionalFormatting sqref="E207">
    <cfRule type="duplicateValues" dxfId="2217" priority="720" stopIfTrue="1"/>
    <cfRule type="duplicateValues" dxfId="2216" priority="726" stopIfTrue="1"/>
    <cfRule type="duplicateValues" dxfId="2215" priority="730" stopIfTrue="1"/>
    <cfRule type="duplicateValues" dxfId="1072" priority="731" stopIfTrue="1"/>
    <cfRule type="duplicateValues" dxfId="1071" priority="732" stopIfTrue="1"/>
    <cfRule type="duplicateValues" dxfId="1070" priority="733" stopIfTrue="1"/>
    <cfRule type="duplicateValues" dxfId="1069" priority="734" stopIfTrue="1"/>
    <cfRule type="expression" dxfId="1068" priority="750" stopIfTrue="1">
      <formula>AND(COUNTIF($E$486:$E$65536,E207)+COUNTIF($E$1:$E$2,E207)+COUNTIF($E$134:$E$142,E207)+COUNTIF($E$144:$E$483,E207)+COUNTIF($E$8:$E$9,E207)+COUNTIF($E$11:$E$26,E207)+COUNTIF($E$28:$E$132,E207)+COUNTIF($E$4:$E$4,E207)&gt;1,NOT(ISBLANK(E207)))</formula>
    </cfRule>
    <cfRule type="expression" dxfId="1067" priority="751" stopIfTrue="1">
      <formula>AND(COUNTIF($E$134:$E$142,E207)+COUNTIF($E$1:$E$2,E207)+COUNTIF($E$144:$E$65536,E207)+COUNTIF($E$8:$E$9,E207)+COUNTIF($E$11:$E$26,E207)+COUNTIF($E$28:$E$132,E207)+COUNTIF($E$4:$E$4,E207)&gt;1,NOT(ISBLANK(E207)))</formula>
    </cfRule>
    <cfRule type="expression" dxfId="1066" priority="752" stopIfTrue="1">
      <formula>AND(COUNTIF($E$8:$E$9,E207)+COUNTIF($E$1:$E$2,E207)+COUNTIF($E$11:$E$26,E207)+COUNTIF($E$28:$E$65536,E207)+COUNTIF($E$4:$E$4,E207)&gt;1,NOT(ISBLANK(E207)))</formula>
    </cfRule>
    <cfRule type="duplicateValues" dxfId="1065" priority="765" stopIfTrue="1"/>
    <cfRule type="expression" dxfId="1064" priority="786" stopIfTrue="1">
      <formula>AND(COUNTIF($E$4:$E$65536,E207)+COUNTIF($E$1:$E$2,E207)&gt;1,NOT(ISBLANK(E207)))</formula>
    </cfRule>
    <cfRule type="expression" dxfId="1063" priority="787" stopIfTrue="1">
      <formula>AND(COUNTIF($E$4:$E$65536,E207)+COUNTIF($E$1:$E$2,E207)&gt;1,NOT(ISBLANK(E207)))</formula>
    </cfRule>
  </conditionalFormatting>
  <conditionalFormatting sqref="F207">
    <cfRule type="duplicateValues" dxfId="2214" priority="721" stopIfTrue="1"/>
    <cfRule type="duplicateValues" dxfId="2213" priority="723" stopIfTrue="1"/>
    <cfRule type="duplicateValues" dxfId="2212" priority="724" stopIfTrue="1"/>
    <cfRule type="duplicateValues" dxfId="1062" priority="725" stopIfTrue="1"/>
    <cfRule type="duplicateValues" dxfId="1061" priority="727" stopIfTrue="1"/>
    <cfRule type="duplicateValues" dxfId="1060" priority="735" stopIfTrue="1"/>
    <cfRule type="duplicateValues" dxfId="1059" priority="736" stopIfTrue="1"/>
    <cfRule type="duplicateValues" dxfId="1058" priority="737" stopIfTrue="1"/>
    <cfRule type="duplicateValues" dxfId="1057" priority="738" stopIfTrue="1"/>
    <cfRule type="duplicateValues" dxfId="1056" priority="739" stopIfTrue="1"/>
    <cfRule type="expression" dxfId="1055" priority="753" stopIfTrue="1">
      <formula>AND(COUNTIF($F$8:$F$9,F207)+COUNTIF($F$1:$F$2,F207)+COUNTIF($F$11:$F$26,F207)+COUNTIF($F$28:$F$65536,F207)+COUNTIF($F$4:$F$4,F207)&gt;1,NOT(ISBLANK(F207)))</formula>
    </cfRule>
    <cfRule type="expression" dxfId="1054" priority="754" stopIfTrue="1">
      <formula>AND(COUNTIF($F$8:$F$9,F207)+COUNTIF($F$1:$F$2,F207)+COUNTIF($F$11:$F$26,F207)+COUNTIF($F$28:$F$65536,F207)+COUNTIF($F$4:$F$4,F207)&gt;1,NOT(ISBLANK(F207)))</formula>
    </cfRule>
    <cfRule type="expression" dxfId="1053" priority="755" stopIfTrue="1">
      <formula>AND(COUNTIF($F$8:$F$9,F207)+COUNTIF($F$1:$F$2,F207)+COUNTIF($F$11:$F$26,F207)+COUNTIF($F$28:$F$65536,F207)+COUNTIF($F$4:$F$4,F207)&gt;1,NOT(ISBLANK(F207)))</formula>
    </cfRule>
    <cfRule type="expression" dxfId="1052" priority="756" stopIfTrue="1">
      <formula>AND(COUNTIF($F$486:$F$65536,F207)+COUNTIF($F$1:$F$2,F207)+COUNTIF($F$134:$F$142,F207)+COUNTIF($F$144:$F$483,F207)+COUNTIF($F$8:$F$9,F207)+COUNTIF($F$11:$F$26,F207)+COUNTIF($F$28:$F$132,F207)+COUNTIF($F$4:$F$4,F207)&gt;1,NOT(ISBLANK(F207)))</formula>
    </cfRule>
    <cfRule type="expression" dxfId="1051" priority="757" stopIfTrue="1">
      <formula>AND(COUNTIF($F$486:$F$65536,F207)+COUNTIF($F$1:$F$2,F207)+COUNTIF($F$134:$F$142,F207)+COUNTIF($F$144:$F$483,F207)+COUNTIF($F$8:$F$9,F207)+COUNTIF($F$11:$F$26,F207)+COUNTIF($F$28:$F$132,F207)+COUNTIF($F$4:$F$4,F207)&gt;1,NOT(ISBLANK(F207)))</formula>
    </cfRule>
    <cfRule type="expression" dxfId="1050" priority="758" stopIfTrue="1">
      <formula>AND(COUNTIF($F$486:$F$65536,F207)+COUNTIF($F$1:$F$2,F207)+COUNTIF($F$134:$F$142,F207)+COUNTIF($F$144:$F$483,F207)+COUNTIF($F$8:$F$9,F207)+COUNTIF($F$11:$F$26,F207)+COUNTIF($F$28:$F$132,F207)+COUNTIF($F$4:$F$4,F207)&gt;1,NOT(ISBLANK(F207)))</formula>
    </cfRule>
    <cfRule type="expression" dxfId="1049" priority="759" stopIfTrue="1">
      <formula>AND(COUNTIF($F$134:$F$142,F207)+COUNTIF($F$1:$F$2,F207)+COUNTIF($F$144:$F$65536,F207)+COUNTIF($F$8:$F$9,F207)+COUNTIF($F$11:$F$26,F207)+COUNTIF($F$28:$F$132,F207)+COUNTIF($F$4:$F$4,F207)&gt;1,NOT(ISBLANK(F207)))</formula>
    </cfRule>
    <cfRule type="expression" dxfId="1048" priority="760" stopIfTrue="1">
      <formula>AND(COUNTIF($F$134:$F$142,F207)+COUNTIF($F$1:$F$2,F207)+COUNTIF($F$144:$F$65536,F207)+COUNTIF($F$8:$F$9,F207)+COUNTIF($F$11:$F$26,F207)+COUNTIF($F$28:$F$132,F207)+COUNTIF($F$4:$F$4,F207)&gt;1,NOT(ISBLANK(F207)))</formula>
    </cfRule>
    <cfRule type="expression" dxfId="1047" priority="761" stopIfTrue="1">
      <formula>AND(COUNTIF($F$134:$F$142,F207)+COUNTIF($F$1:$F$2,F207)+COUNTIF($F$144:$F$65536,F207)+COUNTIF($F$8:$F$9,F207)+COUNTIF($F$11:$F$26,F207)+COUNTIF($F$28:$F$132,F207)+COUNTIF($F$4:$F$4,F207)&gt;1,NOT(ISBLANK(F207)))</formula>
    </cfRule>
    <cfRule type="duplicateValues" dxfId="1046" priority="766" stopIfTrue="1"/>
    <cfRule type="duplicateValues" dxfId="1045" priority="767" stopIfTrue="1"/>
    <cfRule type="expression" dxfId="1044" priority="788" stopIfTrue="1">
      <formula>AND(COUNTIF($F$4:$F$65536,F207)+COUNTIF($F$1:$F$2,F207)&gt;1,NOT(ISBLANK(F207)))</formula>
    </cfRule>
    <cfRule type="expression" dxfId="1043" priority="789" stopIfTrue="1">
      <formula>AND(COUNTIF($F$4:$F$65536,F207)+COUNTIF($F$1:$F$2,F207)&gt;1,NOT(ISBLANK(F207)))</formula>
    </cfRule>
  </conditionalFormatting>
  <conditionalFormatting sqref="B209">
    <cfRule type="expression" dxfId="2211" priority="436" stopIfTrue="1">
      <formula>AND(COUNTIF($C$134:$F$142,B209)+COUNTIF($C$144:$F$65536,B209)+COUNTIF($C$8:$F$9,B209)+COUNTIF($C$11:$F$26,B209)+COUNTIF($C$28:$F$132,B209)+COUNTIF($C$4:$F$4,B209)+COUNTIF($C$1:$F$2,B209)&gt;1,NOT(ISBLANK(B209)))</formula>
    </cfRule>
    <cfRule type="expression" dxfId="2210" priority="437" stopIfTrue="1">
      <formula>AND(COUNTIF($C$4:$C$65536,B209)+COUNTIF($C$1:$C$2,B209)&gt;1,NOT(ISBLANK(B209)))</formula>
    </cfRule>
  </conditionalFormatting>
  <conditionalFormatting sqref="B211">
    <cfRule type="expression" dxfId="2209" priority="434" stopIfTrue="1">
      <formula>AND(COUNTIF($C$134:$F$142,B211)+COUNTIF($C$144:$F$65536,B211)+COUNTIF($C$8:$F$9,B211)+COUNTIF($C$11:$F$26,B211)+COUNTIF($C$28:$F$132,B211)+COUNTIF($C$4:$F$4,B211)+COUNTIF($C$1:$F$2,B211)&gt;1,NOT(ISBLANK(B211)))</formula>
    </cfRule>
    <cfRule type="expression" dxfId="2208" priority="435" stopIfTrue="1">
      <formula>AND(COUNTIF($C$4:$C$65536,B211)+COUNTIF($C$1:$C$2,B211)&gt;1,NOT(ISBLANK(B211)))</formula>
    </cfRule>
  </conditionalFormatting>
  <conditionalFormatting sqref="B213">
    <cfRule type="expression" dxfId="2207" priority="432" stopIfTrue="1">
      <formula>AND(COUNTIF($C$134:$F$142,B213)+COUNTIF($C$144:$F$65536,B213)+COUNTIF($C$8:$F$9,B213)+COUNTIF($C$11:$F$26,B213)+COUNTIF($C$28:$F$132,B213)+COUNTIF($C$4:$F$4,B213)+COUNTIF($C$1:$F$2,B213)&gt;1,NOT(ISBLANK(B213)))</formula>
    </cfRule>
    <cfRule type="expression" dxfId="2206" priority="433" stopIfTrue="1">
      <formula>AND(COUNTIF($C$4:$C$65536,B213)+COUNTIF($C$1:$C$2,B213)&gt;1,NOT(ISBLANK(B213)))</formula>
    </cfRule>
  </conditionalFormatting>
  <conditionalFormatting sqref="B227">
    <cfRule type="expression" dxfId="2205" priority="426" stopIfTrue="1">
      <formula>AND(COUNTIF($C$134:$F$142,B227)+COUNTIF($C$144:$F$65536,B227)+COUNTIF($C$8:$F$9,B227)+COUNTIF($C$11:$F$26,B227)+COUNTIF($C$28:$F$132,B227)+COUNTIF($C$4:$F$4,B227)+COUNTIF($C$1:$F$2,B227)&gt;1,NOT(ISBLANK(B227)))</formula>
    </cfRule>
    <cfRule type="expression" dxfId="2204" priority="427" stopIfTrue="1">
      <formula>AND(COUNTIF($C$4:$C$65536,B227)+COUNTIF($C$1:$C$2,B227)&gt;1,NOT(ISBLANK(B227)))</formula>
    </cfRule>
  </conditionalFormatting>
  <conditionalFormatting sqref="B233">
    <cfRule type="expression" dxfId="2203" priority="422" stopIfTrue="1">
      <formula>AND(COUNTIF($C$134:$F$142,B233)+COUNTIF($C$144:$F$65536,B233)+COUNTIF($C$8:$F$9,B233)+COUNTIF($C$11:$F$26,B233)+COUNTIF($C$28:$F$132,B233)+COUNTIF($C$4:$F$4,B233)+COUNTIF($C$1:$F$2,B233)&gt;1,NOT(ISBLANK(B233)))</formula>
    </cfRule>
    <cfRule type="expression" dxfId="2202" priority="423" stopIfTrue="1">
      <formula>AND(COUNTIF($C$4:$C$65536,B233)+COUNTIF($C$1:$C$2,B233)&gt;1,NOT(ISBLANK(B233)))</formula>
    </cfRule>
  </conditionalFormatting>
  <conditionalFormatting sqref="B235">
    <cfRule type="expression" dxfId="2201" priority="420" stopIfTrue="1">
      <formula>AND(COUNTIF($C$134:$F$142,B235)+COUNTIF($C$144:$F$65536,B235)+COUNTIF($C$8:$F$9,B235)+COUNTIF($C$11:$F$26,B235)+COUNTIF($C$28:$F$132,B235)+COUNTIF($C$4:$F$4,B235)+COUNTIF($C$1:$F$2,B235)&gt;1,NOT(ISBLANK(B235)))</formula>
    </cfRule>
    <cfRule type="expression" dxfId="2200" priority="421" stopIfTrue="1">
      <formula>AND(COUNTIF($C$4:$C$65536,B235)+COUNTIF($C$1:$C$2,B235)&gt;1,NOT(ISBLANK(B235)))</formula>
    </cfRule>
  </conditionalFormatting>
  <conditionalFormatting sqref="B238">
    <cfRule type="expression" dxfId="2199" priority="418" stopIfTrue="1">
      <formula>AND(COUNTIF($C$134:$F$142,B238)+COUNTIF($C$144:$F$65536,B238)+COUNTIF($C$8:$F$9,B238)+COUNTIF($C$11:$F$26,B238)+COUNTIF($C$28:$F$132,B238)+COUNTIF($C$4:$F$4,B238)+COUNTIF($C$1:$F$2,B238)&gt;1,NOT(ISBLANK(B238)))</formula>
    </cfRule>
    <cfRule type="expression" dxfId="2198" priority="419" stopIfTrue="1">
      <formula>AND(COUNTIF($C$4:$C$65536,B238)+COUNTIF($C$1:$C$2,B238)&gt;1,NOT(ISBLANK(B238)))</formula>
    </cfRule>
  </conditionalFormatting>
  <conditionalFormatting sqref="B244">
    <cfRule type="expression" dxfId="2197" priority="416" stopIfTrue="1">
      <formula>AND(COUNTIF($C$134:$F$142,B244)+COUNTIF($C$144:$F$65536,B244)+COUNTIF($C$8:$F$9,B244)+COUNTIF($C$11:$F$26,B244)+COUNTIF($C$28:$F$132,B244)+COUNTIF($C$4:$F$4,B244)+COUNTIF($C$1:$F$2,B244)&gt;1,NOT(ISBLANK(B244)))</formula>
    </cfRule>
    <cfRule type="expression" dxfId="2196" priority="417" stopIfTrue="1">
      <formula>AND(COUNTIF($C$4:$C$65536,B244)+COUNTIF($C$1:$C$2,B244)&gt;1,NOT(ISBLANK(B244)))</formula>
    </cfRule>
  </conditionalFormatting>
  <conditionalFormatting sqref="J245">
    <cfRule type="expression" dxfId="2195" priority="2122" stopIfTrue="1">
      <formula>AND(COUNTIF($B$4:$B$65536,J245)+COUNTIF($B$1:$B$2,J245)&gt;1,NOT(ISBLANK(J245)))</formula>
    </cfRule>
  </conditionalFormatting>
  <conditionalFormatting sqref="J245:N245">
    <cfRule type="expression" dxfId="2194" priority="2077" stopIfTrue="1">
      <formula>AND(COUNTIF($B$134:$F$142,J245)+COUNTIF($B$144:$F$65536,J245)+COUNTIF($B$8:$F$9,J245)+COUNTIF($B$11:$F$26,J245)+COUNTIF($B$28:$F$132,J245)+COUNTIF($B$4:$F$4,J245)+COUNTIF($B$1:$F$2,J245)&gt;1,NOT(ISBLANK(J245)))</formula>
    </cfRule>
    <cfRule type="expression" dxfId="2193" priority="2078" stopIfTrue="1">
      <formula>AND(COUNTIF($B$134:$F$142,J245)+COUNTIF($B$144:$F$65536,J245)+COUNTIF($B$8:$F$9,J245)+COUNTIF($B$11:$F$26,J245)+COUNTIF($B$28:$F$132,J245)+COUNTIF($B$4:$F$4,J245)+COUNTIF($B$1:$F$2,J245)&gt;1,NOT(ISBLANK(J245)))</formula>
    </cfRule>
    <cfRule type="expression" dxfId="2192" priority="2079" stopIfTrue="1">
      <formula>AND(COUNTIF($B$134:$F$142,J245)+COUNTIF($B$144:$F$65536,J245)+COUNTIF($B$8:$F$9,J245)+COUNTIF($B$11:$F$26,J245)+COUNTIF($B$28:$F$132,J245)+COUNTIF($B$4:$F$4,J245)+COUNTIF($B$1:$F$2,J245)&gt;1,NOT(ISBLANK(J245)))</formula>
    </cfRule>
    <cfRule type="expression" dxfId="1042" priority="2080" stopIfTrue="1">
      <formula>AND(COUNTIF($B$8:$F$9,J245)+COUNTIF($B$11:$F$26,J245)+COUNTIF($B$28:$F$65536,J245)+COUNTIF($B$4:$F$4,J245)+COUNTIF($B$1:$F$2,J245)&gt;1,NOT(ISBLANK(J245)))</formula>
    </cfRule>
    <cfRule type="expression" dxfId="1041" priority="2081" stopIfTrue="1">
      <formula>AND(COUNTIF($B$8:$F$9,J245)+COUNTIF($B$11:$F$26,J245)+COUNTIF($B$28:$F$65536,J245)+COUNTIF($B$4:$F$4,J245)+COUNTIF($B$1:$F$2,J245)&gt;1,NOT(ISBLANK(J245)))</formula>
    </cfRule>
    <cfRule type="expression" dxfId="1040" priority="2082" stopIfTrue="1">
      <formula>AND(COUNTIF($B$8:$F$9,J245)+COUNTIF($B$11:$F$26,J245)+COUNTIF($B$28:$F$65536,J245)+COUNTIF($B$4:$F$4,J245)+COUNTIF($B$1:$F$2,J245)&gt;1,NOT(ISBLANK(J245)))</formula>
    </cfRule>
  </conditionalFormatting>
  <conditionalFormatting sqref="K245">
    <cfRule type="expression" dxfId="2191" priority="2121" stopIfTrue="1">
      <formula>AND(COUNTIF($C$4:$C$65536,K245)+COUNTIF($C$1:$C$2,K245)&gt;1,NOT(ISBLANK(K245)))</formula>
    </cfRule>
  </conditionalFormatting>
  <conditionalFormatting sqref="K245:N245">
    <cfRule type="expression" dxfId="2190" priority="2116" stopIfTrue="1">
      <formula>AND(COUNTIF($C$134:$F$142,K245)+COUNTIF($C$144:$F$65536,K245)+COUNTIF($C$8:$F$9,K245)+COUNTIF($C$11:$F$26,K245)+COUNTIF($C$28:$F$132,K245)+COUNTIF($C$4:$F$4,K245)+COUNTIF($C$1:$F$2,K245)&gt;1,NOT(ISBLANK(K245)))</formula>
    </cfRule>
  </conditionalFormatting>
  <conditionalFormatting sqref="L245">
    <cfRule type="duplicateValues" dxfId="2189" priority="2059" stopIfTrue="1"/>
    <cfRule type="duplicateValues" dxfId="2188" priority="2065" stopIfTrue="1"/>
    <cfRule type="duplicateValues" dxfId="2187" priority="2066" stopIfTrue="1"/>
    <cfRule type="expression" dxfId="1039" priority="2083" stopIfTrue="1">
      <formula>AND(COUNTIF($D$8:$D$9,L245)+COUNTIF($D$1:$D$2,L245)+COUNTIF($D$11:$D$26,L245)+COUNTIF($D$28:$D$65536,L245)+COUNTIF($D$4:$D$4,L245)&gt;1,NOT(ISBLANK(L245)))</formula>
    </cfRule>
    <cfRule type="expression" dxfId="1038" priority="2084" stopIfTrue="1">
      <formula>AND(COUNTIF($D$8:$D$9,L245)+COUNTIF($D$1:$D$2,L245)+COUNTIF($D$11:$D$26,L245)+COUNTIF($D$28:$D$65536,L245)+COUNTIF($D$4:$D$4,L245)&gt;1,NOT(ISBLANK(L245)))</formula>
    </cfRule>
    <cfRule type="expression" dxfId="1037" priority="2085" stopIfTrue="1">
      <formula>AND(COUNTIF($D$8:$D$9,L245)+COUNTIF($D$1:$D$2,L245)+COUNTIF($D$11:$D$26,L245)+COUNTIF($D$28:$D$65536,L245)+COUNTIF($D$4:$D$4,L245)&gt;1,NOT(ISBLANK(L245)))</formula>
    </cfRule>
    <cfRule type="expression" dxfId="1036" priority="2086" stopIfTrue="1">
      <formula>AND(COUNTIF($D$134:$D$142,L245)+COUNTIF($D$144:$D$65536,L245)+COUNTIF($D$1:$D$2,L245)+COUNTIF($D$8:$D$9,L245)+COUNTIF($D$11:$D$26,L245)+COUNTIF($D$28:$D$132,L245)+COUNTIF($D$4:$D$4,L245)&gt;1,NOT(ISBLANK(L245)))</formula>
    </cfRule>
    <cfRule type="duplicateValues" dxfId="1035" priority="2099" stopIfTrue="1"/>
    <cfRule type="duplicateValues" dxfId="1034" priority="2100" stopIfTrue="1"/>
    <cfRule type="duplicateValues" dxfId="1033" priority="2101" stopIfTrue="1"/>
    <cfRule type="duplicateValues" dxfId="1032" priority="2105" stopIfTrue="1"/>
    <cfRule type="duplicateValues" dxfId="1031" priority="2106" stopIfTrue="1"/>
    <cfRule type="duplicateValues" dxfId="1030" priority="2107" stopIfTrue="1"/>
    <cfRule type="duplicateValues" dxfId="1029" priority="2108" stopIfTrue="1"/>
    <cfRule type="duplicateValues" dxfId="1028" priority="2109" stopIfTrue="1"/>
    <cfRule type="duplicateValues" dxfId="1027" priority="2110" stopIfTrue="1"/>
    <cfRule type="expression" dxfId="1026" priority="2111" stopIfTrue="1">
      <formula>AND(COUNTIF($D$4:$D$65536,L245)+COUNTIF($D$1:$D$2,L245)&gt;1,NOT(ISBLANK(L245)))</formula>
    </cfRule>
    <cfRule type="expression" dxfId="1025" priority="2112" stopIfTrue="1">
      <formula>AND(COUNTIF($D$4:$D$65536,L245)+COUNTIF($D$1:$D$2,L245)&gt;1,NOT(ISBLANK(L245)))</formula>
    </cfRule>
    <cfRule type="expression" dxfId="1024" priority="2113" stopIfTrue="1">
      <formula>AND(COUNTIF($D$4:$D$65536,L245)+COUNTIF($D$1:$D$2,L245)&gt;1,NOT(ISBLANK(L245)))</formula>
    </cfRule>
    <cfRule type="expression" dxfId="1023" priority="2114" stopIfTrue="1">
      <formula>AND(COUNTIF($D$1:$D$350,L245)+COUNTIF($D$352:$D$372,L245)+COUNTIF($D$374:$D$65536,L245)&gt;1,NOT(ISBLANK(L245)))</formula>
    </cfRule>
    <cfRule type="expression" dxfId="1022" priority="2115" stopIfTrue="1">
      <formula>AND(COUNTIF($D$1:$D$350,L245)+COUNTIF($D$352:$D$372,L245)+COUNTIF($D$374:$D$65536,L245)&gt;1,NOT(ISBLANK(L245)))</formula>
    </cfRule>
  </conditionalFormatting>
  <conditionalFormatting sqref="L245:N245">
    <cfRule type="expression" dxfId="2186" priority="2117" stopIfTrue="1">
      <formula>AND(COUNTIF($D$8:$F$9,L245)+COUNTIF($D$1:$F$2,L245)+COUNTIF($D$11:$F$26,L245)+COUNTIF($D$28:$F$65536,L245)+COUNTIF($D$4:$F$4,L245)&gt;1,NOT(ISBLANK(L245)))</formula>
    </cfRule>
    <cfRule type="expression" dxfId="2185" priority="2118" stopIfTrue="1">
      <formula>AND(COUNTIF($D$8:$F$9,L245)+COUNTIF($D$1:$F$2,L245)+COUNTIF($D$11:$F$26,L245)+COUNTIF($D$28:$F$65536,L245)+COUNTIF($D$4:$F$4,L245)&gt;1,NOT(ISBLANK(L245)))</formula>
    </cfRule>
    <cfRule type="expression" dxfId="2184" priority="2119" stopIfTrue="1">
      <formula>AND(COUNTIF($D$8:$F$9,L245)+COUNTIF($D$1:$F$2,L245)+COUNTIF($D$11:$F$26,L245)+COUNTIF($D$28:$F$65536,L245)+COUNTIF($D$4:$F$4,L245)&gt;1,NOT(ISBLANK(L245)))</formula>
    </cfRule>
  </conditionalFormatting>
  <conditionalFormatting sqref="M245:N245">
    <cfRule type="expression" dxfId="2183" priority="2120" stopIfTrue="1">
      <formula>AND(COUNTIF($E$8:$F$9,M245)+COUNTIF($E$1:$F$2,M245)+COUNTIF($E$11:$F$26,M245)+COUNTIF($E$28:$F$65536,M245)+COUNTIF($E$4:$F$4,M245)&gt;1,NOT(ISBLANK(M245)))</formula>
    </cfRule>
  </conditionalFormatting>
  <conditionalFormatting sqref="M245">
    <cfRule type="duplicateValues" dxfId="2182" priority="2057" stopIfTrue="1"/>
    <cfRule type="duplicateValues" dxfId="2181" priority="2063" stopIfTrue="1"/>
    <cfRule type="duplicateValues" dxfId="2180" priority="2067" stopIfTrue="1"/>
    <cfRule type="duplicateValues" dxfId="1021" priority="2068" stopIfTrue="1"/>
    <cfRule type="duplicateValues" dxfId="1020" priority="2069" stopIfTrue="1"/>
    <cfRule type="duplicateValues" dxfId="1019" priority="2070" stopIfTrue="1"/>
    <cfRule type="duplicateValues" dxfId="1018" priority="2071" stopIfTrue="1"/>
    <cfRule type="expression" dxfId="1017" priority="2087" stopIfTrue="1">
      <formula>AND(COUNTIF($E$486:$E$65536,M245)+COUNTIF($E$1:$E$2,M245)+COUNTIF($E$134:$E$142,M245)+COUNTIF($E$144:$E$483,M245)+COUNTIF($E$8:$E$9,M245)+COUNTIF($E$11:$E$26,M245)+COUNTIF($E$28:$E$132,M245)+COUNTIF($E$4:$E$4,M245)&gt;1,NOT(ISBLANK(M245)))</formula>
    </cfRule>
    <cfRule type="expression" dxfId="1016" priority="2088" stopIfTrue="1">
      <formula>AND(COUNTIF($E$134:$E$142,M245)+COUNTIF($E$1:$E$2,M245)+COUNTIF($E$144:$E$65536,M245)+COUNTIF($E$8:$E$9,M245)+COUNTIF($E$11:$E$26,M245)+COUNTIF($E$28:$E$132,M245)+COUNTIF($E$4:$E$4,M245)&gt;1,NOT(ISBLANK(M245)))</formula>
    </cfRule>
    <cfRule type="expression" dxfId="1015" priority="2089" stopIfTrue="1">
      <formula>AND(COUNTIF($E$8:$E$9,M245)+COUNTIF($E$1:$E$2,M245)+COUNTIF($E$11:$E$26,M245)+COUNTIF($E$28:$E$65536,M245)+COUNTIF($E$4:$E$4,M245)&gt;1,NOT(ISBLANK(M245)))</formula>
    </cfRule>
    <cfRule type="duplicateValues" dxfId="1014" priority="2102" stopIfTrue="1"/>
    <cfRule type="expression" dxfId="1013" priority="2123" stopIfTrue="1">
      <formula>AND(COUNTIF($E$4:$E$65536,M245)+COUNTIF($E$1:$E$2,M245)&gt;1,NOT(ISBLANK(M245)))</formula>
    </cfRule>
    <cfRule type="expression" dxfId="1012" priority="2124" stopIfTrue="1">
      <formula>AND(COUNTIF($E$4:$E$65536,M245)+COUNTIF($E$1:$E$2,M245)&gt;1,NOT(ISBLANK(M245)))</formula>
    </cfRule>
  </conditionalFormatting>
  <conditionalFormatting sqref="N245">
    <cfRule type="duplicateValues" dxfId="2179" priority="2058" stopIfTrue="1"/>
    <cfRule type="duplicateValues" dxfId="2178" priority="2060" stopIfTrue="1"/>
    <cfRule type="duplicateValues" dxfId="2177" priority="2061" stopIfTrue="1"/>
    <cfRule type="duplicateValues" dxfId="1011" priority="2062" stopIfTrue="1"/>
    <cfRule type="duplicateValues" dxfId="1010" priority="2064" stopIfTrue="1"/>
    <cfRule type="duplicateValues" dxfId="1009" priority="2072" stopIfTrue="1"/>
    <cfRule type="duplicateValues" dxfId="1008" priority="2073" stopIfTrue="1"/>
    <cfRule type="duplicateValues" dxfId="1007" priority="2074" stopIfTrue="1"/>
    <cfRule type="duplicateValues" dxfId="1006" priority="2075" stopIfTrue="1"/>
    <cfRule type="duplicateValues" dxfId="1005" priority="2076" stopIfTrue="1"/>
    <cfRule type="expression" dxfId="1004" priority="2090" stopIfTrue="1">
      <formula>AND(COUNTIF($F$8:$F$9,N245)+COUNTIF($F$1:$F$2,N245)+COUNTIF($F$11:$F$26,N245)+COUNTIF($F$28:$F$65536,N245)+COUNTIF($F$4:$F$4,N245)&gt;1,NOT(ISBLANK(N245)))</formula>
    </cfRule>
    <cfRule type="expression" dxfId="1003" priority="2091" stopIfTrue="1">
      <formula>AND(COUNTIF($F$8:$F$9,N245)+COUNTIF($F$1:$F$2,N245)+COUNTIF($F$11:$F$26,N245)+COUNTIF($F$28:$F$65536,N245)+COUNTIF($F$4:$F$4,N245)&gt;1,NOT(ISBLANK(N245)))</formula>
    </cfRule>
    <cfRule type="expression" dxfId="1002" priority="2092" stopIfTrue="1">
      <formula>AND(COUNTIF($F$8:$F$9,N245)+COUNTIF($F$1:$F$2,N245)+COUNTIF($F$11:$F$26,N245)+COUNTIF($F$28:$F$65536,N245)+COUNTIF($F$4:$F$4,N245)&gt;1,NOT(ISBLANK(N245)))</formula>
    </cfRule>
    <cfRule type="expression" dxfId="1001" priority="2093" stopIfTrue="1">
      <formula>AND(COUNTIF($F$486:$F$65536,N245)+COUNTIF($F$1:$F$2,N245)+COUNTIF($F$134:$F$142,N245)+COUNTIF($F$144:$F$483,N245)+COUNTIF($F$8:$F$9,N245)+COUNTIF($F$11:$F$26,N245)+COUNTIF($F$28:$F$132,N245)+COUNTIF($F$4:$F$4,N245)&gt;1,NOT(ISBLANK(N245)))</formula>
    </cfRule>
    <cfRule type="expression" dxfId="1000" priority="2094" stopIfTrue="1">
      <formula>AND(COUNTIF($F$486:$F$65536,N245)+COUNTIF($F$1:$F$2,N245)+COUNTIF($F$134:$F$142,N245)+COUNTIF($F$144:$F$483,N245)+COUNTIF($F$8:$F$9,N245)+COUNTIF($F$11:$F$26,N245)+COUNTIF($F$28:$F$132,N245)+COUNTIF($F$4:$F$4,N245)&gt;1,NOT(ISBLANK(N245)))</formula>
    </cfRule>
    <cfRule type="expression" dxfId="999" priority="2095" stopIfTrue="1">
      <formula>AND(COUNTIF($F$486:$F$65536,N245)+COUNTIF($F$1:$F$2,N245)+COUNTIF($F$134:$F$142,N245)+COUNTIF($F$144:$F$483,N245)+COUNTIF($F$8:$F$9,N245)+COUNTIF($F$11:$F$26,N245)+COUNTIF($F$28:$F$132,N245)+COUNTIF($F$4:$F$4,N245)&gt;1,NOT(ISBLANK(N245)))</formula>
    </cfRule>
    <cfRule type="expression" dxfId="998" priority="2096" stopIfTrue="1">
      <formula>AND(COUNTIF($F$134:$F$142,N245)+COUNTIF($F$1:$F$2,N245)+COUNTIF($F$144:$F$65536,N245)+COUNTIF($F$8:$F$9,N245)+COUNTIF($F$11:$F$26,N245)+COUNTIF($F$28:$F$132,N245)+COUNTIF($F$4:$F$4,N245)&gt;1,NOT(ISBLANK(N245)))</formula>
    </cfRule>
    <cfRule type="expression" dxfId="997" priority="2097" stopIfTrue="1">
      <formula>AND(COUNTIF($F$134:$F$142,N245)+COUNTIF($F$1:$F$2,N245)+COUNTIF($F$144:$F$65536,N245)+COUNTIF($F$8:$F$9,N245)+COUNTIF($F$11:$F$26,N245)+COUNTIF($F$28:$F$132,N245)+COUNTIF($F$4:$F$4,N245)&gt;1,NOT(ISBLANK(N245)))</formula>
    </cfRule>
    <cfRule type="expression" dxfId="996" priority="2098" stopIfTrue="1">
      <formula>AND(COUNTIF($F$134:$F$142,N245)+COUNTIF($F$1:$F$2,N245)+COUNTIF($F$144:$F$65536,N245)+COUNTIF($F$8:$F$9,N245)+COUNTIF($F$11:$F$26,N245)+COUNTIF($F$28:$F$132,N245)+COUNTIF($F$4:$F$4,N245)&gt;1,NOT(ISBLANK(N245)))</formula>
    </cfRule>
    <cfRule type="duplicateValues" dxfId="995" priority="2103" stopIfTrue="1"/>
    <cfRule type="duplicateValues" dxfId="994" priority="2104" stopIfTrue="1"/>
    <cfRule type="expression" dxfId="993" priority="2125" stopIfTrue="1">
      <formula>AND(COUNTIF($F$4:$F$65536,N245)+COUNTIF($F$1:$F$2,N245)&gt;1,NOT(ISBLANK(N245)))</formula>
    </cfRule>
    <cfRule type="expression" dxfId="992" priority="2126" stopIfTrue="1">
      <formula>AND(COUNTIF($F$4:$F$65536,N245)+COUNTIF($F$1:$F$2,N245)&gt;1,NOT(ISBLANK(N245)))</formula>
    </cfRule>
  </conditionalFormatting>
  <conditionalFormatting sqref="B247">
    <cfRule type="expression" dxfId="2176" priority="414" stopIfTrue="1">
      <formula>AND(COUNTIF($C$134:$F$142,B247)+COUNTIF($C$144:$F$65536,B247)+COUNTIF($C$8:$F$9,B247)+COUNTIF($C$11:$F$26,B247)+COUNTIF($C$28:$F$132,B247)+COUNTIF($C$4:$F$4,B247)+COUNTIF($C$1:$F$2,B247)&gt;1,NOT(ISBLANK(B247)))</formula>
    </cfRule>
    <cfRule type="expression" dxfId="2175" priority="415" stopIfTrue="1">
      <formula>AND(COUNTIF($C$4:$C$65536,B247)+COUNTIF($C$1:$C$2,B247)&gt;1,NOT(ISBLANK(B247)))</formula>
    </cfRule>
  </conditionalFormatting>
  <conditionalFormatting sqref="J247">
    <cfRule type="expression" dxfId="2174" priority="2052" stopIfTrue="1">
      <formula>AND(COUNTIF($B$4:$B$65536,J247)+COUNTIF($B$1:$B$2,J247)&gt;1,NOT(ISBLANK(J247)))</formula>
    </cfRule>
  </conditionalFormatting>
  <conditionalFormatting sqref="J247:N247">
    <cfRule type="expression" dxfId="2173" priority="2007" stopIfTrue="1">
      <formula>AND(COUNTIF($B$134:$F$142,J247)+COUNTIF($B$144:$F$65536,J247)+COUNTIF($B$8:$F$9,J247)+COUNTIF($B$11:$F$26,J247)+COUNTIF($B$28:$F$132,J247)+COUNTIF($B$4:$F$4,J247)+COUNTIF($B$1:$F$2,J247)&gt;1,NOT(ISBLANK(J247)))</formula>
    </cfRule>
    <cfRule type="expression" dxfId="2172" priority="2008" stopIfTrue="1">
      <formula>AND(COUNTIF($B$134:$F$142,J247)+COUNTIF($B$144:$F$65536,J247)+COUNTIF($B$8:$F$9,J247)+COUNTIF($B$11:$F$26,J247)+COUNTIF($B$28:$F$132,J247)+COUNTIF($B$4:$F$4,J247)+COUNTIF($B$1:$F$2,J247)&gt;1,NOT(ISBLANK(J247)))</formula>
    </cfRule>
    <cfRule type="expression" dxfId="2171" priority="2009" stopIfTrue="1">
      <formula>AND(COUNTIF($B$134:$F$142,J247)+COUNTIF($B$144:$F$65536,J247)+COUNTIF($B$8:$F$9,J247)+COUNTIF($B$11:$F$26,J247)+COUNTIF($B$28:$F$132,J247)+COUNTIF($B$4:$F$4,J247)+COUNTIF($B$1:$F$2,J247)&gt;1,NOT(ISBLANK(J247)))</formula>
    </cfRule>
    <cfRule type="expression" dxfId="991" priority="2010" stopIfTrue="1">
      <formula>AND(COUNTIF($B$8:$F$9,J247)+COUNTIF($B$11:$F$26,J247)+COUNTIF($B$28:$F$65536,J247)+COUNTIF($B$4:$F$4,J247)+COUNTIF($B$1:$F$2,J247)&gt;1,NOT(ISBLANK(J247)))</formula>
    </cfRule>
    <cfRule type="expression" dxfId="990" priority="2011" stopIfTrue="1">
      <formula>AND(COUNTIF($B$8:$F$9,J247)+COUNTIF($B$11:$F$26,J247)+COUNTIF($B$28:$F$65536,J247)+COUNTIF($B$4:$F$4,J247)+COUNTIF($B$1:$F$2,J247)&gt;1,NOT(ISBLANK(J247)))</formula>
    </cfRule>
    <cfRule type="expression" dxfId="989" priority="2012" stopIfTrue="1">
      <formula>AND(COUNTIF($B$8:$F$9,J247)+COUNTIF($B$11:$F$26,J247)+COUNTIF($B$28:$F$65536,J247)+COUNTIF($B$4:$F$4,J247)+COUNTIF($B$1:$F$2,J247)&gt;1,NOT(ISBLANK(J247)))</formula>
    </cfRule>
  </conditionalFormatting>
  <conditionalFormatting sqref="K247">
    <cfRule type="expression" dxfId="2170" priority="2051" stopIfTrue="1">
      <formula>AND(COUNTIF($C$4:$C$65536,K247)+COUNTIF($C$1:$C$2,K247)&gt;1,NOT(ISBLANK(K247)))</formula>
    </cfRule>
  </conditionalFormatting>
  <conditionalFormatting sqref="K247:N247">
    <cfRule type="expression" dxfId="2169" priority="2046" stopIfTrue="1">
      <formula>AND(COUNTIF($C$134:$F$142,K247)+COUNTIF($C$144:$F$65536,K247)+COUNTIF($C$8:$F$9,K247)+COUNTIF($C$11:$F$26,K247)+COUNTIF($C$28:$F$132,K247)+COUNTIF($C$4:$F$4,K247)+COUNTIF($C$1:$F$2,K247)&gt;1,NOT(ISBLANK(K247)))</formula>
    </cfRule>
  </conditionalFormatting>
  <conditionalFormatting sqref="L247">
    <cfRule type="duplicateValues" dxfId="2168" priority="1989" stopIfTrue="1"/>
    <cfRule type="duplicateValues" dxfId="2167" priority="1995" stopIfTrue="1"/>
    <cfRule type="duplicateValues" dxfId="2166" priority="1996" stopIfTrue="1"/>
    <cfRule type="expression" dxfId="988" priority="2013" stopIfTrue="1">
      <formula>AND(COUNTIF($D$8:$D$9,L247)+COUNTIF($D$1:$D$2,L247)+COUNTIF($D$11:$D$26,L247)+COUNTIF($D$28:$D$65536,L247)+COUNTIF($D$4:$D$4,L247)&gt;1,NOT(ISBLANK(L247)))</formula>
    </cfRule>
    <cfRule type="expression" dxfId="987" priority="2014" stopIfTrue="1">
      <formula>AND(COUNTIF($D$8:$D$9,L247)+COUNTIF($D$1:$D$2,L247)+COUNTIF($D$11:$D$26,L247)+COUNTIF($D$28:$D$65536,L247)+COUNTIF($D$4:$D$4,L247)&gt;1,NOT(ISBLANK(L247)))</formula>
    </cfRule>
    <cfRule type="expression" dxfId="986" priority="2015" stopIfTrue="1">
      <formula>AND(COUNTIF($D$8:$D$9,L247)+COUNTIF($D$1:$D$2,L247)+COUNTIF($D$11:$D$26,L247)+COUNTIF($D$28:$D$65536,L247)+COUNTIF($D$4:$D$4,L247)&gt;1,NOT(ISBLANK(L247)))</formula>
    </cfRule>
    <cfRule type="expression" dxfId="985" priority="2016" stopIfTrue="1">
      <formula>AND(COUNTIF($D$134:$D$142,L247)+COUNTIF($D$144:$D$65536,L247)+COUNTIF($D$1:$D$2,L247)+COUNTIF($D$8:$D$9,L247)+COUNTIF($D$11:$D$26,L247)+COUNTIF($D$28:$D$132,L247)+COUNTIF($D$4:$D$4,L247)&gt;1,NOT(ISBLANK(L247)))</formula>
    </cfRule>
    <cfRule type="duplicateValues" dxfId="984" priority="2029" stopIfTrue="1"/>
    <cfRule type="duplicateValues" dxfId="983" priority="2030" stopIfTrue="1"/>
    <cfRule type="duplicateValues" dxfId="982" priority="2031" stopIfTrue="1"/>
    <cfRule type="duplicateValues" dxfId="981" priority="2035" stopIfTrue="1"/>
    <cfRule type="duplicateValues" dxfId="980" priority="2036" stopIfTrue="1"/>
    <cfRule type="duplicateValues" dxfId="979" priority="2037" stopIfTrue="1"/>
    <cfRule type="duplicateValues" dxfId="978" priority="2038" stopIfTrue="1"/>
    <cfRule type="duplicateValues" dxfId="977" priority="2039" stopIfTrue="1"/>
    <cfRule type="duplicateValues" dxfId="976" priority="2040" stopIfTrue="1"/>
    <cfRule type="expression" dxfId="975" priority="2041" stopIfTrue="1">
      <formula>AND(COUNTIF($D$4:$D$65536,L247)+COUNTIF($D$1:$D$2,L247)&gt;1,NOT(ISBLANK(L247)))</formula>
    </cfRule>
    <cfRule type="expression" dxfId="974" priority="2042" stopIfTrue="1">
      <formula>AND(COUNTIF($D$4:$D$65536,L247)+COUNTIF($D$1:$D$2,L247)&gt;1,NOT(ISBLANK(L247)))</formula>
    </cfRule>
    <cfRule type="expression" dxfId="973" priority="2043" stopIfTrue="1">
      <formula>AND(COUNTIF($D$4:$D$65536,L247)+COUNTIF($D$1:$D$2,L247)&gt;1,NOT(ISBLANK(L247)))</formula>
    </cfRule>
    <cfRule type="expression" dxfId="972" priority="2044" stopIfTrue="1">
      <formula>AND(COUNTIF($D$1:$D$350,L247)+COUNTIF($D$352:$D$372,L247)+COUNTIF($D$374:$D$65536,L247)&gt;1,NOT(ISBLANK(L247)))</formula>
    </cfRule>
    <cfRule type="expression" dxfId="971" priority="2045" stopIfTrue="1">
      <formula>AND(COUNTIF($D$1:$D$350,L247)+COUNTIF($D$352:$D$372,L247)+COUNTIF($D$374:$D$65536,L247)&gt;1,NOT(ISBLANK(L247)))</formula>
    </cfRule>
  </conditionalFormatting>
  <conditionalFormatting sqref="L247:N247">
    <cfRule type="expression" dxfId="2165" priority="2047" stopIfTrue="1">
      <formula>AND(COUNTIF($D$8:$F$9,L247)+COUNTIF($D$1:$F$2,L247)+COUNTIF($D$11:$F$26,L247)+COUNTIF($D$28:$F$65536,L247)+COUNTIF($D$4:$F$4,L247)&gt;1,NOT(ISBLANK(L247)))</formula>
    </cfRule>
    <cfRule type="expression" dxfId="2164" priority="2048" stopIfTrue="1">
      <formula>AND(COUNTIF($D$8:$F$9,L247)+COUNTIF($D$1:$F$2,L247)+COUNTIF($D$11:$F$26,L247)+COUNTIF($D$28:$F$65536,L247)+COUNTIF($D$4:$F$4,L247)&gt;1,NOT(ISBLANK(L247)))</formula>
    </cfRule>
    <cfRule type="expression" dxfId="2163" priority="2049" stopIfTrue="1">
      <formula>AND(COUNTIF($D$8:$F$9,L247)+COUNTIF($D$1:$F$2,L247)+COUNTIF($D$11:$F$26,L247)+COUNTIF($D$28:$F$65536,L247)+COUNTIF($D$4:$F$4,L247)&gt;1,NOT(ISBLANK(L247)))</formula>
    </cfRule>
  </conditionalFormatting>
  <conditionalFormatting sqref="M247:N247">
    <cfRule type="expression" dxfId="2162" priority="2050" stopIfTrue="1">
      <formula>AND(COUNTIF($E$8:$F$9,M247)+COUNTIF($E$1:$F$2,M247)+COUNTIF($E$11:$F$26,M247)+COUNTIF($E$28:$F$65536,M247)+COUNTIF($E$4:$F$4,M247)&gt;1,NOT(ISBLANK(M247)))</formula>
    </cfRule>
  </conditionalFormatting>
  <conditionalFormatting sqref="M247">
    <cfRule type="duplicateValues" dxfId="2161" priority="1987" stopIfTrue="1"/>
    <cfRule type="duplicateValues" dxfId="2160" priority="1993" stopIfTrue="1"/>
    <cfRule type="duplicateValues" dxfId="2159" priority="1997" stopIfTrue="1"/>
    <cfRule type="duplicateValues" dxfId="970" priority="1998" stopIfTrue="1"/>
    <cfRule type="duplicateValues" dxfId="969" priority="1999" stopIfTrue="1"/>
    <cfRule type="duplicateValues" dxfId="968" priority="2000" stopIfTrue="1"/>
    <cfRule type="duplicateValues" dxfId="967" priority="2001" stopIfTrue="1"/>
    <cfRule type="expression" dxfId="966" priority="2017" stopIfTrue="1">
      <formula>AND(COUNTIF($E$486:$E$65536,M247)+COUNTIF($E$1:$E$2,M247)+COUNTIF($E$134:$E$142,M247)+COUNTIF($E$144:$E$483,M247)+COUNTIF($E$8:$E$9,M247)+COUNTIF($E$11:$E$26,M247)+COUNTIF($E$28:$E$132,M247)+COUNTIF($E$4:$E$4,M247)&gt;1,NOT(ISBLANK(M247)))</formula>
    </cfRule>
    <cfRule type="expression" dxfId="965" priority="2018" stopIfTrue="1">
      <formula>AND(COUNTIF($E$134:$E$142,M247)+COUNTIF($E$1:$E$2,M247)+COUNTIF($E$144:$E$65536,M247)+COUNTIF($E$8:$E$9,M247)+COUNTIF($E$11:$E$26,M247)+COUNTIF($E$28:$E$132,M247)+COUNTIF($E$4:$E$4,M247)&gt;1,NOT(ISBLANK(M247)))</formula>
    </cfRule>
    <cfRule type="expression" dxfId="964" priority="2019" stopIfTrue="1">
      <formula>AND(COUNTIF($E$8:$E$9,M247)+COUNTIF($E$1:$E$2,M247)+COUNTIF($E$11:$E$26,M247)+COUNTIF($E$28:$E$65536,M247)+COUNTIF($E$4:$E$4,M247)&gt;1,NOT(ISBLANK(M247)))</formula>
    </cfRule>
    <cfRule type="duplicateValues" dxfId="963" priority="2032" stopIfTrue="1"/>
    <cfRule type="expression" dxfId="962" priority="2053" stopIfTrue="1">
      <formula>AND(COUNTIF($E$4:$E$65536,M247)+COUNTIF($E$1:$E$2,M247)&gt;1,NOT(ISBLANK(M247)))</formula>
    </cfRule>
    <cfRule type="expression" dxfId="961" priority="2054" stopIfTrue="1">
      <formula>AND(COUNTIF($E$4:$E$65536,M247)+COUNTIF($E$1:$E$2,M247)&gt;1,NOT(ISBLANK(M247)))</formula>
    </cfRule>
  </conditionalFormatting>
  <conditionalFormatting sqref="N247">
    <cfRule type="duplicateValues" dxfId="2158" priority="1988" stopIfTrue="1"/>
    <cfRule type="duplicateValues" dxfId="2157" priority="1990" stopIfTrue="1"/>
    <cfRule type="duplicateValues" dxfId="2156" priority="1991" stopIfTrue="1"/>
    <cfRule type="duplicateValues" dxfId="960" priority="1992" stopIfTrue="1"/>
    <cfRule type="duplicateValues" dxfId="959" priority="1994" stopIfTrue="1"/>
    <cfRule type="duplicateValues" dxfId="958" priority="2002" stopIfTrue="1"/>
    <cfRule type="duplicateValues" dxfId="957" priority="2003" stopIfTrue="1"/>
    <cfRule type="duplicateValues" dxfId="956" priority="2004" stopIfTrue="1"/>
    <cfRule type="duplicateValues" dxfId="955" priority="2005" stopIfTrue="1"/>
    <cfRule type="duplicateValues" dxfId="954" priority="2006" stopIfTrue="1"/>
    <cfRule type="expression" dxfId="953" priority="2020" stopIfTrue="1">
      <formula>AND(COUNTIF($F$8:$F$9,N247)+COUNTIF($F$1:$F$2,N247)+COUNTIF($F$11:$F$26,N247)+COUNTIF($F$28:$F$65536,N247)+COUNTIF($F$4:$F$4,N247)&gt;1,NOT(ISBLANK(N247)))</formula>
    </cfRule>
    <cfRule type="expression" dxfId="952" priority="2021" stopIfTrue="1">
      <formula>AND(COUNTIF($F$8:$F$9,N247)+COUNTIF($F$1:$F$2,N247)+COUNTIF($F$11:$F$26,N247)+COUNTIF($F$28:$F$65536,N247)+COUNTIF($F$4:$F$4,N247)&gt;1,NOT(ISBLANK(N247)))</formula>
    </cfRule>
    <cfRule type="expression" dxfId="951" priority="2022" stopIfTrue="1">
      <formula>AND(COUNTIF($F$8:$F$9,N247)+COUNTIF($F$1:$F$2,N247)+COUNTIF($F$11:$F$26,N247)+COUNTIF($F$28:$F$65536,N247)+COUNTIF($F$4:$F$4,N247)&gt;1,NOT(ISBLANK(N247)))</formula>
    </cfRule>
    <cfRule type="expression" dxfId="950" priority="2023" stopIfTrue="1">
      <formula>AND(COUNTIF($F$486:$F$65536,N247)+COUNTIF($F$1:$F$2,N247)+COUNTIF($F$134:$F$142,N247)+COUNTIF($F$144:$F$483,N247)+COUNTIF($F$8:$F$9,N247)+COUNTIF($F$11:$F$26,N247)+COUNTIF($F$28:$F$132,N247)+COUNTIF($F$4:$F$4,N247)&gt;1,NOT(ISBLANK(N247)))</formula>
    </cfRule>
    <cfRule type="expression" dxfId="949" priority="2024" stopIfTrue="1">
      <formula>AND(COUNTIF($F$486:$F$65536,N247)+COUNTIF($F$1:$F$2,N247)+COUNTIF($F$134:$F$142,N247)+COUNTIF($F$144:$F$483,N247)+COUNTIF($F$8:$F$9,N247)+COUNTIF($F$11:$F$26,N247)+COUNTIF($F$28:$F$132,N247)+COUNTIF($F$4:$F$4,N247)&gt;1,NOT(ISBLANK(N247)))</formula>
    </cfRule>
    <cfRule type="expression" dxfId="948" priority="2025" stopIfTrue="1">
      <formula>AND(COUNTIF($F$486:$F$65536,N247)+COUNTIF($F$1:$F$2,N247)+COUNTIF($F$134:$F$142,N247)+COUNTIF($F$144:$F$483,N247)+COUNTIF($F$8:$F$9,N247)+COUNTIF($F$11:$F$26,N247)+COUNTIF($F$28:$F$132,N247)+COUNTIF($F$4:$F$4,N247)&gt;1,NOT(ISBLANK(N247)))</formula>
    </cfRule>
    <cfRule type="expression" dxfId="947" priority="2026" stopIfTrue="1">
      <formula>AND(COUNTIF($F$134:$F$142,N247)+COUNTIF($F$1:$F$2,N247)+COUNTIF($F$144:$F$65536,N247)+COUNTIF($F$8:$F$9,N247)+COUNTIF($F$11:$F$26,N247)+COUNTIF($F$28:$F$132,N247)+COUNTIF($F$4:$F$4,N247)&gt;1,NOT(ISBLANK(N247)))</formula>
    </cfRule>
    <cfRule type="expression" dxfId="946" priority="2027" stopIfTrue="1">
      <formula>AND(COUNTIF($F$134:$F$142,N247)+COUNTIF($F$1:$F$2,N247)+COUNTIF($F$144:$F$65536,N247)+COUNTIF($F$8:$F$9,N247)+COUNTIF($F$11:$F$26,N247)+COUNTIF($F$28:$F$132,N247)+COUNTIF($F$4:$F$4,N247)&gt;1,NOT(ISBLANK(N247)))</formula>
    </cfRule>
    <cfRule type="expression" dxfId="945" priority="2028" stopIfTrue="1">
      <formula>AND(COUNTIF($F$134:$F$142,N247)+COUNTIF($F$1:$F$2,N247)+COUNTIF($F$144:$F$65536,N247)+COUNTIF($F$8:$F$9,N247)+COUNTIF($F$11:$F$26,N247)+COUNTIF($F$28:$F$132,N247)+COUNTIF($F$4:$F$4,N247)&gt;1,NOT(ISBLANK(N247)))</formula>
    </cfRule>
    <cfRule type="duplicateValues" dxfId="944" priority="2033" stopIfTrue="1"/>
    <cfRule type="duplicateValues" dxfId="943" priority="2034" stopIfTrue="1"/>
    <cfRule type="expression" dxfId="942" priority="2055" stopIfTrue="1">
      <formula>AND(COUNTIF($F$4:$F$65536,N247)+COUNTIF($F$1:$F$2,N247)&gt;1,NOT(ISBLANK(N247)))</formula>
    </cfRule>
    <cfRule type="expression" dxfId="941" priority="2056" stopIfTrue="1">
      <formula>AND(COUNTIF($F$4:$F$65536,N247)+COUNTIF($F$1:$F$2,N247)&gt;1,NOT(ISBLANK(N247)))</formula>
    </cfRule>
  </conditionalFormatting>
  <conditionalFormatting sqref="F250">
    <cfRule type="expression" dxfId="2155" priority="1871" stopIfTrue="1">
      <formula>AND(COUNTIF($F$4:$F$65536,F250)+COUNTIF($F$1:$F$2,F250)&gt;1,NOT(ISBLANK(F250)))</formula>
    </cfRule>
    <cfRule type="expression" dxfId="2154" priority="1872" stopIfTrue="1">
      <formula>AND(COUNTIF($F$4:$F$65536,F250)+COUNTIF($F$1:$F$2,F250)&gt;1,NOT(ISBLANK(F250)))</formula>
    </cfRule>
    <cfRule type="expression" dxfId="2153" priority="1873" stopIfTrue="1">
      <formula>AND(COUNTIF($F$8:$F$9,F250)+COUNTIF($F$1:$F$2,F250)+COUNTIF($F$11:$F$26,F250)+COUNTIF($F$28:$F$65536,F250)+COUNTIF($F$4:$F$4,F250)&gt;1,NOT(ISBLANK(F250)))</formula>
    </cfRule>
    <cfRule type="expression" dxfId="940" priority="1874" stopIfTrue="1">
      <formula>AND(COUNTIF($F$8:$F$9,F250)+COUNTIF($F$1:$F$2,F250)+COUNTIF($F$11:$F$26,F250)+COUNTIF($F$28:$F$65536,F250)+COUNTIF($F$4:$F$4,F250)&gt;1,NOT(ISBLANK(F250)))</formula>
    </cfRule>
    <cfRule type="expression" dxfId="939" priority="1875" stopIfTrue="1">
      <formula>AND(COUNTIF($F$8:$F$9,F250)+COUNTIF($F$1:$F$2,F250)+COUNTIF($F$11:$F$26,F250)+COUNTIF($F$28:$F$65536,F250)+COUNTIF($F$4:$F$4,F250)&gt;1,NOT(ISBLANK(F250)))</formula>
    </cfRule>
    <cfRule type="expression" dxfId="938" priority="1876" stopIfTrue="1">
      <formula>AND(COUNTIF($F$486:$F$65536,F250)+COUNTIF($F$1:$F$2,F250)+COUNTIF($F$134:$F$142,F250)+COUNTIF($F$144:$F$483,F250)+COUNTIF($F$8:$F$9,F250)+COUNTIF($F$11:$F$26,F250)+COUNTIF($F$28:$F$132,F250)+COUNTIF($F$4:$F$4,F250)&gt;1,NOT(ISBLANK(F250)))</formula>
    </cfRule>
    <cfRule type="expression" dxfId="937" priority="1877" stopIfTrue="1">
      <formula>AND(COUNTIF($F$486:$F$65536,F250)+COUNTIF($F$1:$F$2,F250)+COUNTIF($F$134:$F$142,F250)+COUNTIF($F$144:$F$483,F250)+COUNTIF($F$8:$F$9,F250)+COUNTIF($F$11:$F$26,F250)+COUNTIF($F$28:$F$132,F250)+COUNTIF($F$4:$F$4,F250)&gt;1,NOT(ISBLANK(F250)))</formula>
    </cfRule>
    <cfRule type="expression" dxfId="936" priority="1878" stopIfTrue="1">
      <formula>AND(COUNTIF($F$486:$F$65536,F250)+COUNTIF($F$1:$F$2,F250)+COUNTIF($F$134:$F$142,F250)+COUNTIF($F$144:$F$483,F250)+COUNTIF($F$8:$F$9,F250)+COUNTIF($F$11:$F$26,F250)+COUNTIF($F$28:$F$132,F250)+COUNTIF($F$4:$F$4,F250)&gt;1,NOT(ISBLANK(F250)))</formula>
    </cfRule>
    <cfRule type="expression" dxfId="935" priority="1879" stopIfTrue="1">
      <formula>AND(COUNTIF($F$134:$F$142,F250)+COUNTIF($F$1:$F$2,F250)+COUNTIF($F$144:$F$65536,F250)+COUNTIF($F$8:$F$9,F250)+COUNTIF($F$11:$F$26,F250)+COUNTIF($F$28:$F$132,F250)+COUNTIF($F$4:$F$4,F250)&gt;1,NOT(ISBLANK(F250)))</formula>
    </cfRule>
    <cfRule type="expression" dxfId="934" priority="1880" stopIfTrue="1">
      <formula>AND(COUNTIF($F$134:$F$142,F250)+COUNTIF($F$1:$F$2,F250)+COUNTIF($F$144:$F$65536,F250)+COUNTIF($F$8:$F$9,F250)+COUNTIF($F$11:$F$26,F250)+COUNTIF($F$28:$F$132,F250)+COUNTIF($F$4:$F$4,F250)&gt;1,NOT(ISBLANK(F250)))</formula>
    </cfRule>
    <cfRule type="expression" dxfId="933" priority="1881" stopIfTrue="1">
      <formula>AND(COUNTIF($F$134:$F$142,F250)+COUNTIF($F$1:$F$2,F250)+COUNTIF($F$144:$F$65536,F250)+COUNTIF($F$8:$F$9,F250)+COUNTIF($F$11:$F$26,F250)+COUNTIF($F$28:$F$132,F250)+COUNTIF($F$4:$F$4,F250)&gt;1,NOT(ISBLANK(F250)))</formula>
    </cfRule>
  </conditionalFormatting>
  <conditionalFormatting sqref="B253">
    <cfRule type="expression" dxfId="2152" priority="410" stopIfTrue="1">
      <formula>AND(COUNTIF($C$134:$F$142,B253)+COUNTIF($C$144:$F$65536,B253)+COUNTIF($C$8:$F$9,B253)+COUNTIF($C$11:$F$26,B253)+COUNTIF($C$28:$F$132,B253)+COUNTIF($C$4:$F$4,B253)+COUNTIF($C$1:$F$2,B253)&gt;1,NOT(ISBLANK(B253)))</formula>
    </cfRule>
    <cfRule type="expression" dxfId="2151" priority="411" stopIfTrue="1">
      <formula>AND(COUNTIF($C$4:$C$65536,B253)+COUNTIF($C$1:$C$2,B253)&gt;1,NOT(ISBLANK(B253)))</formula>
    </cfRule>
  </conditionalFormatting>
  <conditionalFormatting sqref="B256">
    <cfRule type="expression" dxfId="2150" priority="855" stopIfTrue="1">
      <formula>AND(COUNTIF($C$4:$C$65536,B256)+COUNTIF($C$1:$C$2,B256)&gt;1,NOT(ISBLANK(B256)))</formula>
    </cfRule>
  </conditionalFormatting>
  <conditionalFormatting sqref="C256">
    <cfRule type="expression" dxfId="2149" priority="184" stopIfTrue="1">
      <formula>AND(COUNTIF($B$134:$F$142,C256)+COUNTIF($B$144:$F$65536,C256)+COUNTIF($B$8:$F$9,C256)+COUNTIF($B$11:$F$26,C256)+COUNTIF($B$28:$F$132,C256)+COUNTIF($B$4:$F$4,C256)+COUNTIF($B$1:$F$2,C256)&gt;1,NOT(ISBLANK(C256)))</formula>
    </cfRule>
    <cfRule type="expression" dxfId="2148" priority="185" stopIfTrue="1">
      <formula>AND(COUNTIF($B$134:$F$142,C256)+COUNTIF($B$144:$F$65536,C256)+COUNTIF($B$8:$F$9,C256)+COUNTIF($B$11:$F$26,C256)+COUNTIF($B$28:$F$132,C256)+COUNTIF($B$4:$F$4,C256)+COUNTIF($B$1:$F$2,C256)&gt;1,NOT(ISBLANK(C256)))</formula>
    </cfRule>
    <cfRule type="expression" dxfId="2147" priority="186" stopIfTrue="1">
      <formula>AND(COUNTIF($B$134:$F$142,C256)+COUNTIF($B$144:$F$65536,C256)+COUNTIF($B$8:$F$9,C256)+COUNTIF($B$11:$F$26,C256)+COUNTIF($B$28:$F$132,C256)+COUNTIF($B$4:$F$4,C256)+COUNTIF($B$1:$F$2,C256)&gt;1,NOT(ISBLANK(C256)))</formula>
    </cfRule>
    <cfRule type="expression" dxfId="932" priority="187" stopIfTrue="1">
      <formula>AND(COUNTIF($B$8:$F$9,C256)+COUNTIF($B$11:$F$26,C256)+COUNTIF($B$28:$F$65536,C256)+COUNTIF($B$4:$F$4,C256)+COUNTIF($B$1:$F$2,C256)&gt;1,NOT(ISBLANK(C256)))</formula>
    </cfRule>
    <cfRule type="expression" dxfId="931" priority="188" stopIfTrue="1">
      <formula>AND(COUNTIF($B$8:$F$9,C256)+COUNTIF($B$11:$F$26,C256)+COUNTIF($B$28:$F$65536,C256)+COUNTIF($B$4:$F$4,C256)+COUNTIF($B$1:$F$2,C256)&gt;1,NOT(ISBLANK(C256)))</formula>
    </cfRule>
    <cfRule type="expression" dxfId="930" priority="189" stopIfTrue="1">
      <formula>AND(COUNTIF($B$8:$F$9,C256)+COUNTIF($B$11:$F$26,C256)+COUNTIF($B$28:$F$65536,C256)+COUNTIF($B$4:$F$4,C256)+COUNTIF($B$1:$F$2,C256)&gt;1,NOT(ISBLANK(C256)))</formula>
    </cfRule>
    <cfRule type="expression" dxfId="929" priority="190" stopIfTrue="1">
      <formula>AND(COUNTIF($C$134:$F$142,C256)+COUNTIF($C$144:$F$65536,C256)+COUNTIF($C$8:$F$9,C256)+COUNTIF($C$11:$F$26,C256)+COUNTIF($C$28:$F$132,C256)+COUNTIF($C$4:$F$4,C256)+COUNTIF($C$1:$F$2,C256)&gt;1,NOT(ISBLANK(C256)))</formula>
    </cfRule>
  </conditionalFormatting>
  <conditionalFormatting sqref="D256:F256">
    <cfRule type="expression" dxfId="2146" priority="851" stopIfTrue="1">
      <formula>AND(COUNTIF($D$8:$F$9,D256)+COUNTIF($D$1:$F$2,D256)+COUNTIF($D$11:$F$26,D256)+COUNTIF($D$28:$F$65536,D256)+COUNTIF($D$4:$F$4,D256)&gt;1,NOT(ISBLANK(D256)))</formula>
    </cfRule>
    <cfRule type="expression" dxfId="2145" priority="852" stopIfTrue="1">
      <formula>AND(COUNTIF($D$8:$F$9,D256)+COUNTIF($D$1:$F$2,D256)+COUNTIF($D$11:$F$26,D256)+COUNTIF($D$28:$F$65536,D256)+COUNTIF($D$4:$F$4,D256)&gt;1,NOT(ISBLANK(D256)))</formula>
    </cfRule>
    <cfRule type="expression" dxfId="2144" priority="853" stopIfTrue="1">
      <formula>AND(COUNTIF($D$8:$F$9,D256)+COUNTIF($D$1:$F$2,D256)+COUNTIF($D$11:$F$26,D256)+COUNTIF($D$28:$F$65536,D256)+COUNTIF($D$4:$F$4,D256)&gt;1,NOT(ISBLANK(D256)))</formula>
    </cfRule>
  </conditionalFormatting>
  <conditionalFormatting sqref="D256">
    <cfRule type="duplicateValues" dxfId="2143" priority="799" stopIfTrue="1"/>
    <cfRule type="duplicateValues" dxfId="2142" priority="800" stopIfTrue="1"/>
    <cfRule type="expression" dxfId="2141" priority="817" stopIfTrue="1">
      <formula>AND(COUNTIF($D$8:$D$9,D256)+COUNTIF($D$1:$D$2,D256)+COUNTIF($D$11:$D$26,D256)+COUNTIF($D$28:$D$65536,D256)+COUNTIF($D$4:$D$4,D256)&gt;1,NOT(ISBLANK(D256)))</formula>
    </cfRule>
    <cfRule type="expression" dxfId="928" priority="818" stopIfTrue="1">
      <formula>AND(COUNTIF($D$8:$D$9,D256)+COUNTIF($D$1:$D$2,D256)+COUNTIF($D$11:$D$26,D256)+COUNTIF($D$28:$D$65536,D256)+COUNTIF($D$4:$D$4,D256)&gt;1,NOT(ISBLANK(D256)))</formula>
    </cfRule>
    <cfRule type="expression" dxfId="927" priority="819" stopIfTrue="1">
      <formula>AND(COUNTIF($D$8:$D$9,D256)+COUNTIF($D$1:$D$2,D256)+COUNTIF($D$11:$D$26,D256)+COUNTIF($D$28:$D$65536,D256)+COUNTIF($D$4:$D$4,D256)&gt;1,NOT(ISBLANK(D256)))</formula>
    </cfRule>
    <cfRule type="expression" dxfId="926" priority="820" stopIfTrue="1">
      <formula>AND(COUNTIF($D$134:$D$142,D256)+COUNTIF($D$144:$D$65536,D256)+COUNTIF($D$1:$D$2,D256)+COUNTIF($D$8:$D$9,D256)+COUNTIF($D$11:$D$26,D256)+COUNTIF($D$28:$D$132,D256)+COUNTIF($D$4:$D$4,D256)&gt;1,NOT(ISBLANK(D256)))</formula>
    </cfRule>
    <cfRule type="duplicateValues" dxfId="925" priority="833" stopIfTrue="1"/>
    <cfRule type="duplicateValues" dxfId="924" priority="834" stopIfTrue="1"/>
    <cfRule type="duplicateValues" dxfId="923" priority="835" stopIfTrue="1"/>
    <cfRule type="duplicateValues" dxfId="922" priority="839" stopIfTrue="1"/>
    <cfRule type="duplicateValues" dxfId="921" priority="840" stopIfTrue="1"/>
    <cfRule type="duplicateValues" dxfId="920" priority="841" stopIfTrue="1"/>
    <cfRule type="duplicateValues" dxfId="919" priority="842" stopIfTrue="1"/>
    <cfRule type="duplicateValues" dxfId="918" priority="843" stopIfTrue="1"/>
    <cfRule type="duplicateValues" dxfId="917" priority="844" stopIfTrue="1"/>
    <cfRule type="expression" dxfId="916" priority="845" stopIfTrue="1">
      <formula>AND(COUNTIF($D$4:$D$65536,D256)+COUNTIF($D$1:$D$2,D256)&gt;1,NOT(ISBLANK(D256)))</formula>
    </cfRule>
    <cfRule type="expression" dxfId="915" priority="846" stopIfTrue="1">
      <formula>AND(COUNTIF($D$4:$D$65536,D256)+COUNTIF($D$1:$D$2,D256)&gt;1,NOT(ISBLANK(D256)))</formula>
    </cfRule>
    <cfRule type="expression" dxfId="914" priority="847" stopIfTrue="1">
      <formula>AND(COUNTIF($D$4:$D$65536,D256)+COUNTIF($D$1:$D$2,D256)&gt;1,NOT(ISBLANK(D256)))</formula>
    </cfRule>
    <cfRule type="expression" dxfId="913" priority="848" stopIfTrue="1">
      <formula>AND(COUNTIF($D$1:$D$350,D256)+COUNTIF($D$352:$D$372,D256)+COUNTIF($D$374:$D$65536,D256)&gt;1,NOT(ISBLANK(D256)))</formula>
    </cfRule>
    <cfRule type="expression" dxfId="912" priority="849" stopIfTrue="1">
      <formula>AND(COUNTIF($D$1:$D$350,D256)+COUNTIF($D$352:$D$372,D256)+COUNTIF($D$374:$D$65536,D256)&gt;1,NOT(ISBLANK(D256)))</formula>
    </cfRule>
  </conditionalFormatting>
  <conditionalFormatting sqref="E256:F256">
    <cfRule type="expression" dxfId="2140" priority="854" stopIfTrue="1">
      <formula>AND(COUNTIF($E$8:$F$9,E256)+COUNTIF($E$1:$F$2,E256)+COUNTIF($E$11:$F$26,E256)+COUNTIF($E$28:$F$65536,E256)+COUNTIF($E$4:$F$4,E256)&gt;1,NOT(ISBLANK(E256)))</formula>
    </cfRule>
  </conditionalFormatting>
  <conditionalFormatting sqref="E256">
    <cfRule type="duplicateValues" dxfId="2139" priority="797" stopIfTrue="1"/>
    <cfRule type="duplicateValues" dxfId="2138" priority="801" stopIfTrue="1"/>
    <cfRule type="duplicateValues" dxfId="2137" priority="802" stopIfTrue="1"/>
    <cfRule type="duplicateValues" dxfId="911" priority="803" stopIfTrue="1"/>
    <cfRule type="duplicateValues" dxfId="910" priority="804" stopIfTrue="1"/>
    <cfRule type="duplicateValues" dxfId="909" priority="805" stopIfTrue="1"/>
    <cfRule type="expression" dxfId="908" priority="821" stopIfTrue="1">
      <formula>AND(COUNTIF($E$486:$E$65536,E256)+COUNTIF($E$1:$E$2,E256)+COUNTIF($E$134:$E$142,E256)+COUNTIF($E$144:$E$483,E256)+COUNTIF($E$8:$E$9,E256)+COUNTIF($E$11:$E$26,E256)+COUNTIF($E$28:$E$132,E256)+COUNTIF($E$4:$E$4,E256)&gt;1,NOT(ISBLANK(E256)))</formula>
    </cfRule>
    <cfRule type="expression" dxfId="907" priority="822" stopIfTrue="1">
      <formula>AND(COUNTIF($E$134:$E$142,E256)+COUNTIF($E$1:$E$2,E256)+COUNTIF($E$144:$E$65536,E256)+COUNTIF($E$8:$E$9,E256)+COUNTIF($E$11:$E$26,E256)+COUNTIF($E$28:$E$132,E256)+COUNTIF($E$4:$E$4,E256)&gt;1,NOT(ISBLANK(E256)))</formula>
    </cfRule>
    <cfRule type="expression" dxfId="906" priority="823" stopIfTrue="1">
      <formula>AND(COUNTIF($E$8:$E$9,E256)+COUNTIF($E$1:$E$2,E256)+COUNTIF($E$11:$E$26,E256)+COUNTIF($E$28:$E$65536,E256)+COUNTIF($E$4:$E$4,E256)&gt;1,NOT(ISBLANK(E256)))</formula>
    </cfRule>
    <cfRule type="duplicateValues" dxfId="905" priority="836" stopIfTrue="1"/>
    <cfRule type="expression" dxfId="904" priority="857" stopIfTrue="1">
      <formula>AND(COUNTIF($E$4:$E$65536,E256)+COUNTIF($E$1:$E$2,E256)&gt;1,NOT(ISBLANK(E256)))</formula>
    </cfRule>
    <cfRule type="expression" dxfId="903" priority="858" stopIfTrue="1">
      <formula>AND(COUNTIF($E$4:$E$65536,E256)+COUNTIF($E$1:$E$2,E256)&gt;1,NOT(ISBLANK(E256)))</formula>
    </cfRule>
  </conditionalFormatting>
  <conditionalFormatting sqref="F256">
    <cfRule type="duplicateValues" dxfId="2136" priority="794" stopIfTrue="1"/>
    <cfRule type="duplicateValues" dxfId="2135" priority="795" stopIfTrue="1"/>
    <cfRule type="duplicateValues" dxfId="2134" priority="796" stopIfTrue="1"/>
    <cfRule type="duplicateValues" dxfId="902" priority="798" stopIfTrue="1"/>
    <cfRule type="duplicateValues" dxfId="901" priority="806" stopIfTrue="1"/>
    <cfRule type="duplicateValues" dxfId="900" priority="807" stopIfTrue="1"/>
    <cfRule type="duplicateValues" dxfId="899" priority="808" stopIfTrue="1"/>
    <cfRule type="duplicateValues" dxfId="898" priority="809" stopIfTrue="1"/>
    <cfRule type="duplicateValues" dxfId="897" priority="810" stopIfTrue="1"/>
    <cfRule type="expression" dxfId="896" priority="824" stopIfTrue="1">
      <formula>AND(COUNTIF($F$8:$F$9,F256)+COUNTIF($F$1:$F$2,F256)+COUNTIF($F$11:$F$26,F256)+COUNTIF($F$28:$F$65536,F256)+COUNTIF($F$4:$F$4,F256)&gt;1,NOT(ISBLANK(F256)))</formula>
    </cfRule>
    <cfRule type="expression" dxfId="895" priority="825" stopIfTrue="1">
      <formula>AND(COUNTIF($F$8:$F$9,F256)+COUNTIF($F$1:$F$2,F256)+COUNTIF($F$11:$F$26,F256)+COUNTIF($F$28:$F$65536,F256)+COUNTIF($F$4:$F$4,F256)&gt;1,NOT(ISBLANK(F256)))</formula>
    </cfRule>
    <cfRule type="expression" dxfId="894" priority="826" stopIfTrue="1">
      <formula>AND(COUNTIF($F$8:$F$9,F256)+COUNTIF($F$1:$F$2,F256)+COUNTIF($F$11:$F$26,F256)+COUNTIF($F$28:$F$65536,F256)+COUNTIF($F$4:$F$4,F256)&gt;1,NOT(ISBLANK(F256)))</formula>
    </cfRule>
    <cfRule type="expression" dxfId="893" priority="827" stopIfTrue="1">
      <formula>AND(COUNTIF($F$486:$F$65536,F256)+COUNTIF($F$1:$F$2,F256)+COUNTIF($F$134:$F$142,F256)+COUNTIF($F$144:$F$483,F256)+COUNTIF($F$8:$F$9,F256)+COUNTIF($F$11:$F$26,F256)+COUNTIF($F$28:$F$132,F256)+COUNTIF($F$4:$F$4,F256)&gt;1,NOT(ISBLANK(F256)))</formula>
    </cfRule>
    <cfRule type="expression" dxfId="892" priority="828" stopIfTrue="1">
      <formula>AND(COUNTIF($F$486:$F$65536,F256)+COUNTIF($F$1:$F$2,F256)+COUNTIF($F$134:$F$142,F256)+COUNTIF($F$144:$F$483,F256)+COUNTIF($F$8:$F$9,F256)+COUNTIF($F$11:$F$26,F256)+COUNTIF($F$28:$F$132,F256)+COUNTIF($F$4:$F$4,F256)&gt;1,NOT(ISBLANK(F256)))</formula>
    </cfRule>
    <cfRule type="expression" dxfId="891" priority="829" stopIfTrue="1">
      <formula>AND(COUNTIF($F$486:$F$65536,F256)+COUNTIF($F$1:$F$2,F256)+COUNTIF($F$134:$F$142,F256)+COUNTIF($F$144:$F$483,F256)+COUNTIF($F$8:$F$9,F256)+COUNTIF($F$11:$F$26,F256)+COUNTIF($F$28:$F$132,F256)+COUNTIF($F$4:$F$4,F256)&gt;1,NOT(ISBLANK(F256)))</formula>
    </cfRule>
    <cfRule type="expression" dxfId="890" priority="830" stopIfTrue="1">
      <formula>AND(COUNTIF($F$134:$F$142,F256)+COUNTIF($F$1:$F$2,F256)+COUNTIF($F$144:$F$65536,F256)+COUNTIF($F$8:$F$9,F256)+COUNTIF($F$11:$F$26,F256)+COUNTIF($F$28:$F$132,F256)+COUNTIF($F$4:$F$4,F256)&gt;1,NOT(ISBLANK(F256)))</formula>
    </cfRule>
    <cfRule type="expression" dxfId="889" priority="831" stopIfTrue="1">
      <formula>AND(COUNTIF($F$134:$F$142,F256)+COUNTIF($F$1:$F$2,F256)+COUNTIF($F$144:$F$65536,F256)+COUNTIF($F$8:$F$9,F256)+COUNTIF($F$11:$F$26,F256)+COUNTIF($F$28:$F$132,F256)+COUNTIF($F$4:$F$4,F256)&gt;1,NOT(ISBLANK(F256)))</formula>
    </cfRule>
    <cfRule type="expression" dxfId="888" priority="832" stopIfTrue="1">
      <formula>AND(COUNTIF($F$134:$F$142,F256)+COUNTIF($F$1:$F$2,F256)+COUNTIF($F$144:$F$65536,F256)+COUNTIF($F$8:$F$9,F256)+COUNTIF($F$11:$F$26,F256)+COUNTIF($F$28:$F$132,F256)+COUNTIF($F$4:$F$4,F256)&gt;1,NOT(ISBLANK(F256)))</formula>
    </cfRule>
    <cfRule type="duplicateValues" dxfId="887" priority="837" stopIfTrue="1"/>
    <cfRule type="duplicateValues" dxfId="886" priority="838" stopIfTrue="1"/>
    <cfRule type="expression" dxfId="885" priority="859" stopIfTrue="1">
      <formula>AND(COUNTIF($F$4:$F$65536,F256)+COUNTIF($F$1:$F$2,F256)&gt;1,NOT(ISBLANK(F256)))</formula>
    </cfRule>
    <cfRule type="expression" dxfId="884" priority="860" stopIfTrue="1">
      <formula>AND(COUNTIF($F$4:$F$65536,F256)+COUNTIF($F$1:$F$2,F256)&gt;1,NOT(ISBLANK(F256)))</formula>
    </cfRule>
  </conditionalFormatting>
  <conditionalFormatting sqref="B261">
    <cfRule type="expression" dxfId="2133" priority="406" stopIfTrue="1">
      <formula>AND(COUNTIF($C$134:$F$142,B261)+COUNTIF($C$144:$F$65536,B261)+COUNTIF($C$8:$F$9,B261)+COUNTIF($C$11:$F$26,B261)+COUNTIF($C$28:$F$132,B261)+COUNTIF($C$4:$F$4,B261)+COUNTIF($C$1:$F$2,B261)&gt;1,NOT(ISBLANK(B261)))</formula>
    </cfRule>
    <cfRule type="expression" dxfId="2132" priority="407" stopIfTrue="1">
      <formula>AND(COUNTIF($C$4:$C$65536,B261)+COUNTIF($C$1:$C$2,B261)&gt;1,NOT(ISBLANK(B261)))</formula>
    </cfRule>
  </conditionalFormatting>
  <conditionalFormatting sqref="B265">
    <cfRule type="expression" dxfId="2131" priority="404" stopIfTrue="1">
      <formula>AND(COUNTIF($C$134:$F$142,B265)+COUNTIF($C$144:$F$65536,B265)+COUNTIF($C$8:$F$9,B265)+COUNTIF($C$11:$F$26,B265)+COUNTIF($C$28:$F$132,B265)+COUNTIF($C$4:$F$4,B265)+COUNTIF($C$1:$F$2,B265)&gt;1,NOT(ISBLANK(B265)))</formula>
    </cfRule>
    <cfRule type="expression" dxfId="2130" priority="405" stopIfTrue="1">
      <formula>AND(COUNTIF($C$4:$C$65536,B265)+COUNTIF($C$1:$C$2,B265)&gt;1,NOT(ISBLANK(B265)))</formula>
    </cfRule>
  </conditionalFormatting>
  <conditionalFormatting sqref="B268:F268">
    <cfRule type="duplicateValues" dxfId="2129" priority="1439" stopIfTrue="1"/>
  </conditionalFormatting>
  <conditionalFormatting sqref="F268">
    <cfRule type="duplicateValues" dxfId="2128" priority="1433"/>
    <cfRule type="duplicateValues" dxfId="2127" priority="1434" stopIfTrue="1"/>
    <cfRule type="duplicateValues" dxfId="2126" priority="1435" stopIfTrue="1"/>
    <cfRule type="duplicateValues" dxfId="883" priority="1436" stopIfTrue="1"/>
    <cfRule type="duplicateValues" dxfId="882" priority="1437" stopIfTrue="1"/>
    <cfRule type="duplicateValues" dxfId="881" priority="1438" stopIfTrue="1"/>
  </conditionalFormatting>
  <conditionalFormatting sqref="B270">
    <cfRule type="expression" dxfId="2125" priority="400" stopIfTrue="1">
      <formula>AND(COUNTIF($C$134:$F$142,B270)+COUNTIF($C$144:$F$65536,B270)+COUNTIF($C$8:$F$9,B270)+COUNTIF($C$11:$F$26,B270)+COUNTIF($C$28:$F$132,B270)+COUNTIF($C$4:$F$4,B270)+COUNTIF($C$1:$F$2,B270)&gt;1,NOT(ISBLANK(B270)))</formula>
    </cfRule>
    <cfRule type="expression" dxfId="2124" priority="401" stopIfTrue="1">
      <formula>AND(COUNTIF($C$4:$C$65536,B270)+COUNTIF($C$1:$C$2,B270)&gt;1,NOT(ISBLANK(B270)))</formula>
    </cfRule>
  </conditionalFormatting>
  <conditionalFormatting sqref="B278:E278">
    <cfRule type="duplicateValues" dxfId="2123" priority="1430" stopIfTrue="1"/>
  </conditionalFormatting>
  <conditionalFormatting sqref="B278:F278">
    <cfRule type="duplicateValues" dxfId="2122" priority="1432" stopIfTrue="1"/>
  </conditionalFormatting>
  <conditionalFormatting sqref="F278">
    <cfRule type="duplicateValues" dxfId="2121" priority="1426" stopIfTrue="1"/>
    <cfRule type="duplicateValues" dxfId="2120" priority="1427" stopIfTrue="1"/>
    <cfRule type="duplicateValues" dxfId="2119" priority="1428" stopIfTrue="1"/>
    <cfRule type="duplicateValues" dxfId="880" priority="1429" stopIfTrue="1"/>
    <cfRule type="duplicateValues" dxfId="879" priority="1431" stopIfTrue="1"/>
  </conditionalFormatting>
  <conditionalFormatting sqref="B280:F280">
    <cfRule type="duplicateValues" dxfId="2118" priority="1451" stopIfTrue="1"/>
  </conditionalFormatting>
  <conditionalFormatting sqref="F280">
    <cfRule type="duplicateValues" dxfId="2117" priority="1447" stopIfTrue="1"/>
    <cfRule type="duplicateValues" dxfId="2116" priority="1448" stopIfTrue="1"/>
    <cfRule type="duplicateValues" dxfId="2115" priority="1449" stopIfTrue="1"/>
    <cfRule type="duplicateValues" dxfId="878" priority="1450" stopIfTrue="1"/>
    <cfRule type="duplicateValues" dxfId="877" priority="1452"/>
    <cfRule type="duplicateValues" dxfId="876" priority="1453" stopIfTrue="1"/>
  </conditionalFormatting>
  <conditionalFormatting sqref="B284:F284">
    <cfRule type="duplicateValues" dxfId="2114" priority="1444" stopIfTrue="1"/>
  </conditionalFormatting>
  <conditionalFormatting sqref="F284">
    <cfRule type="duplicateValues" dxfId="2113" priority="1440" stopIfTrue="1"/>
    <cfRule type="duplicateValues" dxfId="2112" priority="1441" stopIfTrue="1"/>
    <cfRule type="duplicateValues" dxfId="2111" priority="1442" stopIfTrue="1"/>
    <cfRule type="duplicateValues" dxfId="875" priority="1443" stopIfTrue="1"/>
    <cfRule type="duplicateValues" dxfId="874" priority="1445"/>
    <cfRule type="duplicateValues" dxfId="873" priority="1446" stopIfTrue="1"/>
  </conditionalFormatting>
  <conditionalFormatting sqref="B290">
    <cfRule type="expression" dxfId="2110" priority="862" stopIfTrue="1">
      <formula>AND(COUNTIF($C$134:$F$142,B290)+COUNTIF($C$144:$F$65536,B290)+COUNTIF($C$8:$F$9,B290)+COUNTIF($C$11:$F$26,B290)+COUNTIF($C$28:$F$132,B290)+COUNTIF($C$4:$F$4,B290)+COUNTIF($C$1:$F$2,B290)&gt;1,NOT(ISBLANK(B290)))</formula>
    </cfRule>
    <cfRule type="expression" dxfId="2109" priority="863" stopIfTrue="1">
      <formula>AND(COUNTIF($C$4:$C$65536,B290)+COUNTIF($C$1:$C$2,B290)&gt;1,NOT(ISBLANK(B290)))</formula>
    </cfRule>
  </conditionalFormatting>
  <conditionalFormatting sqref="B291">
    <cfRule type="expression" dxfId="2108" priority="392" stopIfTrue="1">
      <formula>AND(COUNTIF($C$134:$F$142,B291)+COUNTIF($C$144:$F$65536,B291)+COUNTIF($C$8:$F$9,B291)+COUNTIF($C$11:$F$26,B291)+COUNTIF($C$28:$F$132,B291)+COUNTIF($C$4:$F$4,B291)+COUNTIF($C$1:$F$2,B291)&gt;1,NOT(ISBLANK(B291)))</formula>
    </cfRule>
    <cfRule type="expression" dxfId="2107" priority="393" stopIfTrue="1">
      <formula>AND(COUNTIF($C$4:$C$65536,B291)+COUNTIF($C$1:$C$2,B291)&gt;1,NOT(ISBLANK(B291)))</formula>
    </cfRule>
  </conditionalFormatting>
  <conditionalFormatting sqref="B295">
    <cfRule type="expression" dxfId="2106" priority="390" stopIfTrue="1">
      <formula>AND(COUNTIF($C$134:$F$142,B295)+COUNTIF($C$144:$F$65536,B295)+COUNTIF($C$8:$F$9,B295)+COUNTIF($C$11:$F$26,B295)+COUNTIF($C$28:$F$132,B295)+COUNTIF($C$4:$F$4,B295)+COUNTIF($C$1:$F$2,B295)&gt;1,NOT(ISBLANK(B295)))</formula>
    </cfRule>
    <cfRule type="expression" dxfId="2105" priority="391" stopIfTrue="1">
      <formula>AND(COUNTIF($C$4:$C$65536,B295)+COUNTIF($C$1:$C$2,B295)&gt;1,NOT(ISBLANK(B295)))</formula>
    </cfRule>
  </conditionalFormatting>
  <conditionalFormatting sqref="D295">
    <cfRule type="duplicateValues" dxfId="2104" priority="1701" stopIfTrue="1"/>
    <cfRule type="duplicateValues" dxfId="2103" priority="1702" stopIfTrue="1"/>
    <cfRule type="duplicateValues" dxfId="2102" priority="1703" stopIfTrue="1"/>
    <cfRule type="duplicateValues" dxfId="872" priority="1704" stopIfTrue="1"/>
    <cfRule type="duplicateValues" dxfId="871" priority="1705" stopIfTrue="1"/>
    <cfRule type="duplicateValues" dxfId="870" priority="1706" stopIfTrue="1"/>
    <cfRule type="expression" dxfId="869" priority="1707" stopIfTrue="1">
      <formula>AND(COUNTIF($D$4:$D$65536,D295)+COUNTIF($D$1:$D$2,D295)&gt;1,NOT(ISBLANK(D295)))</formula>
    </cfRule>
    <cfRule type="expression" dxfId="868" priority="1708" stopIfTrue="1">
      <formula>AND(COUNTIF($D$4:$D$65536,D295)+COUNTIF($D$1:$D$2,D295)&gt;1,NOT(ISBLANK(D295)))</formula>
    </cfRule>
    <cfRule type="expression" dxfId="867" priority="1709" stopIfTrue="1">
      <formula>AND(COUNTIF($D$4:$D$65536,D295)+COUNTIF($D$1:$D$2,D295)&gt;1,NOT(ISBLANK(D295)))</formula>
    </cfRule>
    <cfRule type="expression" dxfId="866" priority="1710" stopIfTrue="1">
      <formula>AND(COUNTIF($D$8:$D$9,D295)+COUNTIF($D$1:$D$2,D295)+COUNTIF($D$11:$D$26,D295)+COUNTIF($D$28:$D$65536,D295)+COUNTIF($D$4:$D$4,D295)&gt;1,NOT(ISBLANK(D295)))</formula>
    </cfRule>
    <cfRule type="expression" dxfId="865" priority="1711" stopIfTrue="1">
      <formula>AND(COUNTIF($D$8:$D$9,D295)+COUNTIF($D$1:$D$2,D295)+COUNTIF($D$11:$D$26,D295)+COUNTIF($D$28:$D$65536,D295)+COUNTIF($D$4:$D$4,D295)&gt;1,NOT(ISBLANK(D295)))</formula>
    </cfRule>
    <cfRule type="expression" dxfId="864" priority="1712" stopIfTrue="1">
      <formula>AND(COUNTIF($D$8:$D$9,D295)+COUNTIF($D$1:$D$2,D295)+COUNTIF($D$11:$D$26,D295)+COUNTIF($D$28:$D$65536,D295)+COUNTIF($D$4:$D$4,D295)&gt;1,NOT(ISBLANK(D295)))</formula>
    </cfRule>
    <cfRule type="expression" dxfId="863" priority="1713" stopIfTrue="1">
      <formula>AND(COUNTIF($D$134:$D$142,D295)+COUNTIF($D$144:$D$65536,D295)+COUNTIF($D$1:$D$2,D295)+COUNTIF($D$8:$D$9,D295)+COUNTIF($D$11:$D$26,D295)+COUNTIF($D$28:$D$132,D295)+COUNTIF($D$4:$D$4,D295)&gt;1,NOT(ISBLANK(D295)))</formula>
    </cfRule>
    <cfRule type="expression" dxfId="862" priority="1714" stopIfTrue="1">
      <formula>AND(COUNTIF($D$1:$D$350,D295)+COUNTIF($D$352:$D$372,D295)+COUNTIF($D$374:$D$65536,D295)&gt;1,NOT(ISBLANK(D295)))</formula>
    </cfRule>
    <cfRule type="expression" dxfId="861" priority="1715" stopIfTrue="1">
      <formula>AND(COUNTIF($D$1:$D$350,D295)+COUNTIF($D$352:$D$372,D295)+COUNTIF($D$374:$D$65536,D295)&gt;1,NOT(ISBLANK(D295)))</formula>
    </cfRule>
    <cfRule type="duplicateValues" dxfId="860" priority="1716" stopIfTrue="1"/>
    <cfRule type="duplicateValues" dxfId="859" priority="1717" stopIfTrue="1"/>
    <cfRule type="duplicateValues" dxfId="858" priority="1718" stopIfTrue="1"/>
    <cfRule type="duplicateValues" dxfId="857" priority="1719" stopIfTrue="1"/>
  </conditionalFormatting>
  <conditionalFormatting sqref="E295">
    <cfRule type="duplicateValues" dxfId="2101" priority="1466" stopIfTrue="1"/>
    <cfRule type="duplicateValues" dxfId="2100" priority="1467" stopIfTrue="1"/>
  </conditionalFormatting>
  <conditionalFormatting sqref="F295">
    <cfRule type="duplicateValues" dxfId="2099" priority="1852" stopIfTrue="1"/>
    <cfRule type="duplicateValues" dxfId="2098" priority="1853" stopIfTrue="1"/>
    <cfRule type="duplicateValues" dxfId="2097" priority="1854" stopIfTrue="1"/>
    <cfRule type="expression" dxfId="856" priority="1855" stopIfTrue="1">
      <formula>AND(COUNTIF($F$4:$F$65536,F295)+COUNTIF($F$1:$F$2,F295)&gt;1,NOT(ISBLANK(F295)))</formula>
    </cfRule>
    <cfRule type="expression" dxfId="855" priority="1856" stopIfTrue="1">
      <formula>AND(COUNTIF($F$4:$F$65536,F295)+COUNTIF($F$1:$F$2,F295)&gt;1,NOT(ISBLANK(F295)))</formula>
    </cfRule>
    <cfRule type="expression" dxfId="854" priority="1857" stopIfTrue="1">
      <formula>AND(COUNTIF($F$8:$F$9,F295)+COUNTIF($F$1:$F$2,F295)+COUNTIF($F$11:$F$26,F295)+COUNTIF($F$28:$F$65536,F295)+COUNTIF($F$4:$F$4,F295)&gt;1,NOT(ISBLANK(F295)))</formula>
    </cfRule>
    <cfRule type="expression" dxfId="853" priority="1858" stopIfTrue="1">
      <formula>AND(COUNTIF($F$8:$F$9,F295)+COUNTIF($F$1:$F$2,F295)+COUNTIF($F$11:$F$26,F295)+COUNTIF($F$28:$F$65536,F295)+COUNTIF($F$4:$F$4,F295)&gt;1,NOT(ISBLANK(F295)))</formula>
    </cfRule>
    <cfRule type="expression" dxfId="852" priority="1859" stopIfTrue="1">
      <formula>AND(COUNTIF($F$8:$F$9,F295)+COUNTIF($F$1:$F$2,F295)+COUNTIF($F$11:$F$26,F295)+COUNTIF($F$28:$F$65536,F295)+COUNTIF($F$4:$F$4,F295)&gt;1,NOT(ISBLANK(F295)))</formula>
    </cfRule>
    <cfRule type="expression" dxfId="851" priority="1860" stopIfTrue="1">
      <formula>AND(COUNTIF($F$486:$F$65536,F295)+COUNTIF($F$1:$F$2,F295)+COUNTIF($F$134:$F$142,F295)+COUNTIF($F$144:$F$483,F295)+COUNTIF($F$8:$F$9,F295)+COUNTIF($F$11:$F$26,F295)+COUNTIF($F$28:$F$132,F295)+COUNTIF($F$4:$F$4,F295)&gt;1,NOT(ISBLANK(F295)))</formula>
    </cfRule>
    <cfRule type="expression" dxfId="850" priority="1861" stopIfTrue="1">
      <formula>AND(COUNTIF($F$486:$F$65536,F295)+COUNTIF($F$1:$F$2,F295)+COUNTIF($F$134:$F$142,F295)+COUNTIF($F$144:$F$483,F295)+COUNTIF($F$8:$F$9,F295)+COUNTIF($F$11:$F$26,F295)+COUNTIF($F$28:$F$132,F295)+COUNTIF($F$4:$F$4,F295)&gt;1,NOT(ISBLANK(F295)))</formula>
    </cfRule>
    <cfRule type="expression" dxfId="849" priority="1862" stopIfTrue="1">
      <formula>AND(COUNTIF($F$486:$F$65536,F295)+COUNTIF($F$1:$F$2,F295)+COUNTIF($F$134:$F$142,F295)+COUNTIF($F$144:$F$483,F295)+COUNTIF($F$8:$F$9,F295)+COUNTIF($F$11:$F$26,F295)+COUNTIF($F$28:$F$132,F295)+COUNTIF($F$4:$F$4,F295)&gt;1,NOT(ISBLANK(F295)))</formula>
    </cfRule>
    <cfRule type="expression" dxfId="848" priority="1863" stopIfTrue="1">
      <formula>AND(COUNTIF($F$134:$F$142,F295)+COUNTIF($F$1:$F$2,F295)+COUNTIF($F$144:$F$65536,F295)+COUNTIF($F$8:$F$9,F295)+COUNTIF($F$11:$F$26,F295)+COUNTIF($F$28:$F$132,F295)+COUNTIF($F$4:$F$4,F295)&gt;1,NOT(ISBLANK(F295)))</formula>
    </cfRule>
    <cfRule type="expression" dxfId="847" priority="1864" stopIfTrue="1">
      <formula>AND(COUNTIF($F$134:$F$142,F295)+COUNTIF($F$1:$F$2,F295)+COUNTIF($F$144:$F$65536,F295)+COUNTIF($F$8:$F$9,F295)+COUNTIF($F$11:$F$26,F295)+COUNTIF($F$28:$F$132,F295)+COUNTIF($F$4:$F$4,F295)&gt;1,NOT(ISBLANK(F295)))</formula>
    </cfRule>
    <cfRule type="expression" dxfId="846" priority="1865" stopIfTrue="1">
      <formula>AND(COUNTIF($F$134:$F$142,F295)+COUNTIF($F$1:$F$2,F295)+COUNTIF($F$144:$F$65536,F295)+COUNTIF($F$8:$F$9,F295)+COUNTIF($F$11:$F$26,F295)+COUNTIF($F$28:$F$132,F295)+COUNTIF($F$4:$F$4,F295)&gt;1,NOT(ISBLANK(F295)))</formula>
    </cfRule>
  </conditionalFormatting>
  <conditionalFormatting sqref="B296:F296">
    <cfRule type="expression" dxfId="2096" priority="1967" stopIfTrue="1">
      <formula>AND(COUNTIF($B$310:$F$318,B296)+COUNTIF($B$320:$F$65536,B296)+COUNTIF($B$8:$F$9,B296)+COUNTIF($B$11:$F$26,B296)+COUNTIF($B$28:$F$308,B296)+COUNTIF($B$4:$F$4,B296)+COUNTIF($B$1:$F$2,B296)&gt;1,NOT(ISBLANK(B296)))</formula>
    </cfRule>
    <cfRule type="expression" dxfId="2095" priority="1968" stopIfTrue="1">
      <formula>AND(COUNTIF($B$310:$F$318,B296)+COUNTIF($B$320:$F$65536,B296)+COUNTIF($B$8:$F$9,B296)+COUNTIF($B$11:$F$26,B296)+COUNTIF($B$28:$F$308,B296)+COUNTIF($B$4:$F$4,B296)+COUNTIF($B$1:$F$2,B296)&gt;1,NOT(ISBLANK(B296)))</formula>
    </cfRule>
    <cfRule type="expression" dxfId="2094" priority="1969" stopIfTrue="1">
      <formula>AND(COUNTIF($B$310:$F$318,B296)+COUNTIF($B$320:$F$65536,B296)+COUNTIF($B$8:$F$9,B296)+COUNTIF($B$11:$F$26,B296)+COUNTIF($B$28:$F$308,B296)+COUNTIF($B$4:$F$4,B296)+COUNTIF($B$1:$F$2,B296)&gt;1,NOT(ISBLANK(B296)))</formula>
    </cfRule>
    <cfRule type="expression" dxfId="845" priority="1970" stopIfTrue="1">
      <formula>AND(COUNTIF($B$8:$F$9,B296)+COUNTIF($B$11:$F$26,B296)+COUNTIF($B$28:$F$65536,B296)+COUNTIF($B$4:$F$4,B296)+COUNTIF($B$1:$F$2,B296)&gt;1,NOT(ISBLANK(B296)))</formula>
    </cfRule>
    <cfRule type="expression" dxfId="844" priority="1971" stopIfTrue="1">
      <formula>AND(COUNTIF($B$8:$F$9,B296)+COUNTIF($B$11:$F$26,B296)+COUNTIF($B$28:$F$65536,B296)+COUNTIF($B$4:$F$4,B296)+COUNTIF($B$1:$F$2,B296)&gt;1,NOT(ISBLANK(B296)))</formula>
    </cfRule>
    <cfRule type="expression" dxfId="843" priority="1972" stopIfTrue="1">
      <formula>AND(COUNTIF($B$8:$F$9,B296)+COUNTIF($B$11:$F$26,B296)+COUNTIF($B$28:$F$65536,B296)+COUNTIF($B$4:$F$4,B296)+COUNTIF($B$1:$F$2,B296)&gt;1,NOT(ISBLANK(B296)))</formula>
    </cfRule>
  </conditionalFormatting>
  <conditionalFormatting sqref="C296:F296">
    <cfRule type="expression" dxfId="2093" priority="1962" stopIfTrue="1">
      <formula>AND(COUNTIF($C$310:$F$318,C296)+COUNTIF($C$320:$F$65536,C296)+COUNTIF($C$8:$F$9,C296)+COUNTIF($C$11:$F$26,C296)+COUNTIF($C$28:$F$308,C296)+COUNTIF($C$4:$F$4,C296)+COUNTIF($C$1:$F$2,C296)&gt;1,NOT(ISBLANK(C296)))</formula>
    </cfRule>
  </conditionalFormatting>
  <conditionalFormatting sqref="D296">
    <cfRule type="duplicateValues" dxfId="2092" priority="870" stopIfTrue="1"/>
    <cfRule type="duplicateValues" dxfId="2091" priority="873" stopIfTrue="1"/>
    <cfRule type="duplicateValues" dxfId="2090" priority="874" stopIfTrue="1"/>
    <cfRule type="duplicateValues" dxfId="842" priority="875" stopIfTrue="1"/>
  </conditionalFormatting>
  <conditionalFormatting sqref="E296">
    <cfRule type="duplicateValues" dxfId="2089" priority="865" stopIfTrue="1"/>
    <cfRule type="expression" dxfId="2088" priority="866" stopIfTrue="1">
      <formula>AND(COUNTIF($E$4:$E$65536,E296)+COUNTIF($E$1:$E$2,E296)&gt;1,NOT(ISBLANK(E296)))</formula>
    </cfRule>
    <cfRule type="expression" dxfId="2087" priority="867" stopIfTrue="1">
      <formula>AND(COUNTIF($E$4:$E$65536,E296)+COUNTIF($E$1:$E$2,E296)&gt;1,NOT(ISBLANK(E296)))</formula>
    </cfRule>
    <cfRule type="expression" dxfId="841" priority="868" stopIfTrue="1">
      <formula>AND(COUNTIF($E$310:$E$318,E296)+COUNTIF($E$1:$E$2,E296)+COUNTIF($E$320:$E$65536,E296)+COUNTIF($E$8:$E$9,E296)+COUNTIF($E$11:$E$26,E296)+COUNTIF($E$28:$E$308,E296)+COUNTIF($E$4:$E$4,E296)&gt;1,NOT(ISBLANK(E296)))</formula>
    </cfRule>
    <cfRule type="expression" dxfId="840" priority="869" stopIfTrue="1">
      <formula>AND(COUNTIF($E$8:$E$9,E296)+COUNTIF($E$1:$E$2,E296)+COUNTIF($E$11:$E$26,E296)+COUNTIF($E$28:$E$65536,E296)+COUNTIF($E$4:$E$4,E296)&gt;1,NOT(ISBLANK(E296)))</formula>
    </cfRule>
    <cfRule type="expression" dxfId="839" priority="1952" stopIfTrue="1">
      <formula>AND(COUNTIF($E$525:$E$65536,E296)+COUNTIF($E$1:$E$2,E296)+COUNTIF($E$310:$E$318,E296)+COUNTIF($E$320:$E$522,E296)+COUNTIF($E$8:$E$9,E296)+COUNTIF($E$11:$E$26,E296)+COUNTIF($E$28:$E$308,E296)+COUNTIF($E$4:$E$4,E296)&gt;1,NOT(ISBLANK(E296)))</formula>
    </cfRule>
  </conditionalFormatting>
  <conditionalFormatting sqref="F296">
    <cfRule type="duplicateValues" dxfId="2086" priority="871" stopIfTrue="1"/>
    <cfRule type="duplicateValues" dxfId="2085" priority="872" stopIfTrue="1"/>
    <cfRule type="duplicateValues" dxfId="2084" priority="876" stopIfTrue="1"/>
    <cfRule type="duplicateValues" dxfId="838" priority="877" stopIfTrue="1"/>
    <cfRule type="duplicateValues" dxfId="837" priority="878" stopIfTrue="1"/>
    <cfRule type="duplicateValues" dxfId="836" priority="879" stopIfTrue="1"/>
    <cfRule type="expression" dxfId="835" priority="1953" stopIfTrue="1">
      <formula>AND(COUNTIF($F$525:$F$65536,F296)+COUNTIF($F$1:$F$2,F296)+COUNTIF($F$310:$F$318,F296)+COUNTIF($F$320:$F$522,F296)+COUNTIF($F$8:$F$9,F296)+COUNTIF($F$11:$F$26,F296)+COUNTIF($F$28:$F$308,F296)+COUNTIF($F$4:$F$4,F296)&gt;1,NOT(ISBLANK(F296)))</formula>
    </cfRule>
    <cfRule type="expression" dxfId="834" priority="1954" stopIfTrue="1">
      <formula>AND(COUNTIF($F$525:$F$65536,F296)+COUNTIF($F$1:$F$2,F296)+COUNTIF($F$310:$F$318,F296)+COUNTIF($F$320:$F$522,F296)+COUNTIF($F$8:$F$9,F296)+COUNTIF($F$11:$F$26,F296)+COUNTIF($F$28:$F$308,F296)+COUNTIF($F$4:$F$4,F296)&gt;1,NOT(ISBLANK(F296)))</formula>
    </cfRule>
    <cfRule type="expression" dxfId="833" priority="1955" stopIfTrue="1">
      <formula>AND(COUNTIF($F$525:$F$65536,F296)+COUNTIF($F$1:$F$2,F296)+COUNTIF($F$310:$F$318,F296)+COUNTIF($F$320:$F$522,F296)+COUNTIF($F$8:$F$9,F296)+COUNTIF($F$11:$F$26,F296)+COUNTIF($F$28:$F$308,F296)+COUNTIF($F$4:$F$4,F296)&gt;1,NOT(ISBLANK(F296)))</formula>
    </cfRule>
  </conditionalFormatting>
  <conditionalFormatting sqref="B297">
    <cfRule type="expression" dxfId="2083" priority="388" stopIfTrue="1">
      <formula>AND(COUNTIF($C$134:$F$142,B297)+COUNTIF($C$144:$F$65536,B297)+COUNTIF($C$8:$F$9,B297)+COUNTIF($C$11:$F$26,B297)+COUNTIF($C$28:$F$132,B297)+COUNTIF($C$4:$F$4,B297)+COUNTIF($C$1:$F$2,B297)&gt;1,NOT(ISBLANK(B297)))</formula>
    </cfRule>
    <cfRule type="expression" dxfId="2082" priority="389" stopIfTrue="1">
      <formula>AND(COUNTIF($C$4:$C$65536,B297)+COUNTIF($C$1:$C$2,B297)&gt;1,NOT(ISBLANK(B297)))</formula>
    </cfRule>
  </conditionalFormatting>
  <conditionalFormatting sqref="B303">
    <cfRule type="expression" dxfId="2081" priority="384" stopIfTrue="1">
      <formula>AND(COUNTIF($C$134:$F$142,B303)+COUNTIF($C$144:$F$65536,B303)+COUNTIF($C$8:$F$9,B303)+COUNTIF($C$11:$F$26,B303)+COUNTIF($C$28:$F$132,B303)+COUNTIF($C$4:$F$4,B303)+COUNTIF($C$1:$F$2,B303)&gt;1,NOT(ISBLANK(B303)))</formula>
    </cfRule>
    <cfRule type="expression" dxfId="2080" priority="385" stopIfTrue="1">
      <formula>AND(COUNTIF($C$4:$C$65536,B303)+COUNTIF($C$1:$C$2,B303)&gt;1,NOT(ISBLANK(B303)))</formula>
    </cfRule>
  </conditionalFormatting>
  <conditionalFormatting sqref="D306">
    <cfRule type="duplicateValues" dxfId="2079" priority="1144" stopIfTrue="1"/>
    <cfRule type="duplicateValues" dxfId="2078" priority="1147" stopIfTrue="1"/>
    <cfRule type="duplicateValues" dxfId="2077" priority="1149" stopIfTrue="1"/>
    <cfRule type="duplicateValues" dxfId="832" priority="1150" stopIfTrue="1"/>
    <cfRule type="duplicateValues" dxfId="831" priority="1152" stopIfTrue="1"/>
    <cfRule type="duplicateValues" dxfId="830" priority="1153" stopIfTrue="1"/>
    <cfRule type="duplicateValues" dxfId="829" priority="1154" stopIfTrue="1"/>
    <cfRule type="duplicateValues" dxfId="828" priority="1155" stopIfTrue="1"/>
    <cfRule type="duplicateValues" dxfId="827" priority="1156" stopIfTrue="1"/>
    <cfRule type="duplicateValues" dxfId="826" priority="1157" stopIfTrue="1"/>
    <cfRule type="duplicateValues" dxfId="825" priority="1159" stopIfTrue="1"/>
    <cfRule type="duplicateValues" dxfId="824" priority="1161" stopIfTrue="1"/>
    <cfRule type="duplicateValues" dxfId="823" priority="1162" stopIfTrue="1"/>
    <cfRule type="duplicateValues" dxfId="822" priority="1164" stopIfTrue="1"/>
    <cfRule type="duplicateValues" dxfId="821" priority="1165" stopIfTrue="1"/>
    <cfRule type="duplicateValues" dxfId="820" priority="1166" stopIfTrue="1"/>
    <cfRule type="duplicateValues" dxfId="819" priority="1167" stopIfTrue="1"/>
    <cfRule type="duplicateValues" dxfId="818" priority="1168" stopIfTrue="1"/>
    <cfRule type="duplicateValues" dxfId="817" priority="1169" stopIfTrue="1"/>
  </conditionalFormatting>
  <conditionalFormatting sqref="E306">
    <cfRule type="duplicateValues" dxfId="2076" priority="1148" stopIfTrue="1"/>
    <cfRule type="duplicateValues" dxfId="2075" priority="1160" stopIfTrue="1"/>
  </conditionalFormatting>
  <conditionalFormatting sqref="F306">
    <cfRule type="duplicateValues" dxfId="2074" priority="1143" stopIfTrue="1"/>
    <cfRule type="duplicateValues" dxfId="2073" priority="1145" stopIfTrue="1"/>
    <cfRule type="duplicateValues" dxfId="2072" priority="1146" stopIfTrue="1"/>
    <cfRule type="duplicateValues" dxfId="816" priority="1151" stopIfTrue="1"/>
    <cfRule type="duplicateValues" dxfId="815" priority="1158" stopIfTrue="1"/>
    <cfRule type="duplicateValues" dxfId="814" priority="1163" stopIfTrue="1"/>
  </conditionalFormatting>
  <conditionalFormatting sqref="B309">
    <cfRule type="expression" dxfId="2071" priority="380" stopIfTrue="1">
      <formula>AND(COUNTIF($C$134:$F$142,B309)+COUNTIF($C$144:$F$65536,B309)+COUNTIF($C$8:$F$9,B309)+COUNTIF($C$11:$F$26,B309)+COUNTIF($C$28:$F$132,B309)+COUNTIF($C$4:$F$4,B309)+COUNTIF($C$1:$F$2,B309)&gt;1,NOT(ISBLANK(B309)))</formula>
    </cfRule>
    <cfRule type="expression" dxfId="2070" priority="381" stopIfTrue="1">
      <formula>AND(COUNTIF($C$4:$C$65536,B309)+COUNTIF($C$1:$C$2,B309)&gt;1,NOT(ISBLANK(B309)))</formula>
    </cfRule>
  </conditionalFormatting>
  <conditionalFormatting sqref="F310">
    <cfRule type="duplicateValues" dxfId="2069" priority="1315" stopIfTrue="1"/>
    <cfRule type="duplicateValues" dxfId="2068" priority="1316" stopIfTrue="1"/>
    <cfRule type="duplicateValues" dxfId="2067" priority="1317" stopIfTrue="1"/>
    <cfRule type="duplicateValues" dxfId="813" priority="1318" stopIfTrue="1"/>
  </conditionalFormatting>
  <conditionalFormatting sqref="B311:E311">
    <cfRule type="duplicateValues" dxfId="2066" priority="1312" stopIfTrue="1"/>
  </conditionalFormatting>
  <conditionalFormatting sqref="B311:F311">
    <cfRule type="duplicateValues" dxfId="2065" priority="1314" stopIfTrue="1"/>
  </conditionalFormatting>
  <conditionalFormatting sqref="B311">
    <cfRule type="expression" dxfId="2064" priority="378" stopIfTrue="1">
      <formula>AND(COUNTIF($C$134:$F$142,B311)+COUNTIF($C$144:$F$65536,B311)+COUNTIF($C$8:$F$9,B311)+COUNTIF($C$11:$F$26,B311)+COUNTIF($C$28:$F$132,B311)+COUNTIF($C$4:$F$4,B311)+COUNTIF($C$1:$F$2,B311)&gt;1,NOT(ISBLANK(B311)))</formula>
    </cfRule>
    <cfRule type="expression" dxfId="2063" priority="379" stopIfTrue="1">
      <formula>AND(COUNTIF($C$4:$C$65536,B311)+COUNTIF($C$1:$C$2,B311)&gt;1,NOT(ISBLANK(B311)))</formula>
    </cfRule>
  </conditionalFormatting>
  <conditionalFormatting sqref="F311">
    <cfRule type="duplicateValues" dxfId="2062" priority="1309" stopIfTrue="1"/>
    <cfRule type="duplicateValues" dxfId="2061" priority="1310" stopIfTrue="1"/>
    <cfRule type="duplicateValues" dxfId="2060" priority="1311" stopIfTrue="1"/>
    <cfRule type="duplicateValues" dxfId="812" priority="1313" stopIfTrue="1"/>
  </conditionalFormatting>
  <conditionalFormatting sqref="F313">
    <cfRule type="duplicateValues" dxfId="2059" priority="1303" stopIfTrue="1"/>
    <cfRule type="duplicateValues" dxfId="2058" priority="1304" stopIfTrue="1"/>
    <cfRule type="duplicateValues" dxfId="2057" priority="1305" stopIfTrue="1"/>
    <cfRule type="duplicateValues" dxfId="811" priority="1306" stopIfTrue="1"/>
    <cfRule type="duplicateValues" dxfId="810" priority="1307" stopIfTrue="1"/>
    <cfRule type="duplicateValues" dxfId="809" priority="1308" stopIfTrue="1"/>
  </conditionalFormatting>
  <conditionalFormatting sqref="D319">
    <cfRule type="duplicateValues" dxfId="2056" priority="915" stopIfTrue="1"/>
    <cfRule type="duplicateValues" dxfId="2055" priority="924" stopIfTrue="1"/>
    <cfRule type="duplicateValues" dxfId="2054" priority="927" stopIfTrue="1"/>
    <cfRule type="duplicateValues" dxfId="808" priority="929" stopIfTrue="1"/>
    <cfRule type="duplicateValues" dxfId="807" priority="930" stopIfTrue="1"/>
    <cfRule type="duplicateValues" dxfId="806" priority="932" stopIfTrue="1"/>
    <cfRule type="duplicateValues" dxfId="805" priority="933" stopIfTrue="1"/>
    <cfRule type="duplicateValues" dxfId="804" priority="936" stopIfTrue="1"/>
    <cfRule type="duplicateValues" dxfId="803" priority="937" stopIfTrue="1"/>
    <cfRule type="duplicateValues" dxfId="802" priority="938" stopIfTrue="1"/>
    <cfRule type="duplicateValues" dxfId="801" priority="939" stopIfTrue="1"/>
  </conditionalFormatting>
  <conditionalFormatting sqref="E319">
    <cfRule type="duplicateValues" dxfId="2053" priority="916" stopIfTrue="1"/>
    <cfRule type="duplicateValues" dxfId="2052" priority="919" stopIfTrue="1"/>
    <cfRule type="duplicateValues" dxfId="2051" priority="920" stopIfTrue="1"/>
    <cfRule type="duplicateValues" dxfId="800" priority="921" stopIfTrue="1"/>
    <cfRule type="duplicateValues" dxfId="799" priority="922" stopIfTrue="1"/>
    <cfRule type="duplicateValues" dxfId="798" priority="928" stopIfTrue="1"/>
    <cfRule type="duplicateValues" dxfId="797" priority="934"/>
    <cfRule type="duplicateValues" dxfId="796" priority="935"/>
  </conditionalFormatting>
  <conditionalFormatting sqref="F319">
    <cfRule type="duplicateValues" dxfId="2050" priority="917" stopIfTrue="1"/>
    <cfRule type="duplicateValues" dxfId="2049" priority="918" stopIfTrue="1"/>
    <cfRule type="duplicateValues" dxfId="2048" priority="923" stopIfTrue="1"/>
    <cfRule type="duplicateValues" dxfId="795" priority="925" stopIfTrue="1"/>
    <cfRule type="duplicateValues" dxfId="794" priority="926" stopIfTrue="1"/>
    <cfRule type="duplicateValues" dxfId="793" priority="931" stopIfTrue="1"/>
    <cfRule type="duplicateValues" dxfId="792" priority="940" stopIfTrue="1"/>
  </conditionalFormatting>
  <conditionalFormatting sqref="F320">
    <cfRule type="duplicateValues" dxfId="2047" priority="1297" stopIfTrue="1"/>
    <cfRule type="duplicateValues" dxfId="2046" priority="1298" stopIfTrue="1"/>
    <cfRule type="duplicateValues" dxfId="2045" priority="1299" stopIfTrue="1"/>
    <cfRule type="duplicateValues" dxfId="791" priority="1300" stopIfTrue="1"/>
    <cfRule type="duplicateValues" dxfId="790" priority="1301" stopIfTrue="1"/>
    <cfRule type="duplicateValues" dxfId="789" priority="1302" stopIfTrue="1"/>
  </conditionalFormatting>
  <conditionalFormatting sqref="F321">
    <cfRule type="duplicateValues" dxfId="2044" priority="1293" stopIfTrue="1"/>
    <cfRule type="duplicateValues" dxfId="2043" priority="1294" stopIfTrue="1"/>
    <cfRule type="duplicateValues" dxfId="2042" priority="1295" stopIfTrue="1"/>
    <cfRule type="duplicateValues" dxfId="788" priority="1296" stopIfTrue="1"/>
  </conditionalFormatting>
  <conditionalFormatting sqref="F325">
    <cfRule type="duplicateValues" dxfId="2041" priority="1289" stopIfTrue="1"/>
    <cfRule type="duplicateValues" dxfId="2040" priority="1290" stopIfTrue="1"/>
    <cfRule type="duplicateValues" dxfId="2039" priority="1291" stopIfTrue="1"/>
    <cfRule type="duplicateValues" dxfId="787" priority="1292" stopIfTrue="1"/>
  </conditionalFormatting>
  <conditionalFormatting sqref="F326">
    <cfRule type="duplicateValues" dxfId="2038" priority="1285" stopIfTrue="1"/>
    <cfRule type="duplicateValues" dxfId="2037" priority="1286" stopIfTrue="1"/>
    <cfRule type="duplicateValues" dxfId="2036" priority="1287" stopIfTrue="1"/>
    <cfRule type="duplicateValues" dxfId="786" priority="1288" stopIfTrue="1"/>
  </conditionalFormatting>
  <conditionalFormatting sqref="F328">
    <cfRule type="duplicateValues" dxfId="2035" priority="1281"/>
    <cfRule type="duplicateValues" dxfId="2034" priority="1282"/>
    <cfRule type="duplicateValues" dxfId="2033" priority="1283"/>
    <cfRule type="duplicateValues" dxfId="785" priority="1284"/>
  </conditionalFormatting>
  <conditionalFormatting sqref="B329:E329">
    <cfRule type="duplicateValues" dxfId="2032" priority="1280" stopIfTrue="1"/>
  </conditionalFormatting>
  <conditionalFormatting sqref="F329">
    <cfRule type="duplicateValues" dxfId="2031" priority="1277" stopIfTrue="1"/>
    <cfRule type="duplicateValues" dxfId="2030" priority="1278" stopIfTrue="1"/>
    <cfRule type="duplicateValues" dxfId="2029" priority="1279" stopIfTrue="1"/>
  </conditionalFormatting>
  <conditionalFormatting sqref="B331:E331">
    <cfRule type="duplicateValues" dxfId="2028" priority="1274" stopIfTrue="1"/>
  </conditionalFormatting>
  <conditionalFormatting sqref="B331:F331">
    <cfRule type="duplicateValues" dxfId="2027" priority="1276" stopIfTrue="1"/>
  </conditionalFormatting>
  <conditionalFormatting sqref="B331">
    <cfRule type="expression" dxfId="2026" priority="368" stopIfTrue="1">
      <formula>AND(COUNTIF($C$134:$F$142,B331)+COUNTIF($C$144:$F$65536,B331)+COUNTIF($C$8:$F$9,B331)+COUNTIF($C$11:$F$26,B331)+COUNTIF($C$28:$F$132,B331)+COUNTIF($C$4:$F$4,B331)+COUNTIF($C$1:$F$2,B331)&gt;1,NOT(ISBLANK(B331)))</formula>
    </cfRule>
    <cfRule type="expression" dxfId="2025" priority="369" stopIfTrue="1">
      <formula>AND(COUNTIF($C$4:$C$65536,B331)+COUNTIF($C$1:$C$2,B331)&gt;1,NOT(ISBLANK(B331)))</formula>
    </cfRule>
  </conditionalFormatting>
  <conditionalFormatting sqref="F331">
    <cfRule type="duplicateValues" dxfId="2024" priority="1265" stopIfTrue="1"/>
    <cfRule type="duplicateValues" dxfId="2023" priority="1266" stopIfTrue="1"/>
    <cfRule type="duplicateValues" dxfId="2022" priority="1267" stopIfTrue="1"/>
    <cfRule type="duplicateValues" dxfId="784" priority="1268" stopIfTrue="1"/>
    <cfRule type="duplicateValues" dxfId="783" priority="1269" stopIfTrue="1"/>
    <cfRule type="duplicateValues" dxfId="782" priority="1270" stopIfTrue="1"/>
    <cfRule type="duplicateValues" dxfId="781" priority="1271" stopIfTrue="1"/>
    <cfRule type="duplicateValues" dxfId="780" priority="1272" stopIfTrue="1"/>
    <cfRule type="duplicateValues" dxfId="779" priority="1273" stopIfTrue="1"/>
    <cfRule type="duplicateValues" dxfId="778" priority="1275" stopIfTrue="1"/>
  </conditionalFormatting>
  <conditionalFormatting sqref="F332">
    <cfRule type="duplicateValues" dxfId="2021" priority="1259" stopIfTrue="1"/>
    <cfRule type="duplicateValues" dxfId="2020" priority="1260" stopIfTrue="1"/>
    <cfRule type="duplicateValues" dxfId="2019" priority="1261" stopIfTrue="1"/>
    <cfRule type="duplicateValues" dxfId="777" priority="1262" stopIfTrue="1"/>
    <cfRule type="duplicateValues" dxfId="776" priority="1263" stopIfTrue="1"/>
    <cfRule type="duplicateValues" dxfId="775" priority="1264" stopIfTrue="1"/>
  </conditionalFormatting>
  <conditionalFormatting sqref="F333">
    <cfRule type="duplicateValues" dxfId="2018" priority="1255" stopIfTrue="1"/>
    <cfRule type="duplicateValues" dxfId="2017" priority="1256" stopIfTrue="1"/>
    <cfRule type="duplicateValues" dxfId="2016" priority="1257" stopIfTrue="1"/>
    <cfRule type="duplicateValues" dxfId="774" priority="1258" stopIfTrue="1"/>
  </conditionalFormatting>
  <conditionalFormatting sqref="F334">
    <cfRule type="duplicateValues" dxfId="2015" priority="1251" stopIfTrue="1"/>
    <cfRule type="duplicateValues" dxfId="2014" priority="1252" stopIfTrue="1"/>
    <cfRule type="duplicateValues" dxfId="2013" priority="1253" stopIfTrue="1"/>
    <cfRule type="duplicateValues" dxfId="773" priority="1254" stopIfTrue="1"/>
  </conditionalFormatting>
  <conditionalFormatting sqref="F335">
    <cfRule type="duplicateValues" dxfId="2012" priority="1245" stopIfTrue="1"/>
    <cfRule type="duplicateValues" dxfId="2011" priority="1246" stopIfTrue="1"/>
    <cfRule type="duplicateValues" dxfId="2010" priority="1247" stopIfTrue="1"/>
    <cfRule type="duplicateValues" dxfId="772" priority="1248" stopIfTrue="1"/>
    <cfRule type="duplicateValues" dxfId="771" priority="1249" stopIfTrue="1"/>
    <cfRule type="duplicateValues" dxfId="770" priority="1250" stopIfTrue="1"/>
  </conditionalFormatting>
  <conditionalFormatting sqref="F336">
    <cfRule type="duplicateValues" dxfId="2009" priority="1241" stopIfTrue="1"/>
    <cfRule type="duplicateValues" dxfId="2008" priority="1242" stopIfTrue="1"/>
    <cfRule type="duplicateValues" dxfId="2007" priority="1243" stopIfTrue="1"/>
    <cfRule type="duplicateValues" dxfId="769" priority="1244" stopIfTrue="1"/>
  </conditionalFormatting>
  <conditionalFormatting sqref="B337:F337">
    <cfRule type="duplicateValues" dxfId="2006" priority="1240" stopIfTrue="1"/>
  </conditionalFormatting>
  <conditionalFormatting sqref="F337">
    <cfRule type="duplicateValues" dxfId="2005" priority="1234"/>
    <cfRule type="duplicateValues" dxfId="2004" priority="1235" stopIfTrue="1"/>
    <cfRule type="duplicateValues" dxfId="2003" priority="1236" stopIfTrue="1"/>
    <cfRule type="duplicateValues" dxfId="768" priority="1237" stopIfTrue="1"/>
    <cfRule type="duplicateValues" dxfId="767" priority="1238" stopIfTrue="1"/>
    <cfRule type="duplicateValues" dxfId="766" priority="1239" stopIfTrue="1"/>
  </conditionalFormatting>
  <conditionalFormatting sqref="B339:F339">
    <cfRule type="duplicateValues" dxfId="2002" priority="1233" stopIfTrue="1"/>
  </conditionalFormatting>
  <conditionalFormatting sqref="B339">
    <cfRule type="expression" dxfId="2001" priority="364" stopIfTrue="1">
      <formula>AND(COUNTIF($C$134:$F$142,B339)+COUNTIF($C$144:$F$65536,B339)+COUNTIF($C$8:$F$9,B339)+COUNTIF($C$11:$F$26,B339)+COUNTIF($C$28:$F$132,B339)+COUNTIF($C$4:$F$4,B339)+COUNTIF($C$1:$F$2,B339)&gt;1,NOT(ISBLANK(B339)))</formula>
    </cfRule>
    <cfRule type="expression" dxfId="2000" priority="365" stopIfTrue="1">
      <formula>AND(COUNTIF($C$4:$C$65536,B339)+COUNTIF($C$1:$C$2,B339)&gt;1,NOT(ISBLANK(B339)))</formula>
    </cfRule>
  </conditionalFormatting>
  <conditionalFormatting sqref="F339">
    <cfRule type="duplicateValues" dxfId="1999" priority="1228"/>
    <cfRule type="duplicateValues" dxfId="1998" priority="1229" stopIfTrue="1"/>
    <cfRule type="duplicateValues" dxfId="1997" priority="1230" stopIfTrue="1"/>
    <cfRule type="duplicateValues" dxfId="765" priority="1231" stopIfTrue="1"/>
    <cfRule type="duplicateValues" dxfId="764" priority="1232" stopIfTrue="1"/>
  </conditionalFormatting>
  <conditionalFormatting sqref="B340:F340">
    <cfRule type="duplicateValues" dxfId="1996" priority="1227" stopIfTrue="1"/>
  </conditionalFormatting>
  <conditionalFormatting sqref="F340">
    <cfRule type="duplicateValues" dxfId="1995" priority="1222"/>
    <cfRule type="duplicateValues" dxfId="1994" priority="1223" stopIfTrue="1"/>
    <cfRule type="duplicateValues" dxfId="1993" priority="1224" stopIfTrue="1"/>
    <cfRule type="duplicateValues" dxfId="763" priority="1225" stopIfTrue="1"/>
    <cfRule type="duplicateValues" dxfId="762" priority="1226" stopIfTrue="1"/>
  </conditionalFormatting>
  <conditionalFormatting sqref="B341">
    <cfRule type="expression" dxfId="1992" priority="362" stopIfTrue="1">
      <formula>AND(COUNTIF($C$134:$F$142,B341)+COUNTIF($C$144:$F$65536,B341)+COUNTIF($C$8:$F$9,B341)+COUNTIF($C$11:$F$26,B341)+COUNTIF($C$28:$F$132,B341)+COUNTIF($C$4:$F$4,B341)+COUNTIF($C$1:$F$2,B341)&gt;1,NOT(ISBLANK(B341)))</formula>
    </cfRule>
    <cfRule type="expression" dxfId="1991" priority="363" stopIfTrue="1">
      <formula>AND(COUNTIF($C$4:$C$65536,B341)+COUNTIF($C$1:$C$2,B341)&gt;1,NOT(ISBLANK(B341)))</formula>
    </cfRule>
  </conditionalFormatting>
  <conditionalFormatting sqref="F344">
    <cfRule type="duplicateValues" dxfId="1990" priority="1218" stopIfTrue="1"/>
    <cfRule type="duplicateValues" dxfId="1989" priority="1219" stopIfTrue="1"/>
    <cfRule type="duplicateValues" dxfId="1988" priority="1220" stopIfTrue="1"/>
    <cfRule type="duplicateValues" dxfId="761" priority="1221" stopIfTrue="1"/>
  </conditionalFormatting>
  <conditionalFormatting sqref="F345">
    <cfRule type="duplicateValues" dxfId="1987" priority="1216" stopIfTrue="1"/>
    <cfRule type="duplicateValues" dxfId="1986" priority="1217" stopIfTrue="1"/>
  </conditionalFormatting>
  <conditionalFormatting sqref="B351">
    <cfRule type="expression" dxfId="1985" priority="356" stopIfTrue="1">
      <formula>AND(COUNTIF($C$134:$F$142,B351)+COUNTIF($C$144:$F$65536,B351)+COUNTIF($C$8:$F$9,B351)+COUNTIF($C$11:$F$26,B351)+COUNTIF($C$28:$F$132,B351)+COUNTIF($C$4:$F$4,B351)+COUNTIF($C$1:$F$2,B351)&gt;1,NOT(ISBLANK(B351)))</formula>
    </cfRule>
    <cfRule type="expression" dxfId="1984" priority="357" stopIfTrue="1">
      <formula>AND(COUNTIF($C$4:$C$65536,B351)+COUNTIF($C$1:$C$2,B351)&gt;1,NOT(ISBLANK(B351)))</formula>
    </cfRule>
  </conditionalFormatting>
  <conditionalFormatting sqref="B353">
    <cfRule type="expression" dxfId="1983" priority="354" stopIfTrue="1">
      <formula>AND(COUNTIF($C$134:$F$142,B353)+COUNTIF($C$144:$F$65536,B353)+COUNTIF($C$8:$F$9,B353)+COUNTIF($C$11:$F$26,B353)+COUNTIF($C$28:$F$132,B353)+COUNTIF($C$4:$F$4,B353)+COUNTIF($C$1:$F$2,B353)&gt;1,NOT(ISBLANK(B353)))</formula>
    </cfRule>
    <cfRule type="expression" dxfId="1982" priority="355" stopIfTrue="1">
      <formula>AND(COUNTIF($C$4:$C$65536,B353)+COUNTIF($C$1:$C$2,B353)&gt;1,NOT(ISBLANK(B353)))</formula>
    </cfRule>
  </conditionalFormatting>
  <conditionalFormatting sqref="D353">
    <cfRule type="duplicateValues" dxfId="1981" priority="1110" stopIfTrue="1"/>
    <cfRule type="duplicateValues" dxfId="1980" priority="1113" stopIfTrue="1"/>
    <cfRule type="duplicateValues" dxfId="1979" priority="1115" stopIfTrue="1"/>
    <cfRule type="duplicateValues" dxfId="760" priority="1116" stopIfTrue="1"/>
    <cfRule type="duplicateValues" dxfId="759" priority="1118" stopIfTrue="1"/>
    <cfRule type="duplicateValues" dxfId="758" priority="1119" stopIfTrue="1"/>
    <cfRule type="duplicateValues" dxfId="757" priority="1120" stopIfTrue="1"/>
    <cfRule type="duplicateValues" dxfId="756" priority="1121" stopIfTrue="1"/>
    <cfRule type="duplicateValues" dxfId="755" priority="1122" stopIfTrue="1"/>
    <cfRule type="duplicateValues" dxfId="754" priority="1123" stopIfTrue="1"/>
  </conditionalFormatting>
  <conditionalFormatting sqref="E353">
    <cfRule type="duplicateValues" dxfId="1978" priority="1105" stopIfTrue="1"/>
    <cfRule type="duplicateValues" dxfId="1977" priority="1106" stopIfTrue="1"/>
    <cfRule type="duplicateValues" dxfId="1976" priority="1107" stopIfTrue="1"/>
    <cfRule type="duplicateValues" dxfId="753" priority="1108" stopIfTrue="1"/>
    <cfRule type="duplicateValues" dxfId="752" priority="1114" stopIfTrue="1"/>
  </conditionalFormatting>
  <conditionalFormatting sqref="F353">
    <cfRule type="duplicateValues" dxfId="1975" priority="1109" stopIfTrue="1"/>
    <cfRule type="duplicateValues" dxfId="1974" priority="1111" stopIfTrue="1"/>
    <cfRule type="duplicateValues" dxfId="1973" priority="1112" stopIfTrue="1"/>
    <cfRule type="duplicateValues" dxfId="751" priority="1117" stopIfTrue="1"/>
  </conditionalFormatting>
  <conditionalFormatting sqref="D354">
    <cfRule type="duplicateValues" dxfId="1972" priority="1579" stopIfTrue="1"/>
    <cfRule type="duplicateValues" dxfId="1971" priority="1580" stopIfTrue="1"/>
    <cfRule type="duplicateValues" dxfId="1970" priority="1581" stopIfTrue="1"/>
    <cfRule type="duplicateValues" dxfId="750" priority="1582" stopIfTrue="1"/>
    <cfRule type="duplicateValues" dxfId="749" priority="1583" stopIfTrue="1"/>
    <cfRule type="expression" dxfId="748" priority="1584" stopIfTrue="1">
      <formula>AND(COUNTIF($D$4:$D$65536,D354)+COUNTIF($D$1:$D$2,D354)&gt;1,NOT(ISBLANK(D354)))</formula>
    </cfRule>
    <cfRule type="expression" dxfId="747" priority="1585" stopIfTrue="1">
      <formula>AND(COUNTIF($D$4:$D$65536,D354)+COUNTIF($D$1:$D$2,D354)&gt;1,NOT(ISBLANK(D354)))</formula>
    </cfRule>
    <cfRule type="expression" dxfId="746" priority="1586" stopIfTrue="1">
      <formula>AND(COUNTIF($D$4:$D$65536,D354)+COUNTIF($D$1:$D$2,D354)&gt;1,NOT(ISBLANK(D354)))</formula>
    </cfRule>
    <cfRule type="expression" dxfId="745" priority="1587" stopIfTrue="1">
      <formula>AND(COUNTIF($D$8:$D$9,D354)+COUNTIF($D$1:$D$2,D354)+COUNTIF($D$11:$D$26,D354)+COUNTIF($D$28:$D$65536,D354)+COUNTIF($D$4:$D$4,D354)&gt;1,NOT(ISBLANK(D354)))</formula>
    </cfRule>
    <cfRule type="expression" dxfId="744" priority="1588" stopIfTrue="1">
      <formula>AND(COUNTIF($D$8:$D$9,D354)+COUNTIF($D$1:$D$2,D354)+COUNTIF($D$11:$D$26,D354)+COUNTIF($D$28:$D$65536,D354)+COUNTIF($D$4:$D$4,D354)&gt;1,NOT(ISBLANK(D354)))</formula>
    </cfRule>
    <cfRule type="expression" dxfId="743" priority="1589" stopIfTrue="1">
      <formula>AND(COUNTIF($D$8:$D$9,D354)+COUNTIF($D$1:$D$2,D354)+COUNTIF($D$11:$D$26,D354)+COUNTIF($D$28:$D$65536,D354)+COUNTIF($D$4:$D$4,D354)&gt;1,NOT(ISBLANK(D354)))</formula>
    </cfRule>
    <cfRule type="expression" dxfId="742" priority="1590" stopIfTrue="1">
      <formula>AND(COUNTIF($D$134:$D$142,D354)+COUNTIF($D$144:$D$65536,D354)+COUNTIF($D$1:$D$2,D354)+COUNTIF($D$8:$D$9,D354)+COUNTIF($D$11:$D$26,D354)+COUNTIF($D$28:$D$132,D354)+COUNTIF($D$4:$D$4,D354)&gt;1,NOT(ISBLANK(D354)))</formula>
    </cfRule>
    <cfRule type="expression" dxfId="741" priority="1591" stopIfTrue="1">
      <formula>AND(COUNTIF($D$1:$D$350,D354)+COUNTIF($D$352:$D$372,D354)+COUNTIF($D$374:$D$65536,D354)&gt;1,NOT(ISBLANK(D354)))</formula>
    </cfRule>
    <cfRule type="expression" dxfId="740" priority="1592" stopIfTrue="1">
      <formula>AND(COUNTIF($D$1:$D$350,D354)+COUNTIF($D$352:$D$372,D354)+COUNTIF($D$374:$D$65536,D354)&gt;1,NOT(ISBLANK(D354)))</formula>
    </cfRule>
    <cfRule type="duplicateValues" dxfId="739" priority="1593" stopIfTrue="1"/>
    <cfRule type="duplicateValues" dxfId="738" priority="1594" stopIfTrue="1"/>
    <cfRule type="duplicateValues" dxfId="737" priority="1595" stopIfTrue="1"/>
    <cfRule type="duplicateValues" dxfId="736" priority="1596" stopIfTrue="1"/>
  </conditionalFormatting>
  <conditionalFormatting sqref="E354">
    <cfRule type="duplicateValues" dxfId="1969" priority="1833" stopIfTrue="1"/>
    <cfRule type="expression" dxfId="1968" priority="1834" stopIfTrue="1">
      <formula>AND(COUNTIF($E$4:$E$65536,E354)+COUNTIF($E$1:$E$2,E354)&gt;1,NOT(ISBLANK(E354)))</formula>
    </cfRule>
    <cfRule type="expression" dxfId="1967" priority="1835" stopIfTrue="1">
      <formula>AND(COUNTIF($E$4:$E$65536,E354)+COUNTIF($E$1:$E$2,E354)&gt;1,NOT(ISBLANK(E354)))</formula>
    </cfRule>
    <cfRule type="expression" dxfId="735" priority="1836" stopIfTrue="1">
      <formula>AND(COUNTIF($E$486:$E$65536,E354)+COUNTIF($E$1:$E$2,E354)+COUNTIF($E$134:$E$142,E354)+COUNTIF($E$144:$E$483,E354)+COUNTIF($E$8:$E$9,E354)+COUNTIF($E$11:$E$26,E354)+COUNTIF($E$28:$E$132,E354)+COUNTIF($E$4:$E$4,E354)&gt;1,NOT(ISBLANK(E354)))</formula>
    </cfRule>
    <cfRule type="expression" dxfId="734" priority="1837" stopIfTrue="1">
      <formula>AND(COUNTIF($E$134:$E$142,E354)+COUNTIF($E$1:$E$2,E354)+COUNTIF($E$144:$E$65536,E354)+COUNTIF($E$8:$E$9,E354)+COUNTIF($E$11:$E$26,E354)+COUNTIF($E$28:$E$132,E354)+COUNTIF($E$4:$E$4,E354)&gt;1,NOT(ISBLANK(E354)))</formula>
    </cfRule>
    <cfRule type="expression" dxfId="733" priority="1838" stopIfTrue="1">
      <formula>AND(COUNTIF($E$8:$E$9,E354)+COUNTIF($E$1:$E$2,E354)+COUNTIF($E$11:$E$26,E354)+COUNTIF($E$28:$E$65536,E354)+COUNTIF($E$4:$E$4,E354)&gt;1,NOT(ISBLANK(E354)))</formula>
    </cfRule>
  </conditionalFormatting>
  <conditionalFormatting sqref="F354">
    <cfRule type="duplicateValues" dxfId="1966" priority="1839" stopIfTrue="1"/>
    <cfRule type="duplicateValues" dxfId="1965" priority="1840" stopIfTrue="1"/>
    <cfRule type="expression" dxfId="1964" priority="1841" stopIfTrue="1">
      <formula>AND(COUNTIF($F$4:$F$65536,F354)+COUNTIF($F$1:$F$2,F354)&gt;1,NOT(ISBLANK(F354)))</formula>
    </cfRule>
    <cfRule type="expression" dxfId="732" priority="1842" stopIfTrue="1">
      <formula>AND(COUNTIF($F$4:$F$65536,F354)+COUNTIF($F$1:$F$2,F354)&gt;1,NOT(ISBLANK(F354)))</formula>
    </cfRule>
    <cfRule type="expression" dxfId="731" priority="1843" stopIfTrue="1">
      <formula>AND(COUNTIF($F$8:$F$9,F354)+COUNTIF($F$1:$F$2,F354)+COUNTIF($F$11:$F$26,F354)+COUNTIF($F$28:$F$65536,F354)+COUNTIF($F$4:$F$4,F354)&gt;1,NOT(ISBLANK(F354)))</formula>
    </cfRule>
    <cfRule type="expression" dxfId="730" priority="1844" stopIfTrue="1">
      <formula>AND(COUNTIF($F$8:$F$9,F354)+COUNTIF($F$1:$F$2,F354)+COUNTIF($F$11:$F$26,F354)+COUNTIF($F$28:$F$65536,F354)+COUNTIF($F$4:$F$4,F354)&gt;1,NOT(ISBLANK(F354)))</formula>
    </cfRule>
    <cfRule type="expression" dxfId="729" priority="1845" stopIfTrue="1">
      <formula>AND(COUNTIF($F$8:$F$9,F354)+COUNTIF($F$1:$F$2,F354)+COUNTIF($F$11:$F$26,F354)+COUNTIF($F$28:$F$65536,F354)+COUNTIF($F$4:$F$4,F354)&gt;1,NOT(ISBLANK(F354)))</formula>
    </cfRule>
    <cfRule type="expression" dxfId="728" priority="1846" stopIfTrue="1">
      <formula>AND(COUNTIF($F$486:$F$65536,F354)+COUNTIF($F$1:$F$2,F354)+COUNTIF($F$134:$F$142,F354)+COUNTIF($F$144:$F$483,F354)+COUNTIF($F$8:$F$9,F354)+COUNTIF($F$11:$F$26,F354)+COUNTIF($F$28:$F$132,F354)+COUNTIF($F$4:$F$4,F354)&gt;1,NOT(ISBLANK(F354)))</formula>
    </cfRule>
    <cfRule type="expression" dxfId="727" priority="1847" stopIfTrue="1">
      <formula>AND(COUNTIF($F$486:$F$65536,F354)+COUNTIF($F$1:$F$2,F354)+COUNTIF($F$134:$F$142,F354)+COUNTIF($F$144:$F$483,F354)+COUNTIF($F$8:$F$9,F354)+COUNTIF($F$11:$F$26,F354)+COUNTIF($F$28:$F$132,F354)+COUNTIF($F$4:$F$4,F354)&gt;1,NOT(ISBLANK(F354)))</formula>
    </cfRule>
    <cfRule type="expression" dxfId="726" priority="1848" stopIfTrue="1">
      <formula>AND(COUNTIF($F$486:$F$65536,F354)+COUNTIF($F$1:$F$2,F354)+COUNTIF($F$134:$F$142,F354)+COUNTIF($F$144:$F$483,F354)+COUNTIF($F$8:$F$9,F354)+COUNTIF($F$11:$F$26,F354)+COUNTIF($F$28:$F$132,F354)+COUNTIF($F$4:$F$4,F354)&gt;1,NOT(ISBLANK(F354)))</formula>
    </cfRule>
    <cfRule type="expression" dxfId="725" priority="1849" stopIfTrue="1">
      <formula>AND(COUNTIF($F$134:$F$142,F354)+COUNTIF($F$1:$F$2,F354)+COUNTIF($F$144:$F$65536,F354)+COUNTIF($F$8:$F$9,F354)+COUNTIF($F$11:$F$26,F354)+COUNTIF($F$28:$F$132,F354)+COUNTIF($F$4:$F$4,F354)&gt;1,NOT(ISBLANK(F354)))</formula>
    </cfRule>
    <cfRule type="expression" dxfId="724" priority="1850" stopIfTrue="1">
      <formula>AND(COUNTIF($F$134:$F$142,F354)+COUNTIF($F$1:$F$2,F354)+COUNTIF($F$144:$F$65536,F354)+COUNTIF($F$8:$F$9,F354)+COUNTIF($F$11:$F$26,F354)+COUNTIF($F$28:$F$132,F354)+COUNTIF($F$4:$F$4,F354)&gt;1,NOT(ISBLANK(F354)))</formula>
    </cfRule>
    <cfRule type="expression" dxfId="723" priority="1851" stopIfTrue="1">
      <formula>AND(COUNTIF($F$134:$F$142,F354)+COUNTIF($F$1:$F$2,F354)+COUNTIF($F$144:$F$65536,F354)+COUNTIF($F$8:$F$9,F354)+COUNTIF($F$11:$F$26,F354)+COUNTIF($F$28:$F$132,F354)+COUNTIF($F$4:$F$4,F354)&gt;1,NOT(ISBLANK(F354)))</formula>
    </cfRule>
  </conditionalFormatting>
  <conditionalFormatting sqref="B356">
    <cfRule type="expression" dxfId="1963" priority="352" stopIfTrue="1">
      <formula>AND(COUNTIF($C$134:$F$142,B356)+COUNTIF($C$144:$F$65536,B356)+COUNTIF($C$8:$F$9,B356)+COUNTIF($C$11:$F$26,B356)+COUNTIF($C$28:$F$132,B356)+COUNTIF($C$4:$F$4,B356)+COUNTIF($C$1:$F$2,B356)&gt;1,NOT(ISBLANK(B356)))</formula>
    </cfRule>
    <cfRule type="expression" dxfId="1962" priority="353" stopIfTrue="1">
      <formula>AND(COUNTIF($C$4:$C$65536,B356)+COUNTIF($C$1:$C$2,B356)&gt;1,NOT(ISBLANK(B356)))</formula>
    </cfRule>
  </conditionalFormatting>
  <conditionalFormatting sqref="D364">
    <cfRule type="duplicateValues" dxfId="1961" priority="1321" stopIfTrue="1"/>
    <cfRule type="duplicateValues" dxfId="1960" priority="1322" stopIfTrue="1"/>
  </conditionalFormatting>
  <conditionalFormatting sqref="D365">
    <cfRule type="duplicateValues" dxfId="1959" priority="1129" stopIfTrue="1"/>
    <cfRule type="duplicateValues" dxfId="1958" priority="1132" stopIfTrue="1"/>
    <cfRule type="duplicateValues" dxfId="1957" priority="1134" stopIfTrue="1"/>
    <cfRule type="duplicateValues" dxfId="722" priority="1135" stopIfTrue="1"/>
    <cfRule type="duplicateValues" dxfId="721" priority="1137" stopIfTrue="1"/>
    <cfRule type="duplicateValues" dxfId="720" priority="1138" stopIfTrue="1"/>
    <cfRule type="duplicateValues" dxfId="719" priority="1139" stopIfTrue="1"/>
    <cfRule type="duplicateValues" dxfId="718" priority="1140" stopIfTrue="1"/>
    <cfRule type="duplicateValues" dxfId="717" priority="1141" stopIfTrue="1"/>
    <cfRule type="duplicateValues" dxfId="716" priority="1142" stopIfTrue="1"/>
  </conditionalFormatting>
  <conditionalFormatting sqref="E365">
    <cfRule type="duplicateValues" dxfId="1956" priority="1124" stopIfTrue="1"/>
    <cfRule type="duplicateValues" dxfId="1955" priority="1125" stopIfTrue="1"/>
    <cfRule type="duplicateValues" dxfId="1954" priority="1126" stopIfTrue="1"/>
    <cfRule type="duplicateValues" dxfId="715" priority="1127" stopIfTrue="1"/>
    <cfRule type="duplicateValues" dxfId="714" priority="1133" stopIfTrue="1"/>
  </conditionalFormatting>
  <conditionalFormatting sqref="F365">
    <cfRule type="duplicateValues" dxfId="1953" priority="1128" stopIfTrue="1"/>
    <cfRule type="duplicateValues" dxfId="1952" priority="1130" stopIfTrue="1"/>
    <cfRule type="duplicateValues" dxfId="1951" priority="1131" stopIfTrue="1"/>
    <cfRule type="duplicateValues" dxfId="713" priority="1136" stopIfTrue="1"/>
  </conditionalFormatting>
  <conditionalFormatting sqref="B385">
    <cfRule type="expression" dxfId="1950" priority="338" stopIfTrue="1">
      <formula>AND(COUNTIF($C$134:$F$142,B385)+COUNTIF($C$144:$F$65536,B385)+COUNTIF($C$8:$F$9,B385)+COUNTIF($C$11:$F$26,B385)+COUNTIF($C$28:$F$132,B385)+COUNTIF($C$4:$F$4,B385)+COUNTIF($C$1:$F$2,B385)&gt;1,NOT(ISBLANK(B385)))</formula>
    </cfRule>
    <cfRule type="expression" dxfId="1949" priority="339" stopIfTrue="1">
      <formula>AND(COUNTIF($C$4:$C$65536,B385)+COUNTIF($C$1:$C$2,B385)&gt;1,NOT(ISBLANK(B385)))</formula>
    </cfRule>
  </conditionalFormatting>
  <conditionalFormatting sqref="D386">
    <cfRule type="duplicateValues" dxfId="1948" priority="1319" stopIfTrue="1"/>
    <cfRule type="duplicateValues" dxfId="1947" priority="1320" stopIfTrue="1"/>
  </conditionalFormatting>
  <conditionalFormatting sqref="B387">
    <cfRule type="expression" dxfId="1946" priority="336" stopIfTrue="1">
      <formula>AND(COUNTIF($C$134:$F$142,B387)+COUNTIF($C$144:$F$65536,B387)+COUNTIF($C$8:$F$9,B387)+COUNTIF($C$11:$F$26,B387)+COUNTIF($C$28:$F$132,B387)+COUNTIF($C$4:$F$4,B387)+COUNTIF($C$1:$F$2,B387)&gt;1,NOT(ISBLANK(B387)))</formula>
    </cfRule>
    <cfRule type="expression" dxfId="1945" priority="337" stopIfTrue="1">
      <formula>AND(COUNTIF($C$4:$C$65536,B387)+COUNTIF($C$1:$C$2,B387)&gt;1,NOT(ISBLANK(B387)))</formula>
    </cfRule>
  </conditionalFormatting>
  <conditionalFormatting sqref="B393:F393">
    <cfRule type="duplicateValues" dxfId="1944" priority="1330" stopIfTrue="1"/>
    <cfRule type="duplicateValues" dxfId="1943" priority="1331" stopIfTrue="1"/>
    <cfRule type="duplicateValues" dxfId="1942" priority="1334" stopIfTrue="1"/>
    <cfRule type="duplicateValues" dxfId="712" priority="1343" stopIfTrue="1"/>
  </conditionalFormatting>
  <conditionalFormatting sqref="C393:F393">
    <cfRule type="duplicateValues" dxfId="1941" priority="1325" stopIfTrue="1"/>
  </conditionalFormatting>
  <conditionalFormatting sqref="D393">
    <cfRule type="duplicateValues" dxfId="1940" priority="1324" stopIfTrue="1"/>
    <cfRule type="duplicateValues" dxfId="1939" priority="1328" stopIfTrue="1"/>
  </conditionalFormatting>
  <conditionalFormatting sqref="E393">
    <cfRule type="duplicateValues" dxfId="1938" priority="1327" stopIfTrue="1"/>
    <cfRule type="duplicateValues" dxfId="1937" priority="1335" stopIfTrue="1"/>
  </conditionalFormatting>
  <conditionalFormatting sqref="F393">
    <cfRule type="duplicateValues" dxfId="1936" priority="1326" stopIfTrue="1"/>
    <cfRule type="duplicateValues" dxfId="1935" priority="1329" stopIfTrue="1"/>
    <cfRule type="duplicateValues" dxfId="1934" priority="1332" stopIfTrue="1"/>
    <cfRule type="duplicateValues" dxfId="711" priority="1333" stopIfTrue="1"/>
    <cfRule type="duplicateValues" dxfId="710" priority="1336" stopIfTrue="1"/>
    <cfRule type="duplicateValues" dxfId="709" priority="1337" stopIfTrue="1"/>
    <cfRule type="duplicateValues" dxfId="708" priority="1338" stopIfTrue="1"/>
    <cfRule type="duplicateValues" dxfId="707" priority="1339"/>
    <cfRule type="duplicateValues" dxfId="706" priority="1340" stopIfTrue="1"/>
    <cfRule type="duplicateValues" dxfId="705" priority="1341" stopIfTrue="1"/>
    <cfRule type="duplicateValues" dxfId="704" priority="1342" stopIfTrue="1"/>
    <cfRule type="duplicateValues" dxfId="703" priority="1344" stopIfTrue="1"/>
  </conditionalFormatting>
  <conditionalFormatting sqref="D394">
    <cfRule type="duplicateValues" dxfId="1933" priority="1631" stopIfTrue="1"/>
    <cfRule type="duplicateValues" dxfId="1932" priority="1632" stopIfTrue="1"/>
    <cfRule type="duplicateValues" dxfId="1931" priority="1633" stopIfTrue="1"/>
    <cfRule type="duplicateValues" dxfId="702" priority="1634" stopIfTrue="1"/>
    <cfRule type="expression" dxfId="701" priority="1635" stopIfTrue="1">
      <formula>AND(COUNTIF($D$4:$D$65536,D394)+COUNTIF($D$1:$D$2,D394)&gt;1,NOT(ISBLANK(D394)))</formula>
    </cfRule>
    <cfRule type="expression" dxfId="700" priority="1636" stopIfTrue="1">
      <formula>AND(COUNTIF($D$4:$D$65536,D394)+COUNTIF($D$1:$D$2,D394)&gt;1,NOT(ISBLANK(D394)))</formula>
    </cfRule>
    <cfRule type="expression" dxfId="699" priority="1637" stopIfTrue="1">
      <formula>AND(COUNTIF($D$4:$D$65536,D394)+COUNTIF($D$1:$D$2,D394)&gt;1,NOT(ISBLANK(D394)))</formula>
    </cfRule>
    <cfRule type="expression" dxfId="698" priority="1638" stopIfTrue="1">
      <formula>AND(COUNTIF($D$8:$D$9,D394)+COUNTIF($D$1:$D$2,D394)+COUNTIF($D$11:$D$26,D394)+COUNTIF($D$28:$D$65536,D394)+COUNTIF($D$4:$D$4,D394)&gt;1,NOT(ISBLANK(D394)))</formula>
    </cfRule>
    <cfRule type="expression" dxfId="697" priority="1639" stopIfTrue="1">
      <formula>AND(COUNTIF($D$8:$D$9,D394)+COUNTIF($D$1:$D$2,D394)+COUNTIF($D$11:$D$26,D394)+COUNTIF($D$28:$D$65536,D394)+COUNTIF($D$4:$D$4,D394)&gt;1,NOT(ISBLANK(D394)))</formula>
    </cfRule>
    <cfRule type="expression" dxfId="696" priority="1640" stopIfTrue="1">
      <formula>AND(COUNTIF($D$8:$D$9,D394)+COUNTIF($D$1:$D$2,D394)+COUNTIF($D$11:$D$26,D394)+COUNTIF($D$28:$D$65536,D394)+COUNTIF($D$4:$D$4,D394)&gt;1,NOT(ISBLANK(D394)))</formula>
    </cfRule>
    <cfRule type="expression" dxfId="695" priority="1641" stopIfTrue="1">
      <formula>AND(COUNTIF($D$134:$D$142,D394)+COUNTIF($D$144:$D$65536,D394)+COUNTIF($D$1:$D$2,D394)+COUNTIF($D$8:$D$9,D394)+COUNTIF($D$11:$D$26,D394)+COUNTIF($D$28:$D$132,D394)+COUNTIF($D$4:$D$4,D394)&gt;1,NOT(ISBLANK(D394)))</formula>
    </cfRule>
    <cfRule type="expression" dxfId="694" priority="1642" stopIfTrue="1">
      <formula>AND(COUNTIF($D$1:$D$350,D394)+COUNTIF($D$352:$D$372,D394)+COUNTIF($D$374:$D$65536,D394)&gt;1,NOT(ISBLANK(D394)))</formula>
    </cfRule>
    <cfRule type="expression" dxfId="693" priority="1643" stopIfTrue="1">
      <formula>AND(COUNTIF($D$1:$D$350,D394)+COUNTIF($D$352:$D$372,D394)+COUNTIF($D$374:$D$65536,D394)&gt;1,NOT(ISBLANK(D394)))</formula>
    </cfRule>
    <cfRule type="duplicateValues" dxfId="692" priority="1644" stopIfTrue="1"/>
    <cfRule type="duplicateValues" dxfId="691" priority="1645" stopIfTrue="1"/>
    <cfRule type="duplicateValues" dxfId="690" priority="1646" stopIfTrue="1"/>
    <cfRule type="duplicateValues" dxfId="689" priority="1647" stopIfTrue="1"/>
  </conditionalFormatting>
  <conditionalFormatting sqref="F394">
    <cfRule type="duplicateValues" dxfId="1930" priority="1797" stopIfTrue="1"/>
    <cfRule type="expression" dxfId="1929" priority="1798" stopIfTrue="1">
      <formula>AND(COUNTIF($F$4:$F$65536,F394)+COUNTIF($F$1:$F$2,F394)&gt;1,NOT(ISBLANK(F394)))</formula>
    </cfRule>
    <cfRule type="expression" dxfId="1928" priority="1799" stopIfTrue="1">
      <formula>AND(COUNTIF($F$4:$F$65536,F394)+COUNTIF($F$1:$F$2,F394)&gt;1,NOT(ISBLANK(F394)))</formula>
    </cfRule>
    <cfRule type="expression" dxfId="688" priority="1800" stopIfTrue="1">
      <formula>AND(COUNTIF($F$8:$F$9,F394)+COUNTIF($F$1:$F$2,F394)+COUNTIF($F$11:$F$26,F394)+COUNTIF($F$28:$F$65536,F394)+COUNTIF($F$4:$F$4,F394)&gt;1,NOT(ISBLANK(F394)))</formula>
    </cfRule>
    <cfRule type="expression" dxfId="687" priority="1801" stopIfTrue="1">
      <formula>AND(COUNTIF($F$8:$F$9,F394)+COUNTIF($F$1:$F$2,F394)+COUNTIF($F$11:$F$26,F394)+COUNTIF($F$28:$F$65536,F394)+COUNTIF($F$4:$F$4,F394)&gt;1,NOT(ISBLANK(F394)))</formula>
    </cfRule>
    <cfRule type="expression" dxfId="686" priority="1802" stopIfTrue="1">
      <formula>AND(COUNTIF($F$8:$F$9,F394)+COUNTIF($F$1:$F$2,F394)+COUNTIF($F$11:$F$26,F394)+COUNTIF($F$28:$F$65536,F394)+COUNTIF($F$4:$F$4,F394)&gt;1,NOT(ISBLANK(F394)))</formula>
    </cfRule>
    <cfRule type="expression" dxfId="685" priority="1803" stopIfTrue="1">
      <formula>AND(COUNTIF($F$486:$F$65536,F394)+COUNTIF($F$1:$F$2,F394)+COUNTIF($F$134:$F$142,F394)+COUNTIF($F$144:$F$483,F394)+COUNTIF($F$8:$F$9,F394)+COUNTIF($F$11:$F$26,F394)+COUNTIF($F$28:$F$132,F394)+COUNTIF($F$4:$F$4,F394)&gt;1,NOT(ISBLANK(F394)))</formula>
    </cfRule>
    <cfRule type="expression" dxfId="684" priority="1804" stopIfTrue="1">
      <formula>AND(COUNTIF($F$486:$F$65536,F394)+COUNTIF($F$1:$F$2,F394)+COUNTIF($F$134:$F$142,F394)+COUNTIF($F$144:$F$483,F394)+COUNTIF($F$8:$F$9,F394)+COUNTIF($F$11:$F$26,F394)+COUNTIF($F$28:$F$132,F394)+COUNTIF($F$4:$F$4,F394)&gt;1,NOT(ISBLANK(F394)))</formula>
    </cfRule>
    <cfRule type="expression" dxfId="683" priority="1805" stopIfTrue="1">
      <formula>AND(COUNTIF($F$486:$F$65536,F394)+COUNTIF($F$1:$F$2,F394)+COUNTIF($F$134:$F$142,F394)+COUNTIF($F$144:$F$483,F394)+COUNTIF($F$8:$F$9,F394)+COUNTIF($F$11:$F$26,F394)+COUNTIF($F$28:$F$132,F394)+COUNTIF($F$4:$F$4,F394)&gt;1,NOT(ISBLANK(F394)))</formula>
    </cfRule>
    <cfRule type="expression" dxfId="682" priority="1806" stopIfTrue="1">
      <formula>AND(COUNTIF($F$134:$F$142,F394)+COUNTIF($F$1:$F$2,F394)+COUNTIF($F$144:$F$65536,F394)+COUNTIF($F$8:$F$9,F394)+COUNTIF($F$11:$F$26,F394)+COUNTIF($F$28:$F$132,F394)+COUNTIF($F$4:$F$4,F394)&gt;1,NOT(ISBLANK(F394)))</formula>
    </cfRule>
    <cfRule type="expression" dxfId="681" priority="1807" stopIfTrue="1">
      <formula>AND(COUNTIF($F$134:$F$142,F394)+COUNTIF($F$1:$F$2,F394)+COUNTIF($F$144:$F$65536,F394)+COUNTIF($F$8:$F$9,F394)+COUNTIF($F$11:$F$26,F394)+COUNTIF($F$28:$F$132,F394)+COUNTIF($F$4:$F$4,F394)&gt;1,NOT(ISBLANK(F394)))</formula>
    </cfRule>
    <cfRule type="expression" dxfId="680" priority="1808" stopIfTrue="1">
      <formula>AND(COUNTIF($F$134:$F$142,F394)+COUNTIF($F$1:$F$2,F394)+COUNTIF($F$144:$F$65536,F394)+COUNTIF($F$8:$F$9,F394)+COUNTIF($F$11:$F$26,F394)+COUNTIF($F$28:$F$132,F394)+COUNTIF($F$4:$F$4,F394)&gt;1,NOT(ISBLANK(F394)))</formula>
    </cfRule>
  </conditionalFormatting>
  <conditionalFormatting sqref="D396">
    <cfRule type="duplicateValues" dxfId="1927" priority="1346" stopIfTrue="1"/>
  </conditionalFormatting>
  <conditionalFormatting sqref="B397">
    <cfRule type="expression" dxfId="1926" priority="330" stopIfTrue="1">
      <formula>AND(COUNTIF($C$134:$F$142,B397)+COUNTIF($C$144:$F$65536,B397)+COUNTIF($C$8:$F$9,B397)+COUNTIF($C$11:$F$26,B397)+COUNTIF($C$28:$F$132,B397)+COUNTIF($C$4:$F$4,B397)+COUNTIF($C$1:$F$2,B397)&gt;1,NOT(ISBLANK(B397)))</formula>
    </cfRule>
    <cfRule type="expression" dxfId="1925" priority="331" stopIfTrue="1">
      <formula>AND(COUNTIF($C$4:$C$65536,B397)+COUNTIF($C$1:$C$2,B397)&gt;1,NOT(ISBLANK(B397)))</formula>
    </cfRule>
  </conditionalFormatting>
  <conditionalFormatting sqref="D397">
    <cfRule type="duplicateValues" dxfId="1924" priority="1347" stopIfTrue="1"/>
  </conditionalFormatting>
  <conditionalFormatting sqref="D398">
    <cfRule type="duplicateValues" dxfId="1923" priority="1348" stopIfTrue="1"/>
  </conditionalFormatting>
  <conditionalFormatting sqref="B399">
    <cfRule type="expression" dxfId="1922" priority="328" stopIfTrue="1">
      <formula>AND(COUNTIF($C$134:$F$142,B399)+COUNTIF($C$144:$F$65536,B399)+COUNTIF($C$8:$F$9,B399)+COUNTIF($C$11:$F$26,B399)+COUNTIF($C$28:$F$132,B399)+COUNTIF($C$4:$F$4,B399)+COUNTIF($C$1:$F$2,B399)&gt;1,NOT(ISBLANK(B399)))</formula>
    </cfRule>
    <cfRule type="expression" dxfId="1921" priority="329" stopIfTrue="1">
      <formula>AND(COUNTIF($C$4:$C$65536,B399)+COUNTIF($C$1:$C$2,B399)&gt;1,NOT(ISBLANK(B399)))</formula>
    </cfRule>
  </conditionalFormatting>
  <conditionalFormatting sqref="D400">
    <cfRule type="duplicateValues" dxfId="1920" priority="1349" stopIfTrue="1"/>
  </conditionalFormatting>
  <conditionalFormatting sqref="D401">
    <cfRule type="duplicateValues" dxfId="1919" priority="1350" stopIfTrue="1"/>
  </conditionalFormatting>
  <conditionalFormatting sqref="D402">
    <cfRule type="duplicateValues" dxfId="1918" priority="1351" stopIfTrue="1"/>
  </conditionalFormatting>
  <conditionalFormatting sqref="B403">
    <cfRule type="expression" dxfId="1917" priority="326" stopIfTrue="1">
      <formula>AND(COUNTIF($C$134:$F$142,B403)+COUNTIF($C$144:$F$65536,B403)+COUNTIF($C$8:$F$9,B403)+COUNTIF($C$11:$F$26,B403)+COUNTIF($C$28:$F$132,B403)+COUNTIF($C$4:$F$4,B403)+COUNTIF($C$1:$F$2,B403)&gt;1,NOT(ISBLANK(B403)))</formula>
    </cfRule>
    <cfRule type="expression" dxfId="1916" priority="327" stopIfTrue="1">
      <formula>AND(COUNTIF($C$4:$C$65536,B403)+COUNTIF($C$1:$C$2,B403)&gt;1,NOT(ISBLANK(B403)))</formula>
    </cfRule>
  </conditionalFormatting>
  <conditionalFormatting sqref="D403">
    <cfRule type="duplicateValues" dxfId="1915" priority="1352" stopIfTrue="1"/>
  </conditionalFormatting>
  <conditionalFormatting sqref="D404">
    <cfRule type="duplicateValues" dxfId="1914" priority="1353" stopIfTrue="1"/>
  </conditionalFormatting>
  <conditionalFormatting sqref="B405">
    <cfRule type="expression" dxfId="1913" priority="324" stopIfTrue="1">
      <formula>AND(COUNTIF($C$134:$F$142,B405)+COUNTIF($C$144:$F$65536,B405)+COUNTIF($C$8:$F$9,B405)+COUNTIF($C$11:$F$26,B405)+COUNTIF($C$28:$F$132,B405)+COUNTIF($C$4:$F$4,B405)+COUNTIF($C$1:$F$2,B405)&gt;1,NOT(ISBLANK(B405)))</formula>
    </cfRule>
    <cfRule type="expression" dxfId="1912" priority="325" stopIfTrue="1">
      <formula>AND(COUNTIF($C$4:$C$65536,B405)+COUNTIF($C$1:$C$2,B405)&gt;1,NOT(ISBLANK(B405)))</formula>
    </cfRule>
  </conditionalFormatting>
  <conditionalFormatting sqref="D405">
    <cfRule type="duplicateValues" dxfId="1911" priority="1354" stopIfTrue="1"/>
  </conditionalFormatting>
  <conditionalFormatting sqref="D406">
    <cfRule type="duplicateValues" dxfId="1910" priority="1355" stopIfTrue="1"/>
  </conditionalFormatting>
  <conditionalFormatting sqref="B407">
    <cfRule type="expression" dxfId="1909" priority="322" stopIfTrue="1">
      <formula>AND(COUNTIF($C$134:$F$142,B407)+COUNTIF($C$144:$F$65536,B407)+COUNTIF($C$8:$F$9,B407)+COUNTIF($C$11:$F$26,B407)+COUNTIF($C$28:$F$132,B407)+COUNTIF($C$4:$F$4,B407)+COUNTIF($C$1:$F$2,B407)&gt;1,NOT(ISBLANK(B407)))</formula>
    </cfRule>
    <cfRule type="expression" dxfId="1908" priority="323" stopIfTrue="1">
      <formula>AND(COUNTIF($C$4:$C$65536,B407)+COUNTIF($C$1:$C$2,B407)&gt;1,NOT(ISBLANK(B407)))</formula>
    </cfRule>
  </conditionalFormatting>
  <conditionalFormatting sqref="D407">
    <cfRule type="duplicateValues" dxfId="1907" priority="1356" stopIfTrue="1"/>
  </conditionalFormatting>
  <conditionalFormatting sqref="B409">
    <cfRule type="expression" dxfId="1906" priority="320" stopIfTrue="1">
      <formula>AND(COUNTIF($C$134:$F$142,B409)+COUNTIF($C$144:$F$65536,B409)+COUNTIF($C$8:$F$9,B409)+COUNTIF($C$11:$F$26,B409)+COUNTIF($C$28:$F$132,B409)+COUNTIF($C$4:$F$4,B409)+COUNTIF($C$1:$F$2,B409)&gt;1,NOT(ISBLANK(B409)))</formula>
    </cfRule>
    <cfRule type="expression" dxfId="1905" priority="321" stopIfTrue="1">
      <formula>AND(COUNTIF($C$4:$C$65536,B409)+COUNTIF($C$1:$C$2,B409)&gt;1,NOT(ISBLANK(B409)))</formula>
    </cfRule>
  </conditionalFormatting>
  <conditionalFormatting sqref="D410">
    <cfRule type="duplicateValues" dxfId="1904" priority="1196" stopIfTrue="1"/>
    <cfRule type="duplicateValues" dxfId="1903" priority="1198" stopIfTrue="1"/>
    <cfRule type="duplicateValues" dxfId="1902" priority="1199" stopIfTrue="1"/>
    <cfRule type="duplicateValues" dxfId="679" priority="1201" stopIfTrue="1"/>
    <cfRule type="duplicateValues" dxfId="678" priority="1202" stopIfTrue="1"/>
    <cfRule type="duplicateValues" dxfId="677" priority="1203" stopIfTrue="1"/>
    <cfRule type="duplicateValues" dxfId="676" priority="1204" stopIfTrue="1"/>
    <cfRule type="duplicateValues" dxfId="675" priority="1205" stopIfTrue="1"/>
    <cfRule type="duplicateValues" dxfId="674" priority="1206" stopIfTrue="1"/>
    <cfRule type="duplicateValues" dxfId="673" priority="1207" stopIfTrue="1"/>
  </conditionalFormatting>
  <conditionalFormatting sqref="E410">
    <cfRule type="duplicateValues" dxfId="1901" priority="1197" stopIfTrue="1"/>
  </conditionalFormatting>
  <conditionalFormatting sqref="F410">
    <cfRule type="duplicateValues" dxfId="1900" priority="1195" stopIfTrue="1"/>
    <cfRule type="duplicateValues" dxfId="1899" priority="1200" stopIfTrue="1"/>
  </conditionalFormatting>
  <conditionalFormatting sqref="D411">
    <cfRule type="duplicateValues" dxfId="1898" priority="1357" stopIfTrue="1"/>
  </conditionalFormatting>
  <conditionalFormatting sqref="B412">
    <cfRule type="expression" dxfId="1897" priority="318" stopIfTrue="1">
      <formula>AND(COUNTIF($C$134:$F$142,B412)+COUNTIF($C$144:$F$65536,B412)+COUNTIF($C$8:$F$9,B412)+COUNTIF($C$11:$F$26,B412)+COUNTIF($C$28:$F$132,B412)+COUNTIF($C$4:$F$4,B412)+COUNTIF($C$1:$F$2,B412)&gt;1,NOT(ISBLANK(B412)))</formula>
    </cfRule>
    <cfRule type="expression" dxfId="1896" priority="319" stopIfTrue="1">
      <formula>AND(COUNTIF($C$4:$C$65536,B412)+COUNTIF($C$1:$C$2,B412)&gt;1,NOT(ISBLANK(B412)))</formula>
    </cfRule>
  </conditionalFormatting>
  <conditionalFormatting sqref="D412">
    <cfRule type="duplicateValues" dxfId="1895" priority="1358" stopIfTrue="1"/>
  </conditionalFormatting>
  <conditionalFormatting sqref="D413">
    <cfRule type="duplicateValues" dxfId="1894" priority="1648" stopIfTrue="1"/>
    <cfRule type="duplicateValues" dxfId="1893" priority="1649" stopIfTrue="1"/>
    <cfRule type="duplicateValues" dxfId="1892" priority="1650" stopIfTrue="1"/>
    <cfRule type="duplicateValues" dxfId="672" priority="1651" stopIfTrue="1"/>
    <cfRule type="expression" dxfId="671" priority="1652" stopIfTrue="1">
      <formula>AND(COUNTIF($D$4:$D$65536,D413)+COUNTIF($D$1:$D$2,D413)&gt;1,NOT(ISBLANK(D413)))</formula>
    </cfRule>
    <cfRule type="expression" dxfId="670" priority="1653" stopIfTrue="1">
      <formula>AND(COUNTIF($D$4:$D$65536,D413)+COUNTIF($D$1:$D$2,D413)&gt;1,NOT(ISBLANK(D413)))</formula>
    </cfRule>
    <cfRule type="expression" dxfId="669" priority="1654" stopIfTrue="1">
      <formula>AND(COUNTIF($D$4:$D$65536,D413)+COUNTIF($D$1:$D$2,D413)&gt;1,NOT(ISBLANK(D413)))</formula>
    </cfRule>
    <cfRule type="expression" dxfId="668" priority="1655" stopIfTrue="1">
      <formula>AND(COUNTIF($D$8:$D$9,D413)+COUNTIF($D$1:$D$2,D413)+COUNTIF($D$11:$D$26,D413)+COUNTIF($D$28:$D$65536,D413)+COUNTIF($D$4:$D$4,D413)&gt;1,NOT(ISBLANK(D413)))</formula>
    </cfRule>
    <cfRule type="expression" dxfId="667" priority="1656" stopIfTrue="1">
      <formula>AND(COUNTIF($D$8:$D$9,D413)+COUNTIF($D$1:$D$2,D413)+COUNTIF($D$11:$D$26,D413)+COUNTIF($D$28:$D$65536,D413)+COUNTIF($D$4:$D$4,D413)&gt;1,NOT(ISBLANK(D413)))</formula>
    </cfRule>
    <cfRule type="expression" dxfId="666" priority="1657" stopIfTrue="1">
      <formula>AND(COUNTIF($D$8:$D$9,D413)+COUNTIF($D$1:$D$2,D413)+COUNTIF($D$11:$D$26,D413)+COUNTIF($D$28:$D$65536,D413)+COUNTIF($D$4:$D$4,D413)&gt;1,NOT(ISBLANK(D413)))</formula>
    </cfRule>
    <cfRule type="expression" dxfId="665" priority="1658" stopIfTrue="1">
      <formula>AND(COUNTIF($D$134:$D$142,D413)+COUNTIF($D$144:$D$65536,D413)+COUNTIF($D$1:$D$2,D413)+COUNTIF($D$8:$D$9,D413)+COUNTIF($D$11:$D$26,D413)+COUNTIF($D$28:$D$132,D413)+COUNTIF($D$4:$D$4,D413)&gt;1,NOT(ISBLANK(D413)))</formula>
    </cfRule>
    <cfRule type="expression" dxfId="664" priority="1659" stopIfTrue="1">
      <formula>AND(COUNTIF($D$1:$D$350,D413)+COUNTIF($D$352:$D$372,D413)+COUNTIF($D$374:$D$65536,D413)&gt;1,NOT(ISBLANK(D413)))</formula>
    </cfRule>
    <cfRule type="expression" dxfId="663" priority="1660" stopIfTrue="1">
      <formula>AND(COUNTIF($D$1:$D$350,D413)+COUNTIF($D$352:$D$372,D413)+COUNTIF($D$374:$D$65536,D413)&gt;1,NOT(ISBLANK(D413)))</formula>
    </cfRule>
    <cfRule type="duplicateValues" dxfId="662" priority="1661" stopIfTrue="1"/>
    <cfRule type="duplicateValues" dxfId="661" priority="1662" stopIfTrue="1"/>
    <cfRule type="duplicateValues" dxfId="660" priority="1663" stopIfTrue="1"/>
    <cfRule type="duplicateValues" dxfId="659" priority="1664" stopIfTrue="1"/>
  </conditionalFormatting>
  <conditionalFormatting sqref="F413">
    <cfRule type="duplicateValues" dxfId="1891" priority="1809" stopIfTrue="1"/>
    <cfRule type="expression" dxfId="1890" priority="1810" stopIfTrue="1">
      <formula>AND(COUNTIF($F$4:$F$65536,F413)+COUNTIF($F$1:$F$2,F413)&gt;1,NOT(ISBLANK(F413)))</formula>
    </cfRule>
    <cfRule type="expression" dxfId="1889" priority="1811" stopIfTrue="1">
      <formula>AND(COUNTIF($F$4:$F$65536,F413)+COUNTIF($F$1:$F$2,F413)&gt;1,NOT(ISBLANK(F413)))</formula>
    </cfRule>
    <cfRule type="expression" dxfId="658" priority="1812" stopIfTrue="1">
      <formula>AND(COUNTIF($F$8:$F$9,F413)+COUNTIF($F$1:$F$2,F413)+COUNTIF($F$11:$F$26,F413)+COUNTIF($F$28:$F$65536,F413)+COUNTIF($F$4:$F$4,F413)&gt;1,NOT(ISBLANK(F413)))</formula>
    </cfRule>
    <cfRule type="expression" dxfId="657" priority="1813" stopIfTrue="1">
      <formula>AND(COUNTIF($F$8:$F$9,F413)+COUNTIF($F$1:$F$2,F413)+COUNTIF($F$11:$F$26,F413)+COUNTIF($F$28:$F$65536,F413)+COUNTIF($F$4:$F$4,F413)&gt;1,NOT(ISBLANK(F413)))</formula>
    </cfRule>
    <cfRule type="expression" dxfId="656" priority="1814" stopIfTrue="1">
      <formula>AND(COUNTIF($F$8:$F$9,F413)+COUNTIF($F$1:$F$2,F413)+COUNTIF($F$11:$F$26,F413)+COUNTIF($F$28:$F$65536,F413)+COUNTIF($F$4:$F$4,F413)&gt;1,NOT(ISBLANK(F413)))</formula>
    </cfRule>
    <cfRule type="expression" dxfId="655" priority="1815" stopIfTrue="1">
      <formula>AND(COUNTIF($F$486:$F$65536,F413)+COUNTIF($F$1:$F$2,F413)+COUNTIF($F$134:$F$142,F413)+COUNTIF($F$144:$F$483,F413)+COUNTIF($F$8:$F$9,F413)+COUNTIF($F$11:$F$26,F413)+COUNTIF($F$28:$F$132,F413)+COUNTIF($F$4:$F$4,F413)&gt;1,NOT(ISBLANK(F413)))</formula>
    </cfRule>
    <cfRule type="expression" dxfId="654" priority="1816" stopIfTrue="1">
      <formula>AND(COUNTIF($F$486:$F$65536,F413)+COUNTIF($F$1:$F$2,F413)+COUNTIF($F$134:$F$142,F413)+COUNTIF($F$144:$F$483,F413)+COUNTIF($F$8:$F$9,F413)+COUNTIF($F$11:$F$26,F413)+COUNTIF($F$28:$F$132,F413)+COUNTIF($F$4:$F$4,F413)&gt;1,NOT(ISBLANK(F413)))</formula>
    </cfRule>
    <cfRule type="expression" dxfId="653" priority="1817" stopIfTrue="1">
      <formula>AND(COUNTIF($F$486:$F$65536,F413)+COUNTIF($F$1:$F$2,F413)+COUNTIF($F$134:$F$142,F413)+COUNTIF($F$144:$F$483,F413)+COUNTIF($F$8:$F$9,F413)+COUNTIF($F$11:$F$26,F413)+COUNTIF($F$28:$F$132,F413)+COUNTIF($F$4:$F$4,F413)&gt;1,NOT(ISBLANK(F413)))</formula>
    </cfRule>
    <cfRule type="expression" dxfId="652" priority="1818" stopIfTrue="1">
      <formula>AND(COUNTIF($F$134:$F$142,F413)+COUNTIF($F$1:$F$2,F413)+COUNTIF($F$144:$F$65536,F413)+COUNTIF($F$8:$F$9,F413)+COUNTIF($F$11:$F$26,F413)+COUNTIF($F$28:$F$132,F413)+COUNTIF($F$4:$F$4,F413)&gt;1,NOT(ISBLANK(F413)))</formula>
    </cfRule>
    <cfRule type="expression" dxfId="651" priority="1819" stopIfTrue="1">
      <formula>AND(COUNTIF($F$134:$F$142,F413)+COUNTIF($F$1:$F$2,F413)+COUNTIF($F$144:$F$65536,F413)+COUNTIF($F$8:$F$9,F413)+COUNTIF($F$11:$F$26,F413)+COUNTIF($F$28:$F$132,F413)+COUNTIF($F$4:$F$4,F413)&gt;1,NOT(ISBLANK(F413)))</formula>
    </cfRule>
    <cfRule type="expression" dxfId="650" priority="1820" stopIfTrue="1">
      <formula>AND(COUNTIF($F$134:$F$142,F413)+COUNTIF($F$1:$F$2,F413)+COUNTIF($F$144:$F$65536,F413)+COUNTIF($F$8:$F$9,F413)+COUNTIF($F$11:$F$26,F413)+COUNTIF($F$28:$F$132,F413)+COUNTIF($F$4:$F$4,F413)&gt;1,NOT(ISBLANK(F413)))</formula>
    </cfRule>
  </conditionalFormatting>
  <conditionalFormatting sqref="B414">
    <cfRule type="expression" dxfId="1888" priority="316" stopIfTrue="1">
      <formula>AND(COUNTIF($C$134:$F$142,B414)+COUNTIF($C$144:$F$65536,B414)+COUNTIF($C$8:$F$9,B414)+COUNTIF($C$11:$F$26,B414)+COUNTIF($C$28:$F$132,B414)+COUNTIF($C$4:$F$4,B414)+COUNTIF($C$1:$F$2,B414)&gt;1,NOT(ISBLANK(B414)))</formula>
    </cfRule>
    <cfRule type="expression" dxfId="1887" priority="317" stopIfTrue="1">
      <formula>AND(COUNTIF($C$4:$C$65536,B414)+COUNTIF($C$1:$C$2,B414)&gt;1,NOT(ISBLANK(B414)))</formula>
    </cfRule>
  </conditionalFormatting>
  <conditionalFormatting sqref="D414">
    <cfRule type="duplicateValues" dxfId="1886" priority="1359" stopIfTrue="1"/>
  </conditionalFormatting>
  <conditionalFormatting sqref="D415">
    <cfRule type="duplicateValues" dxfId="1885" priority="1360" stopIfTrue="1"/>
  </conditionalFormatting>
  <conditionalFormatting sqref="D416">
    <cfRule type="duplicateValues" dxfId="1884" priority="1361" stopIfTrue="1"/>
  </conditionalFormatting>
  <conditionalFormatting sqref="D417">
    <cfRule type="duplicateValues" dxfId="1883" priority="1362" stopIfTrue="1"/>
  </conditionalFormatting>
  <conditionalFormatting sqref="D418">
    <cfRule type="duplicateValues" dxfId="1882" priority="1363" stopIfTrue="1"/>
  </conditionalFormatting>
  <conditionalFormatting sqref="B421">
    <cfRule type="expression" dxfId="1881" priority="312" stopIfTrue="1">
      <formula>AND(COUNTIF($C$134:$F$142,B421)+COUNTIF($C$144:$F$65536,B421)+COUNTIF($C$8:$F$9,B421)+COUNTIF($C$11:$F$26,B421)+COUNTIF($C$28:$F$132,B421)+COUNTIF($C$4:$F$4,B421)+COUNTIF($C$1:$F$2,B421)&gt;1,NOT(ISBLANK(B421)))</formula>
    </cfRule>
    <cfRule type="expression" dxfId="1880" priority="313" stopIfTrue="1">
      <formula>AND(COUNTIF($C$4:$C$65536,B421)+COUNTIF($C$1:$C$2,B421)&gt;1,NOT(ISBLANK(B421)))</formula>
    </cfRule>
  </conditionalFormatting>
  <conditionalFormatting sqref="D421">
    <cfRule type="duplicateValues" dxfId="1879" priority="1364" stopIfTrue="1"/>
  </conditionalFormatting>
  <conditionalFormatting sqref="B423">
    <cfRule type="expression" dxfId="1878" priority="310" stopIfTrue="1">
      <formula>AND(COUNTIF($C$134:$F$142,B423)+COUNTIF($C$144:$F$65536,B423)+COUNTIF($C$8:$F$9,B423)+COUNTIF($C$11:$F$26,B423)+COUNTIF($C$28:$F$132,B423)+COUNTIF($C$4:$F$4,B423)+COUNTIF($C$1:$F$2,B423)&gt;1,NOT(ISBLANK(B423)))</formula>
    </cfRule>
    <cfRule type="expression" dxfId="1877" priority="311" stopIfTrue="1">
      <formula>AND(COUNTIF($C$4:$C$65536,B423)+COUNTIF($C$1:$C$2,B423)&gt;1,NOT(ISBLANK(B423)))</formula>
    </cfRule>
  </conditionalFormatting>
  <conditionalFormatting sqref="D423">
    <cfRule type="duplicateValues" dxfId="1876" priority="1365" stopIfTrue="1"/>
  </conditionalFormatting>
  <conditionalFormatting sqref="B424">
    <cfRule type="expression" dxfId="1875" priority="705" stopIfTrue="1">
      <formula>AND(COUNTIF($C$4:$C$65536,B424)+COUNTIF($C$1:$C$2,B424)&gt;1,NOT(ISBLANK(B424)))</formula>
    </cfRule>
  </conditionalFormatting>
  <conditionalFormatting sqref="C424">
    <cfRule type="expression" dxfId="1874" priority="111" stopIfTrue="1">
      <formula>AND(COUNTIF($C$134:$F$142,C424)+COUNTIF($C$144:$F$65536,C424)+COUNTIF($C$8:$F$9,C424)+COUNTIF($C$11:$F$26,C424)+COUNTIF($C$28:$F$132,C424)+COUNTIF($C$4:$F$4,C424)+COUNTIF($C$1:$F$2,C424)&gt;1,NOT(ISBLANK(C424)))</formula>
    </cfRule>
  </conditionalFormatting>
  <conditionalFormatting sqref="D424">
    <cfRule type="duplicateValues" dxfId="1873" priority="647" stopIfTrue="1"/>
    <cfRule type="duplicateValues" dxfId="1872" priority="650" stopIfTrue="1"/>
    <cfRule type="duplicateValues" dxfId="1871" priority="656" stopIfTrue="1"/>
    <cfRule type="duplicateValues" dxfId="649" priority="665" stopIfTrue="1"/>
    <cfRule type="duplicateValues" dxfId="648" priority="668" stopIfTrue="1"/>
    <cfRule type="duplicateValues" dxfId="647" priority="670" stopIfTrue="1"/>
    <cfRule type="duplicateValues" dxfId="646" priority="671" stopIfTrue="1"/>
    <cfRule type="duplicateValues" dxfId="645" priority="673" stopIfTrue="1"/>
    <cfRule type="duplicateValues" dxfId="644" priority="674" stopIfTrue="1"/>
    <cfRule type="duplicateValues" dxfId="643" priority="675" stopIfTrue="1"/>
    <cfRule type="duplicateValues" dxfId="642" priority="676" stopIfTrue="1"/>
    <cfRule type="duplicateValues" dxfId="641" priority="677" stopIfTrue="1"/>
    <cfRule type="duplicateValues" dxfId="640" priority="678" stopIfTrue="1"/>
    <cfRule type="duplicateValues" dxfId="639" priority="679" stopIfTrue="1"/>
    <cfRule type="expression" dxfId="638" priority="688" stopIfTrue="1">
      <formula>AND(COUNTIF($D$134:$D$142,D424)+COUNTIF($D$144:$D$65536,D424)+COUNTIF($D$1:$D$2,D424)+COUNTIF($D$8:$D$9,D424)+COUNTIF($D$11:$D$26,D424)+COUNTIF($D$28:$D$132,D424)+COUNTIF($D$4:$D$4,D424)&gt;1,NOT(ISBLANK(D424)))</formula>
    </cfRule>
    <cfRule type="expression" dxfId="637" priority="689" stopIfTrue="1">
      <formula>AND(COUNTIF($D$1:$D$350,D424)+COUNTIF($D$352:$D$372,D424)+COUNTIF($D$374:$D$65536,D424)&gt;1,NOT(ISBLANK(D424)))</formula>
    </cfRule>
    <cfRule type="expression" dxfId="636" priority="690" stopIfTrue="1">
      <formula>AND(COUNTIF($D$1:$D$350,D424)+COUNTIF($D$352:$D$372,D424)+COUNTIF($D$374:$D$65536,D424)&gt;1,NOT(ISBLANK(D424)))</formula>
    </cfRule>
    <cfRule type="expression" dxfId="635" priority="707" stopIfTrue="1">
      <formula>AND(COUNTIF($D$4:$D$65536,D424)+COUNTIF($D$1:$D$2,D424)&gt;1,NOT(ISBLANK(D424)))</formula>
    </cfRule>
    <cfRule type="expression" dxfId="634" priority="708" stopIfTrue="1">
      <formula>AND(COUNTIF($D$4:$D$65536,D424)+COUNTIF($D$1:$D$2,D424)&gt;1,NOT(ISBLANK(D424)))</formula>
    </cfRule>
    <cfRule type="expression" dxfId="633" priority="709" stopIfTrue="1">
      <formula>AND(COUNTIF($D$4:$D$65536,D424)+COUNTIF($D$1:$D$2,D424)&gt;1,NOT(ISBLANK(D424)))</formula>
    </cfRule>
    <cfRule type="expression" dxfId="632" priority="715" stopIfTrue="1">
      <formula>AND(COUNTIF($D$8:$D$9,D424)+COUNTIF($D$1:$D$2,D424)+COUNTIF($D$11:$D$26,D424)+COUNTIF($D$28:$D$65536,D424)+COUNTIF($D$4:$D$4,D424)&gt;1,NOT(ISBLANK(D424)))</formula>
    </cfRule>
    <cfRule type="expression" dxfId="631" priority="716" stopIfTrue="1">
      <formula>AND(COUNTIF($D$8:$D$9,D424)+COUNTIF($D$1:$D$2,D424)+COUNTIF($D$11:$D$26,D424)+COUNTIF($D$28:$D$65536,D424)+COUNTIF($D$4:$D$4,D424)&gt;1,NOT(ISBLANK(D424)))</formula>
    </cfRule>
    <cfRule type="expression" dxfId="630" priority="717" stopIfTrue="1">
      <formula>AND(COUNTIF($D$8:$D$9,D424)+COUNTIF($D$1:$D$2,D424)+COUNTIF($D$11:$D$26,D424)+COUNTIF($D$28:$D$65536,D424)+COUNTIF($D$4:$D$4,D424)&gt;1,NOT(ISBLANK(D424)))</formula>
    </cfRule>
  </conditionalFormatting>
  <conditionalFormatting sqref="D424:F424">
    <cfRule type="expression" dxfId="1870" priority="701" stopIfTrue="1">
      <formula>AND(COUNTIF($D$8:$F$9,D424)+COUNTIF($D$1:$F$2,D424)+COUNTIF($D$11:$F$26,D424)+COUNTIF($D$28:$F$65536,D424)+COUNTIF($D$4:$F$4,D424)&gt;1,NOT(ISBLANK(D424)))</formula>
    </cfRule>
    <cfRule type="expression" dxfId="1869" priority="702" stopIfTrue="1">
      <formula>AND(COUNTIF($D$8:$F$9,D424)+COUNTIF($D$1:$F$2,D424)+COUNTIF($D$11:$F$26,D424)+COUNTIF($D$28:$F$65536,D424)+COUNTIF($D$4:$F$4,D424)&gt;1,NOT(ISBLANK(D424)))</formula>
    </cfRule>
    <cfRule type="expression" dxfId="1868" priority="703" stopIfTrue="1">
      <formula>AND(COUNTIF($D$8:$F$9,D424)+COUNTIF($D$1:$F$2,D424)+COUNTIF($D$11:$F$26,D424)+COUNTIF($D$28:$F$65536,D424)+COUNTIF($D$4:$F$4,D424)&gt;1,NOT(ISBLANK(D424)))</formula>
    </cfRule>
  </conditionalFormatting>
  <conditionalFormatting sqref="E424:F424">
    <cfRule type="expression" dxfId="1867" priority="704" stopIfTrue="1">
      <formula>AND(COUNTIF($E$8:$F$9,E424)+COUNTIF($E$1:$F$2,E424)+COUNTIF($E$11:$F$26,E424)+COUNTIF($E$28:$F$65536,E424)+COUNTIF($E$4:$F$4,E424)&gt;1,NOT(ISBLANK(E424)))</formula>
    </cfRule>
  </conditionalFormatting>
  <conditionalFormatting sqref="E424">
    <cfRule type="duplicateValues" dxfId="1866" priority="648" stopIfTrue="1"/>
    <cfRule type="duplicateValues" dxfId="1865" priority="654" stopIfTrue="1"/>
    <cfRule type="duplicateValues" dxfId="1864" priority="657" stopIfTrue="1"/>
    <cfRule type="duplicateValues" dxfId="629" priority="660" stopIfTrue="1"/>
    <cfRule type="duplicateValues" dxfId="628" priority="661" stopIfTrue="1"/>
    <cfRule type="duplicateValues" dxfId="627" priority="662" stopIfTrue="1"/>
    <cfRule type="duplicateValues" dxfId="626" priority="663" stopIfTrue="1"/>
    <cfRule type="duplicateValues" dxfId="625" priority="669" stopIfTrue="1"/>
    <cfRule type="expression" dxfId="624" priority="680" stopIfTrue="1">
      <formula>AND(COUNTIF($E$486:$E$65536,E424)+COUNTIF($E$1:$E$2,E424)+COUNTIF($E$134:$E$142,E424)+COUNTIF($E$144:$E$483,E424)+COUNTIF($E$8:$E$9,E424)+COUNTIF($E$11:$E$26,E424)+COUNTIF($E$28:$E$132,E424)+COUNTIF($E$4:$E$4,E424)&gt;1,NOT(ISBLANK(E424)))</formula>
    </cfRule>
    <cfRule type="expression" dxfId="623" priority="681" stopIfTrue="1">
      <formula>AND(COUNTIF($E$134:$E$142,E424)+COUNTIF($E$1:$E$2,E424)+COUNTIF($E$144:$E$65536,E424)+COUNTIF($E$8:$E$9,E424)+COUNTIF($E$11:$E$26,E424)+COUNTIF($E$28:$E$132,E424)+COUNTIF($E$4:$E$4,E424)&gt;1,NOT(ISBLANK(E424)))</formula>
    </cfRule>
    <cfRule type="expression" dxfId="622" priority="710" stopIfTrue="1">
      <formula>AND(COUNTIF($E$4:$E$65536,E424)+COUNTIF($E$1:$E$2,E424)&gt;1,NOT(ISBLANK(E424)))</formula>
    </cfRule>
    <cfRule type="expression" dxfId="621" priority="711" stopIfTrue="1">
      <formula>AND(COUNTIF($E$4:$E$65536,E424)+COUNTIF($E$1:$E$2,E424)&gt;1,NOT(ISBLANK(E424)))</formula>
    </cfRule>
    <cfRule type="expression" dxfId="620" priority="718" stopIfTrue="1">
      <formula>AND(COUNTIF($E$8:$E$9,E424)+COUNTIF($E$1:$E$2,E424)+COUNTIF($E$11:$E$26,E424)+COUNTIF($E$28:$E$65536,E424)+COUNTIF($E$4:$E$4,E424)&gt;1,NOT(ISBLANK(E424)))</formula>
    </cfRule>
  </conditionalFormatting>
  <conditionalFormatting sqref="F424">
    <cfRule type="duplicateValues" dxfId="1863" priority="649" stopIfTrue="1"/>
    <cfRule type="duplicateValues" dxfId="1862" priority="651" stopIfTrue="1"/>
    <cfRule type="duplicateValues" dxfId="1861" priority="652" stopIfTrue="1"/>
    <cfRule type="duplicateValues" dxfId="619" priority="653" stopIfTrue="1"/>
    <cfRule type="duplicateValues" dxfId="618" priority="655" stopIfTrue="1"/>
    <cfRule type="duplicateValues" dxfId="617" priority="658" stopIfTrue="1"/>
    <cfRule type="duplicateValues" dxfId="616" priority="659" stopIfTrue="1"/>
    <cfRule type="duplicateValues" dxfId="615" priority="664" stopIfTrue="1"/>
    <cfRule type="duplicateValues" dxfId="614" priority="666" stopIfTrue="1"/>
    <cfRule type="duplicateValues" dxfId="613" priority="667" stopIfTrue="1"/>
    <cfRule type="duplicateValues" dxfId="612" priority="672" stopIfTrue="1"/>
    <cfRule type="expression" dxfId="611" priority="682" stopIfTrue="1">
      <formula>AND(COUNTIF($F$486:$F$65536,F424)+COUNTIF($F$1:$F$2,F424)+COUNTIF($F$134:$F$142,F424)+COUNTIF($F$144:$F$483,F424)+COUNTIF($F$8:$F$9,F424)+COUNTIF($F$11:$F$26,F424)+COUNTIF($F$28:$F$132,F424)+COUNTIF($F$4:$F$4,F424)&gt;1,NOT(ISBLANK(F424)))</formula>
    </cfRule>
    <cfRule type="expression" dxfId="610" priority="683" stopIfTrue="1">
      <formula>AND(COUNTIF($F$486:$F$65536,F424)+COUNTIF($F$1:$F$2,F424)+COUNTIF($F$134:$F$142,F424)+COUNTIF($F$144:$F$483,F424)+COUNTIF($F$8:$F$9,F424)+COUNTIF($F$11:$F$26,F424)+COUNTIF($F$28:$F$132,F424)+COUNTIF($F$4:$F$4,F424)&gt;1,NOT(ISBLANK(F424)))</formula>
    </cfRule>
    <cfRule type="expression" dxfId="609" priority="684" stopIfTrue="1">
      <formula>AND(COUNTIF($F$486:$F$65536,F424)+COUNTIF($F$1:$F$2,F424)+COUNTIF($F$134:$F$142,F424)+COUNTIF($F$144:$F$483,F424)+COUNTIF($F$8:$F$9,F424)+COUNTIF($F$11:$F$26,F424)+COUNTIF($F$28:$F$132,F424)+COUNTIF($F$4:$F$4,F424)&gt;1,NOT(ISBLANK(F424)))</formula>
    </cfRule>
    <cfRule type="expression" dxfId="608" priority="685" stopIfTrue="1">
      <formula>AND(COUNTIF($F$134:$F$142,F424)+COUNTIF($F$1:$F$2,F424)+COUNTIF($F$144:$F$65536,F424)+COUNTIF($F$8:$F$9,F424)+COUNTIF($F$11:$F$26,F424)+COUNTIF($F$28:$F$132,F424)+COUNTIF($F$4:$F$4,F424)&gt;1,NOT(ISBLANK(F424)))</formula>
    </cfRule>
    <cfRule type="expression" dxfId="607" priority="686" stopIfTrue="1">
      <formula>AND(COUNTIF($F$134:$F$142,F424)+COUNTIF($F$1:$F$2,F424)+COUNTIF($F$144:$F$65536,F424)+COUNTIF($F$8:$F$9,F424)+COUNTIF($F$11:$F$26,F424)+COUNTIF($F$28:$F$132,F424)+COUNTIF($F$4:$F$4,F424)&gt;1,NOT(ISBLANK(F424)))</formula>
    </cfRule>
    <cfRule type="expression" dxfId="606" priority="687" stopIfTrue="1">
      <formula>AND(COUNTIF($F$134:$F$142,F424)+COUNTIF($F$1:$F$2,F424)+COUNTIF($F$144:$F$65536,F424)+COUNTIF($F$8:$F$9,F424)+COUNTIF($F$11:$F$26,F424)+COUNTIF($F$28:$F$132,F424)+COUNTIF($F$4:$F$4,F424)&gt;1,NOT(ISBLANK(F424)))</formula>
    </cfRule>
    <cfRule type="expression" dxfId="605" priority="691" stopIfTrue="1">
      <formula>AND(COUNTIF($F$4:$F$65536,F424)+COUNTIF($F$1:$F$2,F424)&gt;1,NOT(ISBLANK(F424)))</formula>
    </cfRule>
    <cfRule type="expression" dxfId="604" priority="692" stopIfTrue="1">
      <formula>AND(COUNTIF($F$4:$F$65536,F424)+COUNTIF($F$1:$F$2,F424)&gt;1,NOT(ISBLANK(F424)))</formula>
    </cfRule>
    <cfRule type="expression" dxfId="603" priority="693" stopIfTrue="1">
      <formula>AND(COUNTIF($F$8:$F$9,F424)+COUNTIF($F$1:$F$2,F424)+COUNTIF($F$11:$F$26,F424)+COUNTIF($F$28:$F$65536,F424)+COUNTIF($F$4:$F$4,F424)&gt;1,NOT(ISBLANK(F424)))</formula>
    </cfRule>
    <cfRule type="expression" dxfId="602" priority="694" stopIfTrue="1">
      <formula>AND(COUNTIF($F$8:$F$9,F424)+COUNTIF($F$1:$F$2,F424)+COUNTIF($F$11:$F$26,F424)+COUNTIF($F$28:$F$65536,F424)+COUNTIF($F$4:$F$4,F424)&gt;1,NOT(ISBLANK(F424)))</formula>
    </cfRule>
    <cfRule type="expression" dxfId="601" priority="695" stopIfTrue="1">
      <formula>AND(COUNTIF($F$8:$F$9,F424)+COUNTIF($F$1:$F$2,F424)+COUNTIF($F$11:$F$26,F424)+COUNTIF($F$28:$F$65536,F424)+COUNTIF($F$4:$F$4,F424)&gt;1,NOT(ISBLANK(F424)))</formula>
    </cfRule>
    <cfRule type="duplicateValues" dxfId="600" priority="696" stopIfTrue="1"/>
  </conditionalFormatting>
  <conditionalFormatting sqref="D425">
    <cfRule type="duplicateValues" dxfId="1860" priority="1366" stopIfTrue="1"/>
    <cfRule type="duplicateValues" dxfId="1859" priority="1367" stopIfTrue="1"/>
  </conditionalFormatting>
  <conditionalFormatting sqref="B426">
    <cfRule type="expression" dxfId="1858" priority="308" stopIfTrue="1">
      <formula>AND(COUNTIF($C$134:$F$142,B426)+COUNTIF($C$144:$F$65536,B426)+COUNTIF($C$8:$F$9,B426)+COUNTIF($C$11:$F$26,B426)+COUNTIF($C$28:$F$132,B426)+COUNTIF($C$4:$F$4,B426)+COUNTIF($C$1:$F$2,B426)&gt;1,NOT(ISBLANK(B426)))</formula>
    </cfRule>
    <cfRule type="expression" dxfId="1857" priority="309" stopIfTrue="1">
      <formula>AND(COUNTIF($C$4:$C$65536,B426)+COUNTIF($C$1:$C$2,B426)&gt;1,NOT(ISBLANK(B426)))</formula>
    </cfRule>
  </conditionalFormatting>
  <conditionalFormatting sqref="D426">
    <cfRule type="duplicateValues" dxfId="1856" priority="1368" stopIfTrue="1"/>
  </conditionalFormatting>
  <conditionalFormatting sqref="B427:F427">
    <cfRule type="duplicateValues" dxfId="1855" priority="1373" stopIfTrue="1"/>
  </conditionalFormatting>
  <conditionalFormatting sqref="F427">
    <cfRule type="duplicateValues" dxfId="1854" priority="1369" stopIfTrue="1"/>
    <cfRule type="duplicateValues" dxfId="1853" priority="1370" stopIfTrue="1"/>
    <cfRule type="duplicateValues" dxfId="1852" priority="1371" stopIfTrue="1"/>
    <cfRule type="duplicateValues" dxfId="599" priority="1372" stopIfTrue="1"/>
    <cfRule type="duplicateValues" dxfId="598" priority="1374"/>
    <cfRule type="duplicateValues" dxfId="597" priority="1375" stopIfTrue="1"/>
  </conditionalFormatting>
  <conditionalFormatting sqref="D428">
    <cfRule type="duplicateValues" dxfId="1851" priority="1376" stopIfTrue="1"/>
  </conditionalFormatting>
  <conditionalFormatting sqref="D429">
    <cfRule type="duplicateValues" dxfId="1850" priority="1377" stopIfTrue="1"/>
  </conditionalFormatting>
  <conditionalFormatting sqref="D430">
    <cfRule type="duplicateValues" dxfId="1849" priority="1378" stopIfTrue="1"/>
  </conditionalFormatting>
  <conditionalFormatting sqref="B431">
    <cfRule type="expression" dxfId="1848" priority="304" stopIfTrue="1">
      <formula>AND(COUNTIF($C$134:$F$142,B431)+COUNTIF($C$144:$F$65536,B431)+COUNTIF($C$8:$F$9,B431)+COUNTIF($C$11:$F$26,B431)+COUNTIF($C$28:$F$132,B431)+COUNTIF($C$4:$F$4,B431)+COUNTIF($C$1:$F$2,B431)&gt;1,NOT(ISBLANK(B431)))</formula>
    </cfRule>
    <cfRule type="expression" dxfId="1847" priority="305" stopIfTrue="1">
      <formula>AND(COUNTIF($C$4:$C$65536,B431)+COUNTIF($C$1:$C$2,B431)&gt;1,NOT(ISBLANK(B431)))</formula>
    </cfRule>
  </conditionalFormatting>
  <conditionalFormatting sqref="D431">
    <cfRule type="duplicateValues" dxfId="1846" priority="1379" stopIfTrue="1"/>
  </conditionalFormatting>
  <conditionalFormatting sqref="D432">
    <cfRule type="duplicateValues" dxfId="1845" priority="1380" stopIfTrue="1"/>
  </conditionalFormatting>
  <conditionalFormatting sqref="B433">
    <cfRule type="expression" dxfId="1844" priority="302" stopIfTrue="1">
      <formula>AND(COUNTIF($C$134:$F$142,B433)+COUNTIF($C$144:$F$65536,B433)+COUNTIF($C$8:$F$9,B433)+COUNTIF($C$11:$F$26,B433)+COUNTIF($C$28:$F$132,B433)+COUNTIF($C$4:$F$4,B433)+COUNTIF($C$1:$F$2,B433)&gt;1,NOT(ISBLANK(B433)))</formula>
    </cfRule>
    <cfRule type="expression" dxfId="1843" priority="303" stopIfTrue="1">
      <formula>AND(COUNTIF($C$4:$C$65536,B433)+COUNTIF($C$1:$C$2,B433)&gt;1,NOT(ISBLANK(B433)))</formula>
    </cfRule>
  </conditionalFormatting>
  <conditionalFormatting sqref="D434">
    <cfRule type="duplicateValues" dxfId="1842" priority="1665" stopIfTrue="1"/>
    <cfRule type="duplicateValues" dxfId="1841" priority="1666" stopIfTrue="1"/>
    <cfRule type="duplicateValues" dxfId="1840" priority="1667" stopIfTrue="1"/>
    <cfRule type="duplicateValues" dxfId="596" priority="1668" stopIfTrue="1"/>
    <cfRule type="duplicateValues" dxfId="595" priority="1669" stopIfTrue="1"/>
    <cfRule type="expression" dxfId="594" priority="1670" stopIfTrue="1">
      <formula>AND(COUNTIF($D$4:$D$65536,D434)+COUNTIF($D$1:$D$2,D434)&gt;1,NOT(ISBLANK(D434)))</formula>
    </cfRule>
    <cfRule type="expression" dxfId="593" priority="1671" stopIfTrue="1">
      <formula>AND(COUNTIF($D$4:$D$65536,D434)+COUNTIF($D$1:$D$2,D434)&gt;1,NOT(ISBLANK(D434)))</formula>
    </cfRule>
    <cfRule type="expression" dxfId="592" priority="1672" stopIfTrue="1">
      <formula>AND(COUNTIF($D$4:$D$65536,D434)+COUNTIF($D$1:$D$2,D434)&gt;1,NOT(ISBLANK(D434)))</formula>
    </cfRule>
    <cfRule type="expression" dxfId="591" priority="1673" stopIfTrue="1">
      <formula>AND(COUNTIF($D$8:$D$9,D434)+COUNTIF($D$1:$D$2,D434)+COUNTIF($D$11:$D$26,D434)+COUNTIF($D$28:$D$65536,D434)+COUNTIF($D$4:$D$4,D434)&gt;1,NOT(ISBLANK(D434)))</formula>
    </cfRule>
    <cfRule type="expression" dxfId="590" priority="1674" stopIfTrue="1">
      <formula>AND(COUNTIF($D$8:$D$9,D434)+COUNTIF($D$1:$D$2,D434)+COUNTIF($D$11:$D$26,D434)+COUNTIF($D$28:$D$65536,D434)+COUNTIF($D$4:$D$4,D434)&gt;1,NOT(ISBLANK(D434)))</formula>
    </cfRule>
    <cfRule type="expression" dxfId="589" priority="1675" stopIfTrue="1">
      <formula>AND(COUNTIF($D$8:$D$9,D434)+COUNTIF($D$1:$D$2,D434)+COUNTIF($D$11:$D$26,D434)+COUNTIF($D$28:$D$65536,D434)+COUNTIF($D$4:$D$4,D434)&gt;1,NOT(ISBLANK(D434)))</formula>
    </cfRule>
    <cfRule type="expression" dxfId="588" priority="1676" stopIfTrue="1">
      <formula>AND(COUNTIF($D$134:$D$142,D434)+COUNTIF($D$144:$D$65536,D434)+COUNTIF($D$1:$D$2,D434)+COUNTIF($D$8:$D$9,D434)+COUNTIF($D$11:$D$26,D434)+COUNTIF($D$28:$D$132,D434)+COUNTIF($D$4:$D$4,D434)&gt;1,NOT(ISBLANK(D434)))</formula>
    </cfRule>
    <cfRule type="expression" dxfId="587" priority="1677" stopIfTrue="1">
      <formula>AND(COUNTIF($D$1:$D$350,D434)+COUNTIF($D$352:$D$372,D434)+COUNTIF($D$374:$D$65536,D434)&gt;1,NOT(ISBLANK(D434)))</formula>
    </cfRule>
    <cfRule type="expression" dxfId="586" priority="1678" stopIfTrue="1">
      <formula>AND(COUNTIF($D$1:$D$350,D434)+COUNTIF($D$352:$D$372,D434)+COUNTIF($D$374:$D$65536,D434)&gt;1,NOT(ISBLANK(D434)))</formula>
    </cfRule>
    <cfRule type="duplicateValues" dxfId="585" priority="1679" stopIfTrue="1"/>
    <cfRule type="duplicateValues" dxfId="584" priority="1680" stopIfTrue="1"/>
    <cfRule type="duplicateValues" dxfId="583" priority="1681" stopIfTrue="1"/>
    <cfRule type="duplicateValues" dxfId="582" priority="1682" stopIfTrue="1"/>
  </conditionalFormatting>
  <conditionalFormatting sqref="F434">
    <cfRule type="duplicateValues" dxfId="1839" priority="1821" stopIfTrue="1"/>
    <cfRule type="expression" dxfId="1838" priority="1822" stopIfTrue="1">
      <formula>AND(COUNTIF($F$4:$F$65536,F434)+COUNTIF($F$1:$F$2,F434)&gt;1,NOT(ISBLANK(F434)))</formula>
    </cfRule>
    <cfRule type="expression" dxfId="1837" priority="1823" stopIfTrue="1">
      <formula>AND(COUNTIF($F$4:$F$65536,F434)+COUNTIF($F$1:$F$2,F434)&gt;1,NOT(ISBLANK(F434)))</formula>
    </cfRule>
    <cfRule type="expression" dxfId="581" priority="1824" stopIfTrue="1">
      <formula>AND(COUNTIF($F$8:$F$9,F434)+COUNTIF($F$1:$F$2,F434)+COUNTIF($F$11:$F$26,F434)+COUNTIF($F$28:$F$65536,F434)+COUNTIF($F$4:$F$4,F434)&gt;1,NOT(ISBLANK(F434)))</formula>
    </cfRule>
    <cfRule type="expression" dxfId="580" priority="1825" stopIfTrue="1">
      <formula>AND(COUNTIF($F$8:$F$9,F434)+COUNTIF($F$1:$F$2,F434)+COUNTIF($F$11:$F$26,F434)+COUNTIF($F$28:$F$65536,F434)+COUNTIF($F$4:$F$4,F434)&gt;1,NOT(ISBLANK(F434)))</formula>
    </cfRule>
    <cfRule type="expression" dxfId="579" priority="1826" stopIfTrue="1">
      <formula>AND(COUNTIF($F$8:$F$9,F434)+COUNTIF($F$1:$F$2,F434)+COUNTIF($F$11:$F$26,F434)+COUNTIF($F$28:$F$65536,F434)+COUNTIF($F$4:$F$4,F434)&gt;1,NOT(ISBLANK(F434)))</formula>
    </cfRule>
    <cfRule type="expression" dxfId="578" priority="1827" stopIfTrue="1">
      <formula>AND(COUNTIF($F$486:$F$65536,F434)+COUNTIF($F$1:$F$2,F434)+COUNTIF($F$134:$F$142,F434)+COUNTIF($F$144:$F$483,F434)+COUNTIF($F$8:$F$9,F434)+COUNTIF($F$11:$F$26,F434)+COUNTIF($F$28:$F$132,F434)+COUNTIF($F$4:$F$4,F434)&gt;1,NOT(ISBLANK(F434)))</formula>
    </cfRule>
    <cfRule type="expression" dxfId="577" priority="1828" stopIfTrue="1">
      <formula>AND(COUNTIF($F$486:$F$65536,F434)+COUNTIF($F$1:$F$2,F434)+COUNTIF($F$134:$F$142,F434)+COUNTIF($F$144:$F$483,F434)+COUNTIF($F$8:$F$9,F434)+COUNTIF($F$11:$F$26,F434)+COUNTIF($F$28:$F$132,F434)+COUNTIF($F$4:$F$4,F434)&gt;1,NOT(ISBLANK(F434)))</formula>
    </cfRule>
    <cfRule type="expression" dxfId="576" priority="1829" stopIfTrue="1">
      <formula>AND(COUNTIF($F$486:$F$65536,F434)+COUNTIF($F$1:$F$2,F434)+COUNTIF($F$134:$F$142,F434)+COUNTIF($F$144:$F$483,F434)+COUNTIF($F$8:$F$9,F434)+COUNTIF($F$11:$F$26,F434)+COUNTIF($F$28:$F$132,F434)+COUNTIF($F$4:$F$4,F434)&gt;1,NOT(ISBLANK(F434)))</formula>
    </cfRule>
    <cfRule type="expression" dxfId="575" priority="1830" stopIfTrue="1">
      <formula>AND(COUNTIF($F$134:$F$142,F434)+COUNTIF($F$1:$F$2,F434)+COUNTIF($F$144:$F$65536,F434)+COUNTIF($F$8:$F$9,F434)+COUNTIF($F$11:$F$26,F434)+COUNTIF($F$28:$F$132,F434)+COUNTIF($F$4:$F$4,F434)&gt;1,NOT(ISBLANK(F434)))</formula>
    </cfRule>
    <cfRule type="expression" dxfId="574" priority="1831" stopIfTrue="1">
      <formula>AND(COUNTIF($F$134:$F$142,F434)+COUNTIF($F$1:$F$2,F434)+COUNTIF($F$144:$F$65536,F434)+COUNTIF($F$8:$F$9,F434)+COUNTIF($F$11:$F$26,F434)+COUNTIF($F$28:$F$132,F434)+COUNTIF($F$4:$F$4,F434)&gt;1,NOT(ISBLANK(F434)))</formula>
    </cfRule>
    <cfRule type="expression" dxfId="573" priority="1832" stopIfTrue="1">
      <formula>AND(COUNTIF($F$134:$F$142,F434)+COUNTIF($F$1:$F$2,F434)+COUNTIF($F$144:$F$65536,F434)+COUNTIF($F$8:$F$9,F434)+COUNTIF($F$11:$F$26,F434)+COUNTIF($F$28:$F$132,F434)+COUNTIF($F$4:$F$4,F434)&gt;1,NOT(ISBLANK(F434)))</formula>
    </cfRule>
  </conditionalFormatting>
  <conditionalFormatting sqref="B435">
    <cfRule type="expression" dxfId="1836" priority="300" stopIfTrue="1">
      <formula>AND(COUNTIF($C$134:$F$142,B435)+COUNTIF($C$144:$F$65536,B435)+COUNTIF($C$8:$F$9,B435)+COUNTIF($C$11:$F$26,B435)+COUNTIF($C$28:$F$132,B435)+COUNTIF($C$4:$F$4,B435)+COUNTIF($C$1:$F$2,B435)&gt;1,NOT(ISBLANK(B435)))</formula>
    </cfRule>
    <cfRule type="expression" dxfId="1835" priority="301" stopIfTrue="1">
      <formula>AND(COUNTIF($C$4:$C$65536,B435)+COUNTIF($C$1:$C$2,B435)&gt;1,NOT(ISBLANK(B435)))</formula>
    </cfRule>
  </conditionalFormatting>
  <conditionalFormatting sqref="B436:F436">
    <cfRule type="duplicateValues" dxfId="1834" priority="1572" stopIfTrue="1"/>
    <cfRule type="expression" dxfId="1833" priority="1573" stopIfTrue="1">
      <formula>AND(COUNTIF($B$147:$F$155,B436)+COUNTIF($B$157:$F$65536,B436)+COUNTIF($B$8:$F$9,B436)+COUNTIF($B$11:$F$26,B436)+COUNTIF($B$28:$F$145,B436)+COUNTIF($B$4:$F$4,B436)+COUNTIF($B$1:$F$2,B436)&gt;1,NOT(ISBLANK(B436)))</formula>
    </cfRule>
    <cfRule type="expression" dxfId="1832" priority="1574" stopIfTrue="1">
      <formula>AND(COUNTIF($B$147:$F$155,B436)+COUNTIF($B$157:$F$65536,B436)+COUNTIF($B$8:$F$9,B436)+COUNTIF($B$11:$F$26,B436)+COUNTIF($B$28:$F$145,B436)+COUNTIF($B$4:$F$4,B436)+COUNTIF($B$1:$F$2,B436)&gt;1,NOT(ISBLANK(B436)))</formula>
    </cfRule>
    <cfRule type="expression" dxfId="572" priority="1575" stopIfTrue="1">
      <formula>AND(COUNTIF($B$147:$F$155,B436)+COUNTIF($B$157:$F$65536,B436)+COUNTIF($B$8:$F$9,B436)+COUNTIF($B$11:$F$26,B436)+COUNTIF($B$28:$F$145,B436)+COUNTIF($B$4:$F$4,B436)+COUNTIF($B$1:$F$2,B436)&gt;1,NOT(ISBLANK(B436)))</formula>
    </cfRule>
    <cfRule type="expression" dxfId="571" priority="1576" stopIfTrue="1">
      <formula>AND(COUNTIF($B$8:$F$9,B436)+COUNTIF($B$11:$F$26,B436)+COUNTIF($B$28:$F$65536,B436)+COUNTIF($B$4:$F$4,B436)+COUNTIF($B$1:$F$2,B436)&gt;1,NOT(ISBLANK(B436)))</formula>
    </cfRule>
    <cfRule type="expression" dxfId="570" priority="1577" stopIfTrue="1">
      <formula>AND(COUNTIF($B$8:$F$9,B436)+COUNTIF($B$11:$F$26,B436)+COUNTIF($B$28:$F$65536,B436)+COUNTIF($B$4:$F$4,B436)+COUNTIF($B$1:$F$2,B436)&gt;1,NOT(ISBLANK(B436)))</formula>
    </cfRule>
    <cfRule type="expression" dxfId="569" priority="1578" stopIfTrue="1">
      <formula>AND(COUNTIF($B$8:$F$9,B436)+COUNTIF($B$11:$F$26,B436)+COUNTIF($B$28:$F$65536,B436)+COUNTIF($B$4:$F$4,B436)+COUNTIF($B$1:$F$2,B436)&gt;1,NOT(ISBLANK(B436)))</formula>
    </cfRule>
  </conditionalFormatting>
  <conditionalFormatting sqref="D436">
    <cfRule type="duplicateValues" dxfId="1831" priority="1026" stopIfTrue="1"/>
    <cfRule type="duplicateValues" dxfId="1830" priority="1027" stopIfTrue="1"/>
    <cfRule type="duplicateValues" dxfId="1829" priority="1028" stopIfTrue="1"/>
    <cfRule type="duplicateValues" dxfId="568" priority="1029" stopIfTrue="1"/>
  </conditionalFormatting>
  <conditionalFormatting sqref="E436">
    <cfRule type="duplicateValues" dxfId="1828" priority="942" stopIfTrue="1"/>
    <cfRule type="expression" dxfId="1827" priority="943" stopIfTrue="1">
      <formula>AND(COUNTIF($E$4:$E$65536,E436)+COUNTIF($E$1:$E$2,E436)&gt;1,NOT(ISBLANK(E436)))</formula>
    </cfRule>
    <cfRule type="expression" dxfId="1826" priority="944" stopIfTrue="1">
      <formula>AND(COUNTIF($E$4:$E$65536,E436)+COUNTIF($E$1:$E$2,E436)&gt;1,NOT(ISBLANK(E436)))</formula>
    </cfRule>
    <cfRule type="expression" dxfId="567" priority="945" stopIfTrue="1">
      <formula>AND(COUNTIF($E$147:$E$155,E436)+COUNTIF($E$1:$E$2,E436)+COUNTIF($E$157:$E$65536,E436)+COUNTIF($E$8:$E$9,E436)+COUNTIF($E$11:$E$26,E436)+COUNTIF($E$28:$E$145,E436)+COUNTIF($E$4:$E$4,E436)&gt;1,NOT(ISBLANK(E436)))</formula>
    </cfRule>
    <cfRule type="expression" dxfId="566" priority="946" stopIfTrue="1">
      <formula>AND(COUNTIF($E$8:$E$9,E436)+COUNTIF($E$1:$E$2,E436)+COUNTIF($E$11:$E$26,E436)+COUNTIF($E$28:$E$65536,E436)+COUNTIF($E$4:$E$4,E436)&gt;1,NOT(ISBLANK(E436)))</formula>
    </cfRule>
    <cfRule type="expression" dxfId="565" priority="947" stopIfTrue="1">
      <formula>AND(COUNTIF($E$498:$E$65536,E436)+COUNTIF($E$1:$E$2,E436)+COUNTIF($E$147:$E$155,E436)+COUNTIF($E$157:$E$496,E436)+COUNTIF($E$8:$E$9,E436)+COUNTIF($E$11:$E$26,E436)+COUNTIF($E$28:$E$145,E436)+COUNTIF($E$4:$E$4,E436)&gt;1,NOT(ISBLANK(E436)))</formula>
    </cfRule>
  </conditionalFormatting>
  <conditionalFormatting sqref="F436">
    <cfRule type="duplicateValues" dxfId="1825" priority="948" stopIfTrue="1"/>
    <cfRule type="duplicateValues" dxfId="1824" priority="949" stopIfTrue="1"/>
    <cfRule type="duplicateValues" dxfId="1823" priority="950" stopIfTrue="1"/>
    <cfRule type="duplicateValues" dxfId="564" priority="951" stopIfTrue="1"/>
    <cfRule type="duplicateValues" dxfId="563" priority="952" stopIfTrue="1"/>
    <cfRule type="duplicateValues" dxfId="562" priority="953" stopIfTrue="1"/>
    <cfRule type="expression" dxfId="561" priority="954" stopIfTrue="1">
      <formula>AND(COUNTIF($F$498:$F$65536,F436)+COUNTIF($F$1:$F$2,F436)+COUNTIF($F$147:$F$155,F436)+COUNTIF($F$157:$F$496,F436)+COUNTIF($F$8:$F$9,F436)+COUNTIF($F$11:$F$26,F436)+COUNTIF($F$28:$F$145,F436)+COUNTIF($F$4:$F$4,F436)&gt;1,NOT(ISBLANK(F436)))</formula>
    </cfRule>
    <cfRule type="expression" dxfId="560" priority="955" stopIfTrue="1">
      <formula>AND(COUNTIF($F$498:$F$65536,F436)+COUNTIF($F$1:$F$2,F436)+COUNTIF($F$147:$F$155,F436)+COUNTIF($F$157:$F$496,F436)+COUNTIF($F$8:$F$9,F436)+COUNTIF($F$11:$F$26,F436)+COUNTIF($F$28:$F$145,F436)+COUNTIF($F$4:$F$4,F436)&gt;1,NOT(ISBLANK(F436)))</formula>
    </cfRule>
    <cfRule type="expression" dxfId="559" priority="956" stopIfTrue="1">
      <formula>AND(COUNTIF($F$498:$F$65536,F436)+COUNTIF($F$1:$F$2,F436)+COUNTIF($F$147:$F$155,F436)+COUNTIF($F$157:$F$496,F436)+COUNTIF($F$8:$F$9,F436)+COUNTIF($F$11:$F$26,F436)+COUNTIF($F$28:$F$145,F436)+COUNTIF($F$4:$F$4,F436)&gt;1,NOT(ISBLANK(F436)))</formula>
    </cfRule>
    <cfRule type="duplicateValues" dxfId="558" priority="957" stopIfTrue="1"/>
    <cfRule type="duplicateValues" dxfId="557" priority="958" stopIfTrue="1"/>
    <cfRule type="duplicateValues" dxfId="556" priority="959" stopIfTrue="1"/>
    <cfRule type="duplicateValues" dxfId="555" priority="960" stopIfTrue="1"/>
    <cfRule type="duplicateValues" dxfId="554" priority="961"/>
    <cfRule type="duplicateValues" dxfId="553" priority="962" stopIfTrue="1"/>
  </conditionalFormatting>
  <conditionalFormatting sqref="D437">
    <cfRule type="duplicateValues" dxfId="1822" priority="1381" stopIfTrue="1"/>
  </conditionalFormatting>
  <conditionalFormatting sqref="B438">
    <cfRule type="expression" dxfId="1821" priority="298" stopIfTrue="1">
      <formula>AND(COUNTIF($C$134:$F$142,B438)+COUNTIF($C$144:$F$65536,B438)+COUNTIF($C$8:$F$9,B438)+COUNTIF($C$11:$F$26,B438)+COUNTIF($C$28:$F$132,B438)+COUNTIF($C$4:$F$4,B438)+COUNTIF($C$1:$F$2,B438)&gt;1,NOT(ISBLANK(B438)))</formula>
    </cfRule>
    <cfRule type="expression" dxfId="1820" priority="299" stopIfTrue="1">
      <formula>AND(COUNTIF($C$4:$C$65536,B438)+COUNTIF($C$1:$C$2,B438)&gt;1,NOT(ISBLANK(B438)))</formula>
    </cfRule>
  </conditionalFormatting>
  <conditionalFormatting sqref="D438">
    <cfRule type="duplicateValues" dxfId="1819" priority="1382" stopIfTrue="1"/>
  </conditionalFormatting>
  <conditionalFormatting sqref="D439">
    <cfRule type="duplicateValues" dxfId="1818" priority="1383" stopIfTrue="1"/>
  </conditionalFormatting>
  <conditionalFormatting sqref="D440">
    <cfRule type="duplicateValues" dxfId="1817" priority="1384" stopIfTrue="1"/>
  </conditionalFormatting>
  <conditionalFormatting sqref="B441">
    <cfRule type="expression" dxfId="1816" priority="296" stopIfTrue="1">
      <formula>AND(COUNTIF($C$134:$F$142,B441)+COUNTIF($C$144:$F$65536,B441)+COUNTIF($C$8:$F$9,B441)+COUNTIF($C$11:$F$26,B441)+COUNTIF($C$28:$F$132,B441)+COUNTIF($C$4:$F$4,B441)+COUNTIF($C$1:$F$2,B441)&gt;1,NOT(ISBLANK(B441)))</formula>
    </cfRule>
    <cfRule type="expression" dxfId="1815" priority="297" stopIfTrue="1">
      <formula>AND(COUNTIF($C$4:$C$65536,B441)+COUNTIF($C$1:$C$2,B441)&gt;1,NOT(ISBLANK(B441)))</formula>
    </cfRule>
  </conditionalFormatting>
  <conditionalFormatting sqref="D441">
    <cfRule type="duplicateValues" dxfId="1814" priority="1385" stopIfTrue="1"/>
  </conditionalFormatting>
  <conditionalFormatting sqref="D442">
    <cfRule type="duplicateValues" dxfId="1813" priority="1323" stopIfTrue="1"/>
  </conditionalFormatting>
  <conditionalFormatting sqref="B444">
    <cfRule type="expression" dxfId="1812" priority="294" stopIfTrue="1">
      <formula>AND(COUNTIF($C$134:$F$142,B444)+COUNTIF($C$144:$F$65536,B444)+COUNTIF($C$8:$F$9,B444)+COUNTIF($C$11:$F$26,B444)+COUNTIF($C$28:$F$132,B444)+COUNTIF($C$4:$F$4,B444)+COUNTIF($C$1:$F$2,B444)&gt;1,NOT(ISBLANK(B444)))</formula>
    </cfRule>
    <cfRule type="expression" dxfId="1811" priority="295" stopIfTrue="1">
      <formula>AND(COUNTIF($C$4:$C$65536,B444)+COUNTIF($C$1:$C$2,B444)&gt;1,NOT(ISBLANK(B444)))</formula>
    </cfRule>
  </conditionalFormatting>
  <conditionalFormatting sqref="B446">
    <cfRule type="expression" dxfId="1810" priority="292" stopIfTrue="1">
      <formula>AND(COUNTIF($C$134:$F$142,B446)+COUNTIF($C$144:$F$65536,B446)+COUNTIF($C$8:$F$9,B446)+COUNTIF($C$11:$F$26,B446)+COUNTIF($C$28:$F$132,B446)+COUNTIF($C$4:$F$4,B446)+COUNTIF($C$1:$F$2,B446)&gt;1,NOT(ISBLANK(B446)))</formula>
    </cfRule>
    <cfRule type="expression" dxfId="1809" priority="293" stopIfTrue="1">
      <formula>AND(COUNTIF($C$4:$C$65536,B446)+COUNTIF($C$1:$C$2,B446)&gt;1,NOT(ISBLANK(B446)))</formula>
    </cfRule>
  </conditionalFormatting>
  <conditionalFormatting sqref="B448">
    <cfRule type="expression" dxfId="1808" priority="290" stopIfTrue="1">
      <formula>AND(COUNTIF($C$134:$F$142,B448)+COUNTIF($C$144:$F$65536,B448)+COUNTIF($C$8:$F$9,B448)+COUNTIF($C$11:$F$26,B448)+COUNTIF($C$28:$F$132,B448)+COUNTIF($C$4:$F$4,B448)+COUNTIF($C$1:$F$2,B448)&gt;1,NOT(ISBLANK(B448)))</formula>
    </cfRule>
    <cfRule type="expression" dxfId="1807" priority="291" stopIfTrue="1">
      <formula>AND(COUNTIF($C$4:$C$65536,B448)+COUNTIF($C$1:$C$2,B448)&gt;1,NOT(ISBLANK(B448)))</formula>
    </cfRule>
  </conditionalFormatting>
  <conditionalFormatting sqref="B452">
    <cfRule type="expression" dxfId="1806" priority="288" stopIfTrue="1">
      <formula>AND(COUNTIF($C$134:$F$142,B452)+COUNTIF($C$144:$F$65536,B452)+COUNTIF($C$8:$F$9,B452)+COUNTIF($C$11:$F$26,B452)+COUNTIF($C$28:$F$132,B452)+COUNTIF($C$4:$F$4,B452)+COUNTIF($C$1:$F$2,B452)&gt;1,NOT(ISBLANK(B452)))</formula>
    </cfRule>
    <cfRule type="expression" dxfId="1805" priority="289" stopIfTrue="1">
      <formula>AND(COUNTIF($C$4:$C$65536,B452)+COUNTIF($C$1:$C$2,B452)&gt;1,NOT(ISBLANK(B452)))</formula>
    </cfRule>
  </conditionalFormatting>
  <conditionalFormatting sqref="B453">
    <cfRule type="expression" dxfId="1804" priority="633" stopIfTrue="1">
      <formula>AND(COUNTIF($B$4:$B$65536,B453)+COUNTIF($B$1:$B$2,B453)&gt;1,NOT(ISBLANK(B453)))</formula>
    </cfRule>
  </conditionalFormatting>
  <conditionalFormatting sqref="D453">
    <cfRule type="duplicateValues" dxfId="1803" priority="568" stopIfTrue="1"/>
    <cfRule type="duplicateValues" dxfId="1802" priority="571" stopIfTrue="1"/>
    <cfRule type="duplicateValues" dxfId="1801" priority="577" stopIfTrue="1"/>
    <cfRule type="duplicateValues" dxfId="552" priority="586" stopIfTrue="1"/>
    <cfRule type="duplicateValues" dxfId="551" priority="589" stopIfTrue="1"/>
    <cfRule type="duplicateValues" dxfId="550" priority="591" stopIfTrue="1"/>
    <cfRule type="duplicateValues" dxfId="549" priority="592" stopIfTrue="1"/>
    <cfRule type="duplicateValues" dxfId="548" priority="594" stopIfTrue="1"/>
    <cfRule type="duplicateValues" dxfId="547" priority="595" stopIfTrue="1"/>
    <cfRule type="duplicateValues" dxfId="546" priority="602" stopIfTrue="1"/>
    <cfRule type="duplicateValues" dxfId="545" priority="603" stopIfTrue="1"/>
    <cfRule type="duplicateValues" dxfId="544" priority="604" stopIfTrue="1"/>
    <cfRule type="duplicateValues" dxfId="543" priority="605" stopIfTrue="1"/>
    <cfRule type="expression" dxfId="542" priority="614" stopIfTrue="1">
      <formula>AND(COUNTIF($D$134:$D$142,D453)+COUNTIF($D$144:$D$65536,D453)+COUNTIF($D$1:$D$2,D453)+COUNTIF($D$8:$D$9,D453)+COUNTIF($D$11:$D$26,D453)+COUNTIF($D$28:$D$132,D453)+COUNTIF($D$4:$D$4,D453)&gt;1,NOT(ISBLANK(D453)))</formula>
    </cfRule>
    <cfRule type="expression" dxfId="541" priority="615" stopIfTrue="1">
      <formula>AND(COUNTIF($D$1:$D$350,D453)+COUNTIF($D$352:$D$372,D453)+COUNTIF($D$374:$D$65536,D453)&gt;1,NOT(ISBLANK(D453)))</formula>
    </cfRule>
    <cfRule type="expression" dxfId="540" priority="616" stopIfTrue="1">
      <formula>AND(COUNTIF($D$1:$D$350,D453)+COUNTIF($D$352:$D$372,D453)+COUNTIF($D$374:$D$65536,D453)&gt;1,NOT(ISBLANK(D453)))</formula>
    </cfRule>
    <cfRule type="expression" dxfId="539" priority="634" stopIfTrue="1">
      <formula>AND(COUNTIF($D$4:$D$65536,D453)+COUNTIF($D$1:$D$2,D453)&gt;1,NOT(ISBLANK(D453)))</formula>
    </cfRule>
    <cfRule type="expression" dxfId="538" priority="635" stopIfTrue="1">
      <formula>AND(COUNTIF($D$4:$D$65536,D453)+COUNTIF($D$1:$D$2,D453)&gt;1,NOT(ISBLANK(D453)))</formula>
    </cfRule>
    <cfRule type="expression" dxfId="537" priority="636" stopIfTrue="1">
      <formula>AND(COUNTIF($D$4:$D$65536,D453)+COUNTIF($D$1:$D$2,D453)&gt;1,NOT(ISBLANK(D453)))</formula>
    </cfRule>
    <cfRule type="expression" dxfId="536" priority="642" stopIfTrue="1">
      <formula>AND(COUNTIF($D$8:$D$9,D453)+COUNTIF($D$1:$D$2,D453)+COUNTIF($D$11:$D$26,D453)+COUNTIF($D$28:$D$65536,D453)+COUNTIF($D$4:$D$4,D453)&gt;1,NOT(ISBLANK(D453)))</formula>
    </cfRule>
    <cfRule type="expression" dxfId="535" priority="643" stopIfTrue="1">
      <formula>AND(COUNTIF($D$8:$D$9,D453)+COUNTIF($D$1:$D$2,D453)+COUNTIF($D$11:$D$26,D453)+COUNTIF($D$28:$D$65536,D453)+COUNTIF($D$4:$D$4,D453)&gt;1,NOT(ISBLANK(D453)))</formula>
    </cfRule>
    <cfRule type="expression" dxfId="534" priority="644" stopIfTrue="1">
      <formula>AND(COUNTIF($D$8:$D$9,D453)+COUNTIF($D$1:$D$2,D453)+COUNTIF($D$11:$D$26,D453)+COUNTIF($D$28:$D$65536,D453)+COUNTIF($D$4:$D$4,D453)&gt;1,NOT(ISBLANK(D453)))</formula>
    </cfRule>
  </conditionalFormatting>
  <conditionalFormatting sqref="D453:F453">
    <cfRule type="expression" dxfId="1800" priority="624" stopIfTrue="1">
      <formula>AND(COUNTIF($C$134:$F$142,D453)+COUNTIF($C$144:$F$65536,D453)+COUNTIF($C$8:$F$9,D453)+COUNTIF($C$11:$F$26,D453)+COUNTIF($C$28:$F$132,D453)+COUNTIF($C$4:$F$4,D453)+COUNTIF($C$1:$F$2,D453)&gt;1,NOT(ISBLANK(D453)))</formula>
    </cfRule>
    <cfRule type="expression" dxfId="1799" priority="628" stopIfTrue="1">
      <formula>AND(COUNTIF($D$8:$F$9,D453)+COUNTIF($D$1:$F$2,D453)+COUNTIF($D$11:$F$26,D453)+COUNTIF($D$28:$F$65536,D453)+COUNTIF($D$4:$F$4,D453)&gt;1,NOT(ISBLANK(D453)))</formula>
    </cfRule>
    <cfRule type="expression" dxfId="1798" priority="629" stopIfTrue="1">
      <formula>AND(COUNTIF($D$8:$F$9,D453)+COUNTIF($D$1:$F$2,D453)+COUNTIF($D$11:$F$26,D453)+COUNTIF($D$28:$F$65536,D453)+COUNTIF($D$4:$F$4,D453)&gt;1,NOT(ISBLANK(D453)))</formula>
    </cfRule>
    <cfRule type="expression" dxfId="533" priority="630" stopIfTrue="1">
      <formula>AND(COUNTIF($D$8:$F$9,D453)+COUNTIF($D$1:$F$2,D453)+COUNTIF($D$11:$F$26,D453)+COUNTIF($D$28:$F$65536,D453)+COUNTIF($D$4:$F$4,D453)&gt;1,NOT(ISBLANK(D453)))</formula>
    </cfRule>
  </conditionalFormatting>
  <conditionalFormatting sqref="E453:F453">
    <cfRule type="expression" dxfId="1797" priority="631" stopIfTrue="1">
      <formula>AND(COUNTIF($E$8:$F$9,E453)+COUNTIF($E$1:$F$2,E453)+COUNTIF($E$11:$F$26,E453)+COUNTIF($E$28:$F$65536,E453)+COUNTIF($E$4:$F$4,E453)&gt;1,NOT(ISBLANK(E453)))</formula>
    </cfRule>
  </conditionalFormatting>
  <conditionalFormatting sqref="E453">
    <cfRule type="duplicateValues" dxfId="1796" priority="569" stopIfTrue="1"/>
    <cfRule type="duplicateValues" dxfId="1795" priority="575" stopIfTrue="1"/>
    <cfRule type="duplicateValues" dxfId="1794" priority="578" stopIfTrue="1"/>
    <cfRule type="duplicateValues" dxfId="532" priority="581" stopIfTrue="1"/>
    <cfRule type="duplicateValues" dxfId="531" priority="582" stopIfTrue="1"/>
    <cfRule type="duplicateValues" dxfId="530" priority="583" stopIfTrue="1"/>
    <cfRule type="duplicateValues" dxfId="529" priority="584" stopIfTrue="1"/>
    <cfRule type="duplicateValues" dxfId="528" priority="590" stopIfTrue="1"/>
    <cfRule type="expression" dxfId="527" priority="606" stopIfTrue="1">
      <formula>AND(COUNTIF($E$486:$E$65536,E453)+COUNTIF($E$1:$E$2,E453)+COUNTIF($E$134:$E$142,E453)+COUNTIF($E$144:$E$483,E453)+COUNTIF($E$8:$E$9,E453)+COUNTIF($E$11:$E$26,E453)+COUNTIF($E$28:$E$132,E453)+COUNTIF($E$4:$E$4,E453)&gt;1,NOT(ISBLANK(E453)))</formula>
    </cfRule>
    <cfRule type="expression" dxfId="526" priority="607" stopIfTrue="1">
      <formula>AND(COUNTIF($E$134:$E$142,E453)+COUNTIF($E$1:$E$2,E453)+COUNTIF($E$144:$E$65536,E453)+COUNTIF($E$8:$E$9,E453)+COUNTIF($E$11:$E$26,E453)+COUNTIF($E$28:$E$132,E453)+COUNTIF($E$4:$E$4,E453)&gt;1,NOT(ISBLANK(E453)))</formula>
    </cfRule>
    <cfRule type="expression" dxfId="525" priority="637" stopIfTrue="1">
      <formula>AND(COUNTIF($E$4:$E$65536,E453)+COUNTIF($E$1:$E$2,E453)&gt;1,NOT(ISBLANK(E453)))</formula>
    </cfRule>
    <cfRule type="expression" dxfId="524" priority="638" stopIfTrue="1">
      <formula>AND(COUNTIF($E$4:$E$65536,E453)+COUNTIF($E$1:$E$2,E453)&gt;1,NOT(ISBLANK(E453)))</formula>
    </cfRule>
    <cfRule type="expression" dxfId="523" priority="645" stopIfTrue="1">
      <formula>AND(COUNTIF($E$8:$E$9,E453)+COUNTIF($E$1:$E$2,E453)+COUNTIF($E$11:$E$26,E453)+COUNTIF($E$28:$E$65536,E453)+COUNTIF($E$4:$E$4,E453)&gt;1,NOT(ISBLANK(E453)))</formula>
    </cfRule>
  </conditionalFormatting>
  <conditionalFormatting sqref="F453">
    <cfRule type="duplicateValues" dxfId="1793" priority="570" stopIfTrue="1"/>
    <cfRule type="duplicateValues" dxfId="1792" priority="572" stopIfTrue="1"/>
    <cfRule type="duplicateValues" dxfId="1791" priority="573" stopIfTrue="1"/>
    <cfRule type="duplicateValues" dxfId="522" priority="574" stopIfTrue="1"/>
    <cfRule type="duplicateValues" dxfId="521" priority="576" stopIfTrue="1"/>
    <cfRule type="duplicateValues" dxfId="520" priority="579" stopIfTrue="1"/>
    <cfRule type="duplicateValues" dxfId="519" priority="580" stopIfTrue="1"/>
    <cfRule type="duplicateValues" dxfId="518" priority="585" stopIfTrue="1"/>
    <cfRule type="duplicateValues" dxfId="517" priority="587" stopIfTrue="1"/>
    <cfRule type="duplicateValues" dxfId="516" priority="588" stopIfTrue="1"/>
    <cfRule type="duplicateValues" dxfId="515" priority="593" stopIfTrue="1"/>
    <cfRule type="duplicateValues" dxfId="514" priority="596"/>
    <cfRule type="duplicateValues" dxfId="513" priority="597" stopIfTrue="1"/>
    <cfRule type="duplicateValues" dxfId="512" priority="598" stopIfTrue="1"/>
    <cfRule type="duplicateValues" dxfId="511" priority="599" stopIfTrue="1"/>
    <cfRule type="duplicateValues" dxfId="510" priority="600" stopIfTrue="1"/>
    <cfRule type="duplicateValues" dxfId="509" priority="601" stopIfTrue="1"/>
    <cfRule type="expression" dxfId="508" priority="608" stopIfTrue="1">
      <formula>AND(COUNTIF($F$486:$F$65536,F453)+COUNTIF($F$1:$F$2,F453)+COUNTIF($F$134:$F$142,F453)+COUNTIF($F$144:$F$483,F453)+COUNTIF($F$8:$F$9,F453)+COUNTIF($F$11:$F$26,F453)+COUNTIF($F$28:$F$132,F453)+COUNTIF($F$4:$F$4,F453)&gt;1,NOT(ISBLANK(F453)))</formula>
    </cfRule>
    <cfRule type="expression" dxfId="507" priority="609" stopIfTrue="1">
      <formula>AND(COUNTIF($F$486:$F$65536,F453)+COUNTIF($F$1:$F$2,F453)+COUNTIF($F$134:$F$142,F453)+COUNTIF($F$144:$F$483,F453)+COUNTIF($F$8:$F$9,F453)+COUNTIF($F$11:$F$26,F453)+COUNTIF($F$28:$F$132,F453)+COUNTIF($F$4:$F$4,F453)&gt;1,NOT(ISBLANK(F453)))</formula>
    </cfRule>
    <cfRule type="expression" dxfId="506" priority="610" stopIfTrue="1">
      <formula>AND(COUNTIF($F$486:$F$65536,F453)+COUNTIF($F$1:$F$2,F453)+COUNTIF($F$134:$F$142,F453)+COUNTIF($F$144:$F$483,F453)+COUNTIF($F$8:$F$9,F453)+COUNTIF($F$11:$F$26,F453)+COUNTIF($F$28:$F$132,F453)+COUNTIF($F$4:$F$4,F453)&gt;1,NOT(ISBLANK(F453)))</formula>
    </cfRule>
    <cfRule type="expression" dxfId="505" priority="611" stopIfTrue="1">
      <formula>AND(COUNTIF($F$134:$F$142,F453)+COUNTIF($F$1:$F$2,F453)+COUNTIF($F$144:$F$65536,F453)+COUNTIF($F$8:$F$9,F453)+COUNTIF($F$11:$F$26,F453)+COUNTIF($F$28:$F$132,F453)+COUNTIF($F$4:$F$4,F453)&gt;1,NOT(ISBLANK(F453)))</formula>
    </cfRule>
    <cfRule type="expression" dxfId="504" priority="612" stopIfTrue="1">
      <formula>AND(COUNTIF($F$134:$F$142,F453)+COUNTIF($F$1:$F$2,F453)+COUNTIF($F$144:$F$65536,F453)+COUNTIF($F$8:$F$9,F453)+COUNTIF($F$11:$F$26,F453)+COUNTIF($F$28:$F$132,F453)+COUNTIF($F$4:$F$4,F453)&gt;1,NOT(ISBLANK(F453)))</formula>
    </cfRule>
    <cfRule type="expression" dxfId="503" priority="613" stopIfTrue="1">
      <formula>AND(COUNTIF($F$134:$F$142,F453)+COUNTIF($F$1:$F$2,F453)+COUNTIF($F$144:$F$65536,F453)+COUNTIF($F$8:$F$9,F453)+COUNTIF($F$11:$F$26,F453)+COUNTIF($F$28:$F$132,F453)+COUNTIF($F$4:$F$4,F453)&gt;1,NOT(ISBLANK(F453)))</formula>
    </cfRule>
    <cfRule type="expression" dxfId="502" priority="617" stopIfTrue="1">
      <formula>AND(COUNTIF($F$4:$F$65536,F453)+COUNTIF($F$1:$F$2,F453)&gt;1,NOT(ISBLANK(F453)))</formula>
    </cfRule>
    <cfRule type="expression" dxfId="501" priority="618" stopIfTrue="1">
      <formula>AND(COUNTIF($F$4:$F$65536,F453)+COUNTIF($F$1:$F$2,F453)&gt;1,NOT(ISBLANK(F453)))</formula>
    </cfRule>
    <cfRule type="expression" dxfId="500" priority="619" stopIfTrue="1">
      <formula>AND(COUNTIF($F$8:$F$9,F453)+COUNTIF($F$1:$F$2,F453)+COUNTIF($F$11:$F$26,F453)+COUNTIF($F$28:$F$65536,F453)+COUNTIF($F$4:$F$4,F453)&gt;1,NOT(ISBLANK(F453)))</formula>
    </cfRule>
    <cfRule type="expression" dxfId="499" priority="620" stopIfTrue="1">
      <formula>AND(COUNTIF($F$8:$F$9,F453)+COUNTIF($F$1:$F$2,F453)+COUNTIF($F$11:$F$26,F453)+COUNTIF($F$28:$F$65536,F453)+COUNTIF($F$4:$F$4,F453)&gt;1,NOT(ISBLANK(F453)))</formula>
    </cfRule>
    <cfRule type="expression" dxfId="498" priority="621" stopIfTrue="1">
      <formula>AND(COUNTIF($F$8:$F$9,F453)+COUNTIF($F$1:$F$2,F453)+COUNTIF($F$11:$F$26,F453)+COUNTIF($F$28:$F$65536,F453)+COUNTIF($F$4:$F$4,F453)&gt;1,NOT(ISBLANK(F453)))</formula>
    </cfRule>
    <cfRule type="duplicateValues" dxfId="497" priority="623" stopIfTrue="1"/>
  </conditionalFormatting>
  <conditionalFormatting sqref="B458">
    <cfRule type="expression" dxfId="1790" priority="284" stopIfTrue="1">
      <formula>AND(COUNTIF($C$134:$F$142,B458)+COUNTIF($C$144:$F$65536,B458)+COUNTIF($C$8:$F$9,B458)+COUNTIF($C$11:$F$26,B458)+COUNTIF($C$28:$F$132,B458)+COUNTIF($C$4:$F$4,B458)+COUNTIF($C$1:$F$2,B458)&gt;1,NOT(ISBLANK(B458)))</formula>
    </cfRule>
    <cfRule type="expression" dxfId="1789" priority="285" stopIfTrue="1">
      <formula>AND(COUNTIF($C$4:$C$65536,B458)+COUNTIF($C$1:$C$2,B458)&gt;1,NOT(ISBLANK(B458)))</formula>
    </cfRule>
  </conditionalFormatting>
  <conditionalFormatting sqref="B460">
    <cfRule type="expression" dxfId="1788" priority="282" stopIfTrue="1">
      <formula>AND(COUNTIF($C$134:$F$142,B460)+COUNTIF($C$144:$F$65536,B460)+COUNTIF($C$8:$F$9,B460)+COUNTIF($C$11:$F$26,B460)+COUNTIF($C$28:$F$132,B460)+COUNTIF($C$4:$F$4,B460)+COUNTIF($C$1:$F$2,B460)&gt;1,NOT(ISBLANK(B460)))</formula>
    </cfRule>
    <cfRule type="expression" dxfId="1787" priority="283" stopIfTrue="1">
      <formula>AND(COUNTIF($C$4:$C$65536,B460)+COUNTIF($C$1:$C$2,B460)&gt;1,NOT(ISBLANK(B460)))</formula>
    </cfRule>
  </conditionalFormatting>
  <conditionalFormatting sqref="B465">
    <cfRule type="expression" dxfId="1786" priority="278" stopIfTrue="1">
      <formula>AND(COUNTIF($C$134:$F$142,B465)+COUNTIF($C$144:$F$65536,B465)+COUNTIF($C$8:$F$9,B465)+COUNTIF($C$11:$F$26,B465)+COUNTIF($C$28:$F$132,B465)+COUNTIF($C$4:$F$4,B465)+COUNTIF($C$1:$F$2,B465)&gt;1,NOT(ISBLANK(B465)))</formula>
    </cfRule>
    <cfRule type="expression" dxfId="1785" priority="279" stopIfTrue="1">
      <formula>AND(COUNTIF($C$4:$C$65536,B465)+COUNTIF($C$1:$C$2,B465)&gt;1,NOT(ISBLANK(B465)))</formula>
    </cfRule>
  </conditionalFormatting>
  <conditionalFormatting sqref="B473">
    <cfRule type="expression" dxfId="1784" priority="274" stopIfTrue="1">
      <formula>AND(COUNTIF($C$134:$F$142,B473)+COUNTIF($C$144:$F$65536,B473)+COUNTIF($C$8:$F$9,B473)+COUNTIF($C$11:$F$26,B473)+COUNTIF($C$28:$F$132,B473)+COUNTIF($C$4:$F$4,B473)+COUNTIF($C$1:$F$2,B473)&gt;1,NOT(ISBLANK(B473)))</formula>
    </cfRule>
    <cfRule type="expression" dxfId="1783" priority="275" stopIfTrue="1">
      <formula>AND(COUNTIF($C$4:$C$65536,B473)+COUNTIF($C$1:$C$2,B473)&gt;1,NOT(ISBLANK(B473)))</formula>
    </cfRule>
  </conditionalFormatting>
  <conditionalFormatting sqref="D481">
    <cfRule type="duplicateValues" dxfId="1782" priority="1178" stopIfTrue="1"/>
    <cfRule type="duplicateValues" dxfId="1781" priority="1180" stopIfTrue="1"/>
    <cfRule type="duplicateValues" dxfId="1780" priority="1181" stopIfTrue="1"/>
    <cfRule type="duplicateValues" dxfId="496" priority="1183" stopIfTrue="1"/>
    <cfRule type="duplicateValues" dxfId="495" priority="1184" stopIfTrue="1"/>
    <cfRule type="duplicateValues" dxfId="494" priority="1191" stopIfTrue="1"/>
    <cfRule type="duplicateValues" dxfId="493" priority="1192" stopIfTrue="1"/>
    <cfRule type="duplicateValues" dxfId="492" priority="1193" stopIfTrue="1"/>
    <cfRule type="duplicateValues" dxfId="491" priority="1194" stopIfTrue="1"/>
  </conditionalFormatting>
  <conditionalFormatting sqref="E481">
    <cfRule type="duplicateValues" dxfId="1779" priority="1179" stopIfTrue="1"/>
  </conditionalFormatting>
  <conditionalFormatting sqref="F481">
    <cfRule type="duplicateValues" dxfId="1778" priority="1177" stopIfTrue="1"/>
    <cfRule type="duplicateValues" dxfId="1777" priority="1182" stopIfTrue="1"/>
    <cfRule type="duplicateValues" dxfId="1776" priority="1185"/>
    <cfRule type="duplicateValues" dxfId="490" priority="1186" stopIfTrue="1"/>
    <cfRule type="duplicateValues" dxfId="489" priority="1187" stopIfTrue="1"/>
    <cfRule type="duplicateValues" dxfId="488" priority="1188" stopIfTrue="1"/>
    <cfRule type="duplicateValues" dxfId="487" priority="1189" stopIfTrue="1"/>
    <cfRule type="duplicateValues" dxfId="486" priority="1190" stopIfTrue="1"/>
  </conditionalFormatting>
  <conditionalFormatting sqref="B483">
    <cfRule type="expression" dxfId="1775" priority="270" stopIfTrue="1">
      <formula>AND(COUNTIF($C$134:$F$142,B483)+COUNTIF($C$144:$F$65536,B483)+COUNTIF($C$8:$F$9,B483)+COUNTIF($C$11:$F$26,B483)+COUNTIF($C$28:$F$132,B483)+COUNTIF($C$4:$F$4,B483)+COUNTIF($C$1:$F$2,B483)&gt;1,NOT(ISBLANK(B483)))</formula>
    </cfRule>
    <cfRule type="expression" dxfId="1774" priority="271" stopIfTrue="1">
      <formula>AND(COUNTIF($C$4:$C$65536,B483)+COUNTIF($C$1:$C$2,B483)&gt;1,NOT(ISBLANK(B483)))</formula>
    </cfRule>
  </conditionalFormatting>
  <conditionalFormatting sqref="B484">
    <cfRule type="expression" dxfId="1773" priority="268" stopIfTrue="1">
      <formula>AND(COUNTIF($C$134:$F$142,B484)+COUNTIF($C$144:$F$65536,B484)+COUNTIF($C$8:$F$9,B484)+COUNTIF($C$11:$F$26,B484)+COUNTIF($C$28:$F$132,B484)+COUNTIF($C$4:$F$4,B484)+COUNTIF($C$1:$F$2,B484)&gt;1,NOT(ISBLANK(B484)))</formula>
    </cfRule>
    <cfRule type="expression" dxfId="1772" priority="269" stopIfTrue="1">
      <formula>AND(COUNTIF($C$4:$C$65536,B484)+COUNTIF($C$1:$C$2,B484)&gt;1,NOT(ISBLANK(B484)))</formula>
    </cfRule>
  </conditionalFormatting>
  <conditionalFormatting sqref="D485">
    <cfRule type="duplicateValues" dxfId="1771" priority="1683" stopIfTrue="1"/>
    <cfRule type="duplicateValues" dxfId="1770" priority="1684" stopIfTrue="1"/>
    <cfRule type="duplicateValues" dxfId="1769" priority="1685" stopIfTrue="1"/>
    <cfRule type="duplicateValues" dxfId="485" priority="1686" stopIfTrue="1"/>
    <cfRule type="duplicateValues" dxfId="484" priority="1687" stopIfTrue="1"/>
    <cfRule type="expression" dxfId="483" priority="1688" stopIfTrue="1">
      <formula>AND(COUNTIF($D$4:$D$65536,D485)+COUNTIF($D$1:$D$2,D485)&gt;1,NOT(ISBLANK(D485)))</formula>
    </cfRule>
    <cfRule type="expression" dxfId="482" priority="1689" stopIfTrue="1">
      <formula>AND(COUNTIF($D$4:$D$65536,D485)+COUNTIF($D$1:$D$2,D485)&gt;1,NOT(ISBLANK(D485)))</formula>
    </cfRule>
    <cfRule type="expression" dxfId="481" priority="1690" stopIfTrue="1">
      <formula>AND(COUNTIF($D$4:$D$65536,D485)+COUNTIF($D$1:$D$2,D485)&gt;1,NOT(ISBLANK(D485)))</formula>
    </cfRule>
    <cfRule type="expression" dxfId="480" priority="1691" stopIfTrue="1">
      <formula>AND(COUNTIF($D$8:$D$9,D485)+COUNTIF($D$1:$D$2,D485)+COUNTIF($D$11:$D$26,D485)+COUNTIF($D$28:$D$65536,D485)+COUNTIF($D$4:$D$4,D485)&gt;1,NOT(ISBLANK(D485)))</formula>
    </cfRule>
    <cfRule type="expression" dxfId="479" priority="1692" stopIfTrue="1">
      <formula>AND(COUNTIF($D$8:$D$9,D485)+COUNTIF($D$1:$D$2,D485)+COUNTIF($D$11:$D$26,D485)+COUNTIF($D$28:$D$65536,D485)+COUNTIF($D$4:$D$4,D485)&gt;1,NOT(ISBLANK(D485)))</formula>
    </cfRule>
    <cfRule type="expression" dxfId="478" priority="1693" stopIfTrue="1">
      <formula>AND(COUNTIF($D$8:$D$9,D485)+COUNTIF($D$1:$D$2,D485)+COUNTIF($D$11:$D$26,D485)+COUNTIF($D$28:$D$65536,D485)+COUNTIF($D$4:$D$4,D485)&gt;1,NOT(ISBLANK(D485)))</formula>
    </cfRule>
    <cfRule type="expression" dxfId="477" priority="1694" stopIfTrue="1">
      <formula>AND(COUNTIF($D$134:$D$142,D485)+COUNTIF($D$144:$D$65536,D485)+COUNTIF($D$1:$D$2,D485)+COUNTIF($D$8:$D$9,D485)+COUNTIF($D$11:$D$26,D485)+COUNTIF($D$28:$D$132,D485)+COUNTIF($D$4:$D$4,D485)&gt;1,NOT(ISBLANK(D485)))</formula>
    </cfRule>
    <cfRule type="expression" dxfId="476" priority="1695" stopIfTrue="1">
      <formula>AND(COUNTIF($D$1:$D$350,D485)+COUNTIF($D$352:$D$372,D485)+COUNTIF($D$374:$D$65536,D485)&gt;1,NOT(ISBLANK(D485)))</formula>
    </cfRule>
    <cfRule type="expression" dxfId="475" priority="1696" stopIfTrue="1">
      <formula>AND(COUNTIF($D$1:$D$350,D485)+COUNTIF($D$352:$D$372,D485)+COUNTIF($D$374:$D$65536,D485)&gt;1,NOT(ISBLANK(D485)))</formula>
    </cfRule>
    <cfRule type="duplicateValues" dxfId="474" priority="1697" stopIfTrue="1"/>
    <cfRule type="duplicateValues" dxfId="473" priority="1698" stopIfTrue="1"/>
    <cfRule type="duplicateValues" dxfId="472" priority="1699" stopIfTrue="1"/>
    <cfRule type="duplicateValues" dxfId="471" priority="1700" stopIfTrue="1"/>
  </conditionalFormatting>
  <conditionalFormatting sqref="F485">
    <cfRule type="duplicateValues" dxfId="1768" priority="1597" stopIfTrue="1"/>
    <cfRule type="expression" dxfId="1767" priority="1598" stopIfTrue="1">
      <formula>AND(COUNTIF($F$4:$F$65536,F485)+COUNTIF($F$1:$F$2,F485)&gt;1,NOT(ISBLANK(F485)))</formula>
    </cfRule>
    <cfRule type="expression" dxfId="1766" priority="1599" stopIfTrue="1">
      <formula>AND(COUNTIF($F$4:$F$65536,F485)+COUNTIF($F$1:$F$2,F485)&gt;1,NOT(ISBLANK(F485)))</formula>
    </cfRule>
    <cfRule type="expression" dxfId="470" priority="1600" stopIfTrue="1">
      <formula>AND(COUNTIF($F$8:$F$9,F485)+COUNTIF($F$1:$F$2,F485)+COUNTIF($F$11:$F$26,F485)+COUNTIF($F$28:$F$65536,F485)+COUNTIF($F$4:$F$4,F485)&gt;1,NOT(ISBLANK(F485)))</formula>
    </cfRule>
    <cfRule type="expression" dxfId="469" priority="1601" stopIfTrue="1">
      <formula>AND(COUNTIF($F$8:$F$9,F485)+COUNTIF($F$1:$F$2,F485)+COUNTIF($F$11:$F$26,F485)+COUNTIF($F$28:$F$65536,F485)+COUNTIF($F$4:$F$4,F485)&gt;1,NOT(ISBLANK(F485)))</formula>
    </cfRule>
    <cfRule type="expression" dxfId="468" priority="1602" stopIfTrue="1">
      <formula>AND(COUNTIF($F$8:$F$9,F485)+COUNTIF($F$1:$F$2,F485)+COUNTIF($F$11:$F$26,F485)+COUNTIF($F$28:$F$65536,F485)+COUNTIF($F$4:$F$4,F485)&gt;1,NOT(ISBLANK(F485)))</formula>
    </cfRule>
    <cfRule type="expression" dxfId="467" priority="1603" stopIfTrue="1">
      <formula>AND(COUNTIF($F$486:$F$65536,F485)+COUNTIF($F$1:$F$2,F485)+COUNTIF($F$134:$F$142,F485)+COUNTIF($F$144:$F$483,F485)+COUNTIF($F$8:$F$9,F485)+COUNTIF($F$11:$F$26,F485)+COUNTIF($F$28:$F$132,F485)+COUNTIF($F$4:$F$4,F485)&gt;1,NOT(ISBLANK(F485)))</formula>
    </cfRule>
    <cfRule type="expression" dxfId="466" priority="1604" stopIfTrue="1">
      <formula>AND(COUNTIF($F$486:$F$65536,F485)+COUNTIF($F$1:$F$2,F485)+COUNTIF($F$134:$F$142,F485)+COUNTIF($F$144:$F$483,F485)+COUNTIF($F$8:$F$9,F485)+COUNTIF($F$11:$F$26,F485)+COUNTIF($F$28:$F$132,F485)+COUNTIF($F$4:$F$4,F485)&gt;1,NOT(ISBLANK(F485)))</formula>
    </cfRule>
    <cfRule type="expression" dxfId="465" priority="1605" stopIfTrue="1">
      <formula>AND(COUNTIF($F$486:$F$65536,F485)+COUNTIF($F$1:$F$2,F485)+COUNTIF($F$134:$F$142,F485)+COUNTIF($F$144:$F$483,F485)+COUNTIF($F$8:$F$9,F485)+COUNTIF($F$11:$F$26,F485)+COUNTIF($F$28:$F$132,F485)+COUNTIF($F$4:$F$4,F485)&gt;1,NOT(ISBLANK(F485)))</formula>
    </cfRule>
    <cfRule type="expression" dxfId="464" priority="1606" stopIfTrue="1">
      <formula>AND(COUNTIF($F$134:$F$142,F485)+COUNTIF($F$1:$F$2,F485)+COUNTIF($F$144:$F$65536,F485)+COUNTIF($F$8:$F$9,F485)+COUNTIF($F$11:$F$26,F485)+COUNTIF($F$28:$F$132,F485)+COUNTIF($F$4:$F$4,F485)&gt;1,NOT(ISBLANK(F485)))</formula>
    </cfRule>
    <cfRule type="expression" dxfId="463" priority="1607" stopIfTrue="1">
      <formula>AND(COUNTIF($F$134:$F$142,F485)+COUNTIF($F$1:$F$2,F485)+COUNTIF($F$144:$F$65536,F485)+COUNTIF($F$8:$F$9,F485)+COUNTIF($F$11:$F$26,F485)+COUNTIF($F$28:$F$132,F485)+COUNTIF($F$4:$F$4,F485)&gt;1,NOT(ISBLANK(F485)))</formula>
    </cfRule>
    <cfRule type="expression" dxfId="462" priority="1608" stopIfTrue="1">
      <formula>AND(COUNTIF($F$134:$F$142,F485)+COUNTIF($F$1:$F$2,F485)+COUNTIF($F$144:$F$65536,F485)+COUNTIF($F$8:$F$9,F485)+COUNTIF($F$11:$F$26,F485)+COUNTIF($F$28:$F$132,F485)+COUNTIF($F$4:$F$4,F485)&gt;1,NOT(ISBLANK(F485)))</formula>
    </cfRule>
  </conditionalFormatting>
  <conditionalFormatting sqref="C487">
    <cfRule type="expression" dxfId="1765" priority="566" stopIfTrue="1">
      <formula>AND(COUNTIF($C$4:$C$65536,C487)+COUNTIF($C$1:$C$2,C487)&gt;1,NOT(ISBLANK(C487)))</formula>
    </cfRule>
  </conditionalFormatting>
  <conditionalFormatting sqref="D487:F487">
    <cfRule type="expression" dxfId="1764" priority="912" stopIfTrue="1">
      <formula>AND(COUNTIF($B$379:$F$472,D487)+COUNTIF($C$473:$F$474,D487)&gt;1,NOT(ISBLANK(D487)))</formula>
    </cfRule>
  </conditionalFormatting>
  <conditionalFormatting sqref="D487">
    <cfRule type="duplicateValues" dxfId="1763" priority="883" stopIfTrue="1"/>
    <cfRule type="duplicateValues" dxfId="1762" priority="892" stopIfTrue="1"/>
    <cfRule type="duplicateValues" dxfId="1761" priority="895" stopIfTrue="1"/>
    <cfRule type="duplicateValues" dxfId="461" priority="897" stopIfTrue="1"/>
    <cfRule type="duplicateValues" dxfId="460" priority="898" stopIfTrue="1"/>
    <cfRule type="duplicateValues" dxfId="459" priority="900" stopIfTrue="1"/>
    <cfRule type="duplicateValues" dxfId="458" priority="901" stopIfTrue="1"/>
    <cfRule type="duplicateValues" dxfId="457" priority="908" stopIfTrue="1"/>
    <cfRule type="duplicateValues" dxfId="456" priority="909" stopIfTrue="1"/>
    <cfRule type="duplicateValues" dxfId="455" priority="910" stopIfTrue="1"/>
    <cfRule type="duplicateValues" dxfId="454" priority="911" stopIfTrue="1"/>
  </conditionalFormatting>
  <conditionalFormatting sqref="E487">
    <cfRule type="duplicateValues" dxfId="1760" priority="884" stopIfTrue="1"/>
    <cfRule type="duplicateValues" dxfId="1759" priority="887" stopIfTrue="1"/>
    <cfRule type="duplicateValues" dxfId="1758" priority="888" stopIfTrue="1"/>
    <cfRule type="duplicateValues" dxfId="453" priority="889" stopIfTrue="1"/>
    <cfRule type="duplicateValues" dxfId="452" priority="890" stopIfTrue="1"/>
    <cfRule type="duplicateValues" dxfId="451" priority="896" stopIfTrue="1"/>
  </conditionalFormatting>
  <conditionalFormatting sqref="F487">
    <cfRule type="duplicateValues" dxfId="1757" priority="882" stopIfTrue="1"/>
    <cfRule type="duplicateValues" dxfId="1756" priority="885" stopIfTrue="1"/>
    <cfRule type="duplicateValues" dxfId="1755" priority="886" stopIfTrue="1"/>
    <cfRule type="duplicateValues" dxfId="450" priority="891" stopIfTrue="1"/>
    <cfRule type="duplicateValues" dxfId="449" priority="893" stopIfTrue="1"/>
    <cfRule type="duplicateValues" dxfId="448" priority="894" stopIfTrue="1"/>
    <cfRule type="duplicateValues" dxfId="447" priority="899" stopIfTrue="1"/>
    <cfRule type="duplicateValues" dxfId="446" priority="902"/>
    <cfRule type="duplicateValues" dxfId="445" priority="903" stopIfTrue="1"/>
    <cfRule type="duplicateValues" dxfId="444" priority="904" stopIfTrue="1"/>
    <cfRule type="duplicateValues" dxfId="443" priority="905" stopIfTrue="1"/>
    <cfRule type="duplicateValues" dxfId="442" priority="906" stopIfTrue="1"/>
    <cfRule type="duplicateValues" dxfId="441" priority="907" stopIfTrue="1"/>
    <cfRule type="duplicateValues" dxfId="440" priority="913" stopIfTrue="1"/>
  </conditionalFormatting>
  <conditionalFormatting sqref="C488">
    <cfRule type="expression" dxfId="1754" priority="85" stopIfTrue="1">
      <formula>AND(COUNTIF($C$4:$C$65536,C488)+COUNTIF($C$1:$C$2,C488)&gt;1,NOT(ISBLANK(C488)))</formula>
    </cfRule>
  </conditionalFormatting>
  <conditionalFormatting sqref="C489">
    <cfRule type="expression" dxfId="1753" priority="18610" stopIfTrue="1">
      <formula>AND(COUNTIF($B$4:$B$65536,C489)+COUNTIF($B$1:$B$2,C489)&gt;1,NOT(ISBLANK(C489)))</formula>
    </cfRule>
  </conditionalFormatting>
  <conditionalFormatting sqref="B490:F490">
    <cfRule type="duplicateValues" dxfId="1752" priority="25159" stopIfTrue="1"/>
    <cfRule type="duplicateValues" dxfId="1751" priority="25163" stopIfTrue="1"/>
    <cfRule type="duplicateValues" dxfId="1750" priority="25181" stopIfTrue="1"/>
    <cfRule type="duplicateValues" dxfId="439" priority="25182" stopIfTrue="1"/>
    <cfRule type="duplicateValues" dxfId="438" priority="25185" stopIfTrue="1"/>
    <cfRule type="duplicateValues" dxfId="437" priority="25194" stopIfTrue="1"/>
  </conditionalFormatting>
  <conditionalFormatting sqref="C490:F490">
    <cfRule type="duplicateValues" dxfId="1749" priority="25176" stopIfTrue="1"/>
  </conditionalFormatting>
  <conditionalFormatting sqref="D490">
    <cfRule type="duplicateValues" dxfId="1748" priority="25157" stopIfTrue="1"/>
    <cfRule type="duplicateValues" dxfId="1747" priority="25162" stopIfTrue="1"/>
    <cfRule type="duplicateValues" dxfId="1746" priority="25172" stopIfTrue="1"/>
    <cfRule type="duplicateValues" dxfId="436" priority="25173" stopIfTrue="1"/>
    <cfRule type="duplicateValues" dxfId="435" priority="25179" stopIfTrue="1"/>
  </conditionalFormatting>
  <conditionalFormatting sqref="D490:F490">
    <cfRule type="duplicateValues" dxfId="1745" priority="25164" stopIfTrue="1"/>
    <cfRule type="duplicateValues" dxfId="1744" priority="25166" stopIfTrue="1"/>
    <cfRule type="duplicateValues" dxfId="1743" priority="25168" stopIfTrue="1"/>
  </conditionalFormatting>
  <conditionalFormatting sqref="E490">
    <cfRule type="duplicateValues" dxfId="1742" priority="25161" stopIfTrue="1"/>
    <cfRule type="duplicateValues" dxfId="1741" priority="25171" stopIfTrue="1"/>
    <cfRule type="duplicateValues" dxfId="1740" priority="25178" stopIfTrue="1"/>
    <cfRule type="duplicateValues" dxfId="434" priority="25186" stopIfTrue="1"/>
  </conditionalFormatting>
  <conditionalFormatting sqref="E490:F490">
    <cfRule type="duplicateValues" dxfId="1739" priority="25165" stopIfTrue="1"/>
  </conditionalFormatting>
  <conditionalFormatting sqref="F490">
    <cfRule type="duplicateValues" dxfId="1738" priority="25158" stopIfTrue="1"/>
    <cfRule type="duplicateValues" dxfId="1737" priority="25160" stopIfTrue="1"/>
    <cfRule type="duplicateValues" dxfId="1736" priority="25167" stopIfTrue="1"/>
    <cfRule type="duplicateValues" dxfId="433" priority="25169" stopIfTrue="1"/>
    <cfRule type="duplicateValues" dxfId="432" priority="25170" stopIfTrue="1"/>
    <cfRule type="duplicateValues" dxfId="431" priority="25174" stopIfTrue="1"/>
    <cfRule type="duplicateValues" dxfId="430" priority="25175" stopIfTrue="1"/>
    <cfRule type="duplicateValues" dxfId="429" priority="25177" stopIfTrue="1"/>
    <cfRule type="duplicateValues" dxfId="428" priority="25180" stopIfTrue="1"/>
    <cfRule type="duplicateValues" dxfId="427" priority="25183" stopIfTrue="1"/>
    <cfRule type="duplicateValues" dxfId="426" priority="25184" stopIfTrue="1"/>
    <cfRule type="duplicateValues" dxfId="425" priority="25187" stopIfTrue="1"/>
    <cfRule type="duplicateValues" dxfId="424" priority="25188" stopIfTrue="1"/>
    <cfRule type="duplicateValues" dxfId="423" priority="25189" stopIfTrue="1"/>
    <cfRule type="duplicateValues" dxfId="422" priority="25190" stopIfTrue="1"/>
    <cfRule type="duplicateValues" dxfId="421" priority="25191" stopIfTrue="1"/>
    <cfRule type="duplicateValues" dxfId="420" priority="25192" stopIfTrue="1"/>
    <cfRule type="duplicateValues" dxfId="419" priority="25193" stopIfTrue="1"/>
    <cfRule type="duplicateValues" dxfId="418" priority="25195"/>
    <cfRule type="duplicateValues" dxfId="417" priority="25196" stopIfTrue="1"/>
  </conditionalFormatting>
  <conditionalFormatting sqref="B492:F492">
    <cfRule type="duplicateValues" dxfId="1735" priority="18849" stopIfTrue="1"/>
    <cfRule type="duplicateValues" dxfId="1734" priority="18853" stopIfTrue="1"/>
    <cfRule type="duplicateValues" dxfId="1733" priority="18871" stopIfTrue="1"/>
    <cfRule type="duplicateValues" dxfId="416" priority="18872" stopIfTrue="1"/>
    <cfRule type="duplicateValues" dxfId="415" priority="18875" stopIfTrue="1"/>
    <cfRule type="duplicateValues" dxfId="414" priority="18884" stopIfTrue="1"/>
  </conditionalFormatting>
  <conditionalFormatting sqref="C492:F492">
    <cfRule type="duplicateValues" dxfId="1732" priority="18866" stopIfTrue="1"/>
  </conditionalFormatting>
  <conditionalFormatting sqref="D492">
    <cfRule type="duplicateValues" dxfId="1731" priority="18847" stopIfTrue="1"/>
    <cfRule type="duplicateValues" dxfId="1730" priority="18852" stopIfTrue="1"/>
    <cfRule type="duplicateValues" dxfId="1729" priority="18862" stopIfTrue="1"/>
    <cfRule type="duplicateValues" dxfId="413" priority="18863" stopIfTrue="1"/>
    <cfRule type="duplicateValues" dxfId="412" priority="18869" stopIfTrue="1"/>
  </conditionalFormatting>
  <conditionalFormatting sqref="D492:F492">
    <cfRule type="duplicateValues" dxfId="1728" priority="18854" stopIfTrue="1"/>
    <cfRule type="duplicateValues" dxfId="1727" priority="18856" stopIfTrue="1"/>
    <cfRule type="duplicateValues" dxfId="1726" priority="18858" stopIfTrue="1"/>
  </conditionalFormatting>
  <conditionalFormatting sqref="E492">
    <cfRule type="duplicateValues" dxfId="1725" priority="18851" stopIfTrue="1"/>
    <cfRule type="duplicateValues" dxfId="1724" priority="18861" stopIfTrue="1"/>
    <cfRule type="duplicateValues" dxfId="1723" priority="18868" stopIfTrue="1"/>
    <cfRule type="duplicateValues" dxfId="411" priority="18876" stopIfTrue="1"/>
  </conditionalFormatting>
  <conditionalFormatting sqref="E492:F492">
    <cfRule type="duplicateValues" dxfId="1722" priority="18855" stopIfTrue="1"/>
  </conditionalFormatting>
  <conditionalFormatting sqref="F492">
    <cfRule type="duplicateValues" dxfId="1721" priority="18848" stopIfTrue="1"/>
    <cfRule type="duplicateValues" dxfId="1720" priority="18850" stopIfTrue="1"/>
    <cfRule type="duplicateValues" dxfId="1719" priority="18857" stopIfTrue="1"/>
    <cfRule type="duplicateValues" dxfId="410" priority="18859" stopIfTrue="1"/>
    <cfRule type="duplicateValues" dxfId="409" priority="18860" stopIfTrue="1"/>
    <cfRule type="duplicateValues" dxfId="408" priority="18864" stopIfTrue="1"/>
    <cfRule type="duplicateValues" dxfId="407" priority="18865" stopIfTrue="1"/>
    <cfRule type="duplicateValues" dxfId="406" priority="18867" stopIfTrue="1"/>
    <cfRule type="duplicateValues" dxfId="405" priority="18870" stopIfTrue="1"/>
    <cfRule type="duplicateValues" dxfId="404" priority="18873" stopIfTrue="1"/>
    <cfRule type="duplicateValues" dxfId="403" priority="18874" stopIfTrue="1"/>
    <cfRule type="duplicateValues" dxfId="402" priority="18877" stopIfTrue="1"/>
    <cfRule type="duplicateValues" dxfId="401" priority="18878" stopIfTrue="1"/>
    <cfRule type="duplicateValues" dxfId="400" priority="18879" stopIfTrue="1"/>
    <cfRule type="duplicateValues" dxfId="399" priority="18880" stopIfTrue="1"/>
    <cfRule type="duplicateValues" dxfId="398" priority="18881" stopIfTrue="1"/>
    <cfRule type="duplicateValues" dxfId="397" priority="18882" stopIfTrue="1"/>
    <cfRule type="duplicateValues" dxfId="396" priority="18883" stopIfTrue="1"/>
    <cfRule type="duplicateValues" dxfId="395" priority="18885"/>
    <cfRule type="duplicateValues" dxfId="394" priority="18886" stopIfTrue="1"/>
  </conditionalFormatting>
  <conditionalFormatting sqref="B13:B15">
    <cfRule type="expression" dxfId="1718" priority="562" stopIfTrue="1">
      <formula>AND(COUNTIF($C$134:$F$142,B13)+COUNTIF($C$144:$F$65536,B13)+COUNTIF($C$8:$F$9,B13)+COUNTIF($C$11:$F$26,B13)+COUNTIF($C$28:$F$132,B13)+COUNTIF($C$4:$F$4,B13)+COUNTIF($C$1:$F$2,B13)&gt;1,NOT(ISBLANK(B13)))</formula>
    </cfRule>
    <cfRule type="expression" dxfId="1717" priority="563" stopIfTrue="1">
      <formula>AND(COUNTIF($C$4:$C$65536,B13)+COUNTIF($C$1:$C$2,B13)&gt;1,NOT(ISBLANK(B13)))</formula>
    </cfRule>
  </conditionalFormatting>
  <conditionalFormatting sqref="B52:B53">
    <cfRule type="expression" dxfId="1716" priority="538" stopIfTrue="1">
      <formula>AND(COUNTIF($C$134:$F$142,B52)+COUNTIF($C$144:$F$65536,B52)+COUNTIF($C$8:$F$9,B52)+COUNTIF($C$11:$F$26,B52)+COUNTIF($C$28:$F$132,B52)+COUNTIF($C$4:$F$4,B52)+COUNTIF($C$1:$F$2,B52)&gt;1,NOT(ISBLANK(B52)))</formula>
    </cfRule>
    <cfRule type="expression" dxfId="1715" priority="539" stopIfTrue="1">
      <formula>AND(COUNTIF($C$4:$C$65536,B52)+COUNTIF($C$1:$C$2,B52)&gt;1,NOT(ISBLANK(B52)))</formula>
    </cfRule>
  </conditionalFormatting>
  <conditionalFormatting sqref="B57:B60">
    <cfRule type="expression" dxfId="1714" priority="536" stopIfTrue="1">
      <formula>AND(COUNTIF($C$134:$F$142,B57)+COUNTIF($C$144:$F$65536,B57)+COUNTIF($C$8:$F$9,B57)+COUNTIF($C$11:$F$26,B57)+COUNTIF($C$28:$F$132,B57)+COUNTIF($C$4:$F$4,B57)+COUNTIF($C$1:$F$2,B57)&gt;1,NOT(ISBLANK(B57)))</formula>
    </cfRule>
    <cfRule type="expression" dxfId="1713" priority="537" stopIfTrue="1">
      <formula>AND(COUNTIF($C$4:$C$65536,B57)+COUNTIF($C$1:$C$2,B57)&gt;1,NOT(ISBLANK(B57)))</formula>
    </cfRule>
  </conditionalFormatting>
  <conditionalFormatting sqref="B66:B67">
    <cfRule type="expression" dxfId="1712" priority="532" stopIfTrue="1">
      <formula>AND(COUNTIF($C$134:$F$142,B66)+COUNTIF($C$144:$F$65536,B66)+COUNTIF($C$8:$F$9,B66)+COUNTIF($C$11:$F$26,B66)+COUNTIF($C$28:$F$132,B66)+COUNTIF($C$4:$F$4,B66)+COUNTIF($C$1:$F$2,B66)&gt;1,NOT(ISBLANK(B66)))</formula>
    </cfRule>
    <cfRule type="expression" dxfId="1711" priority="533" stopIfTrue="1">
      <formula>AND(COUNTIF($C$4:$C$65536,B66)+COUNTIF($C$1:$C$2,B66)&gt;1,NOT(ISBLANK(B66)))</formula>
    </cfRule>
  </conditionalFormatting>
  <conditionalFormatting sqref="B81:B82">
    <cfRule type="expression" dxfId="1710" priority="520" stopIfTrue="1">
      <formula>AND(COUNTIF($C$134:$F$142,B81)+COUNTIF($C$144:$F$65536,B81)+COUNTIF($C$8:$F$9,B81)+COUNTIF($C$11:$F$26,B81)+COUNTIF($C$28:$F$132,B81)+COUNTIF($C$4:$F$4,B81)+COUNTIF($C$1:$F$2,B81)&gt;1,NOT(ISBLANK(B81)))</formula>
    </cfRule>
    <cfRule type="expression" dxfId="1709" priority="521" stopIfTrue="1">
      <formula>AND(COUNTIF($C$4:$C$65536,B81)+COUNTIF($C$1:$C$2,B81)&gt;1,NOT(ISBLANK(B81)))</formula>
    </cfRule>
  </conditionalFormatting>
  <conditionalFormatting sqref="B109:B110">
    <cfRule type="expression" dxfId="1708" priority="498" stopIfTrue="1">
      <formula>AND(COUNTIF($C$134:$F$142,B109)+COUNTIF($C$144:$F$65536,B109)+COUNTIF($C$8:$F$9,B109)+COUNTIF($C$11:$F$26,B109)+COUNTIF($C$28:$F$132,B109)+COUNTIF($C$4:$F$4,B109)+COUNTIF($C$1:$F$2,B109)&gt;1,NOT(ISBLANK(B109)))</formula>
    </cfRule>
    <cfRule type="expression" dxfId="1707" priority="499" stopIfTrue="1">
      <formula>AND(COUNTIF($C$4:$C$65536,B109)+COUNTIF($C$1:$C$2,B109)&gt;1,NOT(ISBLANK(B109)))</formula>
    </cfRule>
  </conditionalFormatting>
  <conditionalFormatting sqref="B115:B116">
    <cfRule type="expression" dxfId="1706" priority="494" stopIfTrue="1">
      <formula>AND(COUNTIF($C$134:$F$142,B115)+COUNTIF($C$144:$F$65536,B115)+COUNTIF($C$8:$F$9,B115)+COUNTIF($C$11:$F$26,B115)+COUNTIF($C$28:$F$132,B115)+COUNTIF($C$4:$F$4,B115)+COUNTIF($C$1:$F$2,B115)&gt;1,NOT(ISBLANK(B115)))</formula>
    </cfRule>
    <cfRule type="expression" dxfId="1705" priority="495" stopIfTrue="1">
      <formula>AND(COUNTIF($C$4:$C$65536,B115)+COUNTIF($C$1:$C$2,B115)&gt;1,NOT(ISBLANK(B115)))</formula>
    </cfRule>
  </conditionalFormatting>
  <conditionalFormatting sqref="B140:B141">
    <cfRule type="expression" dxfId="1704" priority="478" stopIfTrue="1">
      <formula>AND(COUNTIF($C$134:$F$142,B140)+COUNTIF($C$144:$F$65536,B140)+COUNTIF($C$8:$F$9,B140)+COUNTIF($C$11:$F$26,B140)+COUNTIF($C$28:$F$132,B140)+COUNTIF($C$4:$F$4,B140)+COUNTIF($C$1:$F$2,B140)&gt;1,NOT(ISBLANK(B140)))</formula>
    </cfRule>
    <cfRule type="expression" dxfId="1703" priority="479" stopIfTrue="1">
      <formula>AND(COUNTIF($C$4:$C$65536,B140)+COUNTIF($C$1:$C$2,B140)&gt;1,NOT(ISBLANK(B140)))</formula>
    </cfRule>
  </conditionalFormatting>
  <conditionalFormatting sqref="B144:B146">
    <cfRule type="expression" dxfId="1702" priority="477" stopIfTrue="1">
      <formula>AND(COUNTIF($C$4:$C$65536,B144)+COUNTIF($C$1:$C$2,B144)&gt;1,NOT(ISBLANK(B144)))</formula>
    </cfRule>
  </conditionalFormatting>
  <conditionalFormatting sqref="B144:B145">
    <cfRule type="expression" dxfId="1701" priority="476" stopIfTrue="1">
      <formula>AND(COUNTIF($C$134:$F$142,B144)+COUNTIF($C$144:$F$65536,B144)+COUNTIF($C$8:$F$9,B144)+COUNTIF($C$11:$F$26,B144)+COUNTIF($C$28:$F$132,B144)+COUNTIF($C$4:$F$4,B144)+COUNTIF($C$1:$F$2,B144)&gt;1,NOT(ISBLANK(B144)))</formula>
    </cfRule>
  </conditionalFormatting>
  <conditionalFormatting sqref="B156:B158">
    <cfRule type="expression" dxfId="1700" priority="469" stopIfTrue="1">
      <formula>AND(COUNTIF($C$4:$C$65536,B156)+COUNTIF($C$1:$C$2,B156)&gt;1,NOT(ISBLANK(B156)))</formula>
    </cfRule>
  </conditionalFormatting>
  <conditionalFormatting sqref="B157:B158">
    <cfRule type="expression" dxfId="1699" priority="468" stopIfTrue="1">
      <formula>AND(COUNTIF($C$134:$F$142,B157)+COUNTIF($C$144:$F$65536,B157)+COUNTIF($C$8:$F$9,B157)+COUNTIF($C$11:$F$26,B157)+COUNTIF($C$28:$F$132,B157)+COUNTIF($C$4:$F$4,B157)+COUNTIF($C$1:$F$2,B157)&gt;1,NOT(ISBLANK(B157)))</formula>
    </cfRule>
  </conditionalFormatting>
  <conditionalFormatting sqref="B164:B165">
    <cfRule type="expression" dxfId="1698" priority="464" stopIfTrue="1">
      <formula>AND(COUNTIF($C$134:$F$142,B164)+COUNTIF($C$144:$F$65536,B164)+COUNTIF($C$8:$F$9,B164)+COUNTIF($C$11:$F$26,B164)+COUNTIF($C$28:$F$132,B164)+COUNTIF($C$4:$F$4,B164)+COUNTIF($C$1:$F$2,B164)&gt;1,NOT(ISBLANK(B164)))</formula>
    </cfRule>
    <cfRule type="expression" dxfId="1697" priority="465" stopIfTrue="1">
      <formula>AND(COUNTIF($C$4:$C$65536,B164)+COUNTIF($C$1:$C$2,B164)&gt;1,NOT(ISBLANK(B164)))</formula>
    </cfRule>
  </conditionalFormatting>
  <conditionalFormatting sqref="B169:B171">
    <cfRule type="expression" dxfId="1696" priority="460" stopIfTrue="1">
      <formula>AND(COUNTIF($C$134:$F$142,B169)+COUNTIF($C$144:$F$65536,B169)+COUNTIF($C$8:$F$9,B169)+COUNTIF($C$11:$F$26,B169)+COUNTIF($C$28:$F$132,B169)+COUNTIF($C$4:$F$4,B169)+COUNTIF($C$1:$F$2,B169)&gt;1,NOT(ISBLANK(B169)))</formula>
    </cfRule>
    <cfRule type="expression" dxfId="1695" priority="461" stopIfTrue="1">
      <formula>AND(COUNTIF($C$4:$C$65536,B169)+COUNTIF($C$1:$C$2,B169)&gt;1,NOT(ISBLANK(B169)))</formula>
    </cfRule>
  </conditionalFormatting>
  <conditionalFormatting sqref="B181:B182">
    <cfRule type="expression" dxfId="1694" priority="452" stopIfTrue="1">
      <formula>AND(COUNTIF($C$134:$F$142,B181)+COUNTIF($C$144:$F$65536,B181)+COUNTIF($C$8:$F$9,B181)+COUNTIF($C$11:$F$26,B181)+COUNTIF($C$28:$F$132,B181)+COUNTIF($C$4:$F$4,B181)+COUNTIF($C$1:$F$2,B181)&gt;1,NOT(ISBLANK(B181)))</formula>
    </cfRule>
    <cfRule type="expression" dxfId="1693" priority="453" stopIfTrue="1">
      <formula>AND(COUNTIF($C$4:$C$65536,B181)+COUNTIF($C$1:$C$2,B181)&gt;1,NOT(ISBLANK(B181)))</formula>
    </cfRule>
  </conditionalFormatting>
  <conditionalFormatting sqref="B186:B187">
    <cfRule type="expression" dxfId="1692" priority="450" stopIfTrue="1">
      <formula>AND(COUNTIF($C$134:$F$142,B186)+COUNTIF($C$144:$F$65536,B186)+COUNTIF($C$8:$F$9,B186)+COUNTIF($C$11:$F$26,B186)+COUNTIF($C$28:$F$132,B186)+COUNTIF($C$4:$F$4,B186)+COUNTIF($C$1:$F$2,B186)&gt;1,NOT(ISBLANK(B186)))</formula>
    </cfRule>
    <cfRule type="expression" dxfId="1691" priority="451" stopIfTrue="1">
      <formula>AND(COUNTIF($C$4:$C$65536,B186)+COUNTIF($C$1:$C$2,B186)&gt;1,NOT(ISBLANK(B186)))</formula>
    </cfRule>
  </conditionalFormatting>
  <conditionalFormatting sqref="B200:B202">
    <cfRule type="expression" dxfId="1690" priority="441" stopIfTrue="1">
      <formula>AND(COUNTIF($C$4:$C$65536,B200)+COUNTIF($C$1:$C$2,B200)&gt;1,NOT(ISBLANK(B200)))</formula>
    </cfRule>
  </conditionalFormatting>
  <conditionalFormatting sqref="B201:B202">
    <cfRule type="expression" dxfId="1689" priority="440" stopIfTrue="1">
      <formula>AND(COUNTIF($C$134:$F$142,B201)+COUNTIF($C$144:$F$65536,B201)+COUNTIF($C$8:$F$9,B201)+COUNTIF($C$11:$F$26,B201)+COUNTIF($C$28:$F$132,B201)+COUNTIF($C$4:$F$4,B201)+COUNTIF($C$1:$F$2,B201)&gt;1,NOT(ISBLANK(B201)))</formula>
    </cfRule>
  </conditionalFormatting>
  <conditionalFormatting sqref="B204:B206">
    <cfRule type="expression" dxfId="1688" priority="438" stopIfTrue="1">
      <formula>AND(COUNTIF($C$134:$F$142,B204)+COUNTIF($C$144:$F$65536,B204)+COUNTIF($C$8:$F$9,B204)+COUNTIF($C$11:$F$26,B204)+COUNTIF($C$28:$F$132,B204)+COUNTIF($C$4:$F$4,B204)+COUNTIF($C$1:$F$2,B204)&gt;1,NOT(ISBLANK(B204)))</formula>
    </cfRule>
    <cfRule type="expression" dxfId="1687" priority="439" stopIfTrue="1">
      <formula>AND(COUNTIF($C$4:$C$65536,B204)+COUNTIF($C$1:$C$2,B204)&gt;1,NOT(ISBLANK(B204)))</formula>
    </cfRule>
  </conditionalFormatting>
  <conditionalFormatting sqref="B219:B222">
    <cfRule type="expression" dxfId="1686" priority="430" stopIfTrue="1">
      <formula>AND(COUNTIF($C$134:$F$142,B219)+COUNTIF($C$144:$F$65536,B219)+COUNTIF($C$8:$F$9,B219)+COUNTIF($C$11:$F$26,B219)+COUNTIF($C$28:$F$132,B219)+COUNTIF($C$4:$F$4,B219)+COUNTIF($C$1:$F$2,B219)&gt;1,NOT(ISBLANK(B219)))</formula>
    </cfRule>
    <cfRule type="expression" dxfId="1685" priority="431" stopIfTrue="1">
      <formula>AND(COUNTIF($C$4:$C$65536,B219)+COUNTIF($C$1:$C$2,B219)&gt;1,NOT(ISBLANK(B219)))</formula>
    </cfRule>
  </conditionalFormatting>
  <conditionalFormatting sqref="B224:B225">
    <cfRule type="expression" dxfId="1684" priority="428" stopIfTrue="1">
      <formula>AND(COUNTIF($C$134:$F$142,B224)+COUNTIF($C$144:$F$65536,B224)+COUNTIF($C$8:$F$9,B224)+COUNTIF($C$11:$F$26,B224)+COUNTIF($C$28:$F$132,B224)+COUNTIF($C$4:$F$4,B224)+COUNTIF($C$1:$F$2,B224)&gt;1,NOT(ISBLANK(B224)))</formula>
    </cfRule>
    <cfRule type="expression" dxfId="1683" priority="429" stopIfTrue="1">
      <formula>AND(COUNTIF($C$4:$C$65536,B224)+COUNTIF($C$1:$C$2,B224)&gt;1,NOT(ISBLANK(B224)))</formula>
    </cfRule>
  </conditionalFormatting>
  <conditionalFormatting sqref="B229:B231">
    <cfRule type="expression" dxfId="1682" priority="424" stopIfTrue="1">
      <formula>AND(COUNTIF($C$134:$F$142,B229)+COUNTIF($C$144:$F$65536,B229)+COUNTIF($C$8:$F$9,B229)+COUNTIF($C$11:$F$26,B229)+COUNTIF($C$28:$F$132,B229)+COUNTIF($C$4:$F$4,B229)+COUNTIF($C$1:$F$2,B229)&gt;1,NOT(ISBLANK(B229)))</formula>
    </cfRule>
    <cfRule type="expression" dxfId="1681" priority="425" stopIfTrue="1">
      <formula>AND(COUNTIF($C$4:$C$65536,B229)+COUNTIF($C$1:$C$2,B229)&gt;1,NOT(ISBLANK(B229)))</formula>
    </cfRule>
  </conditionalFormatting>
  <conditionalFormatting sqref="B249:B251">
    <cfRule type="expression" dxfId="1680" priority="412" stopIfTrue="1">
      <formula>AND(COUNTIF($C$134:$F$142,B249)+COUNTIF($C$144:$F$65536,B249)+COUNTIF($C$8:$F$9,B249)+COUNTIF($C$11:$F$26,B249)+COUNTIF($C$28:$F$132,B249)+COUNTIF($C$4:$F$4,B249)+COUNTIF($C$1:$F$2,B249)&gt;1,NOT(ISBLANK(B249)))</formula>
    </cfRule>
    <cfRule type="expression" dxfId="1679" priority="413" stopIfTrue="1">
      <formula>AND(COUNTIF($C$4:$C$65536,B249)+COUNTIF($C$1:$C$2,B249)&gt;1,NOT(ISBLANK(B249)))</formula>
    </cfRule>
  </conditionalFormatting>
  <conditionalFormatting sqref="B257:B259">
    <cfRule type="expression" dxfId="1678" priority="408" stopIfTrue="1">
      <formula>AND(COUNTIF($C$134:$F$142,B257)+COUNTIF($C$144:$F$65536,B257)+COUNTIF($C$8:$F$9,B257)+COUNTIF($C$11:$F$26,B257)+COUNTIF($C$28:$F$132,B257)+COUNTIF($C$4:$F$4,B257)+COUNTIF($C$1:$F$2,B257)&gt;1,NOT(ISBLANK(B257)))</formula>
    </cfRule>
    <cfRule type="expression" dxfId="1677" priority="409" stopIfTrue="1">
      <formula>AND(COUNTIF($C$4:$C$65536,B257)+COUNTIF($C$1:$C$2,B257)&gt;1,NOT(ISBLANK(B257)))</formula>
    </cfRule>
  </conditionalFormatting>
  <conditionalFormatting sqref="B267:B268">
    <cfRule type="expression" dxfId="1676" priority="402" stopIfTrue="1">
      <formula>AND(COUNTIF($C$134:$F$142,B267)+COUNTIF($C$144:$F$65536,B267)+COUNTIF($C$8:$F$9,B267)+COUNTIF($C$11:$F$26,B267)+COUNTIF($C$28:$F$132,B267)+COUNTIF($C$4:$F$4,B267)+COUNTIF($C$1:$F$2,B267)&gt;1,NOT(ISBLANK(B267)))</formula>
    </cfRule>
    <cfRule type="expression" dxfId="1675" priority="403" stopIfTrue="1">
      <formula>AND(COUNTIF($C$4:$C$65536,B267)+COUNTIF($C$1:$C$2,B267)&gt;1,NOT(ISBLANK(B267)))</formula>
    </cfRule>
  </conditionalFormatting>
  <conditionalFormatting sqref="B275:B276">
    <cfRule type="expression" dxfId="1674" priority="398" stopIfTrue="1">
      <formula>AND(COUNTIF($C$134:$F$142,B275)+COUNTIF($C$144:$F$65536,B275)+COUNTIF($C$8:$F$9,B275)+COUNTIF($C$11:$F$26,B275)+COUNTIF($C$28:$F$132,B275)+COUNTIF($C$4:$F$4,B275)+COUNTIF($C$1:$F$2,B275)&gt;1,NOT(ISBLANK(B275)))</formula>
    </cfRule>
    <cfRule type="expression" dxfId="1673" priority="399" stopIfTrue="1">
      <formula>AND(COUNTIF($C$4:$C$65536,B275)+COUNTIF($C$1:$C$2,B275)&gt;1,NOT(ISBLANK(B275)))</formula>
    </cfRule>
  </conditionalFormatting>
  <conditionalFormatting sqref="B278:B280">
    <cfRule type="expression" dxfId="1672" priority="396" stopIfTrue="1">
      <formula>AND(COUNTIF($C$134:$F$142,B278)+COUNTIF($C$144:$F$65536,B278)+COUNTIF($C$8:$F$9,B278)+COUNTIF($C$11:$F$26,B278)+COUNTIF($C$28:$F$132,B278)+COUNTIF($C$4:$F$4,B278)+COUNTIF($C$1:$F$2,B278)&gt;1,NOT(ISBLANK(B278)))</formula>
    </cfRule>
    <cfRule type="expression" dxfId="1671" priority="397" stopIfTrue="1">
      <formula>AND(COUNTIF($C$4:$C$65536,B278)+COUNTIF($C$1:$C$2,B278)&gt;1,NOT(ISBLANK(B278)))</formula>
    </cfRule>
  </conditionalFormatting>
  <conditionalFormatting sqref="B285:B286">
    <cfRule type="expression" dxfId="1670" priority="394" stopIfTrue="1">
      <formula>AND(COUNTIF($C$134:$F$142,B285)+COUNTIF($C$144:$F$65536,B285)+COUNTIF($C$8:$F$9,B285)+COUNTIF($C$11:$F$26,B285)+COUNTIF($C$28:$F$132,B285)+COUNTIF($C$4:$F$4,B285)+COUNTIF($C$1:$F$2,B285)&gt;1,NOT(ISBLANK(B285)))</formula>
    </cfRule>
    <cfRule type="expression" dxfId="1669" priority="395" stopIfTrue="1">
      <formula>AND(COUNTIF($C$4:$C$65536,B285)+COUNTIF($C$1:$C$2,B285)&gt;1,NOT(ISBLANK(B285)))</formula>
    </cfRule>
  </conditionalFormatting>
  <conditionalFormatting sqref="B299:B301">
    <cfRule type="expression" dxfId="1668" priority="386" stopIfTrue="1">
      <formula>AND(COUNTIF($C$134:$F$142,B299)+COUNTIF($C$144:$F$65536,B299)+COUNTIF($C$8:$F$9,B299)+COUNTIF($C$11:$F$26,B299)+COUNTIF($C$28:$F$132,B299)+COUNTIF($C$4:$F$4,B299)+COUNTIF($C$1:$F$2,B299)&gt;1,NOT(ISBLANK(B299)))</formula>
    </cfRule>
    <cfRule type="expression" dxfId="1667" priority="387" stopIfTrue="1">
      <formula>AND(COUNTIF($C$4:$C$65536,B299)+COUNTIF($C$1:$C$2,B299)&gt;1,NOT(ISBLANK(B299)))</formula>
    </cfRule>
  </conditionalFormatting>
  <conditionalFormatting sqref="B305:B306">
    <cfRule type="expression" dxfId="1666" priority="382" stopIfTrue="1">
      <formula>AND(COUNTIF($C$134:$F$142,B305)+COUNTIF($C$144:$F$65536,B305)+COUNTIF($C$8:$F$9,B305)+COUNTIF($C$11:$F$26,B305)+COUNTIF($C$28:$F$132,B305)+COUNTIF($C$4:$F$4,B305)+COUNTIF($C$1:$F$2,B305)&gt;1,NOT(ISBLANK(B305)))</formula>
    </cfRule>
    <cfRule type="expression" dxfId="1665" priority="383" stopIfTrue="1">
      <formula>AND(COUNTIF($C$4:$C$65536,B305)+COUNTIF($C$1:$C$2,B305)&gt;1,NOT(ISBLANK(B305)))</formula>
    </cfRule>
  </conditionalFormatting>
  <conditionalFormatting sqref="B313:B314">
    <cfRule type="expression" dxfId="1664" priority="376" stopIfTrue="1">
      <formula>AND(COUNTIF($C$134:$F$142,B313)+COUNTIF($C$144:$F$65536,B313)+COUNTIF($C$8:$F$9,B313)+COUNTIF($C$11:$F$26,B313)+COUNTIF($C$28:$F$132,B313)+COUNTIF($C$4:$F$4,B313)+COUNTIF($C$1:$F$2,B313)&gt;1,NOT(ISBLANK(B313)))</formula>
    </cfRule>
    <cfRule type="expression" dxfId="1663" priority="377" stopIfTrue="1">
      <formula>AND(COUNTIF($C$4:$C$65536,B313)+COUNTIF($C$1:$C$2,B313)&gt;1,NOT(ISBLANK(B313)))</formula>
    </cfRule>
  </conditionalFormatting>
  <conditionalFormatting sqref="B319:B321">
    <cfRule type="expression" dxfId="1662" priority="374" stopIfTrue="1">
      <formula>AND(COUNTIF($C$134:$F$142,B319)+COUNTIF($C$144:$F$65536,B319)+COUNTIF($C$8:$F$9,B319)+COUNTIF($C$11:$F$26,B319)+COUNTIF($C$28:$F$132,B319)+COUNTIF($C$4:$F$4,B319)+COUNTIF($C$1:$F$2,B319)&gt;1,NOT(ISBLANK(B319)))</formula>
    </cfRule>
    <cfRule type="expression" dxfId="1661" priority="375" stopIfTrue="1">
      <formula>AND(COUNTIF($C$4:$C$65536,B319)+COUNTIF($C$1:$C$2,B319)&gt;1,NOT(ISBLANK(B319)))</formula>
    </cfRule>
  </conditionalFormatting>
  <conditionalFormatting sqref="B323:B325">
    <cfRule type="expression" dxfId="1660" priority="372" stopIfTrue="1">
      <formula>AND(COUNTIF($C$134:$F$142,B323)+COUNTIF($C$144:$F$65536,B323)+COUNTIF($C$8:$F$9,B323)+COUNTIF($C$11:$F$26,B323)+COUNTIF($C$28:$F$132,B323)+COUNTIF($C$4:$F$4,B323)+COUNTIF($C$1:$F$2,B323)&gt;1,NOT(ISBLANK(B323)))</formula>
    </cfRule>
    <cfRule type="expression" dxfId="1659" priority="373" stopIfTrue="1">
      <formula>AND(COUNTIF($C$4:$C$65536,B323)+COUNTIF($C$1:$C$2,B323)&gt;1,NOT(ISBLANK(B323)))</formula>
    </cfRule>
  </conditionalFormatting>
  <conditionalFormatting sqref="B328:B329">
    <cfRule type="expression" dxfId="1658" priority="370" stopIfTrue="1">
      <formula>AND(COUNTIF($C$134:$F$142,B328)+COUNTIF($C$144:$F$65536,B328)+COUNTIF($C$8:$F$9,B328)+COUNTIF($C$11:$F$26,B328)+COUNTIF($C$28:$F$132,B328)+COUNTIF($C$4:$F$4,B328)+COUNTIF($C$1:$F$2,B328)&gt;1,NOT(ISBLANK(B328)))</formula>
    </cfRule>
    <cfRule type="expression" dxfId="1657" priority="371" stopIfTrue="1">
      <formula>AND(COUNTIF($C$4:$C$65536,B328)+COUNTIF($C$1:$C$2,B328)&gt;1,NOT(ISBLANK(B328)))</formula>
    </cfRule>
  </conditionalFormatting>
  <conditionalFormatting sqref="B333:B334">
    <cfRule type="expression" dxfId="1656" priority="366" stopIfTrue="1">
      <formula>AND(COUNTIF($C$134:$F$142,B333)+COUNTIF($C$144:$F$65536,B333)+COUNTIF($C$8:$F$9,B333)+COUNTIF($C$11:$F$26,B333)+COUNTIF($C$28:$F$132,B333)+COUNTIF($C$4:$F$4,B333)+COUNTIF($C$1:$F$2,B333)&gt;1,NOT(ISBLANK(B333)))</formula>
    </cfRule>
    <cfRule type="expression" dxfId="1655" priority="367" stopIfTrue="1">
      <formula>AND(COUNTIF($C$4:$C$65536,B333)+COUNTIF($C$1:$C$2,B333)&gt;1,NOT(ISBLANK(B333)))</formula>
    </cfRule>
  </conditionalFormatting>
  <conditionalFormatting sqref="B344:B345">
    <cfRule type="expression" dxfId="1654" priority="360" stopIfTrue="1">
      <formula>AND(COUNTIF($C$134:$F$142,B344)+COUNTIF($C$144:$F$65536,B344)+COUNTIF($C$8:$F$9,B344)+COUNTIF($C$11:$F$26,B344)+COUNTIF($C$28:$F$132,B344)+COUNTIF($C$4:$F$4,B344)+COUNTIF($C$1:$F$2,B344)&gt;1,NOT(ISBLANK(B344)))</formula>
    </cfRule>
    <cfRule type="expression" dxfId="1653" priority="361" stopIfTrue="1">
      <formula>AND(COUNTIF($C$4:$C$65536,B344)+COUNTIF($C$1:$C$2,B344)&gt;1,NOT(ISBLANK(B344)))</formula>
    </cfRule>
  </conditionalFormatting>
  <conditionalFormatting sqref="B348:B349">
    <cfRule type="expression" dxfId="1652" priority="358" stopIfTrue="1">
      <formula>AND(COUNTIF($C$134:$F$142,B348)+COUNTIF($C$144:$F$65536,B348)+COUNTIF($C$8:$F$9,B348)+COUNTIF($C$11:$F$26,B348)+COUNTIF($C$28:$F$132,B348)+COUNTIF($C$4:$F$4,B348)+COUNTIF($C$1:$F$2,B348)&gt;1,NOT(ISBLANK(B348)))</formula>
    </cfRule>
    <cfRule type="expression" dxfId="1651" priority="359" stopIfTrue="1">
      <formula>AND(COUNTIF($C$4:$C$65536,B348)+COUNTIF($C$1:$C$2,B348)&gt;1,NOT(ISBLANK(B348)))</formula>
    </cfRule>
  </conditionalFormatting>
  <conditionalFormatting sqref="B361:B363">
    <cfRule type="expression" dxfId="1650" priority="350" stopIfTrue="1">
      <formula>AND(COUNTIF($C$134:$F$142,B361)+COUNTIF($C$144:$F$65536,B361)+COUNTIF($C$8:$F$9,B361)+COUNTIF($C$11:$F$26,B361)+COUNTIF($C$28:$F$132,B361)+COUNTIF($C$4:$F$4,B361)+COUNTIF($C$1:$F$2,B361)&gt;1,NOT(ISBLANK(B361)))</formula>
    </cfRule>
    <cfRule type="expression" dxfId="1649" priority="351" stopIfTrue="1">
      <formula>AND(COUNTIF($C$4:$C$65536,B361)+COUNTIF($C$1:$C$2,B361)&gt;1,NOT(ISBLANK(B361)))</formula>
    </cfRule>
  </conditionalFormatting>
  <conditionalFormatting sqref="B366:B367">
    <cfRule type="expression" dxfId="1648" priority="348" stopIfTrue="1">
      <formula>AND(COUNTIF($C$134:$F$142,B366)+COUNTIF($C$144:$F$65536,B366)+COUNTIF($C$8:$F$9,B366)+COUNTIF($C$11:$F$26,B366)+COUNTIF($C$28:$F$132,B366)+COUNTIF($C$4:$F$4,B366)+COUNTIF($C$1:$F$2,B366)&gt;1,NOT(ISBLANK(B366)))</formula>
    </cfRule>
    <cfRule type="expression" dxfId="1647" priority="349" stopIfTrue="1">
      <formula>AND(COUNTIF($C$4:$C$65536,B366)+COUNTIF($C$1:$C$2,B366)&gt;1,NOT(ISBLANK(B366)))</formula>
    </cfRule>
  </conditionalFormatting>
  <conditionalFormatting sqref="B369:B371">
    <cfRule type="expression" dxfId="1646" priority="346" stopIfTrue="1">
      <formula>AND(COUNTIF($C$134:$F$142,B369)+COUNTIF($C$144:$F$65536,B369)+COUNTIF($C$8:$F$9,B369)+COUNTIF($C$11:$F$26,B369)+COUNTIF($C$28:$F$132,B369)+COUNTIF($C$4:$F$4,B369)+COUNTIF($C$1:$F$2,B369)&gt;1,NOT(ISBLANK(B369)))</formula>
    </cfRule>
    <cfRule type="expression" dxfId="1645" priority="347" stopIfTrue="1">
      <formula>AND(COUNTIF($C$4:$C$65536,B369)+COUNTIF($C$1:$C$2,B369)&gt;1,NOT(ISBLANK(B369)))</formula>
    </cfRule>
  </conditionalFormatting>
  <conditionalFormatting sqref="B373:B374">
    <cfRule type="expression" dxfId="1644" priority="344" stopIfTrue="1">
      <formula>AND(COUNTIF($C$134:$F$142,B373)+COUNTIF($C$144:$F$65536,B373)+COUNTIF($C$8:$F$9,B373)+COUNTIF($C$11:$F$26,B373)+COUNTIF($C$28:$F$132,B373)+COUNTIF($C$4:$F$4,B373)+COUNTIF($C$1:$F$2,B373)&gt;1,NOT(ISBLANK(B373)))</formula>
    </cfRule>
    <cfRule type="expression" dxfId="1643" priority="345" stopIfTrue="1">
      <formula>AND(COUNTIF($C$4:$C$65536,B373)+COUNTIF($C$1:$C$2,B373)&gt;1,NOT(ISBLANK(B373)))</formula>
    </cfRule>
  </conditionalFormatting>
  <conditionalFormatting sqref="B376:B377">
    <cfRule type="expression" dxfId="1642" priority="342" stopIfTrue="1">
      <formula>AND(COUNTIF($C$134:$F$142,B376)+COUNTIF($C$144:$F$65536,B376)+COUNTIF($C$8:$F$9,B376)+COUNTIF($C$11:$F$26,B376)+COUNTIF($C$28:$F$132,B376)+COUNTIF($C$4:$F$4,B376)+COUNTIF($C$1:$F$2,B376)&gt;1,NOT(ISBLANK(B376)))</formula>
    </cfRule>
    <cfRule type="expression" dxfId="1641" priority="343" stopIfTrue="1">
      <formula>AND(COUNTIF($C$4:$C$65536,B376)+COUNTIF($C$1:$C$2,B376)&gt;1,NOT(ISBLANK(B376)))</formula>
    </cfRule>
  </conditionalFormatting>
  <conditionalFormatting sqref="B379:B383">
    <cfRule type="expression" dxfId="1640" priority="340" stopIfTrue="1">
      <formula>AND(COUNTIF($C$134:$F$142,B379)+COUNTIF($C$144:$F$65536,B379)+COUNTIF($C$8:$F$9,B379)+COUNTIF($C$11:$F$26,B379)+COUNTIF($C$28:$F$132,B379)+COUNTIF($C$4:$F$4,B379)+COUNTIF($C$1:$F$2,B379)&gt;1,NOT(ISBLANK(B379)))</formula>
    </cfRule>
    <cfRule type="expression" dxfId="1639" priority="341" stopIfTrue="1">
      <formula>AND(COUNTIF($C$4:$C$65536,B379)+COUNTIF($C$1:$C$2,B379)&gt;1,NOT(ISBLANK(B379)))</formula>
    </cfRule>
  </conditionalFormatting>
  <conditionalFormatting sqref="B391:B392">
    <cfRule type="expression" dxfId="1638" priority="334" stopIfTrue="1">
      <formula>AND(COUNTIF($C$134:$F$142,B391)+COUNTIF($C$144:$F$65536,B391)+COUNTIF($C$8:$F$9,B391)+COUNTIF($C$11:$F$26,B391)+COUNTIF($C$28:$F$132,B391)+COUNTIF($C$4:$F$4,B391)+COUNTIF($C$1:$F$2,B391)&gt;1,NOT(ISBLANK(B391)))</formula>
    </cfRule>
    <cfRule type="expression" dxfId="1637" priority="335" stopIfTrue="1">
      <formula>AND(COUNTIF($C$4:$C$65536,B391)+COUNTIF($C$1:$C$2,B391)&gt;1,NOT(ISBLANK(B391)))</formula>
    </cfRule>
  </conditionalFormatting>
  <conditionalFormatting sqref="B394:B395">
    <cfRule type="expression" dxfId="1636" priority="332" stopIfTrue="1">
      <formula>AND(COUNTIF($C$134:$F$142,B394)+COUNTIF($C$144:$F$65536,B394)+COUNTIF($C$8:$F$9,B394)+COUNTIF($C$11:$F$26,B394)+COUNTIF($C$28:$F$132,B394)+COUNTIF($C$4:$F$4,B394)+COUNTIF($C$1:$F$2,B394)&gt;1,NOT(ISBLANK(B394)))</formula>
    </cfRule>
    <cfRule type="expression" dxfId="1635" priority="333" stopIfTrue="1">
      <formula>AND(COUNTIF($C$4:$C$65536,B394)+COUNTIF($C$1:$C$2,B394)&gt;1,NOT(ISBLANK(B394)))</formula>
    </cfRule>
  </conditionalFormatting>
  <conditionalFormatting sqref="B416:B419">
    <cfRule type="expression" dxfId="1634" priority="314" stopIfTrue="1">
      <formula>AND(COUNTIF($C$134:$F$142,B416)+COUNTIF($C$144:$F$65536,B416)+COUNTIF($C$8:$F$9,B416)+COUNTIF($C$11:$F$26,B416)+COUNTIF($C$28:$F$132,B416)+COUNTIF($C$4:$F$4,B416)+COUNTIF($C$1:$F$2,B416)&gt;1,NOT(ISBLANK(B416)))</formula>
    </cfRule>
    <cfRule type="expression" dxfId="1633" priority="315" stopIfTrue="1">
      <formula>AND(COUNTIF($C$4:$C$65536,B416)+COUNTIF($C$1:$C$2,B416)&gt;1,NOT(ISBLANK(B416)))</formula>
    </cfRule>
  </conditionalFormatting>
  <conditionalFormatting sqref="B428:B429">
    <cfRule type="expression" dxfId="1632" priority="306" stopIfTrue="1">
      <formula>AND(COUNTIF($C$134:$F$142,B428)+COUNTIF($C$144:$F$65536,B428)+COUNTIF($C$8:$F$9,B428)+COUNTIF($C$11:$F$26,B428)+COUNTIF($C$28:$F$132,B428)+COUNTIF($C$4:$F$4,B428)+COUNTIF($C$1:$F$2,B428)&gt;1,NOT(ISBLANK(B428)))</formula>
    </cfRule>
    <cfRule type="expression" dxfId="1631" priority="307" stopIfTrue="1">
      <formula>AND(COUNTIF($C$4:$C$65536,B428)+COUNTIF($C$1:$C$2,B428)&gt;1,NOT(ISBLANK(B428)))</formula>
    </cfRule>
  </conditionalFormatting>
  <conditionalFormatting sqref="B454:B456">
    <cfRule type="expression" dxfId="1630" priority="286" stopIfTrue="1">
      <formula>AND(COUNTIF($C$134:$F$142,B454)+COUNTIF($C$144:$F$65536,B454)+COUNTIF($C$8:$F$9,B454)+COUNTIF($C$11:$F$26,B454)+COUNTIF($C$28:$F$132,B454)+COUNTIF($C$4:$F$4,B454)+COUNTIF($C$1:$F$2,B454)&gt;1,NOT(ISBLANK(B454)))</formula>
    </cfRule>
    <cfRule type="expression" dxfId="1629" priority="287" stopIfTrue="1">
      <formula>AND(COUNTIF($C$4:$C$65536,B454)+COUNTIF($C$1:$C$2,B454)&gt;1,NOT(ISBLANK(B454)))</formula>
    </cfRule>
  </conditionalFormatting>
  <conditionalFormatting sqref="B462:B463">
    <cfRule type="expression" dxfId="1628" priority="280" stopIfTrue="1">
      <formula>AND(COUNTIF($C$134:$F$142,B462)+COUNTIF($C$144:$F$65536,B462)+COUNTIF($C$8:$F$9,B462)+COUNTIF($C$11:$F$26,B462)+COUNTIF($C$28:$F$132,B462)+COUNTIF($C$4:$F$4,B462)+COUNTIF($C$1:$F$2,B462)&gt;1,NOT(ISBLANK(B462)))</formula>
    </cfRule>
    <cfRule type="expression" dxfId="1627" priority="281" stopIfTrue="1">
      <formula>AND(COUNTIF($C$4:$C$65536,B462)+COUNTIF($C$1:$C$2,B462)&gt;1,NOT(ISBLANK(B462)))</formula>
    </cfRule>
  </conditionalFormatting>
  <conditionalFormatting sqref="B468:B470">
    <cfRule type="expression" dxfId="1626" priority="276" stopIfTrue="1">
      <formula>AND(COUNTIF($C$134:$F$142,B468)+COUNTIF($C$144:$F$65536,B468)+COUNTIF($C$8:$F$9,B468)+COUNTIF($C$11:$F$26,B468)+COUNTIF($C$28:$F$132,B468)+COUNTIF($C$4:$F$4,B468)+COUNTIF($C$1:$F$2,B468)&gt;1,NOT(ISBLANK(B468)))</formula>
    </cfRule>
    <cfRule type="expression" dxfId="1625" priority="277" stopIfTrue="1">
      <formula>AND(COUNTIF($C$4:$C$65536,B468)+COUNTIF($C$1:$C$2,B468)&gt;1,NOT(ISBLANK(B468)))</formula>
    </cfRule>
  </conditionalFormatting>
  <conditionalFormatting sqref="B477:B479">
    <cfRule type="expression" dxfId="1624" priority="272" stopIfTrue="1">
      <formula>AND(COUNTIF($C$134:$F$142,B477)+COUNTIF($C$144:$F$65536,B477)+COUNTIF($C$8:$F$9,B477)+COUNTIF($C$11:$F$26,B477)+COUNTIF($C$28:$F$132,B477)+COUNTIF($C$4:$F$4,B477)+COUNTIF($C$1:$F$2,B477)&gt;1,NOT(ISBLANK(B477)))</formula>
    </cfRule>
    <cfRule type="expression" dxfId="1623" priority="273" stopIfTrue="1">
      <formula>AND(COUNTIF($C$4:$C$65536,B477)+COUNTIF($C$1:$C$2,B477)&gt;1,NOT(ISBLANK(B477)))</formula>
    </cfRule>
  </conditionalFormatting>
  <conditionalFormatting sqref="C1:C1048576">
    <cfRule type="duplicateValues" priority="81" stopIfTrue="1"/>
    <cfRule type="top10" priority="83" stopIfTrue="1" rank="10"/>
    <cfRule type="colorScale" priority="84">
      <colorScale>
        <cfvo type="min"/>
        <cfvo type="max"/>
        <color rgb="FFFF7128"/>
        <color rgb="FFFFEF9C"/>
      </colorScale>
    </cfRule>
  </conditionalFormatting>
  <conditionalFormatting sqref="C4:C486">
    <cfRule type="expression" dxfId="1622" priority="1960" stopIfTrue="1">
      <formula>AND(COUNTIF($C$4:$C$65536,C4)+COUNTIF($C$1:$C$2,C4)&gt;1,NOT(ISBLANK(C4)))</formula>
    </cfRule>
  </conditionalFormatting>
  <conditionalFormatting sqref="D1:D1048576">
    <cfRule type="duplicateValues" dxfId="1621" priority="80" stopIfTrue="1"/>
  </conditionalFormatting>
  <conditionalFormatting sqref="D90:D128">
    <cfRule type="duplicateValues" dxfId="1620" priority="1474" stopIfTrue="1"/>
    <cfRule type="duplicateValues" dxfId="1619" priority="1477" stopIfTrue="1"/>
    <cfRule type="duplicateValues" dxfId="1618" priority="1479" stopIfTrue="1"/>
    <cfRule type="duplicateValues" dxfId="393" priority="1480" stopIfTrue="1"/>
    <cfRule type="duplicateValues" dxfId="392" priority="1482" stopIfTrue="1"/>
    <cfRule type="duplicateValues" dxfId="391" priority="1483" stopIfTrue="1"/>
    <cfRule type="duplicateValues" dxfId="390" priority="1484" stopIfTrue="1"/>
    <cfRule type="duplicateValues" dxfId="389" priority="1485" stopIfTrue="1"/>
    <cfRule type="duplicateValues" dxfId="388" priority="1486" stopIfTrue="1"/>
    <cfRule type="duplicateValues" dxfId="387" priority="1487" stopIfTrue="1"/>
  </conditionalFormatting>
  <conditionalFormatting sqref="D394:D395">
    <cfRule type="duplicateValues" dxfId="1617" priority="1345" stopIfTrue="1"/>
  </conditionalFormatting>
  <conditionalFormatting sqref="D488:D489">
    <cfRule type="duplicateValues" dxfId="1616" priority="16115" stopIfTrue="1"/>
    <cfRule type="duplicateValues" dxfId="1615" priority="16116" stopIfTrue="1"/>
    <cfRule type="duplicateValues" dxfId="1614" priority="16117" stopIfTrue="1"/>
    <cfRule type="duplicateValues" dxfId="386" priority="16118" stopIfTrue="1"/>
    <cfRule type="duplicateValues" dxfId="385" priority="16308" stopIfTrue="1"/>
    <cfRule type="duplicateValues" dxfId="384" priority="16411" stopIfTrue="1"/>
    <cfRule type="duplicateValues" dxfId="383" priority="16501" stopIfTrue="1"/>
    <cfRule type="duplicateValues" dxfId="382" priority="16502" stopIfTrue="1"/>
    <cfRule type="duplicateValues" dxfId="381" priority="16504" stopIfTrue="1"/>
    <cfRule type="duplicateValues" dxfId="380" priority="16505" stopIfTrue="1"/>
    <cfRule type="duplicateValues" dxfId="379" priority="16753" stopIfTrue="1"/>
    <cfRule type="duplicateValues" dxfId="378" priority="16754" stopIfTrue="1"/>
    <cfRule type="duplicateValues" dxfId="377" priority="16755" stopIfTrue="1"/>
    <cfRule type="duplicateValues" dxfId="376" priority="16756" stopIfTrue="1"/>
    <cfRule type="expression" dxfId="375" priority="16934" stopIfTrue="1">
      <formula>AND(COUNTIF($D$271:$D$279,D488)+COUNTIF($D$281:$D$65536,D488)+COUNTIF($D$1:$D$2,D488)+COUNTIF($D$8:$D$9,D488)+COUNTIF($D$11:$D$26,D488)+COUNTIF($D$28:$D$269,D488)+COUNTIF($D$4:$D$4,D488)&gt;1,NOT(ISBLANK(D488)))</formula>
    </cfRule>
    <cfRule type="expression" dxfId="374" priority="16935" stopIfTrue="1">
      <formula>AND(COUNTIF($D$1:$D$401,D488)+COUNTIF($D$403:$D$423,D488)+COUNTIF($D$425:$D$65536,D488)&gt;1,NOT(ISBLANK(D488)))</formula>
    </cfRule>
    <cfRule type="expression" dxfId="373" priority="16936" stopIfTrue="1">
      <formula>AND(COUNTIF($D$1:$D$401,D488)+COUNTIF($D$403:$D$423,D488)+COUNTIF($D$425:$D$65536,D488)&gt;1,NOT(ISBLANK(D488)))</formula>
    </cfRule>
    <cfRule type="expression" dxfId="372" priority="18138" stopIfTrue="1">
      <formula>AND(COUNTIF($D$4:$D$65536,D488)+COUNTIF($D$1:$D$2,D488)&gt;1,NOT(ISBLANK(D488)))</formula>
    </cfRule>
    <cfRule type="expression" dxfId="371" priority="18139" stopIfTrue="1">
      <formula>AND(COUNTIF($D$4:$D$65536,D488)+COUNTIF($D$1:$D$2,D488)&gt;1,NOT(ISBLANK(D488)))</formula>
    </cfRule>
    <cfRule type="expression" dxfId="370" priority="18140" stopIfTrue="1">
      <formula>AND(COUNTIF($D$4:$D$65536,D488)+COUNTIF($D$1:$D$2,D488)&gt;1,NOT(ISBLANK(D488)))</formula>
    </cfRule>
    <cfRule type="expression" dxfId="369" priority="18151" stopIfTrue="1">
      <formula>AND(COUNTIF($D$8:$D$9,D488)+COUNTIF($D$1:$D$2,D488)+COUNTIF($D$11:$D$26,D488)+COUNTIF($D$28:$D$65536,D488)+COUNTIF($D$4:$D$4,D488)&gt;1,NOT(ISBLANK(D488)))</formula>
    </cfRule>
    <cfRule type="expression" dxfId="368" priority="18152" stopIfTrue="1">
      <formula>AND(COUNTIF($D$8:$D$9,D488)+COUNTIF($D$1:$D$2,D488)+COUNTIF($D$11:$D$26,D488)+COUNTIF($D$28:$D$65536,D488)+COUNTIF($D$4:$D$4,D488)&gt;1,NOT(ISBLANK(D488)))</formula>
    </cfRule>
    <cfRule type="expression" dxfId="367" priority="18153" stopIfTrue="1">
      <formula>AND(COUNTIF($D$8:$D$9,D488)+COUNTIF($D$1:$D$2,D488)+COUNTIF($D$11:$D$26,D488)+COUNTIF($D$28:$D$65536,D488)+COUNTIF($D$4:$D$4,D488)&gt;1,NOT(ISBLANK(D488)))</formula>
    </cfRule>
  </conditionalFormatting>
  <conditionalFormatting sqref="E90:E128">
    <cfRule type="duplicateValues" dxfId="1613" priority="1469" stopIfTrue="1"/>
    <cfRule type="duplicateValues" dxfId="1612" priority="1470" stopIfTrue="1"/>
    <cfRule type="duplicateValues" dxfId="1611" priority="1471" stopIfTrue="1"/>
    <cfRule type="duplicateValues" dxfId="366" priority="1472" stopIfTrue="1"/>
    <cfRule type="duplicateValues" dxfId="365" priority="1478" stopIfTrue="1"/>
  </conditionalFormatting>
  <conditionalFormatting sqref="E488:E489">
    <cfRule type="duplicateValues" dxfId="1610" priority="16119" stopIfTrue="1"/>
    <cfRule type="duplicateValues" dxfId="1609" priority="16153" stopIfTrue="1"/>
    <cfRule type="duplicateValues" dxfId="1608" priority="16303" stopIfTrue="1"/>
    <cfRule type="duplicateValues" dxfId="364" priority="16304" stopIfTrue="1"/>
    <cfRule type="duplicateValues" dxfId="363" priority="16305" stopIfTrue="1"/>
    <cfRule type="duplicateValues" dxfId="362" priority="16306" stopIfTrue="1"/>
    <cfRule type="duplicateValues" dxfId="361" priority="16412" stopIfTrue="1"/>
    <cfRule type="expression" dxfId="360" priority="16922" stopIfTrue="1">
      <formula>AND(COUNTIF($E$486:$E$65536,E488)+COUNTIF($E$1:$E$2,E488)+COUNTIF($E$271:$E$279,E488)+COUNTIF($E$281:$E$483,E488)+COUNTIF($E$8:$E$9,E488)+COUNTIF($E$11:$E$26,E488)+COUNTIF($E$28:$E$269,E488)+COUNTIF($E$4:$E$4,E488)&gt;1,NOT(ISBLANK(E488)))</formula>
    </cfRule>
    <cfRule type="expression" dxfId="359" priority="16923" stopIfTrue="1">
      <formula>AND(COUNTIF($E$271:$E$279,E488)+COUNTIF($E$1:$E$2,E488)+COUNTIF($E$281:$E$65536,E488)+COUNTIF($E$8:$E$9,E488)+COUNTIF($E$11:$E$26,E488)+COUNTIF($E$28:$E$269,E488)+COUNTIF($E$4:$E$4,E488)&gt;1,NOT(ISBLANK(E488)))</formula>
    </cfRule>
    <cfRule type="expression" dxfId="358" priority="18141" stopIfTrue="1">
      <formula>AND(COUNTIF($E$4:$E$65536,E488)+COUNTIF($E$1:$E$2,E488)&gt;1,NOT(ISBLANK(E488)))</formula>
    </cfRule>
    <cfRule type="expression" dxfId="357" priority="18142" stopIfTrue="1">
      <formula>AND(COUNTIF($E$4:$E$65536,E488)+COUNTIF($E$1:$E$2,E488)&gt;1,NOT(ISBLANK(E488)))</formula>
    </cfRule>
    <cfRule type="expression" dxfId="356" priority="18157" stopIfTrue="1">
      <formula>AND(COUNTIF($E$8:$E$9,E488)+COUNTIF($E$1:$E$2,E488)+COUNTIF($E$11:$E$26,E488)+COUNTIF($E$28:$E$65536,E488)+COUNTIF($E$4:$E$4,E488)&gt;1,NOT(ISBLANK(E488)))</formula>
    </cfRule>
  </conditionalFormatting>
  <conditionalFormatting sqref="F1:F1048576">
    <cfRule type="duplicateValues" dxfId="1607" priority="567" stopIfTrue="1"/>
  </conditionalFormatting>
  <conditionalFormatting sqref="F90:F128">
    <cfRule type="duplicateValues" dxfId="1606" priority="1468" stopIfTrue="1"/>
    <cfRule type="duplicateValues" dxfId="1605" priority="1473" stopIfTrue="1"/>
    <cfRule type="duplicateValues" dxfId="1604" priority="1475" stopIfTrue="1"/>
    <cfRule type="duplicateValues" dxfId="355" priority="1476" stopIfTrue="1"/>
    <cfRule type="duplicateValues" dxfId="354" priority="1481" stopIfTrue="1"/>
  </conditionalFormatting>
  <conditionalFormatting sqref="F488:F489">
    <cfRule type="duplicateValues" dxfId="1603" priority="16154" stopIfTrue="1"/>
    <cfRule type="duplicateValues" dxfId="1602" priority="16155" stopIfTrue="1"/>
    <cfRule type="duplicateValues" dxfId="1601" priority="16237" stopIfTrue="1"/>
    <cfRule type="duplicateValues" dxfId="353" priority="16307" stopIfTrue="1"/>
    <cfRule type="duplicateValues" dxfId="352" priority="16309" stopIfTrue="1"/>
    <cfRule type="duplicateValues" dxfId="351" priority="16410" stopIfTrue="1"/>
    <cfRule type="duplicateValues" dxfId="350" priority="16503" stopIfTrue="1"/>
    <cfRule type="duplicateValues" dxfId="349" priority="16744"/>
    <cfRule type="duplicateValues" dxfId="348" priority="16745" stopIfTrue="1"/>
    <cfRule type="duplicateValues" dxfId="347" priority="16746" stopIfTrue="1"/>
    <cfRule type="duplicateValues" dxfId="346" priority="16747" stopIfTrue="1"/>
    <cfRule type="duplicateValues" dxfId="345" priority="16748" stopIfTrue="1"/>
    <cfRule type="duplicateValues" dxfId="344" priority="16749" stopIfTrue="1"/>
    <cfRule type="expression" dxfId="343" priority="16924" stopIfTrue="1">
      <formula>AND(COUNTIF($F$486:$F$65536,F488)+COUNTIF($F$1:$F$2,F488)+COUNTIF($F$271:$F$279,F488)+COUNTIF($F$281:$F$483,F488)+COUNTIF($F$8:$F$9,F488)+COUNTIF($F$11:$F$26,F488)+COUNTIF($F$28:$F$269,F488)+COUNTIF($F$4:$F$4,F488)&gt;1,NOT(ISBLANK(F488)))</formula>
    </cfRule>
    <cfRule type="expression" dxfId="342" priority="16925" stopIfTrue="1">
      <formula>AND(COUNTIF($F$486:$F$65536,F488)+COUNTIF($F$1:$F$2,F488)+COUNTIF($F$271:$F$279,F488)+COUNTIF($F$281:$F$483,F488)+COUNTIF($F$8:$F$9,F488)+COUNTIF($F$11:$F$26,F488)+COUNTIF($F$28:$F$269,F488)+COUNTIF($F$4:$F$4,F488)&gt;1,NOT(ISBLANK(F488)))</formula>
    </cfRule>
    <cfRule type="expression" dxfId="341" priority="16926" stopIfTrue="1">
      <formula>AND(COUNTIF($F$486:$F$65536,F488)+COUNTIF($F$1:$F$2,F488)+COUNTIF($F$271:$F$279,F488)+COUNTIF($F$281:$F$483,F488)+COUNTIF($F$8:$F$9,F488)+COUNTIF($F$11:$F$26,F488)+COUNTIF($F$28:$F$269,F488)+COUNTIF($F$4:$F$4,F488)&gt;1,NOT(ISBLANK(F488)))</formula>
    </cfRule>
    <cfRule type="expression" dxfId="340" priority="16927" stopIfTrue="1">
      <formula>AND(COUNTIF($F$271:$F$279,F488)+COUNTIF($F$1:$F$2,F488)+COUNTIF($F$281:$F$65536,F488)+COUNTIF($F$8:$F$9,F488)+COUNTIF($F$11:$F$26,F488)+COUNTIF($F$28:$F$269,F488)+COUNTIF($F$4:$F$4,F488)&gt;1,NOT(ISBLANK(F488)))</formula>
    </cfRule>
    <cfRule type="expression" dxfId="339" priority="16928" stopIfTrue="1">
      <formula>AND(COUNTIF($F$271:$F$279,F488)+COUNTIF($F$1:$F$2,F488)+COUNTIF($F$281:$F$65536,F488)+COUNTIF($F$8:$F$9,F488)+COUNTIF($F$11:$F$26,F488)+COUNTIF($F$28:$F$269,F488)+COUNTIF($F$4:$F$4,F488)&gt;1,NOT(ISBLANK(F488)))</formula>
    </cfRule>
    <cfRule type="expression" dxfId="338" priority="16929" stopIfTrue="1">
      <formula>AND(COUNTIF($F$271:$F$279,F488)+COUNTIF($F$1:$F$2,F488)+COUNTIF($F$281:$F$65536,F488)+COUNTIF($F$8:$F$9,F488)+COUNTIF($F$11:$F$26,F488)+COUNTIF($F$28:$F$269,F488)+COUNTIF($F$4:$F$4,F488)&gt;1,NOT(ISBLANK(F488)))</formula>
    </cfRule>
    <cfRule type="expression" dxfId="337" priority="18143" stopIfTrue="1">
      <formula>AND(COUNTIF($F$4:$F$65536,F488)+COUNTIF($F$1:$F$2,F488)&gt;1,NOT(ISBLANK(F488)))</formula>
    </cfRule>
    <cfRule type="expression" dxfId="336" priority="18144" stopIfTrue="1">
      <formula>AND(COUNTIF($F$4:$F$65536,F488)+COUNTIF($F$1:$F$2,F488)&gt;1,NOT(ISBLANK(F488)))</formula>
    </cfRule>
    <cfRule type="expression" dxfId="335" priority="18158" stopIfTrue="1">
      <formula>AND(COUNTIF($F$8:$F$9,F488)+COUNTIF($F$1:$F$2,F488)+COUNTIF($F$11:$F$26,F488)+COUNTIF($F$28:$F$65536,F488)+COUNTIF($F$4:$F$4,F488)&gt;1,NOT(ISBLANK(F488)))</formula>
    </cfRule>
    <cfRule type="expression" dxfId="334" priority="18159" stopIfTrue="1">
      <formula>AND(COUNTIF($F$8:$F$9,F488)+COUNTIF($F$1:$F$2,F488)+COUNTIF($F$11:$F$26,F488)+COUNTIF($F$28:$F$65536,F488)+COUNTIF($F$4:$F$4,F488)&gt;1,NOT(ISBLANK(F488)))</formula>
    </cfRule>
    <cfRule type="expression" dxfId="333" priority="18160" stopIfTrue="1">
      <formula>AND(COUNTIF($F$8:$F$9,F488)+COUNTIF($F$1:$F$2,F488)+COUNTIF($F$11:$F$26,F488)+COUNTIF($F$28:$F$65536,F488)+COUNTIF($F$4:$F$4,F488)&gt;1,NOT(ISBLANK(F488)))</formula>
    </cfRule>
  </conditionalFormatting>
  <conditionalFormatting sqref="B491:F491 B1:F2 B493:F494 B579:F65536 B495:E578">
    <cfRule type="duplicateValues" dxfId="1600" priority="39763" stopIfTrue="1"/>
    <cfRule type="duplicateValues" dxfId="1599" priority="39764" stopIfTrue="1"/>
    <cfRule type="duplicateValues" dxfId="1598" priority="39765" stopIfTrue="1"/>
    <cfRule type="duplicateValues" dxfId="332" priority="39766" stopIfTrue="1"/>
    <cfRule type="duplicateValues" dxfId="331" priority="39767" stopIfTrue="1"/>
    <cfRule type="duplicateValues" dxfId="330" priority="39768" stopIfTrue="1"/>
  </conditionalFormatting>
  <conditionalFormatting sqref="B491 B1:B2 B493:B65536">
    <cfRule type="duplicateValues" dxfId="1597" priority="39793" stopIfTrue="1"/>
  </conditionalFormatting>
  <conditionalFormatting sqref="C491:F491 C1:F2 C493:F494 C579:F65536 C495:E578">
    <cfRule type="duplicateValues" dxfId="1596" priority="39769" stopIfTrue="1"/>
  </conditionalFormatting>
  <conditionalFormatting sqref="C491 C1:C2 C493:C65536">
    <cfRule type="duplicateValues" dxfId="1595" priority="39792" stopIfTrue="1"/>
  </conditionalFormatting>
  <conditionalFormatting sqref="D1:D3 D488:D65536">
    <cfRule type="duplicateValues" dxfId="1594" priority="1986" stopIfTrue="1"/>
    <cfRule type="duplicateValues" dxfId="1593" priority="3615" stopIfTrue="1"/>
  </conditionalFormatting>
  <conditionalFormatting sqref="D491 D1:D2 D493:D65536">
    <cfRule type="duplicateValues" dxfId="1592" priority="39077" stopIfTrue="1"/>
    <cfRule type="duplicateValues" dxfId="1591" priority="39123" stopIfTrue="1"/>
    <cfRule type="duplicateValues" dxfId="1590" priority="39241" stopIfTrue="1"/>
    <cfRule type="duplicateValues" dxfId="329" priority="39760" stopIfTrue="1"/>
    <cfRule type="duplicateValues" dxfId="328" priority="39761" stopIfTrue="1"/>
    <cfRule type="duplicateValues" dxfId="327" priority="39770" stopIfTrue="1"/>
    <cfRule type="duplicateValues" dxfId="326" priority="39774" stopIfTrue="1"/>
  </conditionalFormatting>
  <conditionalFormatting sqref="D491:F491 D1:F2 D493:F494 D579:F65536 D495:E578">
    <cfRule type="duplicateValues" dxfId="1589" priority="39771" stopIfTrue="1"/>
    <cfRule type="duplicateValues" dxfId="1588" priority="39772" stopIfTrue="1"/>
    <cfRule type="duplicateValues" dxfId="1587" priority="39773" stopIfTrue="1"/>
  </conditionalFormatting>
  <conditionalFormatting sqref="D491 D1:D3 D493:D65536">
    <cfRule type="duplicateValues" dxfId="1586" priority="33309" stopIfTrue="1"/>
    <cfRule type="duplicateValues" dxfId="1585" priority="35560" stopIfTrue="1"/>
    <cfRule type="duplicateValues" dxfId="1584" priority="35917" stopIfTrue="1"/>
    <cfRule type="duplicateValues" dxfId="325" priority="39074" stopIfTrue="1"/>
  </conditionalFormatting>
  <conditionalFormatting sqref="D490:D65536 D1:D3">
    <cfRule type="duplicateValues" dxfId="1583" priority="25156" stopIfTrue="1"/>
  </conditionalFormatting>
  <conditionalFormatting sqref="E491 E1:E2 E493:E65536">
    <cfRule type="duplicateValues" dxfId="1582" priority="39076" stopIfTrue="1"/>
    <cfRule type="duplicateValues" dxfId="1581" priority="39124" stopIfTrue="1"/>
    <cfRule type="duplicateValues" dxfId="1580" priority="39775" stopIfTrue="1"/>
    <cfRule type="duplicateValues" dxfId="324" priority="39776" stopIfTrue="1"/>
    <cfRule type="duplicateValues" dxfId="323" priority="39777" stopIfTrue="1"/>
  </conditionalFormatting>
  <conditionalFormatting sqref="E491:F491 E1:F2 E493:F494 E579:F65536 E495:E578">
    <cfRule type="duplicateValues" dxfId="1579" priority="39778" stopIfTrue="1"/>
  </conditionalFormatting>
  <conditionalFormatting sqref="E491 E1:E3 E493:E65536">
    <cfRule type="duplicateValues" dxfId="1578" priority="33310" stopIfTrue="1"/>
  </conditionalFormatting>
  <conditionalFormatting sqref="E490:E65536 E1:E3">
    <cfRule type="duplicateValues" dxfId="1577" priority="1590" stopIfTrue="1"/>
    <cfRule type="duplicateValues" dxfId="1576" priority="24554" stopIfTrue="1"/>
    <cfRule type="duplicateValues" dxfId="1575" priority="24555" stopIfTrue="1"/>
  </conditionalFormatting>
  <conditionalFormatting sqref="E1:E3 E488:E65536">
    <cfRule type="duplicateValues" dxfId="1574" priority="9874" stopIfTrue="1"/>
  </conditionalFormatting>
  <conditionalFormatting sqref="F491 F1:F2 F493:F494 F579:F65536">
    <cfRule type="duplicateValues" dxfId="1573" priority="39075" stopIfTrue="1"/>
    <cfRule type="duplicateValues" dxfId="1572" priority="39125" stopIfTrue="1"/>
    <cfRule type="duplicateValues" dxfId="1571" priority="39762" stopIfTrue="1"/>
    <cfRule type="duplicateValues" dxfId="322" priority="39779" stopIfTrue="1"/>
    <cfRule type="duplicateValues" dxfId="321" priority="39780" stopIfTrue="1"/>
    <cfRule type="duplicateValues" dxfId="320" priority="39781" stopIfTrue="1"/>
    <cfRule type="duplicateValues" dxfId="319" priority="39782" stopIfTrue="1"/>
    <cfRule type="duplicateValues" dxfId="318" priority="39783" stopIfTrue="1"/>
    <cfRule type="duplicateValues" dxfId="317" priority="39784" stopIfTrue="1"/>
    <cfRule type="duplicateValues" dxfId="316" priority="39785" stopIfTrue="1"/>
    <cfRule type="duplicateValues" dxfId="315" priority="39786" stopIfTrue="1"/>
    <cfRule type="duplicateValues" dxfId="314" priority="39787" stopIfTrue="1"/>
    <cfRule type="duplicateValues" dxfId="313" priority="39788" stopIfTrue="1"/>
    <cfRule type="duplicateValues" dxfId="312" priority="39789" stopIfTrue="1"/>
    <cfRule type="duplicateValues" dxfId="311" priority="39790" stopIfTrue="1"/>
    <cfRule type="duplicateValues" dxfId="310" priority="39791" stopIfTrue="1"/>
  </conditionalFormatting>
  <conditionalFormatting sqref="F491 F1:F3 F493:F494 F579:F65536">
    <cfRule type="duplicateValues" dxfId="1570" priority="26908" stopIfTrue="1"/>
    <cfRule type="duplicateValues" dxfId="1569" priority="33308" stopIfTrue="1"/>
    <cfRule type="duplicateValues" dxfId="1568" priority="36126" stopIfTrue="1"/>
  </conditionalFormatting>
  <conditionalFormatting sqref="F490:F494 F1:F3 F579:F65536">
    <cfRule type="duplicateValues" dxfId="1567" priority="1609" stopIfTrue="1"/>
    <cfRule type="duplicateValues" dxfId="1566" priority="23710" stopIfTrue="1"/>
    <cfRule type="duplicateValues" dxfId="1565" priority="25103" stopIfTrue="1"/>
  </conditionalFormatting>
  <conditionalFormatting sqref="F1:F3 F488:F494 F579:F65536">
    <cfRule type="duplicateValues" dxfId="1564" priority="9873" stopIfTrue="1"/>
  </conditionalFormatting>
  <conditionalFormatting sqref="F1:F3 F488:F65536">
    <cfRule type="duplicateValues" dxfId="1563" priority="1985" stopIfTrue="1"/>
    <cfRule type="duplicateValues" dxfId="1562" priority="5897" stopIfTrue="1"/>
    <cfRule type="duplicateValues" dxfId="1561" priority="7851" stopIfTrue="1"/>
  </conditionalFormatting>
  <conditionalFormatting sqref="B4:B6 B208:B255 B260:B422 B425:B452 B8:B51 B54:B100 B102:B168 B172:B199 B203 B454:B486">
    <cfRule type="expression" dxfId="1560" priority="1961" stopIfTrue="1">
      <formula>AND(COUNTIF($B$4:$B$65536,B4)+COUNTIF($B$1:$B$2,B4)&gt;1,NOT(ISBLANK(B4)))</formula>
    </cfRule>
  </conditionalFormatting>
  <conditionalFormatting sqref="B434:F434 B354:F354 B8:F9 B4:F4 B11:F16 B18:F26 B28:F50 B53:F53 B180:F199 B201:F206 B208:F255 B257:F259 B295:F295 B171:F178">
    <cfRule type="expression" dxfId="1559" priority="1020" stopIfTrue="1">
      <formula>AND(COUNTIF($B$134:$F$142,B4)+COUNTIF($B$144:$F$65536,B4)+COUNTIF($B$8:$F$9,B4)+COUNTIF($B$11:$F$26,B4)+COUNTIF($B$28:$F$132,B4)+COUNTIF($B$4:$F$4,B4)+COUNTIF($B$1:$F$2,B4)&gt;1,NOT(ISBLANK(B4)))</formula>
    </cfRule>
    <cfRule type="expression" dxfId="1558" priority="1021" stopIfTrue="1">
      <formula>AND(COUNTIF($B$134:$F$142,B4)+COUNTIF($B$144:$F$65536,B4)+COUNTIF($B$8:$F$9,B4)+COUNTIF($B$11:$F$26,B4)+COUNTIF($B$28:$F$132,B4)+COUNTIF($B$4:$F$4,B4)+COUNTIF($B$1:$F$2,B4)&gt;1,NOT(ISBLANK(B4)))</formula>
    </cfRule>
    <cfRule type="expression" dxfId="1557" priority="1022" stopIfTrue="1">
      <formula>AND(COUNTIF($B$134:$F$142,B4)+COUNTIF($B$144:$F$65536,B4)+COUNTIF($B$8:$F$9,B4)+COUNTIF($B$11:$F$26,B4)+COUNTIF($B$28:$F$132,B4)+COUNTIF($B$4:$F$4,B4)+COUNTIF($B$1:$F$2,B4)&gt;1,NOT(ISBLANK(B4)))</formula>
    </cfRule>
    <cfRule type="expression" dxfId="309" priority="1023" stopIfTrue="1">
      <formula>AND(COUNTIF($B$8:$F$9,B4)+COUNTIF($B$11:$F$26,B4)+COUNTIF($B$28:$F$65536,B4)+COUNTIF($B$4:$F$4,B4)+COUNTIF($B$1:$F$2,B4)&gt;1,NOT(ISBLANK(B4)))</formula>
    </cfRule>
    <cfRule type="expression" dxfId="308" priority="1024" stopIfTrue="1">
      <formula>AND(COUNTIF($B$8:$F$9,B4)+COUNTIF($B$11:$F$26,B4)+COUNTIF($B$28:$F$65536,B4)+COUNTIF($B$4:$F$4,B4)+COUNTIF($B$1:$F$2,B4)&gt;1,NOT(ISBLANK(B4)))</formula>
    </cfRule>
    <cfRule type="expression" dxfId="307" priority="1025" stopIfTrue="1">
      <formula>AND(COUNTIF($B$8:$F$9,B4)+COUNTIF($B$11:$F$26,B4)+COUNTIF($B$28:$F$65536,B4)+COUNTIF($B$4:$F$4,B4)+COUNTIF($B$1:$F$2,B4)&gt;1,NOT(ISBLANK(B4)))</formula>
    </cfRule>
  </conditionalFormatting>
  <conditionalFormatting sqref="C80:C81 E80:F80 C8:F9 D486:F487 B4:F4 C11:F16 C18:F26 C28:F79 C81:F145 C147:F155 C180:F199 C201:F206 C208:F255 C257:F295 C297:F423 C425:F435 C437:F452 C454:F485 C157:F178">
    <cfRule type="expression" dxfId="1556" priority="1948" stopIfTrue="1">
      <formula>AND(COUNTIF($C$134:$F$142,B4)+COUNTIF($C$144:$F$65536,B4)+COUNTIF($C$8:$F$9,B4)+COUNTIF($C$11:$F$26,B4)+COUNTIF($C$28:$F$132,B4)+COUNTIF($C$4:$F$4,B4)+COUNTIF($C$1:$F$2,B4)&gt;1,NOT(ISBLANK(B4)))</formula>
    </cfRule>
  </conditionalFormatting>
  <conditionalFormatting sqref="D4:D206 D208:D423 D425:D452 D454:D487">
    <cfRule type="duplicateValues" dxfId="1555" priority="790" stopIfTrue="1"/>
    <cfRule type="duplicateValues" dxfId="1554" priority="793" stopIfTrue="1"/>
  </conditionalFormatting>
  <conditionalFormatting sqref="D8:F9 D4:F4 D11:F26 D28:F79 E80:F80 D81:F206 D208:F255 D257:F423 D425:F452 D454:F487">
    <cfRule type="expression" dxfId="1553" priority="1956" stopIfTrue="1">
      <formula>AND(COUNTIF($D$8:$F$9,D4)+COUNTIF($D$1:$F$2,D4)+COUNTIF($D$11:$F$26,D4)+COUNTIF($D$28:$F$65536,D4)+COUNTIF($D$4:$F$4,D4)&gt;1,NOT(ISBLANK(D4)))</formula>
    </cfRule>
    <cfRule type="expression" dxfId="1552" priority="1957" stopIfTrue="1">
      <formula>AND(COUNTIF($D$8:$F$9,D4)+COUNTIF($D$1:$F$2,D4)+COUNTIF($D$11:$F$26,D4)+COUNTIF($D$28:$F$65536,D4)+COUNTIF($D$4:$F$4,D4)&gt;1,NOT(ISBLANK(D4)))</formula>
    </cfRule>
    <cfRule type="expression" dxfId="1551" priority="1958" stopIfTrue="1">
      <formula>AND(COUNTIF($D$8:$F$9,D4)+COUNTIF($D$1:$F$2,D4)+COUNTIF($D$11:$F$26,D4)+COUNTIF($D$28:$F$65536,D4)+COUNTIF($D$4:$F$4,D4)&gt;1,NOT(ISBLANK(D4)))</formula>
    </cfRule>
  </conditionalFormatting>
  <conditionalFormatting sqref="D180:D199 D8:D9 D4 D11:D14 D16 D30:D50 D171:D178 D18:D26 D201:D206 D251:D255 D257:D259 D208:D249">
    <cfRule type="expression" dxfId="1550" priority="1614" stopIfTrue="1">
      <formula>AND(COUNTIF($D$8:$D$9,D4)+COUNTIF($D$1:$D$2,D4)+COUNTIF($D$11:$D$26,D4)+COUNTIF($D$28:$D$65536,D4)+COUNTIF($D$4:$D$4,D4)&gt;1,NOT(ISBLANK(D4)))</formula>
    </cfRule>
    <cfRule type="expression" dxfId="1549" priority="1615" stopIfTrue="1">
      <formula>AND(COUNTIF($D$8:$D$9,D4)+COUNTIF($D$1:$D$2,D4)+COUNTIF($D$11:$D$26,D4)+COUNTIF($D$28:$D$65536,D4)+COUNTIF($D$4:$D$4,D4)&gt;1,NOT(ISBLANK(D4)))</formula>
    </cfRule>
    <cfRule type="expression" dxfId="1548" priority="1616" stopIfTrue="1">
      <formula>AND(COUNTIF($D$8:$D$9,D4)+COUNTIF($D$1:$D$2,D4)+COUNTIF($D$11:$D$26,D4)+COUNTIF($D$28:$D$65536,D4)+COUNTIF($D$4:$D$4,D4)&gt;1,NOT(ISBLANK(D4)))</formula>
    </cfRule>
    <cfRule type="expression" dxfId="306" priority="1617" stopIfTrue="1">
      <formula>AND(COUNTIF($D$134:$D$142,D4)+COUNTIF($D$144:$D$65536,D4)+COUNTIF($D$1:$D$2,D4)+COUNTIF($D$8:$D$9,D4)+COUNTIF($D$11:$D$26,D4)+COUNTIF($D$28:$D$132,D4)+COUNTIF($D$4:$D$4,D4)&gt;1,NOT(ISBLANK(D4)))</formula>
    </cfRule>
  </conditionalFormatting>
  <conditionalFormatting sqref="D180:D199 D4:D16 D29:D50 D171:D178 D18:D26 D201:D206 D257:D259 D208:D255">
    <cfRule type="duplicateValues" dxfId="1547" priority="1924" stopIfTrue="1"/>
    <cfRule type="duplicateValues" dxfId="1546" priority="1925" stopIfTrue="1"/>
    <cfRule type="duplicateValues" dxfId="1545" priority="1926" stopIfTrue="1"/>
  </conditionalFormatting>
  <conditionalFormatting sqref="D4:D5 D7:D14 D16 D30:D50 D171:D178 D18:D26 D180:D199 D201:D206 D251:D255 D257:D259 D208:D249">
    <cfRule type="duplicateValues" dxfId="1544" priority="1930" stopIfTrue="1"/>
    <cfRule type="duplicateValues" dxfId="1543" priority="1931" stopIfTrue="1"/>
    <cfRule type="duplicateValues" dxfId="1542" priority="1932" stopIfTrue="1"/>
    <cfRule type="duplicateValues" dxfId="305" priority="1933" stopIfTrue="1"/>
    <cfRule type="duplicateValues" dxfId="304" priority="1934" stopIfTrue="1"/>
    <cfRule type="duplicateValues" dxfId="303" priority="1935" stopIfTrue="1"/>
    <cfRule type="expression" dxfId="302" priority="1936" stopIfTrue="1">
      <formula>AND(COUNTIF($D$4:$D$65536,D4)+COUNTIF($D$1:$D$2,D4)&gt;1,NOT(ISBLANK(D4)))</formula>
    </cfRule>
    <cfRule type="expression" dxfId="301" priority="1937" stopIfTrue="1">
      <formula>AND(COUNTIF($D$4:$D$65536,D4)+COUNTIF($D$1:$D$2,D4)&gt;1,NOT(ISBLANK(D4)))</formula>
    </cfRule>
    <cfRule type="expression" dxfId="300" priority="1938" stopIfTrue="1">
      <formula>AND(COUNTIF($D$4:$D$65536,D4)+COUNTIF($D$1:$D$2,D4)&gt;1,NOT(ISBLANK(D4)))</formula>
    </cfRule>
    <cfRule type="expression" dxfId="299" priority="1939" stopIfTrue="1">
      <formula>AND(COUNTIF($D$1:$D$350,D4)+COUNTIF($D$352:$D$372,D4)+COUNTIF($D$374:$D$65536,D4)&gt;1,NOT(ISBLANK(D4)))</formula>
    </cfRule>
    <cfRule type="expression" dxfId="298" priority="1940" stopIfTrue="1">
      <formula>AND(COUNTIF($D$1:$D$350,D4)+COUNTIF($D$352:$D$372,D4)+COUNTIF($D$374:$D$65536,D4)&gt;1,NOT(ISBLANK(D4)))</formula>
    </cfRule>
  </conditionalFormatting>
  <conditionalFormatting sqref="D4:D16 D18:D26 D78:D89 D171:D178 D180:D199 D28:D76 D201:D206 D257:D259 D208:D255">
    <cfRule type="duplicateValues" dxfId="1541" priority="975" stopIfTrue="1"/>
  </conditionalFormatting>
  <conditionalFormatting sqref="D297:D318 D4:D206 D257:D295 D208:D255 D320:D423 D425:D452 D454:D486">
    <cfRule type="duplicateValues" dxfId="1540" priority="941" stopIfTrue="1"/>
  </conditionalFormatting>
  <conditionalFormatting sqref="D4:D452 D454:D487">
    <cfRule type="duplicateValues" dxfId="1539" priority="646" stopIfTrue="1"/>
  </conditionalFormatting>
  <conditionalFormatting sqref="E8:F9 E4:F4 E11:F26 E28:F206 E208:F255 E257:F423 E425:F452 E454:F487">
    <cfRule type="expression" dxfId="1538" priority="1959" stopIfTrue="1">
      <formula>AND(COUNTIF($E$8:$F$9,E4)+COUNTIF($E$1:$F$2,E4)+COUNTIF($E$11:$F$26,E4)+COUNTIF($E$28:$F$65536,E4)+COUNTIF($E$4:$F$4,E4)&gt;1,NOT(ISBLANK(E4)))</formula>
    </cfRule>
  </conditionalFormatting>
  <conditionalFormatting sqref="E4:E14 E16:E27 E30:E50 E171:E206 E251:E255 E257:E259 E208:E249">
    <cfRule type="expression" dxfId="1537" priority="1963" stopIfTrue="1">
      <formula>AND(COUNTIF($E$4:$E$65536,E4)+COUNTIF($E$1:$E$2,E4)&gt;1,NOT(ISBLANK(E4)))</formula>
    </cfRule>
    <cfRule type="expression" dxfId="1536" priority="1964" stopIfTrue="1">
      <formula>AND(COUNTIF($E$4:$E$65536,E4)+COUNTIF($E$1:$E$2,E4)&gt;1,NOT(ISBLANK(E4)))</formula>
    </cfRule>
  </conditionalFormatting>
  <conditionalFormatting sqref="E8:E9 E4 E11:E14 E16 E30:E50 E171:E178 E18:E26 E180:E199 E201:E206 E251:E255 E257:E259 E208:E249">
    <cfRule type="expression" dxfId="1535" priority="1882" stopIfTrue="1">
      <formula>AND(COUNTIF($E$486:$E$65536,E4)+COUNTIF($E$1:$E$2,E4)+COUNTIF($E$134:$E$142,E4)+COUNTIF($E$144:$E$483,E4)+COUNTIF($E$8:$E$9,E4)+COUNTIF($E$11:$E$26,E4)+COUNTIF($E$28:$E$132,E4)+COUNTIF($E$4:$E$4,E4)&gt;1,NOT(ISBLANK(E4)))</formula>
    </cfRule>
    <cfRule type="expression" dxfId="1534" priority="1883" stopIfTrue="1">
      <formula>AND(COUNTIF($E$134:$E$142,E4)+COUNTIF($E$1:$E$2,E4)+COUNTIF($E$144:$E$65536,E4)+COUNTIF($E$8:$E$9,E4)+COUNTIF($E$11:$E$26,E4)+COUNTIF($E$28:$E$132,E4)+COUNTIF($E$4:$E$4,E4)&gt;1,NOT(ISBLANK(E4)))</formula>
    </cfRule>
    <cfRule type="expression" dxfId="1533" priority="1884" stopIfTrue="1">
      <formula>AND(COUNTIF($E$8:$E$9,E4)+COUNTIF($E$1:$E$2,E4)+COUNTIF($E$11:$E$26,E4)+COUNTIF($E$28:$E$65536,E4)+COUNTIF($E$4:$E$4,E4)&gt;1,NOT(ISBLANK(E4)))</formula>
    </cfRule>
  </conditionalFormatting>
  <conditionalFormatting sqref="E180:E199 E4:E16 E29:E50 E171:E178 E18:E26 E201:E206 E257:E259 E208:E255">
    <cfRule type="duplicateValues" dxfId="1532" priority="1927" stopIfTrue="1"/>
  </conditionalFormatting>
  <conditionalFormatting sqref="E4:E16 E18:E26 E180:E199 E28:E89 E171:E178 E201:E206 E257:E259 E208:E255">
    <cfRule type="duplicateValues" dxfId="1531" priority="976" stopIfTrue="1"/>
    <cfRule type="duplicateValues" dxfId="1530" priority="977" stopIfTrue="1"/>
  </conditionalFormatting>
  <conditionalFormatting sqref="E4:E16 E18:E26 E78:E89 E171:E178 E180:E199 E28:E76 E201:E206 E257:E259 E208:E255">
    <cfRule type="duplicateValues" dxfId="1529" priority="978" stopIfTrue="1"/>
    <cfRule type="duplicateValues" dxfId="1528" priority="979" stopIfTrue="1"/>
  </conditionalFormatting>
  <conditionalFormatting sqref="E297:E318 E437:E452 E4:E206 E257:E295 E208:E255 E320:E423 E425:E435 E454:E486">
    <cfRule type="duplicateValues" dxfId="1527" priority="980" stopIfTrue="1"/>
  </conditionalFormatting>
  <conditionalFormatting sqref="E4:E206 E257:E295 E208:E255 E297:E423 E425:E452 E454:E487">
    <cfRule type="duplicateValues" dxfId="1526" priority="881" stopIfTrue="1"/>
  </conditionalFormatting>
  <conditionalFormatting sqref="E4:E206 E208:E423 E425:E452 E454:E487">
    <cfRule type="duplicateValues" dxfId="1525" priority="791" stopIfTrue="1"/>
  </conditionalFormatting>
  <conditionalFormatting sqref="F4:F14 F16:F27 F30:F50 F171:F206 F251:F255 F257:F259 F208:F249">
    <cfRule type="expression" dxfId="1524" priority="1965" stopIfTrue="1">
      <formula>AND(COUNTIF($F$4:$F$65536,F4)+COUNTIF($F$1:$F$2,F4)&gt;1,NOT(ISBLANK(F4)))</formula>
    </cfRule>
    <cfRule type="expression" dxfId="1523" priority="1966" stopIfTrue="1">
      <formula>AND(COUNTIF($F$4:$F$65536,F4)+COUNTIF($F$1:$F$2,F4)&gt;1,NOT(ISBLANK(F4)))</formula>
    </cfRule>
  </conditionalFormatting>
  <conditionalFormatting sqref="F4 F8:F9 F30:F50 F171:F173 F11:F14 F16 F18:F26">
    <cfRule type="expression" dxfId="1522" priority="1628" stopIfTrue="1">
      <formula>AND(COUNTIF($F$4:$F$4,F4)+COUNTIF($F$8:$F$9,F4)+COUNTIF($F$11:$F$26,F4)+COUNTIF($F$28:$F$173,F4)&gt;1,NOT(ISBLANK(F4)))</formula>
    </cfRule>
  </conditionalFormatting>
  <conditionalFormatting sqref="F8:F9 F4 F11:F14 F16 F30:F50 F171:F178 F18:F26 F180:F199 F201:F206 F251:F255 F257:F259 F208:F249">
    <cfRule type="expression" dxfId="1521" priority="1885" stopIfTrue="1">
      <formula>AND(COUNTIF($F$8:$F$9,F4)+COUNTIF($F$1:$F$2,F4)+COUNTIF($F$11:$F$26,F4)+COUNTIF($F$28:$F$65536,F4)+COUNTIF($F$4:$F$4,F4)&gt;1,NOT(ISBLANK(F4)))</formula>
    </cfRule>
    <cfRule type="expression" dxfId="1520" priority="1886" stopIfTrue="1">
      <formula>AND(COUNTIF($F$8:$F$9,F4)+COUNTIF($F$1:$F$2,F4)+COUNTIF($F$11:$F$26,F4)+COUNTIF($F$28:$F$65536,F4)+COUNTIF($F$4:$F$4,F4)&gt;1,NOT(ISBLANK(F4)))</formula>
    </cfRule>
    <cfRule type="expression" dxfId="1519" priority="1887" stopIfTrue="1">
      <formula>AND(COUNTIF($F$8:$F$9,F4)+COUNTIF($F$1:$F$2,F4)+COUNTIF($F$11:$F$26,F4)+COUNTIF($F$28:$F$65536,F4)+COUNTIF($F$4:$F$4,F4)&gt;1,NOT(ISBLANK(F4)))</formula>
    </cfRule>
    <cfRule type="expression" dxfId="297" priority="1888" stopIfTrue="1">
      <formula>AND(COUNTIF($F$486:$F$65536,F4)+COUNTIF($F$1:$F$2,F4)+COUNTIF($F$134:$F$142,F4)+COUNTIF($F$144:$F$483,F4)+COUNTIF($F$8:$F$9,F4)+COUNTIF($F$11:$F$26,F4)+COUNTIF($F$28:$F$132,F4)+COUNTIF($F$4:$F$4,F4)&gt;1,NOT(ISBLANK(F4)))</formula>
    </cfRule>
    <cfRule type="expression" dxfId="296" priority="1889" stopIfTrue="1">
      <formula>AND(COUNTIF($F$486:$F$65536,F4)+COUNTIF($F$1:$F$2,F4)+COUNTIF($F$134:$F$142,F4)+COUNTIF($F$144:$F$483,F4)+COUNTIF($F$8:$F$9,F4)+COUNTIF($F$11:$F$26,F4)+COUNTIF($F$28:$F$132,F4)+COUNTIF($F$4:$F$4,F4)&gt;1,NOT(ISBLANK(F4)))</formula>
    </cfRule>
    <cfRule type="expression" dxfId="295" priority="1890" stopIfTrue="1">
      <formula>AND(COUNTIF($F$486:$F$65536,F4)+COUNTIF($F$1:$F$2,F4)+COUNTIF($F$134:$F$142,F4)+COUNTIF($F$144:$F$483,F4)+COUNTIF($F$8:$F$9,F4)+COUNTIF($F$11:$F$26,F4)+COUNTIF($F$28:$F$132,F4)+COUNTIF($F$4:$F$4,F4)&gt;1,NOT(ISBLANK(F4)))</formula>
    </cfRule>
    <cfRule type="expression" dxfId="294" priority="1891" stopIfTrue="1">
      <formula>AND(COUNTIF($F$134:$F$142,F4)+COUNTIF($F$1:$F$2,F4)+COUNTIF($F$144:$F$65536,F4)+COUNTIF($F$8:$F$9,F4)+COUNTIF($F$11:$F$26,F4)+COUNTIF($F$28:$F$132,F4)+COUNTIF($F$4:$F$4,F4)&gt;1,NOT(ISBLANK(F4)))</formula>
    </cfRule>
    <cfRule type="expression" dxfId="293" priority="1892" stopIfTrue="1">
      <formula>AND(COUNTIF($F$134:$F$142,F4)+COUNTIF($F$1:$F$2,F4)+COUNTIF($F$144:$F$65536,F4)+COUNTIF($F$8:$F$9,F4)+COUNTIF($F$11:$F$26,F4)+COUNTIF($F$28:$F$132,F4)+COUNTIF($F$4:$F$4,F4)&gt;1,NOT(ISBLANK(F4)))</formula>
    </cfRule>
    <cfRule type="expression" dxfId="292" priority="1893" stopIfTrue="1">
      <formula>AND(COUNTIF($F$134:$F$142,F4)+COUNTIF($F$1:$F$2,F4)+COUNTIF($F$144:$F$65536,F4)+COUNTIF($F$8:$F$9,F4)+COUNTIF($F$11:$F$26,F4)+COUNTIF($F$28:$F$132,F4)+COUNTIF($F$4:$F$4,F4)&gt;1,NOT(ISBLANK(F4)))</formula>
    </cfRule>
  </conditionalFormatting>
  <conditionalFormatting sqref="F180:F199 F4:F16 F29:F50 F171:F178 F18:F26 F201:F206 F257:F259 F208:F255">
    <cfRule type="duplicateValues" dxfId="1518" priority="1928" stopIfTrue="1"/>
    <cfRule type="duplicateValues" dxfId="1517" priority="1929" stopIfTrue="1"/>
  </conditionalFormatting>
  <conditionalFormatting sqref="F4:F16 F18:F26 F78:F89 F171:F178 F180:F199 F28:F76 F201:F206 F257:F259 F208:F255">
    <cfRule type="duplicateValues" dxfId="1516" priority="981" stopIfTrue="1"/>
    <cfRule type="duplicateValues" dxfId="1515" priority="982" stopIfTrue="1"/>
  </conditionalFormatting>
  <conditionalFormatting sqref="F180:F199 F4:F16 F18:F26 F28:F89 F171:F178 F201:F206 F257:F259 F208:F255">
    <cfRule type="duplicateValues" dxfId="1514" priority="983" stopIfTrue="1"/>
  </conditionalFormatting>
  <conditionalFormatting sqref="F297:F318 F437:F452 F4:F206 F257:F295 F208:F255 F320:F423 F425:F435 F454:F486">
    <cfRule type="duplicateValues" dxfId="1513" priority="984" stopIfTrue="1"/>
    <cfRule type="duplicateValues" dxfId="1512" priority="985" stopIfTrue="1"/>
  </conditionalFormatting>
  <conditionalFormatting sqref="F4:F206 F257:F295 F208:F255 F297:F423 F425:F452 F454:F486">
    <cfRule type="duplicateValues" dxfId="1511" priority="914" stopIfTrue="1"/>
  </conditionalFormatting>
  <conditionalFormatting sqref="F4:F206 F257:F295 F208:F255 F297:F423 F425:F452 F454:F487">
    <cfRule type="duplicateValues" dxfId="1510" priority="880" stopIfTrue="1"/>
  </conditionalFormatting>
  <conditionalFormatting sqref="F4:F206 F208:F255 F257:F423 F425:F452 F454:F487">
    <cfRule type="duplicateValues" dxfId="1509" priority="861" stopIfTrue="1"/>
    <cfRule type="duplicateValues" dxfId="1508" priority="864" stopIfTrue="1"/>
  </conditionalFormatting>
  <conditionalFormatting sqref="F4:F206 F208:F423 F425:F452 F454:F487">
    <cfRule type="duplicateValues" dxfId="1507" priority="792" stopIfTrue="1"/>
  </conditionalFormatting>
  <conditionalFormatting sqref="E295 E53 E250 E15 E29">
    <cfRule type="expression" dxfId="1506" priority="1866" stopIfTrue="1">
      <formula>AND(COUNTIF($E$4:$E$65536,E15)+COUNTIF($E$1:$E$2,E15)&gt;1,NOT(ISBLANK(E15)))</formula>
    </cfRule>
    <cfRule type="expression" dxfId="1505" priority="1867" stopIfTrue="1">
      <formula>AND(COUNTIF($E$4:$E$65536,E15)+COUNTIF($E$1:$E$2,E15)&gt;1,NOT(ISBLANK(E15)))</formula>
    </cfRule>
    <cfRule type="expression" dxfId="1504" priority="1868" stopIfTrue="1">
      <formula>AND(COUNTIF($E$486:$E$65536,E15)+COUNTIF($E$1:$E$2,E15)+COUNTIF($E$134:$E$142,E15)+COUNTIF($E$144:$E$483,E15)+COUNTIF($E$8:$E$9,E15)+COUNTIF($E$11:$E$26,E15)+COUNTIF($E$28:$E$132,E15)+COUNTIF($E$4:$E$4,E15)&gt;1,NOT(ISBLANK(E15)))</formula>
    </cfRule>
    <cfRule type="expression" dxfId="291" priority="1869" stopIfTrue="1">
      <formula>AND(COUNTIF($E$134:$E$142,E15)+COUNTIF($E$1:$E$2,E15)+COUNTIF($E$144:$E$65536,E15)+COUNTIF($E$8:$E$9,E15)+COUNTIF($E$11:$E$26,E15)+COUNTIF($E$28:$E$132,E15)+COUNTIF($E$4:$E$4,E15)&gt;1,NOT(ISBLANK(E15)))</formula>
    </cfRule>
    <cfRule type="expression" dxfId="290" priority="1870" stopIfTrue="1">
      <formula>AND(COUNTIF($E$8:$E$9,E15)+COUNTIF($E$1:$E$2,E15)+COUNTIF($E$11:$E$26,E15)+COUNTIF($E$28:$E$65536,E15)+COUNTIF($E$4:$E$4,E15)&gt;1,NOT(ISBLANK(E15)))</formula>
    </cfRule>
  </conditionalFormatting>
  <conditionalFormatting sqref="F15 F29">
    <cfRule type="expression" dxfId="1503" priority="1912" stopIfTrue="1">
      <formula>AND(COUNTIF($F$4:$F$65536,F15)+COUNTIF($F$1:$F$2,F15)&gt;1,NOT(ISBLANK(F15)))</formula>
    </cfRule>
    <cfRule type="expression" dxfId="1502" priority="1913" stopIfTrue="1">
      <formula>AND(COUNTIF($F$4:$F$65536,F15)+COUNTIF($F$1:$F$2,F15)&gt;1,NOT(ISBLANK(F15)))</formula>
    </cfRule>
    <cfRule type="expression" dxfId="1501" priority="1914" stopIfTrue="1">
      <formula>AND(COUNTIF($F$8:$F$9,F15)+COUNTIF($F$1:$F$2,F15)+COUNTIF($F$11:$F$26,F15)+COUNTIF($F$28:$F$65536,F15)+COUNTIF($F$4:$F$4,F15)&gt;1,NOT(ISBLANK(F15)))</formula>
    </cfRule>
    <cfRule type="expression" dxfId="289" priority="1915" stopIfTrue="1">
      <formula>AND(COUNTIF($F$8:$F$9,F15)+COUNTIF($F$1:$F$2,F15)+COUNTIF($F$11:$F$26,F15)+COUNTIF($F$28:$F$65536,F15)+COUNTIF($F$4:$F$4,F15)&gt;1,NOT(ISBLANK(F15)))</formula>
    </cfRule>
    <cfRule type="expression" dxfId="288" priority="1916" stopIfTrue="1">
      <formula>AND(COUNTIF($F$8:$F$9,F15)+COUNTIF($F$1:$F$2,F15)+COUNTIF($F$11:$F$26,F15)+COUNTIF($F$28:$F$65536,F15)+COUNTIF($F$4:$F$4,F15)&gt;1,NOT(ISBLANK(F15)))</formula>
    </cfRule>
    <cfRule type="expression" dxfId="287" priority="1917" stopIfTrue="1">
      <formula>AND(COUNTIF($F$486:$F$65536,F15)+COUNTIF($F$1:$F$2,F15)+COUNTIF($F$134:$F$142,F15)+COUNTIF($F$144:$F$483,F15)+COUNTIF($F$8:$F$9,F15)+COUNTIF($F$11:$F$26,F15)+COUNTIF($F$28:$F$132,F15)+COUNTIF($F$4:$F$4,F15)&gt;1,NOT(ISBLANK(F15)))</formula>
    </cfRule>
    <cfRule type="expression" dxfId="286" priority="1918" stopIfTrue="1">
      <formula>AND(COUNTIF($F$486:$F$65536,F15)+COUNTIF($F$1:$F$2,F15)+COUNTIF($F$134:$F$142,F15)+COUNTIF($F$144:$F$483,F15)+COUNTIF($F$8:$F$9,F15)+COUNTIF($F$11:$F$26,F15)+COUNTIF($F$28:$F$132,F15)+COUNTIF($F$4:$F$4,F15)&gt;1,NOT(ISBLANK(F15)))</formula>
    </cfRule>
    <cfRule type="expression" dxfId="285" priority="1919" stopIfTrue="1">
      <formula>AND(COUNTIF($F$486:$F$65536,F15)+COUNTIF($F$1:$F$2,F15)+COUNTIF($F$134:$F$142,F15)+COUNTIF($F$144:$F$483,F15)+COUNTIF($F$8:$F$9,F15)+COUNTIF($F$11:$F$26,F15)+COUNTIF($F$28:$F$132,F15)+COUNTIF($F$4:$F$4,F15)&gt;1,NOT(ISBLANK(F15)))</formula>
    </cfRule>
    <cfRule type="expression" dxfId="284" priority="1920" stopIfTrue="1">
      <formula>AND(COUNTIF($F$134:$F$142,F15)+COUNTIF($F$1:$F$2,F15)+COUNTIF($F$144:$F$65536,F15)+COUNTIF($F$8:$F$9,F15)+COUNTIF($F$11:$F$26,F15)+COUNTIF($F$28:$F$132,F15)+COUNTIF($F$4:$F$4,F15)&gt;1,NOT(ISBLANK(F15)))</formula>
    </cfRule>
    <cfRule type="expression" dxfId="283" priority="1921" stopIfTrue="1">
      <formula>AND(COUNTIF($F$134:$F$142,F15)+COUNTIF($F$1:$F$2,F15)+COUNTIF($F$144:$F$65536,F15)+COUNTIF($F$8:$F$9,F15)+COUNTIF($F$11:$F$26,F15)+COUNTIF($F$28:$F$132,F15)+COUNTIF($F$4:$F$4,F15)&gt;1,NOT(ISBLANK(F15)))</formula>
    </cfRule>
    <cfRule type="expression" dxfId="282" priority="1922" stopIfTrue="1">
      <formula>AND(COUNTIF($F$134:$F$142,F15)+COUNTIF($F$1:$F$2,F15)+COUNTIF($F$144:$F$65536,F15)+COUNTIF($F$8:$F$9,F15)+COUNTIF($F$11:$F$26,F15)+COUNTIF($F$28:$F$132,F15)+COUNTIF($F$4:$F$4,F15)&gt;1,NOT(ISBLANK(F15)))</formula>
    </cfRule>
    <cfRule type="expression" dxfId="281" priority="1923" stopIfTrue="1">
      <formula>AND(COUNTIF($F$4:$F$4,F15)+COUNTIF($F$8:$F$9,F15)+COUNTIF($F$11:$F$26,F15)+COUNTIF($F$28:$F$173,F15)&gt;1,NOT(ISBLANK(F15)))</formula>
    </cfRule>
  </conditionalFormatting>
  <conditionalFormatting sqref="B179:F179 B17:F17 B200:F200">
    <cfRule type="expression" dxfId="1500" priority="1941" stopIfTrue="1">
      <formula>AND(COUNTIF($B$147:$F$155,B17)+COUNTIF($B$157:$F$65536,B17)+COUNTIF($B$8:$F$9,B17)+COUNTIF($B$11:$F$26,B17)+COUNTIF($B$28:$F$145,B17)+COUNTIF($B$4:$F$4,B17)+COUNTIF($B$1:$F$2,B17)&gt;1,NOT(ISBLANK(B17)))</formula>
    </cfRule>
    <cfRule type="expression" dxfId="1499" priority="1942" stopIfTrue="1">
      <formula>AND(COUNTIF($B$147:$F$155,B17)+COUNTIF($B$157:$F$65536,B17)+COUNTIF($B$8:$F$9,B17)+COUNTIF($B$11:$F$26,B17)+COUNTIF($B$28:$F$145,B17)+COUNTIF($B$4:$F$4,B17)+COUNTIF($B$1:$F$2,B17)&gt;1,NOT(ISBLANK(B17)))</formula>
    </cfRule>
    <cfRule type="expression" dxfId="1498" priority="1943" stopIfTrue="1">
      <formula>AND(COUNTIF($B$147:$F$155,B17)+COUNTIF($B$157:$F$65536,B17)+COUNTIF($B$8:$F$9,B17)+COUNTIF($B$11:$F$26,B17)+COUNTIF($B$28:$F$145,B17)+COUNTIF($B$4:$F$4,B17)+COUNTIF($B$1:$F$2,B17)&gt;1,NOT(ISBLANK(B17)))</formula>
    </cfRule>
    <cfRule type="expression" dxfId="280" priority="1944" stopIfTrue="1">
      <formula>AND(COUNTIF($B$8:$F$9,B17)+COUNTIF($B$11:$F$26,B17)+COUNTIF($B$28:$F$65536,B17)+COUNTIF($B$4:$F$4,B17)+COUNTIF($B$1:$F$2,B17)&gt;1,NOT(ISBLANK(B17)))</formula>
    </cfRule>
    <cfRule type="expression" dxfId="279" priority="1945" stopIfTrue="1">
      <formula>AND(COUNTIF($B$8:$F$9,B17)+COUNTIF($B$11:$F$26,B17)+COUNTIF($B$28:$F$65536,B17)+COUNTIF($B$4:$F$4,B17)+COUNTIF($B$1:$F$2,B17)&gt;1,NOT(ISBLANK(B17)))</formula>
    </cfRule>
    <cfRule type="expression" dxfId="278" priority="1946" stopIfTrue="1">
      <formula>AND(COUNTIF($B$8:$F$9,B17)+COUNTIF($B$11:$F$26,B17)+COUNTIF($B$28:$F$65536,B17)+COUNTIF($B$4:$F$4,B17)+COUNTIF($B$1:$F$2,B17)&gt;1,NOT(ISBLANK(B17)))</formula>
    </cfRule>
  </conditionalFormatting>
  <conditionalFormatting sqref="C436:F436 C179:F179 C17:F17 B200:F200">
    <cfRule type="expression" dxfId="1497" priority="1947" stopIfTrue="1">
      <formula>AND(COUNTIF($C$147:$F$155,B17)+COUNTIF($C$157:$F$65536,B17)+COUNTIF($C$8:$F$9,B17)+COUNTIF($C$11:$F$26,B17)+COUNTIF($C$28:$F$145,B17)+COUNTIF($C$4:$F$4,B17)+COUNTIF($C$1:$F$2,B17)&gt;1,NOT(ISBLANK(B17)))</formula>
    </cfRule>
  </conditionalFormatting>
  <conditionalFormatting sqref="D179 D200 D17">
    <cfRule type="expression" dxfId="1496" priority="1618" stopIfTrue="1">
      <formula>AND(COUNTIF($D$8:$D$9,D17)+COUNTIF($D$1:$D$2,D17)+COUNTIF($D$11:$D$26,D17)+COUNTIF($D$28:$D$65536,D17)+COUNTIF($D$4:$D$4,D17)&gt;1,NOT(ISBLANK(D17)))</formula>
    </cfRule>
    <cfRule type="expression" dxfId="1495" priority="1619" stopIfTrue="1">
      <formula>AND(COUNTIF($D$8:$D$9,D17)+COUNTIF($D$1:$D$2,D17)+COUNTIF($D$11:$D$26,D17)+COUNTIF($D$28:$D$65536,D17)+COUNTIF($D$4:$D$4,D17)&gt;1,NOT(ISBLANK(D17)))</formula>
    </cfRule>
    <cfRule type="expression" dxfId="1494" priority="1620" stopIfTrue="1">
      <formula>AND(COUNTIF($D$8:$D$9,D17)+COUNTIF($D$1:$D$2,D17)+COUNTIF($D$11:$D$26,D17)+COUNTIF($D$28:$D$65536,D17)+COUNTIF($D$4:$D$4,D17)&gt;1,NOT(ISBLANK(D17)))</formula>
    </cfRule>
    <cfRule type="expression" dxfId="277" priority="1621" stopIfTrue="1">
      <formula>AND(COUNTIF($D$147:$D$155,D17)+COUNTIF($D$157:$D$65536,D17)+COUNTIF($D$1:$D$2,D17)+COUNTIF($D$8:$D$9,D17)+COUNTIF($D$11:$D$26,D17)+COUNTIF($D$28:$D$145,D17)+COUNTIF($D$4:$D$4,D17)&gt;1,NOT(ISBLANK(D17)))</formula>
    </cfRule>
  </conditionalFormatting>
  <conditionalFormatting sqref="E179 E17 E200">
    <cfRule type="expression" dxfId="1493" priority="963" stopIfTrue="1">
      <formula>AND(COUNTIF($E$498:$E$65536,E17)+COUNTIF($E$1:$E$2,E17)+COUNTIF($E$147:$E$155,E17)+COUNTIF($E$157:$E$496,E17)+COUNTIF($E$8:$E$9,E17)+COUNTIF($E$11:$E$26,E17)+COUNTIF($E$28:$E$145,E17)+COUNTIF($E$4:$E$4,E17)&gt;1,NOT(ISBLANK(E17)))</formula>
    </cfRule>
    <cfRule type="expression" dxfId="1492" priority="964" stopIfTrue="1">
      <formula>AND(COUNTIF($E$147:$E$155,E17)+COUNTIF($E$1:$E$2,E17)+COUNTIF($E$157:$E$65536,E17)+COUNTIF($E$8:$E$9,E17)+COUNTIF($E$11:$E$26,E17)+COUNTIF($E$28:$E$145,E17)+COUNTIF($E$4:$E$4,E17)&gt;1,NOT(ISBLANK(E17)))</formula>
    </cfRule>
    <cfRule type="expression" dxfId="1491" priority="965" stopIfTrue="1">
      <formula>AND(COUNTIF($E$8:$E$9,E17)+COUNTIF($E$1:$E$2,E17)+COUNTIF($E$11:$E$26,E17)+COUNTIF($E$28:$E$65536,E17)+COUNTIF($E$4:$E$4,E17)&gt;1,NOT(ISBLANK(E17)))</formula>
    </cfRule>
  </conditionalFormatting>
  <conditionalFormatting sqref="F179 F17 F200">
    <cfRule type="expression" dxfId="1490" priority="966" stopIfTrue="1">
      <formula>AND(COUNTIF($F$8:$F$9,F17)+COUNTIF($F$1:$F$2,F17)+COUNTIF($F$11:$F$26,F17)+COUNTIF($F$28:$F$65536,F17)+COUNTIF($F$4:$F$4,F17)&gt;1,NOT(ISBLANK(F17)))</formula>
    </cfRule>
    <cfRule type="expression" dxfId="1489" priority="967" stopIfTrue="1">
      <formula>AND(COUNTIF($F$8:$F$9,F17)+COUNTIF($F$1:$F$2,F17)+COUNTIF($F$11:$F$26,F17)+COUNTIF($F$28:$F$65536,F17)+COUNTIF($F$4:$F$4,F17)&gt;1,NOT(ISBLANK(F17)))</formula>
    </cfRule>
    <cfRule type="expression" dxfId="1488" priority="968" stopIfTrue="1">
      <formula>AND(COUNTIF($F$8:$F$9,F17)+COUNTIF($F$1:$F$2,F17)+COUNTIF($F$11:$F$26,F17)+COUNTIF($F$28:$F$65536,F17)+COUNTIF($F$4:$F$4,F17)&gt;1,NOT(ISBLANK(F17)))</formula>
    </cfRule>
    <cfRule type="expression" dxfId="276" priority="969" stopIfTrue="1">
      <formula>AND(COUNTIF($F$498:$F$65536,F17)+COUNTIF($F$1:$F$2,F17)+COUNTIF($F$147:$F$155,F17)+COUNTIF($F$157:$F$496,F17)+COUNTIF($F$8:$F$9,F17)+COUNTIF($F$11:$F$26,F17)+COUNTIF($F$28:$F$145,F17)+COUNTIF($F$4:$F$4,F17)&gt;1,NOT(ISBLANK(F17)))</formula>
    </cfRule>
    <cfRule type="expression" dxfId="275" priority="970" stopIfTrue="1">
      <formula>AND(COUNTIF($F$498:$F$65536,F17)+COUNTIF($F$1:$F$2,F17)+COUNTIF($F$147:$F$155,F17)+COUNTIF($F$157:$F$496,F17)+COUNTIF($F$8:$F$9,F17)+COUNTIF($F$11:$F$26,F17)+COUNTIF($F$28:$F$145,F17)+COUNTIF($F$4:$F$4,F17)&gt;1,NOT(ISBLANK(F17)))</formula>
    </cfRule>
    <cfRule type="expression" dxfId="274" priority="971" stopIfTrue="1">
      <formula>AND(COUNTIF($F$498:$F$65536,F17)+COUNTIF($F$1:$F$2,F17)+COUNTIF($F$147:$F$155,F17)+COUNTIF($F$157:$F$496,F17)+COUNTIF($F$8:$F$9,F17)+COUNTIF($F$11:$F$26,F17)+COUNTIF($F$28:$F$145,F17)+COUNTIF($F$4:$F$4,F17)&gt;1,NOT(ISBLANK(F17)))</formula>
    </cfRule>
    <cfRule type="expression" dxfId="273" priority="972" stopIfTrue="1">
      <formula>AND(COUNTIF($F$147:$F$155,F17)+COUNTIF($F$1:$F$2,F17)+COUNTIF($F$157:$F$65536,F17)+COUNTIF($F$8:$F$9,F17)+COUNTIF($F$11:$F$26,F17)+COUNTIF($F$28:$F$145,F17)+COUNTIF($F$4:$F$4,F17)&gt;1,NOT(ISBLANK(F17)))</formula>
    </cfRule>
    <cfRule type="expression" dxfId="272" priority="973" stopIfTrue="1">
      <formula>AND(COUNTIF($F$147:$F$155,F17)+COUNTIF($F$1:$F$2,F17)+COUNTIF($F$157:$F$65536,F17)+COUNTIF($F$8:$F$9,F17)+COUNTIF($F$11:$F$26,F17)+COUNTIF($F$28:$F$145,F17)+COUNTIF($F$4:$F$4,F17)&gt;1,NOT(ISBLANK(F17)))</formula>
    </cfRule>
    <cfRule type="expression" dxfId="271" priority="974" stopIfTrue="1">
      <formula>AND(COUNTIF($F$147:$F$155,F17)+COUNTIF($F$1:$F$2,F17)+COUNTIF($F$157:$F$65536,F17)+COUNTIF($F$8:$F$9,F17)+COUNTIF($F$11:$F$26,F17)+COUNTIF($F$28:$F$145,F17)+COUNTIF($F$4:$F$4,F17)&gt;1,NOT(ISBLANK(F17)))</formula>
    </cfRule>
  </conditionalFormatting>
  <conditionalFormatting sqref="D90:F128 B80:C80 E80:F80 B51:F52 B54:F79 B81:F89 B90:C100 B102:C128 B129:F170 B260:F294 B297:F353 B355:F423 B425:F433 B435:F435 B437:F452 B454:F485 B486 D486:F487">
    <cfRule type="expression" dxfId="1487" priority="1978" stopIfTrue="1">
      <formula>AND(COUNTIF($B$8:$F$9,B51)+COUNTIF($B$11:$F$26,B51)+COUNTIF($B$28:$F$65536,B51)+COUNTIF($B$4:$F$4,B51)+COUNTIF($B$1:$F$2,B51)&gt;1,NOT(ISBLANK(B51)))</formula>
    </cfRule>
    <cfRule type="expression" dxfId="1486" priority="1979" stopIfTrue="1">
      <formula>AND(COUNTIF($B$8:$F$9,B51)+COUNTIF($B$11:$F$26,B51)+COUNTIF($B$28:$F$65536,B51)+COUNTIF($B$4:$F$4,B51)+COUNTIF($B$1:$F$2,B51)&gt;1,NOT(ISBLANK(B51)))</formula>
    </cfRule>
    <cfRule type="expression" dxfId="1485" priority="1980" stopIfTrue="1">
      <formula>AND(COUNTIF($B$8:$F$9,B51)+COUNTIF($B$11:$F$26,B51)+COUNTIF($B$28:$F$65536,B51)+COUNTIF($B$4:$F$4,B51)+COUNTIF($B$1:$F$2,B51)&gt;1,NOT(ISBLANK(B51)))</formula>
    </cfRule>
  </conditionalFormatting>
  <conditionalFormatting sqref="D90:F128 B80:C80 E80:F80 B51:F52 B54:F79 B81:F89 B90:C100 B102:C128 B129:F145 B147:F155 B157:F170 B260:F294 B297:F353 B355:F423 B425:F433 B435:F435 B437:F452 B454:F485 B486 D486:F487">
    <cfRule type="expression" dxfId="1484" priority="1949" stopIfTrue="1">
      <formula>AND(COUNTIF($B$134:$F$142,B51)+COUNTIF($B$144:$F$65536,B51)+COUNTIF($B$8:$F$9,B51)+COUNTIF($B$11:$F$26,B51)+COUNTIF($B$28:$F$132,B51)+COUNTIF($B$4:$F$4,B51)+COUNTIF($B$1:$F$2,B51)&gt;1,NOT(ISBLANK(B51)))</formula>
    </cfRule>
    <cfRule type="expression" dxfId="1483" priority="1950" stopIfTrue="1">
      <formula>AND(COUNTIF($B$134:$F$142,B51)+COUNTIF($B$144:$F$65536,B51)+COUNTIF($B$8:$F$9,B51)+COUNTIF($B$11:$F$26,B51)+COUNTIF($B$28:$F$132,B51)+COUNTIF($B$4:$F$4,B51)+COUNTIF($B$1:$F$2,B51)&gt;1,NOT(ISBLANK(B51)))</formula>
    </cfRule>
    <cfRule type="expression" dxfId="1482" priority="1951" stopIfTrue="1">
      <formula>AND(COUNTIF($B$134:$F$142,B51)+COUNTIF($B$144:$F$65536,B51)+COUNTIF($B$8:$F$9,B51)+COUNTIF($B$11:$F$26,B51)+COUNTIF($B$28:$F$132,B51)+COUNTIF($B$4:$F$4,B51)+COUNTIF($B$1:$F$2,B51)&gt;1,NOT(ISBLANK(B51)))</formula>
    </cfRule>
  </conditionalFormatting>
  <conditionalFormatting sqref="D435 D260:D294 D81:D170 D51:D52 D54:D79 D297:D353 D486:D487 D437:D452 D355:D412 D414:D423 D425:D433 D454:D484">
    <cfRule type="expression" dxfId="1481" priority="1973" stopIfTrue="1">
      <formula>AND(COUNTIF($D$4:$D$65536,D51)+COUNTIF($D$1:$D$2,D51)&gt;1,NOT(ISBLANK(D51)))</formula>
    </cfRule>
    <cfRule type="expression" dxfId="1480" priority="1974" stopIfTrue="1">
      <formula>AND(COUNTIF($D$4:$D$65536,D51)+COUNTIF($D$1:$D$2,D51)&gt;1,NOT(ISBLANK(D51)))</formula>
    </cfRule>
    <cfRule type="expression" dxfId="1479" priority="1975" stopIfTrue="1">
      <formula>AND(COUNTIF($D$4:$D$65536,D51)+COUNTIF($D$1:$D$2,D51)&gt;1,NOT(ISBLANK(D51)))</formula>
    </cfRule>
    <cfRule type="expression" dxfId="270" priority="1981" stopIfTrue="1">
      <formula>AND(COUNTIF($D$8:$D$9,D51)+COUNTIF($D$1:$D$2,D51)+COUNTIF($D$11:$D$26,D51)+COUNTIF($D$28:$D$65536,D51)+COUNTIF($D$4:$D$4,D51)&gt;1,NOT(ISBLANK(D51)))</formula>
    </cfRule>
    <cfRule type="expression" dxfId="269" priority="1982" stopIfTrue="1">
      <formula>AND(COUNTIF($D$8:$D$9,D51)+COUNTIF($D$1:$D$2,D51)+COUNTIF($D$11:$D$26,D51)+COUNTIF($D$28:$D$65536,D51)+COUNTIF($D$4:$D$4,D51)&gt;1,NOT(ISBLANK(D51)))</formula>
    </cfRule>
    <cfRule type="expression" dxfId="268" priority="1983" stopIfTrue="1">
      <formula>AND(COUNTIF($D$8:$D$9,D51)+COUNTIF($D$1:$D$2,D51)+COUNTIF($D$11:$D$26,D51)+COUNTIF($D$28:$D$65536,D51)+COUNTIF($D$4:$D$4,D51)&gt;1,NOT(ISBLANK(D51)))</formula>
    </cfRule>
  </conditionalFormatting>
  <conditionalFormatting sqref="D435 D260:D294 D147:D155 D51:D52 D54:D79 D157:D170 D81:D145 D297:D353 D486:D487 D437:D452 D355:D412 D414:D423 D425:D433 D454:D484">
    <cfRule type="expression" dxfId="1478" priority="1564" stopIfTrue="1">
      <formula>AND(COUNTIF($D$134:$D$142,D51)+COUNTIF($D$144:$D$65536,D51)+COUNTIF($D$1:$D$2,D51)+COUNTIF($D$8:$D$9,D51)+COUNTIF($D$11:$D$26,D51)+COUNTIF($D$28:$D$132,D51)+COUNTIF($D$4:$D$4,D51)&gt;1,NOT(ISBLANK(D51)))</formula>
    </cfRule>
  </conditionalFormatting>
  <conditionalFormatting sqref="D435 D260:D294 D51:D52 D387:D412 D365:D385 D54:D170 D297:D353 D486:D487 D437:D452 D355:D363 D414:D423 D425:D433 D454:D484">
    <cfRule type="expression" dxfId="1477" priority="1565" stopIfTrue="1">
      <formula>AND(COUNTIF($D$1:$D$350,D51)+COUNTIF($D$352:$D$372,D51)+COUNTIF($D$374:$D$65536,D51)&gt;1,NOT(ISBLANK(D51)))</formula>
    </cfRule>
    <cfRule type="expression" dxfId="1476" priority="1566" stopIfTrue="1">
      <formula>AND(COUNTIF($D$1:$D$350,D51)+COUNTIF($D$352:$D$372,D51)+COUNTIF($D$374:$D$65536,D51)&gt;1,NOT(ISBLANK(D51)))</formula>
    </cfRule>
  </conditionalFormatting>
  <conditionalFormatting sqref="D51:D52 D54:D76 D83:D89 D78:D81">
    <cfRule type="duplicateValues" dxfId="1475" priority="986" stopIfTrue="1"/>
    <cfRule type="duplicateValues" dxfId="1474" priority="987" stopIfTrue="1"/>
    <cfRule type="duplicateValues" dxfId="1473" priority="988" stopIfTrue="1"/>
    <cfRule type="duplicateValues" dxfId="267" priority="989" stopIfTrue="1"/>
    <cfRule type="duplicateValues" dxfId="266" priority="990" stopIfTrue="1"/>
    <cfRule type="duplicateValues" dxfId="265" priority="991" stopIfTrue="1"/>
    <cfRule type="duplicateValues" dxfId="264" priority="992" stopIfTrue="1"/>
    <cfRule type="duplicateValues" dxfId="263" priority="993" stopIfTrue="1"/>
  </conditionalFormatting>
  <conditionalFormatting sqref="D51:D76 D83:D89 D78:D81">
    <cfRule type="duplicateValues" dxfId="1472" priority="994" stopIfTrue="1"/>
  </conditionalFormatting>
  <conditionalFormatting sqref="E435 E260:E294 E54:E170 E51:E52 E297:E353 E486:E487 E437:E452 E355:E412 E414:E423 E425:E433 E454:E484">
    <cfRule type="expression" dxfId="1471" priority="1976" stopIfTrue="1">
      <formula>AND(COUNTIF($E$4:$E$65536,E51)+COUNTIF($E$1:$E$2,E51)&gt;1,NOT(ISBLANK(E51)))</formula>
    </cfRule>
    <cfRule type="expression" dxfId="1470" priority="1977" stopIfTrue="1">
      <formula>AND(COUNTIF($E$4:$E$65536,E51)+COUNTIF($E$1:$E$2,E51)&gt;1,NOT(ISBLANK(E51)))</formula>
    </cfRule>
    <cfRule type="expression" dxfId="1469" priority="1984" stopIfTrue="1">
      <formula>AND(COUNTIF($E$8:$E$9,E51)+COUNTIF($E$1:$E$2,E51)+COUNTIF($E$11:$E$26,E51)+COUNTIF($E$28:$E$65536,E51)+COUNTIF($E$4:$E$4,E51)&gt;1,NOT(ISBLANK(E51)))</formula>
    </cfRule>
  </conditionalFormatting>
  <conditionalFormatting sqref="E435 E260:E294 E147:E155 E51:E52 E157:E170 E54:E145 E297:E353 E486:E487 E437:E452 E355:E412 E414:E423 E425:E433 E454:E484">
    <cfRule type="expression" dxfId="1468" priority="1556" stopIfTrue="1">
      <formula>AND(COUNTIF($E$486:$E$65536,E51)+COUNTIF($E$1:$E$2,E51)+COUNTIF($E$134:$E$142,E51)+COUNTIF($E$144:$E$483,E51)+COUNTIF($E$8:$E$9,E51)+COUNTIF($E$11:$E$26,E51)+COUNTIF($E$28:$E$132,E51)+COUNTIF($E$4:$E$4,E51)&gt;1,NOT(ISBLANK(E51)))</formula>
    </cfRule>
    <cfRule type="expression" dxfId="1467" priority="1557" stopIfTrue="1">
      <formula>AND(COUNTIF($E$134:$E$142,E51)+COUNTIF($E$1:$E$2,E51)+COUNTIF($E$144:$E$65536,E51)+COUNTIF($E$8:$E$9,E51)+COUNTIF($E$11:$E$26,E51)+COUNTIF($E$28:$E$132,E51)+COUNTIF($E$4:$E$4,E51)&gt;1,NOT(ISBLANK(E51)))</formula>
    </cfRule>
  </conditionalFormatting>
  <conditionalFormatting sqref="E51:E76 E83:E89 E78:E81">
    <cfRule type="duplicateValues" dxfId="1466" priority="995" stopIfTrue="1"/>
  </conditionalFormatting>
  <conditionalFormatting sqref="F435 F260:F294 F51:F52 F54:F170 F297:F353 F486:F487 F437:F452 F355:F412 F414:F423 F425:F433 F454:F484">
    <cfRule type="expression" dxfId="1465" priority="1567" stopIfTrue="1">
      <formula>AND(COUNTIF($F$4:$F$65536,F51)+COUNTIF($F$1:$F$2,F51)&gt;1,NOT(ISBLANK(F51)))</formula>
    </cfRule>
    <cfRule type="expression" dxfId="1464" priority="1568" stopIfTrue="1">
      <formula>AND(COUNTIF($F$4:$F$65536,F51)+COUNTIF($F$1:$F$2,F51)&gt;1,NOT(ISBLANK(F51)))</formula>
    </cfRule>
    <cfRule type="expression" dxfId="1463" priority="1569" stopIfTrue="1">
      <formula>AND(COUNTIF($F$8:$F$9,F51)+COUNTIF($F$1:$F$2,F51)+COUNTIF($F$11:$F$26,F51)+COUNTIF($F$28:$F$65536,F51)+COUNTIF($F$4:$F$4,F51)&gt;1,NOT(ISBLANK(F51)))</formula>
    </cfRule>
    <cfRule type="expression" dxfId="262" priority="1570" stopIfTrue="1">
      <formula>AND(COUNTIF($F$8:$F$9,F51)+COUNTIF($F$1:$F$2,F51)+COUNTIF($F$11:$F$26,F51)+COUNTIF($F$28:$F$65536,F51)+COUNTIF($F$4:$F$4,F51)&gt;1,NOT(ISBLANK(F51)))</formula>
    </cfRule>
    <cfRule type="expression" dxfId="261" priority="1571" stopIfTrue="1">
      <formula>AND(COUNTIF($F$8:$F$9,F51)+COUNTIF($F$1:$F$2,F51)+COUNTIF($F$11:$F$26,F51)+COUNTIF($F$28:$F$65536,F51)+COUNTIF($F$4:$F$4,F51)&gt;1,NOT(ISBLANK(F51)))</formula>
    </cfRule>
  </conditionalFormatting>
  <conditionalFormatting sqref="F435 F260:F294 F147:F155 F51:F52 F157:F170 F54:F145 F297:F353 F486:F487 F437:F452 F355:F412 F414:F423 F425:F433 F454:F484">
    <cfRule type="expression" dxfId="1462" priority="1558" stopIfTrue="1">
      <formula>AND(COUNTIF($F$486:$F$65536,F51)+COUNTIF($F$1:$F$2,F51)+COUNTIF($F$134:$F$142,F51)+COUNTIF($F$144:$F$483,F51)+COUNTIF($F$8:$F$9,F51)+COUNTIF($F$11:$F$26,F51)+COUNTIF($F$28:$F$132,F51)+COUNTIF($F$4:$F$4,F51)&gt;1,NOT(ISBLANK(F51)))</formula>
    </cfRule>
    <cfRule type="expression" dxfId="1461" priority="1559" stopIfTrue="1">
      <formula>AND(COUNTIF($F$486:$F$65536,F51)+COUNTIF($F$1:$F$2,F51)+COUNTIF($F$134:$F$142,F51)+COUNTIF($F$144:$F$483,F51)+COUNTIF($F$8:$F$9,F51)+COUNTIF($F$11:$F$26,F51)+COUNTIF($F$28:$F$132,F51)+COUNTIF($F$4:$F$4,F51)&gt;1,NOT(ISBLANK(F51)))</formula>
    </cfRule>
    <cfRule type="expression" dxfId="1460" priority="1560" stopIfTrue="1">
      <formula>AND(COUNTIF($F$486:$F$65536,F51)+COUNTIF($F$1:$F$2,F51)+COUNTIF($F$134:$F$142,F51)+COUNTIF($F$144:$F$483,F51)+COUNTIF($F$8:$F$9,F51)+COUNTIF($F$11:$F$26,F51)+COUNTIF($F$28:$F$132,F51)+COUNTIF($F$4:$F$4,F51)&gt;1,NOT(ISBLANK(F51)))</formula>
    </cfRule>
    <cfRule type="expression" dxfId="260" priority="1561" stopIfTrue="1">
      <formula>AND(COUNTIF($F$134:$F$142,F51)+COUNTIF($F$1:$F$2,F51)+COUNTIF($F$144:$F$65536,F51)+COUNTIF($F$8:$F$9,F51)+COUNTIF($F$11:$F$26,F51)+COUNTIF($F$28:$F$132,F51)+COUNTIF($F$4:$F$4,F51)&gt;1,NOT(ISBLANK(F51)))</formula>
    </cfRule>
    <cfRule type="expression" dxfId="259" priority="1562" stopIfTrue="1">
      <formula>AND(COUNTIF($F$134:$F$142,F51)+COUNTIF($F$1:$F$2,F51)+COUNTIF($F$144:$F$65536,F51)+COUNTIF($F$8:$F$9,F51)+COUNTIF($F$11:$F$26,F51)+COUNTIF($F$28:$F$132,F51)+COUNTIF($F$4:$F$4,F51)&gt;1,NOT(ISBLANK(F51)))</formula>
    </cfRule>
    <cfRule type="expression" dxfId="258" priority="1563" stopIfTrue="1">
      <formula>AND(COUNTIF($F$134:$F$142,F51)+COUNTIF($F$1:$F$2,F51)+COUNTIF($F$144:$F$65536,F51)+COUNTIF($F$8:$F$9,F51)+COUNTIF($F$11:$F$26,F51)+COUNTIF($F$28:$F$132,F51)+COUNTIF($F$4:$F$4,F51)&gt;1,NOT(ISBLANK(F51)))</formula>
    </cfRule>
  </conditionalFormatting>
  <conditionalFormatting sqref="F51:F52 F54:F76 F83:F89 F78:F81">
    <cfRule type="duplicateValues" dxfId="1459" priority="996" stopIfTrue="1"/>
  </conditionalFormatting>
  <conditionalFormatting sqref="F51:F76 F83:F89 F78:F81">
    <cfRule type="duplicateValues" dxfId="1458" priority="997" stopIfTrue="1"/>
  </conditionalFormatting>
  <conditionalFormatting sqref="C57:C60 C52">
    <cfRule type="expression" dxfId="1457" priority="255" stopIfTrue="1">
      <formula>AND(COUNTIF($B$134:$F$142,C52)+COUNTIF($B$144:$F$65536,C52)+COUNTIF($B$8:$F$9,C52)+COUNTIF($B$11:$F$26,C52)+COUNTIF($B$28:$F$132,C52)+COUNTIF($B$4:$F$4,C52)+COUNTIF($B$1:$F$2,C52)&gt;1,NOT(ISBLANK(C52)))</formula>
    </cfRule>
    <cfRule type="expression" dxfId="1456" priority="256" stopIfTrue="1">
      <formula>AND(COUNTIF($B$134:$F$142,C52)+COUNTIF($B$144:$F$65536,C52)+COUNTIF($B$8:$F$9,C52)+COUNTIF($B$11:$F$26,C52)+COUNTIF($B$28:$F$132,C52)+COUNTIF($B$4:$F$4,C52)+COUNTIF($B$1:$F$2,C52)&gt;1,NOT(ISBLANK(C52)))</formula>
    </cfRule>
    <cfRule type="expression" dxfId="1455" priority="257" stopIfTrue="1">
      <formula>AND(COUNTIF($B$134:$F$142,C52)+COUNTIF($B$144:$F$65536,C52)+COUNTIF($B$8:$F$9,C52)+COUNTIF($B$11:$F$26,C52)+COUNTIF($B$28:$F$132,C52)+COUNTIF($B$4:$F$4,C52)+COUNTIF($B$1:$F$2,C52)&gt;1,NOT(ISBLANK(C52)))</formula>
    </cfRule>
    <cfRule type="expression" dxfId="257" priority="258" stopIfTrue="1">
      <formula>AND(COUNTIF($B$8:$F$9,C52)+COUNTIF($B$11:$F$26,C52)+COUNTIF($B$28:$F$65536,C52)+COUNTIF($B$4:$F$4,C52)+COUNTIF($B$1:$F$2,C52)&gt;1,NOT(ISBLANK(C52)))</formula>
    </cfRule>
    <cfRule type="expression" dxfId="256" priority="259" stopIfTrue="1">
      <formula>AND(COUNTIF($B$8:$F$9,C52)+COUNTIF($B$11:$F$26,C52)+COUNTIF($B$28:$F$65536,C52)+COUNTIF($B$4:$F$4,C52)+COUNTIF($B$1:$F$2,C52)&gt;1,NOT(ISBLANK(C52)))</formula>
    </cfRule>
    <cfRule type="expression" dxfId="255" priority="260" stopIfTrue="1">
      <formula>AND(COUNTIF($B$8:$F$9,C52)+COUNTIF($B$11:$F$26,C52)+COUNTIF($B$28:$F$65536,C52)+COUNTIF($B$4:$F$4,C52)+COUNTIF($B$1:$F$2,C52)&gt;1,NOT(ISBLANK(C52)))</formula>
    </cfRule>
  </conditionalFormatting>
  <conditionalFormatting sqref="C74 C71 C69 C66:C67 C64">
    <cfRule type="expression" dxfId="1454" priority="249" stopIfTrue="1">
      <formula>AND(COUNTIF($B$134:$F$142,C64)+COUNTIF($B$144:$F$65536,C64)+COUNTIF($B$8:$F$9,C64)+COUNTIF($B$11:$F$26,C64)+COUNTIF($B$28:$F$132,C64)+COUNTIF($B$4:$F$4,C64)+COUNTIF($B$1:$F$2,C64)&gt;1,NOT(ISBLANK(C64)))</formula>
    </cfRule>
    <cfRule type="expression" dxfId="1453" priority="250" stopIfTrue="1">
      <formula>AND(COUNTIF($B$134:$F$142,C64)+COUNTIF($B$144:$F$65536,C64)+COUNTIF($B$8:$F$9,C64)+COUNTIF($B$11:$F$26,C64)+COUNTIF($B$28:$F$132,C64)+COUNTIF($B$4:$F$4,C64)+COUNTIF($B$1:$F$2,C64)&gt;1,NOT(ISBLANK(C64)))</formula>
    </cfRule>
    <cfRule type="expression" dxfId="1452" priority="251" stopIfTrue="1">
      <formula>AND(COUNTIF($B$134:$F$142,C64)+COUNTIF($B$144:$F$65536,C64)+COUNTIF($B$8:$F$9,C64)+COUNTIF($B$11:$F$26,C64)+COUNTIF($B$28:$F$132,C64)+COUNTIF($B$4:$F$4,C64)+COUNTIF($B$1:$F$2,C64)&gt;1,NOT(ISBLANK(C64)))</formula>
    </cfRule>
    <cfRule type="expression" dxfId="254" priority="252" stopIfTrue="1">
      <formula>AND(COUNTIF($B$8:$F$9,C64)+COUNTIF($B$11:$F$26,C64)+COUNTIF($B$28:$F$65536,C64)+COUNTIF($B$4:$F$4,C64)+COUNTIF($B$1:$F$2,C64)&gt;1,NOT(ISBLANK(C64)))</formula>
    </cfRule>
    <cfRule type="expression" dxfId="253" priority="253" stopIfTrue="1">
      <formula>AND(COUNTIF($B$8:$F$9,C64)+COUNTIF($B$11:$F$26,C64)+COUNTIF($B$28:$F$65536,C64)+COUNTIF($B$4:$F$4,C64)+COUNTIF($B$1:$F$2,C64)&gt;1,NOT(ISBLANK(C64)))</formula>
    </cfRule>
    <cfRule type="expression" dxfId="252" priority="254" stopIfTrue="1">
      <formula>AND(COUNTIF($B$8:$F$9,C64)+COUNTIF($B$11:$F$26,C64)+COUNTIF($B$28:$F$65536,C64)+COUNTIF($B$4:$F$4,C64)+COUNTIF($B$1:$F$2,C64)&gt;1,NOT(ISBLANK(C64)))</formula>
    </cfRule>
  </conditionalFormatting>
  <conditionalFormatting sqref="C87 C85 C81:C83 C79 C77">
    <cfRule type="expression" dxfId="1451" priority="243" stopIfTrue="1">
      <formula>AND(COUNTIF($B$134:$F$142,C77)+COUNTIF($B$144:$F$65536,C77)+COUNTIF($B$8:$F$9,C77)+COUNTIF($B$11:$F$26,C77)+COUNTIF($B$28:$F$132,C77)+COUNTIF($B$4:$F$4,C77)+COUNTIF($B$1:$F$2,C77)&gt;1,NOT(ISBLANK(C77)))</formula>
    </cfRule>
    <cfRule type="expression" dxfId="1450" priority="244" stopIfTrue="1">
      <formula>AND(COUNTIF($B$134:$F$142,C77)+COUNTIF($B$144:$F$65536,C77)+COUNTIF($B$8:$F$9,C77)+COUNTIF($B$11:$F$26,C77)+COUNTIF($B$28:$F$132,C77)+COUNTIF($B$4:$F$4,C77)+COUNTIF($B$1:$F$2,C77)&gt;1,NOT(ISBLANK(C77)))</formula>
    </cfRule>
    <cfRule type="expression" dxfId="1449" priority="245" stopIfTrue="1">
      <formula>AND(COUNTIF($B$134:$F$142,C77)+COUNTIF($B$144:$F$65536,C77)+COUNTIF($B$8:$F$9,C77)+COUNTIF($B$11:$F$26,C77)+COUNTIF($B$28:$F$132,C77)+COUNTIF($B$4:$F$4,C77)+COUNTIF($B$1:$F$2,C77)&gt;1,NOT(ISBLANK(C77)))</formula>
    </cfRule>
    <cfRule type="expression" dxfId="251" priority="246" stopIfTrue="1">
      <formula>AND(COUNTIF($B$8:$F$9,C77)+COUNTIF($B$11:$F$26,C77)+COUNTIF($B$28:$F$65536,C77)+COUNTIF($B$4:$F$4,C77)+COUNTIF($B$1:$F$2,C77)&gt;1,NOT(ISBLANK(C77)))</formula>
    </cfRule>
    <cfRule type="expression" dxfId="250" priority="247" stopIfTrue="1">
      <formula>AND(COUNTIF($B$8:$F$9,C77)+COUNTIF($B$11:$F$26,C77)+COUNTIF($B$28:$F$65536,C77)+COUNTIF($B$4:$F$4,C77)+COUNTIF($B$1:$F$2,C77)&gt;1,NOT(ISBLANK(C77)))</formula>
    </cfRule>
    <cfRule type="expression" dxfId="249" priority="248" stopIfTrue="1">
      <formula>AND(COUNTIF($B$8:$F$9,C77)+COUNTIF($B$11:$F$26,C77)+COUNTIF($B$28:$F$65536,C77)+COUNTIF($B$4:$F$4,C77)+COUNTIF($B$1:$F$2,C77)&gt;1,NOT(ISBLANK(C77)))</formula>
    </cfRule>
  </conditionalFormatting>
  <conditionalFormatting sqref="C101 C99 C97 C95 C91:C92">
    <cfRule type="expression" dxfId="1448" priority="237" stopIfTrue="1">
      <formula>AND(COUNTIF($B$134:$F$142,C91)+COUNTIF($B$144:$F$65536,C91)+COUNTIF($B$8:$F$9,C91)+COUNTIF($B$11:$F$26,C91)+COUNTIF($B$28:$F$132,C91)+COUNTIF($B$4:$F$4,C91)+COUNTIF($B$1:$F$2,C91)&gt;1,NOT(ISBLANK(C91)))</formula>
    </cfRule>
    <cfRule type="expression" dxfId="1447" priority="238" stopIfTrue="1">
      <formula>AND(COUNTIF($B$134:$F$142,C91)+COUNTIF($B$144:$F$65536,C91)+COUNTIF($B$8:$F$9,C91)+COUNTIF($B$11:$F$26,C91)+COUNTIF($B$28:$F$132,C91)+COUNTIF($B$4:$F$4,C91)+COUNTIF($B$1:$F$2,C91)&gt;1,NOT(ISBLANK(C91)))</formula>
    </cfRule>
    <cfRule type="expression" dxfId="1446" priority="239" stopIfTrue="1">
      <formula>AND(COUNTIF($B$134:$F$142,C91)+COUNTIF($B$144:$F$65536,C91)+COUNTIF($B$8:$F$9,C91)+COUNTIF($B$11:$F$26,C91)+COUNTIF($B$28:$F$132,C91)+COUNTIF($B$4:$F$4,C91)+COUNTIF($B$1:$F$2,C91)&gt;1,NOT(ISBLANK(C91)))</formula>
    </cfRule>
    <cfRule type="expression" dxfId="248" priority="240" stopIfTrue="1">
      <formula>AND(COUNTIF($B$8:$F$9,C91)+COUNTIF($B$11:$F$26,C91)+COUNTIF($B$28:$F$65536,C91)+COUNTIF($B$4:$F$4,C91)+COUNTIF($B$1:$F$2,C91)&gt;1,NOT(ISBLANK(C91)))</formula>
    </cfRule>
    <cfRule type="expression" dxfId="247" priority="241" stopIfTrue="1">
      <formula>AND(COUNTIF($B$8:$F$9,C91)+COUNTIF($B$11:$F$26,C91)+COUNTIF($B$28:$F$65536,C91)+COUNTIF($B$4:$F$4,C91)+COUNTIF($B$1:$F$2,C91)&gt;1,NOT(ISBLANK(C91)))</formula>
    </cfRule>
    <cfRule type="expression" dxfId="246" priority="242" stopIfTrue="1">
      <formula>AND(COUNTIF($B$8:$F$9,C91)+COUNTIF($B$11:$F$26,C91)+COUNTIF($B$28:$F$65536,C91)+COUNTIF($B$4:$F$4,C91)+COUNTIF($B$1:$F$2,C91)&gt;1,NOT(ISBLANK(C91)))</formula>
    </cfRule>
  </conditionalFormatting>
  <conditionalFormatting sqref="C115:C116 C113 C109:C110 C107 C105">
    <cfRule type="expression" dxfId="1445" priority="231" stopIfTrue="1">
      <formula>AND(COUNTIF($B$134:$F$142,C105)+COUNTIF($B$144:$F$65536,C105)+COUNTIF($B$8:$F$9,C105)+COUNTIF($B$11:$F$26,C105)+COUNTIF($B$28:$F$132,C105)+COUNTIF($B$4:$F$4,C105)+COUNTIF($B$1:$F$2,C105)&gt;1,NOT(ISBLANK(C105)))</formula>
    </cfRule>
    <cfRule type="expression" dxfId="1444" priority="232" stopIfTrue="1">
      <formula>AND(COUNTIF($B$134:$F$142,C105)+COUNTIF($B$144:$F$65536,C105)+COUNTIF($B$8:$F$9,C105)+COUNTIF($B$11:$F$26,C105)+COUNTIF($B$28:$F$132,C105)+COUNTIF($B$4:$F$4,C105)+COUNTIF($B$1:$F$2,C105)&gt;1,NOT(ISBLANK(C105)))</formula>
    </cfRule>
    <cfRule type="expression" dxfId="1443" priority="233" stopIfTrue="1">
      <formula>AND(COUNTIF($B$134:$F$142,C105)+COUNTIF($B$144:$F$65536,C105)+COUNTIF($B$8:$F$9,C105)+COUNTIF($B$11:$F$26,C105)+COUNTIF($B$28:$F$132,C105)+COUNTIF($B$4:$F$4,C105)+COUNTIF($B$1:$F$2,C105)&gt;1,NOT(ISBLANK(C105)))</formula>
    </cfRule>
    <cfRule type="expression" dxfId="245" priority="234" stopIfTrue="1">
      <formula>AND(COUNTIF($B$8:$F$9,C105)+COUNTIF($B$11:$F$26,C105)+COUNTIF($B$28:$F$65536,C105)+COUNTIF($B$4:$F$4,C105)+COUNTIF($B$1:$F$2,C105)&gt;1,NOT(ISBLANK(C105)))</formula>
    </cfRule>
    <cfRule type="expression" dxfId="244" priority="235" stopIfTrue="1">
      <formula>AND(COUNTIF($B$8:$F$9,C105)+COUNTIF($B$11:$F$26,C105)+COUNTIF($B$28:$F$65536,C105)+COUNTIF($B$4:$F$4,C105)+COUNTIF($B$1:$F$2,C105)&gt;1,NOT(ISBLANK(C105)))</formula>
    </cfRule>
    <cfRule type="expression" dxfId="243" priority="236" stopIfTrue="1">
      <formula>AND(COUNTIF($B$8:$F$9,C105)+COUNTIF($B$11:$F$26,C105)+COUNTIF($B$28:$F$65536,C105)+COUNTIF($B$4:$F$4,C105)+COUNTIF($B$1:$F$2,C105)&gt;1,NOT(ISBLANK(C105)))</formula>
    </cfRule>
  </conditionalFormatting>
  <conditionalFormatting sqref="C130 C126 C122 C119">
    <cfRule type="expression" dxfId="1442" priority="225" stopIfTrue="1">
      <formula>AND(COUNTIF($B$134:$F$142,C119)+COUNTIF($B$144:$F$65536,C119)+COUNTIF($B$8:$F$9,C119)+COUNTIF($B$11:$F$26,C119)+COUNTIF($B$28:$F$132,C119)+COUNTIF($B$4:$F$4,C119)+COUNTIF($B$1:$F$2,C119)&gt;1,NOT(ISBLANK(C119)))</formula>
    </cfRule>
    <cfRule type="expression" dxfId="1441" priority="226" stopIfTrue="1">
      <formula>AND(COUNTIF($B$134:$F$142,C119)+COUNTIF($B$144:$F$65536,C119)+COUNTIF($B$8:$F$9,C119)+COUNTIF($B$11:$F$26,C119)+COUNTIF($B$28:$F$132,C119)+COUNTIF($B$4:$F$4,C119)+COUNTIF($B$1:$F$2,C119)&gt;1,NOT(ISBLANK(C119)))</formula>
    </cfRule>
    <cfRule type="expression" dxfId="1440" priority="227" stopIfTrue="1">
      <formula>AND(COUNTIF($B$134:$F$142,C119)+COUNTIF($B$144:$F$65536,C119)+COUNTIF($B$8:$F$9,C119)+COUNTIF($B$11:$F$26,C119)+COUNTIF($B$28:$F$132,C119)+COUNTIF($B$4:$F$4,C119)+COUNTIF($B$1:$F$2,C119)&gt;1,NOT(ISBLANK(C119)))</formula>
    </cfRule>
    <cfRule type="expression" dxfId="242" priority="228" stopIfTrue="1">
      <formula>AND(COUNTIF($B$8:$F$9,C119)+COUNTIF($B$11:$F$26,C119)+COUNTIF($B$28:$F$65536,C119)+COUNTIF($B$4:$F$4,C119)+COUNTIF($B$1:$F$2,C119)&gt;1,NOT(ISBLANK(C119)))</formula>
    </cfRule>
    <cfRule type="expression" dxfId="241" priority="229" stopIfTrue="1">
      <formula>AND(COUNTIF($B$8:$F$9,C119)+COUNTIF($B$11:$F$26,C119)+COUNTIF($B$28:$F$65536,C119)+COUNTIF($B$4:$F$4,C119)+COUNTIF($B$1:$F$2,C119)&gt;1,NOT(ISBLANK(C119)))</formula>
    </cfRule>
    <cfRule type="expression" dxfId="240" priority="230" stopIfTrue="1">
      <formula>AND(COUNTIF($B$8:$F$9,C119)+COUNTIF($B$11:$F$26,C119)+COUNTIF($B$28:$F$65536,C119)+COUNTIF($B$4:$F$4,C119)+COUNTIF($B$1:$F$2,C119)&gt;1,NOT(ISBLANK(C119)))</formula>
    </cfRule>
  </conditionalFormatting>
  <conditionalFormatting sqref="D486 D260:D294 D134:D140 D435 D411:D412 D482:D484 D129:D132 D366:D409 D142:D170 D297:D318 D320:D352 D437:D452 D355:D364 D414:D423 D425:D433 D454:D480">
    <cfRule type="duplicateValues" dxfId="1439" priority="1211" stopIfTrue="1"/>
    <cfRule type="duplicateValues" dxfId="1438" priority="1212" stopIfTrue="1"/>
    <cfRule type="duplicateValues" dxfId="1437" priority="1214" stopIfTrue="1"/>
    <cfRule type="duplicateValues" dxfId="239" priority="1215" stopIfTrue="1"/>
    <cfRule type="duplicateValues" dxfId="238" priority="1462" stopIfTrue="1"/>
    <cfRule type="duplicateValues" dxfId="237" priority="1463" stopIfTrue="1"/>
    <cfRule type="duplicateValues" dxfId="236" priority="1464" stopIfTrue="1"/>
    <cfRule type="duplicateValues" dxfId="235" priority="1465" stopIfTrue="1"/>
  </conditionalFormatting>
  <conditionalFormatting sqref="D482:D486 D435 D260:D294 D134:D140 D129:D132 D366:D409 D142:D170 D297:D318 D320:D352 D437:D452 D355:D364 D411:D423 D425:D433 D454:D480">
    <cfRule type="duplicateValues" dxfId="1436" priority="1209" stopIfTrue="1"/>
  </conditionalFormatting>
  <conditionalFormatting sqref="D134:D140 D129:D132 D142:D170 D260:D295 D297:D318 D320:D352 D437:D452 D354:D364 D366:D423 D425:D435 D454:D486">
    <cfRule type="duplicateValues" dxfId="1435" priority="1175" stopIfTrue="1"/>
  </conditionalFormatting>
  <conditionalFormatting sqref="E482:E486 E435 E260:E294 E134:E140 E129:E132 E366:E409 E142:E170 E297:E318 E320:E352 E437:E452 E355:E364 E411:E423 E425:E433 E454:E480">
    <cfRule type="duplicateValues" dxfId="1434" priority="1210" stopIfTrue="1"/>
  </conditionalFormatting>
  <conditionalFormatting sqref="E134:E140 E129:E132 E142:E170 E260:E295 E297:E318 E320:E352 E437:E452 E354:E364 E366:E423 E425:E435 E454:E486">
    <cfRule type="duplicateValues" dxfId="1433" priority="1170" stopIfTrue="1"/>
    <cfRule type="duplicateValues" dxfId="1432" priority="1171" stopIfTrue="1"/>
    <cfRule type="duplicateValues" dxfId="1431" priority="1172" stopIfTrue="1"/>
    <cfRule type="duplicateValues" dxfId="234" priority="1173" stopIfTrue="1"/>
  </conditionalFormatting>
  <conditionalFormatting sqref="F486 F260:F294 F134:F140 F435 F411:F412 F482:F484 F129:F132 F366:F409 F142:F170 F297:F318 F320:F352 F437:F452 F355:F364 F414:F423 F425:F433 F454:F480">
    <cfRule type="duplicateValues" dxfId="1430" priority="1213" stopIfTrue="1"/>
  </conditionalFormatting>
  <conditionalFormatting sqref="F482:F486 F435 F260:F294 F134:F140 F129:F132 F366:F409 F142:F170 F297:F318 F320:F352 F437:F452 F355:F364 F411:F423 F425:F433 F454:F480">
    <cfRule type="duplicateValues" dxfId="1429" priority="1208" stopIfTrue="1"/>
  </conditionalFormatting>
  <conditionalFormatting sqref="F134:F140 F129:F132 F142:F170 F260:F295 F297:F318 F320:F352 F437:F452 F354:F364 F366:F423 F425:F435 F454:F486">
    <cfRule type="duplicateValues" dxfId="1428" priority="1174" stopIfTrue="1"/>
    <cfRule type="duplicateValues" dxfId="1427" priority="1176" stopIfTrue="1"/>
  </conditionalFormatting>
  <conditionalFormatting sqref="F134:F140 F129:F132 F142:F170 F260:F295 F297:F318 F437:F452 F320:F423 F425:F435 F454:F486">
    <cfRule type="duplicateValues" dxfId="1426" priority="1630" stopIfTrue="1"/>
  </conditionalFormatting>
  <conditionalFormatting sqref="C144:C146 C140:C141 C138 C135 C133">
    <cfRule type="expression" dxfId="1425" priority="219" stopIfTrue="1">
      <formula>AND(COUNTIF($B$134:$F$142,C133)+COUNTIF($B$144:$F$65536,C133)+COUNTIF($B$8:$F$9,C133)+COUNTIF($B$11:$F$26,C133)+COUNTIF($B$28:$F$132,C133)+COUNTIF($B$4:$F$4,C133)+COUNTIF($B$1:$F$2,C133)&gt;1,NOT(ISBLANK(C133)))</formula>
    </cfRule>
    <cfRule type="expression" dxfId="1424" priority="220" stopIfTrue="1">
      <formula>AND(COUNTIF($B$134:$F$142,C133)+COUNTIF($B$144:$F$65536,C133)+COUNTIF($B$8:$F$9,C133)+COUNTIF($B$11:$F$26,C133)+COUNTIF($B$28:$F$132,C133)+COUNTIF($B$4:$F$4,C133)+COUNTIF($B$1:$F$2,C133)&gt;1,NOT(ISBLANK(C133)))</formula>
    </cfRule>
    <cfRule type="expression" dxfId="1423" priority="221" stopIfTrue="1">
      <formula>AND(COUNTIF($B$134:$F$142,C133)+COUNTIF($B$144:$F$65536,C133)+COUNTIF($B$8:$F$9,C133)+COUNTIF($B$11:$F$26,C133)+COUNTIF($B$28:$F$132,C133)+COUNTIF($B$4:$F$4,C133)+COUNTIF($B$1:$F$2,C133)&gt;1,NOT(ISBLANK(C133)))</formula>
    </cfRule>
    <cfRule type="expression" dxfId="233" priority="222" stopIfTrue="1">
      <formula>AND(COUNTIF($B$8:$F$9,C133)+COUNTIF($B$11:$F$26,C133)+COUNTIF($B$28:$F$65536,C133)+COUNTIF($B$4:$F$4,C133)+COUNTIF($B$1:$F$2,C133)&gt;1,NOT(ISBLANK(C133)))</formula>
    </cfRule>
    <cfRule type="expression" dxfId="232" priority="223" stopIfTrue="1">
      <formula>AND(COUNTIF($B$8:$F$9,C133)+COUNTIF($B$11:$F$26,C133)+COUNTIF($B$28:$F$65536,C133)+COUNTIF($B$4:$F$4,C133)+COUNTIF($B$1:$F$2,C133)&gt;1,NOT(ISBLANK(C133)))</formula>
    </cfRule>
    <cfRule type="expression" dxfId="231" priority="224" stopIfTrue="1">
      <formula>AND(COUNTIF($B$8:$F$9,C133)+COUNTIF($B$11:$F$26,C133)+COUNTIF($B$28:$F$65536,C133)+COUNTIF($B$4:$F$4,C133)+COUNTIF($B$1:$F$2,C133)&gt;1,NOT(ISBLANK(C133)))</formula>
    </cfRule>
  </conditionalFormatting>
  <conditionalFormatting sqref="C160 C156:C158 C154 C152 C148">
    <cfRule type="expression" dxfId="1422" priority="212" stopIfTrue="1">
      <formula>AND(COUNTIF($B$134:$F$142,C148)+COUNTIF($B$144:$F$65536,C148)+COUNTIF($B$8:$F$9,C148)+COUNTIF($B$11:$F$26,C148)+COUNTIF($B$28:$F$132,C148)+COUNTIF($B$4:$F$4,C148)+COUNTIF($B$1:$F$2,C148)&gt;1,NOT(ISBLANK(C148)))</formula>
    </cfRule>
    <cfRule type="expression" dxfId="1421" priority="213" stopIfTrue="1">
      <formula>AND(COUNTIF($B$134:$F$142,C148)+COUNTIF($B$144:$F$65536,C148)+COUNTIF($B$8:$F$9,C148)+COUNTIF($B$11:$F$26,C148)+COUNTIF($B$28:$F$132,C148)+COUNTIF($B$4:$F$4,C148)+COUNTIF($B$1:$F$2,C148)&gt;1,NOT(ISBLANK(C148)))</formula>
    </cfRule>
    <cfRule type="expression" dxfId="1420" priority="214" stopIfTrue="1">
      <formula>AND(COUNTIF($B$134:$F$142,C148)+COUNTIF($B$144:$F$65536,C148)+COUNTIF($B$8:$F$9,C148)+COUNTIF($B$11:$F$26,C148)+COUNTIF($B$28:$F$132,C148)+COUNTIF($B$4:$F$4,C148)+COUNTIF($B$1:$F$2,C148)&gt;1,NOT(ISBLANK(C148)))</formula>
    </cfRule>
    <cfRule type="expression" dxfId="230" priority="215" stopIfTrue="1">
      <formula>AND(COUNTIF($B$8:$F$9,C148)+COUNTIF($B$11:$F$26,C148)+COUNTIF($B$28:$F$65536,C148)+COUNTIF($B$4:$F$4,C148)+COUNTIF($B$1:$F$2,C148)&gt;1,NOT(ISBLANK(C148)))</formula>
    </cfRule>
    <cfRule type="expression" dxfId="229" priority="216" stopIfTrue="1">
      <formula>AND(COUNTIF($B$8:$F$9,C148)+COUNTIF($B$11:$F$26,C148)+COUNTIF($B$28:$F$65536,C148)+COUNTIF($B$4:$F$4,C148)+COUNTIF($B$1:$F$2,C148)&gt;1,NOT(ISBLANK(C148)))</formula>
    </cfRule>
    <cfRule type="expression" dxfId="228" priority="217" stopIfTrue="1">
      <formula>AND(COUNTIF($B$8:$F$9,C148)+COUNTIF($B$11:$F$26,C148)+COUNTIF($B$28:$F$65536,C148)+COUNTIF($B$4:$F$4,C148)+COUNTIF($B$1:$F$2,C148)&gt;1,NOT(ISBLANK(C148)))</formula>
    </cfRule>
  </conditionalFormatting>
  <conditionalFormatting sqref="C169:C170 C167 C164:C165">
    <cfRule type="expression" dxfId="1419" priority="205" stopIfTrue="1">
      <formula>AND(COUNTIF($B$134:$F$142,C164)+COUNTIF($B$144:$F$65536,C164)+COUNTIF($B$8:$F$9,C164)+COUNTIF($B$11:$F$26,C164)+COUNTIF($B$28:$F$132,C164)+COUNTIF($B$4:$F$4,C164)+COUNTIF($B$1:$F$2,C164)&gt;1,NOT(ISBLANK(C164)))</formula>
    </cfRule>
    <cfRule type="expression" dxfId="1418" priority="206" stopIfTrue="1">
      <formula>AND(COUNTIF($B$134:$F$142,C164)+COUNTIF($B$144:$F$65536,C164)+COUNTIF($B$8:$F$9,C164)+COUNTIF($B$11:$F$26,C164)+COUNTIF($B$28:$F$132,C164)+COUNTIF($B$4:$F$4,C164)+COUNTIF($B$1:$F$2,C164)&gt;1,NOT(ISBLANK(C164)))</formula>
    </cfRule>
    <cfRule type="expression" dxfId="1417" priority="207" stopIfTrue="1">
      <formula>AND(COUNTIF($B$134:$F$142,C164)+COUNTIF($B$144:$F$65536,C164)+COUNTIF($B$8:$F$9,C164)+COUNTIF($B$11:$F$26,C164)+COUNTIF($B$28:$F$132,C164)+COUNTIF($B$4:$F$4,C164)+COUNTIF($B$1:$F$2,C164)&gt;1,NOT(ISBLANK(C164)))</formula>
    </cfRule>
    <cfRule type="expression" dxfId="227" priority="208" stopIfTrue="1">
      <formula>AND(COUNTIF($B$8:$F$9,C164)+COUNTIF($B$11:$F$26,C164)+COUNTIF($B$28:$F$65536,C164)+COUNTIF($B$4:$F$4,C164)+COUNTIF($B$1:$F$2,C164)&gt;1,NOT(ISBLANK(C164)))</formula>
    </cfRule>
    <cfRule type="expression" dxfId="226" priority="209" stopIfTrue="1">
      <formula>AND(COUNTIF($B$8:$F$9,C164)+COUNTIF($B$11:$F$26,C164)+COUNTIF($B$28:$F$65536,C164)+COUNTIF($B$4:$F$4,C164)+COUNTIF($B$1:$F$2,C164)&gt;1,NOT(ISBLANK(C164)))</formula>
    </cfRule>
    <cfRule type="expression" dxfId="225" priority="210" stopIfTrue="1">
      <formula>AND(COUNTIF($B$8:$F$9,C164)+COUNTIF($B$11:$F$26,C164)+COUNTIF($B$28:$F$65536,C164)+COUNTIF($B$4:$F$4,C164)+COUNTIF($B$1:$F$2,C164)&gt;1,NOT(ISBLANK(C164)))</formula>
    </cfRule>
  </conditionalFormatting>
  <conditionalFormatting sqref="B174:E174 C175">
    <cfRule type="duplicateValues" dxfId="1416" priority="1535" stopIfTrue="1"/>
  </conditionalFormatting>
  <conditionalFormatting sqref="B174:F174 C175">
    <cfRule type="duplicateValues" dxfId="1415" priority="1537" stopIfTrue="1"/>
  </conditionalFormatting>
  <conditionalFormatting sqref="B207 D207:F207">
    <cfRule type="expression" dxfId="1414" priority="740" stopIfTrue="1">
      <formula>AND(COUNTIF($B$134:$F$142,B207)+COUNTIF($B$144:$F$65536,B207)+COUNTIF($B$8:$F$9,B207)+COUNTIF($B$11:$F$26,B207)+COUNTIF($B$28:$F$132,B207)+COUNTIF($B$4:$F$4,B207)+COUNTIF($B$1:$F$2,B207)&gt;1,NOT(ISBLANK(B207)))</formula>
    </cfRule>
    <cfRule type="expression" dxfId="1413" priority="741" stopIfTrue="1">
      <formula>AND(COUNTIF($B$134:$F$142,B207)+COUNTIF($B$144:$F$65536,B207)+COUNTIF($B$8:$F$9,B207)+COUNTIF($B$11:$F$26,B207)+COUNTIF($B$28:$F$132,B207)+COUNTIF($B$4:$F$4,B207)+COUNTIF($B$1:$F$2,B207)&gt;1,NOT(ISBLANK(B207)))</formula>
    </cfRule>
    <cfRule type="expression" dxfId="1412" priority="742" stopIfTrue="1">
      <formula>AND(COUNTIF($B$134:$F$142,B207)+COUNTIF($B$144:$F$65536,B207)+COUNTIF($B$8:$F$9,B207)+COUNTIF($B$11:$F$26,B207)+COUNTIF($B$28:$F$132,B207)+COUNTIF($B$4:$F$4,B207)+COUNTIF($B$1:$F$2,B207)&gt;1,NOT(ISBLANK(B207)))</formula>
    </cfRule>
    <cfRule type="expression" dxfId="224" priority="743" stopIfTrue="1">
      <formula>AND(COUNTIF($B$8:$F$9,B207)+COUNTIF($B$11:$F$26,B207)+COUNTIF($B$28:$F$65536,B207)+COUNTIF($B$4:$F$4,B207)+COUNTIF($B$1:$F$2,B207)&gt;1,NOT(ISBLANK(B207)))</formula>
    </cfRule>
    <cfRule type="expression" dxfId="223" priority="744" stopIfTrue="1">
      <formula>AND(COUNTIF($B$8:$F$9,B207)+COUNTIF($B$11:$F$26,B207)+COUNTIF($B$28:$F$65536,B207)+COUNTIF($B$4:$F$4,B207)+COUNTIF($B$1:$F$2,B207)&gt;1,NOT(ISBLANK(B207)))</formula>
    </cfRule>
    <cfRule type="expression" dxfId="222" priority="745" stopIfTrue="1">
      <formula>AND(COUNTIF($B$8:$F$9,B207)+COUNTIF($B$11:$F$26,B207)+COUNTIF($B$28:$F$65536,B207)+COUNTIF($B$4:$F$4,B207)+COUNTIF($B$1:$F$2,B207)&gt;1,NOT(ISBLANK(B207)))</formula>
    </cfRule>
    <cfRule type="expression" dxfId="221" priority="779" stopIfTrue="1">
      <formula>AND(COUNTIF($C$134:$F$142,B207)+COUNTIF($C$144:$F$65536,B207)+COUNTIF($C$8:$F$9,B207)+COUNTIF($C$11:$F$26,B207)+COUNTIF($C$28:$F$132,B207)+COUNTIF($C$4:$F$4,B207)+COUNTIF($C$1:$F$2,B207)&gt;1,NOT(ISBLANK(B207)))</formula>
    </cfRule>
  </conditionalFormatting>
  <conditionalFormatting sqref="B256 D256:F256">
    <cfRule type="expression" dxfId="1411" priority="811" stopIfTrue="1">
      <formula>AND(COUNTIF($B$134:$F$142,B256)+COUNTIF($B$144:$F$65536,B256)+COUNTIF($B$8:$F$9,B256)+COUNTIF($B$11:$F$26,B256)+COUNTIF($B$28:$F$132,B256)+COUNTIF($B$4:$F$4,B256)+COUNTIF($B$1:$F$2,B256)&gt;1,NOT(ISBLANK(B256)))</formula>
    </cfRule>
    <cfRule type="expression" dxfId="1410" priority="812" stopIfTrue="1">
      <formula>AND(COUNTIF($B$134:$F$142,B256)+COUNTIF($B$144:$F$65536,B256)+COUNTIF($B$8:$F$9,B256)+COUNTIF($B$11:$F$26,B256)+COUNTIF($B$28:$F$132,B256)+COUNTIF($B$4:$F$4,B256)+COUNTIF($B$1:$F$2,B256)&gt;1,NOT(ISBLANK(B256)))</formula>
    </cfRule>
    <cfRule type="expression" dxfId="1409" priority="813" stopIfTrue="1">
      <formula>AND(COUNTIF($B$134:$F$142,B256)+COUNTIF($B$144:$F$65536,B256)+COUNTIF($B$8:$F$9,B256)+COUNTIF($B$11:$F$26,B256)+COUNTIF($B$28:$F$132,B256)+COUNTIF($B$4:$F$4,B256)+COUNTIF($B$1:$F$2,B256)&gt;1,NOT(ISBLANK(B256)))</formula>
    </cfRule>
    <cfRule type="expression" dxfId="220" priority="814" stopIfTrue="1">
      <formula>AND(COUNTIF($B$8:$F$9,B256)+COUNTIF($B$11:$F$26,B256)+COUNTIF($B$28:$F$65536,B256)+COUNTIF($B$4:$F$4,B256)+COUNTIF($B$1:$F$2,B256)&gt;1,NOT(ISBLANK(B256)))</formula>
    </cfRule>
    <cfRule type="expression" dxfId="219" priority="815" stopIfTrue="1">
      <formula>AND(COUNTIF($B$8:$F$9,B256)+COUNTIF($B$11:$F$26,B256)+COUNTIF($B$28:$F$65536,B256)+COUNTIF($B$4:$F$4,B256)+COUNTIF($B$1:$F$2,B256)&gt;1,NOT(ISBLANK(B256)))</formula>
    </cfRule>
    <cfRule type="expression" dxfId="218" priority="816" stopIfTrue="1">
      <formula>AND(COUNTIF($B$8:$F$9,B256)+COUNTIF($B$11:$F$26,B256)+COUNTIF($B$28:$F$65536,B256)+COUNTIF($B$4:$F$4,B256)+COUNTIF($B$1:$F$2,B256)&gt;1,NOT(ISBLANK(B256)))</formula>
    </cfRule>
    <cfRule type="expression" dxfId="217" priority="850" stopIfTrue="1">
      <formula>AND(COUNTIF($C$134:$F$142,B256)+COUNTIF($C$144:$F$65536,B256)+COUNTIF($C$8:$F$9,B256)+COUNTIF($C$11:$F$26,B256)+COUNTIF($C$28:$F$132,B256)+COUNTIF($C$4:$F$4,B256)+COUNTIF($C$1:$F$2,B256)&gt;1,NOT(ISBLANK(B256)))</formula>
    </cfRule>
  </conditionalFormatting>
  <conditionalFormatting sqref="C275 C270 C267:C268 C265 C261">
    <cfRule type="expression" dxfId="1408" priority="178" stopIfTrue="1">
      <formula>AND(COUNTIF($B$134:$F$142,C261)+COUNTIF($B$144:$F$65536,C261)+COUNTIF($B$8:$F$9,C261)+COUNTIF($B$11:$F$26,C261)+COUNTIF($B$28:$F$132,C261)+COUNTIF($B$4:$F$4,C261)+COUNTIF($B$1:$F$2,C261)&gt;1,NOT(ISBLANK(C261)))</formula>
    </cfRule>
    <cfRule type="expression" dxfId="1407" priority="179" stopIfTrue="1">
      <formula>AND(COUNTIF($B$134:$F$142,C261)+COUNTIF($B$144:$F$65536,C261)+COUNTIF($B$8:$F$9,C261)+COUNTIF($B$11:$F$26,C261)+COUNTIF($B$28:$F$132,C261)+COUNTIF($B$4:$F$4,C261)+COUNTIF($B$1:$F$2,C261)&gt;1,NOT(ISBLANK(C261)))</formula>
    </cfRule>
    <cfRule type="expression" dxfId="1406" priority="180" stopIfTrue="1">
      <formula>AND(COUNTIF($B$134:$F$142,C261)+COUNTIF($B$144:$F$65536,C261)+COUNTIF($B$8:$F$9,C261)+COUNTIF($B$11:$F$26,C261)+COUNTIF($B$28:$F$132,C261)+COUNTIF($B$4:$F$4,C261)+COUNTIF($B$1:$F$2,C261)&gt;1,NOT(ISBLANK(C261)))</formula>
    </cfRule>
    <cfRule type="expression" dxfId="216" priority="181" stopIfTrue="1">
      <formula>AND(COUNTIF($B$8:$F$9,C261)+COUNTIF($B$11:$F$26,C261)+COUNTIF($B$28:$F$65536,C261)+COUNTIF($B$4:$F$4,C261)+COUNTIF($B$1:$F$2,C261)&gt;1,NOT(ISBLANK(C261)))</formula>
    </cfRule>
    <cfRule type="expression" dxfId="215" priority="182" stopIfTrue="1">
      <formula>AND(COUNTIF($B$8:$F$9,C261)+COUNTIF($B$11:$F$26,C261)+COUNTIF($B$28:$F$65536,C261)+COUNTIF($B$4:$F$4,C261)+COUNTIF($B$1:$F$2,C261)&gt;1,NOT(ISBLANK(C261)))</formula>
    </cfRule>
    <cfRule type="expression" dxfId="214" priority="183" stopIfTrue="1">
      <formula>AND(COUNTIF($B$8:$F$9,C261)+COUNTIF($B$11:$F$26,C261)+COUNTIF($B$28:$F$65536,C261)+COUNTIF($B$4:$F$4,C261)+COUNTIF($B$1:$F$2,C261)&gt;1,NOT(ISBLANK(C261)))</formula>
    </cfRule>
  </conditionalFormatting>
  <conditionalFormatting sqref="C285:C286 C278:C280 C276">
    <cfRule type="expression" dxfId="1405" priority="172" stopIfTrue="1">
      <formula>AND(COUNTIF($B$134:$F$142,C276)+COUNTIF($B$144:$F$65536,C276)+COUNTIF($B$8:$F$9,C276)+COUNTIF($B$11:$F$26,C276)+COUNTIF($B$28:$F$132,C276)+COUNTIF($B$4:$F$4,C276)+COUNTIF($B$1:$F$2,C276)&gt;1,NOT(ISBLANK(C276)))</formula>
    </cfRule>
    <cfRule type="expression" dxfId="1404" priority="173" stopIfTrue="1">
      <formula>AND(COUNTIF($B$134:$F$142,C276)+COUNTIF($B$144:$F$65536,C276)+COUNTIF($B$8:$F$9,C276)+COUNTIF($B$11:$F$26,C276)+COUNTIF($B$28:$F$132,C276)+COUNTIF($B$4:$F$4,C276)+COUNTIF($B$1:$F$2,C276)&gt;1,NOT(ISBLANK(C276)))</formula>
    </cfRule>
    <cfRule type="expression" dxfId="1403" priority="174" stopIfTrue="1">
      <formula>AND(COUNTIF($B$134:$F$142,C276)+COUNTIF($B$144:$F$65536,C276)+COUNTIF($B$8:$F$9,C276)+COUNTIF($B$11:$F$26,C276)+COUNTIF($B$28:$F$132,C276)+COUNTIF($B$4:$F$4,C276)+COUNTIF($B$1:$F$2,C276)&gt;1,NOT(ISBLANK(C276)))</formula>
    </cfRule>
    <cfRule type="expression" dxfId="213" priority="175" stopIfTrue="1">
      <formula>AND(COUNTIF($B$8:$F$9,C276)+COUNTIF($B$11:$F$26,C276)+COUNTIF($B$28:$F$65536,C276)+COUNTIF($B$4:$F$4,C276)+COUNTIF($B$1:$F$2,C276)&gt;1,NOT(ISBLANK(C276)))</formula>
    </cfRule>
    <cfRule type="expression" dxfId="212" priority="176" stopIfTrue="1">
      <formula>AND(COUNTIF($B$8:$F$9,C276)+COUNTIF($B$11:$F$26,C276)+COUNTIF($B$28:$F$65536,C276)+COUNTIF($B$4:$F$4,C276)+COUNTIF($B$1:$F$2,C276)&gt;1,NOT(ISBLANK(C276)))</formula>
    </cfRule>
    <cfRule type="expression" dxfId="211" priority="177" stopIfTrue="1">
      <formula>AND(COUNTIF($B$8:$F$9,C276)+COUNTIF($B$11:$F$26,C276)+COUNTIF($B$28:$F$65536,C276)+COUNTIF($B$4:$F$4,C276)+COUNTIF($B$1:$F$2,C276)&gt;1,NOT(ISBLANK(C276)))</formula>
    </cfRule>
  </conditionalFormatting>
  <conditionalFormatting sqref="C305 C303 C299:C301 C297 C291">
    <cfRule type="expression" dxfId="1402" priority="166" stopIfTrue="1">
      <formula>AND(COUNTIF($B$134:$F$142,C291)+COUNTIF($B$144:$F$65536,C291)+COUNTIF($B$8:$F$9,C291)+COUNTIF($B$11:$F$26,C291)+COUNTIF($B$28:$F$132,C291)+COUNTIF($B$4:$F$4,C291)+COUNTIF($B$1:$F$2,C291)&gt;1,NOT(ISBLANK(C291)))</formula>
    </cfRule>
    <cfRule type="expression" dxfId="1401" priority="167" stopIfTrue="1">
      <formula>AND(COUNTIF($B$134:$F$142,C291)+COUNTIF($B$144:$F$65536,C291)+COUNTIF($B$8:$F$9,C291)+COUNTIF($B$11:$F$26,C291)+COUNTIF($B$28:$F$132,C291)+COUNTIF($B$4:$F$4,C291)+COUNTIF($B$1:$F$2,C291)&gt;1,NOT(ISBLANK(C291)))</formula>
    </cfRule>
    <cfRule type="expression" dxfId="1400" priority="168" stopIfTrue="1">
      <formula>AND(COUNTIF($B$134:$F$142,C291)+COUNTIF($B$144:$F$65536,C291)+COUNTIF($B$8:$F$9,C291)+COUNTIF($B$11:$F$26,C291)+COUNTIF($B$28:$F$132,C291)+COUNTIF($B$4:$F$4,C291)+COUNTIF($B$1:$F$2,C291)&gt;1,NOT(ISBLANK(C291)))</formula>
    </cfRule>
    <cfRule type="expression" dxfId="210" priority="169" stopIfTrue="1">
      <formula>AND(COUNTIF($B$8:$F$9,C291)+COUNTIF($B$11:$F$26,C291)+COUNTIF($B$28:$F$65536,C291)+COUNTIF($B$4:$F$4,C291)+COUNTIF($B$1:$F$2,C291)&gt;1,NOT(ISBLANK(C291)))</formula>
    </cfRule>
    <cfRule type="expression" dxfId="209" priority="170" stopIfTrue="1">
      <formula>AND(COUNTIF($B$8:$F$9,C291)+COUNTIF($B$11:$F$26,C291)+COUNTIF($B$28:$F$65536,C291)+COUNTIF($B$4:$F$4,C291)+COUNTIF($B$1:$F$2,C291)&gt;1,NOT(ISBLANK(C291)))</formula>
    </cfRule>
    <cfRule type="expression" dxfId="208" priority="171" stopIfTrue="1">
      <formula>AND(COUNTIF($B$8:$F$9,C291)+COUNTIF($B$11:$F$26,C291)+COUNTIF($B$28:$F$65536,C291)+COUNTIF($B$4:$F$4,C291)+COUNTIF($B$1:$F$2,C291)&gt;1,NOT(ISBLANK(C291)))</formula>
    </cfRule>
  </conditionalFormatting>
  <conditionalFormatting sqref="C319:C320 C313:C314 C311 C309 C306">
    <cfRule type="expression" dxfId="1399" priority="160" stopIfTrue="1">
      <formula>AND(COUNTIF($B$134:$F$142,C306)+COUNTIF($B$144:$F$65536,C306)+COUNTIF($B$8:$F$9,C306)+COUNTIF($B$11:$F$26,C306)+COUNTIF($B$28:$F$132,C306)+COUNTIF($B$4:$F$4,C306)+COUNTIF($B$1:$F$2,C306)&gt;1,NOT(ISBLANK(C306)))</formula>
    </cfRule>
    <cfRule type="expression" dxfId="1398" priority="161" stopIfTrue="1">
      <formula>AND(COUNTIF($B$134:$F$142,C306)+COUNTIF($B$144:$F$65536,C306)+COUNTIF($B$8:$F$9,C306)+COUNTIF($B$11:$F$26,C306)+COUNTIF($B$28:$F$132,C306)+COUNTIF($B$4:$F$4,C306)+COUNTIF($B$1:$F$2,C306)&gt;1,NOT(ISBLANK(C306)))</formula>
    </cfRule>
    <cfRule type="expression" dxfId="1397" priority="162" stopIfTrue="1">
      <formula>AND(COUNTIF($B$134:$F$142,C306)+COUNTIF($B$144:$F$65536,C306)+COUNTIF($B$8:$F$9,C306)+COUNTIF($B$11:$F$26,C306)+COUNTIF($B$28:$F$132,C306)+COUNTIF($B$4:$F$4,C306)+COUNTIF($B$1:$F$2,C306)&gt;1,NOT(ISBLANK(C306)))</formula>
    </cfRule>
    <cfRule type="expression" dxfId="207" priority="163" stopIfTrue="1">
      <formula>AND(COUNTIF($B$8:$F$9,C306)+COUNTIF($B$11:$F$26,C306)+COUNTIF($B$28:$F$65536,C306)+COUNTIF($B$4:$F$4,C306)+COUNTIF($B$1:$F$2,C306)&gt;1,NOT(ISBLANK(C306)))</formula>
    </cfRule>
    <cfRule type="expression" dxfId="206" priority="164" stopIfTrue="1">
      <formula>AND(COUNTIF($B$8:$F$9,C306)+COUNTIF($B$11:$F$26,C306)+COUNTIF($B$28:$F$65536,C306)+COUNTIF($B$4:$F$4,C306)+COUNTIF($B$1:$F$2,C306)&gt;1,NOT(ISBLANK(C306)))</formula>
    </cfRule>
    <cfRule type="expression" dxfId="205" priority="165" stopIfTrue="1">
      <formula>AND(COUNTIF($B$8:$F$9,C306)+COUNTIF($B$11:$F$26,C306)+COUNTIF($B$28:$F$65536,C306)+COUNTIF($B$4:$F$4,C306)+COUNTIF($B$1:$F$2,C306)&gt;1,NOT(ISBLANK(C306)))</formula>
    </cfRule>
  </conditionalFormatting>
  <conditionalFormatting sqref="E308:E318 E320:E349">
    <cfRule type="duplicateValues" dxfId="1396" priority="1460"/>
    <cfRule type="duplicateValues" dxfId="1395" priority="1461"/>
  </conditionalFormatting>
  <conditionalFormatting sqref="C333:C334 C331 C328:C329 C323:C325 C321">
    <cfRule type="expression" dxfId="1394" priority="154" stopIfTrue="1">
      <formula>AND(COUNTIF($B$134:$F$142,C321)+COUNTIF($B$144:$F$65536,C321)+COUNTIF($B$8:$F$9,C321)+COUNTIF($B$11:$F$26,C321)+COUNTIF($B$28:$F$132,C321)+COUNTIF($B$4:$F$4,C321)+COUNTIF($B$1:$F$2,C321)&gt;1,NOT(ISBLANK(C321)))</formula>
    </cfRule>
    <cfRule type="expression" dxfId="1393" priority="155" stopIfTrue="1">
      <formula>AND(COUNTIF($B$134:$F$142,C321)+COUNTIF($B$144:$F$65536,C321)+COUNTIF($B$8:$F$9,C321)+COUNTIF($B$11:$F$26,C321)+COUNTIF($B$28:$F$132,C321)+COUNTIF($B$4:$F$4,C321)+COUNTIF($B$1:$F$2,C321)&gt;1,NOT(ISBLANK(C321)))</formula>
    </cfRule>
    <cfRule type="expression" dxfId="1392" priority="156" stopIfTrue="1">
      <formula>AND(COUNTIF($B$134:$F$142,C321)+COUNTIF($B$144:$F$65536,C321)+COUNTIF($B$8:$F$9,C321)+COUNTIF($B$11:$F$26,C321)+COUNTIF($B$28:$F$132,C321)+COUNTIF($B$4:$F$4,C321)+COUNTIF($B$1:$F$2,C321)&gt;1,NOT(ISBLANK(C321)))</formula>
    </cfRule>
    <cfRule type="expression" dxfId="204" priority="157" stopIfTrue="1">
      <formula>AND(COUNTIF($B$8:$F$9,C321)+COUNTIF($B$11:$F$26,C321)+COUNTIF($B$28:$F$65536,C321)+COUNTIF($B$4:$F$4,C321)+COUNTIF($B$1:$F$2,C321)&gt;1,NOT(ISBLANK(C321)))</formula>
    </cfRule>
    <cfRule type="expression" dxfId="203" priority="158" stopIfTrue="1">
      <formula>AND(COUNTIF($B$8:$F$9,C321)+COUNTIF($B$11:$F$26,C321)+COUNTIF($B$28:$F$65536,C321)+COUNTIF($B$4:$F$4,C321)+COUNTIF($B$1:$F$2,C321)&gt;1,NOT(ISBLANK(C321)))</formula>
    </cfRule>
    <cfRule type="expression" dxfId="202" priority="159" stopIfTrue="1">
      <formula>AND(COUNTIF($B$8:$F$9,C321)+COUNTIF($B$11:$F$26,C321)+COUNTIF($B$28:$F$65536,C321)+COUNTIF($B$4:$F$4,C321)+COUNTIF($B$1:$F$2,C321)&gt;1,NOT(ISBLANK(C321)))</formula>
    </cfRule>
  </conditionalFormatting>
  <conditionalFormatting sqref="C353 C351 C348:C349 C344:C345 C341 C339">
    <cfRule type="expression" dxfId="1391" priority="148" stopIfTrue="1">
      <formula>AND(COUNTIF($B$134:$F$142,C339)+COUNTIF($B$144:$F$65536,C339)+COUNTIF($B$8:$F$9,C339)+COUNTIF($B$11:$F$26,C339)+COUNTIF($B$28:$F$132,C339)+COUNTIF($B$4:$F$4,C339)+COUNTIF($B$1:$F$2,C339)&gt;1,NOT(ISBLANK(C339)))</formula>
    </cfRule>
    <cfRule type="expression" dxfId="1390" priority="149" stopIfTrue="1">
      <formula>AND(COUNTIF($B$134:$F$142,C339)+COUNTIF($B$144:$F$65536,C339)+COUNTIF($B$8:$F$9,C339)+COUNTIF($B$11:$F$26,C339)+COUNTIF($B$28:$F$132,C339)+COUNTIF($B$4:$F$4,C339)+COUNTIF($B$1:$F$2,C339)&gt;1,NOT(ISBLANK(C339)))</formula>
    </cfRule>
    <cfRule type="expression" dxfId="1389" priority="150" stopIfTrue="1">
      <formula>AND(COUNTIF($B$134:$F$142,C339)+COUNTIF($B$144:$F$65536,C339)+COUNTIF($B$8:$F$9,C339)+COUNTIF($B$11:$F$26,C339)+COUNTIF($B$28:$F$132,C339)+COUNTIF($B$4:$F$4,C339)+COUNTIF($B$1:$F$2,C339)&gt;1,NOT(ISBLANK(C339)))</formula>
    </cfRule>
    <cfRule type="expression" dxfId="201" priority="151" stopIfTrue="1">
      <formula>AND(COUNTIF($B$8:$F$9,C339)+COUNTIF($B$11:$F$26,C339)+COUNTIF($B$28:$F$65536,C339)+COUNTIF($B$4:$F$4,C339)+COUNTIF($B$1:$F$2,C339)&gt;1,NOT(ISBLANK(C339)))</formula>
    </cfRule>
    <cfRule type="expression" dxfId="200" priority="152" stopIfTrue="1">
      <formula>AND(COUNTIF($B$8:$F$9,C339)+COUNTIF($B$11:$F$26,C339)+COUNTIF($B$28:$F$65536,C339)+COUNTIF($B$4:$F$4,C339)+COUNTIF($B$1:$F$2,C339)&gt;1,NOT(ISBLANK(C339)))</formula>
    </cfRule>
    <cfRule type="expression" dxfId="199" priority="153" stopIfTrue="1">
      <formula>AND(COUNTIF($B$8:$F$9,C339)+COUNTIF($B$11:$F$26,C339)+COUNTIF($B$28:$F$65536,C339)+COUNTIF($B$4:$F$4,C339)+COUNTIF($B$1:$F$2,C339)&gt;1,NOT(ISBLANK(C339)))</formula>
    </cfRule>
  </conditionalFormatting>
  <conditionalFormatting sqref="C366:C367 C361:C363 C356">
    <cfRule type="expression" dxfId="1388" priority="142" stopIfTrue="1">
      <formula>AND(COUNTIF($B$134:$F$142,C356)+COUNTIF($B$144:$F$65536,C356)+COUNTIF($B$8:$F$9,C356)+COUNTIF($B$11:$F$26,C356)+COUNTIF($B$28:$F$132,C356)+COUNTIF($B$4:$F$4,C356)+COUNTIF($B$1:$F$2,C356)&gt;1,NOT(ISBLANK(C356)))</formula>
    </cfRule>
    <cfRule type="expression" dxfId="1387" priority="143" stopIfTrue="1">
      <formula>AND(COUNTIF($B$134:$F$142,C356)+COUNTIF($B$144:$F$65536,C356)+COUNTIF($B$8:$F$9,C356)+COUNTIF($B$11:$F$26,C356)+COUNTIF($B$28:$F$132,C356)+COUNTIF($B$4:$F$4,C356)+COUNTIF($B$1:$F$2,C356)&gt;1,NOT(ISBLANK(C356)))</formula>
    </cfRule>
    <cfRule type="expression" dxfId="1386" priority="144" stopIfTrue="1">
      <formula>AND(COUNTIF($B$134:$F$142,C356)+COUNTIF($B$144:$F$65536,C356)+COUNTIF($B$8:$F$9,C356)+COUNTIF($B$11:$F$26,C356)+COUNTIF($B$28:$F$132,C356)+COUNTIF($B$4:$F$4,C356)+COUNTIF($B$1:$F$2,C356)&gt;1,NOT(ISBLANK(C356)))</formula>
    </cfRule>
    <cfRule type="expression" dxfId="198" priority="145" stopIfTrue="1">
      <formula>AND(COUNTIF($B$8:$F$9,C356)+COUNTIF($B$11:$F$26,C356)+COUNTIF($B$28:$F$65536,C356)+COUNTIF($B$4:$F$4,C356)+COUNTIF($B$1:$F$2,C356)&gt;1,NOT(ISBLANK(C356)))</formula>
    </cfRule>
    <cfRule type="expression" dxfId="197" priority="146" stopIfTrue="1">
      <formula>AND(COUNTIF($B$8:$F$9,C356)+COUNTIF($B$11:$F$26,C356)+COUNTIF($B$28:$F$65536,C356)+COUNTIF($B$4:$F$4,C356)+COUNTIF($B$1:$F$2,C356)&gt;1,NOT(ISBLANK(C356)))</formula>
    </cfRule>
    <cfRule type="expression" dxfId="196" priority="147" stopIfTrue="1">
      <formula>AND(COUNTIF($B$8:$F$9,C356)+COUNTIF($B$11:$F$26,C356)+COUNTIF($B$28:$F$65536,C356)+COUNTIF($B$4:$F$4,C356)+COUNTIF($B$1:$F$2,C356)&gt;1,NOT(ISBLANK(C356)))</formula>
    </cfRule>
  </conditionalFormatting>
  <conditionalFormatting sqref="C379:C380 C376:C377 C373:C374 C369:C371">
    <cfRule type="expression" dxfId="1385" priority="136" stopIfTrue="1">
      <formula>AND(COUNTIF($B$134:$F$142,C369)+COUNTIF($B$144:$F$65536,C369)+COUNTIF($B$8:$F$9,C369)+COUNTIF($B$11:$F$26,C369)+COUNTIF($B$28:$F$132,C369)+COUNTIF($B$4:$F$4,C369)+COUNTIF($B$1:$F$2,C369)&gt;1,NOT(ISBLANK(C369)))</formula>
    </cfRule>
    <cfRule type="expression" dxfId="1384" priority="137" stopIfTrue="1">
      <formula>AND(COUNTIF($B$134:$F$142,C369)+COUNTIF($B$144:$F$65536,C369)+COUNTIF($B$8:$F$9,C369)+COUNTIF($B$11:$F$26,C369)+COUNTIF($B$28:$F$132,C369)+COUNTIF($B$4:$F$4,C369)+COUNTIF($B$1:$F$2,C369)&gt;1,NOT(ISBLANK(C369)))</formula>
    </cfRule>
    <cfRule type="expression" dxfId="1383" priority="138" stopIfTrue="1">
      <formula>AND(COUNTIF($B$134:$F$142,C369)+COUNTIF($B$144:$F$65536,C369)+COUNTIF($B$8:$F$9,C369)+COUNTIF($B$11:$F$26,C369)+COUNTIF($B$28:$F$132,C369)+COUNTIF($B$4:$F$4,C369)+COUNTIF($B$1:$F$2,C369)&gt;1,NOT(ISBLANK(C369)))</formula>
    </cfRule>
    <cfRule type="expression" dxfId="195" priority="139" stopIfTrue="1">
      <formula>AND(COUNTIF($B$8:$F$9,C369)+COUNTIF($B$11:$F$26,C369)+COUNTIF($B$28:$F$65536,C369)+COUNTIF($B$4:$F$4,C369)+COUNTIF($B$1:$F$2,C369)&gt;1,NOT(ISBLANK(C369)))</formula>
    </cfRule>
    <cfRule type="expression" dxfId="194" priority="140" stopIfTrue="1">
      <formula>AND(COUNTIF($B$8:$F$9,C369)+COUNTIF($B$11:$F$26,C369)+COUNTIF($B$28:$F$65536,C369)+COUNTIF($B$4:$F$4,C369)+COUNTIF($B$1:$F$2,C369)&gt;1,NOT(ISBLANK(C369)))</formula>
    </cfRule>
    <cfRule type="expression" dxfId="193" priority="141" stopIfTrue="1">
      <formula>AND(COUNTIF($B$8:$F$9,C369)+COUNTIF($B$11:$F$26,C369)+COUNTIF($B$28:$F$65536,C369)+COUNTIF($B$4:$F$4,C369)+COUNTIF($B$1:$F$2,C369)&gt;1,NOT(ISBLANK(C369)))</formula>
    </cfRule>
  </conditionalFormatting>
  <conditionalFormatting sqref="C391:C392 C387 C385 C381:C383">
    <cfRule type="expression" dxfId="1382" priority="130" stopIfTrue="1">
      <formula>AND(COUNTIF($B$134:$F$142,C381)+COUNTIF($B$144:$F$65536,C381)+COUNTIF($B$8:$F$9,C381)+COUNTIF($B$11:$F$26,C381)+COUNTIF($B$28:$F$132,C381)+COUNTIF($B$4:$F$4,C381)+COUNTIF($B$1:$F$2,C381)&gt;1,NOT(ISBLANK(C381)))</formula>
    </cfRule>
    <cfRule type="expression" dxfId="1381" priority="131" stopIfTrue="1">
      <formula>AND(COUNTIF($B$134:$F$142,C381)+COUNTIF($B$144:$F$65536,C381)+COUNTIF($B$8:$F$9,C381)+COUNTIF($B$11:$F$26,C381)+COUNTIF($B$28:$F$132,C381)+COUNTIF($B$4:$F$4,C381)+COUNTIF($B$1:$F$2,C381)&gt;1,NOT(ISBLANK(C381)))</formula>
    </cfRule>
    <cfRule type="expression" dxfId="1380" priority="132" stopIfTrue="1">
      <formula>AND(COUNTIF($B$134:$F$142,C381)+COUNTIF($B$144:$F$65536,C381)+COUNTIF($B$8:$F$9,C381)+COUNTIF($B$11:$F$26,C381)+COUNTIF($B$28:$F$132,C381)+COUNTIF($B$4:$F$4,C381)+COUNTIF($B$1:$F$2,C381)&gt;1,NOT(ISBLANK(C381)))</formula>
    </cfRule>
    <cfRule type="expression" dxfId="192" priority="133" stopIfTrue="1">
      <formula>AND(COUNTIF($B$8:$F$9,C381)+COUNTIF($B$11:$F$26,C381)+COUNTIF($B$28:$F$65536,C381)+COUNTIF($B$4:$F$4,C381)+COUNTIF($B$1:$F$2,C381)&gt;1,NOT(ISBLANK(C381)))</formula>
    </cfRule>
    <cfRule type="expression" dxfId="191" priority="134" stopIfTrue="1">
      <formula>AND(COUNTIF($B$8:$F$9,C381)+COUNTIF($B$11:$F$26,C381)+COUNTIF($B$28:$F$65536,C381)+COUNTIF($B$4:$F$4,C381)+COUNTIF($B$1:$F$2,C381)&gt;1,NOT(ISBLANK(C381)))</formula>
    </cfRule>
    <cfRule type="expression" dxfId="190" priority="135" stopIfTrue="1">
      <formula>AND(COUNTIF($B$8:$F$9,C381)+COUNTIF($B$11:$F$26,C381)+COUNTIF($B$28:$F$65536,C381)+COUNTIF($B$4:$F$4,C381)+COUNTIF($B$1:$F$2,C381)&gt;1,NOT(ISBLANK(C381)))</formula>
    </cfRule>
  </conditionalFormatting>
  <conditionalFormatting sqref="C407 C405 C403 C399 C397 C394:C395">
    <cfRule type="expression" dxfId="1379" priority="124" stopIfTrue="1">
      <formula>AND(COUNTIF($B$134:$F$142,C394)+COUNTIF($B$144:$F$65536,C394)+COUNTIF($B$8:$F$9,C394)+COUNTIF($B$11:$F$26,C394)+COUNTIF($B$28:$F$132,C394)+COUNTIF($B$4:$F$4,C394)+COUNTIF($B$1:$F$2,C394)&gt;1,NOT(ISBLANK(C394)))</formula>
    </cfRule>
    <cfRule type="expression" dxfId="1378" priority="125" stopIfTrue="1">
      <formula>AND(COUNTIF($B$134:$F$142,C394)+COUNTIF($B$144:$F$65536,C394)+COUNTIF($B$8:$F$9,C394)+COUNTIF($B$11:$F$26,C394)+COUNTIF($B$28:$F$132,C394)+COUNTIF($B$4:$F$4,C394)+COUNTIF($B$1:$F$2,C394)&gt;1,NOT(ISBLANK(C394)))</formula>
    </cfRule>
    <cfRule type="expression" dxfId="1377" priority="126" stopIfTrue="1">
      <formula>AND(COUNTIF($B$134:$F$142,C394)+COUNTIF($B$144:$F$65536,C394)+COUNTIF($B$8:$F$9,C394)+COUNTIF($B$11:$F$26,C394)+COUNTIF($B$28:$F$132,C394)+COUNTIF($B$4:$F$4,C394)+COUNTIF($B$1:$F$2,C394)&gt;1,NOT(ISBLANK(C394)))</formula>
    </cfRule>
    <cfRule type="expression" dxfId="189" priority="127" stopIfTrue="1">
      <formula>AND(COUNTIF($B$8:$F$9,C394)+COUNTIF($B$11:$F$26,C394)+COUNTIF($B$28:$F$65536,C394)+COUNTIF($B$4:$F$4,C394)+COUNTIF($B$1:$F$2,C394)&gt;1,NOT(ISBLANK(C394)))</formula>
    </cfRule>
    <cfRule type="expression" dxfId="188" priority="128" stopIfTrue="1">
      <formula>AND(COUNTIF($B$8:$F$9,C394)+COUNTIF($B$11:$F$26,C394)+COUNTIF($B$28:$F$65536,C394)+COUNTIF($B$4:$F$4,C394)+COUNTIF($B$1:$F$2,C394)&gt;1,NOT(ISBLANK(C394)))</formula>
    </cfRule>
    <cfRule type="expression" dxfId="187" priority="129" stopIfTrue="1">
      <formula>AND(COUNTIF($B$8:$F$9,C394)+COUNTIF($B$11:$F$26,C394)+COUNTIF($B$28:$F$65536,C394)+COUNTIF($B$4:$F$4,C394)+COUNTIF($B$1:$F$2,C394)&gt;1,NOT(ISBLANK(C394)))</formula>
    </cfRule>
  </conditionalFormatting>
  <conditionalFormatting sqref="E485 E394 E413 E434">
    <cfRule type="expression" dxfId="1376" priority="1609" stopIfTrue="1">
      <formula>AND(COUNTIF($E$4:$E$65536,E394)+COUNTIF($E$1:$E$2,E394)&gt;1,NOT(ISBLANK(E394)))</formula>
    </cfRule>
    <cfRule type="expression" dxfId="1375" priority="1610" stopIfTrue="1">
      <formula>AND(COUNTIF($E$4:$E$65536,E394)+COUNTIF($E$1:$E$2,E394)&gt;1,NOT(ISBLANK(E394)))</formula>
    </cfRule>
    <cfRule type="expression" dxfId="1374" priority="1611" stopIfTrue="1">
      <formula>AND(COUNTIF($E$486:$E$65536,E394)+COUNTIF($E$1:$E$2,E394)+COUNTIF($E$134:$E$142,E394)+COUNTIF($E$144:$E$483,E394)+COUNTIF($E$8:$E$9,E394)+COUNTIF($E$11:$E$26,E394)+COUNTIF($E$28:$E$132,E394)+COUNTIF($E$4:$E$4,E394)&gt;1,NOT(ISBLANK(E394)))</formula>
    </cfRule>
    <cfRule type="expression" dxfId="186" priority="1612" stopIfTrue="1">
      <formula>AND(COUNTIF($E$134:$E$142,E394)+COUNTIF($E$1:$E$2,E394)+COUNTIF($E$144:$E$65536,E394)+COUNTIF($E$8:$E$9,E394)+COUNTIF($E$11:$E$26,E394)+COUNTIF($E$28:$E$132,E394)+COUNTIF($E$4:$E$4,E394)&gt;1,NOT(ISBLANK(E394)))</formula>
    </cfRule>
    <cfRule type="expression" dxfId="185" priority="1613" stopIfTrue="1">
      <formula>AND(COUNTIF($E$8:$E$9,E394)+COUNTIF($E$1:$E$2,E394)+COUNTIF($E$11:$E$26,E394)+COUNTIF($E$28:$E$65536,E394)+COUNTIF($E$4:$E$4,E394)&gt;1,NOT(ISBLANK(E394)))</formula>
    </cfRule>
  </conditionalFormatting>
  <conditionalFormatting sqref="C416:C419 C414 C412 C409">
    <cfRule type="expression" dxfId="1373" priority="118" stopIfTrue="1">
      <formula>AND(COUNTIF($B$134:$F$142,C409)+COUNTIF($B$144:$F$65536,C409)+COUNTIF($B$8:$F$9,C409)+COUNTIF($B$11:$F$26,C409)+COUNTIF($B$28:$F$132,C409)+COUNTIF($B$4:$F$4,C409)+COUNTIF($B$1:$F$2,C409)&gt;1,NOT(ISBLANK(C409)))</formula>
    </cfRule>
    <cfRule type="expression" dxfId="1372" priority="119" stopIfTrue="1">
      <formula>AND(COUNTIF($B$134:$F$142,C409)+COUNTIF($B$144:$F$65536,C409)+COUNTIF($B$8:$F$9,C409)+COUNTIF($B$11:$F$26,C409)+COUNTIF($B$28:$F$132,C409)+COUNTIF($B$4:$F$4,C409)+COUNTIF($B$1:$F$2,C409)&gt;1,NOT(ISBLANK(C409)))</formula>
    </cfRule>
    <cfRule type="expression" dxfId="1371" priority="120" stopIfTrue="1">
      <formula>AND(COUNTIF($B$134:$F$142,C409)+COUNTIF($B$144:$F$65536,C409)+COUNTIF($B$8:$F$9,C409)+COUNTIF($B$11:$F$26,C409)+COUNTIF($B$28:$F$132,C409)+COUNTIF($B$4:$F$4,C409)+COUNTIF($B$1:$F$2,C409)&gt;1,NOT(ISBLANK(C409)))</formula>
    </cfRule>
    <cfRule type="expression" dxfId="184" priority="121" stopIfTrue="1">
      <formula>AND(COUNTIF($B$8:$F$9,C409)+COUNTIF($B$11:$F$26,C409)+COUNTIF($B$28:$F$65536,C409)+COUNTIF($B$4:$F$4,C409)+COUNTIF($B$1:$F$2,C409)&gt;1,NOT(ISBLANK(C409)))</formula>
    </cfRule>
    <cfRule type="expression" dxfId="183" priority="122" stopIfTrue="1">
      <formula>AND(COUNTIF($B$8:$F$9,C409)+COUNTIF($B$11:$F$26,C409)+COUNTIF($B$28:$F$65536,C409)+COUNTIF($B$4:$F$4,C409)+COUNTIF($B$1:$F$2,C409)&gt;1,NOT(ISBLANK(C409)))</formula>
    </cfRule>
    <cfRule type="expression" dxfId="182" priority="123" stopIfTrue="1">
      <formula>AND(COUNTIF($B$8:$F$9,C409)+COUNTIF($B$11:$F$26,C409)+COUNTIF($B$28:$F$65536,C409)+COUNTIF($B$4:$F$4,C409)+COUNTIF($B$1:$F$2,C409)&gt;1,NOT(ISBLANK(C409)))</formula>
    </cfRule>
  </conditionalFormatting>
  <conditionalFormatting sqref="C431 C428:C429 C426 C423:C424 C421">
    <cfRule type="expression" dxfId="1370" priority="112" stopIfTrue="1">
      <formula>AND(COUNTIF($B$134:$F$142,C421)+COUNTIF($B$144:$F$65536,C421)+COUNTIF($B$8:$F$9,C421)+COUNTIF($B$11:$F$26,C421)+COUNTIF($B$28:$F$132,C421)+COUNTIF($B$4:$F$4,C421)+COUNTIF($B$1:$F$2,C421)&gt;1,NOT(ISBLANK(C421)))</formula>
    </cfRule>
    <cfRule type="expression" dxfId="1369" priority="113" stopIfTrue="1">
      <formula>AND(COUNTIF($B$134:$F$142,C421)+COUNTIF($B$144:$F$65536,C421)+COUNTIF($B$8:$F$9,C421)+COUNTIF($B$11:$F$26,C421)+COUNTIF($B$28:$F$132,C421)+COUNTIF($B$4:$F$4,C421)+COUNTIF($B$1:$F$2,C421)&gt;1,NOT(ISBLANK(C421)))</formula>
    </cfRule>
    <cfRule type="expression" dxfId="1368" priority="114" stopIfTrue="1">
      <formula>AND(COUNTIF($B$134:$F$142,C421)+COUNTIF($B$144:$F$65536,C421)+COUNTIF($B$8:$F$9,C421)+COUNTIF($B$11:$F$26,C421)+COUNTIF($B$28:$F$132,C421)+COUNTIF($B$4:$F$4,C421)+COUNTIF($B$1:$F$2,C421)&gt;1,NOT(ISBLANK(C421)))</formula>
    </cfRule>
    <cfRule type="expression" dxfId="181" priority="115" stopIfTrue="1">
      <formula>AND(COUNTIF($B$8:$F$9,C421)+COUNTIF($B$11:$F$26,C421)+COUNTIF($B$28:$F$65536,C421)+COUNTIF($B$4:$F$4,C421)+COUNTIF($B$1:$F$2,C421)&gt;1,NOT(ISBLANK(C421)))</formula>
    </cfRule>
    <cfRule type="expression" dxfId="180" priority="116" stopIfTrue="1">
      <formula>AND(COUNTIF($B$8:$F$9,C421)+COUNTIF($B$11:$F$26,C421)+COUNTIF($B$28:$F$65536,C421)+COUNTIF($B$4:$F$4,C421)+COUNTIF($B$1:$F$2,C421)&gt;1,NOT(ISBLANK(C421)))</formula>
    </cfRule>
    <cfRule type="expression" dxfId="179" priority="117" stopIfTrue="1">
      <formula>AND(COUNTIF($B$8:$F$9,C421)+COUNTIF($B$11:$F$26,C421)+COUNTIF($B$28:$F$65536,C421)+COUNTIF($B$4:$F$4,C421)+COUNTIF($B$1:$F$2,C421)&gt;1,NOT(ISBLANK(C421)))</formula>
    </cfRule>
  </conditionalFormatting>
  <conditionalFormatting sqref="B424 D424:F424">
    <cfRule type="expression" dxfId="1367" priority="697" stopIfTrue="1">
      <formula>AND(COUNTIF($C$134:$F$142,B424)+COUNTIF($C$144:$F$65536,B424)+COUNTIF($C$8:$F$9,B424)+COUNTIF($C$11:$F$26,B424)+COUNTIF($C$28:$F$132,B424)+COUNTIF($C$4:$F$4,B424)+COUNTIF($C$1:$F$2,B424)&gt;1,NOT(ISBLANK(B424)))</formula>
    </cfRule>
    <cfRule type="expression" dxfId="1366" priority="698" stopIfTrue="1">
      <formula>AND(COUNTIF($B$134:$F$142,B424)+COUNTIF($B$144:$F$65536,B424)+COUNTIF($B$8:$F$9,B424)+COUNTIF($B$11:$F$26,B424)+COUNTIF($B$28:$F$132,B424)+COUNTIF($B$4:$F$4,B424)+COUNTIF($B$1:$F$2,B424)&gt;1,NOT(ISBLANK(B424)))</formula>
    </cfRule>
    <cfRule type="expression" dxfId="1365" priority="699" stopIfTrue="1">
      <formula>AND(COUNTIF($B$134:$F$142,B424)+COUNTIF($B$144:$F$65536,B424)+COUNTIF($B$8:$F$9,B424)+COUNTIF($B$11:$F$26,B424)+COUNTIF($B$28:$F$132,B424)+COUNTIF($B$4:$F$4,B424)+COUNTIF($B$1:$F$2,B424)&gt;1,NOT(ISBLANK(B424)))</formula>
    </cfRule>
    <cfRule type="expression" dxfId="178" priority="700" stopIfTrue="1">
      <formula>AND(COUNTIF($B$134:$F$142,B424)+COUNTIF($B$144:$F$65536,B424)+COUNTIF($B$8:$F$9,B424)+COUNTIF($B$11:$F$26,B424)+COUNTIF($B$28:$F$132,B424)+COUNTIF($B$4:$F$4,B424)+COUNTIF($B$1:$F$2,B424)&gt;1,NOT(ISBLANK(B424)))</formula>
    </cfRule>
    <cfRule type="expression" dxfId="177" priority="712" stopIfTrue="1">
      <formula>AND(COUNTIF($B$8:$F$9,B424)+COUNTIF($B$11:$F$26,B424)+COUNTIF($B$28:$F$65536,B424)+COUNTIF($B$4:$F$4,B424)+COUNTIF($B$1:$F$2,B424)&gt;1,NOT(ISBLANK(B424)))</formula>
    </cfRule>
    <cfRule type="expression" dxfId="176" priority="713" stopIfTrue="1">
      <formula>AND(COUNTIF($B$8:$F$9,B424)+COUNTIF($B$11:$F$26,B424)+COUNTIF($B$28:$F$65536,B424)+COUNTIF($B$4:$F$4,B424)+COUNTIF($B$1:$F$2,B424)&gt;1,NOT(ISBLANK(B424)))</formula>
    </cfRule>
    <cfRule type="expression" dxfId="175" priority="714" stopIfTrue="1">
      <formula>AND(COUNTIF($B$8:$F$9,B424)+COUNTIF($B$11:$F$26,B424)+COUNTIF($B$28:$F$65536,B424)+COUNTIF($B$4:$F$4,B424)+COUNTIF($B$1:$F$2,B424)&gt;1,NOT(ISBLANK(B424)))</formula>
    </cfRule>
  </conditionalFormatting>
  <conditionalFormatting sqref="C446 C444 C441 C438 C435 C433">
    <cfRule type="expression" dxfId="1364" priority="105" stopIfTrue="1">
      <formula>AND(COUNTIF($B$134:$F$142,C433)+COUNTIF($B$144:$F$65536,C433)+COUNTIF($B$8:$F$9,C433)+COUNTIF($B$11:$F$26,C433)+COUNTIF($B$28:$F$132,C433)+COUNTIF($B$4:$F$4,C433)+COUNTIF($B$1:$F$2,C433)&gt;1,NOT(ISBLANK(C433)))</formula>
    </cfRule>
    <cfRule type="expression" dxfId="1363" priority="106" stopIfTrue="1">
      <formula>AND(COUNTIF($B$134:$F$142,C433)+COUNTIF($B$144:$F$65536,C433)+COUNTIF($B$8:$F$9,C433)+COUNTIF($B$11:$F$26,C433)+COUNTIF($B$28:$F$132,C433)+COUNTIF($B$4:$F$4,C433)+COUNTIF($B$1:$F$2,C433)&gt;1,NOT(ISBLANK(C433)))</formula>
    </cfRule>
    <cfRule type="expression" dxfId="1362" priority="107" stopIfTrue="1">
      <formula>AND(COUNTIF($B$134:$F$142,C433)+COUNTIF($B$144:$F$65536,C433)+COUNTIF($B$8:$F$9,C433)+COUNTIF($B$11:$F$26,C433)+COUNTIF($B$28:$F$132,C433)+COUNTIF($B$4:$F$4,C433)+COUNTIF($B$1:$F$2,C433)&gt;1,NOT(ISBLANK(C433)))</formula>
    </cfRule>
    <cfRule type="expression" dxfId="174" priority="108" stopIfTrue="1">
      <formula>AND(COUNTIF($B$8:$F$9,C433)+COUNTIF($B$11:$F$26,C433)+COUNTIF($B$28:$F$65536,C433)+COUNTIF($B$4:$F$4,C433)+COUNTIF($B$1:$F$2,C433)&gt;1,NOT(ISBLANK(C433)))</formula>
    </cfRule>
    <cfRule type="expression" dxfId="173" priority="109" stopIfTrue="1">
      <formula>AND(COUNTIF($B$8:$F$9,C433)+COUNTIF($B$11:$F$26,C433)+COUNTIF($B$28:$F$65536,C433)+COUNTIF($B$4:$F$4,C433)+COUNTIF($B$1:$F$2,C433)&gt;1,NOT(ISBLANK(C433)))</formula>
    </cfRule>
    <cfRule type="expression" dxfId="172" priority="110" stopIfTrue="1">
      <formula>AND(COUNTIF($B$8:$F$9,C433)+COUNTIF($B$11:$F$26,C433)+COUNTIF($B$28:$F$65536,C433)+COUNTIF($B$4:$F$4,C433)+COUNTIF($B$1:$F$2,C433)&gt;1,NOT(ISBLANK(C433)))</formula>
    </cfRule>
  </conditionalFormatting>
  <conditionalFormatting sqref="B443:F452 B454:F484 B486 D486:F486">
    <cfRule type="expression" dxfId="1361" priority="1629" stopIfTrue="1">
      <formula>AND(COUNTIF($B$379:$F$472,B443)+COUNTIF($C$473:$F$474,B443)&gt;1,NOT(ISBLANK(B443)))</formula>
    </cfRule>
  </conditionalFormatting>
  <conditionalFormatting sqref="F486 F482:F484 F443:F452 F454:F480">
    <cfRule type="duplicateValues" dxfId="1360" priority="1454"/>
    <cfRule type="duplicateValues" dxfId="1359" priority="1455" stopIfTrue="1"/>
    <cfRule type="duplicateValues" dxfId="1358" priority="1456" stopIfTrue="1"/>
    <cfRule type="duplicateValues" dxfId="171" priority="1457" stopIfTrue="1"/>
    <cfRule type="duplicateValues" dxfId="170" priority="1458" stopIfTrue="1"/>
    <cfRule type="duplicateValues" dxfId="169" priority="1459" stopIfTrue="1"/>
  </conditionalFormatting>
  <conditionalFormatting sqref="C460 C458 C454:C456 C452 C448">
    <cfRule type="expression" dxfId="1357" priority="99" stopIfTrue="1">
      <formula>AND(COUNTIF($B$134:$F$142,C448)+COUNTIF($B$144:$F$65536,C448)+COUNTIF($B$8:$F$9,C448)+COUNTIF($B$11:$F$26,C448)+COUNTIF($B$28:$F$132,C448)+COUNTIF($B$4:$F$4,C448)+COUNTIF($B$1:$F$2,C448)&gt;1,NOT(ISBLANK(C448)))</formula>
    </cfRule>
    <cfRule type="expression" dxfId="1356" priority="100" stopIfTrue="1">
      <formula>AND(COUNTIF($B$134:$F$142,C448)+COUNTIF($B$144:$F$65536,C448)+COUNTIF($B$8:$F$9,C448)+COUNTIF($B$11:$F$26,C448)+COUNTIF($B$28:$F$132,C448)+COUNTIF($B$4:$F$4,C448)+COUNTIF($B$1:$F$2,C448)&gt;1,NOT(ISBLANK(C448)))</formula>
    </cfRule>
    <cfRule type="expression" dxfId="1355" priority="101" stopIfTrue="1">
      <formula>AND(COUNTIF($B$134:$F$142,C448)+COUNTIF($B$144:$F$65536,C448)+COUNTIF($B$8:$F$9,C448)+COUNTIF($B$11:$F$26,C448)+COUNTIF($B$28:$F$132,C448)+COUNTIF($B$4:$F$4,C448)+COUNTIF($B$1:$F$2,C448)&gt;1,NOT(ISBLANK(C448)))</formula>
    </cfRule>
    <cfRule type="expression" dxfId="168" priority="102" stopIfTrue="1">
      <formula>AND(COUNTIF($B$8:$F$9,C448)+COUNTIF($B$11:$F$26,C448)+COUNTIF($B$28:$F$65536,C448)+COUNTIF($B$4:$F$4,C448)+COUNTIF($B$1:$F$2,C448)&gt;1,NOT(ISBLANK(C448)))</formula>
    </cfRule>
    <cfRule type="expression" dxfId="167" priority="103" stopIfTrue="1">
      <formula>AND(COUNTIF($B$8:$F$9,C448)+COUNTIF($B$11:$F$26,C448)+COUNTIF($B$28:$F$65536,C448)+COUNTIF($B$4:$F$4,C448)+COUNTIF($B$1:$F$2,C448)&gt;1,NOT(ISBLANK(C448)))</formula>
    </cfRule>
    <cfRule type="expression" dxfId="166" priority="104" stopIfTrue="1">
      <formula>AND(COUNTIF($B$8:$F$9,C448)+COUNTIF($B$11:$F$26,C448)+COUNTIF($B$28:$F$65536,C448)+COUNTIF($B$4:$F$4,C448)+COUNTIF($B$1:$F$2,C448)&gt;1,NOT(ISBLANK(C448)))</formula>
    </cfRule>
  </conditionalFormatting>
  <conditionalFormatting sqref="B453 D453:F453">
    <cfRule type="expression" dxfId="1354" priority="622" stopIfTrue="1">
      <formula>AND(COUNTIF($B$379:$F$472,B453)+COUNTIF($C$473:$F$474,B453)&gt;1,NOT(ISBLANK(B453)))</formula>
    </cfRule>
    <cfRule type="expression" dxfId="1353" priority="625" stopIfTrue="1">
      <formula>AND(COUNTIF($B$134:$F$142,B453)+COUNTIF($B$144:$F$65536,B453)+COUNTIF($B$8:$F$9,B453)+COUNTIF($B$11:$F$26,B453)+COUNTIF($B$28:$F$132,B453)+COUNTIF($B$4:$F$4,B453)+COUNTIF($B$1:$F$2,B453)&gt;1,NOT(ISBLANK(B453)))</formula>
    </cfRule>
    <cfRule type="expression" dxfId="1352" priority="626" stopIfTrue="1">
      <formula>AND(COUNTIF($B$134:$F$142,B453)+COUNTIF($B$144:$F$65536,B453)+COUNTIF($B$8:$F$9,B453)+COUNTIF($B$11:$F$26,B453)+COUNTIF($B$28:$F$132,B453)+COUNTIF($B$4:$F$4,B453)+COUNTIF($B$1:$F$2,B453)&gt;1,NOT(ISBLANK(B453)))</formula>
    </cfRule>
    <cfRule type="expression" dxfId="165" priority="627" stopIfTrue="1">
      <formula>AND(COUNTIF($B$134:$F$142,B453)+COUNTIF($B$144:$F$65536,B453)+COUNTIF($B$8:$F$9,B453)+COUNTIF($B$11:$F$26,B453)+COUNTIF($B$28:$F$132,B453)+COUNTIF($B$4:$F$4,B453)+COUNTIF($B$1:$F$2,B453)&gt;1,NOT(ISBLANK(B453)))</formula>
    </cfRule>
    <cfRule type="expression" dxfId="164" priority="639" stopIfTrue="1">
      <formula>AND(COUNTIF($B$8:$F$9,B453)+COUNTIF($B$11:$F$26,B453)+COUNTIF($B$28:$F$65536,B453)+COUNTIF($B$4:$F$4,B453)+COUNTIF($B$1:$F$2,B453)&gt;1,NOT(ISBLANK(B453)))</formula>
    </cfRule>
    <cfRule type="expression" dxfId="163" priority="640" stopIfTrue="1">
      <formula>AND(COUNTIF($B$8:$F$9,B453)+COUNTIF($B$11:$F$26,B453)+COUNTIF($B$28:$F$65536,B453)+COUNTIF($B$4:$F$4,B453)+COUNTIF($B$1:$F$2,B453)&gt;1,NOT(ISBLANK(B453)))</formula>
    </cfRule>
    <cfRule type="expression" dxfId="162" priority="641" stopIfTrue="1">
      <formula>AND(COUNTIF($B$8:$F$9,B453)+COUNTIF($B$11:$F$26,B453)+COUNTIF($B$28:$F$65536,B453)+COUNTIF($B$4:$F$4,B453)+COUNTIF($B$1:$F$2,B453)&gt;1,NOT(ISBLANK(B453)))</formula>
    </cfRule>
  </conditionalFormatting>
  <conditionalFormatting sqref="C473 C468:C470 C465 C462:C463">
    <cfRule type="expression" dxfId="1351" priority="93" stopIfTrue="1">
      <formula>AND(COUNTIF($B$134:$F$142,C462)+COUNTIF($B$144:$F$65536,C462)+COUNTIF($B$8:$F$9,C462)+COUNTIF($B$11:$F$26,C462)+COUNTIF($B$28:$F$132,C462)+COUNTIF($B$4:$F$4,C462)+COUNTIF($B$1:$F$2,C462)&gt;1,NOT(ISBLANK(C462)))</formula>
    </cfRule>
    <cfRule type="expression" dxfId="1350" priority="94" stopIfTrue="1">
      <formula>AND(COUNTIF($B$134:$F$142,C462)+COUNTIF($B$144:$F$65536,C462)+COUNTIF($B$8:$F$9,C462)+COUNTIF($B$11:$F$26,C462)+COUNTIF($B$28:$F$132,C462)+COUNTIF($B$4:$F$4,C462)+COUNTIF($B$1:$F$2,C462)&gt;1,NOT(ISBLANK(C462)))</formula>
    </cfRule>
    <cfRule type="expression" dxfId="1349" priority="95" stopIfTrue="1">
      <formula>AND(COUNTIF($B$134:$F$142,C462)+COUNTIF($B$144:$F$65536,C462)+COUNTIF($B$8:$F$9,C462)+COUNTIF($B$11:$F$26,C462)+COUNTIF($B$28:$F$132,C462)+COUNTIF($B$4:$F$4,C462)+COUNTIF($B$1:$F$2,C462)&gt;1,NOT(ISBLANK(C462)))</formula>
    </cfRule>
    <cfRule type="expression" dxfId="161" priority="96" stopIfTrue="1">
      <formula>AND(COUNTIF($B$8:$F$9,C462)+COUNTIF($B$11:$F$26,C462)+COUNTIF($B$28:$F$65536,C462)+COUNTIF($B$4:$F$4,C462)+COUNTIF($B$1:$F$2,C462)&gt;1,NOT(ISBLANK(C462)))</formula>
    </cfRule>
    <cfRule type="expression" dxfId="160" priority="97" stopIfTrue="1">
      <formula>AND(COUNTIF($B$8:$F$9,C462)+COUNTIF($B$11:$F$26,C462)+COUNTIF($B$28:$F$65536,C462)+COUNTIF($B$4:$F$4,C462)+COUNTIF($B$1:$F$2,C462)&gt;1,NOT(ISBLANK(C462)))</formula>
    </cfRule>
    <cfRule type="expression" dxfId="159" priority="98" stopIfTrue="1">
      <formula>AND(COUNTIF($B$8:$F$9,C462)+COUNTIF($B$11:$F$26,C462)+COUNTIF($B$28:$F$65536,C462)+COUNTIF($B$4:$F$4,C462)+COUNTIF($B$1:$F$2,C462)&gt;1,NOT(ISBLANK(C462)))</formula>
    </cfRule>
  </conditionalFormatting>
  <conditionalFormatting sqref="C488 C486 C483:C484 C477:C479">
    <cfRule type="expression" dxfId="1348" priority="87" stopIfTrue="1">
      <formula>AND(COUNTIF($B$134:$F$142,C477)+COUNTIF($B$144:$F$65536,C477)+COUNTIF($B$8:$F$9,C477)+COUNTIF($B$11:$F$26,C477)+COUNTIF($B$28:$F$132,C477)+COUNTIF($B$4:$F$4,C477)+COUNTIF($B$1:$F$2,C477)&gt;1,NOT(ISBLANK(C477)))</formula>
    </cfRule>
    <cfRule type="expression" dxfId="1347" priority="88" stopIfTrue="1">
      <formula>AND(COUNTIF($B$134:$F$142,C477)+COUNTIF($B$144:$F$65536,C477)+COUNTIF($B$8:$F$9,C477)+COUNTIF($B$11:$F$26,C477)+COUNTIF($B$28:$F$132,C477)+COUNTIF($B$4:$F$4,C477)+COUNTIF($B$1:$F$2,C477)&gt;1,NOT(ISBLANK(C477)))</formula>
    </cfRule>
    <cfRule type="expression" dxfId="1346" priority="89" stopIfTrue="1">
      <formula>AND(COUNTIF($B$134:$F$142,C477)+COUNTIF($B$144:$F$65536,C477)+COUNTIF($B$8:$F$9,C477)+COUNTIF($B$11:$F$26,C477)+COUNTIF($B$28:$F$132,C477)+COUNTIF($B$4:$F$4,C477)+COUNTIF($B$1:$F$2,C477)&gt;1,NOT(ISBLANK(C477)))</formula>
    </cfRule>
    <cfRule type="expression" dxfId="158" priority="90" stopIfTrue="1">
      <formula>AND(COUNTIF($B$8:$F$9,C477)+COUNTIF($B$11:$F$26,C477)+COUNTIF($B$28:$F$65536,C477)+COUNTIF($B$4:$F$4,C477)+COUNTIF($B$1:$F$2,C477)&gt;1,NOT(ISBLANK(C477)))</formula>
    </cfRule>
    <cfRule type="expression" dxfId="157" priority="91" stopIfTrue="1">
      <formula>AND(COUNTIF($B$8:$F$9,C477)+COUNTIF($B$11:$F$26,C477)+COUNTIF($B$28:$F$65536,C477)+COUNTIF($B$4:$F$4,C477)+COUNTIF($B$1:$F$2,C477)&gt;1,NOT(ISBLANK(C477)))</formula>
    </cfRule>
    <cfRule type="expression" dxfId="156" priority="92" stopIfTrue="1">
      <formula>AND(COUNTIF($B$8:$F$9,C477)+COUNTIF($B$11:$F$26,C477)+COUNTIF($B$28:$F$65536,C477)+COUNTIF($B$4:$F$4,C477)+COUNTIF($B$1:$F$2,C477)&gt;1,NOT(ISBLANK(C477)))</formula>
    </cfRule>
  </conditionalFormatting>
  <conditionalFormatting sqref="C488 C486">
    <cfRule type="expression" dxfId="1345" priority="86" stopIfTrue="1">
      <formula>AND(COUNTIF($C$134:$F$142,C486)+COUNTIF($C$144:$F$65536,C486)+COUNTIF($C$8:$F$9,C486)+COUNTIF($C$11:$F$26,C486)+COUNTIF($C$28:$F$132,C486)+COUNTIF($C$4:$F$4,C486)+COUNTIF($C$1:$F$2,C486)&gt;1,NOT(ISBLANK(C486)))</formula>
    </cfRule>
  </conditionalFormatting>
  <conditionalFormatting sqref="C489:F489 D488:F488">
    <cfRule type="expression" dxfId="1344" priority="16750" stopIfTrue="1">
      <formula>AND(COUNTIF($B$430:$F$472,C488)+COUNTIF($C$473:$F$474,C488)&gt;1,NOT(ISBLANK(C488)))</formula>
    </cfRule>
    <cfRule type="expression" dxfId="1343" priority="16931" stopIfTrue="1">
      <formula>AND(COUNTIF($B$271:$F$279,C488)+COUNTIF($B$281:$F$65536,C488)+COUNTIF($B$8:$F$9,C488)+COUNTIF($B$11:$F$26,C488)+COUNTIF($B$28:$F$269,C488)+COUNTIF($B$4:$F$4,C488)+COUNTIF($B$1:$F$2,C488)&gt;1,NOT(ISBLANK(C488)))</formula>
    </cfRule>
    <cfRule type="expression" dxfId="1342" priority="16932" stopIfTrue="1">
      <formula>AND(COUNTIF($B$271:$F$279,C488)+COUNTIF($B$281:$F$65536,C488)+COUNTIF($B$8:$F$9,C488)+COUNTIF($B$11:$F$26,C488)+COUNTIF($B$28:$F$269,C488)+COUNTIF($B$4:$F$4,C488)+COUNTIF($B$1:$F$2,C488)&gt;1,NOT(ISBLANK(C488)))</formula>
    </cfRule>
    <cfRule type="expression" dxfId="155" priority="16933" stopIfTrue="1">
      <formula>AND(COUNTIF($B$271:$F$279,C488)+COUNTIF($B$281:$F$65536,C488)+COUNTIF($B$8:$F$9,C488)+COUNTIF($B$11:$F$26,C488)+COUNTIF($B$28:$F$269,C488)+COUNTIF($B$4:$F$4,C488)+COUNTIF($B$1:$F$2,C488)&gt;1,NOT(ISBLANK(C488)))</formula>
    </cfRule>
    <cfRule type="expression" dxfId="154" priority="18148" stopIfTrue="1">
      <formula>AND(COUNTIF($B$8:$F$9,C488)+COUNTIF($B$11:$F$26,C488)+COUNTIF($B$28:$F$65536,C488)+COUNTIF($B$4:$F$4,C488)+COUNTIF($B$1:$F$2,C488)&gt;1,NOT(ISBLANK(C488)))</formula>
    </cfRule>
    <cfRule type="expression" dxfId="153" priority="18149" stopIfTrue="1">
      <formula>AND(COUNTIF($B$8:$F$9,C488)+COUNTIF($B$11:$F$26,C488)+COUNTIF($B$28:$F$65536,C488)+COUNTIF($B$4:$F$4,C488)+COUNTIF($B$1:$F$2,C488)&gt;1,NOT(ISBLANK(C488)))</formula>
    </cfRule>
    <cfRule type="expression" dxfId="152" priority="18150" stopIfTrue="1">
      <formula>AND(COUNTIF($B$8:$F$9,C488)+COUNTIF($B$11:$F$26,C488)+COUNTIF($B$28:$F$65536,C488)+COUNTIF($B$4:$F$4,C488)+COUNTIF($B$1:$F$2,C488)&gt;1,NOT(ISBLANK(C488)))</formula>
    </cfRule>
  </conditionalFormatting>
  <conditionalFormatting sqref="D488:F489">
    <cfRule type="expression" dxfId="1341" priority="16930" stopIfTrue="1">
      <formula>AND(COUNTIF($C$271:$F$279,D488)+COUNTIF($C$281:$F$65536,D488)+COUNTIF($C$8:$F$9,D488)+COUNTIF($C$11:$F$26,D488)+COUNTIF($C$28:$F$269,D488)+COUNTIF($C$4:$F$4,D488)+COUNTIF($C$1:$F$2,D488)&gt;1,NOT(ISBLANK(D488)))</formula>
    </cfRule>
    <cfRule type="expression" dxfId="1340" priority="18605" stopIfTrue="1">
      <formula>AND(COUNTIF($D$8:$F$9,D488)+COUNTIF($D$1:$F$2,D488)+COUNTIF($D$11:$F$26,D488)+COUNTIF($D$28:$F$65536,D488)+COUNTIF($D$4:$F$4,D488)&gt;1,NOT(ISBLANK(D488)))</formula>
    </cfRule>
    <cfRule type="expression" dxfId="1339" priority="18606" stopIfTrue="1">
      <formula>AND(COUNTIF($D$8:$F$9,D488)+COUNTIF($D$1:$F$2,D488)+COUNTIF($D$11:$F$26,D488)+COUNTIF($D$28:$F$65536,D488)+COUNTIF($D$4:$F$4,D488)&gt;1,NOT(ISBLANK(D488)))</formula>
    </cfRule>
    <cfRule type="expression" dxfId="151" priority="18607" stopIfTrue="1">
      <formula>AND(COUNTIF($D$8:$F$9,D488)+COUNTIF($D$1:$F$2,D488)+COUNTIF($D$11:$F$26,D488)+COUNTIF($D$28:$F$65536,D488)+COUNTIF($D$4:$F$4,D488)&gt;1,NOT(ISBLANK(D488)))</formula>
    </cfRule>
  </conditionalFormatting>
  <conditionalFormatting sqref="E488:F489">
    <cfRule type="expression" dxfId="1338" priority="18608" stopIfTrue="1">
      <formula>AND(COUNTIF($E$8:$F$9,E488)+COUNTIF($E$1:$F$2,E488)+COUNTIF($E$11:$F$26,E488)+COUNTIF($E$28:$F$65536,E488)+COUNTIF($E$4:$F$4,E488)&gt;1,NOT(ISBLANK(E488)))</formula>
    </cfRule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07D78-7320-4E63-B93A-D0B6455D3C75}">
  <sheetPr>
    <tabColor theme="0"/>
  </sheetPr>
  <dimension ref="A1:BK515"/>
  <sheetViews>
    <sheetView zoomScale="120" workbookViewId="0">
      <pane xSplit="6" ySplit="6" topLeftCell="O499" activePane="bottomRight" state="frozen"/>
      <selection pane="topRight"/>
      <selection pane="bottomLeft"/>
      <selection pane="bottomRight" activeCell="D495" sqref="D495"/>
    </sheetView>
  </sheetViews>
  <sheetFormatPr defaultColWidth="7.8984375" defaultRowHeight="13.8"/>
  <cols>
    <col min="1" max="1" width="7.69921875" style="798" hidden="1" customWidth="1"/>
    <col min="2" max="2" width="5.59765625" style="790" customWidth="1"/>
    <col min="3" max="3" width="5.5" style="9" customWidth="1"/>
    <col min="4" max="5" width="10.3984375" style="798" hidden="1" customWidth="1"/>
    <col min="6" max="6" width="13.69921875" style="798" hidden="1" customWidth="1"/>
    <col min="7" max="10" width="4.69921875" style="803" customWidth="1"/>
    <col min="11" max="21" width="4.69921875" style="811" customWidth="1"/>
    <col min="22" max="22" width="4.19921875" style="807" customWidth="1"/>
    <col min="23" max="23" width="5.59765625" style="807" customWidth="1"/>
    <col min="24" max="24" width="4.19921875" style="807" customWidth="1"/>
    <col min="25" max="26" width="4" style="807" customWidth="1"/>
    <col min="27" max="41" width="4.5" style="798" hidden="1" customWidth="1"/>
    <col min="42" max="42" width="9.765625E-2" style="798" customWidth="1"/>
    <col min="43" max="43" width="10.09765625" style="811" customWidth="1"/>
    <col min="44" max="44" width="11.19921875" style="811" customWidth="1"/>
    <col min="45" max="45" width="8.19921875" style="811" customWidth="1"/>
    <col min="46" max="46" width="6.8984375" style="9" hidden="1" customWidth="1"/>
    <col min="47" max="47" width="10.5" style="9" hidden="1" customWidth="1"/>
    <col min="48" max="48" width="8" style="798" hidden="1" customWidth="1"/>
    <col min="49" max="49" width="10.69921875" style="798" hidden="1" customWidth="1"/>
    <col min="50" max="50" width="8.59765625" style="798" hidden="1" customWidth="1"/>
    <col min="51" max="51" width="8.59765625" style="798" customWidth="1"/>
    <col min="52" max="52" width="8.59765625" style="802" customWidth="1"/>
    <col min="53" max="53" width="11" style="798" bestFit="1" customWidth="1"/>
    <col min="54" max="55" width="10.8984375" style="798" bestFit="1" customWidth="1"/>
    <col min="56" max="56" width="11" style="798" bestFit="1" customWidth="1"/>
    <col min="57" max="57" width="8.59765625" style="798" bestFit="1" customWidth="1"/>
    <col min="58" max="58" width="8.19921875" style="798" bestFit="1" customWidth="1"/>
    <col min="59" max="65" width="7.8984375" style="798"/>
    <col min="66" max="67" width="8.8984375" style="798" bestFit="1" customWidth="1"/>
    <col min="68" max="16384" width="7.8984375" style="798"/>
  </cols>
  <sheetData>
    <row r="1" spans="1:63">
      <c r="L1" s="960"/>
      <c r="M1" s="960"/>
      <c r="N1" s="960"/>
      <c r="O1" s="960"/>
      <c r="P1" s="960"/>
      <c r="Q1" s="960"/>
      <c r="R1" s="960"/>
      <c r="S1" s="960"/>
      <c r="T1" s="960"/>
      <c r="U1" s="960"/>
      <c r="V1" s="963"/>
      <c r="W1" s="963"/>
      <c r="X1" s="963"/>
      <c r="Y1" s="963"/>
      <c r="Z1" s="963"/>
      <c r="BI1" s="798" t="s">
        <v>1302</v>
      </c>
      <c r="BJ1" s="798">
        <f>SUM(AQ8:AQ174)</f>
        <v>2195</v>
      </c>
      <c r="BK1" s="798">
        <f>SUM(AR8:AR174)</f>
        <v>91</v>
      </c>
    </row>
    <row r="2" spans="1:63">
      <c r="A2" s="1293" t="s">
        <v>1303</v>
      </c>
      <c r="B2" s="1293"/>
      <c r="C2" s="1293"/>
      <c r="D2" s="1293"/>
      <c r="E2" s="1293"/>
      <c r="F2" s="1293"/>
      <c r="G2" s="1293"/>
      <c r="H2" s="1293"/>
      <c r="I2" s="1293"/>
      <c r="J2" s="1293"/>
      <c r="K2" s="1293"/>
      <c r="L2" s="1293"/>
      <c r="M2" s="1293"/>
      <c r="N2" s="1293"/>
      <c r="O2" s="1293"/>
      <c r="P2" s="1293"/>
      <c r="Q2" s="1293"/>
      <c r="R2" s="1293"/>
      <c r="S2" s="1293"/>
      <c r="T2" s="1293"/>
      <c r="U2" s="1293"/>
      <c r="V2" s="1293"/>
      <c r="W2" s="1293"/>
      <c r="X2" s="1293"/>
      <c r="Y2" s="1293"/>
      <c r="Z2" s="1293"/>
      <c r="AA2" s="1293"/>
      <c r="AB2" s="1293"/>
      <c r="AC2" s="1293"/>
      <c r="AD2" s="1293"/>
      <c r="AE2" s="1293"/>
      <c r="AF2" s="1293"/>
      <c r="AG2" s="1293"/>
      <c r="AH2" s="1293"/>
      <c r="AI2" s="1293"/>
      <c r="AJ2" s="1293"/>
      <c r="AK2" s="1293"/>
      <c r="AL2" s="1293"/>
      <c r="AM2" s="1293"/>
      <c r="AN2" s="1293"/>
      <c r="AO2" s="1293"/>
      <c r="AP2" s="1293"/>
      <c r="AQ2" s="1293"/>
      <c r="AR2" s="1293"/>
      <c r="AS2" s="1293"/>
      <c r="AT2" s="410"/>
      <c r="AU2" s="410"/>
      <c r="AV2" s="949"/>
      <c r="AW2" s="949"/>
      <c r="BF2" s="892">
        <v>2011</v>
      </c>
      <c r="BG2" s="823">
        <f>SUM(BA8:BC265)</f>
        <v>0</v>
      </c>
      <c r="BH2" s="823"/>
      <c r="BI2" s="798" t="s">
        <v>1304</v>
      </c>
      <c r="BJ2" s="798">
        <f>SUM(AQ177:AQ221)</f>
        <v>513</v>
      </c>
      <c r="BK2" s="798">
        <f>SUM(AR177:AR221)</f>
        <v>11</v>
      </c>
    </row>
    <row r="3" spans="1:63">
      <c r="A3" s="949"/>
      <c r="B3" s="949"/>
      <c r="C3" s="811"/>
      <c r="D3" s="949"/>
      <c r="E3" s="949"/>
      <c r="F3" s="949"/>
      <c r="L3" s="960"/>
      <c r="M3" s="960"/>
      <c r="N3" s="960"/>
      <c r="O3" s="960"/>
      <c r="P3" s="960"/>
      <c r="Q3" s="960"/>
      <c r="R3" s="960"/>
      <c r="S3" s="960"/>
      <c r="T3" s="960"/>
      <c r="U3" s="960"/>
      <c r="V3" s="963"/>
      <c r="W3" s="963"/>
      <c r="X3" s="963"/>
      <c r="Y3" s="963"/>
      <c r="Z3" s="963"/>
      <c r="AQ3" s="811">
        <f>SUBTOTAL(9,AQ8:AQ314)</f>
        <v>5479</v>
      </c>
      <c r="AR3" s="811">
        <f>SUBTOTAL(9,AR8:AR314)</f>
        <v>293</v>
      </c>
      <c r="AV3" s="1330" t="s">
        <v>1305</v>
      </c>
      <c r="AX3" s="983" t="e">
        <f>AX175+#REF!+#REF!</f>
        <v>#REF!</v>
      </c>
      <c r="AY3" s="984" t="s">
        <v>1306</v>
      </c>
      <c r="AZ3" s="985"/>
      <c r="BF3" s="892">
        <v>2012</v>
      </c>
      <c r="BG3" s="823" t="e">
        <f>SUM(BD8:BD265)+SUM(#REF!)</f>
        <v>#REF!</v>
      </c>
      <c r="BH3" s="823"/>
      <c r="BI3" s="798" t="s">
        <v>1307</v>
      </c>
      <c r="BJ3" s="798">
        <f>SUM(AQ222:AQ265)</f>
        <v>519</v>
      </c>
      <c r="BK3" s="798">
        <f>SUM(AR222:AR265)</f>
        <v>26</v>
      </c>
    </row>
    <row r="4" spans="1:63" ht="20.100000000000001" customHeight="1">
      <c r="A4" s="1302" t="s">
        <v>1308</v>
      </c>
      <c r="B4" s="1302" t="s">
        <v>5</v>
      </c>
      <c r="C4" s="1304" t="s">
        <v>1309</v>
      </c>
      <c r="D4" s="1294" t="s">
        <v>1310</v>
      </c>
      <c r="E4" s="1295"/>
      <c r="F4" s="1318" t="s">
        <v>1311</v>
      </c>
      <c r="G4" s="1294" t="s">
        <v>1312</v>
      </c>
      <c r="H4" s="1296"/>
      <c r="I4" s="1296"/>
      <c r="J4" s="1296"/>
      <c r="K4" s="1296"/>
      <c r="L4" s="1296"/>
      <c r="M4" s="1296"/>
      <c r="N4" s="1296"/>
      <c r="O4" s="1296"/>
      <c r="P4" s="1296"/>
      <c r="Q4" s="1296"/>
      <c r="R4" s="1296"/>
      <c r="S4" s="1296"/>
      <c r="T4" s="1296"/>
      <c r="U4" s="1295"/>
      <c r="V4" s="1297" t="s">
        <v>1313</v>
      </c>
      <c r="W4" s="1298"/>
      <c r="X4" s="1298"/>
      <c r="Y4" s="1298"/>
      <c r="Z4" s="1299"/>
      <c r="AA4" s="1294" t="s">
        <v>1314</v>
      </c>
      <c r="AB4" s="1296"/>
      <c r="AC4" s="1296"/>
      <c r="AD4" s="1296"/>
      <c r="AE4" s="1296"/>
      <c r="AF4" s="1296"/>
      <c r="AG4" s="1296"/>
      <c r="AH4" s="1296"/>
      <c r="AI4" s="1296"/>
      <c r="AJ4" s="1296"/>
      <c r="AK4" s="1296"/>
      <c r="AL4" s="1296"/>
      <c r="AM4" s="1296"/>
      <c r="AN4" s="1296"/>
      <c r="AO4" s="1296"/>
      <c r="AP4" s="1295"/>
      <c r="AQ4" s="1300" t="s">
        <v>1315</v>
      </c>
      <c r="AR4" s="1300"/>
      <c r="AS4" s="1301"/>
      <c r="AT4" s="973"/>
      <c r="AU4" s="974"/>
      <c r="AV4" s="1330"/>
      <c r="AW4" s="986"/>
      <c r="AX4" s="987"/>
      <c r="AY4" s="988"/>
      <c r="AZ4" s="903"/>
      <c r="BF4" s="892">
        <v>2013</v>
      </c>
      <c r="BG4" s="823" t="e">
        <f>SUM(BA266:BD314)</f>
        <v>#N/A</v>
      </c>
      <c r="BH4" s="823"/>
      <c r="BI4" s="798" t="s">
        <v>1316</v>
      </c>
      <c r="BJ4" s="798" t="e">
        <f>SUM(#REF!)</f>
        <v>#REF!</v>
      </c>
      <c r="BK4" s="798" t="e">
        <f>SUM(#REF!)</f>
        <v>#REF!</v>
      </c>
    </row>
    <row r="5" spans="1:63" ht="20.100000000000001" customHeight="1">
      <c r="A5" s="1303"/>
      <c r="B5" s="1303"/>
      <c r="C5" s="1305"/>
      <c r="D5" s="1302" t="s">
        <v>1317</v>
      </c>
      <c r="E5" s="1302" t="s">
        <v>1318</v>
      </c>
      <c r="F5" s="1319"/>
      <c r="G5" s="952">
        <v>1</v>
      </c>
      <c r="H5" s="952">
        <v>2</v>
      </c>
      <c r="I5" s="952">
        <v>3</v>
      </c>
      <c r="J5" s="952">
        <v>4</v>
      </c>
      <c r="K5" s="961">
        <v>5</v>
      </c>
      <c r="L5" s="962">
        <v>6</v>
      </c>
      <c r="M5" s="962">
        <v>7</v>
      </c>
      <c r="N5" s="962">
        <v>8</v>
      </c>
      <c r="O5" s="962">
        <v>9</v>
      </c>
      <c r="P5" s="962">
        <v>10</v>
      </c>
      <c r="Q5" s="962">
        <v>11</v>
      </c>
      <c r="R5" s="962">
        <v>12</v>
      </c>
      <c r="S5" s="962">
        <v>13</v>
      </c>
      <c r="T5" s="962">
        <v>14</v>
      </c>
      <c r="U5" s="962">
        <v>15</v>
      </c>
      <c r="V5" s="964">
        <v>2</v>
      </c>
      <c r="W5" s="964">
        <v>3</v>
      </c>
      <c r="X5" s="964">
        <v>14</v>
      </c>
      <c r="Y5" s="964">
        <v>15</v>
      </c>
      <c r="Z5" s="964"/>
      <c r="AA5" s="967">
        <v>1</v>
      </c>
      <c r="AB5" s="967">
        <v>2</v>
      </c>
      <c r="AC5" s="967">
        <v>3</v>
      </c>
      <c r="AD5" s="952">
        <v>4</v>
      </c>
      <c r="AE5" s="961">
        <v>5</v>
      </c>
      <c r="AF5" s="962">
        <v>6</v>
      </c>
      <c r="AG5" s="962">
        <v>7</v>
      </c>
      <c r="AH5" s="962">
        <v>8</v>
      </c>
      <c r="AI5" s="962">
        <v>9</v>
      </c>
      <c r="AJ5" s="962">
        <v>10</v>
      </c>
      <c r="AK5" s="962">
        <v>11</v>
      </c>
      <c r="AL5" s="962">
        <v>12</v>
      </c>
      <c r="AM5" s="962">
        <v>13</v>
      </c>
      <c r="AN5" s="962">
        <v>14</v>
      </c>
      <c r="AO5" s="962">
        <v>15</v>
      </c>
      <c r="AP5" s="952">
        <v>31</v>
      </c>
      <c r="AQ5" s="1320" t="s">
        <v>1319</v>
      </c>
      <c r="AR5" s="1322" t="s">
        <v>1313</v>
      </c>
      <c r="AS5" s="1324" t="s">
        <v>1320</v>
      </c>
      <c r="AT5" s="1326" t="s">
        <v>1321</v>
      </c>
      <c r="AU5" s="1329">
        <v>25500</v>
      </c>
      <c r="AV5" s="1330"/>
      <c r="AW5" s="1329">
        <v>16000</v>
      </c>
      <c r="AX5" s="1331" t="s">
        <v>1322</v>
      </c>
      <c r="AY5" s="1333" t="s">
        <v>1323</v>
      </c>
      <c r="AZ5" s="990" t="s">
        <v>1324</v>
      </c>
      <c r="BA5" s="1327" t="s">
        <v>1325</v>
      </c>
      <c r="BB5" s="1327" t="s">
        <v>1326</v>
      </c>
      <c r="BC5" s="1327" t="s">
        <v>1327</v>
      </c>
      <c r="BD5" s="1327" t="s">
        <v>1328</v>
      </c>
      <c r="BE5" s="1328" t="s">
        <v>1329</v>
      </c>
      <c r="BF5" s="798" t="s">
        <v>1330</v>
      </c>
      <c r="BG5" s="823" t="e">
        <f>SUM(BG2:BG4)</f>
        <v>#REF!</v>
      </c>
      <c r="BH5" s="823"/>
      <c r="BI5" s="798" t="s">
        <v>1331</v>
      </c>
      <c r="BJ5" s="798" t="e">
        <f>SUM(#REF!)</f>
        <v>#REF!</v>
      </c>
      <c r="BK5" s="798" t="e">
        <f>SUM(#REF!)</f>
        <v>#REF!</v>
      </c>
    </row>
    <row r="6" spans="1:63" ht="20.100000000000001" customHeight="1">
      <c r="A6" s="1303"/>
      <c r="B6" s="1303"/>
      <c r="C6" s="1305"/>
      <c r="D6" s="1303"/>
      <c r="E6" s="1303"/>
      <c r="F6" s="951" t="s">
        <v>1332</v>
      </c>
      <c r="G6" s="953"/>
      <c r="H6" s="953"/>
      <c r="I6" s="953"/>
      <c r="J6" s="953"/>
      <c r="K6" s="953"/>
      <c r="L6" s="953"/>
      <c r="M6" s="953"/>
      <c r="N6" s="953"/>
      <c r="O6" s="953"/>
      <c r="P6" s="953"/>
      <c r="Q6" s="953"/>
      <c r="R6" s="953"/>
      <c r="S6" s="953"/>
      <c r="T6" s="953"/>
      <c r="U6" s="953"/>
      <c r="V6" s="965"/>
      <c r="W6" s="965"/>
      <c r="X6" s="965"/>
      <c r="Y6" s="965"/>
      <c r="Z6" s="965"/>
      <c r="AA6" s="968"/>
      <c r="AB6" s="968"/>
      <c r="AC6" s="968"/>
      <c r="AD6" s="968"/>
      <c r="AE6" s="968"/>
      <c r="AF6" s="968"/>
      <c r="AG6" s="968"/>
      <c r="AH6" s="968"/>
      <c r="AI6" s="968"/>
      <c r="AJ6" s="968"/>
      <c r="AK6" s="968"/>
      <c r="AL6" s="968"/>
      <c r="AM6" s="968"/>
      <c r="AN6" s="968"/>
      <c r="AO6" s="968"/>
      <c r="AP6" s="968" t="s">
        <v>186</v>
      </c>
      <c r="AQ6" s="1321"/>
      <c r="AR6" s="1323"/>
      <c r="AS6" s="1325"/>
      <c r="AT6" s="1326"/>
      <c r="AU6" s="1329"/>
      <c r="AV6" s="1330"/>
      <c r="AW6" s="1329"/>
      <c r="AX6" s="1332"/>
      <c r="AY6" s="1333"/>
      <c r="AZ6" s="990" t="s">
        <v>1333</v>
      </c>
      <c r="BA6" s="1327"/>
      <c r="BB6" s="1327"/>
      <c r="BC6" s="1327"/>
      <c r="BD6" s="1327"/>
      <c r="BE6" s="1328"/>
      <c r="BF6" s="994">
        <f>SUM(BF8:BF265)</f>
        <v>2492</v>
      </c>
      <c r="BG6" s="876" t="e">
        <f>SUM(BJ1:BJ9)-BG5</f>
        <v>#REF!</v>
      </c>
      <c r="BH6" s="876"/>
      <c r="BI6" s="798" t="s">
        <v>1334</v>
      </c>
      <c r="BJ6" s="798">
        <f>SUM(AQ266:AQ313)</f>
        <v>610</v>
      </c>
      <c r="BK6" s="798">
        <f>SUM(AR266:AR313)</f>
        <v>64</v>
      </c>
    </row>
    <row r="7" spans="1:63" ht="20.100000000000001" customHeight="1">
      <c r="A7" s="950"/>
      <c r="B7" s="1306" t="s">
        <v>270</v>
      </c>
      <c r="C7" s="1307"/>
      <c r="D7" s="950"/>
      <c r="E7" s="950"/>
      <c r="F7" s="951"/>
      <c r="G7" s="953"/>
      <c r="H7" s="953"/>
      <c r="I7" s="953"/>
      <c r="J7" s="953"/>
      <c r="K7" s="953"/>
      <c r="L7" s="953"/>
      <c r="M7" s="953"/>
      <c r="N7" s="953"/>
      <c r="O7" s="953"/>
      <c r="P7" s="953"/>
      <c r="Q7" s="953"/>
      <c r="R7" s="953"/>
      <c r="S7" s="953"/>
      <c r="T7" s="953"/>
      <c r="U7" s="953"/>
      <c r="V7" s="965"/>
      <c r="W7" s="965"/>
      <c r="X7" s="965"/>
      <c r="Y7" s="969"/>
      <c r="Z7" s="965"/>
      <c r="AA7" s="968"/>
      <c r="AB7" s="968"/>
      <c r="AC7" s="968"/>
      <c r="AD7" s="968"/>
      <c r="AE7" s="968"/>
      <c r="AF7" s="968"/>
      <c r="AG7" s="968"/>
      <c r="AH7" s="968"/>
      <c r="AI7" s="968"/>
      <c r="AJ7" s="968"/>
      <c r="AK7" s="968"/>
      <c r="AL7" s="968"/>
      <c r="AM7" s="968"/>
      <c r="AN7" s="968"/>
      <c r="AO7" s="968"/>
      <c r="AP7" s="968"/>
      <c r="AQ7" s="977"/>
      <c r="AR7" s="978"/>
      <c r="AS7" s="979"/>
      <c r="AT7" s="975"/>
      <c r="AU7" s="980"/>
      <c r="AV7" s="976"/>
      <c r="AW7" s="976"/>
      <c r="AX7" s="991"/>
      <c r="AY7" s="989"/>
      <c r="AZ7" s="992"/>
      <c r="BA7" s="923"/>
      <c r="BB7" s="923"/>
      <c r="BC7" s="923"/>
      <c r="BD7" s="923"/>
      <c r="BE7" s="952"/>
      <c r="BF7" s="994"/>
      <c r="BG7" s="876"/>
      <c r="BH7" s="876"/>
    </row>
    <row r="8" spans="1:63" s="8" customFormat="1" ht="20.100000000000001" customHeight="1">
      <c r="A8" s="954">
        <v>1</v>
      </c>
      <c r="B8" s="955">
        <v>1</v>
      </c>
      <c r="C8" s="956">
        <v>1</v>
      </c>
      <c r="D8" s="957"/>
      <c r="E8" s="957"/>
      <c r="F8" s="956"/>
      <c r="G8" s="958">
        <v>0</v>
      </c>
      <c r="H8" s="958">
        <v>0</v>
      </c>
      <c r="I8" s="958" t="s">
        <v>1335</v>
      </c>
      <c r="J8" s="958"/>
      <c r="K8" s="958">
        <v>0</v>
      </c>
      <c r="L8" s="958">
        <v>0</v>
      </c>
      <c r="M8" s="958" t="s">
        <v>1335</v>
      </c>
      <c r="N8" s="958" t="s">
        <v>1335</v>
      </c>
      <c r="O8" s="958" t="s">
        <v>1335</v>
      </c>
      <c r="P8" s="958" t="s">
        <v>1335</v>
      </c>
      <c r="Q8" s="958" t="s">
        <v>1335</v>
      </c>
      <c r="R8" s="958" t="s">
        <v>1335</v>
      </c>
      <c r="S8" s="958" t="s">
        <v>1335</v>
      </c>
      <c r="T8" s="958" t="s">
        <v>1335</v>
      </c>
      <c r="U8" s="958" t="s">
        <v>1335</v>
      </c>
      <c r="V8" s="966"/>
      <c r="W8" s="966"/>
      <c r="X8" s="966"/>
      <c r="Y8" s="970"/>
      <c r="Z8" s="966"/>
      <c r="AA8" s="971"/>
      <c r="AB8" s="972"/>
      <c r="AC8" s="972"/>
      <c r="AD8" s="972"/>
      <c r="AE8" s="972"/>
      <c r="AF8" s="972"/>
      <c r="AG8" s="972"/>
      <c r="AH8" s="972"/>
      <c r="AI8" s="972"/>
      <c r="AJ8" s="972"/>
      <c r="AK8" s="972"/>
      <c r="AL8" s="972"/>
      <c r="AM8" s="972"/>
      <c r="AN8" s="972"/>
      <c r="AO8" s="972"/>
      <c r="AP8" s="972"/>
      <c r="AQ8" s="956">
        <f>COUNTIF(G8:U8,"X")</f>
        <v>10</v>
      </c>
      <c r="AR8" s="956">
        <f>COUNTIF(V8:AA8,"X")</f>
        <v>0</v>
      </c>
      <c r="AS8" s="956">
        <f>ROUND(COUNTIF(G8:AO8,"x"),0)+ROUND(COUNTIF(AA8:AP8,"&gt;0"),0)</f>
        <v>10</v>
      </c>
      <c r="AT8" s="956">
        <v>9</v>
      </c>
      <c r="AU8" s="981"/>
      <c r="AV8" s="981"/>
      <c r="AW8" s="981"/>
      <c r="AX8" s="993"/>
      <c r="AY8" s="993"/>
      <c r="AZ8" s="833">
        <f>AY8*25000</f>
        <v>0</v>
      </c>
      <c r="BA8" s="983">
        <f t="shared" ref="BA8:BA174" si="0">COUNTIFS($G8:$AP8,"x",$G$6:$AP$6,"A")+COUNTIFS($G8:$AP8,"xx",$G$6:$AP$6,"A")</f>
        <v>0</v>
      </c>
      <c r="BB8" s="983">
        <f t="shared" ref="BB8:BB174" si="1">COUNTIFS($G8:$AP8,"x",$G$6:$AP$6,"B")+COUNTIFS($G8:$AP8,"xx",$G$6:$AP$6,"B")</f>
        <v>0</v>
      </c>
      <c r="BC8" s="983">
        <f t="shared" ref="BC8:BC174" si="2">COUNTIFS($G8:$AP8,"x",$G$6:$AP$6,"C")+COUNTIFS($G8:$AP8,"xx",$G$6:$AP$6,"C")</f>
        <v>0</v>
      </c>
      <c r="BD8" s="983">
        <f t="shared" ref="BD8:BD174" si="3">COUNTIFS($G8:$AP8,"x",$G$6:$AP$6,"D")+COUNTIFS($G8:$AP8,"xx",$G$6:$AP$6,"D")</f>
        <v>0</v>
      </c>
      <c r="BE8" s="983">
        <f>SUM(BA8:BD8)</f>
        <v>0</v>
      </c>
      <c r="BF8" s="871">
        <f>IF(AS8&gt;=13,AS8,0)</f>
        <v>0</v>
      </c>
      <c r="BI8" s="798" t="s">
        <v>1336</v>
      </c>
      <c r="BJ8" s="798" t="e">
        <f>SUM(#REF!)</f>
        <v>#REF!</v>
      </c>
      <c r="BK8" s="798" t="e">
        <f>SUM(#REF!)</f>
        <v>#REF!</v>
      </c>
    </row>
    <row r="9" spans="1:63" s="8" customFormat="1" ht="20.100000000000001" customHeight="1">
      <c r="A9" s="956">
        <v>2</v>
      </c>
      <c r="B9" s="955">
        <v>1</v>
      </c>
      <c r="C9" s="956">
        <v>2</v>
      </c>
      <c r="D9" s="957"/>
      <c r="E9" s="957"/>
      <c r="F9" s="956"/>
      <c r="G9" s="958">
        <v>0</v>
      </c>
      <c r="H9" s="958" t="s">
        <v>1335</v>
      </c>
      <c r="I9" s="958" t="s">
        <v>1335</v>
      </c>
      <c r="J9" s="958"/>
      <c r="K9" s="958" t="s">
        <v>1335</v>
      </c>
      <c r="L9" s="958" t="s">
        <v>1335</v>
      </c>
      <c r="M9" s="958" t="s">
        <v>1335</v>
      </c>
      <c r="N9" s="958" t="s">
        <v>1335</v>
      </c>
      <c r="O9" s="958" t="s">
        <v>1335</v>
      </c>
      <c r="P9" s="958" t="s">
        <v>1335</v>
      </c>
      <c r="Q9" s="958" t="s">
        <v>1335</v>
      </c>
      <c r="R9" s="958" t="s">
        <v>1335</v>
      </c>
      <c r="S9" s="958" t="s">
        <v>1335</v>
      </c>
      <c r="T9" s="958" t="s">
        <v>1335</v>
      </c>
      <c r="U9" s="958" t="s">
        <v>1335</v>
      </c>
      <c r="V9" s="966"/>
      <c r="W9" s="966"/>
      <c r="X9" s="966"/>
      <c r="Y9" s="970"/>
      <c r="Z9" s="966"/>
      <c r="AA9" s="971"/>
      <c r="AB9" s="972"/>
      <c r="AC9" s="972"/>
      <c r="AD9" s="972"/>
      <c r="AE9" s="972"/>
      <c r="AF9" s="972"/>
      <c r="AG9" s="972"/>
      <c r="AH9" s="972"/>
      <c r="AI9" s="972"/>
      <c r="AJ9" s="972"/>
      <c r="AK9" s="972"/>
      <c r="AL9" s="972"/>
      <c r="AM9" s="972"/>
      <c r="AN9" s="972"/>
      <c r="AO9" s="972"/>
      <c r="AP9" s="972"/>
      <c r="AQ9" s="956">
        <f t="shared" ref="AQ9:AQ53" si="4">COUNTIF(G9:U9,"X")</f>
        <v>13</v>
      </c>
      <c r="AR9" s="956">
        <f t="shared" ref="AR9:AR53" si="5">COUNTIF(V9:AA9,"X")</f>
        <v>0</v>
      </c>
      <c r="AS9" s="956">
        <f t="shared" ref="AS9:AS53" si="6">ROUND(COUNTIF(G9:AO9,"x"),0)+ROUND(COUNTIF(AA9:AP9,"&gt;0"),0)</f>
        <v>13</v>
      </c>
      <c r="AT9" s="956">
        <v>9</v>
      </c>
      <c r="AU9" s="981"/>
      <c r="AV9" s="981"/>
      <c r="AW9" s="981"/>
      <c r="AX9" s="993"/>
      <c r="AY9" s="993"/>
      <c r="AZ9" s="833">
        <f t="shared" ref="AZ9:AZ53" si="7">AY9*25000</f>
        <v>0</v>
      </c>
      <c r="BA9" s="983">
        <f t="shared" si="0"/>
        <v>0</v>
      </c>
      <c r="BB9" s="983">
        <f t="shared" si="1"/>
        <v>0</v>
      </c>
      <c r="BC9" s="983">
        <f t="shared" si="2"/>
        <v>0</v>
      </c>
      <c r="BD9" s="983">
        <f t="shared" si="3"/>
        <v>0</v>
      </c>
      <c r="BE9" s="983">
        <f t="shared" ref="BE9:BE53" si="8">SUM(BA9:BD9)</f>
        <v>0</v>
      </c>
      <c r="BF9" s="871">
        <f t="shared" ref="BF9:BF53" si="9">IF(AS9&gt;=13,AS9,0)</f>
        <v>13</v>
      </c>
      <c r="BI9" s="798" t="s">
        <v>1337</v>
      </c>
      <c r="BJ9" s="798" t="e">
        <f>SUM(#REF!)</f>
        <v>#REF!</v>
      </c>
      <c r="BK9" s="798" t="e">
        <f>SUM(#REF!)</f>
        <v>#REF!</v>
      </c>
    </row>
    <row r="10" spans="1:63" s="8" customFormat="1" ht="20.100000000000001" customHeight="1">
      <c r="A10" s="956">
        <v>3</v>
      </c>
      <c r="B10" s="955">
        <v>1</v>
      </c>
      <c r="C10" s="956">
        <v>3</v>
      </c>
      <c r="D10" s="957"/>
      <c r="E10" s="957"/>
      <c r="F10" s="956"/>
      <c r="G10" s="958" t="s">
        <v>1335</v>
      </c>
      <c r="H10" s="958" t="s">
        <v>1335</v>
      </c>
      <c r="I10" s="958" t="s">
        <v>1335</v>
      </c>
      <c r="J10" s="958"/>
      <c r="K10" s="958" t="s">
        <v>1335</v>
      </c>
      <c r="L10" s="958" t="s">
        <v>1335</v>
      </c>
      <c r="M10" s="958" t="s">
        <v>1335</v>
      </c>
      <c r="N10" s="958" t="s">
        <v>1335</v>
      </c>
      <c r="O10" s="958" t="s">
        <v>1335</v>
      </c>
      <c r="P10" s="958" t="s">
        <v>1335</v>
      </c>
      <c r="Q10" s="958" t="s">
        <v>1335</v>
      </c>
      <c r="R10" s="958" t="s">
        <v>1335</v>
      </c>
      <c r="S10" s="958" t="s">
        <v>1335</v>
      </c>
      <c r="T10" s="958" t="s">
        <v>1335</v>
      </c>
      <c r="U10" s="958" t="s">
        <v>1335</v>
      </c>
      <c r="V10" s="966" t="s">
        <v>1335</v>
      </c>
      <c r="W10" s="966"/>
      <c r="X10" s="966"/>
      <c r="Y10" s="970"/>
      <c r="Z10" s="966"/>
      <c r="AA10" s="971"/>
      <c r="AB10" s="972"/>
      <c r="AC10" s="972"/>
      <c r="AD10" s="972"/>
      <c r="AE10" s="972"/>
      <c r="AF10" s="972"/>
      <c r="AG10" s="972"/>
      <c r="AH10" s="972"/>
      <c r="AI10" s="972"/>
      <c r="AJ10" s="972"/>
      <c r="AK10" s="972"/>
      <c r="AL10" s="972"/>
      <c r="AM10" s="972"/>
      <c r="AN10" s="972"/>
      <c r="AO10" s="972"/>
      <c r="AP10" s="972"/>
      <c r="AQ10" s="956">
        <f t="shared" si="4"/>
        <v>14</v>
      </c>
      <c r="AR10" s="956">
        <f t="shared" si="5"/>
        <v>1</v>
      </c>
      <c r="AS10" s="956">
        <f t="shared" si="6"/>
        <v>15</v>
      </c>
      <c r="AT10" s="956">
        <v>9</v>
      </c>
      <c r="AU10" s="981"/>
      <c r="AV10" s="981"/>
      <c r="AW10" s="981"/>
      <c r="AX10" s="993"/>
      <c r="AY10" s="993"/>
      <c r="AZ10" s="833">
        <f t="shared" si="7"/>
        <v>0</v>
      </c>
      <c r="BA10" s="983">
        <f t="shared" si="0"/>
        <v>0</v>
      </c>
      <c r="BB10" s="983">
        <f t="shared" si="1"/>
        <v>0</v>
      </c>
      <c r="BC10" s="983">
        <f t="shared" si="2"/>
        <v>0</v>
      </c>
      <c r="BD10" s="983">
        <f t="shared" si="3"/>
        <v>0</v>
      </c>
      <c r="BE10" s="983">
        <f t="shared" si="8"/>
        <v>0</v>
      </c>
      <c r="BF10" s="871">
        <f t="shared" si="9"/>
        <v>15</v>
      </c>
    </row>
    <row r="11" spans="1:63" s="8" customFormat="1" ht="20.100000000000001" customHeight="1">
      <c r="A11" s="956">
        <v>4</v>
      </c>
      <c r="B11" s="955">
        <v>1</v>
      </c>
      <c r="C11" s="956">
        <v>4</v>
      </c>
      <c r="D11" s="957"/>
      <c r="E11" s="957"/>
      <c r="F11" s="956"/>
      <c r="G11" s="958">
        <v>0</v>
      </c>
      <c r="H11" s="958" t="s">
        <v>1335</v>
      </c>
      <c r="I11" s="958" t="s">
        <v>1335</v>
      </c>
      <c r="J11" s="958"/>
      <c r="K11" s="958" t="s">
        <v>1335</v>
      </c>
      <c r="L11" s="958" t="s">
        <v>1335</v>
      </c>
      <c r="M11" s="958" t="s">
        <v>1335</v>
      </c>
      <c r="N11" s="958" t="s">
        <v>1335</v>
      </c>
      <c r="O11" s="958" t="s">
        <v>1335</v>
      </c>
      <c r="P11" s="958" t="s">
        <v>1335</v>
      </c>
      <c r="Q11" s="958" t="s">
        <v>1335</v>
      </c>
      <c r="R11" s="958" t="s">
        <v>1335</v>
      </c>
      <c r="S11" s="958" t="s">
        <v>1335</v>
      </c>
      <c r="T11" s="958" t="s">
        <v>1335</v>
      </c>
      <c r="U11" s="958" t="s">
        <v>1335</v>
      </c>
      <c r="V11" s="966"/>
      <c r="W11" s="966"/>
      <c r="X11" s="966"/>
      <c r="Y11" s="970"/>
      <c r="Z11" s="966"/>
      <c r="AA11" s="971"/>
      <c r="AB11" s="972"/>
      <c r="AC11" s="972"/>
      <c r="AD11" s="972"/>
      <c r="AE11" s="972"/>
      <c r="AF11" s="972"/>
      <c r="AG11" s="972"/>
      <c r="AH11" s="972"/>
      <c r="AI11" s="972"/>
      <c r="AJ11" s="972"/>
      <c r="AK11" s="972"/>
      <c r="AL11" s="972"/>
      <c r="AM11" s="972"/>
      <c r="AN11" s="972"/>
      <c r="AO11" s="972"/>
      <c r="AP11" s="972"/>
      <c r="AQ11" s="956">
        <f t="shared" si="4"/>
        <v>13</v>
      </c>
      <c r="AR11" s="956">
        <f t="shared" si="5"/>
        <v>0</v>
      </c>
      <c r="AS11" s="956">
        <f t="shared" si="6"/>
        <v>13</v>
      </c>
      <c r="AT11" s="956">
        <v>9</v>
      </c>
      <c r="AU11" s="981"/>
      <c r="AV11" s="981"/>
      <c r="AW11" s="981"/>
      <c r="AX11" s="993"/>
      <c r="AY11" s="993"/>
      <c r="AZ11" s="833">
        <f t="shared" si="7"/>
        <v>0</v>
      </c>
      <c r="BA11" s="983">
        <f t="shared" si="0"/>
        <v>0</v>
      </c>
      <c r="BB11" s="983">
        <f t="shared" si="1"/>
        <v>0</v>
      </c>
      <c r="BC11" s="983">
        <f t="shared" si="2"/>
        <v>0</v>
      </c>
      <c r="BD11" s="983">
        <f t="shared" si="3"/>
        <v>0</v>
      </c>
      <c r="BE11" s="983">
        <f t="shared" si="8"/>
        <v>0</v>
      </c>
      <c r="BF11" s="871">
        <f t="shared" si="9"/>
        <v>13</v>
      </c>
    </row>
    <row r="12" spans="1:63" s="8" customFormat="1" ht="20.100000000000001" customHeight="1">
      <c r="A12" s="956">
        <v>5</v>
      </c>
      <c r="B12" s="955">
        <v>1</v>
      </c>
      <c r="C12" s="956">
        <v>5</v>
      </c>
      <c r="D12" s="957"/>
      <c r="E12" s="957"/>
      <c r="F12" s="956"/>
      <c r="G12" s="958" t="s">
        <v>1335</v>
      </c>
      <c r="H12" s="958" t="s">
        <v>1335</v>
      </c>
      <c r="I12" s="958" t="s">
        <v>1335</v>
      </c>
      <c r="J12" s="958"/>
      <c r="K12" s="958" t="s">
        <v>1335</v>
      </c>
      <c r="L12" s="958" t="s">
        <v>1335</v>
      </c>
      <c r="M12" s="958" t="s">
        <v>1335</v>
      </c>
      <c r="N12" s="958" t="s">
        <v>1335</v>
      </c>
      <c r="O12" s="958" t="s">
        <v>1335</v>
      </c>
      <c r="P12" s="958" t="s">
        <v>1335</v>
      </c>
      <c r="Q12" s="958" t="s">
        <v>1335</v>
      </c>
      <c r="R12" s="958" t="s">
        <v>1335</v>
      </c>
      <c r="S12" s="958" t="s">
        <v>1335</v>
      </c>
      <c r="T12" s="958" t="s">
        <v>1335</v>
      </c>
      <c r="U12" s="958" t="s">
        <v>1335</v>
      </c>
      <c r="V12" s="966"/>
      <c r="W12" s="966"/>
      <c r="X12" s="966" t="s">
        <v>1335</v>
      </c>
      <c r="Y12" s="970"/>
      <c r="Z12" s="966"/>
      <c r="AA12" s="971"/>
      <c r="AB12" s="972"/>
      <c r="AC12" s="972"/>
      <c r="AD12" s="972"/>
      <c r="AE12" s="972"/>
      <c r="AF12" s="972"/>
      <c r="AG12" s="972"/>
      <c r="AH12" s="972"/>
      <c r="AI12" s="972"/>
      <c r="AJ12" s="972"/>
      <c r="AK12" s="972"/>
      <c r="AL12" s="972"/>
      <c r="AM12" s="972"/>
      <c r="AN12" s="972"/>
      <c r="AO12" s="972"/>
      <c r="AP12" s="972"/>
      <c r="AQ12" s="956">
        <f t="shared" si="4"/>
        <v>14</v>
      </c>
      <c r="AR12" s="956">
        <f t="shared" si="5"/>
        <v>1</v>
      </c>
      <c r="AS12" s="956">
        <f t="shared" si="6"/>
        <v>15</v>
      </c>
      <c r="AT12" s="956">
        <v>9</v>
      </c>
      <c r="AU12" s="981"/>
      <c r="AV12" s="981"/>
      <c r="AW12" s="981"/>
      <c r="AX12" s="993"/>
      <c r="AY12" s="993"/>
      <c r="AZ12" s="833">
        <f t="shared" si="7"/>
        <v>0</v>
      </c>
      <c r="BA12" s="983">
        <f t="shared" si="0"/>
        <v>0</v>
      </c>
      <c r="BB12" s="983">
        <f t="shared" si="1"/>
        <v>0</v>
      </c>
      <c r="BC12" s="983">
        <f t="shared" si="2"/>
        <v>0</v>
      </c>
      <c r="BD12" s="983">
        <f t="shared" si="3"/>
        <v>0</v>
      </c>
      <c r="BE12" s="983">
        <f t="shared" si="8"/>
        <v>0</v>
      </c>
      <c r="BF12" s="871">
        <f t="shared" si="9"/>
        <v>15</v>
      </c>
    </row>
    <row r="13" spans="1:63" s="8" customFormat="1" ht="20.100000000000001" customHeight="1">
      <c r="A13" s="956">
        <v>6</v>
      </c>
      <c r="B13" s="955">
        <v>1</v>
      </c>
      <c r="C13" s="956">
        <v>6</v>
      </c>
      <c r="D13" s="957"/>
      <c r="E13" s="957"/>
      <c r="F13" s="956"/>
      <c r="G13" s="958" t="s">
        <v>1335</v>
      </c>
      <c r="H13" s="958" t="s">
        <v>1335</v>
      </c>
      <c r="I13" s="958" t="s">
        <v>1335</v>
      </c>
      <c r="J13" s="958"/>
      <c r="K13" s="958">
        <v>0</v>
      </c>
      <c r="L13" s="958" t="s">
        <v>1335</v>
      </c>
      <c r="M13" s="958" t="s">
        <v>1335</v>
      </c>
      <c r="N13" s="958" t="s">
        <v>1335</v>
      </c>
      <c r="O13" s="958" t="s">
        <v>1335</v>
      </c>
      <c r="P13" s="958" t="s">
        <v>1335</v>
      </c>
      <c r="Q13" s="958" t="s">
        <v>1335</v>
      </c>
      <c r="R13" s="958" t="s">
        <v>1335</v>
      </c>
      <c r="S13" s="958" t="s">
        <v>1335</v>
      </c>
      <c r="T13" s="958" t="s">
        <v>1335</v>
      </c>
      <c r="U13" s="958" t="s">
        <v>1335</v>
      </c>
      <c r="V13" s="966"/>
      <c r="W13" s="966"/>
      <c r="X13" s="966"/>
      <c r="Y13" s="970"/>
      <c r="Z13" s="966"/>
      <c r="AA13" s="971"/>
      <c r="AB13" s="972"/>
      <c r="AC13" s="972"/>
      <c r="AD13" s="972"/>
      <c r="AE13" s="972"/>
      <c r="AF13" s="972"/>
      <c r="AG13" s="972"/>
      <c r="AH13" s="972"/>
      <c r="AI13" s="972"/>
      <c r="AJ13" s="972"/>
      <c r="AK13" s="972"/>
      <c r="AL13" s="972"/>
      <c r="AM13" s="972"/>
      <c r="AN13" s="972"/>
      <c r="AO13" s="972"/>
      <c r="AP13" s="972"/>
      <c r="AQ13" s="956">
        <f t="shared" si="4"/>
        <v>13</v>
      </c>
      <c r="AR13" s="956">
        <f t="shared" si="5"/>
        <v>0</v>
      </c>
      <c r="AS13" s="956">
        <f t="shared" si="6"/>
        <v>13</v>
      </c>
      <c r="AT13" s="956">
        <v>9</v>
      </c>
      <c r="AU13" s="981"/>
      <c r="AV13" s="981"/>
      <c r="AW13" s="981"/>
      <c r="AX13" s="993"/>
      <c r="AY13" s="993"/>
      <c r="AZ13" s="833">
        <f t="shared" si="7"/>
        <v>0</v>
      </c>
      <c r="BA13" s="983">
        <f t="shared" si="0"/>
        <v>0</v>
      </c>
      <c r="BB13" s="983">
        <f t="shared" si="1"/>
        <v>0</v>
      </c>
      <c r="BC13" s="983">
        <f t="shared" si="2"/>
        <v>0</v>
      </c>
      <c r="BD13" s="983">
        <f t="shared" si="3"/>
        <v>0</v>
      </c>
      <c r="BE13" s="983">
        <f t="shared" si="8"/>
        <v>0</v>
      </c>
      <c r="BF13" s="871">
        <f t="shared" si="9"/>
        <v>13</v>
      </c>
    </row>
    <row r="14" spans="1:63" s="8" customFormat="1" ht="20.100000000000001" customHeight="1">
      <c r="A14" s="956">
        <v>7</v>
      </c>
      <c r="B14" s="955">
        <v>1</v>
      </c>
      <c r="C14" s="956">
        <v>7</v>
      </c>
      <c r="D14" s="957"/>
      <c r="E14" s="957"/>
      <c r="F14" s="956"/>
      <c r="G14" s="958">
        <v>0</v>
      </c>
      <c r="H14" s="958" t="s">
        <v>1335</v>
      </c>
      <c r="I14" s="958" t="s">
        <v>1335</v>
      </c>
      <c r="J14" s="958"/>
      <c r="K14" s="958" t="s">
        <v>1335</v>
      </c>
      <c r="L14" s="958">
        <v>0</v>
      </c>
      <c r="M14" s="958" t="s">
        <v>1335</v>
      </c>
      <c r="N14" s="958" t="s">
        <v>1335</v>
      </c>
      <c r="O14" s="958" t="s">
        <v>1335</v>
      </c>
      <c r="P14" s="958" t="s">
        <v>1335</v>
      </c>
      <c r="Q14" s="958" t="s">
        <v>1335</v>
      </c>
      <c r="R14" s="958" t="s">
        <v>1335</v>
      </c>
      <c r="S14" s="958" t="s">
        <v>1335</v>
      </c>
      <c r="T14" s="958" t="s">
        <v>1335</v>
      </c>
      <c r="U14" s="958" t="s">
        <v>1335</v>
      </c>
      <c r="V14" s="966" t="s">
        <v>1335</v>
      </c>
      <c r="W14" s="966"/>
      <c r="X14" s="966"/>
      <c r="Y14" s="970"/>
      <c r="Z14" s="966"/>
      <c r="AA14" s="971"/>
      <c r="AB14" s="972"/>
      <c r="AC14" s="972"/>
      <c r="AD14" s="972"/>
      <c r="AE14" s="972"/>
      <c r="AF14" s="972"/>
      <c r="AG14" s="972"/>
      <c r="AH14" s="972"/>
      <c r="AI14" s="972"/>
      <c r="AJ14" s="972"/>
      <c r="AK14" s="972"/>
      <c r="AL14" s="972"/>
      <c r="AM14" s="972"/>
      <c r="AN14" s="972"/>
      <c r="AO14" s="972"/>
      <c r="AP14" s="972"/>
      <c r="AQ14" s="956">
        <f t="shared" si="4"/>
        <v>12</v>
      </c>
      <c r="AR14" s="956">
        <f t="shared" si="5"/>
        <v>1</v>
      </c>
      <c r="AS14" s="956">
        <f t="shared" si="6"/>
        <v>13</v>
      </c>
      <c r="AT14" s="956">
        <v>9</v>
      </c>
      <c r="AU14" s="981"/>
      <c r="AV14" s="981"/>
      <c r="AW14" s="981"/>
      <c r="AX14" s="993"/>
      <c r="AY14" s="993"/>
      <c r="AZ14" s="833">
        <f t="shared" si="7"/>
        <v>0</v>
      </c>
      <c r="BA14" s="983">
        <f t="shared" si="0"/>
        <v>0</v>
      </c>
      <c r="BB14" s="983">
        <f t="shared" si="1"/>
        <v>0</v>
      </c>
      <c r="BC14" s="983">
        <f t="shared" si="2"/>
        <v>0</v>
      </c>
      <c r="BD14" s="983">
        <f t="shared" si="3"/>
        <v>0</v>
      </c>
      <c r="BE14" s="983">
        <f t="shared" si="8"/>
        <v>0</v>
      </c>
      <c r="BF14" s="871">
        <f t="shared" si="9"/>
        <v>13</v>
      </c>
    </row>
    <row r="15" spans="1:63" s="8" customFormat="1" ht="20.100000000000001" customHeight="1">
      <c r="A15" s="956">
        <v>8</v>
      </c>
      <c r="B15" s="955">
        <v>1</v>
      </c>
      <c r="C15" s="956">
        <v>8</v>
      </c>
      <c r="D15" s="957"/>
      <c r="E15" s="957"/>
      <c r="F15" s="956"/>
      <c r="G15" s="958" t="s">
        <v>1335</v>
      </c>
      <c r="H15" s="958" t="s">
        <v>1335</v>
      </c>
      <c r="I15" s="958" t="s">
        <v>1335</v>
      </c>
      <c r="J15" s="958"/>
      <c r="K15" s="958" t="s">
        <v>1335</v>
      </c>
      <c r="L15" s="958" t="s">
        <v>1335</v>
      </c>
      <c r="M15" s="958" t="s">
        <v>1335</v>
      </c>
      <c r="N15" s="958" t="s">
        <v>1335</v>
      </c>
      <c r="O15" s="958" t="s">
        <v>1335</v>
      </c>
      <c r="P15" s="958" t="s">
        <v>1335</v>
      </c>
      <c r="Q15" s="958" t="s">
        <v>1335</v>
      </c>
      <c r="R15" s="958" t="s">
        <v>1335</v>
      </c>
      <c r="S15" s="958" t="s">
        <v>1335</v>
      </c>
      <c r="T15" s="958">
        <v>0</v>
      </c>
      <c r="U15" s="958" t="s">
        <v>1335</v>
      </c>
      <c r="V15" s="966"/>
      <c r="W15" s="966"/>
      <c r="X15" s="966"/>
      <c r="Y15" s="970"/>
      <c r="Z15" s="966"/>
      <c r="AA15" s="971"/>
      <c r="AB15" s="972"/>
      <c r="AC15" s="972"/>
      <c r="AD15" s="972"/>
      <c r="AE15" s="972"/>
      <c r="AF15" s="972"/>
      <c r="AG15" s="972"/>
      <c r="AH15" s="972"/>
      <c r="AI15" s="972"/>
      <c r="AJ15" s="972"/>
      <c r="AK15" s="972"/>
      <c r="AL15" s="972"/>
      <c r="AM15" s="972"/>
      <c r="AN15" s="972"/>
      <c r="AO15" s="972"/>
      <c r="AP15" s="972"/>
      <c r="AQ15" s="956">
        <f t="shared" si="4"/>
        <v>13</v>
      </c>
      <c r="AR15" s="956">
        <f t="shared" si="5"/>
        <v>0</v>
      </c>
      <c r="AS15" s="956">
        <f t="shared" si="6"/>
        <v>13</v>
      </c>
      <c r="AT15" s="956">
        <v>9</v>
      </c>
      <c r="AU15" s="981"/>
      <c r="AV15" s="981"/>
      <c r="AW15" s="981"/>
      <c r="AX15" s="993"/>
      <c r="AY15" s="993"/>
      <c r="AZ15" s="833">
        <f t="shared" si="7"/>
        <v>0</v>
      </c>
      <c r="BA15" s="983">
        <f t="shared" si="0"/>
        <v>0</v>
      </c>
      <c r="BB15" s="983">
        <f t="shared" si="1"/>
        <v>0</v>
      </c>
      <c r="BC15" s="983">
        <f t="shared" si="2"/>
        <v>0</v>
      </c>
      <c r="BD15" s="983">
        <f t="shared" si="3"/>
        <v>0</v>
      </c>
      <c r="BE15" s="983">
        <f t="shared" si="8"/>
        <v>0</v>
      </c>
      <c r="BF15" s="871">
        <f t="shared" si="9"/>
        <v>13</v>
      </c>
    </row>
    <row r="16" spans="1:63" s="8" customFormat="1" ht="19.5" customHeight="1">
      <c r="A16" s="956">
        <v>9</v>
      </c>
      <c r="B16" s="955">
        <v>1</v>
      </c>
      <c r="C16" s="956">
        <v>9</v>
      </c>
      <c r="D16" s="957"/>
      <c r="E16" s="957"/>
      <c r="F16" s="956"/>
      <c r="G16" s="958" t="s">
        <v>1335</v>
      </c>
      <c r="H16" s="958" t="s">
        <v>1335</v>
      </c>
      <c r="I16" s="958" t="s">
        <v>1335</v>
      </c>
      <c r="J16" s="958"/>
      <c r="K16" s="958" t="s">
        <v>1335</v>
      </c>
      <c r="L16" s="958" t="s">
        <v>1335</v>
      </c>
      <c r="M16" s="958" t="s">
        <v>1335</v>
      </c>
      <c r="N16" s="958">
        <v>0</v>
      </c>
      <c r="O16" s="958" t="s">
        <v>1335</v>
      </c>
      <c r="P16" s="958" t="s">
        <v>1335</v>
      </c>
      <c r="Q16" s="958">
        <v>0</v>
      </c>
      <c r="R16" s="958" t="s">
        <v>1335</v>
      </c>
      <c r="S16" s="958" t="s">
        <v>1335</v>
      </c>
      <c r="T16" s="958" t="s">
        <v>1335</v>
      </c>
      <c r="U16" s="958" t="s">
        <v>1335</v>
      </c>
      <c r="V16" s="966"/>
      <c r="W16" s="966"/>
      <c r="X16" s="966"/>
      <c r="Y16" s="970"/>
      <c r="Z16" s="966"/>
      <c r="AA16" s="971"/>
      <c r="AB16" s="972"/>
      <c r="AC16" s="972"/>
      <c r="AD16" s="972"/>
      <c r="AE16" s="972"/>
      <c r="AF16" s="972"/>
      <c r="AG16" s="972"/>
      <c r="AH16" s="972"/>
      <c r="AI16" s="972"/>
      <c r="AJ16" s="972"/>
      <c r="AK16" s="972"/>
      <c r="AL16" s="972"/>
      <c r="AM16" s="972"/>
      <c r="AN16" s="972"/>
      <c r="AO16" s="972"/>
      <c r="AP16" s="972"/>
      <c r="AQ16" s="956">
        <f t="shared" si="4"/>
        <v>12</v>
      </c>
      <c r="AR16" s="956">
        <f t="shared" si="5"/>
        <v>0</v>
      </c>
      <c r="AS16" s="956">
        <f t="shared" si="6"/>
        <v>12</v>
      </c>
      <c r="AT16" s="956">
        <v>9</v>
      </c>
      <c r="AU16" s="981"/>
      <c r="AV16" s="981"/>
      <c r="AW16" s="981"/>
      <c r="AX16" s="993"/>
      <c r="AY16" s="993"/>
      <c r="AZ16" s="833">
        <f t="shared" si="7"/>
        <v>0</v>
      </c>
      <c r="BA16" s="983">
        <f t="shared" si="0"/>
        <v>0</v>
      </c>
      <c r="BB16" s="983">
        <f t="shared" si="1"/>
        <v>0</v>
      </c>
      <c r="BC16" s="983">
        <f t="shared" si="2"/>
        <v>0</v>
      </c>
      <c r="BD16" s="983">
        <f t="shared" si="3"/>
        <v>0</v>
      </c>
      <c r="BE16" s="983">
        <f t="shared" si="8"/>
        <v>0</v>
      </c>
      <c r="BF16" s="871">
        <f t="shared" si="9"/>
        <v>0</v>
      </c>
    </row>
    <row r="17" spans="1:58" s="8" customFormat="1" ht="20.100000000000001" customHeight="1">
      <c r="A17" s="956">
        <v>10</v>
      </c>
      <c r="B17" s="955">
        <v>1</v>
      </c>
      <c r="C17" s="956">
        <v>10</v>
      </c>
      <c r="D17" s="957"/>
      <c r="E17" s="957"/>
      <c r="F17" s="956"/>
      <c r="G17" s="958" t="s">
        <v>1335</v>
      </c>
      <c r="H17" s="958" t="s">
        <v>1335</v>
      </c>
      <c r="I17" s="958" t="s">
        <v>1335</v>
      </c>
      <c r="J17" s="958"/>
      <c r="K17" s="958">
        <v>0</v>
      </c>
      <c r="L17" s="958" t="s">
        <v>1335</v>
      </c>
      <c r="M17" s="958" t="s">
        <v>1335</v>
      </c>
      <c r="N17" s="958" t="s">
        <v>1335</v>
      </c>
      <c r="O17" s="958" t="s">
        <v>1335</v>
      </c>
      <c r="P17" s="958" t="s">
        <v>1335</v>
      </c>
      <c r="Q17" s="958" t="s">
        <v>1335</v>
      </c>
      <c r="R17" s="958" t="s">
        <v>1335</v>
      </c>
      <c r="S17" s="958" t="s">
        <v>1335</v>
      </c>
      <c r="T17" s="958" t="s">
        <v>1335</v>
      </c>
      <c r="U17" s="958" t="s">
        <v>1335</v>
      </c>
      <c r="V17" s="966"/>
      <c r="W17" s="966"/>
      <c r="X17" s="966"/>
      <c r="Y17" s="970"/>
      <c r="Z17" s="966"/>
      <c r="AA17" s="971"/>
      <c r="AB17" s="972"/>
      <c r="AC17" s="972"/>
      <c r="AD17" s="972"/>
      <c r="AE17" s="972"/>
      <c r="AF17" s="972"/>
      <c r="AG17" s="972"/>
      <c r="AH17" s="972"/>
      <c r="AI17" s="972"/>
      <c r="AJ17" s="972"/>
      <c r="AK17" s="972"/>
      <c r="AL17" s="972"/>
      <c r="AM17" s="972"/>
      <c r="AN17" s="972"/>
      <c r="AO17" s="972"/>
      <c r="AP17" s="972"/>
      <c r="AQ17" s="956">
        <f t="shared" si="4"/>
        <v>13</v>
      </c>
      <c r="AR17" s="956">
        <f t="shared" si="5"/>
        <v>0</v>
      </c>
      <c r="AS17" s="956">
        <f t="shared" si="6"/>
        <v>13</v>
      </c>
      <c r="AT17" s="956">
        <v>9</v>
      </c>
      <c r="AU17" s="981"/>
      <c r="AV17" s="981"/>
      <c r="AW17" s="981"/>
      <c r="AX17" s="993"/>
      <c r="AY17" s="993"/>
      <c r="AZ17" s="833">
        <f t="shared" si="7"/>
        <v>0</v>
      </c>
      <c r="BA17" s="983">
        <f t="shared" si="0"/>
        <v>0</v>
      </c>
      <c r="BB17" s="983">
        <f t="shared" si="1"/>
        <v>0</v>
      </c>
      <c r="BC17" s="983">
        <f t="shared" si="2"/>
        <v>0</v>
      </c>
      <c r="BD17" s="983">
        <f t="shared" si="3"/>
        <v>0</v>
      </c>
      <c r="BE17" s="983">
        <f t="shared" si="8"/>
        <v>0</v>
      </c>
      <c r="BF17" s="871">
        <f t="shared" si="9"/>
        <v>13</v>
      </c>
    </row>
    <row r="18" spans="1:58" s="8" customFormat="1" ht="20.100000000000001" customHeight="1">
      <c r="A18" s="956">
        <v>11</v>
      </c>
      <c r="B18" s="955">
        <v>1</v>
      </c>
      <c r="C18" s="956">
        <v>11</v>
      </c>
      <c r="D18" s="957"/>
      <c r="E18" s="957"/>
      <c r="F18" s="956"/>
      <c r="G18" s="958" t="s">
        <v>1335</v>
      </c>
      <c r="H18" s="958" t="s">
        <v>1335</v>
      </c>
      <c r="I18" s="958">
        <v>0</v>
      </c>
      <c r="J18" s="958"/>
      <c r="K18" s="958">
        <v>0</v>
      </c>
      <c r="L18" s="958" t="s">
        <v>1335</v>
      </c>
      <c r="M18" s="958" t="s">
        <v>1335</v>
      </c>
      <c r="N18" s="958" t="s">
        <v>1335</v>
      </c>
      <c r="O18" s="958" t="s">
        <v>1335</v>
      </c>
      <c r="P18" s="958" t="s">
        <v>1335</v>
      </c>
      <c r="Q18" s="958" t="s">
        <v>1335</v>
      </c>
      <c r="R18" s="958" t="s">
        <v>1335</v>
      </c>
      <c r="S18" s="958" t="s">
        <v>1335</v>
      </c>
      <c r="T18" s="958" t="s">
        <v>1335</v>
      </c>
      <c r="U18" s="958" t="s">
        <v>1335</v>
      </c>
      <c r="V18" s="966"/>
      <c r="W18" s="966"/>
      <c r="X18" s="966"/>
      <c r="Y18" s="970"/>
      <c r="Z18" s="966"/>
      <c r="AA18" s="971"/>
      <c r="AB18" s="972"/>
      <c r="AC18" s="972"/>
      <c r="AD18" s="972"/>
      <c r="AE18" s="972"/>
      <c r="AF18" s="972"/>
      <c r="AG18" s="972"/>
      <c r="AH18" s="972"/>
      <c r="AI18" s="972"/>
      <c r="AJ18" s="972"/>
      <c r="AK18" s="972"/>
      <c r="AL18" s="972"/>
      <c r="AM18" s="972"/>
      <c r="AN18" s="972"/>
      <c r="AO18" s="972"/>
      <c r="AP18" s="972"/>
      <c r="AQ18" s="956">
        <f t="shared" si="4"/>
        <v>12</v>
      </c>
      <c r="AR18" s="956">
        <f t="shared" si="5"/>
        <v>0</v>
      </c>
      <c r="AS18" s="956">
        <f t="shared" si="6"/>
        <v>12</v>
      </c>
      <c r="AT18" s="956">
        <v>9</v>
      </c>
      <c r="AU18" s="981"/>
      <c r="AV18" s="981"/>
      <c r="AW18" s="981"/>
      <c r="AX18" s="993"/>
      <c r="AY18" s="993"/>
      <c r="AZ18" s="833">
        <f t="shared" si="7"/>
        <v>0</v>
      </c>
      <c r="BA18" s="983">
        <f t="shared" si="0"/>
        <v>0</v>
      </c>
      <c r="BB18" s="983">
        <f t="shared" si="1"/>
        <v>0</v>
      </c>
      <c r="BC18" s="983">
        <f t="shared" si="2"/>
        <v>0</v>
      </c>
      <c r="BD18" s="983">
        <f t="shared" si="3"/>
        <v>0</v>
      </c>
      <c r="BE18" s="983">
        <f t="shared" si="8"/>
        <v>0</v>
      </c>
      <c r="BF18" s="871">
        <f t="shared" si="9"/>
        <v>0</v>
      </c>
    </row>
    <row r="19" spans="1:58" s="8" customFormat="1" ht="20.100000000000001" customHeight="1">
      <c r="A19" s="956">
        <v>12</v>
      </c>
      <c r="B19" s="955">
        <v>1</v>
      </c>
      <c r="C19" s="956">
        <v>12</v>
      </c>
      <c r="D19" s="957"/>
      <c r="E19" s="957"/>
      <c r="F19" s="956"/>
      <c r="G19" s="958" t="s">
        <v>1335</v>
      </c>
      <c r="H19" s="958" t="s">
        <v>1335</v>
      </c>
      <c r="I19" s="958" t="s">
        <v>1335</v>
      </c>
      <c r="J19" s="958"/>
      <c r="K19" s="958" t="s">
        <v>1335</v>
      </c>
      <c r="L19" s="958" t="s">
        <v>1335</v>
      </c>
      <c r="M19" s="958">
        <v>0</v>
      </c>
      <c r="N19" s="958" t="s">
        <v>1335</v>
      </c>
      <c r="O19" s="958">
        <v>0</v>
      </c>
      <c r="P19" s="958" t="s">
        <v>1335</v>
      </c>
      <c r="Q19" s="958" t="s">
        <v>1335</v>
      </c>
      <c r="R19" s="958" t="s">
        <v>1335</v>
      </c>
      <c r="S19" s="958" t="s">
        <v>1335</v>
      </c>
      <c r="T19" s="958" t="s">
        <v>1335</v>
      </c>
      <c r="U19" s="958" t="s">
        <v>1335</v>
      </c>
      <c r="V19" s="966"/>
      <c r="W19" s="966"/>
      <c r="X19" s="966"/>
      <c r="Y19" s="970"/>
      <c r="Z19" s="966"/>
      <c r="AA19" s="971"/>
      <c r="AB19" s="972"/>
      <c r="AC19" s="972"/>
      <c r="AD19" s="972"/>
      <c r="AE19" s="972"/>
      <c r="AF19" s="972"/>
      <c r="AG19" s="972"/>
      <c r="AH19" s="972"/>
      <c r="AI19" s="972"/>
      <c r="AJ19" s="972"/>
      <c r="AK19" s="972"/>
      <c r="AL19" s="972"/>
      <c r="AM19" s="972"/>
      <c r="AN19" s="972"/>
      <c r="AO19" s="972"/>
      <c r="AP19" s="972"/>
      <c r="AQ19" s="956">
        <f t="shared" si="4"/>
        <v>12</v>
      </c>
      <c r="AR19" s="956">
        <f t="shared" si="5"/>
        <v>0</v>
      </c>
      <c r="AS19" s="956">
        <f t="shared" si="6"/>
        <v>12</v>
      </c>
      <c r="AT19" s="956">
        <v>9</v>
      </c>
      <c r="AU19" s="981"/>
      <c r="AV19" s="981"/>
      <c r="AW19" s="981"/>
      <c r="AX19" s="993"/>
      <c r="AY19" s="993"/>
      <c r="AZ19" s="833">
        <f t="shared" si="7"/>
        <v>0</v>
      </c>
      <c r="BA19" s="983">
        <f t="shared" si="0"/>
        <v>0</v>
      </c>
      <c r="BB19" s="983">
        <f t="shared" si="1"/>
        <v>0</v>
      </c>
      <c r="BC19" s="983">
        <f t="shared" si="2"/>
        <v>0</v>
      </c>
      <c r="BD19" s="983">
        <f t="shared" si="3"/>
        <v>0</v>
      </c>
      <c r="BE19" s="983">
        <f t="shared" si="8"/>
        <v>0</v>
      </c>
      <c r="BF19" s="871">
        <f t="shared" si="9"/>
        <v>0</v>
      </c>
    </row>
    <row r="20" spans="1:58" s="8" customFormat="1" ht="20.100000000000001" customHeight="1">
      <c r="A20" s="956">
        <v>13</v>
      </c>
      <c r="B20" s="955">
        <v>1</v>
      </c>
      <c r="C20" s="956">
        <v>13</v>
      </c>
      <c r="D20" s="957"/>
      <c r="E20" s="957"/>
      <c r="F20" s="956"/>
      <c r="G20" s="958">
        <v>0</v>
      </c>
      <c r="H20" s="958" t="s">
        <v>1335</v>
      </c>
      <c r="I20" s="958" t="s">
        <v>1335</v>
      </c>
      <c r="J20" s="958"/>
      <c r="K20" s="958">
        <v>0</v>
      </c>
      <c r="L20" s="958" t="s">
        <v>1335</v>
      </c>
      <c r="M20" s="958">
        <v>0</v>
      </c>
      <c r="N20" s="958" t="s">
        <v>1335</v>
      </c>
      <c r="O20" s="958" t="s">
        <v>1335</v>
      </c>
      <c r="P20" s="958" t="s">
        <v>1335</v>
      </c>
      <c r="Q20" s="958" t="s">
        <v>1335</v>
      </c>
      <c r="R20" s="958" t="s">
        <v>1335</v>
      </c>
      <c r="S20" s="958" t="s">
        <v>1335</v>
      </c>
      <c r="T20" s="958" t="s">
        <v>1335</v>
      </c>
      <c r="U20" s="958" t="s">
        <v>1335</v>
      </c>
      <c r="V20" s="966"/>
      <c r="W20" s="966"/>
      <c r="X20" s="966"/>
      <c r="Y20" s="970"/>
      <c r="Z20" s="966"/>
      <c r="AA20" s="971"/>
      <c r="AB20" s="972"/>
      <c r="AC20" s="972"/>
      <c r="AD20" s="972"/>
      <c r="AE20" s="972"/>
      <c r="AF20" s="972"/>
      <c r="AG20" s="972"/>
      <c r="AH20" s="972"/>
      <c r="AI20" s="972"/>
      <c r="AJ20" s="972"/>
      <c r="AK20" s="972"/>
      <c r="AL20" s="972"/>
      <c r="AM20" s="972"/>
      <c r="AN20" s="972"/>
      <c r="AO20" s="972"/>
      <c r="AP20" s="972"/>
      <c r="AQ20" s="956">
        <f t="shared" si="4"/>
        <v>11</v>
      </c>
      <c r="AR20" s="956">
        <f t="shared" si="5"/>
        <v>0</v>
      </c>
      <c r="AS20" s="956">
        <f t="shared" si="6"/>
        <v>11</v>
      </c>
      <c r="AT20" s="956">
        <v>9</v>
      </c>
      <c r="AU20" s="981"/>
      <c r="AV20" s="981"/>
      <c r="AW20" s="981"/>
      <c r="AX20" s="993"/>
      <c r="AY20" s="993"/>
      <c r="AZ20" s="833">
        <f t="shared" si="7"/>
        <v>0</v>
      </c>
      <c r="BA20" s="983">
        <f t="shared" si="0"/>
        <v>0</v>
      </c>
      <c r="BB20" s="983">
        <f t="shared" si="1"/>
        <v>0</v>
      </c>
      <c r="BC20" s="983">
        <f t="shared" si="2"/>
        <v>0</v>
      </c>
      <c r="BD20" s="983">
        <f t="shared" si="3"/>
        <v>0</v>
      </c>
      <c r="BE20" s="983">
        <f t="shared" si="8"/>
        <v>0</v>
      </c>
      <c r="BF20" s="871">
        <f t="shared" si="9"/>
        <v>0</v>
      </c>
    </row>
    <row r="21" spans="1:58" s="8" customFormat="1" ht="20.100000000000001" customHeight="1">
      <c r="A21" s="956">
        <v>14</v>
      </c>
      <c r="B21" s="955">
        <v>1</v>
      </c>
      <c r="C21" s="956">
        <v>14</v>
      </c>
      <c r="D21" s="957"/>
      <c r="E21" s="957"/>
      <c r="F21" s="956"/>
      <c r="G21" s="958">
        <v>0</v>
      </c>
      <c r="H21" s="958">
        <v>0</v>
      </c>
      <c r="I21" s="958" t="s">
        <v>1335</v>
      </c>
      <c r="J21" s="958"/>
      <c r="K21" s="958">
        <v>0</v>
      </c>
      <c r="L21" s="958">
        <v>0</v>
      </c>
      <c r="M21" s="958" t="s">
        <v>1335</v>
      </c>
      <c r="N21" s="958" t="s">
        <v>1335</v>
      </c>
      <c r="O21" s="958" t="s">
        <v>1335</v>
      </c>
      <c r="P21" s="958" t="s">
        <v>1335</v>
      </c>
      <c r="Q21" s="958" t="s">
        <v>1335</v>
      </c>
      <c r="R21" s="958" t="s">
        <v>1335</v>
      </c>
      <c r="S21" s="958" t="s">
        <v>1335</v>
      </c>
      <c r="T21" s="958" t="s">
        <v>1335</v>
      </c>
      <c r="U21" s="958" t="s">
        <v>1335</v>
      </c>
      <c r="V21" s="966"/>
      <c r="W21" s="966"/>
      <c r="X21" s="966"/>
      <c r="Y21" s="970"/>
      <c r="Z21" s="966"/>
      <c r="AA21" s="971"/>
      <c r="AB21" s="972"/>
      <c r="AC21" s="972"/>
      <c r="AD21" s="972"/>
      <c r="AE21" s="972"/>
      <c r="AF21" s="972"/>
      <c r="AG21" s="972"/>
      <c r="AH21" s="972"/>
      <c r="AI21" s="972"/>
      <c r="AJ21" s="972"/>
      <c r="AK21" s="972"/>
      <c r="AL21" s="972"/>
      <c r="AM21" s="972"/>
      <c r="AN21" s="972"/>
      <c r="AO21" s="972"/>
      <c r="AP21" s="972"/>
      <c r="AQ21" s="956">
        <f t="shared" si="4"/>
        <v>10</v>
      </c>
      <c r="AR21" s="956">
        <f t="shared" si="5"/>
        <v>0</v>
      </c>
      <c r="AS21" s="956">
        <f t="shared" si="6"/>
        <v>10</v>
      </c>
      <c r="AT21" s="956">
        <v>9</v>
      </c>
      <c r="AU21" s="981"/>
      <c r="AV21" s="981"/>
      <c r="AW21" s="981"/>
      <c r="AX21" s="993"/>
      <c r="AY21" s="993"/>
      <c r="AZ21" s="833">
        <f t="shared" si="7"/>
        <v>0</v>
      </c>
      <c r="BA21" s="983">
        <f t="shared" si="0"/>
        <v>0</v>
      </c>
      <c r="BB21" s="983">
        <f t="shared" si="1"/>
        <v>0</v>
      </c>
      <c r="BC21" s="983">
        <f t="shared" si="2"/>
        <v>0</v>
      </c>
      <c r="BD21" s="983">
        <f t="shared" si="3"/>
        <v>0</v>
      </c>
      <c r="BE21" s="983">
        <f t="shared" si="8"/>
        <v>0</v>
      </c>
      <c r="BF21" s="871">
        <f t="shared" si="9"/>
        <v>0</v>
      </c>
    </row>
    <row r="22" spans="1:58" s="8" customFormat="1" ht="20.100000000000001" customHeight="1">
      <c r="A22" s="956">
        <v>15</v>
      </c>
      <c r="B22" s="955">
        <v>1</v>
      </c>
      <c r="C22" s="956">
        <v>15</v>
      </c>
      <c r="D22" s="957"/>
      <c r="E22" s="957"/>
      <c r="F22" s="956"/>
      <c r="G22" s="958">
        <v>0</v>
      </c>
      <c r="H22" s="958">
        <v>0</v>
      </c>
      <c r="I22" s="958" t="s">
        <v>1335</v>
      </c>
      <c r="J22" s="958"/>
      <c r="K22" s="958" t="s">
        <v>1335</v>
      </c>
      <c r="L22" s="958" t="s">
        <v>1335</v>
      </c>
      <c r="M22" s="958" t="s">
        <v>1335</v>
      </c>
      <c r="N22" s="958" t="s">
        <v>1335</v>
      </c>
      <c r="O22" s="958" t="s">
        <v>1335</v>
      </c>
      <c r="P22" s="958" t="s">
        <v>1335</v>
      </c>
      <c r="Q22" s="958" t="s">
        <v>1335</v>
      </c>
      <c r="R22" s="958" t="s">
        <v>1335</v>
      </c>
      <c r="S22" s="958" t="s">
        <v>1335</v>
      </c>
      <c r="T22" s="958" t="s">
        <v>1335</v>
      </c>
      <c r="U22" s="958" t="s">
        <v>1335</v>
      </c>
      <c r="V22" s="966"/>
      <c r="W22" s="966"/>
      <c r="X22" s="966"/>
      <c r="Y22" s="970"/>
      <c r="Z22" s="966"/>
      <c r="AA22" s="971"/>
      <c r="AB22" s="972"/>
      <c r="AC22" s="972"/>
      <c r="AD22" s="972"/>
      <c r="AE22" s="972"/>
      <c r="AF22" s="972"/>
      <c r="AG22" s="972"/>
      <c r="AH22" s="972"/>
      <c r="AI22" s="972"/>
      <c r="AJ22" s="972"/>
      <c r="AK22" s="972"/>
      <c r="AL22" s="972"/>
      <c r="AM22" s="972"/>
      <c r="AN22" s="972"/>
      <c r="AO22" s="972"/>
      <c r="AP22" s="972"/>
      <c r="AQ22" s="956">
        <f t="shared" si="4"/>
        <v>12</v>
      </c>
      <c r="AR22" s="956">
        <f t="shared" si="5"/>
        <v>0</v>
      </c>
      <c r="AS22" s="956">
        <f t="shared" si="6"/>
        <v>12</v>
      </c>
      <c r="AT22" s="956">
        <v>9</v>
      </c>
      <c r="AU22" s="981"/>
      <c r="AV22" s="981"/>
      <c r="AW22" s="981"/>
      <c r="AX22" s="993"/>
      <c r="AY22" s="993"/>
      <c r="AZ22" s="833">
        <f t="shared" si="7"/>
        <v>0</v>
      </c>
      <c r="BA22" s="983">
        <f t="shared" si="0"/>
        <v>0</v>
      </c>
      <c r="BB22" s="983">
        <f t="shared" si="1"/>
        <v>0</v>
      </c>
      <c r="BC22" s="983">
        <f t="shared" si="2"/>
        <v>0</v>
      </c>
      <c r="BD22" s="983">
        <f t="shared" si="3"/>
        <v>0</v>
      </c>
      <c r="BE22" s="983">
        <f t="shared" si="8"/>
        <v>0</v>
      </c>
      <c r="BF22" s="871">
        <f t="shared" si="9"/>
        <v>0</v>
      </c>
    </row>
    <row r="23" spans="1:58" s="8" customFormat="1" ht="20.100000000000001" customHeight="1">
      <c r="A23" s="956">
        <v>16</v>
      </c>
      <c r="B23" s="955">
        <v>1</v>
      </c>
      <c r="C23" s="956">
        <v>16</v>
      </c>
      <c r="D23" s="957"/>
      <c r="E23" s="957"/>
      <c r="F23" s="956"/>
      <c r="G23" s="958">
        <v>0</v>
      </c>
      <c r="H23" s="958">
        <v>0</v>
      </c>
      <c r="I23" s="958" t="s">
        <v>1335</v>
      </c>
      <c r="J23" s="958"/>
      <c r="K23" s="958" t="s">
        <v>1335</v>
      </c>
      <c r="L23" s="958" t="s">
        <v>1335</v>
      </c>
      <c r="M23" s="958" t="s">
        <v>1335</v>
      </c>
      <c r="N23" s="958" t="s">
        <v>1335</v>
      </c>
      <c r="O23" s="958" t="s">
        <v>1335</v>
      </c>
      <c r="P23" s="958" t="s">
        <v>1335</v>
      </c>
      <c r="Q23" s="958" t="s">
        <v>1335</v>
      </c>
      <c r="R23" s="958" t="s">
        <v>1335</v>
      </c>
      <c r="S23" s="958" t="s">
        <v>1335</v>
      </c>
      <c r="T23" s="958" t="s">
        <v>1335</v>
      </c>
      <c r="U23" s="958" t="s">
        <v>1335</v>
      </c>
      <c r="V23" s="966"/>
      <c r="W23" s="966"/>
      <c r="X23" s="966" t="s">
        <v>1335</v>
      </c>
      <c r="Y23" s="970"/>
      <c r="Z23" s="966"/>
      <c r="AA23" s="971"/>
      <c r="AB23" s="972"/>
      <c r="AC23" s="972"/>
      <c r="AD23" s="972"/>
      <c r="AE23" s="972"/>
      <c r="AF23" s="972"/>
      <c r="AG23" s="972"/>
      <c r="AH23" s="972"/>
      <c r="AI23" s="972"/>
      <c r="AJ23" s="972"/>
      <c r="AK23" s="972"/>
      <c r="AL23" s="972"/>
      <c r="AM23" s="972"/>
      <c r="AN23" s="972"/>
      <c r="AO23" s="972"/>
      <c r="AP23" s="972"/>
      <c r="AQ23" s="956">
        <f t="shared" si="4"/>
        <v>12</v>
      </c>
      <c r="AR23" s="956">
        <f t="shared" si="5"/>
        <v>1</v>
      </c>
      <c r="AS23" s="956">
        <f t="shared" si="6"/>
        <v>13</v>
      </c>
      <c r="AT23" s="956">
        <v>9</v>
      </c>
      <c r="AU23" s="981"/>
      <c r="AV23" s="981"/>
      <c r="AW23" s="981"/>
      <c r="AX23" s="993"/>
      <c r="AY23" s="993"/>
      <c r="AZ23" s="833">
        <f t="shared" si="7"/>
        <v>0</v>
      </c>
      <c r="BA23" s="983">
        <f t="shared" si="0"/>
        <v>0</v>
      </c>
      <c r="BB23" s="983">
        <f t="shared" si="1"/>
        <v>0</v>
      </c>
      <c r="BC23" s="983">
        <f t="shared" si="2"/>
        <v>0</v>
      </c>
      <c r="BD23" s="983">
        <f t="shared" si="3"/>
        <v>0</v>
      </c>
      <c r="BE23" s="983">
        <f t="shared" si="8"/>
        <v>0</v>
      </c>
      <c r="BF23" s="871">
        <f t="shared" si="9"/>
        <v>13</v>
      </c>
    </row>
    <row r="24" spans="1:58" s="8" customFormat="1" ht="20.100000000000001" customHeight="1">
      <c r="A24" s="956">
        <v>17</v>
      </c>
      <c r="B24" s="955">
        <v>1</v>
      </c>
      <c r="C24" s="956">
        <v>17</v>
      </c>
      <c r="D24" s="957"/>
      <c r="E24" s="957"/>
      <c r="F24" s="956"/>
      <c r="G24" s="958">
        <v>0</v>
      </c>
      <c r="H24" s="958" t="s">
        <v>1335</v>
      </c>
      <c r="I24" s="958" t="s">
        <v>1335</v>
      </c>
      <c r="J24" s="958"/>
      <c r="K24" s="958" t="s">
        <v>1335</v>
      </c>
      <c r="L24" s="958" t="s">
        <v>1335</v>
      </c>
      <c r="M24" s="958">
        <v>0</v>
      </c>
      <c r="N24" s="958" t="s">
        <v>1335</v>
      </c>
      <c r="O24" s="958" t="s">
        <v>1335</v>
      </c>
      <c r="P24" s="958" t="s">
        <v>1335</v>
      </c>
      <c r="Q24" s="958" t="s">
        <v>1335</v>
      </c>
      <c r="R24" s="958" t="s">
        <v>1335</v>
      </c>
      <c r="S24" s="958" t="s">
        <v>1335</v>
      </c>
      <c r="T24" s="958" t="s">
        <v>1335</v>
      </c>
      <c r="U24" s="958">
        <v>0</v>
      </c>
      <c r="V24" s="966"/>
      <c r="W24" s="966"/>
      <c r="X24" s="966"/>
      <c r="Y24" s="970"/>
      <c r="Z24" s="966"/>
      <c r="AA24" s="971"/>
      <c r="AB24" s="972"/>
      <c r="AC24" s="972"/>
      <c r="AD24" s="972"/>
      <c r="AE24" s="972"/>
      <c r="AF24" s="972"/>
      <c r="AG24" s="972"/>
      <c r="AH24" s="972"/>
      <c r="AI24" s="972"/>
      <c r="AJ24" s="972"/>
      <c r="AK24" s="972"/>
      <c r="AL24" s="972"/>
      <c r="AM24" s="972"/>
      <c r="AN24" s="972"/>
      <c r="AO24" s="972"/>
      <c r="AP24" s="972"/>
      <c r="AQ24" s="956">
        <f t="shared" si="4"/>
        <v>11</v>
      </c>
      <c r="AR24" s="956">
        <f t="shared" si="5"/>
        <v>0</v>
      </c>
      <c r="AS24" s="956">
        <f t="shared" si="6"/>
        <v>11</v>
      </c>
      <c r="AT24" s="956">
        <v>9</v>
      </c>
      <c r="AU24" s="981"/>
      <c r="AV24" s="981"/>
      <c r="AW24" s="981"/>
      <c r="AX24" s="993"/>
      <c r="AY24" s="993"/>
      <c r="AZ24" s="833">
        <f t="shared" si="7"/>
        <v>0</v>
      </c>
      <c r="BA24" s="983">
        <f t="shared" si="0"/>
        <v>0</v>
      </c>
      <c r="BB24" s="983">
        <f t="shared" si="1"/>
        <v>0</v>
      </c>
      <c r="BC24" s="983">
        <f t="shared" si="2"/>
        <v>0</v>
      </c>
      <c r="BD24" s="983">
        <f t="shared" si="3"/>
        <v>0</v>
      </c>
      <c r="BE24" s="983">
        <f t="shared" si="8"/>
        <v>0</v>
      </c>
      <c r="BF24" s="871">
        <f t="shared" si="9"/>
        <v>0</v>
      </c>
    </row>
    <row r="25" spans="1:58" s="8" customFormat="1" ht="20.100000000000001" customHeight="1">
      <c r="A25" s="956">
        <v>18</v>
      </c>
      <c r="B25" s="955">
        <v>1</v>
      </c>
      <c r="C25" s="956">
        <v>18</v>
      </c>
      <c r="D25" s="957"/>
      <c r="E25" s="957"/>
      <c r="F25" s="956"/>
      <c r="G25" s="958">
        <v>0</v>
      </c>
      <c r="H25" s="958" t="s">
        <v>1335</v>
      </c>
      <c r="I25" s="958" t="s">
        <v>1335</v>
      </c>
      <c r="J25" s="958"/>
      <c r="K25" s="958">
        <v>0</v>
      </c>
      <c r="L25" s="958" t="s">
        <v>1335</v>
      </c>
      <c r="M25" s="958" t="s">
        <v>1335</v>
      </c>
      <c r="N25" s="958">
        <v>0</v>
      </c>
      <c r="O25" s="958" t="s">
        <v>1335</v>
      </c>
      <c r="P25" s="958" t="s">
        <v>1335</v>
      </c>
      <c r="Q25" s="958" t="s">
        <v>1335</v>
      </c>
      <c r="R25" s="958" t="s">
        <v>1335</v>
      </c>
      <c r="S25" s="958" t="s">
        <v>1335</v>
      </c>
      <c r="T25" s="958" t="s">
        <v>1335</v>
      </c>
      <c r="U25" s="958" t="s">
        <v>1335</v>
      </c>
      <c r="V25" s="966"/>
      <c r="W25" s="966"/>
      <c r="X25" s="966"/>
      <c r="Y25" s="970"/>
      <c r="Z25" s="966"/>
      <c r="AA25" s="971"/>
      <c r="AB25" s="972"/>
      <c r="AC25" s="972"/>
      <c r="AD25" s="972"/>
      <c r="AE25" s="972"/>
      <c r="AF25" s="972"/>
      <c r="AG25" s="972"/>
      <c r="AH25" s="972"/>
      <c r="AI25" s="972"/>
      <c r="AJ25" s="972"/>
      <c r="AK25" s="972"/>
      <c r="AL25" s="972"/>
      <c r="AM25" s="972"/>
      <c r="AN25" s="972"/>
      <c r="AO25" s="972"/>
      <c r="AP25" s="972"/>
      <c r="AQ25" s="956">
        <f t="shared" si="4"/>
        <v>11</v>
      </c>
      <c r="AR25" s="956">
        <f t="shared" si="5"/>
        <v>0</v>
      </c>
      <c r="AS25" s="956">
        <f t="shared" si="6"/>
        <v>11</v>
      </c>
      <c r="AT25" s="982">
        <v>8</v>
      </c>
      <c r="AU25" s="981"/>
      <c r="AV25" s="981"/>
      <c r="AW25" s="981"/>
      <c r="AX25" s="993"/>
      <c r="AY25" s="993"/>
      <c r="AZ25" s="833">
        <f t="shared" si="7"/>
        <v>0</v>
      </c>
      <c r="BA25" s="983">
        <f t="shared" si="0"/>
        <v>0</v>
      </c>
      <c r="BB25" s="983">
        <f t="shared" si="1"/>
        <v>0</v>
      </c>
      <c r="BC25" s="983">
        <f t="shared" si="2"/>
        <v>0</v>
      </c>
      <c r="BD25" s="983">
        <f t="shared" si="3"/>
        <v>0</v>
      </c>
      <c r="BE25" s="983">
        <f t="shared" si="8"/>
        <v>0</v>
      </c>
      <c r="BF25" s="871">
        <f t="shared" si="9"/>
        <v>0</v>
      </c>
    </row>
    <row r="26" spans="1:58" s="8" customFormat="1" ht="20.100000000000001" customHeight="1">
      <c r="A26" s="956">
        <v>19</v>
      </c>
      <c r="B26" s="955">
        <v>1</v>
      </c>
      <c r="C26" s="956">
        <v>19</v>
      </c>
      <c r="D26" s="957"/>
      <c r="E26" s="957"/>
      <c r="F26" s="956"/>
      <c r="G26" s="958">
        <v>0</v>
      </c>
      <c r="H26" s="958">
        <v>0</v>
      </c>
      <c r="I26" s="958" t="s">
        <v>1335</v>
      </c>
      <c r="J26" s="958"/>
      <c r="K26" s="958" t="s">
        <v>1335</v>
      </c>
      <c r="L26" s="958" t="s">
        <v>1335</v>
      </c>
      <c r="M26" s="958" t="s">
        <v>1335</v>
      </c>
      <c r="N26" s="958" t="s">
        <v>1335</v>
      </c>
      <c r="O26" s="958" t="s">
        <v>1335</v>
      </c>
      <c r="P26" s="958" t="s">
        <v>1335</v>
      </c>
      <c r="Q26" s="958" t="s">
        <v>1335</v>
      </c>
      <c r="R26" s="958" t="s">
        <v>1335</v>
      </c>
      <c r="S26" s="958" t="s">
        <v>1335</v>
      </c>
      <c r="T26" s="958" t="s">
        <v>1335</v>
      </c>
      <c r="U26" s="958" t="s">
        <v>1335</v>
      </c>
      <c r="V26" s="966"/>
      <c r="W26" s="966"/>
      <c r="X26" s="966"/>
      <c r="Y26" s="970"/>
      <c r="Z26" s="966"/>
      <c r="AA26" s="971"/>
      <c r="AB26" s="972"/>
      <c r="AC26" s="972"/>
      <c r="AD26" s="972"/>
      <c r="AE26" s="972"/>
      <c r="AF26" s="972"/>
      <c r="AG26" s="972"/>
      <c r="AH26" s="972"/>
      <c r="AI26" s="972"/>
      <c r="AJ26" s="972"/>
      <c r="AK26" s="972"/>
      <c r="AL26" s="972"/>
      <c r="AM26" s="972"/>
      <c r="AN26" s="972"/>
      <c r="AO26" s="972"/>
      <c r="AP26" s="972"/>
      <c r="AQ26" s="956">
        <f t="shared" si="4"/>
        <v>12</v>
      </c>
      <c r="AR26" s="956">
        <f t="shared" si="5"/>
        <v>0</v>
      </c>
      <c r="AS26" s="956">
        <f t="shared" si="6"/>
        <v>12</v>
      </c>
      <c r="AT26" s="956">
        <v>9</v>
      </c>
      <c r="AU26" s="981"/>
      <c r="AV26" s="981"/>
      <c r="AW26" s="981"/>
      <c r="AX26" s="993"/>
      <c r="AY26" s="993"/>
      <c r="AZ26" s="833">
        <f t="shared" si="7"/>
        <v>0</v>
      </c>
      <c r="BA26" s="983">
        <f t="shared" si="0"/>
        <v>0</v>
      </c>
      <c r="BB26" s="983">
        <f t="shared" si="1"/>
        <v>0</v>
      </c>
      <c r="BC26" s="983">
        <f t="shared" si="2"/>
        <v>0</v>
      </c>
      <c r="BD26" s="983">
        <f t="shared" si="3"/>
        <v>0</v>
      </c>
      <c r="BE26" s="983">
        <f t="shared" si="8"/>
        <v>0</v>
      </c>
      <c r="BF26" s="871">
        <f t="shared" si="9"/>
        <v>0</v>
      </c>
    </row>
    <row r="27" spans="1:58" s="8" customFormat="1" ht="20.100000000000001" customHeight="1">
      <c r="A27" s="956">
        <v>20</v>
      </c>
      <c r="B27" s="955">
        <v>1</v>
      </c>
      <c r="C27" s="956">
        <v>20</v>
      </c>
      <c r="D27" s="957"/>
      <c r="E27" s="957"/>
      <c r="F27" s="956"/>
      <c r="G27" s="958" t="s">
        <v>1335</v>
      </c>
      <c r="H27" s="958" t="s">
        <v>1335</v>
      </c>
      <c r="I27" s="958" t="s">
        <v>1335</v>
      </c>
      <c r="J27" s="958" t="s">
        <v>1335</v>
      </c>
      <c r="K27" s="958">
        <v>0</v>
      </c>
      <c r="L27" s="958" t="s">
        <v>1335</v>
      </c>
      <c r="M27" s="958" t="s">
        <v>1335</v>
      </c>
      <c r="N27" s="958" t="s">
        <v>1335</v>
      </c>
      <c r="O27" s="958" t="s">
        <v>1335</v>
      </c>
      <c r="P27" s="958" t="s">
        <v>1335</v>
      </c>
      <c r="Q27" s="958" t="s">
        <v>1335</v>
      </c>
      <c r="R27" s="958" t="s">
        <v>1335</v>
      </c>
      <c r="S27" s="958">
        <v>0</v>
      </c>
      <c r="T27" s="958" t="s">
        <v>1335</v>
      </c>
      <c r="U27" s="958" t="s">
        <v>1335</v>
      </c>
      <c r="V27" s="966"/>
      <c r="W27" s="966"/>
      <c r="X27" s="966"/>
      <c r="Y27" s="970"/>
      <c r="Z27" s="966"/>
      <c r="AA27" s="971"/>
      <c r="AB27" s="972"/>
      <c r="AC27" s="972"/>
      <c r="AD27" s="972"/>
      <c r="AE27" s="972"/>
      <c r="AF27" s="972"/>
      <c r="AG27" s="972"/>
      <c r="AH27" s="972"/>
      <c r="AI27" s="972"/>
      <c r="AJ27" s="972"/>
      <c r="AK27" s="972"/>
      <c r="AL27" s="972"/>
      <c r="AM27" s="972"/>
      <c r="AN27" s="972"/>
      <c r="AO27" s="972"/>
      <c r="AP27" s="972"/>
      <c r="AQ27" s="956">
        <f t="shared" si="4"/>
        <v>13</v>
      </c>
      <c r="AR27" s="956">
        <f t="shared" si="5"/>
        <v>0</v>
      </c>
      <c r="AS27" s="956">
        <f t="shared" si="6"/>
        <v>13</v>
      </c>
      <c r="AT27" s="956">
        <v>9</v>
      </c>
      <c r="AU27" s="981"/>
      <c r="AV27" s="981"/>
      <c r="AW27" s="981"/>
      <c r="AX27" s="993"/>
      <c r="AY27" s="993"/>
      <c r="AZ27" s="833">
        <f t="shared" si="7"/>
        <v>0</v>
      </c>
      <c r="BA27" s="983">
        <f t="shared" si="0"/>
        <v>0</v>
      </c>
      <c r="BB27" s="983">
        <f t="shared" si="1"/>
        <v>0</v>
      </c>
      <c r="BC27" s="983">
        <f t="shared" si="2"/>
        <v>0</v>
      </c>
      <c r="BD27" s="983">
        <f t="shared" si="3"/>
        <v>0</v>
      </c>
      <c r="BE27" s="983">
        <f t="shared" si="8"/>
        <v>0</v>
      </c>
      <c r="BF27" s="871">
        <f t="shared" si="9"/>
        <v>13</v>
      </c>
    </row>
    <row r="28" spans="1:58" s="8" customFormat="1" ht="20.100000000000001" customHeight="1">
      <c r="A28" s="956">
        <v>21</v>
      </c>
      <c r="B28" s="955">
        <v>1</v>
      </c>
      <c r="C28" s="956">
        <v>21</v>
      </c>
      <c r="D28" s="957"/>
      <c r="E28" s="957"/>
      <c r="F28" s="956"/>
      <c r="G28" s="958" t="s">
        <v>1335</v>
      </c>
      <c r="H28" s="958">
        <v>0</v>
      </c>
      <c r="I28" s="958" t="s">
        <v>1335</v>
      </c>
      <c r="J28" s="958"/>
      <c r="K28" s="958" t="s">
        <v>1335</v>
      </c>
      <c r="L28" s="958" t="s">
        <v>1335</v>
      </c>
      <c r="M28" s="958" t="s">
        <v>1335</v>
      </c>
      <c r="N28" s="958" t="s">
        <v>1335</v>
      </c>
      <c r="O28" s="958" t="s">
        <v>1335</v>
      </c>
      <c r="P28" s="958" t="s">
        <v>1335</v>
      </c>
      <c r="Q28" s="958" t="s">
        <v>1335</v>
      </c>
      <c r="R28" s="958" t="s">
        <v>1335</v>
      </c>
      <c r="S28" s="958" t="s">
        <v>1335</v>
      </c>
      <c r="T28" s="958" t="s">
        <v>1335</v>
      </c>
      <c r="U28" s="958" t="s">
        <v>1335</v>
      </c>
      <c r="V28" s="966"/>
      <c r="W28" s="966"/>
      <c r="X28" s="966"/>
      <c r="Y28" s="970"/>
      <c r="Z28" s="966"/>
      <c r="AA28" s="971"/>
      <c r="AB28" s="972"/>
      <c r="AC28" s="972"/>
      <c r="AD28" s="972"/>
      <c r="AE28" s="972"/>
      <c r="AF28" s="972"/>
      <c r="AG28" s="972"/>
      <c r="AH28" s="972"/>
      <c r="AI28" s="972"/>
      <c r="AJ28" s="972"/>
      <c r="AK28" s="972"/>
      <c r="AL28" s="972"/>
      <c r="AM28" s="972"/>
      <c r="AN28" s="972"/>
      <c r="AO28" s="972"/>
      <c r="AP28" s="972"/>
      <c r="AQ28" s="956">
        <f t="shared" si="4"/>
        <v>13</v>
      </c>
      <c r="AR28" s="956">
        <f t="shared" si="5"/>
        <v>0</v>
      </c>
      <c r="AS28" s="956">
        <f t="shared" si="6"/>
        <v>13</v>
      </c>
      <c r="AT28" s="956">
        <v>9</v>
      </c>
      <c r="AU28" s="981"/>
      <c r="AV28" s="981"/>
      <c r="AW28" s="981"/>
      <c r="AX28" s="993"/>
      <c r="AY28" s="993"/>
      <c r="AZ28" s="833">
        <f t="shared" si="7"/>
        <v>0</v>
      </c>
      <c r="BA28" s="983">
        <f t="shared" si="0"/>
        <v>0</v>
      </c>
      <c r="BB28" s="983">
        <f t="shared" si="1"/>
        <v>0</v>
      </c>
      <c r="BC28" s="983">
        <f t="shared" si="2"/>
        <v>0</v>
      </c>
      <c r="BD28" s="983">
        <f t="shared" si="3"/>
        <v>0</v>
      </c>
      <c r="BE28" s="983">
        <f t="shared" si="8"/>
        <v>0</v>
      </c>
      <c r="BF28" s="871">
        <f t="shared" si="9"/>
        <v>13</v>
      </c>
    </row>
    <row r="29" spans="1:58" s="8" customFormat="1" ht="20.100000000000001" customHeight="1">
      <c r="A29" s="956">
        <v>22</v>
      </c>
      <c r="B29" s="955">
        <v>1</v>
      </c>
      <c r="C29" s="956">
        <v>22</v>
      </c>
      <c r="D29" s="957"/>
      <c r="E29" s="957"/>
      <c r="F29" s="956"/>
      <c r="G29" s="958">
        <v>0</v>
      </c>
      <c r="H29" s="958" t="s">
        <v>1335</v>
      </c>
      <c r="I29" s="958" t="s">
        <v>1335</v>
      </c>
      <c r="J29" s="958"/>
      <c r="K29" s="958" t="s">
        <v>1335</v>
      </c>
      <c r="L29" s="958">
        <v>0</v>
      </c>
      <c r="M29" s="958" t="s">
        <v>1335</v>
      </c>
      <c r="N29" s="958" t="s">
        <v>1335</v>
      </c>
      <c r="O29" s="958">
        <v>0</v>
      </c>
      <c r="P29" s="958">
        <v>0</v>
      </c>
      <c r="Q29" s="958">
        <v>0</v>
      </c>
      <c r="R29" s="958">
        <v>0</v>
      </c>
      <c r="S29" s="958">
        <v>0</v>
      </c>
      <c r="T29" s="958">
        <v>0</v>
      </c>
      <c r="U29" s="958">
        <v>0</v>
      </c>
      <c r="V29" s="966"/>
      <c r="W29" s="966"/>
      <c r="X29" s="966"/>
      <c r="Y29" s="970"/>
      <c r="Z29" s="966"/>
      <c r="AA29" s="971"/>
      <c r="AB29" s="972"/>
      <c r="AC29" s="972"/>
      <c r="AD29" s="972"/>
      <c r="AE29" s="972"/>
      <c r="AF29" s="972"/>
      <c r="AG29" s="972"/>
      <c r="AH29" s="972"/>
      <c r="AI29" s="972"/>
      <c r="AJ29" s="972"/>
      <c r="AK29" s="972"/>
      <c r="AL29" s="972"/>
      <c r="AM29" s="972"/>
      <c r="AN29" s="972"/>
      <c r="AO29" s="972"/>
      <c r="AP29" s="972"/>
      <c r="AQ29" s="956">
        <f t="shared" si="4"/>
        <v>5</v>
      </c>
      <c r="AR29" s="956">
        <f t="shared" si="5"/>
        <v>0</v>
      </c>
      <c r="AS29" s="956">
        <f t="shared" si="6"/>
        <v>5</v>
      </c>
      <c r="AT29" s="956">
        <v>9</v>
      </c>
      <c r="AU29" s="981"/>
      <c r="AV29" s="981"/>
      <c r="AW29" s="981"/>
      <c r="AX29" s="993"/>
      <c r="AY29" s="993"/>
      <c r="AZ29" s="833">
        <f t="shared" si="7"/>
        <v>0</v>
      </c>
      <c r="BA29" s="983">
        <f t="shared" si="0"/>
        <v>0</v>
      </c>
      <c r="BB29" s="983">
        <f t="shared" si="1"/>
        <v>0</v>
      </c>
      <c r="BC29" s="983">
        <f t="shared" si="2"/>
        <v>0</v>
      </c>
      <c r="BD29" s="983">
        <f t="shared" si="3"/>
        <v>0</v>
      </c>
      <c r="BE29" s="983">
        <f t="shared" si="8"/>
        <v>0</v>
      </c>
      <c r="BF29" s="871">
        <f t="shared" si="9"/>
        <v>0</v>
      </c>
    </row>
    <row r="30" spans="1:58" s="8" customFormat="1" ht="20.100000000000001" customHeight="1">
      <c r="A30" s="956">
        <v>23</v>
      </c>
      <c r="B30" s="955">
        <v>1</v>
      </c>
      <c r="C30" s="956">
        <v>23</v>
      </c>
      <c r="D30" s="957"/>
      <c r="E30" s="957"/>
      <c r="F30" s="956"/>
      <c r="G30" s="958">
        <v>0</v>
      </c>
      <c r="H30" s="958" t="s">
        <v>1335</v>
      </c>
      <c r="I30" s="958" t="s">
        <v>1335</v>
      </c>
      <c r="J30" s="958"/>
      <c r="K30" s="958" t="s">
        <v>1335</v>
      </c>
      <c r="L30" s="958" t="s">
        <v>1335</v>
      </c>
      <c r="M30" s="958" t="s">
        <v>1335</v>
      </c>
      <c r="N30" s="958" t="s">
        <v>1335</v>
      </c>
      <c r="O30" s="958" t="s">
        <v>1335</v>
      </c>
      <c r="P30" s="958" t="s">
        <v>1335</v>
      </c>
      <c r="Q30" s="958" t="s">
        <v>1335</v>
      </c>
      <c r="R30" s="958" t="s">
        <v>1335</v>
      </c>
      <c r="S30" s="958" t="s">
        <v>1335</v>
      </c>
      <c r="T30" s="958" t="s">
        <v>1335</v>
      </c>
      <c r="U30" s="958" t="s">
        <v>1335</v>
      </c>
      <c r="V30" s="966"/>
      <c r="W30" s="966"/>
      <c r="X30" s="966"/>
      <c r="Y30" s="970"/>
      <c r="Z30" s="966"/>
      <c r="AA30" s="971"/>
      <c r="AB30" s="972"/>
      <c r="AC30" s="972"/>
      <c r="AD30" s="972"/>
      <c r="AE30" s="972"/>
      <c r="AF30" s="972"/>
      <c r="AG30" s="972"/>
      <c r="AH30" s="972"/>
      <c r="AI30" s="972"/>
      <c r="AJ30" s="972"/>
      <c r="AK30" s="972"/>
      <c r="AL30" s="972"/>
      <c r="AM30" s="972"/>
      <c r="AN30" s="972"/>
      <c r="AO30" s="972"/>
      <c r="AP30" s="972"/>
      <c r="AQ30" s="956">
        <f t="shared" si="4"/>
        <v>13</v>
      </c>
      <c r="AR30" s="956">
        <f t="shared" si="5"/>
        <v>0</v>
      </c>
      <c r="AS30" s="956">
        <f t="shared" si="6"/>
        <v>13</v>
      </c>
      <c r="AT30" s="956">
        <v>9</v>
      </c>
      <c r="AU30" s="981"/>
      <c r="AV30" s="981"/>
      <c r="AW30" s="981"/>
      <c r="AX30" s="993"/>
      <c r="AY30" s="993"/>
      <c r="AZ30" s="833">
        <f t="shared" si="7"/>
        <v>0</v>
      </c>
      <c r="BA30" s="983">
        <f t="shared" si="0"/>
        <v>0</v>
      </c>
      <c r="BB30" s="983">
        <f t="shared" si="1"/>
        <v>0</v>
      </c>
      <c r="BC30" s="983">
        <f t="shared" si="2"/>
        <v>0</v>
      </c>
      <c r="BD30" s="983">
        <f t="shared" si="3"/>
        <v>0</v>
      </c>
      <c r="BE30" s="983">
        <f t="shared" si="8"/>
        <v>0</v>
      </c>
      <c r="BF30" s="871">
        <f t="shared" si="9"/>
        <v>13</v>
      </c>
    </row>
    <row r="31" spans="1:58" s="8" customFormat="1" ht="20.100000000000001" customHeight="1">
      <c r="A31" s="956">
        <v>24</v>
      </c>
      <c r="B31" s="955">
        <v>1</v>
      </c>
      <c r="C31" s="956">
        <v>24</v>
      </c>
      <c r="D31" s="957"/>
      <c r="E31" s="957"/>
      <c r="F31" s="956"/>
      <c r="G31" s="958" t="s">
        <v>1335</v>
      </c>
      <c r="H31" s="958" t="s">
        <v>1335</v>
      </c>
      <c r="I31" s="958" t="s">
        <v>1335</v>
      </c>
      <c r="J31" s="958"/>
      <c r="K31" s="958" t="s">
        <v>1335</v>
      </c>
      <c r="L31" s="958" t="s">
        <v>1335</v>
      </c>
      <c r="M31" s="958" t="s">
        <v>1335</v>
      </c>
      <c r="N31" s="958" t="s">
        <v>1335</v>
      </c>
      <c r="O31" s="958" t="s">
        <v>1335</v>
      </c>
      <c r="P31" s="958" t="s">
        <v>1335</v>
      </c>
      <c r="Q31" s="958" t="s">
        <v>1335</v>
      </c>
      <c r="R31" s="958" t="s">
        <v>1335</v>
      </c>
      <c r="S31" s="958" t="s">
        <v>1335</v>
      </c>
      <c r="T31" s="958" t="s">
        <v>1335</v>
      </c>
      <c r="U31" s="958" t="s">
        <v>1335</v>
      </c>
      <c r="V31" s="966" t="s">
        <v>1335</v>
      </c>
      <c r="W31" s="966"/>
      <c r="X31" s="966" t="s">
        <v>1335</v>
      </c>
      <c r="Y31" s="970"/>
      <c r="Z31" s="966"/>
      <c r="AA31" s="971"/>
      <c r="AB31" s="972"/>
      <c r="AC31" s="972"/>
      <c r="AD31" s="972"/>
      <c r="AE31" s="972"/>
      <c r="AF31" s="972"/>
      <c r="AG31" s="972"/>
      <c r="AH31" s="972"/>
      <c r="AI31" s="972"/>
      <c r="AJ31" s="972"/>
      <c r="AK31" s="972"/>
      <c r="AL31" s="972"/>
      <c r="AM31" s="972"/>
      <c r="AN31" s="972"/>
      <c r="AO31" s="972"/>
      <c r="AP31" s="972"/>
      <c r="AQ31" s="956">
        <f t="shared" si="4"/>
        <v>14</v>
      </c>
      <c r="AR31" s="956">
        <f t="shared" si="5"/>
        <v>2</v>
      </c>
      <c r="AS31" s="956">
        <f t="shared" si="6"/>
        <v>16</v>
      </c>
      <c r="AT31" s="956">
        <v>9</v>
      </c>
      <c r="AU31" s="981"/>
      <c r="AV31" s="981"/>
      <c r="AW31" s="981"/>
      <c r="AX31" s="993"/>
      <c r="AY31" s="993"/>
      <c r="AZ31" s="833">
        <f t="shared" si="7"/>
        <v>0</v>
      </c>
      <c r="BA31" s="983">
        <f t="shared" si="0"/>
        <v>0</v>
      </c>
      <c r="BB31" s="983">
        <f t="shared" si="1"/>
        <v>0</v>
      </c>
      <c r="BC31" s="983">
        <f t="shared" si="2"/>
        <v>0</v>
      </c>
      <c r="BD31" s="983">
        <f t="shared" si="3"/>
        <v>0</v>
      </c>
      <c r="BE31" s="983">
        <f t="shared" si="8"/>
        <v>0</v>
      </c>
      <c r="BF31" s="871">
        <f t="shared" si="9"/>
        <v>16</v>
      </c>
    </row>
    <row r="32" spans="1:58" s="8" customFormat="1" ht="20.100000000000001" customHeight="1">
      <c r="A32" s="956">
        <v>25</v>
      </c>
      <c r="B32" s="955">
        <v>1</v>
      </c>
      <c r="C32" s="956">
        <v>25</v>
      </c>
      <c r="D32" s="957"/>
      <c r="E32" s="957"/>
      <c r="F32" s="956"/>
      <c r="G32" s="958">
        <v>0</v>
      </c>
      <c r="H32" s="958" t="s">
        <v>1335</v>
      </c>
      <c r="I32" s="958" t="s">
        <v>1335</v>
      </c>
      <c r="J32" s="958"/>
      <c r="K32" s="958" t="s">
        <v>1335</v>
      </c>
      <c r="L32" s="958" t="s">
        <v>1335</v>
      </c>
      <c r="M32" s="958" t="s">
        <v>1335</v>
      </c>
      <c r="N32" s="958" t="s">
        <v>1335</v>
      </c>
      <c r="O32" s="958" t="s">
        <v>1335</v>
      </c>
      <c r="P32" s="958" t="s">
        <v>1335</v>
      </c>
      <c r="Q32" s="958" t="s">
        <v>1335</v>
      </c>
      <c r="R32" s="958" t="s">
        <v>1335</v>
      </c>
      <c r="S32" s="958" t="s">
        <v>1335</v>
      </c>
      <c r="T32" s="958" t="s">
        <v>1335</v>
      </c>
      <c r="U32" s="958" t="s">
        <v>1335</v>
      </c>
      <c r="V32" s="966" t="s">
        <v>1335</v>
      </c>
      <c r="W32" s="966"/>
      <c r="X32" s="966"/>
      <c r="Y32" s="970"/>
      <c r="Z32" s="966"/>
      <c r="AA32" s="971"/>
      <c r="AB32" s="972"/>
      <c r="AC32" s="972"/>
      <c r="AD32" s="972"/>
      <c r="AE32" s="972"/>
      <c r="AF32" s="972"/>
      <c r="AG32" s="972"/>
      <c r="AH32" s="972"/>
      <c r="AI32" s="972"/>
      <c r="AJ32" s="972"/>
      <c r="AK32" s="972"/>
      <c r="AL32" s="972"/>
      <c r="AM32" s="972"/>
      <c r="AN32" s="972"/>
      <c r="AO32" s="972"/>
      <c r="AP32" s="972"/>
      <c r="AQ32" s="956">
        <f t="shared" si="4"/>
        <v>13</v>
      </c>
      <c r="AR32" s="956">
        <f t="shared" si="5"/>
        <v>1</v>
      </c>
      <c r="AS32" s="956">
        <f t="shared" si="6"/>
        <v>14</v>
      </c>
      <c r="AT32" s="956">
        <v>9</v>
      </c>
      <c r="AU32" s="981"/>
      <c r="AV32" s="981"/>
      <c r="AW32" s="981"/>
      <c r="AX32" s="993"/>
      <c r="AY32" s="993"/>
      <c r="AZ32" s="833">
        <f t="shared" si="7"/>
        <v>0</v>
      </c>
      <c r="BA32" s="983">
        <f t="shared" si="0"/>
        <v>0</v>
      </c>
      <c r="BB32" s="983">
        <f t="shared" si="1"/>
        <v>0</v>
      </c>
      <c r="BC32" s="983">
        <f t="shared" si="2"/>
        <v>0</v>
      </c>
      <c r="BD32" s="983">
        <f t="shared" si="3"/>
        <v>0</v>
      </c>
      <c r="BE32" s="983">
        <f t="shared" si="8"/>
        <v>0</v>
      </c>
      <c r="BF32" s="871">
        <f t="shared" si="9"/>
        <v>14</v>
      </c>
    </row>
    <row r="33" spans="1:58" s="8" customFormat="1" ht="20.100000000000001" customHeight="1">
      <c r="A33" s="956">
        <v>26</v>
      </c>
      <c r="B33" s="955">
        <v>1</v>
      </c>
      <c r="C33" s="956">
        <v>26</v>
      </c>
      <c r="D33" s="957"/>
      <c r="E33" s="957"/>
      <c r="F33" s="956"/>
      <c r="G33" s="958">
        <v>0</v>
      </c>
      <c r="H33" s="958" t="s">
        <v>1335</v>
      </c>
      <c r="I33" s="958" t="s">
        <v>1335</v>
      </c>
      <c r="J33" s="958"/>
      <c r="K33" s="958" t="s">
        <v>1335</v>
      </c>
      <c r="L33" s="958" t="s">
        <v>1335</v>
      </c>
      <c r="M33" s="958" t="s">
        <v>1335</v>
      </c>
      <c r="N33" s="958" t="s">
        <v>1335</v>
      </c>
      <c r="O33" s="958" t="s">
        <v>1335</v>
      </c>
      <c r="P33" s="958" t="s">
        <v>1335</v>
      </c>
      <c r="Q33" s="958" t="s">
        <v>1335</v>
      </c>
      <c r="R33" s="958" t="s">
        <v>1335</v>
      </c>
      <c r="S33" s="958" t="s">
        <v>1335</v>
      </c>
      <c r="T33" s="958" t="s">
        <v>1335</v>
      </c>
      <c r="U33" s="958" t="s">
        <v>1335</v>
      </c>
      <c r="V33" s="966" t="s">
        <v>1335</v>
      </c>
      <c r="W33" s="966"/>
      <c r="X33" s="966"/>
      <c r="Y33" s="970"/>
      <c r="Z33" s="966"/>
      <c r="AA33" s="971"/>
      <c r="AB33" s="972"/>
      <c r="AC33" s="972"/>
      <c r="AD33" s="972"/>
      <c r="AE33" s="972"/>
      <c r="AF33" s="972"/>
      <c r="AG33" s="972"/>
      <c r="AH33" s="972"/>
      <c r="AI33" s="972"/>
      <c r="AJ33" s="972"/>
      <c r="AK33" s="972"/>
      <c r="AL33" s="972"/>
      <c r="AM33" s="972"/>
      <c r="AN33" s="972"/>
      <c r="AO33" s="972"/>
      <c r="AP33" s="972"/>
      <c r="AQ33" s="956">
        <f t="shared" si="4"/>
        <v>13</v>
      </c>
      <c r="AR33" s="956">
        <f t="shared" si="5"/>
        <v>1</v>
      </c>
      <c r="AS33" s="956">
        <f t="shared" si="6"/>
        <v>14</v>
      </c>
      <c r="AT33" s="956">
        <v>9</v>
      </c>
      <c r="AU33" s="981"/>
      <c r="AV33" s="981"/>
      <c r="AW33" s="981"/>
      <c r="AX33" s="993"/>
      <c r="AY33" s="993"/>
      <c r="AZ33" s="833">
        <f t="shared" si="7"/>
        <v>0</v>
      </c>
      <c r="BA33" s="983">
        <f t="shared" si="0"/>
        <v>0</v>
      </c>
      <c r="BB33" s="983">
        <f t="shared" si="1"/>
        <v>0</v>
      </c>
      <c r="BC33" s="983">
        <f t="shared" si="2"/>
        <v>0</v>
      </c>
      <c r="BD33" s="983">
        <f t="shared" si="3"/>
        <v>0</v>
      </c>
      <c r="BE33" s="983">
        <f t="shared" si="8"/>
        <v>0</v>
      </c>
      <c r="BF33" s="871">
        <f t="shared" si="9"/>
        <v>14</v>
      </c>
    </row>
    <row r="34" spans="1:58" s="8" customFormat="1" ht="20.100000000000001" customHeight="1">
      <c r="A34" s="956">
        <v>27</v>
      </c>
      <c r="B34" s="955">
        <v>1</v>
      </c>
      <c r="C34" s="956">
        <v>27</v>
      </c>
      <c r="D34" s="957"/>
      <c r="E34" s="957"/>
      <c r="F34" s="956"/>
      <c r="G34" s="958">
        <v>0</v>
      </c>
      <c r="H34" s="958" t="s">
        <v>1335</v>
      </c>
      <c r="I34" s="958" t="s">
        <v>1335</v>
      </c>
      <c r="J34" s="958"/>
      <c r="K34" s="958" t="s">
        <v>1335</v>
      </c>
      <c r="L34" s="958" t="s">
        <v>1335</v>
      </c>
      <c r="M34" s="958" t="s">
        <v>1335</v>
      </c>
      <c r="N34" s="958">
        <v>0</v>
      </c>
      <c r="O34" s="958" t="s">
        <v>1335</v>
      </c>
      <c r="P34" s="958" t="s">
        <v>1335</v>
      </c>
      <c r="Q34" s="958" t="s">
        <v>1335</v>
      </c>
      <c r="R34" s="958" t="s">
        <v>1335</v>
      </c>
      <c r="S34" s="958" t="s">
        <v>1335</v>
      </c>
      <c r="T34" s="958" t="s">
        <v>1335</v>
      </c>
      <c r="U34" s="958" t="s">
        <v>1335</v>
      </c>
      <c r="V34" s="966" t="s">
        <v>1335</v>
      </c>
      <c r="W34" s="966"/>
      <c r="X34" s="966"/>
      <c r="Y34" s="970"/>
      <c r="Z34" s="966"/>
      <c r="AA34" s="971"/>
      <c r="AB34" s="972"/>
      <c r="AC34" s="972"/>
      <c r="AD34" s="972"/>
      <c r="AE34" s="972"/>
      <c r="AF34" s="972"/>
      <c r="AG34" s="972"/>
      <c r="AH34" s="972"/>
      <c r="AI34" s="972"/>
      <c r="AJ34" s="972"/>
      <c r="AK34" s="972"/>
      <c r="AL34" s="972"/>
      <c r="AM34" s="972"/>
      <c r="AN34" s="972"/>
      <c r="AO34" s="972"/>
      <c r="AP34" s="972"/>
      <c r="AQ34" s="956">
        <f t="shared" si="4"/>
        <v>12</v>
      </c>
      <c r="AR34" s="956">
        <f t="shared" si="5"/>
        <v>1</v>
      </c>
      <c r="AS34" s="956">
        <f t="shared" si="6"/>
        <v>13</v>
      </c>
      <c r="AT34" s="956">
        <v>9</v>
      </c>
      <c r="AU34" s="981"/>
      <c r="AV34" s="981"/>
      <c r="AW34" s="981"/>
      <c r="AX34" s="993"/>
      <c r="AY34" s="993"/>
      <c r="AZ34" s="833">
        <f t="shared" si="7"/>
        <v>0</v>
      </c>
      <c r="BA34" s="983">
        <f t="shared" si="0"/>
        <v>0</v>
      </c>
      <c r="BB34" s="983">
        <f t="shared" si="1"/>
        <v>0</v>
      </c>
      <c r="BC34" s="983">
        <f t="shared" si="2"/>
        <v>0</v>
      </c>
      <c r="BD34" s="983">
        <f t="shared" si="3"/>
        <v>0</v>
      </c>
      <c r="BE34" s="983">
        <f t="shared" si="8"/>
        <v>0</v>
      </c>
      <c r="BF34" s="871">
        <f t="shared" si="9"/>
        <v>13</v>
      </c>
    </row>
    <row r="35" spans="1:58" s="8" customFormat="1" ht="20.100000000000001" customHeight="1">
      <c r="A35" s="956">
        <v>28</v>
      </c>
      <c r="B35" s="955">
        <v>1</v>
      </c>
      <c r="C35" s="956">
        <v>28</v>
      </c>
      <c r="D35" s="957"/>
      <c r="E35" s="957"/>
      <c r="F35" s="956"/>
      <c r="G35" s="958" t="s">
        <v>1335</v>
      </c>
      <c r="H35" s="958" t="s">
        <v>1335</v>
      </c>
      <c r="I35" s="958" t="s">
        <v>1335</v>
      </c>
      <c r="J35" s="958"/>
      <c r="K35" s="958" t="s">
        <v>1335</v>
      </c>
      <c r="L35" s="958" t="s">
        <v>1335</v>
      </c>
      <c r="M35" s="958">
        <v>0</v>
      </c>
      <c r="N35" s="958" t="s">
        <v>1335</v>
      </c>
      <c r="O35" s="958" t="s">
        <v>1335</v>
      </c>
      <c r="P35" s="958" t="s">
        <v>1335</v>
      </c>
      <c r="Q35" s="958" t="s">
        <v>1335</v>
      </c>
      <c r="R35" s="958" t="s">
        <v>1335</v>
      </c>
      <c r="S35" s="958" t="s">
        <v>1335</v>
      </c>
      <c r="T35" s="958" t="s">
        <v>1335</v>
      </c>
      <c r="U35" s="958" t="s">
        <v>1335</v>
      </c>
      <c r="V35" s="966"/>
      <c r="W35" s="966"/>
      <c r="X35" s="966"/>
      <c r="Y35" s="970"/>
      <c r="Z35" s="966"/>
      <c r="AA35" s="971"/>
      <c r="AB35" s="972"/>
      <c r="AC35" s="972"/>
      <c r="AD35" s="972"/>
      <c r="AE35" s="972"/>
      <c r="AF35" s="972"/>
      <c r="AG35" s="972"/>
      <c r="AH35" s="972"/>
      <c r="AI35" s="972"/>
      <c r="AJ35" s="972"/>
      <c r="AK35" s="972"/>
      <c r="AL35" s="972"/>
      <c r="AM35" s="972"/>
      <c r="AN35" s="972"/>
      <c r="AO35" s="972"/>
      <c r="AP35" s="972"/>
      <c r="AQ35" s="956">
        <f t="shared" si="4"/>
        <v>13</v>
      </c>
      <c r="AR35" s="956">
        <f t="shared" si="5"/>
        <v>0</v>
      </c>
      <c r="AS35" s="956">
        <f t="shared" si="6"/>
        <v>13</v>
      </c>
      <c r="AT35" s="956">
        <v>9</v>
      </c>
      <c r="AU35" s="981"/>
      <c r="AV35" s="981"/>
      <c r="AW35" s="981"/>
      <c r="AX35" s="993"/>
      <c r="AY35" s="993"/>
      <c r="AZ35" s="833">
        <f t="shared" si="7"/>
        <v>0</v>
      </c>
      <c r="BA35" s="983">
        <f t="shared" si="0"/>
        <v>0</v>
      </c>
      <c r="BB35" s="983">
        <f t="shared" si="1"/>
        <v>0</v>
      </c>
      <c r="BC35" s="983">
        <f t="shared" si="2"/>
        <v>0</v>
      </c>
      <c r="BD35" s="983">
        <f t="shared" si="3"/>
        <v>0</v>
      </c>
      <c r="BE35" s="983">
        <f t="shared" si="8"/>
        <v>0</v>
      </c>
      <c r="BF35" s="871">
        <f t="shared" si="9"/>
        <v>13</v>
      </c>
    </row>
    <row r="36" spans="1:58" s="8" customFormat="1" ht="20.100000000000001" customHeight="1">
      <c r="A36" s="956">
        <v>29</v>
      </c>
      <c r="B36" s="955">
        <v>1</v>
      </c>
      <c r="C36" s="956">
        <v>29</v>
      </c>
      <c r="D36" s="957"/>
      <c r="E36" s="957"/>
      <c r="F36" s="956"/>
      <c r="G36" s="958" t="s">
        <v>1335</v>
      </c>
      <c r="H36" s="958" t="s">
        <v>1335</v>
      </c>
      <c r="I36" s="958">
        <v>0</v>
      </c>
      <c r="J36" s="958"/>
      <c r="K36" s="958" t="s">
        <v>1335</v>
      </c>
      <c r="L36" s="958">
        <v>0</v>
      </c>
      <c r="M36" s="958" t="s">
        <v>1335</v>
      </c>
      <c r="N36" s="958" t="s">
        <v>1335</v>
      </c>
      <c r="O36" s="958" t="s">
        <v>1335</v>
      </c>
      <c r="P36" s="958" t="s">
        <v>1335</v>
      </c>
      <c r="Q36" s="958" t="s">
        <v>1335</v>
      </c>
      <c r="R36" s="958" t="s">
        <v>1335</v>
      </c>
      <c r="S36" s="958" t="s">
        <v>1335</v>
      </c>
      <c r="T36" s="958">
        <v>0</v>
      </c>
      <c r="U36" s="958" t="s">
        <v>1335</v>
      </c>
      <c r="V36" s="966"/>
      <c r="W36" s="966"/>
      <c r="X36" s="966"/>
      <c r="Y36" s="970"/>
      <c r="Z36" s="966"/>
      <c r="AA36" s="971"/>
      <c r="AB36" s="972"/>
      <c r="AC36" s="972"/>
      <c r="AD36" s="972"/>
      <c r="AE36" s="972"/>
      <c r="AF36" s="972"/>
      <c r="AG36" s="972"/>
      <c r="AH36" s="972"/>
      <c r="AI36" s="972"/>
      <c r="AJ36" s="972"/>
      <c r="AK36" s="972"/>
      <c r="AL36" s="972"/>
      <c r="AM36" s="972"/>
      <c r="AN36" s="972"/>
      <c r="AO36" s="972"/>
      <c r="AP36" s="972"/>
      <c r="AQ36" s="956">
        <f t="shared" si="4"/>
        <v>11</v>
      </c>
      <c r="AR36" s="956">
        <f t="shared" si="5"/>
        <v>0</v>
      </c>
      <c r="AS36" s="956">
        <f t="shared" si="6"/>
        <v>11</v>
      </c>
      <c r="AT36" s="956">
        <v>9</v>
      </c>
      <c r="AU36" s="981"/>
      <c r="AV36" s="981"/>
      <c r="AW36" s="981"/>
      <c r="AX36" s="993"/>
      <c r="AY36" s="993"/>
      <c r="AZ36" s="833">
        <f t="shared" si="7"/>
        <v>0</v>
      </c>
      <c r="BA36" s="983">
        <f t="shared" si="0"/>
        <v>0</v>
      </c>
      <c r="BB36" s="983">
        <f t="shared" si="1"/>
        <v>0</v>
      </c>
      <c r="BC36" s="983">
        <f t="shared" si="2"/>
        <v>0</v>
      </c>
      <c r="BD36" s="983">
        <f t="shared" si="3"/>
        <v>0</v>
      </c>
      <c r="BE36" s="983">
        <f t="shared" si="8"/>
        <v>0</v>
      </c>
      <c r="BF36" s="871">
        <f t="shared" si="9"/>
        <v>0</v>
      </c>
    </row>
    <row r="37" spans="1:58" s="8" customFormat="1" ht="20.100000000000001" customHeight="1">
      <c r="A37" s="956">
        <v>30</v>
      </c>
      <c r="B37" s="955">
        <v>1</v>
      </c>
      <c r="C37" s="956">
        <v>30</v>
      </c>
      <c r="D37" s="957"/>
      <c r="E37" s="957"/>
      <c r="F37" s="956"/>
      <c r="G37" s="958" t="s">
        <v>1335</v>
      </c>
      <c r="H37" s="958" t="s">
        <v>1335</v>
      </c>
      <c r="I37" s="958" t="s">
        <v>1335</v>
      </c>
      <c r="J37" s="958"/>
      <c r="K37" s="958" t="s">
        <v>1335</v>
      </c>
      <c r="L37" s="958" t="s">
        <v>1335</v>
      </c>
      <c r="M37" s="958" t="s">
        <v>1335</v>
      </c>
      <c r="N37" s="958" t="s">
        <v>1335</v>
      </c>
      <c r="O37" s="958" t="s">
        <v>1335</v>
      </c>
      <c r="P37" s="958" t="s">
        <v>1335</v>
      </c>
      <c r="Q37" s="958" t="s">
        <v>1335</v>
      </c>
      <c r="R37" s="958" t="s">
        <v>1335</v>
      </c>
      <c r="S37" s="958" t="s">
        <v>1335</v>
      </c>
      <c r="T37" s="958" t="s">
        <v>1335</v>
      </c>
      <c r="U37" s="958" t="s">
        <v>1335</v>
      </c>
      <c r="V37" s="966"/>
      <c r="W37" s="966"/>
      <c r="X37" s="966"/>
      <c r="Y37" s="970"/>
      <c r="Z37" s="966"/>
      <c r="AA37" s="971"/>
      <c r="AB37" s="972"/>
      <c r="AC37" s="972"/>
      <c r="AD37" s="972"/>
      <c r="AE37" s="972"/>
      <c r="AF37" s="972"/>
      <c r="AG37" s="972"/>
      <c r="AH37" s="972"/>
      <c r="AI37" s="972"/>
      <c r="AJ37" s="972"/>
      <c r="AK37" s="972"/>
      <c r="AL37" s="972"/>
      <c r="AM37" s="972"/>
      <c r="AN37" s="972"/>
      <c r="AO37" s="972"/>
      <c r="AP37" s="972"/>
      <c r="AQ37" s="956">
        <f t="shared" si="4"/>
        <v>14</v>
      </c>
      <c r="AR37" s="956">
        <f t="shared" si="5"/>
        <v>0</v>
      </c>
      <c r="AS37" s="956">
        <f t="shared" si="6"/>
        <v>14</v>
      </c>
      <c r="AT37" s="956">
        <v>9</v>
      </c>
      <c r="AU37" s="981"/>
      <c r="AV37" s="981"/>
      <c r="AW37" s="981"/>
      <c r="AX37" s="993"/>
      <c r="AY37" s="993"/>
      <c r="AZ37" s="833">
        <f t="shared" si="7"/>
        <v>0</v>
      </c>
      <c r="BA37" s="983">
        <f t="shared" si="0"/>
        <v>0</v>
      </c>
      <c r="BB37" s="983">
        <f t="shared" si="1"/>
        <v>0</v>
      </c>
      <c r="BC37" s="983">
        <f t="shared" si="2"/>
        <v>0</v>
      </c>
      <c r="BD37" s="983">
        <f t="shared" si="3"/>
        <v>0</v>
      </c>
      <c r="BE37" s="983">
        <f t="shared" si="8"/>
        <v>0</v>
      </c>
      <c r="BF37" s="871">
        <f t="shared" si="9"/>
        <v>14</v>
      </c>
    </row>
    <row r="38" spans="1:58" s="8" customFormat="1" ht="20.100000000000001" customHeight="1">
      <c r="A38" s="956">
        <v>31</v>
      </c>
      <c r="B38" s="955">
        <v>1</v>
      </c>
      <c r="C38" s="956">
        <v>31</v>
      </c>
      <c r="D38" s="957"/>
      <c r="E38" s="957"/>
      <c r="F38" s="956"/>
      <c r="G38" s="958" t="s">
        <v>1335</v>
      </c>
      <c r="H38" s="958">
        <v>0</v>
      </c>
      <c r="I38" s="958" t="s">
        <v>1335</v>
      </c>
      <c r="J38" s="958"/>
      <c r="K38" s="958" t="s">
        <v>1335</v>
      </c>
      <c r="L38" s="958" t="s">
        <v>1335</v>
      </c>
      <c r="M38" s="958" t="s">
        <v>1335</v>
      </c>
      <c r="N38" s="958" t="s">
        <v>1335</v>
      </c>
      <c r="O38" s="958" t="s">
        <v>1335</v>
      </c>
      <c r="P38" s="958" t="s">
        <v>1335</v>
      </c>
      <c r="Q38" s="958" t="s">
        <v>1335</v>
      </c>
      <c r="R38" s="958" t="s">
        <v>1335</v>
      </c>
      <c r="S38" s="958" t="s">
        <v>1335</v>
      </c>
      <c r="T38" s="958" t="s">
        <v>1335</v>
      </c>
      <c r="U38" s="958" t="s">
        <v>1335</v>
      </c>
      <c r="V38" s="966"/>
      <c r="W38" s="966"/>
      <c r="X38" s="966"/>
      <c r="Y38" s="970"/>
      <c r="Z38" s="966"/>
      <c r="AA38" s="971"/>
      <c r="AB38" s="972"/>
      <c r="AC38" s="972"/>
      <c r="AD38" s="972"/>
      <c r="AE38" s="972"/>
      <c r="AF38" s="972"/>
      <c r="AG38" s="972"/>
      <c r="AH38" s="972"/>
      <c r="AI38" s="972"/>
      <c r="AJ38" s="972"/>
      <c r="AK38" s="972"/>
      <c r="AL38" s="972"/>
      <c r="AM38" s="972"/>
      <c r="AN38" s="972"/>
      <c r="AO38" s="972"/>
      <c r="AP38" s="972"/>
      <c r="AQ38" s="956">
        <f t="shared" si="4"/>
        <v>13</v>
      </c>
      <c r="AR38" s="956">
        <f t="shared" si="5"/>
        <v>0</v>
      </c>
      <c r="AS38" s="956">
        <f t="shared" si="6"/>
        <v>13</v>
      </c>
      <c r="AT38" s="956">
        <v>9</v>
      </c>
      <c r="AU38" s="981"/>
      <c r="AV38" s="981"/>
      <c r="AW38" s="981"/>
      <c r="AX38" s="993"/>
      <c r="AY38" s="993"/>
      <c r="AZ38" s="833">
        <f t="shared" si="7"/>
        <v>0</v>
      </c>
      <c r="BA38" s="983">
        <f t="shared" si="0"/>
        <v>0</v>
      </c>
      <c r="BB38" s="983">
        <f t="shared" si="1"/>
        <v>0</v>
      </c>
      <c r="BC38" s="983">
        <f t="shared" si="2"/>
        <v>0</v>
      </c>
      <c r="BD38" s="983">
        <f t="shared" si="3"/>
        <v>0</v>
      </c>
      <c r="BE38" s="983">
        <f t="shared" si="8"/>
        <v>0</v>
      </c>
      <c r="BF38" s="871">
        <f t="shared" si="9"/>
        <v>13</v>
      </c>
    </row>
    <row r="39" spans="1:58" s="8" customFormat="1" ht="20.100000000000001" customHeight="1">
      <c r="A39" s="956">
        <v>32</v>
      </c>
      <c r="B39" s="955">
        <v>1</v>
      </c>
      <c r="C39" s="956">
        <v>32</v>
      </c>
      <c r="D39" s="957"/>
      <c r="E39" s="957"/>
      <c r="F39" s="956"/>
      <c r="G39" s="958" t="s">
        <v>1335</v>
      </c>
      <c r="H39" s="958" t="s">
        <v>1335</v>
      </c>
      <c r="I39" s="958" t="s">
        <v>1335</v>
      </c>
      <c r="J39" s="958"/>
      <c r="K39" s="958" t="s">
        <v>1335</v>
      </c>
      <c r="L39" s="958" t="s">
        <v>1335</v>
      </c>
      <c r="M39" s="958" t="s">
        <v>1335</v>
      </c>
      <c r="N39" s="958" t="s">
        <v>1335</v>
      </c>
      <c r="O39" s="958" t="s">
        <v>1335</v>
      </c>
      <c r="P39" s="958" t="s">
        <v>1335</v>
      </c>
      <c r="Q39" s="958" t="s">
        <v>1335</v>
      </c>
      <c r="R39" s="958" t="s">
        <v>1335</v>
      </c>
      <c r="S39" s="958" t="s">
        <v>1335</v>
      </c>
      <c r="T39" s="958" t="s">
        <v>1335</v>
      </c>
      <c r="U39" s="958" t="s">
        <v>1335</v>
      </c>
      <c r="V39" s="966"/>
      <c r="W39" s="966"/>
      <c r="X39" s="966"/>
      <c r="Y39" s="970"/>
      <c r="Z39" s="966"/>
      <c r="AA39" s="971"/>
      <c r="AB39" s="972"/>
      <c r="AC39" s="972"/>
      <c r="AD39" s="972"/>
      <c r="AE39" s="972"/>
      <c r="AF39" s="972"/>
      <c r="AG39" s="972"/>
      <c r="AH39" s="972"/>
      <c r="AI39" s="972"/>
      <c r="AJ39" s="972"/>
      <c r="AK39" s="972"/>
      <c r="AL39" s="972"/>
      <c r="AM39" s="972"/>
      <c r="AN39" s="972"/>
      <c r="AO39" s="972"/>
      <c r="AP39" s="972"/>
      <c r="AQ39" s="956">
        <f t="shared" si="4"/>
        <v>14</v>
      </c>
      <c r="AR39" s="956">
        <f t="shared" si="5"/>
        <v>0</v>
      </c>
      <c r="AS39" s="956">
        <f t="shared" si="6"/>
        <v>14</v>
      </c>
      <c r="AT39" s="956">
        <v>9</v>
      </c>
      <c r="AU39" s="981"/>
      <c r="AV39" s="981"/>
      <c r="AW39" s="981"/>
      <c r="AX39" s="993"/>
      <c r="AY39" s="993"/>
      <c r="AZ39" s="833">
        <f t="shared" si="7"/>
        <v>0</v>
      </c>
      <c r="BA39" s="983">
        <f t="shared" si="0"/>
        <v>0</v>
      </c>
      <c r="BB39" s="983">
        <f t="shared" si="1"/>
        <v>0</v>
      </c>
      <c r="BC39" s="983">
        <f t="shared" si="2"/>
        <v>0</v>
      </c>
      <c r="BD39" s="983">
        <f t="shared" si="3"/>
        <v>0</v>
      </c>
      <c r="BE39" s="983">
        <f t="shared" si="8"/>
        <v>0</v>
      </c>
      <c r="BF39" s="871">
        <f t="shared" si="9"/>
        <v>14</v>
      </c>
    </row>
    <row r="40" spans="1:58" s="8" customFormat="1" ht="20.100000000000001" customHeight="1">
      <c r="A40" s="956">
        <v>33</v>
      </c>
      <c r="B40" s="955">
        <v>1</v>
      </c>
      <c r="C40" s="956">
        <v>33</v>
      </c>
      <c r="D40" s="957"/>
      <c r="E40" s="957"/>
      <c r="F40" s="956"/>
      <c r="G40" s="958" t="s">
        <v>1335</v>
      </c>
      <c r="H40" s="958" t="s">
        <v>1335</v>
      </c>
      <c r="I40" s="958" t="s">
        <v>1335</v>
      </c>
      <c r="J40" s="958"/>
      <c r="K40" s="958" t="s">
        <v>1335</v>
      </c>
      <c r="L40" s="958" t="s">
        <v>1335</v>
      </c>
      <c r="M40" s="958" t="s">
        <v>1335</v>
      </c>
      <c r="N40" s="958" t="s">
        <v>1335</v>
      </c>
      <c r="O40" s="958" t="s">
        <v>1335</v>
      </c>
      <c r="P40" s="958" t="s">
        <v>1335</v>
      </c>
      <c r="Q40" s="958" t="s">
        <v>1335</v>
      </c>
      <c r="R40" s="958" t="s">
        <v>1335</v>
      </c>
      <c r="S40" s="958" t="s">
        <v>1335</v>
      </c>
      <c r="T40" s="958" t="s">
        <v>1335</v>
      </c>
      <c r="U40" s="958" t="s">
        <v>1335</v>
      </c>
      <c r="V40" s="966"/>
      <c r="W40" s="966"/>
      <c r="X40" s="966"/>
      <c r="Y40" s="970"/>
      <c r="Z40" s="966"/>
      <c r="AA40" s="971"/>
      <c r="AB40" s="972"/>
      <c r="AC40" s="972"/>
      <c r="AD40" s="972"/>
      <c r="AE40" s="972"/>
      <c r="AF40" s="972"/>
      <c r="AG40" s="972"/>
      <c r="AH40" s="972"/>
      <c r="AI40" s="972"/>
      <c r="AJ40" s="972"/>
      <c r="AK40" s="972"/>
      <c r="AL40" s="972"/>
      <c r="AM40" s="972"/>
      <c r="AN40" s="972"/>
      <c r="AO40" s="972"/>
      <c r="AP40" s="972"/>
      <c r="AQ40" s="956">
        <f t="shared" si="4"/>
        <v>14</v>
      </c>
      <c r="AR40" s="956">
        <f t="shared" si="5"/>
        <v>0</v>
      </c>
      <c r="AS40" s="956">
        <f t="shared" si="6"/>
        <v>14</v>
      </c>
      <c r="AT40" s="956">
        <v>9</v>
      </c>
      <c r="AU40" s="981"/>
      <c r="AV40" s="981"/>
      <c r="AW40" s="981"/>
      <c r="AX40" s="993"/>
      <c r="AY40" s="993"/>
      <c r="AZ40" s="833">
        <f t="shared" si="7"/>
        <v>0</v>
      </c>
      <c r="BA40" s="983">
        <f t="shared" si="0"/>
        <v>0</v>
      </c>
      <c r="BB40" s="983">
        <f t="shared" si="1"/>
        <v>0</v>
      </c>
      <c r="BC40" s="983">
        <f t="shared" si="2"/>
        <v>0</v>
      </c>
      <c r="BD40" s="983">
        <f t="shared" si="3"/>
        <v>0</v>
      </c>
      <c r="BE40" s="983">
        <f t="shared" si="8"/>
        <v>0</v>
      </c>
      <c r="BF40" s="871">
        <f t="shared" si="9"/>
        <v>14</v>
      </c>
    </row>
    <row r="41" spans="1:58" s="8" customFormat="1" ht="20.100000000000001" customHeight="1">
      <c r="A41" s="956">
        <v>34</v>
      </c>
      <c r="B41" s="955">
        <v>1</v>
      </c>
      <c r="C41" s="956">
        <v>34</v>
      </c>
      <c r="D41" s="957"/>
      <c r="E41" s="957"/>
      <c r="F41" s="956"/>
      <c r="G41" s="958" t="s">
        <v>1335</v>
      </c>
      <c r="H41" s="958" t="s">
        <v>1335</v>
      </c>
      <c r="I41" s="958" t="s">
        <v>1335</v>
      </c>
      <c r="J41" s="958"/>
      <c r="K41" s="958" t="s">
        <v>1335</v>
      </c>
      <c r="L41" s="958" t="s">
        <v>1335</v>
      </c>
      <c r="M41" s="958" t="s">
        <v>1335</v>
      </c>
      <c r="N41" s="958" t="s">
        <v>1335</v>
      </c>
      <c r="O41" s="958" t="s">
        <v>1335</v>
      </c>
      <c r="P41" s="958" t="s">
        <v>1335</v>
      </c>
      <c r="Q41" s="958" t="s">
        <v>1335</v>
      </c>
      <c r="R41" s="958" t="s">
        <v>1335</v>
      </c>
      <c r="S41" s="958" t="s">
        <v>1335</v>
      </c>
      <c r="T41" s="958" t="s">
        <v>1335</v>
      </c>
      <c r="U41" s="958" t="s">
        <v>1335</v>
      </c>
      <c r="V41" s="966"/>
      <c r="W41" s="966"/>
      <c r="X41" s="966"/>
      <c r="Y41" s="970"/>
      <c r="Z41" s="966"/>
      <c r="AA41" s="971"/>
      <c r="AB41" s="972"/>
      <c r="AC41" s="972"/>
      <c r="AD41" s="972"/>
      <c r="AE41" s="972"/>
      <c r="AF41" s="972"/>
      <c r="AG41" s="972"/>
      <c r="AH41" s="972"/>
      <c r="AI41" s="972"/>
      <c r="AJ41" s="972"/>
      <c r="AK41" s="972"/>
      <c r="AL41" s="972"/>
      <c r="AM41" s="972"/>
      <c r="AN41" s="972"/>
      <c r="AO41" s="972"/>
      <c r="AP41" s="972"/>
      <c r="AQ41" s="956">
        <f t="shared" si="4"/>
        <v>14</v>
      </c>
      <c r="AR41" s="956">
        <f t="shared" si="5"/>
        <v>0</v>
      </c>
      <c r="AS41" s="956">
        <f t="shared" si="6"/>
        <v>14</v>
      </c>
      <c r="AT41" s="956">
        <v>9</v>
      </c>
      <c r="AU41" s="981"/>
      <c r="AV41" s="981"/>
      <c r="AW41" s="981"/>
      <c r="AX41" s="993"/>
      <c r="AY41" s="993"/>
      <c r="AZ41" s="833">
        <f t="shared" si="7"/>
        <v>0</v>
      </c>
      <c r="BA41" s="983">
        <f t="shared" si="0"/>
        <v>0</v>
      </c>
      <c r="BB41" s="983">
        <f t="shared" si="1"/>
        <v>0</v>
      </c>
      <c r="BC41" s="983">
        <f t="shared" si="2"/>
        <v>0</v>
      </c>
      <c r="BD41" s="983">
        <f t="shared" si="3"/>
        <v>0</v>
      </c>
      <c r="BE41" s="983">
        <f t="shared" si="8"/>
        <v>0</v>
      </c>
      <c r="BF41" s="871">
        <f t="shared" si="9"/>
        <v>14</v>
      </c>
    </row>
    <row r="42" spans="1:58" s="8" customFormat="1" ht="20.100000000000001" customHeight="1">
      <c r="A42" s="956">
        <v>35</v>
      </c>
      <c r="B42" s="955">
        <v>1</v>
      </c>
      <c r="C42" s="956">
        <v>35</v>
      </c>
      <c r="D42" s="957"/>
      <c r="E42" s="957"/>
      <c r="F42" s="956"/>
      <c r="G42" s="958" t="s">
        <v>1335</v>
      </c>
      <c r="H42" s="958" t="s">
        <v>1335</v>
      </c>
      <c r="I42" s="958" t="s">
        <v>1335</v>
      </c>
      <c r="J42" s="958"/>
      <c r="K42" s="958" t="s">
        <v>1335</v>
      </c>
      <c r="L42" s="958" t="s">
        <v>1335</v>
      </c>
      <c r="M42" s="958" t="s">
        <v>1335</v>
      </c>
      <c r="N42" s="958" t="s">
        <v>1335</v>
      </c>
      <c r="O42" s="958" t="s">
        <v>1335</v>
      </c>
      <c r="P42" s="958" t="s">
        <v>1335</v>
      </c>
      <c r="Q42" s="958" t="s">
        <v>1335</v>
      </c>
      <c r="R42" s="958" t="s">
        <v>1335</v>
      </c>
      <c r="S42" s="958" t="s">
        <v>1335</v>
      </c>
      <c r="T42" s="958" t="s">
        <v>1335</v>
      </c>
      <c r="U42" s="958" t="s">
        <v>1335</v>
      </c>
      <c r="V42" s="966"/>
      <c r="W42" s="966"/>
      <c r="X42" s="966"/>
      <c r="Y42" s="970"/>
      <c r="Z42" s="966"/>
      <c r="AA42" s="971"/>
      <c r="AB42" s="972"/>
      <c r="AC42" s="972"/>
      <c r="AD42" s="972"/>
      <c r="AE42" s="972"/>
      <c r="AF42" s="972"/>
      <c r="AG42" s="972"/>
      <c r="AH42" s="972"/>
      <c r="AI42" s="972"/>
      <c r="AJ42" s="972"/>
      <c r="AK42" s="972"/>
      <c r="AL42" s="972"/>
      <c r="AM42" s="972"/>
      <c r="AN42" s="972"/>
      <c r="AO42" s="972"/>
      <c r="AP42" s="972"/>
      <c r="AQ42" s="956">
        <f t="shared" si="4"/>
        <v>14</v>
      </c>
      <c r="AR42" s="956">
        <f t="shared" si="5"/>
        <v>0</v>
      </c>
      <c r="AS42" s="956">
        <f t="shared" si="6"/>
        <v>14</v>
      </c>
      <c r="AT42" s="982">
        <v>6</v>
      </c>
      <c r="AU42" s="981"/>
      <c r="AV42" s="981"/>
      <c r="AW42" s="981"/>
      <c r="AX42" s="993"/>
      <c r="AY42" s="993"/>
      <c r="AZ42" s="833">
        <f t="shared" si="7"/>
        <v>0</v>
      </c>
      <c r="BA42" s="983">
        <f t="shared" si="0"/>
        <v>0</v>
      </c>
      <c r="BB42" s="983">
        <f t="shared" si="1"/>
        <v>0</v>
      </c>
      <c r="BC42" s="983">
        <f t="shared" si="2"/>
        <v>0</v>
      </c>
      <c r="BD42" s="983">
        <f t="shared" si="3"/>
        <v>0</v>
      </c>
      <c r="BE42" s="983">
        <f t="shared" si="8"/>
        <v>0</v>
      </c>
      <c r="BF42" s="871">
        <f t="shared" si="9"/>
        <v>14</v>
      </c>
    </row>
    <row r="43" spans="1:58" s="8" customFormat="1" ht="20.100000000000001" customHeight="1">
      <c r="A43" s="956">
        <v>36</v>
      </c>
      <c r="B43" s="955">
        <v>1</v>
      </c>
      <c r="C43" s="956">
        <v>36</v>
      </c>
      <c r="D43" s="957"/>
      <c r="E43" s="957"/>
      <c r="F43" s="956"/>
      <c r="G43" s="958" t="s">
        <v>1335</v>
      </c>
      <c r="H43" s="958" t="s">
        <v>1335</v>
      </c>
      <c r="I43" s="958" t="s">
        <v>1335</v>
      </c>
      <c r="J43" s="958"/>
      <c r="K43" s="958" t="s">
        <v>1335</v>
      </c>
      <c r="L43" s="958" t="s">
        <v>1335</v>
      </c>
      <c r="M43" s="958" t="s">
        <v>1335</v>
      </c>
      <c r="N43" s="958" t="s">
        <v>1335</v>
      </c>
      <c r="O43" s="958" t="s">
        <v>1335</v>
      </c>
      <c r="P43" s="958" t="s">
        <v>1335</v>
      </c>
      <c r="Q43" s="958" t="s">
        <v>1335</v>
      </c>
      <c r="R43" s="958" t="s">
        <v>1335</v>
      </c>
      <c r="S43" s="958" t="s">
        <v>1335</v>
      </c>
      <c r="T43" s="958" t="s">
        <v>1335</v>
      </c>
      <c r="U43" s="958" t="s">
        <v>1335</v>
      </c>
      <c r="V43" s="966"/>
      <c r="W43" s="966"/>
      <c r="X43" s="966"/>
      <c r="Y43" s="970"/>
      <c r="Z43" s="966"/>
      <c r="AA43" s="971"/>
      <c r="AB43" s="972"/>
      <c r="AC43" s="972"/>
      <c r="AD43" s="972"/>
      <c r="AE43" s="972"/>
      <c r="AF43" s="972"/>
      <c r="AG43" s="972"/>
      <c r="AH43" s="972"/>
      <c r="AI43" s="972"/>
      <c r="AJ43" s="972"/>
      <c r="AK43" s="972"/>
      <c r="AL43" s="972"/>
      <c r="AM43" s="972"/>
      <c r="AN43" s="972"/>
      <c r="AO43" s="972"/>
      <c r="AP43" s="972"/>
      <c r="AQ43" s="956">
        <f t="shared" si="4"/>
        <v>14</v>
      </c>
      <c r="AR43" s="956">
        <f t="shared" si="5"/>
        <v>0</v>
      </c>
      <c r="AS43" s="956">
        <f t="shared" si="6"/>
        <v>14</v>
      </c>
      <c r="AT43" s="956">
        <v>9</v>
      </c>
      <c r="AU43" s="981"/>
      <c r="AV43" s="981"/>
      <c r="AW43" s="981"/>
      <c r="AX43" s="993"/>
      <c r="AY43" s="993"/>
      <c r="AZ43" s="833">
        <f t="shared" si="7"/>
        <v>0</v>
      </c>
      <c r="BA43" s="983">
        <f t="shared" si="0"/>
        <v>0</v>
      </c>
      <c r="BB43" s="983">
        <f t="shared" si="1"/>
        <v>0</v>
      </c>
      <c r="BC43" s="983">
        <f t="shared" si="2"/>
        <v>0</v>
      </c>
      <c r="BD43" s="983">
        <f t="shared" si="3"/>
        <v>0</v>
      </c>
      <c r="BE43" s="983">
        <f t="shared" si="8"/>
        <v>0</v>
      </c>
      <c r="BF43" s="871">
        <f t="shared" si="9"/>
        <v>14</v>
      </c>
    </row>
    <row r="44" spans="1:58" s="8" customFormat="1" ht="20.100000000000001" customHeight="1">
      <c r="A44" s="956">
        <v>37</v>
      </c>
      <c r="B44" s="955">
        <v>1</v>
      </c>
      <c r="C44" s="956">
        <v>37</v>
      </c>
      <c r="D44" s="957"/>
      <c r="E44" s="957"/>
      <c r="F44" s="956"/>
      <c r="G44" s="958" t="s">
        <v>1335</v>
      </c>
      <c r="H44" s="958" t="s">
        <v>1335</v>
      </c>
      <c r="I44" s="958" t="s">
        <v>1335</v>
      </c>
      <c r="J44" s="958"/>
      <c r="K44" s="958" t="s">
        <v>1335</v>
      </c>
      <c r="L44" s="958" t="s">
        <v>1335</v>
      </c>
      <c r="M44" s="958" t="s">
        <v>1335</v>
      </c>
      <c r="N44" s="958" t="s">
        <v>1335</v>
      </c>
      <c r="O44" s="958" t="s">
        <v>1335</v>
      </c>
      <c r="P44" s="958" t="s">
        <v>1335</v>
      </c>
      <c r="Q44" s="958" t="s">
        <v>1335</v>
      </c>
      <c r="R44" s="958" t="s">
        <v>1335</v>
      </c>
      <c r="S44" s="958" t="s">
        <v>1335</v>
      </c>
      <c r="T44" s="958" t="s">
        <v>1335</v>
      </c>
      <c r="U44" s="958" t="s">
        <v>1335</v>
      </c>
      <c r="V44" s="966"/>
      <c r="W44" s="966"/>
      <c r="X44" s="966"/>
      <c r="Y44" s="970"/>
      <c r="Z44" s="966"/>
      <c r="AA44" s="971"/>
      <c r="AB44" s="972"/>
      <c r="AC44" s="972"/>
      <c r="AD44" s="972"/>
      <c r="AE44" s="972"/>
      <c r="AF44" s="972"/>
      <c r="AG44" s="972"/>
      <c r="AH44" s="972"/>
      <c r="AI44" s="972"/>
      <c r="AJ44" s="972"/>
      <c r="AK44" s="972"/>
      <c r="AL44" s="972"/>
      <c r="AM44" s="972"/>
      <c r="AN44" s="972"/>
      <c r="AO44" s="972"/>
      <c r="AP44" s="972"/>
      <c r="AQ44" s="956">
        <f t="shared" si="4"/>
        <v>14</v>
      </c>
      <c r="AR44" s="956">
        <f t="shared" si="5"/>
        <v>0</v>
      </c>
      <c r="AS44" s="956">
        <f t="shared" si="6"/>
        <v>14</v>
      </c>
      <c r="AT44" s="956">
        <v>9</v>
      </c>
      <c r="AU44" s="981"/>
      <c r="AV44" s="981"/>
      <c r="AW44" s="981"/>
      <c r="AX44" s="993"/>
      <c r="AY44" s="993"/>
      <c r="AZ44" s="833">
        <f t="shared" si="7"/>
        <v>0</v>
      </c>
      <c r="BA44" s="983">
        <f t="shared" si="0"/>
        <v>0</v>
      </c>
      <c r="BB44" s="983">
        <f t="shared" si="1"/>
        <v>0</v>
      </c>
      <c r="BC44" s="983">
        <f t="shared" si="2"/>
        <v>0</v>
      </c>
      <c r="BD44" s="983">
        <f t="shared" si="3"/>
        <v>0</v>
      </c>
      <c r="BE44" s="983">
        <f t="shared" si="8"/>
        <v>0</v>
      </c>
      <c r="BF44" s="871">
        <f t="shared" si="9"/>
        <v>14</v>
      </c>
    </row>
    <row r="45" spans="1:58" s="8" customFormat="1" ht="20.100000000000001" customHeight="1">
      <c r="A45" s="956">
        <v>38</v>
      </c>
      <c r="B45" s="955">
        <v>1</v>
      </c>
      <c r="C45" s="956">
        <v>38</v>
      </c>
      <c r="D45" s="957"/>
      <c r="E45" s="957"/>
      <c r="F45" s="956"/>
      <c r="G45" s="958" t="s">
        <v>1335</v>
      </c>
      <c r="H45" s="958" t="s">
        <v>1335</v>
      </c>
      <c r="I45" s="958" t="s">
        <v>1335</v>
      </c>
      <c r="J45" s="958"/>
      <c r="K45" s="958" t="s">
        <v>1335</v>
      </c>
      <c r="L45" s="958" t="s">
        <v>1335</v>
      </c>
      <c r="M45" s="958" t="s">
        <v>1335</v>
      </c>
      <c r="N45" s="958" t="s">
        <v>1335</v>
      </c>
      <c r="O45" s="958" t="s">
        <v>1335</v>
      </c>
      <c r="P45" s="958" t="s">
        <v>1335</v>
      </c>
      <c r="Q45" s="958" t="s">
        <v>1335</v>
      </c>
      <c r="R45" s="958" t="s">
        <v>1335</v>
      </c>
      <c r="S45" s="958" t="s">
        <v>1335</v>
      </c>
      <c r="T45" s="958" t="s">
        <v>1335</v>
      </c>
      <c r="U45" s="958" t="s">
        <v>1335</v>
      </c>
      <c r="V45" s="966"/>
      <c r="W45" s="966"/>
      <c r="X45" s="966"/>
      <c r="Y45" s="970"/>
      <c r="Z45" s="966"/>
      <c r="AA45" s="971"/>
      <c r="AB45" s="972"/>
      <c r="AC45" s="972"/>
      <c r="AD45" s="972"/>
      <c r="AE45" s="972"/>
      <c r="AF45" s="972"/>
      <c r="AG45" s="972"/>
      <c r="AH45" s="972"/>
      <c r="AI45" s="972"/>
      <c r="AJ45" s="972"/>
      <c r="AK45" s="972"/>
      <c r="AL45" s="972"/>
      <c r="AM45" s="972"/>
      <c r="AN45" s="972"/>
      <c r="AO45" s="972"/>
      <c r="AP45" s="972"/>
      <c r="AQ45" s="956">
        <f t="shared" si="4"/>
        <v>14</v>
      </c>
      <c r="AR45" s="956">
        <f t="shared" si="5"/>
        <v>0</v>
      </c>
      <c r="AS45" s="956">
        <f t="shared" si="6"/>
        <v>14</v>
      </c>
      <c r="AT45" s="956">
        <v>9</v>
      </c>
      <c r="AU45" s="981"/>
      <c r="AV45" s="981"/>
      <c r="AW45" s="981"/>
      <c r="AX45" s="993"/>
      <c r="AY45" s="993"/>
      <c r="AZ45" s="833">
        <f t="shared" si="7"/>
        <v>0</v>
      </c>
      <c r="BA45" s="983">
        <f t="shared" si="0"/>
        <v>0</v>
      </c>
      <c r="BB45" s="983">
        <f t="shared" si="1"/>
        <v>0</v>
      </c>
      <c r="BC45" s="983">
        <f t="shared" si="2"/>
        <v>0</v>
      </c>
      <c r="BD45" s="983">
        <f t="shared" si="3"/>
        <v>0</v>
      </c>
      <c r="BE45" s="983">
        <f t="shared" si="8"/>
        <v>0</v>
      </c>
      <c r="BF45" s="871">
        <f t="shared" si="9"/>
        <v>14</v>
      </c>
    </row>
    <row r="46" spans="1:58" s="8" customFormat="1" ht="20.100000000000001" customHeight="1">
      <c r="A46" s="956">
        <v>39</v>
      </c>
      <c r="B46" s="955">
        <v>1</v>
      </c>
      <c r="C46" s="956">
        <v>39</v>
      </c>
      <c r="D46" s="957"/>
      <c r="E46" s="957"/>
      <c r="F46" s="956"/>
      <c r="G46" s="958" t="s">
        <v>1335</v>
      </c>
      <c r="H46" s="958" t="s">
        <v>1335</v>
      </c>
      <c r="I46" s="958" t="s">
        <v>1335</v>
      </c>
      <c r="J46" s="958"/>
      <c r="K46" s="958" t="s">
        <v>1335</v>
      </c>
      <c r="L46" s="958" t="s">
        <v>1335</v>
      </c>
      <c r="M46" s="958">
        <v>0</v>
      </c>
      <c r="N46" s="958" t="s">
        <v>1335</v>
      </c>
      <c r="O46" s="958" t="s">
        <v>1335</v>
      </c>
      <c r="P46" s="958" t="s">
        <v>1335</v>
      </c>
      <c r="Q46" s="958" t="s">
        <v>1335</v>
      </c>
      <c r="R46" s="958" t="s">
        <v>1335</v>
      </c>
      <c r="S46" s="958" t="s">
        <v>1335</v>
      </c>
      <c r="T46" s="958" t="s">
        <v>1335</v>
      </c>
      <c r="U46" s="958" t="s">
        <v>1335</v>
      </c>
      <c r="V46" s="966"/>
      <c r="W46" s="966"/>
      <c r="X46" s="966"/>
      <c r="Y46" s="970"/>
      <c r="Z46" s="966"/>
      <c r="AA46" s="971"/>
      <c r="AB46" s="972"/>
      <c r="AC46" s="972"/>
      <c r="AD46" s="972"/>
      <c r="AE46" s="972"/>
      <c r="AF46" s="972"/>
      <c r="AG46" s="972"/>
      <c r="AH46" s="972"/>
      <c r="AI46" s="972"/>
      <c r="AJ46" s="972"/>
      <c r="AK46" s="972"/>
      <c r="AL46" s="972"/>
      <c r="AM46" s="972"/>
      <c r="AN46" s="972"/>
      <c r="AO46" s="972"/>
      <c r="AP46" s="972"/>
      <c r="AQ46" s="956">
        <f t="shared" si="4"/>
        <v>13</v>
      </c>
      <c r="AR46" s="956">
        <f t="shared" si="5"/>
        <v>0</v>
      </c>
      <c r="AS46" s="956">
        <f t="shared" si="6"/>
        <v>13</v>
      </c>
      <c r="AT46" s="956">
        <v>9</v>
      </c>
      <c r="AU46" s="981"/>
      <c r="AV46" s="981"/>
      <c r="AW46" s="981"/>
      <c r="AX46" s="993"/>
      <c r="AY46" s="993"/>
      <c r="AZ46" s="833">
        <f t="shared" si="7"/>
        <v>0</v>
      </c>
      <c r="BA46" s="983">
        <f t="shared" si="0"/>
        <v>0</v>
      </c>
      <c r="BB46" s="983">
        <f t="shared" si="1"/>
        <v>0</v>
      </c>
      <c r="BC46" s="983">
        <f t="shared" si="2"/>
        <v>0</v>
      </c>
      <c r="BD46" s="983">
        <f t="shared" si="3"/>
        <v>0</v>
      </c>
      <c r="BE46" s="983">
        <f t="shared" si="8"/>
        <v>0</v>
      </c>
      <c r="BF46" s="871">
        <f t="shared" si="9"/>
        <v>13</v>
      </c>
    </row>
    <row r="47" spans="1:58" s="8" customFormat="1" ht="20.100000000000001" customHeight="1">
      <c r="A47" s="956">
        <v>40</v>
      </c>
      <c r="B47" s="955">
        <v>1</v>
      </c>
      <c r="C47" s="956">
        <v>40</v>
      </c>
      <c r="D47" s="957"/>
      <c r="E47" s="957"/>
      <c r="F47" s="956"/>
      <c r="G47" s="958" t="s">
        <v>1335</v>
      </c>
      <c r="H47" s="958" t="s">
        <v>1335</v>
      </c>
      <c r="I47" s="958" t="s">
        <v>1335</v>
      </c>
      <c r="J47" s="958"/>
      <c r="K47" s="958" t="s">
        <v>1335</v>
      </c>
      <c r="L47" s="958" t="s">
        <v>1335</v>
      </c>
      <c r="M47" s="958" t="s">
        <v>1335</v>
      </c>
      <c r="N47" s="958">
        <v>0</v>
      </c>
      <c r="O47" s="958" t="s">
        <v>1335</v>
      </c>
      <c r="P47" s="958" t="s">
        <v>1335</v>
      </c>
      <c r="Q47" s="958" t="s">
        <v>1335</v>
      </c>
      <c r="R47" s="958" t="s">
        <v>1335</v>
      </c>
      <c r="S47" s="958" t="s">
        <v>1335</v>
      </c>
      <c r="T47" s="958" t="s">
        <v>1335</v>
      </c>
      <c r="U47" s="958" t="s">
        <v>1335</v>
      </c>
      <c r="V47" s="966"/>
      <c r="W47" s="966"/>
      <c r="X47" s="966" t="s">
        <v>1335</v>
      </c>
      <c r="Y47" s="970"/>
      <c r="Z47" s="966"/>
      <c r="AA47" s="971"/>
      <c r="AB47" s="972"/>
      <c r="AC47" s="972"/>
      <c r="AD47" s="972"/>
      <c r="AE47" s="972"/>
      <c r="AF47" s="972"/>
      <c r="AG47" s="972"/>
      <c r="AH47" s="972"/>
      <c r="AI47" s="972"/>
      <c r="AJ47" s="972"/>
      <c r="AK47" s="972"/>
      <c r="AL47" s="972"/>
      <c r="AM47" s="972"/>
      <c r="AN47" s="972"/>
      <c r="AO47" s="972"/>
      <c r="AP47" s="972"/>
      <c r="AQ47" s="956">
        <f t="shared" si="4"/>
        <v>13</v>
      </c>
      <c r="AR47" s="956">
        <f t="shared" si="5"/>
        <v>1</v>
      </c>
      <c r="AS47" s="956">
        <f t="shared" si="6"/>
        <v>14</v>
      </c>
      <c r="AT47" s="956">
        <v>9</v>
      </c>
      <c r="AU47" s="981"/>
      <c r="AV47" s="981"/>
      <c r="AW47" s="981"/>
      <c r="AX47" s="993" t="s">
        <v>1338</v>
      </c>
      <c r="AY47" s="993"/>
      <c r="AZ47" s="833">
        <f t="shared" si="7"/>
        <v>0</v>
      </c>
      <c r="BA47" s="983">
        <f t="shared" si="0"/>
        <v>0</v>
      </c>
      <c r="BB47" s="983">
        <f t="shared" si="1"/>
        <v>0</v>
      </c>
      <c r="BC47" s="983">
        <f t="shared" si="2"/>
        <v>0</v>
      </c>
      <c r="BD47" s="983">
        <f t="shared" si="3"/>
        <v>0</v>
      </c>
      <c r="BE47" s="983">
        <f t="shared" si="8"/>
        <v>0</v>
      </c>
      <c r="BF47" s="871">
        <f t="shared" si="9"/>
        <v>14</v>
      </c>
    </row>
    <row r="48" spans="1:58" s="8" customFormat="1" ht="20.100000000000001" customHeight="1">
      <c r="A48" s="956">
        <v>41</v>
      </c>
      <c r="B48" s="955">
        <v>1</v>
      </c>
      <c r="C48" s="956">
        <v>41</v>
      </c>
      <c r="D48" s="957"/>
      <c r="E48" s="957"/>
      <c r="F48" s="956"/>
      <c r="G48" s="958" t="s">
        <v>1335</v>
      </c>
      <c r="H48" s="958" t="s">
        <v>1335</v>
      </c>
      <c r="I48" s="958" t="s">
        <v>1335</v>
      </c>
      <c r="J48" s="958"/>
      <c r="K48" s="958" t="s">
        <v>1335</v>
      </c>
      <c r="L48" s="958" t="s">
        <v>1335</v>
      </c>
      <c r="M48" s="958" t="s">
        <v>1335</v>
      </c>
      <c r="N48" s="958">
        <v>0</v>
      </c>
      <c r="O48" s="958" t="s">
        <v>1335</v>
      </c>
      <c r="P48" s="958" t="s">
        <v>1335</v>
      </c>
      <c r="Q48" s="958" t="s">
        <v>1335</v>
      </c>
      <c r="R48" s="958" t="s">
        <v>1335</v>
      </c>
      <c r="S48" s="958" t="s">
        <v>1335</v>
      </c>
      <c r="T48" s="958" t="s">
        <v>1335</v>
      </c>
      <c r="U48" s="958" t="s">
        <v>1335</v>
      </c>
      <c r="V48" s="966"/>
      <c r="W48" s="966"/>
      <c r="X48" s="966" t="s">
        <v>1335</v>
      </c>
      <c r="Y48" s="970"/>
      <c r="Z48" s="966"/>
      <c r="AA48" s="971"/>
      <c r="AB48" s="972"/>
      <c r="AC48" s="972"/>
      <c r="AD48" s="972"/>
      <c r="AE48" s="972"/>
      <c r="AF48" s="972"/>
      <c r="AG48" s="972"/>
      <c r="AH48" s="972"/>
      <c r="AI48" s="972"/>
      <c r="AJ48" s="972"/>
      <c r="AK48" s="972"/>
      <c r="AL48" s="972"/>
      <c r="AM48" s="972"/>
      <c r="AN48" s="972"/>
      <c r="AO48" s="972"/>
      <c r="AP48" s="972"/>
      <c r="AQ48" s="956">
        <f t="shared" si="4"/>
        <v>13</v>
      </c>
      <c r="AR48" s="956">
        <f t="shared" si="5"/>
        <v>1</v>
      </c>
      <c r="AS48" s="956">
        <f t="shared" si="6"/>
        <v>14</v>
      </c>
      <c r="AT48" s="956">
        <v>9</v>
      </c>
      <c r="AU48" s="981"/>
      <c r="AV48" s="981"/>
      <c r="AW48" s="981"/>
      <c r="AX48" s="993"/>
      <c r="AY48" s="993"/>
      <c r="AZ48" s="833">
        <f t="shared" si="7"/>
        <v>0</v>
      </c>
      <c r="BA48" s="983">
        <f t="shared" si="0"/>
        <v>0</v>
      </c>
      <c r="BB48" s="983">
        <f t="shared" si="1"/>
        <v>0</v>
      </c>
      <c r="BC48" s="983">
        <f t="shared" si="2"/>
        <v>0</v>
      </c>
      <c r="BD48" s="983">
        <f t="shared" si="3"/>
        <v>0</v>
      </c>
      <c r="BE48" s="983">
        <f t="shared" si="8"/>
        <v>0</v>
      </c>
      <c r="BF48" s="871">
        <f t="shared" si="9"/>
        <v>14</v>
      </c>
    </row>
    <row r="49" spans="1:58" s="8" customFormat="1" ht="20.100000000000001" customHeight="1">
      <c r="A49" s="956">
        <v>42</v>
      </c>
      <c r="B49" s="955">
        <v>1</v>
      </c>
      <c r="C49" s="956">
        <v>42</v>
      </c>
      <c r="D49" s="957"/>
      <c r="E49" s="957"/>
      <c r="F49" s="956"/>
      <c r="G49" s="958">
        <v>0</v>
      </c>
      <c r="H49" s="958" t="s">
        <v>1335</v>
      </c>
      <c r="I49" s="958" t="s">
        <v>1335</v>
      </c>
      <c r="J49" s="958"/>
      <c r="K49" s="958" t="s">
        <v>1335</v>
      </c>
      <c r="L49" s="958" t="s">
        <v>1335</v>
      </c>
      <c r="M49" s="958" t="s">
        <v>1335</v>
      </c>
      <c r="N49" s="958" t="s">
        <v>1335</v>
      </c>
      <c r="O49" s="958" t="s">
        <v>1335</v>
      </c>
      <c r="P49" s="958" t="s">
        <v>1335</v>
      </c>
      <c r="Q49" s="958" t="s">
        <v>1335</v>
      </c>
      <c r="R49" s="958" t="s">
        <v>1335</v>
      </c>
      <c r="S49" s="958" t="s">
        <v>1335</v>
      </c>
      <c r="T49" s="958" t="s">
        <v>1335</v>
      </c>
      <c r="U49" s="958" t="s">
        <v>1335</v>
      </c>
      <c r="V49" s="966" t="s">
        <v>1335</v>
      </c>
      <c r="W49" s="966"/>
      <c r="X49" s="966" t="s">
        <v>1335</v>
      </c>
      <c r="Y49" s="970"/>
      <c r="Z49" s="966"/>
      <c r="AA49" s="971"/>
      <c r="AB49" s="972"/>
      <c r="AC49" s="972"/>
      <c r="AD49" s="972"/>
      <c r="AE49" s="972"/>
      <c r="AF49" s="972"/>
      <c r="AG49" s="972"/>
      <c r="AH49" s="972"/>
      <c r="AI49" s="972"/>
      <c r="AJ49" s="972"/>
      <c r="AK49" s="972"/>
      <c r="AL49" s="972"/>
      <c r="AM49" s="972"/>
      <c r="AN49" s="972"/>
      <c r="AO49" s="972"/>
      <c r="AP49" s="972"/>
      <c r="AQ49" s="956">
        <f t="shared" si="4"/>
        <v>13</v>
      </c>
      <c r="AR49" s="956">
        <f t="shared" si="5"/>
        <v>2</v>
      </c>
      <c r="AS49" s="956">
        <f t="shared" si="6"/>
        <v>15</v>
      </c>
      <c r="AT49" s="956">
        <v>9</v>
      </c>
      <c r="AU49" s="981"/>
      <c r="AV49" s="981"/>
      <c r="AW49" s="981"/>
      <c r="AX49" s="993"/>
      <c r="AY49" s="993"/>
      <c r="AZ49" s="833">
        <f t="shared" si="7"/>
        <v>0</v>
      </c>
      <c r="BA49" s="983">
        <f t="shared" si="0"/>
        <v>0</v>
      </c>
      <c r="BB49" s="983">
        <f t="shared" si="1"/>
        <v>0</v>
      </c>
      <c r="BC49" s="983">
        <f t="shared" si="2"/>
        <v>0</v>
      </c>
      <c r="BD49" s="983">
        <f t="shared" si="3"/>
        <v>0</v>
      </c>
      <c r="BE49" s="983">
        <f t="shared" si="8"/>
        <v>0</v>
      </c>
      <c r="BF49" s="871">
        <f t="shared" si="9"/>
        <v>15</v>
      </c>
    </row>
    <row r="50" spans="1:58" s="8" customFormat="1" ht="20.100000000000001" customHeight="1">
      <c r="A50" s="956">
        <v>43</v>
      </c>
      <c r="B50" s="955">
        <v>1</v>
      </c>
      <c r="C50" s="956">
        <v>43</v>
      </c>
      <c r="D50" s="957"/>
      <c r="E50" s="957"/>
      <c r="F50" s="956"/>
      <c r="G50" s="958">
        <v>0</v>
      </c>
      <c r="H50" s="958" t="s">
        <v>1335</v>
      </c>
      <c r="I50" s="958" t="s">
        <v>1335</v>
      </c>
      <c r="J50" s="958"/>
      <c r="K50" s="958">
        <v>0</v>
      </c>
      <c r="L50" s="958" t="s">
        <v>1335</v>
      </c>
      <c r="M50" s="958" t="s">
        <v>1335</v>
      </c>
      <c r="N50" s="958" t="s">
        <v>1335</v>
      </c>
      <c r="O50" s="958" t="s">
        <v>1335</v>
      </c>
      <c r="P50" s="958" t="s">
        <v>1335</v>
      </c>
      <c r="Q50" s="958" t="s">
        <v>1335</v>
      </c>
      <c r="R50" s="958" t="s">
        <v>1335</v>
      </c>
      <c r="S50" s="958" t="s">
        <v>1335</v>
      </c>
      <c r="T50" s="958">
        <v>0</v>
      </c>
      <c r="U50" s="958" t="s">
        <v>1335</v>
      </c>
      <c r="V50" s="966"/>
      <c r="W50" s="966"/>
      <c r="X50" s="966"/>
      <c r="Y50" s="970"/>
      <c r="Z50" s="966"/>
      <c r="AA50" s="971"/>
      <c r="AB50" s="972"/>
      <c r="AC50" s="972"/>
      <c r="AD50" s="972"/>
      <c r="AE50" s="972"/>
      <c r="AF50" s="972"/>
      <c r="AG50" s="972"/>
      <c r="AH50" s="972"/>
      <c r="AI50" s="972"/>
      <c r="AJ50" s="972"/>
      <c r="AK50" s="972"/>
      <c r="AL50" s="972"/>
      <c r="AM50" s="972"/>
      <c r="AN50" s="972"/>
      <c r="AO50" s="972"/>
      <c r="AP50" s="972"/>
      <c r="AQ50" s="956">
        <f t="shared" si="4"/>
        <v>11</v>
      </c>
      <c r="AR50" s="956">
        <f t="shared" si="5"/>
        <v>0</v>
      </c>
      <c r="AS50" s="956">
        <f t="shared" si="6"/>
        <v>11</v>
      </c>
      <c r="AT50" s="956">
        <v>9</v>
      </c>
      <c r="AU50" s="981"/>
      <c r="AV50" s="981"/>
      <c r="AW50" s="981"/>
      <c r="AX50" s="993"/>
      <c r="AY50" s="993"/>
      <c r="AZ50" s="833">
        <f t="shared" si="7"/>
        <v>0</v>
      </c>
      <c r="BA50" s="983">
        <f t="shared" si="0"/>
        <v>0</v>
      </c>
      <c r="BB50" s="983">
        <f t="shared" si="1"/>
        <v>0</v>
      </c>
      <c r="BC50" s="983">
        <f t="shared" si="2"/>
        <v>0</v>
      </c>
      <c r="BD50" s="983">
        <f t="shared" si="3"/>
        <v>0</v>
      </c>
      <c r="BE50" s="983">
        <f t="shared" si="8"/>
        <v>0</v>
      </c>
      <c r="BF50" s="871">
        <f t="shared" si="9"/>
        <v>0</v>
      </c>
    </row>
    <row r="51" spans="1:58" s="8" customFormat="1" ht="20.100000000000001" customHeight="1">
      <c r="A51" s="956">
        <v>44</v>
      </c>
      <c r="B51" s="955">
        <v>1</v>
      </c>
      <c r="C51" s="956">
        <v>44</v>
      </c>
      <c r="D51" s="957"/>
      <c r="E51" s="957"/>
      <c r="F51" s="956"/>
      <c r="G51" s="958" t="s">
        <v>1335</v>
      </c>
      <c r="H51" s="958">
        <v>0</v>
      </c>
      <c r="I51" s="958" t="s">
        <v>1335</v>
      </c>
      <c r="J51" s="958"/>
      <c r="K51" s="958" t="s">
        <v>1335</v>
      </c>
      <c r="L51" s="958" t="s">
        <v>1335</v>
      </c>
      <c r="M51" s="958" t="s">
        <v>1335</v>
      </c>
      <c r="N51" s="958" t="s">
        <v>1335</v>
      </c>
      <c r="O51" s="958" t="s">
        <v>1335</v>
      </c>
      <c r="P51" s="958" t="s">
        <v>1335</v>
      </c>
      <c r="Q51" s="958" t="s">
        <v>1335</v>
      </c>
      <c r="R51" s="958" t="s">
        <v>1335</v>
      </c>
      <c r="S51" s="958" t="s">
        <v>1335</v>
      </c>
      <c r="T51" s="958" t="s">
        <v>1335</v>
      </c>
      <c r="U51" s="958" t="s">
        <v>1335</v>
      </c>
      <c r="V51" s="966"/>
      <c r="W51" s="966"/>
      <c r="X51" s="966"/>
      <c r="Y51" s="970"/>
      <c r="Z51" s="966"/>
      <c r="AA51" s="971"/>
      <c r="AB51" s="972"/>
      <c r="AC51" s="972"/>
      <c r="AD51" s="972"/>
      <c r="AE51" s="972"/>
      <c r="AF51" s="972"/>
      <c r="AG51" s="972"/>
      <c r="AH51" s="972"/>
      <c r="AI51" s="972"/>
      <c r="AJ51" s="972"/>
      <c r="AK51" s="972"/>
      <c r="AL51" s="972"/>
      <c r="AM51" s="972"/>
      <c r="AN51" s="972"/>
      <c r="AO51" s="972"/>
      <c r="AP51" s="972"/>
      <c r="AQ51" s="956">
        <f t="shared" si="4"/>
        <v>13</v>
      </c>
      <c r="AR51" s="956">
        <f t="shared" si="5"/>
        <v>0</v>
      </c>
      <c r="AS51" s="956">
        <f t="shared" si="6"/>
        <v>13</v>
      </c>
      <c r="AT51" s="956">
        <v>9</v>
      </c>
      <c r="AU51" s="981"/>
      <c r="AV51" s="981"/>
      <c r="AW51" s="981"/>
      <c r="AX51" s="993"/>
      <c r="AY51" s="993"/>
      <c r="AZ51" s="833">
        <f t="shared" si="7"/>
        <v>0</v>
      </c>
      <c r="BA51" s="983">
        <f t="shared" si="0"/>
        <v>0</v>
      </c>
      <c r="BB51" s="983">
        <f t="shared" si="1"/>
        <v>0</v>
      </c>
      <c r="BC51" s="983">
        <f t="shared" si="2"/>
        <v>0</v>
      </c>
      <c r="BD51" s="983">
        <f t="shared" si="3"/>
        <v>0</v>
      </c>
      <c r="BE51" s="983">
        <f t="shared" si="8"/>
        <v>0</v>
      </c>
      <c r="BF51" s="871">
        <f t="shared" si="9"/>
        <v>13</v>
      </c>
    </row>
    <row r="52" spans="1:58" s="8" customFormat="1" ht="20.100000000000001" customHeight="1">
      <c r="A52" s="956">
        <v>45</v>
      </c>
      <c r="B52" s="955">
        <v>1</v>
      </c>
      <c r="C52" s="956">
        <v>45</v>
      </c>
      <c r="D52" s="957"/>
      <c r="E52" s="957"/>
      <c r="F52" s="956"/>
      <c r="G52" s="958">
        <v>0</v>
      </c>
      <c r="H52" s="958" t="s">
        <v>1335</v>
      </c>
      <c r="I52" s="958" t="s">
        <v>1335</v>
      </c>
      <c r="J52" s="958"/>
      <c r="K52" s="958" t="s">
        <v>1335</v>
      </c>
      <c r="L52" s="958" t="s">
        <v>1335</v>
      </c>
      <c r="M52" s="958">
        <v>0</v>
      </c>
      <c r="N52" s="958" t="s">
        <v>1335</v>
      </c>
      <c r="O52" s="958" t="s">
        <v>1335</v>
      </c>
      <c r="P52" s="958" t="s">
        <v>1335</v>
      </c>
      <c r="Q52" s="958" t="s">
        <v>1335</v>
      </c>
      <c r="R52" s="958" t="s">
        <v>1335</v>
      </c>
      <c r="S52" s="958" t="s">
        <v>1335</v>
      </c>
      <c r="T52" s="958">
        <v>0</v>
      </c>
      <c r="U52" s="958" t="s">
        <v>1335</v>
      </c>
      <c r="V52" s="966"/>
      <c r="W52" s="966"/>
      <c r="X52" s="966"/>
      <c r="Y52" s="970"/>
      <c r="Z52" s="966"/>
      <c r="AA52" s="971"/>
      <c r="AB52" s="972"/>
      <c r="AC52" s="972"/>
      <c r="AD52" s="972"/>
      <c r="AE52" s="972"/>
      <c r="AF52" s="972"/>
      <c r="AG52" s="972"/>
      <c r="AH52" s="972"/>
      <c r="AI52" s="972"/>
      <c r="AJ52" s="972"/>
      <c r="AK52" s="972"/>
      <c r="AL52" s="972"/>
      <c r="AM52" s="972"/>
      <c r="AN52" s="972"/>
      <c r="AO52" s="972"/>
      <c r="AP52" s="972"/>
      <c r="AQ52" s="956">
        <f t="shared" si="4"/>
        <v>11</v>
      </c>
      <c r="AR52" s="956">
        <f t="shared" si="5"/>
        <v>0</v>
      </c>
      <c r="AS52" s="956">
        <f t="shared" si="6"/>
        <v>11</v>
      </c>
      <c r="AT52" s="956">
        <v>9</v>
      </c>
      <c r="AU52" s="981"/>
      <c r="AV52" s="981"/>
      <c r="AW52" s="981"/>
      <c r="AX52" s="993"/>
      <c r="AY52" s="993"/>
      <c r="AZ52" s="833">
        <f t="shared" si="7"/>
        <v>0</v>
      </c>
      <c r="BA52" s="983">
        <f t="shared" si="0"/>
        <v>0</v>
      </c>
      <c r="BB52" s="983">
        <f t="shared" si="1"/>
        <v>0</v>
      </c>
      <c r="BC52" s="983">
        <f t="shared" si="2"/>
        <v>0</v>
      </c>
      <c r="BD52" s="983">
        <f t="shared" si="3"/>
        <v>0</v>
      </c>
      <c r="BE52" s="983">
        <f t="shared" si="8"/>
        <v>0</v>
      </c>
      <c r="BF52" s="871">
        <f t="shared" si="9"/>
        <v>0</v>
      </c>
    </row>
    <row r="53" spans="1:58" s="8" customFormat="1" ht="20.100000000000001" customHeight="1">
      <c r="A53" s="956">
        <v>46</v>
      </c>
      <c r="B53" s="955">
        <v>1</v>
      </c>
      <c r="C53" s="956">
        <v>46</v>
      </c>
      <c r="D53" s="957"/>
      <c r="E53" s="957"/>
      <c r="F53" s="956"/>
      <c r="G53" s="958">
        <v>0</v>
      </c>
      <c r="H53" s="958" t="s">
        <v>1335</v>
      </c>
      <c r="I53" s="958" t="s">
        <v>1335</v>
      </c>
      <c r="J53" s="958"/>
      <c r="K53" s="958" t="s">
        <v>1335</v>
      </c>
      <c r="L53" s="958" t="s">
        <v>1335</v>
      </c>
      <c r="M53" s="958" t="s">
        <v>1335</v>
      </c>
      <c r="N53" s="958">
        <v>0</v>
      </c>
      <c r="O53" s="958" t="s">
        <v>1335</v>
      </c>
      <c r="P53" s="958" t="s">
        <v>1335</v>
      </c>
      <c r="Q53" s="958" t="s">
        <v>1335</v>
      </c>
      <c r="R53" s="958" t="s">
        <v>1335</v>
      </c>
      <c r="S53" s="958" t="s">
        <v>1335</v>
      </c>
      <c r="T53" s="958" t="s">
        <v>1335</v>
      </c>
      <c r="U53" s="958" t="s">
        <v>1335</v>
      </c>
      <c r="V53" s="966" t="s">
        <v>1335</v>
      </c>
      <c r="W53" s="966"/>
      <c r="X53" s="966"/>
      <c r="Y53" s="970"/>
      <c r="Z53" s="966"/>
      <c r="AA53" s="971"/>
      <c r="AB53" s="972"/>
      <c r="AC53" s="972"/>
      <c r="AD53" s="972"/>
      <c r="AE53" s="972"/>
      <c r="AF53" s="972"/>
      <c r="AG53" s="972"/>
      <c r="AH53" s="972"/>
      <c r="AI53" s="972"/>
      <c r="AJ53" s="972"/>
      <c r="AK53" s="972"/>
      <c r="AL53" s="972"/>
      <c r="AM53" s="972"/>
      <c r="AN53" s="972"/>
      <c r="AO53" s="972"/>
      <c r="AP53" s="972"/>
      <c r="AQ53" s="956">
        <f t="shared" si="4"/>
        <v>12</v>
      </c>
      <c r="AR53" s="956">
        <f t="shared" si="5"/>
        <v>1</v>
      </c>
      <c r="AS53" s="956">
        <f t="shared" si="6"/>
        <v>13</v>
      </c>
      <c r="AT53" s="982">
        <v>6</v>
      </c>
      <c r="AU53" s="981"/>
      <c r="AV53" s="981"/>
      <c r="AW53" s="981"/>
      <c r="AX53" s="993"/>
      <c r="AY53" s="993"/>
      <c r="AZ53" s="833">
        <f t="shared" si="7"/>
        <v>0</v>
      </c>
      <c r="BA53" s="983">
        <f t="shared" si="0"/>
        <v>0</v>
      </c>
      <c r="BB53" s="983">
        <f t="shared" si="1"/>
        <v>0</v>
      </c>
      <c r="BC53" s="983">
        <f t="shared" si="2"/>
        <v>0</v>
      </c>
      <c r="BD53" s="983">
        <f t="shared" si="3"/>
        <v>0</v>
      </c>
      <c r="BE53" s="983">
        <f t="shared" si="8"/>
        <v>0</v>
      </c>
      <c r="BF53" s="871">
        <f t="shared" si="9"/>
        <v>13</v>
      </c>
    </row>
    <row r="54" spans="1:58" s="8" customFormat="1" ht="20.100000000000001" customHeight="1">
      <c r="A54" s="956"/>
      <c r="B54" s="955">
        <v>1</v>
      </c>
      <c r="C54" s="956">
        <v>47</v>
      </c>
      <c r="D54" s="957"/>
      <c r="E54" s="957"/>
      <c r="F54" s="956"/>
      <c r="G54" s="958" t="s">
        <v>1335</v>
      </c>
      <c r="H54" s="958" t="s">
        <v>1335</v>
      </c>
      <c r="I54" s="958" t="s">
        <v>1335</v>
      </c>
      <c r="J54" s="958"/>
      <c r="K54" s="958" t="s">
        <v>1335</v>
      </c>
      <c r="L54" s="958" t="s">
        <v>1335</v>
      </c>
      <c r="M54" s="958">
        <v>0</v>
      </c>
      <c r="N54" s="958" t="s">
        <v>1335</v>
      </c>
      <c r="O54" s="958" t="s">
        <v>1335</v>
      </c>
      <c r="P54" s="958" t="s">
        <v>1335</v>
      </c>
      <c r="Q54" s="958" t="s">
        <v>1335</v>
      </c>
      <c r="R54" s="958" t="s">
        <v>1335</v>
      </c>
      <c r="S54" s="958">
        <v>0</v>
      </c>
      <c r="T54" s="958" t="s">
        <v>1335</v>
      </c>
      <c r="U54" s="958" t="s">
        <v>1335</v>
      </c>
      <c r="V54" s="966"/>
      <c r="W54" s="966"/>
      <c r="X54" s="966"/>
      <c r="Y54" s="970"/>
      <c r="Z54" s="966"/>
      <c r="AA54" s="971"/>
      <c r="AB54" s="972"/>
      <c r="AC54" s="972"/>
      <c r="AD54" s="972"/>
      <c r="AE54" s="972"/>
      <c r="AF54" s="972"/>
      <c r="AG54" s="972"/>
      <c r="AH54" s="972"/>
      <c r="AI54" s="972"/>
      <c r="AJ54" s="972"/>
      <c r="AK54" s="972"/>
      <c r="AL54" s="972"/>
      <c r="AM54" s="972"/>
      <c r="AN54" s="972"/>
      <c r="AO54" s="972"/>
      <c r="AP54" s="972"/>
      <c r="AQ54" s="956">
        <f t="shared" ref="AQ54:AQ117" si="10">COUNTIF(G54:U54,"X")</f>
        <v>12</v>
      </c>
      <c r="AR54" s="956">
        <f t="shared" ref="AR54:AR117" si="11">COUNTIF(V54:AA54,"X")</f>
        <v>0</v>
      </c>
      <c r="AS54" s="956">
        <f t="shared" ref="AS54:AS117" si="12">ROUND(COUNTIF(G54:AO54,"x"),0)+ROUND(COUNTIF(AA54:AP54,"&gt;0"),0)</f>
        <v>12</v>
      </c>
      <c r="AT54" s="982">
        <v>6</v>
      </c>
      <c r="AU54" s="981"/>
      <c r="AV54" s="981"/>
      <c r="AW54" s="981"/>
      <c r="AX54" s="993"/>
      <c r="AY54" s="993"/>
      <c r="AZ54" s="833">
        <f t="shared" ref="AZ54:AZ117" si="13">AY54*25000</f>
        <v>0</v>
      </c>
      <c r="BA54" s="983">
        <f t="shared" si="0"/>
        <v>0</v>
      </c>
      <c r="BB54" s="983">
        <f t="shared" si="1"/>
        <v>0</v>
      </c>
      <c r="BC54" s="983">
        <f t="shared" si="2"/>
        <v>0</v>
      </c>
      <c r="BD54" s="983">
        <f t="shared" si="3"/>
        <v>0</v>
      </c>
      <c r="BE54" s="983">
        <f t="shared" ref="BE54:BE117" si="14">SUM(BA54:BD54)</f>
        <v>0</v>
      </c>
      <c r="BF54" s="871">
        <f t="shared" ref="BF54:BF117" si="15">IF(AS54&gt;=13,AS54,0)</f>
        <v>0</v>
      </c>
    </row>
    <row r="55" spans="1:58" s="8" customFormat="1" ht="20.100000000000001" customHeight="1">
      <c r="A55" s="956"/>
      <c r="B55" s="959">
        <v>4</v>
      </c>
      <c r="C55" s="956">
        <v>137</v>
      </c>
      <c r="D55" s="957"/>
      <c r="E55" s="957"/>
      <c r="F55" s="956"/>
      <c r="G55" s="958" t="s">
        <v>1335</v>
      </c>
      <c r="H55" s="958" t="s">
        <v>1335</v>
      </c>
      <c r="I55" s="958" t="s">
        <v>1335</v>
      </c>
      <c r="J55" s="958" t="s">
        <v>1335</v>
      </c>
      <c r="K55" s="958" t="s">
        <v>1335</v>
      </c>
      <c r="L55" s="958" t="s">
        <v>1335</v>
      </c>
      <c r="M55" s="958" t="s">
        <v>1335</v>
      </c>
      <c r="N55" s="958" t="s">
        <v>1335</v>
      </c>
      <c r="O55" s="958" t="s">
        <v>1335</v>
      </c>
      <c r="P55" s="958" t="s">
        <v>1335</v>
      </c>
      <c r="Q55" s="958" t="s">
        <v>1335</v>
      </c>
      <c r="R55" s="958" t="s">
        <v>1335</v>
      </c>
      <c r="S55" s="958" t="s">
        <v>1335</v>
      </c>
      <c r="T55" s="958" t="s">
        <v>1335</v>
      </c>
      <c r="U55" s="958" t="s">
        <v>1335</v>
      </c>
      <c r="V55" s="966"/>
      <c r="W55" s="966" t="s">
        <v>1335</v>
      </c>
      <c r="X55" s="966"/>
      <c r="Y55" s="970"/>
      <c r="Z55" s="966"/>
      <c r="AA55" s="971"/>
      <c r="AB55" s="972"/>
      <c r="AC55" s="972"/>
      <c r="AD55" s="972"/>
      <c r="AE55" s="972"/>
      <c r="AF55" s="972"/>
      <c r="AG55" s="972"/>
      <c r="AH55" s="972"/>
      <c r="AI55" s="972"/>
      <c r="AJ55" s="972"/>
      <c r="AK55" s="972"/>
      <c r="AL55" s="972"/>
      <c r="AM55" s="972"/>
      <c r="AN55" s="972"/>
      <c r="AO55" s="972"/>
      <c r="AP55" s="972"/>
      <c r="AQ55" s="956">
        <f t="shared" si="10"/>
        <v>15</v>
      </c>
      <c r="AR55" s="956">
        <f t="shared" si="11"/>
        <v>1</v>
      </c>
      <c r="AS55" s="956">
        <f t="shared" si="12"/>
        <v>16</v>
      </c>
      <c r="AT55" s="956">
        <v>12</v>
      </c>
      <c r="AU55" s="981"/>
      <c r="AV55" s="981"/>
      <c r="AW55" s="981"/>
      <c r="AX55" s="993"/>
      <c r="AY55" s="993"/>
      <c r="AZ55" s="833">
        <f t="shared" si="13"/>
        <v>0</v>
      </c>
      <c r="BA55" s="983">
        <f t="shared" si="0"/>
        <v>0</v>
      </c>
      <c r="BB55" s="983">
        <f t="shared" si="1"/>
        <v>0</v>
      </c>
      <c r="BC55" s="983">
        <f t="shared" si="2"/>
        <v>0</v>
      </c>
      <c r="BD55" s="983">
        <f t="shared" si="3"/>
        <v>0</v>
      </c>
      <c r="BE55" s="983">
        <f t="shared" si="14"/>
        <v>0</v>
      </c>
      <c r="BF55" s="871">
        <f t="shared" si="15"/>
        <v>16</v>
      </c>
    </row>
    <row r="56" spans="1:58" s="8" customFormat="1" ht="20.100000000000001" customHeight="1">
      <c r="A56" s="956"/>
      <c r="B56" s="959">
        <v>4</v>
      </c>
      <c r="C56" s="956">
        <v>138</v>
      </c>
      <c r="D56" s="957"/>
      <c r="E56" s="957"/>
      <c r="F56" s="956"/>
      <c r="G56" s="958" t="s">
        <v>1335</v>
      </c>
      <c r="H56" s="958" t="s">
        <v>1335</v>
      </c>
      <c r="I56" s="958" t="s">
        <v>1335</v>
      </c>
      <c r="J56" s="958" t="s">
        <v>1335</v>
      </c>
      <c r="K56" s="958" t="s">
        <v>1335</v>
      </c>
      <c r="L56" s="958" t="s">
        <v>1335</v>
      </c>
      <c r="M56" s="958" t="s">
        <v>1335</v>
      </c>
      <c r="N56" s="958" t="s">
        <v>1335</v>
      </c>
      <c r="O56" s="958" t="s">
        <v>1335</v>
      </c>
      <c r="P56" s="958" t="s">
        <v>1335</v>
      </c>
      <c r="Q56" s="958" t="s">
        <v>1335</v>
      </c>
      <c r="R56" s="958" t="s">
        <v>1335</v>
      </c>
      <c r="S56" s="958" t="s">
        <v>1335</v>
      </c>
      <c r="T56" s="958" t="s">
        <v>1335</v>
      </c>
      <c r="U56" s="958" t="s">
        <v>1335</v>
      </c>
      <c r="V56" s="966"/>
      <c r="W56" s="966" t="s">
        <v>1335</v>
      </c>
      <c r="X56" s="966"/>
      <c r="Y56" s="970"/>
      <c r="Z56" s="966"/>
      <c r="AA56" s="971"/>
      <c r="AB56" s="972"/>
      <c r="AC56" s="972"/>
      <c r="AD56" s="972"/>
      <c r="AE56" s="972"/>
      <c r="AF56" s="972"/>
      <c r="AG56" s="972"/>
      <c r="AH56" s="972"/>
      <c r="AI56" s="972"/>
      <c r="AJ56" s="972"/>
      <c r="AK56" s="972"/>
      <c r="AL56" s="972"/>
      <c r="AM56" s="972"/>
      <c r="AN56" s="972"/>
      <c r="AO56" s="972"/>
      <c r="AP56" s="972"/>
      <c r="AQ56" s="956">
        <f t="shared" si="10"/>
        <v>15</v>
      </c>
      <c r="AR56" s="956">
        <f t="shared" si="11"/>
        <v>1</v>
      </c>
      <c r="AS56" s="956">
        <f t="shared" si="12"/>
        <v>16</v>
      </c>
      <c r="AT56" s="982">
        <v>11</v>
      </c>
      <c r="AU56" s="981"/>
      <c r="AV56" s="981"/>
      <c r="AW56" s="981"/>
      <c r="AX56" s="993"/>
      <c r="AY56" s="993"/>
      <c r="AZ56" s="833">
        <f t="shared" si="13"/>
        <v>0</v>
      </c>
      <c r="BA56" s="983">
        <f t="shared" si="0"/>
        <v>0</v>
      </c>
      <c r="BB56" s="983">
        <f t="shared" si="1"/>
        <v>0</v>
      </c>
      <c r="BC56" s="983">
        <f t="shared" si="2"/>
        <v>0</v>
      </c>
      <c r="BD56" s="983">
        <f t="shared" si="3"/>
        <v>0</v>
      </c>
      <c r="BE56" s="983">
        <f t="shared" si="14"/>
        <v>0</v>
      </c>
      <c r="BF56" s="871">
        <f t="shared" si="15"/>
        <v>16</v>
      </c>
    </row>
    <row r="57" spans="1:58" s="8" customFormat="1" ht="20.100000000000001" customHeight="1">
      <c r="A57" s="956"/>
      <c r="B57" s="959">
        <v>4</v>
      </c>
      <c r="C57" s="956">
        <v>139</v>
      </c>
      <c r="D57" s="957"/>
      <c r="E57" s="957"/>
      <c r="F57" s="956"/>
      <c r="G57" s="958" t="s">
        <v>1335</v>
      </c>
      <c r="H57" s="958" t="s">
        <v>1335</v>
      </c>
      <c r="I57" s="958" t="s">
        <v>1335</v>
      </c>
      <c r="J57" s="958" t="s">
        <v>1335</v>
      </c>
      <c r="K57" s="958" t="s">
        <v>1335</v>
      </c>
      <c r="L57" s="958" t="s">
        <v>1335</v>
      </c>
      <c r="M57" s="958" t="s">
        <v>1335</v>
      </c>
      <c r="N57" s="958" t="s">
        <v>1335</v>
      </c>
      <c r="O57" s="958" t="s">
        <v>1335</v>
      </c>
      <c r="P57" s="958" t="s">
        <v>1335</v>
      </c>
      <c r="Q57" s="958" t="s">
        <v>1335</v>
      </c>
      <c r="R57" s="958" t="s">
        <v>1335</v>
      </c>
      <c r="S57" s="958" t="s">
        <v>1335</v>
      </c>
      <c r="T57" s="958" t="s">
        <v>1335</v>
      </c>
      <c r="U57" s="958" t="s">
        <v>1335</v>
      </c>
      <c r="V57" s="966"/>
      <c r="W57" s="966" t="s">
        <v>1335</v>
      </c>
      <c r="X57" s="966"/>
      <c r="Y57" s="970"/>
      <c r="Z57" s="966"/>
      <c r="AA57" s="971"/>
      <c r="AB57" s="972"/>
      <c r="AC57" s="972"/>
      <c r="AD57" s="972"/>
      <c r="AE57" s="972"/>
      <c r="AF57" s="972"/>
      <c r="AG57" s="972"/>
      <c r="AH57" s="972"/>
      <c r="AI57" s="972"/>
      <c r="AJ57" s="972"/>
      <c r="AK57" s="972"/>
      <c r="AL57" s="972"/>
      <c r="AM57" s="972"/>
      <c r="AN57" s="972"/>
      <c r="AO57" s="972"/>
      <c r="AP57" s="972"/>
      <c r="AQ57" s="956">
        <f t="shared" si="10"/>
        <v>15</v>
      </c>
      <c r="AR57" s="956">
        <f t="shared" si="11"/>
        <v>1</v>
      </c>
      <c r="AS57" s="956">
        <f t="shared" si="12"/>
        <v>16</v>
      </c>
      <c r="AT57" s="956">
        <v>12</v>
      </c>
      <c r="AU57" s="981"/>
      <c r="AV57" s="981"/>
      <c r="AW57" s="981"/>
      <c r="AX57" s="993"/>
      <c r="AY57" s="993"/>
      <c r="AZ57" s="833">
        <f t="shared" si="13"/>
        <v>0</v>
      </c>
      <c r="BA57" s="983">
        <f t="shared" si="0"/>
        <v>0</v>
      </c>
      <c r="BB57" s="983">
        <f t="shared" si="1"/>
        <v>0</v>
      </c>
      <c r="BC57" s="983">
        <f t="shared" si="2"/>
        <v>0</v>
      </c>
      <c r="BD57" s="983">
        <f t="shared" si="3"/>
        <v>0</v>
      </c>
      <c r="BE57" s="983">
        <f t="shared" si="14"/>
        <v>0</v>
      </c>
      <c r="BF57" s="871">
        <f t="shared" si="15"/>
        <v>16</v>
      </c>
    </row>
    <row r="58" spans="1:58" s="8" customFormat="1" ht="20.100000000000001" customHeight="1">
      <c r="A58" s="956"/>
      <c r="B58" s="959">
        <v>4</v>
      </c>
      <c r="C58" s="956">
        <v>140</v>
      </c>
      <c r="D58" s="957"/>
      <c r="E58" s="957"/>
      <c r="F58" s="956"/>
      <c r="G58" s="958">
        <v>0</v>
      </c>
      <c r="H58" s="958" t="s">
        <v>1335</v>
      </c>
      <c r="I58" s="958" t="s">
        <v>1335</v>
      </c>
      <c r="J58" s="958" t="s">
        <v>1335</v>
      </c>
      <c r="K58" s="958" t="s">
        <v>1335</v>
      </c>
      <c r="L58" s="958" t="s">
        <v>1335</v>
      </c>
      <c r="M58" s="958">
        <v>0</v>
      </c>
      <c r="N58" s="958" t="s">
        <v>1335</v>
      </c>
      <c r="O58" s="958" t="s">
        <v>1335</v>
      </c>
      <c r="P58" s="958" t="s">
        <v>1335</v>
      </c>
      <c r="Q58" s="958" t="s">
        <v>1335</v>
      </c>
      <c r="R58" s="958" t="s">
        <v>1335</v>
      </c>
      <c r="S58" s="958" t="s">
        <v>1335</v>
      </c>
      <c r="T58" s="958" t="s">
        <v>1335</v>
      </c>
      <c r="U58" s="958" t="s">
        <v>1335</v>
      </c>
      <c r="V58" s="966"/>
      <c r="W58" s="966" t="s">
        <v>1335</v>
      </c>
      <c r="X58" s="966"/>
      <c r="Y58" s="970"/>
      <c r="Z58" s="966"/>
      <c r="AA58" s="971"/>
      <c r="AB58" s="972"/>
      <c r="AC58" s="972"/>
      <c r="AD58" s="972"/>
      <c r="AE58" s="972"/>
      <c r="AF58" s="972"/>
      <c r="AG58" s="972"/>
      <c r="AH58" s="972"/>
      <c r="AI58" s="972"/>
      <c r="AJ58" s="972"/>
      <c r="AK58" s="972"/>
      <c r="AL58" s="972"/>
      <c r="AM58" s="972"/>
      <c r="AN58" s="972"/>
      <c r="AO58" s="972"/>
      <c r="AP58" s="972"/>
      <c r="AQ58" s="956">
        <f t="shared" si="10"/>
        <v>13</v>
      </c>
      <c r="AR58" s="956">
        <f t="shared" si="11"/>
        <v>1</v>
      </c>
      <c r="AS58" s="956">
        <f t="shared" si="12"/>
        <v>14</v>
      </c>
      <c r="AT58" s="956">
        <v>12</v>
      </c>
      <c r="AU58" s="981"/>
      <c r="AV58" s="981"/>
      <c r="AW58" s="981"/>
      <c r="AX58" s="993"/>
      <c r="AY58" s="993"/>
      <c r="AZ58" s="833">
        <f t="shared" si="13"/>
        <v>0</v>
      </c>
      <c r="BA58" s="983">
        <f t="shared" si="0"/>
        <v>0</v>
      </c>
      <c r="BB58" s="983">
        <f t="shared" si="1"/>
        <v>0</v>
      </c>
      <c r="BC58" s="983">
        <f t="shared" si="2"/>
        <v>0</v>
      </c>
      <c r="BD58" s="983">
        <f t="shared" si="3"/>
        <v>0</v>
      </c>
      <c r="BE58" s="983">
        <f t="shared" si="14"/>
        <v>0</v>
      </c>
      <c r="BF58" s="871">
        <f t="shared" si="15"/>
        <v>14</v>
      </c>
    </row>
    <row r="59" spans="1:58" s="8" customFormat="1" ht="20.100000000000001" customHeight="1">
      <c r="A59" s="956"/>
      <c r="B59" s="959">
        <v>4</v>
      </c>
      <c r="C59" s="956">
        <v>141</v>
      </c>
      <c r="D59" s="957"/>
      <c r="E59" s="957"/>
      <c r="F59" s="956"/>
      <c r="G59" s="958" t="s">
        <v>1335</v>
      </c>
      <c r="H59" s="958" t="s">
        <v>1335</v>
      </c>
      <c r="I59" s="958" t="s">
        <v>1335</v>
      </c>
      <c r="J59" s="958" t="s">
        <v>1335</v>
      </c>
      <c r="K59" s="958" t="s">
        <v>1335</v>
      </c>
      <c r="L59" s="958" t="s">
        <v>1335</v>
      </c>
      <c r="M59" s="958" t="s">
        <v>1335</v>
      </c>
      <c r="N59" s="958" t="s">
        <v>1335</v>
      </c>
      <c r="O59" s="958" t="s">
        <v>1335</v>
      </c>
      <c r="P59" s="958" t="s">
        <v>1335</v>
      </c>
      <c r="Q59" s="958" t="s">
        <v>1335</v>
      </c>
      <c r="R59" s="958" t="s">
        <v>1335</v>
      </c>
      <c r="S59" s="958" t="s">
        <v>1335</v>
      </c>
      <c r="T59" s="958" t="s">
        <v>1335</v>
      </c>
      <c r="U59" s="958" t="s">
        <v>1335</v>
      </c>
      <c r="V59" s="966"/>
      <c r="W59" s="966" t="s">
        <v>1335</v>
      </c>
      <c r="X59" s="966"/>
      <c r="Y59" s="970"/>
      <c r="Z59" s="966"/>
      <c r="AA59" s="971"/>
      <c r="AB59" s="972"/>
      <c r="AC59" s="972"/>
      <c r="AD59" s="972"/>
      <c r="AE59" s="972"/>
      <c r="AF59" s="972"/>
      <c r="AG59" s="972"/>
      <c r="AH59" s="972"/>
      <c r="AI59" s="972"/>
      <c r="AJ59" s="972"/>
      <c r="AK59" s="972"/>
      <c r="AL59" s="972"/>
      <c r="AM59" s="972"/>
      <c r="AN59" s="972"/>
      <c r="AO59" s="972"/>
      <c r="AP59" s="972"/>
      <c r="AQ59" s="956">
        <f t="shared" si="10"/>
        <v>15</v>
      </c>
      <c r="AR59" s="956">
        <f t="shared" si="11"/>
        <v>1</v>
      </c>
      <c r="AS59" s="956">
        <f t="shared" si="12"/>
        <v>16</v>
      </c>
      <c r="AT59" s="956">
        <v>12</v>
      </c>
      <c r="AU59" s="981"/>
      <c r="AV59" s="981"/>
      <c r="AW59" s="981"/>
      <c r="AX59" s="993"/>
      <c r="AY59" s="993"/>
      <c r="AZ59" s="833">
        <f t="shared" si="13"/>
        <v>0</v>
      </c>
      <c r="BA59" s="983">
        <f t="shared" si="0"/>
        <v>0</v>
      </c>
      <c r="BB59" s="983">
        <f t="shared" si="1"/>
        <v>0</v>
      </c>
      <c r="BC59" s="983">
        <f t="shared" si="2"/>
        <v>0</v>
      </c>
      <c r="BD59" s="983">
        <f t="shared" si="3"/>
        <v>0</v>
      </c>
      <c r="BE59" s="983">
        <f t="shared" si="14"/>
        <v>0</v>
      </c>
      <c r="BF59" s="871">
        <f t="shared" si="15"/>
        <v>16</v>
      </c>
    </row>
    <row r="60" spans="1:58" s="8" customFormat="1" ht="20.100000000000001" customHeight="1">
      <c r="A60" s="956"/>
      <c r="B60" s="959">
        <v>4</v>
      </c>
      <c r="C60" s="956">
        <v>142</v>
      </c>
      <c r="D60" s="957"/>
      <c r="E60" s="957"/>
      <c r="F60" s="956"/>
      <c r="G60" s="958" t="s">
        <v>1335</v>
      </c>
      <c r="H60" s="958" t="s">
        <v>1335</v>
      </c>
      <c r="I60" s="958" t="s">
        <v>1335</v>
      </c>
      <c r="J60" s="958">
        <v>0</v>
      </c>
      <c r="K60" s="958" t="s">
        <v>1335</v>
      </c>
      <c r="L60" s="958" t="s">
        <v>1335</v>
      </c>
      <c r="M60" s="958" t="s">
        <v>1335</v>
      </c>
      <c r="N60" s="958" t="s">
        <v>1335</v>
      </c>
      <c r="O60" s="958" t="s">
        <v>1335</v>
      </c>
      <c r="P60" s="958" t="s">
        <v>1335</v>
      </c>
      <c r="Q60" s="958" t="s">
        <v>1335</v>
      </c>
      <c r="R60" s="958" t="s">
        <v>1335</v>
      </c>
      <c r="S60" s="958" t="s">
        <v>1335</v>
      </c>
      <c r="T60" s="958" t="s">
        <v>1335</v>
      </c>
      <c r="U60" s="958" t="s">
        <v>1335</v>
      </c>
      <c r="V60" s="966"/>
      <c r="W60" s="966" t="s">
        <v>1335</v>
      </c>
      <c r="X60" s="966"/>
      <c r="Y60" s="970"/>
      <c r="Z60" s="966"/>
      <c r="AA60" s="971"/>
      <c r="AB60" s="972"/>
      <c r="AC60" s="972"/>
      <c r="AD60" s="972"/>
      <c r="AE60" s="972"/>
      <c r="AF60" s="972"/>
      <c r="AG60" s="972"/>
      <c r="AH60" s="972"/>
      <c r="AI60" s="972"/>
      <c r="AJ60" s="972"/>
      <c r="AK60" s="972"/>
      <c r="AL60" s="972"/>
      <c r="AM60" s="972"/>
      <c r="AN60" s="972"/>
      <c r="AO60" s="972"/>
      <c r="AP60" s="972"/>
      <c r="AQ60" s="956">
        <f t="shared" si="10"/>
        <v>14</v>
      </c>
      <c r="AR60" s="956">
        <f t="shared" si="11"/>
        <v>1</v>
      </c>
      <c r="AS60" s="956">
        <f t="shared" si="12"/>
        <v>15</v>
      </c>
      <c r="AT60" s="956">
        <v>12</v>
      </c>
      <c r="AU60" s="981"/>
      <c r="AV60" s="981"/>
      <c r="AW60" s="981"/>
      <c r="AX60" s="993"/>
      <c r="AY60" s="993"/>
      <c r="AZ60" s="833">
        <f t="shared" si="13"/>
        <v>0</v>
      </c>
      <c r="BA60" s="983">
        <f t="shared" si="0"/>
        <v>0</v>
      </c>
      <c r="BB60" s="983">
        <f t="shared" si="1"/>
        <v>0</v>
      </c>
      <c r="BC60" s="983">
        <f t="shared" si="2"/>
        <v>0</v>
      </c>
      <c r="BD60" s="983">
        <f t="shared" si="3"/>
        <v>0</v>
      </c>
      <c r="BE60" s="983">
        <f t="shared" si="14"/>
        <v>0</v>
      </c>
      <c r="BF60" s="871">
        <f t="shared" si="15"/>
        <v>15</v>
      </c>
    </row>
    <row r="61" spans="1:58" s="8" customFormat="1" ht="20.100000000000001" customHeight="1">
      <c r="A61" s="956"/>
      <c r="B61" s="959">
        <v>4</v>
      </c>
      <c r="C61" s="956">
        <v>143</v>
      </c>
      <c r="D61" s="957"/>
      <c r="E61" s="957"/>
      <c r="F61" s="956"/>
      <c r="G61" s="958" t="s">
        <v>1335</v>
      </c>
      <c r="H61" s="958" t="s">
        <v>1335</v>
      </c>
      <c r="I61" s="958" t="s">
        <v>1335</v>
      </c>
      <c r="J61" s="958" t="s">
        <v>1335</v>
      </c>
      <c r="K61" s="958" t="s">
        <v>1335</v>
      </c>
      <c r="L61" s="958" t="s">
        <v>1335</v>
      </c>
      <c r="M61" s="958" t="s">
        <v>1335</v>
      </c>
      <c r="N61" s="958" t="s">
        <v>1335</v>
      </c>
      <c r="O61" s="958" t="s">
        <v>1335</v>
      </c>
      <c r="P61" s="958" t="s">
        <v>1335</v>
      </c>
      <c r="Q61" s="958" t="s">
        <v>1335</v>
      </c>
      <c r="R61" s="958" t="s">
        <v>1335</v>
      </c>
      <c r="S61" s="958" t="s">
        <v>1335</v>
      </c>
      <c r="T61" s="958" t="s">
        <v>1335</v>
      </c>
      <c r="U61" s="958" t="s">
        <v>1335</v>
      </c>
      <c r="V61" s="966"/>
      <c r="W61" s="966" t="s">
        <v>1335</v>
      </c>
      <c r="X61" s="966"/>
      <c r="Y61" s="970"/>
      <c r="Z61" s="966"/>
      <c r="AA61" s="971"/>
      <c r="AB61" s="972"/>
      <c r="AC61" s="972"/>
      <c r="AD61" s="972"/>
      <c r="AE61" s="972"/>
      <c r="AF61" s="972"/>
      <c r="AG61" s="972"/>
      <c r="AH61" s="972"/>
      <c r="AI61" s="972"/>
      <c r="AJ61" s="972"/>
      <c r="AK61" s="972"/>
      <c r="AL61" s="972"/>
      <c r="AM61" s="972"/>
      <c r="AN61" s="972"/>
      <c r="AO61" s="972"/>
      <c r="AP61" s="972"/>
      <c r="AQ61" s="956">
        <f t="shared" si="10"/>
        <v>15</v>
      </c>
      <c r="AR61" s="956">
        <f t="shared" si="11"/>
        <v>1</v>
      </c>
      <c r="AS61" s="956">
        <f t="shared" si="12"/>
        <v>16</v>
      </c>
      <c r="AT61" s="956">
        <v>12</v>
      </c>
      <c r="AU61" s="981"/>
      <c r="AV61" s="981"/>
      <c r="AW61" s="981"/>
      <c r="AX61" s="993"/>
      <c r="AY61" s="993"/>
      <c r="AZ61" s="833">
        <f t="shared" si="13"/>
        <v>0</v>
      </c>
      <c r="BA61" s="983">
        <f t="shared" si="0"/>
        <v>0</v>
      </c>
      <c r="BB61" s="983">
        <f t="shared" si="1"/>
        <v>0</v>
      </c>
      <c r="BC61" s="983">
        <f t="shared" si="2"/>
        <v>0</v>
      </c>
      <c r="BD61" s="983">
        <f t="shared" si="3"/>
        <v>0</v>
      </c>
      <c r="BE61" s="983">
        <f t="shared" si="14"/>
        <v>0</v>
      </c>
      <c r="BF61" s="871">
        <f t="shared" si="15"/>
        <v>16</v>
      </c>
    </row>
    <row r="62" spans="1:58" s="8" customFormat="1" ht="20.100000000000001" customHeight="1">
      <c r="A62" s="956"/>
      <c r="B62" s="959">
        <v>4</v>
      </c>
      <c r="C62" s="956">
        <v>144</v>
      </c>
      <c r="D62" s="957"/>
      <c r="E62" s="957"/>
      <c r="F62" s="956"/>
      <c r="G62" s="958" t="s">
        <v>1335</v>
      </c>
      <c r="H62" s="958" t="s">
        <v>1335</v>
      </c>
      <c r="I62" s="958" t="s">
        <v>1335</v>
      </c>
      <c r="J62" s="958">
        <v>0</v>
      </c>
      <c r="K62" s="958" t="s">
        <v>1335</v>
      </c>
      <c r="L62" s="958" t="s">
        <v>1335</v>
      </c>
      <c r="M62" s="958" t="s">
        <v>1335</v>
      </c>
      <c r="N62" s="958" t="s">
        <v>1335</v>
      </c>
      <c r="O62" s="958" t="s">
        <v>1335</v>
      </c>
      <c r="P62" s="958" t="s">
        <v>1335</v>
      </c>
      <c r="Q62" s="958" t="s">
        <v>1335</v>
      </c>
      <c r="R62" s="958" t="s">
        <v>1335</v>
      </c>
      <c r="S62" s="958" t="s">
        <v>1335</v>
      </c>
      <c r="T62" s="958" t="s">
        <v>1335</v>
      </c>
      <c r="U62" s="958" t="s">
        <v>1335</v>
      </c>
      <c r="V62" s="966"/>
      <c r="W62" s="966" t="s">
        <v>1335</v>
      </c>
      <c r="X62" s="966"/>
      <c r="Y62" s="970"/>
      <c r="Z62" s="966"/>
      <c r="AA62" s="971"/>
      <c r="AB62" s="972"/>
      <c r="AC62" s="972"/>
      <c r="AD62" s="972"/>
      <c r="AE62" s="972"/>
      <c r="AF62" s="972"/>
      <c r="AG62" s="972"/>
      <c r="AH62" s="972"/>
      <c r="AI62" s="972"/>
      <c r="AJ62" s="972"/>
      <c r="AK62" s="972"/>
      <c r="AL62" s="972"/>
      <c r="AM62" s="972"/>
      <c r="AN62" s="972"/>
      <c r="AO62" s="972"/>
      <c r="AP62" s="972"/>
      <c r="AQ62" s="956">
        <f t="shared" si="10"/>
        <v>14</v>
      </c>
      <c r="AR62" s="956">
        <f t="shared" si="11"/>
        <v>1</v>
      </c>
      <c r="AS62" s="956">
        <f t="shared" si="12"/>
        <v>15</v>
      </c>
      <c r="AT62" s="956">
        <v>12</v>
      </c>
      <c r="AU62" s="981"/>
      <c r="AV62" s="981"/>
      <c r="AW62" s="981"/>
      <c r="AX62" s="993"/>
      <c r="AY62" s="993"/>
      <c r="AZ62" s="833">
        <f t="shared" si="13"/>
        <v>0</v>
      </c>
      <c r="BA62" s="983">
        <f t="shared" si="0"/>
        <v>0</v>
      </c>
      <c r="BB62" s="983">
        <f t="shared" si="1"/>
        <v>0</v>
      </c>
      <c r="BC62" s="983">
        <f t="shared" si="2"/>
        <v>0</v>
      </c>
      <c r="BD62" s="983">
        <f t="shared" si="3"/>
        <v>0</v>
      </c>
      <c r="BE62" s="983">
        <f t="shared" si="14"/>
        <v>0</v>
      </c>
      <c r="BF62" s="871">
        <f t="shared" si="15"/>
        <v>15</v>
      </c>
    </row>
    <row r="63" spans="1:58" s="8" customFormat="1" ht="20.100000000000001" customHeight="1">
      <c r="A63" s="956"/>
      <c r="B63" s="959">
        <v>4</v>
      </c>
      <c r="C63" s="956">
        <v>145</v>
      </c>
      <c r="D63" s="957"/>
      <c r="E63" s="957"/>
      <c r="F63" s="956"/>
      <c r="G63" s="958" t="s">
        <v>1335</v>
      </c>
      <c r="H63" s="958" t="s">
        <v>1335</v>
      </c>
      <c r="I63" s="958" t="s">
        <v>1335</v>
      </c>
      <c r="J63" s="958" t="s">
        <v>1335</v>
      </c>
      <c r="K63" s="958" t="s">
        <v>1335</v>
      </c>
      <c r="L63" s="958" t="s">
        <v>1335</v>
      </c>
      <c r="M63" s="958" t="s">
        <v>1335</v>
      </c>
      <c r="N63" s="958" t="s">
        <v>1335</v>
      </c>
      <c r="O63" s="958" t="s">
        <v>1335</v>
      </c>
      <c r="P63" s="958" t="s">
        <v>1335</v>
      </c>
      <c r="Q63" s="958" t="s">
        <v>1335</v>
      </c>
      <c r="R63" s="958" t="s">
        <v>1335</v>
      </c>
      <c r="S63" s="958" t="s">
        <v>1335</v>
      </c>
      <c r="T63" s="958" t="s">
        <v>1335</v>
      </c>
      <c r="U63" s="958" t="s">
        <v>1335</v>
      </c>
      <c r="V63" s="966"/>
      <c r="W63" s="966" t="s">
        <v>1335</v>
      </c>
      <c r="X63" s="966"/>
      <c r="Y63" s="970"/>
      <c r="Z63" s="966"/>
      <c r="AA63" s="971"/>
      <c r="AB63" s="972"/>
      <c r="AC63" s="972"/>
      <c r="AD63" s="972"/>
      <c r="AE63" s="972"/>
      <c r="AF63" s="972"/>
      <c r="AG63" s="972"/>
      <c r="AH63" s="972"/>
      <c r="AI63" s="972"/>
      <c r="AJ63" s="972"/>
      <c r="AK63" s="972"/>
      <c r="AL63" s="972"/>
      <c r="AM63" s="972"/>
      <c r="AN63" s="972"/>
      <c r="AO63" s="972"/>
      <c r="AP63" s="972"/>
      <c r="AQ63" s="956">
        <f t="shared" si="10"/>
        <v>15</v>
      </c>
      <c r="AR63" s="956">
        <f t="shared" si="11"/>
        <v>1</v>
      </c>
      <c r="AS63" s="956">
        <f t="shared" si="12"/>
        <v>16</v>
      </c>
      <c r="AT63" s="956">
        <v>12</v>
      </c>
      <c r="AU63" s="981"/>
      <c r="AV63" s="981"/>
      <c r="AW63" s="981"/>
      <c r="AX63" s="993"/>
      <c r="AY63" s="993"/>
      <c r="AZ63" s="833">
        <f t="shared" si="13"/>
        <v>0</v>
      </c>
      <c r="BA63" s="983">
        <f t="shared" si="0"/>
        <v>0</v>
      </c>
      <c r="BB63" s="983">
        <f t="shared" si="1"/>
        <v>0</v>
      </c>
      <c r="BC63" s="983">
        <f t="shared" si="2"/>
        <v>0</v>
      </c>
      <c r="BD63" s="983">
        <f t="shared" si="3"/>
        <v>0</v>
      </c>
      <c r="BE63" s="983">
        <f t="shared" si="14"/>
        <v>0</v>
      </c>
      <c r="BF63" s="871">
        <f t="shared" si="15"/>
        <v>16</v>
      </c>
    </row>
    <row r="64" spans="1:58" s="8" customFormat="1" ht="20.100000000000001" customHeight="1">
      <c r="A64" s="956"/>
      <c r="B64" s="959">
        <v>4</v>
      </c>
      <c r="C64" s="956">
        <v>146</v>
      </c>
      <c r="D64" s="957"/>
      <c r="E64" s="957"/>
      <c r="F64" s="956"/>
      <c r="G64" s="958" t="s">
        <v>1335</v>
      </c>
      <c r="H64" s="958" t="s">
        <v>1335</v>
      </c>
      <c r="I64" s="958" t="s">
        <v>1335</v>
      </c>
      <c r="J64" s="958">
        <v>0</v>
      </c>
      <c r="K64" s="958" t="s">
        <v>1335</v>
      </c>
      <c r="L64" s="958" t="s">
        <v>1335</v>
      </c>
      <c r="M64" s="958" t="s">
        <v>1335</v>
      </c>
      <c r="N64" s="958" t="s">
        <v>1335</v>
      </c>
      <c r="O64" s="958" t="s">
        <v>1335</v>
      </c>
      <c r="P64" s="958" t="s">
        <v>1335</v>
      </c>
      <c r="Q64" s="958" t="s">
        <v>1335</v>
      </c>
      <c r="R64" s="958" t="s">
        <v>1335</v>
      </c>
      <c r="S64" s="958" t="s">
        <v>1335</v>
      </c>
      <c r="T64" s="958" t="s">
        <v>1335</v>
      </c>
      <c r="U64" s="958" t="s">
        <v>1335</v>
      </c>
      <c r="V64" s="966"/>
      <c r="W64" s="966" t="s">
        <v>1335</v>
      </c>
      <c r="X64" s="966"/>
      <c r="Y64" s="970"/>
      <c r="Z64" s="966"/>
      <c r="AA64" s="971"/>
      <c r="AB64" s="972"/>
      <c r="AC64" s="972"/>
      <c r="AD64" s="972"/>
      <c r="AE64" s="972"/>
      <c r="AF64" s="972"/>
      <c r="AG64" s="972"/>
      <c r="AH64" s="972"/>
      <c r="AI64" s="972"/>
      <c r="AJ64" s="972"/>
      <c r="AK64" s="972"/>
      <c r="AL64" s="972"/>
      <c r="AM64" s="972"/>
      <c r="AN64" s="972"/>
      <c r="AO64" s="972"/>
      <c r="AP64" s="972"/>
      <c r="AQ64" s="956">
        <f t="shared" si="10"/>
        <v>14</v>
      </c>
      <c r="AR64" s="956">
        <f t="shared" si="11"/>
        <v>1</v>
      </c>
      <c r="AS64" s="956">
        <f t="shared" si="12"/>
        <v>15</v>
      </c>
      <c r="AT64" s="956">
        <v>12</v>
      </c>
      <c r="AU64" s="981"/>
      <c r="AV64" s="981"/>
      <c r="AW64" s="981"/>
      <c r="AX64" s="993"/>
      <c r="AY64" s="993"/>
      <c r="AZ64" s="833">
        <f t="shared" si="13"/>
        <v>0</v>
      </c>
      <c r="BA64" s="983">
        <f t="shared" si="0"/>
        <v>0</v>
      </c>
      <c r="BB64" s="983">
        <f t="shared" si="1"/>
        <v>0</v>
      </c>
      <c r="BC64" s="983">
        <f t="shared" si="2"/>
        <v>0</v>
      </c>
      <c r="BD64" s="983">
        <f t="shared" si="3"/>
        <v>0</v>
      </c>
      <c r="BE64" s="983">
        <f t="shared" si="14"/>
        <v>0</v>
      </c>
      <c r="BF64" s="871">
        <f t="shared" si="15"/>
        <v>15</v>
      </c>
    </row>
    <row r="65" spans="1:58" s="8" customFormat="1" ht="20.100000000000001" customHeight="1">
      <c r="A65" s="956"/>
      <c r="B65" s="959">
        <v>4</v>
      </c>
      <c r="C65" s="956">
        <v>147</v>
      </c>
      <c r="D65" s="957"/>
      <c r="E65" s="957"/>
      <c r="F65" s="956"/>
      <c r="G65" s="958" t="s">
        <v>1335</v>
      </c>
      <c r="H65" s="958" t="s">
        <v>1335</v>
      </c>
      <c r="I65" s="958" t="s">
        <v>1335</v>
      </c>
      <c r="J65" s="958">
        <v>0</v>
      </c>
      <c r="K65" s="958" t="s">
        <v>1335</v>
      </c>
      <c r="L65" s="958" t="s">
        <v>1335</v>
      </c>
      <c r="M65" s="958" t="s">
        <v>1335</v>
      </c>
      <c r="N65" s="958" t="s">
        <v>1335</v>
      </c>
      <c r="O65" s="958" t="s">
        <v>1335</v>
      </c>
      <c r="P65" s="958" t="s">
        <v>1335</v>
      </c>
      <c r="Q65" s="958" t="s">
        <v>1335</v>
      </c>
      <c r="R65" s="958" t="s">
        <v>1335</v>
      </c>
      <c r="S65" s="958" t="s">
        <v>1335</v>
      </c>
      <c r="T65" s="958" t="s">
        <v>1335</v>
      </c>
      <c r="U65" s="958" t="s">
        <v>1335</v>
      </c>
      <c r="V65" s="966"/>
      <c r="W65" s="966" t="s">
        <v>1335</v>
      </c>
      <c r="X65" s="966"/>
      <c r="Y65" s="970"/>
      <c r="Z65" s="966"/>
      <c r="AA65" s="971"/>
      <c r="AB65" s="972"/>
      <c r="AC65" s="972"/>
      <c r="AD65" s="972"/>
      <c r="AE65" s="972"/>
      <c r="AF65" s="972"/>
      <c r="AG65" s="972"/>
      <c r="AH65" s="972"/>
      <c r="AI65" s="972"/>
      <c r="AJ65" s="972"/>
      <c r="AK65" s="972"/>
      <c r="AL65" s="972"/>
      <c r="AM65" s="972"/>
      <c r="AN65" s="972"/>
      <c r="AO65" s="972"/>
      <c r="AP65" s="972"/>
      <c r="AQ65" s="956">
        <f t="shared" si="10"/>
        <v>14</v>
      </c>
      <c r="AR65" s="956">
        <f t="shared" si="11"/>
        <v>1</v>
      </c>
      <c r="AS65" s="956">
        <f t="shared" si="12"/>
        <v>15</v>
      </c>
      <c r="AT65" s="956">
        <v>12</v>
      </c>
      <c r="AU65" s="981"/>
      <c r="AV65" s="981"/>
      <c r="AW65" s="981"/>
      <c r="AX65" s="993"/>
      <c r="AY65" s="993"/>
      <c r="AZ65" s="833">
        <f t="shared" si="13"/>
        <v>0</v>
      </c>
      <c r="BA65" s="983">
        <f t="shared" si="0"/>
        <v>0</v>
      </c>
      <c r="BB65" s="983">
        <f t="shared" si="1"/>
        <v>0</v>
      </c>
      <c r="BC65" s="983">
        <f t="shared" si="2"/>
        <v>0</v>
      </c>
      <c r="BD65" s="983">
        <f t="shared" si="3"/>
        <v>0</v>
      </c>
      <c r="BE65" s="983">
        <f t="shared" si="14"/>
        <v>0</v>
      </c>
      <c r="BF65" s="871">
        <f t="shared" si="15"/>
        <v>15</v>
      </c>
    </row>
    <row r="66" spans="1:58" s="8" customFormat="1" ht="20.100000000000001" customHeight="1">
      <c r="A66" s="956"/>
      <c r="B66" s="959">
        <v>4</v>
      </c>
      <c r="C66" s="956">
        <v>148</v>
      </c>
      <c r="D66" s="957"/>
      <c r="E66" s="957"/>
      <c r="F66" s="956"/>
      <c r="G66" s="958" t="s">
        <v>1335</v>
      </c>
      <c r="H66" s="958" t="s">
        <v>1335</v>
      </c>
      <c r="I66" s="958" t="s">
        <v>1335</v>
      </c>
      <c r="J66" s="958" t="s">
        <v>1335</v>
      </c>
      <c r="K66" s="958" t="s">
        <v>1335</v>
      </c>
      <c r="L66" s="958" t="s">
        <v>1335</v>
      </c>
      <c r="M66" s="958" t="s">
        <v>1335</v>
      </c>
      <c r="N66" s="958" t="s">
        <v>1335</v>
      </c>
      <c r="O66" s="958" t="s">
        <v>1335</v>
      </c>
      <c r="P66" s="958" t="s">
        <v>1335</v>
      </c>
      <c r="Q66" s="958" t="s">
        <v>1335</v>
      </c>
      <c r="R66" s="958" t="s">
        <v>1335</v>
      </c>
      <c r="S66" s="958" t="s">
        <v>1335</v>
      </c>
      <c r="T66" s="958" t="s">
        <v>1335</v>
      </c>
      <c r="U66" s="958" t="s">
        <v>1335</v>
      </c>
      <c r="V66" s="966"/>
      <c r="W66" s="966" t="s">
        <v>1335</v>
      </c>
      <c r="X66" s="966"/>
      <c r="Y66" s="970"/>
      <c r="Z66" s="966"/>
      <c r="AA66" s="971"/>
      <c r="AB66" s="972"/>
      <c r="AC66" s="972"/>
      <c r="AD66" s="972"/>
      <c r="AE66" s="972"/>
      <c r="AF66" s="972"/>
      <c r="AG66" s="972"/>
      <c r="AH66" s="972"/>
      <c r="AI66" s="972"/>
      <c r="AJ66" s="972"/>
      <c r="AK66" s="972"/>
      <c r="AL66" s="972"/>
      <c r="AM66" s="972"/>
      <c r="AN66" s="972"/>
      <c r="AO66" s="972"/>
      <c r="AP66" s="972"/>
      <c r="AQ66" s="956">
        <f t="shared" si="10"/>
        <v>15</v>
      </c>
      <c r="AR66" s="956">
        <f t="shared" si="11"/>
        <v>1</v>
      </c>
      <c r="AS66" s="956">
        <f t="shared" si="12"/>
        <v>16</v>
      </c>
      <c r="AT66" s="956">
        <v>12</v>
      </c>
      <c r="AU66" s="981"/>
      <c r="AV66" s="981"/>
      <c r="AW66" s="981"/>
      <c r="AX66" s="993"/>
      <c r="AY66" s="993"/>
      <c r="AZ66" s="833">
        <f t="shared" si="13"/>
        <v>0</v>
      </c>
      <c r="BA66" s="983">
        <f t="shared" si="0"/>
        <v>0</v>
      </c>
      <c r="BB66" s="983">
        <f t="shared" si="1"/>
        <v>0</v>
      </c>
      <c r="BC66" s="983">
        <f t="shared" si="2"/>
        <v>0</v>
      </c>
      <c r="BD66" s="983">
        <f t="shared" si="3"/>
        <v>0</v>
      </c>
      <c r="BE66" s="983">
        <f t="shared" si="14"/>
        <v>0</v>
      </c>
      <c r="BF66" s="871">
        <f t="shared" si="15"/>
        <v>16</v>
      </c>
    </row>
    <row r="67" spans="1:58" s="8" customFormat="1" ht="20.100000000000001" customHeight="1">
      <c r="A67" s="956"/>
      <c r="B67" s="959">
        <v>4</v>
      </c>
      <c r="C67" s="956">
        <v>149</v>
      </c>
      <c r="D67" s="957"/>
      <c r="E67" s="957"/>
      <c r="F67" s="956"/>
      <c r="G67" s="958" t="s">
        <v>1335</v>
      </c>
      <c r="H67" s="958" t="s">
        <v>1335</v>
      </c>
      <c r="I67" s="958" t="s">
        <v>1335</v>
      </c>
      <c r="J67" s="958">
        <v>0</v>
      </c>
      <c r="K67" s="958" t="s">
        <v>1335</v>
      </c>
      <c r="L67" s="958" t="s">
        <v>1335</v>
      </c>
      <c r="M67" s="958" t="s">
        <v>1335</v>
      </c>
      <c r="N67" s="958">
        <v>0</v>
      </c>
      <c r="O67" s="958" t="s">
        <v>1335</v>
      </c>
      <c r="P67" s="958" t="s">
        <v>1335</v>
      </c>
      <c r="Q67" s="958" t="s">
        <v>1335</v>
      </c>
      <c r="R67" s="958" t="s">
        <v>1335</v>
      </c>
      <c r="S67" s="958" t="s">
        <v>1335</v>
      </c>
      <c r="T67" s="958" t="s">
        <v>1335</v>
      </c>
      <c r="U67" s="958" t="s">
        <v>1335</v>
      </c>
      <c r="V67" s="966"/>
      <c r="W67" s="966" t="s">
        <v>1335</v>
      </c>
      <c r="X67" s="966"/>
      <c r="Y67" s="970"/>
      <c r="Z67" s="966"/>
      <c r="AA67" s="971"/>
      <c r="AB67" s="972"/>
      <c r="AC67" s="972"/>
      <c r="AD67" s="972"/>
      <c r="AE67" s="972"/>
      <c r="AF67" s="972"/>
      <c r="AG67" s="972"/>
      <c r="AH67" s="972"/>
      <c r="AI67" s="972"/>
      <c r="AJ67" s="972"/>
      <c r="AK67" s="972"/>
      <c r="AL67" s="972"/>
      <c r="AM67" s="972"/>
      <c r="AN67" s="972"/>
      <c r="AO67" s="972"/>
      <c r="AP67" s="972"/>
      <c r="AQ67" s="956">
        <f t="shared" si="10"/>
        <v>13</v>
      </c>
      <c r="AR67" s="956">
        <f t="shared" si="11"/>
        <v>1</v>
      </c>
      <c r="AS67" s="956">
        <f t="shared" si="12"/>
        <v>14</v>
      </c>
      <c r="AT67" s="982">
        <v>11</v>
      </c>
      <c r="AU67" s="981"/>
      <c r="AV67" s="981"/>
      <c r="AW67" s="981"/>
      <c r="AX67" s="993"/>
      <c r="AY67" s="993"/>
      <c r="AZ67" s="833">
        <f t="shared" si="13"/>
        <v>0</v>
      </c>
      <c r="BA67" s="983">
        <f t="shared" si="0"/>
        <v>0</v>
      </c>
      <c r="BB67" s="983">
        <f t="shared" si="1"/>
        <v>0</v>
      </c>
      <c r="BC67" s="983">
        <f t="shared" si="2"/>
        <v>0</v>
      </c>
      <c r="BD67" s="983">
        <f t="shared" si="3"/>
        <v>0</v>
      </c>
      <c r="BE67" s="983">
        <f t="shared" si="14"/>
        <v>0</v>
      </c>
      <c r="BF67" s="871">
        <f t="shared" si="15"/>
        <v>14</v>
      </c>
    </row>
    <row r="68" spans="1:58" s="8" customFormat="1" ht="20.100000000000001" customHeight="1">
      <c r="A68" s="956"/>
      <c r="B68" s="959">
        <v>4</v>
      </c>
      <c r="C68" s="956">
        <v>150</v>
      </c>
      <c r="D68" s="957"/>
      <c r="E68" s="957"/>
      <c r="F68" s="956"/>
      <c r="G68" s="958" t="s">
        <v>1335</v>
      </c>
      <c r="H68" s="958">
        <v>0</v>
      </c>
      <c r="I68" s="958" t="s">
        <v>1335</v>
      </c>
      <c r="J68" s="958">
        <v>0</v>
      </c>
      <c r="K68" s="958" t="s">
        <v>1335</v>
      </c>
      <c r="L68" s="958" t="s">
        <v>1335</v>
      </c>
      <c r="M68" s="958" t="s">
        <v>1335</v>
      </c>
      <c r="N68" s="958" t="s">
        <v>1335</v>
      </c>
      <c r="O68" s="958" t="s">
        <v>1335</v>
      </c>
      <c r="P68" s="958" t="s">
        <v>1335</v>
      </c>
      <c r="Q68" s="958" t="s">
        <v>1335</v>
      </c>
      <c r="R68" s="958" t="s">
        <v>1335</v>
      </c>
      <c r="S68" s="958" t="s">
        <v>1335</v>
      </c>
      <c r="T68" s="958" t="s">
        <v>1335</v>
      </c>
      <c r="U68" s="958" t="s">
        <v>1335</v>
      </c>
      <c r="V68" s="966"/>
      <c r="W68" s="966" t="s">
        <v>1335</v>
      </c>
      <c r="X68" s="966"/>
      <c r="Y68" s="970"/>
      <c r="Z68" s="966"/>
      <c r="AA68" s="971"/>
      <c r="AB68" s="972"/>
      <c r="AC68" s="972"/>
      <c r="AD68" s="972"/>
      <c r="AE68" s="972"/>
      <c r="AF68" s="972"/>
      <c r="AG68" s="972"/>
      <c r="AH68" s="972"/>
      <c r="AI68" s="972"/>
      <c r="AJ68" s="972"/>
      <c r="AK68" s="972"/>
      <c r="AL68" s="972"/>
      <c r="AM68" s="972"/>
      <c r="AN68" s="972"/>
      <c r="AO68" s="972"/>
      <c r="AP68" s="972"/>
      <c r="AQ68" s="956">
        <f t="shared" si="10"/>
        <v>13</v>
      </c>
      <c r="AR68" s="956">
        <f t="shared" si="11"/>
        <v>1</v>
      </c>
      <c r="AS68" s="956">
        <f t="shared" si="12"/>
        <v>14</v>
      </c>
      <c r="AT68" s="956">
        <v>12</v>
      </c>
      <c r="AU68" s="981"/>
      <c r="AV68" s="981"/>
      <c r="AW68" s="981"/>
      <c r="AX68" s="993"/>
      <c r="AY68" s="993"/>
      <c r="AZ68" s="833">
        <f t="shared" si="13"/>
        <v>0</v>
      </c>
      <c r="BA68" s="983">
        <f t="shared" si="0"/>
        <v>0</v>
      </c>
      <c r="BB68" s="983">
        <f t="shared" si="1"/>
        <v>0</v>
      </c>
      <c r="BC68" s="983">
        <f t="shared" si="2"/>
        <v>0</v>
      </c>
      <c r="BD68" s="983">
        <f t="shared" si="3"/>
        <v>0</v>
      </c>
      <c r="BE68" s="983">
        <f t="shared" si="14"/>
        <v>0</v>
      </c>
      <c r="BF68" s="871">
        <f t="shared" si="15"/>
        <v>14</v>
      </c>
    </row>
    <row r="69" spans="1:58" s="8" customFormat="1" ht="20.100000000000001" customHeight="1">
      <c r="A69" s="956"/>
      <c r="B69" s="959">
        <v>4</v>
      </c>
      <c r="C69" s="956">
        <v>151</v>
      </c>
      <c r="D69" s="957"/>
      <c r="E69" s="957"/>
      <c r="F69" s="956"/>
      <c r="G69" s="958" t="s">
        <v>1335</v>
      </c>
      <c r="H69" s="958" t="s">
        <v>1335</v>
      </c>
      <c r="I69" s="958" t="s">
        <v>1335</v>
      </c>
      <c r="J69" s="958">
        <v>0</v>
      </c>
      <c r="K69" s="958" t="s">
        <v>1335</v>
      </c>
      <c r="L69" s="958" t="s">
        <v>1335</v>
      </c>
      <c r="M69" s="958" t="s">
        <v>1335</v>
      </c>
      <c r="N69" s="958" t="s">
        <v>1335</v>
      </c>
      <c r="O69" s="958" t="s">
        <v>1335</v>
      </c>
      <c r="P69" s="958" t="s">
        <v>1335</v>
      </c>
      <c r="Q69" s="958">
        <v>0</v>
      </c>
      <c r="R69" s="958" t="s">
        <v>1335</v>
      </c>
      <c r="S69" s="958" t="s">
        <v>1335</v>
      </c>
      <c r="T69" s="958" t="s">
        <v>1335</v>
      </c>
      <c r="U69" s="958" t="s">
        <v>1335</v>
      </c>
      <c r="V69" s="966"/>
      <c r="W69" s="966" t="s">
        <v>1335</v>
      </c>
      <c r="X69" s="966"/>
      <c r="Y69" s="970"/>
      <c r="Z69" s="966"/>
      <c r="AA69" s="971"/>
      <c r="AB69" s="972"/>
      <c r="AC69" s="972"/>
      <c r="AD69" s="972"/>
      <c r="AE69" s="972"/>
      <c r="AF69" s="972"/>
      <c r="AG69" s="972"/>
      <c r="AH69" s="972"/>
      <c r="AI69" s="972"/>
      <c r="AJ69" s="972"/>
      <c r="AK69" s="972"/>
      <c r="AL69" s="972"/>
      <c r="AM69" s="972"/>
      <c r="AN69" s="972"/>
      <c r="AO69" s="972"/>
      <c r="AP69" s="972"/>
      <c r="AQ69" s="956">
        <f t="shared" si="10"/>
        <v>13</v>
      </c>
      <c r="AR69" s="956">
        <f t="shared" si="11"/>
        <v>1</v>
      </c>
      <c r="AS69" s="956">
        <f t="shared" si="12"/>
        <v>14</v>
      </c>
      <c r="AT69" s="982">
        <v>11</v>
      </c>
      <c r="AU69" s="981"/>
      <c r="AV69" s="981"/>
      <c r="AW69" s="981"/>
      <c r="AX69" s="993"/>
      <c r="AY69" s="993"/>
      <c r="AZ69" s="833">
        <f t="shared" si="13"/>
        <v>0</v>
      </c>
      <c r="BA69" s="983">
        <f t="shared" si="0"/>
        <v>0</v>
      </c>
      <c r="BB69" s="983">
        <f t="shared" si="1"/>
        <v>0</v>
      </c>
      <c r="BC69" s="983">
        <f t="shared" si="2"/>
        <v>0</v>
      </c>
      <c r="BD69" s="983">
        <f t="shared" si="3"/>
        <v>0</v>
      </c>
      <c r="BE69" s="983">
        <f t="shared" si="14"/>
        <v>0</v>
      </c>
      <c r="BF69" s="871">
        <f t="shared" si="15"/>
        <v>14</v>
      </c>
    </row>
    <row r="70" spans="1:58" s="8" customFormat="1" ht="20.100000000000001" customHeight="1">
      <c r="A70" s="956"/>
      <c r="B70" s="959">
        <v>4</v>
      </c>
      <c r="C70" s="956">
        <v>152</v>
      </c>
      <c r="D70" s="957"/>
      <c r="E70" s="957"/>
      <c r="F70" s="956"/>
      <c r="G70" s="958" t="s">
        <v>1335</v>
      </c>
      <c r="H70" s="958" t="s">
        <v>1335</v>
      </c>
      <c r="I70" s="958" t="s">
        <v>1335</v>
      </c>
      <c r="J70" s="958" t="s">
        <v>1335</v>
      </c>
      <c r="K70" s="958" t="s">
        <v>1335</v>
      </c>
      <c r="L70" s="958" t="s">
        <v>1335</v>
      </c>
      <c r="M70" s="958" t="s">
        <v>1335</v>
      </c>
      <c r="N70" s="958" t="s">
        <v>1335</v>
      </c>
      <c r="O70" s="958" t="s">
        <v>1335</v>
      </c>
      <c r="P70" s="958" t="s">
        <v>1335</v>
      </c>
      <c r="Q70" s="958">
        <v>0</v>
      </c>
      <c r="R70" s="958" t="s">
        <v>1335</v>
      </c>
      <c r="S70" s="958" t="s">
        <v>1335</v>
      </c>
      <c r="T70" s="958" t="s">
        <v>1335</v>
      </c>
      <c r="U70" s="958" t="s">
        <v>1335</v>
      </c>
      <c r="V70" s="966"/>
      <c r="W70" s="966" t="s">
        <v>1335</v>
      </c>
      <c r="X70" s="966"/>
      <c r="Y70" s="970"/>
      <c r="Z70" s="966"/>
      <c r="AA70" s="971"/>
      <c r="AB70" s="972"/>
      <c r="AC70" s="972"/>
      <c r="AD70" s="972"/>
      <c r="AE70" s="972"/>
      <c r="AF70" s="972"/>
      <c r="AG70" s="972"/>
      <c r="AH70" s="972"/>
      <c r="AI70" s="972"/>
      <c r="AJ70" s="972"/>
      <c r="AK70" s="972"/>
      <c r="AL70" s="972"/>
      <c r="AM70" s="972"/>
      <c r="AN70" s="972"/>
      <c r="AO70" s="972"/>
      <c r="AP70" s="972"/>
      <c r="AQ70" s="956">
        <f t="shared" si="10"/>
        <v>14</v>
      </c>
      <c r="AR70" s="956">
        <f t="shared" si="11"/>
        <v>1</v>
      </c>
      <c r="AS70" s="956">
        <f t="shared" si="12"/>
        <v>15</v>
      </c>
      <c r="AT70" s="982">
        <v>11</v>
      </c>
      <c r="AU70" s="981"/>
      <c r="AV70" s="981"/>
      <c r="AW70" s="981"/>
      <c r="AX70" s="993"/>
      <c r="AY70" s="993"/>
      <c r="AZ70" s="833">
        <f t="shared" si="13"/>
        <v>0</v>
      </c>
      <c r="BA70" s="983">
        <f t="shared" si="0"/>
        <v>0</v>
      </c>
      <c r="BB70" s="983">
        <f t="shared" si="1"/>
        <v>0</v>
      </c>
      <c r="BC70" s="983">
        <f t="shared" si="2"/>
        <v>0</v>
      </c>
      <c r="BD70" s="983">
        <f t="shared" si="3"/>
        <v>0</v>
      </c>
      <c r="BE70" s="983">
        <f t="shared" si="14"/>
        <v>0</v>
      </c>
      <c r="BF70" s="871">
        <f t="shared" si="15"/>
        <v>15</v>
      </c>
    </row>
    <row r="71" spans="1:58" s="8" customFormat="1" ht="20.100000000000001" customHeight="1">
      <c r="A71" s="956"/>
      <c r="B71" s="959">
        <v>4</v>
      </c>
      <c r="C71" s="956">
        <v>153</v>
      </c>
      <c r="D71" s="957"/>
      <c r="E71" s="957"/>
      <c r="F71" s="956"/>
      <c r="G71" s="958" t="s">
        <v>1335</v>
      </c>
      <c r="H71" s="958" t="s">
        <v>1335</v>
      </c>
      <c r="I71" s="958" t="s">
        <v>1335</v>
      </c>
      <c r="J71" s="958">
        <v>0</v>
      </c>
      <c r="K71" s="958" t="s">
        <v>1335</v>
      </c>
      <c r="L71" s="958" t="s">
        <v>1335</v>
      </c>
      <c r="M71" s="958" t="s">
        <v>1335</v>
      </c>
      <c r="N71" s="958" t="s">
        <v>1335</v>
      </c>
      <c r="O71" s="958" t="s">
        <v>1335</v>
      </c>
      <c r="P71" s="958" t="s">
        <v>1335</v>
      </c>
      <c r="Q71" s="958" t="s">
        <v>1335</v>
      </c>
      <c r="R71" s="958" t="s">
        <v>1335</v>
      </c>
      <c r="S71" s="958" t="s">
        <v>1335</v>
      </c>
      <c r="T71" s="958" t="s">
        <v>1335</v>
      </c>
      <c r="U71" s="958" t="s">
        <v>1335</v>
      </c>
      <c r="V71" s="966"/>
      <c r="W71" s="966" t="s">
        <v>1335</v>
      </c>
      <c r="X71" s="966"/>
      <c r="Y71" s="970"/>
      <c r="Z71" s="966"/>
      <c r="AA71" s="971"/>
      <c r="AB71" s="972"/>
      <c r="AC71" s="972"/>
      <c r="AD71" s="972"/>
      <c r="AE71" s="972"/>
      <c r="AF71" s="972"/>
      <c r="AG71" s="972"/>
      <c r="AH71" s="972"/>
      <c r="AI71" s="972"/>
      <c r="AJ71" s="972"/>
      <c r="AK71" s="972"/>
      <c r="AL71" s="972"/>
      <c r="AM71" s="972"/>
      <c r="AN71" s="972"/>
      <c r="AO71" s="972"/>
      <c r="AP71" s="972"/>
      <c r="AQ71" s="956">
        <f t="shared" si="10"/>
        <v>14</v>
      </c>
      <c r="AR71" s="956">
        <f t="shared" si="11"/>
        <v>1</v>
      </c>
      <c r="AS71" s="956">
        <f t="shared" si="12"/>
        <v>15</v>
      </c>
      <c r="AT71" s="956">
        <v>12</v>
      </c>
      <c r="AU71" s="981"/>
      <c r="AV71" s="981"/>
      <c r="AW71" s="981"/>
      <c r="AX71" s="993"/>
      <c r="AY71" s="993"/>
      <c r="AZ71" s="833">
        <f t="shared" si="13"/>
        <v>0</v>
      </c>
      <c r="BA71" s="983">
        <f t="shared" si="0"/>
        <v>0</v>
      </c>
      <c r="BB71" s="983">
        <f t="shared" si="1"/>
        <v>0</v>
      </c>
      <c r="BC71" s="983">
        <f t="shared" si="2"/>
        <v>0</v>
      </c>
      <c r="BD71" s="983">
        <f t="shared" si="3"/>
        <v>0</v>
      </c>
      <c r="BE71" s="983">
        <f t="shared" si="14"/>
        <v>0</v>
      </c>
      <c r="BF71" s="871">
        <f t="shared" si="15"/>
        <v>15</v>
      </c>
    </row>
    <row r="72" spans="1:58" s="8" customFormat="1" ht="20.100000000000001" customHeight="1">
      <c r="A72" s="956"/>
      <c r="B72" s="959">
        <v>4</v>
      </c>
      <c r="C72" s="956">
        <v>154</v>
      </c>
      <c r="D72" s="957"/>
      <c r="E72" s="957"/>
      <c r="F72" s="956"/>
      <c r="G72" s="958" t="s">
        <v>1335</v>
      </c>
      <c r="H72" s="958" t="s">
        <v>1335</v>
      </c>
      <c r="I72" s="958" t="s">
        <v>1335</v>
      </c>
      <c r="J72" s="958" t="s">
        <v>1335</v>
      </c>
      <c r="K72" s="958" t="s">
        <v>1335</v>
      </c>
      <c r="L72" s="958" t="s">
        <v>1335</v>
      </c>
      <c r="M72" s="958" t="s">
        <v>1335</v>
      </c>
      <c r="N72" s="958" t="s">
        <v>1335</v>
      </c>
      <c r="O72" s="958" t="s">
        <v>1335</v>
      </c>
      <c r="P72" s="958" t="s">
        <v>1335</v>
      </c>
      <c r="Q72" s="958" t="s">
        <v>1335</v>
      </c>
      <c r="R72" s="958" t="s">
        <v>1335</v>
      </c>
      <c r="S72" s="958" t="s">
        <v>1335</v>
      </c>
      <c r="T72" s="958" t="s">
        <v>1335</v>
      </c>
      <c r="U72" s="958" t="s">
        <v>1335</v>
      </c>
      <c r="V72" s="966"/>
      <c r="W72" s="966" t="s">
        <v>1335</v>
      </c>
      <c r="X72" s="966"/>
      <c r="Y72" s="970"/>
      <c r="Z72" s="966"/>
      <c r="AA72" s="971"/>
      <c r="AB72" s="972"/>
      <c r="AC72" s="972"/>
      <c r="AD72" s="972"/>
      <c r="AE72" s="972"/>
      <c r="AF72" s="972"/>
      <c r="AG72" s="972"/>
      <c r="AH72" s="972"/>
      <c r="AI72" s="972"/>
      <c r="AJ72" s="972"/>
      <c r="AK72" s="972"/>
      <c r="AL72" s="972"/>
      <c r="AM72" s="972"/>
      <c r="AN72" s="972"/>
      <c r="AO72" s="972"/>
      <c r="AP72" s="972"/>
      <c r="AQ72" s="956">
        <f t="shared" si="10"/>
        <v>15</v>
      </c>
      <c r="AR72" s="956">
        <f t="shared" si="11"/>
        <v>1</v>
      </c>
      <c r="AS72" s="956">
        <f t="shared" si="12"/>
        <v>16</v>
      </c>
      <c r="AT72" s="982">
        <v>8</v>
      </c>
      <c r="AU72" s="981"/>
      <c r="AV72" s="981"/>
      <c r="AW72" s="981"/>
      <c r="AX72" s="993"/>
      <c r="AY72" s="993"/>
      <c r="AZ72" s="833">
        <f t="shared" si="13"/>
        <v>0</v>
      </c>
      <c r="BA72" s="983">
        <f t="shared" si="0"/>
        <v>0</v>
      </c>
      <c r="BB72" s="983">
        <f t="shared" si="1"/>
        <v>0</v>
      </c>
      <c r="BC72" s="983">
        <f t="shared" si="2"/>
        <v>0</v>
      </c>
      <c r="BD72" s="983">
        <f t="shared" si="3"/>
        <v>0</v>
      </c>
      <c r="BE72" s="983">
        <f t="shared" si="14"/>
        <v>0</v>
      </c>
      <c r="BF72" s="871">
        <f t="shared" si="15"/>
        <v>16</v>
      </c>
    </row>
    <row r="73" spans="1:58" s="8" customFormat="1" ht="20.100000000000001" customHeight="1">
      <c r="A73" s="956"/>
      <c r="B73" s="959">
        <v>4</v>
      </c>
      <c r="C73" s="956">
        <v>155</v>
      </c>
      <c r="D73" s="957"/>
      <c r="E73" s="957"/>
      <c r="F73" s="956"/>
      <c r="G73" s="958" t="s">
        <v>1335</v>
      </c>
      <c r="H73" s="958" t="s">
        <v>1335</v>
      </c>
      <c r="I73" s="958" t="s">
        <v>1335</v>
      </c>
      <c r="J73" s="958" t="s">
        <v>1335</v>
      </c>
      <c r="K73" s="958" t="s">
        <v>1335</v>
      </c>
      <c r="L73" s="958">
        <v>0</v>
      </c>
      <c r="M73" s="958" t="s">
        <v>1335</v>
      </c>
      <c r="N73" s="958" t="s">
        <v>1335</v>
      </c>
      <c r="O73" s="958" t="s">
        <v>1335</v>
      </c>
      <c r="P73" s="958" t="s">
        <v>1335</v>
      </c>
      <c r="Q73" s="958" t="s">
        <v>1335</v>
      </c>
      <c r="R73" s="958" t="s">
        <v>1335</v>
      </c>
      <c r="S73" s="958" t="s">
        <v>1335</v>
      </c>
      <c r="T73" s="958" t="s">
        <v>1335</v>
      </c>
      <c r="U73" s="958" t="s">
        <v>1335</v>
      </c>
      <c r="V73" s="966"/>
      <c r="W73" s="966" t="s">
        <v>1335</v>
      </c>
      <c r="X73" s="966"/>
      <c r="Y73" s="970"/>
      <c r="Z73" s="966"/>
      <c r="AA73" s="971"/>
      <c r="AB73" s="972"/>
      <c r="AC73" s="972"/>
      <c r="AD73" s="972"/>
      <c r="AE73" s="972"/>
      <c r="AF73" s="972"/>
      <c r="AG73" s="972"/>
      <c r="AH73" s="972"/>
      <c r="AI73" s="972"/>
      <c r="AJ73" s="972"/>
      <c r="AK73" s="972"/>
      <c r="AL73" s="972"/>
      <c r="AM73" s="972"/>
      <c r="AN73" s="972"/>
      <c r="AO73" s="972"/>
      <c r="AP73" s="972"/>
      <c r="AQ73" s="956">
        <f t="shared" si="10"/>
        <v>14</v>
      </c>
      <c r="AR73" s="956">
        <f t="shared" si="11"/>
        <v>1</v>
      </c>
      <c r="AS73" s="956">
        <f t="shared" si="12"/>
        <v>15</v>
      </c>
      <c r="AT73" s="982">
        <v>8</v>
      </c>
      <c r="AU73" s="981"/>
      <c r="AV73" s="981"/>
      <c r="AW73" s="981"/>
      <c r="AX73" s="993"/>
      <c r="AY73" s="993"/>
      <c r="AZ73" s="833">
        <f t="shared" si="13"/>
        <v>0</v>
      </c>
      <c r="BA73" s="983">
        <f t="shared" si="0"/>
        <v>0</v>
      </c>
      <c r="BB73" s="983">
        <f t="shared" si="1"/>
        <v>0</v>
      </c>
      <c r="BC73" s="983">
        <f t="shared" si="2"/>
        <v>0</v>
      </c>
      <c r="BD73" s="983">
        <f t="shared" si="3"/>
        <v>0</v>
      </c>
      <c r="BE73" s="983">
        <f t="shared" si="14"/>
        <v>0</v>
      </c>
      <c r="BF73" s="871">
        <f t="shared" si="15"/>
        <v>15</v>
      </c>
    </row>
    <row r="74" spans="1:58" s="8" customFormat="1" ht="20.100000000000001" customHeight="1">
      <c r="A74" s="956"/>
      <c r="B74" s="959">
        <v>4</v>
      </c>
      <c r="C74" s="956">
        <v>156</v>
      </c>
      <c r="D74" s="957"/>
      <c r="E74" s="957"/>
      <c r="F74" s="956"/>
      <c r="G74" s="958">
        <v>0</v>
      </c>
      <c r="H74" s="958" t="s">
        <v>1335</v>
      </c>
      <c r="I74" s="958" t="s">
        <v>1335</v>
      </c>
      <c r="J74" s="958" t="s">
        <v>1335</v>
      </c>
      <c r="K74" s="958" t="s">
        <v>1335</v>
      </c>
      <c r="L74" s="958" t="s">
        <v>1335</v>
      </c>
      <c r="M74" s="958">
        <v>0</v>
      </c>
      <c r="N74" s="958" t="s">
        <v>1335</v>
      </c>
      <c r="O74" s="958" t="s">
        <v>1335</v>
      </c>
      <c r="P74" s="958" t="s">
        <v>1335</v>
      </c>
      <c r="Q74" s="958" t="s">
        <v>1335</v>
      </c>
      <c r="R74" s="958" t="s">
        <v>1335</v>
      </c>
      <c r="S74" s="958" t="s">
        <v>1335</v>
      </c>
      <c r="T74" s="958" t="s">
        <v>1335</v>
      </c>
      <c r="U74" s="958" t="s">
        <v>1335</v>
      </c>
      <c r="V74" s="966"/>
      <c r="W74" s="966" t="s">
        <v>1335</v>
      </c>
      <c r="X74" s="966"/>
      <c r="Y74" s="970"/>
      <c r="Z74" s="966"/>
      <c r="AA74" s="971"/>
      <c r="AB74" s="972"/>
      <c r="AC74" s="972"/>
      <c r="AD74" s="972"/>
      <c r="AE74" s="972"/>
      <c r="AF74" s="972"/>
      <c r="AG74" s="972"/>
      <c r="AH74" s="972"/>
      <c r="AI74" s="972"/>
      <c r="AJ74" s="972"/>
      <c r="AK74" s="972"/>
      <c r="AL74" s="972"/>
      <c r="AM74" s="972"/>
      <c r="AN74" s="972"/>
      <c r="AO74" s="972"/>
      <c r="AP74" s="972"/>
      <c r="AQ74" s="956">
        <f t="shared" si="10"/>
        <v>13</v>
      </c>
      <c r="AR74" s="956">
        <f t="shared" si="11"/>
        <v>1</v>
      </c>
      <c r="AS74" s="956">
        <f t="shared" si="12"/>
        <v>14</v>
      </c>
      <c r="AT74" s="982">
        <v>11</v>
      </c>
      <c r="AU74" s="981"/>
      <c r="AV74" s="981"/>
      <c r="AW74" s="981"/>
      <c r="AX74" s="993"/>
      <c r="AY74" s="993"/>
      <c r="AZ74" s="833">
        <f t="shared" si="13"/>
        <v>0</v>
      </c>
      <c r="BA74" s="983">
        <f t="shared" si="0"/>
        <v>0</v>
      </c>
      <c r="BB74" s="983">
        <f t="shared" si="1"/>
        <v>0</v>
      </c>
      <c r="BC74" s="983">
        <f t="shared" si="2"/>
        <v>0</v>
      </c>
      <c r="BD74" s="983">
        <f t="shared" si="3"/>
        <v>0</v>
      </c>
      <c r="BE74" s="983">
        <f t="shared" si="14"/>
        <v>0</v>
      </c>
      <c r="BF74" s="871">
        <f t="shared" si="15"/>
        <v>14</v>
      </c>
    </row>
    <row r="75" spans="1:58" s="8" customFormat="1" ht="20.100000000000001" customHeight="1">
      <c r="A75" s="956"/>
      <c r="B75" s="959">
        <v>4</v>
      </c>
      <c r="C75" s="956">
        <v>157</v>
      </c>
      <c r="D75" s="957"/>
      <c r="E75" s="957"/>
      <c r="F75" s="956"/>
      <c r="G75" s="958">
        <v>0</v>
      </c>
      <c r="H75" s="958" t="s">
        <v>1335</v>
      </c>
      <c r="I75" s="958" t="s">
        <v>1335</v>
      </c>
      <c r="J75" s="958" t="s">
        <v>1335</v>
      </c>
      <c r="K75" s="958" t="s">
        <v>1335</v>
      </c>
      <c r="L75" s="958" t="s">
        <v>1335</v>
      </c>
      <c r="M75" s="958">
        <v>0</v>
      </c>
      <c r="N75" s="958" t="s">
        <v>1335</v>
      </c>
      <c r="O75" s="958" t="s">
        <v>1335</v>
      </c>
      <c r="P75" s="958" t="s">
        <v>1335</v>
      </c>
      <c r="Q75" s="958" t="s">
        <v>1335</v>
      </c>
      <c r="R75" s="958" t="s">
        <v>1335</v>
      </c>
      <c r="S75" s="958" t="s">
        <v>1335</v>
      </c>
      <c r="T75" s="958" t="s">
        <v>1335</v>
      </c>
      <c r="U75" s="958" t="s">
        <v>1335</v>
      </c>
      <c r="V75" s="966"/>
      <c r="W75" s="966" t="s">
        <v>1335</v>
      </c>
      <c r="X75" s="966"/>
      <c r="Y75" s="970"/>
      <c r="Z75" s="966"/>
      <c r="AA75" s="971"/>
      <c r="AB75" s="972"/>
      <c r="AC75" s="972"/>
      <c r="AD75" s="972"/>
      <c r="AE75" s="972"/>
      <c r="AF75" s="972"/>
      <c r="AG75" s="972"/>
      <c r="AH75" s="972"/>
      <c r="AI75" s="972"/>
      <c r="AJ75" s="972"/>
      <c r="AK75" s="972"/>
      <c r="AL75" s="972"/>
      <c r="AM75" s="972"/>
      <c r="AN75" s="972"/>
      <c r="AO75" s="972"/>
      <c r="AP75" s="972"/>
      <c r="AQ75" s="956">
        <f t="shared" si="10"/>
        <v>13</v>
      </c>
      <c r="AR75" s="956">
        <f t="shared" si="11"/>
        <v>1</v>
      </c>
      <c r="AS75" s="956">
        <f t="shared" si="12"/>
        <v>14</v>
      </c>
      <c r="AT75" s="956">
        <v>12</v>
      </c>
      <c r="AU75" s="981"/>
      <c r="AV75" s="981"/>
      <c r="AW75" s="981"/>
      <c r="AX75" s="993"/>
      <c r="AY75" s="993"/>
      <c r="AZ75" s="833">
        <f t="shared" si="13"/>
        <v>0</v>
      </c>
      <c r="BA75" s="983">
        <f t="shared" si="0"/>
        <v>0</v>
      </c>
      <c r="BB75" s="983">
        <f t="shared" si="1"/>
        <v>0</v>
      </c>
      <c r="BC75" s="983">
        <f t="shared" si="2"/>
        <v>0</v>
      </c>
      <c r="BD75" s="983">
        <f t="shared" si="3"/>
        <v>0</v>
      </c>
      <c r="BE75" s="983">
        <f t="shared" si="14"/>
        <v>0</v>
      </c>
      <c r="BF75" s="871">
        <f t="shared" si="15"/>
        <v>14</v>
      </c>
    </row>
    <row r="76" spans="1:58" s="8" customFormat="1" ht="20.100000000000001" customHeight="1">
      <c r="A76" s="956"/>
      <c r="B76" s="959">
        <v>4</v>
      </c>
      <c r="C76" s="956">
        <v>158</v>
      </c>
      <c r="D76" s="957"/>
      <c r="E76" s="957"/>
      <c r="F76" s="956"/>
      <c r="G76" s="958" t="s">
        <v>1335</v>
      </c>
      <c r="H76" s="958" t="s">
        <v>1335</v>
      </c>
      <c r="I76" s="958" t="s">
        <v>1335</v>
      </c>
      <c r="J76" s="958">
        <v>0</v>
      </c>
      <c r="K76" s="958" t="s">
        <v>1335</v>
      </c>
      <c r="L76" s="958" t="s">
        <v>1335</v>
      </c>
      <c r="M76" s="958">
        <v>0</v>
      </c>
      <c r="N76" s="958" t="s">
        <v>1335</v>
      </c>
      <c r="O76" s="958" t="s">
        <v>1335</v>
      </c>
      <c r="P76" s="958" t="s">
        <v>1335</v>
      </c>
      <c r="Q76" s="958" t="s">
        <v>1335</v>
      </c>
      <c r="R76" s="958" t="s">
        <v>1335</v>
      </c>
      <c r="S76" s="958" t="s">
        <v>1335</v>
      </c>
      <c r="T76" s="958" t="s">
        <v>1335</v>
      </c>
      <c r="U76" s="958" t="s">
        <v>1335</v>
      </c>
      <c r="V76" s="966"/>
      <c r="W76" s="966">
        <v>0</v>
      </c>
      <c r="X76" s="966"/>
      <c r="Y76" s="970"/>
      <c r="Z76" s="966"/>
      <c r="AA76" s="971"/>
      <c r="AB76" s="972"/>
      <c r="AC76" s="972"/>
      <c r="AD76" s="972"/>
      <c r="AE76" s="972"/>
      <c r="AF76" s="972"/>
      <c r="AG76" s="972"/>
      <c r="AH76" s="972"/>
      <c r="AI76" s="972"/>
      <c r="AJ76" s="972"/>
      <c r="AK76" s="972"/>
      <c r="AL76" s="972"/>
      <c r="AM76" s="972"/>
      <c r="AN76" s="972"/>
      <c r="AO76" s="972"/>
      <c r="AP76" s="972"/>
      <c r="AQ76" s="956">
        <f t="shared" si="10"/>
        <v>13</v>
      </c>
      <c r="AR76" s="956">
        <f t="shared" si="11"/>
        <v>0</v>
      </c>
      <c r="AS76" s="956">
        <f t="shared" si="12"/>
        <v>13</v>
      </c>
      <c r="AT76" s="956">
        <v>12</v>
      </c>
      <c r="AU76" s="981"/>
      <c r="AV76" s="981"/>
      <c r="AW76" s="981"/>
      <c r="AX76" s="993"/>
      <c r="AY76" s="993"/>
      <c r="AZ76" s="833">
        <f t="shared" si="13"/>
        <v>0</v>
      </c>
      <c r="BA76" s="983">
        <f t="shared" si="0"/>
        <v>0</v>
      </c>
      <c r="BB76" s="983">
        <f t="shared" si="1"/>
        <v>0</v>
      </c>
      <c r="BC76" s="983">
        <f t="shared" si="2"/>
        <v>0</v>
      </c>
      <c r="BD76" s="983">
        <f t="shared" si="3"/>
        <v>0</v>
      </c>
      <c r="BE76" s="983">
        <f t="shared" si="14"/>
        <v>0</v>
      </c>
      <c r="BF76" s="871">
        <f t="shared" si="15"/>
        <v>13</v>
      </c>
    </row>
    <row r="77" spans="1:58" s="8" customFormat="1" ht="20.100000000000001" customHeight="1">
      <c r="A77" s="956"/>
      <c r="B77" s="959">
        <v>4</v>
      </c>
      <c r="C77" s="956">
        <v>159</v>
      </c>
      <c r="D77" s="957"/>
      <c r="E77" s="957"/>
      <c r="F77" s="956"/>
      <c r="G77" s="958" t="s">
        <v>1335</v>
      </c>
      <c r="H77" s="958" t="s">
        <v>1335</v>
      </c>
      <c r="I77" s="958" t="s">
        <v>1335</v>
      </c>
      <c r="J77" s="958" t="s">
        <v>1335</v>
      </c>
      <c r="K77" s="958" t="s">
        <v>1335</v>
      </c>
      <c r="L77" s="958" t="s">
        <v>1335</v>
      </c>
      <c r="M77" s="958" t="s">
        <v>1335</v>
      </c>
      <c r="N77" s="958" t="s">
        <v>1335</v>
      </c>
      <c r="O77" s="958" t="s">
        <v>1335</v>
      </c>
      <c r="P77" s="958" t="s">
        <v>1335</v>
      </c>
      <c r="Q77" s="958" t="s">
        <v>1335</v>
      </c>
      <c r="R77" s="958" t="s">
        <v>1335</v>
      </c>
      <c r="S77" s="958" t="s">
        <v>1335</v>
      </c>
      <c r="T77" s="958" t="s">
        <v>1335</v>
      </c>
      <c r="U77" s="958" t="s">
        <v>1335</v>
      </c>
      <c r="V77" s="966"/>
      <c r="W77" s="966" t="s">
        <v>1335</v>
      </c>
      <c r="X77" s="966"/>
      <c r="Y77" s="970"/>
      <c r="Z77" s="966"/>
      <c r="AA77" s="971"/>
      <c r="AB77" s="972"/>
      <c r="AC77" s="972"/>
      <c r="AD77" s="972"/>
      <c r="AE77" s="972"/>
      <c r="AF77" s="972"/>
      <c r="AG77" s="972"/>
      <c r="AH77" s="972"/>
      <c r="AI77" s="972"/>
      <c r="AJ77" s="972"/>
      <c r="AK77" s="972"/>
      <c r="AL77" s="972"/>
      <c r="AM77" s="972"/>
      <c r="AN77" s="972"/>
      <c r="AO77" s="972"/>
      <c r="AP77" s="972"/>
      <c r="AQ77" s="956">
        <f t="shared" si="10"/>
        <v>15</v>
      </c>
      <c r="AR77" s="956">
        <f t="shared" si="11"/>
        <v>1</v>
      </c>
      <c r="AS77" s="956">
        <f t="shared" si="12"/>
        <v>16</v>
      </c>
      <c r="AT77" s="956">
        <v>12</v>
      </c>
      <c r="AU77" s="981"/>
      <c r="AV77" s="981"/>
      <c r="AW77" s="981"/>
      <c r="AX77" s="993"/>
      <c r="AY77" s="993"/>
      <c r="AZ77" s="833">
        <f t="shared" si="13"/>
        <v>0</v>
      </c>
      <c r="BA77" s="983">
        <f t="shared" si="0"/>
        <v>0</v>
      </c>
      <c r="BB77" s="983">
        <f t="shared" si="1"/>
        <v>0</v>
      </c>
      <c r="BC77" s="983">
        <f t="shared" si="2"/>
        <v>0</v>
      </c>
      <c r="BD77" s="983">
        <f t="shared" si="3"/>
        <v>0</v>
      </c>
      <c r="BE77" s="983">
        <f t="shared" si="14"/>
        <v>0</v>
      </c>
      <c r="BF77" s="871">
        <f t="shared" si="15"/>
        <v>16</v>
      </c>
    </row>
    <row r="78" spans="1:58" s="8" customFormat="1" ht="20.100000000000001" customHeight="1">
      <c r="A78" s="956"/>
      <c r="B78" s="959">
        <v>4</v>
      </c>
      <c r="C78" s="956">
        <v>160</v>
      </c>
      <c r="D78" s="957"/>
      <c r="E78" s="957"/>
      <c r="F78" s="956"/>
      <c r="G78" s="958" t="s">
        <v>1335</v>
      </c>
      <c r="H78" s="958" t="s">
        <v>1335</v>
      </c>
      <c r="I78" s="958" t="s">
        <v>1335</v>
      </c>
      <c r="J78" s="958" t="s">
        <v>1335</v>
      </c>
      <c r="K78" s="958" t="s">
        <v>1335</v>
      </c>
      <c r="L78" s="958" t="s">
        <v>1335</v>
      </c>
      <c r="M78" s="958" t="s">
        <v>1335</v>
      </c>
      <c r="N78" s="958" t="s">
        <v>1335</v>
      </c>
      <c r="O78" s="958" t="s">
        <v>1335</v>
      </c>
      <c r="P78" s="958" t="s">
        <v>1335</v>
      </c>
      <c r="Q78" s="958" t="s">
        <v>1335</v>
      </c>
      <c r="R78" s="958" t="s">
        <v>1335</v>
      </c>
      <c r="S78" s="958" t="s">
        <v>1335</v>
      </c>
      <c r="T78" s="958" t="s">
        <v>1335</v>
      </c>
      <c r="U78" s="958" t="s">
        <v>1335</v>
      </c>
      <c r="V78" s="966"/>
      <c r="W78" s="966" t="s">
        <v>1335</v>
      </c>
      <c r="X78" s="966"/>
      <c r="Y78" s="970"/>
      <c r="Z78" s="966"/>
      <c r="AA78" s="971"/>
      <c r="AB78" s="972"/>
      <c r="AC78" s="972"/>
      <c r="AD78" s="972"/>
      <c r="AE78" s="972"/>
      <c r="AF78" s="972"/>
      <c r="AG78" s="972"/>
      <c r="AH78" s="972"/>
      <c r="AI78" s="972"/>
      <c r="AJ78" s="972"/>
      <c r="AK78" s="972"/>
      <c r="AL78" s="972"/>
      <c r="AM78" s="972"/>
      <c r="AN78" s="972"/>
      <c r="AO78" s="972"/>
      <c r="AP78" s="972"/>
      <c r="AQ78" s="956">
        <f t="shared" si="10"/>
        <v>15</v>
      </c>
      <c r="AR78" s="956">
        <f t="shared" si="11"/>
        <v>1</v>
      </c>
      <c r="AS78" s="956">
        <f t="shared" si="12"/>
        <v>16</v>
      </c>
      <c r="AT78" s="956">
        <v>12</v>
      </c>
      <c r="AU78" s="981"/>
      <c r="AV78" s="981"/>
      <c r="AW78" s="981"/>
      <c r="AX78" s="993"/>
      <c r="AY78" s="993"/>
      <c r="AZ78" s="833">
        <f t="shared" si="13"/>
        <v>0</v>
      </c>
      <c r="BA78" s="983">
        <f t="shared" si="0"/>
        <v>0</v>
      </c>
      <c r="BB78" s="983">
        <f t="shared" si="1"/>
        <v>0</v>
      </c>
      <c r="BC78" s="983">
        <f t="shared" si="2"/>
        <v>0</v>
      </c>
      <c r="BD78" s="983">
        <f t="shared" si="3"/>
        <v>0</v>
      </c>
      <c r="BE78" s="983">
        <f t="shared" si="14"/>
        <v>0</v>
      </c>
      <c r="BF78" s="871">
        <f t="shared" si="15"/>
        <v>16</v>
      </c>
    </row>
    <row r="79" spans="1:58" s="8" customFormat="1" ht="20.100000000000001" customHeight="1">
      <c r="A79" s="956"/>
      <c r="B79" s="959">
        <v>4</v>
      </c>
      <c r="C79" s="956">
        <v>161</v>
      </c>
      <c r="D79" s="957"/>
      <c r="E79" s="957"/>
      <c r="F79" s="956"/>
      <c r="G79" s="958" t="s">
        <v>1335</v>
      </c>
      <c r="H79" s="958" t="s">
        <v>1335</v>
      </c>
      <c r="I79" s="958" t="s">
        <v>1335</v>
      </c>
      <c r="J79" s="958">
        <v>0</v>
      </c>
      <c r="K79" s="958" t="s">
        <v>1335</v>
      </c>
      <c r="L79" s="958" t="s">
        <v>1335</v>
      </c>
      <c r="M79" s="958" t="s">
        <v>1335</v>
      </c>
      <c r="N79" s="958" t="s">
        <v>1335</v>
      </c>
      <c r="O79" s="958" t="s">
        <v>1335</v>
      </c>
      <c r="P79" s="958" t="s">
        <v>1335</v>
      </c>
      <c r="Q79" s="958" t="s">
        <v>1335</v>
      </c>
      <c r="R79" s="958" t="s">
        <v>1335</v>
      </c>
      <c r="S79" s="958" t="s">
        <v>1335</v>
      </c>
      <c r="T79" s="958" t="s">
        <v>1335</v>
      </c>
      <c r="U79" s="958" t="s">
        <v>1335</v>
      </c>
      <c r="V79" s="966"/>
      <c r="W79" s="966" t="s">
        <v>1335</v>
      </c>
      <c r="X79" s="966"/>
      <c r="Y79" s="970"/>
      <c r="Z79" s="966"/>
      <c r="AA79" s="971"/>
      <c r="AB79" s="972"/>
      <c r="AC79" s="972"/>
      <c r="AD79" s="972"/>
      <c r="AE79" s="972"/>
      <c r="AF79" s="972"/>
      <c r="AG79" s="972"/>
      <c r="AH79" s="972"/>
      <c r="AI79" s="972"/>
      <c r="AJ79" s="972"/>
      <c r="AK79" s="972"/>
      <c r="AL79" s="972"/>
      <c r="AM79" s="972"/>
      <c r="AN79" s="972"/>
      <c r="AO79" s="972"/>
      <c r="AP79" s="972"/>
      <c r="AQ79" s="956">
        <f t="shared" si="10"/>
        <v>14</v>
      </c>
      <c r="AR79" s="956">
        <f t="shared" si="11"/>
        <v>1</v>
      </c>
      <c r="AS79" s="956">
        <f t="shared" si="12"/>
        <v>15</v>
      </c>
      <c r="AT79" s="956">
        <v>12</v>
      </c>
      <c r="AU79" s="981"/>
      <c r="AV79" s="981"/>
      <c r="AW79" s="981"/>
      <c r="AX79" s="993"/>
      <c r="AY79" s="993"/>
      <c r="AZ79" s="833">
        <f t="shared" si="13"/>
        <v>0</v>
      </c>
      <c r="BA79" s="983">
        <f t="shared" si="0"/>
        <v>0</v>
      </c>
      <c r="BB79" s="983">
        <f t="shared" si="1"/>
        <v>0</v>
      </c>
      <c r="BC79" s="983">
        <f t="shared" si="2"/>
        <v>0</v>
      </c>
      <c r="BD79" s="983">
        <f t="shared" si="3"/>
        <v>0</v>
      </c>
      <c r="BE79" s="983">
        <f t="shared" si="14"/>
        <v>0</v>
      </c>
      <c r="BF79" s="871">
        <f t="shared" si="15"/>
        <v>15</v>
      </c>
    </row>
    <row r="80" spans="1:58" s="8" customFormat="1" ht="20.100000000000001" customHeight="1">
      <c r="A80" s="956"/>
      <c r="B80" s="959">
        <v>4</v>
      </c>
      <c r="C80" s="956">
        <v>162</v>
      </c>
      <c r="D80" s="957"/>
      <c r="E80" s="957"/>
      <c r="F80" s="956"/>
      <c r="G80" s="958" t="s">
        <v>1335</v>
      </c>
      <c r="H80" s="958" t="s">
        <v>1335</v>
      </c>
      <c r="I80" s="958" t="s">
        <v>1335</v>
      </c>
      <c r="J80" s="958" t="s">
        <v>1335</v>
      </c>
      <c r="K80" s="958" t="s">
        <v>1335</v>
      </c>
      <c r="L80" s="958" t="s">
        <v>1335</v>
      </c>
      <c r="M80" s="958">
        <v>0</v>
      </c>
      <c r="N80" s="958" t="s">
        <v>1335</v>
      </c>
      <c r="O80" s="958" t="s">
        <v>1335</v>
      </c>
      <c r="P80" s="958" t="s">
        <v>1335</v>
      </c>
      <c r="Q80" s="958" t="s">
        <v>1335</v>
      </c>
      <c r="R80" s="958" t="s">
        <v>1335</v>
      </c>
      <c r="S80" s="958" t="s">
        <v>1335</v>
      </c>
      <c r="T80" s="958" t="s">
        <v>1335</v>
      </c>
      <c r="U80" s="958" t="s">
        <v>1335</v>
      </c>
      <c r="V80" s="966"/>
      <c r="W80" s="966" t="s">
        <v>1335</v>
      </c>
      <c r="X80" s="966"/>
      <c r="Y80" s="970"/>
      <c r="Z80" s="966"/>
      <c r="AA80" s="971"/>
      <c r="AB80" s="972"/>
      <c r="AC80" s="972"/>
      <c r="AD80" s="972"/>
      <c r="AE80" s="972"/>
      <c r="AF80" s="972"/>
      <c r="AG80" s="972"/>
      <c r="AH80" s="972"/>
      <c r="AI80" s="972"/>
      <c r="AJ80" s="972"/>
      <c r="AK80" s="972"/>
      <c r="AL80" s="972"/>
      <c r="AM80" s="972"/>
      <c r="AN80" s="972"/>
      <c r="AO80" s="972"/>
      <c r="AP80" s="972"/>
      <c r="AQ80" s="956">
        <f t="shared" si="10"/>
        <v>14</v>
      </c>
      <c r="AR80" s="956">
        <f t="shared" si="11"/>
        <v>1</v>
      </c>
      <c r="AS80" s="956">
        <f t="shared" si="12"/>
        <v>15</v>
      </c>
      <c r="AT80" s="996">
        <v>9</v>
      </c>
      <c r="AU80" s="981"/>
      <c r="AV80" s="981"/>
      <c r="AW80" s="981"/>
      <c r="AX80" s="993"/>
      <c r="AY80" s="993"/>
      <c r="AZ80" s="833">
        <f t="shared" si="13"/>
        <v>0</v>
      </c>
      <c r="BA80" s="983">
        <f t="shared" si="0"/>
        <v>0</v>
      </c>
      <c r="BB80" s="983">
        <f t="shared" si="1"/>
        <v>0</v>
      </c>
      <c r="BC80" s="983">
        <f t="shared" si="2"/>
        <v>0</v>
      </c>
      <c r="BD80" s="983">
        <f t="shared" si="3"/>
        <v>0</v>
      </c>
      <c r="BE80" s="983">
        <f t="shared" si="14"/>
        <v>0</v>
      </c>
      <c r="BF80" s="871">
        <f t="shared" si="15"/>
        <v>15</v>
      </c>
    </row>
    <row r="81" spans="1:58" s="8" customFormat="1" ht="20.100000000000001" customHeight="1">
      <c r="A81" s="956"/>
      <c r="B81" s="959">
        <v>4</v>
      </c>
      <c r="C81" s="956">
        <v>163</v>
      </c>
      <c r="D81" s="957"/>
      <c r="E81" s="957"/>
      <c r="F81" s="956"/>
      <c r="G81" s="958" t="s">
        <v>1335</v>
      </c>
      <c r="H81" s="958" t="s">
        <v>1335</v>
      </c>
      <c r="I81" s="958" t="s">
        <v>1335</v>
      </c>
      <c r="J81" s="958" t="s">
        <v>1335</v>
      </c>
      <c r="K81" s="958" t="s">
        <v>1335</v>
      </c>
      <c r="L81" s="958" t="s">
        <v>1335</v>
      </c>
      <c r="M81" s="958" t="s">
        <v>1335</v>
      </c>
      <c r="N81" s="958" t="s">
        <v>1335</v>
      </c>
      <c r="O81" s="958" t="s">
        <v>1335</v>
      </c>
      <c r="P81" s="958" t="s">
        <v>1335</v>
      </c>
      <c r="Q81" s="958" t="s">
        <v>1335</v>
      </c>
      <c r="R81" s="958" t="s">
        <v>1335</v>
      </c>
      <c r="S81" s="958" t="s">
        <v>1335</v>
      </c>
      <c r="T81" s="958" t="s">
        <v>1335</v>
      </c>
      <c r="U81" s="958" t="s">
        <v>1335</v>
      </c>
      <c r="V81" s="966"/>
      <c r="W81" s="966" t="s">
        <v>1335</v>
      </c>
      <c r="X81" s="966"/>
      <c r="Y81" s="970"/>
      <c r="Z81" s="966"/>
      <c r="AA81" s="971"/>
      <c r="AB81" s="972"/>
      <c r="AC81" s="972"/>
      <c r="AD81" s="972"/>
      <c r="AE81" s="972"/>
      <c r="AF81" s="972"/>
      <c r="AG81" s="972"/>
      <c r="AH81" s="972"/>
      <c r="AI81" s="972"/>
      <c r="AJ81" s="972"/>
      <c r="AK81" s="972"/>
      <c r="AL81" s="972"/>
      <c r="AM81" s="972"/>
      <c r="AN81" s="972"/>
      <c r="AO81" s="972"/>
      <c r="AP81" s="972"/>
      <c r="AQ81" s="956">
        <f t="shared" si="10"/>
        <v>15</v>
      </c>
      <c r="AR81" s="956">
        <f t="shared" si="11"/>
        <v>1</v>
      </c>
      <c r="AS81" s="956">
        <f t="shared" si="12"/>
        <v>16</v>
      </c>
      <c r="AT81" s="956">
        <v>12</v>
      </c>
      <c r="AU81" s="981"/>
      <c r="AV81" s="981"/>
      <c r="AW81" s="981"/>
      <c r="AX81" s="993"/>
      <c r="AY81" s="993"/>
      <c r="AZ81" s="833">
        <f t="shared" si="13"/>
        <v>0</v>
      </c>
      <c r="BA81" s="983">
        <f t="shared" si="0"/>
        <v>0</v>
      </c>
      <c r="BB81" s="983">
        <f t="shared" si="1"/>
        <v>0</v>
      </c>
      <c r="BC81" s="983">
        <f t="shared" si="2"/>
        <v>0</v>
      </c>
      <c r="BD81" s="983">
        <f t="shared" si="3"/>
        <v>0</v>
      </c>
      <c r="BE81" s="983">
        <f t="shared" si="14"/>
        <v>0</v>
      </c>
      <c r="BF81" s="871">
        <f t="shared" si="15"/>
        <v>16</v>
      </c>
    </row>
    <row r="82" spans="1:58" s="8" customFormat="1" ht="20.100000000000001" customHeight="1">
      <c r="A82" s="956"/>
      <c r="B82" s="959">
        <v>4</v>
      </c>
      <c r="C82" s="956">
        <v>164</v>
      </c>
      <c r="D82" s="957"/>
      <c r="E82" s="957"/>
      <c r="F82" s="956"/>
      <c r="G82" s="958">
        <v>0</v>
      </c>
      <c r="H82" s="958" t="s">
        <v>1335</v>
      </c>
      <c r="I82" s="958" t="s">
        <v>1335</v>
      </c>
      <c r="J82" s="958">
        <v>0</v>
      </c>
      <c r="K82" s="958" t="s">
        <v>1335</v>
      </c>
      <c r="L82" s="958" t="s">
        <v>1335</v>
      </c>
      <c r="M82" s="958" t="s">
        <v>1335</v>
      </c>
      <c r="N82" s="958" t="s">
        <v>1335</v>
      </c>
      <c r="O82" s="958" t="s">
        <v>1335</v>
      </c>
      <c r="P82" s="958" t="s">
        <v>1335</v>
      </c>
      <c r="Q82" s="958" t="s">
        <v>1335</v>
      </c>
      <c r="R82" s="958" t="s">
        <v>1335</v>
      </c>
      <c r="S82" s="958" t="s">
        <v>1335</v>
      </c>
      <c r="T82" s="958" t="s">
        <v>1335</v>
      </c>
      <c r="U82" s="958" t="s">
        <v>1335</v>
      </c>
      <c r="V82" s="966"/>
      <c r="W82" s="966" t="s">
        <v>1335</v>
      </c>
      <c r="X82" s="966"/>
      <c r="Y82" s="970"/>
      <c r="Z82" s="966"/>
      <c r="AA82" s="971"/>
      <c r="AB82" s="972"/>
      <c r="AC82" s="972"/>
      <c r="AD82" s="972"/>
      <c r="AE82" s="972"/>
      <c r="AF82" s="972"/>
      <c r="AG82" s="972"/>
      <c r="AH82" s="972"/>
      <c r="AI82" s="972"/>
      <c r="AJ82" s="972"/>
      <c r="AK82" s="972"/>
      <c r="AL82" s="972"/>
      <c r="AM82" s="972"/>
      <c r="AN82" s="972"/>
      <c r="AO82" s="972"/>
      <c r="AP82" s="972"/>
      <c r="AQ82" s="956">
        <f t="shared" si="10"/>
        <v>13</v>
      </c>
      <c r="AR82" s="956">
        <f t="shared" si="11"/>
        <v>1</v>
      </c>
      <c r="AS82" s="956">
        <f t="shared" si="12"/>
        <v>14</v>
      </c>
      <c r="AT82" s="956">
        <v>12</v>
      </c>
      <c r="AU82" s="981"/>
      <c r="AV82" s="981"/>
      <c r="AW82" s="981"/>
      <c r="AX82" s="993"/>
      <c r="AY82" s="993"/>
      <c r="AZ82" s="833">
        <f t="shared" si="13"/>
        <v>0</v>
      </c>
      <c r="BA82" s="983">
        <f t="shared" si="0"/>
        <v>0</v>
      </c>
      <c r="BB82" s="983">
        <f t="shared" si="1"/>
        <v>0</v>
      </c>
      <c r="BC82" s="983">
        <f t="shared" si="2"/>
        <v>0</v>
      </c>
      <c r="BD82" s="983">
        <f t="shared" si="3"/>
        <v>0</v>
      </c>
      <c r="BE82" s="983">
        <f t="shared" si="14"/>
        <v>0</v>
      </c>
      <c r="BF82" s="871">
        <f t="shared" si="15"/>
        <v>14</v>
      </c>
    </row>
    <row r="83" spans="1:58" s="8" customFormat="1" ht="20.100000000000001" customHeight="1">
      <c r="A83" s="956"/>
      <c r="B83" s="959">
        <v>4</v>
      </c>
      <c r="C83" s="956">
        <v>165</v>
      </c>
      <c r="D83" s="957"/>
      <c r="E83" s="957"/>
      <c r="F83" s="956"/>
      <c r="G83" s="958">
        <v>0</v>
      </c>
      <c r="H83" s="958" t="s">
        <v>1335</v>
      </c>
      <c r="I83" s="958" t="s">
        <v>1335</v>
      </c>
      <c r="J83" s="958" t="s">
        <v>1335</v>
      </c>
      <c r="K83" s="958" t="s">
        <v>1335</v>
      </c>
      <c r="L83" s="958" t="s">
        <v>1335</v>
      </c>
      <c r="M83" s="958" t="s">
        <v>1335</v>
      </c>
      <c r="N83" s="958" t="s">
        <v>1335</v>
      </c>
      <c r="O83" s="958" t="s">
        <v>1335</v>
      </c>
      <c r="P83" s="958" t="s">
        <v>1335</v>
      </c>
      <c r="Q83" s="958" t="s">
        <v>1335</v>
      </c>
      <c r="R83" s="958" t="s">
        <v>1335</v>
      </c>
      <c r="S83" s="958" t="s">
        <v>1335</v>
      </c>
      <c r="T83" s="958" t="s">
        <v>1335</v>
      </c>
      <c r="U83" s="958" t="s">
        <v>1335</v>
      </c>
      <c r="V83" s="966"/>
      <c r="W83" s="966" t="s">
        <v>1335</v>
      </c>
      <c r="X83" s="966"/>
      <c r="Y83" s="970"/>
      <c r="Z83" s="966"/>
      <c r="AA83" s="971"/>
      <c r="AB83" s="972"/>
      <c r="AC83" s="972"/>
      <c r="AD83" s="972"/>
      <c r="AE83" s="972"/>
      <c r="AF83" s="972"/>
      <c r="AG83" s="972"/>
      <c r="AH83" s="972"/>
      <c r="AI83" s="972"/>
      <c r="AJ83" s="972"/>
      <c r="AK83" s="972"/>
      <c r="AL83" s="972"/>
      <c r="AM83" s="972"/>
      <c r="AN83" s="972"/>
      <c r="AO83" s="972"/>
      <c r="AP83" s="972"/>
      <c r="AQ83" s="956">
        <f t="shared" si="10"/>
        <v>14</v>
      </c>
      <c r="AR83" s="956">
        <f t="shared" si="11"/>
        <v>1</v>
      </c>
      <c r="AS83" s="956">
        <f t="shared" si="12"/>
        <v>15</v>
      </c>
      <c r="AT83" s="956">
        <v>12</v>
      </c>
      <c r="AU83" s="981"/>
      <c r="AV83" s="981"/>
      <c r="AW83" s="981"/>
      <c r="AX83" s="993"/>
      <c r="AY83" s="993"/>
      <c r="AZ83" s="833">
        <f t="shared" si="13"/>
        <v>0</v>
      </c>
      <c r="BA83" s="983">
        <f t="shared" si="0"/>
        <v>0</v>
      </c>
      <c r="BB83" s="983">
        <f t="shared" si="1"/>
        <v>0</v>
      </c>
      <c r="BC83" s="983">
        <f t="shared" si="2"/>
        <v>0</v>
      </c>
      <c r="BD83" s="983">
        <f t="shared" si="3"/>
        <v>0</v>
      </c>
      <c r="BE83" s="983">
        <f t="shared" si="14"/>
        <v>0</v>
      </c>
      <c r="BF83" s="871">
        <f t="shared" si="15"/>
        <v>15</v>
      </c>
    </row>
    <row r="84" spans="1:58" s="8" customFormat="1" ht="20.100000000000001" customHeight="1">
      <c r="A84" s="956"/>
      <c r="B84" s="959">
        <v>4</v>
      </c>
      <c r="C84" s="956">
        <v>166</v>
      </c>
      <c r="D84" s="957"/>
      <c r="E84" s="957"/>
      <c r="F84" s="956"/>
      <c r="G84" s="958" t="s">
        <v>1335</v>
      </c>
      <c r="H84" s="958" t="s">
        <v>1335</v>
      </c>
      <c r="I84" s="958" t="s">
        <v>1335</v>
      </c>
      <c r="J84" s="958" t="s">
        <v>1335</v>
      </c>
      <c r="K84" s="958" t="s">
        <v>1335</v>
      </c>
      <c r="L84" s="958" t="s">
        <v>1335</v>
      </c>
      <c r="M84" s="958" t="s">
        <v>1335</v>
      </c>
      <c r="N84" s="958" t="s">
        <v>1335</v>
      </c>
      <c r="O84" s="958" t="s">
        <v>1335</v>
      </c>
      <c r="P84" s="958" t="s">
        <v>1335</v>
      </c>
      <c r="Q84" s="958" t="s">
        <v>1335</v>
      </c>
      <c r="R84" s="958" t="s">
        <v>1335</v>
      </c>
      <c r="S84" s="958" t="s">
        <v>1335</v>
      </c>
      <c r="T84" s="958" t="s">
        <v>1335</v>
      </c>
      <c r="U84" s="958" t="s">
        <v>1335</v>
      </c>
      <c r="V84" s="966"/>
      <c r="W84" s="966" t="s">
        <v>1335</v>
      </c>
      <c r="X84" s="966"/>
      <c r="Y84" s="970"/>
      <c r="Z84" s="966"/>
      <c r="AA84" s="971"/>
      <c r="AB84" s="972"/>
      <c r="AC84" s="972"/>
      <c r="AD84" s="972"/>
      <c r="AE84" s="972"/>
      <c r="AF84" s="972"/>
      <c r="AG84" s="972"/>
      <c r="AH84" s="972"/>
      <c r="AI84" s="972"/>
      <c r="AJ84" s="972"/>
      <c r="AK84" s="972"/>
      <c r="AL84" s="972"/>
      <c r="AM84" s="972"/>
      <c r="AN84" s="972"/>
      <c r="AO84" s="972"/>
      <c r="AP84" s="972"/>
      <c r="AQ84" s="956">
        <f t="shared" si="10"/>
        <v>15</v>
      </c>
      <c r="AR84" s="956">
        <f t="shared" si="11"/>
        <v>1</v>
      </c>
      <c r="AS84" s="956">
        <f t="shared" si="12"/>
        <v>16</v>
      </c>
      <c r="AT84" s="956">
        <v>12</v>
      </c>
      <c r="AU84" s="981"/>
      <c r="AV84" s="981"/>
      <c r="AW84" s="981"/>
      <c r="AX84" s="993"/>
      <c r="AY84" s="993"/>
      <c r="AZ84" s="833">
        <f t="shared" si="13"/>
        <v>0</v>
      </c>
      <c r="BA84" s="983">
        <f t="shared" si="0"/>
        <v>0</v>
      </c>
      <c r="BB84" s="983">
        <f t="shared" si="1"/>
        <v>0</v>
      </c>
      <c r="BC84" s="983">
        <f t="shared" si="2"/>
        <v>0</v>
      </c>
      <c r="BD84" s="983">
        <f t="shared" si="3"/>
        <v>0</v>
      </c>
      <c r="BE84" s="983">
        <f t="shared" si="14"/>
        <v>0</v>
      </c>
      <c r="BF84" s="871">
        <f t="shared" si="15"/>
        <v>16</v>
      </c>
    </row>
    <row r="85" spans="1:58" s="8" customFormat="1" ht="20.100000000000001" customHeight="1">
      <c r="A85" s="956"/>
      <c r="B85" s="959">
        <v>4</v>
      </c>
      <c r="C85" s="956">
        <v>167</v>
      </c>
      <c r="D85" s="957"/>
      <c r="E85" s="957"/>
      <c r="F85" s="956"/>
      <c r="G85" s="958" t="s">
        <v>1335</v>
      </c>
      <c r="H85" s="958" t="s">
        <v>1335</v>
      </c>
      <c r="I85" s="958" t="s">
        <v>1335</v>
      </c>
      <c r="J85" s="958" t="s">
        <v>1335</v>
      </c>
      <c r="K85" s="958" t="s">
        <v>1335</v>
      </c>
      <c r="L85" s="958" t="s">
        <v>1335</v>
      </c>
      <c r="M85" s="958" t="s">
        <v>1335</v>
      </c>
      <c r="N85" s="958" t="s">
        <v>1335</v>
      </c>
      <c r="O85" s="958" t="s">
        <v>1335</v>
      </c>
      <c r="P85" s="958" t="s">
        <v>1335</v>
      </c>
      <c r="Q85" s="958" t="s">
        <v>1335</v>
      </c>
      <c r="R85" s="958" t="s">
        <v>1335</v>
      </c>
      <c r="S85" s="958" t="s">
        <v>1335</v>
      </c>
      <c r="T85" s="958" t="s">
        <v>1335</v>
      </c>
      <c r="U85" s="958" t="s">
        <v>1335</v>
      </c>
      <c r="V85" s="966"/>
      <c r="W85" s="966" t="s">
        <v>1335</v>
      </c>
      <c r="X85" s="966"/>
      <c r="Y85" s="970"/>
      <c r="Z85" s="966"/>
      <c r="AA85" s="971"/>
      <c r="AB85" s="972"/>
      <c r="AC85" s="972"/>
      <c r="AD85" s="972"/>
      <c r="AE85" s="972"/>
      <c r="AF85" s="972"/>
      <c r="AG85" s="972"/>
      <c r="AH85" s="972"/>
      <c r="AI85" s="972"/>
      <c r="AJ85" s="972"/>
      <c r="AK85" s="972"/>
      <c r="AL85" s="972"/>
      <c r="AM85" s="972"/>
      <c r="AN85" s="972"/>
      <c r="AO85" s="972"/>
      <c r="AP85" s="972"/>
      <c r="AQ85" s="956">
        <f t="shared" si="10"/>
        <v>15</v>
      </c>
      <c r="AR85" s="956">
        <f t="shared" si="11"/>
        <v>1</v>
      </c>
      <c r="AS85" s="956">
        <f t="shared" si="12"/>
        <v>16</v>
      </c>
      <c r="AT85" s="956">
        <v>12</v>
      </c>
      <c r="AU85" s="981"/>
      <c r="AV85" s="981"/>
      <c r="AW85" s="981"/>
      <c r="AX85" s="993"/>
      <c r="AY85" s="993"/>
      <c r="AZ85" s="833">
        <f t="shared" si="13"/>
        <v>0</v>
      </c>
      <c r="BA85" s="983">
        <f t="shared" si="0"/>
        <v>0</v>
      </c>
      <c r="BB85" s="983">
        <f t="shared" si="1"/>
        <v>0</v>
      </c>
      <c r="BC85" s="983">
        <f t="shared" si="2"/>
        <v>0</v>
      </c>
      <c r="BD85" s="983">
        <f t="shared" si="3"/>
        <v>0</v>
      </c>
      <c r="BE85" s="983">
        <f t="shared" si="14"/>
        <v>0</v>
      </c>
      <c r="BF85" s="871">
        <f t="shared" si="15"/>
        <v>16</v>
      </c>
    </row>
    <row r="86" spans="1:58" s="8" customFormat="1" ht="20.100000000000001" customHeight="1">
      <c r="A86" s="956"/>
      <c r="B86" s="959">
        <v>4</v>
      </c>
      <c r="C86" s="956">
        <v>168</v>
      </c>
      <c r="D86" s="957"/>
      <c r="E86" s="957"/>
      <c r="F86" s="956"/>
      <c r="G86" s="958" t="s">
        <v>1335</v>
      </c>
      <c r="H86" s="958" t="s">
        <v>1335</v>
      </c>
      <c r="I86" s="958" t="s">
        <v>1335</v>
      </c>
      <c r="J86" s="958" t="s">
        <v>1335</v>
      </c>
      <c r="K86" s="958" t="s">
        <v>1335</v>
      </c>
      <c r="L86" s="958" t="s">
        <v>1335</v>
      </c>
      <c r="M86" s="958" t="s">
        <v>1335</v>
      </c>
      <c r="N86" s="958" t="s">
        <v>1335</v>
      </c>
      <c r="O86" s="958" t="s">
        <v>1335</v>
      </c>
      <c r="P86" s="958" t="s">
        <v>1335</v>
      </c>
      <c r="Q86" s="958" t="s">
        <v>1335</v>
      </c>
      <c r="R86" s="958" t="s">
        <v>1335</v>
      </c>
      <c r="S86" s="958" t="s">
        <v>1335</v>
      </c>
      <c r="T86" s="958" t="s">
        <v>1335</v>
      </c>
      <c r="U86" s="958" t="s">
        <v>1335</v>
      </c>
      <c r="V86" s="966"/>
      <c r="W86" s="966" t="s">
        <v>1335</v>
      </c>
      <c r="X86" s="966"/>
      <c r="Y86" s="970"/>
      <c r="Z86" s="966"/>
      <c r="AA86" s="971"/>
      <c r="AB86" s="972"/>
      <c r="AC86" s="972"/>
      <c r="AD86" s="972"/>
      <c r="AE86" s="972"/>
      <c r="AF86" s="972"/>
      <c r="AG86" s="972"/>
      <c r="AH86" s="972"/>
      <c r="AI86" s="972"/>
      <c r="AJ86" s="972"/>
      <c r="AK86" s="972"/>
      <c r="AL86" s="972"/>
      <c r="AM86" s="972"/>
      <c r="AN86" s="972"/>
      <c r="AO86" s="972"/>
      <c r="AP86" s="972"/>
      <c r="AQ86" s="956">
        <f t="shared" si="10"/>
        <v>15</v>
      </c>
      <c r="AR86" s="956">
        <f t="shared" si="11"/>
        <v>1</v>
      </c>
      <c r="AS86" s="956">
        <f t="shared" si="12"/>
        <v>16</v>
      </c>
      <c r="AT86" s="956">
        <v>12</v>
      </c>
      <c r="AU86" s="981"/>
      <c r="AV86" s="981"/>
      <c r="AW86" s="981"/>
      <c r="AX86" s="993"/>
      <c r="AY86" s="993"/>
      <c r="AZ86" s="833">
        <f t="shared" si="13"/>
        <v>0</v>
      </c>
      <c r="BA86" s="983">
        <f t="shared" si="0"/>
        <v>0</v>
      </c>
      <c r="BB86" s="983">
        <f t="shared" si="1"/>
        <v>0</v>
      </c>
      <c r="BC86" s="983">
        <f t="shared" si="2"/>
        <v>0</v>
      </c>
      <c r="BD86" s="983">
        <f t="shared" si="3"/>
        <v>0</v>
      </c>
      <c r="BE86" s="983">
        <f t="shared" si="14"/>
        <v>0</v>
      </c>
      <c r="BF86" s="871">
        <f t="shared" si="15"/>
        <v>16</v>
      </c>
    </row>
    <row r="87" spans="1:58" s="8" customFormat="1" ht="20.100000000000001" customHeight="1">
      <c r="A87" s="956"/>
      <c r="B87" s="959">
        <v>4</v>
      </c>
      <c r="C87" s="956">
        <v>169</v>
      </c>
      <c r="D87" s="957"/>
      <c r="E87" s="957"/>
      <c r="F87" s="956"/>
      <c r="G87" s="958" t="s">
        <v>1335</v>
      </c>
      <c r="H87" s="958" t="s">
        <v>1335</v>
      </c>
      <c r="I87" s="958" t="s">
        <v>1335</v>
      </c>
      <c r="J87" s="958" t="s">
        <v>1335</v>
      </c>
      <c r="K87" s="958" t="s">
        <v>1335</v>
      </c>
      <c r="L87" s="958" t="s">
        <v>1335</v>
      </c>
      <c r="M87" s="958" t="s">
        <v>1335</v>
      </c>
      <c r="N87" s="958" t="s">
        <v>1335</v>
      </c>
      <c r="O87" s="958" t="s">
        <v>1335</v>
      </c>
      <c r="P87" s="958" t="s">
        <v>1335</v>
      </c>
      <c r="Q87" s="958" t="s">
        <v>1335</v>
      </c>
      <c r="R87" s="958" t="s">
        <v>1335</v>
      </c>
      <c r="S87" s="958" t="s">
        <v>1335</v>
      </c>
      <c r="T87" s="958" t="s">
        <v>1335</v>
      </c>
      <c r="U87" s="958" t="s">
        <v>1335</v>
      </c>
      <c r="V87" s="966"/>
      <c r="W87" s="966" t="s">
        <v>1335</v>
      </c>
      <c r="X87" s="966"/>
      <c r="Y87" s="970"/>
      <c r="Z87" s="966"/>
      <c r="AA87" s="971"/>
      <c r="AB87" s="972"/>
      <c r="AC87" s="972"/>
      <c r="AD87" s="972"/>
      <c r="AE87" s="972"/>
      <c r="AF87" s="972"/>
      <c r="AG87" s="972"/>
      <c r="AH87" s="972"/>
      <c r="AI87" s="972"/>
      <c r="AJ87" s="972"/>
      <c r="AK87" s="972"/>
      <c r="AL87" s="972"/>
      <c r="AM87" s="972"/>
      <c r="AN87" s="972"/>
      <c r="AO87" s="972"/>
      <c r="AP87" s="972"/>
      <c r="AQ87" s="956">
        <f t="shared" si="10"/>
        <v>15</v>
      </c>
      <c r="AR87" s="956">
        <f t="shared" si="11"/>
        <v>1</v>
      </c>
      <c r="AS87" s="956">
        <f t="shared" si="12"/>
        <v>16</v>
      </c>
      <c r="AT87" s="956">
        <v>12</v>
      </c>
      <c r="AU87" s="981"/>
      <c r="AV87" s="981"/>
      <c r="AW87" s="981"/>
      <c r="AX87" s="993"/>
      <c r="AY87" s="993"/>
      <c r="AZ87" s="833">
        <f t="shared" si="13"/>
        <v>0</v>
      </c>
      <c r="BA87" s="983">
        <f t="shared" si="0"/>
        <v>0</v>
      </c>
      <c r="BB87" s="983">
        <f t="shared" si="1"/>
        <v>0</v>
      </c>
      <c r="BC87" s="983">
        <f t="shared" si="2"/>
        <v>0</v>
      </c>
      <c r="BD87" s="983">
        <f t="shared" si="3"/>
        <v>0</v>
      </c>
      <c r="BE87" s="983">
        <f t="shared" si="14"/>
        <v>0</v>
      </c>
      <c r="BF87" s="871">
        <f t="shared" si="15"/>
        <v>16</v>
      </c>
    </row>
    <row r="88" spans="1:58" s="8" customFormat="1" ht="20.100000000000001" customHeight="1">
      <c r="A88" s="956"/>
      <c r="B88" s="959">
        <v>4</v>
      </c>
      <c r="C88" s="956">
        <v>170</v>
      </c>
      <c r="D88" s="957"/>
      <c r="E88" s="957"/>
      <c r="F88" s="956"/>
      <c r="G88" s="958" t="s">
        <v>1335</v>
      </c>
      <c r="H88" s="958" t="s">
        <v>1335</v>
      </c>
      <c r="I88" s="958" t="s">
        <v>1335</v>
      </c>
      <c r="J88" s="958" t="s">
        <v>1335</v>
      </c>
      <c r="K88" s="958" t="s">
        <v>1335</v>
      </c>
      <c r="L88" s="958" t="s">
        <v>1335</v>
      </c>
      <c r="M88" s="958" t="s">
        <v>1335</v>
      </c>
      <c r="N88" s="958" t="s">
        <v>1335</v>
      </c>
      <c r="O88" s="958" t="s">
        <v>1335</v>
      </c>
      <c r="P88" s="958" t="s">
        <v>1335</v>
      </c>
      <c r="Q88" s="958" t="s">
        <v>1335</v>
      </c>
      <c r="R88" s="958" t="s">
        <v>1335</v>
      </c>
      <c r="S88" s="958" t="s">
        <v>1335</v>
      </c>
      <c r="T88" s="958" t="s">
        <v>1335</v>
      </c>
      <c r="U88" s="958" t="s">
        <v>1335</v>
      </c>
      <c r="V88" s="966"/>
      <c r="W88" s="966" t="s">
        <v>1335</v>
      </c>
      <c r="X88" s="966"/>
      <c r="Y88" s="970"/>
      <c r="Z88" s="966"/>
      <c r="AA88" s="971"/>
      <c r="AB88" s="972"/>
      <c r="AC88" s="972"/>
      <c r="AD88" s="972"/>
      <c r="AE88" s="972"/>
      <c r="AF88" s="972"/>
      <c r="AG88" s="972"/>
      <c r="AH88" s="972"/>
      <c r="AI88" s="972"/>
      <c r="AJ88" s="972"/>
      <c r="AK88" s="972"/>
      <c r="AL88" s="972"/>
      <c r="AM88" s="972"/>
      <c r="AN88" s="972"/>
      <c r="AO88" s="972"/>
      <c r="AP88" s="972"/>
      <c r="AQ88" s="956">
        <f t="shared" si="10"/>
        <v>15</v>
      </c>
      <c r="AR88" s="956">
        <f t="shared" si="11"/>
        <v>1</v>
      </c>
      <c r="AS88" s="956">
        <f t="shared" si="12"/>
        <v>16</v>
      </c>
      <c r="AT88" s="956">
        <v>12</v>
      </c>
      <c r="AU88" s="981"/>
      <c r="AV88" s="981"/>
      <c r="AW88" s="981"/>
      <c r="AX88" s="993"/>
      <c r="AY88" s="993"/>
      <c r="AZ88" s="833">
        <f t="shared" si="13"/>
        <v>0</v>
      </c>
      <c r="BA88" s="983">
        <f t="shared" si="0"/>
        <v>0</v>
      </c>
      <c r="BB88" s="983">
        <f t="shared" si="1"/>
        <v>0</v>
      </c>
      <c r="BC88" s="983">
        <f t="shared" si="2"/>
        <v>0</v>
      </c>
      <c r="BD88" s="983">
        <f t="shared" si="3"/>
        <v>0</v>
      </c>
      <c r="BE88" s="983">
        <f t="shared" si="14"/>
        <v>0</v>
      </c>
      <c r="BF88" s="871">
        <f t="shared" si="15"/>
        <v>16</v>
      </c>
    </row>
    <row r="89" spans="1:58" s="8" customFormat="1" ht="20.100000000000001" customHeight="1">
      <c r="A89" s="956"/>
      <c r="B89" s="959">
        <v>4</v>
      </c>
      <c r="C89" s="956">
        <v>171</v>
      </c>
      <c r="D89" s="957"/>
      <c r="E89" s="957"/>
      <c r="F89" s="956"/>
      <c r="G89" s="958" t="s">
        <v>1335</v>
      </c>
      <c r="H89" s="958" t="s">
        <v>1335</v>
      </c>
      <c r="I89" s="958" t="s">
        <v>1335</v>
      </c>
      <c r="J89" s="958" t="s">
        <v>1335</v>
      </c>
      <c r="K89" s="958" t="s">
        <v>1335</v>
      </c>
      <c r="L89" s="958" t="s">
        <v>1335</v>
      </c>
      <c r="M89" s="958" t="s">
        <v>1335</v>
      </c>
      <c r="N89" s="958" t="s">
        <v>1335</v>
      </c>
      <c r="O89" s="958" t="s">
        <v>1335</v>
      </c>
      <c r="P89" s="958" t="s">
        <v>1335</v>
      </c>
      <c r="Q89" s="958" t="s">
        <v>1335</v>
      </c>
      <c r="R89" s="958" t="s">
        <v>1335</v>
      </c>
      <c r="S89" s="958" t="s">
        <v>1335</v>
      </c>
      <c r="T89" s="958" t="s">
        <v>1335</v>
      </c>
      <c r="U89" s="958" t="s">
        <v>1335</v>
      </c>
      <c r="V89" s="966"/>
      <c r="W89" s="966" t="s">
        <v>1335</v>
      </c>
      <c r="X89" s="966"/>
      <c r="Y89" s="970"/>
      <c r="Z89" s="966"/>
      <c r="AA89" s="971"/>
      <c r="AB89" s="972"/>
      <c r="AC89" s="972"/>
      <c r="AD89" s="972"/>
      <c r="AE89" s="972"/>
      <c r="AF89" s="972"/>
      <c r="AG89" s="972"/>
      <c r="AH89" s="972"/>
      <c r="AI89" s="972"/>
      <c r="AJ89" s="972"/>
      <c r="AK89" s="972"/>
      <c r="AL89" s="972"/>
      <c r="AM89" s="972"/>
      <c r="AN89" s="972"/>
      <c r="AO89" s="972"/>
      <c r="AP89" s="972"/>
      <c r="AQ89" s="956">
        <f t="shared" si="10"/>
        <v>15</v>
      </c>
      <c r="AR89" s="956">
        <f t="shared" si="11"/>
        <v>1</v>
      </c>
      <c r="AS89" s="956">
        <f t="shared" si="12"/>
        <v>16</v>
      </c>
      <c r="AT89" s="956">
        <v>12</v>
      </c>
      <c r="AU89" s="981"/>
      <c r="AV89" s="981"/>
      <c r="AW89" s="981"/>
      <c r="AX89" s="993"/>
      <c r="AY89" s="993"/>
      <c r="AZ89" s="833">
        <f t="shared" si="13"/>
        <v>0</v>
      </c>
      <c r="BA89" s="983">
        <f t="shared" si="0"/>
        <v>0</v>
      </c>
      <c r="BB89" s="983">
        <f t="shared" si="1"/>
        <v>0</v>
      </c>
      <c r="BC89" s="983">
        <f t="shared" si="2"/>
        <v>0</v>
      </c>
      <c r="BD89" s="983">
        <f t="shared" si="3"/>
        <v>0</v>
      </c>
      <c r="BE89" s="983">
        <f t="shared" si="14"/>
        <v>0</v>
      </c>
      <c r="BF89" s="871">
        <f t="shared" si="15"/>
        <v>16</v>
      </c>
    </row>
    <row r="90" spans="1:58" s="8" customFormat="1" ht="20.100000000000001" customHeight="1">
      <c r="A90" s="956"/>
      <c r="B90" s="959">
        <v>4</v>
      </c>
      <c r="C90" s="956">
        <v>172</v>
      </c>
      <c r="D90" s="957"/>
      <c r="E90" s="957"/>
      <c r="F90" s="956"/>
      <c r="G90" s="958" t="s">
        <v>1335</v>
      </c>
      <c r="H90" s="958" t="s">
        <v>1335</v>
      </c>
      <c r="I90" s="958" t="s">
        <v>1335</v>
      </c>
      <c r="J90" s="958">
        <v>0</v>
      </c>
      <c r="K90" s="958" t="s">
        <v>1335</v>
      </c>
      <c r="L90" s="958" t="s">
        <v>1335</v>
      </c>
      <c r="M90" s="958" t="s">
        <v>1335</v>
      </c>
      <c r="N90" s="958" t="s">
        <v>1335</v>
      </c>
      <c r="O90" s="958" t="s">
        <v>1335</v>
      </c>
      <c r="P90" s="958" t="s">
        <v>1335</v>
      </c>
      <c r="Q90" s="958" t="s">
        <v>1335</v>
      </c>
      <c r="R90" s="958" t="s">
        <v>1335</v>
      </c>
      <c r="S90" s="958" t="s">
        <v>1335</v>
      </c>
      <c r="T90" s="958" t="s">
        <v>1335</v>
      </c>
      <c r="U90" s="958" t="s">
        <v>1335</v>
      </c>
      <c r="V90" s="966"/>
      <c r="W90" s="966" t="s">
        <v>1335</v>
      </c>
      <c r="X90" s="966"/>
      <c r="Y90" s="970"/>
      <c r="Z90" s="966"/>
      <c r="AA90" s="971"/>
      <c r="AB90" s="972"/>
      <c r="AC90" s="972"/>
      <c r="AD90" s="972"/>
      <c r="AE90" s="972"/>
      <c r="AF90" s="972"/>
      <c r="AG90" s="972"/>
      <c r="AH90" s="972"/>
      <c r="AI90" s="972"/>
      <c r="AJ90" s="972"/>
      <c r="AK90" s="972"/>
      <c r="AL90" s="972"/>
      <c r="AM90" s="972"/>
      <c r="AN90" s="972"/>
      <c r="AO90" s="972"/>
      <c r="AP90" s="972"/>
      <c r="AQ90" s="956">
        <f t="shared" si="10"/>
        <v>14</v>
      </c>
      <c r="AR90" s="956">
        <f t="shared" si="11"/>
        <v>1</v>
      </c>
      <c r="AS90" s="956">
        <f t="shared" si="12"/>
        <v>15</v>
      </c>
      <c r="AT90" s="956">
        <v>12</v>
      </c>
      <c r="AU90" s="981"/>
      <c r="AV90" s="981"/>
      <c r="AW90" s="981"/>
      <c r="AX90" s="993"/>
      <c r="AY90" s="993"/>
      <c r="AZ90" s="833">
        <f t="shared" si="13"/>
        <v>0</v>
      </c>
      <c r="BA90" s="983">
        <f t="shared" si="0"/>
        <v>0</v>
      </c>
      <c r="BB90" s="983">
        <f t="shared" si="1"/>
        <v>0</v>
      </c>
      <c r="BC90" s="983">
        <f t="shared" si="2"/>
        <v>0</v>
      </c>
      <c r="BD90" s="983">
        <f t="shared" si="3"/>
        <v>0</v>
      </c>
      <c r="BE90" s="983">
        <f t="shared" si="14"/>
        <v>0</v>
      </c>
      <c r="BF90" s="871">
        <f t="shared" si="15"/>
        <v>15</v>
      </c>
    </row>
    <row r="91" spans="1:58" s="8" customFormat="1" ht="20.100000000000001" customHeight="1">
      <c r="A91" s="956"/>
      <c r="B91" s="959">
        <v>4</v>
      </c>
      <c r="C91" s="956">
        <v>173</v>
      </c>
      <c r="D91" s="957"/>
      <c r="E91" s="957"/>
      <c r="F91" s="956"/>
      <c r="G91" s="958">
        <v>0</v>
      </c>
      <c r="H91" s="958" t="s">
        <v>1335</v>
      </c>
      <c r="I91" s="958" t="s">
        <v>1335</v>
      </c>
      <c r="J91" s="958">
        <v>0</v>
      </c>
      <c r="K91" s="958" t="s">
        <v>1335</v>
      </c>
      <c r="L91" s="958" t="s">
        <v>1335</v>
      </c>
      <c r="M91" s="958" t="s">
        <v>1335</v>
      </c>
      <c r="N91" s="958" t="s">
        <v>1335</v>
      </c>
      <c r="O91" s="958" t="s">
        <v>1335</v>
      </c>
      <c r="P91" s="958" t="s">
        <v>1335</v>
      </c>
      <c r="Q91" s="958" t="s">
        <v>1335</v>
      </c>
      <c r="R91" s="958" t="s">
        <v>1335</v>
      </c>
      <c r="S91" s="958" t="s">
        <v>1335</v>
      </c>
      <c r="T91" s="958" t="s">
        <v>1335</v>
      </c>
      <c r="U91" s="958" t="s">
        <v>1335</v>
      </c>
      <c r="V91" s="966"/>
      <c r="W91" s="966" t="s">
        <v>1335</v>
      </c>
      <c r="X91" s="966"/>
      <c r="Y91" s="970"/>
      <c r="Z91" s="966"/>
      <c r="AA91" s="971"/>
      <c r="AB91" s="972"/>
      <c r="AC91" s="972"/>
      <c r="AD91" s="972"/>
      <c r="AE91" s="972"/>
      <c r="AF91" s="972"/>
      <c r="AG91" s="972"/>
      <c r="AH91" s="972"/>
      <c r="AI91" s="972"/>
      <c r="AJ91" s="972"/>
      <c r="AK91" s="972"/>
      <c r="AL91" s="972"/>
      <c r="AM91" s="972"/>
      <c r="AN91" s="972"/>
      <c r="AO91" s="972"/>
      <c r="AP91" s="972"/>
      <c r="AQ91" s="956">
        <f t="shared" si="10"/>
        <v>13</v>
      </c>
      <c r="AR91" s="956">
        <f t="shared" si="11"/>
        <v>1</v>
      </c>
      <c r="AS91" s="956">
        <f t="shared" si="12"/>
        <v>14</v>
      </c>
      <c r="AT91" s="956">
        <v>12</v>
      </c>
      <c r="AU91" s="981"/>
      <c r="AV91" s="981"/>
      <c r="AW91" s="981"/>
      <c r="AX91" s="993"/>
      <c r="AY91" s="993"/>
      <c r="AZ91" s="833">
        <f t="shared" si="13"/>
        <v>0</v>
      </c>
      <c r="BA91" s="983">
        <f t="shared" si="0"/>
        <v>0</v>
      </c>
      <c r="BB91" s="983">
        <f t="shared" si="1"/>
        <v>0</v>
      </c>
      <c r="BC91" s="983">
        <f t="shared" si="2"/>
        <v>0</v>
      </c>
      <c r="BD91" s="983">
        <f t="shared" si="3"/>
        <v>0</v>
      </c>
      <c r="BE91" s="983">
        <f t="shared" si="14"/>
        <v>0</v>
      </c>
      <c r="BF91" s="871">
        <f t="shared" si="15"/>
        <v>14</v>
      </c>
    </row>
    <row r="92" spans="1:58" s="8" customFormat="1" ht="20.100000000000001" customHeight="1">
      <c r="A92" s="956"/>
      <c r="B92" s="959">
        <v>4</v>
      </c>
      <c r="C92" s="956">
        <v>174</v>
      </c>
      <c r="D92" s="957"/>
      <c r="E92" s="957"/>
      <c r="F92" s="956"/>
      <c r="G92" s="958">
        <v>0</v>
      </c>
      <c r="H92" s="958" t="s">
        <v>1335</v>
      </c>
      <c r="I92" s="958" t="s">
        <v>1335</v>
      </c>
      <c r="J92" s="958">
        <v>0</v>
      </c>
      <c r="K92" s="958" t="s">
        <v>1335</v>
      </c>
      <c r="L92" s="958" t="s">
        <v>1335</v>
      </c>
      <c r="M92" s="958" t="s">
        <v>1335</v>
      </c>
      <c r="N92" s="958" t="s">
        <v>1335</v>
      </c>
      <c r="O92" s="958" t="s">
        <v>1335</v>
      </c>
      <c r="P92" s="958">
        <v>0</v>
      </c>
      <c r="Q92" s="958" t="s">
        <v>1335</v>
      </c>
      <c r="R92" s="958" t="s">
        <v>1335</v>
      </c>
      <c r="S92" s="958" t="s">
        <v>1335</v>
      </c>
      <c r="T92" s="958" t="s">
        <v>1335</v>
      </c>
      <c r="U92" s="958" t="s">
        <v>1335</v>
      </c>
      <c r="V92" s="966"/>
      <c r="W92" s="966" t="s">
        <v>1335</v>
      </c>
      <c r="X92" s="966"/>
      <c r="Y92" s="970"/>
      <c r="Z92" s="966"/>
      <c r="AA92" s="971"/>
      <c r="AB92" s="972"/>
      <c r="AC92" s="972"/>
      <c r="AD92" s="972"/>
      <c r="AE92" s="972"/>
      <c r="AF92" s="972"/>
      <c r="AG92" s="972"/>
      <c r="AH92" s="972"/>
      <c r="AI92" s="972"/>
      <c r="AJ92" s="972"/>
      <c r="AK92" s="972"/>
      <c r="AL92" s="972"/>
      <c r="AM92" s="972"/>
      <c r="AN92" s="972"/>
      <c r="AO92" s="972"/>
      <c r="AP92" s="972"/>
      <c r="AQ92" s="956">
        <f t="shared" si="10"/>
        <v>12</v>
      </c>
      <c r="AR92" s="956">
        <f t="shared" si="11"/>
        <v>1</v>
      </c>
      <c r="AS92" s="956">
        <f t="shared" si="12"/>
        <v>13</v>
      </c>
      <c r="AT92" s="956">
        <v>12</v>
      </c>
      <c r="AU92" s="981"/>
      <c r="AV92" s="981"/>
      <c r="AW92" s="981"/>
      <c r="AX92" s="993"/>
      <c r="AY92" s="993"/>
      <c r="AZ92" s="833">
        <f t="shared" si="13"/>
        <v>0</v>
      </c>
      <c r="BA92" s="983">
        <f t="shared" si="0"/>
        <v>0</v>
      </c>
      <c r="BB92" s="983">
        <f t="shared" si="1"/>
        <v>0</v>
      </c>
      <c r="BC92" s="983">
        <f t="shared" si="2"/>
        <v>0</v>
      </c>
      <c r="BD92" s="983">
        <f t="shared" si="3"/>
        <v>0</v>
      </c>
      <c r="BE92" s="983">
        <f t="shared" si="14"/>
        <v>0</v>
      </c>
      <c r="BF92" s="871">
        <f t="shared" si="15"/>
        <v>13</v>
      </c>
    </row>
    <row r="93" spans="1:58" s="8" customFormat="1" ht="20.100000000000001" customHeight="1">
      <c r="A93" s="956"/>
      <c r="B93" s="959">
        <v>4</v>
      </c>
      <c r="C93" s="956">
        <v>175</v>
      </c>
      <c r="D93" s="957"/>
      <c r="E93" s="957"/>
      <c r="F93" s="956"/>
      <c r="G93" s="958">
        <v>0</v>
      </c>
      <c r="H93" s="958" t="s">
        <v>1335</v>
      </c>
      <c r="I93" s="958" t="s">
        <v>1335</v>
      </c>
      <c r="J93" s="958">
        <v>0</v>
      </c>
      <c r="K93" s="958" t="s">
        <v>1335</v>
      </c>
      <c r="L93" s="958" t="s">
        <v>1335</v>
      </c>
      <c r="M93" s="958" t="s">
        <v>1335</v>
      </c>
      <c r="N93" s="958" t="s">
        <v>1335</v>
      </c>
      <c r="O93" s="958" t="s">
        <v>1335</v>
      </c>
      <c r="P93" s="958" t="s">
        <v>1335</v>
      </c>
      <c r="Q93" s="958" t="s">
        <v>1335</v>
      </c>
      <c r="R93" s="958" t="s">
        <v>1335</v>
      </c>
      <c r="S93" s="958" t="s">
        <v>1335</v>
      </c>
      <c r="T93" s="958" t="s">
        <v>1335</v>
      </c>
      <c r="U93" s="958" t="s">
        <v>1335</v>
      </c>
      <c r="V93" s="966"/>
      <c r="W93" s="966" t="s">
        <v>1335</v>
      </c>
      <c r="X93" s="966"/>
      <c r="Y93" s="970"/>
      <c r="Z93" s="966"/>
      <c r="AA93" s="971"/>
      <c r="AB93" s="972"/>
      <c r="AC93" s="972"/>
      <c r="AD93" s="972"/>
      <c r="AE93" s="972"/>
      <c r="AF93" s="972"/>
      <c r="AG93" s="972"/>
      <c r="AH93" s="972"/>
      <c r="AI93" s="972"/>
      <c r="AJ93" s="972"/>
      <c r="AK93" s="972"/>
      <c r="AL93" s="972"/>
      <c r="AM93" s="972"/>
      <c r="AN93" s="972"/>
      <c r="AO93" s="972"/>
      <c r="AP93" s="972"/>
      <c r="AQ93" s="956">
        <f t="shared" si="10"/>
        <v>13</v>
      </c>
      <c r="AR93" s="956">
        <f t="shared" si="11"/>
        <v>1</v>
      </c>
      <c r="AS93" s="956">
        <f t="shared" si="12"/>
        <v>14</v>
      </c>
      <c r="AT93" s="956">
        <v>12</v>
      </c>
      <c r="AU93" s="981"/>
      <c r="AV93" s="981"/>
      <c r="AW93" s="981"/>
      <c r="AX93" s="993"/>
      <c r="AY93" s="993"/>
      <c r="AZ93" s="833">
        <f t="shared" si="13"/>
        <v>0</v>
      </c>
      <c r="BA93" s="983">
        <f t="shared" si="0"/>
        <v>0</v>
      </c>
      <c r="BB93" s="983">
        <f t="shared" si="1"/>
        <v>0</v>
      </c>
      <c r="BC93" s="983">
        <f t="shared" si="2"/>
        <v>0</v>
      </c>
      <c r="BD93" s="983">
        <f t="shared" si="3"/>
        <v>0</v>
      </c>
      <c r="BE93" s="983">
        <f t="shared" si="14"/>
        <v>0</v>
      </c>
      <c r="BF93" s="871">
        <f t="shared" si="15"/>
        <v>14</v>
      </c>
    </row>
    <row r="94" spans="1:58" s="8" customFormat="1" ht="20.100000000000001" customHeight="1">
      <c r="A94" s="956"/>
      <c r="B94" s="995">
        <v>5</v>
      </c>
      <c r="C94" s="956">
        <v>176</v>
      </c>
      <c r="D94" s="957"/>
      <c r="E94" s="957"/>
      <c r="F94" s="956"/>
      <c r="G94" s="958" t="s">
        <v>1335</v>
      </c>
      <c r="H94" s="958" t="s">
        <v>1335</v>
      </c>
      <c r="I94" s="958" t="s">
        <v>1335</v>
      </c>
      <c r="J94" s="958" t="s">
        <v>1335</v>
      </c>
      <c r="K94" s="958" t="s">
        <v>1335</v>
      </c>
      <c r="L94" s="958" t="s">
        <v>1335</v>
      </c>
      <c r="M94" s="958" t="s">
        <v>1335</v>
      </c>
      <c r="N94" s="958" t="s">
        <v>1335</v>
      </c>
      <c r="O94" s="958" t="s">
        <v>1335</v>
      </c>
      <c r="P94" s="958" t="s">
        <v>1335</v>
      </c>
      <c r="Q94" s="958" t="s">
        <v>1335</v>
      </c>
      <c r="R94" s="958" t="s">
        <v>1335</v>
      </c>
      <c r="S94" s="958" t="s">
        <v>1335</v>
      </c>
      <c r="T94" s="958" t="s">
        <v>1335</v>
      </c>
      <c r="U94" s="958" t="s">
        <v>1335</v>
      </c>
      <c r="V94" s="966"/>
      <c r="W94" s="966" t="s">
        <v>1335</v>
      </c>
      <c r="X94" s="966"/>
      <c r="Y94" s="970"/>
      <c r="Z94" s="966"/>
      <c r="AA94" s="971"/>
      <c r="AB94" s="972"/>
      <c r="AC94" s="972"/>
      <c r="AD94" s="972"/>
      <c r="AE94" s="972"/>
      <c r="AF94" s="972"/>
      <c r="AG94" s="972"/>
      <c r="AH94" s="972"/>
      <c r="AI94" s="972"/>
      <c r="AJ94" s="972"/>
      <c r="AK94" s="972"/>
      <c r="AL94" s="972"/>
      <c r="AM94" s="972"/>
      <c r="AN94" s="972"/>
      <c r="AO94" s="972"/>
      <c r="AP94" s="972"/>
      <c r="AQ94" s="956">
        <f t="shared" si="10"/>
        <v>15</v>
      </c>
      <c r="AR94" s="956">
        <f t="shared" si="11"/>
        <v>1</v>
      </c>
      <c r="AS94" s="956">
        <f t="shared" si="12"/>
        <v>16</v>
      </c>
      <c r="AT94" s="982">
        <v>11</v>
      </c>
      <c r="AU94" s="981"/>
      <c r="AV94" s="981"/>
      <c r="AW94" s="981"/>
      <c r="AX94" s="993"/>
      <c r="AY94" s="993"/>
      <c r="AZ94" s="833">
        <f t="shared" si="13"/>
        <v>0</v>
      </c>
      <c r="BA94" s="983">
        <f t="shared" si="0"/>
        <v>0</v>
      </c>
      <c r="BB94" s="983">
        <f t="shared" si="1"/>
        <v>0</v>
      </c>
      <c r="BC94" s="983">
        <f t="shared" si="2"/>
        <v>0</v>
      </c>
      <c r="BD94" s="983">
        <f t="shared" si="3"/>
        <v>0</v>
      </c>
      <c r="BE94" s="983">
        <f t="shared" si="14"/>
        <v>0</v>
      </c>
      <c r="BF94" s="871">
        <f t="shared" si="15"/>
        <v>16</v>
      </c>
    </row>
    <row r="95" spans="1:58" s="8" customFormat="1" ht="20.100000000000001" customHeight="1">
      <c r="A95" s="956"/>
      <c r="B95" s="995">
        <v>5</v>
      </c>
      <c r="C95" s="956">
        <v>177</v>
      </c>
      <c r="D95" s="957"/>
      <c r="E95" s="957"/>
      <c r="F95" s="956"/>
      <c r="G95" s="958" t="s">
        <v>1335</v>
      </c>
      <c r="H95" s="958" t="s">
        <v>1335</v>
      </c>
      <c r="I95" s="958" t="s">
        <v>1335</v>
      </c>
      <c r="J95" s="958" t="s">
        <v>1335</v>
      </c>
      <c r="K95" s="958" t="s">
        <v>1335</v>
      </c>
      <c r="L95" s="958" t="s">
        <v>1335</v>
      </c>
      <c r="M95" s="958" t="s">
        <v>1335</v>
      </c>
      <c r="N95" s="958" t="s">
        <v>1335</v>
      </c>
      <c r="O95" s="958" t="s">
        <v>1335</v>
      </c>
      <c r="P95" s="958" t="s">
        <v>1335</v>
      </c>
      <c r="Q95" s="958" t="s">
        <v>1335</v>
      </c>
      <c r="R95" s="958" t="s">
        <v>1335</v>
      </c>
      <c r="S95" s="958" t="s">
        <v>1335</v>
      </c>
      <c r="T95" s="958" t="s">
        <v>1335</v>
      </c>
      <c r="U95" s="958" t="s">
        <v>1335</v>
      </c>
      <c r="V95" s="966"/>
      <c r="W95" s="966" t="s">
        <v>1335</v>
      </c>
      <c r="X95" s="966"/>
      <c r="Y95" s="970"/>
      <c r="Z95" s="966"/>
      <c r="AA95" s="971"/>
      <c r="AB95" s="972"/>
      <c r="AC95" s="972"/>
      <c r="AD95" s="972"/>
      <c r="AE95" s="972"/>
      <c r="AF95" s="972"/>
      <c r="AG95" s="972"/>
      <c r="AH95" s="972"/>
      <c r="AI95" s="972"/>
      <c r="AJ95" s="972"/>
      <c r="AK95" s="972"/>
      <c r="AL95" s="972"/>
      <c r="AM95" s="972"/>
      <c r="AN95" s="972"/>
      <c r="AO95" s="972"/>
      <c r="AP95" s="972"/>
      <c r="AQ95" s="956">
        <f t="shared" si="10"/>
        <v>15</v>
      </c>
      <c r="AR95" s="956">
        <f t="shared" si="11"/>
        <v>1</v>
      </c>
      <c r="AS95" s="956">
        <f t="shared" si="12"/>
        <v>16</v>
      </c>
      <c r="AT95" s="982">
        <v>11</v>
      </c>
      <c r="AU95" s="981"/>
      <c r="AV95" s="981"/>
      <c r="AW95" s="981"/>
      <c r="AX95" s="993"/>
      <c r="AY95" s="993"/>
      <c r="AZ95" s="833">
        <f t="shared" si="13"/>
        <v>0</v>
      </c>
      <c r="BA95" s="983">
        <f t="shared" si="0"/>
        <v>0</v>
      </c>
      <c r="BB95" s="983">
        <f t="shared" si="1"/>
        <v>0</v>
      </c>
      <c r="BC95" s="983">
        <f t="shared" si="2"/>
        <v>0</v>
      </c>
      <c r="BD95" s="983">
        <f t="shared" si="3"/>
        <v>0</v>
      </c>
      <c r="BE95" s="983">
        <f t="shared" si="14"/>
        <v>0</v>
      </c>
      <c r="BF95" s="871">
        <f t="shared" si="15"/>
        <v>16</v>
      </c>
    </row>
    <row r="96" spans="1:58" s="8" customFormat="1" ht="20.100000000000001" customHeight="1">
      <c r="A96" s="956"/>
      <c r="B96" s="995">
        <v>5</v>
      </c>
      <c r="C96" s="956">
        <v>178</v>
      </c>
      <c r="D96" s="957"/>
      <c r="E96" s="957"/>
      <c r="F96" s="956"/>
      <c r="G96" s="958" t="s">
        <v>1335</v>
      </c>
      <c r="H96" s="958" t="s">
        <v>1335</v>
      </c>
      <c r="I96" s="958" t="s">
        <v>1335</v>
      </c>
      <c r="J96" s="958" t="s">
        <v>1335</v>
      </c>
      <c r="K96" s="958" t="s">
        <v>1335</v>
      </c>
      <c r="L96" s="958" t="s">
        <v>1335</v>
      </c>
      <c r="M96" s="958" t="s">
        <v>1335</v>
      </c>
      <c r="N96" s="958" t="s">
        <v>1335</v>
      </c>
      <c r="O96" s="958" t="s">
        <v>1335</v>
      </c>
      <c r="P96" s="958" t="s">
        <v>1335</v>
      </c>
      <c r="Q96" s="958" t="s">
        <v>1335</v>
      </c>
      <c r="R96" s="958" t="s">
        <v>1335</v>
      </c>
      <c r="S96" s="958" t="s">
        <v>1335</v>
      </c>
      <c r="T96" s="958" t="s">
        <v>1335</v>
      </c>
      <c r="U96" s="958" t="s">
        <v>1335</v>
      </c>
      <c r="V96" s="966"/>
      <c r="W96" s="966" t="s">
        <v>1335</v>
      </c>
      <c r="X96" s="966"/>
      <c r="Y96" s="970"/>
      <c r="Z96" s="966"/>
      <c r="AA96" s="971"/>
      <c r="AB96" s="972"/>
      <c r="AC96" s="972"/>
      <c r="AD96" s="972"/>
      <c r="AE96" s="972"/>
      <c r="AF96" s="972"/>
      <c r="AG96" s="972"/>
      <c r="AH96" s="972"/>
      <c r="AI96" s="972"/>
      <c r="AJ96" s="972"/>
      <c r="AK96" s="972"/>
      <c r="AL96" s="972"/>
      <c r="AM96" s="972"/>
      <c r="AN96" s="972"/>
      <c r="AO96" s="972"/>
      <c r="AP96" s="972"/>
      <c r="AQ96" s="956">
        <f t="shared" si="10"/>
        <v>15</v>
      </c>
      <c r="AR96" s="956">
        <f t="shared" si="11"/>
        <v>1</v>
      </c>
      <c r="AS96" s="956">
        <f t="shared" si="12"/>
        <v>16</v>
      </c>
      <c r="AT96" s="956">
        <v>12</v>
      </c>
      <c r="AU96" s="981"/>
      <c r="AV96" s="981"/>
      <c r="AW96" s="981"/>
      <c r="AX96" s="993"/>
      <c r="AY96" s="993"/>
      <c r="AZ96" s="833">
        <f t="shared" si="13"/>
        <v>0</v>
      </c>
      <c r="BA96" s="983">
        <f t="shared" si="0"/>
        <v>0</v>
      </c>
      <c r="BB96" s="983">
        <f t="shared" si="1"/>
        <v>0</v>
      </c>
      <c r="BC96" s="983">
        <f t="shared" si="2"/>
        <v>0</v>
      </c>
      <c r="BD96" s="983">
        <f t="shared" si="3"/>
        <v>0</v>
      </c>
      <c r="BE96" s="983">
        <f t="shared" si="14"/>
        <v>0</v>
      </c>
      <c r="BF96" s="871">
        <f t="shared" si="15"/>
        <v>16</v>
      </c>
    </row>
    <row r="97" spans="1:58" s="8" customFormat="1" ht="20.100000000000001" customHeight="1">
      <c r="A97" s="956"/>
      <c r="B97" s="995">
        <v>5</v>
      </c>
      <c r="C97" s="956">
        <v>179</v>
      </c>
      <c r="D97" s="957"/>
      <c r="E97" s="957"/>
      <c r="F97" s="956"/>
      <c r="G97" s="958">
        <v>0</v>
      </c>
      <c r="H97" s="958" t="s">
        <v>1335</v>
      </c>
      <c r="I97" s="958" t="s">
        <v>1335</v>
      </c>
      <c r="J97" s="958" t="s">
        <v>1335</v>
      </c>
      <c r="K97" s="958" t="s">
        <v>1335</v>
      </c>
      <c r="L97" s="958" t="s">
        <v>1335</v>
      </c>
      <c r="M97" s="958" t="s">
        <v>1335</v>
      </c>
      <c r="N97" s="958">
        <v>0</v>
      </c>
      <c r="O97" s="958" t="s">
        <v>1335</v>
      </c>
      <c r="P97" s="958" t="s">
        <v>1335</v>
      </c>
      <c r="Q97" s="958" t="s">
        <v>1335</v>
      </c>
      <c r="R97" s="958" t="s">
        <v>1335</v>
      </c>
      <c r="S97" s="958" t="s">
        <v>1335</v>
      </c>
      <c r="T97" s="958" t="s">
        <v>1335</v>
      </c>
      <c r="U97" s="958" t="s">
        <v>1335</v>
      </c>
      <c r="V97" s="966"/>
      <c r="W97" s="966" t="s">
        <v>1335</v>
      </c>
      <c r="X97" s="966"/>
      <c r="Y97" s="970"/>
      <c r="Z97" s="966"/>
      <c r="AA97" s="971"/>
      <c r="AB97" s="972"/>
      <c r="AC97" s="972"/>
      <c r="AD97" s="972"/>
      <c r="AE97" s="972"/>
      <c r="AF97" s="972"/>
      <c r="AG97" s="972"/>
      <c r="AH97" s="972"/>
      <c r="AI97" s="972"/>
      <c r="AJ97" s="972"/>
      <c r="AK97" s="972"/>
      <c r="AL97" s="972"/>
      <c r="AM97" s="972"/>
      <c r="AN97" s="972"/>
      <c r="AO97" s="972"/>
      <c r="AP97" s="972"/>
      <c r="AQ97" s="956">
        <f t="shared" si="10"/>
        <v>13</v>
      </c>
      <c r="AR97" s="956">
        <f t="shared" si="11"/>
        <v>1</v>
      </c>
      <c r="AS97" s="956">
        <f t="shared" si="12"/>
        <v>14</v>
      </c>
      <c r="AT97" s="956">
        <v>12</v>
      </c>
      <c r="AU97" s="981"/>
      <c r="AV97" s="981"/>
      <c r="AW97" s="981"/>
      <c r="AX97" s="993"/>
      <c r="AY97" s="993"/>
      <c r="AZ97" s="833">
        <f t="shared" si="13"/>
        <v>0</v>
      </c>
      <c r="BA97" s="983">
        <f t="shared" si="0"/>
        <v>0</v>
      </c>
      <c r="BB97" s="983">
        <f t="shared" si="1"/>
        <v>0</v>
      </c>
      <c r="BC97" s="983">
        <f t="shared" si="2"/>
        <v>0</v>
      </c>
      <c r="BD97" s="983">
        <f t="shared" si="3"/>
        <v>0</v>
      </c>
      <c r="BE97" s="983">
        <f t="shared" si="14"/>
        <v>0</v>
      </c>
      <c r="BF97" s="871">
        <f t="shared" si="15"/>
        <v>14</v>
      </c>
    </row>
    <row r="98" spans="1:58" s="8" customFormat="1" ht="20.100000000000001" customHeight="1">
      <c r="A98" s="956"/>
      <c r="B98" s="995">
        <v>5</v>
      </c>
      <c r="C98" s="956">
        <v>180</v>
      </c>
      <c r="D98" s="957"/>
      <c r="E98" s="957"/>
      <c r="F98" s="956"/>
      <c r="G98" s="958" t="s">
        <v>1335</v>
      </c>
      <c r="H98" s="958" t="s">
        <v>1335</v>
      </c>
      <c r="I98" s="958" t="s">
        <v>1335</v>
      </c>
      <c r="J98" s="958" t="s">
        <v>1335</v>
      </c>
      <c r="K98" s="958" t="s">
        <v>1335</v>
      </c>
      <c r="L98" s="958" t="s">
        <v>1335</v>
      </c>
      <c r="M98" s="958" t="s">
        <v>1335</v>
      </c>
      <c r="N98" s="958" t="s">
        <v>1335</v>
      </c>
      <c r="O98" s="958" t="s">
        <v>1335</v>
      </c>
      <c r="P98" s="958" t="s">
        <v>1335</v>
      </c>
      <c r="Q98" s="958" t="s">
        <v>1335</v>
      </c>
      <c r="R98" s="958" t="s">
        <v>1335</v>
      </c>
      <c r="S98" s="958" t="s">
        <v>1335</v>
      </c>
      <c r="T98" s="958" t="s">
        <v>1335</v>
      </c>
      <c r="U98" s="958" t="s">
        <v>1335</v>
      </c>
      <c r="V98" s="966"/>
      <c r="W98" s="966" t="s">
        <v>1335</v>
      </c>
      <c r="X98" s="966"/>
      <c r="Y98" s="970"/>
      <c r="Z98" s="966"/>
      <c r="AA98" s="971"/>
      <c r="AB98" s="972"/>
      <c r="AC98" s="972"/>
      <c r="AD98" s="972"/>
      <c r="AE98" s="972"/>
      <c r="AF98" s="972"/>
      <c r="AG98" s="972"/>
      <c r="AH98" s="972"/>
      <c r="AI98" s="972"/>
      <c r="AJ98" s="972"/>
      <c r="AK98" s="972"/>
      <c r="AL98" s="972"/>
      <c r="AM98" s="972"/>
      <c r="AN98" s="972"/>
      <c r="AO98" s="972"/>
      <c r="AP98" s="972"/>
      <c r="AQ98" s="956">
        <f t="shared" si="10"/>
        <v>15</v>
      </c>
      <c r="AR98" s="956">
        <f t="shared" si="11"/>
        <v>1</v>
      </c>
      <c r="AS98" s="956">
        <f t="shared" si="12"/>
        <v>16</v>
      </c>
      <c r="AT98" s="956">
        <v>12</v>
      </c>
      <c r="AU98" s="981"/>
      <c r="AV98" s="981"/>
      <c r="AW98" s="981"/>
      <c r="AX98" s="993"/>
      <c r="AY98" s="993"/>
      <c r="AZ98" s="833">
        <f t="shared" si="13"/>
        <v>0</v>
      </c>
      <c r="BA98" s="983">
        <f t="shared" si="0"/>
        <v>0</v>
      </c>
      <c r="BB98" s="983">
        <f t="shared" si="1"/>
        <v>0</v>
      </c>
      <c r="BC98" s="983">
        <f t="shared" si="2"/>
        <v>0</v>
      </c>
      <c r="BD98" s="983">
        <f t="shared" si="3"/>
        <v>0</v>
      </c>
      <c r="BE98" s="983">
        <f t="shared" si="14"/>
        <v>0</v>
      </c>
      <c r="BF98" s="871">
        <f t="shared" si="15"/>
        <v>16</v>
      </c>
    </row>
    <row r="99" spans="1:58" s="8" customFormat="1" ht="20.100000000000001" customHeight="1">
      <c r="A99" s="956"/>
      <c r="B99" s="995">
        <v>5</v>
      </c>
      <c r="C99" s="956">
        <v>181</v>
      </c>
      <c r="D99" s="957"/>
      <c r="E99" s="957"/>
      <c r="F99" s="956"/>
      <c r="G99" s="958" t="s">
        <v>1335</v>
      </c>
      <c r="H99" s="958" t="s">
        <v>1335</v>
      </c>
      <c r="I99" s="958" t="s">
        <v>1335</v>
      </c>
      <c r="J99" s="958" t="s">
        <v>1335</v>
      </c>
      <c r="K99" s="958" t="s">
        <v>1335</v>
      </c>
      <c r="L99" s="958" t="s">
        <v>1335</v>
      </c>
      <c r="M99" s="958" t="s">
        <v>1335</v>
      </c>
      <c r="N99" s="958" t="s">
        <v>1335</v>
      </c>
      <c r="O99" s="958" t="s">
        <v>1335</v>
      </c>
      <c r="P99" s="958" t="s">
        <v>1335</v>
      </c>
      <c r="Q99" s="958" t="s">
        <v>1335</v>
      </c>
      <c r="R99" s="958" t="s">
        <v>1335</v>
      </c>
      <c r="S99" s="958" t="s">
        <v>1335</v>
      </c>
      <c r="T99" s="958" t="s">
        <v>1335</v>
      </c>
      <c r="U99" s="958" t="s">
        <v>1335</v>
      </c>
      <c r="V99" s="966"/>
      <c r="W99" s="966" t="s">
        <v>1335</v>
      </c>
      <c r="X99" s="966"/>
      <c r="Y99" s="970"/>
      <c r="Z99" s="966"/>
      <c r="AA99" s="971"/>
      <c r="AB99" s="972"/>
      <c r="AC99" s="972"/>
      <c r="AD99" s="972"/>
      <c r="AE99" s="972"/>
      <c r="AF99" s="972"/>
      <c r="AG99" s="972"/>
      <c r="AH99" s="972"/>
      <c r="AI99" s="972"/>
      <c r="AJ99" s="972"/>
      <c r="AK99" s="972"/>
      <c r="AL99" s="972"/>
      <c r="AM99" s="972"/>
      <c r="AN99" s="972"/>
      <c r="AO99" s="972"/>
      <c r="AP99" s="972"/>
      <c r="AQ99" s="956">
        <f t="shared" si="10"/>
        <v>15</v>
      </c>
      <c r="AR99" s="956">
        <f t="shared" si="11"/>
        <v>1</v>
      </c>
      <c r="AS99" s="956">
        <f t="shared" si="12"/>
        <v>16</v>
      </c>
      <c r="AT99" s="956">
        <v>12</v>
      </c>
      <c r="AU99" s="981"/>
      <c r="AV99" s="981"/>
      <c r="AW99" s="981"/>
      <c r="AX99" s="993"/>
      <c r="AY99" s="993"/>
      <c r="AZ99" s="833">
        <f t="shared" si="13"/>
        <v>0</v>
      </c>
      <c r="BA99" s="983">
        <f t="shared" si="0"/>
        <v>0</v>
      </c>
      <c r="BB99" s="983">
        <f t="shared" si="1"/>
        <v>0</v>
      </c>
      <c r="BC99" s="983">
        <f t="shared" si="2"/>
        <v>0</v>
      </c>
      <c r="BD99" s="983">
        <f t="shared" si="3"/>
        <v>0</v>
      </c>
      <c r="BE99" s="983">
        <f t="shared" si="14"/>
        <v>0</v>
      </c>
      <c r="BF99" s="871">
        <f t="shared" si="15"/>
        <v>16</v>
      </c>
    </row>
    <row r="100" spans="1:58" s="8" customFormat="1" ht="20.100000000000001" customHeight="1">
      <c r="A100" s="956"/>
      <c r="B100" s="995">
        <v>5</v>
      </c>
      <c r="C100" s="956">
        <v>182</v>
      </c>
      <c r="D100" s="957"/>
      <c r="E100" s="957"/>
      <c r="F100" s="956"/>
      <c r="G100" s="958" t="s">
        <v>1335</v>
      </c>
      <c r="H100" s="958" t="s">
        <v>1335</v>
      </c>
      <c r="I100" s="958" t="s">
        <v>1335</v>
      </c>
      <c r="J100" s="958" t="s">
        <v>1335</v>
      </c>
      <c r="K100" s="958" t="s">
        <v>1335</v>
      </c>
      <c r="L100" s="958" t="s">
        <v>1335</v>
      </c>
      <c r="M100" s="958" t="s">
        <v>1335</v>
      </c>
      <c r="N100" s="958" t="s">
        <v>1335</v>
      </c>
      <c r="O100" s="958" t="s">
        <v>1335</v>
      </c>
      <c r="P100" s="958" t="s">
        <v>1335</v>
      </c>
      <c r="Q100" s="958" t="s">
        <v>1335</v>
      </c>
      <c r="R100" s="958" t="s">
        <v>1335</v>
      </c>
      <c r="S100" s="958" t="s">
        <v>1335</v>
      </c>
      <c r="T100" s="958" t="s">
        <v>1335</v>
      </c>
      <c r="U100" s="958" t="s">
        <v>1335</v>
      </c>
      <c r="V100" s="966"/>
      <c r="W100" s="966" t="s">
        <v>1335</v>
      </c>
      <c r="X100" s="966"/>
      <c r="Y100" s="970"/>
      <c r="Z100" s="966"/>
      <c r="AA100" s="971"/>
      <c r="AB100" s="972"/>
      <c r="AC100" s="972"/>
      <c r="AD100" s="972"/>
      <c r="AE100" s="972"/>
      <c r="AF100" s="972"/>
      <c r="AG100" s="972"/>
      <c r="AH100" s="972"/>
      <c r="AI100" s="972"/>
      <c r="AJ100" s="972"/>
      <c r="AK100" s="972"/>
      <c r="AL100" s="972"/>
      <c r="AM100" s="972"/>
      <c r="AN100" s="972"/>
      <c r="AO100" s="972"/>
      <c r="AP100" s="972"/>
      <c r="AQ100" s="956">
        <f t="shared" si="10"/>
        <v>15</v>
      </c>
      <c r="AR100" s="956">
        <f t="shared" si="11"/>
        <v>1</v>
      </c>
      <c r="AS100" s="956">
        <f t="shared" si="12"/>
        <v>16</v>
      </c>
      <c r="AT100" s="956">
        <v>12</v>
      </c>
      <c r="AU100" s="981"/>
      <c r="AV100" s="981"/>
      <c r="AW100" s="981"/>
      <c r="AX100" s="993"/>
      <c r="AY100" s="993"/>
      <c r="AZ100" s="833">
        <f t="shared" si="13"/>
        <v>0</v>
      </c>
      <c r="BA100" s="983">
        <f t="shared" si="0"/>
        <v>0</v>
      </c>
      <c r="BB100" s="983">
        <f t="shared" si="1"/>
        <v>0</v>
      </c>
      <c r="BC100" s="983">
        <f t="shared" si="2"/>
        <v>0</v>
      </c>
      <c r="BD100" s="983">
        <f t="shared" si="3"/>
        <v>0</v>
      </c>
      <c r="BE100" s="983">
        <f t="shared" si="14"/>
        <v>0</v>
      </c>
      <c r="BF100" s="871">
        <f t="shared" si="15"/>
        <v>16</v>
      </c>
    </row>
    <row r="101" spans="1:58" s="8" customFormat="1" ht="20.100000000000001" customHeight="1">
      <c r="A101" s="956"/>
      <c r="B101" s="995">
        <v>5</v>
      </c>
      <c r="C101" s="956">
        <v>183</v>
      </c>
      <c r="D101" s="957"/>
      <c r="E101" s="957"/>
      <c r="F101" s="956"/>
      <c r="G101" s="958" t="s">
        <v>1335</v>
      </c>
      <c r="H101" s="958" t="s">
        <v>1335</v>
      </c>
      <c r="I101" s="958" t="s">
        <v>1335</v>
      </c>
      <c r="J101" s="958" t="s">
        <v>1335</v>
      </c>
      <c r="K101" s="958" t="s">
        <v>1335</v>
      </c>
      <c r="L101" s="958" t="s">
        <v>1335</v>
      </c>
      <c r="M101" s="958" t="s">
        <v>1335</v>
      </c>
      <c r="N101" s="958" t="s">
        <v>1335</v>
      </c>
      <c r="O101" s="958" t="s">
        <v>1335</v>
      </c>
      <c r="P101" s="958" t="s">
        <v>1335</v>
      </c>
      <c r="Q101" s="958" t="s">
        <v>1335</v>
      </c>
      <c r="R101" s="958" t="s">
        <v>1335</v>
      </c>
      <c r="S101" s="958" t="s">
        <v>1335</v>
      </c>
      <c r="T101" s="958" t="s">
        <v>1335</v>
      </c>
      <c r="U101" s="958" t="s">
        <v>1335</v>
      </c>
      <c r="V101" s="966"/>
      <c r="W101" s="966" t="s">
        <v>1335</v>
      </c>
      <c r="X101" s="966"/>
      <c r="Y101" s="970"/>
      <c r="Z101" s="966"/>
      <c r="AA101" s="971"/>
      <c r="AB101" s="972"/>
      <c r="AC101" s="972"/>
      <c r="AD101" s="972"/>
      <c r="AE101" s="972"/>
      <c r="AF101" s="972"/>
      <c r="AG101" s="972"/>
      <c r="AH101" s="972"/>
      <c r="AI101" s="972"/>
      <c r="AJ101" s="972"/>
      <c r="AK101" s="972"/>
      <c r="AL101" s="972"/>
      <c r="AM101" s="972"/>
      <c r="AN101" s="972"/>
      <c r="AO101" s="972"/>
      <c r="AP101" s="972"/>
      <c r="AQ101" s="956">
        <f t="shared" si="10"/>
        <v>15</v>
      </c>
      <c r="AR101" s="956">
        <f t="shared" si="11"/>
        <v>1</v>
      </c>
      <c r="AS101" s="956">
        <f t="shared" si="12"/>
        <v>16</v>
      </c>
      <c r="AT101" s="982">
        <v>11</v>
      </c>
      <c r="AU101" s="981"/>
      <c r="AV101" s="981"/>
      <c r="AW101" s="981"/>
      <c r="AX101" s="993"/>
      <c r="AY101" s="993"/>
      <c r="AZ101" s="833">
        <f t="shared" si="13"/>
        <v>0</v>
      </c>
      <c r="BA101" s="983">
        <f t="shared" si="0"/>
        <v>0</v>
      </c>
      <c r="BB101" s="983">
        <f t="shared" si="1"/>
        <v>0</v>
      </c>
      <c r="BC101" s="983">
        <f t="shared" si="2"/>
        <v>0</v>
      </c>
      <c r="BD101" s="983">
        <f t="shared" si="3"/>
        <v>0</v>
      </c>
      <c r="BE101" s="983">
        <f t="shared" si="14"/>
        <v>0</v>
      </c>
      <c r="BF101" s="871">
        <f t="shared" si="15"/>
        <v>16</v>
      </c>
    </row>
    <row r="102" spans="1:58" s="8" customFormat="1" ht="20.100000000000001" customHeight="1">
      <c r="A102" s="956"/>
      <c r="B102" s="995">
        <v>5</v>
      </c>
      <c r="C102" s="956">
        <v>184</v>
      </c>
      <c r="D102" s="957"/>
      <c r="E102" s="957"/>
      <c r="F102" s="956"/>
      <c r="G102" s="958" t="s">
        <v>1335</v>
      </c>
      <c r="H102" s="958" t="s">
        <v>1335</v>
      </c>
      <c r="I102" s="958" t="s">
        <v>1335</v>
      </c>
      <c r="J102" s="958">
        <v>0</v>
      </c>
      <c r="K102" s="958" t="s">
        <v>1335</v>
      </c>
      <c r="L102" s="958" t="s">
        <v>1335</v>
      </c>
      <c r="M102" s="958" t="s">
        <v>1335</v>
      </c>
      <c r="N102" s="958" t="s">
        <v>1335</v>
      </c>
      <c r="O102" s="958" t="s">
        <v>1335</v>
      </c>
      <c r="P102" s="958" t="s">
        <v>1335</v>
      </c>
      <c r="Q102" s="958" t="s">
        <v>1335</v>
      </c>
      <c r="R102" s="958" t="s">
        <v>1335</v>
      </c>
      <c r="S102" s="958" t="s">
        <v>1335</v>
      </c>
      <c r="T102" s="958" t="s">
        <v>1335</v>
      </c>
      <c r="U102" s="958" t="s">
        <v>1335</v>
      </c>
      <c r="V102" s="966"/>
      <c r="W102" s="966" t="s">
        <v>1335</v>
      </c>
      <c r="X102" s="966"/>
      <c r="Y102" s="970"/>
      <c r="Z102" s="966"/>
      <c r="AA102" s="971"/>
      <c r="AB102" s="972"/>
      <c r="AC102" s="972"/>
      <c r="AD102" s="972"/>
      <c r="AE102" s="972"/>
      <c r="AF102" s="972"/>
      <c r="AG102" s="972"/>
      <c r="AH102" s="972"/>
      <c r="AI102" s="972"/>
      <c r="AJ102" s="972"/>
      <c r="AK102" s="972"/>
      <c r="AL102" s="972"/>
      <c r="AM102" s="972"/>
      <c r="AN102" s="972"/>
      <c r="AO102" s="972"/>
      <c r="AP102" s="972"/>
      <c r="AQ102" s="956">
        <f t="shared" si="10"/>
        <v>14</v>
      </c>
      <c r="AR102" s="956">
        <f t="shared" si="11"/>
        <v>1</v>
      </c>
      <c r="AS102" s="956">
        <f t="shared" si="12"/>
        <v>15</v>
      </c>
      <c r="AT102" s="956">
        <v>12</v>
      </c>
      <c r="AU102" s="981"/>
      <c r="AV102" s="981"/>
      <c r="AW102" s="981"/>
      <c r="AX102" s="993"/>
      <c r="AY102" s="993"/>
      <c r="AZ102" s="833">
        <f t="shared" si="13"/>
        <v>0</v>
      </c>
      <c r="BA102" s="983">
        <f t="shared" si="0"/>
        <v>0</v>
      </c>
      <c r="BB102" s="983">
        <f t="shared" si="1"/>
        <v>0</v>
      </c>
      <c r="BC102" s="983">
        <f t="shared" si="2"/>
        <v>0</v>
      </c>
      <c r="BD102" s="983">
        <f t="shared" si="3"/>
        <v>0</v>
      </c>
      <c r="BE102" s="983">
        <f t="shared" si="14"/>
        <v>0</v>
      </c>
      <c r="BF102" s="871">
        <f t="shared" si="15"/>
        <v>15</v>
      </c>
    </row>
    <row r="103" spans="1:58" s="8" customFormat="1" ht="20.100000000000001" customHeight="1">
      <c r="A103" s="956"/>
      <c r="B103" s="995">
        <v>5</v>
      </c>
      <c r="C103" s="956">
        <v>185</v>
      </c>
      <c r="D103" s="957"/>
      <c r="E103" s="957"/>
      <c r="F103" s="956"/>
      <c r="G103" s="958" t="s">
        <v>1335</v>
      </c>
      <c r="H103" s="958" t="s">
        <v>1335</v>
      </c>
      <c r="I103" s="958" t="s">
        <v>1335</v>
      </c>
      <c r="J103" s="958">
        <v>0</v>
      </c>
      <c r="K103" s="958" t="s">
        <v>1335</v>
      </c>
      <c r="L103" s="958" t="s">
        <v>1335</v>
      </c>
      <c r="M103" s="958" t="s">
        <v>1335</v>
      </c>
      <c r="N103" s="958" t="s">
        <v>1335</v>
      </c>
      <c r="O103" s="958" t="s">
        <v>1335</v>
      </c>
      <c r="P103" s="958" t="s">
        <v>1335</v>
      </c>
      <c r="Q103" s="958" t="s">
        <v>1335</v>
      </c>
      <c r="R103" s="958" t="s">
        <v>1335</v>
      </c>
      <c r="S103" s="958" t="s">
        <v>1335</v>
      </c>
      <c r="T103" s="958" t="s">
        <v>1335</v>
      </c>
      <c r="U103" s="958" t="s">
        <v>1335</v>
      </c>
      <c r="V103" s="966"/>
      <c r="W103" s="966" t="s">
        <v>1335</v>
      </c>
      <c r="X103" s="966"/>
      <c r="Y103" s="970"/>
      <c r="Z103" s="966"/>
      <c r="AA103" s="971"/>
      <c r="AB103" s="972"/>
      <c r="AC103" s="972"/>
      <c r="AD103" s="972"/>
      <c r="AE103" s="972"/>
      <c r="AF103" s="972"/>
      <c r="AG103" s="972"/>
      <c r="AH103" s="972"/>
      <c r="AI103" s="972"/>
      <c r="AJ103" s="972"/>
      <c r="AK103" s="972"/>
      <c r="AL103" s="972"/>
      <c r="AM103" s="972"/>
      <c r="AN103" s="972"/>
      <c r="AO103" s="972"/>
      <c r="AP103" s="972"/>
      <c r="AQ103" s="956">
        <f t="shared" si="10"/>
        <v>14</v>
      </c>
      <c r="AR103" s="956">
        <f t="shared" si="11"/>
        <v>1</v>
      </c>
      <c r="AS103" s="956">
        <f t="shared" si="12"/>
        <v>15</v>
      </c>
      <c r="AT103" s="956">
        <v>12</v>
      </c>
      <c r="AU103" s="981"/>
      <c r="AV103" s="981"/>
      <c r="AW103" s="981"/>
      <c r="AX103" s="993"/>
      <c r="AY103" s="993"/>
      <c r="AZ103" s="833">
        <f t="shared" si="13"/>
        <v>0</v>
      </c>
      <c r="BA103" s="983">
        <f t="shared" si="0"/>
        <v>0</v>
      </c>
      <c r="BB103" s="983">
        <f t="shared" si="1"/>
        <v>0</v>
      </c>
      <c r="BC103" s="983">
        <f t="shared" si="2"/>
        <v>0</v>
      </c>
      <c r="BD103" s="983">
        <f t="shared" si="3"/>
        <v>0</v>
      </c>
      <c r="BE103" s="983">
        <f t="shared" si="14"/>
        <v>0</v>
      </c>
      <c r="BF103" s="871">
        <f t="shared" si="15"/>
        <v>15</v>
      </c>
    </row>
    <row r="104" spans="1:58" s="8" customFormat="1" ht="20.100000000000001" customHeight="1">
      <c r="A104" s="956"/>
      <c r="B104" s="995">
        <v>5</v>
      </c>
      <c r="C104" s="956">
        <v>186</v>
      </c>
      <c r="D104" s="957"/>
      <c r="E104" s="957"/>
      <c r="F104" s="956"/>
      <c r="G104" s="958" t="s">
        <v>1335</v>
      </c>
      <c r="H104" s="958" t="s">
        <v>1335</v>
      </c>
      <c r="I104" s="958" t="s">
        <v>1335</v>
      </c>
      <c r="J104" s="958">
        <v>0</v>
      </c>
      <c r="K104" s="958" t="s">
        <v>1335</v>
      </c>
      <c r="L104" s="958" t="s">
        <v>1335</v>
      </c>
      <c r="M104" s="958" t="s">
        <v>1335</v>
      </c>
      <c r="N104" s="958" t="s">
        <v>1335</v>
      </c>
      <c r="O104" s="958" t="s">
        <v>1335</v>
      </c>
      <c r="P104" s="958" t="s">
        <v>1335</v>
      </c>
      <c r="Q104" s="958" t="s">
        <v>1335</v>
      </c>
      <c r="R104" s="958" t="s">
        <v>1335</v>
      </c>
      <c r="S104" s="958" t="s">
        <v>1335</v>
      </c>
      <c r="T104" s="958" t="s">
        <v>1335</v>
      </c>
      <c r="U104" s="958" t="s">
        <v>1335</v>
      </c>
      <c r="V104" s="966"/>
      <c r="W104" s="966" t="s">
        <v>1335</v>
      </c>
      <c r="X104" s="966"/>
      <c r="Y104" s="970"/>
      <c r="Z104" s="966"/>
      <c r="AA104" s="971"/>
      <c r="AB104" s="972"/>
      <c r="AC104" s="972"/>
      <c r="AD104" s="972"/>
      <c r="AE104" s="972"/>
      <c r="AF104" s="972"/>
      <c r="AG104" s="972"/>
      <c r="AH104" s="972"/>
      <c r="AI104" s="972"/>
      <c r="AJ104" s="972"/>
      <c r="AK104" s="972"/>
      <c r="AL104" s="972"/>
      <c r="AM104" s="972"/>
      <c r="AN104" s="972"/>
      <c r="AO104" s="972"/>
      <c r="AP104" s="972"/>
      <c r="AQ104" s="956">
        <f t="shared" si="10"/>
        <v>14</v>
      </c>
      <c r="AR104" s="956">
        <f t="shared" si="11"/>
        <v>1</v>
      </c>
      <c r="AS104" s="956">
        <f t="shared" si="12"/>
        <v>15</v>
      </c>
      <c r="AT104" s="982">
        <v>9</v>
      </c>
      <c r="AU104" s="981"/>
      <c r="AV104" s="981"/>
      <c r="AW104" s="981"/>
      <c r="AX104" s="993"/>
      <c r="AY104" s="993"/>
      <c r="AZ104" s="833">
        <f t="shared" si="13"/>
        <v>0</v>
      </c>
      <c r="BA104" s="983">
        <f t="shared" si="0"/>
        <v>0</v>
      </c>
      <c r="BB104" s="983">
        <f t="shared" si="1"/>
        <v>0</v>
      </c>
      <c r="BC104" s="983">
        <f t="shared" si="2"/>
        <v>0</v>
      </c>
      <c r="BD104" s="983">
        <f t="shared" si="3"/>
        <v>0</v>
      </c>
      <c r="BE104" s="983">
        <f t="shared" si="14"/>
        <v>0</v>
      </c>
      <c r="BF104" s="871">
        <f t="shared" si="15"/>
        <v>15</v>
      </c>
    </row>
    <row r="105" spans="1:58" s="8" customFormat="1" ht="20.100000000000001" customHeight="1">
      <c r="A105" s="956"/>
      <c r="B105" s="995">
        <v>5</v>
      </c>
      <c r="C105" s="956">
        <v>187</v>
      </c>
      <c r="D105" s="957"/>
      <c r="E105" s="957"/>
      <c r="F105" s="956"/>
      <c r="G105" s="958" t="s">
        <v>1335</v>
      </c>
      <c r="H105" s="958" t="s">
        <v>1335</v>
      </c>
      <c r="I105" s="958" t="s">
        <v>1335</v>
      </c>
      <c r="J105" s="958">
        <v>0</v>
      </c>
      <c r="K105" s="958" t="s">
        <v>1335</v>
      </c>
      <c r="L105" s="958" t="s">
        <v>1335</v>
      </c>
      <c r="M105" s="958" t="s">
        <v>1335</v>
      </c>
      <c r="N105" s="958" t="s">
        <v>1335</v>
      </c>
      <c r="O105" s="958" t="s">
        <v>1335</v>
      </c>
      <c r="P105" s="958" t="s">
        <v>1335</v>
      </c>
      <c r="Q105" s="958" t="s">
        <v>1335</v>
      </c>
      <c r="R105" s="958" t="s">
        <v>1335</v>
      </c>
      <c r="S105" s="958" t="s">
        <v>1335</v>
      </c>
      <c r="T105" s="958" t="s">
        <v>1335</v>
      </c>
      <c r="U105" s="958" t="s">
        <v>1335</v>
      </c>
      <c r="V105" s="966"/>
      <c r="W105" s="966" t="s">
        <v>1335</v>
      </c>
      <c r="X105" s="966"/>
      <c r="Y105" s="970"/>
      <c r="Z105" s="966"/>
      <c r="AA105" s="971"/>
      <c r="AB105" s="972"/>
      <c r="AC105" s="972"/>
      <c r="AD105" s="972"/>
      <c r="AE105" s="972"/>
      <c r="AF105" s="972"/>
      <c r="AG105" s="972"/>
      <c r="AH105" s="972"/>
      <c r="AI105" s="972"/>
      <c r="AJ105" s="972"/>
      <c r="AK105" s="972"/>
      <c r="AL105" s="972"/>
      <c r="AM105" s="972"/>
      <c r="AN105" s="972"/>
      <c r="AO105" s="972"/>
      <c r="AP105" s="972"/>
      <c r="AQ105" s="956">
        <f t="shared" si="10"/>
        <v>14</v>
      </c>
      <c r="AR105" s="956">
        <f t="shared" si="11"/>
        <v>1</v>
      </c>
      <c r="AS105" s="956">
        <f t="shared" si="12"/>
        <v>15</v>
      </c>
      <c r="AT105" s="982">
        <v>9</v>
      </c>
      <c r="AU105" s="981"/>
      <c r="AV105" s="981"/>
      <c r="AW105" s="981"/>
      <c r="AX105" s="993"/>
      <c r="AY105" s="993"/>
      <c r="AZ105" s="833">
        <f t="shared" si="13"/>
        <v>0</v>
      </c>
      <c r="BA105" s="983">
        <f t="shared" si="0"/>
        <v>0</v>
      </c>
      <c r="BB105" s="983">
        <f t="shared" si="1"/>
        <v>0</v>
      </c>
      <c r="BC105" s="983">
        <f t="shared" si="2"/>
        <v>0</v>
      </c>
      <c r="BD105" s="983">
        <f t="shared" si="3"/>
        <v>0</v>
      </c>
      <c r="BE105" s="983">
        <f t="shared" si="14"/>
        <v>0</v>
      </c>
      <c r="BF105" s="871">
        <f t="shared" si="15"/>
        <v>15</v>
      </c>
    </row>
    <row r="106" spans="1:58" s="8" customFormat="1" ht="20.100000000000001" customHeight="1">
      <c r="A106" s="956"/>
      <c r="B106" s="995">
        <v>5</v>
      </c>
      <c r="C106" s="956">
        <v>188</v>
      </c>
      <c r="D106" s="957"/>
      <c r="E106" s="957"/>
      <c r="F106" s="956"/>
      <c r="G106" s="958" t="s">
        <v>1335</v>
      </c>
      <c r="H106" s="958" t="s">
        <v>1335</v>
      </c>
      <c r="I106" s="958" t="s">
        <v>1335</v>
      </c>
      <c r="J106" s="958" t="s">
        <v>1335</v>
      </c>
      <c r="K106" s="958" t="s">
        <v>1335</v>
      </c>
      <c r="L106" s="958">
        <v>0</v>
      </c>
      <c r="M106" s="958" t="s">
        <v>1335</v>
      </c>
      <c r="N106" s="958" t="s">
        <v>1335</v>
      </c>
      <c r="O106" s="958" t="s">
        <v>1335</v>
      </c>
      <c r="P106" s="958" t="s">
        <v>1335</v>
      </c>
      <c r="Q106" s="958" t="s">
        <v>1335</v>
      </c>
      <c r="R106" s="958" t="s">
        <v>1335</v>
      </c>
      <c r="S106" s="958" t="s">
        <v>1335</v>
      </c>
      <c r="T106" s="958" t="s">
        <v>1335</v>
      </c>
      <c r="U106" s="958" t="s">
        <v>1335</v>
      </c>
      <c r="V106" s="966"/>
      <c r="W106" s="966" t="s">
        <v>1335</v>
      </c>
      <c r="X106" s="966"/>
      <c r="Y106" s="970"/>
      <c r="Z106" s="966"/>
      <c r="AA106" s="971"/>
      <c r="AB106" s="972"/>
      <c r="AC106" s="972"/>
      <c r="AD106" s="972"/>
      <c r="AE106" s="972"/>
      <c r="AF106" s="972"/>
      <c r="AG106" s="972"/>
      <c r="AH106" s="972"/>
      <c r="AI106" s="972"/>
      <c r="AJ106" s="972"/>
      <c r="AK106" s="972"/>
      <c r="AL106" s="972"/>
      <c r="AM106" s="972"/>
      <c r="AN106" s="972"/>
      <c r="AO106" s="972"/>
      <c r="AP106" s="972"/>
      <c r="AQ106" s="956">
        <f t="shared" si="10"/>
        <v>14</v>
      </c>
      <c r="AR106" s="956">
        <f t="shared" si="11"/>
        <v>1</v>
      </c>
      <c r="AS106" s="956">
        <f t="shared" si="12"/>
        <v>15</v>
      </c>
      <c r="AT106" s="982">
        <v>11</v>
      </c>
      <c r="AU106" s="981"/>
      <c r="AV106" s="981"/>
      <c r="AW106" s="981"/>
      <c r="AX106" s="993"/>
      <c r="AY106" s="993"/>
      <c r="AZ106" s="833">
        <f t="shared" si="13"/>
        <v>0</v>
      </c>
      <c r="BA106" s="983">
        <f t="shared" si="0"/>
        <v>0</v>
      </c>
      <c r="BB106" s="983">
        <f t="shared" si="1"/>
        <v>0</v>
      </c>
      <c r="BC106" s="983">
        <f t="shared" si="2"/>
        <v>0</v>
      </c>
      <c r="BD106" s="983">
        <f t="shared" si="3"/>
        <v>0</v>
      </c>
      <c r="BE106" s="983">
        <f t="shared" si="14"/>
        <v>0</v>
      </c>
      <c r="BF106" s="871">
        <f t="shared" si="15"/>
        <v>15</v>
      </c>
    </row>
    <row r="107" spans="1:58" s="8" customFormat="1" ht="20.100000000000001" customHeight="1">
      <c r="A107" s="956"/>
      <c r="B107" s="995">
        <v>5</v>
      </c>
      <c r="C107" s="956">
        <v>189</v>
      </c>
      <c r="D107" s="957"/>
      <c r="E107" s="957"/>
      <c r="F107" s="956"/>
      <c r="G107" s="958" t="s">
        <v>1335</v>
      </c>
      <c r="H107" s="958" t="s">
        <v>1335</v>
      </c>
      <c r="I107" s="958" t="s">
        <v>1335</v>
      </c>
      <c r="J107" s="958">
        <v>0</v>
      </c>
      <c r="K107" s="958" t="s">
        <v>1335</v>
      </c>
      <c r="L107" s="958" t="s">
        <v>1335</v>
      </c>
      <c r="M107" s="958" t="s">
        <v>1335</v>
      </c>
      <c r="N107" s="958" t="s">
        <v>1335</v>
      </c>
      <c r="O107" s="958" t="s">
        <v>1335</v>
      </c>
      <c r="P107" s="958" t="s">
        <v>1335</v>
      </c>
      <c r="Q107" s="958" t="s">
        <v>1335</v>
      </c>
      <c r="R107" s="958" t="s">
        <v>1335</v>
      </c>
      <c r="S107" s="958" t="s">
        <v>1335</v>
      </c>
      <c r="T107" s="958" t="s">
        <v>1335</v>
      </c>
      <c r="U107" s="958" t="s">
        <v>1335</v>
      </c>
      <c r="V107" s="966"/>
      <c r="W107" s="966" t="s">
        <v>1335</v>
      </c>
      <c r="X107" s="966"/>
      <c r="Y107" s="970"/>
      <c r="Z107" s="966"/>
      <c r="AA107" s="971"/>
      <c r="AB107" s="972"/>
      <c r="AC107" s="972"/>
      <c r="AD107" s="972"/>
      <c r="AE107" s="972"/>
      <c r="AF107" s="972"/>
      <c r="AG107" s="972"/>
      <c r="AH107" s="972"/>
      <c r="AI107" s="972"/>
      <c r="AJ107" s="972"/>
      <c r="AK107" s="972"/>
      <c r="AL107" s="972"/>
      <c r="AM107" s="972"/>
      <c r="AN107" s="972"/>
      <c r="AO107" s="972"/>
      <c r="AP107" s="972"/>
      <c r="AQ107" s="956">
        <f t="shared" si="10"/>
        <v>14</v>
      </c>
      <c r="AR107" s="956">
        <f t="shared" si="11"/>
        <v>1</v>
      </c>
      <c r="AS107" s="956">
        <f t="shared" si="12"/>
        <v>15</v>
      </c>
      <c r="AT107" s="956">
        <v>12</v>
      </c>
      <c r="AU107" s="981"/>
      <c r="AV107" s="981"/>
      <c r="AW107" s="981"/>
      <c r="AX107" s="993"/>
      <c r="AY107" s="993"/>
      <c r="AZ107" s="833">
        <f t="shared" si="13"/>
        <v>0</v>
      </c>
      <c r="BA107" s="983">
        <f t="shared" si="0"/>
        <v>0</v>
      </c>
      <c r="BB107" s="983">
        <f t="shared" si="1"/>
        <v>0</v>
      </c>
      <c r="BC107" s="983">
        <f t="shared" si="2"/>
        <v>0</v>
      </c>
      <c r="BD107" s="983">
        <f t="shared" si="3"/>
        <v>0</v>
      </c>
      <c r="BE107" s="983">
        <f t="shared" si="14"/>
        <v>0</v>
      </c>
      <c r="BF107" s="871">
        <f t="shared" si="15"/>
        <v>15</v>
      </c>
    </row>
    <row r="108" spans="1:58" s="8" customFormat="1" ht="20.100000000000001" customHeight="1">
      <c r="A108" s="956"/>
      <c r="B108" s="995">
        <v>5</v>
      </c>
      <c r="C108" s="956">
        <v>190</v>
      </c>
      <c r="D108" s="957"/>
      <c r="E108" s="957"/>
      <c r="F108" s="956"/>
      <c r="G108" s="958" t="s">
        <v>1335</v>
      </c>
      <c r="H108" s="958" t="s">
        <v>1335</v>
      </c>
      <c r="I108" s="958" t="s">
        <v>1335</v>
      </c>
      <c r="J108" s="958">
        <v>0</v>
      </c>
      <c r="K108" s="958" t="s">
        <v>1335</v>
      </c>
      <c r="L108" s="958" t="s">
        <v>1335</v>
      </c>
      <c r="M108" s="958" t="s">
        <v>1335</v>
      </c>
      <c r="N108" s="958" t="s">
        <v>1335</v>
      </c>
      <c r="O108" s="958" t="s">
        <v>1335</v>
      </c>
      <c r="P108" s="958" t="s">
        <v>1335</v>
      </c>
      <c r="Q108" s="958" t="s">
        <v>1335</v>
      </c>
      <c r="R108" s="958" t="s">
        <v>1335</v>
      </c>
      <c r="S108" s="958" t="s">
        <v>1335</v>
      </c>
      <c r="T108" s="958" t="s">
        <v>1335</v>
      </c>
      <c r="U108" s="958" t="s">
        <v>1335</v>
      </c>
      <c r="V108" s="966"/>
      <c r="W108" s="966" t="s">
        <v>1335</v>
      </c>
      <c r="X108" s="966"/>
      <c r="Y108" s="970"/>
      <c r="Z108" s="966"/>
      <c r="AA108" s="971"/>
      <c r="AB108" s="972"/>
      <c r="AC108" s="972"/>
      <c r="AD108" s="972"/>
      <c r="AE108" s="972"/>
      <c r="AF108" s="972"/>
      <c r="AG108" s="972"/>
      <c r="AH108" s="972"/>
      <c r="AI108" s="972"/>
      <c r="AJ108" s="972"/>
      <c r="AK108" s="972"/>
      <c r="AL108" s="972"/>
      <c r="AM108" s="972"/>
      <c r="AN108" s="972"/>
      <c r="AO108" s="972"/>
      <c r="AP108" s="972"/>
      <c r="AQ108" s="956">
        <f t="shared" si="10"/>
        <v>14</v>
      </c>
      <c r="AR108" s="956">
        <f t="shared" si="11"/>
        <v>1</v>
      </c>
      <c r="AS108" s="956">
        <f t="shared" si="12"/>
        <v>15</v>
      </c>
      <c r="AT108" s="956">
        <v>12</v>
      </c>
      <c r="AU108" s="981"/>
      <c r="AV108" s="981"/>
      <c r="AW108" s="981"/>
      <c r="AX108" s="993"/>
      <c r="AY108" s="993"/>
      <c r="AZ108" s="833">
        <f t="shared" si="13"/>
        <v>0</v>
      </c>
      <c r="BA108" s="983">
        <f t="shared" si="0"/>
        <v>0</v>
      </c>
      <c r="BB108" s="983">
        <f t="shared" si="1"/>
        <v>0</v>
      </c>
      <c r="BC108" s="983">
        <f t="shared" si="2"/>
        <v>0</v>
      </c>
      <c r="BD108" s="983">
        <f t="shared" si="3"/>
        <v>0</v>
      </c>
      <c r="BE108" s="983">
        <f t="shared" si="14"/>
        <v>0</v>
      </c>
      <c r="BF108" s="871">
        <f t="shared" si="15"/>
        <v>15</v>
      </c>
    </row>
    <row r="109" spans="1:58" s="8" customFormat="1" ht="20.100000000000001" customHeight="1">
      <c r="A109" s="956"/>
      <c r="B109" s="995">
        <v>5</v>
      </c>
      <c r="C109" s="956">
        <v>191</v>
      </c>
      <c r="D109" s="957"/>
      <c r="E109" s="957"/>
      <c r="F109" s="956"/>
      <c r="G109" s="958" t="s">
        <v>1335</v>
      </c>
      <c r="H109" s="958" t="s">
        <v>1335</v>
      </c>
      <c r="I109" s="958" t="s">
        <v>1335</v>
      </c>
      <c r="J109" s="958">
        <v>0</v>
      </c>
      <c r="K109" s="958" t="s">
        <v>1335</v>
      </c>
      <c r="L109" s="958" t="s">
        <v>1335</v>
      </c>
      <c r="M109" s="958" t="s">
        <v>1335</v>
      </c>
      <c r="N109" s="958" t="s">
        <v>1335</v>
      </c>
      <c r="O109" s="958" t="s">
        <v>1335</v>
      </c>
      <c r="P109" s="958" t="s">
        <v>1335</v>
      </c>
      <c r="Q109" s="958" t="s">
        <v>1335</v>
      </c>
      <c r="R109" s="958" t="s">
        <v>1335</v>
      </c>
      <c r="S109" s="958" t="s">
        <v>1335</v>
      </c>
      <c r="T109" s="958" t="s">
        <v>1335</v>
      </c>
      <c r="U109" s="958" t="s">
        <v>1335</v>
      </c>
      <c r="V109" s="966"/>
      <c r="W109" s="966" t="s">
        <v>1335</v>
      </c>
      <c r="X109" s="966"/>
      <c r="Y109" s="970"/>
      <c r="Z109" s="966"/>
      <c r="AA109" s="971"/>
      <c r="AB109" s="972"/>
      <c r="AC109" s="972"/>
      <c r="AD109" s="972"/>
      <c r="AE109" s="972"/>
      <c r="AF109" s="972"/>
      <c r="AG109" s="972"/>
      <c r="AH109" s="972"/>
      <c r="AI109" s="972"/>
      <c r="AJ109" s="972"/>
      <c r="AK109" s="972"/>
      <c r="AL109" s="972"/>
      <c r="AM109" s="972"/>
      <c r="AN109" s="972"/>
      <c r="AO109" s="972"/>
      <c r="AP109" s="972"/>
      <c r="AQ109" s="956">
        <f t="shared" si="10"/>
        <v>14</v>
      </c>
      <c r="AR109" s="956">
        <f t="shared" si="11"/>
        <v>1</v>
      </c>
      <c r="AS109" s="956">
        <f t="shared" si="12"/>
        <v>15</v>
      </c>
      <c r="AT109" s="956">
        <v>12</v>
      </c>
      <c r="AU109" s="981"/>
      <c r="AV109" s="981"/>
      <c r="AW109" s="981"/>
      <c r="AX109" s="993"/>
      <c r="AY109" s="993"/>
      <c r="AZ109" s="833">
        <f t="shared" si="13"/>
        <v>0</v>
      </c>
      <c r="BA109" s="983">
        <f t="shared" si="0"/>
        <v>0</v>
      </c>
      <c r="BB109" s="983">
        <f t="shared" si="1"/>
        <v>0</v>
      </c>
      <c r="BC109" s="983">
        <f t="shared" si="2"/>
        <v>0</v>
      </c>
      <c r="BD109" s="983">
        <f t="shared" si="3"/>
        <v>0</v>
      </c>
      <c r="BE109" s="983">
        <f t="shared" si="14"/>
        <v>0</v>
      </c>
      <c r="BF109" s="871">
        <f t="shared" si="15"/>
        <v>15</v>
      </c>
    </row>
    <row r="110" spans="1:58" s="8" customFormat="1" ht="20.100000000000001" customHeight="1">
      <c r="A110" s="956"/>
      <c r="B110" s="995">
        <v>5</v>
      </c>
      <c r="C110" s="956">
        <v>192</v>
      </c>
      <c r="D110" s="957"/>
      <c r="E110" s="957"/>
      <c r="F110" s="956"/>
      <c r="G110" s="958">
        <v>0</v>
      </c>
      <c r="H110" s="958" t="s">
        <v>1335</v>
      </c>
      <c r="I110" s="958" t="s">
        <v>1335</v>
      </c>
      <c r="J110" s="958" t="s">
        <v>1335</v>
      </c>
      <c r="K110" s="958" t="s">
        <v>1335</v>
      </c>
      <c r="L110" s="958" t="s">
        <v>1335</v>
      </c>
      <c r="M110" s="958" t="s">
        <v>1335</v>
      </c>
      <c r="N110" s="958" t="s">
        <v>1335</v>
      </c>
      <c r="O110" s="958" t="s">
        <v>1335</v>
      </c>
      <c r="P110" s="958" t="s">
        <v>1335</v>
      </c>
      <c r="Q110" s="958" t="s">
        <v>1335</v>
      </c>
      <c r="R110" s="958" t="s">
        <v>1335</v>
      </c>
      <c r="S110" s="958" t="s">
        <v>1335</v>
      </c>
      <c r="T110" s="958" t="s">
        <v>1335</v>
      </c>
      <c r="U110" s="958" t="s">
        <v>1335</v>
      </c>
      <c r="V110" s="966"/>
      <c r="W110" s="966" t="s">
        <v>1335</v>
      </c>
      <c r="X110" s="966"/>
      <c r="Y110" s="970"/>
      <c r="Z110" s="966"/>
      <c r="AA110" s="971"/>
      <c r="AB110" s="972"/>
      <c r="AC110" s="972"/>
      <c r="AD110" s="972"/>
      <c r="AE110" s="972"/>
      <c r="AF110" s="972"/>
      <c r="AG110" s="972"/>
      <c r="AH110" s="972"/>
      <c r="AI110" s="972"/>
      <c r="AJ110" s="972"/>
      <c r="AK110" s="972"/>
      <c r="AL110" s="972"/>
      <c r="AM110" s="972"/>
      <c r="AN110" s="972"/>
      <c r="AO110" s="972"/>
      <c r="AP110" s="972"/>
      <c r="AQ110" s="956">
        <f t="shared" si="10"/>
        <v>14</v>
      </c>
      <c r="AR110" s="956">
        <f t="shared" si="11"/>
        <v>1</v>
      </c>
      <c r="AS110" s="956">
        <f t="shared" si="12"/>
        <v>15</v>
      </c>
      <c r="AT110" s="956">
        <v>12</v>
      </c>
      <c r="AU110" s="981"/>
      <c r="AV110" s="981"/>
      <c r="AW110" s="981"/>
      <c r="AX110" s="993"/>
      <c r="AY110" s="993"/>
      <c r="AZ110" s="833">
        <f t="shared" si="13"/>
        <v>0</v>
      </c>
      <c r="BA110" s="983">
        <f t="shared" si="0"/>
        <v>0</v>
      </c>
      <c r="BB110" s="983">
        <f t="shared" si="1"/>
        <v>0</v>
      </c>
      <c r="BC110" s="983">
        <f t="shared" si="2"/>
        <v>0</v>
      </c>
      <c r="BD110" s="983">
        <f t="shared" si="3"/>
        <v>0</v>
      </c>
      <c r="BE110" s="983">
        <f t="shared" si="14"/>
        <v>0</v>
      </c>
      <c r="BF110" s="871">
        <f t="shared" si="15"/>
        <v>15</v>
      </c>
    </row>
    <row r="111" spans="1:58" s="8" customFormat="1" ht="20.100000000000001" customHeight="1">
      <c r="A111" s="956"/>
      <c r="B111" s="995">
        <v>5</v>
      </c>
      <c r="C111" s="956">
        <v>193</v>
      </c>
      <c r="D111" s="957"/>
      <c r="E111" s="957"/>
      <c r="F111" s="956"/>
      <c r="G111" s="958">
        <v>0</v>
      </c>
      <c r="H111" s="958" t="s">
        <v>1335</v>
      </c>
      <c r="I111" s="958" t="s">
        <v>1335</v>
      </c>
      <c r="J111" s="958" t="s">
        <v>1335</v>
      </c>
      <c r="K111" s="958" t="s">
        <v>1335</v>
      </c>
      <c r="L111" s="958" t="s">
        <v>1335</v>
      </c>
      <c r="M111" s="958" t="s">
        <v>1335</v>
      </c>
      <c r="N111" s="958" t="s">
        <v>1335</v>
      </c>
      <c r="O111" s="958" t="s">
        <v>1335</v>
      </c>
      <c r="P111" s="958" t="s">
        <v>1335</v>
      </c>
      <c r="Q111" s="958" t="s">
        <v>1335</v>
      </c>
      <c r="R111" s="958" t="s">
        <v>1335</v>
      </c>
      <c r="S111" s="958" t="s">
        <v>1335</v>
      </c>
      <c r="T111" s="958" t="s">
        <v>1335</v>
      </c>
      <c r="U111" s="958" t="s">
        <v>1335</v>
      </c>
      <c r="V111" s="966"/>
      <c r="W111" s="966" t="s">
        <v>1335</v>
      </c>
      <c r="X111" s="966"/>
      <c r="Y111" s="970"/>
      <c r="Z111" s="966"/>
      <c r="AA111" s="971"/>
      <c r="AB111" s="972"/>
      <c r="AC111" s="972"/>
      <c r="AD111" s="972"/>
      <c r="AE111" s="972"/>
      <c r="AF111" s="972"/>
      <c r="AG111" s="972"/>
      <c r="AH111" s="972"/>
      <c r="AI111" s="972"/>
      <c r="AJ111" s="972"/>
      <c r="AK111" s="972"/>
      <c r="AL111" s="972"/>
      <c r="AM111" s="972"/>
      <c r="AN111" s="972"/>
      <c r="AO111" s="972"/>
      <c r="AP111" s="972"/>
      <c r="AQ111" s="956">
        <f t="shared" si="10"/>
        <v>14</v>
      </c>
      <c r="AR111" s="956">
        <f t="shared" si="11"/>
        <v>1</v>
      </c>
      <c r="AS111" s="956">
        <f t="shared" si="12"/>
        <v>15</v>
      </c>
      <c r="AT111" s="956">
        <v>12</v>
      </c>
      <c r="AU111" s="981"/>
      <c r="AV111" s="981"/>
      <c r="AW111" s="981"/>
      <c r="AX111" s="993"/>
      <c r="AY111" s="993"/>
      <c r="AZ111" s="833">
        <f t="shared" si="13"/>
        <v>0</v>
      </c>
      <c r="BA111" s="983">
        <f t="shared" si="0"/>
        <v>0</v>
      </c>
      <c r="BB111" s="983">
        <f t="shared" si="1"/>
        <v>0</v>
      </c>
      <c r="BC111" s="983">
        <f t="shared" si="2"/>
        <v>0</v>
      </c>
      <c r="BD111" s="983">
        <f t="shared" si="3"/>
        <v>0</v>
      </c>
      <c r="BE111" s="983">
        <f t="shared" si="14"/>
        <v>0</v>
      </c>
      <c r="BF111" s="871">
        <f t="shared" si="15"/>
        <v>15</v>
      </c>
    </row>
    <row r="112" spans="1:58" s="8" customFormat="1" ht="20.100000000000001" customHeight="1">
      <c r="A112" s="956"/>
      <c r="B112" s="995">
        <v>5</v>
      </c>
      <c r="C112" s="956">
        <v>194</v>
      </c>
      <c r="D112" s="957"/>
      <c r="E112" s="957"/>
      <c r="F112" s="956"/>
      <c r="G112" s="958" t="s">
        <v>1335</v>
      </c>
      <c r="H112" s="958" t="s">
        <v>1335</v>
      </c>
      <c r="I112" s="958" t="s">
        <v>1335</v>
      </c>
      <c r="J112" s="958" t="s">
        <v>1335</v>
      </c>
      <c r="K112" s="958" t="s">
        <v>1335</v>
      </c>
      <c r="L112" s="958" t="s">
        <v>1335</v>
      </c>
      <c r="M112" s="958" t="s">
        <v>1335</v>
      </c>
      <c r="N112" s="958" t="s">
        <v>1335</v>
      </c>
      <c r="O112" s="958" t="s">
        <v>1335</v>
      </c>
      <c r="P112" s="958" t="s">
        <v>1335</v>
      </c>
      <c r="Q112" s="958" t="s">
        <v>1335</v>
      </c>
      <c r="R112" s="958" t="s">
        <v>1335</v>
      </c>
      <c r="S112" s="958" t="s">
        <v>1335</v>
      </c>
      <c r="T112" s="958" t="s">
        <v>1335</v>
      </c>
      <c r="U112" s="958" t="s">
        <v>1335</v>
      </c>
      <c r="V112" s="966"/>
      <c r="W112" s="966" t="s">
        <v>1335</v>
      </c>
      <c r="X112" s="966"/>
      <c r="Y112" s="970"/>
      <c r="Z112" s="966"/>
      <c r="AA112" s="971"/>
      <c r="AB112" s="972"/>
      <c r="AC112" s="972"/>
      <c r="AD112" s="972"/>
      <c r="AE112" s="972"/>
      <c r="AF112" s="972"/>
      <c r="AG112" s="972"/>
      <c r="AH112" s="972"/>
      <c r="AI112" s="972"/>
      <c r="AJ112" s="972"/>
      <c r="AK112" s="972"/>
      <c r="AL112" s="972"/>
      <c r="AM112" s="972"/>
      <c r="AN112" s="972"/>
      <c r="AO112" s="972"/>
      <c r="AP112" s="972"/>
      <c r="AQ112" s="956">
        <f t="shared" si="10"/>
        <v>15</v>
      </c>
      <c r="AR112" s="956">
        <f t="shared" si="11"/>
        <v>1</v>
      </c>
      <c r="AS112" s="956">
        <f t="shared" si="12"/>
        <v>16</v>
      </c>
      <c r="AT112" s="956">
        <v>12</v>
      </c>
      <c r="AU112" s="981"/>
      <c r="AV112" s="981"/>
      <c r="AW112" s="981"/>
      <c r="AX112" s="993"/>
      <c r="AY112" s="993"/>
      <c r="AZ112" s="833">
        <f t="shared" si="13"/>
        <v>0</v>
      </c>
      <c r="BA112" s="983">
        <f t="shared" si="0"/>
        <v>0</v>
      </c>
      <c r="BB112" s="983">
        <f t="shared" si="1"/>
        <v>0</v>
      </c>
      <c r="BC112" s="983">
        <f t="shared" si="2"/>
        <v>0</v>
      </c>
      <c r="BD112" s="983">
        <f t="shared" si="3"/>
        <v>0</v>
      </c>
      <c r="BE112" s="983">
        <f t="shared" si="14"/>
        <v>0</v>
      </c>
      <c r="BF112" s="871">
        <f t="shared" si="15"/>
        <v>16</v>
      </c>
    </row>
    <row r="113" spans="1:58" s="8" customFormat="1" ht="20.100000000000001" customHeight="1">
      <c r="A113" s="956"/>
      <c r="B113" s="995">
        <v>5</v>
      </c>
      <c r="C113" s="956">
        <v>195</v>
      </c>
      <c r="D113" s="957"/>
      <c r="E113" s="957"/>
      <c r="F113" s="956"/>
      <c r="G113" s="958" t="s">
        <v>1335</v>
      </c>
      <c r="H113" s="958" t="s">
        <v>1335</v>
      </c>
      <c r="I113" s="958" t="s">
        <v>1335</v>
      </c>
      <c r="J113" s="958" t="s">
        <v>1335</v>
      </c>
      <c r="K113" s="958" t="s">
        <v>1335</v>
      </c>
      <c r="L113" s="958" t="s">
        <v>1335</v>
      </c>
      <c r="M113" s="958" t="s">
        <v>1335</v>
      </c>
      <c r="N113" s="958" t="s">
        <v>1335</v>
      </c>
      <c r="O113" s="958" t="s">
        <v>1335</v>
      </c>
      <c r="P113" s="958" t="s">
        <v>1335</v>
      </c>
      <c r="Q113" s="958" t="s">
        <v>1335</v>
      </c>
      <c r="R113" s="958" t="s">
        <v>1335</v>
      </c>
      <c r="S113" s="958" t="s">
        <v>1335</v>
      </c>
      <c r="T113" s="958" t="s">
        <v>1335</v>
      </c>
      <c r="U113" s="958" t="s">
        <v>1335</v>
      </c>
      <c r="V113" s="966"/>
      <c r="W113" s="966" t="s">
        <v>1335</v>
      </c>
      <c r="X113" s="966"/>
      <c r="Y113" s="970"/>
      <c r="Z113" s="966"/>
      <c r="AA113" s="971"/>
      <c r="AB113" s="972"/>
      <c r="AC113" s="972"/>
      <c r="AD113" s="972"/>
      <c r="AE113" s="972"/>
      <c r="AF113" s="972"/>
      <c r="AG113" s="972"/>
      <c r="AH113" s="972"/>
      <c r="AI113" s="972"/>
      <c r="AJ113" s="972"/>
      <c r="AK113" s="972"/>
      <c r="AL113" s="972"/>
      <c r="AM113" s="972"/>
      <c r="AN113" s="972"/>
      <c r="AO113" s="972"/>
      <c r="AP113" s="972"/>
      <c r="AQ113" s="956">
        <f t="shared" si="10"/>
        <v>15</v>
      </c>
      <c r="AR113" s="956">
        <f t="shared" si="11"/>
        <v>1</v>
      </c>
      <c r="AS113" s="956">
        <f t="shared" si="12"/>
        <v>16</v>
      </c>
      <c r="AT113" s="956">
        <v>12</v>
      </c>
      <c r="AU113" s="981"/>
      <c r="AV113" s="981"/>
      <c r="AW113" s="981"/>
      <c r="AX113" s="993"/>
      <c r="AY113" s="993"/>
      <c r="AZ113" s="833">
        <f t="shared" si="13"/>
        <v>0</v>
      </c>
      <c r="BA113" s="983">
        <f t="shared" si="0"/>
        <v>0</v>
      </c>
      <c r="BB113" s="983">
        <f t="shared" si="1"/>
        <v>0</v>
      </c>
      <c r="BC113" s="983">
        <f t="shared" si="2"/>
        <v>0</v>
      </c>
      <c r="BD113" s="983">
        <f t="shared" si="3"/>
        <v>0</v>
      </c>
      <c r="BE113" s="983">
        <f t="shared" si="14"/>
        <v>0</v>
      </c>
      <c r="BF113" s="871">
        <f t="shared" si="15"/>
        <v>16</v>
      </c>
    </row>
    <row r="114" spans="1:58" s="8" customFormat="1" ht="20.100000000000001" customHeight="1">
      <c r="A114" s="956"/>
      <c r="B114" s="995">
        <v>5</v>
      </c>
      <c r="C114" s="956">
        <v>196</v>
      </c>
      <c r="D114" s="957"/>
      <c r="E114" s="957"/>
      <c r="F114" s="956"/>
      <c r="G114" s="958">
        <v>0</v>
      </c>
      <c r="H114" s="958" t="s">
        <v>1335</v>
      </c>
      <c r="I114" s="958" t="s">
        <v>1335</v>
      </c>
      <c r="J114" s="958" t="s">
        <v>1335</v>
      </c>
      <c r="K114" s="958" t="s">
        <v>1335</v>
      </c>
      <c r="L114" s="958" t="s">
        <v>1335</v>
      </c>
      <c r="M114" s="958" t="s">
        <v>1335</v>
      </c>
      <c r="N114" s="958" t="s">
        <v>1335</v>
      </c>
      <c r="O114" s="958" t="s">
        <v>1335</v>
      </c>
      <c r="P114" s="958" t="s">
        <v>1335</v>
      </c>
      <c r="Q114" s="958" t="s">
        <v>1335</v>
      </c>
      <c r="R114" s="958" t="s">
        <v>1335</v>
      </c>
      <c r="S114" s="958" t="s">
        <v>1335</v>
      </c>
      <c r="T114" s="958" t="s">
        <v>1335</v>
      </c>
      <c r="U114" s="958" t="s">
        <v>1335</v>
      </c>
      <c r="V114" s="966"/>
      <c r="W114" s="966" t="s">
        <v>1335</v>
      </c>
      <c r="X114" s="966"/>
      <c r="Y114" s="970"/>
      <c r="Z114" s="966"/>
      <c r="AA114" s="971"/>
      <c r="AB114" s="972"/>
      <c r="AC114" s="972"/>
      <c r="AD114" s="972"/>
      <c r="AE114" s="972"/>
      <c r="AF114" s="972"/>
      <c r="AG114" s="972"/>
      <c r="AH114" s="972"/>
      <c r="AI114" s="972"/>
      <c r="AJ114" s="972"/>
      <c r="AK114" s="972"/>
      <c r="AL114" s="972"/>
      <c r="AM114" s="972"/>
      <c r="AN114" s="972"/>
      <c r="AO114" s="972"/>
      <c r="AP114" s="972"/>
      <c r="AQ114" s="956">
        <f t="shared" si="10"/>
        <v>14</v>
      </c>
      <c r="AR114" s="956">
        <f t="shared" si="11"/>
        <v>1</v>
      </c>
      <c r="AS114" s="956">
        <f t="shared" si="12"/>
        <v>15</v>
      </c>
      <c r="AT114" s="956">
        <v>12</v>
      </c>
      <c r="AU114" s="981"/>
      <c r="AV114" s="981"/>
      <c r="AW114" s="981"/>
      <c r="AX114" s="993"/>
      <c r="AY114" s="993"/>
      <c r="AZ114" s="833">
        <f t="shared" si="13"/>
        <v>0</v>
      </c>
      <c r="BA114" s="983">
        <f t="shared" si="0"/>
        <v>0</v>
      </c>
      <c r="BB114" s="983">
        <f t="shared" si="1"/>
        <v>0</v>
      </c>
      <c r="BC114" s="983">
        <f t="shared" si="2"/>
        <v>0</v>
      </c>
      <c r="BD114" s="983">
        <f t="shared" si="3"/>
        <v>0</v>
      </c>
      <c r="BE114" s="983">
        <f t="shared" si="14"/>
        <v>0</v>
      </c>
      <c r="BF114" s="871">
        <f t="shared" si="15"/>
        <v>15</v>
      </c>
    </row>
    <row r="115" spans="1:58" s="8" customFormat="1" ht="20.100000000000001" customHeight="1">
      <c r="A115" s="956"/>
      <c r="B115" s="995">
        <v>5</v>
      </c>
      <c r="C115" s="956">
        <v>197</v>
      </c>
      <c r="D115" s="957"/>
      <c r="E115" s="957"/>
      <c r="F115" s="956"/>
      <c r="G115" s="958">
        <v>0</v>
      </c>
      <c r="H115" s="958" t="s">
        <v>1335</v>
      </c>
      <c r="I115" s="958" t="s">
        <v>1335</v>
      </c>
      <c r="J115" s="958" t="s">
        <v>1335</v>
      </c>
      <c r="K115" s="958" t="s">
        <v>1335</v>
      </c>
      <c r="L115" s="958" t="s">
        <v>1335</v>
      </c>
      <c r="M115" s="958" t="s">
        <v>1335</v>
      </c>
      <c r="N115" s="958">
        <v>0</v>
      </c>
      <c r="O115" s="958" t="s">
        <v>1335</v>
      </c>
      <c r="P115" s="958" t="s">
        <v>1335</v>
      </c>
      <c r="Q115" s="958" t="s">
        <v>1335</v>
      </c>
      <c r="R115" s="958" t="s">
        <v>1335</v>
      </c>
      <c r="S115" s="958" t="s">
        <v>1335</v>
      </c>
      <c r="T115" s="958" t="s">
        <v>1335</v>
      </c>
      <c r="U115" s="958" t="s">
        <v>1335</v>
      </c>
      <c r="V115" s="966"/>
      <c r="W115" s="966" t="s">
        <v>1335</v>
      </c>
      <c r="X115" s="966"/>
      <c r="Y115" s="970"/>
      <c r="Z115" s="966"/>
      <c r="AA115" s="971"/>
      <c r="AB115" s="972"/>
      <c r="AC115" s="972"/>
      <c r="AD115" s="972"/>
      <c r="AE115" s="972"/>
      <c r="AF115" s="972"/>
      <c r="AG115" s="972"/>
      <c r="AH115" s="972"/>
      <c r="AI115" s="972"/>
      <c r="AJ115" s="972"/>
      <c r="AK115" s="972"/>
      <c r="AL115" s="972"/>
      <c r="AM115" s="972"/>
      <c r="AN115" s="972"/>
      <c r="AO115" s="972"/>
      <c r="AP115" s="972"/>
      <c r="AQ115" s="956">
        <f t="shared" si="10"/>
        <v>13</v>
      </c>
      <c r="AR115" s="956">
        <f t="shared" si="11"/>
        <v>1</v>
      </c>
      <c r="AS115" s="956">
        <f t="shared" si="12"/>
        <v>14</v>
      </c>
      <c r="AT115" s="956">
        <v>12</v>
      </c>
      <c r="AU115" s="981"/>
      <c r="AV115" s="981"/>
      <c r="AW115" s="981"/>
      <c r="AX115" s="993"/>
      <c r="AY115" s="993"/>
      <c r="AZ115" s="833">
        <f t="shared" si="13"/>
        <v>0</v>
      </c>
      <c r="BA115" s="983">
        <f t="shared" si="0"/>
        <v>0</v>
      </c>
      <c r="BB115" s="983">
        <f t="shared" si="1"/>
        <v>0</v>
      </c>
      <c r="BC115" s="983">
        <f t="shared" si="2"/>
        <v>0</v>
      </c>
      <c r="BD115" s="983">
        <f t="shared" si="3"/>
        <v>0</v>
      </c>
      <c r="BE115" s="983">
        <f t="shared" si="14"/>
        <v>0</v>
      </c>
      <c r="BF115" s="871">
        <f t="shared" si="15"/>
        <v>14</v>
      </c>
    </row>
    <row r="116" spans="1:58" s="8" customFormat="1" ht="20.100000000000001" customHeight="1">
      <c r="A116" s="956"/>
      <c r="B116" s="995">
        <v>5</v>
      </c>
      <c r="C116" s="956">
        <v>198</v>
      </c>
      <c r="D116" s="957"/>
      <c r="E116" s="957"/>
      <c r="F116" s="956"/>
      <c r="G116" s="958" t="s">
        <v>1335</v>
      </c>
      <c r="H116" s="958" t="s">
        <v>1335</v>
      </c>
      <c r="I116" s="958" t="s">
        <v>1335</v>
      </c>
      <c r="J116" s="958">
        <v>0</v>
      </c>
      <c r="K116" s="958" t="s">
        <v>1335</v>
      </c>
      <c r="L116" s="958" t="s">
        <v>1335</v>
      </c>
      <c r="M116" s="958" t="s">
        <v>1335</v>
      </c>
      <c r="N116" s="958" t="s">
        <v>1335</v>
      </c>
      <c r="O116" s="958" t="s">
        <v>1335</v>
      </c>
      <c r="P116" s="958" t="s">
        <v>1335</v>
      </c>
      <c r="Q116" s="958" t="s">
        <v>1335</v>
      </c>
      <c r="R116" s="958" t="s">
        <v>1335</v>
      </c>
      <c r="S116" s="958" t="s">
        <v>1335</v>
      </c>
      <c r="T116" s="958" t="s">
        <v>1335</v>
      </c>
      <c r="U116" s="958" t="s">
        <v>1335</v>
      </c>
      <c r="V116" s="966"/>
      <c r="W116" s="966" t="s">
        <v>1335</v>
      </c>
      <c r="X116" s="966"/>
      <c r="Y116" s="970"/>
      <c r="Z116" s="966"/>
      <c r="AA116" s="971"/>
      <c r="AB116" s="972"/>
      <c r="AC116" s="972"/>
      <c r="AD116" s="972"/>
      <c r="AE116" s="972"/>
      <c r="AF116" s="972"/>
      <c r="AG116" s="972"/>
      <c r="AH116" s="972"/>
      <c r="AI116" s="972"/>
      <c r="AJ116" s="972"/>
      <c r="AK116" s="972"/>
      <c r="AL116" s="972"/>
      <c r="AM116" s="972"/>
      <c r="AN116" s="972"/>
      <c r="AO116" s="972"/>
      <c r="AP116" s="972"/>
      <c r="AQ116" s="956">
        <f t="shared" si="10"/>
        <v>14</v>
      </c>
      <c r="AR116" s="956">
        <f t="shared" si="11"/>
        <v>1</v>
      </c>
      <c r="AS116" s="956">
        <f t="shared" si="12"/>
        <v>15</v>
      </c>
      <c r="AT116" s="982">
        <v>11</v>
      </c>
      <c r="AU116" s="981"/>
      <c r="AV116" s="981"/>
      <c r="AW116" s="981"/>
      <c r="AX116" s="993"/>
      <c r="AY116" s="993"/>
      <c r="AZ116" s="833">
        <f t="shared" si="13"/>
        <v>0</v>
      </c>
      <c r="BA116" s="983">
        <f t="shared" si="0"/>
        <v>0</v>
      </c>
      <c r="BB116" s="983">
        <f t="shared" si="1"/>
        <v>0</v>
      </c>
      <c r="BC116" s="983">
        <f t="shared" si="2"/>
        <v>0</v>
      </c>
      <c r="BD116" s="983">
        <f t="shared" si="3"/>
        <v>0</v>
      </c>
      <c r="BE116" s="983">
        <f t="shared" si="14"/>
        <v>0</v>
      </c>
      <c r="BF116" s="871">
        <f t="shared" si="15"/>
        <v>15</v>
      </c>
    </row>
    <row r="117" spans="1:58" s="8" customFormat="1" ht="20.100000000000001" customHeight="1">
      <c r="A117" s="956"/>
      <c r="B117" s="995">
        <v>5</v>
      </c>
      <c r="C117" s="956">
        <v>199</v>
      </c>
      <c r="D117" s="957"/>
      <c r="E117" s="957"/>
      <c r="F117" s="956"/>
      <c r="G117" s="958" t="s">
        <v>1335</v>
      </c>
      <c r="H117" s="958" t="s">
        <v>1335</v>
      </c>
      <c r="I117" s="958" t="s">
        <v>1335</v>
      </c>
      <c r="J117" s="958">
        <v>0</v>
      </c>
      <c r="K117" s="958" t="s">
        <v>1335</v>
      </c>
      <c r="L117" s="958" t="s">
        <v>1335</v>
      </c>
      <c r="M117" s="958" t="s">
        <v>1335</v>
      </c>
      <c r="N117" s="958" t="s">
        <v>1335</v>
      </c>
      <c r="O117" s="958" t="s">
        <v>1335</v>
      </c>
      <c r="P117" s="958">
        <v>0</v>
      </c>
      <c r="Q117" s="958" t="s">
        <v>1335</v>
      </c>
      <c r="R117" s="958" t="s">
        <v>1335</v>
      </c>
      <c r="S117" s="958" t="s">
        <v>1335</v>
      </c>
      <c r="T117" s="958" t="s">
        <v>1335</v>
      </c>
      <c r="U117" s="958" t="s">
        <v>1335</v>
      </c>
      <c r="V117" s="966"/>
      <c r="W117" s="966" t="s">
        <v>1335</v>
      </c>
      <c r="X117" s="966"/>
      <c r="Y117" s="970"/>
      <c r="Z117" s="966"/>
      <c r="AA117" s="971"/>
      <c r="AB117" s="972"/>
      <c r="AC117" s="972"/>
      <c r="AD117" s="972"/>
      <c r="AE117" s="972"/>
      <c r="AF117" s="972"/>
      <c r="AG117" s="972"/>
      <c r="AH117" s="972"/>
      <c r="AI117" s="972"/>
      <c r="AJ117" s="972"/>
      <c r="AK117" s="972"/>
      <c r="AL117" s="972"/>
      <c r="AM117" s="972"/>
      <c r="AN117" s="972"/>
      <c r="AO117" s="972"/>
      <c r="AP117" s="972"/>
      <c r="AQ117" s="956">
        <f t="shared" si="10"/>
        <v>13</v>
      </c>
      <c r="AR117" s="956">
        <f t="shared" si="11"/>
        <v>1</v>
      </c>
      <c r="AS117" s="956">
        <f t="shared" si="12"/>
        <v>14</v>
      </c>
      <c r="AT117" s="982">
        <v>11</v>
      </c>
      <c r="AU117" s="981"/>
      <c r="AV117" s="981"/>
      <c r="AW117" s="981"/>
      <c r="AX117" s="993"/>
      <c r="AY117" s="993"/>
      <c r="AZ117" s="833">
        <f t="shared" si="13"/>
        <v>0</v>
      </c>
      <c r="BA117" s="983">
        <f t="shared" si="0"/>
        <v>0</v>
      </c>
      <c r="BB117" s="983">
        <f t="shared" si="1"/>
        <v>0</v>
      </c>
      <c r="BC117" s="983">
        <f t="shared" si="2"/>
        <v>0</v>
      </c>
      <c r="BD117" s="983">
        <f t="shared" si="3"/>
        <v>0</v>
      </c>
      <c r="BE117" s="983">
        <f t="shared" si="14"/>
        <v>0</v>
      </c>
      <c r="BF117" s="871">
        <f t="shared" si="15"/>
        <v>14</v>
      </c>
    </row>
    <row r="118" spans="1:58" s="8" customFormat="1" ht="20.100000000000001" customHeight="1">
      <c r="A118" s="956"/>
      <c r="B118" s="995">
        <v>5</v>
      </c>
      <c r="C118" s="956">
        <v>200</v>
      </c>
      <c r="D118" s="957"/>
      <c r="E118" s="957"/>
      <c r="F118" s="956"/>
      <c r="G118" s="958" t="s">
        <v>1335</v>
      </c>
      <c r="H118" s="958" t="s">
        <v>1335</v>
      </c>
      <c r="I118" s="958" t="s">
        <v>1335</v>
      </c>
      <c r="J118" s="958">
        <v>0</v>
      </c>
      <c r="K118" s="958" t="s">
        <v>1335</v>
      </c>
      <c r="L118" s="958" t="s">
        <v>1335</v>
      </c>
      <c r="M118" s="958" t="s">
        <v>1335</v>
      </c>
      <c r="N118" s="958" t="s">
        <v>1335</v>
      </c>
      <c r="O118" s="958" t="s">
        <v>1335</v>
      </c>
      <c r="P118" s="958" t="s">
        <v>1335</v>
      </c>
      <c r="Q118" s="958" t="s">
        <v>1335</v>
      </c>
      <c r="R118" s="958" t="s">
        <v>1335</v>
      </c>
      <c r="S118" s="958" t="s">
        <v>1335</v>
      </c>
      <c r="T118" s="958" t="s">
        <v>1335</v>
      </c>
      <c r="U118" s="958" t="s">
        <v>1335</v>
      </c>
      <c r="V118" s="966"/>
      <c r="W118" s="966" t="s">
        <v>1335</v>
      </c>
      <c r="X118" s="966"/>
      <c r="Y118" s="970"/>
      <c r="Z118" s="966"/>
      <c r="AA118" s="971"/>
      <c r="AB118" s="972"/>
      <c r="AC118" s="972"/>
      <c r="AD118" s="972"/>
      <c r="AE118" s="972"/>
      <c r="AF118" s="972"/>
      <c r="AG118" s="972"/>
      <c r="AH118" s="972"/>
      <c r="AI118" s="972"/>
      <c r="AJ118" s="972"/>
      <c r="AK118" s="972"/>
      <c r="AL118" s="972"/>
      <c r="AM118" s="972"/>
      <c r="AN118" s="972"/>
      <c r="AO118" s="972"/>
      <c r="AP118" s="972"/>
      <c r="AQ118" s="956">
        <f t="shared" ref="AQ118:AQ174" si="16">COUNTIF(G118:U118,"X")</f>
        <v>14</v>
      </c>
      <c r="AR118" s="956">
        <f t="shared" ref="AR118:AR174" si="17">COUNTIF(V118:AA118,"X")</f>
        <v>1</v>
      </c>
      <c r="AS118" s="956">
        <f t="shared" ref="AS118:AS174" si="18">ROUND(COUNTIF(G118:AO118,"x"),0)+ROUND(COUNTIF(AA118:AP118,"&gt;0"),0)</f>
        <v>15</v>
      </c>
      <c r="AT118" s="956">
        <v>12</v>
      </c>
      <c r="AU118" s="981"/>
      <c r="AV118" s="981"/>
      <c r="AW118" s="981"/>
      <c r="AX118" s="993"/>
      <c r="AY118" s="993"/>
      <c r="AZ118" s="833">
        <f t="shared" ref="AZ118:AZ174" si="19">AY118*25000</f>
        <v>0</v>
      </c>
      <c r="BA118" s="983">
        <f t="shared" si="0"/>
        <v>0</v>
      </c>
      <c r="BB118" s="983">
        <f t="shared" si="1"/>
        <v>0</v>
      </c>
      <c r="BC118" s="983">
        <f t="shared" si="2"/>
        <v>0</v>
      </c>
      <c r="BD118" s="983">
        <f t="shared" si="3"/>
        <v>0</v>
      </c>
      <c r="BE118" s="983">
        <f t="shared" ref="BE118:BE174" si="20">SUM(BA118:BD118)</f>
        <v>0</v>
      </c>
      <c r="BF118" s="871">
        <f t="shared" ref="BF118:BF174" si="21">IF(AS118&gt;=13,AS118,0)</f>
        <v>15</v>
      </c>
    </row>
    <row r="119" spans="1:58" s="8" customFormat="1" ht="20.100000000000001" customHeight="1">
      <c r="A119" s="956"/>
      <c r="B119" s="995">
        <v>5</v>
      </c>
      <c r="C119" s="956">
        <v>201</v>
      </c>
      <c r="D119" s="957"/>
      <c r="E119" s="957"/>
      <c r="F119" s="956"/>
      <c r="G119" s="958" t="s">
        <v>1335</v>
      </c>
      <c r="H119" s="958" t="s">
        <v>1335</v>
      </c>
      <c r="I119" s="958" t="s">
        <v>1335</v>
      </c>
      <c r="J119" s="958">
        <v>0</v>
      </c>
      <c r="K119" s="958" t="s">
        <v>1335</v>
      </c>
      <c r="L119" s="958" t="s">
        <v>1335</v>
      </c>
      <c r="M119" s="958" t="s">
        <v>1335</v>
      </c>
      <c r="N119" s="958" t="s">
        <v>1335</v>
      </c>
      <c r="O119" s="958" t="s">
        <v>1335</v>
      </c>
      <c r="P119" s="958" t="s">
        <v>1335</v>
      </c>
      <c r="Q119" s="958" t="s">
        <v>1335</v>
      </c>
      <c r="R119" s="958" t="s">
        <v>1335</v>
      </c>
      <c r="S119" s="958" t="s">
        <v>1335</v>
      </c>
      <c r="T119" s="958" t="s">
        <v>1335</v>
      </c>
      <c r="U119" s="958" t="s">
        <v>1335</v>
      </c>
      <c r="V119" s="966"/>
      <c r="W119" s="966" t="s">
        <v>1335</v>
      </c>
      <c r="X119" s="966"/>
      <c r="Y119" s="970"/>
      <c r="Z119" s="966"/>
      <c r="AA119" s="971"/>
      <c r="AB119" s="972"/>
      <c r="AC119" s="972"/>
      <c r="AD119" s="972"/>
      <c r="AE119" s="972"/>
      <c r="AF119" s="972"/>
      <c r="AG119" s="972"/>
      <c r="AH119" s="972"/>
      <c r="AI119" s="972"/>
      <c r="AJ119" s="972"/>
      <c r="AK119" s="972"/>
      <c r="AL119" s="972"/>
      <c r="AM119" s="972"/>
      <c r="AN119" s="972"/>
      <c r="AO119" s="972"/>
      <c r="AP119" s="972"/>
      <c r="AQ119" s="956">
        <f t="shared" si="16"/>
        <v>14</v>
      </c>
      <c r="AR119" s="956">
        <f t="shared" si="17"/>
        <v>1</v>
      </c>
      <c r="AS119" s="956">
        <f t="shared" si="18"/>
        <v>15</v>
      </c>
      <c r="AT119" s="956">
        <v>12</v>
      </c>
      <c r="AU119" s="981"/>
      <c r="AV119" s="981"/>
      <c r="AW119" s="981"/>
      <c r="AX119" s="993"/>
      <c r="AY119" s="993"/>
      <c r="AZ119" s="833">
        <f t="shared" si="19"/>
        <v>0</v>
      </c>
      <c r="BA119" s="983">
        <f t="shared" si="0"/>
        <v>0</v>
      </c>
      <c r="BB119" s="983">
        <f t="shared" si="1"/>
        <v>0</v>
      </c>
      <c r="BC119" s="983">
        <f t="shared" si="2"/>
        <v>0</v>
      </c>
      <c r="BD119" s="983">
        <f t="shared" si="3"/>
        <v>0</v>
      </c>
      <c r="BE119" s="983">
        <f t="shared" si="20"/>
        <v>0</v>
      </c>
      <c r="BF119" s="871">
        <f t="shared" si="21"/>
        <v>15</v>
      </c>
    </row>
    <row r="120" spans="1:58" s="8" customFormat="1" ht="20.100000000000001" customHeight="1">
      <c r="A120" s="956"/>
      <c r="B120" s="995">
        <v>5</v>
      </c>
      <c r="C120" s="956">
        <v>202</v>
      </c>
      <c r="D120" s="957"/>
      <c r="E120" s="957"/>
      <c r="F120" s="956"/>
      <c r="G120" s="958" t="s">
        <v>1335</v>
      </c>
      <c r="H120" s="958">
        <v>0</v>
      </c>
      <c r="I120" s="958" t="s">
        <v>1335</v>
      </c>
      <c r="J120" s="958">
        <v>0</v>
      </c>
      <c r="K120" s="958" t="s">
        <v>1335</v>
      </c>
      <c r="L120" s="958" t="s">
        <v>1335</v>
      </c>
      <c r="M120" s="958" t="s">
        <v>1335</v>
      </c>
      <c r="N120" s="958" t="s">
        <v>1335</v>
      </c>
      <c r="O120" s="958" t="s">
        <v>1335</v>
      </c>
      <c r="P120" s="958" t="s">
        <v>1335</v>
      </c>
      <c r="Q120" s="958" t="s">
        <v>1335</v>
      </c>
      <c r="R120" s="958" t="s">
        <v>1335</v>
      </c>
      <c r="S120" s="958" t="s">
        <v>1335</v>
      </c>
      <c r="T120" s="958" t="s">
        <v>1335</v>
      </c>
      <c r="U120" s="958" t="s">
        <v>1335</v>
      </c>
      <c r="V120" s="966"/>
      <c r="W120" s="966" t="s">
        <v>1335</v>
      </c>
      <c r="X120" s="966"/>
      <c r="Y120" s="970"/>
      <c r="Z120" s="966"/>
      <c r="AA120" s="971"/>
      <c r="AB120" s="972"/>
      <c r="AC120" s="972"/>
      <c r="AD120" s="972"/>
      <c r="AE120" s="972"/>
      <c r="AF120" s="972"/>
      <c r="AG120" s="972"/>
      <c r="AH120" s="972"/>
      <c r="AI120" s="972"/>
      <c r="AJ120" s="972"/>
      <c r="AK120" s="972"/>
      <c r="AL120" s="972"/>
      <c r="AM120" s="972"/>
      <c r="AN120" s="972"/>
      <c r="AO120" s="972"/>
      <c r="AP120" s="972"/>
      <c r="AQ120" s="956">
        <f t="shared" si="16"/>
        <v>13</v>
      </c>
      <c r="AR120" s="956">
        <f t="shared" si="17"/>
        <v>1</v>
      </c>
      <c r="AS120" s="956">
        <f t="shared" si="18"/>
        <v>14</v>
      </c>
      <c r="AT120" s="956">
        <v>12</v>
      </c>
      <c r="AU120" s="981"/>
      <c r="AV120" s="981"/>
      <c r="AW120" s="981"/>
      <c r="AX120" s="993"/>
      <c r="AY120" s="993"/>
      <c r="AZ120" s="833">
        <f t="shared" si="19"/>
        <v>0</v>
      </c>
      <c r="BA120" s="983">
        <f t="shared" si="0"/>
        <v>0</v>
      </c>
      <c r="BB120" s="983">
        <f t="shared" si="1"/>
        <v>0</v>
      </c>
      <c r="BC120" s="983">
        <f t="shared" si="2"/>
        <v>0</v>
      </c>
      <c r="BD120" s="983">
        <f t="shared" si="3"/>
        <v>0</v>
      </c>
      <c r="BE120" s="983">
        <f t="shared" si="20"/>
        <v>0</v>
      </c>
      <c r="BF120" s="871">
        <f t="shared" si="21"/>
        <v>14</v>
      </c>
    </row>
    <row r="121" spans="1:58" s="8" customFormat="1" ht="20.100000000000001" customHeight="1">
      <c r="A121" s="956"/>
      <c r="B121" s="995">
        <v>5</v>
      </c>
      <c r="C121" s="956">
        <v>203</v>
      </c>
      <c r="D121" s="957"/>
      <c r="E121" s="957"/>
      <c r="F121" s="956"/>
      <c r="G121" s="958" t="s">
        <v>1335</v>
      </c>
      <c r="H121" s="958">
        <v>0</v>
      </c>
      <c r="I121" s="958" t="s">
        <v>1335</v>
      </c>
      <c r="J121" s="958">
        <v>0</v>
      </c>
      <c r="K121" s="958" t="s">
        <v>1335</v>
      </c>
      <c r="L121" s="958" t="s">
        <v>1335</v>
      </c>
      <c r="M121" s="958" t="s">
        <v>1335</v>
      </c>
      <c r="N121" s="958" t="s">
        <v>1335</v>
      </c>
      <c r="O121" s="958" t="s">
        <v>1335</v>
      </c>
      <c r="P121" s="958" t="s">
        <v>1335</v>
      </c>
      <c r="Q121" s="958" t="s">
        <v>1335</v>
      </c>
      <c r="R121" s="958" t="s">
        <v>1335</v>
      </c>
      <c r="S121" s="958" t="s">
        <v>1335</v>
      </c>
      <c r="T121" s="958" t="s">
        <v>1335</v>
      </c>
      <c r="U121" s="958" t="s">
        <v>1335</v>
      </c>
      <c r="V121" s="966"/>
      <c r="W121" s="966" t="s">
        <v>1335</v>
      </c>
      <c r="X121" s="966"/>
      <c r="Y121" s="970"/>
      <c r="Z121" s="966"/>
      <c r="AA121" s="971"/>
      <c r="AB121" s="972"/>
      <c r="AC121" s="972"/>
      <c r="AD121" s="972"/>
      <c r="AE121" s="972"/>
      <c r="AF121" s="972"/>
      <c r="AG121" s="972"/>
      <c r="AH121" s="972"/>
      <c r="AI121" s="972"/>
      <c r="AJ121" s="972"/>
      <c r="AK121" s="972"/>
      <c r="AL121" s="972"/>
      <c r="AM121" s="972"/>
      <c r="AN121" s="972"/>
      <c r="AO121" s="972"/>
      <c r="AP121" s="972"/>
      <c r="AQ121" s="956">
        <f t="shared" si="16"/>
        <v>13</v>
      </c>
      <c r="AR121" s="956">
        <f t="shared" si="17"/>
        <v>1</v>
      </c>
      <c r="AS121" s="956">
        <f t="shared" si="18"/>
        <v>14</v>
      </c>
      <c r="AT121" s="982">
        <v>0</v>
      </c>
      <c r="AU121" s="981"/>
      <c r="AV121" s="981"/>
      <c r="AW121" s="981"/>
      <c r="AX121" s="993"/>
      <c r="AY121" s="993"/>
      <c r="AZ121" s="833">
        <f t="shared" si="19"/>
        <v>0</v>
      </c>
      <c r="BA121" s="983">
        <f t="shared" si="0"/>
        <v>0</v>
      </c>
      <c r="BB121" s="983">
        <f t="shared" si="1"/>
        <v>0</v>
      </c>
      <c r="BC121" s="983">
        <f t="shared" si="2"/>
        <v>0</v>
      </c>
      <c r="BD121" s="983">
        <f t="shared" si="3"/>
        <v>0</v>
      </c>
      <c r="BE121" s="983">
        <f t="shared" si="20"/>
        <v>0</v>
      </c>
      <c r="BF121" s="871">
        <f t="shared" si="21"/>
        <v>14</v>
      </c>
    </row>
    <row r="122" spans="1:58" s="8" customFormat="1" ht="20.100000000000001" customHeight="1">
      <c r="A122" s="956"/>
      <c r="B122" s="995">
        <v>5</v>
      </c>
      <c r="C122" s="956">
        <v>204</v>
      </c>
      <c r="D122" s="957"/>
      <c r="E122" s="957"/>
      <c r="F122" s="956"/>
      <c r="G122" s="958">
        <v>0</v>
      </c>
      <c r="H122" s="958" t="s">
        <v>1335</v>
      </c>
      <c r="I122" s="958" t="s">
        <v>1335</v>
      </c>
      <c r="J122" s="958" t="s">
        <v>1335</v>
      </c>
      <c r="K122" s="958" t="s">
        <v>1335</v>
      </c>
      <c r="L122" s="958" t="s">
        <v>1335</v>
      </c>
      <c r="M122" s="958" t="s">
        <v>1335</v>
      </c>
      <c r="N122" s="958" t="s">
        <v>1335</v>
      </c>
      <c r="O122" s="958" t="s">
        <v>1335</v>
      </c>
      <c r="P122" s="958" t="s">
        <v>1335</v>
      </c>
      <c r="Q122" s="958" t="s">
        <v>1335</v>
      </c>
      <c r="R122" s="958" t="s">
        <v>1335</v>
      </c>
      <c r="S122" s="958" t="s">
        <v>1335</v>
      </c>
      <c r="T122" s="958" t="s">
        <v>1335</v>
      </c>
      <c r="U122" s="958" t="s">
        <v>1335</v>
      </c>
      <c r="V122" s="966"/>
      <c r="W122" s="966" t="s">
        <v>1335</v>
      </c>
      <c r="X122" s="966"/>
      <c r="Y122" s="970"/>
      <c r="Z122" s="966"/>
      <c r="AA122" s="971"/>
      <c r="AB122" s="972"/>
      <c r="AC122" s="972"/>
      <c r="AD122" s="972"/>
      <c r="AE122" s="972"/>
      <c r="AF122" s="972"/>
      <c r="AG122" s="972"/>
      <c r="AH122" s="972"/>
      <c r="AI122" s="972"/>
      <c r="AJ122" s="972"/>
      <c r="AK122" s="972"/>
      <c r="AL122" s="972"/>
      <c r="AM122" s="972"/>
      <c r="AN122" s="972"/>
      <c r="AO122" s="972"/>
      <c r="AP122" s="972"/>
      <c r="AQ122" s="956">
        <f t="shared" si="16"/>
        <v>14</v>
      </c>
      <c r="AR122" s="956">
        <f t="shared" si="17"/>
        <v>1</v>
      </c>
      <c r="AS122" s="956">
        <f t="shared" si="18"/>
        <v>15</v>
      </c>
      <c r="AT122" s="982">
        <v>0</v>
      </c>
      <c r="AU122" s="981"/>
      <c r="AV122" s="981"/>
      <c r="AW122" s="981"/>
      <c r="AX122" s="993"/>
      <c r="AY122" s="993"/>
      <c r="AZ122" s="833">
        <f t="shared" si="19"/>
        <v>0</v>
      </c>
      <c r="BA122" s="983">
        <f t="shared" si="0"/>
        <v>0</v>
      </c>
      <c r="BB122" s="983">
        <f t="shared" si="1"/>
        <v>0</v>
      </c>
      <c r="BC122" s="983">
        <f t="shared" si="2"/>
        <v>0</v>
      </c>
      <c r="BD122" s="983">
        <f t="shared" si="3"/>
        <v>0</v>
      </c>
      <c r="BE122" s="983">
        <f t="shared" si="20"/>
        <v>0</v>
      </c>
      <c r="BF122" s="871">
        <f t="shared" si="21"/>
        <v>15</v>
      </c>
    </row>
    <row r="123" spans="1:58" s="8" customFormat="1" ht="20.100000000000001" customHeight="1">
      <c r="A123" s="956"/>
      <c r="B123" s="995">
        <v>5</v>
      </c>
      <c r="C123" s="956">
        <v>205</v>
      </c>
      <c r="D123" s="957"/>
      <c r="E123" s="957"/>
      <c r="F123" s="956"/>
      <c r="G123" s="958" t="s">
        <v>1335</v>
      </c>
      <c r="H123" s="958" t="s">
        <v>1335</v>
      </c>
      <c r="I123" s="958" t="s">
        <v>1335</v>
      </c>
      <c r="J123" s="958">
        <v>0</v>
      </c>
      <c r="K123" s="958" t="s">
        <v>1335</v>
      </c>
      <c r="L123" s="958" t="s">
        <v>1335</v>
      </c>
      <c r="M123" s="958" t="s">
        <v>1335</v>
      </c>
      <c r="N123" s="958" t="s">
        <v>1335</v>
      </c>
      <c r="O123" s="958" t="s">
        <v>1335</v>
      </c>
      <c r="P123" s="958" t="s">
        <v>1335</v>
      </c>
      <c r="Q123" s="958" t="s">
        <v>1335</v>
      </c>
      <c r="R123" s="958" t="s">
        <v>1335</v>
      </c>
      <c r="S123" s="958" t="s">
        <v>1335</v>
      </c>
      <c r="T123" s="958" t="s">
        <v>1335</v>
      </c>
      <c r="U123" s="958" t="s">
        <v>1335</v>
      </c>
      <c r="V123" s="966"/>
      <c r="W123" s="966" t="s">
        <v>1335</v>
      </c>
      <c r="X123" s="966"/>
      <c r="Y123" s="970"/>
      <c r="Z123" s="966"/>
      <c r="AA123" s="971"/>
      <c r="AB123" s="972"/>
      <c r="AC123" s="972"/>
      <c r="AD123" s="972"/>
      <c r="AE123" s="972"/>
      <c r="AF123" s="972"/>
      <c r="AG123" s="972"/>
      <c r="AH123" s="972"/>
      <c r="AI123" s="972"/>
      <c r="AJ123" s="972"/>
      <c r="AK123" s="972"/>
      <c r="AL123" s="972"/>
      <c r="AM123" s="972"/>
      <c r="AN123" s="972"/>
      <c r="AO123" s="972"/>
      <c r="AP123" s="972"/>
      <c r="AQ123" s="956">
        <f t="shared" si="16"/>
        <v>14</v>
      </c>
      <c r="AR123" s="956">
        <f t="shared" si="17"/>
        <v>1</v>
      </c>
      <c r="AS123" s="956">
        <f t="shared" si="18"/>
        <v>15</v>
      </c>
      <c r="AT123" s="956">
        <v>12</v>
      </c>
      <c r="AU123" s="981"/>
      <c r="AV123" s="981"/>
      <c r="AW123" s="981"/>
      <c r="AX123" s="993"/>
      <c r="AY123" s="993"/>
      <c r="AZ123" s="833">
        <f t="shared" si="19"/>
        <v>0</v>
      </c>
      <c r="BA123" s="983">
        <f t="shared" si="0"/>
        <v>0</v>
      </c>
      <c r="BB123" s="983">
        <f t="shared" si="1"/>
        <v>0</v>
      </c>
      <c r="BC123" s="983">
        <f t="shared" si="2"/>
        <v>0</v>
      </c>
      <c r="BD123" s="983">
        <f t="shared" si="3"/>
        <v>0</v>
      </c>
      <c r="BE123" s="983">
        <f t="shared" si="20"/>
        <v>0</v>
      </c>
      <c r="BF123" s="871">
        <f t="shared" si="21"/>
        <v>15</v>
      </c>
    </row>
    <row r="124" spans="1:58" s="8" customFormat="1" ht="20.100000000000001" customHeight="1">
      <c r="A124" s="956"/>
      <c r="B124" s="995">
        <v>5</v>
      </c>
      <c r="C124" s="956">
        <v>206</v>
      </c>
      <c r="D124" s="957"/>
      <c r="E124" s="957"/>
      <c r="F124" s="956"/>
      <c r="G124" s="958" t="s">
        <v>1335</v>
      </c>
      <c r="H124" s="958" t="s">
        <v>1335</v>
      </c>
      <c r="I124" s="958" t="s">
        <v>1335</v>
      </c>
      <c r="J124" s="958">
        <v>0</v>
      </c>
      <c r="K124" s="958" t="s">
        <v>1335</v>
      </c>
      <c r="L124" s="958" t="s">
        <v>1335</v>
      </c>
      <c r="M124" s="958" t="s">
        <v>1335</v>
      </c>
      <c r="N124" s="958" t="s">
        <v>1335</v>
      </c>
      <c r="O124" s="958" t="s">
        <v>1335</v>
      </c>
      <c r="P124" s="958" t="s">
        <v>1335</v>
      </c>
      <c r="Q124" s="958" t="s">
        <v>1335</v>
      </c>
      <c r="R124" s="958" t="s">
        <v>1335</v>
      </c>
      <c r="S124" s="958" t="s">
        <v>1335</v>
      </c>
      <c r="T124" s="958" t="s">
        <v>1335</v>
      </c>
      <c r="U124" s="958" t="s">
        <v>1335</v>
      </c>
      <c r="V124" s="966"/>
      <c r="W124" s="966" t="s">
        <v>1335</v>
      </c>
      <c r="X124" s="966"/>
      <c r="Y124" s="970"/>
      <c r="Z124" s="966"/>
      <c r="AA124" s="971"/>
      <c r="AB124" s="972"/>
      <c r="AC124" s="972"/>
      <c r="AD124" s="972"/>
      <c r="AE124" s="972"/>
      <c r="AF124" s="972"/>
      <c r="AG124" s="972"/>
      <c r="AH124" s="972"/>
      <c r="AI124" s="972"/>
      <c r="AJ124" s="972"/>
      <c r="AK124" s="972"/>
      <c r="AL124" s="972"/>
      <c r="AM124" s="972"/>
      <c r="AN124" s="972"/>
      <c r="AO124" s="972"/>
      <c r="AP124" s="972"/>
      <c r="AQ124" s="956">
        <f t="shared" si="16"/>
        <v>14</v>
      </c>
      <c r="AR124" s="956">
        <f t="shared" si="17"/>
        <v>1</v>
      </c>
      <c r="AS124" s="956">
        <f t="shared" si="18"/>
        <v>15</v>
      </c>
      <c r="AT124" s="982">
        <v>10</v>
      </c>
      <c r="AU124" s="981"/>
      <c r="AV124" s="981"/>
      <c r="AW124" s="981"/>
      <c r="AX124" s="993"/>
      <c r="AY124" s="993"/>
      <c r="AZ124" s="833">
        <f t="shared" si="19"/>
        <v>0</v>
      </c>
      <c r="BA124" s="983">
        <f t="shared" si="0"/>
        <v>0</v>
      </c>
      <c r="BB124" s="983">
        <f t="shared" si="1"/>
        <v>0</v>
      </c>
      <c r="BC124" s="983">
        <f t="shared" si="2"/>
        <v>0</v>
      </c>
      <c r="BD124" s="983">
        <f t="shared" si="3"/>
        <v>0</v>
      </c>
      <c r="BE124" s="983">
        <f t="shared" si="20"/>
        <v>0</v>
      </c>
      <c r="BF124" s="871">
        <f t="shared" si="21"/>
        <v>15</v>
      </c>
    </row>
    <row r="125" spans="1:58" s="8" customFormat="1" ht="20.100000000000001" customHeight="1">
      <c r="A125" s="956"/>
      <c r="B125" s="995">
        <v>5</v>
      </c>
      <c r="C125" s="956">
        <v>207</v>
      </c>
      <c r="D125" s="957"/>
      <c r="E125" s="957"/>
      <c r="F125" s="956"/>
      <c r="G125" s="958" t="s">
        <v>1335</v>
      </c>
      <c r="H125" s="958">
        <v>0</v>
      </c>
      <c r="I125" s="958" t="s">
        <v>1335</v>
      </c>
      <c r="J125" s="958">
        <v>0</v>
      </c>
      <c r="K125" s="958" t="s">
        <v>1335</v>
      </c>
      <c r="L125" s="958">
        <v>0</v>
      </c>
      <c r="M125" s="958" t="s">
        <v>1335</v>
      </c>
      <c r="N125" s="958" t="s">
        <v>1335</v>
      </c>
      <c r="O125" s="958" t="s">
        <v>1335</v>
      </c>
      <c r="P125" s="958" t="s">
        <v>1335</v>
      </c>
      <c r="Q125" s="958" t="s">
        <v>1335</v>
      </c>
      <c r="R125" s="958" t="s">
        <v>1335</v>
      </c>
      <c r="S125" s="958" t="s">
        <v>1335</v>
      </c>
      <c r="T125" s="958" t="s">
        <v>1335</v>
      </c>
      <c r="U125" s="958" t="s">
        <v>1335</v>
      </c>
      <c r="V125" s="966"/>
      <c r="W125" s="966" t="s">
        <v>1335</v>
      </c>
      <c r="X125" s="966"/>
      <c r="Y125" s="970"/>
      <c r="Z125" s="966"/>
      <c r="AA125" s="971"/>
      <c r="AB125" s="972"/>
      <c r="AC125" s="972"/>
      <c r="AD125" s="972"/>
      <c r="AE125" s="972"/>
      <c r="AF125" s="972"/>
      <c r="AG125" s="972"/>
      <c r="AH125" s="972"/>
      <c r="AI125" s="972"/>
      <c r="AJ125" s="972"/>
      <c r="AK125" s="972"/>
      <c r="AL125" s="972"/>
      <c r="AM125" s="972"/>
      <c r="AN125" s="972"/>
      <c r="AO125" s="972"/>
      <c r="AP125" s="972"/>
      <c r="AQ125" s="956">
        <f t="shared" si="16"/>
        <v>12</v>
      </c>
      <c r="AR125" s="956">
        <f t="shared" si="17"/>
        <v>1</v>
      </c>
      <c r="AS125" s="956">
        <f t="shared" si="18"/>
        <v>13</v>
      </c>
      <c r="AT125" s="956">
        <v>12</v>
      </c>
      <c r="AU125" s="981"/>
      <c r="AV125" s="981"/>
      <c r="AW125" s="981"/>
      <c r="AX125" s="993"/>
      <c r="AY125" s="993"/>
      <c r="AZ125" s="833">
        <f t="shared" si="19"/>
        <v>0</v>
      </c>
      <c r="BA125" s="983">
        <f t="shared" si="0"/>
        <v>0</v>
      </c>
      <c r="BB125" s="983">
        <f t="shared" si="1"/>
        <v>0</v>
      </c>
      <c r="BC125" s="983">
        <f t="shared" si="2"/>
        <v>0</v>
      </c>
      <c r="BD125" s="983">
        <f t="shared" si="3"/>
        <v>0</v>
      </c>
      <c r="BE125" s="983">
        <f t="shared" si="20"/>
        <v>0</v>
      </c>
      <c r="BF125" s="871">
        <f t="shared" si="21"/>
        <v>13</v>
      </c>
    </row>
    <row r="126" spans="1:58" s="8" customFormat="1" ht="20.100000000000001" customHeight="1">
      <c r="A126" s="956"/>
      <c r="B126" s="995">
        <v>5</v>
      </c>
      <c r="C126" s="956">
        <v>208</v>
      </c>
      <c r="D126" s="957"/>
      <c r="E126" s="957"/>
      <c r="F126" s="956"/>
      <c r="G126" s="958" t="s">
        <v>1335</v>
      </c>
      <c r="H126" s="958">
        <v>0</v>
      </c>
      <c r="I126" s="958" t="s">
        <v>1335</v>
      </c>
      <c r="J126" s="958">
        <v>0</v>
      </c>
      <c r="K126" s="958" t="s">
        <v>1335</v>
      </c>
      <c r="L126" s="958" t="s">
        <v>1335</v>
      </c>
      <c r="M126" s="958" t="s">
        <v>1335</v>
      </c>
      <c r="N126" s="958" t="s">
        <v>1335</v>
      </c>
      <c r="O126" s="958" t="s">
        <v>1335</v>
      </c>
      <c r="P126" s="958" t="s">
        <v>1335</v>
      </c>
      <c r="Q126" s="958" t="s">
        <v>1335</v>
      </c>
      <c r="R126" s="958" t="s">
        <v>1335</v>
      </c>
      <c r="S126" s="958" t="s">
        <v>1335</v>
      </c>
      <c r="T126" s="958" t="s">
        <v>1335</v>
      </c>
      <c r="U126" s="958" t="s">
        <v>1335</v>
      </c>
      <c r="V126" s="966"/>
      <c r="W126" s="966" t="s">
        <v>1335</v>
      </c>
      <c r="X126" s="966"/>
      <c r="Y126" s="970"/>
      <c r="Z126" s="966"/>
      <c r="AA126" s="971"/>
      <c r="AB126" s="972"/>
      <c r="AC126" s="972"/>
      <c r="AD126" s="972"/>
      <c r="AE126" s="972"/>
      <c r="AF126" s="972"/>
      <c r="AG126" s="972"/>
      <c r="AH126" s="972"/>
      <c r="AI126" s="972"/>
      <c r="AJ126" s="972"/>
      <c r="AK126" s="972"/>
      <c r="AL126" s="972"/>
      <c r="AM126" s="972"/>
      <c r="AN126" s="972"/>
      <c r="AO126" s="972"/>
      <c r="AP126" s="972"/>
      <c r="AQ126" s="956">
        <f t="shared" si="16"/>
        <v>13</v>
      </c>
      <c r="AR126" s="956">
        <f t="shared" si="17"/>
        <v>1</v>
      </c>
      <c r="AS126" s="956">
        <f t="shared" si="18"/>
        <v>14</v>
      </c>
      <c r="AT126" s="956">
        <v>12</v>
      </c>
      <c r="AU126" s="981"/>
      <c r="AV126" s="981"/>
      <c r="AW126" s="981"/>
      <c r="AX126" s="993"/>
      <c r="AY126" s="993"/>
      <c r="AZ126" s="833">
        <f t="shared" si="19"/>
        <v>0</v>
      </c>
      <c r="BA126" s="983">
        <f t="shared" si="0"/>
        <v>0</v>
      </c>
      <c r="BB126" s="983">
        <f t="shared" si="1"/>
        <v>0</v>
      </c>
      <c r="BC126" s="983">
        <f t="shared" si="2"/>
        <v>0</v>
      </c>
      <c r="BD126" s="983">
        <f t="shared" si="3"/>
        <v>0</v>
      </c>
      <c r="BE126" s="983">
        <f t="shared" si="20"/>
        <v>0</v>
      </c>
      <c r="BF126" s="871">
        <f t="shared" si="21"/>
        <v>14</v>
      </c>
    </row>
    <row r="127" spans="1:58" s="8" customFormat="1" ht="20.100000000000001" customHeight="1">
      <c r="A127" s="956"/>
      <c r="B127" s="995">
        <v>5</v>
      </c>
      <c r="C127" s="956">
        <v>209</v>
      </c>
      <c r="D127" s="957"/>
      <c r="E127" s="957"/>
      <c r="F127" s="956"/>
      <c r="G127" s="958" t="s">
        <v>1335</v>
      </c>
      <c r="H127" s="958">
        <v>0</v>
      </c>
      <c r="I127" s="958" t="s">
        <v>1335</v>
      </c>
      <c r="J127" s="958">
        <v>0</v>
      </c>
      <c r="K127" s="958" t="s">
        <v>1335</v>
      </c>
      <c r="L127" s="958" t="s">
        <v>1335</v>
      </c>
      <c r="M127" s="958" t="s">
        <v>1335</v>
      </c>
      <c r="N127" s="958" t="s">
        <v>1335</v>
      </c>
      <c r="O127" s="958" t="s">
        <v>1335</v>
      </c>
      <c r="P127" s="958" t="s">
        <v>1335</v>
      </c>
      <c r="Q127" s="958" t="s">
        <v>1335</v>
      </c>
      <c r="R127" s="958" t="s">
        <v>1335</v>
      </c>
      <c r="S127" s="958" t="s">
        <v>1335</v>
      </c>
      <c r="T127" s="958" t="s">
        <v>1335</v>
      </c>
      <c r="U127" s="958" t="s">
        <v>1335</v>
      </c>
      <c r="V127" s="966"/>
      <c r="W127" s="966" t="s">
        <v>1335</v>
      </c>
      <c r="X127" s="966"/>
      <c r="Y127" s="970"/>
      <c r="Z127" s="966"/>
      <c r="AA127" s="971"/>
      <c r="AB127" s="972"/>
      <c r="AC127" s="972"/>
      <c r="AD127" s="972"/>
      <c r="AE127" s="972"/>
      <c r="AF127" s="972"/>
      <c r="AG127" s="972"/>
      <c r="AH127" s="972"/>
      <c r="AI127" s="972"/>
      <c r="AJ127" s="972"/>
      <c r="AK127" s="972"/>
      <c r="AL127" s="972"/>
      <c r="AM127" s="972"/>
      <c r="AN127" s="972"/>
      <c r="AO127" s="972"/>
      <c r="AP127" s="972"/>
      <c r="AQ127" s="956">
        <f t="shared" si="16"/>
        <v>13</v>
      </c>
      <c r="AR127" s="956">
        <f t="shared" si="17"/>
        <v>1</v>
      </c>
      <c r="AS127" s="956">
        <f t="shared" si="18"/>
        <v>14</v>
      </c>
      <c r="AT127" s="982">
        <v>8</v>
      </c>
      <c r="AU127" s="981"/>
      <c r="AV127" s="981"/>
      <c r="AW127" s="981"/>
      <c r="AX127" s="993"/>
      <c r="AY127" s="993"/>
      <c r="AZ127" s="833">
        <f t="shared" si="19"/>
        <v>0</v>
      </c>
      <c r="BA127" s="983">
        <f t="shared" si="0"/>
        <v>0</v>
      </c>
      <c r="BB127" s="983">
        <f t="shared" si="1"/>
        <v>0</v>
      </c>
      <c r="BC127" s="983">
        <f t="shared" si="2"/>
        <v>0</v>
      </c>
      <c r="BD127" s="983">
        <f t="shared" si="3"/>
        <v>0</v>
      </c>
      <c r="BE127" s="983">
        <f t="shared" si="20"/>
        <v>0</v>
      </c>
      <c r="BF127" s="871">
        <f t="shared" si="21"/>
        <v>14</v>
      </c>
    </row>
    <row r="128" spans="1:58" s="8" customFormat="1" ht="20.100000000000001" customHeight="1">
      <c r="A128" s="956"/>
      <c r="B128" s="995">
        <v>5</v>
      </c>
      <c r="C128" s="956">
        <v>210</v>
      </c>
      <c r="D128" s="957"/>
      <c r="E128" s="957"/>
      <c r="F128" s="956"/>
      <c r="G128" s="958" t="s">
        <v>1335</v>
      </c>
      <c r="H128" s="958" t="s">
        <v>1335</v>
      </c>
      <c r="I128" s="958" t="s">
        <v>1335</v>
      </c>
      <c r="J128" s="958" t="s">
        <v>1335</v>
      </c>
      <c r="K128" s="958" t="s">
        <v>1335</v>
      </c>
      <c r="L128" s="958" t="s">
        <v>1335</v>
      </c>
      <c r="M128" s="958" t="s">
        <v>1335</v>
      </c>
      <c r="N128" s="958" t="s">
        <v>1335</v>
      </c>
      <c r="O128" s="958" t="s">
        <v>1335</v>
      </c>
      <c r="P128" s="958" t="s">
        <v>1335</v>
      </c>
      <c r="Q128" s="958" t="s">
        <v>1335</v>
      </c>
      <c r="R128" s="958" t="s">
        <v>1335</v>
      </c>
      <c r="S128" s="958" t="s">
        <v>1335</v>
      </c>
      <c r="T128" s="958" t="s">
        <v>1335</v>
      </c>
      <c r="U128" s="958" t="s">
        <v>1335</v>
      </c>
      <c r="V128" s="966"/>
      <c r="W128" s="966" t="s">
        <v>1335</v>
      </c>
      <c r="X128" s="966"/>
      <c r="Y128" s="970"/>
      <c r="Z128" s="966"/>
      <c r="AA128" s="971"/>
      <c r="AB128" s="972"/>
      <c r="AC128" s="972"/>
      <c r="AD128" s="972"/>
      <c r="AE128" s="972"/>
      <c r="AF128" s="972"/>
      <c r="AG128" s="972"/>
      <c r="AH128" s="972"/>
      <c r="AI128" s="972"/>
      <c r="AJ128" s="972"/>
      <c r="AK128" s="972"/>
      <c r="AL128" s="972"/>
      <c r="AM128" s="972"/>
      <c r="AN128" s="972"/>
      <c r="AO128" s="972"/>
      <c r="AP128" s="972"/>
      <c r="AQ128" s="956">
        <f t="shared" si="16"/>
        <v>15</v>
      </c>
      <c r="AR128" s="956">
        <f t="shared" si="17"/>
        <v>1</v>
      </c>
      <c r="AS128" s="956">
        <f t="shared" si="18"/>
        <v>16</v>
      </c>
      <c r="AT128" s="956">
        <v>12</v>
      </c>
      <c r="AU128" s="981"/>
      <c r="AV128" s="981"/>
      <c r="AW128" s="981"/>
      <c r="AX128" s="993"/>
      <c r="AY128" s="993"/>
      <c r="AZ128" s="833">
        <f t="shared" si="19"/>
        <v>0</v>
      </c>
      <c r="BA128" s="983">
        <f t="shared" si="0"/>
        <v>0</v>
      </c>
      <c r="BB128" s="983">
        <f t="shared" si="1"/>
        <v>0</v>
      </c>
      <c r="BC128" s="983">
        <f t="shared" si="2"/>
        <v>0</v>
      </c>
      <c r="BD128" s="983">
        <f t="shared" si="3"/>
        <v>0</v>
      </c>
      <c r="BE128" s="983">
        <f t="shared" si="20"/>
        <v>0</v>
      </c>
      <c r="BF128" s="871">
        <f t="shared" si="21"/>
        <v>16</v>
      </c>
    </row>
    <row r="129" spans="1:58" s="8" customFormat="1" ht="20.100000000000001" customHeight="1">
      <c r="A129" s="956"/>
      <c r="B129" s="995">
        <v>5</v>
      </c>
      <c r="C129" s="956">
        <v>211</v>
      </c>
      <c r="D129" s="957"/>
      <c r="E129" s="957"/>
      <c r="F129" s="956"/>
      <c r="G129" s="958">
        <v>0</v>
      </c>
      <c r="H129" s="958" t="s">
        <v>1335</v>
      </c>
      <c r="I129" s="958" t="s">
        <v>1335</v>
      </c>
      <c r="J129" s="958">
        <v>0</v>
      </c>
      <c r="K129" s="958" t="s">
        <v>1335</v>
      </c>
      <c r="L129" s="958" t="s">
        <v>1335</v>
      </c>
      <c r="M129" s="958" t="s">
        <v>1335</v>
      </c>
      <c r="N129" s="958" t="s">
        <v>1335</v>
      </c>
      <c r="O129" s="958" t="s">
        <v>1335</v>
      </c>
      <c r="P129" s="958" t="s">
        <v>1335</v>
      </c>
      <c r="Q129" s="958" t="s">
        <v>1335</v>
      </c>
      <c r="R129" s="958" t="s">
        <v>1335</v>
      </c>
      <c r="S129" s="958" t="s">
        <v>1335</v>
      </c>
      <c r="T129" s="958" t="s">
        <v>1335</v>
      </c>
      <c r="U129" s="958" t="s">
        <v>1335</v>
      </c>
      <c r="V129" s="966"/>
      <c r="W129" s="966" t="s">
        <v>1335</v>
      </c>
      <c r="X129" s="966"/>
      <c r="Y129" s="970"/>
      <c r="Z129" s="966"/>
      <c r="AA129" s="971"/>
      <c r="AB129" s="972"/>
      <c r="AC129" s="972"/>
      <c r="AD129" s="972"/>
      <c r="AE129" s="972"/>
      <c r="AF129" s="972"/>
      <c r="AG129" s="972"/>
      <c r="AH129" s="972"/>
      <c r="AI129" s="972"/>
      <c r="AJ129" s="972"/>
      <c r="AK129" s="972"/>
      <c r="AL129" s="972"/>
      <c r="AM129" s="972"/>
      <c r="AN129" s="972"/>
      <c r="AO129" s="972"/>
      <c r="AP129" s="972"/>
      <c r="AQ129" s="956">
        <f t="shared" si="16"/>
        <v>13</v>
      </c>
      <c r="AR129" s="956">
        <f t="shared" si="17"/>
        <v>1</v>
      </c>
      <c r="AS129" s="956">
        <f t="shared" si="18"/>
        <v>14</v>
      </c>
      <c r="AT129" s="956">
        <v>12</v>
      </c>
      <c r="AU129" s="981"/>
      <c r="AV129" s="981"/>
      <c r="AW129" s="981"/>
      <c r="AX129" s="993"/>
      <c r="AY129" s="993"/>
      <c r="AZ129" s="833">
        <f t="shared" si="19"/>
        <v>0</v>
      </c>
      <c r="BA129" s="983">
        <f t="shared" si="0"/>
        <v>0</v>
      </c>
      <c r="BB129" s="983">
        <f t="shared" si="1"/>
        <v>0</v>
      </c>
      <c r="BC129" s="983">
        <f t="shared" si="2"/>
        <v>0</v>
      </c>
      <c r="BD129" s="983">
        <f t="shared" si="3"/>
        <v>0</v>
      </c>
      <c r="BE129" s="983">
        <f t="shared" si="20"/>
        <v>0</v>
      </c>
      <c r="BF129" s="871">
        <f t="shared" si="21"/>
        <v>14</v>
      </c>
    </row>
    <row r="130" spans="1:58" s="8" customFormat="1" ht="20.100000000000001" customHeight="1">
      <c r="A130" s="956"/>
      <c r="B130" s="995">
        <v>5</v>
      </c>
      <c r="C130" s="956">
        <v>212</v>
      </c>
      <c r="D130" s="957"/>
      <c r="E130" s="957"/>
      <c r="F130" s="956"/>
      <c r="G130" s="958">
        <v>0</v>
      </c>
      <c r="H130" s="958" t="s">
        <v>1335</v>
      </c>
      <c r="I130" s="958" t="s">
        <v>1335</v>
      </c>
      <c r="J130" s="958">
        <v>0</v>
      </c>
      <c r="K130" s="958" t="s">
        <v>1335</v>
      </c>
      <c r="L130" s="958" t="s">
        <v>1335</v>
      </c>
      <c r="M130" s="958" t="s">
        <v>1335</v>
      </c>
      <c r="N130" s="958" t="s">
        <v>1335</v>
      </c>
      <c r="O130" s="958" t="s">
        <v>1335</v>
      </c>
      <c r="P130" s="958" t="s">
        <v>1335</v>
      </c>
      <c r="Q130" s="958" t="s">
        <v>1335</v>
      </c>
      <c r="R130" s="958" t="s">
        <v>1335</v>
      </c>
      <c r="S130" s="958" t="s">
        <v>1335</v>
      </c>
      <c r="T130" s="958" t="s">
        <v>1335</v>
      </c>
      <c r="U130" s="958" t="s">
        <v>1335</v>
      </c>
      <c r="V130" s="966"/>
      <c r="W130" s="966" t="s">
        <v>1335</v>
      </c>
      <c r="X130" s="966"/>
      <c r="Y130" s="970"/>
      <c r="Z130" s="966"/>
      <c r="AA130" s="971"/>
      <c r="AB130" s="972"/>
      <c r="AC130" s="972"/>
      <c r="AD130" s="972"/>
      <c r="AE130" s="972"/>
      <c r="AF130" s="972"/>
      <c r="AG130" s="972"/>
      <c r="AH130" s="972"/>
      <c r="AI130" s="972"/>
      <c r="AJ130" s="972"/>
      <c r="AK130" s="972"/>
      <c r="AL130" s="972"/>
      <c r="AM130" s="972"/>
      <c r="AN130" s="972"/>
      <c r="AO130" s="972"/>
      <c r="AP130" s="972"/>
      <c r="AQ130" s="956">
        <f t="shared" si="16"/>
        <v>13</v>
      </c>
      <c r="AR130" s="956">
        <f t="shared" si="17"/>
        <v>1</v>
      </c>
      <c r="AS130" s="956">
        <f t="shared" si="18"/>
        <v>14</v>
      </c>
      <c r="AT130" s="956">
        <v>12</v>
      </c>
      <c r="AU130" s="981"/>
      <c r="AV130" s="981"/>
      <c r="AW130" s="981"/>
      <c r="AX130" s="993"/>
      <c r="AY130" s="993"/>
      <c r="AZ130" s="833">
        <f t="shared" si="19"/>
        <v>0</v>
      </c>
      <c r="BA130" s="983">
        <f t="shared" si="0"/>
        <v>0</v>
      </c>
      <c r="BB130" s="983">
        <f t="shared" si="1"/>
        <v>0</v>
      </c>
      <c r="BC130" s="983">
        <f t="shared" si="2"/>
        <v>0</v>
      </c>
      <c r="BD130" s="983">
        <f t="shared" si="3"/>
        <v>0</v>
      </c>
      <c r="BE130" s="983">
        <f t="shared" si="20"/>
        <v>0</v>
      </c>
      <c r="BF130" s="871">
        <f t="shared" si="21"/>
        <v>14</v>
      </c>
    </row>
    <row r="131" spans="1:58" s="8" customFormat="1" ht="20.100000000000001" customHeight="1">
      <c r="A131" s="956"/>
      <c r="B131" s="995">
        <v>5</v>
      </c>
      <c r="C131" s="956">
        <v>213</v>
      </c>
      <c r="D131" s="957"/>
      <c r="E131" s="957"/>
      <c r="F131" s="956"/>
      <c r="G131" s="958" t="s">
        <v>1335</v>
      </c>
      <c r="H131" s="958">
        <v>0</v>
      </c>
      <c r="I131" s="958" t="s">
        <v>1335</v>
      </c>
      <c r="J131" s="958" t="s">
        <v>1335</v>
      </c>
      <c r="K131" s="958" t="s">
        <v>1335</v>
      </c>
      <c r="L131" s="958">
        <v>0</v>
      </c>
      <c r="M131" s="958" t="s">
        <v>1335</v>
      </c>
      <c r="N131" s="958" t="s">
        <v>1335</v>
      </c>
      <c r="O131" s="958" t="s">
        <v>1335</v>
      </c>
      <c r="P131" s="958" t="s">
        <v>1335</v>
      </c>
      <c r="Q131" s="958" t="s">
        <v>1335</v>
      </c>
      <c r="R131" s="958" t="s">
        <v>1335</v>
      </c>
      <c r="S131" s="958" t="s">
        <v>1335</v>
      </c>
      <c r="T131" s="958" t="s">
        <v>1335</v>
      </c>
      <c r="U131" s="958" t="s">
        <v>1335</v>
      </c>
      <c r="V131" s="966"/>
      <c r="W131" s="966" t="s">
        <v>1335</v>
      </c>
      <c r="X131" s="966"/>
      <c r="Y131" s="970"/>
      <c r="Z131" s="966"/>
      <c r="AA131" s="971"/>
      <c r="AB131" s="972"/>
      <c r="AC131" s="972"/>
      <c r="AD131" s="972"/>
      <c r="AE131" s="972"/>
      <c r="AF131" s="972"/>
      <c r="AG131" s="972"/>
      <c r="AH131" s="972"/>
      <c r="AI131" s="972"/>
      <c r="AJ131" s="972"/>
      <c r="AK131" s="972"/>
      <c r="AL131" s="972"/>
      <c r="AM131" s="972"/>
      <c r="AN131" s="972"/>
      <c r="AO131" s="972"/>
      <c r="AP131" s="972"/>
      <c r="AQ131" s="956">
        <f t="shared" si="16"/>
        <v>13</v>
      </c>
      <c r="AR131" s="956">
        <f t="shared" si="17"/>
        <v>1</v>
      </c>
      <c r="AS131" s="956">
        <f t="shared" si="18"/>
        <v>14</v>
      </c>
      <c r="AT131" s="956">
        <v>12</v>
      </c>
      <c r="AU131" s="981"/>
      <c r="AV131" s="981"/>
      <c r="AW131" s="981"/>
      <c r="AX131" s="993"/>
      <c r="AY131" s="993"/>
      <c r="AZ131" s="833">
        <f t="shared" si="19"/>
        <v>0</v>
      </c>
      <c r="BA131" s="983">
        <f t="shared" si="0"/>
        <v>0</v>
      </c>
      <c r="BB131" s="983">
        <f t="shared" si="1"/>
        <v>0</v>
      </c>
      <c r="BC131" s="983">
        <f t="shared" si="2"/>
        <v>0</v>
      </c>
      <c r="BD131" s="983">
        <f t="shared" si="3"/>
        <v>0</v>
      </c>
      <c r="BE131" s="983">
        <f t="shared" si="20"/>
        <v>0</v>
      </c>
      <c r="BF131" s="871">
        <f t="shared" si="21"/>
        <v>14</v>
      </c>
    </row>
    <row r="132" spans="1:58" s="8" customFormat="1" ht="20.100000000000001" customHeight="1">
      <c r="A132" s="956"/>
      <c r="B132" s="995">
        <v>5</v>
      </c>
      <c r="C132" s="956">
        <v>214</v>
      </c>
      <c r="D132" s="957"/>
      <c r="E132" s="957"/>
      <c r="F132" s="956"/>
      <c r="G132" s="958" t="s">
        <v>1335</v>
      </c>
      <c r="H132" s="958" t="s">
        <v>1335</v>
      </c>
      <c r="I132" s="958" t="s">
        <v>1335</v>
      </c>
      <c r="J132" s="958" t="s">
        <v>1335</v>
      </c>
      <c r="K132" s="958" t="s">
        <v>1335</v>
      </c>
      <c r="L132" s="958" t="s">
        <v>1335</v>
      </c>
      <c r="M132" s="958" t="s">
        <v>1335</v>
      </c>
      <c r="N132" s="958" t="s">
        <v>1335</v>
      </c>
      <c r="O132" s="958" t="s">
        <v>1335</v>
      </c>
      <c r="P132" s="958" t="s">
        <v>1335</v>
      </c>
      <c r="Q132" s="958" t="s">
        <v>1335</v>
      </c>
      <c r="R132" s="958" t="s">
        <v>1335</v>
      </c>
      <c r="S132" s="958" t="s">
        <v>1335</v>
      </c>
      <c r="T132" s="958" t="s">
        <v>1335</v>
      </c>
      <c r="U132" s="958" t="s">
        <v>1335</v>
      </c>
      <c r="V132" s="966"/>
      <c r="W132" s="966" t="s">
        <v>1335</v>
      </c>
      <c r="X132" s="966"/>
      <c r="Y132" s="970"/>
      <c r="Z132" s="966"/>
      <c r="AA132" s="971"/>
      <c r="AB132" s="972"/>
      <c r="AC132" s="972"/>
      <c r="AD132" s="972"/>
      <c r="AE132" s="972"/>
      <c r="AF132" s="972"/>
      <c r="AG132" s="972"/>
      <c r="AH132" s="972"/>
      <c r="AI132" s="972"/>
      <c r="AJ132" s="972"/>
      <c r="AK132" s="972"/>
      <c r="AL132" s="972"/>
      <c r="AM132" s="972"/>
      <c r="AN132" s="972"/>
      <c r="AO132" s="972"/>
      <c r="AP132" s="972"/>
      <c r="AQ132" s="956">
        <f t="shared" si="16"/>
        <v>15</v>
      </c>
      <c r="AR132" s="956">
        <f t="shared" si="17"/>
        <v>1</v>
      </c>
      <c r="AS132" s="956">
        <f t="shared" si="18"/>
        <v>16</v>
      </c>
      <c r="AT132" s="956">
        <v>12</v>
      </c>
      <c r="AU132" s="981"/>
      <c r="AV132" s="981"/>
      <c r="AW132" s="981"/>
      <c r="AX132" s="993"/>
      <c r="AY132" s="993"/>
      <c r="AZ132" s="833">
        <f t="shared" si="19"/>
        <v>0</v>
      </c>
      <c r="BA132" s="983">
        <f t="shared" si="0"/>
        <v>0</v>
      </c>
      <c r="BB132" s="983">
        <f t="shared" si="1"/>
        <v>0</v>
      </c>
      <c r="BC132" s="983">
        <f t="shared" si="2"/>
        <v>0</v>
      </c>
      <c r="BD132" s="983">
        <f t="shared" si="3"/>
        <v>0</v>
      </c>
      <c r="BE132" s="983">
        <f t="shared" si="20"/>
        <v>0</v>
      </c>
      <c r="BF132" s="871">
        <f t="shared" si="21"/>
        <v>16</v>
      </c>
    </row>
    <row r="133" spans="1:58" s="8" customFormat="1" ht="20.100000000000001" customHeight="1">
      <c r="A133" s="956"/>
      <c r="B133" s="997">
        <v>7</v>
      </c>
      <c r="C133" s="956">
        <v>251</v>
      </c>
      <c r="D133" s="957"/>
      <c r="E133" s="957"/>
      <c r="F133" s="956"/>
      <c r="G133" s="958" t="s">
        <v>1335</v>
      </c>
      <c r="H133" s="958" t="s">
        <v>1335</v>
      </c>
      <c r="I133" s="958" t="s">
        <v>1335</v>
      </c>
      <c r="J133" s="958" t="s">
        <v>1335</v>
      </c>
      <c r="K133" s="958">
        <v>0</v>
      </c>
      <c r="L133" s="958">
        <v>0</v>
      </c>
      <c r="M133" s="958">
        <v>0</v>
      </c>
      <c r="N133" s="958">
        <v>0</v>
      </c>
      <c r="O133" s="958">
        <v>0</v>
      </c>
      <c r="P133" s="958">
        <v>0</v>
      </c>
      <c r="Q133" s="958">
        <v>0</v>
      </c>
      <c r="R133" s="958">
        <v>0</v>
      </c>
      <c r="S133" s="958">
        <v>0</v>
      </c>
      <c r="T133" s="958" t="s">
        <v>1335</v>
      </c>
      <c r="U133" s="958" t="s">
        <v>1335</v>
      </c>
      <c r="V133" s="966"/>
      <c r="W133" s="966"/>
      <c r="X133" s="966"/>
      <c r="Y133" s="970"/>
      <c r="Z133" s="966"/>
      <c r="AA133" s="971"/>
      <c r="AB133" s="972"/>
      <c r="AC133" s="972"/>
      <c r="AD133" s="972"/>
      <c r="AE133" s="972"/>
      <c r="AF133" s="972"/>
      <c r="AG133" s="972"/>
      <c r="AH133" s="972"/>
      <c r="AI133" s="972"/>
      <c r="AJ133" s="972"/>
      <c r="AK133" s="972"/>
      <c r="AL133" s="972"/>
      <c r="AM133" s="972"/>
      <c r="AN133" s="972"/>
      <c r="AO133" s="972"/>
      <c r="AP133" s="972"/>
      <c r="AQ133" s="956">
        <f t="shared" si="16"/>
        <v>6</v>
      </c>
      <c r="AR133" s="956">
        <f t="shared" si="17"/>
        <v>0</v>
      </c>
      <c r="AS133" s="956">
        <f t="shared" si="18"/>
        <v>6</v>
      </c>
      <c r="AT133" s="956">
        <v>12</v>
      </c>
      <c r="AU133" s="981"/>
      <c r="AV133" s="981"/>
      <c r="AW133" s="981"/>
      <c r="AX133" s="993"/>
      <c r="AY133" s="993"/>
      <c r="AZ133" s="833">
        <f t="shared" si="19"/>
        <v>0</v>
      </c>
      <c r="BA133" s="983">
        <f t="shared" si="0"/>
        <v>0</v>
      </c>
      <c r="BB133" s="983">
        <f t="shared" si="1"/>
        <v>0</v>
      </c>
      <c r="BC133" s="983">
        <f t="shared" si="2"/>
        <v>0</v>
      </c>
      <c r="BD133" s="983">
        <f t="shared" si="3"/>
        <v>0</v>
      </c>
      <c r="BE133" s="983">
        <f t="shared" si="20"/>
        <v>0</v>
      </c>
      <c r="BF133" s="871">
        <f t="shared" si="21"/>
        <v>0</v>
      </c>
    </row>
    <row r="134" spans="1:58" s="8" customFormat="1" ht="20.100000000000001" customHeight="1">
      <c r="A134" s="956"/>
      <c r="B134" s="997">
        <v>7</v>
      </c>
      <c r="C134" s="956">
        <v>252</v>
      </c>
      <c r="D134" s="957"/>
      <c r="E134" s="957"/>
      <c r="F134" s="956"/>
      <c r="G134" s="958">
        <v>0</v>
      </c>
      <c r="H134" s="958" t="s">
        <v>1335</v>
      </c>
      <c r="I134" s="958" t="s">
        <v>1335</v>
      </c>
      <c r="J134" s="958" t="s">
        <v>1335</v>
      </c>
      <c r="K134" s="958">
        <v>0</v>
      </c>
      <c r="L134" s="958">
        <v>0</v>
      </c>
      <c r="M134" s="958">
        <v>0</v>
      </c>
      <c r="N134" s="958">
        <v>0</v>
      </c>
      <c r="O134" s="958">
        <v>0</v>
      </c>
      <c r="P134" s="958">
        <v>0</v>
      </c>
      <c r="Q134" s="958">
        <v>0</v>
      </c>
      <c r="R134" s="958">
        <v>0</v>
      </c>
      <c r="S134" s="958">
        <v>0</v>
      </c>
      <c r="T134" s="958" t="s">
        <v>1335</v>
      </c>
      <c r="U134" s="958" t="s">
        <v>1335</v>
      </c>
      <c r="V134" s="966"/>
      <c r="W134" s="966"/>
      <c r="X134" s="966"/>
      <c r="Y134" s="970"/>
      <c r="Z134" s="966"/>
      <c r="AA134" s="971"/>
      <c r="AB134" s="972"/>
      <c r="AC134" s="972"/>
      <c r="AD134" s="972"/>
      <c r="AE134" s="972"/>
      <c r="AF134" s="972"/>
      <c r="AG134" s="972"/>
      <c r="AH134" s="972"/>
      <c r="AI134" s="972"/>
      <c r="AJ134" s="972"/>
      <c r="AK134" s="972"/>
      <c r="AL134" s="972"/>
      <c r="AM134" s="972"/>
      <c r="AN134" s="972"/>
      <c r="AO134" s="972"/>
      <c r="AP134" s="972"/>
      <c r="AQ134" s="956">
        <f t="shared" si="16"/>
        <v>5</v>
      </c>
      <c r="AR134" s="956">
        <f t="shared" si="17"/>
        <v>0</v>
      </c>
      <c r="AS134" s="956">
        <f t="shared" si="18"/>
        <v>5</v>
      </c>
      <c r="AT134" s="956">
        <v>12</v>
      </c>
      <c r="AU134" s="981"/>
      <c r="AV134" s="981"/>
      <c r="AW134" s="981"/>
      <c r="AX134" s="993"/>
      <c r="AY134" s="993"/>
      <c r="AZ134" s="833">
        <f t="shared" si="19"/>
        <v>0</v>
      </c>
      <c r="BA134" s="983">
        <f t="shared" si="0"/>
        <v>0</v>
      </c>
      <c r="BB134" s="983">
        <f t="shared" si="1"/>
        <v>0</v>
      </c>
      <c r="BC134" s="983">
        <f t="shared" si="2"/>
        <v>0</v>
      </c>
      <c r="BD134" s="983">
        <f t="shared" si="3"/>
        <v>0</v>
      </c>
      <c r="BE134" s="983">
        <f t="shared" si="20"/>
        <v>0</v>
      </c>
      <c r="BF134" s="871">
        <f t="shared" si="21"/>
        <v>0</v>
      </c>
    </row>
    <row r="135" spans="1:58" s="8" customFormat="1" ht="20.100000000000001" customHeight="1">
      <c r="A135" s="956"/>
      <c r="B135" s="997">
        <v>7</v>
      </c>
      <c r="C135" s="956">
        <v>253</v>
      </c>
      <c r="D135" s="957"/>
      <c r="E135" s="957"/>
      <c r="F135" s="956"/>
      <c r="G135" s="958">
        <v>0</v>
      </c>
      <c r="H135" s="958" t="s">
        <v>1335</v>
      </c>
      <c r="I135" s="958" t="s">
        <v>1335</v>
      </c>
      <c r="J135" s="958" t="s">
        <v>1335</v>
      </c>
      <c r="K135" s="958">
        <v>0</v>
      </c>
      <c r="L135" s="958">
        <v>0</v>
      </c>
      <c r="M135" s="958">
        <v>0</v>
      </c>
      <c r="N135" s="958">
        <v>0</v>
      </c>
      <c r="O135" s="958">
        <v>0</v>
      </c>
      <c r="P135" s="958">
        <v>0</v>
      </c>
      <c r="Q135" s="958">
        <v>0</v>
      </c>
      <c r="R135" s="958">
        <v>0</v>
      </c>
      <c r="S135" s="958">
        <v>0</v>
      </c>
      <c r="T135" s="958" t="s">
        <v>1335</v>
      </c>
      <c r="U135" s="958" t="s">
        <v>1335</v>
      </c>
      <c r="V135" s="966"/>
      <c r="W135" s="966"/>
      <c r="X135" s="966"/>
      <c r="Y135" s="970"/>
      <c r="Z135" s="966"/>
      <c r="AA135" s="971"/>
      <c r="AB135" s="972"/>
      <c r="AC135" s="972"/>
      <c r="AD135" s="972"/>
      <c r="AE135" s="972"/>
      <c r="AF135" s="972"/>
      <c r="AG135" s="972"/>
      <c r="AH135" s="972"/>
      <c r="AI135" s="972"/>
      <c r="AJ135" s="972"/>
      <c r="AK135" s="972"/>
      <c r="AL135" s="972"/>
      <c r="AM135" s="972"/>
      <c r="AN135" s="972"/>
      <c r="AO135" s="972"/>
      <c r="AP135" s="972"/>
      <c r="AQ135" s="956">
        <f t="shared" si="16"/>
        <v>5</v>
      </c>
      <c r="AR135" s="956">
        <f t="shared" si="17"/>
        <v>0</v>
      </c>
      <c r="AS135" s="956">
        <f t="shared" si="18"/>
        <v>5</v>
      </c>
      <c r="AT135" s="956">
        <v>12</v>
      </c>
      <c r="AU135" s="981"/>
      <c r="AV135" s="981"/>
      <c r="AW135" s="981"/>
      <c r="AX135" s="993"/>
      <c r="AY135" s="993"/>
      <c r="AZ135" s="833">
        <f t="shared" si="19"/>
        <v>0</v>
      </c>
      <c r="BA135" s="983">
        <f t="shared" si="0"/>
        <v>0</v>
      </c>
      <c r="BB135" s="983">
        <f t="shared" si="1"/>
        <v>0</v>
      </c>
      <c r="BC135" s="983">
        <f t="shared" si="2"/>
        <v>0</v>
      </c>
      <c r="BD135" s="983">
        <f t="shared" si="3"/>
        <v>0</v>
      </c>
      <c r="BE135" s="983">
        <f t="shared" si="20"/>
        <v>0</v>
      </c>
      <c r="BF135" s="871">
        <f t="shared" si="21"/>
        <v>0</v>
      </c>
    </row>
    <row r="136" spans="1:58" s="8" customFormat="1" ht="20.100000000000001" customHeight="1">
      <c r="A136" s="956"/>
      <c r="B136" s="997">
        <v>7</v>
      </c>
      <c r="C136" s="956">
        <v>254</v>
      </c>
      <c r="D136" s="957"/>
      <c r="E136" s="957"/>
      <c r="F136" s="956"/>
      <c r="G136" s="958" t="s">
        <v>1335</v>
      </c>
      <c r="H136" s="958" t="s">
        <v>1335</v>
      </c>
      <c r="I136" s="958" t="s">
        <v>1335</v>
      </c>
      <c r="J136" s="958">
        <v>0</v>
      </c>
      <c r="K136" s="958" t="s">
        <v>1335</v>
      </c>
      <c r="L136" s="958" t="s">
        <v>1335</v>
      </c>
      <c r="M136" s="958" t="s">
        <v>1335</v>
      </c>
      <c r="N136" s="958">
        <v>0</v>
      </c>
      <c r="O136" s="958" t="s">
        <v>1335</v>
      </c>
      <c r="P136" s="958" t="s">
        <v>1335</v>
      </c>
      <c r="Q136" s="958" t="s">
        <v>1335</v>
      </c>
      <c r="R136" s="958" t="s">
        <v>1335</v>
      </c>
      <c r="S136" s="958">
        <v>0</v>
      </c>
      <c r="T136" s="958">
        <v>0</v>
      </c>
      <c r="U136" s="958">
        <v>0</v>
      </c>
      <c r="V136" s="966"/>
      <c r="W136" s="966"/>
      <c r="X136" s="966"/>
      <c r="Y136" s="970"/>
      <c r="Z136" s="966"/>
      <c r="AA136" s="971"/>
      <c r="AB136" s="972"/>
      <c r="AC136" s="972"/>
      <c r="AD136" s="972"/>
      <c r="AE136" s="972"/>
      <c r="AF136" s="972"/>
      <c r="AG136" s="972"/>
      <c r="AH136" s="972"/>
      <c r="AI136" s="972"/>
      <c r="AJ136" s="972"/>
      <c r="AK136" s="972"/>
      <c r="AL136" s="972"/>
      <c r="AM136" s="972"/>
      <c r="AN136" s="972"/>
      <c r="AO136" s="972"/>
      <c r="AP136" s="972"/>
      <c r="AQ136" s="956">
        <f t="shared" si="16"/>
        <v>10</v>
      </c>
      <c r="AR136" s="956">
        <f t="shared" si="17"/>
        <v>0</v>
      </c>
      <c r="AS136" s="956">
        <f t="shared" si="18"/>
        <v>10</v>
      </c>
      <c r="AT136" s="982">
        <v>9</v>
      </c>
      <c r="AU136" s="981"/>
      <c r="AV136" s="981"/>
      <c r="AW136" s="981"/>
      <c r="AX136" s="993"/>
      <c r="AY136" s="993"/>
      <c r="AZ136" s="833">
        <f t="shared" si="19"/>
        <v>0</v>
      </c>
      <c r="BA136" s="983">
        <f t="shared" si="0"/>
        <v>0</v>
      </c>
      <c r="BB136" s="983">
        <f t="shared" si="1"/>
        <v>0</v>
      </c>
      <c r="BC136" s="983">
        <f t="shared" si="2"/>
        <v>0</v>
      </c>
      <c r="BD136" s="983">
        <f t="shared" si="3"/>
        <v>0</v>
      </c>
      <c r="BE136" s="983">
        <f t="shared" si="20"/>
        <v>0</v>
      </c>
      <c r="BF136" s="871">
        <f t="shared" si="21"/>
        <v>0</v>
      </c>
    </row>
    <row r="137" spans="1:58" s="8" customFormat="1" ht="20.100000000000001" customHeight="1">
      <c r="A137" s="956"/>
      <c r="B137" s="997">
        <v>7</v>
      </c>
      <c r="C137" s="956">
        <v>255</v>
      </c>
      <c r="D137" s="957"/>
      <c r="E137" s="957"/>
      <c r="F137" s="956"/>
      <c r="G137" s="958" t="s">
        <v>1335</v>
      </c>
      <c r="H137" s="958" t="s">
        <v>1335</v>
      </c>
      <c r="I137" s="958" t="s">
        <v>1335</v>
      </c>
      <c r="J137" s="958" t="s">
        <v>1335</v>
      </c>
      <c r="K137" s="958" t="s">
        <v>1335</v>
      </c>
      <c r="L137" s="958" t="s">
        <v>1335</v>
      </c>
      <c r="M137" s="958" t="s">
        <v>1335</v>
      </c>
      <c r="N137" s="958">
        <v>0</v>
      </c>
      <c r="O137" s="958" t="s">
        <v>1335</v>
      </c>
      <c r="P137" s="958" t="s">
        <v>1335</v>
      </c>
      <c r="Q137" s="958" t="s">
        <v>1335</v>
      </c>
      <c r="R137" s="958" t="s">
        <v>1335</v>
      </c>
      <c r="S137" s="958" t="s">
        <v>1335</v>
      </c>
      <c r="T137" s="958" t="s">
        <v>1335</v>
      </c>
      <c r="U137" s="958" t="s">
        <v>1335</v>
      </c>
      <c r="V137" s="966"/>
      <c r="W137" s="966"/>
      <c r="X137" s="966"/>
      <c r="Y137" s="970"/>
      <c r="Z137" s="966"/>
      <c r="AA137" s="971"/>
      <c r="AB137" s="972"/>
      <c r="AC137" s="972"/>
      <c r="AD137" s="972"/>
      <c r="AE137" s="972"/>
      <c r="AF137" s="972"/>
      <c r="AG137" s="972"/>
      <c r="AH137" s="972"/>
      <c r="AI137" s="972"/>
      <c r="AJ137" s="972"/>
      <c r="AK137" s="972"/>
      <c r="AL137" s="972"/>
      <c r="AM137" s="972"/>
      <c r="AN137" s="972"/>
      <c r="AO137" s="972"/>
      <c r="AP137" s="972"/>
      <c r="AQ137" s="956">
        <f t="shared" si="16"/>
        <v>14</v>
      </c>
      <c r="AR137" s="956">
        <f t="shared" si="17"/>
        <v>0</v>
      </c>
      <c r="AS137" s="956">
        <f t="shared" si="18"/>
        <v>14</v>
      </c>
      <c r="AT137" s="982">
        <v>0</v>
      </c>
      <c r="AU137" s="981"/>
      <c r="AV137" s="981"/>
      <c r="AW137" s="981"/>
      <c r="AX137" s="993"/>
      <c r="AY137" s="993"/>
      <c r="AZ137" s="833">
        <f t="shared" si="19"/>
        <v>0</v>
      </c>
      <c r="BA137" s="983">
        <f t="shared" si="0"/>
        <v>0</v>
      </c>
      <c r="BB137" s="983">
        <f t="shared" si="1"/>
        <v>0</v>
      </c>
      <c r="BC137" s="983">
        <f t="shared" si="2"/>
        <v>0</v>
      </c>
      <c r="BD137" s="983">
        <f t="shared" si="3"/>
        <v>0</v>
      </c>
      <c r="BE137" s="983">
        <f t="shared" si="20"/>
        <v>0</v>
      </c>
      <c r="BF137" s="871">
        <f t="shared" si="21"/>
        <v>14</v>
      </c>
    </row>
    <row r="138" spans="1:58" s="8" customFormat="1" ht="20.100000000000001" customHeight="1">
      <c r="A138" s="956"/>
      <c r="B138" s="997">
        <v>7</v>
      </c>
      <c r="C138" s="956">
        <v>256</v>
      </c>
      <c r="D138" s="957"/>
      <c r="E138" s="957"/>
      <c r="F138" s="956"/>
      <c r="G138" s="958" t="s">
        <v>1335</v>
      </c>
      <c r="H138" s="958" t="s">
        <v>1335</v>
      </c>
      <c r="I138" s="958" t="s">
        <v>1335</v>
      </c>
      <c r="J138" s="958">
        <v>0</v>
      </c>
      <c r="K138" s="958" t="s">
        <v>1335</v>
      </c>
      <c r="L138" s="958" t="s">
        <v>1335</v>
      </c>
      <c r="M138" s="958" t="s">
        <v>1335</v>
      </c>
      <c r="N138" s="958" t="s">
        <v>1335</v>
      </c>
      <c r="O138" s="958" t="s">
        <v>1335</v>
      </c>
      <c r="P138" s="958" t="s">
        <v>1335</v>
      </c>
      <c r="Q138" s="958" t="s">
        <v>1335</v>
      </c>
      <c r="R138" s="958" t="s">
        <v>1335</v>
      </c>
      <c r="S138" s="958" t="s">
        <v>1335</v>
      </c>
      <c r="T138" s="958" t="s">
        <v>1335</v>
      </c>
      <c r="U138" s="958" t="s">
        <v>1335</v>
      </c>
      <c r="V138" s="966"/>
      <c r="W138" s="966"/>
      <c r="X138" s="966"/>
      <c r="Y138" s="970"/>
      <c r="Z138" s="966"/>
      <c r="AA138" s="971"/>
      <c r="AB138" s="972"/>
      <c r="AC138" s="972"/>
      <c r="AD138" s="972"/>
      <c r="AE138" s="972"/>
      <c r="AF138" s="972"/>
      <c r="AG138" s="972"/>
      <c r="AH138" s="972"/>
      <c r="AI138" s="972"/>
      <c r="AJ138" s="972"/>
      <c r="AK138" s="972"/>
      <c r="AL138" s="972"/>
      <c r="AM138" s="972"/>
      <c r="AN138" s="972"/>
      <c r="AO138" s="972"/>
      <c r="AP138" s="972"/>
      <c r="AQ138" s="956">
        <f t="shared" si="16"/>
        <v>14</v>
      </c>
      <c r="AR138" s="956">
        <f t="shared" si="17"/>
        <v>0</v>
      </c>
      <c r="AS138" s="956">
        <f t="shared" si="18"/>
        <v>14</v>
      </c>
      <c r="AT138" s="956">
        <v>12</v>
      </c>
      <c r="AU138" s="981"/>
      <c r="AV138" s="981"/>
      <c r="AW138" s="981"/>
      <c r="AX138" s="993"/>
      <c r="AY138" s="993"/>
      <c r="AZ138" s="833">
        <f t="shared" si="19"/>
        <v>0</v>
      </c>
      <c r="BA138" s="983">
        <f t="shared" si="0"/>
        <v>0</v>
      </c>
      <c r="BB138" s="983">
        <f t="shared" si="1"/>
        <v>0</v>
      </c>
      <c r="BC138" s="983">
        <f t="shared" si="2"/>
        <v>0</v>
      </c>
      <c r="BD138" s="983">
        <f t="shared" si="3"/>
        <v>0</v>
      </c>
      <c r="BE138" s="983">
        <f t="shared" si="20"/>
        <v>0</v>
      </c>
      <c r="BF138" s="871">
        <f t="shared" si="21"/>
        <v>14</v>
      </c>
    </row>
    <row r="139" spans="1:58" s="8" customFormat="1" ht="20.100000000000001" customHeight="1">
      <c r="A139" s="956"/>
      <c r="B139" s="997">
        <v>7</v>
      </c>
      <c r="C139" s="956">
        <v>257</v>
      </c>
      <c r="D139" s="957"/>
      <c r="E139" s="957"/>
      <c r="F139" s="956"/>
      <c r="G139" s="958" t="s">
        <v>1335</v>
      </c>
      <c r="H139" s="958" t="s">
        <v>1335</v>
      </c>
      <c r="I139" s="958" t="s">
        <v>1335</v>
      </c>
      <c r="J139" s="958">
        <v>0</v>
      </c>
      <c r="K139" s="958" t="s">
        <v>1335</v>
      </c>
      <c r="L139" s="958" t="s">
        <v>1335</v>
      </c>
      <c r="M139" s="958">
        <v>0</v>
      </c>
      <c r="N139" s="958" t="s">
        <v>1335</v>
      </c>
      <c r="O139" s="958" t="s">
        <v>1335</v>
      </c>
      <c r="P139" s="958" t="s">
        <v>1335</v>
      </c>
      <c r="Q139" s="958" t="s">
        <v>1335</v>
      </c>
      <c r="R139" s="958" t="s">
        <v>1335</v>
      </c>
      <c r="S139" s="958" t="s">
        <v>1335</v>
      </c>
      <c r="T139" s="958" t="s">
        <v>1335</v>
      </c>
      <c r="U139" s="958" t="s">
        <v>1335</v>
      </c>
      <c r="V139" s="966"/>
      <c r="W139" s="966"/>
      <c r="X139" s="966"/>
      <c r="Y139" s="970"/>
      <c r="Z139" s="966"/>
      <c r="AA139" s="971"/>
      <c r="AB139" s="972"/>
      <c r="AC139" s="972"/>
      <c r="AD139" s="972"/>
      <c r="AE139" s="972"/>
      <c r="AF139" s="972"/>
      <c r="AG139" s="972"/>
      <c r="AH139" s="972"/>
      <c r="AI139" s="972"/>
      <c r="AJ139" s="972"/>
      <c r="AK139" s="972"/>
      <c r="AL139" s="972"/>
      <c r="AM139" s="972"/>
      <c r="AN139" s="972"/>
      <c r="AO139" s="972"/>
      <c r="AP139" s="972"/>
      <c r="AQ139" s="956">
        <f t="shared" si="16"/>
        <v>13</v>
      </c>
      <c r="AR139" s="956">
        <f t="shared" si="17"/>
        <v>0</v>
      </c>
      <c r="AS139" s="956">
        <f t="shared" si="18"/>
        <v>13</v>
      </c>
      <c r="AT139" s="956">
        <v>12</v>
      </c>
      <c r="AU139" s="981"/>
      <c r="AV139" s="981"/>
      <c r="AW139" s="981"/>
      <c r="AX139" s="993"/>
      <c r="AY139" s="993"/>
      <c r="AZ139" s="833">
        <f t="shared" si="19"/>
        <v>0</v>
      </c>
      <c r="BA139" s="983">
        <f t="shared" si="0"/>
        <v>0</v>
      </c>
      <c r="BB139" s="983">
        <f t="shared" si="1"/>
        <v>0</v>
      </c>
      <c r="BC139" s="983">
        <f t="shared" si="2"/>
        <v>0</v>
      </c>
      <c r="BD139" s="983">
        <f t="shared" si="3"/>
        <v>0</v>
      </c>
      <c r="BE139" s="983">
        <f t="shared" si="20"/>
        <v>0</v>
      </c>
      <c r="BF139" s="871">
        <f t="shared" si="21"/>
        <v>13</v>
      </c>
    </row>
    <row r="140" spans="1:58" s="8" customFormat="1" ht="20.100000000000001" customHeight="1">
      <c r="A140" s="956"/>
      <c r="B140" s="997">
        <v>7</v>
      </c>
      <c r="C140" s="956">
        <v>258</v>
      </c>
      <c r="D140" s="957"/>
      <c r="E140" s="957"/>
      <c r="F140" s="956"/>
      <c r="G140" s="958" t="s">
        <v>1335</v>
      </c>
      <c r="H140" s="958">
        <v>0</v>
      </c>
      <c r="I140" s="958" t="s">
        <v>1335</v>
      </c>
      <c r="J140" s="958" t="s">
        <v>1335</v>
      </c>
      <c r="K140" s="958">
        <v>0</v>
      </c>
      <c r="L140" s="958">
        <v>0</v>
      </c>
      <c r="M140" s="958">
        <v>0</v>
      </c>
      <c r="N140" s="958">
        <v>0</v>
      </c>
      <c r="O140" s="958">
        <v>0</v>
      </c>
      <c r="P140" s="958">
        <v>0</v>
      </c>
      <c r="Q140" s="958">
        <v>0</v>
      </c>
      <c r="R140" s="958">
        <v>0</v>
      </c>
      <c r="S140" s="958">
        <v>0</v>
      </c>
      <c r="T140" s="958" t="s">
        <v>1335</v>
      </c>
      <c r="U140" s="958" t="s">
        <v>1335</v>
      </c>
      <c r="V140" s="966"/>
      <c r="W140" s="966"/>
      <c r="X140" s="966"/>
      <c r="Y140" s="970"/>
      <c r="Z140" s="966"/>
      <c r="AA140" s="971"/>
      <c r="AB140" s="972"/>
      <c r="AC140" s="972"/>
      <c r="AD140" s="972"/>
      <c r="AE140" s="972"/>
      <c r="AF140" s="972"/>
      <c r="AG140" s="972"/>
      <c r="AH140" s="972"/>
      <c r="AI140" s="972"/>
      <c r="AJ140" s="972"/>
      <c r="AK140" s="972"/>
      <c r="AL140" s="972"/>
      <c r="AM140" s="972"/>
      <c r="AN140" s="972"/>
      <c r="AO140" s="972"/>
      <c r="AP140" s="972"/>
      <c r="AQ140" s="956">
        <f t="shared" si="16"/>
        <v>5</v>
      </c>
      <c r="AR140" s="956">
        <f t="shared" si="17"/>
        <v>0</v>
      </c>
      <c r="AS140" s="956">
        <f t="shared" si="18"/>
        <v>5</v>
      </c>
      <c r="AT140" s="956">
        <v>12</v>
      </c>
      <c r="AU140" s="981"/>
      <c r="AV140" s="981"/>
      <c r="AW140" s="981"/>
      <c r="AX140" s="993"/>
      <c r="AY140" s="993"/>
      <c r="AZ140" s="833">
        <f t="shared" si="19"/>
        <v>0</v>
      </c>
      <c r="BA140" s="983">
        <f t="shared" si="0"/>
        <v>0</v>
      </c>
      <c r="BB140" s="983">
        <f t="shared" si="1"/>
        <v>0</v>
      </c>
      <c r="BC140" s="983">
        <f t="shared" si="2"/>
        <v>0</v>
      </c>
      <c r="BD140" s="983">
        <f t="shared" si="3"/>
        <v>0</v>
      </c>
      <c r="BE140" s="983">
        <f t="shared" si="20"/>
        <v>0</v>
      </c>
      <c r="BF140" s="871">
        <f t="shared" si="21"/>
        <v>0</v>
      </c>
    </row>
    <row r="141" spans="1:58" s="8" customFormat="1" ht="20.100000000000001" customHeight="1">
      <c r="A141" s="956"/>
      <c r="B141" s="997">
        <v>7</v>
      </c>
      <c r="C141" s="956">
        <v>259</v>
      </c>
      <c r="D141" s="957"/>
      <c r="E141" s="957"/>
      <c r="F141" s="956"/>
      <c r="G141" s="958" t="s">
        <v>1335</v>
      </c>
      <c r="H141" s="958" t="s">
        <v>1335</v>
      </c>
      <c r="I141" s="958">
        <v>0</v>
      </c>
      <c r="J141" s="958">
        <v>0</v>
      </c>
      <c r="K141" s="958" t="s">
        <v>1335</v>
      </c>
      <c r="L141" s="958" t="s">
        <v>1335</v>
      </c>
      <c r="M141" s="958" t="s">
        <v>1335</v>
      </c>
      <c r="N141" s="958" t="s">
        <v>1335</v>
      </c>
      <c r="O141" s="958" t="s">
        <v>1335</v>
      </c>
      <c r="P141" s="958" t="s">
        <v>1335</v>
      </c>
      <c r="Q141" s="958" t="s">
        <v>1335</v>
      </c>
      <c r="R141" s="958" t="s">
        <v>1335</v>
      </c>
      <c r="S141" s="958" t="s">
        <v>1335</v>
      </c>
      <c r="T141" s="958" t="s">
        <v>1335</v>
      </c>
      <c r="U141" s="958" t="s">
        <v>1335</v>
      </c>
      <c r="V141" s="966"/>
      <c r="W141" s="966"/>
      <c r="X141" s="966"/>
      <c r="Y141" s="970"/>
      <c r="Z141" s="966"/>
      <c r="AA141" s="971"/>
      <c r="AB141" s="972"/>
      <c r="AC141" s="972"/>
      <c r="AD141" s="972"/>
      <c r="AE141" s="972"/>
      <c r="AF141" s="972"/>
      <c r="AG141" s="972"/>
      <c r="AH141" s="972"/>
      <c r="AI141" s="972"/>
      <c r="AJ141" s="972"/>
      <c r="AK141" s="972"/>
      <c r="AL141" s="972"/>
      <c r="AM141" s="972"/>
      <c r="AN141" s="972"/>
      <c r="AO141" s="972"/>
      <c r="AP141" s="972"/>
      <c r="AQ141" s="956">
        <f t="shared" si="16"/>
        <v>13</v>
      </c>
      <c r="AR141" s="956">
        <f t="shared" si="17"/>
        <v>0</v>
      </c>
      <c r="AS141" s="956">
        <f t="shared" si="18"/>
        <v>13</v>
      </c>
      <c r="AT141" s="982">
        <v>8</v>
      </c>
      <c r="AU141" s="981"/>
      <c r="AV141" s="981"/>
      <c r="AW141" s="981"/>
      <c r="AX141" s="993"/>
      <c r="AY141" s="993"/>
      <c r="AZ141" s="833">
        <f t="shared" si="19"/>
        <v>0</v>
      </c>
      <c r="BA141" s="983">
        <f t="shared" si="0"/>
        <v>0</v>
      </c>
      <c r="BB141" s="983">
        <f t="shared" si="1"/>
        <v>0</v>
      </c>
      <c r="BC141" s="983">
        <f t="shared" si="2"/>
        <v>0</v>
      </c>
      <c r="BD141" s="983">
        <f t="shared" si="3"/>
        <v>0</v>
      </c>
      <c r="BE141" s="983">
        <f t="shared" si="20"/>
        <v>0</v>
      </c>
      <c r="BF141" s="871">
        <f t="shared" si="21"/>
        <v>13</v>
      </c>
    </row>
    <row r="142" spans="1:58" s="8" customFormat="1" ht="20.100000000000001" customHeight="1">
      <c r="A142" s="956"/>
      <c r="B142" s="997">
        <v>7</v>
      </c>
      <c r="C142" s="956">
        <v>260</v>
      </c>
      <c r="D142" s="957"/>
      <c r="E142" s="957"/>
      <c r="F142" s="956"/>
      <c r="G142" s="958" t="s">
        <v>1335</v>
      </c>
      <c r="H142" s="958" t="s">
        <v>1335</v>
      </c>
      <c r="I142" s="958">
        <v>0</v>
      </c>
      <c r="J142" s="958">
        <v>0</v>
      </c>
      <c r="K142" s="958" t="s">
        <v>1335</v>
      </c>
      <c r="L142" s="958" t="s">
        <v>1335</v>
      </c>
      <c r="M142" s="958" t="s">
        <v>1335</v>
      </c>
      <c r="N142" s="958" t="s">
        <v>1335</v>
      </c>
      <c r="O142" s="958" t="s">
        <v>1335</v>
      </c>
      <c r="P142" s="958" t="s">
        <v>1335</v>
      </c>
      <c r="Q142" s="958" t="s">
        <v>1335</v>
      </c>
      <c r="R142" s="958" t="s">
        <v>1335</v>
      </c>
      <c r="S142" s="958" t="s">
        <v>1335</v>
      </c>
      <c r="T142" s="958" t="s">
        <v>1335</v>
      </c>
      <c r="U142" s="958" t="s">
        <v>1335</v>
      </c>
      <c r="V142" s="966"/>
      <c r="W142" s="966"/>
      <c r="X142" s="966"/>
      <c r="Y142" s="970"/>
      <c r="Z142" s="966"/>
      <c r="AA142" s="971"/>
      <c r="AB142" s="972"/>
      <c r="AC142" s="972"/>
      <c r="AD142" s="972"/>
      <c r="AE142" s="972"/>
      <c r="AF142" s="972"/>
      <c r="AG142" s="972"/>
      <c r="AH142" s="972"/>
      <c r="AI142" s="972"/>
      <c r="AJ142" s="972"/>
      <c r="AK142" s="972"/>
      <c r="AL142" s="972"/>
      <c r="AM142" s="972"/>
      <c r="AN142" s="972"/>
      <c r="AO142" s="972"/>
      <c r="AP142" s="972"/>
      <c r="AQ142" s="956">
        <f t="shared" si="16"/>
        <v>13</v>
      </c>
      <c r="AR142" s="956">
        <f t="shared" si="17"/>
        <v>0</v>
      </c>
      <c r="AS142" s="956">
        <f t="shared" si="18"/>
        <v>13</v>
      </c>
      <c r="AT142" s="982">
        <v>8</v>
      </c>
      <c r="AU142" s="981"/>
      <c r="AV142" s="981"/>
      <c r="AW142" s="981"/>
      <c r="AX142" s="993"/>
      <c r="AY142" s="993"/>
      <c r="AZ142" s="833">
        <f t="shared" si="19"/>
        <v>0</v>
      </c>
      <c r="BA142" s="983">
        <f t="shared" si="0"/>
        <v>0</v>
      </c>
      <c r="BB142" s="983">
        <f t="shared" si="1"/>
        <v>0</v>
      </c>
      <c r="BC142" s="983">
        <f t="shared" si="2"/>
        <v>0</v>
      </c>
      <c r="BD142" s="983">
        <f t="shared" si="3"/>
        <v>0</v>
      </c>
      <c r="BE142" s="983">
        <f t="shared" si="20"/>
        <v>0</v>
      </c>
      <c r="BF142" s="871">
        <f t="shared" si="21"/>
        <v>13</v>
      </c>
    </row>
    <row r="143" spans="1:58" s="8" customFormat="1" ht="20.100000000000001" customHeight="1">
      <c r="A143" s="956"/>
      <c r="B143" s="997">
        <v>7</v>
      </c>
      <c r="C143" s="956">
        <v>261</v>
      </c>
      <c r="D143" s="957"/>
      <c r="E143" s="957"/>
      <c r="F143" s="956"/>
      <c r="G143" s="958" t="s">
        <v>1335</v>
      </c>
      <c r="H143" s="958" t="s">
        <v>1335</v>
      </c>
      <c r="I143" s="958" t="s">
        <v>1335</v>
      </c>
      <c r="J143" s="958">
        <v>0</v>
      </c>
      <c r="K143" s="958" t="s">
        <v>1335</v>
      </c>
      <c r="L143" s="958" t="s">
        <v>1335</v>
      </c>
      <c r="M143" s="958" t="s">
        <v>1335</v>
      </c>
      <c r="N143" s="958" t="s">
        <v>1335</v>
      </c>
      <c r="O143" s="958" t="s">
        <v>1335</v>
      </c>
      <c r="P143" s="958" t="s">
        <v>1335</v>
      </c>
      <c r="Q143" s="958" t="s">
        <v>1335</v>
      </c>
      <c r="R143" s="958" t="s">
        <v>1335</v>
      </c>
      <c r="S143" s="958" t="s">
        <v>1335</v>
      </c>
      <c r="T143" s="958" t="s">
        <v>1335</v>
      </c>
      <c r="U143" s="958" t="s">
        <v>1335</v>
      </c>
      <c r="V143" s="966"/>
      <c r="W143" s="966"/>
      <c r="X143" s="966"/>
      <c r="Y143" s="970"/>
      <c r="Z143" s="966"/>
      <c r="AA143" s="971"/>
      <c r="AB143" s="972"/>
      <c r="AC143" s="972"/>
      <c r="AD143" s="972"/>
      <c r="AE143" s="972"/>
      <c r="AF143" s="972"/>
      <c r="AG143" s="972"/>
      <c r="AH143" s="972"/>
      <c r="AI143" s="972"/>
      <c r="AJ143" s="972"/>
      <c r="AK143" s="972"/>
      <c r="AL143" s="972"/>
      <c r="AM143" s="972"/>
      <c r="AN143" s="972"/>
      <c r="AO143" s="972"/>
      <c r="AP143" s="972"/>
      <c r="AQ143" s="956">
        <f t="shared" si="16"/>
        <v>14</v>
      </c>
      <c r="AR143" s="956">
        <f t="shared" si="17"/>
        <v>0</v>
      </c>
      <c r="AS143" s="956">
        <f t="shared" si="18"/>
        <v>14</v>
      </c>
      <c r="AT143" s="982">
        <v>10</v>
      </c>
      <c r="AU143" s="981"/>
      <c r="AV143" s="981"/>
      <c r="AW143" s="981"/>
      <c r="AX143" s="993"/>
      <c r="AY143" s="993"/>
      <c r="AZ143" s="833">
        <f t="shared" si="19"/>
        <v>0</v>
      </c>
      <c r="BA143" s="983">
        <f t="shared" si="0"/>
        <v>0</v>
      </c>
      <c r="BB143" s="983">
        <f t="shared" si="1"/>
        <v>0</v>
      </c>
      <c r="BC143" s="983">
        <f t="shared" si="2"/>
        <v>0</v>
      </c>
      <c r="BD143" s="983">
        <f t="shared" si="3"/>
        <v>0</v>
      </c>
      <c r="BE143" s="983">
        <f t="shared" si="20"/>
        <v>0</v>
      </c>
      <c r="BF143" s="871">
        <f t="shared" si="21"/>
        <v>14</v>
      </c>
    </row>
    <row r="144" spans="1:58" s="8" customFormat="1" ht="20.100000000000001" customHeight="1">
      <c r="A144" s="956"/>
      <c r="B144" s="997">
        <v>7</v>
      </c>
      <c r="C144" s="956">
        <v>262</v>
      </c>
      <c r="D144" s="957"/>
      <c r="E144" s="957"/>
      <c r="F144" s="956"/>
      <c r="G144" s="958" t="s">
        <v>1335</v>
      </c>
      <c r="H144" s="958" t="s">
        <v>1335</v>
      </c>
      <c r="I144" s="958" t="s">
        <v>1335</v>
      </c>
      <c r="J144" s="958" t="s">
        <v>1335</v>
      </c>
      <c r="K144" s="958" t="s">
        <v>1335</v>
      </c>
      <c r="L144" s="958" t="s">
        <v>1335</v>
      </c>
      <c r="M144" s="958" t="s">
        <v>1335</v>
      </c>
      <c r="N144" s="958" t="s">
        <v>1335</v>
      </c>
      <c r="O144" s="958" t="s">
        <v>1335</v>
      </c>
      <c r="P144" s="958" t="s">
        <v>1335</v>
      </c>
      <c r="Q144" s="958" t="s">
        <v>1335</v>
      </c>
      <c r="R144" s="958" t="s">
        <v>1335</v>
      </c>
      <c r="S144" s="958" t="s">
        <v>1335</v>
      </c>
      <c r="T144" s="958" t="s">
        <v>1335</v>
      </c>
      <c r="U144" s="958" t="s">
        <v>1335</v>
      </c>
      <c r="V144" s="966"/>
      <c r="W144" s="966"/>
      <c r="X144" s="966"/>
      <c r="Y144" s="970"/>
      <c r="Z144" s="966"/>
      <c r="AA144" s="971"/>
      <c r="AB144" s="972"/>
      <c r="AC144" s="972"/>
      <c r="AD144" s="972"/>
      <c r="AE144" s="972"/>
      <c r="AF144" s="972"/>
      <c r="AG144" s="972"/>
      <c r="AH144" s="972"/>
      <c r="AI144" s="972"/>
      <c r="AJ144" s="972"/>
      <c r="AK144" s="972"/>
      <c r="AL144" s="972"/>
      <c r="AM144" s="972"/>
      <c r="AN144" s="972"/>
      <c r="AO144" s="972"/>
      <c r="AP144" s="972"/>
      <c r="AQ144" s="956">
        <f t="shared" si="16"/>
        <v>15</v>
      </c>
      <c r="AR144" s="956">
        <f t="shared" si="17"/>
        <v>0</v>
      </c>
      <c r="AS144" s="956">
        <f t="shared" si="18"/>
        <v>15</v>
      </c>
      <c r="AT144" s="982">
        <v>10</v>
      </c>
      <c r="AU144" s="981"/>
      <c r="AV144" s="981"/>
      <c r="AW144" s="981"/>
      <c r="AX144" s="993"/>
      <c r="AY144" s="993"/>
      <c r="AZ144" s="833">
        <f t="shared" si="19"/>
        <v>0</v>
      </c>
      <c r="BA144" s="983">
        <f t="shared" si="0"/>
        <v>0</v>
      </c>
      <c r="BB144" s="983">
        <f t="shared" si="1"/>
        <v>0</v>
      </c>
      <c r="BC144" s="983">
        <f t="shared" si="2"/>
        <v>0</v>
      </c>
      <c r="BD144" s="983">
        <f t="shared" si="3"/>
        <v>0</v>
      </c>
      <c r="BE144" s="983">
        <f t="shared" si="20"/>
        <v>0</v>
      </c>
      <c r="BF144" s="871">
        <f t="shared" si="21"/>
        <v>15</v>
      </c>
    </row>
    <row r="145" spans="1:58" s="8" customFormat="1" ht="20.100000000000001" customHeight="1">
      <c r="A145" s="956"/>
      <c r="B145" s="997">
        <v>7</v>
      </c>
      <c r="C145" s="956">
        <v>263</v>
      </c>
      <c r="D145" s="957"/>
      <c r="E145" s="957"/>
      <c r="F145" s="956"/>
      <c r="G145" s="958" t="s">
        <v>1335</v>
      </c>
      <c r="H145" s="958" t="s">
        <v>1335</v>
      </c>
      <c r="I145" s="958" t="s">
        <v>1335</v>
      </c>
      <c r="J145" s="958">
        <v>0</v>
      </c>
      <c r="K145" s="958" t="s">
        <v>1335</v>
      </c>
      <c r="L145" s="958" t="s">
        <v>1335</v>
      </c>
      <c r="M145" s="958" t="s">
        <v>1335</v>
      </c>
      <c r="N145" s="958" t="s">
        <v>1335</v>
      </c>
      <c r="O145" s="958">
        <v>0</v>
      </c>
      <c r="P145" s="958" t="s">
        <v>1335</v>
      </c>
      <c r="Q145" s="958" t="s">
        <v>1335</v>
      </c>
      <c r="R145" s="958" t="s">
        <v>1335</v>
      </c>
      <c r="S145" s="958" t="s">
        <v>1335</v>
      </c>
      <c r="T145" s="958" t="s">
        <v>1335</v>
      </c>
      <c r="U145" s="958" t="s">
        <v>1335</v>
      </c>
      <c r="V145" s="966"/>
      <c r="W145" s="966"/>
      <c r="X145" s="966"/>
      <c r="Y145" s="970"/>
      <c r="Z145" s="966"/>
      <c r="AA145" s="971"/>
      <c r="AB145" s="972"/>
      <c r="AC145" s="972"/>
      <c r="AD145" s="972"/>
      <c r="AE145" s="972"/>
      <c r="AF145" s="972"/>
      <c r="AG145" s="972"/>
      <c r="AH145" s="972"/>
      <c r="AI145" s="972"/>
      <c r="AJ145" s="972"/>
      <c r="AK145" s="972"/>
      <c r="AL145" s="972"/>
      <c r="AM145" s="972"/>
      <c r="AN145" s="972"/>
      <c r="AO145" s="972"/>
      <c r="AP145" s="972"/>
      <c r="AQ145" s="956">
        <f t="shared" si="16"/>
        <v>13</v>
      </c>
      <c r="AR145" s="956">
        <f t="shared" si="17"/>
        <v>0</v>
      </c>
      <c r="AS145" s="956">
        <f t="shared" si="18"/>
        <v>13</v>
      </c>
      <c r="AT145" s="982">
        <v>9</v>
      </c>
      <c r="AU145" s="981"/>
      <c r="AV145" s="981"/>
      <c r="AW145" s="981"/>
      <c r="AX145" s="993"/>
      <c r="AY145" s="993"/>
      <c r="AZ145" s="833">
        <f t="shared" si="19"/>
        <v>0</v>
      </c>
      <c r="BA145" s="983">
        <f t="shared" si="0"/>
        <v>0</v>
      </c>
      <c r="BB145" s="983">
        <f t="shared" si="1"/>
        <v>0</v>
      </c>
      <c r="BC145" s="983">
        <f t="shared" si="2"/>
        <v>0</v>
      </c>
      <c r="BD145" s="983">
        <f t="shared" si="3"/>
        <v>0</v>
      </c>
      <c r="BE145" s="983">
        <f t="shared" si="20"/>
        <v>0</v>
      </c>
      <c r="BF145" s="871">
        <f t="shared" si="21"/>
        <v>13</v>
      </c>
    </row>
    <row r="146" spans="1:58" s="8" customFormat="1" ht="20.100000000000001" customHeight="1">
      <c r="A146" s="956"/>
      <c r="B146" s="997">
        <v>7</v>
      </c>
      <c r="C146" s="956">
        <v>264</v>
      </c>
      <c r="D146" s="957"/>
      <c r="E146" s="957"/>
      <c r="F146" s="956"/>
      <c r="G146" s="958" t="s">
        <v>1335</v>
      </c>
      <c r="H146" s="958" t="s">
        <v>1335</v>
      </c>
      <c r="I146" s="958" t="s">
        <v>1335</v>
      </c>
      <c r="J146" s="958" t="s">
        <v>1335</v>
      </c>
      <c r="K146" s="958" t="s">
        <v>1335</v>
      </c>
      <c r="L146" s="958" t="s">
        <v>1335</v>
      </c>
      <c r="M146" s="958">
        <v>0</v>
      </c>
      <c r="N146" s="958" t="s">
        <v>1335</v>
      </c>
      <c r="O146" s="958" t="s">
        <v>1335</v>
      </c>
      <c r="P146" s="958" t="s">
        <v>1335</v>
      </c>
      <c r="Q146" s="958" t="s">
        <v>1335</v>
      </c>
      <c r="R146" s="958" t="s">
        <v>1335</v>
      </c>
      <c r="S146" s="958" t="s">
        <v>1335</v>
      </c>
      <c r="T146" s="958" t="s">
        <v>1335</v>
      </c>
      <c r="U146" s="958" t="s">
        <v>1335</v>
      </c>
      <c r="V146" s="966"/>
      <c r="W146" s="966"/>
      <c r="X146" s="966"/>
      <c r="Y146" s="970"/>
      <c r="Z146" s="966"/>
      <c r="AA146" s="971"/>
      <c r="AB146" s="972"/>
      <c r="AC146" s="972"/>
      <c r="AD146" s="972"/>
      <c r="AE146" s="972"/>
      <c r="AF146" s="972"/>
      <c r="AG146" s="972"/>
      <c r="AH146" s="972"/>
      <c r="AI146" s="972"/>
      <c r="AJ146" s="972"/>
      <c r="AK146" s="972"/>
      <c r="AL146" s="972"/>
      <c r="AM146" s="972"/>
      <c r="AN146" s="972"/>
      <c r="AO146" s="972"/>
      <c r="AP146" s="972"/>
      <c r="AQ146" s="956">
        <f t="shared" si="16"/>
        <v>14</v>
      </c>
      <c r="AR146" s="956">
        <f t="shared" si="17"/>
        <v>0</v>
      </c>
      <c r="AS146" s="956">
        <f t="shared" si="18"/>
        <v>14</v>
      </c>
      <c r="AT146" s="982">
        <v>7</v>
      </c>
      <c r="AU146" s="981"/>
      <c r="AV146" s="981"/>
      <c r="AW146" s="981"/>
      <c r="AX146" s="993"/>
      <c r="AY146" s="993"/>
      <c r="AZ146" s="833">
        <f t="shared" si="19"/>
        <v>0</v>
      </c>
      <c r="BA146" s="983">
        <f t="shared" si="0"/>
        <v>0</v>
      </c>
      <c r="BB146" s="983">
        <f t="shared" si="1"/>
        <v>0</v>
      </c>
      <c r="BC146" s="983">
        <f t="shared" si="2"/>
        <v>0</v>
      </c>
      <c r="BD146" s="983">
        <f t="shared" si="3"/>
        <v>0</v>
      </c>
      <c r="BE146" s="983">
        <f t="shared" si="20"/>
        <v>0</v>
      </c>
      <c r="BF146" s="871">
        <f t="shared" si="21"/>
        <v>14</v>
      </c>
    </row>
    <row r="147" spans="1:58" s="8" customFormat="1" ht="20.100000000000001" customHeight="1">
      <c r="A147" s="956"/>
      <c r="B147" s="997">
        <v>7</v>
      </c>
      <c r="C147" s="956">
        <v>265</v>
      </c>
      <c r="D147" s="957"/>
      <c r="E147" s="957"/>
      <c r="F147" s="956"/>
      <c r="G147" s="958">
        <v>0</v>
      </c>
      <c r="H147" s="958" t="s">
        <v>1335</v>
      </c>
      <c r="I147" s="958" t="s">
        <v>1335</v>
      </c>
      <c r="J147" s="958">
        <v>0</v>
      </c>
      <c r="K147" s="958" t="s">
        <v>1335</v>
      </c>
      <c r="L147" s="958">
        <v>0</v>
      </c>
      <c r="M147" s="958" t="s">
        <v>1335</v>
      </c>
      <c r="N147" s="958" t="s">
        <v>1335</v>
      </c>
      <c r="O147" s="958" t="s">
        <v>1335</v>
      </c>
      <c r="P147" s="958">
        <v>0</v>
      </c>
      <c r="Q147" s="958" t="s">
        <v>1335</v>
      </c>
      <c r="R147" s="958" t="s">
        <v>1335</v>
      </c>
      <c r="S147" s="958" t="s">
        <v>1335</v>
      </c>
      <c r="T147" s="958" t="s">
        <v>1335</v>
      </c>
      <c r="U147" s="958" t="s">
        <v>1335</v>
      </c>
      <c r="V147" s="966"/>
      <c r="W147" s="966"/>
      <c r="X147" s="966"/>
      <c r="Y147" s="970"/>
      <c r="Z147" s="966"/>
      <c r="AA147" s="971"/>
      <c r="AB147" s="972"/>
      <c r="AC147" s="972"/>
      <c r="AD147" s="972"/>
      <c r="AE147" s="972"/>
      <c r="AF147" s="972"/>
      <c r="AG147" s="972"/>
      <c r="AH147" s="972"/>
      <c r="AI147" s="972"/>
      <c r="AJ147" s="972"/>
      <c r="AK147" s="972"/>
      <c r="AL147" s="972"/>
      <c r="AM147" s="972"/>
      <c r="AN147" s="972"/>
      <c r="AO147" s="972"/>
      <c r="AP147" s="972"/>
      <c r="AQ147" s="956">
        <f t="shared" si="16"/>
        <v>11</v>
      </c>
      <c r="AR147" s="956">
        <f t="shared" si="17"/>
        <v>0</v>
      </c>
      <c r="AS147" s="956">
        <f t="shared" si="18"/>
        <v>11</v>
      </c>
      <c r="AT147" s="982">
        <v>5</v>
      </c>
      <c r="AU147" s="981"/>
      <c r="AV147" s="981"/>
      <c r="AW147" s="981"/>
      <c r="AX147" s="993"/>
      <c r="AY147" s="993"/>
      <c r="AZ147" s="833">
        <f t="shared" si="19"/>
        <v>0</v>
      </c>
      <c r="BA147" s="983">
        <f t="shared" si="0"/>
        <v>0</v>
      </c>
      <c r="BB147" s="983">
        <f t="shared" si="1"/>
        <v>0</v>
      </c>
      <c r="BC147" s="983">
        <f t="shared" si="2"/>
        <v>0</v>
      </c>
      <c r="BD147" s="983">
        <f t="shared" si="3"/>
        <v>0</v>
      </c>
      <c r="BE147" s="983">
        <f t="shared" si="20"/>
        <v>0</v>
      </c>
      <c r="BF147" s="871">
        <f t="shared" si="21"/>
        <v>0</v>
      </c>
    </row>
    <row r="148" spans="1:58" s="8" customFormat="1" ht="20.100000000000001" customHeight="1">
      <c r="A148" s="956"/>
      <c r="B148" s="997">
        <v>7</v>
      </c>
      <c r="C148" s="956">
        <v>266</v>
      </c>
      <c r="D148" s="957"/>
      <c r="E148" s="957"/>
      <c r="F148" s="956"/>
      <c r="G148" s="958">
        <v>0</v>
      </c>
      <c r="H148" s="958" t="s">
        <v>1335</v>
      </c>
      <c r="I148" s="958" t="s">
        <v>1335</v>
      </c>
      <c r="J148" s="958" t="s">
        <v>1335</v>
      </c>
      <c r="K148" s="958" t="s">
        <v>1335</v>
      </c>
      <c r="L148" s="958">
        <v>0</v>
      </c>
      <c r="M148" s="958" t="s">
        <v>1335</v>
      </c>
      <c r="N148" s="958" t="s">
        <v>1335</v>
      </c>
      <c r="O148" s="958" t="s">
        <v>1335</v>
      </c>
      <c r="P148" s="958">
        <v>0</v>
      </c>
      <c r="Q148" s="958" t="s">
        <v>1335</v>
      </c>
      <c r="R148" s="958" t="s">
        <v>1335</v>
      </c>
      <c r="S148" s="958" t="s">
        <v>1335</v>
      </c>
      <c r="T148" s="958" t="s">
        <v>1335</v>
      </c>
      <c r="U148" s="958" t="s">
        <v>1335</v>
      </c>
      <c r="V148" s="966"/>
      <c r="W148" s="966"/>
      <c r="X148" s="966"/>
      <c r="Y148" s="970"/>
      <c r="Z148" s="966"/>
      <c r="AA148" s="971"/>
      <c r="AB148" s="972"/>
      <c r="AC148" s="972"/>
      <c r="AD148" s="972"/>
      <c r="AE148" s="972"/>
      <c r="AF148" s="972"/>
      <c r="AG148" s="972"/>
      <c r="AH148" s="972"/>
      <c r="AI148" s="972"/>
      <c r="AJ148" s="972"/>
      <c r="AK148" s="972"/>
      <c r="AL148" s="972"/>
      <c r="AM148" s="972"/>
      <c r="AN148" s="972"/>
      <c r="AO148" s="972"/>
      <c r="AP148" s="972"/>
      <c r="AQ148" s="956">
        <f t="shared" si="16"/>
        <v>12</v>
      </c>
      <c r="AR148" s="956">
        <f t="shared" si="17"/>
        <v>0</v>
      </c>
      <c r="AS148" s="956">
        <f t="shared" si="18"/>
        <v>12</v>
      </c>
      <c r="AT148" s="982">
        <v>7</v>
      </c>
      <c r="AU148" s="981"/>
      <c r="AV148" s="981"/>
      <c r="AW148" s="981"/>
      <c r="AX148" s="993"/>
      <c r="AY148" s="993"/>
      <c r="AZ148" s="833">
        <f t="shared" si="19"/>
        <v>0</v>
      </c>
      <c r="BA148" s="983">
        <f t="shared" si="0"/>
        <v>0</v>
      </c>
      <c r="BB148" s="983">
        <f t="shared" si="1"/>
        <v>0</v>
      </c>
      <c r="BC148" s="983">
        <f t="shared" si="2"/>
        <v>0</v>
      </c>
      <c r="BD148" s="983">
        <f t="shared" si="3"/>
        <v>0</v>
      </c>
      <c r="BE148" s="983">
        <f t="shared" si="20"/>
        <v>0</v>
      </c>
      <c r="BF148" s="871">
        <f t="shared" si="21"/>
        <v>0</v>
      </c>
    </row>
    <row r="149" spans="1:58" s="8" customFormat="1" ht="20.100000000000001" customHeight="1">
      <c r="A149" s="956"/>
      <c r="B149" s="997">
        <v>7</v>
      </c>
      <c r="C149" s="956">
        <v>267</v>
      </c>
      <c r="D149" s="957"/>
      <c r="E149" s="957"/>
      <c r="F149" s="956"/>
      <c r="G149" s="958" t="s">
        <v>1335</v>
      </c>
      <c r="H149" s="958" t="s">
        <v>1335</v>
      </c>
      <c r="I149" s="958" t="s">
        <v>1335</v>
      </c>
      <c r="J149" s="958" t="s">
        <v>1335</v>
      </c>
      <c r="K149" s="958" t="s">
        <v>1335</v>
      </c>
      <c r="L149" s="958" t="s">
        <v>1335</v>
      </c>
      <c r="M149" s="958" t="s">
        <v>1335</v>
      </c>
      <c r="N149" s="958" t="s">
        <v>1335</v>
      </c>
      <c r="O149" s="958" t="s">
        <v>1335</v>
      </c>
      <c r="P149" s="958" t="s">
        <v>1335</v>
      </c>
      <c r="Q149" s="958" t="s">
        <v>1335</v>
      </c>
      <c r="R149" s="958" t="s">
        <v>1335</v>
      </c>
      <c r="S149" s="958" t="s">
        <v>1335</v>
      </c>
      <c r="T149" s="958" t="s">
        <v>1335</v>
      </c>
      <c r="U149" s="958" t="s">
        <v>1335</v>
      </c>
      <c r="V149" s="966"/>
      <c r="W149" s="966"/>
      <c r="X149" s="966"/>
      <c r="Y149" s="970"/>
      <c r="Z149" s="966"/>
      <c r="AA149" s="971"/>
      <c r="AB149" s="972"/>
      <c r="AC149" s="972"/>
      <c r="AD149" s="972"/>
      <c r="AE149" s="972"/>
      <c r="AF149" s="972"/>
      <c r="AG149" s="972"/>
      <c r="AH149" s="972"/>
      <c r="AI149" s="972"/>
      <c r="AJ149" s="972"/>
      <c r="AK149" s="972"/>
      <c r="AL149" s="972"/>
      <c r="AM149" s="972"/>
      <c r="AN149" s="972"/>
      <c r="AO149" s="972"/>
      <c r="AP149" s="972"/>
      <c r="AQ149" s="956">
        <f t="shared" si="16"/>
        <v>15</v>
      </c>
      <c r="AR149" s="956">
        <f t="shared" si="17"/>
        <v>0</v>
      </c>
      <c r="AS149" s="956">
        <f t="shared" si="18"/>
        <v>15</v>
      </c>
      <c r="AT149" s="956">
        <v>12</v>
      </c>
      <c r="AU149" s="981"/>
      <c r="AV149" s="981"/>
      <c r="AW149" s="981"/>
      <c r="AX149" s="993"/>
      <c r="AY149" s="993"/>
      <c r="AZ149" s="833">
        <f t="shared" si="19"/>
        <v>0</v>
      </c>
      <c r="BA149" s="983">
        <f t="shared" si="0"/>
        <v>0</v>
      </c>
      <c r="BB149" s="983">
        <f t="shared" si="1"/>
        <v>0</v>
      </c>
      <c r="BC149" s="983">
        <f t="shared" si="2"/>
        <v>0</v>
      </c>
      <c r="BD149" s="983">
        <f t="shared" si="3"/>
        <v>0</v>
      </c>
      <c r="BE149" s="983">
        <f t="shared" si="20"/>
        <v>0</v>
      </c>
      <c r="BF149" s="871">
        <f t="shared" si="21"/>
        <v>15</v>
      </c>
    </row>
    <row r="150" spans="1:58" s="8" customFormat="1" ht="20.100000000000001" customHeight="1">
      <c r="A150" s="956"/>
      <c r="B150" s="997">
        <v>7</v>
      </c>
      <c r="C150" s="956">
        <v>268</v>
      </c>
      <c r="D150" s="957"/>
      <c r="E150" s="957"/>
      <c r="F150" s="956"/>
      <c r="G150" s="958" t="s">
        <v>1335</v>
      </c>
      <c r="H150" s="958">
        <v>0</v>
      </c>
      <c r="I150" s="958" t="s">
        <v>1335</v>
      </c>
      <c r="J150" s="958">
        <v>0</v>
      </c>
      <c r="K150" s="958" t="s">
        <v>1335</v>
      </c>
      <c r="L150" s="958">
        <v>0</v>
      </c>
      <c r="M150" s="958" t="s">
        <v>1335</v>
      </c>
      <c r="N150" s="958" t="s">
        <v>1335</v>
      </c>
      <c r="O150" s="958" t="s">
        <v>1335</v>
      </c>
      <c r="P150" s="958" t="s">
        <v>1335</v>
      </c>
      <c r="Q150" s="958" t="s">
        <v>1335</v>
      </c>
      <c r="R150" s="958" t="s">
        <v>1335</v>
      </c>
      <c r="S150" s="958" t="s">
        <v>1335</v>
      </c>
      <c r="T150" s="958" t="s">
        <v>1335</v>
      </c>
      <c r="U150" s="958" t="s">
        <v>1335</v>
      </c>
      <c r="V150" s="966"/>
      <c r="W150" s="966"/>
      <c r="X150" s="966"/>
      <c r="Y150" s="970"/>
      <c r="Z150" s="966"/>
      <c r="AA150" s="971"/>
      <c r="AB150" s="972"/>
      <c r="AC150" s="972"/>
      <c r="AD150" s="972"/>
      <c r="AE150" s="972"/>
      <c r="AF150" s="972"/>
      <c r="AG150" s="972"/>
      <c r="AH150" s="972"/>
      <c r="AI150" s="972"/>
      <c r="AJ150" s="972"/>
      <c r="AK150" s="972"/>
      <c r="AL150" s="972"/>
      <c r="AM150" s="972"/>
      <c r="AN150" s="972"/>
      <c r="AO150" s="972"/>
      <c r="AP150" s="972"/>
      <c r="AQ150" s="956">
        <f t="shared" si="16"/>
        <v>12</v>
      </c>
      <c r="AR150" s="956">
        <f t="shared" si="17"/>
        <v>0</v>
      </c>
      <c r="AS150" s="956">
        <f t="shared" si="18"/>
        <v>12</v>
      </c>
      <c r="AT150" s="982">
        <v>9</v>
      </c>
      <c r="AU150" s="981"/>
      <c r="AV150" s="981"/>
      <c r="AW150" s="981"/>
      <c r="AX150" s="993"/>
      <c r="AY150" s="993"/>
      <c r="AZ150" s="833">
        <f t="shared" si="19"/>
        <v>0</v>
      </c>
      <c r="BA150" s="983">
        <f t="shared" si="0"/>
        <v>0</v>
      </c>
      <c r="BB150" s="983">
        <f t="shared" si="1"/>
        <v>0</v>
      </c>
      <c r="BC150" s="983">
        <f t="shared" si="2"/>
        <v>0</v>
      </c>
      <c r="BD150" s="983">
        <f t="shared" si="3"/>
        <v>0</v>
      </c>
      <c r="BE150" s="983">
        <f t="shared" si="20"/>
        <v>0</v>
      </c>
      <c r="BF150" s="871">
        <f t="shared" si="21"/>
        <v>0</v>
      </c>
    </row>
    <row r="151" spans="1:58" s="8" customFormat="1" ht="20.100000000000001" customHeight="1">
      <c r="A151" s="956"/>
      <c r="B151" s="997">
        <v>7</v>
      </c>
      <c r="C151" s="956">
        <v>269</v>
      </c>
      <c r="D151" s="957"/>
      <c r="E151" s="957"/>
      <c r="F151" s="956"/>
      <c r="G151" s="958" t="s">
        <v>1335</v>
      </c>
      <c r="H151" s="958" t="s">
        <v>1335</v>
      </c>
      <c r="I151" s="958" t="s">
        <v>1335</v>
      </c>
      <c r="J151" s="958">
        <v>0</v>
      </c>
      <c r="K151" s="958" t="s">
        <v>1335</v>
      </c>
      <c r="L151" s="958" t="s">
        <v>1335</v>
      </c>
      <c r="M151" s="958" t="s">
        <v>1335</v>
      </c>
      <c r="N151" s="958" t="s">
        <v>1335</v>
      </c>
      <c r="O151" s="958" t="s">
        <v>1335</v>
      </c>
      <c r="P151" s="958" t="s">
        <v>1335</v>
      </c>
      <c r="Q151" s="958" t="s">
        <v>1335</v>
      </c>
      <c r="R151" s="958" t="s">
        <v>1335</v>
      </c>
      <c r="S151" s="958" t="s">
        <v>1335</v>
      </c>
      <c r="T151" s="958" t="s">
        <v>1335</v>
      </c>
      <c r="U151" s="958" t="s">
        <v>1335</v>
      </c>
      <c r="V151" s="966"/>
      <c r="W151" s="966"/>
      <c r="X151" s="966"/>
      <c r="Y151" s="970"/>
      <c r="Z151" s="966"/>
      <c r="AA151" s="971"/>
      <c r="AB151" s="972"/>
      <c r="AC151" s="972"/>
      <c r="AD151" s="972"/>
      <c r="AE151" s="972"/>
      <c r="AF151" s="972"/>
      <c r="AG151" s="972"/>
      <c r="AH151" s="972"/>
      <c r="AI151" s="972"/>
      <c r="AJ151" s="972"/>
      <c r="AK151" s="972"/>
      <c r="AL151" s="972"/>
      <c r="AM151" s="972"/>
      <c r="AN151" s="972"/>
      <c r="AO151" s="972"/>
      <c r="AP151" s="972"/>
      <c r="AQ151" s="956">
        <f t="shared" si="16"/>
        <v>14</v>
      </c>
      <c r="AR151" s="956">
        <f t="shared" si="17"/>
        <v>0</v>
      </c>
      <c r="AS151" s="956">
        <f t="shared" si="18"/>
        <v>14</v>
      </c>
      <c r="AT151" s="982">
        <v>1</v>
      </c>
      <c r="AU151" s="981"/>
      <c r="AV151" s="981"/>
      <c r="AW151" s="981"/>
      <c r="AX151" s="993"/>
      <c r="AY151" s="993"/>
      <c r="AZ151" s="833">
        <f t="shared" si="19"/>
        <v>0</v>
      </c>
      <c r="BA151" s="983">
        <f t="shared" si="0"/>
        <v>0</v>
      </c>
      <c r="BB151" s="983">
        <f t="shared" si="1"/>
        <v>0</v>
      </c>
      <c r="BC151" s="983">
        <f t="shared" si="2"/>
        <v>0</v>
      </c>
      <c r="BD151" s="983">
        <f t="shared" si="3"/>
        <v>0</v>
      </c>
      <c r="BE151" s="983">
        <f t="shared" si="20"/>
        <v>0</v>
      </c>
      <c r="BF151" s="871">
        <f t="shared" si="21"/>
        <v>14</v>
      </c>
    </row>
    <row r="152" spans="1:58" s="8" customFormat="1" ht="20.100000000000001" customHeight="1">
      <c r="A152" s="956"/>
      <c r="B152" s="997">
        <v>7</v>
      </c>
      <c r="C152" s="956">
        <v>270</v>
      </c>
      <c r="D152" s="957"/>
      <c r="E152" s="957"/>
      <c r="F152" s="956"/>
      <c r="G152" s="958">
        <v>0</v>
      </c>
      <c r="H152" s="958" t="s">
        <v>1335</v>
      </c>
      <c r="I152" s="958" t="s">
        <v>1335</v>
      </c>
      <c r="J152" s="958">
        <v>0</v>
      </c>
      <c r="K152" s="958" t="s">
        <v>1335</v>
      </c>
      <c r="L152" s="958" t="s">
        <v>1335</v>
      </c>
      <c r="M152" s="958" t="s">
        <v>1335</v>
      </c>
      <c r="N152" s="958" t="s">
        <v>1335</v>
      </c>
      <c r="O152" s="958" t="s">
        <v>1335</v>
      </c>
      <c r="P152" s="958" t="s">
        <v>1335</v>
      </c>
      <c r="Q152" s="958" t="s">
        <v>1335</v>
      </c>
      <c r="R152" s="958" t="s">
        <v>1335</v>
      </c>
      <c r="S152" s="958" t="s">
        <v>1335</v>
      </c>
      <c r="T152" s="958" t="s">
        <v>1335</v>
      </c>
      <c r="U152" s="958" t="s">
        <v>1335</v>
      </c>
      <c r="V152" s="966"/>
      <c r="W152" s="966"/>
      <c r="X152" s="966"/>
      <c r="Y152" s="970"/>
      <c r="Z152" s="966"/>
      <c r="AA152" s="971"/>
      <c r="AB152" s="972"/>
      <c r="AC152" s="972"/>
      <c r="AD152" s="972"/>
      <c r="AE152" s="972"/>
      <c r="AF152" s="972"/>
      <c r="AG152" s="972"/>
      <c r="AH152" s="972"/>
      <c r="AI152" s="972"/>
      <c r="AJ152" s="972"/>
      <c r="AK152" s="972"/>
      <c r="AL152" s="972"/>
      <c r="AM152" s="972"/>
      <c r="AN152" s="972"/>
      <c r="AO152" s="972"/>
      <c r="AP152" s="972"/>
      <c r="AQ152" s="956">
        <f t="shared" si="16"/>
        <v>13</v>
      </c>
      <c r="AR152" s="956">
        <f t="shared" si="17"/>
        <v>0</v>
      </c>
      <c r="AS152" s="956">
        <f t="shared" si="18"/>
        <v>13</v>
      </c>
      <c r="AT152" s="982">
        <v>0</v>
      </c>
      <c r="AU152" s="981"/>
      <c r="AV152" s="981"/>
      <c r="AW152" s="981"/>
      <c r="AX152" s="993"/>
      <c r="AY152" s="993"/>
      <c r="AZ152" s="833">
        <f t="shared" si="19"/>
        <v>0</v>
      </c>
      <c r="BA152" s="983">
        <f t="shared" si="0"/>
        <v>0</v>
      </c>
      <c r="BB152" s="983">
        <f t="shared" si="1"/>
        <v>0</v>
      </c>
      <c r="BC152" s="983">
        <f t="shared" si="2"/>
        <v>0</v>
      </c>
      <c r="BD152" s="983">
        <f t="shared" si="3"/>
        <v>0</v>
      </c>
      <c r="BE152" s="983">
        <f t="shared" si="20"/>
        <v>0</v>
      </c>
      <c r="BF152" s="871">
        <f t="shared" si="21"/>
        <v>13</v>
      </c>
    </row>
    <row r="153" spans="1:58" s="8" customFormat="1" ht="20.100000000000001" customHeight="1">
      <c r="A153" s="956"/>
      <c r="B153" s="997">
        <v>7</v>
      </c>
      <c r="C153" s="956">
        <v>271</v>
      </c>
      <c r="D153" s="957"/>
      <c r="E153" s="957"/>
      <c r="F153" s="956"/>
      <c r="G153" s="958">
        <v>0</v>
      </c>
      <c r="H153" s="958" t="s">
        <v>1335</v>
      </c>
      <c r="I153" s="958" t="s">
        <v>1335</v>
      </c>
      <c r="J153" s="958">
        <v>0</v>
      </c>
      <c r="K153" s="958" t="s">
        <v>1335</v>
      </c>
      <c r="L153" s="958" t="s">
        <v>1335</v>
      </c>
      <c r="M153" s="958" t="s">
        <v>1335</v>
      </c>
      <c r="N153" s="958" t="s">
        <v>1335</v>
      </c>
      <c r="O153" s="958" t="s">
        <v>1335</v>
      </c>
      <c r="P153" s="958" t="s">
        <v>1335</v>
      </c>
      <c r="Q153" s="958" t="s">
        <v>1335</v>
      </c>
      <c r="R153" s="958" t="s">
        <v>1335</v>
      </c>
      <c r="S153" s="958" t="s">
        <v>1335</v>
      </c>
      <c r="T153" s="958" t="s">
        <v>1335</v>
      </c>
      <c r="U153" s="958" t="s">
        <v>1335</v>
      </c>
      <c r="V153" s="966"/>
      <c r="W153" s="966"/>
      <c r="X153" s="966"/>
      <c r="Y153" s="970"/>
      <c r="Z153" s="966"/>
      <c r="AA153" s="971"/>
      <c r="AB153" s="972"/>
      <c r="AC153" s="972"/>
      <c r="AD153" s="972"/>
      <c r="AE153" s="972"/>
      <c r="AF153" s="972"/>
      <c r="AG153" s="972"/>
      <c r="AH153" s="972"/>
      <c r="AI153" s="972"/>
      <c r="AJ153" s="972"/>
      <c r="AK153" s="972"/>
      <c r="AL153" s="972"/>
      <c r="AM153" s="972"/>
      <c r="AN153" s="972"/>
      <c r="AO153" s="972"/>
      <c r="AP153" s="972"/>
      <c r="AQ153" s="956">
        <f t="shared" si="16"/>
        <v>13</v>
      </c>
      <c r="AR153" s="956">
        <f t="shared" si="17"/>
        <v>0</v>
      </c>
      <c r="AS153" s="956">
        <f t="shared" si="18"/>
        <v>13</v>
      </c>
      <c r="AT153" s="982">
        <v>0</v>
      </c>
      <c r="AU153" s="981"/>
      <c r="AV153" s="981"/>
      <c r="AW153" s="981"/>
      <c r="AX153" s="993"/>
      <c r="AY153" s="993"/>
      <c r="AZ153" s="833">
        <f t="shared" si="19"/>
        <v>0</v>
      </c>
      <c r="BA153" s="983">
        <f t="shared" si="0"/>
        <v>0</v>
      </c>
      <c r="BB153" s="983">
        <f t="shared" si="1"/>
        <v>0</v>
      </c>
      <c r="BC153" s="983">
        <f t="shared" si="2"/>
        <v>0</v>
      </c>
      <c r="BD153" s="983">
        <f t="shared" si="3"/>
        <v>0</v>
      </c>
      <c r="BE153" s="983">
        <f t="shared" si="20"/>
        <v>0</v>
      </c>
      <c r="BF153" s="871">
        <f t="shared" si="21"/>
        <v>13</v>
      </c>
    </row>
    <row r="154" spans="1:58" s="8" customFormat="1" ht="20.100000000000001" customHeight="1">
      <c r="A154" s="956"/>
      <c r="B154" s="997">
        <v>7</v>
      </c>
      <c r="C154" s="956">
        <v>272</v>
      </c>
      <c r="D154" s="957"/>
      <c r="E154" s="957"/>
      <c r="F154" s="956"/>
      <c r="G154" s="958">
        <v>0</v>
      </c>
      <c r="H154" s="958">
        <v>0</v>
      </c>
      <c r="I154" s="958" t="s">
        <v>1335</v>
      </c>
      <c r="J154" s="958" t="s">
        <v>1335</v>
      </c>
      <c r="K154" s="958" t="s">
        <v>1335</v>
      </c>
      <c r="L154" s="958" t="s">
        <v>1335</v>
      </c>
      <c r="M154" s="958" t="s">
        <v>1335</v>
      </c>
      <c r="N154" s="958" t="s">
        <v>1335</v>
      </c>
      <c r="O154" s="958" t="s">
        <v>1335</v>
      </c>
      <c r="P154" s="958" t="s">
        <v>1335</v>
      </c>
      <c r="Q154" s="958">
        <v>0</v>
      </c>
      <c r="R154" s="958" t="s">
        <v>1335</v>
      </c>
      <c r="S154" s="958" t="s">
        <v>1335</v>
      </c>
      <c r="T154" s="958" t="s">
        <v>1335</v>
      </c>
      <c r="U154" s="958" t="s">
        <v>1335</v>
      </c>
      <c r="V154" s="966"/>
      <c r="W154" s="966"/>
      <c r="X154" s="966"/>
      <c r="Y154" s="970"/>
      <c r="Z154" s="966"/>
      <c r="AA154" s="971"/>
      <c r="AB154" s="972"/>
      <c r="AC154" s="972"/>
      <c r="AD154" s="972"/>
      <c r="AE154" s="972"/>
      <c r="AF154" s="972"/>
      <c r="AG154" s="972"/>
      <c r="AH154" s="972"/>
      <c r="AI154" s="972"/>
      <c r="AJ154" s="972"/>
      <c r="AK154" s="972"/>
      <c r="AL154" s="972"/>
      <c r="AM154" s="972"/>
      <c r="AN154" s="972"/>
      <c r="AO154" s="972"/>
      <c r="AP154" s="972"/>
      <c r="AQ154" s="956">
        <f t="shared" si="16"/>
        <v>12</v>
      </c>
      <c r="AR154" s="956">
        <f t="shared" si="17"/>
        <v>0</v>
      </c>
      <c r="AS154" s="956">
        <f t="shared" si="18"/>
        <v>12</v>
      </c>
      <c r="AT154" s="956">
        <v>12</v>
      </c>
      <c r="AU154" s="981"/>
      <c r="AV154" s="981"/>
      <c r="AW154" s="981"/>
      <c r="AX154" s="993"/>
      <c r="AY154" s="993"/>
      <c r="AZ154" s="833">
        <f t="shared" si="19"/>
        <v>0</v>
      </c>
      <c r="BA154" s="983">
        <f t="shared" si="0"/>
        <v>0</v>
      </c>
      <c r="BB154" s="983">
        <f t="shared" si="1"/>
        <v>0</v>
      </c>
      <c r="BC154" s="983">
        <f t="shared" si="2"/>
        <v>0</v>
      </c>
      <c r="BD154" s="983">
        <f t="shared" si="3"/>
        <v>0</v>
      </c>
      <c r="BE154" s="983">
        <f t="shared" si="20"/>
        <v>0</v>
      </c>
      <c r="BF154" s="871">
        <f t="shared" si="21"/>
        <v>0</v>
      </c>
    </row>
    <row r="155" spans="1:58" s="8" customFormat="1" ht="20.100000000000001" customHeight="1">
      <c r="A155" s="956"/>
      <c r="B155" s="997">
        <v>7</v>
      </c>
      <c r="C155" s="956">
        <v>273</v>
      </c>
      <c r="D155" s="957"/>
      <c r="E155" s="957"/>
      <c r="F155" s="956"/>
      <c r="G155" s="958" t="s">
        <v>1335</v>
      </c>
      <c r="H155" s="958" t="s">
        <v>1335</v>
      </c>
      <c r="I155" s="958" t="s">
        <v>1335</v>
      </c>
      <c r="J155" s="958">
        <v>0</v>
      </c>
      <c r="K155" s="958" t="s">
        <v>1335</v>
      </c>
      <c r="L155" s="958" t="s">
        <v>1335</v>
      </c>
      <c r="M155" s="958" t="s">
        <v>1335</v>
      </c>
      <c r="N155" s="958" t="s">
        <v>1335</v>
      </c>
      <c r="O155" s="958" t="s">
        <v>1335</v>
      </c>
      <c r="P155" s="958">
        <v>0</v>
      </c>
      <c r="Q155" s="958" t="s">
        <v>1335</v>
      </c>
      <c r="R155" s="958" t="s">
        <v>1335</v>
      </c>
      <c r="S155" s="958" t="s">
        <v>1335</v>
      </c>
      <c r="T155" s="958" t="s">
        <v>1335</v>
      </c>
      <c r="U155" s="958" t="s">
        <v>1335</v>
      </c>
      <c r="V155" s="966"/>
      <c r="W155" s="966"/>
      <c r="X155" s="966"/>
      <c r="Y155" s="970"/>
      <c r="Z155" s="966"/>
      <c r="AA155" s="971"/>
      <c r="AB155" s="972"/>
      <c r="AC155" s="972"/>
      <c r="AD155" s="972"/>
      <c r="AE155" s="972"/>
      <c r="AF155" s="972"/>
      <c r="AG155" s="972"/>
      <c r="AH155" s="972"/>
      <c r="AI155" s="972"/>
      <c r="AJ155" s="972"/>
      <c r="AK155" s="972"/>
      <c r="AL155" s="972"/>
      <c r="AM155" s="972"/>
      <c r="AN155" s="972"/>
      <c r="AO155" s="972"/>
      <c r="AP155" s="972"/>
      <c r="AQ155" s="956">
        <f t="shared" si="16"/>
        <v>13</v>
      </c>
      <c r="AR155" s="956">
        <f t="shared" si="17"/>
        <v>0</v>
      </c>
      <c r="AS155" s="956">
        <f t="shared" si="18"/>
        <v>13</v>
      </c>
      <c r="AT155" s="982">
        <v>0</v>
      </c>
      <c r="AU155" s="981"/>
      <c r="AV155" s="981"/>
      <c r="AW155" s="981"/>
      <c r="AX155" s="993"/>
      <c r="AY155" s="993"/>
      <c r="AZ155" s="833">
        <f t="shared" si="19"/>
        <v>0</v>
      </c>
      <c r="BA155" s="983">
        <f t="shared" si="0"/>
        <v>0</v>
      </c>
      <c r="BB155" s="983">
        <f t="shared" si="1"/>
        <v>0</v>
      </c>
      <c r="BC155" s="983">
        <f t="shared" si="2"/>
        <v>0</v>
      </c>
      <c r="BD155" s="983">
        <f t="shared" si="3"/>
        <v>0</v>
      </c>
      <c r="BE155" s="983">
        <f t="shared" si="20"/>
        <v>0</v>
      </c>
      <c r="BF155" s="871">
        <f t="shared" si="21"/>
        <v>13</v>
      </c>
    </row>
    <row r="156" spans="1:58" s="8" customFormat="1" ht="20.100000000000001" customHeight="1">
      <c r="A156" s="956"/>
      <c r="B156" s="997">
        <v>7</v>
      </c>
      <c r="C156" s="956">
        <v>274</v>
      </c>
      <c r="D156" s="957"/>
      <c r="E156" s="957"/>
      <c r="F156" s="956"/>
      <c r="G156" s="958" t="s">
        <v>1335</v>
      </c>
      <c r="H156" s="958" t="s">
        <v>1335</v>
      </c>
      <c r="I156" s="958" t="s">
        <v>1335</v>
      </c>
      <c r="J156" s="958">
        <v>0</v>
      </c>
      <c r="K156" s="958" t="s">
        <v>1335</v>
      </c>
      <c r="L156" s="958" t="s">
        <v>1335</v>
      </c>
      <c r="M156" s="958" t="s">
        <v>1335</v>
      </c>
      <c r="N156" s="958" t="s">
        <v>1335</v>
      </c>
      <c r="O156" s="958" t="s">
        <v>1335</v>
      </c>
      <c r="P156" s="958" t="s">
        <v>1335</v>
      </c>
      <c r="Q156" s="958" t="s">
        <v>1335</v>
      </c>
      <c r="R156" s="958" t="s">
        <v>1335</v>
      </c>
      <c r="S156" s="958" t="s">
        <v>1335</v>
      </c>
      <c r="T156" s="958" t="s">
        <v>1335</v>
      </c>
      <c r="U156" s="958" t="s">
        <v>1335</v>
      </c>
      <c r="V156" s="966"/>
      <c r="W156" s="966"/>
      <c r="X156" s="966"/>
      <c r="Y156" s="970"/>
      <c r="Z156" s="966"/>
      <c r="AA156" s="971"/>
      <c r="AB156" s="972"/>
      <c r="AC156" s="972"/>
      <c r="AD156" s="972"/>
      <c r="AE156" s="972"/>
      <c r="AF156" s="972"/>
      <c r="AG156" s="972"/>
      <c r="AH156" s="972"/>
      <c r="AI156" s="972"/>
      <c r="AJ156" s="972"/>
      <c r="AK156" s="972"/>
      <c r="AL156" s="972"/>
      <c r="AM156" s="972"/>
      <c r="AN156" s="972"/>
      <c r="AO156" s="972"/>
      <c r="AP156" s="972"/>
      <c r="AQ156" s="956">
        <f t="shared" si="16"/>
        <v>14</v>
      </c>
      <c r="AR156" s="956">
        <f t="shared" si="17"/>
        <v>0</v>
      </c>
      <c r="AS156" s="956">
        <f t="shared" si="18"/>
        <v>14</v>
      </c>
      <c r="AT156" s="956">
        <v>12</v>
      </c>
      <c r="AU156" s="981"/>
      <c r="AV156" s="981"/>
      <c r="AW156" s="981"/>
      <c r="AX156" s="993"/>
      <c r="AY156" s="993"/>
      <c r="AZ156" s="833">
        <f t="shared" si="19"/>
        <v>0</v>
      </c>
      <c r="BA156" s="983">
        <f t="shared" si="0"/>
        <v>0</v>
      </c>
      <c r="BB156" s="983">
        <f t="shared" si="1"/>
        <v>0</v>
      </c>
      <c r="BC156" s="983">
        <f t="shared" si="2"/>
        <v>0</v>
      </c>
      <c r="BD156" s="983">
        <f t="shared" si="3"/>
        <v>0</v>
      </c>
      <c r="BE156" s="983">
        <f t="shared" si="20"/>
        <v>0</v>
      </c>
      <c r="BF156" s="871">
        <f t="shared" si="21"/>
        <v>14</v>
      </c>
    </row>
    <row r="157" spans="1:58" s="8" customFormat="1" ht="20.100000000000001" customHeight="1">
      <c r="A157" s="956"/>
      <c r="B157" s="997">
        <v>7</v>
      </c>
      <c r="C157" s="956">
        <v>275</v>
      </c>
      <c r="D157" s="957"/>
      <c r="E157" s="957"/>
      <c r="F157" s="956"/>
      <c r="G157" s="958">
        <v>0</v>
      </c>
      <c r="H157" s="958" t="s">
        <v>1335</v>
      </c>
      <c r="I157" s="958" t="s">
        <v>1335</v>
      </c>
      <c r="J157" s="958" t="s">
        <v>1335</v>
      </c>
      <c r="K157" s="958" t="s">
        <v>1335</v>
      </c>
      <c r="L157" s="958" t="s">
        <v>1335</v>
      </c>
      <c r="M157" s="958">
        <v>0</v>
      </c>
      <c r="N157" s="958" t="s">
        <v>1335</v>
      </c>
      <c r="O157" s="958" t="s">
        <v>1335</v>
      </c>
      <c r="P157" s="958" t="s">
        <v>1335</v>
      </c>
      <c r="Q157" s="958" t="s">
        <v>1335</v>
      </c>
      <c r="R157" s="958" t="s">
        <v>1335</v>
      </c>
      <c r="S157" s="958" t="s">
        <v>1335</v>
      </c>
      <c r="T157" s="958" t="s">
        <v>1335</v>
      </c>
      <c r="U157" s="958" t="s">
        <v>1335</v>
      </c>
      <c r="V157" s="966"/>
      <c r="W157" s="966"/>
      <c r="X157" s="966"/>
      <c r="Y157" s="970"/>
      <c r="Z157" s="966"/>
      <c r="AA157" s="971"/>
      <c r="AB157" s="972"/>
      <c r="AC157" s="972"/>
      <c r="AD157" s="972"/>
      <c r="AE157" s="972"/>
      <c r="AF157" s="972"/>
      <c r="AG157" s="972"/>
      <c r="AH157" s="972"/>
      <c r="AI157" s="972"/>
      <c r="AJ157" s="972"/>
      <c r="AK157" s="972"/>
      <c r="AL157" s="972"/>
      <c r="AM157" s="972"/>
      <c r="AN157" s="972"/>
      <c r="AO157" s="972"/>
      <c r="AP157" s="972"/>
      <c r="AQ157" s="956">
        <f t="shared" si="16"/>
        <v>13</v>
      </c>
      <c r="AR157" s="956">
        <f t="shared" si="17"/>
        <v>0</v>
      </c>
      <c r="AS157" s="956">
        <f t="shared" si="18"/>
        <v>13</v>
      </c>
      <c r="AT157" s="982">
        <v>11</v>
      </c>
      <c r="AU157" s="981"/>
      <c r="AV157" s="981"/>
      <c r="AW157" s="981"/>
      <c r="AX157" s="993"/>
      <c r="AY157" s="993"/>
      <c r="AZ157" s="833">
        <f t="shared" si="19"/>
        <v>0</v>
      </c>
      <c r="BA157" s="983">
        <f t="shared" si="0"/>
        <v>0</v>
      </c>
      <c r="BB157" s="983">
        <f t="shared" si="1"/>
        <v>0</v>
      </c>
      <c r="BC157" s="983">
        <f t="shared" si="2"/>
        <v>0</v>
      </c>
      <c r="BD157" s="983">
        <f t="shared" si="3"/>
        <v>0</v>
      </c>
      <c r="BE157" s="983">
        <f t="shared" si="20"/>
        <v>0</v>
      </c>
      <c r="BF157" s="871">
        <f t="shared" si="21"/>
        <v>13</v>
      </c>
    </row>
    <row r="158" spans="1:58" s="8" customFormat="1" ht="20.100000000000001" customHeight="1">
      <c r="A158" s="956"/>
      <c r="B158" s="997">
        <v>7</v>
      </c>
      <c r="C158" s="956">
        <v>276</v>
      </c>
      <c r="D158" s="957"/>
      <c r="E158" s="957"/>
      <c r="F158" s="956"/>
      <c r="G158" s="958" t="s">
        <v>1335</v>
      </c>
      <c r="H158" s="958">
        <v>0</v>
      </c>
      <c r="I158" s="958" t="s">
        <v>1335</v>
      </c>
      <c r="J158" s="958">
        <v>0</v>
      </c>
      <c r="K158" s="958" t="s">
        <v>1335</v>
      </c>
      <c r="L158" s="958" t="s">
        <v>1335</v>
      </c>
      <c r="M158" s="958" t="s">
        <v>1335</v>
      </c>
      <c r="N158" s="958" t="s">
        <v>1335</v>
      </c>
      <c r="O158" s="958" t="s">
        <v>1335</v>
      </c>
      <c r="P158" s="958" t="s">
        <v>1335</v>
      </c>
      <c r="Q158" s="958" t="s">
        <v>1335</v>
      </c>
      <c r="R158" s="958" t="s">
        <v>1335</v>
      </c>
      <c r="S158" s="958" t="s">
        <v>1335</v>
      </c>
      <c r="T158" s="958" t="s">
        <v>1335</v>
      </c>
      <c r="U158" s="958" t="s">
        <v>1335</v>
      </c>
      <c r="V158" s="966"/>
      <c r="W158" s="966"/>
      <c r="X158" s="966"/>
      <c r="Y158" s="970"/>
      <c r="Z158" s="966"/>
      <c r="AA158" s="971"/>
      <c r="AB158" s="972"/>
      <c r="AC158" s="972"/>
      <c r="AD158" s="972"/>
      <c r="AE158" s="972"/>
      <c r="AF158" s="972"/>
      <c r="AG158" s="972"/>
      <c r="AH158" s="972"/>
      <c r="AI158" s="972"/>
      <c r="AJ158" s="972"/>
      <c r="AK158" s="972"/>
      <c r="AL158" s="972"/>
      <c r="AM158" s="972"/>
      <c r="AN158" s="972"/>
      <c r="AO158" s="972"/>
      <c r="AP158" s="972"/>
      <c r="AQ158" s="956">
        <f t="shared" si="16"/>
        <v>13</v>
      </c>
      <c r="AR158" s="956">
        <f t="shared" si="17"/>
        <v>0</v>
      </c>
      <c r="AS158" s="956">
        <f t="shared" si="18"/>
        <v>13</v>
      </c>
      <c r="AT158" s="982">
        <v>11</v>
      </c>
      <c r="AU158" s="981"/>
      <c r="AV158" s="981"/>
      <c r="AW158" s="981"/>
      <c r="AX158" s="993"/>
      <c r="AY158" s="993"/>
      <c r="AZ158" s="833">
        <f t="shared" si="19"/>
        <v>0</v>
      </c>
      <c r="BA158" s="983">
        <f t="shared" si="0"/>
        <v>0</v>
      </c>
      <c r="BB158" s="983">
        <f t="shared" si="1"/>
        <v>0</v>
      </c>
      <c r="BC158" s="983">
        <f t="shared" si="2"/>
        <v>0</v>
      </c>
      <c r="BD158" s="983">
        <f t="shared" si="3"/>
        <v>0</v>
      </c>
      <c r="BE158" s="983">
        <f t="shared" si="20"/>
        <v>0</v>
      </c>
      <c r="BF158" s="871">
        <f t="shared" si="21"/>
        <v>13</v>
      </c>
    </row>
    <row r="159" spans="1:58" s="8" customFormat="1" ht="20.100000000000001" customHeight="1">
      <c r="A159" s="956"/>
      <c r="B159" s="997">
        <v>7</v>
      </c>
      <c r="C159" s="956">
        <v>277</v>
      </c>
      <c r="D159" s="957"/>
      <c r="E159" s="957"/>
      <c r="F159" s="956"/>
      <c r="G159" s="958" t="s">
        <v>1335</v>
      </c>
      <c r="H159" s="958">
        <v>0</v>
      </c>
      <c r="I159" s="958" t="s">
        <v>1335</v>
      </c>
      <c r="J159" s="958">
        <v>0</v>
      </c>
      <c r="K159" s="958" t="s">
        <v>1335</v>
      </c>
      <c r="L159" s="958" t="s">
        <v>1335</v>
      </c>
      <c r="M159" s="958" t="s">
        <v>1335</v>
      </c>
      <c r="N159" s="958" t="s">
        <v>1335</v>
      </c>
      <c r="O159" s="958" t="s">
        <v>1335</v>
      </c>
      <c r="P159" s="958" t="s">
        <v>1335</v>
      </c>
      <c r="Q159" s="958" t="s">
        <v>1335</v>
      </c>
      <c r="R159" s="958" t="s">
        <v>1335</v>
      </c>
      <c r="S159" s="958" t="s">
        <v>1335</v>
      </c>
      <c r="T159" s="958" t="s">
        <v>1335</v>
      </c>
      <c r="U159" s="958" t="s">
        <v>1335</v>
      </c>
      <c r="V159" s="966"/>
      <c r="W159" s="966"/>
      <c r="X159" s="966"/>
      <c r="Y159" s="970"/>
      <c r="Z159" s="966"/>
      <c r="AA159" s="971"/>
      <c r="AB159" s="972"/>
      <c r="AC159" s="972"/>
      <c r="AD159" s="972"/>
      <c r="AE159" s="972"/>
      <c r="AF159" s="972"/>
      <c r="AG159" s="972"/>
      <c r="AH159" s="972"/>
      <c r="AI159" s="972"/>
      <c r="AJ159" s="972"/>
      <c r="AK159" s="972"/>
      <c r="AL159" s="972"/>
      <c r="AM159" s="972"/>
      <c r="AN159" s="972"/>
      <c r="AO159" s="972"/>
      <c r="AP159" s="972"/>
      <c r="AQ159" s="956">
        <f t="shared" si="16"/>
        <v>13</v>
      </c>
      <c r="AR159" s="956">
        <f t="shared" si="17"/>
        <v>0</v>
      </c>
      <c r="AS159" s="956">
        <f t="shared" si="18"/>
        <v>13</v>
      </c>
      <c r="AT159" s="982">
        <v>11</v>
      </c>
      <c r="AU159" s="981"/>
      <c r="AV159" s="981"/>
      <c r="AW159" s="981"/>
      <c r="AX159" s="993"/>
      <c r="AY159" s="993"/>
      <c r="AZ159" s="833">
        <f t="shared" si="19"/>
        <v>0</v>
      </c>
      <c r="BA159" s="983">
        <f t="shared" si="0"/>
        <v>0</v>
      </c>
      <c r="BB159" s="983">
        <f t="shared" si="1"/>
        <v>0</v>
      </c>
      <c r="BC159" s="983">
        <f t="shared" si="2"/>
        <v>0</v>
      </c>
      <c r="BD159" s="983">
        <f t="shared" si="3"/>
        <v>0</v>
      </c>
      <c r="BE159" s="983">
        <f t="shared" si="20"/>
        <v>0</v>
      </c>
      <c r="BF159" s="871">
        <f t="shared" si="21"/>
        <v>13</v>
      </c>
    </row>
    <row r="160" spans="1:58" s="8" customFormat="1" ht="20.100000000000001" customHeight="1">
      <c r="A160" s="956"/>
      <c r="B160" s="997">
        <v>7</v>
      </c>
      <c r="C160" s="956">
        <v>278</v>
      </c>
      <c r="D160" s="957"/>
      <c r="E160" s="957"/>
      <c r="F160" s="956"/>
      <c r="G160" s="958" t="s">
        <v>1335</v>
      </c>
      <c r="H160" s="958" t="s">
        <v>1335</v>
      </c>
      <c r="I160" s="958" t="s">
        <v>1335</v>
      </c>
      <c r="J160" s="958" t="s">
        <v>1335</v>
      </c>
      <c r="K160" s="958" t="s">
        <v>1335</v>
      </c>
      <c r="L160" s="958" t="s">
        <v>1335</v>
      </c>
      <c r="M160" s="958" t="s">
        <v>1335</v>
      </c>
      <c r="N160" s="958" t="s">
        <v>1335</v>
      </c>
      <c r="O160" s="958">
        <v>0</v>
      </c>
      <c r="P160" s="958" t="s">
        <v>1335</v>
      </c>
      <c r="Q160" s="958" t="s">
        <v>1335</v>
      </c>
      <c r="R160" s="958" t="s">
        <v>1335</v>
      </c>
      <c r="S160" s="958" t="s">
        <v>1335</v>
      </c>
      <c r="T160" s="958" t="s">
        <v>1335</v>
      </c>
      <c r="U160" s="958" t="s">
        <v>1335</v>
      </c>
      <c r="V160" s="966"/>
      <c r="W160" s="966"/>
      <c r="X160" s="966"/>
      <c r="Y160" s="970"/>
      <c r="Z160" s="966"/>
      <c r="AA160" s="971"/>
      <c r="AB160" s="972"/>
      <c r="AC160" s="972"/>
      <c r="AD160" s="972"/>
      <c r="AE160" s="972"/>
      <c r="AF160" s="972"/>
      <c r="AG160" s="972"/>
      <c r="AH160" s="972"/>
      <c r="AI160" s="972"/>
      <c r="AJ160" s="972"/>
      <c r="AK160" s="972"/>
      <c r="AL160" s="972"/>
      <c r="AM160" s="972"/>
      <c r="AN160" s="972"/>
      <c r="AO160" s="972"/>
      <c r="AP160" s="972"/>
      <c r="AQ160" s="956">
        <f t="shared" si="16"/>
        <v>14</v>
      </c>
      <c r="AR160" s="956">
        <f t="shared" si="17"/>
        <v>0</v>
      </c>
      <c r="AS160" s="956">
        <f t="shared" si="18"/>
        <v>14</v>
      </c>
      <c r="AT160" s="982">
        <v>5</v>
      </c>
      <c r="AU160" s="981"/>
      <c r="AV160" s="981"/>
      <c r="AW160" s="981"/>
      <c r="AX160" s="993"/>
      <c r="AY160" s="993"/>
      <c r="AZ160" s="833">
        <f t="shared" si="19"/>
        <v>0</v>
      </c>
      <c r="BA160" s="983">
        <f t="shared" si="0"/>
        <v>0</v>
      </c>
      <c r="BB160" s="983">
        <f t="shared" si="1"/>
        <v>0</v>
      </c>
      <c r="BC160" s="983">
        <f t="shared" si="2"/>
        <v>0</v>
      </c>
      <c r="BD160" s="983">
        <f t="shared" si="3"/>
        <v>0</v>
      </c>
      <c r="BE160" s="983">
        <f t="shared" si="20"/>
        <v>0</v>
      </c>
      <c r="BF160" s="871">
        <f t="shared" si="21"/>
        <v>14</v>
      </c>
    </row>
    <row r="161" spans="1:58" s="8" customFormat="1" ht="20.100000000000001" customHeight="1">
      <c r="A161" s="956"/>
      <c r="B161" s="997">
        <v>7</v>
      </c>
      <c r="C161" s="956">
        <v>279</v>
      </c>
      <c r="D161" s="957"/>
      <c r="E161" s="957"/>
      <c r="F161" s="956"/>
      <c r="G161" s="958" t="s">
        <v>1335</v>
      </c>
      <c r="H161" s="958" t="s">
        <v>1335</v>
      </c>
      <c r="I161" s="958" t="s">
        <v>1335</v>
      </c>
      <c r="J161" s="958" t="s">
        <v>1335</v>
      </c>
      <c r="K161" s="958">
        <v>0</v>
      </c>
      <c r="L161" s="958" t="s">
        <v>1335</v>
      </c>
      <c r="M161" s="958" t="s">
        <v>1335</v>
      </c>
      <c r="N161" s="958" t="s">
        <v>1335</v>
      </c>
      <c r="O161" s="958" t="s">
        <v>1335</v>
      </c>
      <c r="P161" s="958" t="s">
        <v>1335</v>
      </c>
      <c r="Q161" s="958" t="s">
        <v>1335</v>
      </c>
      <c r="R161" s="958" t="s">
        <v>1335</v>
      </c>
      <c r="S161" s="958" t="s">
        <v>1335</v>
      </c>
      <c r="T161" s="958" t="s">
        <v>1335</v>
      </c>
      <c r="U161" s="958" t="s">
        <v>1335</v>
      </c>
      <c r="V161" s="966"/>
      <c r="W161" s="966"/>
      <c r="X161" s="966"/>
      <c r="Y161" s="970"/>
      <c r="Z161" s="966"/>
      <c r="AA161" s="971"/>
      <c r="AB161" s="972"/>
      <c r="AC161" s="972"/>
      <c r="AD161" s="972"/>
      <c r="AE161" s="972"/>
      <c r="AF161" s="972"/>
      <c r="AG161" s="972"/>
      <c r="AH161" s="972"/>
      <c r="AI161" s="972"/>
      <c r="AJ161" s="972"/>
      <c r="AK161" s="972"/>
      <c r="AL161" s="972"/>
      <c r="AM161" s="972"/>
      <c r="AN161" s="972"/>
      <c r="AO161" s="972"/>
      <c r="AP161" s="972"/>
      <c r="AQ161" s="956">
        <f t="shared" si="16"/>
        <v>14</v>
      </c>
      <c r="AR161" s="956">
        <f t="shared" si="17"/>
        <v>0</v>
      </c>
      <c r="AS161" s="956">
        <f t="shared" si="18"/>
        <v>14</v>
      </c>
      <c r="AT161" s="982">
        <v>0</v>
      </c>
      <c r="AU161" s="981"/>
      <c r="AV161" s="981"/>
      <c r="AW161" s="981"/>
      <c r="AX161" s="993"/>
      <c r="AY161" s="993"/>
      <c r="AZ161" s="833">
        <f t="shared" si="19"/>
        <v>0</v>
      </c>
      <c r="BA161" s="983">
        <f t="shared" si="0"/>
        <v>0</v>
      </c>
      <c r="BB161" s="983">
        <f t="shared" si="1"/>
        <v>0</v>
      </c>
      <c r="BC161" s="983">
        <f t="shared" si="2"/>
        <v>0</v>
      </c>
      <c r="BD161" s="983">
        <f t="shared" si="3"/>
        <v>0</v>
      </c>
      <c r="BE161" s="983">
        <f t="shared" si="20"/>
        <v>0</v>
      </c>
      <c r="BF161" s="871">
        <f t="shared" si="21"/>
        <v>14</v>
      </c>
    </row>
    <row r="162" spans="1:58" s="8" customFormat="1" ht="20.100000000000001" customHeight="1">
      <c r="A162" s="956"/>
      <c r="B162" s="997">
        <v>7</v>
      </c>
      <c r="C162" s="956">
        <v>280</v>
      </c>
      <c r="D162" s="957"/>
      <c r="E162" s="957"/>
      <c r="F162" s="956"/>
      <c r="G162" s="958" t="s">
        <v>1335</v>
      </c>
      <c r="H162" s="958">
        <v>0</v>
      </c>
      <c r="I162" s="958" t="s">
        <v>1335</v>
      </c>
      <c r="J162" s="958">
        <v>0</v>
      </c>
      <c r="K162" s="958" t="s">
        <v>1335</v>
      </c>
      <c r="L162" s="958" t="s">
        <v>1335</v>
      </c>
      <c r="M162" s="958" t="s">
        <v>1335</v>
      </c>
      <c r="N162" s="958" t="s">
        <v>1335</v>
      </c>
      <c r="O162" s="958" t="s">
        <v>1335</v>
      </c>
      <c r="P162" s="958" t="s">
        <v>1335</v>
      </c>
      <c r="Q162" s="958" t="s">
        <v>1335</v>
      </c>
      <c r="R162" s="958" t="s">
        <v>1335</v>
      </c>
      <c r="S162" s="958">
        <v>0</v>
      </c>
      <c r="T162" s="958" t="s">
        <v>1335</v>
      </c>
      <c r="U162" s="958" t="s">
        <v>1335</v>
      </c>
      <c r="V162" s="966"/>
      <c r="W162" s="966"/>
      <c r="X162" s="966"/>
      <c r="Y162" s="970"/>
      <c r="Z162" s="966"/>
      <c r="AA162" s="971"/>
      <c r="AB162" s="972"/>
      <c r="AC162" s="972"/>
      <c r="AD162" s="972"/>
      <c r="AE162" s="972"/>
      <c r="AF162" s="972"/>
      <c r="AG162" s="972"/>
      <c r="AH162" s="972"/>
      <c r="AI162" s="972"/>
      <c r="AJ162" s="972"/>
      <c r="AK162" s="972"/>
      <c r="AL162" s="972"/>
      <c r="AM162" s="972"/>
      <c r="AN162" s="972"/>
      <c r="AO162" s="972"/>
      <c r="AP162" s="972"/>
      <c r="AQ162" s="956">
        <f t="shared" si="16"/>
        <v>12</v>
      </c>
      <c r="AR162" s="956">
        <f t="shared" si="17"/>
        <v>0</v>
      </c>
      <c r="AS162" s="956">
        <f t="shared" si="18"/>
        <v>12</v>
      </c>
      <c r="AT162" s="982">
        <v>9</v>
      </c>
      <c r="AU162" s="981"/>
      <c r="AV162" s="981"/>
      <c r="AW162" s="981"/>
      <c r="AX162" s="993"/>
      <c r="AY162" s="993"/>
      <c r="AZ162" s="833">
        <f t="shared" si="19"/>
        <v>0</v>
      </c>
      <c r="BA162" s="983">
        <f t="shared" si="0"/>
        <v>0</v>
      </c>
      <c r="BB162" s="983">
        <f t="shared" si="1"/>
        <v>0</v>
      </c>
      <c r="BC162" s="983">
        <f t="shared" si="2"/>
        <v>0</v>
      </c>
      <c r="BD162" s="983">
        <f t="shared" si="3"/>
        <v>0</v>
      </c>
      <c r="BE162" s="983">
        <f t="shared" si="20"/>
        <v>0</v>
      </c>
      <c r="BF162" s="871">
        <f t="shared" si="21"/>
        <v>0</v>
      </c>
    </row>
    <row r="163" spans="1:58" s="8" customFormat="1" ht="20.100000000000001" customHeight="1">
      <c r="A163" s="956"/>
      <c r="B163" s="997">
        <v>7</v>
      </c>
      <c r="C163" s="956">
        <v>281</v>
      </c>
      <c r="D163" s="957"/>
      <c r="E163" s="957"/>
      <c r="F163" s="956"/>
      <c r="G163" s="958">
        <v>0</v>
      </c>
      <c r="H163" s="958" t="s">
        <v>1335</v>
      </c>
      <c r="I163" s="958" t="s">
        <v>1335</v>
      </c>
      <c r="J163" s="958">
        <v>0</v>
      </c>
      <c r="K163" s="958" t="s">
        <v>1335</v>
      </c>
      <c r="L163" s="958" t="s">
        <v>1335</v>
      </c>
      <c r="M163" s="958" t="s">
        <v>1335</v>
      </c>
      <c r="N163" s="958" t="s">
        <v>1335</v>
      </c>
      <c r="O163" s="958">
        <v>0</v>
      </c>
      <c r="P163" s="958" t="s">
        <v>1335</v>
      </c>
      <c r="Q163" s="958" t="s">
        <v>1335</v>
      </c>
      <c r="R163" s="958" t="s">
        <v>1335</v>
      </c>
      <c r="S163" s="958" t="s">
        <v>1335</v>
      </c>
      <c r="T163" s="958" t="s">
        <v>1335</v>
      </c>
      <c r="U163" s="958" t="s">
        <v>1335</v>
      </c>
      <c r="V163" s="966"/>
      <c r="W163" s="966"/>
      <c r="X163" s="966"/>
      <c r="Y163" s="970"/>
      <c r="Z163" s="966"/>
      <c r="AA163" s="971"/>
      <c r="AB163" s="972"/>
      <c r="AC163" s="972"/>
      <c r="AD163" s="972"/>
      <c r="AE163" s="972"/>
      <c r="AF163" s="972"/>
      <c r="AG163" s="972"/>
      <c r="AH163" s="972"/>
      <c r="AI163" s="972"/>
      <c r="AJ163" s="972"/>
      <c r="AK163" s="972"/>
      <c r="AL163" s="972"/>
      <c r="AM163" s="972"/>
      <c r="AN163" s="972"/>
      <c r="AO163" s="972"/>
      <c r="AP163" s="972"/>
      <c r="AQ163" s="956">
        <f t="shared" si="16"/>
        <v>12</v>
      </c>
      <c r="AR163" s="956">
        <f t="shared" si="17"/>
        <v>0</v>
      </c>
      <c r="AS163" s="956">
        <f t="shared" si="18"/>
        <v>12</v>
      </c>
      <c r="AT163" s="956">
        <v>12</v>
      </c>
      <c r="AU163" s="981"/>
      <c r="AV163" s="981"/>
      <c r="AW163" s="981"/>
      <c r="AX163" s="993"/>
      <c r="AY163" s="993"/>
      <c r="AZ163" s="833">
        <f t="shared" si="19"/>
        <v>0</v>
      </c>
      <c r="BA163" s="983">
        <f t="shared" si="0"/>
        <v>0</v>
      </c>
      <c r="BB163" s="983">
        <f t="shared" si="1"/>
        <v>0</v>
      </c>
      <c r="BC163" s="983">
        <f t="shared" si="2"/>
        <v>0</v>
      </c>
      <c r="BD163" s="983">
        <f t="shared" si="3"/>
        <v>0</v>
      </c>
      <c r="BE163" s="983">
        <f t="shared" si="20"/>
        <v>0</v>
      </c>
      <c r="BF163" s="871">
        <f t="shared" si="21"/>
        <v>0</v>
      </c>
    </row>
    <row r="164" spans="1:58" s="8" customFormat="1" ht="20.100000000000001" customHeight="1">
      <c r="A164" s="956"/>
      <c r="B164" s="997">
        <v>7</v>
      </c>
      <c r="C164" s="956">
        <v>282</v>
      </c>
      <c r="D164" s="957"/>
      <c r="E164" s="957"/>
      <c r="F164" s="956"/>
      <c r="G164" s="958">
        <v>0</v>
      </c>
      <c r="H164" s="958" t="s">
        <v>1335</v>
      </c>
      <c r="I164" s="958" t="s">
        <v>1335</v>
      </c>
      <c r="J164" s="958">
        <v>0</v>
      </c>
      <c r="K164" s="958" t="s">
        <v>1335</v>
      </c>
      <c r="L164" s="958" t="s">
        <v>1335</v>
      </c>
      <c r="M164" s="958" t="s">
        <v>1335</v>
      </c>
      <c r="N164" s="958" t="s">
        <v>1335</v>
      </c>
      <c r="O164" s="958">
        <v>0</v>
      </c>
      <c r="P164" s="958" t="s">
        <v>1335</v>
      </c>
      <c r="Q164" s="958" t="s">
        <v>1335</v>
      </c>
      <c r="R164" s="958" t="s">
        <v>1335</v>
      </c>
      <c r="S164" s="958" t="s">
        <v>1335</v>
      </c>
      <c r="T164" s="958" t="s">
        <v>1335</v>
      </c>
      <c r="U164" s="958" t="s">
        <v>1335</v>
      </c>
      <c r="V164" s="966"/>
      <c r="W164" s="966"/>
      <c r="X164" s="966"/>
      <c r="Y164" s="970"/>
      <c r="Z164" s="966"/>
      <c r="AA164" s="971"/>
      <c r="AB164" s="972"/>
      <c r="AC164" s="972"/>
      <c r="AD164" s="972"/>
      <c r="AE164" s="972"/>
      <c r="AF164" s="972"/>
      <c r="AG164" s="972"/>
      <c r="AH164" s="972"/>
      <c r="AI164" s="972"/>
      <c r="AJ164" s="972"/>
      <c r="AK164" s="972"/>
      <c r="AL164" s="972"/>
      <c r="AM164" s="972"/>
      <c r="AN164" s="972"/>
      <c r="AO164" s="972"/>
      <c r="AP164" s="972"/>
      <c r="AQ164" s="956">
        <f t="shared" si="16"/>
        <v>12</v>
      </c>
      <c r="AR164" s="956">
        <f t="shared" si="17"/>
        <v>0</v>
      </c>
      <c r="AS164" s="956">
        <f t="shared" si="18"/>
        <v>12</v>
      </c>
      <c r="AT164" s="956">
        <v>12</v>
      </c>
      <c r="AU164" s="981"/>
      <c r="AV164" s="981"/>
      <c r="AW164" s="981"/>
      <c r="AX164" s="993"/>
      <c r="AY164" s="993"/>
      <c r="AZ164" s="833">
        <f t="shared" si="19"/>
        <v>0</v>
      </c>
      <c r="BA164" s="983">
        <f t="shared" si="0"/>
        <v>0</v>
      </c>
      <c r="BB164" s="983">
        <f t="shared" si="1"/>
        <v>0</v>
      </c>
      <c r="BC164" s="983">
        <f t="shared" si="2"/>
        <v>0</v>
      </c>
      <c r="BD164" s="983">
        <f t="shared" si="3"/>
        <v>0</v>
      </c>
      <c r="BE164" s="983">
        <f t="shared" si="20"/>
        <v>0</v>
      </c>
      <c r="BF164" s="871">
        <f t="shared" si="21"/>
        <v>0</v>
      </c>
    </row>
    <row r="165" spans="1:58" s="8" customFormat="1" ht="20.100000000000001" customHeight="1">
      <c r="A165" s="956"/>
      <c r="B165" s="997">
        <v>7</v>
      </c>
      <c r="C165" s="956">
        <v>283</v>
      </c>
      <c r="D165" s="957"/>
      <c r="E165" s="957"/>
      <c r="F165" s="956"/>
      <c r="G165" s="958" t="s">
        <v>1335</v>
      </c>
      <c r="H165" s="958" t="s">
        <v>1335</v>
      </c>
      <c r="I165" s="958" t="s">
        <v>1335</v>
      </c>
      <c r="J165" s="958">
        <v>0</v>
      </c>
      <c r="K165" s="958" t="s">
        <v>1335</v>
      </c>
      <c r="L165" s="958" t="s">
        <v>1335</v>
      </c>
      <c r="M165" s="958" t="s">
        <v>1335</v>
      </c>
      <c r="N165" s="958" t="s">
        <v>1335</v>
      </c>
      <c r="O165" s="958" t="s">
        <v>1335</v>
      </c>
      <c r="P165" s="958" t="s">
        <v>1335</v>
      </c>
      <c r="Q165" s="958" t="s">
        <v>1335</v>
      </c>
      <c r="R165" s="958" t="s">
        <v>1335</v>
      </c>
      <c r="S165" s="958" t="s">
        <v>1335</v>
      </c>
      <c r="T165" s="958" t="s">
        <v>1335</v>
      </c>
      <c r="U165" s="958" t="s">
        <v>1335</v>
      </c>
      <c r="V165" s="966"/>
      <c r="W165" s="966"/>
      <c r="X165" s="966"/>
      <c r="Y165" s="970"/>
      <c r="Z165" s="966"/>
      <c r="AA165" s="971"/>
      <c r="AB165" s="972"/>
      <c r="AC165" s="972"/>
      <c r="AD165" s="972"/>
      <c r="AE165" s="972"/>
      <c r="AF165" s="972"/>
      <c r="AG165" s="972"/>
      <c r="AH165" s="972"/>
      <c r="AI165" s="972"/>
      <c r="AJ165" s="972"/>
      <c r="AK165" s="972"/>
      <c r="AL165" s="972"/>
      <c r="AM165" s="972"/>
      <c r="AN165" s="972"/>
      <c r="AO165" s="972"/>
      <c r="AP165" s="972"/>
      <c r="AQ165" s="956">
        <f t="shared" si="16"/>
        <v>14</v>
      </c>
      <c r="AR165" s="956">
        <f t="shared" si="17"/>
        <v>0</v>
      </c>
      <c r="AS165" s="956">
        <f t="shared" si="18"/>
        <v>14</v>
      </c>
      <c r="AT165" s="982">
        <v>7</v>
      </c>
      <c r="AU165" s="981"/>
      <c r="AV165" s="981"/>
      <c r="AW165" s="981"/>
      <c r="AX165" s="993"/>
      <c r="AY165" s="993"/>
      <c r="AZ165" s="833">
        <f t="shared" si="19"/>
        <v>0</v>
      </c>
      <c r="BA165" s="983">
        <f t="shared" si="0"/>
        <v>0</v>
      </c>
      <c r="BB165" s="983">
        <f t="shared" si="1"/>
        <v>0</v>
      </c>
      <c r="BC165" s="983">
        <f t="shared" si="2"/>
        <v>0</v>
      </c>
      <c r="BD165" s="983">
        <f t="shared" si="3"/>
        <v>0</v>
      </c>
      <c r="BE165" s="983">
        <f t="shared" si="20"/>
        <v>0</v>
      </c>
      <c r="BF165" s="871">
        <f t="shared" si="21"/>
        <v>14</v>
      </c>
    </row>
    <row r="166" spans="1:58" s="8" customFormat="1" ht="20.100000000000001" customHeight="1">
      <c r="A166" s="956"/>
      <c r="B166" s="997">
        <v>7</v>
      </c>
      <c r="C166" s="956">
        <v>284</v>
      </c>
      <c r="D166" s="957"/>
      <c r="E166" s="957"/>
      <c r="F166" s="956"/>
      <c r="G166" s="958">
        <v>0</v>
      </c>
      <c r="H166" s="958" t="s">
        <v>1335</v>
      </c>
      <c r="I166" s="958" t="s">
        <v>1335</v>
      </c>
      <c r="J166" s="958">
        <v>0</v>
      </c>
      <c r="K166" s="958" t="s">
        <v>1335</v>
      </c>
      <c r="L166" s="958" t="s">
        <v>1335</v>
      </c>
      <c r="M166" s="958" t="s">
        <v>1335</v>
      </c>
      <c r="N166" s="958">
        <v>0</v>
      </c>
      <c r="O166" s="958" t="s">
        <v>1335</v>
      </c>
      <c r="P166" s="958" t="s">
        <v>1335</v>
      </c>
      <c r="Q166" s="958" t="s">
        <v>1335</v>
      </c>
      <c r="R166" s="958" t="s">
        <v>1335</v>
      </c>
      <c r="S166" s="958" t="s">
        <v>1335</v>
      </c>
      <c r="T166" s="958" t="s">
        <v>1335</v>
      </c>
      <c r="U166" s="958" t="s">
        <v>1335</v>
      </c>
      <c r="V166" s="966"/>
      <c r="W166" s="966"/>
      <c r="X166" s="966"/>
      <c r="Y166" s="970"/>
      <c r="Z166" s="966"/>
      <c r="AA166" s="971"/>
      <c r="AB166" s="972"/>
      <c r="AC166" s="972"/>
      <c r="AD166" s="972"/>
      <c r="AE166" s="972"/>
      <c r="AF166" s="972"/>
      <c r="AG166" s="972"/>
      <c r="AH166" s="972"/>
      <c r="AI166" s="972"/>
      <c r="AJ166" s="972"/>
      <c r="AK166" s="972"/>
      <c r="AL166" s="972"/>
      <c r="AM166" s="972"/>
      <c r="AN166" s="972"/>
      <c r="AO166" s="972"/>
      <c r="AP166" s="972"/>
      <c r="AQ166" s="956">
        <f t="shared" si="16"/>
        <v>12</v>
      </c>
      <c r="AR166" s="956">
        <f t="shared" si="17"/>
        <v>0</v>
      </c>
      <c r="AS166" s="956">
        <f t="shared" si="18"/>
        <v>12</v>
      </c>
      <c r="AT166" s="982">
        <v>7</v>
      </c>
      <c r="AU166" s="981"/>
      <c r="AV166" s="981"/>
      <c r="AW166" s="981"/>
      <c r="AX166" s="993"/>
      <c r="AY166" s="993"/>
      <c r="AZ166" s="833">
        <f t="shared" si="19"/>
        <v>0</v>
      </c>
      <c r="BA166" s="983">
        <f t="shared" si="0"/>
        <v>0</v>
      </c>
      <c r="BB166" s="983">
        <f t="shared" si="1"/>
        <v>0</v>
      </c>
      <c r="BC166" s="983">
        <f t="shared" si="2"/>
        <v>0</v>
      </c>
      <c r="BD166" s="983">
        <f t="shared" si="3"/>
        <v>0</v>
      </c>
      <c r="BE166" s="983">
        <f t="shared" si="20"/>
        <v>0</v>
      </c>
      <c r="BF166" s="871">
        <f t="shared" si="21"/>
        <v>0</v>
      </c>
    </row>
    <row r="167" spans="1:58" s="8" customFormat="1" ht="20.100000000000001" customHeight="1">
      <c r="A167" s="956"/>
      <c r="B167" s="997">
        <v>7</v>
      </c>
      <c r="C167" s="956">
        <v>285</v>
      </c>
      <c r="D167" s="957"/>
      <c r="E167" s="957"/>
      <c r="F167" s="956"/>
      <c r="G167" s="958" t="s">
        <v>1335</v>
      </c>
      <c r="H167" s="958" t="s">
        <v>1335</v>
      </c>
      <c r="I167" s="958" t="s">
        <v>1335</v>
      </c>
      <c r="J167" s="958">
        <v>0</v>
      </c>
      <c r="K167" s="958" t="s">
        <v>1335</v>
      </c>
      <c r="L167" s="958" t="s">
        <v>1335</v>
      </c>
      <c r="M167" s="958" t="s">
        <v>1335</v>
      </c>
      <c r="N167" s="958">
        <v>0</v>
      </c>
      <c r="O167" s="958">
        <v>0</v>
      </c>
      <c r="P167" s="958" t="s">
        <v>1335</v>
      </c>
      <c r="Q167" s="958" t="s">
        <v>1335</v>
      </c>
      <c r="R167" s="958" t="s">
        <v>1335</v>
      </c>
      <c r="S167" s="958" t="s">
        <v>1335</v>
      </c>
      <c r="T167" s="958" t="s">
        <v>1335</v>
      </c>
      <c r="U167" s="958" t="s">
        <v>1335</v>
      </c>
      <c r="V167" s="966"/>
      <c r="W167" s="966"/>
      <c r="X167" s="966"/>
      <c r="Y167" s="970"/>
      <c r="Z167" s="966"/>
      <c r="AA167" s="971"/>
      <c r="AB167" s="972"/>
      <c r="AC167" s="972"/>
      <c r="AD167" s="972"/>
      <c r="AE167" s="972"/>
      <c r="AF167" s="972"/>
      <c r="AG167" s="972"/>
      <c r="AH167" s="972"/>
      <c r="AI167" s="972"/>
      <c r="AJ167" s="972"/>
      <c r="AK167" s="972"/>
      <c r="AL167" s="972"/>
      <c r="AM167" s="972"/>
      <c r="AN167" s="972"/>
      <c r="AO167" s="972"/>
      <c r="AP167" s="972"/>
      <c r="AQ167" s="956">
        <f t="shared" si="16"/>
        <v>12</v>
      </c>
      <c r="AR167" s="956">
        <f t="shared" si="17"/>
        <v>0</v>
      </c>
      <c r="AS167" s="956">
        <f t="shared" si="18"/>
        <v>12</v>
      </c>
      <c r="AT167" s="956">
        <v>12</v>
      </c>
      <c r="AU167" s="981"/>
      <c r="AV167" s="981"/>
      <c r="AW167" s="981"/>
      <c r="AX167" s="993"/>
      <c r="AY167" s="993"/>
      <c r="AZ167" s="833">
        <f t="shared" si="19"/>
        <v>0</v>
      </c>
      <c r="BA167" s="983">
        <f t="shared" si="0"/>
        <v>0</v>
      </c>
      <c r="BB167" s="983">
        <f t="shared" si="1"/>
        <v>0</v>
      </c>
      <c r="BC167" s="983">
        <f t="shared" si="2"/>
        <v>0</v>
      </c>
      <c r="BD167" s="983">
        <f t="shared" si="3"/>
        <v>0</v>
      </c>
      <c r="BE167" s="983">
        <f t="shared" si="20"/>
        <v>0</v>
      </c>
      <c r="BF167" s="871">
        <f t="shared" si="21"/>
        <v>0</v>
      </c>
    </row>
    <row r="168" spans="1:58" s="8" customFormat="1" ht="20.100000000000001" customHeight="1">
      <c r="A168" s="956"/>
      <c r="B168" s="997">
        <v>7</v>
      </c>
      <c r="C168" s="956">
        <v>286</v>
      </c>
      <c r="D168" s="957"/>
      <c r="E168" s="957"/>
      <c r="F168" s="956"/>
      <c r="G168" s="958" t="s">
        <v>1335</v>
      </c>
      <c r="H168" s="958" t="s">
        <v>1335</v>
      </c>
      <c r="I168" s="958" t="s">
        <v>1335</v>
      </c>
      <c r="J168" s="958">
        <v>0</v>
      </c>
      <c r="K168" s="958" t="s">
        <v>1335</v>
      </c>
      <c r="L168" s="958" t="s">
        <v>1335</v>
      </c>
      <c r="M168" s="958" t="s">
        <v>1335</v>
      </c>
      <c r="N168" s="958" t="s">
        <v>1335</v>
      </c>
      <c r="O168" s="958" t="s">
        <v>1335</v>
      </c>
      <c r="P168" s="958" t="s">
        <v>1335</v>
      </c>
      <c r="Q168" s="958" t="s">
        <v>1335</v>
      </c>
      <c r="R168" s="958" t="s">
        <v>1335</v>
      </c>
      <c r="S168" s="958" t="s">
        <v>1335</v>
      </c>
      <c r="T168" s="958" t="s">
        <v>1335</v>
      </c>
      <c r="U168" s="958" t="s">
        <v>1335</v>
      </c>
      <c r="V168" s="966"/>
      <c r="W168" s="966"/>
      <c r="X168" s="966"/>
      <c r="Y168" s="970"/>
      <c r="Z168" s="966"/>
      <c r="AA168" s="971"/>
      <c r="AB168" s="972"/>
      <c r="AC168" s="972"/>
      <c r="AD168" s="972"/>
      <c r="AE168" s="972"/>
      <c r="AF168" s="972"/>
      <c r="AG168" s="972"/>
      <c r="AH168" s="972"/>
      <c r="AI168" s="972"/>
      <c r="AJ168" s="972"/>
      <c r="AK168" s="972"/>
      <c r="AL168" s="972"/>
      <c r="AM168" s="972"/>
      <c r="AN168" s="972"/>
      <c r="AO168" s="972"/>
      <c r="AP168" s="972"/>
      <c r="AQ168" s="956">
        <f t="shared" si="16"/>
        <v>14</v>
      </c>
      <c r="AR168" s="956">
        <f t="shared" si="17"/>
        <v>0</v>
      </c>
      <c r="AS168" s="956">
        <f t="shared" si="18"/>
        <v>14</v>
      </c>
      <c r="AT168" s="982">
        <v>0</v>
      </c>
      <c r="AU168" s="981"/>
      <c r="AV168" s="981"/>
      <c r="AW168" s="981"/>
      <c r="AX168" s="993"/>
      <c r="AY168" s="993"/>
      <c r="AZ168" s="833">
        <f t="shared" si="19"/>
        <v>0</v>
      </c>
      <c r="BA168" s="983">
        <f t="shared" si="0"/>
        <v>0</v>
      </c>
      <c r="BB168" s="983">
        <f t="shared" si="1"/>
        <v>0</v>
      </c>
      <c r="BC168" s="983">
        <f t="shared" si="2"/>
        <v>0</v>
      </c>
      <c r="BD168" s="983">
        <f t="shared" si="3"/>
        <v>0</v>
      </c>
      <c r="BE168" s="983">
        <f t="shared" si="20"/>
        <v>0</v>
      </c>
      <c r="BF168" s="871">
        <f t="shared" si="21"/>
        <v>14</v>
      </c>
    </row>
    <row r="169" spans="1:58" s="8" customFormat="1" ht="20.100000000000001" customHeight="1">
      <c r="A169" s="956"/>
      <c r="B169" s="997">
        <v>7</v>
      </c>
      <c r="C169" s="956">
        <v>287</v>
      </c>
      <c r="D169" s="957"/>
      <c r="E169" s="957"/>
      <c r="F169" s="956"/>
      <c r="G169" s="958" t="s">
        <v>1335</v>
      </c>
      <c r="H169" s="958" t="s">
        <v>1335</v>
      </c>
      <c r="I169" s="958" t="s">
        <v>1335</v>
      </c>
      <c r="J169" s="958" t="s">
        <v>1335</v>
      </c>
      <c r="K169" s="958" t="s">
        <v>1335</v>
      </c>
      <c r="L169" s="958" t="s">
        <v>1335</v>
      </c>
      <c r="M169" s="958" t="s">
        <v>1335</v>
      </c>
      <c r="N169" s="958" t="s">
        <v>1335</v>
      </c>
      <c r="O169" s="958" t="s">
        <v>1335</v>
      </c>
      <c r="P169" s="958" t="s">
        <v>1335</v>
      </c>
      <c r="Q169" s="958" t="s">
        <v>1335</v>
      </c>
      <c r="R169" s="958" t="s">
        <v>1335</v>
      </c>
      <c r="S169" s="958" t="s">
        <v>1335</v>
      </c>
      <c r="T169" s="958" t="s">
        <v>1335</v>
      </c>
      <c r="U169" s="958" t="s">
        <v>1335</v>
      </c>
      <c r="V169" s="966"/>
      <c r="W169" s="966"/>
      <c r="X169" s="966"/>
      <c r="Y169" s="970"/>
      <c r="Z169" s="966"/>
      <c r="AA169" s="971"/>
      <c r="AB169" s="972"/>
      <c r="AC169" s="972"/>
      <c r="AD169" s="972"/>
      <c r="AE169" s="972"/>
      <c r="AF169" s="972"/>
      <c r="AG169" s="972"/>
      <c r="AH169" s="972"/>
      <c r="AI169" s="972"/>
      <c r="AJ169" s="972"/>
      <c r="AK169" s="972"/>
      <c r="AL169" s="972"/>
      <c r="AM169" s="972"/>
      <c r="AN169" s="972"/>
      <c r="AO169" s="972"/>
      <c r="AP169" s="972"/>
      <c r="AQ169" s="956">
        <f t="shared" si="16"/>
        <v>15</v>
      </c>
      <c r="AR169" s="956">
        <f t="shared" si="17"/>
        <v>0</v>
      </c>
      <c r="AS169" s="956">
        <f t="shared" si="18"/>
        <v>15</v>
      </c>
      <c r="AT169" s="982">
        <v>0</v>
      </c>
      <c r="AU169" s="981"/>
      <c r="AV169" s="981"/>
      <c r="AW169" s="981"/>
      <c r="AX169" s="993"/>
      <c r="AY169" s="993"/>
      <c r="AZ169" s="833">
        <f t="shared" si="19"/>
        <v>0</v>
      </c>
      <c r="BA169" s="983">
        <f t="shared" si="0"/>
        <v>0</v>
      </c>
      <c r="BB169" s="983">
        <f t="shared" si="1"/>
        <v>0</v>
      </c>
      <c r="BC169" s="983">
        <f t="shared" si="2"/>
        <v>0</v>
      </c>
      <c r="BD169" s="983">
        <f t="shared" si="3"/>
        <v>0</v>
      </c>
      <c r="BE169" s="983">
        <f t="shared" si="20"/>
        <v>0</v>
      </c>
      <c r="BF169" s="871">
        <f t="shared" si="21"/>
        <v>15</v>
      </c>
    </row>
    <row r="170" spans="1:58" s="8" customFormat="1" ht="20.100000000000001" customHeight="1">
      <c r="A170" s="956"/>
      <c r="B170" s="997">
        <v>7</v>
      </c>
      <c r="C170" s="956">
        <v>288</v>
      </c>
      <c r="D170" s="957"/>
      <c r="E170" s="957"/>
      <c r="F170" s="956"/>
      <c r="G170" s="958">
        <v>0</v>
      </c>
      <c r="H170" s="958" t="s">
        <v>1335</v>
      </c>
      <c r="I170" s="958" t="s">
        <v>1335</v>
      </c>
      <c r="J170" s="958">
        <v>0</v>
      </c>
      <c r="K170" s="958" t="s">
        <v>1335</v>
      </c>
      <c r="L170" s="958" t="s">
        <v>1335</v>
      </c>
      <c r="M170" s="958">
        <v>0</v>
      </c>
      <c r="N170" s="958" t="s">
        <v>1335</v>
      </c>
      <c r="O170" s="958" t="s">
        <v>1335</v>
      </c>
      <c r="P170" s="958" t="s">
        <v>1335</v>
      </c>
      <c r="Q170" s="958" t="s">
        <v>1335</v>
      </c>
      <c r="R170" s="958" t="s">
        <v>1335</v>
      </c>
      <c r="S170" s="958" t="s">
        <v>1335</v>
      </c>
      <c r="T170" s="958" t="s">
        <v>1335</v>
      </c>
      <c r="U170" s="958" t="s">
        <v>1335</v>
      </c>
      <c r="V170" s="966"/>
      <c r="W170" s="966"/>
      <c r="X170" s="966"/>
      <c r="Y170" s="970"/>
      <c r="Z170" s="966"/>
      <c r="AA170" s="971"/>
      <c r="AB170" s="972"/>
      <c r="AC170" s="972"/>
      <c r="AD170" s="972"/>
      <c r="AE170" s="972"/>
      <c r="AF170" s="972"/>
      <c r="AG170" s="972"/>
      <c r="AH170" s="972"/>
      <c r="AI170" s="972"/>
      <c r="AJ170" s="972"/>
      <c r="AK170" s="972"/>
      <c r="AL170" s="972"/>
      <c r="AM170" s="972"/>
      <c r="AN170" s="972"/>
      <c r="AO170" s="972"/>
      <c r="AP170" s="972"/>
      <c r="AQ170" s="956">
        <f t="shared" si="16"/>
        <v>12</v>
      </c>
      <c r="AR170" s="956">
        <f t="shared" si="17"/>
        <v>0</v>
      </c>
      <c r="AS170" s="956">
        <f t="shared" si="18"/>
        <v>12</v>
      </c>
      <c r="AT170" s="982">
        <v>9</v>
      </c>
      <c r="AU170" s="981"/>
      <c r="AV170" s="981"/>
      <c r="AW170" s="981"/>
      <c r="AX170" s="993"/>
      <c r="AY170" s="993"/>
      <c r="AZ170" s="833">
        <f t="shared" si="19"/>
        <v>0</v>
      </c>
      <c r="BA170" s="983">
        <f t="shared" si="0"/>
        <v>0</v>
      </c>
      <c r="BB170" s="983">
        <f t="shared" si="1"/>
        <v>0</v>
      </c>
      <c r="BC170" s="983">
        <f t="shared" si="2"/>
        <v>0</v>
      </c>
      <c r="BD170" s="983">
        <f t="shared" si="3"/>
        <v>0</v>
      </c>
      <c r="BE170" s="983">
        <f t="shared" si="20"/>
        <v>0</v>
      </c>
      <c r="BF170" s="871">
        <f t="shared" si="21"/>
        <v>0</v>
      </c>
    </row>
    <row r="171" spans="1:58" s="8" customFormat="1" ht="20.100000000000001" customHeight="1">
      <c r="A171" s="956"/>
      <c r="B171" s="997">
        <v>7</v>
      </c>
      <c r="C171" s="956">
        <v>289</v>
      </c>
      <c r="D171" s="957"/>
      <c r="E171" s="957"/>
      <c r="F171" s="956"/>
      <c r="G171" s="958">
        <v>0</v>
      </c>
      <c r="H171" s="958" t="s">
        <v>1335</v>
      </c>
      <c r="I171" s="958" t="s">
        <v>1335</v>
      </c>
      <c r="J171" s="958">
        <v>0</v>
      </c>
      <c r="K171" s="958" t="s">
        <v>1335</v>
      </c>
      <c r="L171" s="958" t="s">
        <v>1335</v>
      </c>
      <c r="M171" s="958">
        <v>0</v>
      </c>
      <c r="N171" s="958" t="s">
        <v>1335</v>
      </c>
      <c r="O171" s="958" t="s">
        <v>1335</v>
      </c>
      <c r="P171" s="958" t="s">
        <v>1335</v>
      </c>
      <c r="Q171" s="958" t="s">
        <v>1335</v>
      </c>
      <c r="R171" s="958" t="s">
        <v>1335</v>
      </c>
      <c r="S171" s="958" t="s">
        <v>1335</v>
      </c>
      <c r="T171" s="958" t="s">
        <v>1335</v>
      </c>
      <c r="U171" s="958" t="s">
        <v>1335</v>
      </c>
      <c r="V171" s="966"/>
      <c r="W171" s="966"/>
      <c r="X171" s="966"/>
      <c r="Y171" s="970"/>
      <c r="Z171" s="966"/>
      <c r="AA171" s="971"/>
      <c r="AB171" s="972"/>
      <c r="AC171" s="972"/>
      <c r="AD171" s="972"/>
      <c r="AE171" s="972"/>
      <c r="AF171" s="972"/>
      <c r="AG171" s="972"/>
      <c r="AH171" s="972"/>
      <c r="AI171" s="972"/>
      <c r="AJ171" s="972"/>
      <c r="AK171" s="972"/>
      <c r="AL171" s="972"/>
      <c r="AM171" s="972"/>
      <c r="AN171" s="972"/>
      <c r="AO171" s="972"/>
      <c r="AP171" s="972"/>
      <c r="AQ171" s="956">
        <f t="shared" si="16"/>
        <v>12</v>
      </c>
      <c r="AR171" s="956">
        <f t="shared" si="17"/>
        <v>0</v>
      </c>
      <c r="AS171" s="956">
        <f t="shared" si="18"/>
        <v>12</v>
      </c>
      <c r="AT171" s="982">
        <v>7</v>
      </c>
      <c r="AU171" s="981"/>
      <c r="AV171" s="981"/>
      <c r="AW171" s="981"/>
      <c r="AX171" s="993"/>
      <c r="AY171" s="993"/>
      <c r="AZ171" s="833">
        <f t="shared" si="19"/>
        <v>0</v>
      </c>
      <c r="BA171" s="983">
        <f t="shared" si="0"/>
        <v>0</v>
      </c>
      <c r="BB171" s="983">
        <f t="shared" si="1"/>
        <v>0</v>
      </c>
      <c r="BC171" s="983">
        <f t="shared" si="2"/>
        <v>0</v>
      </c>
      <c r="BD171" s="983">
        <f t="shared" si="3"/>
        <v>0</v>
      </c>
      <c r="BE171" s="983">
        <f t="shared" si="20"/>
        <v>0</v>
      </c>
      <c r="BF171" s="871">
        <f t="shared" si="21"/>
        <v>0</v>
      </c>
    </row>
    <row r="172" spans="1:58" s="8" customFormat="1" ht="20.100000000000001" customHeight="1">
      <c r="A172" s="956"/>
      <c r="B172" s="997">
        <v>7</v>
      </c>
      <c r="C172" s="956">
        <v>290</v>
      </c>
      <c r="D172" s="957"/>
      <c r="E172" s="957"/>
      <c r="F172" s="956"/>
      <c r="G172" s="958" t="s">
        <v>1335</v>
      </c>
      <c r="H172" s="958">
        <v>0</v>
      </c>
      <c r="I172" s="958" t="s">
        <v>1335</v>
      </c>
      <c r="J172" s="958">
        <v>0</v>
      </c>
      <c r="K172" s="958" t="s">
        <v>1335</v>
      </c>
      <c r="L172" s="958" t="s">
        <v>1335</v>
      </c>
      <c r="M172" s="958" t="s">
        <v>1335</v>
      </c>
      <c r="N172" s="958" t="s">
        <v>1335</v>
      </c>
      <c r="O172" s="958">
        <v>0</v>
      </c>
      <c r="P172" s="958">
        <v>0</v>
      </c>
      <c r="Q172" s="958" t="s">
        <v>1335</v>
      </c>
      <c r="R172" s="958" t="s">
        <v>1335</v>
      </c>
      <c r="S172" s="958" t="s">
        <v>1335</v>
      </c>
      <c r="T172" s="958" t="s">
        <v>1335</v>
      </c>
      <c r="U172" s="958" t="s">
        <v>1335</v>
      </c>
      <c r="V172" s="966"/>
      <c r="W172" s="966"/>
      <c r="X172" s="966"/>
      <c r="Y172" s="970"/>
      <c r="Z172" s="966"/>
      <c r="AA172" s="971"/>
      <c r="AB172" s="972"/>
      <c r="AC172" s="972"/>
      <c r="AD172" s="972"/>
      <c r="AE172" s="972"/>
      <c r="AF172" s="972"/>
      <c r="AG172" s="972"/>
      <c r="AH172" s="972"/>
      <c r="AI172" s="972"/>
      <c r="AJ172" s="972"/>
      <c r="AK172" s="972"/>
      <c r="AL172" s="972"/>
      <c r="AM172" s="972"/>
      <c r="AN172" s="972"/>
      <c r="AO172" s="972"/>
      <c r="AP172" s="972"/>
      <c r="AQ172" s="956">
        <f t="shared" si="16"/>
        <v>11</v>
      </c>
      <c r="AR172" s="956">
        <f t="shared" si="17"/>
        <v>0</v>
      </c>
      <c r="AS172" s="956">
        <f t="shared" si="18"/>
        <v>11</v>
      </c>
      <c r="AT172" s="982">
        <v>4</v>
      </c>
      <c r="AU172" s="981"/>
      <c r="AV172" s="981"/>
      <c r="AW172" s="981"/>
      <c r="AX172" s="993"/>
      <c r="AY172" s="993"/>
      <c r="AZ172" s="833">
        <f t="shared" si="19"/>
        <v>0</v>
      </c>
      <c r="BA172" s="983">
        <f t="shared" si="0"/>
        <v>0</v>
      </c>
      <c r="BB172" s="983">
        <f t="shared" si="1"/>
        <v>0</v>
      </c>
      <c r="BC172" s="983">
        <f t="shared" si="2"/>
        <v>0</v>
      </c>
      <c r="BD172" s="983">
        <f t="shared" si="3"/>
        <v>0</v>
      </c>
      <c r="BE172" s="983">
        <f t="shared" si="20"/>
        <v>0</v>
      </c>
      <c r="BF172" s="871">
        <f t="shared" si="21"/>
        <v>0</v>
      </c>
    </row>
    <row r="173" spans="1:58" s="8" customFormat="1" ht="20.100000000000001" customHeight="1">
      <c r="A173" s="956"/>
      <c r="B173" s="997">
        <v>7</v>
      </c>
      <c r="C173" s="956">
        <v>291</v>
      </c>
      <c r="D173" s="957"/>
      <c r="E173" s="957"/>
      <c r="F173" s="956"/>
      <c r="G173" s="958" t="s">
        <v>1335</v>
      </c>
      <c r="H173" s="958" t="s">
        <v>1335</v>
      </c>
      <c r="I173" s="958" t="s">
        <v>1335</v>
      </c>
      <c r="J173" s="958">
        <v>0</v>
      </c>
      <c r="K173" s="958" t="s">
        <v>1335</v>
      </c>
      <c r="L173" s="958">
        <v>0</v>
      </c>
      <c r="M173" s="958" t="s">
        <v>1335</v>
      </c>
      <c r="N173" s="958" t="s">
        <v>1335</v>
      </c>
      <c r="O173" s="958" t="s">
        <v>1335</v>
      </c>
      <c r="P173" s="958" t="s">
        <v>1335</v>
      </c>
      <c r="Q173" s="958" t="s">
        <v>1335</v>
      </c>
      <c r="R173" s="958" t="s">
        <v>1335</v>
      </c>
      <c r="S173" s="958" t="s">
        <v>1335</v>
      </c>
      <c r="T173" s="958" t="s">
        <v>1335</v>
      </c>
      <c r="U173" s="958" t="s">
        <v>1335</v>
      </c>
      <c r="V173" s="966"/>
      <c r="W173" s="966"/>
      <c r="X173" s="966"/>
      <c r="Y173" s="970"/>
      <c r="Z173" s="966"/>
      <c r="AA173" s="971"/>
      <c r="AB173" s="972"/>
      <c r="AC173" s="972"/>
      <c r="AD173" s="972"/>
      <c r="AE173" s="972"/>
      <c r="AF173" s="972"/>
      <c r="AG173" s="972"/>
      <c r="AH173" s="972"/>
      <c r="AI173" s="972"/>
      <c r="AJ173" s="972"/>
      <c r="AK173" s="972"/>
      <c r="AL173" s="972"/>
      <c r="AM173" s="972"/>
      <c r="AN173" s="972"/>
      <c r="AO173" s="972"/>
      <c r="AP173" s="972"/>
      <c r="AQ173" s="956">
        <f t="shared" si="16"/>
        <v>13</v>
      </c>
      <c r="AR173" s="956">
        <f t="shared" si="17"/>
        <v>0</v>
      </c>
      <c r="AS173" s="956">
        <f t="shared" si="18"/>
        <v>13</v>
      </c>
      <c r="AT173" s="982">
        <v>0</v>
      </c>
      <c r="AU173" s="981"/>
      <c r="AV173" s="981"/>
      <c r="AW173" s="981"/>
      <c r="AX173" s="993"/>
      <c r="AY173" s="993"/>
      <c r="AZ173" s="833">
        <f t="shared" si="19"/>
        <v>0</v>
      </c>
      <c r="BA173" s="983">
        <f t="shared" si="0"/>
        <v>0</v>
      </c>
      <c r="BB173" s="983">
        <f t="shared" si="1"/>
        <v>0</v>
      </c>
      <c r="BC173" s="983">
        <f t="shared" si="2"/>
        <v>0</v>
      </c>
      <c r="BD173" s="983">
        <f t="shared" si="3"/>
        <v>0</v>
      </c>
      <c r="BE173" s="983">
        <f t="shared" si="20"/>
        <v>0</v>
      </c>
      <c r="BF173" s="871">
        <f t="shared" si="21"/>
        <v>13</v>
      </c>
    </row>
    <row r="174" spans="1:58" s="8" customFormat="1" ht="20.100000000000001" customHeight="1">
      <c r="A174" s="956"/>
      <c r="B174" s="997">
        <v>7</v>
      </c>
      <c r="C174" s="956">
        <v>292</v>
      </c>
      <c r="D174" s="957"/>
      <c r="E174" s="957"/>
      <c r="F174" s="956"/>
      <c r="G174" s="958">
        <v>0</v>
      </c>
      <c r="H174" s="958" t="s">
        <v>1335</v>
      </c>
      <c r="I174" s="958" t="s">
        <v>1335</v>
      </c>
      <c r="J174" s="958">
        <v>0</v>
      </c>
      <c r="K174" s="958" t="s">
        <v>1335</v>
      </c>
      <c r="L174" s="958" t="s">
        <v>1335</v>
      </c>
      <c r="M174" s="958" t="s">
        <v>1335</v>
      </c>
      <c r="N174" s="958" t="s">
        <v>1335</v>
      </c>
      <c r="O174" s="958">
        <v>0</v>
      </c>
      <c r="P174" s="958" t="s">
        <v>1335</v>
      </c>
      <c r="Q174" s="958" t="s">
        <v>1335</v>
      </c>
      <c r="R174" s="958" t="s">
        <v>1335</v>
      </c>
      <c r="S174" s="958" t="s">
        <v>1335</v>
      </c>
      <c r="T174" s="958" t="s">
        <v>1335</v>
      </c>
      <c r="U174" s="958" t="s">
        <v>1335</v>
      </c>
      <c r="V174" s="966"/>
      <c r="W174" s="966"/>
      <c r="X174" s="966"/>
      <c r="Y174" s="970"/>
      <c r="Z174" s="966"/>
      <c r="AA174" s="971"/>
      <c r="AB174" s="972"/>
      <c r="AC174" s="972"/>
      <c r="AD174" s="972"/>
      <c r="AE174" s="972"/>
      <c r="AF174" s="972"/>
      <c r="AG174" s="972"/>
      <c r="AH174" s="972"/>
      <c r="AI174" s="972"/>
      <c r="AJ174" s="972"/>
      <c r="AK174" s="972"/>
      <c r="AL174" s="972"/>
      <c r="AM174" s="972"/>
      <c r="AN174" s="972"/>
      <c r="AO174" s="972"/>
      <c r="AP174" s="972"/>
      <c r="AQ174" s="956">
        <f t="shared" si="16"/>
        <v>12</v>
      </c>
      <c r="AR174" s="956">
        <f t="shared" si="17"/>
        <v>0</v>
      </c>
      <c r="AS174" s="956">
        <f t="shared" si="18"/>
        <v>12</v>
      </c>
      <c r="AT174" s="982">
        <v>9</v>
      </c>
      <c r="AU174" s="981"/>
      <c r="AV174" s="981"/>
      <c r="AW174" s="981"/>
      <c r="AX174" s="993"/>
      <c r="AY174" s="993"/>
      <c r="AZ174" s="833">
        <f t="shared" si="19"/>
        <v>0</v>
      </c>
      <c r="BA174" s="983">
        <f t="shared" si="0"/>
        <v>0</v>
      </c>
      <c r="BB174" s="983">
        <f t="shared" si="1"/>
        <v>0</v>
      </c>
      <c r="BC174" s="983">
        <f t="shared" si="2"/>
        <v>0</v>
      </c>
      <c r="BD174" s="983">
        <f t="shared" si="3"/>
        <v>0</v>
      </c>
      <c r="BE174" s="983">
        <f t="shared" si="20"/>
        <v>0</v>
      </c>
      <c r="BF174" s="871">
        <f t="shared" si="21"/>
        <v>0</v>
      </c>
    </row>
    <row r="175" spans="1:58" s="945" customFormat="1" ht="30" customHeight="1">
      <c r="A175" s="998">
        <v>2</v>
      </c>
      <c r="B175" s="999"/>
      <c r="C175" s="1000"/>
      <c r="D175" s="1001"/>
      <c r="E175" s="1001"/>
      <c r="F175" s="1000"/>
      <c r="G175" s="998">
        <f t="shared" ref="G175:Y175" si="22">COUNTIF(G8:G174,"X")</f>
        <v>117</v>
      </c>
      <c r="H175" s="998">
        <f t="shared" si="22"/>
        <v>145</v>
      </c>
      <c r="I175" s="998">
        <f t="shared" si="22"/>
        <v>163</v>
      </c>
      <c r="J175" s="1004">
        <f t="shared" si="22"/>
        <v>58</v>
      </c>
      <c r="K175" s="998">
        <f t="shared" si="22"/>
        <v>153</v>
      </c>
      <c r="L175" s="998">
        <f t="shared" si="22"/>
        <v>150</v>
      </c>
      <c r="M175" s="998">
        <f t="shared" si="22"/>
        <v>146</v>
      </c>
      <c r="N175" s="1004">
        <f t="shared" si="22"/>
        <v>150</v>
      </c>
      <c r="O175" s="1004">
        <f t="shared" si="22"/>
        <v>154</v>
      </c>
      <c r="P175" s="1004">
        <f t="shared" si="22"/>
        <v>156</v>
      </c>
      <c r="Q175" s="1004">
        <f t="shared" si="22"/>
        <v>158</v>
      </c>
      <c r="R175" s="998">
        <f t="shared" si="22"/>
        <v>162</v>
      </c>
      <c r="S175" s="1004">
        <f t="shared" si="22"/>
        <v>158</v>
      </c>
      <c r="T175" s="1004">
        <f t="shared" si="22"/>
        <v>161</v>
      </c>
      <c r="U175" s="1004">
        <f t="shared" si="22"/>
        <v>164</v>
      </c>
      <c r="V175" s="1004">
        <f t="shared" si="22"/>
        <v>8</v>
      </c>
      <c r="W175" s="1004">
        <f t="shared" si="22"/>
        <v>77</v>
      </c>
      <c r="X175" s="1004">
        <f t="shared" si="22"/>
        <v>6</v>
      </c>
      <c r="Y175" s="1005">
        <f t="shared" si="22"/>
        <v>0</v>
      </c>
      <c r="Z175" s="1004"/>
      <c r="AA175" s="1004">
        <f t="shared" ref="AA175:AO175" si="23">COUNTIF(AA8:AA174,"X")</f>
        <v>0</v>
      </c>
      <c r="AB175" s="1004">
        <f t="shared" si="23"/>
        <v>0</v>
      </c>
      <c r="AC175" s="1004">
        <f t="shared" si="23"/>
        <v>0</v>
      </c>
      <c r="AD175" s="1004">
        <f t="shared" si="23"/>
        <v>0</v>
      </c>
      <c r="AE175" s="1004">
        <f t="shared" si="23"/>
        <v>0</v>
      </c>
      <c r="AF175" s="1004">
        <f t="shared" si="23"/>
        <v>0</v>
      </c>
      <c r="AG175" s="1004">
        <f t="shared" si="23"/>
        <v>0</v>
      </c>
      <c r="AH175" s="1004">
        <f t="shared" si="23"/>
        <v>0</v>
      </c>
      <c r="AI175" s="1004">
        <f t="shared" si="23"/>
        <v>0</v>
      </c>
      <c r="AJ175" s="1004">
        <f t="shared" si="23"/>
        <v>0</v>
      </c>
      <c r="AK175" s="1004">
        <f t="shared" si="23"/>
        <v>0</v>
      </c>
      <c r="AL175" s="1004">
        <f t="shared" si="23"/>
        <v>0</v>
      </c>
      <c r="AM175" s="1004">
        <f t="shared" si="23"/>
        <v>0</v>
      </c>
      <c r="AN175" s="1004">
        <f t="shared" si="23"/>
        <v>0</v>
      </c>
      <c r="AO175" s="1004">
        <f t="shared" si="23"/>
        <v>0</v>
      </c>
      <c r="AP175" s="1008"/>
      <c r="AQ175" s="1009">
        <f t="shared" ref="AQ175:AW175" si="24">SUBTOTAL(9,AQ8:AQ174)</f>
        <v>2195</v>
      </c>
      <c r="AR175" s="1009">
        <f t="shared" si="24"/>
        <v>91</v>
      </c>
      <c r="AS175" s="1009">
        <f t="shared" si="24"/>
        <v>2286</v>
      </c>
      <c r="AT175" s="1009">
        <f t="shared" si="24"/>
        <v>1608</v>
      </c>
      <c r="AU175" s="1009"/>
      <c r="AV175" s="1009"/>
      <c r="AW175" s="1009">
        <f t="shared" si="24"/>
        <v>0</v>
      </c>
      <c r="AX175" s="1015">
        <f>J175+N175+R175</f>
        <v>370</v>
      </c>
      <c r="AY175" s="993">
        <f>SUM(AY8:AY174)</f>
        <v>0</v>
      </c>
      <c r="AZ175" s="833">
        <f>SUM(AZ8:AZ174)</f>
        <v>0</v>
      </c>
      <c r="BA175" s="1016"/>
      <c r="BB175" s="1016"/>
      <c r="BC175" s="1016"/>
      <c r="BD175" s="1016"/>
      <c r="BE175" s="1016"/>
      <c r="BF175" s="1018"/>
    </row>
    <row r="176" spans="1:58" s="945" customFormat="1" ht="30" customHeight="1">
      <c r="A176" s="998"/>
      <c r="B176" s="1308" t="s">
        <v>619</v>
      </c>
      <c r="C176" s="1309"/>
      <c r="D176" s="1001"/>
      <c r="E176" s="1001"/>
      <c r="F176" s="1000"/>
      <c r="G176" s="1002">
        <f>167-G175</f>
        <v>50</v>
      </c>
      <c r="H176" s="1002">
        <f t="shared" ref="H176:Z176" si="25">167-H175</f>
        <v>22</v>
      </c>
      <c r="I176" s="1002">
        <f t="shared" si="25"/>
        <v>4</v>
      </c>
      <c r="J176" s="1002">
        <f t="shared" si="25"/>
        <v>109</v>
      </c>
      <c r="K176" s="1002">
        <f t="shared" si="25"/>
        <v>14</v>
      </c>
      <c r="L176" s="1002">
        <f t="shared" si="25"/>
        <v>17</v>
      </c>
      <c r="M176" s="1002">
        <f t="shared" si="25"/>
        <v>21</v>
      </c>
      <c r="N176" s="1002">
        <f t="shared" si="25"/>
        <v>17</v>
      </c>
      <c r="O176" s="1002">
        <f t="shared" si="25"/>
        <v>13</v>
      </c>
      <c r="P176" s="1002">
        <f t="shared" si="25"/>
        <v>11</v>
      </c>
      <c r="Q176" s="1002">
        <f t="shared" si="25"/>
        <v>9</v>
      </c>
      <c r="R176" s="1002">
        <f t="shared" si="25"/>
        <v>5</v>
      </c>
      <c r="S176" s="1002">
        <f t="shared" si="25"/>
        <v>9</v>
      </c>
      <c r="T176" s="1002">
        <f t="shared" si="25"/>
        <v>6</v>
      </c>
      <c r="U176" s="1002">
        <f t="shared" si="25"/>
        <v>3</v>
      </c>
      <c r="V176" s="1002">
        <f t="shared" si="25"/>
        <v>159</v>
      </c>
      <c r="W176" s="1002">
        <f t="shared" si="25"/>
        <v>90</v>
      </c>
      <c r="X176" s="1002">
        <f t="shared" si="25"/>
        <v>161</v>
      </c>
      <c r="Y176" s="1002">
        <f t="shared" si="25"/>
        <v>167</v>
      </c>
      <c r="Z176" s="1002">
        <f t="shared" si="25"/>
        <v>167</v>
      </c>
      <c r="AA176" s="1006"/>
      <c r="AB176" s="1006"/>
      <c r="AC176" s="1006"/>
      <c r="AD176" s="1006"/>
      <c r="AE176" s="1006"/>
      <c r="AF176" s="1006"/>
      <c r="AG176" s="1006"/>
      <c r="AH176" s="1006"/>
      <c r="AI176" s="1006"/>
      <c r="AJ176" s="1006"/>
      <c r="AK176" s="1006"/>
      <c r="AL176" s="1006"/>
      <c r="AM176" s="1006"/>
      <c r="AN176" s="1006"/>
      <c r="AO176" s="1006"/>
      <c r="AP176" s="1006"/>
      <c r="AQ176" s="1010"/>
      <c r="AR176" s="1011"/>
      <c r="AS176" s="1012"/>
      <c r="AT176" s="1013"/>
      <c r="AU176" s="1014"/>
      <c r="AV176" s="1014"/>
      <c r="AW176" s="1014"/>
      <c r="AX176" s="1017"/>
      <c r="AY176" s="993"/>
      <c r="AZ176" s="833"/>
      <c r="BA176" s="1016"/>
      <c r="BB176" s="1016"/>
      <c r="BC176" s="1016"/>
      <c r="BD176" s="1016"/>
      <c r="BE176" s="1016"/>
      <c r="BF176" s="1018"/>
    </row>
    <row r="177" spans="1:58" s="8" customFormat="1" ht="20.100000000000001" customHeight="1">
      <c r="A177" s="956">
        <v>48</v>
      </c>
      <c r="B177" s="1003">
        <v>2</v>
      </c>
      <c r="C177" s="956">
        <v>48</v>
      </c>
      <c r="D177" s="957"/>
      <c r="E177" s="957"/>
      <c r="F177" s="956"/>
      <c r="G177" s="958">
        <v>0</v>
      </c>
      <c r="H177" s="958" t="s">
        <v>1335</v>
      </c>
      <c r="I177" s="958" t="s">
        <v>1335</v>
      </c>
      <c r="J177" s="958"/>
      <c r="K177" s="958">
        <v>0</v>
      </c>
      <c r="L177" s="958">
        <v>0</v>
      </c>
      <c r="M177" s="958" t="s">
        <v>1335</v>
      </c>
      <c r="N177" s="958" t="s">
        <v>1335</v>
      </c>
      <c r="O177" s="958" t="s">
        <v>1335</v>
      </c>
      <c r="P177" s="958" t="s">
        <v>1335</v>
      </c>
      <c r="Q177" s="958" t="s">
        <v>1335</v>
      </c>
      <c r="R177" s="958" t="s">
        <v>1335</v>
      </c>
      <c r="S177" s="958" t="s">
        <v>1335</v>
      </c>
      <c r="T177" s="958" t="s">
        <v>1335</v>
      </c>
      <c r="U177" s="958" t="s">
        <v>1335</v>
      </c>
      <c r="V177" s="982">
        <v>0</v>
      </c>
      <c r="W177" s="982"/>
      <c r="X177" s="982"/>
      <c r="Y177" s="1007"/>
      <c r="Z177" s="982"/>
      <c r="AA177" s="972"/>
      <c r="AB177" s="972"/>
      <c r="AC177" s="972"/>
      <c r="AD177" s="972"/>
      <c r="AE177" s="972"/>
      <c r="AF177" s="972"/>
      <c r="AG177" s="972"/>
      <c r="AH177" s="972"/>
      <c r="AI177" s="972"/>
      <c r="AJ177" s="972"/>
      <c r="AK177" s="972"/>
      <c r="AL177" s="972"/>
      <c r="AM177" s="972"/>
      <c r="AN177" s="972"/>
      <c r="AO177" s="972"/>
      <c r="AP177" s="972"/>
      <c r="AQ177" s="956">
        <f>COUNTIF(G177:U177,"X")</f>
        <v>11</v>
      </c>
      <c r="AR177" s="956">
        <f t="shared" ref="AR177:AR221" si="26">COUNTIF(V177:AA177,"X")</f>
        <v>0</v>
      </c>
      <c r="AS177" s="956">
        <f>ROUND(COUNTIF(G177:AO177,"x"),0)+ROUND(COUNTIF(AA177:AP177,"&gt;0"),0)</f>
        <v>11</v>
      </c>
      <c r="AT177" s="956">
        <v>9</v>
      </c>
      <c r="AU177" s="981"/>
      <c r="AV177" s="981"/>
      <c r="AW177" s="981"/>
      <c r="AX177" s="993"/>
      <c r="AY177" s="993"/>
      <c r="AZ177" s="833">
        <f t="shared" ref="AZ177:AZ221" si="27">AY177*25000</f>
        <v>0</v>
      </c>
      <c r="BA177" s="983">
        <f t="shared" ref="BA177:BA221" si="28">COUNTIFS($G177:$AP177,"x",$G$6:$AP$6,"A")+COUNTIFS($G177:$AP177,"xx",$G$6:$AP$6,"A")</f>
        <v>0</v>
      </c>
      <c r="BB177" s="983">
        <f t="shared" ref="BB177:BB221" si="29">COUNTIFS($G177:$AP177,"x",$G$6:$AP$6,"B")+COUNTIFS($G177:$AP177,"xx",$G$6:$AP$6,"B")</f>
        <v>0</v>
      </c>
      <c r="BC177" s="983">
        <f t="shared" ref="BC177:BC221" si="30">COUNTIFS($G177:$AP177,"x",$G$6:$AP$6,"C")+COUNTIFS($G177:$AP177,"xx",$G$6:$AP$6,"C")</f>
        <v>0</v>
      </c>
      <c r="BD177" s="983">
        <f t="shared" ref="BD177:BD221" si="31">COUNTIFS($G177:$AP177,"x",$G$6:$AP$6,"D")+COUNTIFS($G177:$AP177,"xx",$G$6:$AP$6,"D")</f>
        <v>0</v>
      </c>
      <c r="BE177" s="983">
        <f t="shared" ref="BE177:BE221" si="32">SUM(BA177:BD177)</f>
        <v>0</v>
      </c>
      <c r="BF177" s="871">
        <f t="shared" ref="BF177:BF193" si="33">IF(AS177&gt;=13,AS177,0)</f>
        <v>0</v>
      </c>
    </row>
    <row r="178" spans="1:58" s="8" customFormat="1" ht="20.100000000000001" customHeight="1">
      <c r="A178" s="956">
        <v>49</v>
      </c>
      <c r="B178" s="1003">
        <v>2</v>
      </c>
      <c r="C178" s="956">
        <v>49</v>
      </c>
      <c r="D178" s="957"/>
      <c r="E178" s="957"/>
      <c r="F178" s="956"/>
      <c r="G178" s="958">
        <v>0</v>
      </c>
      <c r="H178" s="958" t="s">
        <v>1335</v>
      </c>
      <c r="I178" s="958" t="s">
        <v>1335</v>
      </c>
      <c r="J178" s="958"/>
      <c r="K178" s="958">
        <v>0</v>
      </c>
      <c r="L178" s="958">
        <v>0</v>
      </c>
      <c r="M178" s="958" t="s">
        <v>1335</v>
      </c>
      <c r="N178" s="958" t="s">
        <v>1335</v>
      </c>
      <c r="O178" s="958" t="s">
        <v>1335</v>
      </c>
      <c r="P178" s="958" t="s">
        <v>1335</v>
      </c>
      <c r="Q178" s="958" t="s">
        <v>1335</v>
      </c>
      <c r="R178" s="958" t="s">
        <v>1335</v>
      </c>
      <c r="S178" s="958" t="s">
        <v>1335</v>
      </c>
      <c r="T178" s="958" t="s">
        <v>1335</v>
      </c>
      <c r="U178" s="958" t="s">
        <v>1335</v>
      </c>
      <c r="V178" s="982">
        <v>0</v>
      </c>
      <c r="W178" s="982"/>
      <c r="X178" s="982"/>
      <c r="Y178" s="1007"/>
      <c r="Z178" s="982"/>
      <c r="AA178" s="971"/>
      <c r="AB178" s="972"/>
      <c r="AC178" s="972"/>
      <c r="AD178" s="972"/>
      <c r="AE178" s="972"/>
      <c r="AF178" s="972"/>
      <c r="AG178" s="972"/>
      <c r="AH178" s="972"/>
      <c r="AI178" s="972"/>
      <c r="AJ178" s="972"/>
      <c r="AK178" s="972"/>
      <c r="AL178" s="972"/>
      <c r="AM178" s="972"/>
      <c r="AN178" s="972"/>
      <c r="AO178" s="972"/>
      <c r="AP178" s="972"/>
      <c r="AQ178" s="956">
        <f t="shared" ref="AQ178:AQ222" si="34">COUNTIF(G178:U178,"X")</f>
        <v>11</v>
      </c>
      <c r="AR178" s="956">
        <f t="shared" si="26"/>
        <v>0</v>
      </c>
      <c r="AS178" s="956">
        <f t="shared" ref="AS178:AS221" si="35">ROUND(COUNTIF(G178:AO178,"x"),0)+ROUND(COUNTIF(AA178:AP178,"&gt;0"),0)</f>
        <v>11</v>
      </c>
      <c r="AT178" s="956">
        <v>9</v>
      </c>
      <c r="AU178" s="981"/>
      <c r="AV178" s="981"/>
      <c r="AW178" s="981"/>
      <c r="AX178" s="993"/>
      <c r="AY178" s="993"/>
      <c r="AZ178" s="833">
        <f t="shared" si="27"/>
        <v>0</v>
      </c>
      <c r="BA178" s="983">
        <f t="shared" si="28"/>
        <v>0</v>
      </c>
      <c r="BB178" s="983">
        <f t="shared" si="29"/>
        <v>0</v>
      </c>
      <c r="BC178" s="983">
        <f t="shared" si="30"/>
        <v>0</v>
      </c>
      <c r="BD178" s="983">
        <f t="shared" si="31"/>
        <v>0</v>
      </c>
      <c r="BE178" s="983">
        <f t="shared" si="32"/>
        <v>0</v>
      </c>
      <c r="BF178" s="871">
        <f t="shared" si="33"/>
        <v>0</v>
      </c>
    </row>
    <row r="179" spans="1:58" s="8" customFormat="1" ht="20.100000000000001" customHeight="1">
      <c r="A179" s="956">
        <v>50</v>
      </c>
      <c r="B179" s="1003">
        <v>2</v>
      </c>
      <c r="C179" s="956">
        <v>50</v>
      </c>
      <c r="D179" s="957"/>
      <c r="E179" s="957"/>
      <c r="F179" s="956"/>
      <c r="G179" s="958" t="s">
        <v>1335</v>
      </c>
      <c r="H179" s="958" t="s">
        <v>1335</v>
      </c>
      <c r="I179" s="958" t="s">
        <v>1335</v>
      </c>
      <c r="J179" s="958"/>
      <c r="K179" s="958">
        <v>0</v>
      </c>
      <c r="L179" s="958" t="s">
        <v>1335</v>
      </c>
      <c r="M179" s="958" t="s">
        <v>1335</v>
      </c>
      <c r="N179" s="958" t="s">
        <v>1335</v>
      </c>
      <c r="O179" s="958" t="s">
        <v>1335</v>
      </c>
      <c r="P179" s="958" t="s">
        <v>1335</v>
      </c>
      <c r="Q179" s="958" t="s">
        <v>1335</v>
      </c>
      <c r="R179" s="958" t="s">
        <v>1335</v>
      </c>
      <c r="S179" s="958" t="s">
        <v>1335</v>
      </c>
      <c r="T179" s="958" t="s">
        <v>1335</v>
      </c>
      <c r="U179" s="958" t="s">
        <v>1335</v>
      </c>
      <c r="V179" s="982">
        <v>0</v>
      </c>
      <c r="W179" s="982"/>
      <c r="X179" s="982"/>
      <c r="Y179" s="1007"/>
      <c r="Z179" s="982"/>
      <c r="AA179" s="971"/>
      <c r="AB179" s="972"/>
      <c r="AC179" s="972"/>
      <c r="AD179" s="972"/>
      <c r="AE179" s="972"/>
      <c r="AF179" s="972"/>
      <c r="AG179" s="972"/>
      <c r="AH179" s="972"/>
      <c r="AI179" s="972"/>
      <c r="AJ179" s="972"/>
      <c r="AK179" s="972"/>
      <c r="AL179" s="972"/>
      <c r="AM179" s="972"/>
      <c r="AN179" s="972"/>
      <c r="AO179" s="972"/>
      <c r="AP179" s="972"/>
      <c r="AQ179" s="956">
        <f t="shared" si="34"/>
        <v>13</v>
      </c>
      <c r="AR179" s="956">
        <f t="shared" si="26"/>
        <v>0</v>
      </c>
      <c r="AS179" s="956">
        <f t="shared" si="35"/>
        <v>13</v>
      </c>
      <c r="AT179" s="956">
        <v>9</v>
      </c>
      <c r="AU179" s="981"/>
      <c r="AV179" s="981"/>
      <c r="AW179" s="981"/>
      <c r="AX179" s="993"/>
      <c r="AY179" s="993"/>
      <c r="AZ179" s="833">
        <f t="shared" si="27"/>
        <v>0</v>
      </c>
      <c r="BA179" s="983">
        <f t="shared" si="28"/>
        <v>0</v>
      </c>
      <c r="BB179" s="983">
        <f t="shared" si="29"/>
        <v>0</v>
      </c>
      <c r="BC179" s="983">
        <f t="shared" si="30"/>
        <v>0</v>
      </c>
      <c r="BD179" s="983">
        <f t="shared" si="31"/>
        <v>0</v>
      </c>
      <c r="BE179" s="983">
        <f t="shared" si="32"/>
        <v>0</v>
      </c>
      <c r="BF179" s="871">
        <f t="shared" si="33"/>
        <v>13</v>
      </c>
    </row>
    <row r="180" spans="1:58" s="8" customFormat="1" ht="20.100000000000001" customHeight="1">
      <c r="A180" s="956">
        <v>51</v>
      </c>
      <c r="B180" s="1003">
        <v>2</v>
      </c>
      <c r="C180" s="956">
        <v>51</v>
      </c>
      <c r="D180" s="957"/>
      <c r="E180" s="957"/>
      <c r="F180" s="956"/>
      <c r="G180" s="958" t="s">
        <v>1335</v>
      </c>
      <c r="H180" s="958" t="s">
        <v>1335</v>
      </c>
      <c r="I180" s="958" t="s">
        <v>1335</v>
      </c>
      <c r="J180" s="958"/>
      <c r="K180" s="958">
        <v>0</v>
      </c>
      <c r="L180" s="958" t="s">
        <v>1335</v>
      </c>
      <c r="M180" s="958" t="s">
        <v>1335</v>
      </c>
      <c r="N180" s="958" t="s">
        <v>1335</v>
      </c>
      <c r="O180" s="958" t="s">
        <v>1335</v>
      </c>
      <c r="P180" s="958" t="s">
        <v>1335</v>
      </c>
      <c r="Q180" s="958" t="s">
        <v>1335</v>
      </c>
      <c r="R180" s="958" t="s">
        <v>1335</v>
      </c>
      <c r="S180" s="958" t="s">
        <v>1335</v>
      </c>
      <c r="T180" s="958" t="s">
        <v>1335</v>
      </c>
      <c r="U180" s="958" t="s">
        <v>1335</v>
      </c>
      <c r="V180" s="982">
        <v>0</v>
      </c>
      <c r="W180" s="982"/>
      <c r="X180" s="982"/>
      <c r="Y180" s="1007"/>
      <c r="Z180" s="982"/>
      <c r="AA180" s="971"/>
      <c r="AB180" s="972"/>
      <c r="AC180" s="972"/>
      <c r="AD180" s="972"/>
      <c r="AE180" s="972"/>
      <c r="AF180" s="972"/>
      <c r="AG180" s="972"/>
      <c r="AH180" s="972"/>
      <c r="AI180" s="972"/>
      <c r="AJ180" s="972"/>
      <c r="AK180" s="972"/>
      <c r="AL180" s="972"/>
      <c r="AM180" s="972"/>
      <c r="AN180" s="972"/>
      <c r="AO180" s="972"/>
      <c r="AP180" s="972"/>
      <c r="AQ180" s="956">
        <f t="shared" si="34"/>
        <v>13</v>
      </c>
      <c r="AR180" s="956">
        <f t="shared" si="26"/>
        <v>0</v>
      </c>
      <c r="AS180" s="956">
        <f t="shared" si="35"/>
        <v>13</v>
      </c>
      <c r="AT180" s="956">
        <v>9</v>
      </c>
      <c r="AU180" s="981"/>
      <c r="AV180" s="981"/>
      <c r="AW180" s="981"/>
      <c r="AX180" s="993"/>
      <c r="AY180" s="993"/>
      <c r="AZ180" s="833">
        <f t="shared" si="27"/>
        <v>0</v>
      </c>
      <c r="BA180" s="983">
        <f t="shared" si="28"/>
        <v>0</v>
      </c>
      <c r="BB180" s="983">
        <f t="shared" si="29"/>
        <v>0</v>
      </c>
      <c r="BC180" s="983">
        <f t="shared" si="30"/>
        <v>0</v>
      </c>
      <c r="BD180" s="983">
        <f t="shared" si="31"/>
        <v>0</v>
      </c>
      <c r="BE180" s="983">
        <f t="shared" si="32"/>
        <v>0</v>
      </c>
      <c r="BF180" s="871">
        <f t="shared" si="33"/>
        <v>13</v>
      </c>
    </row>
    <row r="181" spans="1:58" s="8" customFormat="1" ht="20.100000000000001" customHeight="1">
      <c r="A181" s="956">
        <v>52</v>
      </c>
      <c r="B181" s="1003">
        <v>2</v>
      </c>
      <c r="C181" s="956">
        <v>52</v>
      </c>
      <c r="D181" s="957"/>
      <c r="E181" s="957"/>
      <c r="F181" s="956"/>
      <c r="G181" s="958" t="s">
        <v>1335</v>
      </c>
      <c r="H181" s="958" t="s">
        <v>1335</v>
      </c>
      <c r="I181" s="958" t="s">
        <v>1335</v>
      </c>
      <c r="J181" s="958"/>
      <c r="K181" s="958">
        <v>0</v>
      </c>
      <c r="L181" s="958">
        <v>0</v>
      </c>
      <c r="M181" s="958" t="s">
        <v>1335</v>
      </c>
      <c r="N181" s="958" t="s">
        <v>1335</v>
      </c>
      <c r="O181" s="958" t="s">
        <v>1335</v>
      </c>
      <c r="P181" s="958">
        <v>0</v>
      </c>
      <c r="Q181" s="958" t="s">
        <v>1335</v>
      </c>
      <c r="R181" s="958" t="s">
        <v>1335</v>
      </c>
      <c r="S181" s="958" t="s">
        <v>1335</v>
      </c>
      <c r="T181" s="958" t="s">
        <v>1335</v>
      </c>
      <c r="U181" s="958" t="s">
        <v>1335</v>
      </c>
      <c r="V181" s="982">
        <v>0</v>
      </c>
      <c r="W181" s="982"/>
      <c r="X181" s="982"/>
      <c r="Y181" s="1007"/>
      <c r="Z181" s="982"/>
      <c r="AA181" s="972"/>
      <c r="AB181" s="972"/>
      <c r="AC181" s="972"/>
      <c r="AD181" s="972"/>
      <c r="AE181" s="972"/>
      <c r="AF181" s="972"/>
      <c r="AG181" s="972"/>
      <c r="AH181" s="972"/>
      <c r="AI181" s="972"/>
      <c r="AJ181" s="972"/>
      <c r="AK181" s="972"/>
      <c r="AL181" s="972"/>
      <c r="AM181" s="972"/>
      <c r="AN181" s="972"/>
      <c r="AO181" s="972"/>
      <c r="AP181" s="972"/>
      <c r="AQ181" s="956">
        <f t="shared" si="34"/>
        <v>11</v>
      </c>
      <c r="AR181" s="956">
        <f t="shared" si="26"/>
        <v>0</v>
      </c>
      <c r="AS181" s="956">
        <f t="shared" si="35"/>
        <v>11</v>
      </c>
      <c r="AT181" s="956">
        <v>9</v>
      </c>
      <c r="AU181" s="981"/>
      <c r="AV181" s="981"/>
      <c r="AW181" s="981"/>
      <c r="AX181" s="993"/>
      <c r="AY181" s="993"/>
      <c r="AZ181" s="833">
        <f t="shared" si="27"/>
        <v>0</v>
      </c>
      <c r="BA181" s="983">
        <f t="shared" si="28"/>
        <v>0</v>
      </c>
      <c r="BB181" s="983">
        <f t="shared" si="29"/>
        <v>0</v>
      </c>
      <c r="BC181" s="983">
        <f t="shared" si="30"/>
        <v>0</v>
      </c>
      <c r="BD181" s="983">
        <f t="shared" si="31"/>
        <v>0</v>
      </c>
      <c r="BE181" s="983">
        <f t="shared" si="32"/>
        <v>0</v>
      </c>
      <c r="BF181" s="871">
        <f t="shared" si="33"/>
        <v>0</v>
      </c>
    </row>
    <row r="182" spans="1:58" s="8" customFormat="1" ht="20.100000000000001" customHeight="1">
      <c r="A182" s="956">
        <v>53</v>
      </c>
      <c r="B182" s="1003">
        <v>2</v>
      </c>
      <c r="C182" s="956">
        <v>53</v>
      </c>
      <c r="D182" s="957"/>
      <c r="E182" s="957"/>
      <c r="F182" s="956"/>
      <c r="G182" s="958" t="s">
        <v>1335</v>
      </c>
      <c r="H182" s="958" t="s">
        <v>1335</v>
      </c>
      <c r="I182" s="958" t="s">
        <v>1335</v>
      </c>
      <c r="J182" s="958"/>
      <c r="K182" s="958">
        <v>0</v>
      </c>
      <c r="L182" s="958">
        <v>0</v>
      </c>
      <c r="M182" s="958" t="s">
        <v>1335</v>
      </c>
      <c r="N182" s="958" t="s">
        <v>1335</v>
      </c>
      <c r="O182" s="958" t="s">
        <v>1335</v>
      </c>
      <c r="P182" s="958" t="s">
        <v>1335</v>
      </c>
      <c r="Q182" s="958" t="s">
        <v>1335</v>
      </c>
      <c r="R182" s="958" t="s">
        <v>1335</v>
      </c>
      <c r="S182" s="958" t="s">
        <v>1335</v>
      </c>
      <c r="T182" s="958" t="s">
        <v>1335</v>
      </c>
      <c r="U182" s="958" t="s">
        <v>1335</v>
      </c>
      <c r="V182" s="982">
        <v>0</v>
      </c>
      <c r="W182" s="982"/>
      <c r="X182" s="982"/>
      <c r="Y182" s="1007"/>
      <c r="Z182" s="982"/>
      <c r="AA182" s="971"/>
      <c r="AB182" s="972"/>
      <c r="AC182" s="972"/>
      <c r="AD182" s="972"/>
      <c r="AE182" s="972"/>
      <c r="AF182" s="972"/>
      <c r="AG182" s="972"/>
      <c r="AH182" s="972"/>
      <c r="AI182" s="972"/>
      <c r="AJ182" s="972"/>
      <c r="AK182" s="972"/>
      <c r="AL182" s="972"/>
      <c r="AM182" s="972"/>
      <c r="AN182" s="972"/>
      <c r="AO182" s="972"/>
      <c r="AP182" s="972"/>
      <c r="AQ182" s="956">
        <f t="shared" si="34"/>
        <v>12</v>
      </c>
      <c r="AR182" s="956">
        <f t="shared" si="26"/>
        <v>0</v>
      </c>
      <c r="AS182" s="956">
        <f t="shared" si="35"/>
        <v>12</v>
      </c>
      <c r="AT182" s="982">
        <v>0</v>
      </c>
      <c r="AU182" s="981"/>
      <c r="AV182" s="981"/>
      <c r="AW182" s="981"/>
      <c r="AX182" s="993"/>
      <c r="AY182" s="993"/>
      <c r="AZ182" s="833">
        <f t="shared" si="27"/>
        <v>0</v>
      </c>
      <c r="BA182" s="983">
        <f t="shared" si="28"/>
        <v>0</v>
      </c>
      <c r="BB182" s="983">
        <f t="shared" si="29"/>
        <v>0</v>
      </c>
      <c r="BC182" s="983">
        <f t="shared" si="30"/>
        <v>0</v>
      </c>
      <c r="BD182" s="983">
        <f t="shared" si="31"/>
        <v>0</v>
      </c>
      <c r="BE182" s="983">
        <f t="shared" si="32"/>
        <v>0</v>
      </c>
      <c r="BF182" s="871">
        <f t="shared" si="33"/>
        <v>0</v>
      </c>
    </row>
    <row r="183" spans="1:58" s="8" customFormat="1" ht="20.100000000000001" customHeight="1">
      <c r="A183" s="956">
        <v>54</v>
      </c>
      <c r="B183" s="1003">
        <v>2</v>
      </c>
      <c r="C183" s="956">
        <v>54</v>
      </c>
      <c r="D183" s="957"/>
      <c r="E183" s="957"/>
      <c r="F183" s="956"/>
      <c r="G183" s="958">
        <v>0</v>
      </c>
      <c r="H183" s="958">
        <v>0</v>
      </c>
      <c r="I183" s="958" t="s">
        <v>1335</v>
      </c>
      <c r="J183" s="958"/>
      <c r="K183" s="958">
        <v>0</v>
      </c>
      <c r="L183" s="958">
        <v>0</v>
      </c>
      <c r="M183" s="958" t="s">
        <v>1335</v>
      </c>
      <c r="N183" s="958" t="s">
        <v>1335</v>
      </c>
      <c r="O183" s="958" t="s">
        <v>1335</v>
      </c>
      <c r="P183" s="958" t="s">
        <v>1335</v>
      </c>
      <c r="Q183" s="958" t="s">
        <v>1335</v>
      </c>
      <c r="R183" s="958" t="s">
        <v>1335</v>
      </c>
      <c r="S183" s="958" t="s">
        <v>1335</v>
      </c>
      <c r="T183" s="958" t="s">
        <v>1335</v>
      </c>
      <c r="U183" s="958" t="s">
        <v>1335</v>
      </c>
      <c r="V183" s="982">
        <v>0</v>
      </c>
      <c r="W183" s="982"/>
      <c r="X183" s="982"/>
      <c r="Y183" s="1007"/>
      <c r="Z183" s="982"/>
      <c r="AA183" s="972"/>
      <c r="AB183" s="972"/>
      <c r="AC183" s="972"/>
      <c r="AD183" s="972"/>
      <c r="AE183" s="972"/>
      <c r="AF183" s="972"/>
      <c r="AG183" s="972"/>
      <c r="AH183" s="972"/>
      <c r="AI183" s="972"/>
      <c r="AJ183" s="972"/>
      <c r="AK183" s="972"/>
      <c r="AL183" s="972"/>
      <c r="AM183" s="972"/>
      <c r="AN183" s="972"/>
      <c r="AO183" s="972"/>
      <c r="AP183" s="972"/>
      <c r="AQ183" s="956">
        <f t="shared" si="34"/>
        <v>10</v>
      </c>
      <c r="AR183" s="956">
        <f t="shared" si="26"/>
        <v>0</v>
      </c>
      <c r="AS183" s="956">
        <f t="shared" si="35"/>
        <v>10</v>
      </c>
      <c r="AT183" s="982">
        <v>5</v>
      </c>
      <c r="AU183" s="981"/>
      <c r="AV183" s="981"/>
      <c r="AW183" s="981"/>
      <c r="AX183" s="993"/>
      <c r="AY183" s="993"/>
      <c r="AZ183" s="833">
        <f t="shared" si="27"/>
        <v>0</v>
      </c>
      <c r="BA183" s="983">
        <f t="shared" si="28"/>
        <v>0</v>
      </c>
      <c r="BB183" s="983">
        <f t="shared" si="29"/>
        <v>0</v>
      </c>
      <c r="BC183" s="983">
        <f t="shared" si="30"/>
        <v>0</v>
      </c>
      <c r="BD183" s="983">
        <f t="shared" si="31"/>
        <v>0</v>
      </c>
      <c r="BE183" s="983">
        <f t="shared" si="32"/>
        <v>0</v>
      </c>
      <c r="BF183" s="871">
        <f t="shared" si="33"/>
        <v>0</v>
      </c>
    </row>
    <row r="184" spans="1:58" s="8" customFormat="1" ht="20.100000000000001" customHeight="1">
      <c r="A184" s="956">
        <v>55</v>
      </c>
      <c r="B184" s="1003">
        <v>2</v>
      </c>
      <c r="C184" s="956">
        <v>55</v>
      </c>
      <c r="D184" s="957"/>
      <c r="E184" s="957"/>
      <c r="F184" s="956"/>
      <c r="G184" s="958" t="s">
        <v>1335</v>
      </c>
      <c r="H184" s="958" t="s">
        <v>1335</v>
      </c>
      <c r="I184" s="958" t="s">
        <v>1335</v>
      </c>
      <c r="J184" s="958"/>
      <c r="K184" s="958">
        <v>0</v>
      </c>
      <c r="L184" s="958" t="s">
        <v>1335</v>
      </c>
      <c r="M184" s="958">
        <v>0</v>
      </c>
      <c r="N184" s="958" t="s">
        <v>1335</v>
      </c>
      <c r="O184" s="958" t="s">
        <v>1335</v>
      </c>
      <c r="P184" s="958" t="s">
        <v>1335</v>
      </c>
      <c r="Q184" s="958" t="s">
        <v>1335</v>
      </c>
      <c r="R184" s="958" t="s">
        <v>1335</v>
      </c>
      <c r="S184" s="958" t="s">
        <v>1335</v>
      </c>
      <c r="T184" s="958" t="s">
        <v>1335</v>
      </c>
      <c r="U184" s="958" t="s">
        <v>1335</v>
      </c>
      <c r="V184" s="982">
        <v>0</v>
      </c>
      <c r="W184" s="982"/>
      <c r="X184" s="982" t="s">
        <v>1335</v>
      </c>
      <c r="Y184" s="1007"/>
      <c r="Z184" s="982"/>
      <c r="AA184" s="971"/>
      <c r="AB184" s="972"/>
      <c r="AC184" s="972"/>
      <c r="AD184" s="972"/>
      <c r="AE184" s="972"/>
      <c r="AF184" s="972"/>
      <c r="AG184" s="972"/>
      <c r="AH184" s="972"/>
      <c r="AI184" s="972"/>
      <c r="AJ184" s="972"/>
      <c r="AK184" s="972"/>
      <c r="AL184" s="972"/>
      <c r="AM184" s="972"/>
      <c r="AN184" s="972"/>
      <c r="AO184" s="972"/>
      <c r="AP184" s="972"/>
      <c r="AQ184" s="956">
        <f t="shared" si="34"/>
        <v>12</v>
      </c>
      <c r="AR184" s="956">
        <f t="shared" si="26"/>
        <v>1</v>
      </c>
      <c r="AS184" s="956">
        <f t="shared" si="35"/>
        <v>13</v>
      </c>
      <c r="AT184" s="956">
        <v>9</v>
      </c>
      <c r="AU184" s="981"/>
      <c r="AV184" s="981"/>
      <c r="AW184" s="981"/>
      <c r="AX184" s="993"/>
      <c r="AY184" s="993"/>
      <c r="AZ184" s="833">
        <f t="shared" si="27"/>
        <v>0</v>
      </c>
      <c r="BA184" s="983">
        <f t="shared" si="28"/>
        <v>0</v>
      </c>
      <c r="BB184" s="983">
        <f t="shared" si="29"/>
        <v>0</v>
      </c>
      <c r="BC184" s="983">
        <f t="shared" si="30"/>
        <v>0</v>
      </c>
      <c r="BD184" s="983">
        <f t="shared" si="31"/>
        <v>0</v>
      </c>
      <c r="BE184" s="983">
        <f t="shared" si="32"/>
        <v>0</v>
      </c>
      <c r="BF184" s="871">
        <f t="shared" si="33"/>
        <v>13</v>
      </c>
    </row>
    <row r="185" spans="1:58" s="8" customFormat="1" ht="20.100000000000001" customHeight="1">
      <c r="A185" s="956">
        <v>56</v>
      </c>
      <c r="B185" s="1003">
        <v>2</v>
      </c>
      <c r="C185" s="956">
        <v>56</v>
      </c>
      <c r="D185" s="957"/>
      <c r="E185" s="957"/>
      <c r="F185" s="956"/>
      <c r="G185" s="958" t="s">
        <v>1335</v>
      </c>
      <c r="H185" s="958" t="s">
        <v>1335</v>
      </c>
      <c r="I185" s="958" t="s">
        <v>1335</v>
      </c>
      <c r="J185" s="958"/>
      <c r="K185" s="958">
        <v>0</v>
      </c>
      <c r="L185" s="958" t="s">
        <v>1335</v>
      </c>
      <c r="M185" s="958" t="s">
        <v>1335</v>
      </c>
      <c r="N185" s="958" t="s">
        <v>1335</v>
      </c>
      <c r="O185" s="958" t="s">
        <v>1335</v>
      </c>
      <c r="P185" s="958" t="s">
        <v>1335</v>
      </c>
      <c r="Q185" s="958" t="s">
        <v>1335</v>
      </c>
      <c r="R185" s="958" t="s">
        <v>1335</v>
      </c>
      <c r="S185" s="958" t="s">
        <v>1335</v>
      </c>
      <c r="T185" s="958" t="s">
        <v>1335</v>
      </c>
      <c r="U185" s="958" t="s">
        <v>1335</v>
      </c>
      <c r="V185" s="982">
        <v>0</v>
      </c>
      <c r="W185" s="982"/>
      <c r="X185" s="982" t="s">
        <v>1335</v>
      </c>
      <c r="Y185" s="1007"/>
      <c r="Z185" s="982"/>
      <c r="AA185" s="971"/>
      <c r="AB185" s="972"/>
      <c r="AC185" s="972"/>
      <c r="AD185" s="972"/>
      <c r="AE185" s="972"/>
      <c r="AF185" s="972"/>
      <c r="AG185" s="972"/>
      <c r="AH185" s="972"/>
      <c r="AI185" s="972"/>
      <c r="AJ185" s="972"/>
      <c r="AK185" s="972"/>
      <c r="AL185" s="972"/>
      <c r="AM185" s="972"/>
      <c r="AN185" s="972"/>
      <c r="AO185" s="972"/>
      <c r="AP185" s="972"/>
      <c r="AQ185" s="956">
        <f t="shared" si="34"/>
        <v>13</v>
      </c>
      <c r="AR185" s="956">
        <f t="shared" si="26"/>
        <v>1</v>
      </c>
      <c r="AS185" s="956">
        <f t="shared" si="35"/>
        <v>14</v>
      </c>
      <c r="AT185" s="956">
        <v>9</v>
      </c>
      <c r="AU185" s="981"/>
      <c r="AV185" s="981"/>
      <c r="AW185" s="981"/>
      <c r="AX185" s="993"/>
      <c r="AY185" s="993"/>
      <c r="AZ185" s="833">
        <f t="shared" si="27"/>
        <v>0</v>
      </c>
      <c r="BA185" s="983">
        <f t="shared" si="28"/>
        <v>0</v>
      </c>
      <c r="BB185" s="983">
        <f t="shared" si="29"/>
        <v>0</v>
      </c>
      <c r="BC185" s="983">
        <f t="shared" si="30"/>
        <v>0</v>
      </c>
      <c r="BD185" s="983">
        <f t="shared" si="31"/>
        <v>0</v>
      </c>
      <c r="BE185" s="983">
        <f t="shared" si="32"/>
        <v>0</v>
      </c>
      <c r="BF185" s="871">
        <f t="shared" si="33"/>
        <v>14</v>
      </c>
    </row>
    <row r="186" spans="1:58" s="8" customFormat="1" ht="20.100000000000001" customHeight="1">
      <c r="A186" s="956">
        <v>57</v>
      </c>
      <c r="B186" s="1003">
        <v>2</v>
      </c>
      <c r="C186" s="956">
        <v>57</v>
      </c>
      <c r="D186" s="957"/>
      <c r="E186" s="957"/>
      <c r="F186" s="956"/>
      <c r="G186" s="958" t="s">
        <v>1335</v>
      </c>
      <c r="H186" s="958" t="s">
        <v>1335</v>
      </c>
      <c r="I186" s="958" t="s">
        <v>1335</v>
      </c>
      <c r="J186" s="958"/>
      <c r="K186" s="958" t="s">
        <v>1335</v>
      </c>
      <c r="L186" s="958" t="s">
        <v>1335</v>
      </c>
      <c r="M186" s="958">
        <v>0</v>
      </c>
      <c r="N186" s="958" t="s">
        <v>1335</v>
      </c>
      <c r="O186" s="958" t="s">
        <v>1335</v>
      </c>
      <c r="P186" s="958" t="s">
        <v>1335</v>
      </c>
      <c r="Q186" s="958" t="s">
        <v>1335</v>
      </c>
      <c r="R186" s="958" t="s">
        <v>1335</v>
      </c>
      <c r="S186" s="958" t="s">
        <v>1335</v>
      </c>
      <c r="T186" s="958" t="s">
        <v>1335</v>
      </c>
      <c r="U186" s="958">
        <v>0</v>
      </c>
      <c r="V186" s="982">
        <v>0</v>
      </c>
      <c r="W186" s="982"/>
      <c r="X186" s="982"/>
      <c r="Y186" s="1007"/>
      <c r="Z186" s="982"/>
      <c r="AA186" s="971"/>
      <c r="AB186" s="972"/>
      <c r="AC186" s="972"/>
      <c r="AD186" s="972"/>
      <c r="AE186" s="972"/>
      <c r="AF186" s="972"/>
      <c r="AG186" s="972"/>
      <c r="AH186" s="972"/>
      <c r="AI186" s="972"/>
      <c r="AJ186" s="972"/>
      <c r="AK186" s="972"/>
      <c r="AL186" s="972"/>
      <c r="AM186" s="972"/>
      <c r="AN186" s="972"/>
      <c r="AO186" s="972"/>
      <c r="AP186" s="972"/>
      <c r="AQ186" s="956">
        <f t="shared" si="34"/>
        <v>12</v>
      </c>
      <c r="AR186" s="956">
        <f t="shared" si="26"/>
        <v>0</v>
      </c>
      <c r="AS186" s="956">
        <f t="shared" si="35"/>
        <v>12</v>
      </c>
      <c r="AT186" s="956">
        <v>9</v>
      </c>
      <c r="AU186" s="981"/>
      <c r="AV186" s="981"/>
      <c r="AW186" s="981"/>
      <c r="AX186" s="993"/>
      <c r="AY186" s="993"/>
      <c r="AZ186" s="833">
        <f t="shared" si="27"/>
        <v>0</v>
      </c>
      <c r="BA186" s="983">
        <f t="shared" si="28"/>
        <v>0</v>
      </c>
      <c r="BB186" s="983">
        <f t="shared" si="29"/>
        <v>0</v>
      </c>
      <c r="BC186" s="983">
        <f t="shared" si="30"/>
        <v>0</v>
      </c>
      <c r="BD186" s="983">
        <f t="shared" si="31"/>
        <v>0</v>
      </c>
      <c r="BE186" s="983">
        <f t="shared" si="32"/>
        <v>0</v>
      </c>
      <c r="BF186" s="871">
        <f t="shared" si="33"/>
        <v>0</v>
      </c>
    </row>
    <row r="187" spans="1:58" s="8" customFormat="1" ht="20.100000000000001" customHeight="1">
      <c r="A187" s="956">
        <v>58</v>
      </c>
      <c r="B187" s="1003">
        <v>2</v>
      </c>
      <c r="C187" s="956">
        <v>58</v>
      </c>
      <c r="D187" s="957"/>
      <c r="E187" s="957"/>
      <c r="F187" s="956"/>
      <c r="G187" s="958" t="s">
        <v>1335</v>
      </c>
      <c r="H187" s="958" t="s">
        <v>1335</v>
      </c>
      <c r="I187" s="958" t="s">
        <v>1335</v>
      </c>
      <c r="J187" s="958"/>
      <c r="K187" s="958" t="s">
        <v>1335</v>
      </c>
      <c r="L187" s="958" t="s">
        <v>1335</v>
      </c>
      <c r="M187" s="958" t="s">
        <v>1335</v>
      </c>
      <c r="N187" s="958" t="s">
        <v>1335</v>
      </c>
      <c r="O187" s="958" t="s">
        <v>1335</v>
      </c>
      <c r="P187" s="958" t="s">
        <v>1335</v>
      </c>
      <c r="Q187" s="958" t="s">
        <v>1335</v>
      </c>
      <c r="R187" s="958" t="s">
        <v>1335</v>
      </c>
      <c r="S187" s="958" t="s">
        <v>1335</v>
      </c>
      <c r="T187" s="958" t="s">
        <v>1335</v>
      </c>
      <c r="U187" s="958" t="s">
        <v>1335</v>
      </c>
      <c r="V187" s="982">
        <v>0</v>
      </c>
      <c r="W187" s="982"/>
      <c r="X187" s="982"/>
      <c r="Y187" s="1007"/>
      <c r="Z187" s="982"/>
      <c r="AA187" s="971"/>
      <c r="AB187" s="972"/>
      <c r="AC187" s="972"/>
      <c r="AD187" s="972"/>
      <c r="AE187" s="972"/>
      <c r="AF187" s="972"/>
      <c r="AG187" s="972"/>
      <c r="AH187" s="972"/>
      <c r="AI187" s="972"/>
      <c r="AJ187" s="972"/>
      <c r="AK187" s="972"/>
      <c r="AL187" s="972"/>
      <c r="AM187" s="972"/>
      <c r="AN187" s="972"/>
      <c r="AO187" s="972"/>
      <c r="AP187" s="972"/>
      <c r="AQ187" s="956">
        <f t="shared" si="34"/>
        <v>14</v>
      </c>
      <c r="AR187" s="956">
        <f t="shared" si="26"/>
        <v>0</v>
      </c>
      <c r="AS187" s="956">
        <f t="shared" si="35"/>
        <v>14</v>
      </c>
      <c r="AT187" s="956">
        <v>9</v>
      </c>
      <c r="AU187" s="981"/>
      <c r="AV187" s="981"/>
      <c r="AW187" s="981"/>
      <c r="AX187" s="993"/>
      <c r="AY187" s="993"/>
      <c r="AZ187" s="833">
        <f t="shared" si="27"/>
        <v>0</v>
      </c>
      <c r="BA187" s="983">
        <f t="shared" si="28"/>
        <v>0</v>
      </c>
      <c r="BB187" s="983">
        <f t="shared" si="29"/>
        <v>0</v>
      </c>
      <c r="BC187" s="983">
        <f t="shared" si="30"/>
        <v>0</v>
      </c>
      <c r="BD187" s="983">
        <f t="shared" si="31"/>
        <v>0</v>
      </c>
      <c r="BE187" s="983">
        <f t="shared" si="32"/>
        <v>0</v>
      </c>
      <c r="BF187" s="871">
        <f t="shared" si="33"/>
        <v>14</v>
      </c>
    </row>
    <row r="188" spans="1:58" s="8" customFormat="1" ht="20.100000000000001" customHeight="1">
      <c r="A188" s="956">
        <v>59</v>
      </c>
      <c r="B188" s="1003">
        <v>2</v>
      </c>
      <c r="C188" s="956">
        <v>59</v>
      </c>
      <c r="D188" s="957"/>
      <c r="E188" s="957"/>
      <c r="F188" s="956"/>
      <c r="G188" s="958">
        <v>0</v>
      </c>
      <c r="H188" s="958">
        <v>0</v>
      </c>
      <c r="I188" s="958" t="s">
        <v>1335</v>
      </c>
      <c r="J188" s="958"/>
      <c r="K188" s="958">
        <v>0</v>
      </c>
      <c r="L188" s="958">
        <v>0</v>
      </c>
      <c r="M188" s="958">
        <v>0</v>
      </c>
      <c r="N188" s="958">
        <v>0</v>
      </c>
      <c r="O188" s="958">
        <v>0</v>
      </c>
      <c r="P188" s="958">
        <v>0</v>
      </c>
      <c r="Q188" s="958">
        <v>0</v>
      </c>
      <c r="R188" s="958">
        <v>0</v>
      </c>
      <c r="S188" s="958">
        <v>0</v>
      </c>
      <c r="T188" s="958">
        <v>0</v>
      </c>
      <c r="U188" s="958">
        <v>0</v>
      </c>
      <c r="V188" s="982">
        <v>0</v>
      </c>
      <c r="W188" s="982"/>
      <c r="X188" s="982"/>
      <c r="Y188" s="1007"/>
      <c r="Z188" s="982"/>
      <c r="AA188" s="971"/>
      <c r="AB188" s="972"/>
      <c r="AC188" s="972"/>
      <c r="AD188" s="972"/>
      <c r="AE188" s="972"/>
      <c r="AF188" s="972"/>
      <c r="AG188" s="972"/>
      <c r="AH188" s="972"/>
      <c r="AI188" s="972"/>
      <c r="AJ188" s="972"/>
      <c r="AK188" s="972"/>
      <c r="AL188" s="972"/>
      <c r="AM188" s="972"/>
      <c r="AN188" s="972"/>
      <c r="AO188" s="972"/>
      <c r="AP188" s="972"/>
      <c r="AQ188" s="956">
        <f t="shared" si="34"/>
        <v>1</v>
      </c>
      <c r="AR188" s="956">
        <f t="shared" si="26"/>
        <v>0</v>
      </c>
      <c r="AS188" s="956">
        <f t="shared" si="35"/>
        <v>1</v>
      </c>
      <c r="AT188" s="982">
        <v>6</v>
      </c>
      <c r="AU188" s="981"/>
      <c r="AV188" s="981"/>
      <c r="AW188" s="981"/>
      <c r="AX188" s="993"/>
      <c r="AY188" s="993"/>
      <c r="AZ188" s="833">
        <f t="shared" si="27"/>
        <v>0</v>
      </c>
      <c r="BA188" s="983">
        <f t="shared" si="28"/>
        <v>0</v>
      </c>
      <c r="BB188" s="983">
        <f t="shared" si="29"/>
        <v>0</v>
      </c>
      <c r="BC188" s="983">
        <f t="shared" si="30"/>
        <v>0</v>
      </c>
      <c r="BD188" s="983">
        <f t="shared" si="31"/>
        <v>0</v>
      </c>
      <c r="BE188" s="983">
        <f t="shared" si="32"/>
        <v>0</v>
      </c>
      <c r="BF188" s="871">
        <f t="shared" si="33"/>
        <v>0</v>
      </c>
    </row>
    <row r="189" spans="1:58" s="8" customFormat="1" ht="20.100000000000001" customHeight="1">
      <c r="A189" s="956">
        <v>60</v>
      </c>
      <c r="B189" s="1003">
        <v>2</v>
      </c>
      <c r="C189" s="956">
        <v>60</v>
      </c>
      <c r="D189" s="957"/>
      <c r="E189" s="957"/>
      <c r="F189" s="956"/>
      <c r="G189" s="958">
        <v>0</v>
      </c>
      <c r="H189" s="958" t="s">
        <v>1335</v>
      </c>
      <c r="I189" s="958">
        <v>0</v>
      </c>
      <c r="J189" s="958"/>
      <c r="K189" s="958">
        <v>0</v>
      </c>
      <c r="L189" s="958">
        <v>0</v>
      </c>
      <c r="M189" s="958">
        <v>0</v>
      </c>
      <c r="N189" s="958" t="s">
        <v>1335</v>
      </c>
      <c r="O189" s="958" t="s">
        <v>1335</v>
      </c>
      <c r="P189" s="958" t="s">
        <v>1335</v>
      </c>
      <c r="Q189" s="958" t="s">
        <v>1335</v>
      </c>
      <c r="R189" s="958" t="s">
        <v>1335</v>
      </c>
      <c r="S189" s="958" t="s">
        <v>1335</v>
      </c>
      <c r="T189" s="958" t="s">
        <v>1335</v>
      </c>
      <c r="U189" s="958" t="s">
        <v>1335</v>
      </c>
      <c r="V189" s="982">
        <v>0</v>
      </c>
      <c r="W189" s="982"/>
      <c r="X189" s="982"/>
      <c r="Y189" s="1007"/>
      <c r="Z189" s="982"/>
      <c r="AA189" s="971"/>
      <c r="AB189" s="972"/>
      <c r="AC189" s="972"/>
      <c r="AD189" s="972"/>
      <c r="AE189" s="972"/>
      <c r="AF189" s="972"/>
      <c r="AG189" s="972"/>
      <c r="AH189" s="972"/>
      <c r="AI189" s="972"/>
      <c r="AJ189" s="972"/>
      <c r="AK189" s="972"/>
      <c r="AL189" s="972"/>
      <c r="AM189" s="972"/>
      <c r="AN189" s="972"/>
      <c r="AO189" s="972"/>
      <c r="AP189" s="972"/>
      <c r="AQ189" s="956">
        <f t="shared" si="34"/>
        <v>9</v>
      </c>
      <c r="AR189" s="956">
        <f t="shared" si="26"/>
        <v>0</v>
      </c>
      <c r="AS189" s="956">
        <f t="shared" si="35"/>
        <v>9</v>
      </c>
      <c r="AT189" s="982">
        <v>7</v>
      </c>
      <c r="AU189" s="981"/>
      <c r="AV189" s="981"/>
      <c r="AW189" s="981"/>
      <c r="AX189" s="993"/>
      <c r="AY189" s="993"/>
      <c r="AZ189" s="833">
        <f t="shared" si="27"/>
        <v>0</v>
      </c>
      <c r="BA189" s="983">
        <f t="shared" si="28"/>
        <v>0</v>
      </c>
      <c r="BB189" s="983">
        <f t="shared" si="29"/>
        <v>0</v>
      </c>
      <c r="BC189" s="983">
        <f t="shared" si="30"/>
        <v>0</v>
      </c>
      <c r="BD189" s="983">
        <f t="shared" si="31"/>
        <v>0</v>
      </c>
      <c r="BE189" s="983">
        <f t="shared" si="32"/>
        <v>0</v>
      </c>
      <c r="BF189" s="871">
        <f t="shared" si="33"/>
        <v>0</v>
      </c>
    </row>
    <row r="190" spans="1:58" s="8" customFormat="1" ht="20.100000000000001" customHeight="1">
      <c r="A190" s="956">
        <v>61</v>
      </c>
      <c r="B190" s="1003">
        <v>2</v>
      </c>
      <c r="C190" s="956">
        <v>61</v>
      </c>
      <c r="D190" s="957"/>
      <c r="E190" s="957"/>
      <c r="F190" s="956"/>
      <c r="G190" s="958" t="s">
        <v>1335</v>
      </c>
      <c r="H190" s="958" t="s">
        <v>1335</v>
      </c>
      <c r="I190" s="958" t="s">
        <v>1335</v>
      </c>
      <c r="J190" s="958"/>
      <c r="K190" s="958">
        <v>0</v>
      </c>
      <c r="L190" s="958" t="s">
        <v>1335</v>
      </c>
      <c r="M190" s="958" t="s">
        <v>1335</v>
      </c>
      <c r="N190" s="958" t="s">
        <v>1335</v>
      </c>
      <c r="O190" s="958" t="s">
        <v>1335</v>
      </c>
      <c r="P190" s="958" t="s">
        <v>1335</v>
      </c>
      <c r="Q190" s="958" t="s">
        <v>1335</v>
      </c>
      <c r="R190" s="958" t="s">
        <v>1335</v>
      </c>
      <c r="S190" s="958" t="s">
        <v>1335</v>
      </c>
      <c r="T190" s="958" t="s">
        <v>1335</v>
      </c>
      <c r="U190" s="958" t="s">
        <v>1335</v>
      </c>
      <c r="V190" s="982" t="s">
        <v>1335</v>
      </c>
      <c r="W190" s="982"/>
      <c r="X190" s="982"/>
      <c r="Y190" s="1007"/>
      <c r="Z190" s="982"/>
      <c r="AA190" s="971"/>
      <c r="AB190" s="972"/>
      <c r="AC190" s="972"/>
      <c r="AD190" s="972"/>
      <c r="AE190" s="972"/>
      <c r="AF190" s="972"/>
      <c r="AG190" s="972"/>
      <c r="AH190" s="972"/>
      <c r="AI190" s="972"/>
      <c r="AJ190" s="972"/>
      <c r="AK190" s="972"/>
      <c r="AL190" s="972"/>
      <c r="AM190" s="972"/>
      <c r="AN190" s="972"/>
      <c r="AO190" s="972"/>
      <c r="AP190" s="972"/>
      <c r="AQ190" s="956">
        <f t="shared" si="34"/>
        <v>13</v>
      </c>
      <c r="AR190" s="956">
        <f t="shared" si="26"/>
        <v>1</v>
      </c>
      <c r="AS190" s="956">
        <f t="shared" si="35"/>
        <v>14</v>
      </c>
      <c r="AT190" s="956">
        <v>9</v>
      </c>
      <c r="AU190" s="981"/>
      <c r="AV190" s="981"/>
      <c r="AW190" s="981"/>
      <c r="AX190" s="993"/>
      <c r="AY190" s="993"/>
      <c r="AZ190" s="833">
        <f t="shared" si="27"/>
        <v>0</v>
      </c>
      <c r="BA190" s="983">
        <f t="shared" si="28"/>
        <v>0</v>
      </c>
      <c r="BB190" s="983">
        <f t="shared" si="29"/>
        <v>0</v>
      </c>
      <c r="BC190" s="983">
        <f t="shared" si="30"/>
        <v>0</v>
      </c>
      <c r="BD190" s="983">
        <f t="shared" si="31"/>
        <v>0</v>
      </c>
      <c r="BE190" s="983">
        <f t="shared" si="32"/>
        <v>0</v>
      </c>
      <c r="BF190" s="871">
        <f t="shared" si="33"/>
        <v>14</v>
      </c>
    </row>
    <row r="191" spans="1:58" s="8" customFormat="1" ht="20.100000000000001" customHeight="1">
      <c r="A191" s="956">
        <v>62</v>
      </c>
      <c r="B191" s="1003">
        <v>2</v>
      </c>
      <c r="C191" s="956">
        <v>62</v>
      </c>
      <c r="D191" s="957"/>
      <c r="E191" s="957"/>
      <c r="F191" s="956"/>
      <c r="G191" s="958" t="s">
        <v>1335</v>
      </c>
      <c r="H191" s="958" t="s">
        <v>1335</v>
      </c>
      <c r="I191" s="958" t="s">
        <v>1335</v>
      </c>
      <c r="J191" s="958"/>
      <c r="K191" s="958">
        <v>0</v>
      </c>
      <c r="L191" s="958" t="s">
        <v>1335</v>
      </c>
      <c r="M191" s="958" t="s">
        <v>1335</v>
      </c>
      <c r="N191" s="958" t="s">
        <v>1335</v>
      </c>
      <c r="O191" s="958" t="s">
        <v>1335</v>
      </c>
      <c r="P191" s="958" t="s">
        <v>1335</v>
      </c>
      <c r="Q191" s="958" t="s">
        <v>1335</v>
      </c>
      <c r="R191" s="958" t="s">
        <v>1335</v>
      </c>
      <c r="S191" s="958" t="s">
        <v>1335</v>
      </c>
      <c r="T191" s="958" t="s">
        <v>1335</v>
      </c>
      <c r="U191" s="958" t="s">
        <v>1335</v>
      </c>
      <c r="V191" s="982">
        <v>0</v>
      </c>
      <c r="W191" s="982"/>
      <c r="X191" s="982"/>
      <c r="Y191" s="1007"/>
      <c r="Z191" s="982"/>
      <c r="AA191" s="972"/>
      <c r="AB191" s="972"/>
      <c r="AC191" s="972"/>
      <c r="AD191" s="972"/>
      <c r="AE191" s="972"/>
      <c r="AF191" s="972"/>
      <c r="AG191" s="972"/>
      <c r="AH191" s="972"/>
      <c r="AI191" s="972"/>
      <c r="AJ191" s="972"/>
      <c r="AK191" s="972"/>
      <c r="AL191" s="972"/>
      <c r="AM191" s="972"/>
      <c r="AN191" s="972"/>
      <c r="AO191" s="972"/>
      <c r="AP191" s="972"/>
      <c r="AQ191" s="956">
        <f t="shared" si="34"/>
        <v>13</v>
      </c>
      <c r="AR191" s="956">
        <f t="shared" si="26"/>
        <v>0</v>
      </c>
      <c r="AS191" s="956">
        <f t="shared" si="35"/>
        <v>13</v>
      </c>
      <c r="AT191" s="956">
        <v>9</v>
      </c>
      <c r="AU191" s="981"/>
      <c r="AV191" s="981"/>
      <c r="AW191" s="981"/>
      <c r="AX191" s="993"/>
      <c r="AY191" s="993"/>
      <c r="AZ191" s="833">
        <f t="shared" si="27"/>
        <v>0</v>
      </c>
      <c r="BA191" s="983">
        <f t="shared" si="28"/>
        <v>0</v>
      </c>
      <c r="BB191" s="983">
        <f t="shared" si="29"/>
        <v>0</v>
      </c>
      <c r="BC191" s="983">
        <f t="shared" si="30"/>
        <v>0</v>
      </c>
      <c r="BD191" s="983">
        <f t="shared" si="31"/>
        <v>0</v>
      </c>
      <c r="BE191" s="983">
        <f t="shared" si="32"/>
        <v>0</v>
      </c>
      <c r="BF191" s="871">
        <f t="shared" si="33"/>
        <v>13</v>
      </c>
    </row>
    <row r="192" spans="1:58" s="8" customFormat="1" ht="20.100000000000001" customHeight="1">
      <c r="A192" s="956">
        <v>63</v>
      </c>
      <c r="B192" s="1003">
        <v>2</v>
      </c>
      <c r="C192" s="956">
        <v>63</v>
      </c>
      <c r="D192" s="957"/>
      <c r="E192" s="957"/>
      <c r="F192" s="956"/>
      <c r="G192" s="958">
        <v>0</v>
      </c>
      <c r="H192" s="958" t="s">
        <v>1335</v>
      </c>
      <c r="I192" s="958" t="s">
        <v>1335</v>
      </c>
      <c r="J192" s="958"/>
      <c r="K192" s="958" t="s">
        <v>1335</v>
      </c>
      <c r="L192" s="958" t="s">
        <v>1335</v>
      </c>
      <c r="M192" s="958" t="s">
        <v>1335</v>
      </c>
      <c r="N192" s="958" t="s">
        <v>1335</v>
      </c>
      <c r="O192" s="958" t="s">
        <v>1335</v>
      </c>
      <c r="P192" s="958" t="s">
        <v>1335</v>
      </c>
      <c r="Q192" s="958" t="s">
        <v>1335</v>
      </c>
      <c r="R192" s="958">
        <v>0</v>
      </c>
      <c r="S192" s="958" t="s">
        <v>1335</v>
      </c>
      <c r="T192" s="958" t="s">
        <v>1335</v>
      </c>
      <c r="U192" s="958" t="s">
        <v>1335</v>
      </c>
      <c r="V192" s="982">
        <v>0</v>
      </c>
      <c r="W192" s="982"/>
      <c r="X192" s="982"/>
      <c r="Y192" s="1007"/>
      <c r="Z192" s="982"/>
      <c r="AA192" s="971"/>
      <c r="AB192" s="972"/>
      <c r="AC192" s="972"/>
      <c r="AD192" s="972"/>
      <c r="AE192" s="972"/>
      <c r="AF192" s="972"/>
      <c r="AG192" s="972"/>
      <c r="AH192" s="972"/>
      <c r="AI192" s="972"/>
      <c r="AJ192" s="972"/>
      <c r="AK192" s="972"/>
      <c r="AL192" s="972"/>
      <c r="AM192" s="972"/>
      <c r="AN192" s="972"/>
      <c r="AO192" s="972"/>
      <c r="AP192" s="972"/>
      <c r="AQ192" s="956">
        <f t="shared" si="34"/>
        <v>12</v>
      </c>
      <c r="AR192" s="956">
        <f t="shared" si="26"/>
        <v>0</v>
      </c>
      <c r="AS192" s="956">
        <f t="shared" si="35"/>
        <v>12</v>
      </c>
      <c r="AT192" s="956">
        <v>9</v>
      </c>
      <c r="AU192" s="981"/>
      <c r="AV192" s="981"/>
      <c r="AW192" s="981"/>
      <c r="AX192" s="993"/>
      <c r="AY192" s="993"/>
      <c r="AZ192" s="833">
        <f t="shared" si="27"/>
        <v>0</v>
      </c>
      <c r="BA192" s="983">
        <f t="shared" si="28"/>
        <v>0</v>
      </c>
      <c r="BB192" s="983">
        <f t="shared" si="29"/>
        <v>0</v>
      </c>
      <c r="BC192" s="983">
        <f t="shared" si="30"/>
        <v>0</v>
      </c>
      <c r="BD192" s="983">
        <f t="shared" si="31"/>
        <v>0</v>
      </c>
      <c r="BE192" s="983">
        <f t="shared" si="32"/>
        <v>0</v>
      </c>
      <c r="BF192" s="871">
        <f t="shared" si="33"/>
        <v>0</v>
      </c>
    </row>
    <row r="193" spans="1:58" s="8" customFormat="1" ht="20.100000000000001" customHeight="1">
      <c r="A193" s="956">
        <v>64</v>
      </c>
      <c r="B193" s="1003">
        <v>2</v>
      </c>
      <c r="C193" s="956">
        <v>64</v>
      </c>
      <c r="D193" s="957"/>
      <c r="E193" s="957"/>
      <c r="F193" s="956"/>
      <c r="G193" s="958">
        <v>0</v>
      </c>
      <c r="H193" s="958" t="s">
        <v>1335</v>
      </c>
      <c r="I193" s="958">
        <v>0</v>
      </c>
      <c r="J193" s="958"/>
      <c r="K193" s="958" t="s">
        <v>1335</v>
      </c>
      <c r="L193" s="958" t="s">
        <v>1335</v>
      </c>
      <c r="M193" s="958" t="s">
        <v>1335</v>
      </c>
      <c r="N193" s="958" t="s">
        <v>1335</v>
      </c>
      <c r="O193" s="958" t="s">
        <v>1335</v>
      </c>
      <c r="P193" s="958" t="s">
        <v>1335</v>
      </c>
      <c r="Q193" s="958" t="s">
        <v>1335</v>
      </c>
      <c r="R193" s="958" t="s">
        <v>1335</v>
      </c>
      <c r="S193" s="958" t="s">
        <v>1335</v>
      </c>
      <c r="T193" s="958" t="s">
        <v>1335</v>
      </c>
      <c r="U193" s="958" t="s">
        <v>1335</v>
      </c>
      <c r="V193" s="982">
        <v>0</v>
      </c>
      <c r="W193" s="982"/>
      <c r="X193" s="982"/>
      <c r="Y193" s="1007"/>
      <c r="Z193" s="982"/>
      <c r="AA193" s="971"/>
      <c r="AB193" s="972"/>
      <c r="AC193" s="972"/>
      <c r="AD193" s="972"/>
      <c r="AE193" s="972"/>
      <c r="AF193" s="972"/>
      <c r="AG193" s="972"/>
      <c r="AH193" s="972"/>
      <c r="AI193" s="972"/>
      <c r="AJ193" s="972"/>
      <c r="AK193" s="972"/>
      <c r="AL193" s="972"/>
      <c r="AM193" s="972"/>
      <c r="AN193" s="972"/>
      <c r="AO193" s="972"/>
      <c r="AP193" s="972"/>
      <c r="AQ193" s="956">
        <f t="shared" si="34"/>
        <v>12</v>
      </c>
      <c r="AR193" s="956">
        <f t="shared" si="26"/>
        <v>0</v>
      </c>
      <c r="AS193" s="956">
        <f t="shared" si="35"/>
        <v>12</v>
      </c>
      <c r="AT193" s="956">
        <v>9</v>
      </c>
      <c r="AU193" s="981"/>
      <c r="AV193" s="981"/>
      <c r="AW193" s="981"/>
      <c r="AX193" s="993"/>
      <c r="AY193" s="993"/>
      <c r="AZ193" s="833">
        <f t="shared" si="27"/>
        <v>0</v>
      </c>
      <c r="BA193" s="983">
        <f t="shared" si="28"/>
        <v>0</v>
      </c>
      <c r="BB193" s="983">
        <f t="shared" si="29"/>
        <v>0</v>
      </c>
      <c r="BC193" s="983">
        <f t="shared" si="30"/>
        <v>0</v>
      </c>
      <c r="BD193" s="983">
        <f t="shared" si="31"/>
        <v>0</v>
      </c>
      <c r="BE193" s="983">
        <f t="shared" si="32"/>
        <v>0</v>
      </c>
      <c r="BF193" s="871">
        <f t="shared" si="33"/>
        <v>0</v>
      </c>
    </row>
    <row r="194" spans="1:58" s="8" customFormat="1" ht="20.100000000000001" customHeight="1">
      <c r="A194" s="956">
        <v>65</v>
      </c>
      <c r="B194" s="1003">
        <v>2</v>
      </c>
      <c r="C194" s="956">
        <v>65</v>
      </c>
      <c r="D194" s="957"/>
      <c r="E194" s="957"/>
      <c r="F194" s="956"/>
      <c r="G194" s="958" t="s">
        <v>1335</v>
      </c>
      <c r="H194" s="958" t="s">
        <v>1335</v>
      </c>
      <c r="I194" s="958">
        <v>0</v>
      </c>
      <c r="J194" s="958"/>
      <c r="K194" s="958">
        <v>0</v>
      </c>
      <c r="L194" s="958">
        <v>0</v>
      </c>
      <c r="M194" s="958" t="s">
        <v>1335</v>
      </c>
      <c r="N194" s="958" t="s">
        <v>1335</v>
      </c>
      <c r="O194" s="958" t="s">
        <v>1335</v>
      </c>
      <c r="P194" s="958" t="s">
        <v>1335</v>
      </c>
      <c r="Q194" s="958" t="s">
        <v>1335</v>
      </c>
      <c r="R194" s="958" t="s">
        <v>1335</v>
      </c>
      <c r="S194" s="958" t="s">
        <v>1335</v>
      </c>
      <c r="T194" s="958" t="s">
        <v>1335</v>
      </c>
      <c r="U194" s="958" t="s">
        <v>1335</v>
      </c>
      <c r="V194" s="982">
        <v>0</v>
      </c>
      <c r="W194" s="982"/>
      <c r="X194" s="982"/>
      <c r="Y194" s="1007"/>
      <c r="Z194" s="982"/>
      <c r="AA194" s="971"/>
      <c r="AB194" s="972"/>
      <c r="AC194" s="972"/>
      <c r="AD194" s="972"/>
      <c r="AE194" s="972"/>
      <c r="AF194" s="972"/>
      <c r="AG194" s="972"/>
      <c r="AH194" s="972"/>
      <c r="AI194" s="972"/>
      <c r="AJ194" s="972"/>
      <c r="AK194" s="972"/>
      <c r="AL194" s="972"/>
      <c r="AM194" s="972"/>
      <c r="AN194" s="972"/>
      <c r="AO194" s="972"/>
      <c r="AP194" s="972"/>
      <c r="AQ194" s="956">
        <f t="shared" si="34"/>
        <v>11</v>
      </c>
      <c r="AR194" s="956">
        <f t="shared" si="26"/>
        <v>0</v>
      </c>
      <c r="AS194" s="956">
        <f t="shared" si="35"/>
        <v>11</v>
      </c>
      <c r="AT194" s="982">
        <v>7</v>
      </c>
      <c r="AU194" s="981"/>
      <c r="AV194" s="981"/>
      <c r="AW194" s="981"/>
      <c r="AX194" s="993"/>
      <c r="AY194" s="993"/>
      <c r="AZ194" s="833">
        <f t="shared" si="27"/>
        <v>0</v>
      </c>
      <c r="BA194" s="983">
        <f t="shared" si="28"/>
        <v>0</v>
      </c>
      <c r="BB194" s="983">
        <f t="shared" si="29"/>
        <v>0</v>
      </c>
      <c r="BC194" s="983">
        <f t="shared" si="30"/>
        <v>0</v>
      </c>
      <c r="BD194" s="983">
        <f t="shared" si="31"/>
        <v>0</v>
      </c>
      <c r="BE194" s="983">
        <f t="shared" si="32"/>
        <v>0</v>
      </c>
      <c r="BF194" s="871">
        <f t="shared" ref="BF194:BF221" si="36">IF(AS194&gt;=13,AS194,0)</f>
        <v>0</v>
      </c>
    </row>
    <row r="195" spans="1:58" s="8" customFormat="1" ht="20.100000000000001" customHeight="1">
      <c r="A195" s="956">
        <v>66</v>
      </c>
      <c r="B195" s="1003">
        <v>2</v>
      </c>
      <c r="C195" s="956">
        <v>66</v>
      </c>
      <c r="D195" s="957"/>
      <c r="E195" s="957"/>
      <c r="F195" s="956"/>
      <c r="G195" s="958" t="s">
        <v>1335</v>
      </c>
      <c r="H195" s="958" t="s">
        <v>1335</v>
      </c>
      <c r="I195" s="958" t="s">
        <v>1335</v>
      </c>
      <c r="J195" s="958"/>
      <c r="K195" s="958" t="s">
        <v>1335</v>
      </c>
      <c r="L195" s="958" t="s">
        <v>1335</v>
      </c>
      <c r="M195" s="958" t="s">
        <v>1335</v>
      </c>
      <c r="N195" s="958">
        <v>0</v>
      </c>
      <c r="O195" s="958" t="s">
        <v>1335</v>
      </c>
      <c r="P195" s="958" t="s">
        <v>1335</v>
      </c>
      <c r="Q195" s="958" t="s">
        <v>1335</v>
      </c>
      <c r="R195" s="958" t="s">
        <v>1335</v>
      </c>
      <c r="S195" s="958">
        <v>0</v>
      </c>
      <c r="T195" s="958">
        <v>0</v>
      </c>
      <c r="U195" s="958">
        <v>0</v>
      </c>
      <c r="V195" s="982">
        <v>0</v>
      </c>
      <c r="W195" s="982"/>
      <c r="X195" s="982"/>
      <c r="Y195" s="1007"/>
      <c r="Z195" s="982"/>
      <c r="AA195" s="971"/>
      <c r="AB195" s="972"/>
      <c r="AC195" s="972"/>
      <c r="AD195" s="972"/>
      <c r="AE195" s="972"/>
      <c r="AF195" s="972"/>
      <c r="AG195" s="972"/>
      <c r="AH195" s="972"/>
      <c r="AI195" s="972"/>
      <c r="AJ195" s="972"/>
      <c r="AK195" s="972"/>
      <c r="AL195" s="972"/>
      <c r="AM195" s="972"/>
      <c r="AN195" s="972"/>
      <c r="AO195" s="972"/>
      <c r="AP195" s="972"/>
      <c r="AQ195" s="956">
        <f t="shared" si="34"/>
        <v>10</v>
      </c>
      <c r="AR195" s="956">
        <f t="shared" si="26"/>
        <v>0</v>
      </c>
      <c r="AS195" s="956">
        <f t="shared" si="35"/>
        <v>10</v>
      </c>
      <c r="AT195" s="982">
        <v>6</v>
      </c>
      <c r="AU195" s="981"/>
      <c r="AV195" s="981"/>
      <c r="AW195" s="981"/>
      <c r="AX195" s="993"/>
      <c r="AY195" s="993"/>
      <c r="AZ195" s="833">
        <f t="shared" si="27"/>
        <v>0</v>
      </c>
      <c r="BA195" s="983">
        <f t="shared" si="28"/>
        <v>0</v>
      </c>
      <c r="BB195" s="983">
        <f t="shared" si="29"/>
        <v>0</v>
      </c>
      <c r="BC195" s="983">
        <f t="shared" si="30"/>
        <v>0</v>
      </c>
      <c r="BD195" s="983">
        <f t="shared" si="31"/>
        <v>0</v>
      </c>
      <c r="BE195" s="983">
        <f t="shared" si="32"/>
        <v>0</v>
      </c>
      <c r="BF195" s="871">
        <f t="shared" si="36"/>
        <v>0</v>
      </c>
    </row>
    <row r="196" spans="1:58" s="8" customFormat="1" ht="20.100000000000001" customHeight="1">
      <c r="A196" s="956">
        <v>67</v>
      </c>
      <c r="B196" s="1003">
        <v>2</v>
      </c>
      <c r="C196" s="956">
        <v>67</v>
      </c>
      <c r="D196" s="957"/>
      <c r="E196" s="957"/>
      <c r="F196" s="956"/>
      <c r="G196" s="958">
        <v>0</v>
      </c>
      <c r="H196" s="958">
        <v>0</v>
      </c>
      <c r="I196" s="958">
        <v>0</v>
      </c>
      <c r="J196" s="958"/>
      <c r="K196" s="958" t="s">
        <v>1335</v>
      </c>
      <c r="L196" s="958" t="s">
        <v>1335</v>
      </c>
      <c r="M196" s="958" t="s">
        <v>1335</v>
      </c>
      <c r="N196" s="958" t="s">
        <v>1335</v>
      </c>
      <c r="O196" s="958" t="s">
        <v>1335</v>
      </c>
      <c r="P196" s="958" t="s">
        <v>1335</v>
      </c>
      <c r="Q196" s="958" t="s">
        <v>1335</v>
      </c>
      <c r="R196" s="958" t="s">
        <v>1335</v>
      </c>
      <c r="S196" s="958" t="s">
        <v>1335</v>
      </c>
      <c r="T196" s="958" t="s">
        <v>1335</v>
      </c>
      <c r="U196" s="958" t="s">
        <v>1335</v>
      </c>
      <c r="V196" s="982">
        <v>0</v>
      </c>
      <c r="W196" s="982"/>
      <c r="X196" s="982"/>
      <c r="Y196" s="1007"/>
      <c r="Z196" s="982"/>
      <c r="AA196" s="971"/>
      <c r="AB196" s="972"/>
      <c r="AC196" s="972"/>
      <c r="AD196" s="972"/>
      <c r="AE196" s="972"/>
      <c r="AF196" s="972"/>
      <c r="AG196" s="972"/>
      <c r="AH196" s="972"/>
      <c r="AI196" s="972"/>
      <c r="AJ196" s="972"/>
      <c r="AK196" s="972"/>
      <c r="AL196" s="972"/>
      <c r="AM196" s="972"/>
      <c r="AN196" s="972"/>
      <c r="AO196" s="972"/>
      <c r="AP196" s="972"/>
      <c r="AQ196" s="956">
        <f t="shared" si="34"/>
        <v>11</v>
      </c>
      <c r="AR196" s="956">
        <f t="shared" si="26"/>
        <v>0</v>
      </c>
      <c r="AS196" s="956">
        <f t="shared" si="35"/>
        <v>11</v>
      </c>
      <c r="AT196" s="956">
        <v>9</v>
      </c>
      <c r="AU196" s="981"/>
      <c r="AV196" s="981"/>
      <c r="AW196" s="981"/>
      <c r="AX196" s="993"/>
      <c r="AY196" s="993"/>
      <c r="AZ196" s="833">
        <f t="shared" si="27"/>
        <v>0</v>
      </c>
      <c r="BA196" s="983">
        <f t="shared" si="28"/>
        <v>0</v>
      </c>
      <c r="BB196" s="983">
        <f t="shared" si="29"/>
        <v>0</v>
      </c>
      <c r="BC196" s="983">
        <f t="shared" si="30"/>
        <v>0</v>
      </c>
      <c r="BD196" s="983">
        <f t="shared" si="31"/>
        <v>0</v>
      </c>
      <c r="BE196" s="983">
        <f t="shared" si="32"/>
        <v>0</v>
      </c>
      <c r="BF196" s="871">
        <f t="shared" si="36"/>
        <v>0</v>
      </c>
    </row>
    <row r="197" spans="1:58" s="8" customFormat="1" ht="20.100000000000001" customHeight="1">
      <c r="A197" s="956">
        <v>68</v>
      </c>
      <c r="B197" s="1003">
        <v>2</v>
      </c>
      <c r="C197" s="956">
        <v>68</v>
      </c>
      <c r="D197" s="957"/>
      <c r="E197" s="957"/>
      <c r="F197" s="956"/>
      <c r="G197" s="958" t="s">
        <v>1335</v>
      </c>
      <c r="H197" s="958" t="s">
        <v>1335</v>
      </c>
      <c r="I197" s="958" t="s">
        <v>1335</v>
      </c>
      <c r="J197" s="958"/>
      <c r="K197" s="958">
        <v>0</v>
      </c>
      <c r="L197" s="958" t="s">
        <v>1335</v>
      </c>
      <c r="M197" s="958" t="s">
        <v>1335</v>
      </c>
      <c r="N197" s="958" t="s">
        <v>1335</v>
      </c>
      <c r="O197" s="958" t="s">
        <v>1335</v>
      </c>
      <c r="P197" s="958" t="s">
        <v>1335</v>
      </c>
      <c r="Q197" s="958" t="s">
        <v>1335</v>
      </c>
      <c r="R197" s="958" t="s">
        <v>1335</v>
      </c>
      <c r="S197" s="958" t="s">
        <v>1335</v>
      </c>
      <c r="T197" s="958" t="s">
        <v>1335</v>
      </c>
      <c r="U197" s="958" t="s">
        <v>1335</v>
      </c>
      <c r="V197" s="982">
        <v>0</v>
      </c>
      <c r="W197" s="982"/>
      <c r="X197" s="982"/>
      <c r="Y197" s="1007"/>
      <c r="Z197" s="982"/>
      <c r="AA197" s="971"/>
      <c r="AB197" s="972"/>
      <c r="AC197" s="972"/>
      <c r="AD197" s="972"/>
      <c r="AE197" s="972"/>
      <c r="AF197" s="972"/>
      <c r="AG197" s="972"/>
      <c r="AH197" s="972"/>
      <c r="AI197" s="972"/>
      <c r="AJ197" s="972"/>
      <c r="AK197" s="972"/>
      <c r="AL197" s="972"/>
      <c r="AM197" s="972"/>
      <c r="AN197" s="972"/>
      <c r="AO197" s="972"/>
      <c r="AP197" s="972"/>
      <c r="AQ197" s="956">
        <f t="shared" si="34"/>
        <v>13</v>
      </c>
      <c r="AR197" s="956">
        <f t="shared" si="26"/>
        <v>0</v>
      </c>
      <c r="AS197" s="956">
        <f t="shared" si="35"/>
        <v>13</v>
      </c>
      <c r="AT197" s="956">
        <v>9</v>
      </c>
      <c r="AU197" s="981"/>
      <c r="AV197" s="981"/>
      <c r="AW197" s="981"/>
      <c r="AX197" s="993"/>
      <c r="AY197" s="993"/>
      <c r="AZ197" s="833">
        <f t="shared" si="27"/>
        <v>0</v>
      </c>
      <c r="BA197" s="983">
        <f t="shared" si="28"/>
        <v>0</v>
      </c>
      <c r="BB197" s="983">
        <f t="shared" si="29"/>
        <v>0</v>
      </c>
      <c r="BC197" s="983">
        <f t="shared" si="30"/>
        <v>0</v>
      </c>
      <c r="BD197" s="983">
        <f t="shared" si="31"/>
        <v>0</v>
      </c>
      <c r="BE197" s="983">
        <f t="shared" si="32"/>
        <v>0</v>
      </c>
      <c r="BF197" s="871">
        <f t="shared" si="36"/>
        <v>13</v>
      </c>
    </row>
    <row r="198" spans="1:58" s="8" customFormat="1" ht="20.100000000000001" customHeight="1">
      <c r="A198" s="956">
        <v>69</v>
      </c>
      <c r="B198" s="1003">
        <v>2</v>
      </c>
      <c r="C198" s="956">
        <v>69</v>
      </c>
      <c r="D198" s="957"/>
      <c r="E198" s="957"/>
      <c r="F198" s="956"/>
      <c r="G198" s="958">
        <v>0</v>
      </c>
      <c r="H198" s="958" t="s">
        <v>1335</v>
      </c>
      <c r="I198" s="958" t="s">
        <v>1335</v>
      </c>
      <c r="J198" s="958"/>
      <c r="K198" s="958">
        <v>0</v>
      </c>
      <c r="L198" s="958" t="s">
        <v>1335</v>
      </c>
      <c r="M198" s="958" t="s">
        <v>1335</v>
      </c>
      <c r="N198" s="958" t="s">
        <v>1335</v>
      </c>
      <c r="O198" s="958" t="s">
        <v>1335</v>
      </c>
      <c r="P198" s="958" t="s">
        <v>1335</v>
      </c>
      <c r="Q198" s="958" t="s">
        <v>1335</v>
      </c>
      <c r="R198" s="958" t="s">
        <v>1335</v>
      </c>
      <c r="S198" s="958" t="s">
        <v>1335</v>
      </c>
      <c r="T198" s="958" t="s">
        <v>1335</v>
      </c>
      <c r="U198" s="958" t="s">
        <v>1335</v>
      </c>
      <c r="V198" s="982">
        <v>0</v>
      </c>
      <c r="W198" s="982"/>
      <c r="X198" s="982"/>
      <c r="Y198" s="1007"/>
      <c r="Z198" s="982"/>
      <c r="AA198" s="971"/>
      <c r="AB198" s="972"/>
      <c r="AC198" s="972"/>
      <c r="AD198" s="972"/>
      <c r="AE198" s="972"/>
      <c r="AF198" s="972"/>
      <c r="AG198" s="972"/>
      <c r="AH198" s="972"/>
      <c r="AI198" s="972"/>
      <c r="AJ198" s="972"/>
      <c r="AK198" s="972"/>
      <c r="AL198" s="972"/>
      <c r="AM198" s="972"/>
      <c r="AN198" s="972"/>
      <c r="AO198" s="972"/>
      <c r="AP198" s="972"/>
      <c r="AQ198" s="956">
        <f t="shared" si="34"/>
        <v>12</v>
      </c>
      <c r="AR198" s="956">
        <f t="shared" si="26"/>
        <v>0</v>
      </c>
      <c r="AS198" s="956">
        <f t="shared" si="35"/>
        <v>12</v>
      </c>
      <c r="AT198" s="956">
        <v>9</v>
      </c>
      <c r="AU198" s="981"/>
      <c r="AV198" s="981"/>
      <c r="AW198" s="981"/>
      <c r="AX198" s="993"/>
      <c r="AY198" s="993"/>
      <c r="AZ198" s="833">
        <f t="shared" si="27"/>
        <v>0</v>
      </c>
      <c r="BA198" s="983">
        <f t="shared" si="28"/>
        <v>0</v>
      </c>
      <c r="BB198" s="983">
        <f t="shared" si="29"/>
        <v>0</v>
      </c>
      <c r="BC198" s="983">
        <f t="shared" si="30"/>
        <v>0</v>
      </c>
      <c r="BD198" s="983">
        <f t="shared" si="31"/>
        <v>0</v>
      </c>
      <c r="BE198" s="983">
        <f t="shared" si="32"/>
        <v>0</v>
      </c>
      <c r="BF198" s="871">
        <f t="shared" si="36"/>
        <v>0</v>
      </c>
    </row>
    <row r="199" spans="1:58" s="8" customFormat="1" ht="20.100000000000001" customHeight="1">
      <c r="A199" s="956">
        <v>70</v>
      </c>
      <c r="B199" s="1003">
        <v>2</v>
      </c>
      <c r="C199" s="956">
        <v>70</v>
      </c>
      <c r="D199" s="957"/>
      <c r="E199" s="957"/>
      <c r="F199" s="956"/>
      <c r="G199" s="958">
        <v>0</v>
      </c>
      <c r="H199" s="958">
        <v>0</v>
      </c>
      <c r="I199" s="958">
        <v>0</v>
      </c>
      <c r="J199" s="958"/>
      <c r="K199" s="958">
        <v>0</v>
      </c>
      <c r="L199" s="958" t="s">
        <v>1335</v>
      </c>
      <c r="M199" s="958" t="s">
        <v>1335</v>
      </c>
      <c r="N199" s="958" t="s">
        <v>1335</v>
      </c>
      <c r="O199" s="958" t="s">
        <v>1335</v>
      </c>
      <c r="P199" s="958" t="s">
        <v>1335</v>
      </c>
      <c r="Q199" s="958" t="s">
        <v>1335</v>
      </c>
      <c r="R199" s="958" t="s">
        <v>1335</v>
      </c>
      <c r="S199" s="958" t="s">
        <v>1335</v>
      </c>
      <c r="T199" s="958" t="s">
        <v>1335</v>
      </c>
      <c r="U199" s="958" t="s">
        <v>1335</v>
      </c>
      <c r="V199" s="982">
        <v>0</v>
      </c>
      <c r="W199" s="982"/>
      <c r="X199" s="982"/>
      <c r="Y199" s="1007"/>
      <c r="Z199" s="982"/>
      <c r="AA199" s="971"/>
      <c r="AB199" s="972"/>
      <c r="AC199" s="972"/>
      <c r="AD199" s="972"/>
      <c r="AE199" s="972"/>
      <c r="AF199" s="972"/>
      <c r="AG199" s="972"/>
      <c r="AH199" s="972"/>
      <c r="AI199" s="972"/>
      <c r="AJ199" s="972"/>
      <c r="AK199" s="972"/>
      <c r="AL199" s="972"/>
      <c r="AM199" s="972"/>
      <c r="AN199" s="972"/>
      <c r="AO199" s="972"/>
      <c r="AP199" s="972"/>
      <c r="AQ199" s="956">
        <f t="shared" si="34"/>
        <v>10</v>
      </c>
      <c r="AR199" s="956">
        <f t="shared" si="26"/>
        <v>0</v>
      </c>
      <c r="AS199" s="956">
        <f t="shared" si="35"/>
        <v>10</v>
      </c>
      <c r="AT199" s="956">
        <v>9</v>
      </c>
      <c r="AU199" s="981"/>
      <c r="AV199" s="981"/>
      <c r="AW199" s="981"/>
      <c r="AX199" s="993"/>
      <c r="AY199" s="993"/>
      <c r="AZ199" s="833">
        <f t="shared" si="27"/>
        <v>0</v>
      </c>
      <c r="BA199" s="983">
        <f t="shared" si="28"/>
        <v>0</v>
      </c>
      <c r="BB199" s="983">
        <f t="shared" si="29"/>
        <v>0</v>
      </c>
      <c r="BC199" s="983">
        <f t="shared" si="30"/>
        <v>0</v>
      </c>
      <c r="BD199" s="983">
        <f t="shared" si="31"/>
        <v>0</v>
      </c>
      <c r="BE199" s="983">
        <f t="shared" si="32"/>
        <v>0</v>
      </c>
      <c r="BF199" s="871">
        <f t="shared" si="36"/>
        <v>0</v>
      </c>
    </row>
    <row r="200" spans="1:58" s="8" customFormat="1" ht="20.100000000000001" customHeight="1">
      <c r="A200" s="956">
        <v>71</v>
      </c>
      <c r="B200" s="1003">
        <v>2</v>
      </c>
      <c r="C200" s="956">
        <v>71</v>
      </c>
      <c r="D200" s="957"/>
      <c r="E200" s="957"/>
      <c r="F200" s="956"/>
      <c r="G200" s="958" t="s">
        <v>1335</v>
      </c>
      <c r="H200" s="958" t="s">
        <v>1335</v>
      </c>
      <c r="I200" s="958">
        <v>0</v>
      </c>
      <c r="J200" s="958"/>
      <c r="K200" s="958">
        <v>0</v>
      </c>
      <c r="L200" s="958" t="s">
        <v>1335</v>
      </c>
      <c r="M200" s="958" t="s">
        <v>1335</v>
      </c>
      <c r="N200" s="958">
        <v>0</v>
      </c>
      <c r="O200" s="958" t="s">
        <v>1335</v>
      </c>
      <c r="P200" s="958" t="s">
        <v>1335</v>
      </c>
      <c r="Q200" s="958" t="s">
        <v>1335</v>
      </c>
      <c r="R200" s="958" t="s">
        <v>1335</v>
      </c>
      <c r="S200" s="958" t="s">
        <v>1335</v>
      </c>
      <c r="T200" s="958" t="s">
        <v>1335</v>
      </c>
      <c r="U200" s="958" t="s">
        <v>1335</v>
      </c>
      <c r="V200" s="982">
        <v>0</v>
      </c>
      <c r="W200" s="982"/>
      <c r="X200" s="982"/>
      <c r="Y200" s="1007"/>
      <c r="Z200" s="982"/>
      <c r="AA200" s="971"/>
      <c r="AB200" s="972"/>
      <c r="AC200" s="972"/>
      <c r="AD200" s="972"/>
      <c r="AE200" s="972"/>
      <c r="AF200" s="972"/>
      <c r="AG200" s="972"/>
      <c r="AH200" s="972"/>
      <c r="AI200" s="972"/>
      <c r="AJ200" s="972"/>
      <c r="AK200" s="972"/>
      <c r="AL200" s="972"/>
      <c r="AM200" s="972"/>
      <c r="AN200" s="972"/>
      <c r="AO200" s="972"/>
      <c r="AP200" s="972"/>
      <c r="AQ200" s="956">
        <f t="shared" si="34"/>
        <v>11</v>
      </c>
      <c r="AR200" s="956">
        <f t="shared" si="26"/>
        <v>0</v>
      </c>
      <c r="AS200" s="956">
        <f t="shared" si="35"/>
        <v>11</v>
      </c>
      <c r="AT200" s="956">
        <v>9</v>
      </c>
      <c r="AU200" s="981"/>
      <c r="AV200" s="981"/>
      <c r="AW200" s="981"/>
      <c r="AX200" s="993"/>
      <c r="AY200" s="993"/>
      <c r="AZ200" s="833">
        <f t="shared" si="27"/>
        <v>0</v>
      </c>
      <c r="BA200" s="983">
        <f t="shared" si="28"/>
        <v>0</v>
      </c>
      <c r="BB200" s="983">
        <f t="shared" si="29"/>
        <v>0</v>
      </c>
      <c r="BC200" s="983">
        <f t="shared" si="30"/>
        <v>0</v>
      </c>
      <c r="BD200" s="983">
        <f t="shared" si="31"/>
        <v>0</v>
      </c>
      <c r="BE200" s="983">
        <f t="shared" si="32"/>
        <v>0</v>
      </c>
      <c r="BF200" s="871">
        <f t="shared" si="36"/>
        <v>0</v>
      </c>
    </row>
    <row r="201" spans="1:58" s="8" customFormat="1" ht="20.100000000000001" customHeight="1">
      <c r="A201" s="956">
        <v>72</v>
      </c>
      <c r="B201" s="1003">
        <v>2</v>
      </c>
      <c r="C201" s="956">
        <v>72</v>
      </c>
      <c r="D201" s="957"/>
      <c r="E201" s="957"/>
      <c r="F201" s="956"/>
      <c r="G201" s="958" t="s">
        <v>1335</v>
      </c>
      <c r="H201" s="958" t="s">
        <v>1335</v>
      </c>
      <c r="I201" s="958">
        <v>0</v>
      </c>
      <c r="J201" s="958"/>
      <c r="K201" s="958">
        <v>0</v>
      </c>
      <c r="L201" s="958" t="s">
        <v>1335</v>
      </c>
      <c r="M201" s="958" t="s">
        <v>1335</v>
      </c>
      <c r="N201" s="958">
        <v>0</v>
      </c>
      <c r="O201" s="958" t="s">
        <v>1335</v>
      </c>
      <c r="P201" s="958" t="s">
        <v>1335</v>
      </c>
      <c r="Q201" s="958" t="s">
        <v>1335</v>
      </c>
      <c r="R201" s="958" t="s">
        <v>1335</v>
      </c>
      <c r="S201" s="958" t="s">
        <v>1335</v>
      </c>
      <c r="T201" s="958" t="s">
        <v>1335</v>
      </c>
      <c r="U201" s="958" t="s">
        <v>1335</v>
      </c>
      <c r="V201" s="982">
        <v>0</v>
      </c>
      <c r="W201" s="982"/>
      <c r="X201" s="982"/>
      <c r="Y201" s="1007"/>
      <c r="Z201" s="982"/>
      <c r="AA201" s="971"/>
      <c r="AB201" s="972"/>
      <c r="AC201" s="972"/>
      <c r="AD201" s="972"/>
      <c r="AE201" s="972"/>
      <c r="AF201" s="972"/>
      <c r="AG201" s="972"/>
      <c r="AH201" s="972"/>
      <c r="AI201" s="972"/>
      <c r="AJ201" s="972"/>
      <c r="AK201" s="972"/>
      <c r="AL201" s="972"/>
      <c r="AM201" s="972"/>
      <c r="AN201" s="972"/>
      <c r="AO201" s="972"/>
      <c r="AP201" s="972"/>
      <c r="AQ201" s="956">
        <f t="shared" si="34"/>
        <v>11</v>
      </c>
      <c r="AR201" s="956">
        <f t="shared" si="26"/>
        <v>0</v>
      </c>
      <c r="AS201" s="956">
        <f t="shared" si="35"/>
        <v>11</v>
      </c>
      <c r="AT201" s="982">
        <v>8</v>
      </c>
      <c r="AU201" s="981"/>
      <c r="AV201" s="981"/>
      <c r="AW201" s="981"/>
      <c r="AX201" s="993"/>
      <c r="AY201" s="993"/>
      <c r="AZ201" s="833">
        <f t="shared" si="27"/>
        <v>0</v>
      </c>
      <c r="BA201" s="983">
        <f t="shared" si="28"/>
        <v>0</v>
      </c>
      <c r="BB201" s="983">
        <f t="shared" si="29"/>
        <v>0</v>
      </c>
      <c r="BC201" s="983">
        <f t="shared" si="30"/>
        <v>0</v>
      </c>
      <c r="BD201" s="983">
        <f t="shared" si="31"/>
        <v>0</v>
      </c>
      <c r="BE201" s="983">
        <f t="shared" si="32"/>
        <v>0</v>
      </c>
      <c r="BF201" s="871">
        <f t="shared" si="36"/>
        <v>0</v>
      </c>
    </row>
    <row r="202" spans="1:58" s="8" customFormat="1" ht="20.100000000000001" customHeight="1">
      <c r="A202" s="956">
        <v>73</v>
      </c>
      <c r="B202" s="1003">
        <v>2</v>
      </c>
      <c r="C202" s="956">
        <v>73</v>
      </c>
      <c r="D202" s="957"/>
      <c r="E202" s="957"/>
      <c r="F202" s="956"/>
      <c r="G202" s="958" t="s">
        <v>1335</v>
      </c>
      <c r="H202" s="958" t="s">
        <v>1335</v>
      </c>
      <c r="I202" s="958" t="s">
        <v>1335</v>
      </c>
      <c r="J202" s="958"/>
      <c r="K202" s="958">
        <v>0</v>
      </c>
      <c r="L202" s="958">
        <v>0</v>
      </c>
      <c r="M202" s="958" t="s">
        <v>1335</v>
      </c>
      <c r="N202" s="958" t="s">
        <v>1335</v>
      </c>
      <c r="O202" s="958" t="s">
        <v>1335</v>
      </c>
      <c r="P202" s="958" t="s">
        <v>1335</v>
      </c>
      <c r="Q202" s="958" t="s">
        <v>1335</v>
      </c>
      <c r="R202" s="958" t="s">
        <v>1335</v>
      </c>
      <c r="S202" s="958" t="s">
        <v>1335</v>
      </c>
      <c r="T202" s="958" t="s">
        <v>1335</v>
      </c>
      <c r="U202" s="958" t="s">
        <v>1335</v>
      </c>
      <c r="V202" s="982">
        <v>0</v>
      </c>
      <c r="W202" s="982"/>
      <c r="X202" s="982"/>
      <c r="Y202" s="1007"/>
      <c r="Z202" s="982"/>
      <c r="AA202" s="971"/>
      <c r="AB202" s="972"/>
      <c r="AC202" s="972"/>
      <c r="AD202" s="972"/>
      <c r="AE202" s="972"/>
      <c r="AF202" s="972"/>
      <c r="AG202" s="972"/>
      <c r="AH202" s="972"/>
      <c r="AI202" s="972"/>
      <c r="AJ202" s="972"/>
      <c r="AK202" s="972"/>
      <c r="AL202" s="972"/>
      <c r="AM202" s="972"/>
      <c r="AN202" s="972"/>
      <c r="AO202" s="972"/>
      <c r="AP202" s="972"/>
      <c r="AQ202" s="956">
        <f t="shared" si="34"/>
        <v>12</v>
      </c>
      <c r="AR202" s="956">
        <f t="shared" si="26"/>
        <v>0</v>
      </c>
      <c r="AS202" s="956">
        <f t="shared" si="35"/>
        <v>12</v>
      </c>
      <c r="AT202" s="956">
        <v>9</v>
      </c>
      <c r="AU202" s="981"/>
      <c r="AV202" s="981"/>
      <c r="AW202" s="981"/>
      <c r="AX202" s="993"/>
      <c r="AY202" s="993"/>
      <c r="AZ202" s="833">
        <f t="shared" si="27"/>
        <v>0</v>
      </c>
      <c r="BA202" s="983">
        <f t="shared" si="28"/>
        <v>0</v>
      </c>
      <c r="BB202" s="983">
        <f t="shared" si="29"/>
        <v>0</v>
      </c>
      <c r="BC202" s="983">
        <f t="shared" si="30"/>
        <v>0</v>
      </c>
      <c r="BD202" s="983">
        <f t="shared" si="31"/>
        <v>0</v>
      </c>
      <c r="BE202" s="983">
        <f t="shared" si="32"/>
        <v>0</v>
      </c>
      <c r="BF202" s="871">
        <f t="shared" si="36"/>
        <v>0</v>
      </c>
    </row>
    <row r="203" spans="1:58" s="8" customFormat="1" ht="20.100000000000001" customHeight="1">
      <c r="A203" s="956">
        <v>74</v>
      </c>
      <c r="B203" s="1003">
        <v>2</v>
      </c>
      <c r="C203" s="956">
        <v>74</v>
      </c>
      <c r="D203" s="957"/>
      <c r="E203" s="957"/>
      <c r="F203" s="956"/>
      <c r="G203" s="958" t="s">
        <v>1335</v>
      </c>
      <c r="H203" s="958">
        <v>0</v>
      </c>
      <c r="I203" s="958" t="s">
        <v>1335</v>
      </c>
      <c r="J203" s="958"/>
      <c r="K203" s="958">
        <v>0</v>
      </c>
      <c r="L203" s="958">
        <v>0</v>
      </c>
      <c r="M203" s="958" t="s">
        <v>1335</v>
      </c>
      <c r="N203" s="958" t="s">
        <v>1335</v>
      </c>
      <c r="O203" s="958" t="s">
        <v>1335</v>
      </c>
      <c r="P203" s="958" t="s">
        <v>1335</v>
      </c>
      <c r="Q203" s="958" t="s">
        <v>1335</v>
      </c>
      <c r="R203" s="958" t="s">
        <v>1335</v>
      </c>
      <c r="S203" s="958">
        <v>0</v>
      </c>
      <c r="T203" s="958" t="s">
        <v>1335</v>
      </c>
      <c r="U203" s="958" t="s">
        <v>1335</v>
      </c>
      <c r="V203" s="982">
        <v>0</v>
      </c>
      <c r="W203" s="982"/>
      <c r="X203" s="982"/>
      <c r="Y203" s="1007"/>
      <c r="Z203" s="982"/>
      <c r="AA203" s="971"/>
      <c r="AB203" s="972"/>
      <c r="AC203" s="972"/>
      <c r="AD203" s="972"/>
      <c r="AE203" s="972"/>
      <c r="AF203" s="972"/>
      <c r="AG203" s="972"/>
      <c r="AH203" s="972"/>
      <c r="AI203" s="972"/>
      <c r="AJ203" s="972"/>
      <c r="AK203" s="972"/>
      <c r="AL203" s="972"/>
      <c r="AM203" s="972"/>
      <c r="AN203" s="972"/>
      <c r="AO203" s="972"/>
      <c r="AP203" s="972"/>
      <c r="AQ203" s="956">
        <f t="shared" si="34"/>
        <v>10</v>
      </c>
      <c r="AR203" s="956">
        <f t="shared" si="26"/>
        <v>0</v>
      </c>
      <c r="AS203" s="956">
        <f t="shared" si="35"/>
        <v>10</v>
      </c>
      <c r="AT203" s="982">
        <v>7</v>
      </c>
      <c r="AU203" s="981"/>
      <c r="AV203" s="981"/>
      <c r="AW203" s="981"/>
      <c r="AX203" s="993"/>
      <c r="AY203" s="993"/>
      <c r="AZ203" s="833">
        <f t="shared" si="27"/>
        <v>0</v>
      </c>
      <c r="BA203" s="983">
        <f t="shared" si="28"/>
        <v>0</v>
      </c>
      <c r="BB203" s="983">
        <f t="shared" si="29"/>
        <v>0</v>
      </c>
      <c r="BC203" s="983">
        <f t="shared" si="30"/>
        <v>0</v>
      </c>
      <c r="BD203" s="983">
        <f t="shared" si="31"/>
        <v>0</v>
      </c>
      <c r="BE203" s="983">
        <f t="shared" si="32"/>
        <v>0</v>
      </c>
      <c r="BF203" s="871">
        <f t="shared" si="36"/>
        <v>0</v>
      </c>
    </row>
    <row r="204" spans="1:58" s="8" customFormat="1" ht="20.100000000000001" customHeight="1">
      <c r="A204" s="956">
        <v>75</v>
      </c>
      <c r="B204" s="1003">
        <v>2</v>
      </c>
      <c r="C204" s="956">
        <v>75</v>
      </c>
      <c r="D204" s="957"/>
      <c r="E204" s="957"/>
      <c r="F204" s="956"/>
      <c r="G204" s="958" t="s">
        <v>1335</v>
      </c>
      <c r="H204" s="958">
        <v>0</v>
      </c>
      <c r="I204" s="958" t="s">
        <v>1335</v>
      </c>
      <c r="J204" s="958"/>
      <c r="K204" s="958">
        <v>0</v>
      </c>
      <c r="L204" s="958">
        <v>0</v>
      </c>
      <c r="M204" s="958" t="s">
        <v>1335</v>
      </c>
      <c r="N204" s="958" t="s">
        <v>1335</v>
      </c>
      <c r="O204" s="958" t="s">
        <v>1335</v>
      </c>
      <c r="P204" s="958" t="s">
        <v>1335</v>
      </c>
      <c r="Q204" s="958" t="s">
        <v>1335</v>
      </c>
      <c r="R204" s="958" t="s">
        <v>1335</v>
      </c>
      <c r="S204" s="958">
        <v>0</v>
      </c>
      <c r="T204" s="958" t="s">
        <v>1335</v>
      </c>
      <c r="U204" s="958" t="s">
        <v>1335</v>
      </c>
      <c r="V204" s="982">
        <v>0</v>
      </c>
      <c r="W204" s="982"/>
      <c r="X204" s="982"/>
      <c r="Y204" s="1007"/>
      <c r="Z204" s="982"/>
      <c r="AA204" s="971"/>
      <c r="AB204" s="972"/>
      <c r="AC204" s="972"/>
      <c r="AD204" s="972"/>
      <c r="AE204" s="972"/>
      <c r="AF204" s="972"/>
      <c r="AG204" s="972"/>
      <c r="AH204" s="972"/>
      <c r="AI204" s="972"/>
      <c r="AJ204" s="972"/>
      <c r="AK204" s="972"/>
      <c r="AL204" s="972"/>
      <c r="AM204" s="972"/>
      <c r="AN204" s="972"/>
      <c r="AO204" s="972"/>
      <c r="AP204" s="972"/>
      <c r="AQ204" s="956">
        <f t="shared" si="34"/>
        <v>10</v>
      </c>
      <c r="AR204" s="956">
        <f t="shared" si="26"/>
        <v>0</v>
      </c>
      <c r="AS204" s="956">
        <f t="shared" si="35"/>
        <v>10</v>
      </c>
      <c r="AT204" s="982">
        <v>7</v>
      </c>
      <c r="AU204" s="981"/>
      <c r="AV204" s="981"/>
      <c r="AW204" s="981"/>
      <c r="AX204" s="993"/>
      <c r="AY204" s="993"/>
      <c r="AZ204" s="833">
        <f t="shared" si="27"/>
        <v>0</v>
      </c>
      <c r="BA204" s="983">
        <f t="shared" si="28"/>
        <v>0</v>
      </c>
      <c r="BB204" s="983">
        <f t="shared" si="29"/>
        <v>0</v>
      </c>
      <c r="BC204" s="983">
        <f t="shared" si="30"/>
        <v>0</v>
      </c>
      <c r="BD204" s="983">
        <f t="shared" si="31"/>
        <v>0</v>
      </c>
      <c r="BE204" s="983">
        <f t="shared" si="32"/>
        <v>0</v>
      </c>
      <c r="BF204" s="871">
        <f t="shared" si="36"/>
        <v>0</v>
      </c>
    </row>
    <row r="205" spans="1:58" s="8" customFormat="1" ht="20.100000000000001" customHeight="1">
      <c r="A205" s="956">
        <v>76</v>
      </c>
      <c r="B205" s="1003">
        <v>2</v>
      </c>
      <c r="C205" s="956">
        <v>76</v>
      </c>
      <c r="D205" s="957"/>
      <c r="E205" s="957"/>
      <c r="F205" s="956"/>
      <c r="G205" s="958" t="s">
        <v>1335</v>
      </c>
      <c r="H205" s="958" t="s">
        <v>1335</v>
      </c>
      <c r="I205" s="958" t="s">
        <v>1335</v>
      </c>
      <c r="J205" s="958"/>
      <c r="K205" s="958" t="s">
        <v>1335</v>
      </c>
      <c r="L205" s="958" t="s">
        <v>1335</v>
      </c>
      <c r="M205" s="958" t="s">
        <v>1335</v>
      </c>
      <c r="N205" s="958" t="s">
        <v>1335</v>
      </c>
      <c r="O205" s="958" t="s">
        <v>1335</v>
      </c>
      <c r="P205" s="958" t="s">
        <v>1335</v>
      </c>
      <c r="Q205" s="958">
        <v>0</v>
      </c>
      <c r="R205" s="958" t="s">
        <v>1335</v>
      </c>
      <c r="S205" s="958" t="s">
        <v>1335</v>
      </c>
      <c r="T205" s="958" t="s">
        <v>1335</v>
      </c>
      <c r="U205" s="958" t="s">
        <v>1335</v>
      </c>
      <c r="V205" s="982">
        <v>0</v>
      </c>
      <c r="W205" s="982"/>
      <c r="X205" s="982"/>
      <c r="Y205" s="1007"/>
      <c r="Z205" s="982"/>
      <c r="AA205" s="971"/>
      <c r="AB205" s="972"/>
      <c r="AC205" s="972"/>
      <c r="AD205" s="972"/>
      <c r="AE205" s="972"/>
      <c r="AF205" s="972"/>
      <c r="AG205" s="972"/>
      <c r="AH205" s="972"/>
      <c r="AI205" s="972"/>
      <c r="AJ205" s="972"/>
      <c r="AK205" s="972"/>
      <c r="AL205" s="972"/>
      <c r="AM205" s="972"/>
      <c r="AN205" s="972"/>
      <c r="AO205" s="972"/>
      <c r="AP205" s="972"/>
      <c r="AQ205" s="956">
        <f t="shared" si="34"/>
        <v>13</v>
      </c>
      <c r="AR205" s="956">
        <f t="shared" si="26"/>
        <v>0</v>
      </c>
      <c r="AS205" s="956">
        <f t="shared" si="35"/>
        <v>13</v>
      </c>
      <c r="AT205" s="956">
        <v>9</v>
      </c>
      <c r="AU205" s="981"/>
      <c r="AV205" s="981"/>
      <c r="AW205" s="981"/>
      <c r="AX205" s="993"/>
      <c r="AY205" s="993"/>
      <c r="AZ205" s="833">
        <f t="shared" si="27"/>
        <v>0</v>
      </c>
      <c r="BA205" s="983">
        <f t="shared" si="28"/>
        <v>0</v>
      </c>
      <c r="BB205" s="983">
        <f t="shared" si="29"/>
        <v>0</v>
      </c>
      <c r="BC205" s="983">
        <f t="shared" si="30"/>
        <v>0</v>
      </c>
      <c r="BD205" s="983">
        <f t="shared" si="31"/>
        <v>0</v>
      </c>
      <c r="BE205" s="983">
        <f t="shared" si="32"/>
        <v>0</v>
      </c>
      <c r="BF205" s="871">
        <f t="shared" si="36"/>
        <v>13</v>
      </c>
    </row>
    <row r="206" spans="1:58" s="8" customFormat="1" ht="20.100000000000001" customHeight="1">
      <c r="A206" s="956">
        <v>77</v>
      </c>
      <c r="B206" s="1003">
        <v>2</v>
      </c>
      <c r="C206" s="956">
        <v>77</v>
      </c>
      <c r="D206" s="957"/>
      <c r="E206" s="957"/>
      <c r="F206" s="956"/>
      <c r="G206" s="958" t="s">
        <v>1335</v>
      </c>
      <c r="H206" s="958" t="s">
        <v>1335</v>
      </c>
      <c r="I206" s="958" t="s">
        <v>1335</v>
      </c>
      <c r="J206" s="958"/>
      <c r="K206" s="958">
        <v>0</v>
      </c>
      <c r="L206" s="958" t="s">
        <v>1335</v>
      </c>
      <c r="M206" s="958" t="s">
        <v>1335</v>
      </c>
      <c r="N206" s="958" t="s">
        <v>1335</v>
      </c>
      <c r="O206" s="958" t="s">
        <v>1335</v>
      </c>
      <c r="P206" s="958" t="s">
        <v>1335</v>
      </c>
      <c r="Q206" s="958" t="s">
        <v>1335</v>
      </c>
      <c r="R206" s="958" t="s">
        <v>1335</v>
      </c>
      <c r="S206" s="958" t="s">
        <v>1335</v>
      </c>
      <c r="T206" s="958" t="s">
        <v>1335</v>
      </c>
      <c r="U206" s="958" t="s">
        <v>1335</v>
      </c>
      <c r="V206" s="982">
        <v>0</v>
      </c>
      <c r="W206" s="982"/>
      <c r="X206" s="982"/>
      <c r="Y206" s="1007"/>
      <c r="Z206" s="982"/>
      <c r="AA206" s="971"/>
      <c r="AB206" s="972"/>
      <c r="AC206" s="972"/>
      <c r="AD206" s="972"/>
      <c r="AE206" s="972"/>
      <c r="AF206" s="972"/>
      <c r="AG206" s="972"/>
      <c r="AH206" s="972"/>
      <c r="AI206" s="972"/>
      <c r="AJ206" s="972"/>
      <c r="AK206" s="972"/>
      <c r="AL206" s="972"/>
      <c r="AM206" s="972"/>
      <c r="AN206" s="972"/>
      <c r="AO206" s="972"/>
      <c r="AP206" s="972"/>
      <c r="AQ206" s="956">
        <f t="shared" si="34"/>
        <v>13</v>
      </c>
      <c r="AR206" s="956">
        <f t="shared" si="26"/>
        <v>0</v>
      </c>
      <c r="AS206" s="956">
        <f t="shared" si="35"/>
        <v>13</v>
      </c>
      <c r="AT206" s="956">
        <v>9</v>
      </c>
      <c r="AU206" s="981"/>
      <c r="AV206" s="981"/>
      <c r="AW206" s="981"/>
      <c r="AX206" s="993"/>
      <c r="AY206" s="993"/>
      <c r="AZ206" s="833">
        <f t="shared" si="27"/>
        <v>0</v>
      </c>
      <c r="BA206" s="983">
        <f t="shared" si="28"/>
        <v>0</v>
      </c>
      <c r="BB206" s="983">
        <f t="shared" si="29"/>
        <v>0</v>
      </c>
      <c r="BC206" s="983">
        <f t="shared" si="30"/>
        <v>0</v>
      </c>
      <c r="BD206" s="983">
        <f t="shared" si="31"/>
        <v>0</v>
      </c>
      <c r="BE206" s="983">
        <f t="shared" si="32"/>
        <v>0</v>
      </c>
      <c r="BF206" s="871">
        <f t="shared" si="36"/>
        <v>13</v>
      </c>
    </row>
    <row r="207" spans="1:58" s="8" customFormat="1" ht="20.100000000000001" customHeight="1">
      <c r="A207" s="956">
        <v>78</v>
      </c>
      <c r="B207" s="1003">
        <v>2</v>
      </c>
      <c r="C207" s="956">
        <v>78</v>
      </c>
      <c r="D207" s="957"/>
      <c r="E207" s="957"/>
      <c r="F207" s="956"/>
      <c r="G207" s="958">
        <v>0</v>
      </c>
      <c r="H207" s="958" t="s">
        <v>1335</v>
      </c>
      <c r="I207" s="958">
        <v>0</v>
      </c>
      <c r="J207" s="958"/>
      <c r="K207" s="958">
        <v>0</v>
      </c>
      <c r="L207" s="958" t="s">
        <v>1335</v>
      </c>
      <c r="M207" s="958" t="s">
        <v>1335</v>
      </c>
      <c r="N207" s="958" t="s">
        <v>1335</v>
      </c>
      <c r="O207" s="958" t="s">
        <v>1335</v>
      </c>
      <c r="P207" s="958" t="s">
        <v>1335</v>
      </c>
      <c r="Q207" s="958" t="s">
        <v>1335</v>
      </c>
      <c r="R207" s="958" t="s">
        <v>1335</v>
      </c>
      <c r="S207" s="958" t="s">
        <v>1335</v>
      </c>
      <c r="T207" s="958" t="s">
        <v>1335</v>
      </c>
      <c r="U207" s="958" t="s">
        <v>1335</v>
      </c>
      <c r="V207" s="982" t="s">
        <v>1335</v>
      </c>
      <c r="W207" s="982"/>
      <c r="X207" s="982"/>
      <c r="Y207" s="1007"/>
      <c r="Z207" s="982"/>
      <c r="AA207" s="972"/>
      <c r="AB207" s="972"/>
      <c r="AC207" s="972"/>
      <c r="AD207" s="972"/>
      <c r="AE207" s="972"/>
      <c r="AF207" s="972"/>
      <c r="AG207" s="972"/>
      <c r="AH207" s="972"/>
      <c r="AI207" s="972"/>
      <c r="AJ207" s="972"/>
      <c r="AK207" s="972"/>
      <c r="AL207" s="972"/>
      <c r="AM207" s="972"/>
      <c r="AN207" s="972"/>
      <c r="AO207" s="972"/>
      <c r="AP207" s="972"/>
      <c r="AQ207" s="956">
        <f t="shared" si="34"/>
        <v>11</v>
      </c>
      <c r="AR207" s="956">
        <f t="shared" si="26"/>
        <v>1</v>
      </c>
      <c r="AS207" s="956">
        <f t="shared" si="35"/>
        <v>12</v>
      </c>
      <c r="AT207" s="956">
        <v>9</v>
      </c>
      <c r="AU207" s="981"/>
      <c r="AV207" s="981"/>
      <c r="AW207" s="981"/>
      <c r="AX207" s="993"/>
      <c r="AY207" s="993"/>
      <c r="AZ207" s="833">
        <f t="shared" si="27"/>
        <v>0</v>
      </c>
      <c r="BA207" s="983">
        <f t="shared" si="28"/>
        <v>0</v>
      </c>
      <c r="BB207" s="983">
        <f t="shared" si="29"/>
        <v>0</v>
      </c>
      <c r="BC207" s="983">
        <f t="shared" si="30"/>
        <v>0</v>
      </c>
      <c r="BD207" s="983">
        <f t="shared" si="31"/>
        <v>0</v>
      </c>
      <c r="BE207" s="983">
        <f t="shared" si="32"/>
        <v>0</v>
      </c>
      <c r="BF207" s="871">
        <f t="shared" si="36"/>
        <v>0</v>
      </c>
    </row>
    <row r="208" spans="1:58" s="8" customFormat="1" ht="20.100000000000001" customHeight="1">
      <c r="A208" s="956">
        <v>79</v>
      </c>
      <c r="B208" s="1003">
        <v>2</v>
      </c>
      <c r="C208" s="956">
        <v>79</v>
      </c>
      <c r="D208" s="957"/>
      <c r="E208" s="957"/>
      <c r="F208" s="956"/>
      <c r="G208" s="958">
        <v>0</v>
      </c>
      <c r="H208" s="958" t="s">
        <v>1335</v>
      </c>
      <c r="I208" s="958" t="s">
        <v>1335</v>
      </c>
      <c r="J208" s="958"/>
      <c r="K208" s="958">
        <v>0</v>
      </c>
      <c r="L208" s="958" t="s">
        <v>1335</v>
      </c>
      <c r="M208" s="958" t="s">
        <v>1335</v>
      </c>
      <c r="N208" s="958" t="s">
        <v>1335</v>
      </c>
      <c r="O208" s="958" t="s">
        <v>1335</v>
      </c>
      <c r="P208" s="958" t="s">
        <v>1335</v>
      </c>
      <c r="Q208" s="958">
        <v>0</v>
      </c>
      <c r="R208" s="958" t="s">
        <v>1335</v>
      </c>
      <c r="S208" s="958" t="s">
        <v>1335</v>
      </c>
      <c r="T208" s="958" t="s">
        <v>1335</v>
      </c>
      <c r="U208" s="958" t="s">
        <v>1335</v>
      </c>
      <c r="V208" s="982">
        <v>0</v>
      </c>
      <c r="W208" s="982"/>
      <c r="X208" s="982"/>
      <c r="Y208" s="1007"/>
      <c r="Z208" s="982"/>
      <c r="AA208" s="971"/>
      <c r="AB208" s="972"/>
      <c r="AC208" s="972"/>
      <c r="AD208" s="972"/>
      <c r="AE208" s="972"/>
      <c r="AF208" s="972"/>
      <c r="AG208" s="972"/>
      <c r="AH208" s="972"/>
      <c r="AI208" s="972"/>
      <c r="AJ208" s="972"/>
      <c r="AK208" s="972"/>
      <c r="AL208" s="972"/>
      <c r="AM208" s="972"/>
      <c r="AN208" s="972"/>
      <c r="AO208" s="972"/>
      <c r="AP208" s="972"/>
      <c r="AQ208" s="956">
        <f t="shared" si="34"/>
        <v>11</v>
      </c>
      <c r="AR208" s="956">
        <f t="shared" si="26"/>
        <v>0</v>
      </c>
      <c r="AS208" s="956">
        <f t="shared" si="35"/>
        <v>11</v>
      </c>
      <c r="AT208" s="956">
        <v>9</v>
      </c>
      <c r="AU208" s="981"/>
      <c r="AV208" s="981"/>
      <c r="AW208" s="981"/>
      <c r="AX208" s="993"/>
      <c r="AY208" s="993"/>
      <c r="AZ208" s="833">
        <f t="shared" si="27"/>
        <v>0</v>
      </c>
      <c r="BA208" s="983">
        <f t="shared" si="28"/>
        <v>0</v>
      </c>
      <c r="BB208" s="983">
        <f t="shared" si="29"/>
        <v>0</v>
      </c>
      <c r="BC208" s="983">
        <f t="shared" si="30"/>
        <v>0</v>
      </c>
      <c r="BD208" s="983">
        <f t="shared" si="31"/>
        <v>0</v>
      </c>
      <c r="BE208" s="983">
        <f t="shared" si="32"/>
        <v>0</v>
      </c>
      <c r="BF208" s="871">
        <f t="shared" si="36"/>
        <v>0</v>
      </c>
    </row>
    <row r="209" spans="1:58" s="8" customFormat="1" ht="20.100000000000001" customHeight="1">
      <c r="A209" s="956">
        <v>80</v>
      </c>
      <c r="B209" s="1003">
        <v>2</v>
      </c>
      <c r="C209" s="956">
        <v>80</v>
      </c>
      <c r="D209" s="957"/>
      <c r="E209" s="957"/>
      <c r="F209" s="956"/>
      <c r="G209" s="958" t="s">
        <v>1335</v>
      </c>
      <c r="H209" s="958" t="s">
        <v>1335</v>
      </c>
      <c r="I209" s="958">
        <v>0</v>
      </c>
      <c r="J209" s="958"/>
      <c r="K209" s="958">
        <v>0</v>
      </c>
      <c r="L209" s="958" t="s">
        <v>1335</v>
      </c>
      <c r="M209" s="958" t="s">
        <v>1335</v>
      </c>
      <c r="N209" s="958" t="s">
        <v>1335</v>
      </c>
      <c r="O209" s="958">
        <v>0</v>
      </c>
      <c r="P209" s="958" t="s">
        <v>1335</v>
      </c>
      <c r="Q209" s="958" t="s">
        <v>1335</v>
      </c>
      <c r="R209" s="958" t="s">
        <v>1335</v>
      </c>
      <c r="S209" s="958" t="s">
        <v>1335</v>
      </c>
      <c r="T209" s="958" t="s">
        <v>1335</v>
      </c>
      <c r="U209" s="958" t="s">
        <v>1335</v>
      </c>
      <c r="V209" s="982" t="s">
        <v>1335</v>
      </c>
      <c r="W209" s="982"/>
      <c r="X209" s="982" t="s">
        <v>1335</v>
      </c>
      <c r="Y209" s="1007"/>
      <c r="Z209" s="982"/>
      <c r="AA209" s="971"/>
      <c r="AB209" s="972"/>
      <c r="AC209" s="972"/>
      <c r="AD209" s="972"/>
      <c r="AE209" s="972"/>
      <c r="AF209" s="972"/>
      <c r="AG209" s="972"/>
      <c r="AH209" s="972"/>
      <c r="AI209" s="972"/>
      <c r="AJ209" s="972"/>
      <c r="AK209" s="972"/>
      <c r="AL209" s="972"/>
      <c r="AM209" s="972"/>
      <c r="AN209" s="972"/>
      <c r="AO209" s="972"/>
      <c r="AP209" s="972"/>
      <c r="AQ209" s="956">
        <f t="shared" si="34"/>
        <v>11</v>
      </c>
      <c r="AR209" s="956">
        <f t="shared" si="26"/>
        <v>2</v>
      </c>
      <c r="AS209" s="956">
        <f t="shared" si="35"/>
        <v>13</v>
      </c>
      <c r="AT209" s="982">
        <v>8</v>
      </c>
      <c r="AU209" s="981"/>
      <c r="AV209" s="981"/>
      <c r="AW209" s="981"/>
      <c r="AX209" s="993"/>
      <c r="AY209" s="993"/>
      <c r="AZ209" s="833">
        <f t="shared" si="27"/>
        <v>0</v>
      </c>
      <c r="BA209" s="983">
        <f t="shared" si="28"/>
        <v>0</v>
      </c>
      <c r="BB209" s="983">
        <f t="shared" si="29"/>
        <v>0</v>
      </c>
      <c r="BC209" s="983">
        <f t="shared" si="30"/>
        <v>0</v>
      </c>
      <c r="BD209" s="983">
        <f t="shared" si="31"/>
        <v>0</v>
      </c>
      <c r="BE209" s="983">
        <f t="shared" si="32"/>
        <v>0</v>
      </c>
      <c r="BF209" s="871">
        <f t="shared" si="36"/>
        <v>13</v>
      </c>
    </row>
    <row r="210" spans="1:58" s="8" customFormat="1" ht="20.100000000000001" customHeight="1">
      <c r="A210" s="956">
        <v>81</v>
      </c>
      <c r="B210" s="1003">
        <v>2</v>
      </c>
      <c r="C210" s="956">
        <v>81</v>
      </c>
      <c r="D210" s="957"/>
      <c r="E210" s="957"/>
      <c r="F210" s="956"/>
      <c r="G210" s="958" t="s">
        <v>1335</v>
      </c>
      <c r="H210" s="958" t="s">
        <v>1335</v>
      </c>
      <c r="I210" s="958">
        <v>0</v>
      </c>
      <c r="J210" s="958"/>
      <c r="K210" s="958">
        <v>0</v>
      </c>
      <c r="L210" s="958" t="s">
        <v>1335</v>
      </c>
      <c r="M210" s="958" t="s">
        <v>1335</v>
      </c>
      <c r="N210" s="958" t="s">
        <v>1335</v>
      </c>
      <c r="O210" s="958">
        <v>0</v>
      </c>
      <c r="P210" s="958" t="s">
        <v>1335</v>
      </c>
      <c r="Q210" s="958" t="s">
        <v>1335</v>
      </c>
      <c r="R210" s="958" t="s">
        <v>1335</v>
      </c>
      <c r="S210" s="958" t="s">
        <v>1335</v>
      </c>
      <c r="T210" s="958" t="s">
        <v>1335</v>
      </c>
      <c r="U210" s="958" t="s">
        <v>1335</v>
      </c>
      <c r="V210" s="982" t="s">
        <v>1335</v>
      </c>
      <c r="W210" s="982"/>
      <c r="X210" s="982" t="s">
        <v>1335</v>
      </c>
      <c r="Y210" s="1007"/>
      <c r="Z210" s="982"/>
      <c r="AA210" s="971"/>
      <c r="AB210" s="972"/>
      <c r="AC210" s="972"/>
      <c r="AD210" s="972"/>
      <c r="AE210" s="972"/>
      <c r="AF210" s="972"/>
      <c r="AG210" s="972"/>
      <c r="AH210" s="972"/>
      <c r="AI210" s="972"/>
      <c r="AJ210" s="972"/>
      <c r="AK210" s="972"/>
      <c r="AL210" s="972"/>
      <c r="AM210" s="972"/>
      <c r="AN210" s="972"/>
      <c r="AO210" s="972"/>
      <c r="AP210" s="972"/>
      <c r="AQ210" s="956">
        <f t="shared" si="34"/>
        <v>11</v>
      </c>
      <c r="AR210" s="956">
        <f t="shared" si="26"/>
        <v>2</v>
      </c>
      <c r="AS210" s="956">
        <f t="shared" si="35"/>
        <v>13</v>
      </c>
      <c r="AT210" s="982">
        <v>8</v>
      </c>
      <c r="AU210" s="981"/>
      <c r="AV210" s="981"/>
      <c r="AW210" s="981"/>
      <c r="AX210" s="993"/>
      <c r="AY210" s="993"/>
      <c r="AZ210" s="833">
        <f t="shared" si="27"/>
        <v>0</v>
      </c>
      <c r="BA210" s="983">
        <f t="shared" si="28"/>
        <v>0</v>
      </c>
      <c r="BB210" s="983">
        <f t="shared" si="29"/>
        <v>0</v>
      </c>
      <c r="BC210" s="983">
        <f t="shared" si="30"/>
        <v>0</v>
      </c>
      <c r="BD210" s="983">
        <f t="shared" si="31"/>
        <v>0</v>
      </c>
      <c r="BE210" s="983">
        <f t="shared" si="32"/>
        <v>0</v>
      </c>
      <c r="BF210" s="871">
        <f t="shared" si="36"/>
        <v>13</v>
      </c>
    </row>
    <row r="211" spans="1:58" s="8" customFormat="1" ht="20.100000000000001" customHeight="1">
      <c r="A211" s="956">
        <v>82</v>
      </c>
      <c r="B211" s="1003">
        <v>2</v>
      </c>
      <c r="C211" s="956">
        <v>82</v>
      </c>
      <c r="D211" s="957"/>
      <c r="E211" s="957"/>
      <c r="F211" s="956"/>
      <c r="G211" s="958">
        <v>0</v>
      </c>
      <c r="H211" s="958" t="s">
        <v>1335</v>
      </c>
      <c r="I211" s="958" t="s">
        <v>1335</v>
      </c>
      <c r="J211" s="958"/>
      <c r="K211" s="958">
        <v>0</v>
      </c>
      <c r="L211" s="958" t="s">
        <v>1335</v>
      </c>
      <c r="M211" s="958" t="s">
        <v>1335</v>
      </c>
      <c r="N211" s="958" t="s">
        <v>1335</v>
      </c>
      <c r="O211" s="958" t="s">
        <v>1335</v>
      </c>
      <c r="P211" s="958">
        <v>0</v>
      </c>
      <c r="Q211" s="958" t="s">
        <v>1335</v>
      </c>
      <c r="R211" s="958" t="s">
        <v>1335</v>
      </c>
      <c r="S211" s="958" t="s">
        <v>1335</v>
      </c>
      <c r="T211" s="958" t="s">
        <v>1335</v>
      </c>
      <c r="U211" s="958" t="s">
        <v>1335</v>
      </c>
      <c r="V211" s="982">
        <v>0</v>
      </c>
      <c r="W211" s="982"/>
      <c r="X211" s="982"/>
      <c r="Y211" s="1007"/>
      <c r="Z211" s="982"/>
      <c r="AA211" s="972"/>
      <c r="AB211" s="972"/>
      <c r="AC211" s="972"/>
      <c r="AD211" s="972"/>
      <c r="AE211" s="972"/>
      <c r="AF211" s="972"/>
      <c r="AG211" s="972"/>
      <c r="AH211" s="972"/>
      <c r="AI211" s="972"/>
      <c r="AJ211" s="972"/>
      <c r="AK211" s="972"/>
      <c r="AL211" s="972"/>
      <c r="AM211" s="972"/>
      <c r="AN211" s="972"/>
      <c r="AO211" s="972"/>
      <c r="AP211" s="972"/>
      <c r="AQ211" s="956">
        <f t="shared" si="34"/>
        <v>11</v>
      </c>
      <c r="AR211" s="956">
        <f t="shared" si="26"/>
        <v>0</v>
      </c>
      <c r="AS211" s="956">
        <f t="shared" si="35"/>
        <v>11</v>
      </c>
      <c r="AT211" s="982">
        <v>7</v>
      </c>
      <c r="AU211" s="981"/>
      <c r="AV211" s="981"/>
      <c r="AW211" s="981"/>
      <c r="AX211" s="993"/>
      <c r="AY211" s="993"/>
      <c r="AZ211" s="833">
        <f t="shared" si="27"/>
        <v>0</v>
      </c>
      <c r="BA211" s="983">
        <f t="shared" si="28"/>
        <v>0</v>
      </c>
      <c r="BB211" s="983">
        <f t="shared" si="29"/>
        <v>0</v>
      </c>
      <c r="BC211" s="983">
        <f t="shared" si="30"/>
        <v>0</v>
      </c>
      <c r="BD211" s="983">
        <f t="shared" si="31"/>
        <v>0</v>
      </c>
      <c r="BE211" s="983">
        <f t="shared" si="32"/>
        <v>0</v>
      </c>
      <c r="BF211" s="871">
        <f t="shared" si="36"/>
        <v>0</v>
      </c>
    </row>
    <row r="212" spans="1:58" s="8" customFormat="1" ht="20.100000000000001" customHeight="1">
      <c r="A212" s="956">
        <v>83</v>
      </c>
      <c r="B212" s="1003">
        <v>2</v>
      </c>
      <c r="C212" s="956">
        <v>83</v>
      </c>
      <c r="D212" s="957"/>
      <c r="E212" s="957"/>
      <c r="F212" s="956"/>
      <c r="G212" s="958">
        <v>0</v>
      </c>
      <c r="H212" s="958" t="s">
        <v>1335</v>
      </c>
      <c r="I212" s="958" t="s">
        <v>1335</v>
      </c>
      <c r="J212" s="958"/>
      <c r="K212" s="958">
        <v>0</v>
      </c>
      <c r="L212" s="958" t="s">
        <v>1335</v>
      </c>
      <c r="M212" s="958">
        <v>0</v>
      </c>
      <c r="N212" s="958" t="s">
        <v>1335</v>
      </c>
      <c r="O212" s="958" t="s">
        <v>1335</v>
      </c>
      <c r="P212" s="958" t="s">
        <v>1335</v>
      </c>
      <c r="Q212" s="958" t="s">
        <v>1335</v>
      </c>
      <c r="R212" s="958" t="s">
        <v>1335</v>
      </c>
      <c r="S212" s="958" t="s">
        <v>1335</v>
      </c>
      <c r="T212" s="958" t="s">
        <v>1335</v>
      </c>
      <c r="U212" s="958" t="s">
        <v>1335</v>
      </c>
      <c r="V212" s="982" t="s">
        <v>1335</v>
      </c>
      <c r="W212" s="982"/>
      <c r="X212" s="982"/>
      <c r="Y212" s="1007"/>
      <c r="Z212" s="982"/>
      <c r="AA212" s="972"/>
      <c r="AB212" s="972"/>
      <c r="AC212" s="972"/>
      <c r="AD212" s="972"/>
      <c r="AE212" s="972"/>
      <c r="AF212" s="972"/>
      <c r="AG212" s="972"/>
      <c r="AH212" s="972"/>
      <c r="AI212" s="972"/>
      <c r="AJ212" s="972"/>
      <c r="AK212" s="972"/>
      <c r="AL212" s="972"/>
      <c r="AM212" s="972"/>
      <c r="AN212" s="972"/>
      <c r="AO212" s="972"/>
      <c r="AP212" s="972"/>
      <c r="AQ212" s="956">
        <f t="shared" si="34"/>
        <v>11</v>
      </c>
      <c r="AR212" s="956">
        <f t="shared" si="26"/>
        <v>1</v>
      </c>
      <c r="AS212" s="956">
        <f t="shared" si="35"/>
        <v>12</v>
      </c>
      <c r="AT212" s="956">
        <v>9</v>
      </c>
      <c r="AU212" s="981"/>
      <c r="AV212" s="981"/>
      <c r="AW212" s="981"/>
      <c r="AX212" s="993"/>
      <c r="AY212" s="993"/>
      <c r="AZ212" s="833">
        <f t="shared" si="27"/>
        <v>0</v>
      </c>
      <c r="BA212" s="983">
        <f t="shared" si="28"/>
        <v>0</v>
      </c>
      <c r="BB212" s="983">
        <f t="shared" si="29"/>
        <v>0</v>
      </c>
      <c r="BC212" s="983">
        <f t="shared" si="30"/>
        <v>0</v>
      </c>
      <c r="BD212" s="983">
        <f t="shared" si="31"/>
        <v>0</v>
      </c>
      <c r="BE212" s="983">
        <f t="shared" si="32"/>
        <v>0</v>
      </c>
      <c r="BF212" s="871">
        <f t="shared" si="36"/>
        <v>0</v>
      </c>
    </row>
    <row r="213" spans="1:58" s="8" customFormat="1" ht="20.100000000000001" customHeight="1">
      <c r="A213" s="956">
        <v>84</v>
      </c>
      <c r="B213" s="1003">
        <v>2</v>
      </c>
      <c r="C213" s="956">
        <v>84</v>
      </c>
      <c r="D213" s="957"/>
      <c r="E213" s="957"/>
      <c r="F213" s="956"/>
      <c r="G213" s="958">
        <v>0</v>
      </c>
      <c r="H213" s="958" t="s">
        <v>1335</v>
      </c>
      <c r="I213" s="958" t="s">
        <v>1335</v>
      </c>
      <c r="J213" s="958"/>
      <c r="K213" s="958">
        <v>0</v>
      </c>
      <c r="L213" s="958" t="s">
        <v>1335</v>
      </c>
      <c r="M213" s="958" t="s">
        <v>1335</v>
      </c>
      <c r="N213" s="958">
        <v>0</v>
      </c>
      <c r="O213" s="958" t="s">
        <v>1335</v>
      </c>
      <c r="P213" s="958" t="s">
        <v>1335</v>
      </c>
      <c r="Q213" s="958" t="s">
        <v>1335</v>
      </c>
      <c r="R213" s="958" t="s">
        <v>1335</v>
      </c>
      <c r="S213" s="958" t="s">
        <v>1335</v>
      </c>
      <c r="T213" s="958" t="s">
        <v>1335</v>
      </c>
      <c r="U213" s="958">
        <v>0</v>
      </c>
      <c r="V213" s="982" t="s">
        <v>1335</v>
      </c>
      <c r="W213" s="982"/>
      <c r="X213" s="982"/>
      <c r="Y213" s="1007"/>
      <c r="Z213" s="982"/>
      <c r="AA213" s="972"/>
      <c r="AB213" s="972"/>
      <c r="AC213" s="972"/>
      <c r="AD213" s="972"/>
      <c r="AE213" s="972"/>
      <c r="AF213" s="972"/>
      <c r="AG213" s="972"/>
      <c r="AH213" s="972"/>
      <c r="AI213" s="972"/>
      <c r="AJ213" s="972"/>
      <c r="AK213" s="972"/>
      <c r="AL213" s="972"/>
      <c r="AM213" s="972"/>
      <c r="AN213" s="972"/>
      <c r="AO213" s="972"/>
      <c r="AP213" s="972"/>
      <c r="AQ213" s="956">
        <f t="shared" si="34"/>
        <v>10</v>
      </c>
      <c r="AR213" s="956">
        <f t="shared" si="26"/>
        <v>1</v>
      </c>
      <c r="AS213" s="956">
        <f t="shared" si="35"/>
        <v>11</v>
      </c>
      <c r="AT213" s="982">
        <v>8</v>
      </c>
      <c r="AU213" s="981"/>
      <c r="AV213" s="981"/>
      <c r="AW213" s="981"/>
      <c r="AX213" s="993"/>
      <c r="AY213" s="993"/>
      <c r="AZ213" s="833">
        <f t="shared" si="27"/>
        <v>0</v>
      </c>
      <c r="BA213" s="983">
        <f t="shared" si="28"/>
        <v>0</v>
      </c>
      <c r="BB213" s="983">
        <f t="shared" si="29"/>
        <v>0</v>
      </c>
      <c r="BC213" s="983">
        <f t="shared" si="30"/>
        <v>0</v>
      </c>
      <c r="BD213" s="983">
        <f t="shared" si="31"/>
        <v>0</v>
      </c>
      <c r="BE213" s="983">
        <f t="shared" si="32"/>
        <v>0</v>
      </c>
      <c r="BF213" s="871">
        <f t="shared" si="36"/>
        <v>0</v>
      </c>
    </row>
    <row r="214" spans="1:58" s="8" customFormat="1" ht="20.100000000000001" customHeight="1">
      <c r="A214" s="956">
        <v>85</v>
      </c>
      <c r="B214" s="1003">
        <v>2</v>
      </c>
      <c r="C214" s="956">
        <v>85</v>
      </c>
      <c r="D214" s="957"/>
      <c r="E214" s="957"/>
      <c r="F214" s="956"/>
      <c r="G214" s="958" t="s">
        <v>1335</v>
      </c>
      <c r="H214" s="958" t="s">
        <v>1335</v>
      </c>
      <c r="I214" s="958">
        <v>0</v>
      </c>
      <c r="J214" s="958"/>
      <c r="K214" s="958" t="s">
        <v>1335</v>
      </c>
      <c r="L214" s="958" t="s">
        <v>1335</v>
      </c>
      <c r="M214" s="958" t="s">
        <v>1335</v>
      </c>
      <c r="N214" s="958" t="s">
        <v>1335</v>
      </c>
      <c r="O214" s="958" t="s">
        <v>1335</v>
      </c>
      <c r="P214" s="958">
        <v>0</v>
      </c>
      <c r="Q214" s="958" t="s">
        <v>1335</v>
      </c>
      <c r="R214" s="958" t="s">
        <v>1335</v>
      </c>
      <c r="S214" s="958" t="s">
        <v>1335</v>
      </c>
      <c r="T214" s="958" t="s">
        <v>1335</v>
      </c>
      <c r="U214" s="958" t="s">
        <v>1335</v>
      </c>
      <c r="V214" s="982">
        <v>0</v>
      </c>
      <c r="W214" s="982"/>
      <c r="X214" s="982"/>
      <c r="Y214" s="1007"/>
      <c r="Z214" s="982"/>
      <c r="AA214" s="972"/>
      <c r="AB214" s="972"/>
      <c r="AC214" s="972"/>
      <c r="AD214" s="972"/>
      <c r="AE214" s="972"/>
      <c r="AF214" s="972"/>
      <c r="AG214" s="972"/>
      <c r="AH214" s="972"/>
      <c r="AI214" s="972"/>
      <c r="AJ214" s="972"/>
      <c r="AK214" s="972"/>
      <c r="AL214" s="972"/>
      <c r="AM214" s="972"/>
      <c r="AN214" s="972"/>
      <c r="AO214" s="972"/>
      <c r="AP214" s="972"/>
      <c r="AQ214" s="956">
        <f t="shared" si="34"/>
        <v>12</v>
      </c>
      <c r="AR214" s="956">
        <f t="shared" si="26"/>
        <v>0</v>
      </c>
      <c r="AS214" s="956">
        <f t="shared" si="35"/>
        <v>12</v>
      </c>
      <c r="AT214" s="956">
        <v>9</v>
      </c>
      <c r="AU214" s="981"/>
      <c r="AV214" s="981"/>
      <c r="AW214" s="981"/>
      <c r="AX214" s="993"/>
      <c r="AY214" s="993"/>
      <c r="AZ214" s="833">
        <f t="shared" si="27"/>
        <v>0</v>
      </c>
      <c r="BA214" s="983">
        <f t="shared" si="28"/>
        <v>0</v>
      </c>
      <c r="BB214" s="983">
        <f t="shared" si="29"/>
        <v>0</v>
      </c>
      <c r="BC214" s="983">
        <f t="shared" si="30"/>
        <v>0</v>
      </c>
      <c r="BD214" s="983">
        <f t="shared" si="31"/>
        <v>0</v>
      </c>
      <c r="BE214" s="983">
        <f t="shared" si="32"/>
        <v>0</v>
      </c>
      <c r="BF214" s="871">
        <f t="shared" si="36"/>
        <v>0</v>
      </c>
    </row>
    <row r="215" spans="1:58" s="8" customFormat="1" ht="20.100000000000001" customHeight="1">
      <c r="A215" s="956">
        <v>86</v>
      </c>
      <c r="B215" s="1003">
        <v>2</v>
      </c>
      <c r="C215" s="956">
        <v>86</v>
      </c>
      <c r="D215" s="957"/>
      <c r="E215" s="957"/>
      <c r="F215" s="956"/>
      <c r="G215" s="958">
        <v>0</v>
      </c>
      <c r="H215" s="958">
        <v>0</v>
      </c>
      <c r="I215" s="958">
        <v>0</v>
      </c>
      <c r="J215" s="958"/>
      <c r="K215" s="958">
        <v>0</v>
      </c>
      <c r="L215" s="958" t="s">
        <v>1335</v>
      </c>
      <c r="M215" s="958" t="s">
        <v>1335</v>
      </c>
      <c r="N215" s="958" t="s">
        <v>1335</v>
      </c>
      <c r="O215" s="958" t="s">
        <v>1335</v>
      </c>
      <c r="P215" s="958" t="s">
        <v>1335</v>
      </c>
      <c r="Q215" s="958" t="s">
        <v>1335</v>
      </c>
      <c r="R215" s="958" t="s">
        <v>1335</v>
      </c>
      <c r="S215" s="958" t="s">
        <v>1335</v>
      </c>
      <c r="T215" s="958" t="s">
        <v>1335</v>
      </c>
      <c r="U215" s="958" t="s">
        <v>1335</v>
      </c>
      <c r="V215" s="982">
        <v>0</v>
      </c>
      <c r="W215" s="982"/>
      <c r="X215" s="982"/>
      <c r="Y215" s="1007"/>
      <c r="Z215" s="982"/>
      <c r="AA215" s="972"/>
      <c r="AB215" s="972"/>
      <c r="AC215" s="972"/>
      <c r="AD215" s="972"/>
      <c r="AE215" s="972"/>
      <c r="AF215" s="972"/>
      <c r="AG215" s="972"/>
      <c r="AH215" s="972"/>
      <c r="AI215" s="972"/>
      <c r="AJ215" s="972"/>
      <c r="AK215" s="972"/>
      <c r="AL215" s="972"/>
      <c r="AM215" s="972"/>
      <c r="AN215" s="972"/>
      <c r="AO215" s="972"/>
      <c r="AP215" s="972"/>
      <c r="AQ215" s="956">
        <f t="shared" si="34"/>
        <v>10</v>
      </c>
      <c r="AR215" s="956">
        <f t="shared" si="26"/>
        <v>0</v>
      </c>
      <c r="AS215" s="956">
        <f t="shared" si="35"/>
        <v>10</v>
      </c>
      <c r="AT215" s="982">
        <v>4</v>
      </c>
      <c r="AU215" s="981"/>
      <c r="AV215" s="981"/>
      <c r="AW215" s="981"/>
      <c r="AX215" s="993"/>
      <c r="AY215" s="993"/>
      <c r="AZ215" s="833">
        <f t="shared" si="27"/>
        <v>0</v>
      </c>
      <c r="BA215" s="983">
        <f t="shared" si="28"/>
        <v>0</v>
      </c>
      <c r="BB215" s="983">
        <f t="shared" si="29"/>
        <v>0</v>
      </c>
      <c r="BC215" s="983">
        <f t="shared" si="30"/>
        <v>0</v>
      </c>
      <c r="BD215" s="983">
        <f t="shared" si="31"/>
        <v>0</v>
      </c>
      <c r="BE215" s="983">
        <f t="shared" si="32"/>
        <v>0</v>
      </c>
      <c r="BF215" s="871">
        <f t="shared" si="36"/>
        <v>0</v>
      </c>
    </row>
    <row r="216" spans="1:58" s="8" customFormat="1" ht="20.100000000000001" customHeight="1">
      <c r="A216" s="956">
        <v>87</v>
      </c>
      <c r="B216" s="1003">
        <v>2</v>
      </c>
      <c r="C216" s="956">
        <v>87</v>
      </c>
      <c r="D216" s="957"/>
      <c r="E216" s="957"/>
      <c r="F216" s="956"/>
      <c r="G216" s="958" t="s">
        <v>1335</v>
      </c>
      <c r="H216" s="958" t="s">
        <v>1335</v>
      </c>
      <c r="I216" s="958" t="s">
        <v>1335</v>
      </c>
      <c r="J216" s="958"/>
      <c r="K216" s="958" t="s">
        <v>1335</v>
      </c>
      <c r="L216" s="958" t="s">
        <v>1335</v>
      </c>
      <c r="M216" s="958" t="s">
        <v>1335</v>
      </c>
      <c r="N216" s="958" t="s">
        <v>1335</v>
      </c>
      <c r="O216" s="958" t="s">
        <v>1335</v>
      </c>
      <c r="P216" s="958" t="s">
        <v>1335</v>
      </c>
      <c r="Q216" s="958" t="s">
        <v>1335</v>
      </c>
      <c r="R216" s="958" t="s">
        <v>1335</v>
      </c>
      <c r="S216" s="958" t="s">
        <v>1335</v>
      </c>
      <c r="T216" s="958" t="s">
        <v>1335</v>
      </c>
      <c r="U216" s="958" t="s">
        <v>1335</v>
      </c>
      <c r="V216" s="982">
        <v>0</v>
      </c>
      <c r="W216" s="982"/>
      <c r="X216" s="982"/>
      <c r="Y216" s="1007"/>
      <c r="Z216" s="982"/>
      <c r="AA216" s="972"/>
      <c r="AB216" s="972"/>
      <c r="AC216" s="972"/>
      <c r="AD216" s="972"/>
      <c r="AE216" s="972"/>
      <c r="AF216" s="972"/>
      <c r="AG216" s="972"/>
      <c r="AH216" s="972"/>
      <c r="AI216" s="972"/>
      <c r="AJ216" s="972"/>
      <c r="AK216" s="972"/>
      <c r="AL216" s="972"/>
      <c r="AM216" s="972"/>
      <c r="AN216" s="972"/>
      <c r="AO216" s="972"/>
      <c r="AP216" s="972"/>
      <c r="AQ216" s="956">
        <f t="shared" si="34"/>
        <v>14</v>
      </c>
      <c r="AR216" s="956">
        <f t="shared" si="26"/>
        <v>0</v>
      </c>
      <c r="AS216" s="956">
        <f t="shared" si="35"/>
        <v>14</v>
      </c>
      <c r="AT216" s="956">
        <v>9</v>
      </c>
      <c r="AU216" s="981"/>
      <c r="AV216" s="981"/>
      <c r="AW216" s="981"/>
      <c r="AX216" s="993"/>
      <c r="AY216" s="993"/>
      <c r="AZ216" s="833">
        <f t="shared" si="27"/>
        <v>0</v>
      </c>
      <c r="BA216" s="983">
        <f t="shared" si="28"/>
        <v>0</v>
      </c>
      <c r="BB216" s="983">
        <f t="shared" si="29"/>
        <v>0</v>
      </c>
      <c r="BC216" s="983">
        <f t="shared" si="30"/>
        <v>0</v>
      </c>
      <c r="BD216" s="983">
        <f t="shared" si="31"/>
        <v>0</v>
      </c>
      <c r="BE216" s="983">
        <f t="shared" si="32"/>
        <v>0</v>
      </c>
      <c r="BF216" s="871">
        <f t="shared" si="36"/>
        <v>14</v>
      </c>
    </row>
    <row r="217" spans="1:58" s="8" customFormat="1" ht="20.100000000000001" customHeight="1">
      <c r="A217" s="956">
        <v>88</v>
      </c>
      <c r="B217" s="1003">
        <v>2</v>
      </c>
      <c r="C217" s="956">
        <v>88</v>
      </c>
      <c r="D217" s="957"/>
      <c r="E217" s="957"/>
      <c r="F217" s="956"/>
      <c r="G217" s="958" t="s">
        <v>1335</v>
      </c>
      <c r="H217" s="958">
        <v>0</v>
      </c>
      <c r="I217" s="958" t="s">
        <v>1335</v>
      </c>
      <c r="J217" s="958"/>
      <c r="K217" s="958">
        <v>0</v>
      </c>
      <c r="L217" s="958" t="s">
        <v>1335</v>
      </c>
      <c r="M217" s="958" t="s">
        <v>1335</v>
      </c>
      <c r="N217" s="958" t="s">
        <v>1335</v>
      </c>
      <c r="O217" s="958" t="s">
        <v>1335</v>
      </c>
      <c r="P217" s="958" t="s">
        <v>1335</v>
      </c>
      <c r="Q217" s="958" t="s">
        <v>1335</v>
      </c>
      <c r="R217" s="958">
        <v>0</v>
      </c>
      <c r="S217" s="958" t="s">
        <v>1335</v>
      </c>
      <c r="T217" s="958" t="s">
        <v>1335</v>
      </c>
      <c r="U217" s="958" t="s">
        <v>1335</v>
      </c>
      <c r="V217" s="982">
        <v>0</v>
      </c>
      <c r="W217" s="982"/>
      <c r="X217" s="982" t="s">
        <v>1335</v>
      </c>
      <c r="Y217" s="1007"/>
      <c r="Z217" s="982"/>
      <c r="AA217" s="972"/>
      <c r="AB217" s="972"/>
      <c r="AC217" s="972"/>
      <c r="AD217" s="972"/>
      <c r="AE217" s="972"/>
      <c r="AF217" s="972"/>
      <c r="AG217" s="972"/>
      <c r="AH217" s="972"/>
      <c r="AI217" s="972"/>
      <c r="AJ217" s="972"/>
      <c r="AK217" s="972"/>
      <c r="AL217" s="972"/>
      <c r="AM217" s="972"/>
      <c r="AN217" s="972"/>
      <c r="AO217" s="972"/>
      <c r="AP217" s="972"/>
      <c r="AQ217" s="956">
        <f t="shared" si="34"/>
        <v>11</v>
      </c>
      <c r="AR217" s="956">
        <f t="shared" si="26"/>
        <v>1</v>
      </c>
      <c r="AS217" s="956">
        <f t="shared" si="35"/>
        <v>12</v>
      </c>
      <c r="AT217" s="982">
        <v>8</v>
      </c>
      <c r="AU217" s="981"/>
      <c r="AV217" s="981"/>
      <c r="AW217" s="981"/>
      <c r="AX217" s="993"/>
      <c r="AY217" s="993"/>
      <c r="AZ217" s="833">
        <f t="shared" si="27"/>
        <v>0</v>
      </c>
      <c r="BA217" s="983">
        <f t="shared" si="28"/>
        <v>0</v>
      </c>
      <c r="BB217" s="983">
        <f t="shared" si="29"/>
        <v>0</v>
      </c>
      <c r="BC217" s="983">
        <f t="shared" si="30"/>
        <v>0</v>
      </c>
      <c r="BD217" s="983">
        <f t="shared" si="31"/>
        <v>0</v>
      </c>
      <c r="BE217" s="983">
        <f t="shared" si="32"/>
        <v>0</v>
      </c>
      <c r="BF217" s="871">
        <f t="shared" si="36"/>
        <v>0</v>
      </c>
    </row>
    <row r="218" spans="1:58" s="8" customFormat="1" ht="20.100000000000001" customHeight="1">
      <c r="A218" s="956">
        <v>89</v>
      </c>
      <c r="B218" s="1003">
        <v>2</v>
      </c>
      <c r="C218" s="956">
        <v>89</v>
      </c>
      <c r="D218" s="957"/>
      <c r="E218" s="957"/>
      <c r="F218" s="956"/>
      <c r="G218" s="958" t="s">
        <v>1335</v>
      </c>
      <c r="H218" s="958" t="s">
        <v>1335</v>
      </c>
      <c r="I218" s="958">
        <v>0</v>
      </c>
      <c r="J218" s="958"/>
      <c r="K218" s="958" t="s">
        <v>1335</v>
      </c>
      <c r="L218" s="958">
        <v>0</v>
      </c>
      <c r="M218" s="958" t="s">
        <v>1335</v>
      </c>
      <c r="N218" s="958" t="s">
        <v>1335</v>
      </c>
      <c r="O218" s="958" t="s">
        <v>1335</v>
      </c>
      <c r="P218" s="958" t="s">
        <v>1335</v>
      </c>
      <c r="Q218" s="958" t="s">
        <v>1335</v>
      </c>
      <c r="R218" s="958" t="s">
        <v>1335</v>
      </c>
      <c r="S218" s="958" t="s">
        <v>1335</v>
      </c>
      <c r="T218" s="958" t="s">
        <v>1335</v>
      </c>
      <c r="U218" s="958">
        <v>0</v>
      </c>
      <c r="V218" s="982">
        <v>0</v>
      </c>
      <c r="W218" s="982"/>
      <c r="X218" s="982"/>
      <c r="Y218" s="1007"/>
      <c r="Z218" s="982"/>
      <c r="AA218" s="972"/>
      <c r="AB218" s="972"/>
      <c r="AC218" s="972"/>
      <c r="AD218" s="972"/>
      <c r="AE218" s="972"/>
      <c r="AF218" s="972"/>
      <c r="AG218" s="972"/>
      <c r="AH218" s="972"/>
      <c r="AI218" s="972"/>
      <c r="AJ218" s="972"/>
      <c r="AK218" s="972"/>
      <c r="AL218" s="972"/>
      <c r="AM218" s="972"/>
      <c r="AN218" s="972"/>
      <c r="AO218" s="972"/>
      <c r="AP218" s="972"/>
      <c r="AQ218" s="956">
        <f t="shared" si="34"/>
        <v>11</v>
      </c>
      <c r="AR218" s="956">
        <f t="shared" si="26"/>
        <v>0</v>
      </c>
      <c r="AS218" s="956">
        <f t="shared" si="35"/>
        <v>11</v>
      </c>
      <c r="AT218" s="982">
        <v>8</v>
      </c>
      <c r="AU218" s="981"/>
      <c r="AV218" s="981"/>
      <c r="AW218" s="981"/>
      <c r="AX218" s="993"/>
      <c r="AY218" s="993"/>
      <c r="AZ218" s="833">
        <f t="shared" si="27"/>
        <v>0</v>
      </c>
      <c r="BA218" s="983">
        <f t="shared" si="28"/>
        <v>0</v>
      </c>
      <c r="BB218" s="983">
        <f t="shared" si="29"/>
        <v>0</v>
      </c>
      <c r="BC218" s="983">
        <f t="shared" si="30"/>
        <v>0</v>
      </c>
      <c r="BD218" s="983">
        <f t="shared" si="31"/>
        <v>0</v>
      </c>
      <c r="BE218" s="983">
        <f t="shared" si="32"/>
        <v>0</v>
      </c>
      <c r="BF218" s="871">
        <f t="shared" si="36"/>
        <v>0</v>
      </c>
    </row>
    <row r="219" spans="1:58" s="8" customFormat="1" ht="20.100000000000001" customHeight="1">
      <c r="A219" s="956">
        <v>90</v>
      </c>
      <c r="B219" s="1003">
        <v>2</v>
      </c>
      <c r="C219" s="956">
        <v>90</v>
      </c>
      <c r="D219" s="957"/>
      <c r="E219" s="957"/>
      <c r="F219" s="956"/>
      <c r="G219" s="958" t="s">
        <v>1335</v>
      </c>
      <c r="H219" s="958" t="s">
        <v>1335</v>
      </c>
      <c r="I219" s="958" t="s">
        <v>1335</v>
      </c>
      <c r="J219" s="958"/>
      <c r="K219" s="958" t="s">
        <v>1335</v>
      </c>
      <c r="L219" s="958" t="s">
        <v>1335</v>
      </c>
      <c r="M219" s="958" t="s">
        <v>1335</v>
      </c>
      <c r="N219" s="958" t="s">
        <v>1335</v>
      </c>
      <c r="O219" s="958" t="s">
        <v>1335</v>
      </c>
      <c r="P219" s="958" t="s">
        <v>1335</v>
      </c>
      <c r="Q219" s="958" t="s">
        <v>1335</v>
      </c>
      <c r="R219" s="958" t="s">
        <v>1335</v>
      </c>
      <c r="S219" s="958" t="s">
        <v>1335</v>
      </c>
      <c r="T219" s="958" t="s">
        <v>1335</v>
      </c>
      <c r="U219" s="958" t="s">
        <v>1335</v>
      </c>
      <c r="V219" s="982">
        <v>0</v>
      </c>
      <c r="W219" s="982"/>
      <c r="X219" s="982"/>
      <c r="Y219" s="1007"/>
      <c r="Z219" s="982"/>
      <c r="AA219" s="972"/>
      <c r="AB219" s="972"/>
      <c r="AC219" s="972"/>
      <c r="AD219" s="972"/>
      <c r="AE219" s="972"/>
      <c r="AF219" s="972"/>
      <c r="AG219" s="972"/>
      <c r="AH219" s="972"/>
      <c r="AI219" s="972"/>
      <c r="AJ219" s="972"/>
      <c r="AK219" s="972"/>
      <c r="AL219" s="972"/>
      <c r="AM219" s="972"/>
      <c r="AN219" s="972"/>
      <c r="AO219" s="972"/>
      <c r="AP219" s="972"/>
      <c r="AQ219" s="956">
        <f t="shared" si="34"/>
        <v>14</v>
      </c>
      <c r="AR219" s="956">
        <f t="shared" si="26"/>
        <v>0</v>
      </c>
      <c r="AS219" s="956">
        <f t="shared" si="35"/>
        <v>14</v>
      </c>
      <c r="AT219" s="956">
        <v>9</v>
      </c>
      <c r="AU219" s="981"/>
      <c r="AV219" s="981"/>
      <c r="AW219" s="981"/>
      <c r="AX219" s="993"/>
      <c r="AY219" s="993"/>
      <c r="AZ219" s="833">
        <f t="shared" si="27"/>
        <v>0</v>
      </c>
      <c r="BA219" s="983">
        <f t="shared" si="28"/>
        <v>0</v>
      </c>
      <c r="BB219" s="983">
        <f t="shared" si="29"/>
        <v>0</v>
      </c>
      <c r="BC219" s="983">
        <f t="shared" si="30"/>
        <v>0</v>
      </c>
      <c r="BD219" s="983">
        <f t="shared" si="31"/>
        <v>0</v>
      </c>
      <c r="BE219" s="983">
        <f t="shared" si="32"/>
        <v>0</v>
      </c>
      <c r="BF219" s="871">
        <f t="shared" si="36"/>
        <v>14</v>
      </c>
    </row>
    <row r="220" spans="1:58" s="8" customFormat="1" ht="20.100000000000001" customHeight="1">
      <c r="A220" s="956">
        <v>91</v>
      </c>
      <c r="B220" s="1003">
        <v>2</v>
      </c>
      <c r="C220" s="956">
        <v>91</v>
      </c>
      <c r="D220" s="957"/>
      <c r="E220" s="957"/>
      <c r="F220" s="956"/>
      <c r="G220" s="958" t="s">
        <v>1335</v>
      </c>
      <c r="H220" s="958" t="s">
        <v>1335</v>
      </c>
      <c r="I220" s="958" t="s">
        <v>1335</v>
      </c>
      <c r="J220" s="958"/>
      <c r="K220" s="958" t="s">
        <v>1335</v>
      </c>
      <c r="L220" s="958" t="s">
        <v>1335</v>
      </c>
      <c r="M220" s="958" t="s">
        <v>1335</v>
      </c>
      <c r="N220" s="958" t="s">
        <v>1335</v>
      </c>
      <c r="O220" s="958" t="s">
        <v>1335</v>
      </c>
      <c r="P220" s="958" t="s">
        <v>1335</v>
      </c>
      <c r="Q220" s="958" t="s">
        <v>1335</v>
      </c>
      <c r="R220" s="958" t="s">
        <v>1335</v>
      </c>
      <c r="S220" s="958" t="s">
        <v>1335</v>
      </c>
      <c r="T220" s="958" t="s">
        <v>1335</v>
      </c>
      <c r="U220" s="958" t="s">
        <v>1335</v>
      </c>
      <c r="V220" s="982">
        <v>0</v>
      </c>
      <c r="W220" s="982"/>
      <c r="X220" s="982"/>
      <c r="Y220" s="1007"/>
      <c r="Z220" s="982"/>
      <c r="AA220" s="972"/>
      <c r="AB220" s="972"/>
      <c r="AC220" s="972"/>
      <c r="AD220" s="972"/>
      <c r="AE220" s="972"/>
      <c r="AF220" s="972"/>
      <c r="AG220" s="972"/>
      <c r="AH220" s="972"/>
      <c r="AI220" s="972"/>
      <c r="AJ220" s="972"/>
      <c r="AK220" s="972"/>
      <c r="AL220" s="972"/>
      <c r="AM220" s="972"/>
      <c r="AN220" s="972"/>
      <c r="AO220" s="972"/>
      <c r="AP220" s="972"/>
      <c r="AQ220" s="956">
        <f t="shared" si="34"/>
        <v>14</v>
      </c>
      <c r="AR220" s="956">
        <f t="shared" si="26"/>
        <v>0</v>
      </c>
      <c r="AS220" s="956">
        <f t="shared" si="35"/>
        <v>14</v>
      </c>
      <c r="AT220" s="956">
        <v>9</v>
      </c>
      <c r="AU220" s="981"/>
      <c r="AV220" s="981"/>
      <c r="AW220" s="981"/>
      <c r="AX220" s="993"/>
      <c r="AY220" s="993"/>
      <c r="AZ220" s="833">
        <f t="shared" si="27"/>
        <v>0</v>
      </c>
      <c r="BA220" s="983">
        <f t="shared" si="28"/>
        <v>0</v>
      </c>
      <c r="BB220" s="983">
        <f t="shared" si="29"/>
        <v>0</v>
      </c>
      <c r="BC220" s="983">
        <f t="shared" si="30"/>
        <v>0</v>
      </c>
      <c r="BD220" s="983">
        <f t="shared" si="31"/>
        <v>0</v>
      </c>
      <c r="BE220" s="983">
        <f t="shared" si="32"/>
        <v>0</v>
      </c>
      <c r="BF220" s="871">
        <f t="shared" si="36"/>
        <v>14</v>
      </c>
    </row>
    <row r="221" spans="1:58" s="8" customFormat="1" ht="20.100000000000001" customHeight="1">
      <c r="A221" s="956">
        <v>92</v>
      </c>
      <c r="B221" s="1003">
        <v>2</v>
      </c>
      <c r="C221" s="956">
        <v>92</v>
      </c>
      <c r="D221" s="957"/>
      <c r="E221" s="957"/>
      <c r="F221" s="956"/>
      <c r="G221" s="958">
        <v>0</v>
      </c>
      <c r="H221" s="958" t="s">
        <v>1335</v>
      </c>
      <c r="I221" s="958" t="s">
        <v>1335</v>
      </c>
      <c r="J221" s="958"/>
      <c r="K221" s="958">
        <v>0</v>
      </c>
      <c r="L221" s="958" t="s">
        <v>1335</v>
      </c>
      <c r="M221" s="958" t="s">
        <v>1335</v>
      </c>
      <c r="N221" s="958" t="s">
        <v>1335</v>
      </c>
      <c r="O221" s="958" t="s">
        <v>1335</v>
      </c>
      <c r="P221" s="958" t="s">
        <v>1335</v>
      </c>
      <c r="Q221" s="958" t="s">
        <v>1335</v>
      </c>
      <c r="R221" s="958" t="s">
        <v>1335</v>
      </c>
      <c r="S221" s="958" t="s">
        <v>1335</v>
      </c>
      <c r="T221" s="958" t="s">
        <v>1335</v>
      </c>
      <c r="U221" s="958" t="s">
        <v>1335</v>
      </c>
      <c r="V221" s="982">
        <v>0</v>
      </c>
      <c r="W221" s="982"/>
      <c r="X221" s="982"/>
      <c r="Y221" s="1007"/>
      <c r="Z221" s="982"/>
      <c r="AA221" s="972"/>
      <c r="AB221" s="972"/>
      <c r="AC221" s="972"/>
      <c r="AD221" s="972"/>
      <c r="AE221" s="972"/>
      <c r="AF221" s="972"/>
      <c r="AG221" s="972"/>
      <c r="AH221" s="972"/>
      <c r="AI221" s="972"/>
      <c r="AJ221" s="972"/>
      <c r="AK221" s="972"/>
      <c r="AL221" s="972"/>
      <c r="AM221" s="972"/>
      <c r="AN221" s="972"/>
      <c r="AO221" s="972"/>
      <c r="AP221" s="972"/>
      <c r="AQ221" s="956">
        <f t="shared" si="34"/>
        <v>12</v>
      </c>
      <c r="AR221" s="956">
        <f t="shared" si="26"/>
        <v>0</v>
      </c>
      <c r="AS221" s="956">
        <f t="shared" si="35"/>
        <v>12</v>
      </c>
      <c r="AT221" s="956">
        <v>9</v>
      </c>
      <c r="AU221" s="981"/>
      <c r="AV221" s="981"/>
      <c r="AW221" s="981"/>
      <c r="AX221" s="993" t="e">
        <f>#REF!-#REF!</f>
        <v>#REF!</v>
      </c>
      <c r="AY221" s="993"/>
      <c r="AZ221" s="833">
        <f t="shared" si="27"/>
        <v>0</v>
      </c>
      <c r="BA221" s="983">
        <f t="shared" si="28"/>
        <v>0</v>
      </c>
      <c r="BB221" s="983">
        <f t="shared" si="29"/>
        <v>0</v>
      </c>
      <c r="BC221" s="983">
        <f t="shared" si="30"/>
        <v>0</v>
      </c>
      <c r="BD221" s="983">
        <f t="shared" si="31"/>
        <v>0</v>
      </c>
      <c r="BE221" s="983">
        <f t="shared" si="32"/>
        <v>0</v>
      </c>
      <c r="BF221" s="871">
        <f t="shared" si="36"/>
        <v>0</v>
      </c>
    </row>
    <row r="222" spans="1:58" s="8" customFormat="1" ht="20.100000000000001" customHeight="1">
      <c r="A222" s="956">
        <v>93</v>
      </c>
      <c r="B222" s="1019">
        <v>3</v>
      </c>
      <c r="C222" s="956">
        <v>93</v>
      </c>
      <c r="D222" s="957"/>
      <c r="E222" s="957"/>
      <c r="F222" s="956"/>
      <c r="G222" s="958" t="s">
        <v>1335</v>
      </c>
      <c r="H222" s="958" t="s">
        <v>1335</v>
      </c>
      <c r="I222" s="958" t="s">
        <v>1335</v>
      </c>
      <c r="J222" s="958"/>
      <c r="K222" s="958">
        <v>0</v>
      </c>
      <c r="L222" s="958">
        <v>0</v>
      </c>
      <c r="M222" s="958" t="s">
        <v>1335</v>
      </c>
      <c r="N222" s="958" t="s">
        <v>1335</v>
      </c>
      <c r="O222" s="958" t="s">
        <v>1335</v>
      </c>
      <c r="P222" s="958" t="s">
        <v>1335</v>
      </c>
      <c r="Q222" s="958" t="s">
        <v>1335</v>
      </c>
      <c r="R222" s="958" t="s">
        <v>1335</v>
      </c>
      <c r="S222" s="958" t="s">
        <v>1335</v>
      </c>
      <c r="T222" s="958" t="s">
        <v>1335</v>
      </c>
      <c r="U222" s="958" t="s">
        <v>1335</v>
      </c>
      <c r="V222" s="982" t="s">
        <v>1335</v>
      </c>
      <c r="W222" s="966"/>
      <c r="X222" s="982" t="s">
        <v>1335</v>
      </c>
      <c r="Y222" s="970"/>
      <c r="Z222" s="966"/>
      <c r="AA222" s="971"/>
      <c r="AB222" s="972"/>
      <c r="AC222" s="972"/>
      <c r="AD222" s="972"/>
      <c r="AE222" s="972"/>
      <c r="AF222" s="972"/>
      <c r="AG222" s="972"/>
      <c r="AH222" s="972"/>
      <c r="AI222" s="972"/>
      <c r="AJ222" s="972"/>
      <c r="AK222" s="972"/>
      <c r="AL222" s="972"/>
      <c r="AM222" s="972"/>
      <c r="AN222" s="972"/>
      <c r="AO222" s="972"/>
      <c r="AP222" s="972"/>
      <c r="AQ222" s="956">
        <f t="shared" si="34"/>
        <v>12</v>
      </c>
      <c r="AR222" s="956">
        <f t="shared" ref="AR222:AR266" si="37">COUNTIF(V222:AA222,"X")</f>
        <v>2</v>
      </c>
      <c r="AS222" s="956">
        <f t="shared" ref="AS222:AS265" si="38">ROUND(COUNTIF(G222:AO222,"x"),0)+ROUND(COUNTIF(AA222:AP222,"&gt;0"),0)</f>
        <v>14</v>
      </c>
      <c r="AT222" s="956">
        <v>9</v>
      </c>
      <c r="AU222" s="981"/>
      <c r="AV222" s="981"/>
      <c r="AW222" s="981"/>
      <c r="AX222" s="993"/>
      <c r="AY222" s="993"/>
      <c r="AZ222" s="833">
        <f t="shared" ref="AZ222:AZ265" si="39">AY222*25000</f>
        <v>0</v>
      </c>
      <c r="BA222" s="983">
        <f t="shared" ref="BA222:BA265" si="40">COUNTIFS($G222:$AP222,"x",$G$6:$AP$6,"A")+COUNTIFS($G222:$AP222,"xx",$G$6:$AP$6,"A")</f>
        <v>0</v>
      </c>
      <c r="BB222" s="983">
        <f t="shared" ref="BB222:BB265" si="41">COUNTIFS($G222:$AP222,"x",$G$6:$AP$6,"B")+COUNTIFS($G222:$AP222,"xx",$G$6:$AP$6,"B")</f>
        <v>0</v>
      </c>
      <c r="BC222" s="983">
        <f t="shared" ref="BC222:BC265" si="42">COUNTIFS($G222:$AP222,"x",$G$6:$AP$6,"C")+COUNTIFS($G222:$AP222,"xx",$G$6:$AP$6,"C")</f>
        <v>0</v>
      </c>
      <c r="BD222" s="983">
        <f t="shared" ref="BD222:BD265" si="43">COUNTIFS($G222:$AP222,"x",$G$6:$AP$6,"D")+COUNTIFS($G222:$AP222,"xx",$G$6:$AP$6,"D")</f>
        <v>0</v>
      </c>
      <c r="BE222" s="983">
        <f t="shared" ref="BE222:BE265" si="44">SUM(BA222:BD222)</f>
        <v>0</v>
      </c>
      <c r="BF222" s="871">
        <f t="shared" ref="BF222:BF265" si="45">IF(AS222&gt;=13,AS222,0)</f>
        <v>14</v>
      </c>
    </row>
    <row r="223" spans="1:58" s="8" customFormat="1" ht="20.100000000000001" customHeight="1">
      <c r="A223" s="956">
        <v>94</v>
      </c>
      <c r="B223" s="1019">
        <v>3</v>
      </c>
      <c r="C223" s="956">
        <v>94</v>
      </c>
      <c r="D223" s="957"/>
      <c r="E223" s="957"/>
      <c r="F223" s="956"/>
      <c r="G223" s="958" t="s">
        <v>1335</v>
      </c>
      <c r="H223" s="958" t="s">
        <v>1335</v>
      </c>
      <c r="I223" s="958">
        <v>0</v>
      </c>
      <c r="J223" s="958"/>
      <c r="K223" s="958">
        <v>0</v>
      </c>
      <c r="L223" s="958" t="s">
        <v>1335</v>
      </c>
      <c r="M223" s="958" t="s">
        <v>1335</v>
      </c>
      <c r="N223" s="958">
        <v>0</v>
      </c>
      <c r="O223" s="958" t="s">
        <v>1335</v>
      </c>
      <c r="P223" s="958" t="s">
        <v>1335</v>
      </c>
      <c r="Q223" s="958" t="s">
        <v>1335</v>
      </c>
      <c r="R223" s="958" t="s">
        <v>1335</v>
      </c>
      <c r="S223" s="958" t="s">
        <v>1335</v>
      </c>
      <c r="T223" s="958" t="s">
        <v>1335</v>
      </c>
      <c r="U223" s="958">
        <v>0</v>
      </c>
      <c r="V223" s="982">
        <v>0</v>
      </c>
      <c r="W223" s="966"/>
      <c r="X223" s="982"/>
      <c r="Y223" s="970"/>
      <c r="Z223" s="966"/>
      <c r="AA223" s="971"/>
      <c r="AB223" s="972"/>
      <c r="AC223" s="972"/>
      <c r="AD223" s="972"/>
      <c r="AE223" s="972"/>
      <c r="AF223" s="972"/>
      <c r="AG223" s="972"/>
      <c r="AH223" s="972"/>
      <c r="AI223" s="972"/>
      <c r="AJ223" s="972"/>
      <c r="AK223" s="972"/>
      <c r="AL223" s="972"/>
      <c r="AM223" s="972"/>
      <c r="AN223" s="972"/>
      <c r="AO223" s="972"/>
      <c r="AP223" s="972"/>
      <c r="AQ223" s="956">
        <f t="shared" ref="AQ223:AQ266" si="46">COUNTIF(G223:U223,"X")</f>
        <v>10</v>
      </c>
      <c r="AR223" s="956">
        <f t="shared" si="37"/>
        <v>0</v>
      </c>
      <c r="AS223" s="956">
        <f t="shared" si="38"/>
        <v>10</v>
      </c>
      <c r="AT223" s="982">
        <v>0</v>
      </c>
      <c r="AU223" s="981"/>
      <c r="AV223" s="981"/>
      <c r="AW223" s="981"/>
      <c r="AX223" s="993"/>
      <c r="AY223" s="993"/>
      <c r="AZ223" s="833">
        <f t="shared" si="39"/>
        <v>0</v>
      </c>
      <c r="BA223" s="983">
        <f t="shared" si="40"/>
        <v>0</v>
      </c>
      <c r="BB223" s="983">
        <f t="shared" si="41"/>
        <v>0</v>
      </c>
      <c r="BC223" s="983">
        <f t="shared" si="42"/>
        <v>0</v>
      </c>
      <c r="BD223" s="983">
        <f t="shared" si="43"/>
        <v>0</v>
      </c>
      <c r="BE223" s="983">
        <f t="shared" si="44"/>
        <v>0</v>
      </c>
      <c r="BF223" s="871">
        <f t="shared" si="45"/>
        <v>0</v>
      </c>
    </row>
    <row r="224" spans="1:58" s="8" customFormat="1" ht="20.100000000000001" customHeight="1">
      <c r="A224" s="956">
        <v>95</v>
      </c>
      <c r="B224" s="1019">
        <v>3</v>
      </c>
      <c r="C224" s="956">
        <v>95</v>
      </c>
      <c r="D224" s="957"/>
      <c r="E224" s="957"/>
      <c r="F224" s="956"/>
      <c r="G224" s="958" t="s">
        <v>1335</v>
      </c>
      <c r="H224" s="958" t="s">
        <v>1335</v>
      </c>
      <c r="I224" s="958">
        <v>0</v>
      </c>
      <c r="J224" s="958"/>
      <c r="K224" s="958">
        <v>0</v>
      </c>
      <c r="L224" s="958" t="s">
        <v>1335</v>
      </c>
      <c r="M224" s="958" t="s">
        <v>1335</v>
      </c>
      <c r="N224" s="958" t="s">
        <v>1335</v>
      </c>
      <c r="O224" s="958" t="s">
        <v>1335</v>
      </c>
      <c r="P224" s="958" t="s">
        <v>1335</v>
      </c>
      <c r="Q224" s="958" t="s">
        <v>1335</v>
      </c>
      <c r="R224" s="958" t="s">
        <v>1335</v>
      </c>
      <c r="S224" s="958" t="s">
        <v>1335</v>
      </c>
      <c r="T224" s="958" t="s">
        <v>1335</v>
      </c>
      <c r="U224" s="958" t="s">
        <v>1335</v>
      </c>
      <c r="V224" s="982">
        <v>0</v>
      </c>
      <c r="W224" s="966"/>
      <c r="X224" s="982"/>
      <c r="Y224" s="970"/>
      <c r="Z224" s="966"/>
      <c r="AA224" s="971"/>
      <c r="AB224" s="972"/>
      <c r="AC224" s="972"/>
      <c r="AD224" s="972"/>
      <c r="AE224" s="972"/>
      <c r="AF224" s="972"/>
      <c r="AG224" s="972"/>
      <c r="AH224" s="972"/>
      <c r="AI224" s="972"/>
      <c r="AJ224" s="972"/>
      <c r="AK224" s="972"/>
      <c r="AL224" s="972"/>
      <c r="AM224" s="972"/>
      <c r="AN224" s="972"/>
      <c r="AO224" s="972"/>
      <c r="AP224" s="972"/>
      <c r="AQ224" s="956">
        <f t="shared" si="46"/>
        <v>12</v>
      </c>
      <c r="AR224" s="956">
        <f t="shared" si="37"/>
        <v>0</v>
      </c>
      <c r="AS224" s="956">
        <f t="shared" si="38"/>
        <v>12</v>
      </c>
      <c r="AT224" s="956">
        <v>9</v>
      </c>
      <c r="AU224" s="981"/>
      <c r="AV224" s="981"/>
      <c r="AW224" s="981"/>
      <c r="AX224" s="993"/>
      <c r="AY224" s="993"/>
      <c r="AZ224" s="833">
        <f t="shared" si="39"/>
        <v>0</v>
      </c>
      <c r="BA224" s="983">
        <f t="shared" si="40"/>
        <v>0</v>
      </c>
      <c r="BB224" s="983">
        <f t="shared" si="41"/>
        <v>0</v>
      </c>
      <c r="BC224" s="983">
        <f t="shared" si="42"/>
        <v>0</v>
      </c>
      <c r="BD224" s="983">
        <f t="shared" si="43"/>
        <v>0</v>
      </c>
      <c r="BE224" s="983">
        <f t="shared" si="44"/>
        <v>0</v>
      </c>
      <c r="BF224" s="871">
        <f t="shared" si="45"/>
        <v>0</v>
      </c>
    </row>
    <row r="225" spans="1:58" s="8" customFormat="1" ht="20.100000000000001" customHeight="1">
      <c r="A225" s="956">
        <v>96</v>
      </c>
      <c r="B225" s="1019">
        <v>3</v>
      </c>
      <c r="C225" s="956">
        <v>96</v>
      </c>
      <c r="D225" s="957"/>
      <c r="E225" s="957"/>
      <c r="F225" s="956"/>
      <c r="G225" s="958" t="s">
        <v>1335</v>
      </c>
      <c r="H225" s="958" t="s">
        <v>1335</v>
      </c>
      <c r="I225" s="958" t="s">
        <v>1335</v>
      </c>
      <c r="J225" s="958"/>
      <c r="K225" s="958">
        <v>0</v>
      </c>
      <c r="L225" s="958" t="s">
        <v>1335</v>
      </c>
      <c r="M225" s="958" t="s">
        <v>1335</v>
      </c>
      <c r="N225" s="958" t="s">
        <v>1335</v>
      </c>
      <c r="O225" s="958" t="s">
        <v>1335</v>
      </c>
      <c r="P225" s="958" t="s">
        <v>1335</v>
      </c>
      <c r="Q225" s="958" t="s">
        <v>1335</v>
      </c>
      <c r="R225" s="958" t="s">
        <v>1335</v>
      </c>
      <c r="S225" s="958" t="s">
        <v>1335</v>
      </c>
      <c r="T225" s="958" t="s">
        <v>1335</v>
      </c>
      <c r="U225" s="958" t="s">
        <v>1335</v>
      </c>
      <c r="V225" s="982" t="s">
        <v>1335</v>
      </c>
      <c r="W225" s="966"/>
      <c r="X225" s="982"/>
      <c r="Y225" s="970"/>
      <c r="Z225" s="966"/>
      <c r="AA225" s="971"/>
      <c r="AB225" s="972"/>
      <c r="AC225" s="972"/>
      <c r="AD225" s="972"/>
      <c r="AE225" s="972"/>
      <c r="AF225" s="972"/>
      <c r="AG225" s="972"/>
      <c r="AH225" s="972"/>
      <c r="AI225" s="972"/>
      <c r="AJ225" s="972"/>
      <c r="AK225" s="972"/>
      <c r="AL225" s="972"/>
      <c r="AM225" s="972"/>
      <c r="AN225" s="972"/>
      <c r="AO225" s="972"/>
      <c r="AP225" s="972"/>
      <c r="AQ225" s="956">
        <f t="shared" si="46"/>
        <v>13</v>
      </c>
      <c r="AR225" s="956">
        <f t="shared" si="37"/>
        <v>1</v>
      </c>
      <c r="AS225" s="956">
        <f t="shared" si="38"/>
        <v>14</v>
      </c>
      <c r="AT225" s="956">
        <v>9</v>
      </c>
      <c r="AU225" s="981"/>
      <c r="AV225" s="981"/>
      <c r="AW225" s="981"/>
      <c r="AX225" s="993"/>
      <c r="AY225" s="993"/>
      <c r="AZ225" s="833">
        <f t="shared" si="39"/>
        <v>0</v>
      </c>
      <c r="BA225" s="983">
        <f t="shared" si="40"/>
        <v>0</v>
      </c>
      <c r="BB225" s="983">
        <f t="shared" si="41"/>
        <v>0</v>
      </c>
      <c r="BC225" s="983">
        <f t="shared" si="42"/>
        <v>0</v>
      </c>
      <c r="BD225" s="983">
        <f t="shared" si="43"/>
        <v>0</v>
      </c>
      <c r="BE225" s="983">
        <f t="shared" si="44"/>
        <v>0</v>
      </c>
      <c r="BF225" s="871">
        <f t="shared" si="45"/>
        <v>14</v>
      </c>
    </row>
    <row r="226" spans="1:58" s="8" customFormat="1" ht="20.100000000000001" customHeight="1">
      <c r="A226" s="956">
        <v>97</v>
      </c>
      <c r="B226" s="1019">
        <v>3</v>
      </c>
      <c r="C226" s="956">
        <v>97</v>
      </c>
      <c r="D226" s="957"/>
      <c r="E226" s="957"/>
      <c r="F226" s="956"/>
      <c r="G226" s="958" t="s">
        <v>1335</v>
      </c>
      <c r="H226" s="958" t="s">
        <v>1335</v>
      </c>
      <c r="I226" s="958" t="s">
        <v>1335</v>
      </c>
      <c r="J226" s="958"/>
      <c r="K226" s="958">
        <v>0</v>
      </c>
      <c r="L226" s="958">
        <v>0</v>
      </c>
      <c r="M226" s="958" t="s">
        <v>1335</v>
      </c>
      <c r="N226" s="958" t="s">
        <v>1335</v>
      </c>
      <c r="O226" s="958" t="s">
        <v>1335</v>
      </c>
      <c r="P226" s="958" t="s">
        <v>1335</v>
      </c>
      <c r="Q226" s="958" t="s">
        <v>1335</v>
      </c>
      <c r="R226" s="958" t="s">
        <v>1335</v>
      </c>
      <c r="S226" s="958" t="s">
        <v>1335</v>
      </c>
      <c r="T226" s="958" t="s">
        <v>1335</v>
      </c>
      <c r="U226" s="958" t="s">
        <v>1335</v>
      </c>
      <c r="V226" s="982">
        <v>0</v>
      </c>
      <c r="W226" s="966"/>
      <c r="X226" s="982"/>
      <c r="Y226" s="970"/>
      <c r="Z226" s="966"/>
      <c r="AA226" s="971"/>
      <c r="AB226" s="972"/>
      <c r="AC226" s="972"/>
      <c r="AD226" s="972"/>
      <c r="AE226" s="972"/>
      <c r="AF226" s="972"/>
      <c r="AG226" s="972"/>
      <c r="AH226" s="972"/>
      <c r="AI226" s="972"/>
      <c r="AJ226" s="972"/>
      <c r="AK226" s="972"/>
      <c r="AL226" s="972"/>
      <c r="AM226" s="972"/>
      <c r="AN226" s="972"/>
      <c r="AO226" s="972"/>
      <c r="AP226" s="972"/>
      <c r="AQ226" s="956">
        <f t="shared" si="46"/>
        <v>12</v>
      </c>
      <c r="AR226" s="956">
        <f t="shared" si="37"/>
        <v>0</v>
      </c>
      <c r="AS226" s="956">
        <f t="shared" si="38"/>
        <v>12</v>
      </c>
      <c r="AT226" s="956">
        <v>9</v>
      </c>
      <c r="AU226" s="981"/>
      <c r="AV226" s="981"/>
      <c r="AW226" s="981"/>
      <c r="AX226" s="993"/>
      <c r="AY226" s="993"/>
      <c r="AZ226" s="833">
        <f t="shared" si="39"/>
        <v>0</v>
      </c>
      <c r="BA226" s="983">
        <f t="shared" si="40"/>
        <v>0</v>
      </c>
      <c r="BB226" s="983">
        <f t="shared" si="41"/>
        <v>0</v>
      </c>
      <c r="BC226" s="983">
        <f t="shared" si="42"/>
        <v>0</v>
      </c>
      <c r="BD226" s="983">
        <f t="shared" si="43"/>
        <v>0</v>
      </c>
      <c r="BE226" s="983">
        <f t="shared" si="44"/>
        <v>0</v>
      </c>
      <c r="BF226" s="871">
        <f t="shared" si="45"/>
        <v>0</v>
      </c>
    </row>
    <row r="227" spans="1:58" s="8" customFormat="1" ht="20.100000000000001" customHeight="1">
      <c r="A227" s="956">
        <v>98</v>
      </c>
      <c r="B227" s="1019">
        <v>3</v>
      </c>
      <c r="C227" s="956">
        <v>98</v>
      </c>
      <c r="D227" s="957"/>
      <c r="E227" s="957"/>
      <c r="F227" s="956"/>
      <c r="G227" s="958" t="s">
        <v>1335</v>
      </c>
      <c r="H227" s="958" t="s">
        <v>1335</v>
      </c>
      <c r="I227" s="958" t="s">
        <v>1335</v>
      </c>
      <c r="J227" s="958"/>
      <c r="K227" s="958">
        <v>0</v>
      </c>
      <c r="L227" s="958" t="s">
        <v>1335</v>
      </c>
      <c r="M227" s="958" t="s">
        <v>1335</v>
      </c>
      <c r="N227" s="958" t="s">
        <v>1335</v>
      </c>
      <c r="O227" s="958" t="s">
        <v>1335</v>
      </c>
      <c r="P227" s="958" t="s">
        <v>1335</v>
      </c>
      <c r="Q227" s="958" t="s">
        <v>1335</v>
      </c>
      <c r="R227" s="958" t="s">
        <v>1335</v>
      </c>
      <c r="S227" s="958" t="s">
        <v>1335</v>
      </c>
      <c r="T227" s="958" t="s">
        <v>1335</v>
      </c>
      <c r="U227" s="958" t="s">
        <v>1335</v>
      </c>
      <c r="V227" s="982" t="s">
        <v>1335</v>
      </c>
      <c r="W227" s="966"/>
      <c r="X227" s="982"/>
      <c r="Y227" s="970"/>
      <c r="Z227" s="966"/>
      <c r="AA227" s="972"/>
      <c r="AB227" s="972"/>
      <c r="AC227" s="972"/>
      <c r="AD227" s="972"/>
      <c r="AE227" s="972"/>
      <c r="AF227" s="972"/>
      <c r="AG227" s="972"/>
      <c r="AH227" s="972"/>
      <c r="AI227" s="972"/>
      <c r="AJ227" s="972"/>
      <c r="AK227" s="972"/>
      <c r="AL227" s="972"/>
      <c r="AM227" s="972"/>
      <c r="AN227" s="972"/>
      <c r="AO227" s="972"/>
      <c r="AP227" s="972"/>
      <c r="AQ227" s="956">
        <f t="shared" si="46"/>
        <v>13</v>
      </c>
      <c r="AR227" s="956">
        <f t="shared" si="37"/>
        <v>1</v>
      </c>
      <c r="AS227" s="956">
        <f t="shared" si="38"/>
        <v>14</v>
      </c>
      <c r="AT227" s="956">
        <v>9</v>
      </c>
      <c r="AU227" s="981"/>
      <c r="AV227" s="981"/>
      <c r="AW227" s="981"/>
      <c r="AX227" s="993"/>
      <c r="AY227" s="993"/>
      <c r="AZ227" s="833">
        <f t="shared" si="39"/>
        <v>0</v>
      </c>
      <c r="BA227" s="983">
        <f t="shared" si="40"/>
        <v>0</v>
      </c>
      <c r="BB227" s="983">
        <f t="shared" si="41"/>
        <v>0</v>
      </c>
      <c r="BC227" s="983">
        <f t="shared" si="42"/>
        <v>0</v>
      </c>
      <c r="BD227" s="983">
        <f t="shared" si="43"/>
        <v>0</v>
      </c>
      <c r="BE227" s="983">
        <f t="shared" si="44"/>
        <v>0</v>
      </c>
      <c r="BF227" s="871">
        <f t="shared" si="45"/>
        <v>14</v>
      </c>
    </row>
    <row r="228" spans="1:58" s="8" customFormat="1" ht="20.100000000000001" customHeight="1">
      <c r="A228" s="956">
        <v>99</v>
      </c>
      <c r="B228" s="1019">
        <v>3</v>
      </c>
      <c r="C228" s="956">
        <v>99</v>
      </c>
      <c r="D228" s="957"/>
      <c r="E228" s="957"/>
      <c r="F228" s="956"/>
      <c r="G228" s="958" t="s">
        <v>1335</v>
      </c>
      <c r="H228" s="958" t="s">
        <v>1335</v>
      </c>
      <c r="I228" s="958" t="s">
        <v>1335</v>
      </c>
      <c r="J228" s="958"/>
      <c r="K228" s="958">
        <v>0</v>
      </c>
      <c r="L228" s="958" t="s">
        <v>1335</v>
      </c>
      <c r="M228" s="958" t="s">
        <v>1335</v>
      </c>
      <c r="N228" s="958" t="s">
        <v>1335</v>
      </c>
      <c r="O228" s="958" t="s">
        <v>1335</v>
      </c>
      <c r="P228" s="958" t="s">
        <v>1335</v>
      </c>
      <c r="Q228" s="958" t="s">
        <v>1335</v>
      </c>
      <c r="R228" s="958" t="s">
        <v>1335</v>
      </c>
      <c r="S228" s="958" t="s">
        <v>1335</v>
      </c>
      <c r="T228" s="958" t="s">
        <v>1335</v>
      </c>
      <c r="U228" s="958" t="s">
        <v>1335</v>
      </c>
      <c r="V228" s="982" t="s">
        <v>1335</v>
      </c>
      <c r="W228" s="966"/>
      <c r="X228" s="982"/>
      <c r="Y228" s="970"/>
      <c r="Z228" s="966"/>
      <c r="AA228" s="971"/>
      <c r="AB228" s="972"/>
      <c r="AC228" s="972"/>
      <c r="AD228" s="972"/>
      <c r="AE228" s="972"/>
      <c r="AF228" s="972"/>
      <c r="AG228" s="972"/>
      <c r="AH228" s="972"/>
      <c r="AI228" s="972"/>
      <c r="AJ228" s="972"/>
      <c r="AK228" s="972"/>
      <c r="AL228" s="972"/>
      <c r="AM228" s="972"/>
      <c r="AN228" s="972"/>
      <c r="AO228" s="972"/>
      <c r="AP228" s="972"/>
      <c r="AQ228" s="956">
        <f t="shared" si="46"/>
        <v>13</v>
      </c>
      <c r="AR228" s="956">
        <f t="shared" si="37"/>
        <v>1</v>
      </c>
      <c r="AS228" s="956">
        <f t="shared" si="38"/>
        <v>14</v>
      </c>
      <c r="AT228" s="956">
        <v>9</v>
      </c>
      <c r="AU228" s="981"/>
      <c r="AV228" s="981"/>
      <c r="AW228" s="981"/>
      <c r="AX228" s="993"/>
      <c r="AY228" s="993"/>
      <c r="AZ228" s="833">
        <f t="shared" si="39"/>
        <v>0</v>
      </c>
      <c r="BA228" s="983">
        <f t="shared" si="40"/>
        <v>0</v>
      </c>
      <c r="BB228" s="983">
        <f t="shared" si="41"/>
        <v>0</v>
      </c>
      <c r="BC228" s="983">
        <f t="shared" si="42"/>
        <v>0</v>
      </c>
      <c r="BD228" s="983">
        <f t="shared" si="43"/>
        <v>0</v>
      </c>
      <c r="BE228" s="983">
        <f t="shared" si="44"/>
        <v>0</v>
      </c>
      <c r="BF228" s="871">
        <f t="shared" si="45"/>
        <v>14</v>
      </c>
    </row>
    <row r="229" spans="1:58" s="8" customFormat="1" ht="20.100000000000001" customHeight="1">
      <c r="A229" s="956">
        <v>100</v>
      </c>
      <c r="B229" s="1019">
        <v>3</v>
      </c>
      <c r="C229" s="956">
        <v>100</v>
      </c>
      <c r="D229" s="957"/>
      <c r="E229" s="957"/>
      <c r="F229" s="956"/>
      <c r="G229" s="958" t="s">
        <v>1335</v>
      </c>
      <c r="H229" s="958" t="s">
        <v>1335</v>
      </c>
      <c r="I229" s="958">
        <v>0</v>
      </c>
      <c r="J229" s="958"/>
      <c r="K229" s="958">
        <v>0</v>
      </c>
      <c r="L229" s="958" t="s">
        <v>1335</v>
      </c>
      <c r="M229" s="958" t="s">
        <v>1335</v>
      </c>
      <c r="N229" s="958" t="s">
        <v>1335</v>
      </c>
      <c r="O229" s="958" t="s">
        <v>1335</v>
      </c>
      <c r="P229" s="958" t="s">
        <v>1335</v>
      </c>
      <c r="Q229" s="958" t="s">
        <v>1335</v>
      </c>
      <c r="R229" s="958" t="s">
        <v>1335</v>
      </c>
      <c r="S229" s="958" t="s">
        <v>1335</v>
      </c>
      <c r="T229" s="958" t="s">
        <v>1335</v>
      </c>
      <c r="U229" s="958" t="s">
        <v>1335</v>
      </c>
      <c r="V229" s="982">
        <v>0</v>
      </c>
      <c r="W229" s="966"/>
      <c r="X229" s="982" t="s">
        <v>1335</v>
      </c>
      <c r="Y229" s="970"/>
      <c r="Z229" s="966"/>
      <c r="AA229" s="971"/>
      <c r="AB229" s="972"/>
      <c r="AC229" s="972"/>
      <c r="AD229" s="972"/>
      <c r="AE229" s="972"/>
      <c r="AF229" s="972"/>
      <c r="AG229" s="972"/>
      <c r="AH229" s="972"/>
      <c r="AI229" s="972"/>
      <c r="AJ229" s="972"/>
      <c r="AK229" s="972"/>
      <c r="AL229" s="972"/>
      <c r="AM229" s="972"/>
      <c r="AN229" s="972"/>
      <c r="AO229" s="972"/>
      <c r="AP229" s="972"/>
      <c r="AQ229" s="956">
        <f t="shared" si="46"/>
        <v>12</v>
      </c>
      <c r="AR229" s="956">
        <f t="shared" si="37"/>
        <v>1</v>
      </c>
      <c r="AS229" s="956">
        <f t="shared" si="38"/>
        <v>13</v>
      </c>
      <c r="AT229" s="956">
        <v>9</v>
      </c>
      <c r="AU229" s="981"/>
      <c r="AV229" s="981"/>
      <c r="AW229" s="981"/>
      <c r="AX229" s="993"/>
      <c r="AY229" s="993"/>
      <c r="AZ229" s="833">
        <f t="shared" si="39"/>
        <v>0</v>
      </c>
      <c r="BA229" s="983">
        <f t="shared" si="40"/>
        <v>0</v>
      </c>
      <c r="BB229" s="983">
        <f t="shared" si="41"/>
        <v>0</v>
      </c>
      <c r="BC229" s="983">
        <f t="shared" si="42"/>
        <v>0</v>
      </c>
      <c r="BD229" s="983">
        <f t="shared" si="43"/>
        <v>0</v>
      </c>
      <c r="BE229" s="983">
        <f t="shared" si="44"/>
        <v>0</v>
      </c>
      <c r="BF229" s="871">
        <f t="shared" si="45"/>
        <v>13</v>
      </c>
    </row>
    <row r="230" spans="1:58" s="8" customFormat="1" ht="20.100000000000001" customHeight="1">
      <c r="A230" s="956">
        <v>101</v>
      </c>
      <c r="B230" s="1019">
        <v>3</v>
      </c>
      <c r="C230" s="956">
        <v>101</v>
      </c>
      <c r="D230" s="957"/>
      <c r="E230" s="957"/>
      <c r="F230" s="956"/>
      <c r="G230" s="958" t="s">
        <v>1335</v>
      </c>
      <c r="H230" s="958" t="s">
        <v>1335</v>
      </c>
      <c r="I230" s="958" t="s">
        <v>1335</v>
      </c>
      <c r="J230" s="958"/>
      <c r="K230" s="958" t="s">
        <v>1335</v>
      </c>
      <c r="L230" s="958" t="s">
        <v>1335</v>
      </c>
      <c r="M230" s="958" t="s">
        <v>1335</v>
      </c>
      <c r="N230" s="958" t="s">
        <v>1335</v>
      </c>
      <c r="O230" s="958" t="s">
        <v>1335</v>
      </c>
      <c r="P230" s="958" t="s">
        <v>1335</v>
      </c>
      <c r="Q230" s="958" t="s">
        <v>1335</v>
      </c>
      <c r="R230" s="958" t="s">
        <v>1335</v>
      </c>
      <c r="S230" s="958" t="s">
        <v>1335</v>
      </c>
      <c r="T230" s="958" t="s">
        <v>1335</v>
      </c>
      <c r="U230" s="958" t="s">
        <v>1335</v>
      </c>
      <c r="V230" s="982">
        <v>0</v>
      </c>
      <c r="W230" s="966"/>
      <c r="X230" s="982" t="s">
        <v>1335</v>
      </c>
      <c r="Y230" s="970"/>
      <c r="Z230" s="966"/>
      <c r="AA230" s="971"/>
      <c r="AB230" s="972"/>
      <c r="AC230" s="972"/>
      <c r="AD230" s="972"/>
      <c r="AE230" s="972"/>
      <c r="AF230" s="972"/>
      <c r="AG230" s="972"/>
      <c r="AH230" s="972"/>
      <c r="AI230" s="972"/>
      <c r="AJ230" s="972"/>
      <c r="AK230" s="972"/>
      <c r="AL230" s="972"/>
      <c r="AM230" s="972"/>
      <c r="AN230" s="972"/>
      <c r="AO230" s="972"/>
      <c r="AP230" s="972"/>
      <c r="AQ230" s="956">
        <f t="shared" si="46"/>
        <v>14</v>
      </c>
      <c r="AR230" s="956">
        <f t="shared" si="37"/>
        <v>1</v>
      </c>
      <c r="AS230" s="956">
        <f t="shared" si="38"/>
        <v>15</v>
      </c>
      <c r="AT230" s="956">
        <v>9</v>
      </c>
      <c r="AU230" s="981"/>
      <c r="AV230" s="981"/>
      <c r="AW230" s="981"/>
      <c r="AX230" s="993"/>
      <c r="AY230" s="993"/>
      <c r="AZ230" s="833">
        <f t="shared" si="39"/>
        <v>0</v>
      </c>
      <c r="BA230" s="983">
        <f t="shared" si="40"/>
        <v>0</v>
      </c>
      <c r="BB230" s="983">
        <f t="shared" si="41"/>
        <v>0</v>
      </c>
      <c r="BC230" s="983">
        <f t="shared" si="42"/>
        <v>0</v>
      </c>
      <c r="BD230" s="983">
        <f t="shared" si="43"/>
        <v>0</v>
      </c>
      <c r="BE230" s="983">
        <f t="shared" si="44"/>
        <v>0</v>
      </c>
      <c r="BF230" s="871">
        <f t="shared" si="45"/>
        <v>15</v>
      </c>
    </row>
    <row r="231" spans="1:58" s="8" customFormat="1" ht="20.100000000000001" customHeight="1">
      <c r="A231" s="956">
        <v>102</v>
      </c>
      <c r="B231" s="1019">
        <v>3</v>
      </c>
      <c r="C231" s="956">
        <v>102</v>
      </c>
      <c r="D231" s="957"/>
      <c r="E231" s="957"/>
      <c r="F231" s="956"/>
      <c r="G231" s="958" t="s">
        <v>1335</v>
      </c>
      <c r="H231" s="958" t="s">
        <v>1335</v>
      </c>
      <c r="I231" s="958" t="s">
        <v>1335</v>
      </c>
      <c r="J231" s="958"/>
      <c r="K231" s="958">
        <v>0</v>
      </c>
      <c r="L231" s="958" t="s">
        <v>1335</v>
      </c>
      <c r="M231" s="958">
        <v>0</v>
      </c>
      <c r="N231" s="958" t="s">
        <v>1335</v>
      </c>
      <c r="O231" s="958" t="s">
        <v>1335</v>
      </c>
      <c r="P231" s="958" t="s">
        <v>1335</v>
      </c>
      <c r="Q231" s="958" t="s">
        <v>1335</v>
      </c>
      <c r="R231" s="958" t="s">
        <v>1335</v>
      </c>
      <c r="S231" s="958" t="s">
        <v>1335</v>
      </c>
      <c r="T231" s="958" t="s">
        <v>1335</v>
      </c>
      <c r="U231" s="958" t="s">
        <v>1335</v>
      </c>
      <c r="V231" s="982">
        <v>0</v>
      </c>
      <c r="W231" s="966"/>
      <c r="X231" s="982" t="s">
        <v>1335</v>
      </c>
      <c r="Y231" s="970"/>
      <c r="Z231" s="966"/>
      <c r="AA231" s="971"/>
      <c r="AB231" s="972"/>
      <c r="AC231" s="972"/>
      <c r="AD231" s="972"/>
      <c r="AE231" s="972"/>
      <c r="AF231" s="972"/>
      <c r="AG231" s="972"/>
      <c r="AH231" s="972"/>
      <c r="AI231" s="972"/>
      <c r="AJ231" s="972"/>
      <c r="AK231" s="972"/>
      <c r="AL231" s="972"/>
      <c r="AM231" s="972"/>
      <c r="AN231" s="972"/>
      <c r="AO231" s="972"/>
      <c r="AP231" s="972"/>
      <c r="AQ231" s="956">
        <f t="shared" si="46"/>
        <v>12</v>
      </c>
      <c r="AR231" s="956">
        <f t="shared" si="37"/>
        <v>1</v>
      </c>
      <c r="AS231" s="956">
        <f t="shared" si="38"/>
        <v>13</v>
      </c>
      <c r="AT231" s="956">
        <v>9</v>
      </c>
      <c r="AU231" s="981"/>
      <c r="AV231" s="981"/>
      <c r="AW231" s="981"/>
      <c r="AX231" s="993"/>
      <c r="AY231" s="993"/>
      <c r="AZ231" s="833">
        <f t="shared" si="39"/>
        <v>0</v>
      </c>
      <c r="BA231" s="983">
        <f t="shared" si="40"/>
        <v>0</v>
      </c>
      <c r="BB231" s="983">
        <f t="shared" si="41"/>
        <v>0</v>
      </c>
      <c r="BC231" s="983">
        <f t="shared" si="42"/>
        <v>0</v>
      </c>
      <c r="BD231" s="983">
        <f t="shared" si="43"/>
        <v>0</v>
      </c>
      <c r="BE231" s="983">
        <f t="shared" si="44"/>
        <v>0</v>
      </c>
      <c r="BF231" s="871">
        <f t="shared" si="45"/>
        <v>13</v>
      </c>
    </row>
    <row r="232" spans="1:58" s="8" customFormat="1" ht="20.100000000000001" customHeight="1">
      <c r="A232" s="956">
        <v>103</v>
      </c>
      <c r="B232" s="1019">
        <v>3</v>
      </c>
      <c r="C232" s="956">
        <v>103</v>
      </c>
      <c r="D232" s="957"/>
      <c r="E232" s="957"/>
      <c r="F232" s="956"/>
      <c r="G232" s="958" t="s">
        <v>1335</v>
      </c>
      <c r="H232" s="958" t="s">
        <v>1335</v>
      </c>
      <c r="I232" s="958" t="s">
        <v>1335</v>
      </c>
      <c r="J232" s="958"/>
      <c r="K232" s="958" t="s">
        <v>1335</v>
      </c>
      <c r="L232" s="958" t="s">
        <v>1335</v>
      </c>
      <c r="M232" s="958" t="s">
        <v>1335</v>
      </c>
      <c r="N232" s="1020" t="s">
        <v>1335</v>
      </c>
      <c r="O232" s="958" t="s">
        <v>1335</v>
      </c>
      <c r="P232" s="958" t="s">
        <v>1335</v>
      </c>
      <c r="Q232" s="958" t="s">
        <v>1335</v>
      </c>
      <c r="R232" s="958" t="s">
        <v>1335</v>
      </c>
      <c r="S232" s="958" t="s">
        <v>1335</v>
      </c>
      <c r="T232" s="958" t="s">
        <v>1335</v>
      </c>
      <c r="U232" s="958" t="s">
        <v>1335</v>
      </c>
      <c r="V232" s="982">
        <v>0</v>
      </c>
      <c r="W232" s="966"/>
      <c r="X232" s="982" t="s">
        <v>1335</v>
      </c>
      <c r="Y232" s="970"/>
      <c r="Z232" s="966"/>
      <c r="AA232" s="971"/>
      <c r="AB232" s="972"/>
      <c r="AC232" s="972"/>
      <c r="AD232" s="972"/>
      <c r="AE232" s="972"/>
      <c r="AF232" s="972"/>
      <c r="AG232" s="972"/>
      <c r="AH232" s="972"/>
      <c r="AI232" s="972"/>
      <c r="AJ232" s="972"/>
      <c r="AK232" s="972"/>
      <c r="AL232" s="972"/>
      <c r="AM232" s="972"/>
      <c r="AN232" s="972"/>
      <c r="AO232" s="972"/>
      <c r="AP232" s="972"/>
      <c r="AQ232" s="956">
        <f t="shared" si="46"/>
        <v>14</v>
      </c>
      <c r="AR232" s="956">
        <f t="shared" si="37"/>
        <v>1</v>
      </c>
      <c r="AS232" s="956">
        <f t="shared" si="38"/>
        <v>15</v>
      </c>
      <c r="AT232" s="956">
        <v>9</v>
      </c>
      <c r="AU232" s="981"/>
      <c r="AV232" s="981"/>
      <c r="AW232" s="981"/>
      <c r="AX232" s="993"/>
      <c r="AY232" s="993"/>
      <c r="AZ232" s="833">
        <f t="shared" si="39"/>
        <v>0</v>
      </c>
      <c r="BA232" s="983">
        <f t="shared" si="40"/>
        <v>0</v>
      </c>
      <c r="BB232" s="983">
        <f t="shared" si="41"/>
        <v>0</v>
      </c>
      <c r="BC232" s="983">
        <f t="shared" si="42"/>
        <v>0</v>
      </c>
      <c r="BD232" s="983">
        <f t="shared" si="43"/>
        <v>0</v>
      </c>
      <c r="BE232" s="983">
        <f t="shared" si="44"/>
        <v>0</v>
      </c>
      <c r="BF232" s="871">
        <f t="shared" si="45"/>
        <v>15</v>
      </c>
    </row>
    <row r="233" spans="1:58" s="8" customFormat="1" ht="20.100000000000001" customHeight="1">
      <c r="A233" s="956">
        <v>104</v>
      </c>
      <c r="B233" s="1019">
        <v>3</v>
      </c>
      <c r="C233" s="956">
        <v>104</v>
      </c>
      <c r="D233" s="957"/>
      <c r="E233" s="957"/>
      <c r="F233" s="956"/>
      <c r="G233" s="958">
        <v>0</v>
      </c>
      <c r="H233" s="958" t="s">
        <v>1335</v>
      </c>
      <c r="I233" s="958" t="s">
        <v>1335</v>
      </c>
      <c r="J233" s="958"/>
      <c r="K233" s="958" t="s">
        <v>1335</v>
      </c>
      <c r="L233" s="958" t="s">
        <v>1335</v>
      </c>
      <c r="M233" s="958" t="s">
        <v>1335</v>
      </c>
      <c r="N233" s="958" t="s">
        <v>1335</v>
      </c>
      <c r="O233" s="958">
        <v>0</v>
      </c>
      <c r="P233" s="958">
        <v>0</v>
      </c>
      <c r="Q233" s="958" t="s">
        <v>1335</v>
      </c>
      <c r="R233" s="958" t="s">
        <v>1335</v>
      </c>
      <c r="S233" s="958" t="s">
        <v>1335</v>
      </c>
      <c r="T233" s="958" t="s">
        <v>1335</v>
      </c>
      <c r="U233" s="958" t="s">
        <v>1335</v>
      </c>
      <c r="V233" s="982">
        <v>0</v>
      </c>
      <c r="W233" s="966"/>
      <c r="X233" s="982"/>
      <c r="Y233" s="970"/>
      <c r="Z233" s="966"/>
      <c r="AA233" s="971"/>
      <c r="AB233" s="972"/>
      <c r="AC233" s="972"/>
      <c r="AD233" s="972"/>
      <c r="AE233" s="972"/>
      <c r="AF233" s="972"/>
      <c r="AG233" s="972"/>
      <c r="AH233" s="972"/>
      <c r="AI233" s="972"/>
      <c r="AJ233" s="972"/>
      <c r="AK233" s="972"/>
      <c r="AL233" s="972"/>
      <c r="AM233" s="972"/>
      <c r="AN233" s="972"/>
      <c r="AO233" s="972"/>
      <c r="AP233" s="972"/>
      <c r="AQ233" s="956">
        <f t="shared" si="46"/>
        <v>11</v>
      </c>
      <c r="AR233" s="956">
        <f t="shared" si="37"/>
        <v>0</v>
      </c>
      <c r="AS233" s="956">
        <f t="shared" si="38"/>
        <v>11</v>
      </c>
      <c r="AT233" s="956">
        <v>9</v>
      </c>
      <c r="AU233" s="981"/>
      <c r="AV233" s="981"/>
      <c r="AW233" s="981"/>
      <c r="AX233" s="993"/>
      <c r="AY233" s="993"/>
      <c r="AZ233" s="833">
        <f t="shared" si="39"/>
        <v>0</v>
      </c>
      <c r="BA233" s="983">
        <f t="shared" si="40"/>
        <v>0</v>
      </c>
      <c r="BB233" s="983">
        <f t="shared" si="41"/>
        <v>0</v>
      </c>
      <c r="BC233" s="983">
        <f t="shared" si="42"/>
        <v>0</v>
      </c>
      <c r="BD233" s="983">
        <f t="shared" si="43"/>
        <v>0</v>
      </c>
      <c r="BE233" s="983">
        <f t="shared" si="44"/>
        <v>0</v>
      </c>
      <c r="BF233" s="871">
        <f t="shared" si="45"/>
        <v>0</v>
      </c>
    </row>
    <row r="234" spans="1:58" s="8" customFormat="1" ht="20.100000000000001" customHeight="1">
      <c r="A234" s="956">
        <v>105</v>
      </c>
      <c r="B234" s="1019">
        <v>3</v>
      </c>
      <c r="C234" s="956">
        <v>105</v>
      </c>
      <c r="D234" s="957"/>
      <c r="E234" s="957"/>
      <c r="F234" s="956"/>
      <c r="G234" s="958" t="s">
        <v>1335</v>
      </c>
      <c r="H234" s="958" t="s">
        <v>1335</v>
      </c>
      <c r="I234" s="958" t="s">
        <v>1335</v>
      </c>
      <c r="J234" s="958"/>
      <c r="K234" s="958" t="s">
        <v>1335</v>
      </c>
      <c r="L234" s="958" t="s">
        <v>1335</v>
      </c>
      <c r="M234" s="958" t="s">
        <v>1335</v>
      </c>
      <c r="N234" s="958" t="s">
        <v>1335</v>
      </c>
      <c r="O234" s="958" t="s">
        <v>1335</v>
      </c>
      <c r="P234" s="958" t="s">
        <v>1335</v>
      </c>
      <c r="Q234" s="958" t="s">
        <v>1335</v>
      </c>
      <c r="R234" s="958" t="s">
        <v>1335</v>
      </c>
      <c r="S234" s="958" t="s">
        <v>1335</v>
      </c>
      <c r="T234" s="958" t="s">
        <v>1335</v>
      </c>
      <c r="U234" s="958">
        <v>0</v>
      </c>
      <c r="V234" s="982">
        <v>0</v>
      </c>
      <c r="W234" s="966"/>
      <c r="X234" s="982"/>
      <c r="Y234" s="970"/>
      <c r="Z234" s="966"/>
      <c r="AA234" s="972"/>
      <c r="AB234" s="972"/>
      <c r="AC234" s="972"/>
      <c r="AD234" s="972"/>
      <c r="AE234" s="972"/>
      <c r="AF234" s="972"/>
      <c r="AG234" s="972"/>
      <c r="AH234" s="972"/>
      <c r="AI234" s="972"/>
      <c r="AJ234" s="972"/>
      <c r="AK234" s="972"/>
      <c r="AL234" s="972"/>
      <c r="AM234" s="972"/>
      <c r="AN234" s="972"/>
      <c r="AO234" s="972"/>
      <c r="AP234" s="972"/>
      <c r="AQ234" s="956">
        <f t="shared" si="46"/>
        <v>13</v>
      </c>
      <c r="AR234" s="956">
        <f t="shared" si="37"/>
        <v>0</v>
      </c>
      <c r="AS234" s="956">
        <f t="shared" si="38"/>
        <v>13</v>
      </c>
      <c r="AT234" s="956">
        <v>9</v>
      </c>
      <c r="AU234" s="981"/>
      <c r="AV234" s="981"/>
      <c r="AW234" s="981"/>
      <c r="AX234" s="993"/>
      <c r="AY234" s="993"/>
      <c r="AZ234" s="833">
        <f t="shared" si="39"/>
        <v>0</v>
      </c>
      <c r="BA234" s="983">
        <f t="shared" si="40"/>
        <v>0</v>
      </c>
      <c r="BB234" s="983">
        <f t="shared" si="41"/>
        <v>0</v>
      </c>
      <c r="BC234" s="983">
        <f t="shared" si="42"/>
        <v>0</v>
      </c>
      <c r="BD234" s="983">
        <f t="shared" si="43"/>
        <v>0</v>
      </c>
      <c r="BE234" s="983">
        <f t="shared" si="44"/>
        <v>0</v>
      </c>
      <c r="BF234" s="871">
        <f t="shared" si="45"/>
        <v>13</v>
      </c>
    </row>
    <row r="235" spans="1:58" s="8" customFormat="1" ht="20.100000000000001" customHeight="1">
      <c r="A235" s="956">
        <v>106</v>
      </c>
      <c r="B235" s="1019">
        <v>3</v>
      </c>
      <c r="C235" s="956">
        <v>106</v>
      </c>
      <c r="D235" s="957"/>
      <c r="E235" s="957"/>
      <c r="F235" s="956"/>
      <c r="G235" s="958">
        <v>0</v>
      </c>
      <c r="H235" s="958" t="s">
        <v>1335</v>
      </c>
      <c r="I235" s="958" t="s">
        <v>1335</v>
      </c>
      <c r="J235" s="958"/>
      <c r="K235" s="958">
        <v>0</v>
      </c>
      <c r="L235" s="958" t="s">
        <v>1335</v>
      </c>
      <c r="M235" s="958">
        <v>0</v>
      </c>
      <c r="N235" s="958" t="s">
        <v>1335</v>
      </c>
      <c r="O235" s="958" t="s">
        <v>1335</v>
      </c>
      <c r="P235" s="958" t="s">
        <v>1335</v>
      </c>
      <c r="Q235" s="958" t="s">
        <v>1335</v>
      </c>
      <c r="R235" s="958" t="s">
        <v>1335</v>
      </c>
      <c r="S235" s="958" t="s">
        <v>1335</v>
      </c>
      <c r="T235" s="958" t="s">
        <v>1335</v>
      </c>
      <c r="U235" s="958" t="s">
        <v>1335</v>
      </c>
      <c r="V235" s="982" t="s">
        <v>1335</v>
      </c>
      <c r="W235" s="966"/>
      <c r="X235" s="982"/>
      <c r="Y235" s="970"/>
      <c r="Z235" s="966"/>
      <c r="AA235" s="971"/>
      <c r="AB235" s="972"/>
      <c r="AC235" s="972"/>
      <c r="AD235" s="972"/>
      <c r="AE235" s="972"/>
      <c r="AF235" s="972"/>
      <c r="AG235" s="972"/>
      <c r="AH235" s="972"/>
      <c r="AI235" s="972"/>
      <c r="AJ235" s="972"/>
      <c r="AK235" s="972"/>
      <c r="AL235" s="972"/>
      <c r="AM235" s="972"/>
      <c r="AN235" s="972"/>
      <c r="AO235" s="972"/>
      <c r="AP235" s="972"/>
      <c r="AQ235" s="956">
        <f t="shared" si="46"/>
        <v>11</v>
      </c>
      <c r="AR235" s="956">
        <f t="shared" si="37"/>
        <v>1</v>
      </c>
      <c r="AS235" s="956">
        <f t="shared" si="38"/>
        <v>12</v>
      </c>
      <c r="AT235" s="982">
        <v>0</v>
      </c>
      <c r="AU235" s="981"/>
      <c r="AV235" s="981"/>
      <c r="AW235" s="981"/>
      <c r="AX235" s="993"/>
      <c r="AY235" s="993"/>
      <c r="AZ235" s="833">
        <f t="shared" si="39"/>
        <v>0</v>
      </c>
      <c r="BA235" s="983">
        <f t="shared" si="40"/>
        <v>0</v>
      </c>
      <c r="BB235" s="983">
        <f t="shared" si="41"/>
        <v>0</v>
      </c>
      <c r="BC235" s="983">
        <f t="shared" si="42"/>
        <v>0</v>
      </c>
      <c r="BD235" s="983">
        <f t="shared" si="43"/>
        <v>0</v>
      </c>
      <c r="BE235" s="983">
        <f t="shared" si="44"/>
        <v>0</v>
      </c>
      <c r="BF235" s="871">
        <f t="shared" si="45"/>
        <v>0</v>
      </c>
    </row>
    <row r="236" spans="1:58" s="8" customFormat="1" ht="20.100000000000001" customHeight="1">
      <c r="A236" s="956">
        <v>107</v>
      </c>
      <c r="B236" s="1019">
        <v>3</v>
      </c>
      <c r="C236" s="956">
        <v>107</v>
      </c>
      <c r="D236" s="957"/>
      <c r="E236" s="957"/>
      <c r="F236" s="956"/>
      <c r="G236" s="958" t="s">
        <v>1335</v>
      </c>
      <c r="H236" s="958" t="s">
        <v>1335</v>
      </c>
      <c r="I236" s="958">
        <v>0</v>
      </c>
      <c r="J236" s="958"/>
      <c r="K236" s="958">
        <v>0</v>
      </c>
      <c r="L236" s="958" t="s">
        <v>1335</v>
      </c>
      <c r="M236" s="958" t="s">
        <v>1335</v>
      </c>
      <c r="N236" s="958" t="s">
        <v>1335</v>
      </c>
      <c r="O236" s="958" t="s">
        <v>1335</v>
      </c>
      <c r="P236" s="958" t="s">
        <v>1335</v>
      </c>
      <c r="Q236" s="958" t="s">
        <v>1335</v>
      </c>
      <c r="R236" s="958" t="s">
        <v>1335</v>
      </c>
      <c r="S236" s="958" t="s">
        <v>1335</v>
      </c>
      <c r="T236" s="958" t="s">
        <v>1335</v>
      </c>
      <c r="U236" s="958" t="s">
        <v>1335</v>
      </c>
      <c r="V236" s="982">
        <v>0</v>
      </c>
      <c r="W236" s="966"/>
      <c r="X236" s="982" t="s">
        <v>1335</v>
      </c>
      <c r="Y236" s="970"/>
      <c r="Z236" s="966"/>
      <c r="AA236" s="971"/>
      <c r="AB236" s="972"/>
      <c r="AC236" s="972"/>
      <c r="AD236" s="972"/>
      <c r="AE236" s="972"/>
      <c r="AF236" s="972"/>
      <c r="AG236" s="972"/>
      <c r="AH236" s="972"/>
      <c r="AI236" s="972"/>
      <c r="AJ236" s="972"/>
      <c r="AK236" s="972"/>
      <c r="AL236" s="972"/>
      <c r="AM236" s="972"/>
      <c r="AN236" s="972"/>
      <c r="AO236" s="972"/>
      <c r="AP236" s="972"/>
      <c r="AQ236" s="956">
        <f t="shared" si="46"/>
        <v>12</v>
      </c>
      <c r="AR236" s="956">
        <f t="shared" si="37"/>
        <v>1</v>
      </c>
      <c r="AS236" s="956">
        <f t="shared" si="38"/>
        <v>13</v>
      </c>
      <c r="AT236" s="956">
        <v>9</v>
      </c>
      <c r="AU236" s="981"/>
      <c r="AV236" s="981"/>
      <c r="AW236" s="981"/>
      <c r="AX236" s="993"/>
      <c r="AY236" s="993"/>
      <c r="AZ236" s="833">
        <f t="shared" si="39"/>
        <v>0</v>
      </c>
      <c r="BA236" s="983">
        <f t="shared" si="40"/>
        <v>0</v>
      </c>
      <c r="BB236" s="983">
        <f t="shared" si="41"/>
        <v>0</v>
      </c>
      <c r="BC236" s="983">
        <f t="shared" si="42"/>
        <v>0</v>
      </c>
      <c r="BD236" s="983">
        <f t="shared" si="43"/>
        <v>0</v>
      </c>
      <c r="BE236" s="983">
        <f t="shared" si="44"/>
        <v>0</v>
      </c>
      <c r="BF236" s="871">
        <f t="shared" si="45"/>
        <v>13</v>
      </c>
    </row>
    <row r="237" spans="1:58" s="8" customFormat="1" ht="20.100000000000001" customHeight="1">
      <c r="A237" s="956">
        <v>108</v>
      </c>
      <c r="B237" s="1019">
        <v>3</v>
      </c>
      <c r="C237" s="956">
        <v>108</v>
      </c>
      <c r="D237" s="957"/>
      <c r="E237" s="957"/>
      <c r="F237" s="956"/>
      <c r="G237" s="958" t="s">
        <v>1335</v>
      </c>
      <c r="H237" s="958" t="s">
        <v>1335</v>
      </c>
      <c r="I237" s="958" t="s">
        <v>1335</v>
      </c>
      <c r="J237" s="958"/>
      <c r="K237" s="958">
        <v>0</v>
      </c>
      <c r="L237" s="958" t="s">
        <v>1335</v>
      </c>
      <c r="M237" s="958" t="s">
        <v>1335</v>
      </c>
      <c r="N237" s="958" t="s">
        <v>1335</v>
      </c>
      <c r="O237" s="958" t="s">
        <v>1335</v>
      </c>
      <c r="P237" s="958" t="s">
        <v>1335</v>
      </c>
      <c r="Q237" s="958" t="s">
        <v>1335</v>
      </c>
      <c r="R237" s="958" t="s">
        <v>1335</v>
      </c>
      <c r="S237" s="958" t="s">
        <v>1335</v>
      </c>
      <c r="T237" s="958" t="s">
        <v>1335</v>
      </c>
      <c r="U237" s="958" t="s">
        <v>1335</v>
      </c>
      <c r="V237" s="982">
        <v>0</v>
      </c>
      <c r="W237" s="966"/>
      <c r="X237" s="982"/>
      <c r="Y237" s="970"/>
      <c r="Z237" s="966"/>
      <c r="AA237" s="971"/>
      <c r="AB237" s="972"/>
      <c r="AC237" s="972"/>
      <c r="AD237" s="972"/>
      <c r="AE237" s="972"/>
      <c r="AF237" s="972"/>
      <c r="AG237" s="972"/>
      <c r="AH237" s="972"/>
      <c r="AI237" s="972"/>
      <c r="AJ237" s="972"/>
      <c r="AK237" s="972"/>
      <c r="AL237" s="972"/>
      <c r="AM237" s="972"/>
      <c r="AN237" s="972"/>
      <c r="AO237" s="972"/>
      <c r="AP237" s="972"/>
      <c r="AQ237" s="956">
        <f t="shared" si="46"/>
        <v>13</v>
      </c>
      <c r="AR237" s="956">
        <f t="shared" si="37"/>
        <v>0</v>
      </c>
      <c r="AS237" s="956">
        <f t="shared" si="38"/>
        <v>13</v>
      </c>
      <c r="AT237" s="956">
        <v>9</v>
      </c>
      <c r="AU237" s="981"/>
      <c r="AV237" s="981"/>
      <c r="AW237" s="981"/>
      <c r="AX237" s="993"/>
      <c r="AY237" s="993"/>
      <c r="AZ237" s="833">
        <f t="shared" si="39"/>
        <v>0</v>
      </c>
      <c r="BA237" s="983">
        <f t="shared" si="40"/>
        <v>0</v>
      </c>
      <c r="BB237" s="983">
        <f t="shared" si="41"/>
        <v>0</v>
      </c>
      <c r="BC237" s="983">
        <f t="shared" si="42"/>
        <v>0</v>
      </c>
      <c r="BD237" s="983">
        <f t="shared" si="43"/>
        <v>0</v>
      </c>
      <c r="BE237" s="983">
        <f t="shared" si="44"/>
        <v>0</v>
      </c>
      <c r="BF237" s="871">
        <f t="shared" si="45"/>
        <v>13</v>
      </c>
    </row>
    <row r="238" spans="1:58" s="8" customFormat="1" ht="20.100000000000001" customHeight="1">
      <c r="A238" s="956">
        <v>109</v>
      </c>
      <c r="B238" s="1019">
        <v>3</v>
      </c>
      <c r="C238" s="956">
        <v>109</v>
      </c>
      <c r="D238" s="957"/>
      <c r="E238" s="957"/>
      <c r="F238" s="956"/>
      <c r="G238" s="958">
        <v>0</v>
      </c>
      <c r="H238" s="958" t="s">
        <v>1335</v>
      </c>
      <c r="I238" s="958" t="s">
        <v>1335</v>
      </c>
      <c r="J238" s="958"/>
      <c r="K238" s="958">
        <v>0</v>
      </c>
      <c r="L238" s="958" t="s">
        <v>1335</v>
      </c>
      <c r="M238" s="958">
        <v>0</v>
      </c>
      <c r="N238" s="958" t="s">
        <v>1335</v>
      </c>
      <c r="O238" s="958" t="s">
        <v>1335</v>
      </c>
      <c r="P238" s="958" t="s">
        <v>1335</v>
      </c>
      <c r="Q238" s="958" t="s">
        <v>1335</v>
      </c>
      <c r="R238" s="958" t="s">
        <v>1335</v>
      </c>
      <c r="S238" s="958" t="s">
        <v>1335</v>
      </c>
      <c r="T238" s="958">
        <v>0</v>
      </c>
      <c r="U238" s="958" t="s">
        <v>1335</v>
      </c>
      <c r="V238" s="982">
        <v>0</v>
      </c>
      <c r="W238" s="966"/>
      <c r="X238" s="982"/>
      <c r="Y238" s="970"/>
      <c r="Z238" s="966"/>
      <c r="AA238" s="971"/>
      <c r="AB238" s="972"/>
      <c r="AC238" s="972"/>
      <c r="AD238" s="972"/>
      <c r="AE238" s="972"/>
      <c r="AF238" s="972"/>
      <c r="AG238" s="972"/>
      <c r="AH238" s="972"/>
      <c r="AI238" s="972"/>
      <c r="AJ238" s="972"/>
      <c r="AK238" s="972"/>
      <c r="AL238" s="972"/>
      <c r="AM238" s="972"/>
      <c r="AN238" s="972"/>
      <c r="AO238" s="972"/>
      <c r="AP238" s="972"/>
      <c r="AQ238" s="956">
        <f t="shared" si="46"/>
        <v>10</v>
      </c>
      <c r="AR238" s="956">
        <f t="shared" si="37"/>
        <v>0</v>
      </c>
      <c r="AS238" s="956">
        <f t="shared" si="38"/>
        <v>10</v>
      </c>
      <c r="AT238" s="956">
        <v>9</v>
      </c>
      <c r="AU238" s="981"/>
      <c r="AV238" s="981"/>
      <c r="AW238" s="981"/>
      <c r="AX238" s="993"/>
      <c r="AY238" s="993"/>
      <c r="AZ238" s="833">
        <f t="shared" si="39"/>
        <v>0</v>
      </c>
      <c r="BA238" s="983">
        <f t="shared" si="40"/>
        <v>0</v>
      </c>
      <c r="BB238" s="983">
        <f t="shared" si="41"/>
        <v>0</v>
      </c>
      <c r="BC238" s="983">
        <f t="shared" si="42"/>
        <v>0</v>
      </c>
      <c r="BD238" s="983">
        <f t="shared" si="43"/>
        <v>0</v>
      </c>
      <c r="BE238" s="983">
        <f t="shared" si="44"/>
        <v>0</v>
      </c>
      <c r="BF238" s="871">
        <f t="shared" si="45"/>
        <v>0</v>
      </c>
    </row>
    <row r="239" spans="1:58" s="8" customFormat="1" ht="20.100000000000001" customHeight="1">
      <c r="A239" s="956">
        <v>110</v>
      </c>
      <c r="B239" s="1019">
        <v>3</v>
      </c>
      <c r="C239" s="956">
        <v>110</v>
      </c>
      <c r="D239" s="957"/>
      <c r="E239" s="957"/>
      <c r="F239" s="956"/>
      <c r="G239" s="958">
        <v>0</v>
      </c>
      <c r="H239" s="958" t="s">
        <v>1335</v>
      </c>
      <c r="I239" s="958" t="s">
        <v>1335</v>
      </c>
      <c r="J239" s="958"/>
      <c r="K239" s="958">
        <v>0</v>
      </c>
      <c r="L239" s="958" t="s">
        <v>1335</v>
      </c>
      <c r="M239" s="958">
        <v>0</v>
      </c>
      <c r="N239" s="958" t="s">
        <v>1335</v>
      </c>
      <c r="O239" s="958" t="s">
        <v>1335</v>
      </c>
      <c r="P239" s="958" t="s">
        <v>1335</v>
      </c>
      <c r="Q239" s="958" t="s">
        <v>1335</v>
      </c>
      <c r="R239" s="958" t="s">
        <v>1335</v>
      </c>
      <c r="S239" s="958" t="s">
        <v>1335</v>
      </c>
      <c r="T239" s="958">
        <v>0</v>
      </c>
      <c r="U239" s="958" t="s">
        <v>1335</v>
      </c>
      <c r="V239" s="982">
        <v>0</v>
      </c>
      <c r="W239" s="966"/>
      <c r="X239" s="982"/>
      <c r="Y239" s="970"/>
      <c r="Z239" s="966"/>
      <c r="AA239" s="971"/>
      <c r="AB239" s="972"/>
      <c r="AC239" s="972"/>
      <c r="AD239" s="972"/>
      <c r="AE239" s="972"/>
      <c r="AF239" s="972"/>
      <c r="AG239" s="972"/>
      <c r="AH239" s="972"/>
      <c r="AI239" s="972"/>
      <c r="AJ239" s="972"/>
      <c r="AK239" s="972"/>
      <c r="AL239" s="972"/>
      <c r="AM239" s="972"/>
      <c r="AN239" s="972"/>
      <c r="AO239" s="972"/>
      <c r="AP239" s="972"/>
      <c r="AQ239" s="956">
        <f t="shared" si="46"/>
        <v>10</v>
      </c>
      <c r="AR239" s="956">
        <f t="shared" si="37"/>
        <v>0</v>
      </c>
      <c r="AS239" s="956">
        <f t="shared" si="38"/>
        <v>10</v>
      </c>
      <c r="AT239" s="956">
        <v>9</v>
      </c>
      <c r="AU239" s="981"/>
      <c r="AV239" s="981"/>
      <c r="AW239" s="981"/>
      <c r="AX239" s="993"/>
      <c r="AY239" s="993"/>
      <c r="AZ239" s="833">
        <f t="shared" si="39"/>
        <v>0</v>
      </c>
      <c r="BA239" s="983">
        <f t="shared" si="40"/>
        <v>0</v>
      </c>
      <c r="BB239" s="983">
        <f t="shared" si="41"/>
        <v>0</v>
      </c>
      <c r="BC239" s="983">
        <f t="shared" si="42"/>
        <v>0</v>
      </c>
      <c r="BD239" s="983">
        <f t="shared" si="43"/>
        <v>0</v>
      </c>
      <c r="BE239" s="983">
        <f t="shared" si="44"/>
        <v>0</v>
      </c>
      <c r="BF239" s="871">
        <f t="shared" si="45"/>
        <v>0</v>
      </c>
    </row>
    <row r="240" spans="1:58" s="8" customFormat="1" ht="20.100000000000001" customHeight="1">
      <c r="A240" s="956">
        <v>111</v>
      </c>
      <c r="B240" s="1019">
        <v>3</v>
      </c>
      <c r="C240" s="956">
        <v>111</v>
      </c>
      <c r="D240" s="957"/>
      <c r="E240" s="957"/>
      <c r="F240" s="956"/>
      <c r="G240" s="958">
        <v>0</v>
      </c>
      <c r="H240" s="958" t="s">
        <v>1335</v>
      </c>
      <c r="I240" s="958" t="s">
        <v>1335</v>
      </c>
      <c r="J240" s="958"/>
      <c r="K240" s="958">
        <v>0</v>
      </c>
      <c r="L240" s="958">
        <v>0</v>
      </c>
      <c r="M240" s="958" t="s">
        <v>1335</v>
      </c>
      <c r="N240" s="958" t="s">
        <v>1335</v>
      </c>
      <c r="O240" s="958" t="s">
        <v>1335</v>
      </c>
      <c r="P240" s="958" t="s">
        <v>1335</v>
      </c>
      <c r="Q240" s="958" t="s">
        <v>1335</v>
      </c>
      <c r="R240" s="958" t="s">
        <v>1335</v>
      </c>
      <c r="S240" s="958" t="s">
        <v>1335</v>
      </c>
      <c r="T240" s="958" t="s">
        <v>1335</v>
      </c>
      <c r="U240" s="958" t="s">
        <v>1335</v>
      </c>
      <c r="V240" s="982">
        <v>0</v>
      </c>
      <c r="W240" s="966"/>
      <c r="X240" s="982"/>
      <c r="Y240" s="970"/>
      <c r="Z240" s="966"/>
      <c r="AA240" s="971"/>
      <c r="AB240" s="972"/>
      <c r="AC240" s="972"/>
      <c r="AD240" s="972"/>
      <c r="AE240" s="972"/>
      <c r="AF240" s="972"/>
      <c r="AG240" s="972"/>
      <c r="AH240" s="972"/>
      <c r="AI240" s="972"/>
      <c r="AJ240" s="972"/>
      <c r="AK240" s="972"/>
      <c r="AL240" s="972"/>
      <c r="AM240" s="972"/>
      <c r="AN240" s="972"/>
      <c r="AO240" s="972"/>
      <c r="AP240" s="972"/>
      <c r="AQ240" s="956">
        <f t="shared" si="46"/>
        <v>11</v>
      </c>
      <c r="AR240" s="956">
        <f t="shared" si="37"/>
        <v>0</v>
      </c>
      <c r="AS240" s="956">
        <f t="shared" si="38"/>
        <v>11</v>
      </c>
      <c r="AT240" s="956">
        <v>9</v>
      </c>
      <c r="AU240" s="981"/>
      <c r="AV240" s="981"/>
      <c r="AW240" s="981"/>
      <c r="AX240" s="993"/>
      <c r="AY240" s="993"/>
      <c r="AZ240" s="833">
        <f t="shared" si="39"/>
        <v>0</v>
      </c>
      <c r="BA240" s="983">
        <f t="shared" si="40"/>
        <v>0</v>
      </c>
      <c r="BB240" s="983">
        <f t="shared" si="41"/>
        <v>0</v>
      </c>
      <c r="BC240" s="983">
        <f t="shared" si="42"/>
        <v>0</v>
      </c>
      <c r="BD240" s="983">
        <f t="shared" si="43"/>
        <v>0</v>
      </c>
      <c r="BE240" s="983">
        <f t="shared" si="44"/>
        <v>0</v>
      </c>
      <c r="BF240" s="871">
        <f t="shared" si="45"/>
        <v>0</v>
      </c>
    </row>
    <row r="241" spans="1:58" s="8" customFormat="1" ht="20.100000000000001" customHeight="1">
      <c r="A241" s="956">
        <v>112</v>
      </c>
      <c r="B241" s="1019">
        <v>3</v>
      </c>
      <c r="C241" s="956">
        <v>112</v>
      </c>
      <c r="D241" s="957"/>
      <c r="E241" s="957"/>
      <c r="F241" s="956"/>
      <c r="G241" s="958">
        <v>0</v>
      </c>
      <c r="H241" s="958" t="s">
        <v>1335</v>
      </c>
      <c r="I241" s="958" t="s">
        <v>1335</v>
      </c>
      <c r="J241" s="958"/>
      <c r="K241" s="958">
        <v>0</v>
      </c>
      <c r="L241" s="958">
        <v>0</v>
      </c>
      <c r="M241" s="958" t="s">
        <v>1335</v>
      </c>
      <c r="N241" s="958" t="s">
        <v>1335</v>
      </c>
      <c r="O241" s="958" t="s">
        <v>1335</v>
      </c>
      <c r="P241" s="958" t="s">
        <v>1335</v>
      </c>
      <c r="Q241" s="958" t="s">
        <v>1335</v>
      </c>
      <c r="R241" s="958" t="s">
        <v>1335</v>
      </c>
      <c r="S241" s="958" t="s">
        <v>1335</v>
      </c>
      <c r="T241" s="958" t="s">
        <v>1335</v>
      </c>
      <c r="U241" s="958" t="s">
        <v>1335</v>
      </c>
      <c r="V241" s="982">
        <v>0</v>
      </c>
      <c r="W241" s="966"/>
      <c r="X241" s="982"/>
      <c r="Y241" s="970"/>
      <c r="Z241" s="966"/>
      <c r="AA241" s="971"/>
      <c r="AB241" s="972"/>
      <c r="AC241" s="972"/>
      <c r="AD241" s="972"/>
      <c r="AE241" s="972"/>
      <c r="AF241" s="972"/>
      <c r="AG241" s="972"/>
      <c r="AH241" s="972"/>
      <c r="AI241" s="972"/>
      <c r="AJ241" s="972"/>
      <c r="AK241" s="972"/>
      <c r="AL241" s="972"/>
      <c r="AM241" s="972"/>
      <c r="AN241" s="972"/>
      <c r="AO241" s="972"/>
      <c r="AP241" s="972"/>
      <c r="AQ241" s="956">
        <f t="shared" si="46"/>
        <v>11</v>
      </c>
      <c r="AR241" s="956">
        <f t="shared" si="37"/>
        <v>0</v>
      </c>
      <c r="AS241" s="956">
        <f t="shared" si="38"/>
        <v>11</v>
      </c>
      <c r="AT241" s="956">
        <v>9</v>
      </c>
      <c r="AU241" s="981"/>
      <c r="AV241" s="981"/>
      <c r="AW241" s="981"/>
      <c r="AX241" s="993"/>
      <c r="AY241" s="993"/>
      <c r="AZ241" s="833">
        <f t="shared" si="39"/>
        <v>0</v>
      </c>
      <c r="BA241" s="983">
        <f t="shared" si="40"/>
        <v>0</v>
      </c>
      <c r="BB241" s="983">
        <f t="shared" si="41"/>
        <v>0</v>
      </c>
      <c r="BC241" s="983">
        <f t="shared" si="42"/>
        <v>0</v>
      </c>
      <c r="BD241" s="983">
        <f t="shared" si="43"/>
        <v>0</v>
      </c>
      <c r="BE241" s="983">
        <f t="shared" si="44"/>
        <v>0</v>
      </c>
      <c r="BF241" s="871">
        <f t="shared" si="45"/>
        <v>0</v>
      </c>
    </row>
    <row r="242" spans="1:58" s="8" customFormat="1" ht="20.100000000000001" customHeight="1">
      <c r="A242" s="956">
        <v>113</v>
      </c>
      <c r="B242" s="1019">
        <v>3</v>
      </c>
      <c r="C242" s="956">
        <v>113</v>
      </c>
      <c r="D242" s="957"/>
      <c r="E242" s="957"/>
      <c r="F242" s="956"/>
      <c r="G242" s="958" t="s">
        <v>1335</v>
      </c>
      <c r="H242" s="958" t="s">
        <v>1335</v>
      </c>
      <c r="I242" s="958" t="s">
        <v>1335</v>
      </c>
      <c r="J242" s="958"/>
      <c r="K242" s="958">
        <v>0</v>
      </c>
      <c r="L242" s="958" t="s">
        <v>1335</v>
      </c>
      <c r="M242" s="958" t="s">
        <v>1335</v>
      </c>
      <c r="N242" s="958" t="s">
        <v>1335</v>
      </c>
      <c r="O242" s="958" t="s">
        <v>1335</v>
      </c>
      <c r="P242" s="958" t="s">
        <v>1335</v>
      </c>
      <c r="Q242" s="958">
        <v>0</v>
      </c>
      <c r="R242" s="958" t="s">
        <v>1335</v>
      </c>
      <c r="S242" s="958" t="s">
        <v>1335</v>
      </c>
      <c r="T242" s="958" t="s">
        <v>1335</v>
      </c>
      <c r="U242" s="958">
        <v>0</v>
      </c>
      <c r="V242" s="982">
        <v>0</v>
      </c>
      <c r="W242" s="966"/>
      <c r="X242" s="982"/>
      <c r="Y242" s="970"/>
      <c r="Z242" s="966"/>
      <c r="AA242" s="971"/>
      <c r="AB242" s="972"/>
      <c r="AC242" s="972"/>
      <c r="AD242" s="972"/>
      <c r="AE242" s="972"/>
      <c r="AF242" s="972"/>
      <c r="AG242" s="972"/>
      <c r="AH242" s="972"/>
      <c r="AI242" s="972"/>
      <c r="AJ242" s="972"/>
      <c r="AK242" s="972"/>
      <c r="AL242" s="972"/>
      <c r="AM242" s="972"/>
      <c r="AN242" s="972"/>
      <c r="AO242" s="972"/>
      <c r="AP242" s="972"/>
      <c r="AQ242" s="956">
        <f t="shared" si="46"/>
        <v>11</v>
      </c>
      <c r="AR242" s="956">
        <f t="shared" si="37"/>
        <v>0</v>
      </c>
      <c r="AS242" s="956">
        <f t="shared" si="38"/>
        <v>11</v>
      </c>
      <c r="AT242" s="956">
        <v>9</v>
      </c>
      <c r="AU242" s="981"/>
      <c r="AV242" s="981"/>
      <c r="AW242" s="981"/>
      <c r="AX242" s="993"/>
      <c r="AY242" s="993"/>
      <c r="AZ242" s="833">
        <f t="shared" si="39"/>
        <v>0</v>
      </c>
      <c r="BA242" s="983">
        <f t="shared" si="40"/>
        <v>0</v>
      </c>
      <c r="BB242" s="983">
        <f t="shared" si="41"/>
        <v>0</v>
      </c>
      <c r="BC242" s="983">
        <f t="shared" si="42"/>
        <v>0</v>
      </c>
      <c r="BD242" s="983">
        <f t="shared" si="43"/>
        <v>0</v>
      </c>
      <c r="BE242" s="983">
        <f t="shared" si="44"/>
        <v>0</v>
      </c>
      <c r="BF242" s="871">
        <f t="shared" si="45"/>
        <v>0</v>
      </c>
    </row>
    <row r="243" spans="1:58" s="8" customFormat="1" ht="20.100000000000001" customHeight="1">
      <c r="A243" s="956">
        <v>114</v>
      </c>
      <c r="B243" s="1019">
        <v>3</v>
      </c>
      <c r="C243" s="956">
        <v>114</v>
      </c>
      <c r="D243" s="957"/>
      <c r="E243" s="957"/>
      <c r="F243" s="956"/>
      <c r="G243" s="958" t="s">
        <v>1335</v>
      </c>
      <c r="H243" s="958" t="s">
        <v>1335</v>
      </c>
      <c r="I243" s="958" t="s">
        <v>1335</v>
      </c>
      <c r="J243" s="958"/>
      <c r="K243" s="958">
        <v>0</v>
      </c>
      <c r="L243" s="958">
        <v>0</v>
      </c>
      <c r="M243" s="958" t="s">
        <v>1335</v>
      </c>
      <c r="N243" s="958" t="s">
        <v>1335</v>
      </c>
      <c r="O243" s="958" t="s">
        <v>1335</v>
      </c>
      <c r="P243" s="958" t="s">
        <v>1335</v>
      </c>
      <c r="Q243" s="958" t="s">
        <v>1335</v>
      </c>
      <c r="R243" s="958" t="s">
        <v>1335</v>
      </c>
      <c r="S243" s="958" t="s">
        <v>1335</v>
      </c>
      <c r="T243" s="958" t="s">
        <v>1335</v>
      </c>
      <c r="U243" s="958" t="s">
        <v>1335</v>
      </c>
      <c r="V243" s="982" t="s">
        <v>1335</v>
      </c>
      <c r="W243" s="966"/>
      <c r="X243" s="982"/>
      <c r="Y243" s="970"/>
      <c r="Z243" s="966"/>
      <c r="AA243" s="971"/>
      <c r="AB243" s="972"/>
      <c r="AC243" s="972"/>
      <c r="AD243" s="972"/>
      <c r="AE243" s="972"/>
      <c r="AF243" s="972"/>
      <c r="AG243" s="972"/>
      <c r="AH243" s="972"/>
      <c r="AI243" s="972"/>
      <c r="AJ243" s="972"/>
      <c r="AK243" s="972"/>
      <c r="AL243" s="972"/>
      <c r="AM243" s="972"/>
      <c r="AN243" s="972"/>
      <c r="AO243" s="972"/>
      <c r="AP243" s="972"/>
      <c r="AQ243" s="956">
        <f t="shared" si="46"/>
        <v>12</v>
      </c>
      <c r="AR243" s="956">
        <f t="shared" si="37"/>
        <v>1</v>
      </c>
      <c r="AS243" s="956">
        <f t="shared" si="38"/>
        <v>13</v>
      </c>
      <c r="AT243" s="956">
        <v>9</v>
      </c>
      <c r="AU243" s="981"/>
      <c r="AV243" s="981"/>
      <c r="AW243" s="981"/>
      <c r="AX243" s="993"/>
      <c r="AY243" s="993"/>
      <c r="AZ243" s="833">
        <f t="shared" si="39"/>
        <v>0</v>
      </c>
      <c r="BA243" s="983">
        <f t="shared" si="40"/>
        <v>0</v>
      </c>
      <c r="BB243" s="983">
        <f t="shared" si="41"/>
        <v>0</v>
      </c>
      <c r="BC243" s="983">
        <f t="shared" si="42"/>
        <v>0</v>
      </c>
      <c r="BD243" s="983">
        <f t="shared" si="43"/>
        <v>0</v>
      </c>
      <c r="BE243" s="983">
        <f t="shared" si="44"/>
        <v>0</v>
      </c>
      <c r="BF243" s="871">
        <f t="shared" si="45"/>
        <v>13</v>
      </c>
    </row>
    <row r="244" spans="1:58" s="8" customFormat="1" ht="20.100000000000001" customHeight="1">
      <c r="A244" s="956">
        <v>115</v>
      </c>
      <c r="B244" s="1019">
        <v>3</v>
      </c>
      <c r="C244" s="956">
        <v>115</v>
      </c>
      <c r="D244" s="957"/>
      <c r="E244" s="957"/>
      <c r="F244" s="956"/>
      <c r="G244" s="958" t="s">
        <v>1335</v>
      </c>
      <c r="H244" s="958" t="s">
        <v>1335</v>
      </c>
      <c r="I244" s="958" t="s">
        <v>1335</v>
      </c>
      <c r="J244" s="958"/>
      <c r="K244" s="958" t="s">
        <v>1335</v>
      </c>
      <c r="L244" s="958" t="s">
        <v>1335</v>
      </c>
      <c r="M244" s="958">
        <v>0</v>
      </c>
      <c r="N244" s="958" t="s">
        <v>1335</v>
      </c>
      <c r="O244" s="958" t="s">
        <v>1335</v>
      </c>
      <c r="P244" s="958" t="s">
        <v>1335</v>
      </c>
      <c r="Q244" s="958" t="s">
        <v>1335</v>
      </c>
      <c r="R244" s="958" t="s">
        <v>1335</v>
      </c>
      <c r="S244" s="958" t="s">
        <v>1335</v>
      </c>
      <c r="T244" s="958" t="s">
        <v>1335</v>
      </c>
      <c r="U244" s="958" t="s">
        <v>1335</v>
      </c>
      <c r="V244" s="982">
        <v>0</v>
      </c>
      <c r="W244" s="966"/>
      <c r="X244" s="982"/>
      <c r="Y244" s="970"/>
      <c r="Z244" s="966"/>
      <c r="AA244" s="971"/>
      <c r="AB244" s="972"/>
      <c r="AC244" s="972"/>
      <c r="AD244" s="972"/>
      <c r="AE244" s="972"/>
      <c r="AF244" s="972"/>
      <c r="AG244" s="972"/>
      <c r="AH244" s="972"/>
      <c r="AI244" s="972"/>
      <c r="AJ244" s="972"/>
      <c r="AK244" s="972"/>
      <c r="AL244" s="972"/>
      <c r="AM244" s="972"/>
      <c r="AN244" s="972"/>
      <c r="AO244" s="972"/>
      <c r="AP244" s="972"/>
      <c r="AQ244" s="956">
        <f t="shared" si="46"/>
        <v>13</v>
      </c>
      <c r="AR244" s="956">
        <f t="shared" si="37"/>
        <v>0</v>
      </c>
      <c r="AS244" s="956">
        <f t="shared" si="38"/>
        <v>13</v>
      </c>
      <c r="AT244" s="956">
        <v>9</v>
      </c>
      <c r="AU244" s="981"/>
      <c r="AV244" s="981"/>
      <c r="AW244" s="981"/>
      <c r="AX244" s="993"/>
      <c r="AY244" s="993"/>
      <c r="AZ244" s="833">
        <f t="shared" si="39"/>
        <v>0</v>
      </c>
      <c r="BA244" s="983">
        <f t="shared" si="40"/>
        <v>0</v>
      </c>
      <c r="BB244" s="983">
        <f t="shared" si="41"/>
        <v>0</v>
      </c>
      <c r="BC244" s="983">
        <f t="shared" si="42"/>
        <v>0</v>
      </c>
      <c r="BD244" s="983">
        <f t="shared" si="43"/>
        <v>0</v>
      </c>
      <c r="BE244" s="983">
        <f t="shared" si="44"/>
        <v>0</v>
      </c>
      <c r="BF244" s="871">
        <f t="shared" si="45"/>
        <v>13</v>
      </c>
    </row>
    <row r="245" spans="1:58" s="8" customFormat="1" ht="20.100000000000001" customHeight="1">
      <c r="A245" s="956">
        <v>116</v>
      </c>
      <c r="B245" s="1019">
        <v>3</v>
      </c>
      <c r="C245" s="956">
        <v>116</v>
      </c>
      <c r="D245" s="957"/>
      <c r="E245" s="957"/>
      <c r="F245" s="956"/>
      <c r="G245" s="958" t="s">
        <v>1335</v>
      </c>
      <c r="H245" s="958" t="s">
        <v>1335</v>
      </c>
      <c r="I245" s="958" t="s">
        <v>1335</v>
      </c>
      <c r="J245" s="958"/>
      <c r="K245" s="958" t="s">
        <v>1335</v>
      </c>
      <c r="L245" s="958" t="s">
        <v>1335</v>
      </c>
      <c r="M245" s="958">
        <v>0</v>
      </c>
      <c r="N245" s="958" t="s">
        <v>1335</v>
      </c>
      <c r="O245" s="958" t="s">
        <v>1335</v>
      </c>
      <c r="P245" s="958" t="s">
        <v>1335</v>
      </c>
      <c r="Q245" s="958" t="s">
        <v>1335</v>
      </c>
      <c r="R245" s="958" t="s">
        <v>1335</v>
      </c>
      <c r="S245" s="958" t="s">
        <v>1335</v>
      </c>
      <c r="T245" s="958" t="s">
        <v>1335</v>
      </c>
      <c r="U245" s="958" t="s">
        <v>1335</v>
      </c>
      <c r="V245" s="982">
        <v>0</v>
      </c>
      <c r="W245" s="966"/>
      <c r="X245" s="982"/>
      <c r="Y245" s="970"/>
      <c r="Z245" s="966"/>
      <c r="AA245" s="971"/>
      <c r="AB245" s="972"/>
      <c r="AC245" s="972"/>
      <c r="AD245" s="972"/>
      <c r="AE245" s="972"/>
      <c r="AF245" s="972"/>
      <c r="AG245" s="972"/>
      <c r="AH245" s="972"/>
      <c r="AI245" s="972"/>
      <c r="AJ245" s="972"/>
      <c r="AK245" s="972"/>
      <c r="AL245" s="972"/>
      <c r="AM245" s="972"/>
      <c r="AN245" s="972"/>
      <c r="AO245" s="972"/>
      <c r="AP245" s="972"/>
      <c r="AQ245" s="956">
        <f t="shared" si="46"/>
        <v>13</v>
      </c>
      <c r="AR245" s="956">
        <f t="shared" si="37"/>
        <v>0</v>
      </c>
      <c r="AS245" s="956">
        <f t="shared" si="38"/>
        <v>13</v>
      </c>
      <c r="AT245" s="956">
        <v>9</v>
      </c>
      <c r="AU245" s="981"/>
      <c r="AV245" s="981"/>
      <c r="AW245" s="981"/>
      <c r="AX245" s="993"/>
      <c r="AY245" s="993"/>
      <c r="AZ245" s="833">
        <f t="shared" si="39"/>
        <v>0</v>
      </c>
      <c r="BA245" s="983">
        <f t="shared" si="40"/>
        <v>0</v>
      </c>
      <c r="BB245" s="983">
        <f t="shared" si="41"/>
        <v>0</v>
      </c>
      <c r="BC245" s="983">
        <f t="shared" si="42"/>
        <v>0</v>
      </c>
      <c r="BD245" s="983">
        <f t="shared" si="43"/>
        <v>0</v>
      </c>
      <c r="BE245" s="983">
        <f t="shared" si="44"/>
        <v>0</v>
      </c>
      <c r="BF245" s="871">
        <f t="shared" si="45"/>
        <v>13</v>
      </c>
    </row>
    <row r="246" spans="1:58" s="8" customFormat="1" ht="20.100000000000001" customHeight="1">
      <c r="A246" s="956">
        <v>117</v>
      </c>
      <c r="B246" s="1019">
        <v>3</v>
      </c>
      <c r="C246" s="956">
        <v>117</v>
      </c>
      <c r="D246" s="957"/>
      <c r="E246" s="957"/>
      <c r="F246" s="956"/>
      <c r="G246" s="958" t="s">
        <v>1335</v>
      </c>
      <c r="H246" s="958" t="s">
        <v>1335</v>
      </c>
      <c r="I246" s="958" t="s">
        <v>1335</v>
      </c>
      <c r="J246" s="958"/>
      <c r="K246" s="958">
        <v>0</v>
      </c>
      <c r="L246" s="958" t="s">
        <v>1335</v>
      </c>
      <c r="M246" s="958" t="s">
        <v>1335</v>
      </c>
      <c r="N246" s="958" t="s">
        <v>1335</v>
      </c>
      <c r="O246" s="958" t="s">
        <v>1335</v>
      </c>
      <c r="P246" s="958" t="s">
        <v>1335</v>
      </c>
      <c r="Q246" s="958" t="s">
        <v>1335</v>
      </c>
      <c r="R246" s="958" t="s">
        <v>1335</v>
      </c>
      <c r="S246" s="958" t="s">
        <v>1335</v>
      </c>
      <c r="T246" s="958" t="s">
        <v>1335</v>
      </c>
      <c r="U246" s="958" t="s">
        <v>1335</v>
      </c>
      <c r="V246" s="982" t="s">
        <v>1335</v>
      </c>
      <c r="W246" s="966"/>
      <c r="X246" s="982"/>
      <c r="Y246" s="970"/>
      <c r="Z246" s="966"/>
      <c r="AA246" s="971"/>
      <c r="AB246" s="972"/>
      <c r="AC246" s="972"/>
      <c r="AD246" s="972"/>
      <c r="AE246" s="972"/>
      <c r="AF246" s="972"/>
      <c r="AG246" s="972"/>
      <c r="AH246" s="972"/>
      <c r="AI246" s="972"/>
      <c r="AJ246" s="972"/>
      <c r="AK246" s="972"/>
      <c r="AL246" s="972"/>
      <c r="AM246" s="972"/>
      <c r="AN246" s="972"/>
      <c r="AO246" s="972"/>
      <c r="AP246" s="972"/>
      <c r="AQ246" s="956">
        <f t="shared" si="46"/>
        <v>13</v>
      </c>
      <c r="AR246" s="956">
        <f t="shared" si="37"/>
        <v>1</v>
      </c>
      <c r="AS246" s="956">
        <f t="shared" si="38"/>
        <v>14</v>
      </c>
      <c r="AT246" s="956">
        <v>9</v>
      </c>
      <c r="AU246" s="981"/>
      <c r="AV246" s="981"/>
      <c r="AW246" s="981"/>
      <c r="AX246" s="993"/>
      <c r="AY246" s="993"/>
      <c r="AZ246" s="833">
        <f t="shared" si="39"/>
        <v>0</v>
      </c>
      <c r="BA246" s="983">
        <f t="shared" si="40"/>
        <v>0</v>
      </c>
      <c r="BB246" s="983">
        <f t="shared" si="41"/>
        <v>0</v>
      </c>
      <c r="BC246" s="983">
        <f t="shared" si="42"/>
        <v>0</v>
      </c>
      <c r="BD246" s="983">
        <f t="shared" si="43"/>
        <v>0</v>
      </c>
      <c r="BE246" s="983">
        <f t="shared" si="44"/>
        <v>0</v>
      </c>
      <c r="BF246" s="871">
        <f t="shared" si="45"/>
        <v>14</v>
      </c>
    </row>
    <row r="247" spans="1:58" s="8" customFormat="1" ht="20.100000000000001" customHeight="1">
      <c r="A247" s="956">
        <v>118</v>
      </c>
      <c r="B247" s="1019">
        <v>3</v>
      </c>
      <c r="C247" s="956">
        <v>118</v>
      </c>
      <c r="D247" s="957"/>
      <c r="E247" s="957"/>
      <c r="F247" s="956"/>
      <c r="G247" s="958" t="s">
        <v>1335</v>
      </c>
      <c r="H247" s="958" t="s">
        <v>1335</v>
      </c>
      <c r="I247" s="958" t="s">
        <v>1335</v>
      </c>
      <c r="J247" s="958"/>
      <c r="K247" s="958" t="s">
        <v>1335</v>
      </c>
      <c r="L247" s="958" t="s">
        <v>1335</v>
      </c>
      <c r="M247" s="958">
        <v>0</v>
      </c>
      <c r="N247" s="958" t="s">
        <v>1335</v>
      </c>
      <c r="O247" s="958" t="s">
        <v>1335</v>
      </c>
      <c r="P247" s="958">
        <v>0</v>
      </c>
      <c r="Q247" s="958" t="s">
        <v>1335</v>
      </c>
      <c r="R247" s="958" t="s">
        <v>1335</v>
      </c>
      <c r="S247" s="958" t="s">
        <v>1335</v>
      </c>
      <c r="T247" s="958" t="s">
        <v>1335</v>
      </c>
      <c r="U247" s="958" t="s">
        <v>1335</v>
      </c>
      <c r="V247" s="982">
        <v>0</v>
      </c>
      <c r="W247" s="966"/>
      <c r="X247" s="982" t="s">
        <v>1335</v>
      </c>
      <c r="Y247" s="970"/>
      <c r="Z247" s="966"/>
      <c r="AA247" s="972"/>
      <c r="AB247" s="972"/>
      <c r="AC247" s="972"/>
      <c r="AD247" s="972"/>
      <c r="AE247" s="972"/>
      <c r="AF247" s="972"/>
      <c r="AG247" s="972"/>
      <c r="AH247" s="972"/>
      <c r="AI247" s="972"/>
      <c r="AJ247" s="972"/>
      <c r="AK247" s="972"/>
      <c r="AL247" s="972"/>
      <c r="AM247" s="972"/>
      <c r="AN247" s="972"/>
      <c r="AO247" s="972"/>
      <c r="AP247" s="972"/>
      <c r="AQ247" s="956">
        <f t="shared" si="46"/>
        <v>12</v>
      </c>
      <c r="AR247" s="956">
        <f t="shared" si="37"/>
        <v>1</v>
      </c>
      <c r="AS247" s="956">
        <f t="shared" si="38"/>
        <v>13</v>
      </c>
      <c r="AT247" s="982">
        <v>8</v>
      </c>
      <c r="AU247" s="981"/>
      <c r="AV247" s="981"/>
      <c r="AW247" s="981"/>
      <c r="AX247" s="993"/>
      <c r="AY247" s="993"/>
      <c r="AZ247" s="833">
        <f t="shared" si="39"/>
        <v>0</v>
      </c>
      <c r="BA247" s="983">
        <f t="shared" si="40"/>
        <v>0</v>
      </c>
      <c r="BB247" s="983">
        <f t="shared" si="41"/>
        <v>0</v>
      </c>
      <c r="BC247" s="983">
        <f t="shared" si="42"/>
        <v>0</v>
      </c>
      <c r="BD247" s="983">
        <f t="shared" si="43"/>
        <v>0</v>
      </c>
      <c r="BE247" s="983">
        <f t="shared" si="44"/>
        <v>0</v>
      </c>
      <c r="BF247" s="871">
        <f t="shared" si="45"/>
        <v>13</v>
      </c>
    </row>
    <row r="248" spans="1:58" s="8" customFormat="1" ht="20.100000000000001" customHeight="1">
      <c r="A248" s="956">
        <v>119</v>
      </c>
      <c r="B248" s="1019">
        <v>3</v>
      </c>
      <c r="C248" s="956">
        <v>119</v>
      </c>
      <c r="D248" s="957"/>
      <c r="E248" s="957"/>
      <c r="F248" s="956"/>
      <c r="G248" s="958" t="s">
        <v>1335</v>
      </c>
      <c r="H248" s="958" t="s">
        <v>1335</v>
      </c>
      <c r="I248" s="958" t="s">
        <v>1335</v>
      </c>
      <c r="J248" s="958"/>
      <c r="K248" s="958" t="s">
        <v>1335</v>
      </c>
      <c r="L248" s="958" t="s">
        <v>1335</v>
      </c>
      <c r="M248" s="958" t="s">
        <v>1335</v>
      </c>
      <c r="N248" s="958" t="s">
        <v>1335</v>
      </c>
      <c r="O248" s="958" t="s">
        <v>1335</v>
      </c>
      <c r="P248" s="958" t="s">
        <v>1335</v>
      </c>
      <c r="Q248" s="958" t="s">
        <v>1335</v>
      </c>
      <c r="R248" s="958" t="s">
        <v>1335</v>
      </c>
      <c r="S248" s="958" t="s">
        <v>1335</v>
      </c>
      <c r="T248" s="958" t="s">
        <v>1335</v>
      </c>
      <c r="U248" s="958" t="s">
        <v>1335</v>
      </c>
      <c r="V248" s="982">
        <v>0</v>
      </c>
      <c r="W248" s="966"/>
      <c r="X248" s="982"/>
      <c r="Y248" s="970"/>
      <c r="Z248" s="966"/>
      <c r="AA248" s="972"/>
      <c r="AB248" s="972"/>
      <c r="AC248" s="972"/>
      <c r="AD248" s="972"/>
      <c r="AE248" s="972"/>
      <c r="AF248" s="972"/>
      <c r="AG248" s="972"/>
      <c r="AH248" s="972"/>
      <c r="AI248" s="972"/>
      <c r="AJ248" s="972"/>
      <c r="AK248" s="972"/>
      <c r="AL248" s="972"/>
      <c r="AM248" s="972"/>
      <c r="AN248" s="972"/>
      <c r="AO248" s="972"/>
      <c r="AP248" s="972"/>
      <c r="AQ248" s="956">
        <f t="shared" si="46"/>
        <v>14</v>
      </c>
      <c r="AR248" s="956">
        <f t="shared" si="37"/>
        <v>0</v>
      </c>
      <c r="AS248" s="956">
        <f t="shared" si="38"/>
        <v>14</v>
      </c>
      <c r="AT248" s="956">
        <v>9</v>
      </c>
      <c r="AU248" s="981"/>
      <c r="AV248" s="981"/>
      <c r="AW248" s="981"/>
      <c r="AX248" s="993"/>
      <c r="AY248" s="993"/>
      <c r="AZ248" s="833">
        <f t="shared" si="39"/>
        <v>0</v>
      </c>
      <c r="BA248" s="983">
        <f t="shared" si="40"/>
        <v>0</v>
      </c>
      <c r="BB248" s="983">
        <f t="shared" si="41"/>
        <v>0</v>
      </c>
      <c r="BC248" s="983">
        <f t="shared" si="42"/>
        <v>0</v>
      </c>
      <c r="BD248" s="983">
        <f t="shared" si="43"/>
        <v>0</v>
      </c>
      <c r="BE248" s="983">
        <f t="shared" si="44"/>
        <v>0</v>
      </c>
      <c r="BF248" s="871">
        <f t="shared" si="45"/>
        <v>14</v>
      </c>
    </row>
    <row r="249" spans="1:58" s="8" customFormat="1" ht="20.100000000000001" customHeight="1">
      <c r="A249" s="956">
        <v>120</v>
      </c>
      <c r="B249" s="1019">
        <v>3</v>
      </c>
      <c r="C249" s="956">
        <v>120</v>
      </c>
      <c r="D249" s="957"/>
      <c r="E249" s="957"/>
      <c r="F249" s="956"/>
      <c r="G249" s="958" t="s">
        <v>1335</v>
      </c>
      <c r="H249" s="958" t="s">
        <v>1335</v>
      </c>
      <c r="I249" s="958" t="s">
        <v>1335</v>
      </c>
      <c r="J249" s="958"/>
      <c r="K249" s="958">
        <v>0</v>
      </c>
      <c r="L249" s="958" t="s">
        <v>1335</v>
      </c>
      <c r="M249" s="958" t="s">
        <v>1335</v>
      </c>
      <c r="N249" s="958" t="s">
        <v>1335</v>
      </c>
      <c r="O249" s="958" t="s">
        <v>1335</v>
      </c>
      <c r="P249" s="958" t="s">
        <v>1335</v>
      </c>
      <c r="Q249" s="958" t="s">
        <v>1335</v>
      </c>
      <c r="R249" s="958" t="s">
        <v>1335</v>
      </c>
      <c r="S249" s="958" t="s">
        <v>1335</v>
      </c>
      <c r="T249" s="958" t="s">
        <v>1335</v>
      </c>
      <c r="U249" s="958" t="s">
        <v>1335</v>
      </c>
      <c r="V249" s="982">
        <v>0</v>
      </c>
      <c r="W249" s="966"/>
      <c r="X249" s="982"/>
      <c r="Y249" s="970"/>
      <c r="Z249" s="966"/>
      <c r="AA249" s="972"/>
      <c r="AB249" s="972"/>
      <c r="AC249" s="972"/>
      <c r="AD249" s="972"/>
      <c r="AE249" s="972"/>
      <c r="AF249" s="972"/>
      <c r="AG249" s="972"/>
      <c r="AH249" s="972"/>
      <c r="AI249" s="972"/>
      <c r="AJ249" s="972"/>
      <c r="AK249" s="972"/>
      <c r="AL249" s="972"/>
      <c r="AM249" s="972"/>
      <c r="AN249" s="972"/>
      <c r="AO249" s="972"/>
      <c r="AP249" s="972"/>
      <c r="AQ249" s="956">
        <f t="shared" si="46"/>
        <v>13</v>
      </c>
      <c r="AR249" s="956">
        <f t="shared" si="37"/>
        <v>0</v>
      </c>
      <c r="AS249" s="956">
        <f t="shared" si="38"/>
        <v>13</v>
      </c>
      <c r="AT249" s="956">
        <v>9</v>
      </c>
      <c r="AU249" s="981"/>
      <c r="AV249" s="981"/>
      <c r="AW249" s="981"/>
      <c r="AX249" s="993"/>
      <c r="AY249" s="993"/>
      <c r="AZ249" s="833">
        <f t="shared" si="39"/>
        <v>0</v>
      </c>
      <c r="BA249" s="983">
        <f t="shared" si="40"/>
        <v>0</v>
      </c>
      <c r="BB249" s="983">
        <f t="shared" si="41"/>
        <v>0</v>
      </c>
      <c r="BC249" s="983">
        <f t="shared" si="42"/>
        <v>0</v>
      </c>
      <c r="BD249" s="983">
        <f t="shared" si="43"/>
        <v>0</v>
      </c>
      <c r="BE249" s="983">
        <f t="shared" si="44"/>
        <v>0</v>
      </c>
      <c r="BF249" s="871">
        <f t="shared" si="45"/>
        <v>13</v>
      </c>
    </row>
    <row r="250" spans="1:58" s="8" customFormat="1" ht="20.100000000000001" customHeight="1">
      <c r="A250" s="956">
        <v>121</v>
      </c>
      <c r="B250" s="1019">
        <v>3</v>
      </c>
      <c r="C250" s="956">
        <v>121</v>
      </c>
      <c r="D250" s="957"/>
      <c r="E250" s="957"/>
      <c r="F250" s="956"/>
      <c r="G250" s="958" t="s">
        <v>1335</v>
      </c>
      <c r="H250" s="958" t="s">
        <v>1335</v>
      </c>
      <c r="I250" s="958" t="s">
        <v>1335</v>
      </c>
      <c r="J250" s="958"/>
      <c r="K250" s="958">
        <v>0</v>
      </c>
      <c r="L250" s="958" t="s">
        <v>1335</v>
      </c>
      <c r="M250" s="958">
        <v>0</v>
      </c>
      <c r="N250" s="958" t="s">
        <v>1335</v>
      </c>
      <c r="O250" s="958" t="s">
        <v>1335</v>
      </c>
      <c r="P250" s="958" t="s">
        <v>1335</v>
      </c>
      <c r="Q250" s="958" t="s">
        <v>1335</v>
      </c>
      <c r="R250" s="958" t="s">
        <v>1335</v>
      </c>
      <c r="S250" s="958" t="s">
        <v>1335</v>
      </c>
      <c r="T250" s="958" t="s">
        <v>1335</v>
      </c>
      <c r="U250" s="958" t="s">
        <v>1335</v>
      </c>
      <c r="V250" s="982">
        <v>0</v>
      </c>
      <c r="W250" s="966"/>
      <c r="X250" s="982" t="s">
        <v>1335</v>
      </c>
      <c r="Y250" s="970"/>
      <c r="Z250" s="966"/>
      <c r="AA250" s="971"/>
      <c r="AB250" s="972"/>
      <c r="AC250" s="972"/>
      <c r="AD250" s="972"/>
      <c r="AE250" s="972"/>
      <c r="AF250" s="972"/>
      <c r="AG250" s="972"/>
      <c r="AH250" s="972"/>
      <c r="AI250" s="972"/>
      <c r="AJ250" s="972"/>
      <c r="AK250" s="972"/>
      <c r="AL250" s="972"/>
      <c r="AM250" s="972"/>
      <c r="AN250" s="972"/>
      <c r="AO250" s="972"/>
      <c r="AP250" s="972"/>
      <c r="AQ250" s="956">
        <f t="shared" si="46"/>
        <v>12</v>
      </c>
      <c r="AR250" s="956">
        <f t="shared" si="37"/>
        <v>1</v>
      </c>
      <c r="AS250" s="956">
        <f t="shared" si="38"/>
        <v>13</v>
      </c>
      <c r="AT250" s="982">
        <v>7</v>
      </c>
      <c r="AU250" s="981"/>
      <c r="AV250" s="981"/>
      <c r="AW250" s="981"/>
      <c r="AX250" s="993"/>
      <c r="AY250" s="993"/>
      <c r="AZ250" s="833">
        <f t="shared" si="39"/>
        <v>0</v>
      </c>
      <c r="BA250" s="983">
        <f t="shared" si="40"/>
        <v>0</v>
      </c>
      <c r="BB250" s="983">
        <f t="shared" si="41"/>
        <v>0</v>
      </c>
      <c r="BC250" s="983">
        <f t="shared" si="42"/>
        <v>0</v>
      </c>
      <c r="BD250" s="983">
        <f t="shared" si="43"/>
        <v>0</v>
      </c>
      <c r="BE250" s="983">
        <f t="shared" si="44"/>
        <v>0</v>
      </c>
      <c r="BF250" s="871">
        <f t="shared" si="45"/>
        <v>13</v>
      </c>
    </row>
    <row r="251" spans="1:58" s="8" customFormat="1" ht="20.100000000000001" customHeight="1">
      <c r="A251" s="956">
        <v>122</v>
      </c>
      <c r="B251" s="1019">
        <v>3</v>
      </c>
      <c r="C251" s="956">
        <v>122</v>
      </c>
      <c r="D251" s="957"/>
      <c r="E251" s="957"/>
      <c r="F251" s="956"/>
      <c r="G251" s="958" t="s">
        <v>1335</v>
      </c>
      <c r="H251" s="958" t="s">
        <v>1335</v>
      </c>
      <c r="I251" s="958" t="s">
        <v>1335</v>
      </c>
      <c r="J251" s="958"/>
      <c r="K251" s="958">
        <v>0</v>
      </c>
      <c r="L251" s="958" t="s">
        <v>1335</v>
      </c>
      <c r="M251" s="958" t="s">
        <v>1335</v>
      </c>
      <c r="N251" s="958" t="s">
        <v>1335</v>
      </c>
      <c r="O251" s="958" t="s">
        <v>1335</v>
      </c>
      <c r="P251" s="958" t="s">
        <v>1335</v>
      </c>
      <c r="Q251" s="958" t="s">
        <v>1335</v>
      </c>
      <c r="R251" s="958" t="s">
        <v>1335</v>
      </c>
      <c r="S251" s="958" t="s">
        <v>1335</v>
      </c>
      <c r="T251" s="958" t="s">
        <v>1335</v>
      </c>
      <c r="U251" s="958" t="s">
        <v>1335</v>
      </c>
      <c r="V251" s="982" t="s">
        <v>1335</v>
      </c>
      <c r="W251" s="966"/>
      <c r="X251" s="982" t="s">
        <v>1335</v>
      </c>
      <c r="Y251" s="970"/>
      <c r="Z251" s="966"/>
      <c r="AA251" s="971"/>
      <c r="AB251" s="972"/>
      <c r="AC251" s="972"/>
      <c r="AD251" s="972"/>
      <c r="AE251" s="972"/>
      <c r="AF251" s="972"/>
      <c r="AG251" s="972"/>
      <c r="AH251" s="972"/>
      <c r="AI251" s="972"/>
      <c r="AJ251" s="972"/>
      <c r="AK251" s="972"/>
      <c r="AL251" s="972"/>
      <c r="AM251" s="972"/>
      <c r="AN251" s="972"/>
      <c r="AO251" s="972"/>
      <c r="AP251" s="972"/>
      <c r="AQ251" s="956">
        <f t="shared" si="46"/>
        <v>13</v>
      </c>
      <c r="AR251" s="956">
        <f t="shared" si="37"/>
        <v>2</v>
      </c>
      <c r="AS251" s="956">
        <f t="shared" si="38"/>
        <v>15</v>
      </c>
      <c r="AT251" s="956">
        <v>9</v>
      </c>
      <c r="AU251" s="981"/>
      <c r="AV251" s="981"/>
      <c r="AW251" s="981"/>
      <c r="AX251" s="993"/>
      <c r="AY251" s="993"/>
      <c r="AZ251" s="833">
        <f t="shared" si="39"/>
        <v>0</v>
      </c>
      <c r="BA251" s="983">
        <f t="shared" si="40"/>
        <v>0</v>
      </c>
      <c r="BB251" s="983">
        <f t="shared" si="41"/>
        <v>0</v>
      </c>
      <c r="BC251" s="983">
        <f t="shared" si="42"/>
        <v>0</v>
      </c>
      <c r="BD251" s="983">
        <f t="shared" si="43"/>
        <v>0</v>
      </c>
      <c r="BE251" s="983">
        <f t="shared" si="44"/>
        <v>0</v>
      </c>
      <c r="BF251" s="871">
        <f t="shared" si="45"/>
        <v>15</v>
      </c>
    </row>
    <row r="252" spans="1:58" s="8" customFormat="1" ht="20.100000000000001" customHeight="1">
      <c r="A252" s="956">
        <v>123</v>
      </c>
      <c r="B252" s="1019">
        <v>3</v>
      </c>
      <c r="C252" s="956">
        <v>123</v>
      </c>
      <c r="D252" s="957"/>
      <c r="E252" s="957"/>
      <c r="F252" s="956"/>
      <c r="G252" s="958">
        <v>0</v>
      </c>
      <c r="H252" s="958" t="s">
        <v>1335</v>
      </c>
      <c r="I252" s="958" t="s">
        <v>1335</v>
      </c>
      <c r="J252" s="958"/>
      <c r="K252" s="958">
        <v>0</v>
      </c>
      <c r="L252" s="958" t="s">
        <v>1335</v>
      </c>
      <c r="M252" s="958" t="s">
        <v>1335</v>
      </c>
      <c r="N252" s="958" t="s">
        <v>1335</v>
      </c>
      <c r="O252" s="958" t="s">
        <v>1335</v>
      </c>
      <c r="P252" s="958" t="s">
        <v>1335</v>
      </c>
      <c r="Q252" s="958" t="s">
        <v>1335</v>
      </c>
      <c r="R252" s="958" t="s">
        <v>1335</v>
      </c>
      <c r="S252" s="958" t="s">
        <v>1335</v>
      </c>
      <c r="T252" s="958" t="s">
        <v>1335</v>
      </c>
      <c r="U252" s="958" t="s">
        <v>1335</v>
      </c>
      <c r="V252" s="982">
        <v>0</v>
      </c>
      <c r="W252" s="966"/>
      <c r="X252" s="982"/>
      <c r="Y252" s="970"/>
      <c r="Z252" s="966"/>
      <c r="AA252" s="971"/>
      <c r="AB252" s="972"/>
      <c r="AC252" s="972"/>
      <c r="AD252" s="972"/>
      <c r="AE252" s="972"/>
      <c r="AF252" s="972"/>
      <c r="AG252" s="972"/>
      <c r="AH252" s="972"/>
      <c r="AI252" s="972"/>
      <c r="AJ252" s="972"/>
      <c r="AK252" s="972"/>
      <c r="AL252" s="972"/>
      <c r="AM252" s="972"/>
      <c r="AN252" s="972"/>
      <c r="AO252" s="972"/>
      <c r="AP252" s="972"/>
      <c r="AQ252" s="956">
        <f t="shared" si="46"/>
        <v>12</v>
      </c>
      <c r="AR252" s="956">
        <f t="shared" si="37"/>
        <v>0</v>
      </c>
      <c r="AS252" s="956">
        <f t="shared" si="38"/>
        <v>12</v>
      </c>
      <c r="AT252" s="982">
        <v>0</v>
      </c>
      <c r="AU252" s="981"/>
      <c r="AV252" s="981"/>
      <c r="AW252" s="981"/>
      <c r="AX252" s="993"/>
      <c r="AY252" s="993"/>
      <c r="AZ252" s="833">
        <f t="shared" si="39"/>
        <v>0</v>
      </c>
      <c r="BA252" s="983">
        <f t="shared" si="40"/>
        <v>0</v>
      </c>
      <c r="BB252" s="983">
        <f t="shared" si="41"/>
        <v>0</v>
      </c>
      <c r="BC252" s="983">
        <f t="shared" si="42"/>
        <v>0</v>
      </c>
      <c r="BD252" s="983">
        <f t="shared" si="43"/>
        <v>0</v>
      </c>
      <c r="BE252" s="983">
        <f t="shared" si="44"/>
        <v>0</v>
      </c>
      <c r="BF252" s="871">
        <f t="shared" si="45"/>
        <v>0</v>
      </c>
    </row>
    <row r="253" spans="1:58" s="8" customFormat="1" ht="20.100000000000001" customHeight="1">
      <c r="A253" s="956">
        <v>124</v>
      </c>
      <c r="B253" s="1019">
        <v>3</v>
      </c>
      <c r="C253" s="956">
        <v>124</v>
      </c>
      <c r="D253" s="957"/>
      <c r="E253" s="957"/>
      <c r="F253" s="956"/>
      <c r="G253" s="958" t="s">
        <v>1335</v>
      </c>
      <c r="H253" s="958" t="s">
        <v>1335</v>
      </c>
      <c r="I253" s="958" t="s">
        <v>1335</v>
      </c>
      <c r="J253" s="958"/>
      <c r="K253" s="958">
        <v>0</v>
      </c>
      <c r="L253" s="958" t="s">
        <v>1335</v>
      </c>
      <c r="M253" s="958">
        <v>0</v>
      </c>
      <c r="N253" s="958" t="s">
        <v>1335</v>
      </c>
      <c r="O253" s="958" t="s">
        <v>1335</v>
      </c>
      <c r="P253" s="958" t="s">
        <v>1335</v>
      </c>
      <c r="Q253" s="958" t="s">
        <v>1335</v>
      </c>
      <c r="R253" s="958" t="s">
        <v>1335</v>
      </c>
      <c r="S253" s="958" t="s">
        <v>1335</v>
      </c>
      <c r="T253" s="958" t="s">
        <v>1335</v>
      </c>
      <c r="U253" s="958">
        <v>0</v>
      </c>
      <c r="V253" s="982">
        <v>0</v>
      </c>
      <c r="W253" s="966"/>
      <c r="X253" s="982"/>
      <c r="Y253" s="970"/>
      <c r="Z253" s="966"/>
      <c r="AA253" s="971"/>
      <c r="AB253" s="972"/>
      <c r="AC253" s="972"/>
      <c r="AD253" s="972"/>
      <c r="AE253" s="972"/>
      <c r="AF253" s="972"/>
      <c r="AG253" s="972"/>
      <c r="AH253" s="972"/>
      <c r="AI253" s="972"/>
      <c r="AJ253" s="972"/>
      <c r="AK253" s="972"/>
      <c r="AL253" s="972"/>
      <c r="AM253" s="972"/>
      <c r="AN253" s="972"/>
      <c r="AO253" s="972"/>
      <c r="AP253" s="972"/>
      <c r="AQ253" s="956">
        <f t="shared" si="46"/>
        <v>11</v>
      </c>
      <c r="AR253" s="956">
        <f t="shared" si="37"/>
        <v>0</v>
      </c>
      <c r="AS253" s="956">
        <f t="shared" si="38"/>
        <v>11</v>
      </c>
      <c r="AT253" s="956">
        <v>9</v>
      </c>
      <c r="AU253" s="981"/>
      <c r="AV253" s="981"/>
      <c r="AW253" s="981"/>
      <c r="AX253" s="993"/>
      <c r="AY253" s="993"/>
      <c r="AZ253" s="833">
        <f t="shared" si="39"/>
        <v>0</v>
      </c>
      <c r="BA253" s="983">
        <f t="shared" si="40"/>
        <v>0</v>
      </c>
      <c r="BB253" s="983">
        <f t="shared" si="41"/>
        <v>0</v>
      </c>
      <c r="BC253" s="983">
        <f t="shared" si="42"/>
        <v>0</v>
      </c>
      <c r="BD253" s="983">
        <f t="shared" si="43"/>
        <v>0</v>
      </c>
      <c r="BE253" s="983">
        <f t="shared" si="44"/>
        <v>0</v>
      </c>
      <c r="BF253" s="871">
        <f t="shared" si="45"/>
        <v>0</v>
      </c>
    </row>
    <row r="254" spans="1:58" s="8" customFormat="1" ht="20.100000000000001" customHeight="1">
      <c r="A254" s="956">
        <v>125</v>
      </c>
      <c r="B254" s="1019">
        <v>3</v>
      </c>
      <c r="C254" s="956">
        <v>125</v>
      </c>
      <c r="D254" s="957"/>
      <c r="E254" s="957"/>
      <c r="F254" s="956"/>
      <c r="G254" s="958" t="s">
        <v>1335</v>
      </c>
      <c r="H254" s="958" t="s">
        <v>1335</v>
      </c>
      <c r="I254" s="958" t="s">
        <v>1335</v>
      </c>
      <c r="J254" s="958"/>
      <c r="K254" s="958">
        <v>0</v>
      </c>
      <c r="L254" s="958" t="s">
        <v>1335</v>
      </c>
      <c r="M254" s="958">
        <v>0</v>
      </c>
      <c r="N254" s="958" t="s">
        <v>1335</v>
      </c>
      <c r="O254" s="958" t="s">
        <v>1335</v>
      </c>
      <c r="P254" s="958" t="s">
        <v>1335</v>
      </c>
      <c r="Q254" s="958" t="s">
        <v>1335</v>
      </c>
      <c r="R254" s="958" t="s">
        <v>1335</v>
      </c>
      <c r="S254" s="958" t="s">
        <v>1335</v>
      </c>
      <c r="T254" s="958" t="s">
        <v>1335</v>
      </c>
      <c r="U254" s="958" t="s">
        <v>1335</v>
      </c>
      <c r="V254" s="982">
        <v>0</v>
      </c>
      <c r="W254" s="966"/>
      <c r="X254" s="982" t="s">
        <v>1335</v>
      </c>
      <c r="Y254" s="970"/>
      <c r="Z254" s="966"/>
      <c r="AA254" s="971"/>
      <c r="AB254" s="972"/>
      <c r="AC254" s="972"/>
      <c r="AD254" s="972"/>
      <c r="AE254" s="972"/>
      <c r="AF254" s="972"/>
      <c r="AG254" s="972"/>
      <c r="AH254" s="972"/>
      <c r="AI254" s="972"/>
      <c r="AJ254" s="972"/>
      <c r="AK254" s="972"/>
      <c r="AL254" s="972"/>
      <c r="AM254" s="972"/>
      <c r="AN254" s="972"/>
      <c r="AO254" s="972"/>
      <c r="AP254" s="972"/>
      <c r="AQ254" s="956">
        <f t="shared" si="46"/>
        <v>12</v>
      </c>
      <c r="AR254" s="956">
        <f t="shared" si="37"/>
        <v>1</v>
      </c>
      <c r="AS254" s="956">
        <f t="shared" si="38"/>
        <v>13</v>
      </c>
      <c r="AT254" s="982">
        <v>6</v>
      </c>
      <c r="AU254" s="981"/>
      <c r="AV254" s="981"/>
      <c r="AW254" s="981"/>
      <c r="AX254" s="993"/>
      <c r="AY254" s="993"/>
      <c r="AZ254" s="833">
        <f t="shared" si="39"/>
        <v>0</v>
      </c>
      <c r="BA254" s="983">
        <f t="shared" si="40"/>
        <v>0</v>
      </c>
      <c r="BB254" s="983">
        <f t="shared" si="41"/>
        <v>0</v>
      </c>
      <c r="BC254" s="983">
        <f t="shared" si="42"/>
        <v>0</v>
      </c>
      <c r="BD254" s="983">
        <f t="shared" si="43"/>
        <v>0</v>
      </c>
      <c r="BE254" s="983">
        <f t="shared" si="44"/>
        <v>0</v>
      </c>
      <c r="BF254" s="871">
        <f t="shared" si="45"/>
        <v>13</v>
      </c>
    </row>
    <row r="255" spans="1:58" s="8" customFormat="1" ht="20.100000000000001" customHeight="1">
      <c r="A255" s="956">
        <v>126</v>
      </c>
      <c r="B255" s="1019">
        <v>3</v>
      </c>
      <c r="C255" s="956">
        <v>126</v>
      </c>
      <c r="D255" s="957"/>
      <c r="E255" s="957"/>
      <c r="F255" s="956"/>
      <c r="G255" s="958">
        <v>0</v>
      </c>
      <c r="H255" s="958" t="s">
        <v>1335</v>
      </c>
      <c r="I255" s="958" t="s">
        <v>1335</v>
      </c>
      <c r="J255" s="958"/>
      <c r="K255" s="958">
        <v>0</v>
      </c>
      <c r="L255" s="958" t="s">
        <v>1335</v>
      </c>
      <c r="M255" s="958">
        <v>0</v>
      </c>
      <c r="N255" s="958" t="s">
        <v>1335</v>
      </c>
      <c r="O255" s="958" t="s">
        <v>1335</v>
      </c>
      <c r="P255" s="958" t="s">
        <v>1335</v>
      </c>
      <c r="Q255" s="958" t="s">
        <v>1335</v>
      </c>
      <c r="R255" s="958" t="s">
        <v>1335</v>
      </c>
      <c r="S255" s="958" t="s">
        <v>1335</v>
      </c>
      <c r="T255" s="958" t="s">
        <v>1335</v>
      </c>
      <c r="U255" s="958" t="s">
        <v>1335</v>
      </c>
      <c r="V255" s="982" t="s">
        <v>1335</v>
      </c>
      <c r="W255" s="966"/>
      <c r="X255" s="982"/>
      <c r="Y255" s="970"/>
      <c r="Z255" s="966"/>
      <c r="AA255" s="971"/>
      <c r="AB255" s="972"/>
      <c r="AC255" s="972"/>
      <c r="AD255" s="972"/>
      <c r="AE255" s="972"/>
      <c r="AF255" s="972"/>
      <c r="AG255" s="972"/>
      <c r="AH255" s="972"/>
      <c r="AI255" s="972"/>
      <c r="AJ255" s="972"/>
      <c r="AK255" s="972"/>
      <c r="AL255" s="972"/>
      <c r="AM255" s="972"/>
      <c r="AN255" s="972"/>
      <c r="AO255" s="972"/>
      <c r="AP255" s="972"/>
      <c r="AQ255" s="956">
        <f t="shared" si="46"/>
        <v>11</v>
      </c>
      <c r="AR255" s="956">
        <f t="shared" si="37"/>
        <v>1</v>
      </c>
      <c r="AS255" s="956">
        <f t="shared" si="38"/>
        <v>12</v>
      </c>
      <c r="AT255" s="982">
        <v>0</v>
      </c>
      <c r="AU255" s="981"/>
      <c r="AV255" s="981"/>
      <c r="AW255" s="981"/>
      <c r="AX255" s="993"/>
      <c r="AY255" s="993"/>
      <c r="AZ255" s="833">
        <f t="shared" si="39"/>
        <v>0</v>
      </c>
      <c r="BA255" s="983">
        <f t="shared" si="40"/>
        <v>0</v>
      </c>
      <c r="BB255" s="983">
        <f t="shared" si="41"/>
        <v>0</v>
      </c>
      <c r="BC255" s="983">
        <f t="shared" si="42"/>
        <v>0</v>
      </c>
      <c r="BD255" s="983">
        <f t="shared" si="43"/>
        <v>0</v>
      </c>
      <c r="BE255" s="983">
        <f t="shared" si="44"/>
        <v>0</v>
      </c>
      <c r="BF255" s="871">
        <f t="shared" si="45"/>
        <v>0</v>
      </c>
    </row>
    <row r="256" spans="1:58" s="8" customFormat="1" ht="20.100000000000001" customHeight="1">
      <c r="A256" s="956">
        <v>127</v>
      </c>
      <c r="B256" s="1019">
        <v>3</v>
      </c>
      <c r="C256" s="956">
        <v>127</v>
      </c>
      <c r="D256" s="957"/>
      <c r="E256" s="957"/>
      <c r="F256" s="956"/>
      <c r="G256" s="958">
        <v>0</v>
      </c>
      <c r="H256" s="958" t="s">
        <v>1335</v>
      </c>
      <c r="I256" s="958" t="s">
        <v>1335</v>
      </c>
      <c r="J256" s="958"/>
      <c r="K256" s="958">
        <v>0</v>
      </c>
      <c r="L256" s="958" t="s">
        <v>1335</v>
      </c>
      <c r="M256" s="958" t="s">
        <v>1335</v>
      </c>
      <c r="N256" s="958" t="s">
        <v>1335</v>
      </c>
      <c r="O256" s="958" t="s">
        <v>1335</v>
      </c>
      <c r="P256" s="958" t="s">
        <v>1335</v>
      </c>
      <c r="Q256" s="958" t="s">
        <v>1335</v>
      </c>
      <c r="R256" s="958" t="s">
        <v>1335</v>
      </c>
      <c r="S256" s="958" t="s">
        <v>1335</v>
      </c>
      <c r="T256" s="958" t="s">
        <v>1335</v>
      </c>
      <c r="U256" s="958" t="s">
        <v>1335</v>
      </c>
      <c r="V256" s="982" t="s">
        <v>1335</v>
      </c>
      <c r="W256" s="966"/>
      <c r="X256" s="982" t="s">
        <v>1335</v>
      </c>
      <c r="Y256" s="970"/>
      <c r="Z256" s="966"/>
      <c r="AA256" s="971"/>
      <c r="AB256" s="972"/>
      <c r="AC256" s="972"/>
      <c r="AD256" s="972"/>
      <c r="AE256" s="972"/>
      <c r="AF256" s="972"/>
      <c r="AG256" s="972"/>
      <c r="AH256" s="972"/>
      <c r="AI256" s="972"/>
      <c r="AJ256" s="972"/>
      <c r="AK256" s="972"/>
      <c r="AL256" s="972"/>
      <c r="AM256" s="972"/>
      <c r="AN256" s="972"/>
      <c r="AO256" s="972"/>
      <c r="AP256" s="972"/>
      <c r="AQ256" s="956">
        <f t="shared" si="46"/>
        <v>12</v>
      </c>
      <c r="AR256" s="956">
        <f t="shared" si="37"/>
        <v>2</v>
      </c>
      <c r="AS256" s="956">
        <f t="shared" si="38"/>
        <v>14</v>
      </c>
      <c r="AT256" s="982">
        <v>0</v>
      </c>
      <c r="AU256" s="981"/>
      <c r="AV256" s="981"/>
      <c r="AW256" s="981"/>
      <c r="AX256" s="993"/>
      <c r="AY256" s="993"/>
      <c r="AZ256" s="833">
        <f t="shared" si="39"/>
        <v>0</v>
      </c>
      <c r="BA256" s="983">
        <f t="shared" si="40"/>
        <v>0</v>
      </c>
      <c r="BB256" s="983">
        <f t="shared" si="41"/>
        <v>0</v>
      </c>
      <c r="BC256" s="983">
        <f t="shared" si="42"/>
        <v>0</v>
      </c>
      <c r="BD256" s="983">
        <f t="shared" si="43"/>
        <v>0</v>
      </c>
      <c r="BE256" s="983">
        <f t="shared" si="44"/>
        <v>0</v>
      </c>
      <c r="BF256" s="871">
        <f t="shared" si="45"/>
        <v>14</v>
      </c>
    </row>
    <row r="257" spans="1:58" s="8" customFormat="1" ht="20.100000000000001" customHeight="1">
      <c r="A257" s="956">
        <v>128</v>
      </c>
      <c r="B257" s="1019">
        <v>3</v>
      </c>
      <c r="C257" s="956">
        <v>128</v>
      </c>
      <c r="D257" s="957"/>
      <c r="E257" s="957"/>
      <c r="F257" s="956"/>
      <c r="G257" s="958">
        <v>0</v>
      </c>
      <c r="H257" s="958" t="s">
        <v>1335</v>
      </c>
      <c r="I257" s="958" t="s">
        <v>1335</v>
      </c>
      <c r="J257" s="958"/>
      <c r="K257" s="958">
        <v>0</v>
      </c>
      <c r="L257" s="958" t="s">
        <v>1335</v>
      </c>
      <c r="M257" s="958" t="s">
        <v>1335</v>
      </c>
      <c r="N257" s="958" t="s">
        <v>1335</v>
      </c>
      <c r="O257" s="958" t="s">
        <v>1335</v>
      </c>
      <c r="P257" s="958" t="s">
        <v>1335</v>
      </c>
      <c r="Q257" s="958" t="s">
        <v>1335</v>
      </c>
      <c r="R257" s="958" t="s">
        <v>1335</v>
      </c>
      <c r="S257" s="958" t="s">
        <v>1335</v>
      </c>
      <c r="T257" s="958" t="s">
        <v>1335</v>
      </c>
      <c r="U257" s="958" t="s">
        <v>1335</v>
      </c>
      <c r="V257" s="982">
        <v>0</v>
      </c>
      <c r="W257" s="966"/>
      <c r="X257" s="982"/>
      <c r="Y257" s="970"/>
      <c r="Z257" s="966"/>
      <c r="AA257" s="971"/>
      <c r="AB257" s="972"/>
      <c r="AC257" s="972"/>
      <c r="AD257" s="972"/>
      <c r="AE257" s="972"/>
      <c r="AF257" s="972"/>
      <c r="AG257" s="972"/>
      <c r="AH257" s="972"/>
      <c r="AI257" s="972"/>
      <c r="AJ257" s="972"/>
      <c r="AK257" s="972"/>
      <c r="AL257" s="972"/>
      <c r="AM257" s="972"/>
      <c r="AN257" s="972"/>
      <c r="AO257" s="972"/>
      <c r="AP257" s="972"/>
      <c r="AQ257" s="956">
        <f t="shared" si="46"/>
        <v>12</v>
      </c>
      <c r="AR257" s="956">
        <f t="shared" si="37"/>
        <v>0</v>
      </c>
      <c r="AS257" s="956">
        <f t="shared" si="38"/>
        <v>12</v>
      </c>
      <c r="AT257" s="956">
        <v>9</v>
      </c>
      <c r="AU257" s="981"/>
      <c r="AV257" s="981"/>
      <c r="AW257" s="981"/>
      <c r="AX257" s="993"/>
      <c r="AY257" s="993"/>
      <c r="AZ257" s="833">
        <f t="shared" si="39"/>
        <v>0</v>
      </c>
      <c r="BA257" s="983">
        <f t="shared" si="40"/>
        <v>0</v>
      </c>
      <c r="BB257" s="983">
        <f t="shared" si="41"/>
        <v>0</v>
      </c>
      <c r="BC257" s="983">
        <f t="shared" si="42"/>
        <v>0</v>
      </c>
      <c r="BD257" s="983">
        <f t="shared" si="43"/>
        <v>0</v>
      </c>
      <c r="BE257" s="983">
        <f t="shared" si="44"/>
        <v>0</v>
      </c>
      <c r="BF257" s="871">
        <f t="shared" si="45"/>
        <v>0</v>
      </c>
    </row>
    <row r="258" spans="1:58" s="8" customFormat="1" ht="20.100000000000001" customHeight="1">
      <c r="A258" s="956">
        <v>129</v>
      </c>
      <c r="B258" s="1019">
        <v>3</v>
      </c>
      <c r="C258" s="956">
        <v>129</v>
      </c>
      <c r="D258" s="957"/>
      <c r="E258" s="957"/>
      <c r="F258" s="956"/>
      <c r="G258" s="958">
        <v>0</v>
      </c>
      <c r="H258" s="958" t="s">
        <v>1335</v>
      </c>
      <c r="I258" s="958" t="s">
        <v>1335</v>
      </c>
      <c r="J258" s="958"/>
      <c r="K258" s="958">
        <v>0</v>
      </c>
      <c r="L258" s="958" t="s">
        <v>1335</v>
      </c>
      <c r="M258" s="958">
        <v>0</v>
      </c>
      <c r="N258" s="958" t="s">
        <v>1335</v>
      </c>
      <c r="O258" s="958" t="s">
        <v>1335</v>
      </c>
      <c r="P258" s="958" t="s">
        <v>1335</v>
      </c>
      <c r="Q258" s="958" t="s">
        <v>1335</v>
      </c>
      <c r="R258" s="958" t="s">
        <v>1335</v>
      </c>
      <c r="S258" s="958" t="s">
        <v>1335</v>
      </c>
      <c r="T258" s="958" t="s">
        <v>1335</v>
      </c>
      <c r="U258" s="958" t="s">
        <v>1335</v>
      </c>
      <c r="V258" s="982" t="s">
        <v>1335</v>
      </c>
      <c r="W258" s="966"/>
      <c r="X258" s="982"/>
      <c r="Y258" s="970"/>
      <c r="Z258" s="966"/>
      <c r="AA258" s="971"/>
      <c r="AB258" s="972"/>
      <c r="AC258" s="972"/>
      <c r="AD258" s="972"/>
      <c r="AE258" s="972"/>
      <c r="AF258" s="972"/>
      <c r="AG258" s="972"/>
      <c r="AH258" s="972"/>
      <c r="AI258" s="972"/>
      <c r="AJ258" s="972"/>
      <c r="AK258" s="972"/>
      <c r="AL258" s="972"/>
      <c r="AM258" s="972"/>
      <c r="AN258" s="972"/>
      <c r="AO258" s="972"/>
      <c r="AP258" s="972"/>
      <c r="AQ258" s="956">
        <f t="shared" si="46"/>
        <v>11</v>
      </c>
      <c r="AR258" s="956">
        <f t="shared" si="37"/>
        <v>1</v>
      </c>
      <c r="AS258" s="956">
        <f t="shared" si="38"/>
        <v>12</v>
      </c>
      <c r="AT258" s="982">
        <v>0</v>
      </c>
      <c r="AU258" s="981"/>
      <c r="AV258" s="981"/>
      <c r="AW258" s="981"/>
      <c r="AX258" s="993"/>
      <c r="AY258" s="993"/>
      <c r="AZ258" s="833">
        <f t="shared" si="39"/>
        <v>0</v>
      </c>
      <c r="BA258" s="983">
        <f t="shared" si="40"/>
        <v>0</v>
      </c>
      <c r="BB258" s="983">
        <f t="shared" si="41"/>
        <v>0</v>
      </c>
      <c r="BC258" s="983">
        <f t="shared" si="42"/>
        <v>0</v>
      </c>
      <c r="BD258" s="983">
        <f t="shared" si="43"/>
        <v>0</v>
      </c>
      <c r="BE258" s="983">
        <f t="shared" si="44"/>
        <v>0</v>
      </c>
      <c r="BF258" s="871">
        <f t="shared" si="45"/>
        <v>0</v>
      </c>
    </row>
    <row r="259" spans="1:58" s="8" customFormat="1" ht="20.100000000000001" customHeight="1">
      <c r="A259" s="956">
        <v>130</v>
      </c>
      <c r="B259" s="1019">
        <v>3</v>
      </c>
      <c r="C259" s="956">
        <v>130</v>
      </c>
      <c r="D259" s="957"/>
      <c r="E259" s="957"/>
      <c r="F259" s="956"/>
      <c r="G259" s="958">
        <v>0</v>
      </c>
      <c r="H259" s="958">
        <v>0</v>
      </c>
      <c r="I259" s="958">
        <v>0</v>
      </c>
      <c r="J259" s="958"/>
      <c r="K259" s="958">
        <v>0</v>
      </c>
      <c r="L259" s="958">
        <v>0</v>
      </c>
      <c r="M259" s="958">
        <v>0</v>
      </c>
      <c r="N259" s="1020">
        <v>0</v>
      </c>
      <c r="O259" s="958" t="s">
        <v>1335</v>
      </c>
      <c r="P259" s="958" t="s">
        <v>1335</v>
      </c>
      <c r="Q259" s="958" t="s">
        <v>1335</v>
      </c>
      <c r="R259" s="958" t="s">
        <v>1335</v>
      </c>
      <c r="S259" s="958" t="s">
        <v>1335</v>
      </c>
      <c r="T259" s="958" t="s">
        <v>1335</v>
      </c>
      <c r="U259" s="958" t="s">
        <v>1335</v>
      </c>
      <c r="V259" s="982">
        <v>0</v>
      </c>
      <c r="W259" s="966"/>
      <c r="X259" s="982"/>
      <c r="Y259" s="970"/>
      <c r="Z259" s="966"/>
      <c r="AA259" s="971"/>
      <c r="AB259" s="972"/>
      <c r="AC259" s="972"/>
      <c r="AD259" s="972"/>
      <c r="AE259" s="972"/>
      <c r="AF259" s="972"/>
      <c r="AG259" s="972"/>
      <c r="AH259" s="972"/>
      <c r="AI259" s="972"/>
      <c r="AJ259" s="972"/>
      <c r="AK259" s="972"/>
      <c r="AL259" s="972"/>
      <c r="AM259" s="972"/>
      <c r="AN259" s="972"/>
      <c r="AO259" s="972"/>
      <c r="AP259" s="972"/>
      <c r="AQ259" s="956">
        <f t="shared" si="46"/>
        <v>7</v>
      </c>
      <c r="AR259" s="956">
        <f t="shared" si="37"/>
        <v>0</v>
      </c>
      <c r="AS259" s="956">
        <f t="shared" si="38"/>
        <v>7</v>
      </c>
      <c r="AT259" s="956">
        <v>9</v>
      </c>
      <c r="AU259" s="981"/>
      <c r="AV259" s="981"/>
      <c r="AW259" s="981"/>
      <c r="AX259" s="993"/>
      <c r="AY259" s="993"/>
      <c r="AZ259" s="833">
        <f t="shared" si="39"/>
        <v>0</v>
      </c>
      <c r="BA259" s="983">
        <f t="shared" si="40"/>
        <v>0</v>
      </c>
      <c r="BB259" s="983">
        <f t="shared" si="41"/>
        <v>0</v>
      </c>
      <c r="BC259" s="983">
        <f t="shared" si="42"/>
        <v>0</v>
      </c>
      <c r="BD259" s="983">
        <f t="shared" si="43"/>
        <v>0</v>
      </c>
      <c r="BE259" s="983">
        <f t="shared" si="44"/>
        <v>0</v>
      </c>
      <c r="BF259" s="871">
        <f t="shared" si="45"/>
        <v>0</v>
      </c>
    </row>
    <row r="260" spans="1:58" s="8" customFormat="1" ht="20.100000000000001" customHeight="1">
      <c r="A260" s="956">
        <v>131</v>
      </c>
      <c r="B260" s="1019">
        <v>3</v>
      </c>
      <c r="C260" s="956">
        <v>131</v>
      </c>
      <c r="D260" s="957"/>
      <c r="E260" s="957"/>
      <c r="F260" s="956"/>
      <c r="G260" s="958">
        <v>0</v>
      </c>
      <c r="H260" s="958">
        <v>0</v>
      </c>
      <c r="I260" s="958">
        <v>0</v>
      </c>
      <c r="J260" s="958"/>
      <c r="K260" s="958">
        <v>0</v>
      </c>
      <c r="L260" s="958">
        <v>0</v>
      </c>
      <c r="M260" s="958">
        <v>0</v>
      </c>
      <c r="N260" s="958">
        <v>0</v>
      </c>
      <c r="O260" s="958">
        <v>0</v>
      </c>
      <c r="P260" s="958">
        <v>0</v>
      </c>
      <c r="Q260" s="958" t="s">
        <v>1335</v>
      </c>
      <c r="R260" s="958" t="s">
        <v>1335</v>
      </c>
      <c r="S260" s="958" t="s">
        <v>1335</v>
      </c>
      <c r="T260" s="958" t="s">
        <v>1335</v>
      </c>
      <c r="U260" s="958" t="s">
        <v>1335</v>
      </c>
      <c r="V260" s="982">
        <v>0</v>
      </c>
      <c r="W260" s="966"/>
      <c r="X260" s="982"/>
      <c r="Y260" s="970"/>
      <c r="Z260" s="966"/>
      <c r="AA260" s="971"/>
      <c r="AB260" s="972"/>
      <c r="AC260" s="972"/>
      <c r="AD260" s="972"/>
      <c r="AE260" s="972"/>
      <c r="AF260" s="972"/>
      <c r="AG260" s="972"/>
      <c r="AH260" s="972"/>
      <c r="AI260" s="972"/>
      <c r="AJ260" s="972"/>
      <c r="AK260" s="972"/>
      <c r="AL260" s="972"/>
      <c r="AM260" s="972"/>
      <c r="AN260" s="972"/>
      <c r="AO260" s="972"/>
      <c r="AP260" s="972"/>
      <c r="AQ260" s="956">
        <f t="shared" si="46"/>
        <v>5</v>
      </c>
      <c r="AR260" s="956">
        <f t="shared" si="37"/>
        <v>0</v>
      </c>
      <c r="AS260" s="956">
        <f t="shared" si="38"/>
        <v>5</v>
      </c>
      <c r="AT260" s="956">
        <v>9</v>
      </c>
      <c r="AU260" s="981"/>
      <c r="AV260" s="981"/>
      <c r="AW260" s="981"/>
      <c r="AX260" s="993"/>
      <c r="AY260" s="993"/>
      <c r="AZ260" s="833">
        <f t="shared" si="39"/>
        <v>0</v>
      </c>
      <c r="BA260" s="983">
        <f t="shared" si="40"/>
        <v>0</v>
      </c>
      <c r="BB260" s="983">
        <f t="shared" si="41"/>
        <v>0</v>
      </c>
      <c r="BC260" s="983">
        <f t="shared" si="42"/>
        <v>0</v>
      </c>
      <c r="BD260" s="983">
        <f t="shared" si="43"/>
        <v>0</v>
      </c>
      <c r="BE260" s="983">
        <f t="shared" si="44"/>
        <v>0</v>
      </c>
      <c r="BF260" s="871">
        <f t="shared" si="45"/>
        <v>0</v>
      </c>
    </row>
    <row r="261" spans="1:58" s="8" customFormat="1" ht="20.100000000000001" customHeight="1">
      <c r="A261" s="956">
        <v>132</v>
      </c>
      <c r="B261" s="1019">
        <v>3</v>
      </c>
      <c r="C261" s="956">
        <v>132</v>
      </c>
      <c r="D261" s="957"/>
      <c r="E261" s="957"/>
      <c r="F261" s="956"/>
      <c r="G261" s="958" t="s">
        <v>1335</v>
      </c>
      <c r="H261" s="958" t="s">
        <v>1335</v>
      </c>
      <c r="I261" s="958" t="s">
        <v>1335</v>
      </c>
      <c r="J261" s="958"/>
      <c r="K261" s="958" t="s">
        <v>1335</v>
      </c>
      <c r="L261" s="958" t="s">
        <v>1335</v>
      </c>
      <c r="M261" s="958" t="s">
        <v>1335</v>
      </c>
      <c r="N261" s="958" t="s">
        <v>1335</v>
      </c>
      <c r="O261" s="958" t="s">
        <v>1335</v>
      </c>
      <c r="P261" s="958" t="s">
        <v>1335</v>
      </c>
      <c r="Q261" s="958" t="s">
        <v>1335</v>
      </c>
      <c r="R261" s="958" t="s">
        <v>1335</v>
      </c>
      <c r="S261" s="958" t="s">
        <v>1335</v>
      </c>
      <c r="T261" s="958" t="s">
        <v>1335</v>
      </c>
      <c r="U261" s="958" t="s">
        <v>1335</v>
      </c>
      <c r="V261" s="982">
        <v>0</v>
      </c>
      <c r="W261" s="966"/>
      <c r="X261" s="982"/>
      <c r="Y261" s="970"/>
      <c r="Z261" s="966"/>
      <c r="AA261" s="971"/>
      <c r="AB261" s="972"/>
      <c r="AC261" s="972"/>
      <c r="AD261" s="972"/>
      <c r="AE261" s="972"/>
      <c r="AF261" s="972"/>
      <c r="AG261" s="972"/>
      <c r="AH261" s="972"/>
      <c r="AI261" s="972"/>
      <c r="AJ261" s="972"/>
      <c r="AK261" s="972"/>
      <c r="AL261" s="972"/>
      <c r="AM261" s="972"/>
      <c r="AN261" s="972"/>
      <c r="AO261" s="972"/>
      <c r="AP261" s="972"/>
      <c r="AQ261" s="956">
        <f t="shared" si="46"/>
        <v>14</v>
      </c>
      <c r="AR261" s="956">
        <f t="shared" si="37"/>
        <v>0</v>
      </c>
      <c r="AS261" s="956">
        <f t="shared" si="38"/>
        <v>14</v>
      </c>
      <c r="AT261" s="956">
        <v>9</v>
      </c>
      <c r="AU261" s="981"/>
      <c r="AV261" s="981"/>
      <c r="AW261" s="981"/>
      <c r="AX261" s="993"/>
      <c r="AY261" s="993"/>
      <c r="AZ261" s="833">
        <f t="shared" si="39"/>
        <v>0</v>
      </c>
      <c r="BA261" s="983">
        <f t="shared" si="40"/>
        <v>0</v>
      </c>
      <c r="BB261" s="983">
        <f t="shared" si="41"/>
        <v>0</v>
      </c>
      <c r="BC261" s="983">
        <f t="shared" si="42"/>
        <v>0</v>
      </c>
      <c r="BD261" s="983">
        <f t="shared" si="43"/>
        <v>0</v>
      </c>
      <c r="BE261" s="983">
        <f t="shared" si="44"/>
        <v>0</v>
      </c>
      <c r="BF261" s="871">
        <f t="shared" si="45"/>
        <v>14</v>
      </c>
    </row>
    <row r="262" spans="1:58" s="8" customFormat="1" ht="20.100000000000001" customHeight="1">
      <c r="A262" s="956">
        <v>133</v>
      </c>
      <c r="B262" s="1019">
        <v>3</v>
      </c>
      <c r="C262" s="956">
        <v>133</v>
      </c>
      <c r="D262" s="957"/>
      <c r="E262" s="957"/>
      <c r="F262" s="956"/>
      <c r="G262" s="958" t="s">
        <v>1335</v>
      </c>
      <c r="H262" s="958" t="s">
        <v>1335</v>
      </c>
      <c r="I262" s="958" t="s">
        <v>1335</v>
      </c>
      <c r="J262" s="958"/>
      <c r="K262" s="958" t="s">
        <v>1335</v>
      </c>
      <c r="L262" s="958" t="s">
        <v>1335</v>
      </c>
      <c r="M262" s="958">
        <v>0</v>
      </c>
      <c r="N262" s="958" t="s">
        <v>1335</v>
      </c>
      <c r="O262" s="958" t="s">
        <v>1335</v>
      </c>
      <c r="P262" s="958" t="s">
        <v>1335</v>
      </c>
      <c r="Q262" s="958" t="s">
        <v>1335</v>
      </c>
      <c r="R262" s="958" t="s">
        <v>1335</v>
      </c>
      <c r="S262" s="958" t="s">
        <v>1335</v>
      </c>
      <c r="T262" s="958" t="s">
        <v>1335</v>
      </c>
      <c r="U262" s="958" t="s">
        <v>1335</v>
      </c>
      <c r="V262" s="982">
        <v>0</v>
      </c>
      <c r="W262" s="966"/>
      <c r="X262" s="982"/>
      <c r="Y262" s="970"/>
      <c r="Z262" s="966"/>
      <c r="AA262" s="971"/>
      <c r="AB262" s="972"/>
      <c r="AC262" s="972"/>
      <c r="AD262" s="972"/>
      <c r="AE262" s="972"/>
      <c r="AF262" s="972"/>
      <c r="AG262" s="972"/>
      <c r="AH262" s="972"/>
      <c r="AI262" s="972"/>
      <c r="AJ262" s="972"/>
      <c r="AK262" s="972"/>
      <c r="AL262" s="972"/>
      <c r="AM262" s="972"/>
      <c r="AN262" s="972"/>
      <c r="AO262" s="972"/>
      <c r="AP262" s="972"/>
      <c r="AQ262" s="956">
        <f t="shared" si="46"/>
        <v>13</v>
      </c>
      <c r="AR262" s="956">
        <f t="shared" si="37"/>
        <v>0</v>
      </c>
      <c r="AS262" s="956">
        <f t="shared" si="38"/>
        <v>13</v>
      </c>
      <c r="AT262" s="956">
        <v>9</v>
      </c>
      <c r="AU262" s="981"/>
      <c r="AV262" s="981"/>
      <c r="AW262" s="981"/>
      <c r="AX262" s="993"/>
      <c r="AY262" s="993"/>
      <c r="AZ262" s="833">
        <f t="shared" si="39"/>
        <v>0</v>
      </c>
      <c r="BA262" s="983">
        <f t="shared" si="40"/>
        <v>0</v>
      </c>
      <c r="BB262" s="983">
        <f t="shared" si="41"/>
        <v>0</v>
      </c>
      <c r="BC262" s="983">
        <f t="shared" si="42"/>
        <v>0</v>
      </c>
      <c r="BD262" s="983">
        <f t="shared" si="43"/>
        <v>0</v>
      </c>
      <c r="BE262" s="983">
        <f t="shared" si="44"/>
        <v>0</v>
      </c>
      <c r="BF262" s="871">
        <f t="shared" si="45"/>
        <v>13</v>
      </c>
    </row>
    <row r="263" spans="1:58" s="8" customFormat="1" ht="20.100000000000001" customHeight="1">
      <c r="A263" s="956">
        <v>134</v>
      </c>
      <c r="B263" s="1019">
        <v>3</v>
      </c>
      <c r="C263" s="956">
        <v>134</v>
      </c>
      <c r="D263" s="957"/>
      <c r="E263" s="957"/>
      <c r="F263" s="956"/>
      <c r="G263" s="958">
        <v>0</v>
      </c>
      <c r="H263" s="958" t="s">
        <v>1335</v>
      </c>
      <c r="I263" s="958" t="s">
        <v>1335</v>
      </c>
      <c r="J263" s="958"/>
      <c r="K263" s="958">
        <v>0</v>
      </c>
      <c r="L263" s="958" t="s">
        <v>1335</v>
      </c>
      <c r="M263" s="958" t="s">
        <v>1335</v>
      </c>
      <c r="N263" s="958" t="s">
        <v>1335</v>
      </c>
      <c r="O263" s="958" t="s">
        <v>1335</v>
      </c>
      <c r="P263" s="958" t="s">
        <v>1335</v>
      </c>
      <c r="Q263" s="958" t="s">
        <v>1335</v>
      </c>
      <c r="R263" s="958" t="s">
        <v>1335</v>
      </c>
      <c r="S263" s="958" t="s">
        <v>1335</v>
      </c>
      <c r="T263" s="958" t="s">
        <v>1335</v>
      </c>
      <c r="U263" s="958" t="s">
        <v>1335</v>
      </c>
      <c r="V263" s="982" t="s">
        <v>1335</v>
      </c>
      <c r="W263" s="966"/>
      <c r="X263" s="982" t="s">
        <v>1335</v>
      </c>
      <c r="Y263" s="970"/>
      <c r="Z263" s="966"/>
      <c r="AA263" s="971"/>
      <c r="AB263" s="972"/>
      <c r="AC263" s="972"/>
      <c r="AD263" s="972"/>
      <c r="AE263" s="972"/>
      <c r="AF263" s="972"/>
      <c r="AG263" s="972"/>
      <c r="AH263" s="972"/>
      <c r="AI263" s="972"/>
      <c r="AJ263" s="972"/>
      <c r="AK263" s="972"/>
      <c r="AL263" s="972"/>
      <c r="AM263" s="972"/>
      <c r="AN263" s="972"/>
      <c r="AO263" s="972"/>
      <c r="AP263" s="972"/>
      <c r="AQ263" s="956">
        <f t="shared" si="46"/>
        <v>12</v>
      </c>
      <c r="AR263" s="956">
        <f t="shared" si="37"/>
        <v>2</v>
      </c>
      <c r="AS263" s="956">
        <f t="shared" si="38"/>
        <v>14</v>
      </c>
      <c r="AT263" s="956">
        <v>9</v>
      </c>
      <c r="AU263" s="981"/>
      <c r="AV263" s="981"/>
      <c r="AW263" s="981"/>
      <c r="AX263" s="993"/>
      <c r="AY263" s="993"/>
      <c r="AZ263" s="833">
        <f t="shared" si="39"/>
        <v>0</v>
      </c>
      <c r="BA263" s="983">
        <f t="shared" si="40"/>
        <v>0</v>
      </c>
      <c r="BB263" s="983">
        <f t="shared" si="41"/>
        <v>0</v>
      </c>
      <c r="BC263" s="983">
        <f t="shared" si="42"/>
        <v>0</v>
      </c>
      <c r="BD263" s="983">
        <f t="shared" si="43"/>
        <v>0</v>
      </c>
      <c r="BE263" s="983">
        <f t="shared" si="44"/>
        <v>0</v>
      </c>
      <c r="BF263" s="871">
        <f t="shared" si="45"/>
        <v>14</v>
      </c>
    </row>
    <row r="264" spans="1:58" s="8" customFormat="1" ht="20.100000000000001" customHeight="1">
      <c r="A264" s="956">
        <v>135</v>
      </c>
      <c r="B264" s="1019">
        <v>3</v>
      </c>
      <c r="C264" s="956">
        <v>135</v>
      </c>
      <c r="D264" s="957"/>
      <c r="E264" s="957"/>
      <c r="F264" s="956"/>
      <c r="G264" s="958" t="s">
        <v>1335</v>
      </c>
      <c r="H264" s="958" t="s">
        <v>1335</v>
      </c>
      <c r="I264" s="958">
        <v>0</v>
      </c>
      <c r="J264" s="958"/>
      <c r="K264" s="958">
        <v>0</v>
      </c>
      <c r="L264" s="958" t="s">
        <v>1335</v>
      </c>
      <c r="M264" s="958" t="s">
        <v>1335</v>
      </c>
      <c r="N264" s="958" t="s">
        <v>1335</v>
      </c>
      <c r="O264" s="958" t="s">
        <v>1335</v>
      </c>
      <c r="P264" s="958" t="s">
        <v>1335</v>
      </c>
      <c r="Q264" s="958" t="s">
        <v>1335</v>
      </c>
      <c r="R264" s="958" t="s">
        <v>1335</v>
      </c>
      <c r="S264" s="958" t="s">
        <v>1335</v>
      </c>
      <c r="T264" s="958" t="s">
        <v>1335</v>
      </c>
      <c r="U264" s="958" t="s">
        <v>1335</v>
      </c>
      <c r="V264" s="982" t="s">
        <v>1335</v>
      </c>
      <c r="W264" s="966"/>
      <c r="X264" s="982"/>
      <c r="Y264" s="970"/>
      <c r="Z264" s="966"/>
      <c r="AA264" s="971"/>
      <c r="AB264" s="972"/>
      <c r="AC264" s="972"/>
      <c r="AD264" s="972"/>
      <c r="AE264" s="972"/>
      <c r="AF264" s="972"/>
      <c r="AG264" s="972"/>
      <c r="AH264" s="972"/>
      <c r="AI264" s="972"/>
      <c r="AJ264" s="972"/>
      <c r="AK264" s="972"/>
      <c r="AL264" s="972"/>
      <c r="AM264" s="972"/>
      <c r="AN264" s="972"/>
      <c r="AO264" s="972"/>
      <c r="AP264" s="972"/>
      <c r="AQ264" s="956">
        <f t="shared" si="46"/>
        <v>12</v>
      </c>
      <c r="AR264" s="956">
        <f t="shared" si="37"/>
        <v>1</v>
      </c>
      <c r="AS264" s="956">
        <f t="shared" si="38"/>
        <v>13</v>
      </c>
      <c r="AT264" s="956">
        <v>9</v>
      </c>
      <c r="AU264" s="981"/>
      <c r="AV264" s="981"/>
      <c r="AW264" s="981"/>
      <c r="AX264" s="993"/>
      <c r="AY264" s="993"/>
      <c r="AZ264" s="833">
        <f t="shared" si="39"/>
        <v>0</v>
      </c>
      <c r="BA264" s="983">
        <f t="shared" si="40"/>
        <v>0</v>
      </c>
      <c r="BB264" s="983">
        <f t="shared" si="41"/>
        <v>0</v>
      </c>
      <c r="BC264" s="983">
        <f t="shared" si="42"/>
        <v>0</v>
      </c>
      <c r="BD264" s="983">
        <f t="shared" si="43"/>
        <v>0</v>
      </c>
      <c r="BE264" s="983">
        <f t="shared" si="44"/>
        <v>0</v>
      </c>
      <c r="BF264" s="871">
        <f t="shared" si="45"/>
        <v>13</v>
      </c>
    </row>
    <row r="265" spans="1:58" s="8" customFormat="1" ht="20.100000000000001" customHeight="1">
      <c r="A265" s="956">
        <v>136</v>
      </c>
      <c r="B265" s="1019">
        <v>3</v>
      </c>
      <c r="C265" s="956">
        <v>136</v>
      </c>
      <c r="D265" s="957"/>
      <c r="E265" s="957"/>
      <c r="F265" s="956"/>
      <c r="G265" s="958">
        <v>0</v>
      </c>
      <c r="H265" s="958" t="s">
        <v>1335</v>
      </c>
      <c r="I265" s="958">
        <v>0</v>
      </c>
      <c r="J265" s="958"/>
      <c r="K265" s="958" t="s">
        <v>1335</v>
      </c>
      <c r="L265" s="958" t="s">
        <v>1335</v>
      </c>
      <c r="M265" s="958" t="s">
        <v>1335</v>
      </c>
      <c r="N265" s="958" t="s">
        <v>1335</v>
      </c>
      <c r="O265" s="958" t="s">
        <v>1335</v>
      </c>
      <c r="P265" s="958" t="s">
        <v>1335</v>
      </c>
      <c r="Q265" s="958" t="s">
        <v>1335</v>
      </c>
      <c r="R265" s="958" t="s">
        <v>1335</v>
      </c>
      <c r="S265" s="958" t="s">
        <v>1335</v>
      </c>
      <c r="T265" s="958">
        <v>0</v>
      </c>
      <c r="U265" s="958">
        <v>0</v>
      </c>
      <c r="V265" s="982" t="s">
        <v>1335</v>
      </c>
      <c r="W265" s="966"/>
      <c r="X265" s="982"/>
      <c r="Y265" s="970"/>
      <c r="Z265" s="966"/>
      <c r="AA265" s="971"/>
      <c r="AB265" s="972"/>
      <c r="AC265" s="972"/>
      <c r="AD265" s="972"/>
      <c r="AE265" s="972"/>
      <c r="AF265" s="972"/>
      <c r="AG265" s="972"/>
      <c r="AH265" s="972"/>
      <c r="AI265" s="972"/>
      <c r="AJ265" s="972"/>
      <c r="AK265" s="972"/>
      <c r="AL265" s="972"/>
      <c r="AM265" s="972"/>
      <c r="AN265" s="972"/>
      <c r="AO265" s="972"/>
      <c r="AP265" s="972"/>
      <c r="AQ265" s="956">
        <f t="shared" si="46"/>
        <v>10</v>
      </c>
      <c r="AR265" s="956">
        <f t="shared" si="37"/>
        <v>1</v>
      </c>
      <c r="AS265" s="956">
        <f t="shared" si="38"/>
        <v>11</v>
      </c>
      <c r="AT265" s="956">
        <v>9</v>
      </c>
      <c r="AU265" s="981"/>
      <c r="AV265" s="981"/>
      <c r="AW265" s="981"/>
      <c r="AX265" s="993" t="e">
        <f>#REF!-#REF!</f>
        <v>#REF!</v>
      </c>
      <c r="AY265" s="993"/>
      <c r="AZ265" s="833">
        <f t="shared" si="39"/>
        <v>0</v>
      </c>
      <c r="BA265" s="983">
        <f t="shared" si="40"/>
        <v>0</v>
      </c>
      <c r="BB265" s="983">
        <f t="shared" si="41"/>
        <v>0</v>
      </c>
      <c r="BC265" s="983">
        <f t="shared" si="42"/>
        <v>0</v>
      </c>
      <c r="BD265" s="983">
        <f t="shared" si="43"/>
        <v>0</v>
      </c>
      <c r="BE265" s="983">
        <f t="shared" si="44"/>
        <v>0</v>
      </c>
      <c r="BF265" s="871">
        <f t="shared" si="45"/>
        <v>0</v>
      </c>
    </row>
    <row r="266" spans="1:58" s="8" customFormat="1" ht="20.100000000000001" customHeight="1">
      <c r="A266" s="956">
        <v>215</v>
      </c>
      <c r="B266" s="1021">
        <v>6</v>
      </c>
      <c r="C266" s="956">
        <v>215</v>
      </c>
      <c r="D266" s="957"/>
      <c r="E266" s="957"/>
      <c r="F266" s="956"/>
      <c r="G266" s="958">
        <v>0</v>
      </c>
      <c r="H266" s="958" t="s">
        <v>1335</v>
      </c>
      <c r="I266" s="958" t="s">
        <v>1335</v>
      </c>
      <c r="J266" s="958"/>
      <c r="K266" s="958" t="s">
        <v>1335</v>
      </c>
      <c r="L266" s="958" t="s">
        <v>1335</v>
      </c>
      <c r="M266" s="958" t="s">
        <v>1335</v>
      </c>
      <c r="N266" s="958" t="s">
        <v>1335</v>
      </c>
      <c r="O266" s="958" t="s">
        <v>1335</v>
      </c>
      <c r="P266" s="958" t="s">
        <v>1335</v>
      </c>
      <c r="Q266" s="958">
        <v>0</v>
      </c>
      <c r="R266" s="958" t="s">
        <v>1335</v>
      </c>
      <c r="S266" s="958" t="s">
        <v>1335</v>
      </c>
      <c r="T266" s="958" t="s">
        <v>1335</v>
      </c>
      <c r="U266" s="958" t="s">
        <v>1335</v>
      </c>
      <c r="V266" s="982" t="s">
        <v>1335</v>
      </c>
      <c r="W266" s="966"/>
      <c r="X266" s="982" t="s">
        <v>1335</v>
      </c>
      <c r="Y266" s="970"/>
      <c r="Z266" s="966"/>
      <c r="AA266" s="971"/>
      <c r="AB266" s="972"/>
      <c r="AC266" s="972"/>
      <c r="AD266" s="972"/>
      <c r="AE266" s="972"/>
      <c r="AF266" s="972"/>
      <c r="AG266" s="972"/>
      <c r="AH266" s="972"/>
      <c r="AI266" s="972"/>
      <c r="AJ266" s="972"/>
      <c r="AK266" s="972"/>
      <c r="AL266" s="972"/>
      <c r="AM266" s="972"/>
      <c r="AN266" s="972"/>
      <c r="AO266" s="972"/>
      <c r="AP266" s="956"/>
      <c r="AQ266" s="956">
        <f t="shared" si="46"/>
        <v>12</v>
      </c>
      <c r="AR266" s="956">
        <f t="shared" si="37"/>
        <v>2</v>
      </c>
      <c r="AS266" s="956">
        <f t="shared" ref="AS266:AS281" si="47">AQ266+AR266</f>
        <v>14</v>
      </c>
      <c r="AT266" s="956">
        <v>9</v>
      </c>
      <c r="AU266" s="981"/>
      <c r="AV266" s="981"/>
      <c r="AW266" s="981"/>
      <c r="AX266" s="993" t="s">
        <v>1338</v>
      </c>
      <c r="AY266" s="993"/>
      <c r="AZ266" s="833">
        <f t="shared" ref="AZ266:AZ281" si="48">AY266*25000</f>
        <v>0</v>
      </c>
      <c r="BA266" s="983" t="e">
        <f t="shared" ref="BA266:BA281" si="49">#N/A</f>
        <v>#N/A</v>
      </c>
      <c r="BB266" s="983" t="e">
        <f t="shared" ref="BB266:BB281" si="50">#N/A</f>
        <v>#N/A</v>
      </c>
      <c r="BC266" s="983" t="e">
        <f t="shared" ref="BC266:BC281" si="51">#N/A</f>
        <v>#N/A</v>
      </c>
      <c r="BD266" s="983" t="e">
        <f t="shared" ref="BD266:BD281" si="52">#N/A</f>
        <v>#N/A</v>
      </c>
      <c r="BE266" s="983" t="e">
        <f t="shared" ref="BE266:BE281" si="53">SUM(BA266:BD266)</f>
        <v>#N/A</v>
      </c>
      <c r="BF266" s="871" t="e">
        <f t="shared" ref="BF266:BF281" si="54">BE266-AQ266</f>
        <v>#N/A</v>
      </c>
    </row>
    <row r="267" spans="1:58" s="8" customFormat="1" ht="20.100000000000001" customHeight="1">
      <c r="A267" s="956">
        <v>216</v>
      </c>
      <c r="B267" s="1021">
        <v>6</v>
      </c>
      <c r="C267" s="956">
        <v>216</v>
      </c>
      <c r="D267" s="957"/>
      <c r="E267" s="957"/>
      <c r="F267" s="956"/>
      <c r="G267" s="958">
        <v>0</v>
      </c>
      <c r="H267" s="958" t="s">
        <v>1335</v>
      </c>
      <c r="I267" s="958">
        <v>0</v>
      </c>
      <c r="J267" s="958"/>
      <c r="K267" s="958" t="s">
        <v>1335</v>
      </c>
      <c r="L267" s="958" t="s">
        <v>1335</v>
      </c>
      <c r="M267" s="958" t="s">
        <v>1335</v>
      </c>
      <c r="N267" s="958">
        <v>0</v>
      </c>
      <c r="O267" s="958" t="s">
        <v>1335</v>
      </c>
      <c r="P267" s="958" t="s">
        <v>1335</v>
      </c>
      <c r="Q267" s="958" t="s">
        <v>1335</v>
      </c>
      <c r="R267" s="958">
        <v>0</v>
      </c>
      <c r="S267" s="958" t="s">
        <v>1335</v>
      </c>
      <c r="T267" s="958" t="s">
        <v>1335</v>
      </c>
      <c r="U267" s="958" t="s">
        <v>1335</v>
      </c>
      <c r="V267" s="982" t="s">
        <v>1335</v>
      </c>
      <c r="W267" s="966"/>
      <c r="X267" s="982" t="s">
        <v>1335</v>
      </c>
      <c r="Y267" s="970"/>
      <c r="Z267" s="966"/>
      <c r="AA267" s="971"/>
      <c r="AB267" s="972"/>
      <c r="AC267" s="972"/>
      <c r="AD267" s="972"/>
      <c r="AE267" s="972"/>
      <c r="AF267" s="972"/>
      <c r="AG267" s="972"/>
      <c r="AH267" s="972"/>
      <c r="AI267" s="972"/>
      <c r="AJ267" s="972"/>
      <c r="AK267" s="972"/>
      <c r="AL267" s="972"/>
      <c r="AM267" s="972"/>
      <c r="AN267" s="972"/>
      <c r="AO267" s="972"/>
      <c r="AP267" s="956"/>
      <c r="AQ267" s="956">
        <f t="shared" ref="AQ267:AQ313" si="55">COUNTIF(G267:U267,"X")</f>
        <v>10</v>
      </c>
      <c r="AR267" s="956">
        <f t="shared" ref="AR267:AR313" si="56">COUNTIF(V267:AA267,"X")</f>
        <v>2</v>
      </c>
      <c r="AS267" s="956">
        <f t="shared" si="47"/>
        <v>12</v>
      </c>
      <c r="AT267" s="956">
        <v>9</v>
      </c>
      <c r="AU267" s="981"/>
      <c r="AV267" s="981"/>
      <c r="AW267" s="981"/>
      <c r="AX267" s="993"/>
      <c r="AY267" s="993"/>
      <c r="AZ267" s="833">
        <f t="shared" si="48"/>
        <v>0</v>
      </c>
      <c r="BA267" s="983" t="e">
        <f t="shared" si="49"/>
        <v>#N/A</v>
      </c>
      <c r="BB267" s="983" t="e">
        <f t="shared" si="50"/>
        <v>#N/A</v>
      </c>
      <c r="BC267" s="983" t="e">
        <f t="shared" si="51"/>
        <v>#N/A</v>
      </c>
      <c r="BD267" s="983" t="e">
        <f t="shared" si="52"/>
        <v>#N/A</v>
      </c>
      <c r="BE267" s="983" t="e">
        <f t="shared" si="53"/>
        <v>#N/A</v>
      </c>
      <c r="BF267" s="871" t="e">
        <f t="shared" si="54"/>
        <v>#N/A</v>
      </c>
    </row>
    <row r="268" spans="1:58" s="8" customFormat="1" ht="20.100000000000001" customHeight="1">
      <c r="A268" s="956">
        <v>217</v>
      </c>
      <c r="B268" s="1021">
        <v>6</v>
      </c>
      <c r="C268" s="956">
        <v>217</v>
      </c>
      <c r="D268" s="957"/>
      <c r="E268" s="957"/>
      <c r="F268" s="956"/>
      <c r="G268" s="958" t="s">
        <v>1335</v>
      </c>
      <c r="H268" s="958" t="s">
        <v>1335</v>
      </c>
      <c r="I268" s="958">
        <v>0</v>
      </c>
      <c r="J268" s="958"/>
      <c r="K268" s="958" t="s">
        <v>1335</v>
      </c>
      <c r="L268" s="958" t="s">
        <v>1335</v>
      </c>
      <c r="M268" s="958" t="s">
        <v>1335</v>
      </c>
      <c r="N268" s="958" t="s">
        <v>1335</v>
      </c>
      <c r="O268" s="958" t="s">
        <v>1335</v>
      </c>
      <c r="P268" s="958" t="s">
        <v>1335</v>
      </c>
      <c r="Q268" s="958" t="s">
        <v>1335</v>
      </c>
      <c r="R268" s="958">
        <v>0</v>
      </c>
      <c r="S268" s="958" t="s">
        <v>1335</v>
      </c>
      <c r="T268" s="958" t="s">
        <v>1335</v>
      </c>
      <c r="U268" s="958" t="s">
        <v>1335</v>
      </c>
      <c r="V268" s="982">
        <v>0</v>
      </c>
      <c r="W268" s="966"/>
      <c r="X268" s="982">
        <v>0</v>
      </c>
      <c r="Y268" s="970"/>
      <c r="Z268" s="966"/>
      <c r="AA268" s="971"/>
      <c r="AB268" s="972"/>
      <c r="AC268" s="972"/>
      <c r="AD268" s="972"/>
      <c r="AE268" s="972"/>
      <c r="AF268" s="972"/>
      <c r="AG268" s="972"/>
      <c r="AH268" s="972"/>
      <c r="AI268" s="972"/>
      <c r="AJ268" s="972"/>
      <c r="AK268" s="972"/>
      <c r="AL268" s="972"/>
      <c r="AM268" s="972"/>
      <c r="AN268" s="972"/>
      <c r="AO268" s="972"/>
      <c r="AP268" s="956"/>
      <c r="AQ268" s="956">
        <f t="shared" si="55"/>
        <v>12</v>
      </c>
      <c r="AR268" s="956">
        <f t="shared" si="56"/>
        <v>0</v>
      </c>
      <c r="AS268" s="956">
        <f t="shared" si="47"/>
        <v>12</v>
      </c>
      <c r="AT268" s="956">
        <v>9</v>
      </c>
      <c r="AU268" s="981"/>
      <c r="AV268" s="981"/>
      <c r="AW268" s="981"/>
      <c r="AX268" s="993"/>
      <c r="AY268" s="993"/>
      <c r="AZ268" s="833">
        <f t="shared" si="48"/>
        <v>0</v>
      </c>
      <c r="BA268" s="983" t="e">
        <f t="shared" si="49"/>
        <v>#N/A</v>
      </c>
      <c r="BB268" s="983" t="e">
        <f t="shared" si="50"/>
        <v>#N/A</v>
      </c>
      <c r="BC268" s="983" t="e">
        <f t="shared" si="51"/>
        <v>#N/A</v>
      </c>
      <c r="BD268" s="983" t="e">
        <f t="shared" si="52"/>
        <v>#N/A</v>
      </c>
      <c r="BE268" s="983" t="e">
        <f t="shared" si="53"/>
        <v>#N/A</v>
      </c>
      <c r="BF268" s="871" t="e">
        <f t="shared" si="54"/>
        <v>#N/A</v>
      </c>
    </row>
    <row r="269" spans="1:58" s="8" customFormat="1" ht="20.100000000000001" customHeight="1">
      <c r="A269" s="956">
        <v>218</v>
      </c>
      <c r="B269" s="1021">
        <v>6</v>
      </c>
      <c r="C269" s="956">
        <v>218</v>
      </c>
      <c r="D269" s="957"/>
      <c r="E269" s="957"/>
      <c r="F269" s="956"/>
      <c r="G269" s="958">
        <v>0</v>
      </c>
      <c r="H269" s="958" t="s">
        <v>1335</v>
      </c>
      <c r="I269" s="958" t="s">
        <v>1335</v>
      </c>
      <c r="J269" s="958"/>
      <c r="K269" s="958" t="s">
        <v>1335</v>
      </c>
      <c r="L269" s="958" t="s">
        <v>1335</v>
      </c>
      <c r="M269" s="958" t="s">
        <v>1335</v>
      </c>
      <c r="N269" s="958" t="s">
        <v>1335</v>
      </c>
      <c r="O269" s="958" t="s">
        <v>1335</v>
      </c>
      <c r="P269" s="958" t="s">
        <v>1335</v>
      </c>
      <c r="Q269" s="958" t="s">
        <v>1335</v>
      </c>
      <c r="R269" s="958" t="s">
        <v>1335</v>
      </c>
      <c r="S269" s="958" t="s">
        <v>1335</v>
      </c>
      <c r="T269" s="958" t="s">
        <v>1335</v>
      </c>
      <c r="U269" s="958" t="s">
        <v>1335</v>
      </c>
      <c r="V269" s="982" t="s">
        <v>1335</v>
      </c>
      <c r="W269" s="966"/>
      <c r="X269" s="982">
        <v>0</v>
      </c>
      <c r="Y269" s="970"/>
      <c r="Z269" s="966"/>
      <c r="AA269" s="971"/>
      <c r="AB269" s="972"/>
      <c r="AC269" s="972"/>
      <c r="AD269" s="972"/>
      <c r="AE269" s="972"/>
      <c r="AF269" s="972"/>
      <c r="AG269" s="972"/>
      <c r="AH269" s="972"/>
      <c r="AI269" s="972"/>
      <c r="AJ269" s="972"/>
      <c r="AK269" s="972"/>
      <c r="AL269" s="972"/>
      <c r="AM269" s="972"/>
      <c r="AN269" s="972"/>
      <c r="AO269" s="972"/>
      <c r="AP269" s="956"/>
      <c r="AQ269" s="956">
        <f t="shared" si="55"/>
        <v>13</v>
      </c>
      <c r="AR269" s="956">
        <f t="shared" si="56"/>
        <v>1</v>
      </c>
      <c r="AS269" s="956">
        <f t="shared" si="47"/>
        <v>14</v>
      </c>
      <c r="AT269" s="956">
        <v>9</v>
      </c>
      <c r="AU269" s="981"/>
      <c r="AV269" s="981"/>
      <c r="AW269" s="981"/>
      <c r="AX269" s="993"/>
      <c r="AY269" s="993"/>
      <c r="AZ269" s="833">
        <f t="shared" si="48"/>
        <v>0</v>
      </c>
      <c r="BA269" s="983" t="e">
        <f t="shared" si="49"/>
        <v>#N/A</v>
      </c>
      <c r="BB269" s="983" t="e">
        <f t="shared" si="50"/>
        <v>#N/A</v>
      </c>
      <c r="BC269" s="983" t="e">
        <f t="shared" si="51"/>
        <v>#N/A</v>
      </c>
      <c r="BD269" s="983" t="e">
        <f t="shared" si="52"/>
        <v>#N/A</v>
      </c>
      <c r="BE269" s="983" t="e">
        <f t="shared" si="53"/>
        <v>#N/A</v>
      </c>
      <c r="BF269" s="871" t="e">
        <f t="shared" si="54"/>
        <v>#N/A</v>
      </c>
    </row>
    <row r="270" spans="1:58" s="8" customFormat="1" ht="20.100000000000001" customHeight="1">
      <c r="A270" s="956">
        <v>219</v>
      </c>
      <c r="B270" s="1021">
        <v>6</v>
      </c>
      <c r="C270" s="956">
        <v>219</v>
      </c>
      <c r="D270" s="957"/>
      <c r="E270" s="957"/>
      <c r="F270" s="956"/>
      <c r="G270" s="958" t="s">
        <v>1335</v>
      </c>
      <c r="H270" s="958" t="s">
        <v>1335</v>
      </c>
      <c r="I270" s="958" t="s">
        <v>1335</v>
      </c>
      <c r="J270" s="958"/>
      <c r="K270" s="958" t="s">
        <v>1335</v>
      </c>
      <c r="L270" s="958">
        <v>0</v>
      </c>
      <c r="M270" s="958" t="s">
        <v>1335</v>
      </c>
      <c r="N270" s="958" t="s">
        <v>1335</v>
      </c>
      <c r="O270" s="958" t="s">
        <v>1335</v>
      </c>
      <c r="P270" s="958" t="s">
        <v>1335</v>
      </c>
      <c r="Q270" s="958" t="s">
        <v>1335</v>
      </c>
      <c r="R270" s="958" t="s">
        <v>1335</v>
      </c>
      <c r="S270" s="958" t="s">
        <v>1335</v>
      </c>
      <c r="T270" s="958" t="s">
        <v>1335</v>
      </c>
      <c r="U270" s="958" t="s">
        <v>1335</v>
      </c>
      <c r="V270" s="982" t="s">
        <v>1335</v>
      </c>
      <c r="W270" s="966"/>
      <c r="X270" s="982">
        <v>0</v>
      </c>
      <c r="Y270" s="970"/>
      <c r="Z270" s="966"/>
      <c r="AA270" s="971"/>
      <c r="AB270" s="972"/>
      <c r="AC270" s="972"/>
      <c r="AD270" s="972"/>
      <c r="AE270" s="972"/>
      <c r="AF270" s="972"/>
      <c r="AG270" s="972"/>
      <c r="AH270" s="972"/>
      <c r="AI270" s="972"/>
      <c r="AJ270" s="972"/>
      <c r="AK270" s="972"/>
      <c r="AL270" s="972"/>
      <c r="AM270" s="972"/>
      <c r="AN270" s="972"/>
      <c r="AO270" s="972"/>
      <c r="AP270" s="956"/>
      <c r="AQ270" s="956">
        <f t="shared" si="55"/>
        <v>13</v>
      </c>
      <c r="AR270" s="956">
        <f t="shared" si="56"/>
        <v>1</v>
      </c>
      <c r="AS270" s="956">
        <f t="shared" si="47"/>
        <v>14</v>
      </c>
      <c r="AT270" s="956">
        <v>9</v>
      </c>
      <c r="AU270" s="981"/>
      <c r="AV270" s="981"/>
      <c r="AW270" s="981"/>
      <c r="AX270" s="993"/>
      <c r="AY270" s="993"/>
      <c r="AZ270" s="833">
        <f t="shared" si="48"/>
        <v>0</v>
      </c>
      <c r="BA270" s="983" t="e">
        <f t="shared" si="49"/>
        <v>#N/A</v>
      </c>
      <c r="BB270" s="983" t="e">
        <f t="shared" si="50"/>
        <v>#N/A</v>
      </c>
      <c r="BC270" s="983" t="e">
        <f t="shared" si="51"/>
        <v>#N/A</v>
      </c>
      <c r="BD270" s="983" t="e">
        <f t="shared" si="52"/>
        <v>#N/A</v>
      </c>
      <c r="BE270" s="983" t="e">
        <f t="shared" si="53"/>
        <v>#N/A</v>
      </c>
      <c r="BF270" s="871" t="e">
        <f t="shared" si="54"/>
        <v>#N/A</v>
      </c>
    </row>
    <row r="271" spans="1:58" s="8" customFormat="1" ht="20.100000000000001" customHeight="1">
      <c r="A271" s="956">
        <v>220</v>
      </c>
      <c r="B271" s="1021">
        <v>6</v>
      </c>
      <c r="C271" s="956">
        <v>220</v>
      </c>
      <c r="D271" s="957"/>
      <c r="E271" s="957"/>
      <c r="F271" s="956"/>
      <c r="G271" s="958">
        <v>0</v>
      </c>
      <c r="H271" s="958" t="s">
        <v>1335</v>
      </c>
      <c r="I271" s="958" t="s">
        <v>1335</v>
      </c>
      <c r="J271" s="958"/>
      <c r="K271" s="958" t="s">
        <v>1335</v>
      </c>
      <c r="L271" s="958" t="s">
        <v>1335</v>
      </c>
      <c r="M271" s="958">
        <v>0</v>
      </c>
      <c r="N271" s="958" t="s">
        <v>1335</v>
      </c>
      <c r="O271" s="958" t="s">
        <v>1335</v>
      </c>
      <c r="P271" s="958" t="s">
        <v>1335</v>
      </c>
      <c r="Q271" s="958" t="s">
        <v>1335</v>
      </c>
      <c r="R271" s="958" t="s">
        <v>1335</v>
      </c>
      <c r="S271" s="958" t="s">
        <v>1335</v>
      </c>
      <c r="T271" s="958" t="s">
        <v>1335</v>
      </c>
      <c r="U271" s="958" t="s">
        <v>1335</v>
      </c>
      <c r="V271" s="982">
        <v>0</v>
      </c>
      <c r="W271" s="966"/>
      <c r="X271" s="982" t="s">
        <v>1335</v>
      </c>
      <c r="Y271" s="970"/>
      <c r="Z271" s="966"/>
      <c r="AA271" s="971"/>
      <c r="AB271" s="972"/>
      <c r="AC271" s="972"/>
      <c r="AD271" s="972"/>
      <c r="AE271" s="972"/>
      <c r="AF271" s="972"/>
      <c r="AG271" s="972"/>
      <c r="AH271" s="972"/>
      <c r="AI271" s="972"/>
      <c r="AJ271" s="972"/>
      <c r="AK271" s="972"/>
      <c r="AL271" s="972"/>
      <c r="AM271" s="972"/>
      <c r="AN271" s="972"/>
      <c r="AO271" s="972"/>
      <c r="AP271" s="956"/>
      <c r="AQ271" s="956">
        <f t="shared" si="55"/>
        <v>12</v>
      </c>
      <c r="AR271" s="956">
        <f t="shared" si="56"/>
        <v>1</v>
      </c>
      <c r="AS271" s="956">
        <f t="shared" si="47"/>
        <v>13</v>
      </c>
      <c r="AT271" s="956">
        <v>9</v>
      </c>
      <c r="AU271" s="981"/>
      <c r="AV271" s="981"/>
      <c r="AW271" s="981"/>
      <c r="AX271" s="993"/>
      <c r="AY271" s="993"/>
      <c r="AZ271" s="833">
        <f t="shared" si="48"/>
        <v>0</v>
      </c>
      <c r="BA271" s="983" t="e">
        <f t="shared" si="49"/>
        <v>#N/A</v>
      </c>
      <c r="BB271" s="983" t="e">
        <f t="shared" si="50"/>
        <v>#N/A</v>
      </c>
      <c r="BC271" s="983" t="e">
        <f t="shared" si="51"/>
        <v>#N/A</v>
      </c>
      <c r="BD271" s="983" t="e">
        <f t="shared" si="52"/>
        <v>#N/A</v>
      </c>
      <c r="BE271" s="983" t="e">
        <f t="shared" si="53"/>
        <v>#N/A</v>
      </c>
      <c r="BF271" s="871" t="e">
        <f t="shared" si="54"/>
        <v>#N/A</v>
      </c>
    </row>
    <row r="272" spans="1:58" s="8" customFormat="1" ht="20.100000000000001" customHeight="1">
      <c r="A272" s="956">
        <v>221</v>
      </c>
      <c r="B272" s="1021">
        <v>6</v>
      </c>
      <c r="C272" s="956">
        <v>221</v>
      </c>
      <c r="D272" s="957"/>
      <c r="E272" s="957"/>
      <c r="F272" s="956"/>
      <c r="G272" s="958" t="s">
        <v>1335</v>
      </c>
      <c r="H272" s="958" t="s">
        <v>1335</v>
      </c>
      <c r="I272" s="958" t="s">
        <v>1335</v>
      </c>
      <c r="J272" s="958"/>
      <c r="K272" s="958" t="s">
        <v>1335</v>
      </c>
      <c r="L272" s="958" t="s">
        <v>1335</v>
      </c>
      <c r="M272" s="958" t="s">
        <v>1335</v>
      </c>
      <c r="N272" s="958" t="s">
        <v>1335</v>
      </c>
      <c r="O272" s="958" t="s">
        <v>1335</v>
      </c>
      <c r="P272" s="958" t="s">
        <v>1335</v>
      </c>
      <c r="Q272" s="958" t="s">
        <v>1335</v>
      </c>
      <c r="R272" s="958" t="s">
        <v>1335</v>
      </c>
      <c r="S272" s="958" t="s">
        <v>1335</v>
      </c>
      <c r="T272" s="958" t="s">
        <v>1335</v>
      </c>
      <c r="U272" s="958" t="s">
        <v>1335</v>
      </c>
      <c r="V272" s="982" t="s">
        <v>1335</v>
      </c>
      <c r="W272" s="966"/>
      <c r="X272" s="982" t="s">
        <v>1335</v>
      </c>
      <c r="Y272" s="970"/>
      <c r="Z272" s="966"/>
      <c r="AA272" s="971"/>
      <c r="AB272" s="972"/>
      <c r="AC272" s="972"/>
      <c r="AD272" s="972"/>
      <c r="AE272" s="972"/>
      <c r="AF272" s="972"/>
      <c r="AG272" s="972"/>
      <c r="AH272" s="972"/>
      <c r="AI272" s="972"/>
      <c r="AJ272" s="972"/>
      <c r="AK272" s="972"/>
      <c r="AL272" s="972"/>
      <c r="AM272" s="972"/>
      <c r="AN272" s="972"/>
      <c r="AO272" s="972"/>
      <c r="AP272" s="956"/>
      <c r="AQ272" s="956">
        <f t="shared" si="55"/>
        <v>14</v>
      </c>
      <c r="AR272" s="956">
        <f t="shared" si="56"/>
        <v>2</v>
      </c>
      <c r="AS272" s="956">
        <f t="shared" si="47"/>
        <v>16</v>
      </c>
      <c r="AT272" s="956">
        <v>9</v>
      </c>
      <c r="AU272" s="981"/>
      <c r="AV272" s="981"/>
      <c r="AW272" s="981"/>
      <c r="AX272" s="993"/>
      <c r="AY272" s="993"/>
      <c r="AZ272" s="833">
        <f t="shared" si="48"/>
        <v>0</v>
      </c>
      <c r="BA272" s="983" t="e">
        <f t="shared" si="49"/>
        <v>#N/A</v>
      </c>
      <c r="BB272" s="983" t="e">
        <f t="shared" si="50"/>
        <v>#N/A</v>
      </c>
      <c r="BC272" s="983" t="e">
        <f t="shared" si="51"/>
        <v>#N/A</v>
      </c>
      <c r="BD272" s="983" t="e">
        <f t="shared" si="52"/>
        <v>#N/A</v>
      </c>
      <c r="BE272" s="983" t="e">
        <f t="shared" si="53"/>
        <v>#N/A</v>
      </c>
      <c r="BF272" s="871" t="e">
        <f t="shared" si="54"/>
        <v>#N/A</v>
      </c>
    </row>
    <row r="273" spans="1:58" s="8" customFormat="1" ht="20.100000000000001" customHeight="1">
      <c r="A273" s="956">
        <v>222</v>
      </c>
      <c r="B273" s="1021">
        <v>6</v>
      </c>
      <c r="C273" s="956">
        <v>222</v>
      </c>
      <c r="D273" s="957"/>
      <c r="E273" s="957"/>
      <c r="F273" s="956"/>
      <c r="G273" s="958" t="s">
        <v>1335</v>
      </c>
      <c r="H273" s="958" t="s">
        <v>1335</v>
      </c>
      <c r="I273" s="958" t="s">
        <v>1335</v>
      </c>
      <c r="J273" s="958"/>
      <c r="K273" s="958" t="s">
        <v>1335</v>
      </c>
      <c r="L273" s="958" t="s">
        <v>1335</v>
      </c>
      <c r="M273" s="958" t="s">
        <v>1335</v>
      </c>
      <c r="N273" s="958" t="s">
        <v>1335</v>
      </c>
      <c r="O273" s="958" t="s">
        <v>1335</v>
      </c>
      <c r="P273" s="958" t="s">
        <v>1335</v>
      </c>
      <c r="Q273" s="958" t="s">
        <v>1335</v>
      </c>
      <c r="R273" s="958" t="s">
        <v>1335</v>
      </c>
      <c r="S273" s="958" t="s">
        <v>1335</v>
      </c>
      <c r="T273" s="958" t="s">
        <v>1335</v>
      </c>
      <c r="U273" s="958" t="s">
        <v>1335</v>
      </c>
      <c r="V273" s="982" t="s">
        <v>1335</v>
      </c>
      <c r="W273" s="966"/>
      <c r="X273" s="982">
        <v>0</v>
      </c>
      <c r="Y273" s="970"/>
      <c r="Z273" s="966"/>
      <c r="AA273" s="971"/>
      <c r="AB273" s="972"/>
      <c r="AC273" s="972"/>
      <c r="AD273" s="972"/>
      <c r="AE273" s="972"/>
      <c r="AF273" s="972"/>
      <c r="AG273" s="972"/>
      <c r="AH273" s="972"/>
      <c r="AI273" s="972"/>
      <c r="AJ273" s="972"/>
      <c r="AK273" s="972"/>
      <c r="AL273" s="972"/>
      <c r="AM273" s="972"/>
      <c r="AN273" s="972"/>
      <c r="AO273" s="972"/>
      <c r="AP273" s="956"/>
      <c r="AQ273" s="956">
        <f t="shared" si="55"/>
        <v>14</v>
      </c>
      <c r="AR273" s="956">
        <f t="shared" si="56"/>
        <v>1</v>
      </c>
      <c r="AS273" s="956">
        <f t="shared" si="47"/>
        <v>15</v>
      </c>
      <c r="AT273" s="956">
        <v>9</v>
      </c>
      <c r="AU273" s="981"/>
      <c r="AV273" s="981"/>
      <c r="AW273" s="981"/>
      <c r="AX273" s="993"/>
      <c r="AY273" s="993"/>
      <c r="AZ273" s="833">
        <f t="shared" si="48"/>
        <v>0</v>
      </c>
      <c r="BA273" s="983" t="e">
        <f t="shared" si="49"/>
        <v>#N/A</v>
      </c>
      <c r="BB273" s="983" t="e">
        <f t="shared" si="50"/>
        <v>#N/A</v>
      </c>
      <c r="BC273" s="983" t="e">
        <f t="shared" si="51"/>
        <v>#N/A</v>
      </c>
      <c r="BD273" s="983" t="e">
        <f t="shared" si="52"/>
        <v>#N/A</v>
      </c>
      <c r="BE273" s="983" t="e">
        <f t="shared" si="53"/>
        <v>#N/A</v>
      </c>
      <c r="BF273" s="871" t="e">
        <f t="shared" si="54"/>
        <v>#N/A</v>
      </c>
    </row>
    <row r="274" spans="1:58" s="8" customFormat="1" ht="20.100000000000001" customHeight="1">
      <c r="A274" s="956">
        <v>223</v>
      </c>
      <c r="B274" s="1021">
        <v>6</v>
      </c>
      <c r="C274" s="956">
        <v>223</v>
      </c>
      <c r="D274" s="957"/>
      <c r="E274" s="957"/>
      <c r="F274" s="956"/>
      <c r="G274" s="958">
        <v>0</v>
      </c>
      <c r="H274" s="958" t="s">
        <v>1335</v>
      </c>
      <c r="I274" s="958" t="s">
        <v>1335</v>
      </c>
      <c r="J274" s="958"/>
      <c r="K274" s="958" t="s">
        <v>1335</v>
      </c>
      <c r="L274" s="958" t="s">
        <v>1335</v>
      </c>
      <c r="M274" s="958" t="s">
        <v>1335</v>
      </c>
      <c r="N274" s="958" t="s">
        <v>1335</v>
      </c>
      <c r="O274" s="958" t="s">
        <v>1335</v>
      </c>
      <c r="P274" s="958" t="s">
        <v>1335</v>
      </c>
      <c r="Q274" s="958" t="s">
        <v>1335</v>
      </c>
      <c r="R274" s="958" t="s">
        <v>1335</v>
      </c>
      <c r="S274" s="958" t="s">
        <v>1335</v>
      </c>
      <c r="T274" s="958" t="s">
        <v>1335</v>
      </c>
      <c r="U274" s="958" t="s">
        <v>1335</v>
      </c>
      <c r="V274" s="982" t="s">
        <v>1335</v>
      </c>
      <c r="W274" s="966"/>
      <c r="X274" s="982" t="s">
        <v>1335</v>
      </c>
      <c r="Y274" s="970"/>
      <c r="Z274" s="966"/>
      <c r="AA274" s="971"/>
      <c r="AB274" s="972"/>
      <c r="AC274" s="972"/>
      <c r="AD274" s="972"/>
      <c r="AE274" s="972"/>
      <c r="AF274" s="972"/>
      <c r="AG274" s="972"/>
      <c r="AH274" s="972"/>
      <c r="AI274" s="972"/>
      <c r="AJ274" s="972"/>
      <c r="AK274" s="972"/>
      <c r="AL274" s="972"/>
      <c r="AM274" s="972"/>
      <c r="AN274" s="972"/>
      <c r="AO274" s="972"/>
      <c r="AP274" s="956"/>
      <c r="AQ274" s="956">
        <f t="shared" si="55"/>
        <v>13</v>
      </c>
      <c r="AR274" s="956">
        <f t="shared" si="56"/>
        <v>2</v>
      </c>
      <c r="AS274" s="956">
        <f t="shared" si="47"/>
        <v>15</v>
      </c>
      <c r="AT274" s="956">
        <v>9</v>
      </c>
      <c r="AU274" s="981"/>
      <c r="AV274" s="981"/>
      <c r="AW274" s="981"/>
      <c r="AX274" s="993"/>
      <c r="AY274" s="993"/>
      <c r="AZ274" s="833">
        <f t="shared" si="48"/>
        <v>0</v>
      </c>
      <c r="BA274" s="983" t="e">
        <f t="shared" si="49"/>
        <v>#N/A</v>
      </c>
      <c r="BB274" s="983" t="e">
        <f t="shared" si="50"/>
        <v>#N/A</v>
      </c>
      <c r="BC274" s="983" t="e">
        <f t="shared" si="51"/>
        <v>#N/A</v>
      </c>
      <c r="BD274" s="983" t="e">
        <f t="shared" si="52"/>
        <v>#N/A</v>
      </c>
      <c r="BE274" s="983" t="e">
        <f t="shared" si="53"/>
        <v>#N/A</v>
      </c>
      <c r="BF274" s="871" t="e">
        <f t="shared" si="54"/>
        <v>#N/A</v>
      </c>
    </row>
    <row r="275" spans="1:58" s="946" customFormat="1" ht="20.100000000000001" customHeight="1">
      <c r="A275" s="982">
        <v>224</v>
      </c>
      <c r="B275" s="1021">
        <v>6</v>
      </c>
      <c r="C275" s="956">
        <v>224</v>
      </c>
      <c r="D275" s="1022"/>
      <c r="E275" s="1022"/>
      <c r="F275" s="982"/>
      <c r="G275" s="958">
        <v>0</v>
      </c>
      <c r="H275" s="958" t="s">
        <v>1335</v>
      </c>
      <c r="I275" s="958" t="s">
        <v>1335</v>
      </c>
      <c r="J275" s="958"/>
      <c r="K275" s="958" t="s">
        <v>1335</v>
      </c>
      <c r="L275" s="958" t="s">
        <v>1335</v>
      </c>
      <c r="M275" s="958" t="s">
        <v>1335</v>
      </c>
      <c r="N275" s="958" t="s">
        <v>1335</v>
      </c>
      <c r="O275" s="958" t="s">
        <v>1335</v>
      </c>
      <c r="P275" s="958" t="s">
        <v>1335</v>
      </c>
      <c r="Q275" s="958" t="s">
        <v>1335</v>
      </c>
      <c r="R275" s="958" t="s">
        <v>1335</v>
      </c>
      <c r="S275" s="958" t="s">
        <v>1335</v>
      </c>
      <c r="T275" s="958" t="s">
        <v>1335</v>
      </c>
      <c r="U275" s="958" t="s">
        <v>1335</v>
      </c>
      <c r="V275" s="982" t="s">
        <v>1335</v>
      </c>
      <c r="W275" s="966"/>
      <c r="X275" s="982" t="s">
        <v>1335</v>
      </c>
      <c r="Y275" s="970"/>
      <c r="Z275" s="966"/>
      <c r="AA275" s="966"/>
      <c r="AB275" s="982"/>
      <c r="AC275" s="982"/>
      <c r="AD275" s="982"/>
      <c r="AE275" s="982"/>
      <c r="AF275" s="982"/>
      <c r="AG275" s="982"/>
      <c r="AH275" s="982"/>
      <c r="AI275" s="982"/>
      <c r="AJ275" s="982"/>
      <c r="AK275" s="982"/>
      <c r="AL275" s="982"/>
      <c r="AM275" s="982"/>
      <c r="AN275" s="972"/>
      <c r="AO275" s="972"/>
      <c r="AP275" s="982"/>
      <c r="AQ275" s="956">
        <f t="shared" si="55"/>
        <v>13</v>
      </c>
      <c r="AR275" s="956">
        <f t="shared" si="56"/>
        <v>2</v>
      </c>
      <c r="AS275" s="956">
        <f t="shared" si="47"/>
        <v>15</v>
      </c>
      <c r="AT275" s="956">
        <v>9</v>
      </c>
      <c r="AU275" s="981"/>
      <c r="AV275" s="981"/>
      <c r="AW275" s="981"/>
      <c r="AX275" s="1033"/>
      <c r="AY275" s="1033"/>
      <c r="AZ275" s="1034">
        <f t="shared" si="48"/>
        <v>0</v>
      </c>
      <c r="BA275" s="1035" t="e">
        <f t="shared" si="49"/>
        <v>#N/A</v>
      </c>
      <c r="BB275" s="1035" t="e">
        <f t="shared" si="50"/>
        <v>#N/A</v>
      </c>
      <c r="BC275" s="1035" t="e">
        <f t="shared" si="51"/>
        <v>#N/A</v>
      </c>
      <c r="BD275" s="1035" t="e">
        <f t="shared" si="52"/>
        <v>#N/A</v>
      </c>
      <c r="BE275" s="1035" t="e">
        <f t="shared" si="53"/>
        <v>#N/A</v>
      </c>
      <c r="BF275" s="872" t="e">
        <f t="shared" si="54"/>
        <v>#N/A</v>
      </c>
    </row>
    <row r="276" spans="1:58" s="8" customFormat="1" ht="20.100000000000001" customHeight="1">
      <c r="A276" s="956">
        <v>225</v>
      </c>
      <c r="B276" s="1021">
        <v>6</v>
      </c>
      <c r="C276" s="956">
        <v>225</v>
      </c>
      <c r="D276" s="957"/>
      <c r="E276" s="957"/>
      <c r="F276" s="956"/>
      <c r="G276" s="958">
        <v>0</v>
      </c>
      <c r="H276" s="958" t="s">
        <v>1335</v>
      </c>
      <c r="I276" s="958" t="s">
        <v>1335</v>
      </c>
      <c r="J276" s="958"/>
      <c r="K276" s="958" t="s">
        <v>1335</v>
      </c>
      <c r="L276" s="958" t="s">
        <v>1335</v>
      </c>
      <c r="M276" s="958" t="s">
        <v>1335</v>
      </c>
      <c r="N276" s="958" t="s">
        <v>1335</v>
      </c>
      <c r="O276" s="958" t="s">
        <v>1335</v>
      </c>
      <c r="P276" s="958" t="s">
        <v>1335</v>
      </c>
      <c r="Q276" s="958">
        <v>0</v>
      </c>
      <c r="R276" s="958" t="s">
        <v>1335</v>
      </c>
      <c r="S276" s="958" t="s">
        <v>1335</v>
      </c>
      <c r="T276" s="958" t="s">
        <v>1335</v>
      </c>
      <c r="U276" s="958" t="s">
        <v>1335</v>
      </c>
      <c r="V276" s="982" t="s">
        <v>1335</v>
      </c>
      <c r="W276" s="966"/>
      <c r="X276" s="982" t="s">
        <v>1335</v>
      </c>
      <c r="Y276" s="970"/>
      <c r="Z276" s="966"/>
      <c r="AA276" s="971"/>
      <c r="AB276" s="972"/>
      <c r="AC276" s="972"/>
      <c r="AD276" s="972"/>
      <c r="AE276" s="972"/>
      <c r="AF276" s="972"/>
      <c r="AG276" s="972"/>
      <c r="AH276" s="972"/>
      <c r="AI276" s="972"/>
      <c r="AJ276" s="972"/>
      <c r="AK276" s="972"/>
      <c r="AL276" s="972"/>
      <c r="AM276" s="972"/>
      <c r="AN276" s="972"/>
      <c r="AO276" s="972"/>
      <c r="AP276" s="956"/>
      <c r="AQ276" s="956">
        <f t="shared" si="55"/>
        <v>12</v>
      </c>
      <c r="AR276" s="956">
        <f t="shared" si="56"/>
        <v>2</v>
      </c>
      <c r="AS276" s="956">
        <f t="shared" si="47"/>
        <v>14</v>
      </c>
      <c r="AT276" s="982">
        <v>6</v>
      </c>
      <c r="AU276" s="981"/>
      <c r="AV276" s="981"/>
      <c r="AW276" s="981"/>
      <c r="AX276" s="993"/>
      <c r="AY276" s="993"/>
      <c r="AZ276" s="833">
        <f t="shared" si="48"/>
        <v>0</v>
      </c>
      <c r="BA276" s="983" t="e">
        <f t="shared" si="49"/>
        <v>#N/A</v>
      </c>
      <c r="BB276" s="983" t="e">
        <f t="shared" si="50"/>
        <v>#N/A</v>
      </c>
      <c r="BC276" s="983" t="e">
        <f t="shared" si="51"/>
        <v>#N/A</v>
      </c>
      <c r="BD276" s="983" t="e">
        <f t="shared" si="52"/>
        <v>#N/A</v>
      </c>
      <c r="BE276" s="983" t="e">
        <f t="shared" si="53"/>
        <v>#N/A</v>
      </c>
      <c r="BF276" s="871" t="e">
        <f t="shared" si="54"/>
        <v>#N/A</v>
      </c>
    </row>
    <row r="277" spans="1:58" s="8" customFormat="1" ht="20.100000000000001" customHeight="1">
      <c r="A277" s="956">
        <v>226</v>
      </c>
      <c r="B277" s="1021">
        <v>6</v>
      </c>
      <c r="C277" s="956">
        <v>226</v>
      </c>
      <c r="D277" s="957"/>
      <c r="E277" s="957"/>
      <c r="F277" s="956"/>
      <c r="G277" s="958">
        <v>0</v>
      </c>
      <c r="H277" s="958" t="s">
        <v>1335</v>
      </c>
      <c r="I277" s="958" t="s">
        <v>1335</v>
      </c>
      <c r="J277" s="958"/>
      <c r="K277" s="958" t="s">
        <v>1335</v>
      </c>
      <c r="L277" s="958" t="s">
        <v>1335</v>
      </c>
      <c r="M277" s="958" t="s">
        <v>1335</v>
      </c>
      <c r="N277" s="958" t="s">
        <v>1335</v>
      </c>
      <c r="O277" s="958" t="s">
        <v>1335</v>
      </c>
      <c r="P277" s="958" t="s">
        <v>1335</v>
      </c>
      <c r="Q277" s="958">
        <v>0</v>
      </c>
      <c r="R277" s="958" t="s">
        <v>1335</v>
      </c>
      <c r="S277" s="958" t="s">
        <v>1335</v>
      </c>
      <c r="T277" s="958" t="s">
        <v>1335</v>
      </c>
      <c r="U277" s="958" t="s">
        <v>1335</v>
      </c>
      <c r="V277" s="982" t="s">
        <v>1335</v>
      </c>
      <c r="W277" s="966"/>
      <c r="X277" s="982">
        <v>0</v>
      </c>
      <c r="Y277" s="970"/>
      <c r="Z277" s="966"/>
      <c r="AA277" s="971"/>
      <c r="AB277" s="972"/>
      <c r="AC277" s="972"/>
      <c r="AD277" s="972"/>
      <c r="AE277" s="972"/>
      <c r="AF277" s="972"/>
      <c r="AG277" s="972"/>
      <c r="AH277" s="972"/>
      <c r="AI277" s="972"/>
      <c r="AJ277" s="972"/>
      <c r="AK277" s="972"/>
      <c r="AL277" s="972"/>
      <c r="AM277" s="972"/>
      <c r="AN277" s="972"/>
      <c r="AO277" s="972"/>
      <c r="AP277" s="956"/>
      <c r="AQ277" s="956">
        <f t="shared" si="55"/>
        <v>12</v>
      </c>
      <c r="AR277" s="956">
        <f t="shared" si="56"/>
        <v>1</v>
      </c>
      <c r="AS277" s="956">
        <f t="shared" si="47"/>
        <v>13</v>
      </c>
      <c r="AT277" s="956">
        <v>9</v>
      </c>
      <c r="AU277" s="981"/>
      <c r="AV277" s="981"/>
      <c r="AW277" s="981"/>
      <c r="AX277" s="993"/>
      <c r="AY277" s="993"/>
      <c r="AZ277" s="833">
        <f t="shared" si="48"/>
        <v>0</v>
      </c>
      <c r="BA277" s="983" t="e">
        <f t="shared" si="49"/>
        <v>#N/A</v>
      </c>
      <c r="BB277" s="983" t="e">
        <f t="shared" si="50"/>
        <v>#N/A</v>
      </c>
      <c r="BC277" s="983" t="e">
        <f t="shared" si="51"/>
        <v>#N/A</v>
      </c>
      <c r="BD277" s="983" t="e">
        <f t="shared" si="52"/>
        <v>#N/A</v>
      </c>
      <c r="BE277" s="983" t="e">
        <f t="shared" si="53"/>
        <v>#N/A</v>
      </c>
      <c r="BF277" s="871" t="e">
        <f t="shared" si="54"/>
        <v>#N/A</v>
      </c>
    </row>
    <row r="278" spans="1:58" s="8" customFormat="1" ht="20.100000000000001" customHeight="1">
      <c r="A278" s="956">
        <v>227</v>
      </c>
      <c r="B278" s="1021">
        <v>6</v>
      </c>
      <c r="C278" s="956">
        <v>227</v>
      </c>
      <c r="D278" s="957"/>
      <c r="E278" s="957"/>
      <c r="F278" s="956"/>
      <c r="G278" s="958" t="s">
        <v>1335</v>
      </c>
      <c r="H278" s="958" t="s">
        <v>1335</v>
      </c>
      <c r="I278" s="958" t="s">
        <v>1335</v>
      </c>
      <c r="J278" s="958"/>
      <c r="K278" s="958">
        <v>0</v>
      </c>
      <c r="L278" s="958" t="s">
        <v>1335</v>
      </c>
      <c r="M278" s="958" t="s">
        <v>1335</v>
      </c>
      <c r="N278" s="958" t="s">
        <v>1335</v>
      </c>
      <c r="O278" s="958" t="s">
        <v>1335</v>
      </c>
      <c r="P278" s="958" t="s">
        <v>1335</v>
      </c>
      <c r="Q278" s="958" t="s">
        <v>1335</v>
      </c>
      <c r="R278" s="958" t="s">
        <v>1335</v>
      </c>
      <c r="S278" s="958" t="s">
        <v>1335</v>
      </c>
      <c r="T278" s="958" t="s">
        <v>1335</v>
      </c>
      <c r="U278" s="958" t="s">
        <v>1335</v>
      </c>
      <c r="V278" s="982" t="s">
        <v>1335</v>
      </c>
      <c r="W278" s="966"/>
      <c r="X278" s="982" t="s">
        <v>1335</v>
      </c>
      <c r="Y278" s="970"/>
      <c r="Z278" s="966"/>
      <c r="AA278" s="971"/>
      <c r="AB278" s="972"/>
      <c r="AC278" s="972"/>
      <c r="AD278" s="972"/>
      <c r="AE278" s="972"/>
      <c r="AF278" s="972"/>
      <c r="AG278" s="972"/>
      <c r="AH278" s="972"/>
      <c r="AI278" s="972"/>
      <c r="AJ278" s="972"/>
      <c r="AK278" s="972"/>
      <c r="AL278" s="972"/>
      <c r="AM278" s="972"/>
      <c r="AN278" s="972"/>
      <c r="AO278" s="972"/>
      <c r="AP278" s="956"/>
      <c r="AQ278" s="956">
        <f t="shared" si="55"/>
        <v>13</v>
      </c>
      <c r="AR278" s="956">
        <f t="shared" si="56"/>
        <v>2</v>
      </c>
      <c r="AS278" s="956">
        <f t="shared" si="47"/>
        <v>15</v>
      </c>
      <c r="AT278" s="956">
        <v>9</v>
      </c>
      <c r="AU278" s="981"/>
      <c r="AV278" s="981"/>
      <c r="AW278" s="981"/>
      <c r="AX278" s="993"/>
      <c r="AY278" s="993"/>
      <c r="AZ278" s="833">
        <f t="shared" si="48"/>
        <v>0</v>
      </c>
      <c r="BA278" s="983" t="e">
        <f t="shared" si="49"/>
        <v>#N/A</v>
      </c>
      <c r="BB278" s="983" t="e">
        <f t="shared" si="50"/>
        <v>#N/A</v>
      </c>
      <c r="BC278" s="983" t="e">
        <f t="shared" si="51"/>
        <v>#N/A</v>
      </c>
      <c r="BD278" s="983" t="e">
        <f t="shared" si="52"/>
        <v>#N/A</v>
      </c>
      <c r="BE278" s="983" t="e">
        <f t="shared" si="53"/>
        <v>#N/A</v>
      </c>
      <c r="BF278" s="871" t="e">
        <f t="shared" si="54"/>
        <v>#N/A</v>
      </c>
    </row>
    <row r="279" spans="1:58" s="8" customFormat="1" ht="20.100000000000001" customHeight="1">
      <c r="A279" s="956">
        <v>228</v>
      </c>
      <c r="B279" s="1021">
        <v>6</v>
      </c>
      <c r="C279" s="956">
        <v>228</v>
      </c>
      <c r="D279" s="957"/>
      <c r="E279" s="957"/>
      <c r="F279" s="956"/>
      <c r="G279" s="958" t="s">
        <v>1335</v>
      </c>
      <c r="H279" s="958" t="s">
        <v>1335</v>
      </c>
      <c r="I279" s="958" t="s">
        <v>1335</v>
      </c>
      <c r="J279" s="958"/>
      <c r="K279" s="958">
        <v>0</v>
      </c>
      <c r="L279" s="958" t="s">
        <v>1335</v>
      </c>
      <c r="M279" s="958" t="s">
        <v>1335</v>
      </c>
      <c r="N279" s="958" t="s">
        <v>1335</v>
      </c>
      <c r="O279" s="958" t="s">
        <v>1335</v>
      </c>
      <c r="P279" s="958" t="s">
        <v>1335</v>
      </c>
      <c r="Q279" s="958" t="s">
        <v>1335</v>
      </c>
      <c r="R279" s="958" t="s">
        <v>1335</v>
      </c>
      <c r="S279" s="958" t="s">
        <v>1335</v>
      </c>
      <c r="T279" s="958" t="s">
        <v>1335</v>
      </c>
      <c r="U279" s="958" t="s">
        <v>1335</v>
      </c>
      <c r="V279" s="982" t="s">
        <v>1335</v>
      </c>
      <c r="W279" s="966"/>
      <c r="X279" s="982" t="s">
        <v>1335</v>
      </c>
      <c r="Y279" s="970"/>
      <c r="Z279" s="966"/>
      <c r="AA279" s="971"/>
      <c r="AB279" s="972"/>
      <c r="AC279" s="972"/>
      <c r="AD279" s="972"/>
      <c r="AE279" s="972"/>
      <c r="AF279" s="972"/>
      <c r="AG279" s="972"/>
      <c r="AH279" s="972"/>
      <c r="AI279" s="972"/>
      <c r="AJ279" s="972"/>
      <c r="AK279" s="972"/>
      <c r="AL279" s="972"/>
      <c r="AM279" s="972"/>
      <c r="AN279" s="972"/>
      <c r="AO279" s="972"/>
      <c r="AP279" s="956"/>
      <c r="AQ279" s="956">
        <f t="shared" si="55"/>
        <v>13</v>
      </c>
      <c r="AR279" s="956">
        <f t="shared" si="56"/>
        <v>2</v>
      </c>
      <c r="AS279" s="956">
        <f t="shared" si="47"/>
        <v>15</v>
      </c>
      <c r="AT279" s="956">
        <v>9</v>
      </c>
      <c r="AU279" s="981"/>
      <c r="AV279" s="981"/>
      <c r="AW279" s="981"/>
      <c r="AX279" s="993"/>
      <c r="AY279" s="993"/>
      <c r="AZ279" s="833">
        <f t="shared" si="48"/>
        <v>0</v>
      </c>
      <c r="BA279" s="983" t="e">
        <f t="shared" si="49"/>
        <v>#N/A</v>
      </c>
      <c r="BB279" s="983" t="e">
        <f t="shared" si="50"/>
        <v>#N/A</v>
      </c>
      <c r="BC279" s="983" t="e">
        <f t="shared" si="51"/>
        <v>#N/A</v>
      </c>
      <c r="BD279" s="983" t="e">
        <f t="shared" si="52"/>
        <v>#N/A</v>
      </c>
      <c r="BE279" s="983" t="e">
        <f t="shared" si="53"/>
        <v>#N/A</v>
      </c>
      <c r="BF279" s="871" t="e">
        <f t="shared" si="54"/>
        <v>#N/A</v>
      </c>
    </row>
    <row r="280" spans="1:58" s="8" customFormat="1" ht="20.100000000000001" customHeight="1">
      <c r="A280" s="956">
        <v>229</v>
      </c>
      <c r="B280" s="1021">
        <v>6</v>
      </c>
      <c r="C280" s="956">
        <v>229</v>
      </c>
      <c r="D280" s="957"/>
      <c r="E280" s="957"/>
      <c r="F280" s="956"/>
      <c r="G280" s="958" t="s">
        <v>1335</v>
      </c>
      <c r="H280" s="958" t="s">
        <v>1335</v>
      </c>
      <c r="I280" s="958">
        <v>0</v>
      </c>
      <c r="J280" s="958"/>
      <c r="K280" s="958" t="s">
        <v>1335</v>
      </c>
      <c r="L280" s="958" t="s">
        <v>1335</v>
      </c>
      <c r="M280" s="958" t="s">
        <v>1335</v>
      </c>
      <c r="N280" s="958" t="s">
        <v>1335</v>
      </c>
      <c r="O280" s="958" t="s">
        <v>1335</v>
      </c>
      <c r="P280" s="958" t="s">
        <v>1335</v>
      </c>
      <c r="Q280" s="958" t="s">
        <v>1335</v>
      </c>
      <c r="R280" s="958" t="s">
        <v>1335</v>
      </c>
      <c r="S280" s="958" t="s">
        <v>1335</v>
      </c>
      <c r="T280" s="958" t="s">
        <v>1335</v>
      </c>
      <c r="U280" s="958" t="s">
        <v>1335</v>
      </c>
      <c r="V280" s="982" t="s">
        <v>1335</v>
      </c>
      <c r="W280" s="966"/>
      <c r="X280" s="982" t="s">
        <v>1335</v>
      </c>
      <c r="Y280" s="970"/>
      <c r="Z280" s="966"/>
      <c r="AA280" s="971"/>
      <c r="AB280" s="972"/>
      <c r="AC280" s="972"/>
      <c r="AD280" s="972"/>
      <c r="AE280" s="972"/>
      <c r="AF280" s="972"/>
      <c r="AG280" s="972"/>
      <c r="AH280" s="972"/>
      <c r="AI280" s="972"/>
      <c r="AJ280" s="972"/>
      <c r="AK280" s="972"/>
      <c r="AL280" s="972"/>
      <c r="AM280" s="972"/>
      <c r="AN280" s="972"/>
      <c r="AO280" s="972"/>
      <c r="AP280" s="956"/>
      <c r="AQ280" s="956">
        <f t="shared" si="55"/>
        <v>13</v>
      </c>
      <c r="AR280" s="956">
        <f t="shared" si="56"/>
        <v>2</v>
      </c>
      <c r="AS280" s="956">
        <f t="shared" si="47"/>
        <v>15</v>
      </c>
      <c r="AT280" s="982">
        <v>6</v>
      </c>
      <c r="AU280" s="981"/>
      <c r="AV280" s="981"/>
      <c r="AW280" s="981"/>
      <c r="AX280" s="993"/>
      <c r="AY280" s="993"/>
      <c r="AZ280" s="833">
        <f t="shared" si="48"/>
        <v>0</v>
      </c>
      <c r="BA280" s="983" t="e">
        <f t="shared" si="49"/>
        <v>#N/A</v>
      </c>
      <c r="BB280" s="983" t="e">
        <f t="shared" si="50"/>
        <v>#N/A</v>
      </c>
      <c r="BC280" s="983" t="e">
        <f t="shared" si="51"/>
        <v>#N/A</v>
      </c>
      <c r="BD280" s="983" t="e">
        <f t="shared" si="52"/>
        <v>#N/A</v>
      </c>
      <c r="BE280" s="983" t="e">
        <f t="shared" si="53"/>
        <v>#N/A</v>
      </c>
      <c r="BF280" s="871" t="e">
        <f t="shared" si="54"/>
        <v>#N/A</v>
      </c>
    </row>
    <row r="281" spans="1:58" s="8" customFormat="1" ht="20.100000000000001" customHeight="1">
      <c r="A281" s="956">
        <v>230</v>
      </c>
      <c r="B281" s="1021">
        <v>6</v>
      </c>
      <c r="C281" s="956">
        <v>230</v>
      </c>
      <c r="D281" s="957"/>
      <c r="E281" s="957"/>
      <c r="F281" s="956"/>
      <c r="G281" s="958" t="s">
        <v>1335</v>
      </c>
      <c r="H281" s="958" t="s">
        <v>1335</v>
      </c>
      <c r="I281" s="958">
        <v>0</v>
      </c>
      <c r="J281" s="958"/>
      <c r="K281" s="958" t="s">
        <v>1335</v>
      </c>
      <c r="L281" s="958" t="s">
        <v>1335</v>
      </c>
      <c r="M281" s="958" t="s">
        <v>1335</v>
      </c>
      <c r="N281" s="958" t="s">
        <v>1335</v>
      </c>
      <c r="O281" s="958" t="s">
        <v>1335</v>
      </c>
      <c r="P281" s="958" t="s">
        <v>1335</v>
      </c>
      <c r="Q281" s="958" t="s">
        <v>1335</v>
      </c>
      <c r="R281" s="958" t="s">
        <v>1335</v>
      </c>
      <c r="S281" s="958" t="s">
        <v>1335</v>
      </c>
      <c r="T281" s="958" t="s">
        <v>1335</v>
      </c>
      <c r="U281" s="958" t="s">
        <v>1335</v>
      </c>
      <c r="V281" s="982" t="s">
        <v>1335</v>
      </c>
      <c r="W281" s="966"/>
      <c r="X281" s="982" t="s">
        <v>1335</v>
      </c>
      <c r="Y281" s="970"/>
      <c r="Z281" s="966"/>
      <c r="AA281" s="971"/>
      <c r="AB281" s="972"/>
      <c r="AC281" s="972"/>
      <c r="AD281" s="972"/>
      <c r="AE281" s="972"/>
      <c r="AF281" s="972"/>
      <c r="AG281" s="972"/>
      <c r="AH281" s="972"/>
      <c r="AI281" s="972"/>
      <c r="AJ281" s="972"/>
      <c r="AK281" s="972"/>
      <c r="AL281" s="972"/>
      <c r="AM281" s="972"/>
      <c r="AN281" s="972"/>
      <c r="AO281" s="972"/>
      <c r="AP281" s="956"/>
      <c r="AQ281" s="956">
        <f t="shared" si="55"/>
        <v>13</v>
      </c>
      <c r="AR281" s="956">
        <f t="shared" si="56"/>
        <v>2</v>
      </c>
      <c r="AS281" s="956">
        <f t="shared" si="47"/>
        <v>15</v>
      </c>
      <c r="AT281" s="956">
        <v>9</v>
      </c>
      <c r="AU281" s="981"/>
      <c r="AV281" s="981"/>
      <c r="AW281" s="981"/>
      <c r="AX281" s="993"/>
      <c r="AY281" s="993"/>
      <c r="AZ281" s="833">
        <f t="shared" si="48"/>
        <v>0</v>
      </c>
      <c r="BA281" s="983" t="e">
        <f t="shared" si="49"/>
        <v>#N/A</v>
      </c>
      <c r="BB281" s="983" t="e">
        <f t="shared" si="50"/>
        <v>#N/A</v>
      </c>
      <c r="BC281" s="983" t="e">
        <f t="shared" si="51"/>
        <v>#N/A</v>
      </c>
      <c r="BD281" s="983" t="e">
        <f t="shared" si="52"/>
        <v>#N/A</v>
      </c>
      <c r="BE281" s="983" t="e">
        <f t="shared" si="53"/>
        <v>#N/A</v>
      </c>
      <c r="BF281" s="871" t="e">
        <f t="shared" si="54"/>
        <v>#N/A</v>
      </c>
    </row>
    <row r="282" spans="1:58" s="8" customFormat="1" ht="20.100000000000001" customHeight="1">
      <c r="A282" s="956"/>
      <c r="B282" s="1021">
        <v>6</v>
      </c>
      <c r="C282" s="956">
        <v>231</v>
      </c>
      <c r="D282" s="957"/>
      <c r="E282" s="957"/>
      <c r="F282" s="956"/>
      <c r="G282" s="958" t="s">
        <v>1335</v>
      </c>
      <c r="H282" s="958" t="s">
        <v>1335</v>
      </c>
      <c r="I282" s="958" t="s">
        <v>1335</v>
      </c>
      <c r="J282" s="958"/>
      <c r="K282" s="958" t="s">
        <v>1335</v>
      </c>
      <c r="L282" s="958" t="s">
        <v>1335</v>
      </c>
      <c r="M282" s="958" t="s">
        <v>1335</v>
      </c>
      <c r="N282" s="958" t="s">
        <v>1335</v>
      </c>
      <c r="O282" s="958" t="s">
        <v>1335</v>
      </c>
      <c r="P282" s="958" t="s">
        <v>1335</v>
      </c>
      <c r="Q282" s="958" t="s">
        <v>1335</v>
      </c>
      <c r="R282" s="958" t="s">
        <v>1335</v>
      </c>
      <c r="S282" s="958" t="s">
        <v>1335</v>
      </c>
      <c r="T282" s="958" t="s">
        <v>1335</v>
      </c>
      <c r="U282" s="958" t="s">
        <v>1335</v>
      </c>
      <c r="V282" s="982" t="s">
        <v>1335</v>
      </c>
      <c r="W282" s="966"/>
      <c r="X282" s="982" t="s">
        <v>1335</v>
      </c>
      <c r="Y282" s="970"/>
      <c r="Z282" s="966"/>
      <c r="AA282" s="971"/>
      <c r="AB282" s="972"/>
      <c r="AC282" s="972"/>
      <c r="AD282" s="972"/>
      <c r="AE282" s="972"/>
      <c r="AF282" s="972"/>
      <c r="AG282" s="972"/>
      <c r="AH282" s="972"/>
      <c r="AI282" s="972"/>
      <c r="AJ282" s="972"/>
      <c r="AK282" s="972"/>
      <c r="AL282" s="972"/>
      <c r="AM282" s="972"/>
      <c r="AN282" s="972"/>
      <c r="AO282" s="972"/>
      <c r="AP282" s="956"/>
      <c r="AQ282" s="956">
        <f t="shared" si="55"/>
        <v>14</v>
      </c>
      <c r="AR282" s="956">
        <f t="shared" si="56"/>
        <v>2</v>
      </c>
      <c r="AS282" s="956">
        <f t="shared" ref="AS282:AS313" si="57">AQ282+AR282</f>
        <v>16</v>
      </c>
      <c r="AT282" s="956">
        <v>9</v>
      </c>
      <c r="AU282" s="981"/>
      <c r="AV282" s="981"/>
      <c r="AW282" s="981"/>
      <c r="AX282" s="993"/>
      <c r="AY282" s="993"/>
      <c r="AZ282" s="833"/>
      <c r="BA282" s="983"/>
      <c r="BB282" s="983"/>
      <c r="BC282" s="983"/>
      <c r="BD282" s="983"/>
      <c r="BE282" s="983"/>
      <c r="BF282" s="871"/>
    </row>
    <row r="283" spans="1:58" s="8" customFormat="1" ht="20.100000000000001" customHeight="1">
      <c r="A283" s="956"/>
      <c r="B283" s="1021">
        <v>6</v>
      </c>
      <c r="C283" s="956">
        <v>232</v>
      </c>
      <c r="D283" s="957"/>
      <c r="E283" s="957"/>
      <c r="F283" s="956"/>
      <c r="G283" s="958" t="s">
        <v>1335</v>
      </c>
      <c r="H283" s="958" t="s">
        <v>1335</v>
      </c>
      <c r="I283" s="958" t="s">
        <v>1335</v>
      </c>
      <c r="J283" s="958"/>
      <c r="K283" s="958" t="s">
        <v>1335</v>
      </c>
      <c r="L283" s="958" t="s">
        <v>1335</v>
      </c>
      <c r="M283" s="958">
        <v>0</v>
      </c>
      <c r="N283" s="958" t="s">
        <v>1335</v>
      </c>
      <c r="O283" s="958" t="s">
        <v>1335</v>
      </c>
      <c r="P283" s="958" t="s">
        <v>1335</v>
      </c>
      <c r="Q283" s="958" t="s">
        <v>1335</v>
      </c>
      <c r="R283" s="958" t="s">
        <v>1335</v>
      </c>
      <c r="S283" s="958" t="s">
        <v>1335</v>
      </c>
      <c r="T283" s="958" t="s">
        <v>1335</v>
      </c>
      <c r="U283" s="958" t="s">
        <v>1335</v>
      </c>
      <c r="V283" s="982" t="s">
        <v>1335</v>
      </c>
      <c r="W283" s="966"/>
      <c r="X283" s="982" t="s">
        <v>1335</v>
      </c>
      <c r="Y283" s="970"/>
      <c r="Z283" s="966"/>
      <c r="AA283" s="971"/>
      <c r="AB283" s="972"/>
      <c r="AC283" s="972"/>
      <c r="AD283" s="972"/>
      <c r="AE283" s="972"/>
      <c r="AF283" s="972"/>
      <c r="AG283" s="972"/>
      <c r="AH283" s="972"/>
      <c r="AI283" s="972"/>
      <c r="AJ283" s="972"/>
      <c r="AK283" s="972"/>
      <c r="AL283" s="972"/>
      <c r="AM283" s="972"/>
      <c r="AN283" s="972"/>
      <c r="AO283" s="972"/>
      <c r="AP283" s="956"/>
      <c r="AQ283" s="956">
        <f t="shared" si="55"/>
        <v>13</v>
      </c>
      <c r="AR283" s="956">
        <f t="shared" si="56"/>
        <v>2</v>
      </c>
      <c r="AS283" s="956">
        <f t="shared" si="57"/>
        <v>15</v>
      </c>
      <c r="AT283" s="956">
        <v>9</v>
      </c>
      <c r="AU283" s="981"/>
      <c r="AV283" s="981"/>
      <c r="AW283" s="981"/>
      <c r="AX283" s="993"/>
      <c r="AY283" s="993"/>
      <c r="AZ283" s="833"/>
      <c r="BA283" s="983"/>
      <c r="BB283" s="983"/>
      <c r="BC283" s="983"/>
      <c r="BD283" s="983"/>
      <c r="BE283" s="983"/>
      <c r="BF283" s="871"/>
    </row>
    <row r="284" spans="1:58" s="8" customFormat="1" ht="20.100000000000001" customHeight="1">
      <c r="A284" s="956"/>
      <c r="B284" s="1021">
        <v>6</v>
      </c>
      <c r="C284" s="956">
        <v>233</v>
      </c>
      <c r="D284" s="957"/>
      <c r="E284" s="957"/>
      <c r="F284" s="956"/>
      <c r="G284" s="958" t="s">
        <v>1335</v>
      </c>
      <c r="H284" s="958" t="s">
        <v>1335</v>
      </c>
      <c r="I284" s="958" t="s">
        <v>1335</v>
      </c>
      <c r="J284" s="958"/>
      <c r="K284" s="958" t="s">
        <v>1335</v>
      </c>
      <c r="L284" s="958" t="s">
        <v>1335</v>
      </c>
      <c r="M284" s="958">
        <v>0</v>
      </c>
      <c r="N284" s="958" t="s">
        <v>1335</v>
      </c>
      <c r="O284" s="958" t="s">
        <v>1335</v>
      </c>
      <c r="P284" s="958" t="s">
        <v>1335</v>
      </c>
      <c r="Q284" s="958" t="s">
        <v>1335</v>
      </c>
      <c r="R284" s="958" t="s">
        <v>1335</v>
      </c>
      <c r="S284" s="958" t="s">
        <v>1335</v>
      </c>
      <c r="T284" s="958" t="s">
        <v>1335</v>
      </c>
      <c r="U284" s="958" t="s">
        <v>1335</v>
      </c>
      <c r="V284" s="982" t="s">
        <v>1335</v>
      </c>
      <c r="W284" s="966"/>
      <c r="X284" s="982">
        <v>0</v>
      </c>
      <c r="Y284" s="970"/>
      <c r="Z284" s="966"/>
      <c r="AA284" s="971"/>
      <c r="AB284" s="972"/>
      <c r="AC284" s="972"/>
      <c r="AD284" s="972"/>
      <c r="AE284" s="972"/>
      <c r="AF284" s="972"/>
      <c r="AG284" s="972"/>
      <c r="AH284" s="972"/>
      <c r="AI284" s="972"/>
      <c r="AJ284" s="972"/>
      <c r="AK284" s="972"/>
      <c r="AL284" s="972"/>
      <c r="AM284" s="972"/>
      <c r="AN284" s="972"/>
      <c r="AO284" s="972"/>
      <c r="AP284" s="956"/>
      <c r="AQ284" s="956">
        <f t="shared" si="55"/>
        <v>13</v>
      </c>
      <c r="AR284" s="956">
        <f t="shared" si="56"/>
        <v>1</v>
      </c>
      <c r="AS284" s="956">
        <f t="shared" si="57"/>
        <v>14</v>
      </c>
      <c r="AT284" s="956">
        <v>9</v>
      </c>
      <c r="AU284" s="981"/>
      <c r="AV284" s="981"/>
      <c r="AW284" s="981"/>
      <c r="AX284" s="993"/>
      <c r="AY284" s="993"/>
      <c r="AZ284" s="833"/>
      <c r="BA284" s="983"/>
      <c r="BB284" s="983"/>
      <c r="BC284" s="983"/>
      <c r="BD284" s="983"/>
      <c r="BE284" s="983"/>
      <c r="BF284" s="871"/>
    </row>
    <row r="285" spans="1:58" s="8" customFormat="1" ht="20.100000000000001" customHeight="1">
      <c r="A285" s="956"/>
      <c r="B285" s="1021">
        <v>6</v>
      </c>
      <c r="C285" s="956">
        <v>234</v>
      </c>
      <c r="D285" s="957"/>
      <c r="E285" s="957"/>
      <c r="F285" s="956"/>
      <c r="G285" s="958">
        <v>0</v>
      </c>
      <c r="H285" s="958" t="s">
        <v>1335</v>
      </c>
      <c r="I285" s="958" t="s">
        <v>1335</v>
      </c>
      <c r="J285" s="958"/>
      <c r="K285" s="958" t="s">
        <v>1335</v>
      </c>
      <c r="L285" s="958" t="s">
        <v>1335</v>
      </c>
      <c r="M285" s="958" t="s">
        <v>1335</v>
      </c>
      <c r="N285" s="958" t="s">
        <v>1335</v>
      </c>
      <c r="O285" s="958" t="s">
        <v>1335</v>
      </c>
      <c r="P285" s="958" t="s">
        <v>1335</v>
      </c>
      <c r="Q285" s="958" t="s">
        <v>1335</v>
      </c>
      <c r="R285" s="958" t="s">
        <v>1335</v>
      </c>
      <c r="S285" s="958" t="s">
        <v>1335</v>
      </c>
      <c r="T285" s="958" t="s">
        <v>1335</v>
      </c>
      <c r="U285" s="958" t="s">
        <v>1335</v>
      </c>
      <c r="V285" s="982" t="s">
        <v>1335</v>
      </c>
      <c r="W285" s="966"/>
      <c r="X285" s="982">
        <v>0</v>
      </c>
      <c r="Y285" s="970"/>
      <c r="Z285" s="966"/>
      <c r="AA285" s="971"/>
      <c r="AB285" s="972"/>
      <c r="AC285" s="972"/>
      <c r="AD285" s="972"/>
      <c r="AE285" s="972"/>
      <c r="AF285" s="972"/>
      <c r="AG285" s="972"/>
      <c r="AH285" s="972"/>
      <c r="AI285" s="972"/>
      <c r="AJ285" s="972"/>
      <c r="AK285" s="972"/>
      <c r="AL285" s="972"/>
      <c r="AM285" s="972"/>
      <c r="AN285" s="972"/>
      <c r="AO285" s="972"/>
      <c r="AP285" s="956"/>
      <c r="AQ285" s="956">
        <f t="shared" si="55"/>
        <v>13</v>
      </c>
      <c r="AR285" s="956">
        <f t="shared" si="56"/>
        <v>1</v>
      </c>
      <c r="AS285" s="956">
        <f t="shared" si="57"/>
        <v>14</v>
      </c>
      <c r="AT285" s="956">
        <v>9</v>
      </c>
      <c r="AU285" s="981"/>
      <c r="AV285" s="981"/>
      <c r="AW285" s="981"/>
      <c r="AX285" s="993"/>
      <c r="AY285" s="993"/>
      <c r="AZ285" s="833"/>
      <c r="BA285" s="983"/>
      <c r="BB285" s="983"/>
      <c r="BC285" s="983"/>
      <c r="BD285" s="983"/>
      <c r="BE285" s="983"/>
      <c r="BF285" s="871"/>
    </row>
    <row r="286" spans="1:58" s="8" customFormat="1" ht="20.100000000000001" customHeight="1">
      <c r="A286" s="956"/>
      <c r="B286" s="1021">
        <v>6</v>
      </c>
      <c r="C286" s="956">
        <v>235</v>
      </c>
      <c r="D286" s="957"/>
      <c r="E286" s="957"/>
      <c r="F286" s="956"/>
      <c r="G286" s="958" t="s">
        <v>1335</v>
      </c>
      <c r="H286" s="958" t="s">
        <v>1335</v>
      </c>
      <c r="I286" s="958" t="s">
        <v>1335</v>
      </c>
      <c r="J286" s="958"/>
      <c r="K286" s="958" t="s">
        <v>1335</v>
      </c>
      <c r="L286" s="958" t="s">
        <v>1335</v>
      </c>
      <c r="M286" s="958" t="s">
        <v>1335</v>
      </c>
      <c r="N286" s="958" t="s">
        <v>1335</v>
      </c>
      <c r="O286" s="958" t="s">
        <v>1335</v>
      </c>
      <c r="P286" s="958" t="s">
        <v>1335</v>
      </c>
      <c r="Q286" s="958" t="s">
        <v>1335</v>
      </c>
      <c r="R286" s="958" t="s">
        <v>1335</v>
      </c>
      <c r="S286" s="958" t="s">
        <v>1335</v>
      </c>
      <c r="T286" s="958" t="s">
        <v>1335</v>
      </c>
      <c r="U286" s="958" t="s">
        <v>1335</v>
      </c>
      <c r="V286" s="982" t="s">
        <v>1335</v>
      </c>
      <c r="W286" s="966"/>
      <c r="X286" s="982" t="s">
        <v>1335</v>
      </c>
      <c r="Y286" s="970"/>
      <c r="Z286" s="966"/>
      <c r="AA286" s="971"/>
      <c r="AB286" s="972"/>
      <c r="AC286" s="972"/>
      <c r="AD286" s="972"/>
      <c r="AE286" s="972"/>
      <c r="AF286" s="972"/>
      <c r="AG286" s="972"/>
      <c r="AH286" s="972"/>
      <c r="AI286" s="972"/>
      <c r="AJ286" s="972"/>
      <c r="AK286" s="972"/>
      <c r="AL286" s="972"/>
      <c r="AM286" s="972"/>
      <c r="AN286" s="972"/>
      <c r="AO286" s="972"/>
      <c r="AP286" s="956"/>
      <c r="AQ286" s="956">
        <f t="shared" si="55"/>
        <v>14</v>
      </c>
      <c r="AR286" s="956">
        <f t="shared" si="56"/>
        <v>2</v>
      </c>
      <c r="AS286" s="956">
        <f t="shared" si="57"/>
        <v>16</v>
      </c>
      <c r="AT286" s="956">
        <v>9</v>
      </c>
      <c r="AU286" s="981"/>
      <c r="AV286" s="981"/>
      <c r="AW286" s="981"/>
      <c r="AX286" s="993"/>
      <c r="AY286" s="993"/>
      <c r="AZ286" s="833"/>
      <c r="BA286" s="983"/>
      <c r="BB286" s="983"/>
      <c r="BC286" s="983"/>
      <c r="BD286" s="983"/>
      <c r="BE286" s="983"/>
      <c r="BF286" s="871"/>
    </row>
    <row r="287" spans="1:58" s="8" customFormat="1" ht="20.100000000000001" customHeight="1">
      <c r="A287" s="956"/>
      <c r="B287" s="1021">
        <v>6</v>
      </c>
      <c r="C287" s="956">
        <v>236</v>
      </c>
      <c r="D287" s="957"/>
      <c r="E287" s="957"/>
      <c r="F287" s="956"/>
      <c r="G287" s="958" t="s">
        <v>1335</v>
      </c>
      <c r="H287" s="958" t="s">
        <v>1335</v>
      </c>
      <c r="I287" s="958" t="s">
        <v>1335</v>
      </c>
      <c r="J287" s="958"/>
      <c r="K287" s="958" t="s">
        <v>1335</v>
      </c>
      <c r="L287" s="958" t="s">
        <v>1335</v>
      </c>
      <c r="M287" s="958" t="s">
        <v>1335</v>
      </c>
      <c r="N287" s="958" t="s">
        <v>1335</v>
      </c>
      <c r="O287" s="958" t="s">
        <v>1335</v>
      </c>
      <c r="P287" s="958" t="s">
        <v>1335</v>
      </c>
      <c r="Q287" s="958" t="s">
        <v>1335</v>
      </c>
      <c r="R287" s="958" t="s">
        <v>1335</v>
      </c>
      <c r="S287" s="958" t="s">
        <v>1335</v>
      </c>
      <c r="T287" s="958" t="s">
        <v>1335</v>
      </c>
      <c r="U287" s="958" t="s">
        <v>1335</v>
      </c>
      <c r="V287" s="982" t="s">
        <v>1335</v>
      </c>
      <c r="W287" s="966"/>
      <c r="X287" s="982" t="s">
        <v>1335</v>
      </c>
      <c r="Y287" s="970"/>
      <c r="Z287" s="966"/>
      <c r="AA287" s="971"/>
      <c r="AB287" s="972"/>
      <c r="AC287" s="972"/>
      <c r="AD287" s="972"/>
      <c r="AE287" s="972"/>
      <c r="AF287" s="972"/>
      <c r="AG287" s="972"/>
      <c r="AH287" s="972"/>
      <c r="AI287" s="972"/>
      <c r="AJ287" s="972"/>
      <c r="AK287" s="972"/>
      <c r="AL287" s="972"/>
      <c r="AM287" s="972"/>
      <c r="AN287" s="972"/>
      <c r="AO287" s="972"/>
      <c r="AP287" s="956"/>
      <c r="AQ287" s="956">
        <f t="shared" si="55"/>
        <v>14</v>
      </c>
      <c r="AR287" s="956">
        <f t="shared" si="56"/>
        <v>2</v>
      </c>
      <c r="AS287" s="956">
        <f t="shared" si="57"/>
        <v>16</v>
      </c>
      <c r="AT287" s="956">
        <v>9</v>
      </c>
      <c r="AU287" s="981"/>
      <c r="AV287" s="981"/>
      <c r="AW287" s="981"/>
      <c r="AX287" s="993"/>
      <c r="AY287" s="993"/>
      <c r="AZ287" s="833"/>
      <c r="BA287" s="983"/>
      <c r="BB287" s="983"/>
      <c r="BC287" s="983"/>
      <c r="BD287" s="983"/>
      <c r="BE287" s="983"/>
      <c r="BF287" s="871"/>
    </row>
    <row r="288" spans="1:58" s="8" customFormat="1" ht="20.100000000000001" customHeight="1">
      <c r="A288" s="956"/>
      <c r="B288" s="1021">
        <v>6</v>
      </c>
      <c r="C288" s="956">
        <v>237</v>
      </c>
      <c r="D288" s="957"/>
      <c r="E288" s="957"/>
      <c r="F288" s="956"/>
      <c r="G288" s="958">
        <v>0</v>
      </c>
      <c r="H288" s="958" t="s">
        <v>1335</v>
      </c>
      <c r="I288" s="958" t="s">
        <v>1335</v>
      </c>
      <c r="J288" s="958"/>
      <c r="K288" s="958" t="s">
        <v>1335</v>
      </c>
      <c r="L288" s="958" t="s">
        <v>1335</v>
      </c>
      <c r="M288" s="958">
        <v>0</v>
      </c>
      <c r="N288" s="958" t="s">
        <v>1335</v>
      </c>
      <c r="O288" s="958" t="s">
        <v>1335</v>
      </c>
      <c r="P288" s="958" t="s">
        <v>1335</v>
      </c>
      <c r="Q288" s="958" t="s">
        <v>1335</v>
      </c>
      <c r="R288" s="958" t="s">
        <v>1335</v>
      </c>
      <c r="S288" s="958" t="s">
        <v>1335</v>
      </c>
      <c r="T288" s="958" t="s">
        <v>1335</v>
      </c>
      <c r="U288" s="958" t="s">
        <v>1335</v>
      </c>
      <c r="V288" s="982">
        <v>0</v>
      </c>
      <c r="W288" s="966"/>
      <c r="X288" s="982" t="s">
        <v>1335</v>
      </c>
      <c r="Y288" s="970"/>
      <c r="Z288" s="966"/>
      <c r="AA288" s="971"/>
      <c r="AB288" s="972"/>
      <c r="AC288" s="972"/>
      <c r="AD288" s="972"/>
      <c r="AE288" s="972"/>
      <c r="AF288" s="972"/>
      <c r="AG288" s="972"/>
      <c r="AH288" s="972"/>
      <c r="AI288" s="972"/>
      <c r="AJ288" s="972"/>
      <c r="AK288" s="972"/>
      <c r="AL288" s="972"/>
      <c r="AM288" s="972"/>
      <c r="AN288" s="972"/>
      <c r="AO288" s="972"/>
      <c r="AP288" s="956"/>
      <c r="AQ288" s="956">
        <f t="shared" si="55"/>
        <v>12</v>
      </c>
      <c r="AR288" s="956">
        <f t="shared" si="56"/>
        <v>1</v>
      </c>
      <c r="AS288" s="956">
        <f t="shared" si="57"/>
        <v>13</v>
      </c>
      <c r="AT288" s="956">
        <v>9</v>
      </c>
      <c r="AU288" s="981"/>
      <c r="AV288" s="981"/>
      <c r="AW288" s="981"/>
      <c r="AX288" s="993"/>
      <c r="AY288" s="993"/>
      <c r="AZ288" s="833"/>
      <c r="BA288" s="983"/>
      <c r="BB288" s="983"/>
      <c r="BC288" s="983"/>
      <c r="BD288" s="983"/>
      <c r="BE288" s="983"/>
      <c r="BF288" s="871"/>
    </row>
    <row r="289" spans="1:58" s="8" customFormat="1" ht="20.100000000000001" customHeight="1">
      <c r="A289" s="956"/>
      <c r="B289" s="1021">
        <v>6</v>
      </c>
      <c r="C289" s="956">
        <v>238</v>
      </c>
      <c r="D289" s="957"/>
      <c r="E289" s="957"/>
      <c r="F289" s="956"/>
      <c r="G289" s="958" t="s">
        <v>1335</v>
      </c>
      <c r="H289" s="958">
        <v>0</v>
      </c>
      <c r="I289" s="958" t="s">
        <v>1335</v>
      </c>
      <c r="J289" s="958"/>
      <c r="K289" s="958">
        <v>0</v>
      </c>
      <c r="L289" s="958" t="s">
        <v>1335</v>
      </c>
      <c r="M289" s="958" t="s">
        <v>1335</v>
      </c>
      <c r="N289" s="958" t="s">
        <v>1335</v>
      </c>
      <c r="O289" s="958" t="s">
        <v>1335</v>
      </c>
      <c r="P289" s="958" t="s">
        <v>1335</v>
      </c>
      <c r="Q289" s="958" t="s">
        <v>1335</v>
      </c>
      <c r="R289" s="958" t="s">
        <v>1335</v>
      </c>
      <c r="S289" s="958" t="s">
        <v>1335</v>
      </c>
      <c r="T289" s="958" t="s">
        <v>1335</v>
      </c>
      <c r="U289" s="958" t="s">
        <v>1335</v>
      </c>
      <c r="V289" s="982">
        <v>0</v>
      </c>
      <c r="W289" s="966"/>
      <c r="X289" s="982" t="s">
        <v>1335</v>
      </c>
      <c r="Y289" s="970"/>
      <c r="Z289" s="966"/>
      <c r="AA289" s="971"/>
      <c r="AB289" s="972"/>
      <c r="AC289" s="972"/>
      <c r="AD289" s="972"/>
      <c r="AE289" s="972"/>
      <c r="AF289" s="972"/>
      <c r="AG289" s="972"/>
      <c r="AH289" s="972"/>
      <c r="AI289" s="972"/>
      <c r="AJ289" s="972"/>
      <c r="AK289" s="972"/>
      <c r="AL289" s="972"/>
      <c r="AM289" s="972"/>
      <c r="AN289" s="972"/>
      <c r="AO289" s="972"/>
      <c r="AP289" s="956"/>
      <c r="AQ289" s="956">
        <f t="shared" si="55"/>
        <v>12</v>
      </c>
      <c r="AR289" s="956">
        <f t="shared" si="56"/>
        <v>1</v>
      </c>
      <c r="AS289" s="956">
        <f t="shared" si="57"/>
        <v>13</v>
      </c>
      <c r="AT289" s="982">
        <v>3</v>
      </c>
      <c r="AU289" s="981"/>
      <c r="AV289" s="981"/>
      <c r="AW289" s="981"/>
      <c r="AX289" s="993"/>
      <c r="AY289" s="993"/>
      <c r="AZ289" s="833"/>
      <c r="BA289" s="983"/>
      <c r="BB289" s="983"/>
      <c r="BC289" s="983"/>
      <c r="BD289" s="983"/>
      <c r="BE289" s="983"/>
      <c r="BF289" s="871"/>
    </row>
    <row r="290" spans="1:58" s="8" customFormat="1" ht="20.100000000000001" customHeight="1">
      <c r="A290" s="956"/>
      <c r="B290" s="1021">
        <v>6</v>
      </c>
      <c r="C290" s="956">
        <v>239</v>
      </c>
      <c r="D290" s="957"/>
      <c r="E290" s="957"/>
      <c r="F290" s="956"/>
      <c r="G290" s="958" t="s">
        <v>1335</v>
      </c>
      <c r="H290" s="958" t="s">
        <v>1335</v>
      </c>
      <c r="I290" s="958">
        <v>0</v>
      </c>
      <c r="J290" s="958"/>
      <c r="K290" s="958" t="s">
        <v>1335</v>
      </c>
      <c r="L290" s="958" t="s">
        <v>1335</v>
      </c>
      <c r="M290" s="958" t="s">
        <v>1335</v>
      </c>
      <c r="N290" s="958" t="s">
        <v>1335</v>
      </c>
      <c r="O290" s="958" t="s">
        <v>1335</v>
      </c>
      <c r="P290" s="958" t="s">
        <v>1335</v>
      </c>
      <c r="Q290" s="958" t="s">
        <v>1335</v>
      </c>
      <c r="R290" s="958" t="s">
        <v>1335</v>
      </c>
      <c r="S290" s="958" t="s">
        <v>1335</v>
      </c>
      <c r="T290" s="958" t="s">
        <v>1335</v>
      </c>
      <c r="U290" s="958" t="s">
        <v>1335</v>
      </c>
      <c r="V290" s="982" t="s">
        <v>1335</v>
      </c>
      <c r="W290" s="966"/>
      <c r="X290" s="982" t="s">
        <v>1335</v>
      </c>
      <c r="Y290" s="970"/>
      <c r="Z290" s="966"/>
      <c r="AA290" s="971"/>
      <c r="AB290" s="972"/>
      <c r="AC290" s="972"/>
      <c r="AD290" s="972"/>
      <c r="AE290" s="972"/>
      <c r="AF290" s="972"/>
      <c r="AG290" s="972"/>
      <c r="AH290" s="972"/>
      <c r="AI290" s="972"/>
      <c r="AJ290" s="972"/>
      <c r="AK290" s="972"/>
      <c r="AL290" s="972"/>
      <c r="AM290" s="972"/>
      <c r="AN290" s="972"/>
      <c r="AO290" s="972"/>
      <c r="AP290" s="956"/>
      <c r="AQ290" s="956">
        <f t="shared" si="55"/>
        <v>13</v>
      </c>
      <c r="AR290" s="956">
        <f t="shared" si="56"/>
        <v>2</v>
      </c>
      <c r="AS290" s="956">
        <f t="shared" si="57"/>
        <v>15</v>
      </c>
      <c r="AT290" s="956">
        <v>9</v>
      </c>
      <c r="AU290" s="981"/>
      <c r="AV290" s="981"/>
      <c r="AW290" s="981"/>
      <c r="AX290" s="993"/>
      <c r="AY290" s="993"/>
      <c r="AZ290" s="833"/>
      <c r="BA290" s="983"/>
      <c r="BB290" s="983"/>
      <c r="BC290" s="983"/>
      <c r="BD290" s="983"/>
      <c r="BE290" s="983"/>
      <c r="BF290" s="871"/>
    </row>
    <row r="291" spans="1:58" s="8" customFormat="1" ht="20.100000000000001" customHeight="1">
      <c r="A291" s="956"/>
      <c r="B291" s="1021">
        <v>6</v>
      </c>
      <c r="C291" s="956">
        <v>240</v>
      </c>
      <c r="D291" s="957"/>
      <c r="E291" s="957"/>
      <c r="F291" s="956"/>
      <c r="G291" s="958" t="s">
        <v>1335</v>
      </c>
      <c r="H291" s="958">
        <v>0</v>
      </c>
      <c r="I291" s="958" t="s">
        <v>1335</v>
      </c>
      <c r="J291" s="958"/>
      <c r="K291" s="958" t="s">
        <v>1335</v>
      </c>
      <c r="L291" s="958" t="s">
        <v>1335</v>
      </c>
      <c r="M291" s="958" t="s">
        <v>1335</v>
      </c>
      <c r="N291" s="958" t="s">
        <v>1335</v>
      </c>
      <c r="O291" s="958" t="s">
        <v>1335</v>
      </c>
      <c r="P291" s="958" t="s">
        <v>1335</v>
      </c>
      <c r="Q291" s="958" t="s">
        <v>1335</v>
      </c>
      <c r="R291" s="958" t="s">
        <v>1335</v>
      </c>
      <c r="S291" s="958" t="s">
        <v>1335</v>
      </c>
      <c r="T291" s="958" t="s">
        <v>1335</v>
      </c>
      <c r="U291" s="958" t="s">
        <v>1335</v>
      </c>
      <c r="V291" s="982">
        <v>0</v>
      </c>
      <c r="W291" s="966"/>
      <c r="X291" s="982" t="s">
        <v>1335</v>
      </c>
      <c r="Y291" s="970"/>
      <c r="Z291" s="966"/>
      <c r="AA291" s="971"/>
      <c r="AB291" s="972"/>
      <c r="AC291" s="972"/>
      <c r="AD291" s="972"/>
      <c r="AE291" s="972"/>
      <c r="AF291" s="972"/>
      <c r="AG291" s="972"/>
      <c r="AH291" s="972"/>
      <c r="AI291" s="972"/>
      <c r="AJ291" s="972"/>
      <c r="AK291" s="972"/>
      <c r="AL291" s="972"/>
      <c r="AM291" s="972"/>
      <c r="AN291" s="972"/>
      <c r="AO291" s="972"/>
      <c r="AP291" s="956"/>
      <c r="AQ291" s="956">
        <f t="shared" si="55"/>
        <v>13</v>
      </c>
      <c r="AR291" s="956">
        <f t="shared" si="56"/>
        <v>1</v>
      </c>
      <c r="AS291" s="956">
        <f t="shared" si="57"/>
        <v>14</v>
      </c>
      <c r="AT291" s="956">
        <v>9</v>
      </c>
      <c r="AU291" s="981"/>
      <c r="AV291" s="981"/>
      <c r="AW291" s="981"/>
      <c r="AX291" s="993"/>
      <c r="AY291" s="993"/>
      <c r="AZ291" s="833"/>
      <c r="BA291" s="983"/>
      <c r="BB291" s="983"/>
      <c r="BC291" s="983"/>
      <c r="BD291" s="983"/>
      <c r="BE291" s="983"/>
      <c r="BF291" s="871"/>
    </row>
    <row r="292" spans="1:58" s="8" customFormat="1" ht="20.100000000000001" customHeight="1">
      <c r="A292" s="956"/>
      <c r="B292" s="1021">
        <v>6</v>
      </c>
      <c r="C292" s="956">
        <v>241</v>
      </c>
      <c r="D292" s="957"/>
      <c r="E292" s="957"/>
      <c r="F292" s="956"/>
      <c r="G292" s="958">
        <v>0</v>
      </c>
      <c r="H292" s="958" t="s">
        <v>1335</v>
      </c>
      <c r="I292" s="958">
        <v>0</v>
      </c>
      <c r="J292" s="958"/>
      <c r="K292" s="958" t="s">
        <v>1335</v>
      </c>
      <c r="L292" s="958" t="s">
        <v>1335</v>
      </c>
      <c r="M292" s="958">
        <v>0</v>
      </c>
      <c r="N292" s="958" t="s">
        <v>1335</v>
      </c>
      <c r="O292" s="958" t="s">
        <v>1335</v>
      </c>
      <c r="P292" s="958" t="s">
        <v>1335</v>
      </c>
      <c r="Q292" s="958" t="s">
        <v>1335</v>
      </c>
      <c r="R292" s="958" t="s">
        <v>1335</v>
      </c>
      <c r="S292" s="958" t="s">
        <v>1335</v>
      </c>
      <c r="T292" s="958" t="s">
        <v>1335</v>
      </c>
      <c r="U292" s="958" t="s">
        <v>1335</v>
      </c>
      <c r="V292" s="982">
        <v>0</v>
      </c>
      <c r="W292" s="966"/>
      <c r="X292" s="982">
        <v>0</v>
      </c>
      <c r="Y292" s="970"/>
      <c r="Z292" s="966"/>
      <c r="AA292" s="971"/>
      <c r="AB292" s="972"/>
      <c r="AC292" s="972"/>
      <c r="AD292" s="972"/>
      <c r="AE292" s="972"/>
      <c r="AF292" s="972"/>
      <c r="AG292" s="972"/>
      <c r="AH292" s="972"/>
      <c r="AI292" s="972"/>
      <c r="AJ292" s="972"/>
      <c r="AK292" s="972"/>
      <c r="AL292" s="972"/>
      <c r="AM292" s="972"/>
      <c r="AN292" s="972"/>
      <c r="AO292" s="972"/>
      <c r="AP292" s="956"/>
      <c r="AQ292" s="956">
        <f t="shared" si="55"/>
        <v>11</v>
      </c>
      <c r="AR292" s="956">
        <f t="shared" si="56"/>
        <v>0</v>
      </c>
      <c r="AS292" s="956">
        <f t="shared" si="57"/>
        <v>11</v>
      </c>
      <c r="AT292" s="956">
        <v>9</v>
      </c>
      <c r="AU292" s="981"/>
      <c r="AV292" s="981"/>
      <c r="AW292" s="981"/>
      <c r="AX292" s="993"/>
      <c r="AY292" s="993"/>
      <c r="AZ292" s="833"/>
      <c r="BA292" s="983"/>
      <c r="BB292" s="983"/>
      <c r="BC292" s="983"/>
      <c r="BD292" s="983"/>
      <c r="BE292" s="983"/>
      <c r="BF292" s="871"/>
    </row>
    <row r="293" spans="1:58" s="8" customFormat="1" ht="20.100000000000001" customHeight="1">
      <c r="A293" s="956"/>
      <c r="B293" s="1021">
        <v>6</v>
      </c>
      <c r="C293" s="956">
        <v>242</v>
      </c>
      <c r="D293" s="957"/>
      <c r="E293" s="957"/>
      <c r="F293" s="956"/>
      <c r="G293" s="958">
        <v>0</v>
      </c>
      <c r="H293" s="958" t="s">
        <v>1335</v>
      </c>
      <c r="I293" s="958">
        <v>0</v>
      </c>
      <c r="J293" s="958"/>
      <c r="K293" s="958" t="s">
        <v>1335</v>
      </c>
      <c r="L293" s="958" t="s">
        <v>1335</v>
      </c>
      <c r="M293" s="958">
        <v>0</v>
      </c>
      <c r="N293" s="958" t="s">
        <v>1335</v>
      </c>
      <c r="O293" s="958" t="s">
        <v>1335</v>
      </c>
      <c r="P293" s="958" t="s">
        <v>1335</v>
      </c>
      <c r="Q293" s="958" t="s">
        <v>1335</v>
      </c>
      <c r="R293" s="958" t="s">
        <v>1335</v>
      </c>
      <c r="S293" s="958" t="s">
        <v>1335</v>
      </c>
      <c r="T293" s="958" t="s">
        <v>1335</v>
      </c>
      <c r="U293" s="958" t="s">
        <v>1335</v>
      </c>
      <c r="V293" s="982">
        <v>0</v>
      </c>
      <c r="W293" s="966"/>
      <c r="X293" s="982">
        <v>0</v>
      </c>
      <c r="Y293" s="970"/>
      <c r="Z293" s="966"/>
      <c r="AA293" s="971"/>
      <c r="AB293" s="972"/>
      <c r="AC293" s="972"/>
      <c r="AD293" s="972"/>
      <c r="AE293" s="972"/>
      <c r="AF293" s="972"/>
      <c r="AG293" s="972"/>
      <c r="AH293" s="972"/>
      <c r="AI293" s="972"/>
      <c r="AJ293" s="972"/>
      <c r="AK293" s="972"/>
      <c r="AL293" s="972"/>
      <c r="AM293" s="972"/>
      <c r="AN293" s="972"/>
      <c r="AO293" s="972"/>
      <c r="AP293" s="956"/>
      <c r="AQ293" s="956">
        <f t="shared" si="55"/>
        <v>11</v>
      </c>
      <c r="AR293" s="956">
        <f t="shared" si="56"/>
        <v>0</v>
      </c>
      <c r="AS293" s="956">
        <f t="shared" si="57"/>
        <v>11</v>
      </c>
      <c r="AT293" s="956">
        <v>9</v>
      </c>
      <c r="AU293" s="981"/>
      <c r="AV293" s="981"/>
      <c r="AW293" s="981"/>
      <c r="AX293" s="993"/>
      <c r="AY293" s="993"/>
      <c r="AZ293" s="833"/>
      <c r="BA293" s="983"/>
      <c r="BB293" s="983"/>
      <c r="BC293" s="983"/>
      <c r="BD293" s="983"/>
      <c r="BE293" s="983"/>
      <c r="BF293" s="871"/>
    </row>
    <row r="294" spans="1:58" s="8" customFormat="1" ht="20.100000000000001" customHeight="1">
      <c r="A294" s="956"/>
      <c r="B294" s="1021">
        <v>6</v>
      </c>
      <c r="C294" s="956">
        <v>243</v>
      </c>
      <c r="D294" s="957"/>
      <c r="E294" s="957"/>
      <c r="F294" s="956"/>
      <c r="G294" s="958" t="s">
        <v>1335</v>
      </c>
      <c r="H294" s="958" t="s">
        <v>1335</v>
      </c>
      <c r="I294" s="958" t="s">
        <v>1335</v>
      </c>
      <c r="J294" s="958" t="s">
        <v>1335</v>
      </c>
      <c r="K294" s="958" t="s">
        <v>1335</v>
      </c>
      <c r="L294" s="958" t="s">
        <v>1335</v>
      </c>
      <c r="M294" s="958" t="s">
        <v>1335</v>
      </c>
      <c r="N294" s="958">
        <v>0</v>
      </c>
      <c r="O294" s="958" t="s">
        <v>1335</v>
      </c>
      <c r="P294" s="958" t="s">
        <v>1335</v>
      </c>
      <c r="Q294" s="958" t="s">
        <v>1335</v>
      </c>
      <c r="R294" s="958">
        <v>0</v>
      </c>
      <c r="S294" s="958" t="s">
        <v>1335</v>
      </c>
      <c r="T294" s="958" t="s">
        <v>1335</v>
      </c>
      <c r="U294" s="958" t="s">
        <v>1335</v>
      </c>
      <c r="V294" s="982" t="s">
        <v>1335</v>
      </c>
      <c r="W294" s="966"/>
      <c r="X294" s="982" t="s">
        <v>1335</v>
      </c>
      <c r="Y294" s="970"/>
      <c r="Z294" s="966"/>
      <c r="AA294" s="971"/>
      <c r="AB294" s="972"/>
      <c r="AC294" s="972"/>
      <c r="AD294" s="972"/>
      <c r="AE294" s="972"/>
      <c r="AF294" s="972"/>
      <c r="AG294" s="972"/>
      <c r="AH294" s="972"/>
      <c r="AI294" s="972"/>
      <c r="AJ294" s="972"/>
      <c r="AK294" s="972"/>
      <c r="AL294" s="972"/>
      <c r="AM294" s="972"/>
      <c r="AN294" s="972"/>
      <c r="AO294" s="972"/>
      <c r="AP294" s="956"/>
      <c r="AQ294" s="956">
        <f t="shared" si="55"/>
        <v>13</v>
      </c>
      <c r="AR294" s="956">
        <f t="shared" si="56"/>
        <v>2</v>
      </c>
      <c r="AS294" s="956">
        <f t="shared" si="57"/>
        <v>15</v>
      </c>
      <c r="AT294" s="956">
        <v>9</v>
      </c>
      <c r="AU294" s="981"/>
      <c r="AV294" s="981"/>
      <c r="AW294" s="981"/>
      <c r="AX294" s="993"/>
      <c r="AY294" s="993"/>
      <c r="AZ294" s="833"/>
      <c r="BA294" s="983"/>
      <c r="BB294" s="983"/>
      <c r="BC294" s="983"/>
      <c r="BD294" s="983"/>
      <c r="BE294" s="983"/>
      <c r="BF294" s="871"/>
    </row>
    <row r="295" spans="1:58" s="8" customFormat="1" ht="20.100000000000001" customHeight="1">
      <c r="A295" s="956"/>
      <c r="B295" s="1021">
        <v>6</v>
      </c>
      <c r="C295" s="956">
        <v>244</v>
      </c>
      <c r="D295" s="957"/>
      <c r="E295" s="957"/>
      <c r="F295" s="956"/>
      <c r="G295" s="958" t="s">
        <v>1335</v>
      </c>
      <c r="H295" s="958" t="s">
        <v>1335</v>
      </c>
      <c r="I295" s="958" t="s">
        <v>1335</v>
      </c>
      <c r="J295" s="958" t="s">
        <v>1335</v>
      </c>
      <c r="K295" s="958">
        <v>0</v>
      </c>
      <c r="L295" s="958" t="s">
        <v>1335</v>
      </c>
      <c r="M295" s="958" t="s">
        <v>1335</v>
      </c>
      <c r="N295" s="958" t="s">
        <v>1335</v>
      </c>
      <c r="O295" s="958" t="s">
        <v>1335</v>
      </c>
      <c r="P295" s="958" t="s">
        <v>1335</v>
      </c>
      <c r="Q295" s="958" t="s">
        <v>1335</v>
      </c>
      <c r="R295" s="958" t="s">
        <v>1335</v>
      </c>
      <c r="S295" s="958" t="s">
        <v>1335</v>
      </c>
      <c r="T295" s="958" t="s">
        <v>1335</v>
      </c>
      <c r="U295" s="958" t="s">
        <v>1335</v>
      </c>
      <c r="V295" s="982" t="s">
        <v>1335</v>
      </c>
      <c r="W295" s="966"/>
      <c r="X295" s="982">
        <v>0</v>
      </c>
      <c r="Y295" s="970"/>
      <c r="Z295" s="966"/>
      <c r="AA295" s="971"/>
      <c r="AB295" s="972"/>
      <c r="AC295" s="972"/>
      <c r="AD295" s="972"/>
      <c r="AE295" s="972"/>
      <c r="AF295" s="972"/>
      <c r="AG295" s="972"/>
      <c r="AH295" s="972"/>
      <c r="AI295" s="972"/>
      <c r="AJ295" s="972"/>
      <c r="AK295" s="972"/>
      <c r="AL295" s="972"/>
      <c r="AM295" s="972"/>
      <c r="AN295" s="972"/>
      <c r="AO295" s="972"/>
      <c r="AP295" s="956"/>
      <c r="AQ295" s="956">
        <f t="shared" si="55"/>
        <v>14</v>
      </c>
      <c r="AR295" s="956">
        <f t="shared" si="56"/>
        <v>1</v>
      </c>
      <c r="AS295" s="956">
        <f t="shared" si="57"/>
        <v>15</v>
      </c>
      <c r="AT295" s="956">
        <v>9</v>
      </c>
      <c r="AU295" s="981"/>
      <c r="AV295" s="981"/>
      <c r="AW295" s="981"/>
      <c r="AX295" s="993"/>
      <c r="AY295" s="993"/>
      <c r="AZ295" s="833"/>
      <c r="BA295" s="983"/>
      <c r="BB295" s="983"/>
      <c r="BC295" s="983"/>
      <c r="BD295" s="983"/>
      <c r="BE295" s="983"/>
      <c r="BF295" s="871"/>
    </row>
    <row r="296" spans="1:58" s="8" customFormat="1" ht="20.100000000000001" customHeight="1">
      <c r="A296" s="956"/>
      <c r="B296" s="1021">
        <v>6</v>
      </c>
      <c r="C296" s="956">
        <v>245</v>
      </c>
      <c r="D296" s="957"/>
      <c r="E296" s="957"/>
      <c r="F296" s="956"/>
      <c r="G296" s="958">
        <v>0</v>
      </c>
      <c r="H296" s="958" t="s">
        <v>1335</v>
      </c>
      <c r="I296" s="958">
        <v>0</v>
      </c>
      <c r="J296" s="958" t="s">
        <v>1335</v>
      </c>
      <c r="K296" s="958" t="s">
        <v>1335</v>
      </c>
      <c r="L296" s="958" t="s">
        <v>1335</v>
      </c>
      <c r="M296" s="958" t="s">
        <v>1335</v>
      </c>
      <c r="N296" s="958">
        <v>0</v>
      </c>
      <c r="O296" s="958" t="s">
        <v>1335</v>
      </c>
      <c r="P296" s="958" t="s">
        <v>1335</v>
      </c>
      <c r="Q296" s="958" t="s">
        <v>1335</v>
      </c>
      <c r="R296" s="958" t="s">
        <v>1335</v>
      </c>
      <c r="S296" s="958">
        <v>0</v>
      </c>
      <c r="T296" s="958">
        <v>0</v>
      </c>
      <c r="U296" s="958">
        <v>0</v>
      </c>
      <c r="V296" s="982" t="s">
        <v>1335</v>
      </c>
      <c r="W296" s="966"/>
      <c r="X296" s="982">
        <v>0</v>
      </c>
      <c r="Y296" s="970"/>
      <c r="Z296" s="966"/>
      <c r="AA296" s="971"/>
      <c r="AB296" s="972"/>
      <c r="AC296" s="972"/>
      <c r="AD296" s="972"/>
      <c r="AE296" s="972"/>
      <c r="AF296" s="972"/>
      <c r="AG296" s="972"/>
      <c r="AH296" s="972"/>
      <c r="AI296" s="972"/>
      <c r="AJ296" s="972"/>
      <c r="AK296" s="972"/>
      <c r="AL296" s="972"/>
      <c r="AM296" s="972"/>
      <c r="AN296" s="972"/>
      <c r="AO296" s="972"/>
      <c r="AP296" s="956"/>
      <c r="AQ296" s="956">
        <f t="shared" si="55"/>
        <v>9</v>
      </c>
      <c r="AR296" s="956">
        <f t="shared" si="56"/>
        <v>1</v>
      </c>
      <c r="AS296" s="956">
        <f t="shared" si="57"/>
        <v>10</v>
      </c>
      <c r="AT296" s="956">
        <v>9</v>
      </c>
      <c r="AU296" s="981"/>
      <c r="AV296" s="981"/>
      <c r="AW296" s="981"/>
      <c r="AX296" s="993"/>
      <c r="AY296" s="993"/>
      <c r="AZ296" s="833"/>
      <c r="BA296" s="983"/>
      <c r="BB296" s="983"/>
      <c r="BC296" s="983"/>
      <c r="BD296" s="983"/>
      <c r="BE296" s="983"/>
      <c r="BF296" s="871"/>
    </row>
    <row r="297" spans="1:58" s="8" customFormat="1" ht="20.100000000000001" customHeight="1">
      <c r="A297" s="956"/>
      <c r="B297" s="1021">
        <v>6</v>
      </c>
      <c r="C297" s="956">
        <v>246</v>
      </c>
      <c r="D297" s="957"/>
      <c r="E297" s="957"/>
      <c r="F297" s="956"/>
      <c r="G297" s="958" t="s">
        <v>1335</v>
      </c>
      <c r="H297" s="958" t="s">
        <v>1335</v>
      </c>
      <c r="I297" s="958" t="s">
        <v>1335</v>
      </c>
      <c r="J297" s="958"/>
      <c r="K297" s="958" t="s">
        <v>1335</v>
      </c>
      <c r="L297" s="958" t="s">
        <v>1335</v>
      </c>
      <c r="M297" s="958" t="s">
        <v>1335</v>
      </c>
      <c r="N297" s="958" t="s">
        <v>1335</v>
      </c>
      <c r="O297" s="958" t="s">
        <v>1335</v>
      </c>
      <c r="P297" s="958" t="s">
        <v>1335</v>
      </c>
      <c r="Q297" s="958" t="s">
        <v>1335</v>
      </c>
      <c r="R297" s="958" t="s">
        <v>1335</v>
      </c>
      <c r="S297" s="958" t="s">
        <v>1335</v>
      </c>
      <c r="T297" s="958" t="s">
        <v>1335</v>
      </c>
      <c r="U297" s="958" t="s">
        <v>1335</v>
      </c>
      <c r="V297" s="982" t="s">
        <v>1335</v>
      </c>
      <c r="W297" s="966"/>
      <c r="X297" s="982">
        <v>0</v>
      </c>
      <c r="Y297" s="970"/>
      <c r="Z297" s="966"/>
      <c r="AA297" s="971"/>
      <c r="AB297" s="972"/>
      <c r="AC297" s="972"/>
      <c r="AD297" s="972"/>
      <c r="AE297" s="972"/>
      <c r="AF297" s="972"/>
      <c r="AG297" s="972"/>
      <c r="AH297" s="972"/>
      <c r="AI297" s="972"/>
      <c r="AJ297" s="972"/>
      <c r="AK297" s="972"/>
      <c r="AL297" s="972"/>
      <c r="AM297" s="972"/>
      <c r="AN297" s="972"/>
      <c r="AO297" s="972"/>
      <c r="AP297" s="956"/>
      <c r="AQ297" s="956">
        <f t="shared" si="55"/>
        <v>14</v>
      </c>
      <c r="AR297" s="956">
        <f t="shared" si="56"/>
        <v>1</v>
      </c>
      <c r="AS297" s="956">
        <f t="shared" si="57"/>
        <v>15</v>
      </c>
      <c r="AT297" s="982">
        <v>7</v>
      </c>
      <c r="AU297" s="981"/>
      <c r="AV297" s="981"/>
      <c r="AW297" s="981"/>
      <c r="AX297" s="993"/>
      <c r="AY297" s="993"/>
      <c r="AZ297" s="833"/>
      <c r="BA297" s="983"/>
      <c r="BB297" s="983"/>
      <c r="BC297" s="983"/>
      <c r="BD297" s="983"/>
      <c r="BE297" s="983"/>
      <c r="BF297" s="871"/>
    </row>
    <row r="298" spans="1:58" s="8" customFormat="1" ht="20.100000000000001" customHeight="1">
      <c r="A298" s="956"/>
      <c r="B298" s="1021">
        <v>6</v>
      </c>
      <c r="C298" s="956">
        <v>247</v>
      </c>
      <c r="D298" s="957"/>
      <c r="E298" s="957"/>
      <c r="F298" s="956"/>
      <c r="G298" s="958" t="s">
        <v>1335</v>
      </c>
      <c r="H298" s="958" t="s">
        <v>1335</v>
      </c>
      <c r="I298" s="958" t="s">
        <v>1335</v>
      </c>
      <c r="J298" s="958"/>
      <c r="K298" s="958" t="s">
        <v>1335</v>
      </c>
      <c r="L298" s="958" t="s">
        <v>1335</v>
      </c>
      <c r="M298" s="958" t="s">
        <v>1335</v>
      </c>
      <c r="N298" s="958" t="s">
        <v>1335</v>
      </c>
      <c r="O298" s="958" t="s">
        <v>1335</v>
      </c>
      <c r="P298" s="958" t="s">
        <v>1335</v>
      </c>
      <c r="Q298" s="958" t="s">
        <v>1335</v>
      </c>
      <c r="R298" s="958" t="s">
        <v>1335</v>
      </c>
      <c r="S298" s="958" t="s">
        <v>1335</v>
      </c>
      <c r="T298" s="958" t="s">
        <v>1335</v>
      </c>
      <c r="U298" s="958" t="s">
        <v>1335</v>
      </c>
      <c r="V298" s="982" t="s">
        <v>1335</v>
      </c>
      <c r="W298" s="966"/>
      <c r="X298" s="982">
        <v>0</v>
      </c>
      <c r="Y298" s="970"/>
      <c r="Z298" s="966"/>
      <c r="AA298" s="971"/>
      <c r="AB298" s="972"/>
      <c r="AC298" s="972"/>
      <c r="AD298" s="972"/>
      <c r="AE298" s="972"/>
      <c r="AF298" s="972"/>
      <c r="AG298" s="972"/>
      <c r="AH298" s="972"/>
      <c r="AI298" s="972"/>
      <c r="AJ298" s="972"/>
      <c r="AK298" s="972"/>
      <c r="AL298" s="972"/>
      <c r="AM298" s="972"/>
      <c r="AN298" s="972"/>
      <c r="AO298" s="972"/>
      <c r="AP298" s="956"/>
      <c r="AQ298" s="956">
        <f t="shared" si="55"/>
        <v>14</v>
      </c>
      <c r="AR298" s="956">
        <f t="shared" si="56"/>
        <v>1</v>
      </c>
      <c r="AS298" s="956">
        <f t="shared" si="57"/>
        <v>15</v>
      </c>
      <c r="AT298" s="982">
        <v>0</v>
      </c>
      <c r="AU298" s="981"/>
      <c r="AV298" s="981"/>
      <c r="AW298" s="981"/>
      <c r="AX298" s="993"/>
      <c r="AY298" s="993"/>
      <c r="AZ298" s="833"/>
      <c r="BA298" s="983"/>
      <c r="BB298" s="983"/>
      <c r="BC298" s="983"/>
      <c r="BD298" s="983"/>
      <c r="BE298" s="983"/>
      <c r="BF298" s="871"/>
    </row>
    <row r="299" spans="1:58" s="8" customFormat="1" ht="20.100000000000001" customHeight="1">
      <c r="A299" s="956"/>
      <c r="B299" s="1021">
        <v>6</v>
      </c>
      <c r="C299" s="956">
        <v>248</v>
      </c>
      <c r="D299" s="957"/>
      <c r="E299" s="957"/>
      <c r="F299" s="956"/>
      <c r="G299" s="958" t="s">
        <v>1335</v>
      </c>
      <c r="H299" s="958" t="s">
        <v>1335</v>
      </c>
      <c r="I299" s="958" t="s">
        <v>1335</v>
      </c>
      <c r="J299" s="958" t="s">
        <v>1335</v>
      </c>
      <c r="K299" s="958" t="s">
        <v>1335</v>
      </c>
      <c r="L299" s="958" t="s">
        <v>1335</v>
      </c>
      <c r="M299" s="958" t="s">
        <v>1335</v>
      </c>
      <c r="N299" s="958" t="s">
        <v>1335</v>
      </c>
      <c r="O299" s="958" t="s">
        <v>1335</v>
      </c>
      <c r="P299" s="958" t="s">
        <v>1335</v>
      </c>
      <c r="Q299" s="958">
        <v>0</v>
      </c>
      <c r="R299" s="958">
        <v>0</v>
      </c>
      <c r="S299" s="958" t="s">
        <v>1335</v>
      </c>
      <c r="T299" s="958" t="s">
        <v>1335</v>
      </c>
      <c r="U299" s="958" t="s">
        <v>1335</v>
      </c>
      <c r="V299" s="982" t="s">
        <v>1335</v>
      </c>
      <c r="W299" s="966"/>
      <c r="X299" s="982" t="s">
        <v>1335</v>
      </c>
      <c r="Y299" s="970"/>
      <c r="Z299" s="966"/>
      <c r="AA299" s="971"/>
      <c r="AB299" s="972"/>
      <c r="AC299" s="972"/>
      <c r="AD299" s="972"/>
      <c r="AE299" s="972"/>
      <c r="AF299" s="972"/>
      <c r="AG299" s="972"/>
      <c r="AH299" s="972"/>
      <c r="AI299" s="972"/>
      <c r="AJ299" s="972"/>
      <c r="AK299" s="972"/>
      <c r="AL299" s="972"/>
      <c r="AM299" s="972"/>
      <c r="AN299" s="972"/>
      <c r="AO299" s="972"/>
      <c r="AP299" s="956"/>
      <c r="AQ299" s="956">
        <f t="shared" si="55"/>
        <v>13</v>
      </c>
      <c r="AR299" s="956">
        <f t="shared" si="56"/>
        <v>2</v>
      </c>
      <c r="AS299" s="956">
        <f t="shared" si="57"/>
        <v>15</v>
      </c>
      <c r="AT299" s="956">
        <v>9</v>
      </c>
      <c r="AU299" s="981"/>
      <c r="AV299" s="981"/>
      <c r="AW299" s="981"/>
      <c r="AX299" s="993"/>
      <c r="AY299" s="993"/>
      <c r="AZ299" s="833"/>
      <c r="BA299" s="983"/>
      <c r="BB299" s="983"/>
      <c r="BC299" s="983"/>
      <c r="BD299" s="983"/>
      <c r="BE299" s="983"/>
      <c r="BF299" s="871"/>
    </row>
    <row r="300" spans="1:58" s="8" customFormat="1" ht="20.100000000000001" customHeight="1">
      <c r="A300" s="956"/>
      <c r="B300" s="1021">
        <v>6</v>
      </c>
      <c r="C300" s="956">
        <v>249</v>
      </c>
      <c r="D300" s="957"/>
      <c r="E300" s="957"/>
      <c r="F300" s="956"/>
      <c r="G300" s="958" t="s">
        <v>1335</v>
      </c>
      <c r="H300" s="958" t="s">
        <v>1335</v>
      </c>
      <c r="I300" s="958" t="s">
        <v>1335</v>
      </c>
      <c r="J300" s="958"/>
      <c r="K300" s="958" t="s">
        <v>1335</v>
      </c>
      <c r="L300" s="958" t="s">
        <v>1335</v>
      </c>
      <c r="M300" s="958" t="s">
        <v>1335</v>
      </c>
      <c r="N300" s="958" t="s">
        <v>1335</v>
      </c>
      <c r="O300" s="958" t="s">
        <v>1335</v>
      </c>
      <c r="P300" s="958" t="s">
        <v>1335</v>
      </c>
      <c r="Q300" s="958" t="s">
        <v>1335</v>
      </c>
      <c r="R300" s="958" t="s">
        <v>1335</v>
      </c>
      <c r="S300" s="958" t="s">
        <v>1335</v>
      </c>
      <c r="T300" s="958" t="s">
        <v>1335</v>
      </c>
      <c r="U300" s="958" t="s">
        <v>1335</v>
      </c>
      <c r="V300" s="982" t="s">
        <v>1335</v>
      </c>
      <c r="W300" s="966"/>
      <c r="X300" s="982" t="s">
        <v>1335</v>
      </c>
      <c r="Y300" s="970"/>
      <c r="Z300" s="966"/>
      <c r="AA300" s="971"/>
      <c r="AB300" s="972"/>
      <c r="AC300" s="972"/>
      <c r="AD300" s="972"/>
      <c r="AE300" s="972"/>
      <c r="AF300" s="972"/>
      <c r="AG300" s="972"/>
      <c r="AH300" s="972"/>
      <c r="AI300" s="972"/>
      <c r="AJ300" s="972"/>
      <c r="AK300" s="972"/>
      <c r="AL300" s="972"/>
      <c r="AM300" s="972"/>
      <c r="AN300" s="972"/>
      <c r="AO300" s="972"/>
      <c r="AP300" s="956"/>
      <c r="AQ300" s="956">
        <f t="shared" si="55"/>
        <v>14</v>
      </c>
      <c r="AR300" s="956">
        <f t="shared" si="56"/>
        <v>2</v>
      </c>
      <c r="AS300" s="956">
        <f t="shared" si="57"/>
        <v>16</v>
      </c>
      <c r="AT300" s="982">
        <v>2</v>
      </c>
      <c r="AU300" s="981"/>
      <c r="AV300" s="981"/>
      <c r="AW300" s="981"/>
      <c r="AX300" s="993"/>
      <c r="AY300" s="993"/>
      <c r="AZ300" s="833"/>
      <c r="BA300" s="983"/>
      <c r="BB300" s="983"/>
      <c r="BC300" s="983"/>
      <c r="BD300" s="983"/>
      <c r="BE300" s="983"/>
      <c r="BF300" s="871"/>
    </row>
    <row r="301" spans="1:58" s="8" customFormat="1" ht="20.100000000000001" customHeight="1">
      <c r="A301" s="956"/>
      <c r="B301" s="1021">
        <v>6</v>
      </c>
      <c r="C301" s="956">
        <v>250</v>
      </c>
      <c r="D301" s="957"/>
      <c r="E301" s="957"/>
      <c r="F301" s="956"/>
      <c r="G301" s="958" t="s">
        <v>1335</v>
      </c>
      <c r="H301" s="958" t="s">
        <v>1335</v>
      </c>
      <c r="I301" s="958" t="s">
        <v>1335</v>
      </c>
      <c r="J301" s="958"/>
      <c r="K301" s="958">
        <v>0</v>
      </c>
      <c r="L301" s="958" t="s">
        <v>1335</v>
      </c>
      <c r="M301" s="958" t="s">
        <v>1335</v>
      </c>
      <c r="N301" s="958" t="s">
        <v>1335</v>
      </c>
      <c r="O301" s="958" t="s">
        <v>1335</v>
      </c>
      <c r="P301" s="958" t="s">
        <v>1335</v>
      </c>
      <c r="Q301" s="958">
        <v>0</v>
      </c>
      <c r="R301" s="958" t="s">
        <v>1335</v>
      </c>
      <c r="S301" s="958" t="s">
        <v>1335</v>
      </c>
      <c r="T301" s="958">
        <v>0</v>
      </c>
      <c r="U301" s="958" t="s">
        <v>1335</v>
      </c>
      <c r="V301" s="982">
        <v>0</v>
      </c>
      <c r="W301" s="966"/>
      <c r="X301" s="982">
        <v>0</v>
      </c>
      <c r="Y301" s="970"/>
      <c r="Z301" s="966"/>
      <c r="AA301" s="971"/>
      <c r="AB301" s="972"/>
      <c r="AC301" s="972"/>
      <c r="AD301" s="972"/>
      <c r="AE301" s="972"/>
      <c r="AF301" s="972"/>
      <c r="AG301" s="972"/>
      <c r="AH301" s="972"/>
      <c r="AI301" s="972"/>
      <c r="AJ301" s="972"/>
      <c r="AK301" s="972"/>
      <c r="AL301" s="972"/>
      <c r="AM301" s="972"/>
      <c r="AN301" s="972"/>
      <c r="AO301" s="972"/>
      <c r="AP301" s="956"/>
      <c r="AQ301" s="956">
        <f t="shared" si="55"/>
        <v>11</v>
      </c>
      <c r="AR301" s="956">
        <f t="shared" si="56"/>
        <v>0</v>
      </c>
      <c r="AS301" s="956">
        <f t="shared" si="57"/>
        <v>11</v>
      </c>
      <c r="AT301" s="982">
        <v>1</v>
      </c>
      <c r="AU301" s="981"/>
      <c r="AV301" s="981"/>
      <c r="AW301" s="981"/>
      <c r="AX301" s="993"/>
      <c r="AY301" s="993"/>
      <c r="AZ301" s="833"/>
      <c r="BA301" s="983"/>
      <c r="BB301" s="983"/>
      <c r="BC301" s="983"/>
      <c r="BD301" s="983"/>
      <c r="BE301" s="983"/>
      <c r="BF301" s="871"/>
    </row>
    <row r="302" spans="1:58" s="8" customFormat="1" ht="20.100000000000001" customHeight="1">
      <c r="A302" s="956"/>
      <c r="B302" s="1021">
        <v>6</v>
      </c>
      <c r="C302" s="956">
        <v>499</v>
      </c>
      <c r="D302" s="957"/>
      <c r="E302" s="957"/>
      <c r="F302" s="956"/>
      <c r="G302" s="958">
        <v>0</v>
      </c>
      <c r="H302" s="958" t="s">
        <v>1335</v>
      </c>
      <c r="I302" s="958" t="s">
        <v>1335</v>
      </c>
      <c r="J302" s="958" t="s">
        <v>1335</v>
      </c>
      <c r="K302" s="958" t="s">
        <v>1335</v>
      </c>
      <c r="L302" s="958">
        <v>0</v>
      </c>
      <c r="M302" s="958" t="s">
        <v>1335</v>
      </c>
      <c r="N302" s="958" t="s">
        <v>1335</v>
      </c>
      <c r="O302" s="958" t="s">
        <v>1335</v>
      </c>
      <c r="P302" s="958" t="s">
        <v>1335</v>
      </c>
      <c r="Q302" s="958" t="s">
        <v>1335</v>
      </c>
      <c r="R302" s="958" t="s">
        <v>1335</v>
      </c>
      <c r="S302" s="958">
        <v>0</v>
      </c>
      <c r="T302" s="958" t="s">
        <v>1335</v>
      </c>
      <c r="U302" s="958" t="s">
        <v>1335</v>
      </c>
      <c r="V302" s="982">
        <v>0</v>
      </c>
      <c r="W302" s="966"/>
      <c r="X302" s="982" t="s">
        <v>1335</v>
      </c>
      <c r="Y302" s="970"/>
      <c r="Z302" s="966"/>
      <c r="AA302" s="971"/>
      <c r="AB302" s="972"/>
      <c r="AC302" s="972"/>
      <c r="AD302" s="972"/>
      <c r="AE302" s="972"/>
      <c r="AF302" s="972"/>
      <c r="AG302" s="972"/>
      <c r="AH302" s="972"/>
      <c r="AI302" s="972"/>
      <c r="AJ302" s="972"/>
      <c r="AK302" s="972"/>
      <c r="AL302" s="972"/>
      <c r="AM302" s="972"/>
      <c r="AN302" s="972"/>
      <c r="AO302" s="972"/>
      <c r="AP302" s="956"/>
      <c r="AQ302" s="956">
        <f t="shared" si="55"/>
        <v>12</v>
      </c>
      <c r="AR302" s="956">
        <f t="shared" si="56"/>
        <v>1</v>
      </c>
      <c r="AS302" s="956">
        <f t="shared" si="57"/>
        <v>13</v>
      </c>
      <c r="AT302" s="982">
        <v>3</v>
      </c>
      <c r="AU302" s="981"/>
      <c r="AV302" s="981"/>
      <c r="AW302" s="981"/>
      <c r="AX302" s="993"/>
      <c r="AY302" s="993"/>
      <c r="AZ302" s="833"/>
      <c r="BA302" s="983"/>
      <c r="BB302" s="983"/>
      <c r="BC302" s="983"/>
      <c r="BD302" s="983"/>
      <c r="BE302" s="983"/>
      <c r="BF302" s="871"/>
    </row>
    <row r="303" spans="1:58" s="8" customFormat="1" ht="20.100000000000001" customHeight="1">
      <c r="A303" s="956"/>
      <c r="B303" s="1021">
        <v>6</v>
      </c>
      <c r="C303" s="956">
        <v>500</v>
      </c>
      <c r="D303" s="957"/>
      <c r="E303" s="957"/>
      <c r="F303" s="956"/>
      <c r="G303" s="958" t="s">
        <v>1335</v>
      </c>
      <c r="H303" s="958" t="s">
        <v>1335</v>
      </c>
      <c r="I303" s="958" t="s">
        <v>1335</v>
      </c>
      <c r="J303" s="958" t="s">
        <v>1335</v>
      </c>
      <c r="K303" s="958">
        <v>0</v>
      </c>
      <c r="L303" s="958" t="s">
        <v>1335</v>
      </c>
      <c r="M303" s="958" t="s">
        <v>1335</v>
      </c>
      <c r="N303" s="958" t="s">
        <v>1335</v>
      </c>
      <c r="O303" s="958" t="s">
        <v>1335</v>
      </c>
      <c r="P303" s="958" t="s">
        <v>1335</v>
      </c>
      <c r="Q303" s="958" t="s">
        <v>1335</v>
      </c>
      <c r="R303" s="958" t="s">
        <v>1335</v>
      </c>
      <c r="S303" s="958" t="s">
        <v>1335</v>
      </c>
      <c r="T303" s="958" t="s">
        <v>1335</v>
      </c>
      <c r="U303" s="958" t="s">
        <v>1335</v>
      </c>
      <c r="V303" s="982" t="s">
        <v>1335</v>
      </c>
      <c r="W303" s="966"/>
      <c r="X303" s="982" t="s">
        <v>1335</v>
      </c>
      <c r="Y303" s="970"/>
      <c r="Z303" s="966"/>
      <c r="AA303" s="971"/>
      <c r="AB303" s="972"/>
      <c r="AC303" s="972"/>
      <c r="AD303" s="972"/>
      <c r="AE303" s="972"/>
      <c r="AF303" s="972"/>
      <c r="AG303" s="972"/>
      <c r="AH303" s="972"/>
      <c r="AI303" s="972"/>
      <c r="AJ303" s="972"/>
      <c r="AK303" s="972"/>
      <c r="AL303" s="972"/>
      <c r="AM303" s="972"/>
      <c r="AN303" s="972"/>
      <c r="AO303" s="972"/>
      <c r="AP303" s="956"/>
      <c r="AQ303" s="956">
        <f t="shared" si="55"/>
        <v>14</v>
      </c>
      <c r="AR303" s="956">
        <f t="shared" si="56"/>
        <v>2</v>
      </c>
      <c r="AS303" s="956">
        <f t="shared" si="57"/>
        <v>16</v>
      </c>
      <c r="AT303" s="982">
        <v>7</v>
      </c>
      <c r="AU303" s="981"/>
      <c r="AV303" s="981"/>
      <c r="AW303" s="981"/>
      <c r="AX303" s="993"/>
      <c r="AY303" s="993"/>
      <c r="AZ303" s="833"/>
      <c r="BA303" s="983"/>
      <c r="BB303" s="983"/>
      <c r="BC303" s="983"/>
      <c r="BD303" s="983"/>
      <c r="BE303" s="983"/>
      <c r="BF303" s="871"/>
    </row>
    <row r="304" spans="1:58" s="8" customFormat="1" ht="20.100000000000001" customHeight="1">
      <c r="A304" s="956"/>
      <c r="B304" s="1021">
        <v>6</v>
      </c>
      <c r="C304" s="956">
        <v>501</v>
      </c>
      <c r="D304" s="957"/>
      <c r="E304" s="957"/>
      <c r="F304" s="956"/>
      <c r="G304" s="958" t="s">
        <v>1335</v>
      </c>
      <c r="H304" s="958" t="s">
        <v>1335</v>
      </c>
      <c r="I304" s="958" t="s">
        <v>1335</v>
      </c>
      <c r="J304" s="958"/>
      <c r="K304" s="958" t="s">
        <v>1335</v>
      </c>
      <c r="L304" s="958" t="s">
        <v>1335</v>
      </c>
      <c r="M304" s="958" t="s">
        <v>1335</v>
      </c>
      <c r="N304" s="958" t="s">
        <v>1335</v>
      </c>
      <c r="O304" s="958" t="s">
        <v>1335</v>
      </c>
      <c r="P304" s="958" t="s">
        <v>1335</v>
      </c>
      <c r="Q304" s="958" t="s">
        <v>1335</v>
      </c>
      <c r="R304" s="958" t="s">
        <v>1335</v>
      </c>
      <c r="S304" s="958" t="s">
        <v>1335</v>
      </c>
      <c r="T304" s="958" t="s">
        <v>1335</v>
      </c>
      <c r="U304" s="958" t="s">
        <v>1335</v>
      </c>
      <c r="V304" s="982" t="s">
        <v>1335</v>
      </c>
      <c r="W304" s="966"/>
      <c r="X304" s="982">
        <v>0</v>
      </c>
      <c r="Y304" s="970"/>
      <c r="Z304" s="966"/>
      <c r="AA304" s="971"/>
      <c r="AB304" s="972"/>
      <c r="AC304" s="972"/>
      <c r="AD304" s="972"/>
      <c r="AE304" s="972"/>
      <c r="AF304" s="972"/>
      <c r="AG304" s="972"/>
      <c r="AH304" s="972"/>
      <c r="AI304" s="972"/>
      <c r="AJ304" s="972"/>
      <c r="AK304" s="972"/>
      <c r="AL304" s="972"/>
      <c r="AM304" s="972"/>
      <c r="AN304" s="972"/>
      <c r="AO304" s="972"/>
      <c r="AP304" s="956"/>
      <c r="AQ304" s="956">
        <f t="shared" si="55"/>
        <v>14</v>
      </c>
      <c r="AR304" s="956">
        <f t="shared" si="56"/>
        <v>1</v>
      </c>
      <c r="AS304" s="956">
        <f t="shared" si="57"/>
        <v>15</v>
      </c>
      <c r="AT304" s="982">
        <v>4</v>
      </c>
      <c r="AU304" s="981"/>
      <c r="AV304" s="981"/>
      <c r="AW304" s="981"/>
      <c r="AX304" s="993"/>
      <c r="AY304" s="993"/>
      <c r="AZ304" s="833"/>
      <c r="BA304" s="983"/>
      <c r="BB304" s="983"/>
      <c r="BC304" s="983"/>
      <c r="BD304" s="983"/>
      <c r="BE304" s="983"/>
      <c r="BF304" s="871"/>
    </row>
    <row r="305" spans="1:58" s="8" customFormat="1" ht="20.100000000000001" customHeight="1">
      <c r="A305" s="956"/>
      <c r="B305" s="1021">
        <v>6</v>
      </c>
      <c r="C305" s="956">
        <v>502</v>
      </c>
      <c r="D305" s="957"/>
      <c r="E305" s="957"/>
      <c r="F305" s="956"/>
      <c r="G305" s="958" t="s">
        <v>1335</v>
      </c>
      <c r="H305" s="958" t="s">
        <v>1335</v>
      </c>
      <c r="I305" s="958" t="s">
        <v>1335</v>
      </c>
      <c r="J305" s="958"/>
      <c r="K305" s="958" t="s">
        <v>1335</v>
      </c>
      <c r="L305" s="958" t="s">
        <v>1335</v>
      </c>
      <c r="M305" s="958" t="s">
        <v>1335</v>
      </c>
      <c r="N305" s="958" t="s">
        <v>1335</v>
      </c>
      <c r="O305" s="958" t="s">
        <v>1335</v>
      </c>
      <c r="P305" s="958" t="s">
        <v>1335</v>
      </c>
      <c r="Q305" s="958" t="s">
        <v>1335</v>
      </c>
      <c r="R305" s="958" t="s">
        <v>1335</v>
      </c>
      <c r="S305" s="958" t="s">
        <v>1335</v>
      </c>
      <c r="T305" s="958" t="s">
        <v>1335</v>
      </c>
      <c r="U305" s="958" t="s">
        <v>1335</v>
      </c>
      <c r="V305" s="982" t="s">
        <v>1335</v>
      </c>
      <c r="W305" s="966"/>
      <c r="X305" s="982">
        <v>0</v>
      </c>
      <c r="Y305" s="970"/>
      <c r="Z305" s="966"/>
      <c r="AA305" s="971"/>
      <c r="AB305" s="972"/>
      <c r="AC305" s="972"/>
      <c r="AD305" s="972"/>
      <c r="AE305" s="972"/>
      <c r="AF305" s="972"/>
      <c r="AG305" s="972"/>
      <c r="AH305" s="972"/>
      <c r="AI305" s="972"/>
      <c r="AJ305" s="972"/>
      <c r="AK305" s="972"/>
      <c r="AL305" s="972"/>
      <c r="AM305" s="972"/>
      <c r="AN305" s="972"/>
      <c r="AO305" s="972"/>
      <c r="AP305" s="956"/>
      <c r="AQ305" s="956">
        <f t="shared" si="55"/>
        <v>14</v>
      </c>
      <c r="AR305" s="956">
        <f t="shared" si="56"/>
        <v>1</v>
      </c>
      <c r="AS305" s="956">
        <f t="shared" si="57"/>
        <v>15</v>
      </c>
      <c r="AT305" s="956">
        <v>9</v>
      </c>
      <c r="AU305" s="981"/>
      <c r="AV305" s="981"/>
      <c r="AW305" s="981"/>
      <c r="AX305" s="993"/>
      <c r="AY305" s="993"/>
      <c r="AZ305" s="833"/>
      <c r="BA305" s="983"/>
      <c r="BB305" s="983"/>
      <c r="BC305" s="983"/>
      <c r="BD305" s="983"/>
      <c r="BE305" s="983"/>
      <c r="BF305" s="871"/>
    </row>
    <row r="306" spans="1:58" s="8" customFormat="1" ht="20.100000000000001" customHeight="1">
      <c r="A306" s="956"/>
      <c r="B306" s="1021">
        <v>6</v>
      </c>
      <c r="C306" s="956">
        <v>503</v>
      </c>
      <c r="D306" s="957"/>
      <c r="E306" s="957"/>
      <c r="F306" s="956"/>
      <c r="G306" s="958" t="s">
        <v>1335</v>
      </c>
      <c r="H306" s="958" t="s">
        <v>1335</v>
      </c>
      <c r="I306" s="958" t="s">
        <v>1335</v>
      </c>
      <c r="J306" s="958"/>
      <c r="K306" s="958" t="s">
        <v>1335</v>
      </c>
      <c r="L306" s="958" t="s">
        <v>1335</v>
      </c>
      <c r="M306" s="958" t="s">
        <v>1335</v>
      </c>
      <c r="N306" s="958" t="s">
        <v>1335</v>
      </c>
      <c r="O306" s="958" t="s">
        <v>1335</v>
      </c>
      <c r="P306" s="958" t="s">
        <v>1335</v>
      </c>
      <c r="Q306" s="958" t="s">
        <v>1335</v>
      </c>
      <c r="R306" s="958" t="s">
        <v>1335</v>
      </c>
      <c r="S306" s="958" t="s">
        <v>1335</v>
      </c>
      <c r="T306" s="958" t="s">
        <v>1335</v>
      </c>
      <c r="U306" s="958" t="s">
        <v>1335</v>
      </c>
      <c r="V306" s="982">
        <v>0</v>
      </c>
      <c r="W306" s="966"/>
      <c r="X306" s="982">
        <v>0</v>
      </c>
      <c r="Y306" s="970"/>
      <c r="Z306" s="966"/>
      <c r="AA306" s="971"/>
      <c r="AB306" s="972"/>
      <c r="AC306" s="972"/>
      <c r="AD306" s="972"/>
      <c r="AE306" s="972"/>
      <c r="AF306" s="972"/>
      <c r="AG306" s="972"/>
      <c r="AH306" s="972"/>
      <c r="AI306" s="972"/>
      <c r="AJ306" s="972"/>
      <c r="AK306" s="972"/>
      <c r="AL306" s="972"/>
      <c r="AM306" s="972"/>
      <c r="AN306" s="972"/>
      <c r="AO306" s="972"/>
      <c r="AP306" s="956"/>
      <c r="AQ306" s="956">
        <f t="shared" si="55"/>
        <v>14</v>
      </c>
      <c r="AR306" s="956">
        <f t="shared" si="56"/>
        <v>0</v>
      </c>
      <c r="AS306" s="956">
        <f t="shared" si="57"/>
        <v>14</v>
      </c>
      <c r="AT306" s="956">
        <v>9</v>
      </c>
      <c r="AU306" s="981"/>
      <c r="AV306" s="981"/>
      <c r="AW306" s="981"/>
      <c r="AX306" s="993"/>
      <c r="AY306" s="993"/>
      <c r="AZ306" s="833"/>
      <c r="BA306" s="983"/>
      <c r="BB306" s="983"/>
      <c r="BC306" s="983"/>
      <c r="BD306" s="983"/>
      <c r="BE306" s="983"/>
      <c r="BF306" s="871"/>
    </row>
    <row r="307" spans="1:58" s="8" customFormat="1" ht="20.100000000000001" customHeight="1">
      <c r="A307" s="956"/>
      <c r="B307" s="1021">
        <v>6</v>
      </c>
      <c r="C307" s="956">
        <v>504</v>
      </c>
      <c r="D307" s="957"/>
      <c r="E307" s="957"/>
      <c r="F307" s="956"/>
      <c r="G307" s="958">
        <v>0</v>
      </c>
      <c r="H307" s="958">
        <v>0</v>
      </c>
      <c r="I307" s="958" t="s">
        <v>1335</v>
      </c>
      <c r="J307" s="958"/>
      <c r="K307" s="958">
        <v>0</v>
      </c>
      <c r="L307" s="958">
        <v>0</v>
      </c>
      <c r="M307" s="958">
        <v>0</v>
      </c>
      <c r="N307" s="958" t="s">
        <v>1335</v>
      </c>
      <c r="O307" s="958" t="s">
        <v>1335</v>
      </c>
      <c r="P307" s="958" t="s">
        <v>1335</v>
      </c>
      <c r="Q307" s="958" t="s">
        <v>1335</v>
      </c>
      <c r="R307" s="958" t="s">
        <v>1335</v>
      </c>
      <c r="S307" s="958" t="s">
        <v>1335</v>
      </c>
      <c r="T307" s="958" t="s">
        <v>1335</v>
      </c>
      <c r="U307" s="958" t="s">
        <v>1335</v>
      </c>
      <c r="V307" s="982">
        <v>0</v>
      </c>
      <c r="W307" s="966"/>
      <c r="X307" s="982">
        <v>0</v>
      </c>
      <c r="Y307" s="970"/>
      <c r="Z307" s="966"/>
      <c r="AA307" s="971"/>
      <c r="AB307" s="972"/>
      <c r="AC307" s="972"/>
      <c r="AD307" s="972"/>
      <c r="AE307" s="972"/>
      <c r="AF307" s="972"/>
      <c r="AG307" s="972"/>
      <c r="AH307" s="972"/>
      <c r="AI307" s="972"/>
      <c r="AJ307" s="972"/>
      <c r="AK307" s="972"/>
      <c r="AL307" s="972"/>
      <c r="AM307" s="972"/>
      <c r="AN307" s="972"/>
      <c r="AO307" s="972"/>
      <c r="AP307" s="956"/>
      <c r="AQ307" s="956">
        <f t="shared" si="55"/>
        <v>9</v>
      </c>
      <c r="AR307" s="956">
        <f t="shared" si="56"/>
        <v>0</v>
      </c>
      <c r="AS307" s="956">
        <f t="shared" si="57"/>
        <v>9</v>
      </c>
      <c r="AT307" s="956">
        <v>9</v>
      </c>
      <c r="AU307" s="981"/>
      <c r="AV307" s="981"/>
      <c r="AW307" s="981"/>
      <c r="AX307" s="993"/>
      <c r="AY307" s="993"/>
      <c r="AZ307" s="833"/>
      <c r="BA307" s="983"/>
      <c r="BB307" s="983"/>
      <c r="BC307" s="983"/>
      <c r="BD307" s="983"/>
      <c r="BE307" s="983"/>
      <c r="BF307" s="871"/>
    </row>
    <row r="308" spans="1:58" s="8" customFormat="1" ht="20.100000000000001" customHeight="1">
      <c r="A308" s="956">
        <v>231</v>
      </c>
      <c r="B308" s="1021">
        <v>6</v>
      </c>
      <c r="C308" s="956">
        <v>505</v>
      </c>
      <c r="D308" s="957"/>
      <c r="E308" s="957"/>
      <c r="F308" s="956"/>
      <c r="G308" s="958">
        <v>0</v>
      </c>
      <c r="H308" s="958" t="s">
        <v>1335</v>
      </c>
      <c r="I308" s="958" t="s">
        <v>1335</v>
      </c>
      <c r="J308" s="958"/>
      <c r="K308" s="958" t="s">
        <v>1335</v>
      </c>
      <c r="L308" s="958" t="s">
        <v>1335</v>
      </c>
      <c r="M308" s="958" t="s">
        <v>1335</v>
      </c>
      <c r="N308" s="958">
        <v>0</v>
      </c>
      <c r="O308" s="958" t="s">
        <v>1335</v>
      </c>
      <c r="P308" s="958" t="s">
        <v>1335</v>
      </c>
      <c r="Q308" s="958" t="s">
        <v>1335</v>
      </c>
      <c r="R308" s="958" t="s">
        <v>1335</v>
      </c>
      <c r="S308" s="958" t="s">
        <v>1335</v>
      </c>
      <c r="T308" s="958" t="s">
        <v>1335</v>
      </c>
      <c r="U308" s="958" t="s">
        <v>1335</v>
      </c>
      <c r="V308" s="982">
        <v>0</v>
      </c>
      <c r="W308" s="966"/>
      <c r="X308" s="982">
        <v>0</v>
      </c>
      <c r="Y308" s="970"/>
      <c r="Z308" s="966"/>
      <c r="AA308" s="971"/>
      <c r="AB308" s="972"/>
      <c r="AC308" s="972"/>
      <c r="AD308" s="972"/>
      <c r="AE308" s="972"/>
      <c r="AF308" s="972"/>
      <c r="AG308" s="972"/>
      <c r="AH308" s="972"/>
      <c r="AI308" s="972"/>
      <c r="AJ308" s="972"/>
      <c r="AK308" s="972"/>
      <c r="AL308" s="972"/>
      <c r="AM308" s="972"/>
      <c r="AN308" s="972"/>
      <c r="AO308" s="972"/>
      <c r="AP308" s="956"/>
      <c r="AQ308" s="956">
        <f t="shared" si="55"/>
        <v>12</v>
      </c>
      <c r="AR308" s="956">
        <f t="shared" si="56"/>
        <v>0</v>
      </c>
      <c r="AS308" s="956">
        <f t="shared" si="57"/>
        <v>12</v>
      </c>
      <c r="AT308" s="956">
        <v>9</v>
      </c>
      <c r="AU308" s="981"/>
      <c r="AV308" s="981"/>
      <c r="AW308" s="981"/>
      <c r="AX308" s="993"/>
      <c r="AY308" s="993"/>
      <c r="AZ308" s="833">
        <f t="shared" ref="AZ308:AZ313" si="58">AY308*25000</f>
        <v>0</v>
      </c>
      <c r="BA308" s="983" t="e">
        <f t="shared" ref="BA308:BA313" si="59">#N/A</f>
        <v>#N/A</v>
      </c>
      <c r="BB308" s="983" t="e">
        <f t="shared" ref="BB308:BB313" si="60">#N/A</f>
        <v>#N/A</v>
      </c>
      <c r="BC308" s="983" t="e">
        <f t="shared" ref="BC308:BC313" si="61">#N/A</f>
        <v>#N/A</v>
      </c>
      <c r="BD308" s="983" t="e">
        <f t="shared" ref="BD308:BD313" si="62">#N/A</f>
        <v>#N/A</v>
      </c>
      <c r="BE308" s="983" t="e">
        <f t="shared" ref="BE308:BE313" si="63">SUM(BA308:BD308)</f>
        <v>#N/A</v>
      </c>
      <c r="BF308" s="871" t="e">
        <f t="shared" ref="BF308:BF313" si="64">BE308-AQ308</f>
        <v>#N/A</v>
      </c>
    </row>
    <row r="309" spans="1:58" s="8" customFormat="1" ht="20.100000000000001" customHeight="1">
      <c r="A309" s="956">
        <v>232</v>
      </c>
      <c r="B309" s="1021">
        <v>6</v>
      </c>
      <c r="C309" s="956">
        <v>506</v>
      </c>
      <c r="D309" s="957"/>
      <c r="E309" s="957"/>
      <c r="F309" s="956"/>
      <c r="G309" s="958" t="s">
        <v>1335</v>
      </c>
      <c r="H309" s="958" t="s">
        <v>1335</v>
      </c>
      <c r="I309" s="958" t="s">
        <v>1335</v>
      </c>
      <c r="J309" s="958"/>
      <c r="K309" s="958" t="s">
        <v>1335</v>
      </c>
      <c r="L309" s="958" t="s">
        <v>1335</v>
      </c>
      <c r="M309" s="958" t="s">
        <v>1335</v>
      </c>
      <c r="N309" s="958" t="s">
        <v>1335</v>
      </c>
      <c r="O309" s="958">
        <v>0</v>
      </c>
      <c r="P309" s="958" t="s">
        <v>1335</v>
      </c>
      <c r="Q309" s="958" t="s">
        <v>1335</v>
      </c>
      <c r="R309" s="958" t="s">
        <v>1335</v>
      </c>
      <c r="S309" s="958" t="s">
        <v>1335</v>
      </c>
      <c r="T309" s="958" t="s">
        <v>1335</v>
      </c>
      <c r="U309" s="958" t="s">
        <v>1335</v>
      </c>
      <c r="V309" s="982" t="s">
        <v>1335</v>
      </c>
      <c r="W309" s="966"/>
      <c r="X309" s="982" t="s">
        <v>1335</v>
      </c>
      <c r="Y309" s="970"/>
      <c r="Z309" s="966"/>
      <c r="AA309" s="971"/>
      <c r="AB309" s="972"/>
      <c r="AC309" s="972"/>
      <c r="AD309" s="972"/>
      <c r="AE309" s="972"/>
      <c r="AF309" s="972"/>
      <c r="AG309" s="972"/>
      <c r="AH309" s="972"/>
      <c r="AI309" s="972"/>
      <c r="AJ309" s="972"/>
      <c r="AK309" s="972"/>
      <c r="AL309" s="972"/>
      <c r="AM309" s="972"/>
      <c r="AN309" s="972"/>
      <c r="AO309" s="972"/>
      <c r="AP309" s="956"/>
      <c r="AQ309" s="956">
        <f t="shared" si="55"/>
        <v>13</v>
      </c>
      <c r="AR309" s="956">
        <f t="shared" si="56"/>
        <v>2</v>
      </c>
      <c r="AS309" s="956">
        <f t="shared" si="57"/>
        <v>15</v>
      </c>
      <c r="AT309" s="956">
        <v>9</v>
      </c>
      <c r="AU309" s="981"/>
      <c r="AV309" s="981"/>
      <c r="AW309" s="981"/>
      <c r="AX309" s="993"/>
      <c r="AY309" s="993"/>
      <c r="AZ309" s="833">
        <f t="shared" si="58"/>
        <v>0</v>
      </c>
      <c r="BA309" s="983" t="e">
        <f t="shared" si="59"/>
        <v>#N/A</v>
      </c>
      <c r="BB309" s="983" t="e">
        <f t="shared" si="60"/>
        <v>#N/A</v>
      </c>
      <c r="BC309" s="983" t="e">
        <f t="shared" si="61"/>
        <v>#N/A</v>
      </c>
      <c r="BD309" s="983" t="e">
        <f t="shared" si="62"/>
        <v>#N/A</v>
      </c>
      <c r="BE309" s="983" t="e">
        <f t="shared" si="63"/>
        <v>#N/A</v>
      </c>
      <c r="BF309" s="871" t="e">
        <f t="shared" si="64"/>
        <v>#N/A</v>
      </c>
    </row>
    <row r="310" spans="1:58" s="8" customFormat="1" ht="20.100000000000001" customHeight="1">
      <c r="A310" s="956">
        <v>233</v>
      </c>
      <c r="B310" s="1021">
        <v>6</v>
      </c>
      <c r="C310" s="956">
        <v>507</v>
      </c>
      <c r="D310" s="957"/>
      <c r="E310" s="957"/>
      <c r="F310" s="956"/>
      <c r="G310" s="958" t="s">
        <v>1335</v>
      </c>
      <c r="H310" s="958" t="s">
        <v>1335</v>
      </c>
      <c r="I310" s="958" t="s">
        <v>1335</v>
      </c>
      <c r="J310" s="958"/>
      <c r="K310" s="958" t="s">
        <v>1335</v>
      </c>
      <c r="L310" s="958" t="s">
        <v>1335</v>
      </c>
      <c r="M310" s="958" t="s">
        <v>1335</v>
      </c>
      <c r="N310" s="958" t="s">
        <v>1335</v>
      </c>
      <c r="O310" s="958">
        <v>0</v>
      </c>
      <c r="P310" s="958" t="s">
        <v>1335</v>
      </c>
      <c r="Q310" s="958" t="s">
        <v>1335</v>
      </c>
      <c r="R310" s="958" t="s">
        <v>1335</v>
      </c>
      <c r="S310" s="958" t="s">
        <v>1335</v>
      </c>
      <c r="T310" s="958" t="s">
        <v>1335</v>
      </c>
      <c r="U310" s="958" t="s">
        <v>1335</v>
      </c>
      <c r="V310" s="982" t="s">
        <v>1335</v>
      </c>
      <c r="W310" s="966"/>
      <c r="X310" s="982" t="s">
        <v>1335</v>
      </c>
      <c r="Y310" s="970"/>
      <c r="Z310" s="966"/>
      <c r="AA310" s="971"/>
      <c r="AB310" s="972"/>
      <c r="AC310" s="972"/>
      <c r="AD310" s="972"/>
      <c r="AE310" s="972"/>
      <c r="AF310" s="972"/>
      <c r="AG310" s="972"/>
      <c r="AH310" s="972"/>
      <c r="AI310" s="972"/>
      <c r="AJ310" s="972"/>
      <c r="AK310" s="972"/>
      <c r="AL310" s="972"/>
      <c r="AM310" s="972"/>
      <c r="AN310" s="972"/>
      <c r="AO310" s="972"/>
      <c r="AP310" s="956"/>
      <c r="AQ310" s="956">
        <f t="shared" si="55"/>
        <v>13</v>
      </c>
      <c r="AR310" s="956">
        <f t="shared" si="56"/>
        <v>2</v>
      </c>
      <c r="AS310" s="956">
        <f t="shared" si="57"/>
        <v>15</v>
      </c>
      <c r="AT310" s="956">
        <v>9</v>
      </c>
      <c r="AU310" s="981"/>
      <c r="AV310" s="981"/>
      <c r="AW310" s="981"/>
      <c r="AX310" s="993"/>
      <c r="AY310" s="993"/>
      <c r="AZ310" s="833">
        <f t="shared" si="58"/>
        <v>0</v>
      </c>
      <c r="BA310" s="983" t="e">
        <f t="shared" si="59"/>
        <v>#N/A</v>
      </c>
      <c r="BB310" s="983" t="e">
        <f t="shared" si="60"/>
        <v>#N/A</v>
      </c>
      <c r="BC310" s="983" t="e">
        <f t="shared" si="61"/>
        <v>#N/A</v>
      </c>
      <c r="BD310" s="983" t="e">
        <f t="shared" si="62"/>
        <v>#N/A</v>
      </c>
      <c r="BE310" s="983" t="e">
        <f t="shared" si="63"/>
        <v>#N/A</v>
      </c>
      <c r="BF310" s="871" t="e">
        <f t="shared" si="64"/>
        <v>#N/A</v>
      </c>
    </row>
    <row r="311" spans="1:58" s="8" customFormat="1" ht="20.100000000000001" customHeight="1">
      <c r="A311" s="956">
        <v>234</v>
      </c>
      <c r="B311" s="1021">
        <v>6</v>
      </c>
      <c r="C311" s="956">
        <v>508</v>
      </c>
      <c r="D311" s="957"/>
      <c r="E311" s="957"/>
      <c r="F311" s="956"/>
      <c r="G311" s="958" t="s">
        <v>1335</v>
      </c>
      <c r="H311" s="958" t="s">
        <v>1335</v>
      </c>
      <c r="I311" s="958" t="s">
        <v>1335</v>
      </c>
      <c r="J311" s="958" t="s">
        <v>1335</v>
      </c>
      <c r="K311" s="958" t="s">
        <v>1335</v>
      </c>
      <c r="L311" s="958" t="s">
        <v>1335</v>
      </c>
      <c r="M311" s="958" t="s">
        <v>1335</v>
      </c>
      <c r="N311" s="958">
        <v>0</v>
      </c>
      <c r="O311" s="958" t="s">
        <v>1335</v>
      </c>
      <c r="P311" s="958" t="s">
        <v>1335</v>
      </c>
      <c r="Q311" s="958">
        <v>0</v>
      </c>
      <c r="R311" s="958">
        <v>0</v>
      </c>
      <c r="S311" s="958" t="s">
        <v>1335</v>
      </c>
      <c r="T311" s="958" t="s">
        <v>1335</v>
      </c>
      <c r="U311" s="958" t="s">
        <v>1335</v>
      </c>
      <c r="V311" s="982" t="s">
        <v>1335</v>
      </c>
      <c r="W311" s="966"/>
      <c r="X311" s="982" t="s">
        <v>1335</v>
      </c>
      <c r="Y311" s="970"/>
      <c r="Z311" s="966"/>
      <c r="AA311" s="971"/>
      <c r="AB311" s="972"/>
      <c r="AC311" s="972"/>
      <c r="AD311" s="972"/>
      <c r="AE311" s="972"/>
      <c r="AF311" s="972"/>
      <c r="AG311" s="972"/>
      <c r="AH311" s="972"/>
      <c r="AI311" s="972"/>
      <c r="AJ311" s="972"/>
      <c r="AK311" s="972"/>
      <c r="AL311" s="972"/>
      <c r="AM311" s="972"/>
      <c r="AN311" s="972"/>
      <c r="AO311" s="972"/>
      <c r="AP311" s="956"/>
      <c r="AQ311" s="956">
        <f t="shared" si="55"/>
        <v>12</v>
      </c>
      <c r="AR311" s="956">
        <f t="shared" si="56"/>
        <v>2</v>
      </c>
      <c r="AS311" s="956">
        <f t="shared" si="57"/>
        <v>14</v>
      </c>
      <c r="AT311" s="956">
        <v>9</v>
      </c>
      <c r="AU311" s="981"/>
      <c r="AV311" s="981"/>
      <c r="AW311" s="981"/>
      <c r="AX311" s="993" t="s">
        <v>1338</v>
      </c>
      <c r="AY311" s="993"/>
      <c r="AZ311" s="833">
        <f t="shared" si="58"/>
        <v>0</v>
      </c>
      <c r="BA311" s="983" t="e">
        <f t="shared" si="59"/>
        <v>#N/A</v>
      </c>
      <c r="BB311" s="983" t="e">
        <f t="shared" si="60"/>
        <v>#N/A</v>
      </c>
      <c r="BC311" s="983" t="e">
        <f t="shared" si="61"/>
        <v>#N/A</v>
      </c>
      <c r="BD311" s="983" t="e">
        <f t="shared" si="62"/>
        <v>#N/A</v>
      </c>
      <c r="BE311" s="983" t="e">
        <f t="shared" si="63"/>
        <v>#N/A</v>
      </c>
      <c r="BF311" s="871" t="e">
        <f t="shared" si="64"/>
        <v>#N/A</v>
      </c>
    </row>
    <row r="312" spans="1:58" s="8" customFormat="1" ht="20.100000000000001" customHeight="1">
      <c r="A312" s="956">
        <v>235</v>
      </c>
      <c r="B312" s="1021">
        <v>6</v>
      </c>
      <c r="C312" s="956">
        <v>509</v>
      </c>
      <c r="D312" s="957"/>
      <c r="E312" s="957"/>
      <c r="F312" s="956"/>
      <c r="G312" s="958" t="s">
        <v>1335</v>
      </c>
      <c r="H312" s="958" t="s">
        <v>1335</v>
      </c>
      <c r="I312" s="958" t="s">
        <v>1335</v>
      </c>
      <c r="J312" s="958"/>
      <c r="K312" s="958" t="s">
        <v>1335</v>
      </c>
      <c r="L312" s="958" t="s">
        <v>1335</v>
      </c>
      <c r="M312" s="958" t="s">
        <v>1335</v>
      </c>
      <c r="N312" s="958" t="s">
        <v>1335</v>
      </c>
      <c r="O312" s="958" t="s">
        <v>1335</v>
      </c>
      <c r="P312" s="958" t="s">
        <v>1335</v>
      </c>
      <c r="Q312" s="958" t="s">
        <v>1335</v>
      </c>
      <c r="R312" s="958" t="s">
        <v>1335</v>
      </c>
      <c r="S312" s="958" t="s">
        <v>1335</v>
      </c>
      <c r="T312" s="958" t="s">
        <v>1335</v>
      </c>
      <c r="U312" s="958" t="s">
        <v>1335</v>
      </c>
      <c r="V312" s="982" t="s">
        <v>1335</v>
      </c>
      <c r="W312" s="966"/>
      <c r="X312" s="982" t="s">
        <v>1335</v>
      </c>
      <c r="Y312" s="970"/>
      <c r="Z312" s="966"/>
      <c r="AA312" s="971"/>
      <c r="AB312" s="972"/>
      <c r="AC312" s="972"/>
      <c r="AD312" s="972"/>
      <c r="AE312" s="972"/>
      <c r="AF312" s="972"/>
      <c r="AG312" s="972"/>
      <c r="AH312" s="972"/>
      <c r="AI312" s="972"/>
      <c r="AJ312" s="972"/>
      <c r="AK312" s="972"/>
      <c r="AL312" s="972"/>
      <c r="AM312" s="972"/>
      <c r="AN312" s="972"/>
      <c r="AO312" s="972"/>
      <c r="AP312" s="956"/>
      <c r="AQ312" s="956">
        <f t="shared" si="55"/>
        <v>14</v>
      </c>
      <c r="AR312" s="956">
        <f t="shared" si="56"/>
        <v>2</v>
      </c>
      <c r="AS312" s="956">
        <f t="shared" si="57"/>
        <v>16</v>
      </c>
      <c r="AT312" s="956">
        <v>9</v>
      </c>
      <c r="AU312" s="981"/>
      <c r="AV312" s="981"/>
      <c r="AW312" s="981"/>
      <c r="AX312" s="993"/>
      <c r="AY312" s="993"/>
      <c r="AZ312" s="833">
        <f t="shared" si="58"/>
        <v>0</v>
      </c>
      <c r="BA312" s="983" t="e">
        <f t="shared" si="59"/>
        <v>#N/A</v>
      </c>
      <c r="BB312" s="983" t="e">
        <f t="shared" si="60"/>
        <v>#N/A</v>
      </c>
      <c r="BC312" s="983" t="e">
        <f t="shared" si="61"/>
        <v>#N/A</v>
      </c>
      <c r="BD312" s="983" t="e">
        <f t="shared" si="62"/>
        <v>#N/A</v>
      </c>
      <c r="BE312" s="983" t="e">
        <f t="shared" si="63"/>
        <v>#N/A</v>
      </c>
      <c r="BF312" s="871" t="e">
        <f t="shared" si="64"/>
        <v>#N/A</v>
      </c>
    </row>
    <row r="313" spans="1:58" s="8" customFormat="1" ht="20.100000000000001" customHeight="1">
      <c r="A313" s="956">
        <v>236</v>
      </c>
      <c r="B313" s="1021">
        <v>6</v>
      </c>
      <c r="C313" s="956">
        <v>510</v>
      </c>
      <c r="D313" s="957"/>
      <c r="E313" s="957"/>
      <c r="F313" s="956"/>
      <c r="G313" s="958" t="s">
        <v>1335</v>
      </c>
      <c r="H313" s="958" t="s">
        <v>1335</v>
      </c>
      <c r="I313" s="958" t="s">
        <v>1335</v>
      </c>
      <c r="J313" s="958" t="s">
        <v>1335</v>
      </c>
      <c r="K313" s="958" t="s">
        <v>1335</v>
      </c>
      <c r="L313" s="958" t="s">
        <v>1335</v>
      </c>
      <c r="M313" s="958" t="s">
        <v>1335</v>
      </c>
      <c r="N313" s="958" t="s">
        <v>1335</v>
      </c>
      <c r="O313" s="958">
        <v>0</v>
      </c>
      <c r="P313" s="958" t="s">
        <v>1335</v>
      </c>
      <c r="Q313" s="958">
        <v>0</v>
      </c>
      <c r="R313" s="958">
        <v>0</v>
      </c>
      <c r="S313" s="958" t="s">
        <v>1335</v>
      </c>
      <c r="T313" s="958" t="s">
        <v>1335</v>
      </c>
      <c r="U313" s="958" t="s">
        <v>1335</v>
      </c>
      <c r="V313" s="982">
        <v>0</v>
      </c>
      <c r="W313" s="966"/>
      <c r="X313" s="982" t="s">
        <v>1335</v>
      </c>
      <c r="Y313" s="970"/>
      <c r="Z313" s="966"/>
      <c r="AA313" s="971"/>
      <c r="AB313" s="972"/>
      <c r="AC313" s="972"/>
      <c r="AD313" s="972"/>
      <c r="AE313" s="972"/>
      <c r="AF313" s="972"/>
      <c r="AG313" s="972"/>
      <c r="AH313" s="972"/>
      <c r="AI313" s="972"/>
      <c r="AJ313" s="972"/>
      <c r="AK313" s="972"/>
      <c r="AL313" s="972"/>
      <c r="AM313" s="972"/>
      <c r="AN313" s="972"/>
      <c r="AO313" s="972"/>
      <c r="AP313" s="956"/>
      <c r="AQ313" s="956">
        <f t="shared" si="55"/>
        <v>12</v>
      </c>
      <c r="AR313" s="956">
        <f t="shared" si="56"/>
        <v>1</v>
      </c>
      <c r="AS313" s="956">
        <f t="shared" si="57"/>
        <v>13</v>
      </c>
      <c r="AT313" s="956">
        <v>9</v>
      </c>
      <c r="AU313" s="981"/>
      <c r="AV313" s="981"/>
      <c r="AW313" s="981"/>
      <c r="AX313" s="993"/>
      <c r="AY313" s="993"/>
      <c r="AZ313" s="833">
        <f t="shared" si="58"/>
        <v>0</v>
      </c>
      <c r="BA313" s="983" t="e">
        <f t="shared" si="59"/>
        <v>#N/A</v>
      </c>
      <c r="BB313" s="983" t="e">
        <f t="shared" si="60"/>
        <v>#N/A</v>
      </c>
      <c r="BC313" s="983" t="e">
        <f t="shared" si="61"/>
        <v>#N/A</v>
      </c>
      <c r="BD313" s="983" t="e">
        <f t="shared" si="62"/>
        <v>#N/A</v>
      </c>
      <c r="BE313" s="983" t="e">
        <f t="shared" si="63"/>
        <v>#N/A</v>
      </c>
      <c r="BF313" s="871" t="e">
        <f t="shared" si="64"/>
        <v>#N/A</v>
      </c>
    </row>
    <row r="314" spans="1:58" s="945" customFormat="1" ht="33" customHeight="1">
      <c r="A314" s="998">
        <v>7</v>
      </c>
      <c r="B314" s="999"/>
      <c r="C314" s="1000"/>
      <c r="D314" s="1001"/>
      <c r="E314" s="1001"/>
      <c r="F314" s="1000"/>
      <c r="G314" s="998">
        <f>COUNTIF(G177:G313,"X")</f>
        <v>89</v>
      </c>
      <c r="H314" s="998">
        <f>COUNTIF(H177:H313,"X")</f>
        <v>124</v>
      </c>
      <c r="I314" s="998">
        <f>COUNTIF(I177:I313,"X")</f>
        <v>108</v>
      </c>
      <c r="J314" s="998">
        <f t="shared" ref="J314:AP314" si="65">COUNTIF(J177:J313,"X")</f>
        <v>8</v>
      </c>
      <c r="K314" s="998">
        <f t="shared" si="65"/>
        <v>64</v>
      </c>
      <c r="L314" s="998">
        <f t="shared" si="65"/>
        <v>115</v>
      </c>
      <c r="M314" s="998">
        <f t="shared" si="65"/>
        <v>110</v>
      </c>
      <c r="N314" s="998">
        <f t="shared" si="65"/>
        <v>124</v>
      </c>
      <c r="O314" s="998">
        <f t="shared" si="65"/>
        <v>129</v>
      </c>
      <c r="P314" s="998">
        <f t="shared" si="65"/>
        <v>130</v>
      </c>
      <c r="Q314" s="998">
        <f t="shared" si="65"/>
        <v>126</v>
      </c>
      <c r="R314" s="998">
        <f t="shared" si="65"/>
        <v>128</v>
      </c>
      <c r="S314" s="998">
        <f t="shared" si="65"/>
        <v>131</v>
      </c>
      <c r="T314" s="998">
        <f t="shared" si="65"/>
        <v>130</v>
      </c>
      <c r="U314" s="998">
        <f t="shared" si="65"/>
        <v>126</v>
      </c>
      <c r="V314" s="998">
        <f t="shared" si="65"/>
        <v>55</v>
      </c>
      <c r="W314" s="998">
        <f t="shared" si="65"/>
        <v>0</v>
      </c>
      <c r="X314" s="998">
        <f t="shared" si="65"/>
        <v>46</v>
      </c>
      <c r="Y314" s="998">
        <f t="shared" si="65"/>
        <v>0</v>
      </c>
      <c r="Z314" s="998">
        <f t="shared" si="65"/>
        <v>0</v>
      </c>
      <c r="AA314" s="998">
        <f t="shared" si="65"/>
        <v>0</v>
      </c>
      <c r="AB314" s="998">
        <f t="shared" si="65"/>
        <v>0</v>
      </c>
      <c r="AC314" s="998">
        <f t="shared" si="65"/>
        <v>0</v>
      </c>
      <c r="AD314" s="998">
        <f t="shared" si="65"/>
        <v>0</v>
      </c>
      <c r="AE314" s="998">
        <f t="shared" si="65"/>
        <v>0</v>
      </c>
      <c r="AF314" s="998">
        <f t="shared" si="65"/>
        <v>0</v>
      </c>
      <c r="AG314" s="998">
        <f t="shared" si="65"/>
        <v>0</v>
      </c>
      <c r="AH314" s="998">
        <f t="shared" si="65"/>
        <v>0</v>
      </c>
      <c r="AI314" s="998">
        <f t="shared" si="65"/>
        <v>0</v>
      </c>
      <c r="AJ314" s="998">
        <f t="shared" si="65"/>
        <v>0</v>
      </c>
      <c r="AK314" s="998">
        <f t="shared" si="65"/>
        <v>0</v>
      </c>
      <c r="AL314" s="998">
        <f t="shared" si="65"/>
        <v>0</v>
      </c>
      <c r="AM314" s="998">
        <f t="shared" si="65"/>
        <v>0</v>
      </c>
      <c r="AN314" s="998">
        <f t="shared" si="65"/>
        <v>0</v>
      </c>
      <c r="AO314" s="998">
        <f t="shared" si="65"/>
        <v>0</v>
      </c>
      <c r="AP314" s="998">
        <f t="shared" si="65"/>
        <v>0</v>
      </c>
      <c r="AQ314" s="1009">
        <f>SUM(AQ177:AQ313)</f>
        <v>1642</v>
      </c>
      <c r="AR314" s="1009">
        <f>SUM(AR177:AR313)</f>
        <v>101</v>
      </c>
      <c r="AS314" s="1009">
        <f>SUM(AS177:AS313)</f>
        <v>1743</v>
      </c>
      <c r="AT314" s="1009">
        <f>SUM(AT177:AT313)</f>
        <v>1082</v>
      </c>
      <c r="AU314" s="1009"/>
      <c r="AV314" s="1009"/>
      <c r="AW314" s="1009">
        <f>SUM(AW177:AW313)</f>
        <v>0</v>
      </c>
      <c r="AX314" s="1017"/>
      <c r="AY314" s="833">
        <f>SUM(AY266:AY313)</f>
        <v>0</v>
      </c>
      <c r="AZ314" s="833">
        <f>SUM(AZ266:AZ313)</f>
        <v>0</v>
      </c>
      <c r="BA314" s="1016"/>
      <c r="BB314" s="1016"/>
      <c r="BC314" s="1016"/>
      <c r="BD314" s="1016"/>
      <c r="BE314" s="1016"/>
      <c r="BF314" s="1018" t="e">
        <f>SUM(#REF!)</f>
        <v>#REF!</v>
      </c>
    </row>
    <row r="315" spans="1:58" s="8" customFormat="1" ht="31.2" customHeight="1">
      <c r="A315" s="1023"/>
      <c r="B315" s="1310" t="s">
        <v>923</v>
      </c>
      <c r="C315" s="1311"/>
      <c r="D315" s="1024"/>
      <c r="E315" s="1024"/>
      <c r="F315" s="1025"/>
      <c r="G315" s="1026">
        <f>137-G314</f>
        <v>48</v>
      </c>
      <c r="H315" s="1026">
        <f t="shared" ref="H315:AP315" si="66">137-H314</f>
        <v>13</v>
      </c>
      <c r="I315" s="1026">
        <f t="shared" si="66"/>
        <v>29</v>
      </c>
      <c r="J315" s="1026">
        <f t="shared" si="66"/>
        <v>129</v>
      </c>
      <c r="K315" s="1026">
        <f t="shared" si="66"/>
        <v>73</v>
      </c>
      <c r="L315" s="1026">
        <f t="shared" si="66"/>
        <v>22</v>
      </c>
      <c r="M315" s="1026">
        <f t="shared" si="66"/>
        <v>27</v>
      </c>
      <c r="N315" s="1026">
        <f t="shared" si="66"/>
        <v>13</v>
      </c>
      <c r="O315" s="1026">
        <f t="shared" si="66"/>
        <v>8</v>
      </c>
      <c r="P315" s="1026">
        <f t="shared" si="66"/>
        <v>7</v>
      </c>
      <c r="Q315" s="1026">
        <f t="shared" si="66"/>
        <v>11</v>
      </c>
      <c r="R315" s="1026">
        <f t="shared" si="66"/>
        <v>9</v>
      </c>
      <c r="S315" s="1026">
        <f t="shared" si="66"/>
        <v>6</v>
      </c>
      <c r="T315" s="1026">
        <f t="shared" si="66"/>
        <v>7</v>
      </c>
      <c r="U315" s="1026">
        <f t="shared" si="66"/>
        <v>11</v>
      </c>
      <c r="V315" s="1026">
        <f t="shared" si="66"/>
        <v>82</v>
      </c>
      <c r="W315" s="1026">
        <f t="shared" si="66"/>
        <v>137</v>
      </c>
      <c r="X315" s="1026">
        <f t="shared" si="66"/>
        <v>91</v>
      </c>
      <c r="Y315" s="1026">
        <f t="shared" si="66"/>
        <v>137</v>
      </c>
      <c r="Z315" s="1026">
        <f t="shared" si="66"/>
        <v>137</v>
      </c>
      <c r="AA315" s="1026">
        <f t="shared" si="66"/>
        <v>137</v>
      </c>
      <c r="AB315" s="1026">
        <f t="shared" si="66"/>
        <v>137</v>
      </c>
      <c r="AC315" s="1026">
        <f t="shared" si="66"/>
        <v>137</v>
      </c>
      <c r="AD315" s="1026">
        <f t="shared" si="66"/>
        <v>137</v>
      </c>
      <c r="AE315" s="1026">
        <f t="shared" si="66"/>
        <v>137</v>
      </c>
      <c r="AF315" s="1026">
        <f t="shared" si="66"/>
        <v>137</v>
      </c>
      <c r="AG315" s="1026">
        <f t="shared" si="66"/>
        <v>137</v>
      </c>
      <c r="AH315" s="1026">
        <f t="shared" si="66"/>
        <v>137</v>
      </c>
      <c r="AI315" s="1026">
        <f t="shared" si="66"/>
        <v>137</v>
      </c>
      <c r="AJ315" s="1026">
        <f t="shared" si="66"/>
        <v>137</v>
      </c>
      <c r="AK315" s="1026">
        <f t="shared" si="66"/>
        <v>137</v>
      </c>
      <c r="AL315" s="1026">
        <f t="shared" si="66"/>
        <v>137</v>
      </c>
      <c r="AM315" s="1026">
        <f t="shared" si="66"/>
        <v>137</v>
      </c>
      <c r="AN315" s="1026">
        <f t="shared" si="66"/>
        <v>137</v>
      </c>
      <c r="AO315" s="1026">
        <f t="shared" si="66"/>
        <v>137</v>
      </c>
      <c r="AP315" s="1026">
        <f t="shared" si="66"/>
        <v>137</v>
      </c>
      <c r="AQ315" s="1026"/>
      <c r="AR315" s="1026"/>
      <c r="AS315" s="1026"/>
      <c r="AT315" s="1026"/>
      <c r="AU315" s="1032"/>
      <c r="AV315" s="1032"/>
      <c r="AW315" s="1032"/>
      <c r="AX315" s="993"/>
      <c r="AY315" s="993"/>
      <c r="AZ315" s="833"/>
      <c r="BA315" s="983"/>
      <c r="BB315" s="983"/>
      <c r="BC315" s="983"/>
      <c r="BD315" s="983"/>
      <c r="BE315" s="983"/>
      <c r="BF315" s="871"/>
    </row>
    <row r="316" spans="1:58" s="8" customFormat="1" ht="20.100000000000001" customHeight="1">
      <c r="A316" s="1023"/>
      <c r="B316" s="1027">
        <v>9</v>
      </c>
      <c r="C316" s="956">
        <v>344</v>
      </c>
      <c r="D316" s="1024"/>
      <c r="E316" s="1024"/>
      <c r="F316" s="1025"/>
      <c r="G316" s="1028" t="s">
        <v>1335</v>
      </c>
      <c r="H316" s="1028" t="s">
        <v>1335</v>
      </c>
      <c r="I316" s="1028" t="s">
        <v>1335</v>
      </c>
      <c r="J316" s="1028"/>
      <c r="K316" s="1028" t="s">
        <v>1335</v>
      </c>
      <c r="L316" s="958" t="s">
        <v>1335</v>
      </c>
      <c r="M316" s="1028" t="s">
        <v>1335</v>
      </c>
      <c r="N316" s="1028" t="s">
        <v>1335</v>
      </c>
      <c r="O316" s="1028" t="s">
        <v>1335</v>
      </c>
      <c r="P316" s="1028" t="s">
        <v>1335</v>
      </c>
      <c r="Q316" s="1028" t="s">
        <v>1335</v>
      </c>
      <c r="R316" s="1028" t="s">
        <v>1335</v>
      </c>
      <c r="S316" s="1028" t="s">
        <v>1335</v>
      </c>
      <c r="T316" s="1028" t="s">
        <v>1335</v>
      </c>
      <c r="U316" s="1028" t="s">
        <v>1335</v>
      </c>
      <c r="V316" s="1029" t="s">
        <v>1335</v>
      </c>
      <c r="W316" s="1029" t="s">
        <v>1335</v>
      </c>
      <c r="X316" s="1029"/>
      <c r="Y316" s="1030"/>
      <c r="Z316" s="1031"/>
      <c r="AA316" s="971"/>
      <c r="AB316" s="971"/>
      <c r="AC316" s="971"/>
      <c r="AD316" s="971"/>
      <c r="AE316" s="971"/>
      <c r="AF316" s="971"/>
      <c r="AG316" s="971"/>
      <c r="AH316" s="971"/>
      <c r="AI316" s="971"/>
      <c r="AJ316" s="971"/>
      <c r="AK316" s="971"/>
      <c r="AL316" s="971"/>
      <c r="AM316" s="971"/>
      <c r="AN316" s="971"/>
      <c r="AO316" s="971"/>
      <c r="AP316" s="971"/>
      <c r="AQ316" s="956">
        <f>COUNTIF(G316:U316,"X")</f>
        <v>14</v>
      </c>
      <c r="AR316" s="956">
        <f>COUNTIF(V316:AA316,"X")</f>
        <v>2</v>
      </c>
      <c r="AS316" s="982">
        <f>AQ316+AR316</f>
        <v>16</v>
      </c>
      <c r="AT316" s="982">
        <v>11</v>
      </c>
      <c r="AU316" s="981"/>
      <c r="AV316" s="981"/>
      <c r="AW316" s="981"/>
      <c r="AX316" s="993"/>
      <c r="AY316" s="993"/>
      <c r="AZ316" s="833">
        <f t="shared" ref="AZ316:AZ357" si="67">AY316*25000</f>
        <v>0</v>
      </c>
      <c r="BA316" s="983" t="e">
        <f>#N/A</f>
        <v>#N/A</v>
      </c>
      <c r="BB316" s="983" t="e">
        <f>#N/A</f>
        <v>#N/A</v>
      </c>
      <c r="BC316" s="983" t="e">
        <f>#N/A</f>
        <v>#N/A</v>
      </c>
      <c r="BD316" s="983" t="e">
        <f>#N/A</f>
        <v>#N/A</v>
      </c>
      <c r="BE316" s="983" t="e">
        <f>SUM(BA316:BD316)</f>
        <v>#N/A</v>
      </c>
      <c r="BF316" s="871"/>
    </row>
    <row r="317" spans="1:58" s="8" customFormat="1" ht="20.100000000000001" customHeight="1">
      <c r="A317" s="1023"/>
      <c r="B317" s="1027">
        <v>9</v>
      </c>
      <c r="C317" s="956">
        <v>345</v>
      </c>
      <c r="D317" s="1024"/>
      <c r="E317" s="1024"/>
      <c r="F317" s="1025"/>
      <c r="G317" s="1028">
        <v>0</v>
      </c>
      <c r="H317" s="1028" t="s">
        <v>1335</v>
      </c>
      <c r="I317" s="1028" t="s">
        <v>1335</v>
      </c>
      <c r="J317" s="1028"/>
      <c r="K317" s="1028" t="s">
        <v>1335</v>
      </c>
      <c r="L317" s="958" t="s">
        <v>1335</v>
      </c>
      <c r="M317" s="1028" t="s">
        <v>1335</v>
      </c>
      <c r="N317" s="1028" t="s">
        <v>1335</v>
      </c>
      <c r="O317" s="1028" t="s">
        <v>1335</v>
      </c>
      <c r="P317" s="1028" t="s">
        <v>1335</v>
      </c>
      <c r="Q317" s="1028" t="s">
        <v>1335</v>
      </c>
      <c r="R317" s="1028" t="s">
        <v>1335</v>
      </c>
      <c r="S317" s="1028" t="s">
        <v>1335</v>
      </c>
      <c r="T317" s="1028" t="s">
        <v>1335</v>
      </c>
      <c r="U317" s="1028" t="s">
        <v>1335</v>
      </c>
      <c r="V317" s="1029" t="s">
        <v>1335</v>
      </c>
      <c r="W317" s="1029" t="s">
        <v>1335</v>
      </c>
      <c r="X317" s="1029"/>
      <c r="Y317" s="1030"/>
      <c r="Z317" s="1031"/>
      <c r="AA317" s="971"/>
      <c r="AB317" s="972"/>
      <c r="AC317" s="972"/>
      <c r="AD317" s="972"/>
      <c r="AE317" s="972"/>
      <c r="AF317" s="972"/>
      <c r="AG317" s="972"/>
      <c r="AH317" s="972"/>
      <c r="AI317" s="972"/>
      <c r="AJ317" s="972"/>
      <c r="AK317" s="972"/>
      <c r="AL317" s="972"/>
      <c r="AM317" s="972"/>
      <c r="AN317" s="972"/>
      <c r="AO317" s="972"/>
      <c r="AP317" s="956"/>
      <c r="AQ317" s="956">
        <f t="shared" ref="AQ317:AQ358" si="68">COUNTIF(G317:U317,"X")</f>
        <v>13</v>
      </c>
      <c r="AR317" s="956">
        <f t="shared" ref="AR317:AR357" si="69">COUNTIF(V317:AA317,"X")</f>
        <v>2</v>
      </c>
      <c r="AS317" s="982">
        <f>AQ317+AR317</f>
        <v>15</v>
      </c>
      <c r="AT317" s="982">
        <v>10</v>
      </c>
      <c r="AU317" s="981"/>
      <c r="AV317" s="981"/>
      <c r="AW317" s="981"/>
      <c r="AX317" s="993"/>
      <c r="AY317" s="993"/>
      <c r="AZ317" s="833">
        <f t="shared" si="67"/>
        <v>0</v>
      </c>
      <c r="BA317" s="983" t="e">
        <f>#N/A</f>
        <v>#N/A</v>
      </c>
      <c r="BB317" s="983" t="e">
        <f>#N/A</f>
        <v>#N/A</v>
      </c>
      <c r="BC317" s="983" t="e">
        <f>#N/A</f>
        <v>#N/A</v>
      </c>
      <c r="BD317" s="983" t="e">
        <f>#N/A</f>
        <v>#N/A</v>
      </c>
      <c r="BE317" s="983" t="e">
        <f t="shared" ref="BE317:BE357" si="70">SUM(BA317:BD317)</f>
        <v>#N/A</v>
      </c>
      <c r="BF317" s="871"/>
    </row>
    <row r="318" spans="1:58" s="8" customFormat="1" ht="20.100000000000001" customHeight="1">
      <c r="A318" s="1023"/>
      <c r="B318" s="1027">
        <v>9</v>
      </c>
      <c r="C318" s="956">
        <v>346</v>
      </c>
      <c r="D318" s="1024"/>
      <c r="E318" s="1024"/>
      <c r="F318" s="1025"/>
      <c r="G318" s="1028" t="s">
        <v>1335</v>
      </c>
      <c r="H318" s="1028" t="s">
        <v>1335</v>
      </c>
      <c r="I318" s="1028" t="s">
        <v>1335</v>
      </c>
      <c r="J318" s="1028"/>
      <c r="K318" s="1028" t="s">
        <v>1335</v>
      </c>
      <c r="L318" s="958" t="s">
        <v>1335</v>
      </c>
      <c r="M318" s="1028" t="s">
        <v>1335</v>
      </c>
      <c r="N318" s="1028" t="s">
        <v>1335</v>
      </c>
      <c r="O318" s="1028" t="s">
        <v>1335</v>
      </c>
      <c r="P318" s="1028" t="s">
        <v>1335</v>
      </c>
      <c r="Q318" s="1028" t="s">
        <v>1335</v>
      </c>
      <c r="R318" s="1028" t="s">
        <v>1335</v>
      </c>
      <c r="S318" s="1028" t="s">
        <v>1335</v>
      </c>
      <c r="T318" s="1028" t="s">
        <v>1335</v>
      </c>
      <c r="U318" s="1028" t="s">
        <v>1335</v>
      </c>
      <c r="V318" s="1029">
        <v>0</v>
      </c>
      <c r="W318" s="1029" t="s">
        <v>1335</v>
      </c>
      <c r="X318" s="1029"/>
      <c r="Y318" s="1030"/>
      <c r="Z318" s="1031"/>
      <c r="AA318" s="971"/>
      <c r="AB318" s="972"/>
      <c r="AC318" s="972"/>
      <c r="AD318" s="972"/>
      <c r="AE318" s="972"/>
      <c r="AF318" s="972"/>
      <c r="AG318" s="972"/>
      <c r="AH318" s="972"/>
      <c r="AI318" s="972"/>
      <c r="AJ318" s="972"/>
      <c r="AK318" s="972"/>
      <c r="AL318" s="972"/>
      <c r="AM318" s="972"/>
      <c r="AN318" s="972"/>
      <c r="AO318" s="972"/>
      <c r="AP318" s="956"/>
      <c r="AQ318" s="956">
        <f t="shared" si="68"/>
        <v>14</v>
      </c>
      <c r="AR318" s="956">
        <f t="shared" si="69"/>
        <v>1</v>
      </c>
      <c r="AS318" s="982">
        <f>AQ318+AR318</f>
        <v>15</v>
      </c>
      <c r="AT318" s="982">
        <v>11</v>
      </c>
      <c r="AU318" s="981"/>
      <c r="AV318" s="981"/>
      <c r="AW318" s="981"/>
      <c r="AX318" s="993"/>
      <c r="AY318" s="993"/>
      <c r="AZ318" s="833">
        <f t="shared" si="67"/>
        <v>0</v>
      </c>
      <c r="BA318" s="983" t="e">
        <f>#N/A</f>
        <v>#N/A</v>
      </c>
      <c r="BB318" s="983" t="e">
        <f>#N/A</f>
        <v>#N/A</v>
      </c>
      <c r="BC318" s="983" t="e">
        <f>#N/A</f>
        <v>#N/A</v>
      </c>
      <c r="BD318" s="983" t="e">
        <f>#N/A</f>
        <v>#N/A</v>
      </c>
      <c r="BE318" s="983" t="e">
        <f t="shared" si="70"/>
        <v>#N/A</v>
      </c>
      <c r="BF318" s="871"/>
    </row>
    <row r="319" spans="1:58" s="8" customFormat="1" ht="20.100000000000001" customHeight="1">
      <c r="A319" s="1023"/>
      <c r="B319" s="1027">
        <v>9</v>
      </c>
      <c r="C319" s="956">
        <v>347</v>
      </c>
      <c r="D319" s="1024"/>
      <c r="E319" s="1024"/>
      <c r="F319" s="1025"/>
      <c r="G319" s="1028" t="s">
        <v>1335</v>
      </c>
      <c r="H319" s="1028" t="s">
        <v>1335</v>
      </c>
      <c r="I319" s="1028" t="s">
        <v>1335</v>
      </c>
      <c r="J319" s="1028"/>
      <c r="K319" s="1028" t="s">
        <v>1335</v>
      </c>
      <c r="L319" s="958" t="s">
        <v>1335</v>
      </c>
      <c r="M319" s="1028" t="s">
        <v>1335</v>
      </c>
      <c r="N319" s="1028" t="s">
        <v>1335</v>
      </c>
      <c r="O319" s="1028" t="s">
        <v>1335</v>
      </c>
      <c r="P319" s="1028" t="s">
        <v>1335</v>
      </c>
      <c r="Q319" s="1028" t="s">
        <v>1335</v>
      </c>
      <c r="R319" s="1028" t="s">
        <v>1335</v>
      </c>
      <c r="S319" s="1028" t="s">
        <v>1335</v>
      </c>
      <c r="T319" s="1028" t="s">
        <v>1335</v>
      </c>
      <c r="U319" s="1028" t="s">
        <v>1335</v>
      </c>
      <c r="V319" s="1029">
        <v>0</v>
      </c>
      <c r="W319" s="1029" t="s">
        <v>1335</v>
      </c>
      <c r="X319" s="1029"/>
      <c r="Y319" s="1030"/>
      <c r="Z319" s="1031"/>
      <c r="AA319" s="971"/>
      <c r="AB319" s="972"/>
      <c r="AC319" s="972"/>
      <c r="AD319" s="972"/>
      <c r="AE319" s="972"/>
      <c r="AF319" s="972"/>
      <c r="AG319" s="972"/>
      <c r="AH319" s="972"/>
      <c r="AI319" s="972"/>
      <c r="AJ319" s="972"/>
      <c r="AK319" s="972"/>
      <c r="AL319" s="972"/>
      <c r="AM319" s="972"/>
      <c r="AN319" s="972"/>
      <c r="AO319" s="972"/>
      <c r="AP319" s="956"/>
      <c r="AQ319" s="956">
        <f t="shared" si="68"/>
        <v>14</v>
      </c>
      <c r="AR319" s="956">
        <f t="shared" si="69"/>
        <v>1</v>
      </c>
      <c r="AS319" s="982">
        <f>AQ319+AR319</f>
        <v>15</v>
      </c>
      <c r="AT319" s="982">
        <v>11</v>
      </c>
      <c r="AU319" s="981"/>
      <c r="AV319" s="981"/>
      <c r="AW319" s="981"/>
      <c r="AX319" s="993"/>
      <c r="AY319" s="993"/>
      <c r="AZ319" s="833">
        <f t="shared" si="67"/>
        <v>0</v>
      </c>
      <c r="BA319" s="983" t="e">
        <f>#N/A</f>
        <v>#N/A</v>
      </c>
      <c r="BB319" s="983" t="e">
        <f>#N/A</f>
        <v>#N/A</v>
      </c>
      <c r="BC319" s="983" t="e">
        <f>#N/A</f>
        <v>#N/A</v>
      </c>
      <c r="BD319" s="983" t="e">
        <f>#N/A</f>
        <v>#N/A</v>
      </c>
      <c r="BE319" s="983" t="e">
        <f t="shared" si="70"/>
        <v>#N/A</v>
      </c>
      <c r="BF319" s="871"/>
    </row>
    <row r="320" spans="1:58" s="8" customFormat="1" ht="20.100000000000001" customHeight="1">
      <c r="A320" s="1023"/>
      <c r="B320" s="1027">
        <v>9</v>
      </c>
      <c r="C320" s="956">
        <v>348</v>
      </c>
      <c r="D320" s="1024"/>
      <c r="E320" s="1024"/>
      <c r="F320" s="1025"/>
      <c r="G320" s="1028">
        <v>0</v>
      </c>
      <c r="H320" s="1028" t="s">
        <v>1335</v>
      </c>
      <c r="I320" s="1028" t="s">
        <v>1335</v>
      </c>
      <c r="J320" s="1028"/>
      <c r="K320" s="1028" t="s">
        <v>1335</v>
      </c>
      <c r="L320" s="958" t="s">
        <v>1335</v>
      </c>
      <c r="M320" s="1028" t="s">
        <v>1335</v>
      </c>
      <c r="N320" s="1028" t="s">
        <v>1335</v>
      </c>
      <c r="O320" s="1028" t="s">
        <v>1335</v>
      </c>
      <c r="P320" s="1028" t="s">
        <v>1335</v>
      </c>
      <c r="Q320" s="1028" t="s">
        <v>1335</v>
      </c>
      <c r="R320" s="1028" t="s">
        <v>1335</v>
      </c>
      <c r="S320" s="1028" t="s">
        <v>1335</v>
      </c>
      <c r="T320" s="1028" t="s">
        <v>1335</v>
      </c>
      <c r="U320" s="1028" t="s">
        <v>1335</v>
      </c>
      <c r="V320" s="1029" t="s">
        <v>1335</v>
      </c>
      <c r="W320" s="1029" t="s">
        <v>1335</v>
      </c>
      <c r="X320" s="1029"/>
      <c r="Y320" s="1030"/>
      <c r="Z320" s="1031"/>
      <c r="AA320" s="971"/>
      <c r="AB320" s="972"/>
      <c r="AC320" s="972"/>
      <c r="AD320" s="972"/>
      <c r="AE320" s="972"/>
      <c r="AF320" s="972"/>
      <c r="AG320" s="972"/>
      <c r="AH320" s="972"/>
      <c r="AI320" s="972"/>
      <c r="AJ320" s="972"/>
      <c r="AK320" s="972"/>
      <c r="AL320" s="972"/>
      <c r="AM320" s="972"/>
      <c r="AN320" s="972"/>
      <c r="AO320" s="972"/>
      <c r="AP320" s="956"/>
      <c r="AQ320" s="956">
        <f t="shared" si="68"/>
        <v>13</v>
      </c>
      <c r="AR320" s="956">
        <f t="shared" si="69"/>
        <v>2</v>
      </c>
      <c r="AS320" s="982">
        <f t="shared" ref="AS320:AS359" si="71">AQ320+AR320</f>
        <v>15</v>
      </c>
      <c r="AT320" s="982">
        <v>9</v>
      </c>
      <c r="AU320" s="981"/>
      <c r="AV320" s="981"/>
      <c r="AW320" s="981"/>
      <c r="AX320" s="993"/>
      <c r="AY320" s="993"/>
      <c r="AZ320" s="833"/>
      <c r="BA320" s="983"/>
      <c r="BB320" s="983"/>
      <c r="BC320" s="983"/>
      <c r="BD320" s="983"/>
      <c r="BE320" s="983"/>
      <c r="BF320" s="871"/>
    </row>
    <row r="321" spans="1:58" s="8" customFormat="1" ht="20.100000000000001" customHeight="1">
      <c r="A321" s="1023"/>
      <c r="B321" s="1027">
        <v>9</v>
      </c>
      <c r="C321" s="956">
        <v>349</v>
      </c>
      <c r="D321" s="1024"/>
      <c r="E321" s="1024"/>
      <c r="F321" s="1025"/>
      <c r="G321" s="1028">
        <v>0</v>
      </c>
      <c r="H321" s="1028" t="s">
        <v>1335</v>
      </c>
      <c r="I321" s="1028" t="s">
        <v>1335</v>
      </c>
      <c r="J321" s="1028"/>
      <c r="K321" s="1028" t="s">
        <v>1335</v>
      </c>
      <c r="L321" s="958" t="s">
        <v>1335</v>
      </c>
      <c r="M321" s="1028" t="s">
        <v>1335</v>
      </c>
      <c r="N321" s="1028" t="s">
        <v>1335</v>
      </c>
      <c r="O321" s="1028" t="s">
        <v>1335</v>
      </c>
      <c r="P321" s="1028" t="s">
        <v>1335</v>
      </c>
      <c r="Q321" s="1028" t="s">
        <v>1335</v>
      </c>
      <c r="R321" s="1028" t="s">
        <v>1335</v>
      </c>
      <c r="S321" s="1028" t="s">
        <v>1335</v>
      </c>
      <c r="T321" s="1028" t="s">
        <v>1335</v>
      </c>
      <c r="U321" s="1028" t="s">
        <v>1335</v>
      </c>
      <c r="V321" s="1029">
        <v>0</v>
      </c>
      <c r="W321" s="1029" t="s">
        <v>1335</v>
      </c>
      <c r="X321" s="1029"/>
      <c r="Y321" s="1030"/>
      <c r="Z321" s="1031"/>
      <c r="AA321" s="971"/>
      <c r="AB321" s="972"/>
      <c r="AC321" s="972"/>
      <c r="AD321" s="972"/>
      <c r="AE321" s="972"/>
      <c r="AF321" s="972"/>
      <c r="AG321" s="972"/>
      <c r="AH321" s="972"/>
      <c r="AI321" s="972"/>
      <c r="AJ321" s="972"/>
      <c r="AK321" s="972"/>
      <c r="AL321" s="972"/>
      <c r="AM321" s="972"/>
      <c r="AN321" s="972"/>
      <c r="AO321" s="972"/>
      <c r="AP321" s="956"/>
      <c r="AQ321" s="956">
        <f t="shared" si="68"/>
        <v>13</v>
      </c>
      <c r="AR321" s="956">
        <f t="shared" si="69"/>
        <v>1</v>
      </c>
      <c r="AS321" s="982">
        <f t="shared" si="71"/>
        <v>14</v>
      </c>
      <c r="AT321" s="982">
        <v>9</v>
      </c>
      <c r="AU321" s="981"/>
      <c r="AV321" s="981"/>
      <c r="AW321" s="981"/>
      <c r="AX321" s="993"/>
      <c r="AY321" s="993"/>
      <c r="AZ321" s="833"/>
      <c r="BA321" s="983"/>
      <c r="BB321" s="983"/>
      <c r="BC321" s="983"/>
      <c r="BD321" s="983"/>
      <c r="BE321" s="983"/>
      <c r="BF321" s="871"/>
    </row>
    <row r="322" spans="1:58" s="8" customFormat="1" ht="20.100000000000001" customHeight="1">
      <c r="A322" s="1023"/>
      <c r="B322" s="1027">
        <v>9</v>
      </c>
      <c r="C322" s="956">
        <v>350</v>
      </c>
      <c r="D322" s="1024"/>
      <c r="E322" s="1024"/>
      <c r="F322" s="1025"/>
      <c r="G322" s="1028" t="s">
        <v>1335</v>
      </c>
      <c r="H322" s="1028" t="s">
        <v>1335</v>
      </c>
      <c r="I322" s="1028" t="s">
        <v>1335</v>
      </c>
      <c r="J322" s="1028"/>
      <c r="K322" s="1028" t="s">
        <v>1335</v>
      </c>
      <c r="L322" s="958" t="s">
        <v>1335</v>
      </c>
      <c r="M322" s="1028" t="s">
        <v>1335</v>
      </c>
      <c r="N322" s="1028" t="s">
        <v>1335</v>
      </c>
      <c r="O322" s="1028" t="s">
        <v>1335</v>
      </c>
      <c r="P322" s="1028" t="s">
        <v>1335</v>
      </c>
      <c r="Q322" s="1028">
        <v>0</v>
      </c>
      <c r="R322" s="1028" t="s">
        <v>1335</v>
      </c>
      <c r="S322" s="1028" t="s">
        <v>1335</v>
      </c>
      <c r="T322" s="1028" t="s">
        <v>1335</v>
      </c>
      <c r="U322" s="1028" t="s">
        <v>1335</v>
      </c>
      <c r="V322" s="1029" t="s">
        <v>1335</v>
      </c>
      <c r="W322" s="1029">
        <v>0</v>
      </c>
      <c r="X322" s="1029"/>
      <c r="Y322" s="1030"/>
      <c r="Z322" s="1031"/>
      <c r="AA322" s="971"/>
      <c r="AB322" s="972"/>
      <c r="AC322" s="972"/>
      <c r="AD322" s="972"/>
      <c r="AE322" s="972"/>
      <c r="AF322" s="972"/>
      <c r="AG322" s="972"/>
      <c r="AH322" s="972"/>
      <c r="AI322" s="972"/>
      <c r="AJ322" s="972"/>
      <c r="AK322" s="972"/>
      <c r="AL322" s="972"/>
      <c r="AM322" s="972"/>
      <c r="AN322" s="972"/>
      <c r="AO322" s="972"/>
      <c r="AP322" s="956"/>
      <c r="AQ322" s="956">
        <f t="shared" si="68"/>
        <v>13</v>
      </c>
      <c r="AR322" s="956">
        <f t="shared" si="69"/>
        <v>1</v>
      </c>
      <c r="AS322" s="982">
        <f t="shared" si="71"/>
        <v>14</v>
      </c>
      <c r="AT322" s="982">
        <v>11</v>
      </c>
      <c r="AU322" s="981"/>
      <c r="AV322" s="981"/>
      <c r="AW322" s="981"/>
      <c r="AX322" s="993"/>
      <c r="AY322" s="993"/>
      <c r="AZ322" s="833"/>
      <c r="BA322" s="983"/>
      <c r="BB322" s="983"/>
      <c r="BC322" s="983"/>
      <c r="BD322" s="983"/>
      <c r="BE322" s="983"/>
      <c r="BF322" s="871"/>
    </row>
    <row r="323" spans="1:58" s="8" customFormat="1" ht="20.100000000000001" customHeight="1">
      <c r="A323" s="1023"/>
      <c r="B323" s="1027">
        <v>9</v>
      </c>
      <c r="C323" s="956">
        <v>351</v>
      </c>
      <c r="D323" s="1024"/>
      <c r="E323" s="1024"/>
      <c r="F323" s="1025"/>
      <c r="G323" s="1028" t="s">
        <v>1335</v>
      </c>
      <c r="H323" s="1028" t="s">
        <v>1335</v>
      </c>
      <c r="I323" s="1028" t="s">
        <v>1335</v>
      </c>
      <c r="J323" s="1028"/>
      <c r="K323" s="1028" t="s">
        <v>1335</v>
      </c>
      <c r="L323" s="958" t="s">
        <v>1335</v>
      </c>
      <c r="M323" s="1028" t="s">
        <v>1335</v>
      </c>
      <c r="N323" s="1028" t="s">
        <v>1335</v>
      </c>
      <c r="O323" s="1028" t="s">
        <v>1335</v>
      </c>
      <c r="P323" s="1028" t="s">
        <v>1335</v>
      </c>
      <c r="Q323" s="1028">
        <v>0</v>
      </c>
      <c r="R323" s="1028" t="s">
        <v>1335</v>
      </c>
      <c r="S323" s="1028" t="s">
        <v>1335</v>
      </c>
      <c r="T323" s="1028" t="s">
        <v>1335</v>
      </c>
      <c r="U323" s="1028" t="s">
        <v>1335</v>
      </c>
      <c r="V323" s="1029" t="s">
        <v>1335</v>
      </c>
      <c r="W323" s="1029">
        <v>0</v>
      </c>
      <c r="X323" s="1029"/>
      <c r="Y323" s="1030"/>
      <c r="Z323" s="1031"/>
      <c r="AA323" s="971"/>
      <c r="AB323" s="972"/>
      <c r="AC323" s="972"/>
      <c r="AD323" s="972"/>
      <c r="AE323" s="972"/>
      <c r="AF323" s="972"/>
      <c r="AG323" s="972"/>
      <c r="AH323" s="972"/>
      <c r="AI323" s="972"/>
      <c r="AJ323" s="972"/>
      <c r="AK323" s="972"/>
      <c r="AL323" s="972"/>
      <c r="AM323" s="972"/>
      <c r="AN323" s="972"/>
      <c r="AO323" s="972"/>
      <c r="AP323" s="956"/>
      <c r="AQ323" s="956">
        <f t="shared" si="68"/>
        <v>13</v>
      </c>
      <c r="AR323" s="956">
        <f t="shared" si="69"/>
        <v>1</v>
      </c>
      <c r="AS323" s="982">
        <f t="shared" si="71"/>
        <v>14</v>
      </c>
      <c r="AT323" s="982">
        <v>11</v>
      </c>
      <c r="AU323" s="981"/>
      <c r="AV323" s="981"/>
      <c r="AW323" s="981"/>
      <c r="AX323" s="993"/>
      <c r="AY323" s="993"/>
      <c r="AZ323" s="833"/>
      <c r="BA323" s="983"/>
      <c r="BB323" s="983"/>
      <c r="BC323" s="983"/>
      <c r="BD323" s="983"/>
      <c r="BE323" s="983"/>
      <c r="BF323" s="871"/>
    </row>
    <row r="324" spans="1:58" s="8" customFormat="1" ht="20.100000000000001" customHeight="1">
      <c r="A324" s="1023"/>
      <c r="B324" s="1027">
        <v>9</v>
      </c>
      <c r="C324" s="956">
        <v>352</v>
      </c>
      <c r="D324" s="1024"/>
      <c r="E324" s="1024"/>
      <c r="F324" s="1025"/>
      <c r="G324" s="1028" t="s">
        <v>1335</v>
      </c>
      <c r="H324" s="1028" t="s">
        <v>1335</v>
      </c>
      <c r="I324" s="1028" t="s">
        <v>1335</v>
      </c>
      <c r="J324" s="1028" t="s">
        <v>1335</v>
      </c>
      <c r="K324" s="1028" t="s">
        <v>1335</v>
      </c>
      <c r="L324" s="958" t="s">
        <v>1335</v>
      </c>
      <c r="M324" s="1028" t="s">
        <v>1335</v>
      </c>
      <c r="N324" s="1028" t="s">
        <v>1335</v>
      </c>
      <c r="O324" s="1028" t="s">
        <v>1335</v>
      </c>
      <c r="P324" s="1028">
        <v>0</v>
      </c>
      <c r="Q324" s="1028" t="s">
        <v>1335</v>
      </c>
      <c r="R324" s="1028" t="s">
        <v>1335</v>
      </c>
      <c r="S324" s="1028" t="s">
        <v>1335</v>
      </c>
      <c r="T324" s="1028" t="s">
        <v>1335</v>
      </c>
      <c r="U324" s="1028" t="s">
        <v>1335</v>
      </c>
      <c r="V324" s="1029" t="s">
        <v>1335</v>
      </c>
      <c r="W324" s="1029" t="s">
        <v>1335</v>
      </c>
      <c r="X324" s="1029"/>
      <c r="Y324" s="1030"/>
      <c r="Z324" s="1031"/>
      <c r="AA324" s="971"/>
      <c r="AB324" s="972"/>
      <c r="AC324" s="972"/>
      <c r="AD324" s="972"/>
      <c r="AE324" s="972"/>
      <c r="AF324" s="972"/>
      <c r="AG324" s="972"/>
      <c r="AH324" s="972"/>
      <c r="AI324" s="972"/>
      <c r="AJ324" s="972"/>
      <c r="AK324" s="972"/>
      <c r="AL324" s="972"/>
      <c r="AM324" s="972"/>
      <c r="AN324" s="972"/>
      <c r="AO324" s="972"/>
      <c r="AP324" s="956"/>
      <c r="AQ324" s="956">
        <f t="shared" si="68"/>
        <v>14</v>
      </c>
      <c r="AR324" s="956">
        <f t="shared" si="69"/>
        <v>2</v>
      </c>
      <c r="AS324" s="982">
        <f t="shared" si="71"/>
        <v>16</v>
      </c>
      <c r="AT324" s="956">
        <v>12</v>
      </c>
      <c r="AU324" s="981"/>
      <c r="AV324" s="981"/>
      <c r="AW324" s="981"/>
      <c r="AX324" s="993"/>
      <c r="AY324" s="993"/>
      <c r="AZ324" s="833"/>
      <c r="BA324" s="983"/>
      <c r="BB324" s="983"/>
      <c r="BC324" s="983"/>
      <c r="BD324" s="983"/>
      <c r="BE324" s="983"/>
      <c r="BF324" s="871"/>
    </row>
    <row r="325" spans="1:58" s="8" customFormat="1" ht="20.100000000000001" customHeight="1">
      <c r="A325" s="1023"/>
      <c r="B325" s="1027">
        <v>9</v>
      </c>
      <c r="C325" s="956">
        <v>353</v>
      </c>
      <c r="D325" s="1024"/>
      <c r="E325" s="1024"/>
      <c r="F325" s="1025"/>
      <c r="G325" s="1028" t="s">
        <v>1335</v>
      </c>
      <c r="H325" s="1028" t="s">
        <v>1335</v>
      </c>
      <c r="I325" s="1028" t="s">
        <v>1335</v>
      </c>
      <c r="J325" s="1028"/>
      <c r="K325" s="1028">
        <v>0</v>
      </c>
      <c r="L325" s="958" t="s">
        <v>1335</v>
      </c>
      <c r="M325" s="1028" t="s">
        <v>1335</v>
      </c>
      <c r="N325" s="1028" t="s">
        <v>1335</v>
      </c>
      <c r="O325" s="1028" t="s">
        <v>1335</v>
      </c>
      <c r="P325" s="1028" t="s">
        <v>1335</v>
      </c>
      <c r="Q325" s="1028" t="s">
        <v>1335</v>
      </c>
      <c r="R325" s="1028" t="s">
        <v>1335</v>
      </c>
      <c r="S325" s="1028" t="s">
        <v>1335</v>
      </c>
      <c r="T325" s="1028" t="s">
        <v>1335</v>
      </c>
      <c r="U325" s="1028" t="s">
        <v>1335</v>
      </c>
      <c r="V325" s="1029" t="s">
        <v>1335</v>
      </c>
      <c r="W325" s="1029">
        <v>0</v>
      </c>
      <c r="X325" s="1029"/>
      <c r="Y325" s="1030"/>
      <c r="Z325" s="1031"/>
      <c r="AA325" s="971"/>
      <c r="AB325" s="972"/>
      <c r="AC325" s="972"/>
      <c r="AD325" s="972"/>
      <c r="AE325" s="972"/>
      <c r="AF325" s="972"/>
      <c r="AG325" s="972"/>
      <c r="AH325" s="972"/>
      <c r="AI325" s="972"/>
      <c r="AJ325" s="972"/>
      <c r="AK325" s="972"/>
      <c r="AL325" s="972"/>
      <c r="AM325" s="972"/>
      <c r="AN325" s="972"/>
      <c r="AO325" s="972"/>
      <c r="AP325" s="956"/>
      <c r="AQ325" s="956">
        <f t="shared" si="68"/>
        <v>13</v>
      </c>
      <c r="AR325" s="956">
        <f t="shared" si="69"/>
        <v>1</v>
      </c>
      <c r="AS325" s="982">
        <f t="shared" si="71"/>
        <v>14</v>
      </c>
      <c r="AT325" s="956">
        <v>12</v>
      </c>
      <c r="AU325" s="981"/>
      <c r="AV325" s="981"/>
      <c r="AW325" s="981"/>
      <c r="AX325" s="993"/>
      <c r="AY325" s="993"/>
      <c r="AZ325" s="833"/>
      <c r="BA325" s="983"/>
      <c r="BB325" s="983"/>
      <c r="BC325" s="983"/>
      <c r="BD325" s="983"/>
      <c r="BE325" s="983"/>
      <c r="BF325" s="871"/>
    </row>
    <row r="326" spans="1:58" s="8" customFormat="1" ht="20.100000000000001" customHeight="1">
      <c r="A326" s="1023"/>
      <c r="B326" s="1027">
        <v>9</v>
      </c>
      <c r="C326" s="956">
        <v>354</v>
      </c>
      <c r="D326" s="1024"/>
      <c r="E326" s="1024"/>
      <c r="F326" s="1025"/>
      <c r="G326" s="1028" t="s">
        <v>1335</v>
      </c>
      <c r="H326" s="1028" t="s">
        <v>1335</v>
      </c>
      <c r="I326" s="1028" t="s">
        <v>1335</v>
      </c>
      <c r="J326" s="1028"/>
      <c r="K326" s="1028">
        <v>0</v>
      </c>
      <c r="L326" s="958" t="s">
        <v>1335</v>
      </c>
      <c r="M326" s="1028" t="s">
        <v>1335</v>
      </c>
      <c r="N326" s="1028" t="s">
        <v>1335</v>
      </c>
      <c r="O326" s="1028" t="s">
        <v>1335</v>
      </c>
      <c r="P326" s="1028" t="s">
        <v>1335</v>
      </c>
      <c r="Q326" s="1028" t="s">
        <v>1335</v>
      </c>
      <c r="R326" s="1028" t="s">
        <v>1335</v>
      </c>
      <c r="S326" s="1028" t="s">
        <v>1335</v>
      </c>
      <c r="T326" s="1028" t="s">
        <v>1335</v>
      </c>
      <c r="U326" s="1028" t="s">
        <v>1335</v>
      </c>
      <c r="V326" s="1029" t="s">
        <v>1335</v>
      </c>
      <c r="W326" s="1029">
        <v>0</v>
      </c>
      <c r="X326" s="1029"/>
      <c r="Y326" s="1030"/>
      <c r="Z326" s="1031"/>
      <c r="AA326" s="971"/>
      <c r="AB326" s="972"/>
      <c r="AC326" s="972"/>
      <c r="AD326" s="972"/>
      <c r="AE326" s="972"/>
      <c r="AF326" s="972"/>
      <c r="AG326" s="972"/>
      <c r="AH326" s="972"/>
      <c r="AI326" s="972"/>
      <c r="AJ326" s="972"/>
      <c r="AK326" s="972"/>
      <c r="AL326" s="972"/>
      <c r="AM326" s="972"/>
      <c r="AN326" s="972"/>
      <c r="AO326" s="972"/>
      <c r="AP326" s="956"/>
      <c r="AQ326" s="956">
        <f t="shared" si="68"/>
        <v>13</v>
      </c>
      <c r="AR326" s="956">
        <f t="shared" si="69"/>
        <v>1</v>
      </c>
      <c r="AS326" s="982">
        <f t="shared" si="71"/>
        <v>14</v>
      </c>
      <c r="AT326" s="982">
        <v>11</v>
      </c>
      <c r="AU326" s="981"/>
      <c r="AV326" s="981"/>
      <c r="AW326" s="981"/>
      <c r="AX326" s="993"/>
      <c r="AY326" s="993"/>
      <c r="AZ326" s="833"/>
      <c r="BA326" s="983"/>
      <c r="BB326" s="983"/>
      <c r="BC326" s="983"/>
      <c r="BD326" s="983"/>
      <c r="BE326" s="983"/>
      <c r="BF326" s="871"/>
    </row>
    <row r="327" spans="1:58" s="8" customFormat="1" ht="20.100000000000001" customHeight="1">
      <c r="A327" s="1023"/>
      <c r="B327" s="1027">
        <v>9</v>
      </c>
      <c r="C327" s="956">
        <v>355</v>
      </c>
      <c r="D327" s="1024"/>
      <c r="E327" s="1024"/>
      <c r="F327" s="1025"/>
      <c r="G327" s="1028" t="s">
        <v>1335</v>
      </c>
      <c r="H327" s="1028" t="s">
        <v>1335</v>
      </c>
      <c r="I327" s="1028" t="s">
        <v>1335</v>
      </c>
      <c r="J327" s="1028"/>
      <c r="K327" s="1028">
        <v>0</v>
      </c>
      <c r="L327" s="958" t="s">
        <v>1335</v>
      </c>
      <c r="M327" s="1028" t="s">
        <v>1335</v>
      </c>
      <c r="N327" s="1028" t="s">
        <v>1335</v>
      </c>
      <c r="O327" s="1028" t="s">
        <v>1335</v>
      </c>
      <c r="P327" s="1028" t="s">
        <v>1335</v>
      </c>
      <c r="Q327" s="1028" t="s">
        <v>1335</v>
      </c>
      <c r="R327" s="1028" t="s">
        <v>1335</v>
      </c>
      <c r="S327" s="1028" t="s">
        <v>1335</v>
      </c>
      <c r="T327" s="1028" t="s">
        <v>1335</v>
      </c>
      <c r="U327" s="1028" t="s">
        <v>1335</v>
      </c>
      <c r="V327" s="1029">
        <v>0</v>
      </c>
      <c r="W327" s="1029" t="s">
        <v>1335</v>
      </c>
      <c r="X327" s="1029"/>
      <c r="Y327" s="1030"/>
      <c r="Z327" s="1031"/>
      <c r="AA327" s="971"/>
      <c r="AB327" s="972"/>
      <c r="AC327" s="972"/>
      <c r="AD327" s="972"/>
      <c r="AE327" s="972"/>
      <c r="AF327" s="972"/>
      <c r="AG327" s="972"/>
      <c r="AH327" s="972"/>
      <c r="AI327" s="972"/>
      <c r="AJ327" s="972"/>
      <c r="AK327" s="972"/>
      <c r="AL327" s="972"/>
      <c r="AM327" s="972"/>
      <c r="AN327" s="972"/>
      <c r="AO327" s="972"/>
      <c r="AP327" s="956"/>
      <c r="AQ327" s="956">
        <f t="shared" si="68"/>
        <v>13</v>
      </c>
      <c r="AR327" s="956">
        <f t="shared" si="69"/>
        <v>1</v>
      </c>
      <c r="AS327" s="982">
        <f t="shared" si="71"/>
        <v>14</v>
      </c>
      <c r="AT327" s="982">
        <v>8</v>
      </c>
      <c r="AU327" s="981"/>
      <c r="AV327" s="981"/>
      <c r="AW327" s="981"/>
      <c r="AX327" s="993"/>
      <c r="AY327" s="993"/>
      <c r="AZ327" s="833"/>
      <c r="BA327" s="983"/>
      <c r="BB327" s="983"/>
      <c r="BC327" s="983"/>
      <c r="BD327" s="983"/>
      <c r="BE327" s="983"/>
      <c r="BF327" s="871"/>
    </row>
    <row r="328" spans="1:58" s="8" customFormat="1" ht="20.100000000000001" customHeight="1">
      <c r="A328" s="1023"/>
      <c r="B328" s="1027">
        <v>9</v>
      </c>
      <c r="C328" s="956">
        <v>356</v>
      </c>
      <c r="D328" s="1024"/>
      <c r="E328" s="1024"/>
      <c r="F328" s="1025"/>
      <c r="G328" s="1028" t="s">
        <v>1335</v>
      </c>
      <c r="H328" s="1028" t="s">
        <v>1335</v>
      </c>
      <c r="I328" s="1028" t="s">
        <v>1335</v>
      </c>
      <c r="J328" s="1028"/>
      <c r="K328" s="1028" t="s">
        <v>1335</v>
      </c>
      <c r="L328" s="958" t="s">
        <v>1335</v>
      </c>
      <c r="M328" s="1028" t="s">
        <v>1335</v>
      </c>
      <c r="N328" s="1028" t="s">
        <v>1335</v>
      </c>
      <c r="O328" s="1028" t="s">
        <v>1335</v>
      </c>
      <c r="P328" s="1028" t="s">
        <v>1335</v>
      </c>
      <c r="Q328" s="1028">
        <v>0</v>
      </c>
      <c r="R328" s="1028" t="s">
        <v>1335</v>
      </c>
      <c r="S328" s="1028" t="s">
        <v>1335</v>
      </c>
      <c r="T328" s="1028" t="s">
        <v>1335</v>
      </c>
      <c r="U328" s="1028" t="s">
        <v>1335</v>
      </c>
      <c r="V328" s="1029" t="s">
        <v>1335</v>
      </c>
      <c r="W328" s="1029" t="s">
        <v>1335</v>
      </c>
      <c r="X328" s="1029"/>
      <c r="Y328" s="1030"/>
      <c r="Z328" s="1031"/>
      <c r="AA328" s="971"/>
      <c r="AB328" s="972"/>
      <c r="AC328" s="972"/>
      <c r="AD328" s="972"/>
      <c r="AE328" s="972"/>
      <c r="AF328" s="972"/>
      <c r="AG328" s="972"/>
      <c r="AH328" s="972"/>
      <c r="AI328" s="972"/>
      <c r="AJ328" s="972"/>
      <c r="AK328" s="972"/>
      <c r="AL328" s="972"/>
      <c r="AM328" s="972"/>
      <c r="AN328" s="972"/>
      <c r="AO328" s="972"/>
      <c r="AP328" s="956"/>
      <c r="AQ328" s="956">
        <f t="shared" si="68"/>
        <v>13</v>
      </c>
      <c r="AR328" s="956">
        <f t="shared" si="69"/>
        <v>2</v>
      </c>
      <c r="AS328" s="982">
        <f t="shared" si="71"/>
        <v>15</v>
      </c>
      <c r="AT328" s="982">
        <v>8</v>
      </c>
      <c r="AU328" s="981"/>
      <c r="AV328" s="981"/>
      <c r="AW328" s="981"/>
      <c r="AX328" s="993"/>
      <c r="AY328" s="993"/>
      <c r="AZ328" s="833"/>
      <c r="BA328" s="983"/>
      <c r="BB328" s="983"/>
      <c r="BC328" s="983"/>
      <c r="BD328" s="983"/>
      <c r="BE328" s="983"/>
      <c r="BF328" s="871"/>
    </row>
    <row r="329" spans="1:58" s="8" customFormat="1" ht="20.100000000000001" customHeight="1">
      <c r="A329" s="1023"/>
      <c r="B329" s="1027">
        <v>9</v>
      </c>
      <c r="C329" s="956">
        <v>357</v>
      </c>
      <c r="D329" s="1024"/>
      <c r="E329" s="1024"/>
      <c r="F329" s="1025"/>
      <c r="G329" s="1028" t="s">
        <v>1335</v>
      </c>
      <c r="H329" s="1028" t="s">
        <v>1335</v>
      </c>
      <c r="I329" s="1028" t="s">
        <v>1335</v>
      </c>
      <c r="J329" s="1028"/>
      <c r="K329" s="1028" t="s">
        <v>1335</v>
      </c>
      <c r="L329" s="958" t="s">
        <v>1335</v>
      </c>
      <c r="M329" s="1028" t="s">
        <v>1335</v>
      </c>
      <c r="N329" s="1028" t="s">
        <v>1335</v>
      </c>
      <c r="O329" s="1028" t="s">
        <v>1335</v>
      </c>
      <c r="P329" s="1028" t="s">
        <v>1335</v>
      </c>
      <c r="Q329" s="1028" t="s">
        <v>1335</v>
      </c>
      <c r="R329" s="1028" t="s">
        <v>1335</v>
      </c>
      <c r="S329" s="1028" t="s">
        <v>1335</v>
      </c>
      <c r="T329" s="1028" t="s">
        <v>1335</v>
      </c>
      <c r="U329" s="1028" t="s">
        <v>1335</v>
      </c>
      <c r="V329" s="1029" t="s">
        <v>1335</v>
      </c>
      <c r="W329" s="1029" t="s">
        <v>1335</v>
      </c>
      <c r="X329" s="1029"/>
      <c r="Y329" s="1030"/>
      <c r="Z329" s="1031"/>
      <c r="AA329" s="971"/>
      <c r="AB329" s="972"/>
      <c r="AC329" s="972"/>
      <c r="AD329" s="972"/>
      <c r="AE329" s="972"/>
      <c r="AF329" s="972"/>
      <c r="AG329" s="972"/>
      <c r="AH329" s="972"/>
      <c r="AI329" s="972"/>
      <c r="AJ329" s="972"/>
      <c r="AK329" s="972"/>
      <c r="AL329" s="972"/>
      <c r="AM329" s="972"/>
      <c r="AN329" s="972"/>
      <c r="AO329" s="972"/>
      <c r="AP329" s="956"/>
      <c r="AQ329" s="956">
        <f t="shared" si="68"/>
        <v>14</v>
      </c>
      <c r="AR329" s="956">
        <f t="shared" si="69"/>
        <v>2</v>
      </c>
      <c r="AS329" s="982">
        <f t="shared" si="71"/>
        <v>16</v>
      </c>
      <c r="AT329" s="982">
        <v>10</v>
      </c>
      <c r="AU329" s="981"/>
      <c r="AV329" s="981"/>
      <c r="AW329" s="981"/>
      <c r="AX329" s="993"/>
      <c r="AY329" s="993"/>
      <c r="AZ329" s="833"/>
      <c r="BA329" s="983"/>
      <c r="BB329" s="983"/>
      <c r="BC329" s="983"/>
      <c r="BD329" s="983"/>
      <c r="BE329" s="983"/>
      <c r="BF329" s="871"/>
    </row>
    <row r="330" spans="1:58" s="8" customFormat="1" ht="20.100000000000001" customHeight="1">
      <c r="A330" s="1023"/>
      <c r="B330" s="1027">
        <v>9</v>
      </c>
      <c r="C330" s="956">
        <v>358</v>
      </c>
      <c r="D330" s="1024"/>
      <c r="E330" s="1024"/>
      <c r="F330" s="1025"/>
      <c r="G330" s="1028" t="s">
        <v>1335</v>
      </c>
      <c r="H330" s="1028" t="s">
        <v>1335</v>
      </c>
      <c r="I330" s="1028" t="s">
        <v>1335</v>
      </c>
      <c r="J330" s="1028" t="s">
        <v>1335</v>
      </c>
      <c r="K330" s="1028" t="s">
        <v>1335</v>
      </c>
      <c r="L330" s="958" t="s">
        <v>1335</v>
      </c>
      <c r="M330" s="1028" t="s">
        <v>1335</v>
      </c>
      <c r="N330" s="1028" t="s">
        <v>1335</v>
      </c>
      <c r="O330" s="1028" t="s">
        <v>1335</v>
      </c>
      <c r="P330" s="1028" t="s">
        <v>1335</v>
      </c>
      <c r="Q330" s="1028" t="s">
        <v>1335</v>
      </c>
      <c r="R330" s="1028" t="s">
        <v>1335</v>
      </c>
      <c r="S330" s="1028" t="s">
        <v>1335</v>
      </c>
      <c r="T330" s="1028" t="s">
        <v>1335</v>
      </c>
      <c r="U330" s="1028" t="s">
        <v>1335</v>
      </c>
      <c r="V330" s="1029" t="s">
        <v>1335</v>
      </c>
      <c r="W330" s="1029" t="s">
        <v>1335</v>
      </c>
      <c r="X330" s="1029"/>
      <c r="Y330" s="1030"/>
      <c r="Z330" s="1031"/>
      <c r="AA330" s="971"/>
      <c r="AB330" s="972"/>
      <c r="AC330" s="972"/>
      <c r="AD330" s="972"/>
      <c r="AE330" s="972"/>
      <c r="AF330" s="972"/>
      <c r="AG330" s="972"/>
      <c r="AH330" s="972"/>
      <c r="AI330" s="972"/>
      <c r="AJ330" s="972"/>
      <c r="AK330" s="972"/>
      <c r="AL330" s="972"/>
      <c r="AM330" s="972"/>
      <c r="AN330" s="972"/>
      <c r="AO330" s="972"/>
      <c r="AP330" s="956"/>
      <c r="AQ330" s="956">
        <f t="shared" si="68"/>
        <v>15</v>
      </c>
      <c r="AR330" s="956">
        <f t="shared" si="69"/>
        <v>2</v>
      </c>
      <c r="AS330" s="982">
        <f t="shared" si="71"/>
        <v>17</v>
      </c>
      <c r="AT330" s="982">
        <v>10</v>
      </c>
      <c r="AU330" s="981"/>
      <c r="AV330" s="981"/>
      <c r="AW330" s="981"/>
      <c r="AX330" s="993"/>
      <c r="AY330" s="993"/>
      <c r="AZ330" s="833"/>
      <c r="BA330" s="983"/>
      <c r="BB330" s="983"/>
      <c r="BC330" s="983"/>
      <c r="BD330" s="983"/>
      <c r="BE330" s="983"/>
      <c r="BF330" s="871"/>
    </row>
    <row r="331" spans="1:58" s="8" customFormat="1" ht="20.100000000000001" customHeight="1">
      <c r="A331" s="1023"/>
      <c r="B331" s="1027">
        <v>9</v>
      </c>
      <c r="C331" s="956">
        <v>359</v>
      </c>
      <c r="D331" s="1024"/>
      <c r="E331" s="1024"/>
      <c r="F331" s="1025"/>
      <c r="G331" s="1028">
        <v>0</v>
      </c>
      <c r="H331" s="1028" t="s">
        <v>1335</v>
      </c>
      <c r="I331" s="1028" t="s">
        <v>1335</v>
      </c>
      <c r="J331" s="1028"/>
      <c r="K331" s="1028" t="s">
        <v>1335</v>
      </c>
      <c r="L331" s="958" t="s">
        <v>1335</v>
      </c>
      <c r="M331" s="1028" t="s">
        <v>1335</v>
      </c>
      <c r="N331" s="1028" t="s">
        <v>1335</v>
      </c>
      <c r="O331" s="1028" t="s">
        <v>1335</v>
      </c>
      <c r="P331" s="1028">
        <v>0</v>
      </c>
      <c r="Q331" s="1028" t="s">
        <v>1335</v>
      </c>
      <c r="R331" s="1028" t="s">
        <v>1335</v>
      </c>
      <c r="S331" s="1028" t="s">
        <v>1335</v>
      </c>
      <c r="T331" s="1028" t="s">
        <v>1335</v>
      </c>
      <c r="U331" s="1028" t="s">
        <v>1335</v>
      </c>
      <c r="V331" s="1029">
        <v>0</v>
      </c>
      <c r="W331" s="1029" t="s">
        <v>1335</v>
      </c>
      <c r="X331" s="1029"/>
      <c r="Y331" s="1030"/>
      <c r="Z331" s="1031"/>
      <c r="AA331" s="971"/>
      <c r="AB331" s="972"/>
      <c r="AC331" s="972"/>
      <c r="AD331" s="972"/>
      <c r="AE331" s="972"/>
      <c r="AF331" s="972"/>
      <c r="AG331" s="972"/>
      <c r="AH331" s="972"/>
      <c r="AI331" s="972"/>
      <c r="AJ331" s="972"/>
      <c r="AK331" s="972"/>
      <c r="AL331" s="972"/>
      <c r="AM331" s="972"/>
      <c r="AN331" s="972"/>
      <c r="AO331" s="972"/>
      <c r="AP331" s="956"/>
      <c r="AQ331" s="956">
        <f t="shared" si="68"/>
        <v>12</v>
      </c>
      <c r="AR331" s="956">
        <f t="shared" si="69"/>
        <v>1</v>
      </c>
      <c r="AS331" s="982">
        <f t="shared" si="71"/>
        <v>13</v>
      </c>
      <c r="AT331" s="982">
        <v>10</v>
      </c>
      <c r="AU331" s="981"/>
      <c r="AV331" s="981"/>
      <c r="AW331" s="981"/>
      <c r="AX331" s="993"/>
      <c r="AY331" s="993"/>
      <c r="AZ331" s="833"/>
      <c r="BA331" s="983"/>
      <c r="BB331" s="983"/>
      <c r="BC331" s="983"/>
      <c r="BD331" s="983"/>
      <c r="BE331" s="983"/>
      <c r="BF331" s="871"/>
    </row>
    <row r="332" spans="1:58" s="8" customFormat="1" ht="20.100000000000001" customHeight="1">
      <c r="A332" s="1023"/>
      <c r="B332" s="1027">
        <v>9</v>
      </c>
      <c r="C332" s="956">
        <v>360</v>
      </c>
      <c r="D332" s="1024"/>
      <c r="E332" s="1024"/>
      <c r="F332" s="1025"/>
      <c r="G332" s="1028" t="s">
        <v>1335</v>
      </c>
      <c r="H332" s="1028" t="s">
        <v>1335</v>
      </c>
      <c r="I332" s="1028" t="s">
        <v>1335</v>
      </c>
      <c r="J332" s="1028"/>
      <c r="K332" s="1028" t="s">
        <v>1335</v>
      </c>
      <c r="L332" s="958" t="s">
        <v>1335</v>
      </c>
      <c r="M332" s="1028" t="s">
        <v>1335</v>
      </c>
      <c r="N332" s="1028" t="s">
        <v>1335</v>
      </c>
      <c r="O332" s="1028">
        <v>0</v>
      </c>
      <c r="P332" s="1028" t="s">
        <v>1335</v>
      </c>
      <c r="Q332" s="1028" t="s">
        <v>1335</v>
      </c>
      <c r="R332" s="1028" t="s">
        <v>1335</v>
      </c>
      <c r="S332" s="1028" t="s">
        <v>1335</v>
      </c>
      <c r="T332" s="1028" t="s">
        <v>1335</v>
      </c>
      <c r="U332" s="1028" t="s">
        <v>1335</v>
      </c>
      <c r="V332" s="1029" t="s">
        <v>1335</v>
      </c>
      <c r="W332" s="1029">
        <v>0</v>
      </c>
      <c r="X332" s="1029"/>
      <c r="Y332" s="1030"/>
      <c r="Z332" s="1031"/>
      <c r="AA332" s="971"/>
      <c r="AB332" s="972"/>
      <c r="AC332" s="972"/>
      <c r="AD332" s="972"/>
      <c r="AE332" s="972"/>
      <c r="AF332" s="972"/>
      <c r="AG332" s="972"/>
      <c r="AH332" s="972"/>
      <c r="AI332" s="972"/>
      <c r="AJ332" s="972"/>
      <c r="AK332" s="972"/>
      <c r="AL332" s="972"/>
      <c r="AM332" s="972"/>
      <c r="AN332" s="972"/>
      <c r="AO332" s="972"/>
      <c r="AP332" s="956"/>
      <c r="AQ332" s="956">
        <f t="shared" si="68"/>
        <v>13</v>
      </c>
      <c r="AR332" s="956">
        <f t="shared" si="69"/>
        <v>1</v>
      </c>
      <c r="AS332" s="982">
        <f t="shared" si="71"/>
        <v>14</v>
      </c>
      <c r="AT332" s="982">
        <v>10</v>
      </c>
      <c r="AU332" s="981"/>
      <c r="AV332" s="981"/>
      <c r="AW332" s="981"/>
      <c r="AX332" s="993"/>
      <c r="AY332" s="993"/>
      <c r="AZ332" s="833"/>
      <c r="BA332" s="983"/>
      <c r="BB332" s="983"/>
      <c r="BC332" s="983"/>
      <c r="BD332" s="983"/>
      <c r="BE332" s="983"/>
      <c r="BF332" s="871"/>
    </row>
    <row r="333" spans="1:58" s="8" customFormat="1" ht="20.100000000000001" customHeight="1">
      <c r="A333" s="1023"/>
      <c r="B333" s="1027">
        <v>9</v>
      </c>
      <c r="C333" s="956">
        <v>361</v>
      </c>
      <c r="D333" s="1024"/>
      <c r="E333" s="1024"/>
      <c r="F333" s="1025"/>
      <c r="G333" s="1028" t="s">
        <v>1335</v>
      </c>
      <c r="H333" s="1028" t="s">
        <v>1335</v>
      </c>
      <c r="I333" s="1028" t="s">
        <v>1335</v>
      </c>
      <c r="J333" s="1028"/>
      <c r="K333" s="1028">
        <v>0</v>
      </c>
      <c r="L333" s="958" t="s">
        <v>1335</v>
      </c>
      <c r="M333" s="1028" t="s">
        <v>1335</v>
      </c>
      <c r="N333" s="1028" t="s">
        <v>1335</v>
      </c>
      <c r="O333" s="1028" t="s">
        <v>1335</v>
      </c>
      <c r="P333" s="1028" t="s">
        <v>1335</v>
      </c>
      <c r="Q333" s="1028" t="s">
        <v>1335</v>
      </c>
      <c r="R333" s="1028" t="s">
        <v>1335</v>
      </c>
      <c r="S333" s="1028" t="s">
        <v>1335</v>
      </c>
      <c r="T333" s="1028" t="s">
        <v>1335</v>
      </c>
      <c r="U333" s="1028" t="s">
        <v>1335</v>
      </c>
      <c r="V333" s="1029" t="s">
        <v>1335</v>
      </c>
      <c r="W333" s="1029">
        <v>0</v>
      </c>
      <c r="X333" s="1029"/>
      <c r="Y333" s="1030"/>
      <c r="Z333" s="1031"/>
      <c r="AA333" s="971"/>
      <c r="AB333" s="972"/>
      <c r="AC333" s="972"/>
      <c r="AD333" s="972"/>
      <c r="AE333" s="972"/>
      <c r="AF333" s="972"/>
      <c r="AG333" s="972"/>
      <c r="AH333" s="972"/>
      <c r="AI333" s="972"/>
      <c r="AJ333" s="972"/>
      <c r="AK333" s="972"/>
      <c r="AL333" s="972"/>
      <c r="AM333" s="972"/>
      <c r="AN333" s="972"/>
      <c r="AO333" s="972"/>
      <c r="AP333" s="956"/>
      <c r="AQ333" s="956">
        <f t="shared" si="68"/>
        <v>13</v>
      </c>
      <c r="AR333" s="956">
        <f t="shared" si="69"/>
        <v>1</v>
      </c>
      <c r="AS333" s="982">
        <f t="shared" si="71"/>
        <v>14</v>
      </c>
      <c r="AT333" s="982">
        <v>10</v>
      </c>
      <c r="AU333" s="981"/>
      <c r="AV333" s="981"/>
      <c r="AW333" s="981"/>
      <c r="AX333" s="993"/>
      <c r="AY333" s="993"/>
      <c r="AZ333" s="833"/>
      <c r="BA333" s="983"/>
      <c r="BB333" s="983"/>
      <c r="BC333" s="983"/>
      <c r="BD333" s="983"/>
      <c r="BE333" s="983"/>
      <c r="BF333" s="871"/>
    </row>
    <row r="334" spans="1:58" s="8" customFormat="1" ht="20.100000000000001" customHeight="1">
      <c r="A334" s="1023"/>
      <c r="B334" s="1027">
        <v>9</v>
      </c>
      <c r="C334" s="956">
        <v>362</v>
      </c>
      <c r="D334" s="1024"/>
      <c r="E334" s="1024"/>
      <c r="F334" s="1025"/>
      <c r="G334" s="1028">
        <v>0</v>
      </c>
      <c r="H334" s="1028" t="s">
        <v>1335</v>
      </c>
      <c r="I334" s="1028" t="s">
        <v>1335</v>
      </c>
      <c r="J334" s="1028"/>
      <c r="K334" s="1028">
        <v>0</v>
      </c>
      <c r="L334" s="958" t="s">
        <v>1335</v>
      </c>
      <c r="M334" s="1028">
        <v>0</v>
      </c>
      <c r="N334" s="1028" t="s">
        <v>1335</v>
      </c>
      <c r="O334" s="1028" t="s">
        <v>1335</v>
      </c>
      <c r="P334" s="1028" t="s">
        <v>1335</v>
      </c>
      <c r="Q334" s="1028" t="s">
        <v>1335</v>
      </c>
      <c r="R334" s="1028" t="s">
        <v>1335</v>
      </c>
      <c r="S334" s="1028" t="s">
        <v>1335</v>
      </c>
      <c r="T334" s="1028">
        <v>0</v>
      </c>
      <c r="U334" s="1028" t="s">
        <v>1335</v>
      </c>
      <c r="V334" s="1029">
        <v>0</v>
      </c>
      <c r="W334" s="1029" t="s">
        <v>1335</v>
      </c>
      <c r="X334" s="1029"/>
      <c r="Y334" s="1030"/>
      <c r="Z334" s="1031"/>
      <c r="AA334" s="971"/>
      <c r="AB334" s="972"/>
      <c r="AC334" s="972"/>
      <c r="AD334" s="972"/>
      <c r="AE334" s="972"/>
      <c r="AF334" s="972"/>
      <c r="AG334" s="972"/>
      <c r="AH334" s="972"/>
      <c r="AI334" s="972"/>
      <c r="AJ334" s="972"/>
      <c r="AK334" s="972"/>
      <c r="AL334" s="972"/>
      <c r="AM334" s="972"/>
      <c r="AN334" s="972"/>
      <c r="AO334" s="972"/>
      <c r="AP334" s="956"/>
      <c r="AQ334" s="956">
        <f t="shared" si="68"/>
        <v>10</v>
      </c>
      <c r="AR334" s="956">
        <f t="shared" si="69"/>
        <v>1</v>
      </c>
      <c r="AS334" s="982">
        <f t="shared" si="71"/>
        <v>11</v>
      </c>
      <c r="AT334" s="982">
        <v>9</v>
      </c>
      <c r="AU334" s="981"/>
      <c r="AV334" s="981"/>
      <c r="AW334" s="981"/>
      <c r="AX334" s="993"/>
      <c r="AY334" s="993"/>
      <c r="AZ334" s="833"/>
      <c r="BA334" s="983"/>
      <c r="BB334" s="983"/>
      <c r="BC334" s="983"/>
      <c r="BD334" s="983"/>
      <c r="BE334" s="983"/>
      <c r="BF334" s="871"/>
    </row>
    <row r="335" spans="1:58" s="8" customFormat="1" ht="20.100000000000001" customHeight="1">
      <c r="A335" s="1023"/>
      <c r="B335" s="1027">
        <v>9</v>
      </c>
      <c r="C335" s="956">
        <v>363</v>
      </c>
      <c r="D335" s="1024"/>
      <c r="E335" s="1024"/>
      <c r="F335" s="1025"/>
      <c r="G335" s="1028">
        <v>0</v>
      </c>
      <c r="H335" s="1028" t="s">
        <v>1335</v>
      </c>
      <c r="I335" s="1028" t="s">
        <v>1335</v>
      </c>
      <c r="J335" s="1028"/>
      <c r="K335" s="1028" t="s">
        <v>1335</v>
      </c>
      <c r="L335" s="958" t="s">
        <v>1335</v>
      </c>
      <c r="M335" s="1028" t="s">
        <v>1335</v>
      </c>
      <c r="N335" s="1028" t="s">
        <v>1335</v>
      </c>
      <c r="O335" s="1028" t="s">
        <v>1335</v>
      </c>
      <c r="P335" s="1028" t="s">
        <v>1335</v>
      </c>
      <c r="Q335" s="1028" t="s">
        <v>1335</v>
      </c>
      <c r="R335" s="1028" t="s">
        <v>1335</v>
      </c>
      <c r="S335" s="1028" t="s">
        <v>1335</v>
      </c>
      <c r="T335" s="1028" t="s">
        <v>1335</v>
      </c>
      <c r="U335" s="1028" t="s">
        <v>1335</v>
      </c>
      <c r="V335" s="1029">
        <v>0</v>
      </c>
      <c r="W335" s="1029">
        <v>0</v>
      </c>
      <c r="X335" s="1029"/>
      <c r="Y335" s="1030"/>
      <c r="Z335" s="1031"/>
      <c r="AA335" s="971"/>
      <c r="AB335" s="972"/>
      <c r="AC335" s="972"/>
      <c r="AD335" s="972"/>
      <c r="AE335" s="972"/>
      <c r="AF335" s="972"/>
      <c r="AG335" s="972"/>
      <c r="AH335" s="972"/>
      <c r="AI335" s="972"/>
      <c r="AJ335" s="972"/>
      <c r="AK335" s="972"/>
      <c r="AL335" s="972"/>
      <c r="AM335" s="972"/>
      <c r="AN335" s="972"/>
      <c r="AO335" s="972"/>
      <c r="AP335" s="956"/>
      <c r="AQ335" s="956">
        <f t="shared" si="68"/>
        <v>13</v>
      </c>
      <c r="AR335" s="956">
        <f t="shared" si="69"/>
        <v>0</v>
      </c>
      <c r="AS335" s="982">
        <f t="shared" si="71"/>
        <v>13</v>
      </c>
      <c r="AT335" s="982">
        <v>8</v>
      </c>
      <c r="AU335" s="981"/>
      <c r="AV335" s="981"/>
      <c r="AW335" s="981"/>
      <c r="AX335" s="993"/>
      <c r="AY335" s="993"/>
      <c r="AZ335" s="833"/>
      <c r="BA335" s="983"/>
      <c r="BB335" s="983"/>
      <c r="BC335" s="983"/>
      <c r="BD335" s="983"/>
      <c r="BE335" s="983"/>
      <c r="BF335" s="871"/>
    </row>
    <row r="336" spans="1:58" s="8" customFormat="1" ht="20.100000000000001" customHeight="1">
      <c r="A336" s="1023"/>
      <c r="B336" s="1027">
        <v>9</v>
      </c>
      <c r="C336" s="956">
        <v>364</v>
      </c>
      <c r="D336" s="1024"/>
      <c r="E336" s="1024"/>
      <c r="F336" s="1025"/>
      <c r="G336" s="1028">
        <v>0</v>
      </c>
      <c r="H336" s="1028" t="s">
        <v>1335</v>
      </c>
      <c r="I336" s="1028" t="s">
        <v>1335</v>
      </c>
      <c r="J336" s="1028"/>
      <c r="K336" s="1028" t="s">
        <v>1335</v>
      </c>
      <c r="L336" s="958" t="s">
        <v>1335</v>
      </c>
      <c r="M336" s="1028" t="s">
        <v>1335</v>
      </c>
      <c r="N336" s="1028" t="s">
        <v>1335</v>
      </c>
      <c r="O336" s="1028" t="s">
        <v>1335</v>
      </c>
      <c r="P336" s="1028" t="s">
        <v>1335</v>
      </c>
      <c r="Q336" s="1028" t="s">
        <v>1335</v>
      </c>
      <c r="R336" s="1028" t="s">
        <v>1335</v>
      </c>
      <c r="S336" s="1028" t="s">
        <v>1335</v>
      </c>
      <c r="T336" s="1028" t="s">
        <v>1335</v>
      </c>
      <c r="U336" s="1028" t="s">
        <v>1335</v>
      </c>
      <c r="V336" s="1029">
        <v>0</v>
      </c>
      <c r="W336" s="1029">
        <v>0</v>
      </c>
      <c r="X336" s="1029"/>
      <c r="Y336" s="1030"/>
      <c r="Z336" s="1031"/>
      <c r="AA336" s="971"/>
      <c r="AB336" s="972"/>
      <c r="AC336" s="972"/>
      <c r="AD336" s="972"/>
      <c r="AE336" s="972"/>
      <c r="AF336" s="972"/>
      <c r="AG336" s="972"/>
      <c r="AH336" s="972"/>
      <c r="AI336" s="972"/>
      <c r="AJ336" s="972"/>
      <c r="AK336" s="972"/>
      <c r="AL336" s="972"/>
      <c r="AM336" s="972"/>
      <c r="AN336" s="972"/>
      <c r="AO336" s="972"/>
      <c r="AP336" s="956"/>
      <c r="AQ336" s="956">
        <f t="shared" si="68"/>
        <v>13</v>
      </c>
      <c r="AR336" s="956">
        <f t="shared" si="69"/>
        <v>0</v>
      </c>
      <c r="AS336" s="982">
        <f t="shared" si="71"/>
        <v>13</v>
      </c>
      <c r="AT336" s="982">
        <v>8</v>
      </c>
      <c r="AU336" s="981"/>
      <c r="AV336" s="981"/>
      <c r="AW336" s="981"/>
      <c r="AX336" s="993"/>
      <c r="AY336" s="993"/>
      <c r="AZ336" s="833"/>
      <c r="BA336" s="983"/>
      <c r="BB336" s="983"/>
      <c r="BC336" s="983"/>
      <c r="BD336" s="983"/>
      <c r="BE336" s="983"/>
      <c r="BF336" s="871"/>
    </row>
    <row r="337" spans="1:58" s="8" customFormat="1" ht="20.100000000000001" customHeight="1">
      <c r="A337" s="1023"/>
      <c r="B337" s="1027">
        <v>9</v>
      </c>
      <c r="C337" s="956">
        <v>365</v>
      </c>
      <c r="D337" s="1024"/>
      <c r="E337" s="1024"/>
      <c r="F337" s="1025"/>
      <c r="G337" s="1028" t="s">
        <v>1335</v>
      </c>
      <c r="H337" s="1028" t="s">
        <v>1335</v>
      </c>
      <c r="I337" s="1028" t="s">
        <v>1335</v>
      </c>
      <c r="J337" s="1028" t="s">
        <v>1335</v>
      </c>
      <c r="K337" s="1028" t="s">
        <v>1335</v>
      </c>
      <c r="L337" s="958" t="s">
        <v>1335</v>
      </c>
      <c r="M337" s="1028" t="s">
        <v>1335</v>
      </c>
      <c r="N337" s="1028" t="s">
        <v>1335</v>
      </c>
      <c r="O337" s="1028" t="s">
        <v>1335</v>
      </c>
      <c r="P337" s="1028" t="s">
        <v>1335</v>
      </c>
      <c r="Q337" s="1028" t="s">
        <v>1335</v>
      </c>
      <c r="R337" s="1028" t="s">
        <v>1335</v>
      </c>
      <c r="S337" s="1028" t="s">
        <v>1335</v>
      </c>
      <c r="T337" s="1028" t="s">
        <v>1335</v>
      </c>
      <c r="U337" s="1028" t="s">
        <v>1335</v>
      </c>
      <c r="V337" s="1029" t="s">
        <v>1335</v>
      </c>
      <c r="W337" s="1029" t="s">
        <v>1335</v>
      </c>
      <c r="X337" s="1029"/>
      <c r="Y337" s="1030"/>
      <c r="Z337" s="1031"/>
      <c r="AA337" s="971"/>
      <c r="AB337" s="972"/>
      <c r="AC337" s="972"/>
      <c r="AD337" s="972"/>
      <c r="AE337" s="972"/>
      <c r="AF337" s="972"/>
      <c r="AG337" s="972"/>
      <c r="AH337" s="972"/>
      <c r="AI337" s="972"/>
      <c r="AJ337" s="972"/>
      <c r="AK337" s="972"/>
      <c r="AL337" s="972"/>
      <c r="AM337" s="972"/>
      <c r="AN337" s="972"/>
      <c r="AO337" s="972"/>
      <c r="AP337" s="956"/>
      <c r="AQ337" s="956">
        <f t="shared" si="68"/>
        <v>15</v>
      </c>
      <c r="AR337" s="956">
        <f t="shared" si="69"/>
        <v>2</v>
      </c>
      <c r="AS337" s="982">
        <f t="shared" si="71"/>
        <v>17</v>
      </c>
      <c r="AT337" s="982">
        <v>9</v>
      </c>
      <c r="AU337" s="981"/>
      <c r="AV337" s="981"/>
      <c r="AW337" s="981"/>
      <c r="AX337" s="993"/>
      <c r="AY337" s="993"/>
      <c r="AZ337" s="833">
        <f t="shared" si="67"/>
        <v>0</v>
      </c>
      <c r="BA337" s="983" t="e">
        <f t="shared" ref="BA337:BA357" si="72">#N/A</f>
        <v>#N/A</v>
      </c>
      <c r="BB337" s="983" t="e">
        <f t="shared" ref="BB337:BB357" si="73">#N/A</f>
        <v>#N/A</v>
      </c>
      <c r="BC337" s="983" t="e">
        <f t="shared" ref="BC337:BC357" si="74">#N/A</f>
        <v>#N/A</v>
      </c>
      <c r="BD337" s="983" t="e">
        <f t="shared" ref="BD337:BD357" si="75">#N/A</f>
        <v>#N/A</v>
      </c>
      <c r="BE337" s="983" t="e">
        <f t="shared" si="70"/>
        <v>#N/A</v>
      </c>
      <c r="BF337" s="871"/>
    </row>
    <row r="338" spans="1:58" s="8" customFormat="1" ht="20.100000000000001" customHeight="1">
      <c r="A338" s="1023"/>
      <c r="B338" s="1027">
        <v>9</v>
      </c>
      <c r="C338" s="956">
        <v>366</v>
      </c>
      <c r="D338" s="1024"/>
      <c r="E338" s="1024"/>
      <c r="F338" s="1025"/>
      <c r="G338" s="1028">
        <v>0</v>
      </c>
      <c r="H338" s="1028" t="s">
        <v>1335</v>
      </c>
      <c r="I338" s="1028" t="s">
        <v>1335</v>
      </c>
      <c r="J338" s="1028"/>
      <c r="K338" s="1028" t="s">
        <v>1335</v>
      </c>
      <c r="L338" s="958" t="s">
        <v>1335</v>
      </c>
      <c r="M338" s="1028" t="s">
        <v>1335</v>
      </c>
      <c r="N338" s="1028" t="s">
        <v>1335</v>
      </c>
      <c r="O338" s="1028" t="s">
        <v>1335</v>
      </c>
      <c r="P338" s="1028" t="s">
        <v>1335</v>
      </c>
      <c r="Q338" s="1028" t="s">
        <v>1335</v>
      </c>
      <c r="R338" s="1028" t="s">
        <v>1335</v>
      </c>
      <c r="S338" s="1028" t="s">
        <v>1335</v>
      </c>
      <c r="T338" s="1028" t="s">
        <v>1335</v>
      </c>
      <c r="U338" s="1028" t="s">
        <v>1335</v>
      </c>
      <c r="V338" s="1029" t="s">
        <v>1335</v>
      </c>
      <c r="W338" s="1029" t="s">
        <v>1335</v>
      </c>
      <c r="X338" s="1029"/>
      <c r="Y338" s="1030"/>
      <c r="Z338" s="1031"/>
      <c r="AA338" s="971"/>
      <c r="AB338" s="972"/>
      <c r="AC338" s="972"/>
      <c r="AD338" s="972"/>
      <c r="AE338" s="972"/>
      <c r="AF338" s="972"/>
      <c r="AG338" s="972"/>
      <c r="AH338" s="972"/>
      <c r="AI338" s="972"/>
      <c r="AJ338" s="972"/>
      <c r="AK338" s="972"/>
      <c r="AL338" s="972"/>
      <c r="AM338" s="972"/>
      <c r="AN338" s="972"/>
      <c r="AO338" s="972"/>
      <c r="AP338" s="956"/>
      <c r="AQ338" s="956">
        <f t="shared" si="68"/>
        <v>13</v>
      </c>
      <c r="AR338" s="956">
        <f t="shared" si="69"/>
        <v>2</v>
      </c>
      <c r="AS338" s="982">
        <f t="shared" si="71"/>
        <v>15</v>
      </c>
      <c r="AT338" s="982">
        <v>10</v>
      </c>
      <c r="AU338" s="981"/>
      <c r="AV338" s="981"/>
      <c r="AW338" s="981"/>
      <c r="AX338" s="993"/>
      <c r="AY338" s="993"/>
      <c r="AZ338" s="833">
        <f t="shared" si="67"/>
        <v>0</v>
      </c>
      <c r="BA338" s="983" t="e">
        <f t="shared" si="72"/>
        <v>#N/A</v>
      </c>
      <c r="BB338" s="983" t="e">
        <f t="shared" si="73"/>
        <v>#N/A</v>
      </c>
      <c r="BC338" s="983" t="e">
        <f t="shared" si="74"/>
        <v>#N/A</v>
      </c>
      <c r="BD338" s="983" t="e">
        <f t="shared" si="75"/>
        <v>#N/A</v>
      </c>
      <c r="BE338" s="983" t="e">
        <f t="shared" si="70"/>
        <v>#N/A</v>
      </c>
      <c r="BF338" s="871"/>
    </row>
    <row r="339" spans="1:58" s="8" customFormat="1" ht="20.100000000000001" customHeight="1">
      <c r="A339" s="1023"/>
      <c r="B339" s="1027">
        <v>9</v>
      </c>
      <c r="C339" s="956">
        <v>367</v>
      </c>
      <c r="D339" s="1024"/>
      <c r="E339" s="1024"/>
      <c r="F339" s="1025"/>
      <c r="G339" s="1028" t="s">
        <v>1335</v>
      </c>
      <c r="H339" s="1028" t="s">
        <v>1335</v>
      </c>
      <c r="I339" s="1028" t="s">
        <v>1335</v>
      </c>
      <c r="J339" s="1028"/>
      <c r="K339" s="1028" t="s">
        <v>1335</v>
      </c>
      <c r="L339" s="958" t="s">
        <v>1335</v>
      </c>
      <c r="M339" s="1028" t="s">
        <v>1335</v>
      </c>
      <c r="N339" s="1028" t="s">
        <v>1335</v>
      </c>
      <c r="O339" s="1028" t="s">
        <v>1335</v>
      </c>
      <c r="P339" s="1028" t="s">
        <v>1335</v>
      </c>
      <c r="Q339" s="1028" t="s">
        <v>1335</v>
      </c>
      <c r="R339" s="1028" t="s">
        <v>1335</v>
      </c>
      <c r="S339" s="1028" t="s">
        <v>1335</v>
      </c>
      <c r="T339" s="1028" t="s">
        <v>1335</v>
      </c>
      <c r="U339" s="1028" t="s">
        <v>1335</v>
      </c>
      <c r="V339" s="1029" t="s">
        <v>1335</v>
      </c>
      <c r="W339" s="1029" t="s">
        <v>1335</v>
      </c>
      <c r="X339" s="1029"/>
      <c r="Y339" s="1030"/>
      <c r="Z339" s="1031"/>
      <c r="AA339" s="971"/>
      <c r="AB339" s="972"/>
      <c r="AC339" s="972"/>
      <c r="AD339" s="972"/>
      <c r="AE339" s="972"/>
      <c r="AF339" s="972"/>
      <c r="AG339" s="972"/>
      <c r="AH339" s="972"/>
      <c r="AI339" s="972"/>
      <c r="AJ339" s="972"/>
      <c r="AK339" s="972"/>
      <c r="AL339" s="972"/>
      <c r="AM339" s="972"/>
      <c r="AN339" s="972"/>
      <c r="AO339" s="972"/>
      <c r="AP339" s="956"/>
      <c r="AQ339" s="956">
        <f t="shared" si="68"/>
        <v>14</v>
      </c>
      <c r="AR339" s="956">
        <f t="shared" si="69"/>
        <v>2</v>
      </c>
      <c r="AS339" s="982">
        <f t="shared" si="71"/>
        <v>16</v>
      </c>
      <c r="AT339" s="982">
        <v>11</v>
      </c>
      <c r="AU339" s="981"/>
      <c r="AV339" s="981"/>
      <c r="AW339" s="981"/>
      <c r="AX339" s="993"/>
      <c r="AY339" s="993"/>
      <c r="AZ339" s="833">
        <f t="shared" si="67"/>
        <v>0</v>
      </c>
      <c r="BA339" s="983" t="e">
        <f t="shared" si="72"/>
        <v>#N/A</v>
      </c>
      <c r="BB339" s="983" t="e">
        <f t="shared" si="73"/>
        <v>#N/A</v>
      </c>
      <c r="BC339" s="983" t="e">
        <f t="shared" si="74"/>
        <v>#N/A</v>
      </c>
      <c r="BD339" s="983" t="e">
        <f t="shared" si="75"/>
        <v>#N/A</v>
      </c>
      <c r="BE339" s="983" t="e">
        <f t="shared" si="70"/>
        <v>#N/A</v>
      </c>
      <c r="BF339" s="871"/>
    </row>
    <row r="340" spans="1:58" s="8" customFormat="1" ht="20.100000000000001" customHeight="1">
      <c r="A340" s="1023"/>
      <c r="B340" s="1027">
        <v>9</v>
      </c>
      <c r="C340" s="956">
        <v>368</v>
      </c>
      <c r="D340" s="1024"/>
      <c r="E340" s="1024"/>
      <c r="F340" s="1025"/>
      <c r="G340" s="1028" t="s">
        <v>1335</v>
      </c>
      <c r="H340" s="1028" t="s">
        <v>1335</v>
      </c>
      <c r="I340" s="1028" t="s">
        <v>1335</v>
      </c>
      <c r="J340" s="1028"/>
      <c r="K340" s="1028" t="s">
        <v>1335</v>
      </c>
      <c r="L340" s="958" t="s">
        <v>1335</v>
      </c>
      <c r="M340" s="1028" t="s">
        <v>1335</v>
      </c>
      <c r="N340" s="1028" t="s">
        <v>1335</v>
      </c>
      <c r="O340" s="1028" t="s">
        <v>1335</v>
      </c>
      <c r="P340" s="1028" t="s">
        <v>1335</v>
      </c>
      <c r="Q340" s="1028" t="s">
        <v>1335</v>
      </c>
      <c r="R340" s="1028" t="s">
        <v>1335</v>
      </c>
      <c r="S340" s="1028" t="s">
        <v>1335</v>
      </c>
      <c r="T340" s="1028" t="s">
        <v>1335</v>
      </c>
      <c r="U340" s="1028" t="s">
        <v>1335</v>
      </c>
      <c r="V340" s="1029" t="s">
        <v>1335</v>
      </c>
      <c r="W340" s="1029" t="s">
        <v>1335</v>
      </c>
      <c r="X340" s="1029"/>
      <c r="Y340" s="1030"/>
      <c r="Z340" s="1031"/>
      <c r="AA340" s="971"/>
      <c r="AB340" s="972"/>
      <c r="AC340" s="972"/>
      <c r="AD340" s="972"/>
      <c r="AE340" s="972"/>
      <c r="AF340" s="972"/>
      <c r="AG340" s="972"/>
      <c r="AH340" s="972"/>
      <c r="AI340" s="972"/>
      <c r="AJ340" s="972"/>
      <c r="AK340" s="972"/>
      <c r="AL340" s="972"/>
      <c r="AM340" s="972"/>
      <c r="AN340" s="972"/>
      <c r="AO340" s="972"/>
      <c r="AP340" s="956"/>
      <c r="AQ340" s="956">
        <f t="shared" si="68"/>
        <v>14</v>
      </c>
      <c r="AR340" s="956">
        <f t="shared" si="69"/>
        <v>2</v>
      </c>
      <c r="AS340" s="982">
        <f t="shared" si="71"/>
        <v>16</v>
      </c>
      <c r="AT340" s="982">
        <v>11</v>
      </c>
      <c r="AU340" s="981"/>
      <c r="AV340" s="981"/>
      <c r="AW340" s="981"/>
      <c r="AX340" s="993"/>
      <c r="AY340" s="993"/>
      <c r="AZ340" s="833">
        <f t="shared" si="67"/>
        <v>0</v>
      </c>
      <c r="BA340" s="983" t="e">
        <f t="shared" si="72"/>
        <v>#N/A</v>
      </c>
      <c r="BB340" s="983" t="e">
        <f t="shared" si="73"/>
        <v>#N/A</v>
      </c>
      <c r="BC340" s="983" t="e">
        <f t="shared" si="74"/>
        <v>#N/A</v>
      </c>
      <c r="BD340" s="983" t="e">
        <f t="shared" si="75"/>
        <v>#N/A</v>
      </c>
      <c r="BE340" s="983" t="e">
        <f t="shared" si="70"/>
        <v>#N/A</v>
      </c>
      <c r="BF340" s="871"/>
    </row>
    <row r="341" spans="1:58" s="8" customFormat="1" ht="20.100000000000001" customHeight="1">
      <c r="A341" s="1023"/>
      <c r="B341" s="1027">
        <v>9</v>
      </c>
      <c r="C341" s="956">
        <v>369</v>
      </c>
      <c r="D341" s="1024"/>
      <c r="E341" s="1024"/>
      <c r="F341" s="1025"/>
      <c r="G341" s="1028" t="s">
        <v>1335</v>
      </c>
      <c r="H341" s="1028" t="s">
        <v>1335</v>
      </c>
      <c r="I341" s="1028" t="s">
        <v>1335</v>
      </c>
      <c r="J341" s="1028"/>
      <c r="K341" s="1028" t="s">
        <v>1335</v>
      </c>
      <c r="L341" s="958" t="s">
        <v>1335</v>
      </c>
      <c r="M341" s="1028">
        <v>0</v>
      </c>
      <c r="N341" s="1028" t="s">
        <v>1335</v>
      </c>
      <c r="O341" s="1028" t="s">
        <v>1335</v>
      </c>
      <c r="P341" s="1028" t="s">
        <v>1335</v>
      </c>
      <c r="Q341" s="1028" t="s">
        <v>1335</v>
      </c>
      <c r="R341" s="1028" t="s">
        <v>1335</v>
      </c>
      <c r="S341" s="1028" t="s">
        <v>1335</v>
      </c>
      <c r="T341" s="1028" t="s">
        <v>1335</v>
      </c>
      <c r="U341" s="1028" t="s">
        <v>1335</v>
      </c>
      <c r="V341" s="1029">
        <v>0</v>
      </c>
      <c r="W341" s="1029" t="s">
        <v>1335</v>
      </c>
      <c r="X341" s="1029"/>
      <c r="Y341" s="1030"/>
      <c r="Z341" s="1031"/>
      <c r="AA341" s="971"/>
      <c r="AB341" s="972"/>
      <c r="AC341" s="972"/>
      <c r="AD341" s="972"/>
      <c r="AE341" s="972"/>
      <c r="AF341" s="972"/>
      <c r="AG341" s="972"/>
      <c r="AH341" s="972"/>
      <c r="AI341" s="972"/>
      <c r="AJ341" s="972"/>
      <c r="AK341" s="972"/>
      <c r="AL341" s="972"/>
      <c r="AM341" s="972"/>
      <c r="AN341" s="972"/>
      <c r="AO341" s="972"/>
      <c r="AP341" s="956"/>
      <c r="AQ341" s="956">
        <f t="shared" si="68"/>
        <v>13</v>
      </c>
      <c r="AR341" s="956">
        <f t="shared" si="69"/>
        <v>1</v>
      </c>
      <c r="AS341" s="982">
        <f t="shared" si="71"/>
        <v>14</v>
      </c>
      <c r="AT341" s="982">
        <v>10</v>
      </c>
      <c r="AU341" s="981"/>
      <c r="AV341" s="981"/>
      <c r="AW341" s="981"/>
      <c r="AX341" s="993"/>
      <c r="AY341" s="993"/>
      <c r="AZ341" s="833">
        <f t="shared" si="67"/>
        <v>0</v>
      </c>
      <c r="BA341" s="983" t="e">
        <f t="shared" si="72"/>
        <v>#N/A</v>
      </c>
      <c r="BB341" s="983" t="e">
        <f t="shared" si="73"/>
        <v>#N/A</v>
      </c>
      <c r="BC341" s="983" t="e">
        <f t="shared" si="74"/>
        <v>#N/A</v>
      </c>
      <c r="BD341" s="983" t="e">
        <f t="shared" si="75"/>
        <v>#N/A</v>
      </c>
      <c r="BE341" s="983" t="e">
        <f t="shared" si="70"/>
        <v>#N/A</v>
      </c>
      <c r="BF341" s="871"/>
    </row>
    <row r="342" spans="1:58" s="8" customFormat="1" ht="20.100000000000001" customHeight="1">
      <c r="A342" s="1023"/>
      <c r="B342" s="1027">
        <v>9</v>
      </c>
      <c r="C342" s="956">
        <v>370</v>
      </c>
      <c r="D342" s="1024"/>
      <c r="E342" s="1024"/>
      <c r="F342" s="1025"/>
      <c r="G342" s="1028" t="s">
        <v>1335</v>
      </c>
      <c r="H342" s="1028" t="s">
        <v>1335</v>
      </c>
      <c r="I342" s="1028" t="s">
        <v>1335</v>
      </c>
      <c r="J342" s="1028"/>
      <c r="K342" s="1028" t="s">
        <v>1335</v>
      </c>
      <c r="L342" s="958" t="s">
        <v>1335</v>
      </c>
      <c r="M342" s="1028">
        <v>0</v>
      </c>
      <c r="N342" s="1028" t="s">
        <v>1335</v>
      </c>
      <c r="O342" s="1028" t="s">
        <v>1335</v>
      </c>
      <c r="P342" s="1028" t="s">
        <v>1335</v>
      </c>
      <c r="Q342" s="1028" t="s">
        <v>1335</v>
      </c>
      <c r="R342" s="1028" t="s">
        <v>1335</v>
      </c>
      <c r="S342" s="1028" t="s">
        <v>1335</v>
      </c>
      <c r="T342" s="1028" t="s">
        <v>1335</v>
      </c>
      <c r="U342" s="1028" t="s">
        <v>1335</v>
      </c>
      <c r="V342" s="1029" t="s">
        <v>1335</v>
      </c>
      <c r="W342" s="1029" t="s">
        <v>1335</v>
      </c>
      <c r="X342" s="1029"/>
      <c r="Y342" s="1030"/>
      <c r="Z342" s="1031"/>
      <c r="AA342" s="971"/>
      <c r="AB342" s="972"/>
      <c r="AC342" s="972"/>
      <c r="AD342" s="972"/>
      <c r="AE342" s="972"/>
      <c r="AF342" s="972"/>
      <c r="AG342" s="972"/>
      <c r="AH342" s="972"/>
      <c r="AI342" s="972"/>
      <c r="AJ342" s="972"/>
      <c r="AK342" s="972"/>
      <c r="AL342" s="972"/>
      <c r="AM342" s="972"/>
      <c r="AN342" s="972"/>
      <c r="AO342" s="972"/>
      <c r="AP342" s="956"/>
      <c r="AQ342" s="956">
        <f t="shared" si="68"/>
        <v>13</v>
      </c>
      <c r="AR342" s="956">
        <f t="shared" si="69"/>
        <v>2</v>
      </c>
      <c r="AS342" s="982">
        <f t="shared" si="71"/>
        <v>15</v>
      </c>
      <c r="AT342" s="982">
        <v>10</v>
      </c>
      <c r="AU342" s="981"/>
      <c r="AV342" s="981"/>
      <c r="AW342" s="981"/>
      <c r="AX342" s="993"/>
      <c r="AY342" s="993"/>
      <c r="AZ342" s="833">
        <f t="shared" si="67"/>
        <v>0</v>
      </c>
      <c r="BA342" s="983" t="e">
        <f t="shared" si="72"/>
        <v>#N/A</v>
      </c>
      <c r="BB342" s="983" t="e">
        <f t="shared" si="73"/>
        <v>#N/A</v>
      </c>
      <c r="BC342" s="983" t="e">
        <f t="shared" si="74"/>
        <v>#N/A</v>
      </c>
      <c r="BD342" s="983" t="e">
        <f t="shared" si="75"/>
        <v>#N/A</v>
      </c>
      <c r="BE342" s="983" t="e">
        <f t="shared" si="70"/>
        <v>#N/A</v>
      </c>
      <c r="BF342" s="871"/>
    </row>
    <row r="343" spans="1:58" s="8" customFormat="1" ht="20.100000000000001" customHeight="1">
      <c r="A343" s="1023"/>
      <c r="B343" s="1027">
        <v>9</v>
      </c>
      <c r="C343" s="956">
        <v>371</v>
      </c>
      <c r="D343" s="1024"/>
      <c r="E343" s="1024"/>
      <c r="F343" s="1025"/>
      <c r="G343" s="1028">
        <v>0</v>
      </c>
      <c r="H343" s="1028" t="s">
        <v>1335</v>
      </c>
      <c r="I343" s="1028" t="s">
        <v>1335</v>
      </c>
      <c r="J343" s="1028"/>
      <c r="K343" s="1028" t="s">
        <v>1335</v>
      </c>
      <c r="L343" s="958" t="s">
        <v>1335</v>
      </c>
      <c r="M343" s="1028">
        <v>0</v>
      </c>
      <c r="N343" s="1028" t="s">
        <v>1335</v>
      </c>
      <c r="O343" s="1028" t="s">
        <v>1335</v>
      </c>
      <c r="P343" s="1028" t="s">
        <v>1335</v>
      </c>
      <c r="Q343" s="1028" t="s">
        <v>1335</v>
      </c>
      <c r="R343" s="1028" t="s">
        <v>1335</v>
      </c>
      <c r="S343" s="1028" t="s">
        <v>1335</v>
      </c>
      <c r="T343" s="1028" t="s">
        <v>1335</v>
      </c>
      <c r="U343" s="1028" t="s">
        <v>1335</v>
      </c>
      <c r="V343" s="1029">
        <v>0</v>
      </c>
      <c r="W343" s="1029" t="s">
        <v>1335</v>
      </c>
      <c r="X343" s="1029"/>
      <c r="Y343" s="1030"/>
      <c r="Z343" s="1031"/>
      <c r="AA343" s="971"/>
      <c r="AB343" s="972"/>
      <c r="AC343" s="972"/>
      <c r="AD343" s="972"/>
      <c r="AE343" s="972"/>
      <c r="AF343" s="972"/>
      <c r="AG343" s="972"/>
      <c r="AH343" s="972"/>
      <c r="AI343" s="972"/>
      <c r="AJ343" s="972"/>
      <c r="AK343" s="972"/>
      <c r="AL343" s="972"/>
      <c r="AM343" s="972"/>
      <c r="AN343" s="972"/>
      <c r="AO343" s="972"/>
      <c r="AP343" s="956"/>
      <c r="AQ343" s="956">
        <f t="shared" si="68"/>
        <v>12</v>
      </c>
      <c r="AR343" s="956">
        <f t="shared" si="69"/>
        <v>1</v>
      </c>
      <c r="AS343" s="982">
        <f t="shared" si="71"/>
        <v>13</v>
      </c>
      <c r="AT343" s="982">
        <v>3</v>
      </c>
      <c r="AU343" s="981"/>
      <c r="AV343" s="981"/>
      <c r="AW343" s="981"/>
      <c r="AX343" s="993"/>
      <c r="AY343" s="993"/>
      <c r="AZ343" s="833">
        <f t="shared" si="67"/>
        <v>0</v>
      </c>
      <c r="BA343" s="983" t="e">
        <f t="shared" si="72"/>
        <v>#N/A</v>
      </c>
      <c r="BB343" s="983" t="e">
        <f t="shared" si="73"/>
        <v>#N/A</v>
      </c>
      <c r="BC343" s="983" t="e">
        <f t="shared" si="74"/>
        <v>#N/A</v>
      </c>
      <c r="BD343" s="983" t="e">
        <f t="shared" si="75"/>
        <v>#N/A</v>
      </c>
      <c r="BE343" s="983" t="e">
        <f t="shared" si="70"/>
        <v>#N/A</v>
      </c>
      <c r="BF343" s="871"/>
    </row>
    <row r="344" spans="1:58" s="8" customFormat="1" ht="20.100000000000001" customHeight="1">
      <c r="A344" s="1023"/>
      <c r="B344" s="1027">
        <v>9</v>
      </c>
      <c r="C344" s="956">
        <v>372</v>
      </c>
      <c r="D344" s="1024"/>
      <c r="E344" s="1024"/>
      <c r="F344" s="1025"/>
      <c r="G344" s="1028" t="s">
        <v>1335</v>
      </c>
      <c r="H344" s="1028" t="s">
        <v>1335</v>
      </c>
      <c r="I344" s="1028" t="s">
        <v>1335</v>
      </c>
      <c r="J344" s="1028"/>
      <c r="K344" s="1028" t="s">
        <v>1335</v>
      </c>
      <c r="L344" s="958" t="s">
        <v>1335</v>
      </c>
      <c r="M344" s="1028" t="s">
        <v>1335</v>
      </c>
      <c r="N344" s="1028" t="s">
        <v>1335</v>
      </c>
      <c r="O344" s="1028">
        <v>0</v>
      </c>
      <c r="P344" s="1028" t="s">
        <v>1335</v>
      </c>
      <c r="Q344" s="1028" t="s">
        <v>1335</v>
      </c>
      <c r="R344" s="1028" t="s">
        <v>1335</v>
      </c>
      <c r="S344" s="1028" t="s">
        <v>1335</v>
      </c>
      <c r="T344" s="1028" t="s">
        <v>1335</v>
      </c>
      <c r="U344" s="1028" t="s">
        <v>1335</v>
      </c>
      <c r="V344" s="1029">
        <v>0</v>
      </c>
      <c r="W344" s="1029" t="s">
        <v>1335</v>
      </c>
      <c r="X344" s="1029"/>
      <c r="Y344" s="1030"/>
      <c r="Z344" s="1031"/>
      <c r="AA344" s="971"/>
      <c r="AB344" s="972"/>
      <c r="AC344" s="972"/>
      <c r="AD344" s="972"/>
      <c r="AE344" s="972"/>
      <c r="AF344" s="972"/>
      <c r="AG344" s="972"/>
      <c r="AH344" s="972"/>
      <c r="AI344" s="972"/>
      <c r="AJ344" s="972"/>
      <c r="AK344" s="972"/>
      <c r="AL344" s="972"/>
      <c r="AM344" s="972"/>
      <c r="AN344" s="972"/>
      <c r="AO344" s="972"/>
      <c r="AP344" s="956"/>
      <c r="AQ344" s="956">
        <f t="shared" si="68"/>
        <v>13</v>
      </c>
      <c r="AR344" s="956">
        <f t="shared" si="69"/>
        <v>1</v>
      </c>
      <c r="AS344" s="982">
        <f t="shared" si="71"/>
        <v>14</v>
      </c>
      <c r="AT344" s="982">
        <v>10</v>
      </c>
      <c r="AU344" s="981"/>
      <c r="AV344" s="981"/>
      <c r="AW344" s="981"/>
      <c r="AX344" s="993"/>
      <c r="AY344" s="993"/>
      <c r="AZ344" s="833">
        <f t="shared" si="67"/>
        <v>0</v>
      </c>
      <c r="BA344" s="983" t="e">
        <f t="shared" si="72"/>
        <v>#N/A</v>
      </c>
      <c r="BB344" s="983" t="e">
        <f t="shared" si="73"/>
        <v>#N/A</v>
      </c>
      <c r="BC344" s="983" t="e">
        <f t="shared" si="74"/>
        <v>#N/A</v>
      </c>
      <c r="BD344" s="983" t="e">
        <f t="shared" si="75"/>
        <v>#N/A</v>
      </c>
      <c r="BE344" s="983" t="e">
        <f t="shared" si="70"/>
        <v>#N/A</v>
      </c>
      <c r="BF344" s="871"/>
    </row>
    <row r="345" spans="1:58" s="8" customFormat="1" ht="20.100000000000001" customHeight="1">
      <c r="A345" s="1023"/>
      <c r="B345" s="1027">
        <v>9</v>
      </c>
      <c r="C345" s="956">
        <v>373</v>
      </c>
      <c r="D345" s="1024"/>
      <c r="E345" s="1024"/>
      <c r="F345" s="1025"/>
      <c r="G345" s="1028" t="s">
        <v>1335</v>
      </c>
      <c r="H345" s="1028" t="s">
        <v>1335</v>
      </c>
      <c r="I345" s="1028" t="s">
        <v>1335</v>
      </c>
      <c r="J345" s="1028"/>
      <c r="K345" s="1028" t="s">
        <v>1335</v>
      </c>
      <c r="L345" s="958" t="s">
        <v>1335</v>
      </c>
      <c r="M345" s="1028">
        <v>0</v>
      </c>
      <c r="N345" s="1028" t="s">
        <v>1335</v>
      </c>
      <c r="O345" s="1028" t="s">
        <v>1335</v>
      </c>
      <c r="P345" s="1028">
        <v>0</v>
      </c>
      <c r="Q345" s="1028" t="s">
        <v>1335</v>
      </c>
      <c r="R345" s="1028" t="s">
        <v>1335</v>
      </c>
      <c r="S345" s="1028" t="s">
        <v>1335</v>
      </c>
      <c r="T345" s="1028" t="s">
        <v>1335</v>
      </c>
      <c r="U345" s="1028" t="s">
        <v>1335</v>
      </c>
      <c r="V345" s="1029" t="s">
        <v>1335</v>
      </c>
      <c r="W345" s="1029">
        <v>0</v>
      </c>
      <c r="X345" s="1029"/>
      <c r="Y345" s="1030"/>
      <c r="Z345" s="1031"/>
      <c r="AA345" s="971"/>
      <c r="AB345" s="972"/>
      <c r="AC345" s="972"/>
      <c r="AD345" s="972"/>
      <c r="AE345" s="972"/>
      <c r="AF345" s="972"/>
      <c r="AG345" s="972"/>
      <c r="AH345" s="972"/>
      <c r="AI345" s="972"/>
      <c r="AJ345" s="972"/>
      <c r="AK345" s="972"/>
      <c r="AL345" s="972"/>
      <c r="AM345" s="972"/>
      <c r="AN345" s="972"/>
      <c r="AO345" s="972"/>
      <c r="AP345" s="956"/>
      <c r="AQ345" s="956">
        <f t="shared" si="68"/>
        <v>12</v>
      </c>
      <c r="AR345" s="956">
        <f t="shared" si="69"/>
        <v>1</v>
      </c>
      <c r="AS345" s="982">
        <f t="shared" si="71"/>
        <v>13</v>
      </c>
      <c r="AT345" s="982">
        <v>8</v>
      </c>
      <c r="AU345" s="981"/>
      <c r="AV345" s="981"/>
      <c r="AW345" s="981"/>
      <c r="AX345" s="993"/>
      <c r="AY345" s="993"/>
      <c r="AZ345" s="833">
        <f t="shared" si="67"/>
        <v>0</v>
      </c>
      <c r="BA345" s="983" t="e">
        <f t="shared" si="72"/>
        <v>#N/A</v>
      </c>
      <c r="BB345" s="983" t="e">
        <f t="shared" si="73"/>
        <v>#N/A</v>
      </c>
      <c r="BC345" s="983" t="e">
        <f t="shared" si="74"/>
        <v>#N/A</v>
      </c>
      <c r="BD345" s="983" t="e">
        <f t="shared" si="75"/>
        <v>#N/A</v>
      </c>
      <c r="BE345" s="983" t="e">
        <f t="shared" si="70"/>
        <v>#N/A</v>
      </c>
      <c r="BF345" s="871"/>
    </row>
    <row r="346" spans="1:58" s="8" customFormat="1" ht="20.100000000000001" customHeight="1">
      <c r="A346" s="1023"/>
      <c r="B346" s="1027">
        <v>9</v>
      </c>
      <c r="C346" s="956">
        <v>374</v>
      </c>
      <c r="D346" s="1024"/>
      <c r="E346" s="1024"/>
      <c r="F346" s="1025"/>
      <c r="G346" s="1028" t="s">
        <v>1335</v>
      </c>
      <c r="H346" s="1028" t="s">
        <v>1335</v>
      </c>
      <c r="I346" s="1028" t="s">
        <v>1335</v>
      </c>
      <c r="J346" s="1028"/>
      <c r="K346" s="1028" t="s">
        <v>1335</v>
      </c>
      <c r="L346" s="958">
        <v>0</v>
      </c>
      <c r="M346" s="1028" t="s">
        <v>1335</v>
      </c>
      <c r="N346" s="1028" t="s">
        <v>1335</v>
      </c>
      <c r="O346" s="1028" t="s">
        <v>1335</v>
      </c>
      <c r="P346" s="1028" t="s">
        <v>1335</v>
      </c>
      <c r="Q346" s="1028" t="s">
        <v>1335</v>
      </c>
      <c r="R346" s="1028" t="s">
        <v>1335</v>
      </c>
      <c r="S346" s="1028" t="s">
        <v>1335</v>
      </c>
      <c r="T346" s="1028" t="s">
        <v>1335</v>
      </c>
      <c r="U346" s="1028" t="s">
        <v>1335</v>
      </c>
      <c r="V346" s="1029" t="s">
        <v>1335</v>
      </c>
      <c r="W346" s="1029" t="s">
        <v>1335</v>
      </c>
      <c r="X346" s="1029"/>
      <c r="Y346" s="1030"/>
      <c r="Z346" s="1031"/>
      <c r="AA346" s="971"/>
      <c r="AB346" s="972"/>
      <c r="AC346" s="972"/>
      <c r="AD346" s="972"/>
      <c r="AE346" s="972"/>
      <c r="AF346" s="972"/>
      <c r="AG346" s="972"/>
      <c r="AH346" s="972"/>
      <c r="AI346" s="972"/>
      <c r="AJ346" s="972"/>
      <c r="AK346" s="972"/>
      <c r="AL346" s="972"/>
      <c r="AM346" s="972"/>
      <c r="AN346" s="972"/>
      <c r="AO346" s="972"/>
      <c r="AP346" s="956"/>
      <c r="AQ346" s="956">
        <f t="shared" si="68"/>
        <v>13</v>
      </c>
      <c r="AR346" s="956">
        <f t="shared" si="69"/>
        <v>2</v>
      </c>
      <c r="AS346" s="982">
        <f t="shared" si="71"/>
        <v>15</v>
      </c>
      <c r="AT346" s="982">
        <v>0</v>
      </c>
      <c r="AU346" s="981"/>
      <c r="AV346" s="981"/>
      <c r="AW346" s="981"/>
      <c r="AX346" s="993"/>
      <c r="AY346" s="993"/>
      <c r="AZ346" s="833">
        <f t="shared" si="67"/>
        <v>0</v>
      </c>
      <c r="BA346" s="983" t="e">
        <f t="shared" si="72"/>
        <v>#N/A</v>
      </c>
      <c r="BB346" s="983" t="e">
        <f t="shared" si="73"/>
        <v>#N/A</v>
      </c>
      <c r="BC346" s="983" t="e">
        <f t="shared" si="74"/>
        <v>#N/A</v>
      </c>
      <c r="BD346" s="983" t="e">
        <f t="shared" si="75"/>
        <v>#N/A</v>
      </c>
      <c r="BE346" s="983" t="e">
        <f t="shared" si="70"/>
        <v>#N/A</v>
      </c>
      <c r="BF346" s="871"/>
    </row>
    <row r="347" spans="1:58" s="8" customFormat="1" ht="20.100000000000001" customHeight="1">
      <c r="A347" s="1023"/>
      <c r="B347" s="1027">
        <v>9</v>
      </c>
      <c r="C347" s="956">
        <v>375</v>
      </c>
      <c r="D347" s="1024"/>
      <c r="E347" s="1024"/>
      <c r="F347" s="1025"/>
      <c r="G347" s="1028" t="s">
        <v>1335</v>
      </c>
      <c r="H347" s="1028" t="s">
        <v>1335</v>
      </c>
      <c r="I347" s="1028" t="s">
        <v>1335</v>
      </c>
      <c r="J347" s="1028"/>
      <c r="K347" s="1028" t="s">
        <v>1335</v>
      </c>
      <c r="L347" s="958" t="s">
        <v>1335</v>
      </c>
      <c r="M347" s="1028" t="s">
        <v>1335</v>
      </c>
      <c r="N347" s="1028" t="s">
        <v>1335</v>
      </c>
      <c r="O347" s="1028" t="s">
        <v>1335</v>
      </c>
      <c r="P347" s="1028">
        <v>0</v>
      </c>
      <c r="Q347" s="1028" t="s">
        <v>1335</v>
      </c>
      <c r="R347" s="1028" t="s">
        <v>1335</v>
      </c>
      <c r="S347" s="1028" t="s">
        <v>1335</v>
      </c>
      <c r="T347" s="1028" t="s">
        <v>1335</v>
      </c>
      <c r="U347" s="1028" t="s">
        <v>1335</v>
      </c>
      <c r="V347" s="1029" t="s">
        <v>1335</v>
      </c>
      <c r="W347" s="1029" t="s">
        <v>1335</v>
      </c>
      <c r="X347" s="1029"/>
      <c r="Y347" s="1030"/>
      <c r="Z347" s="1031"/>
      <c r="AA347" s="971"/>
      <c r="AB347" s="972"/>
      <c r="AC347" s="972"/>
      <c r="AD347" s="972"/>
      <c r="AE347" s="972"/>
      <c r="AF347" s="972"/>
      <c r="AG347" s="972"/>
      <c r="AH347" s="972"/>
      <c r="AI347" s="972"/>
      <c r="AJ347" s="972"/>
      <c r="AK347" s="972"/>
      <c r="AL347" s="972"/>
      <c r="AM347" s="972"/>
      <c r="AN347" s="972"/>
      <c r="AO347" s="972"/>
      <c r="AP347" s="956"/>
      <c r="AQ347" s="956">
        <f t="shared" si="68"/>
        <v>13</v>
      </c>
      <c r="AR347" s="956">
        <f t="shared" si="69"/>
        <v>2</v>
      </c>
      <c r="AS347" s="982">
        <f t="shared" si="71"/>
        <v>15</v>
      </c>
      <c r="AT347" s="982">
        <v>10</v>
      </c>
      <c r="AU347" s="981"/>
      <c r="AV347" s="981"/>
      <c r="AW347" s="981"/>
      <c r="AX347" s="993"/>
      <c r="AY347" s="993"/>
      <c r="AZ347" s="833">
        <f t="shared" si="67"/>
        <v>0</v>
      </c>
      <c r="BA347" s="983" t="e">
        <f t="shared" si="72"/>
        <v>#N/A</v>
      </c>
      <c r="BB347" s="983" t="e">
        <f t="shared" si="73"/>
        <v>#N/A</v>
      </c>
      <c r="BC347" s="983" t="e">
        <f t="shared" si="74"/>
        <v>#N/A</v>
      </c>
      <c r="BD347" s="983" t="e">
        <f t="shared" si="75"/>
        <v>#N/A</v>
      </c>
      <c r="BE347" s="983" t="e">
        <f t="shared" si="70"/>
        <v>#N/A</v>
      </c>
      <c r="BF347" s="871"/>
    </row>
    <row r="348" spans="1:58" s="8" customFormat="1" ht="20.100000000000001" customHeight="1">
      <c r="A348" s="1023"/>
      <c r="B348" s="1027">
        <v>9</v>
      </c>
      <c r="C348" s="956">
        <v>376</v>
      </c>
      <c r="D348" s="1024"/>
      <c r="E348" s="1024"/>
      <c r="F348" s="1025"/>
      <c r="G348" s="1028">
        <v>0</v>
      </c>
      <c r="H348" s="1028" t="s">
        <v>1335</v>
      </c>
      <c r="I348" s="1028" t="s">
        <v>1335</v>
      </c>
      <c r="J348" s="1028"/>
      <c r="K348" s="1028">
        <v>0</v>
      </c>
      <c r="L348" s="958" t="s">
        <v>1335</v>
      </c>
      <c r="M348" s="1028" t="s">
        <v>1335</v>
      </c>
      <c r="N348" s="1028" t="s">
        <v>1335</v>
      </c>
      <c r="O348" s="1028">
        <v>0</v>
      </c>
      <c r="P348" s="1028">
        <v>0</v>
      </c>
      <c r="Q348" s="1028">
        <v>0</v>
      </c>
      <c r="R348" s="1028" t="s">
        <v>1335</v>
      </c>
      <c r="S348" s="1028" t="s">
        <v>1335</v>
      </c>
      <c r="T348" s="1028" t="s">
        <v>1335</v>
      </c>
      <c r="U348" s="1028" t="s">
        <v>1335</v>
      </c>
      <c r="V348" s="1029">
        <v>0</v>
      </c>
      <c r="W348" s="1029">
        <v>0</v>
      </c>
      <c r="X348" s="1029"/>
      <c r="Y348" s="1030"/>
      <c r="Z348" s="1031"/>
      <c r="AA348" s="971"/>
      <c r="AB348" s="972"/>
      <c r="AC348" s="972"/>
      <c r="AD348" s="972"/>
      <c r="AE348" s="972"/>
      <c r="AF348" s="972"/>
      <c r="AG348" s="972"/>
      <c r="AH348" s="972"/>
      <c r="AI348" s="972"/>
      <c r="AJ348" s="972"/>
      <c r="AK348" s="972"/>
      <c r="AL348" s="972"/>
      <c r="AM348" s="972"/>
      <c r="AN348" s="972"/>
      <c r="AO348" s="972"/>
      <c r="AP348" s="956"/>
      <c r="AQ348" s="956">
        <f t="shared" si="68"/>
        <v>9</v>
      </c>
      <c r="AR348" s="956">
        <f t="shared" si="69"/>
        <v>0</v>
      </c>
      <c r="AS348" s="982">
        <f t="shared" si="71"/>
        <v>9</v>
      </c>
      <c r="AT348" s="982">
        <v>4</v>
      </c>
      <c r="AU348" s="981"/>
      <c r="AV348" s="981"/>
      <c r="AW348" s="981"/>
      <c r="AX348" s="993"/>
      <c r="AY348" s="993"/>
      <c r="AZ348" s="833">
        <f t="shared" si="67"/>
        <v>0</v>
      </c>
      <c r="BA348" s="983" t="e">
        <f t="shared" si="72"/>
        <v>#N/A</v>
      </c>
      <c r="BB348" s="983" t="e">
        <f t="shared" si="73"/>
        <v>#N/A</v>
      </c>
      <c r="BC348" s="983" t="e">
        <f t="shared" si="74"/>
        <v>#N/A</v>
      </c>
      <c r="BD348" s="983" t="e">
        <f t="shared" si="75"/>
        <v>#N/A</v>
      </c>
      <c r="BE348" s="983" t="e">
        <f t="shared" si="70"/>
        <v>#N/A</v>
      </c>
      <c r="BF348" s="871"/>
    </row>
    <row r="349" spans="1:58" s="8" customFormat="1" ht="20.100000000000001" customHeight="1">
      <c r="A349" s="1023"/>
      <c r="B349" s="1027">
        <v>9</v>
      </c>
      <c r="C349" s="956">
        <v>377</v>
      </c>
      <c r="D349" s="1024"/>
      <c r="E349" s="1024"/>
      <c r="F349" s="1025"/>
      <c r="G349" s="1028" t="s">
        <v>1335</v>
      </c>
      <c r="H349" s="1028" t="s">
        <v>1335</v>
      </c>
      <c r="I349" s="1028" t="s">
        <v>1335</v>
      </c>
      <c r="J349" s="1028"/>
      <c r="K349" s="1028">
        <v>0</v>
      </c>
      <c r="L349" s="958" t="s">
        <v>1335</v>
      </c>
      <c r="M349" s="1028" t="s">
        <v>1335</v>
      </c>
      <c r="N349" s="1028" t="s">
        <v>1335</v>
      </c>
      <c r="O349" s="1028" t="s">
        <v>1335</v>
      </c>
      <c r="P349" s="1028" t="s">
        <v>1335</v>
      </c>
      <c r="Q349" s="1028">
        <v>0</v>
      </c>
      <c r="R349" s="1028" t="s">
        <v>1335</v>
      </c>
      <c r="S349" s="1028" t="s">
        <v>1335</v>
      </c>
      <c r="T349" s="1028" t="s">
        <v>1335</v>
      </c>
      <c r="U349" s="1028" t="s">
        <v>1335</v>
      </c>
      <c r="V349" s="1029" t="s">
        <v>1335</v>
      </c>
      <c r="W349" s="1029">
        <v>0</v>
      </c>
      <c r="X349" s="1029"/>
      <c r="Y349" s="1030"/>
      <c r="Z349" s="1031"/>
      <c r="AA349" s="971"/>
      <c r="AB349" s="972"/>
      <c r="AC349" s="972"/>
      <c r="AD349" s="972"/>
      <c r="AE349" s="972"/>
      <c r="AF349" s="972"/>
      <c r="AG349" s="972"/>
      <c r="AH349" s="972"/>
      <c r="AI349" s="972"/>
      <c r="AJ349" s="972"/>
      <c r="AK349" s="972"/>
      <c r="AL349" s="972"/>
      <c r="AM349" s="972"/>
      <c r="AN349" s="972"/>
      <c r="AO349" s="972"/>
      <c r="AP349" s="956"/>
      <c r="AQ349" s="956">
        <f t="shared" si="68"/>
        <v>12</v>
      </c>
      <c r="AR349" s="956">
        <f t="shared" si="69"/>
        <v>1</v>
      </c>
      <c r="AS349" s="982">
        <f t="shared" si="71"/>
        <v>13</v>
      </c>
      <c r="AT349" s="982">
        <v>11</v>
      </c>
      <c r="AU349" s="981"/>
      <c r="AV349" s="981"/>
      <c r="AW349" s="981"/>
      <c r="AX349" s="993"/>
      <c r="AY349" s="993"/>
      <c r="AZ349" s="833">
        <f t="shared" si="67"/>
        <v>0</v>
      </c>
      <c r="BA349" s="983" t="e">
        <f t="shared" si="72"/>
        <v>#N/A</v>
      </c>
      <c r="BB349" s="983" t="e">
        <f t="shared" si="73"/>
        <v>#N/A</v>
      </c>
      <c r="BC349" s="983" t="e">
        <f t="shared" si="74"/>
        <v>#N/A</v>
      </c>
      <c r="BD349" s="983" t="e">
        <f t="shared" si="75"/>
        <v>#N/A</v>
      </c>
      <c r="BE349" s="983" t="e">
        <f t="shared" si="70"/>
        <v>#N/A</v>
      </c>
      <c r="BF349" s="871"/>
    </row>
    <row r="350" spans="1:58" s="8" customFormat="1" ht="20.100000000000001" customHeight="1">
      <c r="A350" s="1023"/>
      <c r="B350" s="1027">
        <v>9</v>
      </c>
      <c r="C350" s="956">
        <v>378</v>
      </c>
      <c r="D350" s="1024"/>
      <c r="E350" s="1024"/>
      <c r="F350" s="1025"/>
      <c r="G350" s="1028" t="s">
        <v>1335</v>
      </c>
      <c r="H350" s="1028" t="s">
        <v>1335</v>
      </c>
      <c r="I350" s="1028" t="s">
        <v>1335</v>
      </c>
      <c r="J350" s="1028"/>
      <c r="K350" s="1028" t="s">
        <v>1335</v>
      </c>
      <c r="L350" s="958" t="s">
        <v>1335</v>
      </c>
      <c r="M350" s="1028" t="s">
        <v>1335</v>
      </c>
      <c r="N350" s="1028" t="s">
        <v>1335</v>
      </c>
      <c r="O350" s="1028" t="s">
        <v>1335</v>
      </c>
      <c r="P350" s="1028" t="s">
        <v>1335</v>
      </c>
      <c r="Q350" s="1028" t="s">
        <v>1335</v>
      </c>
      <c r="R350" s="1028" t="s">
        <v>1335</v>
      </c>
      <c r="S350" s="1028" t="s">
        <v>1335</v>
      </c>
      <c r="T350" s="1028" t="s">
        <v>1335</v>
      </c>
      <c r="U350" s="1028" t="s">
        <v>1335</v>
      </c>
      <c r="V350" s="1029" t="s">
        <v>1335</v>
      </c>
      <c r="W350" s="1029" t="s">
        <v>1335</v>
      </c>
      <c r="X350" s="1029"/>
      <c r="Y350" s="1030"/>
      <c r="Z350" s="1031"/>
      <c r="AA350" s="971"/>
      <c r="AB350" s="972"/>
      <c r="AC350" s="972"/>
      <c r="AD350" s="972"/>
      <c r="AE350" s="972"/>
      <c r="AF350" s="972"/>
      <c r="AG350" s="972"/>
      <c r="AH350" s="972"/>
      <c r="AI350" s="972"/>
      <c r="AJ350" s="972"/>
      <c r="AK350" s="972"/>
      <c r="AL350" s="972"/>
      <c r="AM350" s="972"/>
      <c r="AN350" s="972"/>
      <c r="AO350" s="972"/>
      <c r="AP350" s="956"/>
      <c r="AQ350" s="956">
        <f t="shared" si="68"/>
        <v>14</v>
      </c>
      <c r="AR350" s="956">
        <f t="shared" si="69"/>
        <v>2</v>
      </c>
      <c r="AS350" s="982">
        <f t="shared" si="71"/>
        <v>16</v>
      </c>
      <c r="AT350" s="982">
        <v>10</v>
      </c>
      <c r="AU350" s="981"/>
      <c r="AV350" s="981"/>
      <c r="AW350" s="981"/>
      <c r="AX350" s="993"/>
      <c r="AY350" s="993"/>
      <c r="AZ350" s="833">
        <f t="shared" si="67"/>
        <v>0</v>
      </c>
      <c r="BA350" s="983" t="e">
        <f t="shared" si="72"/>
        <v>#N/A</v>
      </c>
      <c r="BB350" s="983" t="e">
        <f t="shared" si="73"/>
        <v>#N/A</v>
      </c>
      <c r="BC350" s="983" t="e">
        <f t="shared" si="74"/>
        <v>#N/A</v>
      </c>
      <c r="BD350" s="983" t="e">
        <f t="shared" si="75"/>
        <v>#N/A</v>
      </c>
      <c r="BE350" s="983" t="e">
        <f t="shared" si="70"/>
        <v>#N/A</v>
      </c>
      <c r="BF350" s="871"/>
    </row>
    <row r="351" spans="1:58" s="8" customFormat="1" ht="20.100000000000001" customHeight="1">
      <c r="A351" s="1023"/>
      <c r="B351" s="1027">
        <v>9</v>
      </c>
      <c r="C351" s="956">
        <v>379</v>
      </c>
      <c r="D351" s="1024"/>
      <c r="E351" s="1024"/>
      <c r="F351" s="1025"/>
      <c r="G351" s="1028" t="s">
        <v>1335</v>
      </c>
      <c r="H351" s="1028" t="s">
        <v>1335</v>
      </c>
      <c r="I351" s="1028" t="s">
        <v>1335</v>
      </c>
      <c r="J351" s="1028"/>
      <c r="K351" s="1028" t="s">
        <v>1335</v>
      </c>
      <c r="L351" s="958" t="s">
        <v>1335</v>
      </c>
      <c r="M351" s="1028" t="s">
        <v>1335</v>
      </c>
      <c r="N351" s="1028" t="s">
        <v>1335</v>
      </c>
      <c r="O351" s="1028" t="s">
        <v>1335</v>
      </c>
      <c r="P351" s="1028" t="s">
        <v>1335</v>
      </c>
      <c r="Q351" s="1028" t="s">
        <v>1335</v>
      </c>
      <c r="R351" s="1028" t="s">
        <v>1335</v>
      </c>
      <c r="S351" s="1028" t="s">
        <v>1335</v>
      </c>
      <c r="T351" s="1028" t="s">
        <v>1335</v>
      </c>
      <c r="U351" s="1028" t="s">
        <v>1335</v>
      </c>
      <c r="V351" s="1029" t="s">
        <v>1335</v>
      </c>
      <c r="W351" s="1029" t="s">
        <v>1335</v>
      </c>
      <c r="X351" s="1029"/>
      <c r="Y351" s="1030"/>
      <c r="Z351" s="1031"/>
      <c r="AA351" s="971"/>
      <c r="AB351" s="972"/>
      <c r="AC351" s="972"/>
      <c r="AD351" s="972"/>
      <c r="AE351" s="972"/>
      <c r="AF351" s="972"/>
      <c r="AG351" s="972"/>
      <c r="AH351" s="972"/>
      <c r="AI351" s="972"/>
      <c r="AJ351" s="972"/>
      <c r="AK351" s="972"/>
      <c r="AL351" s="972"/>
      <c r="AM351" s="972"/>
      <c r="AN351" s="972"/>
      <c r="AO351" s="972"/>
      <c r="AP351" s="956"/>
      <c r="AQ351" s="956">
        <f t="shared" si="68"/>
        <v>14</v>
      </c>
      <c r="AR351" s="956">
        <f t="shared" si="69"/>
        <v>2</v>
      </c>
      <c r="AS351" s="982">
        <f t="shared" si="71"/>
        <v>16</v>
      </c>
      <c r="AT351" s="982">
        <v>10</v>
      </c>
      <c r="AU351" s="981"/>
      <c r="AV351" s="981"/>
      <c r="AW351" s="981"/>
      <c r="AX351" s="993"/>
      <c r="AY351" s="993"/>
      <c r="AZ351" s="833">
        <f t="shared" si="67"/>
        <v>0</v>
      </c>
      <c r="BA351" s="983" t="e">
        <f t="shared" si="72"/>
        <v>#N/A</v>
      </c>
      <c r="BB351" s="983" t="e">
        <f t="shared" si="73"/>
        <v>#N/A</v>
      </c>
      <c r="BC351" s="983" t="e">
        <f t="shared" si="74"/>
        <v>#N/A</v>
      </c>
      <c r="BD351" s="983" t="e">
        <f t="shared" si="75"/>
        <v>#N/A</v>
      </c>
      <c r="BE351" s="983" t="e">
        <f t="shared" si="70"/>
        <v>#N/A</v>
      </c>
      <c r="BF351" s="871"/>
    </row>
    <row r="352" spans="1:58" s="8" customFormat="1" ht="20.100000000000001" customHeight="1">
      <c r="A352" s="1023"/>
      <c r="B352" s="1027">
        <v>9</v>
      </c>
      <c r="C352" s="956">
        <v>380</v>
      </c>
      <c r="D352" s="1024"/>
      <c r="E352" s="1024"/>
      <c r="F352" s="1025"/>
      <c r="G352" s="1028" t="s">
        <v>1335</v>
      </c>
      <c r="H352" s="1028" t="s">
        <v>1335</v>
      </c>
      <c r="I352" s="1028" t="s">
        <v>1335</v>
      </c>
      <c r="J352" s="1028"/>
      <c r="K352" s="1028">
        <v>0</v>
      </c>
      <c r="L352" s="958" t="s">
        <v>1335</v>
      </c>
      <c r="M352" s="1028" t="s">
        <v>1335</v>
      </c>
      <c r="N352" s="1028" t="s">
        <v>1335</v>
      </c>
      <c r="O352" s="1028" t="s">
        <v>1335</v>
      </c>
      <c r="P352" s="1028" t="s">
        <v>1335</v>
      </c>
      <c r="Q352" s="1028" t="s">
        <v>1335</v>
      </c>
      <c r="R352" s="1028" t="s">
        <v>1335</v>
      </c>
      <c r="S352" s="1028" t="s">
        <v>1335</v>
      </c>
      <c r="T352" s="1028" t="s">
        <v>1335</v>
      </c>
      <c r="U352" s="1028" t="s">
        <v>1335</v>
      </c>
      <c r="V352" s="1029" t="s">
        <v>1335</v>
      </c>
      <c r="W352" s="1029" t="s">
        <v>1335</v>
      </c>
      <c r="X352" s="1029"/>
      <c r="Y352" s="1030"/>
      <c r="Z352" s="1031"/>
      <c r="AA352" s="971"/>
      <c r="AB352" s="972"/>
      <c r="AC352" s="972"/>
      <c r="AD352" s="972"/>
      <c r="AE352" s="972"/>
      <c r="AF352" s="972"/>
      <c r="AG352" s="972"/>
      <c r="AH352" s="972"/>
      <c r="AI352" s="972"/>
      <c r="AJ352" s="972"/>
      <c r="AK352" s="972"/>
      <c r="AL352" s="972"/>
      <c r="AM352" s="972"/>
      <c r="AN352" s="972"/>
      <c r="AO352" s="972"/>
      <c r="AP352" s="956"/>
      <c r="AQ352" s="956">
        <f t="shared" si="68"/>
        <v>13</v>
      </c>
      <c r="AR352" s="956">
        <f t="shared" si="69"/>
        <v>2</v>
      </c>
      <c r="AS352" s="982">
        <f t="shared" si="71"/>
        <v>15</v>
      </c>
      <c r="AT352" s="982">
        <v>11</v>
      </c>
      <c r="AU352" s="981"/>
      <c r="AV352" s="981"/>
      <c r="AW352" s="981"/>
      <c r="AX352" s="993"/>
      <c r="AY352" s="993"/>
      <c r="AZ352" s="833">
        <f t="shared" si="67"/>
        <v>0</v>
      </c>
      <c r="BA352" s="983" t="e">
        <f t="shared" si="72"/>
        <v>#N/A</v>
      </c>
      <c r="BB352" s="983" t="e">
        <f t="shared" si="73"/>
        <v>#N/A</v>
      </c>
      <c r="BC352" s="983" t="e">
        <f t="shared" si="74"/>
        <v>#N/A</v>
      </c>
      <c r="BD352" s="983" t="e">
        <f t="shared" si="75"/>
        <v>#N/A</v>
      </c>
      <c r="BE352" s="983" t="e">
        <f t="shared" si="70"/>
        <v>#N/A</v>
      </c>
      <c r="BF352" s="871"/>
    </row>
    <row r="353" spans="1:58" s="8" customFormat="1" ht="20.100000000000001" customHeight="1">
      <c r="A353" s="1023"/>
      <c r="B353" s="1027">
        <v>9</v>
      </c>
      <c r="C353" s="956">
        <v>381</v>
      </c>
      <c r="D353" s="1024"/>
      <c r="E353" s="1024"/>
      <c r="F353" s="1025"/>
      <c r="G353" s="1028" t="s">
        <v>1335</v>
      </c>
      <c r="H353" s="1028" t="s">
        <v>1335</v>
      </c>
      <c r="I353" s="1028" t="s">
        <v>1335</v>
      </c>
      <c r="J353" s="1028"/>
      <c r="K353" s="1028" t="s">
        <v>1335</v>
      </c>
      <c r="L353" s="958" t="s">
        <v>1335</v>
      </c>
      <c r="M353" s="1028" t="s">
        <v>1335</v>
      </c>
      <c r="N353" s="1028" t="s">
        <v>1335</v>
      </c>
      <c r="O353" s="1028" t="s">
        <v>1335</v>
      </c>
      <c r="P353" s="1028" t="s">
        <v>1335</v>
      </c>
      <c r="Q353" s="1028" t="s">
        <v>1335</v>
      </c>
      <c r="R353" s="1028" t="s">
        <v>1335</v>
      </c>
      <c r="S353" s="1028" t="s">
        <v>1335</v>
      </c>
      <c r="T353" s="1028" t="s">
        <v>1335</v>
      </c>
      <c r="U353" s="1028" t="s">
        <v>1335</v>
      </c>
      <c r="V353" s="1029" t="s">
        <v>1335</v>
      </c>
      <c r="W353" s="1029" t="s">
        <v>1335</v>
      </c>
      <c r="X353" s="1029"/>
      <c r="Y353" s="1030"/>
      <c r="Z353" s="1031"/>
      <c r="AA353" s="971"/>
      <c r="AB353" s="972"/>
      <c r="AC353" s="972"/>
      <c r="AD353" s="972"/>
      <c r="AE353" s="972"/>
      <c r="AF353" s="972"/>
      <c r="AG353" s="972"/>
      <c r="AH353" s="972"/>
      <c r="AI353" s="972"/>
      <c r="AJ353" s="972"/>
      <c r="AK353" s="972"/>
      <c r="AL353" s="972"/>
      <c r="AM353" s="972"/>
      <c r="AN353" s="972"/>
      <c r="AO353" s="972"/>
      <c r="AP353" s="956"/>
      <c r="AQ353" s="956">
        <f t="shared" si="68"/>
        <v>14</v>
      </c>
      <c r="AR353" s="956">
        <f t="shared" si="69"/>
        <v>2</v>
      </c>
      <c r="AS353" s="982">
        <f t="shared" si="71"/>
        <v>16</v>
      </c>
      <c r="AT353" s="956">
        <v>12</v>
      </c>
      <c r="AU353" s="981"/>
      <c r="AV353" s="981"/>
      <c r="AW353" s="981"/>
      <c r="AX353" s="993"/>
      <c r="AY353" s="993"/>
      <c r="AZ353" s="833">
        <f t="shared" si="67"/>
        <v>0</v>
      </c>
      <c r="BA353" s="983" t="e">
        <f t="shared" si="72"/>
        <v>#N/A</v>
      </c>
      <c r="BB353" s="983" t="e">
        <f t="shared" si="73"/>
        <v>#N/A</v>
      </c>
      <c r="BC353" s="983" t="e">
        <f t="shared" si="74"/>
        <v>#N/A</v>
      </c>
      <c r="BD353" s="983" t="e">
        <f t="shared" si="75"/>
        <v>#N/A</v>
      </c>
      <c r="BE353" s="983" t="e">
        <f t="shared" si="70"/>
        <v>#N/A</v>
      </c>
      <c r="BF353" s="871"/>
    </row>
    <row r="354" spans="1:58" s="8" customFormat="1" ht="20.100000000000001" customHeight="1">
      <c r="A354" s="1023"/>
      <c r="B354" s="1027">
        <v>9</v>
      </c>
      <c r="C354" s="956">
        <v>382</v>
      </c>
      <c r="D354" s="1024"/>
      <c r="E354" s="1024"/>
      <c r="F354" s="1025"/>
      <c r="G354" s="1028" t="s">
        <v>1335</v>
      </c>
      <c r="H354" s="1028" t="s">
        <v>1335</v>
      </c>
      <c r="I354" s="1028" t="s">
        <v>1335</v>
      </c>
      <c r="J354" s="1028"/>
      <c r="K354" s="1028" t="s">
        <v>1335</v>
      </c>
      <c r="L354" s="958" t="s">
        <v>1335</v>
      </c>
      <c r="M354" s="1028" t="s">
        <v>1335</v>
      </c>
      <c r="N354" s="1028" t="s">
        <v>1335</v>
      </c>
      <c r="O354" s="1028" t="s">
        <v>1335</v>
      </c>
      <c r="P354" s="1028" t="s">
        <v>1335</v>
      </c>
      <c r="Q354" s="1028" t="s">
        <v>1335</v>
      </c>
      <c r="R354" s="1028" t="s">
        <v>1335</v>
      </c>
      <c r="S354" s="1028" t="s">
        <v>1335</v>
      </c>
      <c r="T354" s="1028" t="s">
        <v>1335</v>
      </c>
      <c r="U354" s="1028" t="s">
        <v>1335</v>
      </c>
      <c r="V354" s="1029" t="s">
        <v>1335</v>
      </c>
      <c r="W354" s="1029" t="s">
        <v>1335</v>
      </c>
      <c r="X354" s="1029"/>
      <c r="Y354" s="1030"/>
      <c r="Z354" s="1031"/>
      <c r="AA354" s="971"/>
      <c r="AB354" s="972"/>
      <c r="AC354" s="972"/>
      <c r="AD354" s="972"/>
      <c r="AE354" s="972"/>
      <c r="AF354" s="972"/>
      <c r="AG354" s="972"/>
      <c r="AH354" s="972"/>
      <c r="AI354" s="972"/>
      <c r="AJ354" s="972"/>
      <c r="AK354" s="972"/>
      <c r="AL354" s="972"/>
      <c r="AM354" s="972"/>
      <c r="AN354" s="972"/>
      <c r="AO354" s="972"/>
      <c r="AP354" s="956"/>
      <c r="AQ354" s="1044">
        <f t="shared" si="68"/>
        <v>14</v>
      </c>
      <c r="AR354" s="956">
        <f t="shared" si="69"/>
        <v>2</v>
      </c>
      <c r="AS354" s="982">
        <f t="shared" si="71"/>
        <v>16</v>
      </c>
      <c r="AT354" s="956">
        <v>12</v>
      </c>
      <c r="AU354" s="981"/>
      <c r="AV354" s="981"/>
      <c r="AW354" s="981"/>
      <c r="AX354" s="993"/>
      <c r="AY354" s="993"/>
      <c r="AZ354" s="833">
        <f t="shared" si="67"/>
        <v>0</v>
      </c>
      <c r="BA354" s="983" t="e">
        <f t="shared" si="72"/>
        <v>#N/A</v>
      </c>
      <c r="BB354" s="983" t="e">
        <f t="shared" si="73"/>
        <v>#N/A</v>
      </c>
      <c r="BC354" s="983" t="e">
        <f t="shared" si="74"/>
        <v>#N/A</v>
      </c>
      <c r="BD354" s="983" t="e">
        <f t="shared" si="75"/>
        <v>#N/A</v>
      </c>
      <c r="BE354" s="983" t="e">
        <f t="shared" si="70"/>
        <v>#N/A</v>
      </c>
      <c r="BF354" s="871"/>
    </row>
    <row r="355" spans="1:58" s="8" customFormat="1" ht="20.100000000000001" customHeight="1">
      <c r="A355" s="1023"/>
      <c r="B355" s="1027">
        <v>9</v>
      </c>
      <c r="C355" s="956">
        <v>383</v>
      </c>
      <c r="D355" s="1024"/>
      <c r="E355" s="1024"/>
      <c r="F355" s="1025"/>
      <c r="G355" s="1028" t="s">
        <v>1335</v>
      </c>
      <c r="H355" s="1028" t="s">
        <v>1335</v>
      </c>
      <c r="I355" s="1028" t="s">
        <v>1335</v>
      </c>
      <c r="J355" s="1028"/>
      <c r="K355" s="1028" t="s">
        <v>1335</v>
      </c>
      <c r="L355" s="958" t="s">
        <v>1335</v>
      </c>
      <c r="M355" s="1028" t="s">
        <v>1335</v>
      </c>
      <c r="N355" s="1028" t="s">
        <v>1335</v>
      </c>
      <c r="O355" s="1028" t="s">
        <v>1335</v>
      </c>
      <c r="P355" s="1028" t="s">
        <v>1335</v>
      </c>
      <c r="Q355" s="1028" t="s">
        <v>1335</v>
      </c>
      <c r="R355" s="1028" t="s">
        <v>1335</v>
      </c>
      <c r="S355" s="1028" t="s">
        <v>1335</v>
      </c>
      <c r="T355" s="1028" t="s">
        <v>1335</v>
      </c>
      <c r="U355" s="1028" t="s">
        <v>1335</v>
      </c>
      <c r="V355" s="1029" t="s">
        <v>1335</v>
      </c>
      <c r="W355" s="1029" t="s">
        <v>1335</v>
      </c>
      <c r="X355" s="1029"/>
      <c r="Y355" s="1030"/>
      <c r="Z355" s="1031"/>
      <c r="AA355" s="971"/>
      <c r="AB355" s="972"/>
      <c r="AC355" s="972"/>
      <c r="AD355" s="972"/>
      <c r="AE355" s="972"/>
      <c r="AF355" s="972"/>
      <c r="AG355" s="972"/>
      <c r="AH355" s="972"/>
      <c r="AI355" s="972"/>
      <c r="AJ355" s="972"/>
      <c r="AK355" s="972"/>
      <c r="AL355" s="972"/>
      <c r="AM355" s="972"/>
      <c r="AN355" s="972"/>
      <c r="AO355" s="972"/>
      <c r="AP355" s="956"/>
      <c r="AQ355" s="956">
        <f t="shared" si="68"/>
        <v>14</v>
      </c>
      <c r="AR355" s="956">
        <f t="shared" si="69"/>
        <v>2</v>
      </c>
      <c r="AS355" s="982">
        <f t="shared" si="71"/>
        <v>16</v>
      </c>
      <c r="AT355" s="956">
        <v>12</v>
      </c>
      <c r="AU355" s="981"/>
      <c r="AV355" s="981"/>
      <c r="AW355" s="981"/>
      <c r="AX355" s="993"/>
      <c r="AY355" s="993"/>
      <c r="AZ355" s="833">
        <f t="shared" si="67"/>
        <v>0</v>
      </c>
      <c r="BA355" s="983" t="e">
        <f t="shared" si="72"/>
        <v>#N/A</v>
      </c>
      <c r="BB355" s="983" t="e">
        <f t="shared" si="73"/>
        <v>#N/A</v>
      </c>
      <c r="BC355" s="983" t="e">
        <f t="shared" si="74"/>
        <v>#N/A</v>
      </c>
      <c r="BD355" s="983" t="e">
        <f t="shared" si="75"/>
        <v>#N/A</v>
      </c>
      <c r="BE355" s="983" t="e">
        <f t="shared" si="70"/>
        <v>#N/A</v>
      </c>
      <c r="BF355" s="871"/>
    </row>
    <row r="356" spans="1:58" s="8" customFormat="1" ht="20.100000000000001" customHeight="1">
      <c r="A356" s="1023"/>
      <c r="B356" s="1027">
        <v>9</v>
      </c>
      <c r="C356" s="956">
        <v>384</v>
      </c>
      <c r="D356" s="1024"/>
      <c r="E356" s="1024"/>
      <c r="F356" s="1025"/>
      <c r="G356" s="1028" t="s">
        <v>1335</v>
      </c>
      <c r="H356" s="1028" t="s">
        <v>1335</v>
      </c>
      <c r="I356" s="1028" t="s">
        <v>1335</v>
      </c>
      <c r="J356" s="1028"/>
      <c r="K356" s="1028" t="s">
        <v>1335</v>
      </c>
      <c r="L356" s="958" t="s">
        <v>1335</v>
      </c>
      <c r="M356" s="1028">
        <v>0</v>
      </c>
      <c r="N356" s="1028" t="s">
        <v>1335</v>
      </c>
      <c r="O356" s="1028" t="s">
        <v>1335</v>
      </c>
      <c r="P356" s="1028" t="s">
        <v>1335</v>
      </c>
      <c r="Q356" s="1028" t="s">
        <v>1335</v>
      </c>
      <c r="R356" s="1028" t="s">
        <v>1335</v>
      </c>
      <c r="S356" s="1028" t="s">
        <v>1335</v>
      </c>
      <c r="T356" s="1028" t="s">
        <v>1335</v>
      </c>
      <c r="U356" s="1028" t="s">
        <v>1335</v>
      </c>
      <c r="V356" s="1029" t="s">
        <v>1335</v>
      </c>
      <c r="W356" s="1029">
        <v>0</v>
      </c>
      <c r="X356" s="1029"/>
      <c r="Y356" s="1030"/>
      <c r="Z356" s="1031"/>
      <c r="AA356" s="971"/>
      <c r="AB356" s="972"/>
      <c r="AC356" s="972"/>
      <c r="AD356" s="972"/>
      <c r="AE356" s="972"/>
      <c r="AF356" s="972"/>
      <c r="AG356" s="972"/>
      <c r="AH356" s="972"/>
      <c r="AI356" s="972"/>
      <c r="AJ356" s="972"/>
      <c r="AK356" s="972"/>
      <c r="AL356" s="972"/>
      <c r="AM356" s="972"/>
      <c r="AN356" s="972"/>
      <c r="AO356" s="972"/>
      <c r="AP356" s="956"/>
      <c r="AQ356" s="956">
        <f t="shared" si="68"/>
        <v>13</v>
      </c>
      <c r="AR356" s="956">
        <f t="shared" si="69"/>
        <v>1</v>
      </c>
      <c r="AS356" s="982">
        <f t="shared" si="71"/>
        <v>14</v>
      </c>
      <c r="AT356" s="982">
        <v>10</v>
      </c>
      <c r="AU356" s="981"/>
      <c r="AV356" s="981"/>
      <c r="AW356" s="981"/>
      <c r="AX356" s="993"/>
      <c r="AY356" s="993"/>
      <c r="AZ356" s="833">
        <f t="shared" si="67"/>
        <v>0</v>
      </c>
      <c r="BA356" s="983" t="e">
        <f t="shared" si="72"/>
        <v>#N/A</v>
      </c>
      <c r="BB356" s="983" t="e">
        <f t="shared" si="73"/>
        <v>#N/A</v>
      </c>
      <c r="BC356" s="983" t="e">
        <f t="shared" si="74"/>
        <v>#N/A</v>
      </c>
      <c r="BD356" s="983" t="e">
        <f t="shared" si="75"/>
        <v>#N/A</v>
      </c>
      <c r="BE356" s="983" t="e">
        <f t="shared" si="70"/>
        <v>#N/A</v>
      </c>
      <c r="BF356" s="871"/>
    </row>
    <row r="357" spans="1:58" s="8" customFormat="1" ht="20.100000000000001" customHeight="1">
      <c r="A357" s="1023"/>
      <c r="B357" s="1027">
        <v>9</v>
      </c>
      <c r="C357" s="956">
        <v>385</v>
      </c>
      <c r="D357" s="1024"/>
      <c r="E357" s="1024"/>
      <c r="F357" s="1025"/>
      <c r="G357" s="1028" t="s">
        <v>1335</v>
      </c>
      <c r="H357" s="1028" t="s">
        <v>1335</v>
      </c>
      <c r="I357" s="1028" t="s">
        <v>1335</v>
      </c>
      <c r="J357" s="1028"/>
      <c r="K357" s="1028" t="s">
        <v>1335</v>
      </c>
      <c r="L357" s="958" t="s">
        <v>1335</v>
      </c>
      <c r="M357" s="1028" t="s">
        <v>1335</v>
      </c>
      <c r="N357" s="1028" t="s">
        <v>1335</v>
      </c>
      <c r="O357" s="1028" t="s">
        <v>1335</v>
      </c>
      <c r="P357" s="1028" t="s">
        <v>1335</v>
      </c>
      <c r="Q357" s="1028" t="s">
        <v>1335</v>
      </c>
      <c r="R357" s="1028" t="s">
        <v>1335</v>
      </c>
      <c r="S357" s="1028" t="s">
        <v>1335</v>
      </c>
      <c r="T357" s="1028" t="s">
        <v>1335</v>
      </c>
      <c r="U357" s="1028" t="s">
        <v>1335</v>
      </c>
      <c r="V357" s="1029" t="s">
        <v>1335</v>
      </c>
      <c r="W357" s="1029" t="s">
        <v>1335</v>
      </c>
      <c r="X357" s="1029"/>
      <c r="Y357" s="1030"/>
      <c r="Z357" s="1031"/>
      <c r="AA357" s="971"/>
      <c r="AB357" s="972"/>
      <c r="AC357" s="972"/>
      <c r="AD357" s="972"/>
      <c r="AE357" s="972"/>
      <c r="AF357" s="972"/>
      <c r="AG357" s="972"/>
      <c r="AH357" s="972"/>
      <c r="AI357" s="972"/>
      <c r="AJ357" s="972"/>
      <c r="AK357" s="972"/>
      <c r="AL357" s="972"/>
      <c r="AM357" s="972"/>
      <c r="AN357" s="972"/>
      <c r="AO357" s="972"/>
      <c r="AP357" s="956"/>
      <c r="AQ357" s="956">
        <f t="shared" si="68"/>
        <v>14</v>
      </c>
      <c r="AR357" s="956">
        <f t="shared" si="69"/>
        <v>2</v>
      </c>
      <c r="AS357" s="982">
        <f t="shared" si="71"/>
        <v>16</v>
      </c>
      <c r="AT357" s="956">
        <v>12</v>
      </c>
      <c r="AU357" s="981"/>
      <c r="AV357" s="981"/>
      <c r="AW357" s="981"/>
      <c r="AX357" s="993"/>
      <c r="AY357" s="993"/>
      <c r="AZ357" s="833">
        <f t="shared" si="67"/>
        <v>0</v>
      </c>
      <c r="BA357" s="983" t="e">
        <f t="shared" si="72"/>
        <v>#N/A</v>
      </c>
      <c r="BB357" s="983" t="e">
        <f t="shared" si="73"/>
        <v>#N/A</v>
      </c>
      <c r="BC357" s="983" t="e">
        <f t="shared" si="74"/>
        <v>#N/A</v>
      </c>
      <c r="BD357" s="983" t="e">
        <f t="shared" si="75"/>
        <v>#N/A</v>
      </c>
      <c r="BE357" s="983" t="e">
        <f t="shared" si="70"/>
        <v>#N/A</v>
      </c>
      <c r="BF357" s="871"/>
    </row>
    <row r="358" spans="1:58" s="945" customFormat="1" ht="20.100000000000001" customHeight="1">
      <c r="A358" s="1036"/>
      <c r="B358" s="1037">
        <v>10</v>
      </c>
      <c r="C358" s="1038">
        <v>386</v>
      </c>
      <c r="D358" s="1039">
        <v>1</v>
      </c>
      <c r="E358" s="1039">
        <v>1</v>
      </c>
      <c r="F358" s="1039">
        <v>1</v>
      </c>
      <c r="G358" s="1028" t="s">
        <v>1335</v>
      </c>
      <c r="H358" s="1028" t="s">
        <v>1335</v>
      </c>
      <c r="I358" s="1028" t="s">
        <v>1335</v>
      </c>
      <c r="J358" s="1028"/>
      <c r="K358" s="1028" t="s">
        <v>1335</v>
      </c>
      <c r="L358" s="958" t="s">
        <v>1335</v>
      </c>
      <c r="M358" s="1028" t="s">
        <v>1335</v>
      </c>
      <c r="N358" s="1028" t="s">
        <v>1335</v>
      </c>
      <c r="O358" s="1028" t="s">
        <v>1335</v>
      </c>
      <c r="P358" s="1028" t="s">
        <v>1335</v>
      </c>
      <c r="Q358" s="1028" t="s">
        <v>1335</v>
      </c>
      <c r="R358" s="1028" t="s">
        <v>1335</v>
      </c>
      <c r="S358" s="1028" t="s">
        <v>1335</v>
      </c>
      <c r="T358" s="1028" t="s">
        <v>1335</v>
      </c>
      <c r="U358" s="1028" t="s">
        <v>1335</v>
      </c>
      <c r="V358" s="1029" t="s">
        <v>1335</v>
      </c>
      <c r="W358" s="1029" t="s">
        <v>1335</v>
      </c>
      <c r="X358" s="1028"/>
      <c r="Y358" s="1030"/>
      <c r="Z358" s="1031"/>
      <c r="AA358" s="1042"/>
      <c r="AB358" s="1042"/>
      <c r="AC358" s="1042"/>
      <c r="AD358" s="1042"/>
      <c r="AE358" s="1042"/>
      <c r="AF358" s="1042"/>
      <c r="AG358" s="1042"/>
      <c r="AH358" s="1042"/>
      <c r="AI358" s="1042"/>
      <c r="AJ358" s="1042"/>
      <c r="AK358" s="1042"/>
      <c r="AL358" s="1042"/>
      <c r="AM358" s="1042"/>
      <c r="AN358" s="1042"/>
      <c r="AO358" s="1042"/>
      <c r="AP358" s="1042"/>
      <c r="AQ358" s="956">
        <f t="shared" si="68"/>
        <v>14</v>
      </c>
      <c r="AR358" s="956">
        <f t="shared" ref="AR358:AR399" si="76">COUNTIF(V358:AA358,"X")</f>
        <v>2</v>
      </c>
      <c r="AS358" s="956">
        <f t="shared" si="71"/>
        <v>16</v>
      </c>
      <c r="AT358" s="956">
        <v>12</v>
      </c>
      <c r="AU358" s="981"/>
      <c r="AV358" s="981"/>
      <c r="AW358" s="981"/>
      <c r="AX358" s="1045"/>
      <c r="AY358" s="1045"/>
      <c r="AZ358" s="1015"/>
      <c r="BA358" s="1016"/>
      <c r="BB358" s="1016"/>
      <c r="BC358" s="1016"/>
      <c r="BD358" s="1016"/>
      <c r="BE358" s="1016"/>
      <c r="BF358" s="1018"/>
    </row>
    <row r="359" spans="1:58" s="945" customFormat="1" ht="20.100000000000001" customHeight="1">
      <c r="A359" s="1036"/>
      <c r="B359" s="1037">
        <v>10</v>
      </c>
      <c r="C359" s="1038">
        <v>387</v>
      </c>
      <c r="D359" s="1039">
        <v>2</v>
      </c>
      <c r="E359" s="1039">
        <v>2</v>
      </c>
      <c r="F359" s="1039">
        <v>2</v>
      </c>
      <c r="G359" s="1028" t="s">
        <v>1335</v>
      </c>
      <c r="H359" s="1028" t="s">
        <v>1335</v>
      </c>
      <c r="I359" s="1028" t="s">
        <v>1335</v>
      </c>
      <c r="J359" s="1028"/>
      <c r="K359" s="1028" t="s">
        <v>1335</v>
      </c>
      <c r="L359" s="958" t="s">
        <v>1335</v>
      </c>
      <c r="M359" s="1028" t="s">
        <v>1335</v>
      </c>
      <c r="N359" s="1028" t="s">
        <v>1335</v>
      </c>
      <c r="O359" s="1028" t="s">
        <v>1335</v>
      </c>
      <c r="P359" s="1028" t="s">
        <v>1335</v>
      </c>
      <c r="Q359" s="1028" t="s">
        <v>1335</v>
      </c>
      <c r="R359" s="1028" t="s">
        <v>1335</v>
      </c>
      <c r="S359" s="1028" t="s">
        <v>1335</v>
      </c>
      <c r="T359" s="1028" t="s">
        <v>1335</v>
      </c>
      <c r="U359" s="1028" t="s">
        <v>1335</v>
      </c>
      <c r="V359" s="1029" t="s">
        <v>1335</v>
      </c>
      <c r="W359" s="1029" t="s">
        <v>1335</v>
      </c>
      <c r="X359" s="1028"/>
      <c r="Y359" s="1030"/>
      <c r="Z359" s="1031"/>
      <c r="AA359" s="1043"/>
      <c r="AB359" s="1043"/>
      <c r="AC359" s="1043"/>
      <c r="AD359" s="1043"/>
      <c r="AE359" s="1043"/>
      <c r="AF359" s="1043"/>
      <c r="AG359" s="1043"/>
      <c r="AH359" s="1043"/>
      <c r="AI359" s="1043"/>
      <c r="AJ359" s="1043"/>
      <c r="AK359" s="1043"/>
      <c r="AL359" s="1043"/>
      <c r="AM359" s="1043"/>
      <c r="AN359" s="1043"/>
      <c r="AO359" s="1043"/>
      <c r="AP359" s="1043"/>
      <c r="AQ359" s="956">
        <f t="shared" ref="AQ359:AQ399" si="77">COUNTIF(G359:U359,"X")</f>
        <v>14</v>
      </c>
      <c r="AR359" s="956">
        <f t="shared" si="76"/>
        <v>2</v>
      </c>
      <c r="AS359" s="956">
        <f t="shared" si="71"/>
        <v>16</v>
      </c>
      <c r="AT359" s="956">
        <v>12</v>
      </c>
      <c r="AU359" s="981"/>
      <c r="AV359" s="981"/>
      <c r="AW359" s="981"/>
      <c r="AX359" s="1045"/>
      <c r="AY359" s="1045"/>
      <c r="AZ359" s="1015"/>
      <c r="BA359" s="1016"/>
      <c r="BB359" s="1016"/>
      <c r="BC359" s="1016"/>
      <c r="BD359" s="1016"/>
      <c r="BE359" s="1016"/>
      <c r="BF359" s="1018"/>
    </row>
    <row r="360" spans="1:58" s="945" customFormat="1" ht="20.100000000000001" customHeight="1">
      <c r="A360" s="1036"/>
      <c r="B360" s="1037">
        <v>10</v>
      </c>
      <c r="C360" s="1038">
        <v>388</v>
      </c>
      <c r="D360" s="1039"/>
      <c r="E360" s="1039"/>
      <c r="F360" s="1039"/>
      <c r="G360" s="1028" t="s">
        <v>1335</v>
      </c>
      <c r="H360" s="1028" t="s">
        <v>1335</v>
      </c>
      <c r="I360" s="1028" t="s">
        <v>1335</v>
      </c>
      <c r="J360" s="1028" t="s">
        <v>1335</v>
      </c>
      <c r="K360" s="1028" t="s">
        <v>1335</v>
      </c>
      <c r="L360" s="958" t="s">
        <v>1335</v>
      </c>
      <c r="M360" s="1028" t="s">
        <v>1335</v>
      </c>
      <c r="N360" s="1028" t="s">
        <v>1335</v>
      </c>
      <c r="O360" s="1028" t="s">
        <v>1335</v>
      </c>
      <c r="P360" s="1028" t="s">
        <v>1335</v>
      </c>
      <c r="Q360" s="1028" t="s">
        <v>1335</v>
      </c>
      <c r="R360" s="1028" t="s">
        <v>1335</v>
      </c>
      <c r="S360" s="1028" t="s">
        <v>1335</v>
      </c>
      <c r="T360" s="1028" t="s">
        <v>1335</v>
      </c>
      <c r="U360" s="1028" t="s">
        <v>1335</v>
      </c>
      <c r="V360" s="1029" t="s">
        <v>1335</v>
      </c>
      <c r="W360" s="1029" t="s">
        <v>1335</v>
      </c>
      <c r="X360" s="1028"/>
      <c r="Y360" s="1030"/>
      <c r="Z360" s="1031"/>
      <c r="AA360" s="1043"/>
      <c r="AB360" s="1043"/>
      <c r="AC360" s="1043"/>
      <c r="AD360" s="1043"/>
      <c r="AE360" s="1043"/>
      <c r="AF360" s="1043"/>
      <c r="AG360" s="1043"/>
      <c r="AH360" s="1043"/>
      <c r="AI360" s="1043"/>
      <c r="AJ360" s="1043"/>
      <c r="AK360" s="1043"/>
      <c r="AL360" s="1043"/>
      <c r="AM360" s="1043"/>
      <c r="AN360" s="1043"/>
      <c r="AO360" s="1043"/>
      <c r="AP360" s="1043"/>
      <c r="AQ360" s="956">
        <f t="shared" si="77"/>
        <v>15</v>
      </c>
      <c r="AR360" s="956">
        <f t="shared" si="76"/>
        <v>2</v>
      </c>
      <c r="AS360" s="956">
        <f t="shared" ref="AS360:AS399" si="78">AQ360+AR360</f>
        <v>17</v>
      </c>
      <c r="AT360" s="956">
        <v>12</v>
      </c>
      <c r="AU360" s="981"/>
      <c r="AV360" s="981"/>
      <c r="AW360" s="981"/>
      <c r="AX360" s="1045"/>
      <c r="AY360" s="1045"/>
      <c r="AZ360" s="1015"/>
      <c r="BA360" s="1016"/>
      <c r="BB360" s="1016"/>
      <c r="BC360" s="1016"/>
      <c r="BD360" s="1016"/>
      <c r="BE360" s="1016"/>
      <c r="BF360" s="1018"/>
    </row>
    <row r="361" spans="1:58" s="945" customFormat="1" ht="21" customHeight="1">
      <c r="A361" s="1036"/>
      <c r="B361" s="1037">
        <v>10</v>
      </c>
      <c r="C361" s="1038">
        <v>389</v>
      </c>
      <c r="D361" s="1039"/>
      <c r="E361" s="1039"/>
      <c r="F361" s="1039"/>
      <c r="G361" s="1028" t="s">
        <v>1335</v>
      </c>
      <c r="H361" s="1028" t="s">
        <v>1335</v>
      </c>
      <c r="I361" s="1028" t="s">
        <v>1335</v>
      </c>
      <c r="J361" s="1028"/>
      <c r="K361" s="1028" t="s">
        <v>1335</v>
      </c>
      <c r="L361" s="958" t="s">
        <v>1335</v>
      </c>
      <c r="M361" s="1028">
        <v>0</v>
      </c>
      <c r="N361" s="1028" t="s">
        <v>1335</v>
      </c>
      <c r="O361" s="1028" t="s">
        <v>1335</v>
      </c>
      <c r="P361" s="1028" t="s">
        <v>1335</v>
      </c>
      <c r="Q361" s="1028" t="s">
        <v>1335</v>
      </c>
      <c r="R361" s="1028" t="s">
        <v>1335</v>
      </c>
      <c r="S361" s="1028" t="s">
        <v>1335</v>
      </c>
      <c r="T361" s="1028" t="s">
        <v>1335</v>
      </c>
      <c r="U361" s="1028" t="s">
        <v>1335</v>
      </c>
      <c r="V361" s="1029" t="s">
        <v>1335</v>
      </c>
      <c r="W361" s="1029" t="s">
        <v>1335</v>
      </c>
      <c r="X361" s="1028"/>
      <c r="Y361" s="1030"/>
      <c r="Z361" s="1031"/>
      <c r="AA361" s="1043"/>
      <c r="AB361" s="1043"/>
      <c r="AC361" s="1043"/>
      <c r="AD361" s="1043"/>
      <c r="AE361" s="1043"/>
      <c r="AF361" s="1043"/>
      <c r="AG361" s="1043"/>
      <c r="AH361" s="1043"/>
      <c r="AI361" s="1043"/>
      <c r="AJ361" s="1043"/>
      <c r="AK361" s="1043"/>
      <c r="AL361" s="1043"/>
      <c r="AM361" s="1043"/>
      <c r="AN361" s="1043"/>
      <c r="AO361" s="1043"/>
      <c r="AP361" s="1043"/>
      <c r="AQ361" s="956">
        <f t="shared" si="77"/>
        <v>13</v>
      </c>
      <c r="AR361" s="956">
        <f t="shared" si="76"/>
        <v>2</v>
      </c>
      <c r="AS361" s="956">
        <f t="shared" si="78"/>
        <v>15</v>
      </c>
      <c r="AT361" s="956">
        <v>12</v>
      </c>
      <c r="AU361" s="981"/>
      <c r="AV361" s="981"/>
      <c r="AW361" s="981"/>
      <c r="AX361" s="1045"/>
      <c r="AY361" s="1045"/>
      <c r="AZ361" s="1015"/>
      <c r="BA361" s="1016"/>
      <c r="BB361" s="1016"/>
      <c r="BC361" s="1016"/>
      <c r="BD361" s="1016"/>
      <c r="BE361" s="1016"/>
      <c r="BF361" s="1018"/>
    </row>
    <row r="362" spans="1:58" s="945" customFormat="1" ht="20.100000000000001" customHeight="1">
      <c r="A362" s="1036"/>
      <c r="B362" s="1037">
        <v>10</v>
      </c>
      <c r="C362" s="1038">
        <v>390</v>
      </c>
      <c r="D362" s="1039"/>
      <c r="E362" s="1039"/>
      <c r="F362" s="1039"/>
      <c r="G362" s="1028" t="s">
        <v>1335</v>
      </c>
      <c r="H362" s="1028" t="s">
        <v>1335</v>
      </c>
      <c r="I362" s="1028" t="s">
        <v>1335</v>
      </c>
      <c r="J362" s="1028"/>
      <c r="K362" s="1028" t="s">
        <v>1335</v>
      </c>
      <c r="L362" s="958" t="s">
        <v>1335</v>
      </c>
      <c r="M362" s="1028" t="s">
        <v>1335</v>
      </c>
      <c r="N362" s="1028" t="s">
        <v>1335</v>
      </c>
      <c r="O362" s="1028" t="s">
        <v>1335</v>
      </c>
      <c r="P362" s="1028" t="s">
        <v>1335</v>
      </c>
      <c r="Q362" s="1028" t="s">
        <v>1335</v>
      </c>
      <c r="R362" s="1028" t="s">
        <v>1335</v>
      </c>
      <c r="S362" s="1028" t="s">
        <v>1335</v>
      </c>
      <c r="T362" s="1028" t="s">
        <v>1335</v>
      </c>
      <c r="U362" s="1028" t="s">
        <v>1335</v>
      </c>
      <c r="V362" s="1029">
        <v>0</v>
      </c>
      <c r="W362" s="1029" t="s">
        <v>1335</v>
      </c>
      <c r="X362" s="1028"/>
      <c r="Y362" s="1030"/>
      <c r="Z362" s="1031"/>
      <c r="AA362" s="1043"/>
      <c r="AB362" s="1043"/>
      <c r="AC362" s="1043"/>
      <c r="AD362" s="1043"/>
      <c r="AE362" s="1043"/>
      <c r="AF362" s="1043"/>
      <c r="AG362" s="1043"/>
      <c r="AH362" s="1043"/>
      <c r="AI362" s="1043"/>
      <c r="AJ362" s="1043"/>
      <c r="AK362" s="1043"/>
      <c r="AL362" s="1043"/>
      <c r="AM362" s="1043"/>
      <c r="AN362" s="1043"/>
      <c r="AO362" s="1043"/>
      <c r="AP362" s="1043"/>
      <c r="AQ362" s="956">
        <f t="shared" si="77"/>
        <v>14</v>
      </c>
      <c r="AR362" s="956">
        <f t="shared" si="76"/>
        <v>1</v>
      </c>
      <c r="AS362" s="956">
        <f t="shared" si="78"/>
        <v>15</v>
      </c>
      <c r="AT362" s="956">
        <v>12</v>
      </c>
      <c r="AU362" s="981"/>
      <c r="AV362" s="981"/>
      <c r="AW362" s="981"/>
      <c r="AX362" s="1045"/>
      <c r="AY362" s="1045"/>
      <c r="AZ362" s="1015"/>
      <c r="BA362" s="1016"/>
      <c r="BB362" s="1016"/>
      <c r="BC362" s="1016"/>
      <c r="BD362" s="1016"/>
      <c r="BE362" s="1016"/>
      <c r="BF362" s="1018"/>
    </row>
    <row r="363" spans="1:58" s="945" customFormat="1" ht="20.100000000000001" customHeight="1">
      <c r="A363" s="1036"/>
      <c r="B363" s="1037">
        <v>10</v>
      </c>
      <c r="C363" s="1038">
        <v>391</v>
      </c>
      <c r="D363" s="1039"/>
      <c r="E363" s="1039"/>
      <c r="F363" s="1039"/>
      <c r="G363" s="1028" t="s">
        <v>1335</v>
      </c>
      <c r="H363" s="1028" t="s">
        <v>1335</v>
      </c>
      <c r="I363" s="1028" t="s">
        <v>1335</v>
      </c>
      <c r="J363" s="1028"/>
      <c r="K363" s="1028" t="s">
        <v>1335</v>
      </c>
      <c r="L363" s="958" t="s">
        <v>1335</v>
      </c>
      <c r="M363" s="1028" t="s">
        <v>1335</v>
      </c>
      <c r="N363" s="1028" t="s">
        <v>1335</v>
      </c>
      <c r="O363" s="1028" t="s">
        <v>1335</v>
      </c>
      <c r="P363" s="1028">
        <v>0</v>
      </c>
      <c r="Q363" s="1028" t="s">
        <v>1335</v>
      </c>
      <c r="R363" s="1028" t="s">
        <v>1335</v>
      </c>
      <c r="S363" s="1028" t="s">
        <v>1335</v>
      </c>
      <c r="T363" s="1028" t="s">
        <v>1335</v>
      </c>
      <c r="U363" s="1028" t="s">
        <v>1335</v>
      </c>
      <c r="V363" s="1029" t="s">
        <v>1335</v>
      </c>
      <c r="W363" s="1029" t="s">
        <v>1335</v>
      </c>
      <c r="X363" s="1028"/>
      <c r="Y363" s="1030"/>
      <c r="Z363" s="1031"/>
      <c r="AA363" s="1043"/>
      <c r="AB363" s="1043"/>
      <c r="AC363" s="1043"/>
      <c r="AD363" s="1043"/>
      <c r="AE363" s="1043"/>
      <c r="AF363" s="1043"/>
      <c r="AG363" s="1043"/>
      <c r="AH363" s="1043"/>
      <c r="AI363" s="1043"/>
      <c r="AJ363" s="1043"/>
      <c r="AK363" s="1043"/>
      <c r="AL363" s="1043"/>
      <c r="AM363" s="1043"/>
      <c r="AN363" s="1043"/>
      <c r="AO363" s="1043"/>
      <c r="AP363" s="1043"/>
      <c r="AQ363" s="956">
        <f t="shared" si="77"/>
        <v>13</v>
      </c>
      <c r="AR363" s="956">
        <f t="shared" si="76"/>
        <v>2</v>
      </c>
      <c r="AS363" s="956">
        <f t="shared" si="78"/>
        <v>15</v>
      </c>
      <c r="AT363" s="956">
        <v>12</v>
      </c>
      <c r="AU363" s="981"/>
      <c r="AV363" s="981"/>
      <c r="AW363" s="981"/>
      <c r="AX363" s="1045"/>
      <c r="AY363" s="1045"/>
      <c r="AZ363" s="1015"/>
      <c r="BA363" s="1016"/>
      <c r="BB363" s="1016"/>
      <c r="BC363" s="1016"/>
      <c r="BD363" s="1016"/>
      <c r="BE363" s="1016"/>
      <c r="BF363" s="1018"/>
    </row>
    <row r="364" spans="1:58" s="945" customFormat="1" ht="20.100000000000001" customHeight="1">
      <c r="A364" s="1036"/>
      <c r="B364" s="1037">
        <v>10</v>
      </c>
      <c r="C364" s="1038">
        <v>392</v>
      </c>
      <c r="D364" s="1039"/>
      <c r="E364" s="1039"/>
      <c r="F364" s="1039"/>
      <c r="G364" s="1028" t="s">
        <v>1335</v>
      </c>
      <c r="H364" s="1028" t="s">
        <v>1335</v>
      </c>
      <c r="I364" s="1028" t="s">
        <v>1335</v>
      </c>
      <c r="J364" s="1028"/>
      <c r="K364" s="1028">
        <v>0</v>
      </c>
      <c r="L364" s="958" t="s">
        <v>1335</v>
      </c>
      <c r="M364" s="1028" t="s">
        <v>1335</v>
      </c>
      <c r="N364" s="1028" t="s">
        <v>1335</v>
      </c>
      <c r="O364" s="1028" t="s">
        <v>1335</v>
      </c>
      <c r="P364" s="1028" t="s">
        <v>1335</v>
      </c>
      <c r="Q364" s="1028" t="s">
        <v>1335</v>
      </c>
      <c r="R364" s="1028" t="s">
        <v>1335</v>
      </c>
      <c r="S364" s="1028" t="s">
        <v>1335</v>
      </c>
      <c r="T364" s="1028" t="s">
        <v>1335</v>
      </c>
      <c r="U364" s="1028" t="s">
        <v>1335</v>
      </c>
      <c r="V364" s="1029" t="s">
        <v>1335</v>
      </c>
      <c r="W364" s="1029" t="s">
        <v>1335</v>
      </c>
      <c r="X364" s="1028"/>
      <c r="Y364" s="1030"/>
      <c r="Z364" s="1031"/>
      <c r="AA364" s="1043"/>
      <c r="AB364" s="1043"/>
      <c r="AC364" s="1043"/>
      <c r="AD364" s="1043"/>
      <c r="AE364" s="1043"/>
      <c r="AF364" s="1043"/>
      <c r="AG364" s="1043"/>
      <c r="AH364" s="1043"/>
      <c r="AI364" s="1043"/>
      <c r="AJ364" s="1043"/>
      <c r="AK364" s="1043"/>
      <c r="AL364" s="1043"/>
      <c r="AM364" s="1043"/>
      <c r="AN364" s="1043"/>
      <c r="AO364" s="1043"/>
      <c r="AP364" s="1043"/>
      <c r="AQ364" s="956">
        <f t="shared" si="77"/>
        <v>13</v>
      </c>
      <c r="AR364" s="956">
        <f t="shared" si="76"/>
        <v>2</v>
      </c>
      <c r="AS364" s="956">
        <f t="shared" si="78"/>
        <v>15</v>
      </c>
      <c r="AT364" s="956">
        <v>12</v>
      </c>
      <c r="AU364" s="981"/>
      <c r="AV364" s="981"/>
      <c r="AW364" s="981"/>
      <c r="AX364" s="1045"/>
      <c r="AY364" s="1045"/>
      <c r="AZ364" s="1015"/>
      <c r="BA364" s="1016"/>
      <c r="BB364" s="1016"/>
      <c r="BC364" s="1016"/>
      <c r="BD364" s="1016"/>
      <c r="BE364" s="1016"/>
      <c r="BF364" s="1018"/>
    </row>
    <row r="365" spans="1:58" s="945" customFormat="1" ht="20.100000000000001" customHeight="1">
      <c r="A365" s="1036"/>
      <c r="B365" s="1037">
        <v>10</v>
      </c>
      <c r="C365" s="1038">
        <v>393</v>
      </c>
      <c r="D365" s="1039"/>
      <c r="E365" s="1039"/>
      <c r="F365" s="1039"/>
      <c r="G365" s="1028" t="s">
        <v>1335</v>
      </c>
      <c r="H365" s="1028" t="s">
        <v>1335</v>
      </c>
      <c r="I365" s="1028" t="s">
        <v>1335</v>
      </c>
      <c r="J365" s="1028"/>
      <c r="K365" s="1028">
        <v>0</v>
      </c>
      <c r="L365" s="958" t="s">
        <v>1335</v>
      </c>
      <c r="M365" s="1028" t="s">
        <v>1335</v>
      </c>
      <c r="N365" s="1028" t="s">
        <v>1335</v>
      </c>
      <c r="O365" s="1028" t="s">
        <v>1335</v>
      </c>
      <c r="P365" s="1028" t="s">
        <v>1335</v>
      </c>
      <c r="Q365" s="1028" t="s">
        <v>1335</v>
      </c>
      <c r="R365" s="1028" t="s">
        <v>1335</v>
      </c>
      <c r="S365" s="1028" t="s">
        <v>1335</v>
      </c>
      <c r="T365" s="1028" t="s">
        <v>1335</v>
      </c>
      <c r="U365" s="1028" t="s">
        <v>1335</v>
      </c>
      <c r="V365" s="1029" t="s">
        <v>1335</v>
      </c>
      <c r="W365" s="1029" t="s">
        <v>1335</v>
      </c>
      <c r="X365" s="1028"/>
      <c r="Y365" s="1030"/>
      <c r="Z365" s="1031"/>
      <c r="AA365" s="1043"/>
      <c r="AB365" s="1043"/>
      <c r="AC365" s="1043"/>
      <c r="AD365" s="1043"/>
      <c r="AE365" s="1043"/>
      <c r="AF365" s="1043"/>
      <c r="AG365" s="1043"/>
      <c r="AH365" s="1043"/>
      <c r="AI365" s="1043"/>
      <c r="AJ365" s="1043"/>
      <c r="AK365" s="1043"/>
      <c r="AL365" s="1043"/>
      <c r="AM365" s="1043"/>
      <c r="AN365" s="1043"/>
      <c r="AO365" s="1043"/>
      <c r="AP365" s="1043"/>
      <c r="AQ365" s="956">
        <f t="shared" si="77"/>
        <v>13</v>
      </c>
      <c r="AR365" s="956">
        <f t="shared" si="76"/>
        <v>2</v>
      </c>
      <c r="AS365" s="956">
        <f t="shared" si="78"/>
        <v>15</v>
      </c>
      <c r="AT365" s="956">
        <v>12</v>
      </c>
      <c r="AU365" s="981"/>
      <c r="AV365" s="981"/>
      <c r="AW365" s="981"/>
      <c r="AX365" s="1045"/>
      <c r="AY365" s="1045"/>
      <c r="AZ365" s="1015"/>
      <c r="BA365" s="1016"/>
      <c r="BB365" s="1016"/>
      <c r="BC365" s="1016"/>
      <c r="BD365" s="1016"/>
      <c r="BE365" s="1016"/>
      <c r="BF365" s="1018"/>
    </row>
    <row r="366" spans="1:58" s="945" customFormat="1" ht="20.100000000000001" customHeight="1">
      <c r="A366" s="1036"/>
      <c r="B366" s="1037">
        <v>10</v>
      </c>
      <c r="C366" s="1038">
        <v>394</v>
      </c>
      <c r="D366" s="1039"/>
      <c r="E366" s="1039"/>
      <c r="F366" s="1039"/>
      <c r="G366" s="1028" t="s">
        <v>1335</v>
      </c>
      <c r="H366" s="1028" t="s">
        <v>1335</v>
      </c>
      <c r="I366" s="1028" t="s">
        <v>1335</v>
      </c>
      <c r="J366" s="1028"/>
      <c r="K366" s="1028" t="s">
        <v>1335</v>
      </c>
      <c r="L366" s="958" t="s">
        <v>1335</v>
      </c>
      <c r="M366" s="1028" t="s">
        <v>1335</v>
      </c>
      <c r="N366" s="1028" t="s">
        <v>1335</v>
      </c>
      <c r="O366" s="1028" t="s">
        <v>1335</v>
      </c>
      <c r="P366" s="1028">
        <v>0</v>
      </c>
      <c r="Q366" s="1028" t="s">
        <v>1335</v>
      </c>
      <c r="R366" s="1028" t="s">
        <v>1335</v>
      </c>
      <c r="S366" s="1028" t="s">
        <v>1335</v>
      </c>
      <c r="T366" s="1028" t="s">
        <v>1335</v>
      </c>
      <c r="U366" s="1028" t="s">
        <v>1335</v>
      </c>
      <c r="V366" s="1029" t="s">
        <v>1335</v>
      </c>
      <c r="W366" s="1029" t="s">
        <v>1335</v>
      </c>
      <c r="X366" s="1028"/>
      <c r="Y366" s="1030"/>
      <c r="Z366" s="1031"/>
      <c r="AA366" s="1043"/>
      <c r="AB366" s="1043"/>
      <c r="AC366" s="1043"/>
      <c r="AD366" s="1043"/>
      <c r="AE366" s="1043"/>
      <c r="AF366" s="1043"/>
      <c r="AG366" s="1043"/>
      <c r="AH366" s="1043"/>
      <c r="AI366" s="1043"/>
      <c r="AJ366" s="1043"/>
      <c r="AK366" s="1043"/>
      <c r="AL366" s="1043"/>
      <c r="AM366" s="1043"/>
      <c r="AN366" s="1043"/>
      <c r="AO366" s="1043"/>
      <c r="AP366" s="1043"/>
      <c r="AQ366" s="956">
        <f t="shared" si="77"/>
        <v>13</v>
      </c>
      <c r="AR366" s="956">
        <f t="shared" si="76"/>
        <v>2</v>
      </c>
      <c r="AS366" s="956">
        <f t="shared" si="78"/>
        <v>15</v>
      </c>
      <c r="AT366" s="956">
        <v>12</v>
      </c>
      <c r="AU366" s="981"/>
      <c r="AV366" s="981"/>
      <c r="AW366" s="981"/>
      <c r="AX366" s="1045"/>
      <c r="AY366" s="1045"/>
      <c r="AZ366" s="1015"/>
      <c r="BA366" s="1016"/>
      <c r="BB366" s="1016"/>
      <c r="BC366" s="1016"/>
      <c r="BD366" s="1016"/>
      <c r="BE366" s="1016"/>
      <c r="BF366" s="1018"/>
    </row>
    <row r="367" spans="1:58" s="945" customFormat="1" ht="20.100000000000001" customHeight="1">
      <c r="A367" s="1036"/>
      <c r="B367" s="1037">
        <v>10</v>
      </c>
      <c r="C367" s="1038">
        <v>395</v>
      </c>
      <c r="D367" s="1039"/>
      <c r="E367" s="1039"/>
      <c r="F367" s="1039"/>
      <c r="G367" s="1028" t="s">
        <v>1335</v>
      </c>
      <c r="H367" s="1028" t="s">
        <v>1335</v>
      </c>
      <c r="I367" s="1028" t="s">
        <v>1335</v>
      </c>
      <c r="J367" s="1028"/>
      <c r="K367" s="1028" t="s">
        <v>1335</v>
      </c>
      <c r="L367" s="958" t="s">
        <v>1335</v>
      </c>
      <c r="M367" s="1028" t="s">
        <v>1335</v>
      </c>
      <c r="N367" s="1028" t="s">
        <v>1335</v>
      </c>
      <c r="O367" s="1028" t="s">
        <v>1335</v>
      </c>
      <c r="P367" s="1028">
        <v>0</v>
      </c>
      <c r="Q367" s="1028" t="s">
        <v>1335</v>
      </c>
      <c r="R367" s="1028" t="s">
        <v>1335</v>
      </c>
      <c r="S367" s="1028" t="s">
        <v>1335</v>
      </c>
      <c r="T367" s="1028" t="s">
        <v>1335</v>
      </c>
      <c r="U367" s="1028" t="s">
        <v>1335</v>
      </c>
      <c r="V367" s="1029" t="s">
        <v>1335</v>
      </c>
      <c r="W367" s="1029" t="s">
        <v>1335</v>
      </c>
      <c r="X367" s="1028"/>
      <c r="Y367" s="1030"/>
      <c r="Z367" s="1031"/>
      <c r="AA367" s="1043"/>
      <c r="AB367" s="1043"/>
      <c r="AC367" s="1043"/>
      <c r="AD367" s="1043"/>
      <c r="AE367" s="1043"/>
      <c r="AF367" s="1043"/>
      <c r="AG367" s="1043"/>
      <c r="AH367" s="1043"/>
      <c r="AI367" s="1043"/>
      <c r="AJ367" s="1043"/>
      <c r="AK367" s="1043"/>
      <c r="AL367" s="1043"/>
      <c r="AM367" s="1043"/>
      <c r="AN367" s="1043"/>
      <c r="AO367" s="1043"/>
      <c r="AP367" s="1043"/>
      <c r="AQ367" s="956">
        <f t="shared" si="77"/>
        <v>13</v>
      </c>
      <c r="AR367" s="956">
        <f t="shared" si="76"/>
        <v>2</v>
      </c>
      <c r="AS367" s="956">
        <f t="shared" si="78"/>
        <v>15</v>
      </c>
      <c r="AT367" s="956">
        <v>12</v>
      </c>
      <c r="AU367" s="981"/>
      <c r="AV367" s="981"/>
      <c r="AW367" s="981"/>
      <c r="AX367" s="1045"/>
      <c r="AY367" s="1045"/>
      <c r="AZ367" s="1015"/>
      <c r="BA367" s="1016"/>
      <c r="BB367" s="1016"/>
      <c r="BC367" s="1016"/>
      <c r="BD367" s="1016"/>
      <c r="BE367" s="1016"/>
      <c r="BF367" s="1018"/>
    </row>
    <row r="368" spans="1:58" s="945" customFormat="1" ht="20.100000000000001" customHeight="1">
      <c r="A368" s="1036"/>
      <c r="B368" s="1037">
        <v>10</v>
      </c>
      <c r="C368" s="1038">
        <v>396</v>
      </c>
      <c r="D368" s="1039"/>
      <c r="E368" s="1039"/>
      <c r="F368" s="1039"/>
      <c r="G368" s="1028" t="s">
        <v>1335</v>
      </c>
      <c r="H368" s="1028" t="s">
        <v>1335</v>
      </c>
      <c r="I368" s="1028" t="s">
        <v>1335</v>
      </c>
      <c r="J368" s="1028"/>
      <c r="K368" s="1028">
        <v>0</v>
      </c>
      <c r="L368" s="958" t="s">
        <v>1335</v>
      </c>
      <c r="M368" s="1028" t="s">
        <v>1335</v>
      </c>
      <c r="N368" s="1028" t="s">
        <v>1335</v>
      </c>
      <c r="O368" s="1028" t="s">
        <v>1335</v>
      </c>
      <c r="P368" s="1028" t="s">
        <v>1335</v>
      </c>
      <c r="Q368" s="1028" t="s">
        <v>1335</v>
      </c>
      <c r="R368" s="1028" t="s">
        <v>1335</v>
      </c>
      <c r="S368" s="1028" t="s">
        <v>1335</v>
      </c>
      <c r="T368" s="1028" t="s">
        <v>1335</v>
      </c>
      <c r="U368" s="1028" t="s">
        <v>1335</v>
      </c>
      <c r="V368" s="1029">
        <v>0</v>
      </c>
      <c r="W368" s="1029">
        <v>0</v>
      </c>
      <c r="X368" s="1028"/>
      <c r="Y368" s="1030"/>
      <c r="Z368" s="1031"/>
      <c r="AA368" s="1043"/>
      <c r="AB368" s="1043"/>
      <c r="AC368" s="1043"/>
      <c r="AD368" s="1043"/>
      <c r="AE368" s="1043"/>
      <c r="AF368" s="1043"/>
      <c r="AG368" s="1043"/>
      <c r="AH368" s="1043"/>
      <c r="AI368" s="1043"/>
      <c r="AJ368" s="1043"/>
      <c r="AK368" s="1043"/>
      <c r="AL368" s="1043"/>
      <c r="AM368" s="1043"/>
      <c r="AN368" s="1043"/>
      <c r="AO368" s="1043"/>
      <c r="AP368" s="1043"/>
      <c r="AQ368" s="956">
        <f t="shared" si="77"/>
        <v>13</v>
      </c>
      <c r="AR368" s="956">
        <f t="shared" si="76"/>
        <v>0</v>
      </c>
      <c r="AS368" s="956">
        <f t="shared" si="78"/>
        <v>13</v>
      </c>
      <c r="AT368" s="956">
        <v>12</v>
      </c>
      <c r="AU368" s="981"/>
      <c r="AV368" s="981"/>
      <c r="AW368" s="981"/>
      <c r="AX368" s="1045"/>
      <c r="AY368" s="1045"/>
      <c r="AZ368" s="1015"/>
      <c r="BA368" s="1016"/>
      <c r="BB368" s="1016"/>
      <c r="BC368" s="1016"/>
      <c r="BD368" s="1016"/>
      <c r="BE368" s="1016"/>
      <c r="BF368" s="1018"/>
    </row>
    <row r="369" spans="1:58" s="945" customFormat="1" ht="20.100000000000001" customHeight="1">
      <c r="A369" s="1036"/>
      <c r="B369" s="1037">
        <v>10</v>
      </c>
      <c r="C369" s="1038">
        <v>397</v>
      </c>
      <c r="D369" s="1039"/>
      <c r="E369" s="1039"/>
      <c r="F369" s="1039"/>
      <c r="G369" s="1028" t="s">
        <v>1335</v>
      </c>
      <c r="H369" s="1028" t="s">
        <v>1335</v>
      </c>
      <c r="I369" s="1028" t="s">
        <v>1335</v>
      </c>
      <c r="J369" s="1028"/>
      <c r="K369" s="1028">
        <v>0</v>
      </c>
      <c r="L369" s="958" t="s">
        <v>1335</v>
      </c>
      <c r="M369" s="1028" t="s">
        <v>1335</v>
      </c>
      <c r="N369" s="1028" t="s">
        <v>1335</v>
      </c>
      <c r="O369" s="1028" t="s">
        <v>1335</v>
      </c>
      <c r="P369" s="1028" t="s">
        <v>1335</v>
      </c>
      <c r="Q369" s="1028" t="s">
        <v>1335</v>
      </c>
      <c r="R369" s="1028" t="s">
        <v>1335</v>
      </c>
      <c r="S369" s="1028" t="s">
        <v>1335</v>
      </c>
      <c r="T369" s="1028" t="s">
        <v>1335</v>
      </c>
      <c r="U369" s="1028" t="s">
        <v>1335</v>
      </c>
      <c r="V369" s="1029">
        <v>0</v>
      </c>
      <c r="W369" s="1029">
        <v>0</v>
      </c>
      <c r="X369" s="1028"/>
      <c r="Y369" s="1030"/>
      <c r="Z369" s="1031"/>
      <c r="AA369" s="1043"/>
      <c r="AB369" s="1043"/>
      <c r="AC369" s="1043"/>
      <c r="AD369" s="1043"/>
      <c r="AE369" s="1043"/>
      <c r="AF369" s="1043"/>
      <c r="AG369" s="1043"/>
      <c r="AH369" s="1043"/>
      <c r="AI369" s="1043"/>
      <c r="AJ369" s="1043"/>
      <c r="AK369" s="1043"/>
      <c r="AL369" s="1043"/>
      <c r="AM369" s="1043"/>
      <c r="AN369" s="1043"/>
      <c r="AO369" s="1043"/>
      <c r="AP369" s="1043"/>
      <c r="AQ369" s="956">
        <f t="shared" si="77"/>
        <v>13</v>
      </c>
      <c r="AR369" s="956">
        <f t="shared" si="76"/>
        <v>0</v>
      </c>
      <c r="AS369" s="956">
        <f t="shared" si="78"/>
        <v>13</v>
      </c>
      <c r="AT369" s="956">
        <v>12</v>
      </c>
      <c r="AU369" s="981"/>
      <c r="AV369" s="981"/>
      <c r="AW369" s="981"/>
      <c r="AX369" s="1045"/>
      <c r="AY369" s="1045"/>
      <c r="AZ369" s="1015"/>
      <c r="BA369" s="1016"/>
      <c r="BB369" s="1016"/>
      <c r="BC369" s="1016"/>
      <c r="BD369" s="1016"/>
      <c r="BE369" s="1016"/>
      <c r="BF369" s="1018"/>
    </row>
    <row r="370" spans="1:58" s="945" customFormat="1" ht="20.100000000000001" customHeight="1">
      <c r="A370" s="1036"/>
      <c r="B370" s="1037">
        <v>10</v>
      </c>
      <c r="C370" s="1038">
        <v>398</v>
      </c>
      <c r="D370" s="1039"/>
      <c r="E370" s="1039"/>
      <c r="F370" s="1039"/>
      <c r="G370" s="1028" t="s">
        <v>1335</v>
      </c>
      <c r="H370" s="1028" t="s">
        <v>1335</v>
      </c>
      <c r="I370" s="1028" t="s">
        <v>1335</v>
      </c>
      <c r="J370" s="1028"/>
      <c r="K370" s="1028" t="s">
        <v>1335</v>
      </c>
      <c r="L370" s="958" t="s">
        <v>1335</v>
      </c>
      <c r="M370" s="1028" t="s">
        <v>1335</v>
      </c>
      <c r="N370" s="1028" t="s">
        <v>1335</v>
      </c>
      <c r="O370" s="1028" t="s">
        <v>1335</v>
      </c>
      <c r="P370" s="1028" t="s">
        <v>1335</v>
      </c>
      <c r="Q370" s="1028" t="s">
        <v>1335</v>
      </c>
      <c r="R370" s="1028" t="s">
        <v>1335</v>
      </c>
      <c r="S370" s="1028" t="s">
        <v>1335</v>
      </c>
      <c r="T370" s="1028" t="s">
        <v>1335</v>
      </c>
      <c r="U370" s="1028" t="s">
        <v>1335</v>
      </c>
      <c r="V370" s="1029">
        <v>0</v>
      </c>
      <c r="W370" s="1029" t="s">
        <v>1335</v>
      </c>
      <c r="X370" s="1028"/>
      <c r="Y370" s="1030"/>
      <c r="Z370" s="1031"/>
      <c r="AA370" s="1043"/>
      <c r="AB370" s="1043"/>
      <c r="AC370" s="1043"/>
      <c r="AD370" s="1043"/>
      <c r="AE370" s="1043"/>
      <c r="AF370" s="1043"/>
      <c r="AG370" s="1043"/>
      <c r="AH370" s="1043"/>
      <c r="AI370" s="1043"/>
      <c r="AJ370" s="1043"/>
      <c r="AK370" s="1043"/>
      <c r="AL370" s="1043"/>
      <c r="AM370" s="1043"/>
      <c r="AN370" s="1043"/>
      <c r="AO370" s="1043"/>
      <c r="AP370" s="1043"/>
      <c r="AQ370" s="956">
        <f t="shared" si="77"/>
        <v>14</v>
      </c>
      <c r="AR370" s="956">
        <f t="shared" si="76"/>
        <v>1</v>
      </c>
      <c r="AS370" s="956">
        <f t="shared" si="78"/>
        <v>15</v>
      </c>
      <c r="AT370" s="956">
        <v>12</v>
      </c>
      <c r="AU370" s="981"/>
      <c r="AV370" s="981"/>
      <c r="AW370" s="981"/>
      <c r="AX370" s="1045"/>
      <c r="AY370" s="1045"/>
      <c r="AZ370" s="1015"/>
      <c r="BA370" s="1016"/>
      <c r="BB370" s="1016"/>
      <c r="BC370" s="1016"/>
      <c r="BD370" s="1016"/>
      <c r="BE370" s="1016"/>
      <c r="BF370" s="1018"/>
    </row>
    <row r="371" spans="1:58" s="945" customFormat="1" ht="20.100000000000001" customHeight="1">
      <c r="A371" s="1036"/>
      <c r="B371" s="1037">
        <v>10</v>
      </c>
      <c r="C371" s="1038">
        <v>399</v>
      </c>
      <c r="D371" s="1039"/>
      <c r="E371" s="1039"/>
      <c r="F371" s="1039"/>
      <c r="G371" s="1028" t="s">
        <v>1335</v>
      </c>
      <c r="H371" s="1028" t="s">
        <v>1335</v>
      </c>
      <c r="I371" s="1028" t="s">
        <v>1335</v>
      </c>
      <c r="J371" s="1028"/>
      <c r="K371" s="1028" t="s">
        <v>1335</v>
      </c>
      <c r="L371" s="958" t="s">
        <v>1335</v>
      </c>
      <c r="M371" s="1028" t="s">
        <v>1335</v>
      </c>
      <c r="N371" s="1028" t="s">
        <v>1335</v>
      </c>
      <c r="O371" s="1028" t="s">
        <v>1335</v>
      </c>
      <c r="P371" s="1028" t="s">
        <v>1335</v>
      </c>
      <c r="Q371" s="1028" t="s">
        <v>1335</v>
      </c>
      <c r="R371" s="1028" t="s">
        <v>1335</v>
      </c>
      <c r="S371" s="1028" t="s">
        <v>1335</v>
      </c>
      <c r="T371" s="1028" t="s">
        <v>1335</v>
      </c>
      <c r="U371" s="1028" t="s">
        <v>1335</v>
      </c>
      <c r="V371" s="1029">
        <v>0</v>
      </c>
      <c r="W371" s="1029" t="s">
        <v>1335</v>
      </c>
      <c r="X371" s="1028"/>
      <c r="Y371" s="1030"/>
      <c r="Z371" s="1031"/>
      <c r="AA371" s="1043"/>
      <c r="AB371" s="1043"/>
      <c r="AC371" s="1043"/>
      <c r="AD371" s="1043"/>
      <c r="AE371" s="1043"/>
      <c r="AF371" s="1043"/>
      <c r="AG371" s="1043"/>
      <c r="AH371" s="1043"/>
      <c r="AI371" s="1043"/>
      <c r="AJ371" s="1043"/>
      <c r="AK371" s="1043"/>
      <c r="AL371" s="1043"/>
      <c r="AM371" s="1043"/>
      <c r="AN371" s="1043"/>
      <c r="AO371" s="1043"/>
      <c r="AP371" s="1043"/>
      <c r="AQ371" s="956">
        <f t="shared" si="77"/>
        <v>14</v>
      </c>
      <c r="AR371" s="956">
        <f t="shared" si="76"/>
        <v>1</v>
      </c>
      <c r="AS371" s="956">
        <f t="shared" si="78"/>
        <v>15</v>
      </c>
      <c r="AT371" s="956">
        <v>12</v>
      </c>
      <c r="AU371" s="981"/>
      <c r="AV371" s="981"/>
      <c r="AW371" s="981"/>
      <c r="AX371" s="1045"/>
      <c r="AY371" s="1045"/>
      <c r="AZ371" s="1015"/>
      <c r="BA371" s="1016"/>
      <c r="BB371" s="1016"/>
      <c r="BC371" s="1016"/>
      <c r="BD371" s="1016"/>
      <c r="BE371" s="1016"/>
      <c r="BF371" s="1018"/>
    </row>
    <row r="372" spans="1:58" s="945" customFormat="1" ht="20.100000000000001" customHeight="1">
      <c r="A372" s="1036"/>
      <c r="B372" s="1037">
        <v>10</v>
      </c>
      <c r="C372" s="1038">
        <v>400</v>
      </c>
      <c r="D372" s="1039"/>
      <c r="E372" s="1039"/>
      <c r="F372" s="1039"/>
      <c r="G372" s="1028" t="s">
        <v>1335</v>
      </c>
      <c r="H372" s="1028" t="s">
        <v>1335</v>
      </c>
      <c r="I372" s="1028" t="s">
        <v>1335</v>
      </c>
      <c r="J372" s="1028"/>
      <c r="K372" s="1028" t="s">
        <v>1335</v>
      </c>
      <c r="L372" s="958" t="s">
        <v>1335</v>
      </c>
      <c r="M372" s="1028" t="s">
        <v>1335</v>
      </c>
      <c r="N372" s="1028" t="s">
        <v>1335</v>
      </c>
      <c r="O372" s="1028" t="s">
        <v>1335</v>
      </c>
      <c r="P372" s="1028" t="s">
        <v>1335</v>
      </c>
      <c r="Q372" s="1028" t="s">
        <v>1335</v>
      </c>
      <c r="R372" s="1028" t="s">
        <v>1335</v>
      </c>
      <c r="S372" s="1028" t="s">
        <v>1335</v>
      </c>
      <c r="T372" s="1028" t="s">
        <v>1335</v>
      </c>
      <c r="U372" s="1028" t="s">
        <v>1335</v>
      </c>
      <c r="V372" s="1029">
        <v>0</v>
      </c>
      <c r="W372" s="1029" t="s">
        <v>1335</v>
      </c>
      <c r="X372" s="1028"/>
      <c r="Y372" s="1030"/>
      <c r="Z372" s="1031"/>
      <c r="AA372" s="1043"/>
      <c r="AB372" s="1043"/>
      <c r="AC372" s="1043"/>
      <c r="AD372" s="1043"/>
      <c r="AE372" s="1043"/>
      <c r="AF372" s="1043"/>
      <c r="AG372" s="1043"/>
      <c r="AH372" s="1043"/>
      <c r="AI372" s="1043"/>
      <c r="AJ372" s="1043"/>
      <c r="AK372" s="1043"/>
      <c r="AL372" s="1043"/>
      <c r="AM372" s="1043"/>
      <c r="AN372" s="1043"/>
      <c r="AO372" s="1043"/>
      <c r="AP372" s="1043"/>
      <c r="AQ372" s="956">
        <f t="shared" si="77"/>
        <v>14</v>
      </c>
      <c r="AR372" s="956">
        <f t="shared" si="76"/>
        <v>1</v>
      </c>
      <c r="AS372" s="956">
        <f t="shared" si="78"/>
        <v>15</v>
      </c>
      <c r="AT372" s="956">
        <v>12</v>
      </c>
      <c r="AU372" s="981"/>
      <c r="AV372" s="981"/>
      <c r="AW372" s="981"/>
      <c r="AX372" s="1045"/>
      <c r="AY372" s="1045"/>
      <c r="AZ372" s="1015"/>
      <c r="BA372" s="1016"/>
      <c r="BB372" s="1016"/>
      <c r="BC372" s="1016"/>
      <c r="BD372" s="1016"/>
      <c r="BE372" s="1016"/>
      <c r="BF372" s="1018"/>
    </row>
    <row r="373" spans="1:58" s="945" customFormat="1" ht="20.100000000000001" customHeight="1">
      <c r="A373" s="1036"/>
      <c r="B373" s="1037">
        <v>10</v>
      </c>
      <c r="C373" s="1038">
        <v>401</v>
      </c>
      <c r="D373" s="1039"/>
      <c r="E373" s="1039"/>
      <c r="F373" s="1039"/>
      <c r="G373" s="1028" t="s">
        <v>1335</v>
      </c>
      <c r="H373" s="1028" t="s">
        <v>1335</v>
      </c>
      <c r="I373" s="1028" t="s">
        <v>1335</v>
      </c>
      <c r="J373" s="1028"/>
      <c r="K373" s="1028" t="s">
        <v>1335</v>
      </c>
      <c r="L373" s="958" t="s">
        <v>1335</v>
      </c>
      <c r="M373" s="1028">
        <v>0</v>
      </c>
      <c r="N373" s="1028" t="s">
        <v>1335</v>
      </c>
      <c r="O373" s="1028" t="s">
        <v>1335</v>
      </c>
      <c r="P373" s="1028" t="s">
        <v>1335</v>
      </c>
      <c r="Q373" s="1028" t="s">
        <v>1335</v>
      </c>
      <c r="R373" s="1028">
        <v>0</v>
      </c>
      <c r="S373" s="1028" t="s">
        <v>1335</v>
      </c>
      <c r="T373" s="1028" t="s">
        <v>1335</v>
      </c>
      <c r="U373" s="1028" t="s">
        <v>1335</v>
      </c>
      <c r="V373" s="1029" t="s">
        <v>1335</v>
      </c>
      <c r="W373" s="1029">
        <v>0</v>
      </c>
      <c r="X373" s="1028"/>
      <c r="Y373" s="1030"/>
      <c r="Z373" s="1031"/>
      <c r="AA373" s="1043"/>
      <c r="AB373" s="1043"/>
      <c r="AC373" s="1043"/>
      <c r="AD373" s="1043"/>
      <c r="AE373" s="1043"/>
      <c r="AF373" s="1043"/>
      <c r="AG373" s="1043"/>
      <c r="AH373" s="1043"/>
      <c r="AI373" s="1043"/>
      <c r="AJ373" s="1043"/>
      <c r="AK373" s="1043"/>
      <c r="AL373" s="1043"/>
      <c r="AM373" s="1043"/>
      <c r="AN373" s="1043"/>
      <c r="AO373" s="1043"/>
      <c r="AP373" s="1043"/>
      <c r="AQ373" s="956">
        <f t="shared" si="77"/>
        <v>12</v>
      </c>
      <c r="AR373" s="956">
        <f t="shared" si="76"/>
        <v>1</v>
      </c>
      <c r="AS373" s="956">
        <f t="shared" si="78"/>
        <v>13</v>
      </c>
      <c r="AT373" s="956">
        <v>12</v>
      </c>
      <c r="AU373" s="981"/>
      <c r="AV373" s="981"/>
      <c r="AW373" s="981"/>
      <c r="AX373" s="1045"/>
      <c r="AY373" s="1045"/>
      <c r="AZ373" s="1015"/>
      <c r="BA373" s="1016"/>
      <c r="BB373" s="1016"/>
      <c r="BC373" s="1016"/>
      <c r="BD373" s="1016"/>
      <c r="BE373" s="1016"/>
      <c r="BF373" s="1018"/>
    </row>
    <row r="374" spans="1:58" s="945" customFormat="1" ht="20.100000000000001" customHeight="1">
      <c r="A374" s="1036"/>
      <c r="B374" s="1037">
        <v>10</v>
      </c>
      <c r="C374" s="1038">
        <v>402</v>
      </c>
      <c r="D374" s="1039"/>
      <c r="E374" s="1039"/>
      <c r="F374" s="1039"/>
      <c r="G374" s="1028" t="s">
        <v>1335</v>
      </c>
      <c r="H374" s="1028" t="s">
        <v>1335</v>
      </c>
      <c r="I374" s="1028" t="s">
        <v>1335</v>
      </c>
      <c r="J374" s="1028"/>
      <c r="K374" s="1028" t="s">
        <v>1335</v>
      </c>
      <c r="L374" s="958" t="s">
        <v>1335</v>
      </c>
      <c r="M374" s="1028" t="s">
        <v>1335</v>
      </c>
      <c r="N374" s="1028" t="s">
        <v>1335</v>
      </c>
      <c r="O374" s="1028" t="s">
        <v>1335</v>
      </c>
      <c r="P374" s="1028">
        <v>0</v>
      </c>
      <c r="Q374" s="1028" t="s">
        <v>1335</v>
      </c>
      <c r="R374" s="1028" t="s">
        <v>1335</v>
      </c>
      <c r="S374" s="1028" t="s">
        <v>1335</v>
      </c>
      <c r="T374" s="1028" t="s">
        <v>1335</v>
      </c>
      <c r="U374" s="1028" t="s">
        <v>1335</v>
      </c>
      <c r="V374" s="1029" t="s">
        <v>1335</v>
      </c>
      <c r="W374" s="1029" t="s">
        <v>1335</v>
      </c>
      <c r="X374" s="1028"/>
      <c r="Y374" s="1030"/>
      <c r="Z374" s="1031"/>
      <c r="AA374" s="1043"/>
      <c r="AB374" s="1043"/>
      <c r="AC374" s="1043"/>
      <c r="AD374" s="1043"/>
      <c r="AE374" s="1043"/>
      <c r="AF374" s="1043"/>
      <c r="AG374" s="1043"/>
      <c r="AH374" s="1043"/>
      <c r="AI374" s="1043"/>
      <c r="AJ374" s="1043"/>
      <c r="AK374" s="1043"/>
      <c r="AL374" s="1043"/>
      <c r="AM374" s="1043"/>
      <c r="AN374" s="1043"/>
      <c r="AO374" s="1043"/>
      <c r="AP374" s="1043"/>
      <c r="AQ374" s="956">
        <f t="shared" si="77"/>
        <v>13</v>
      </c>
      <c r="AR374" s="956">
        <f t="shared" si="76"/>
        <v>2</v>
      </c>
      <c r="AS374" s="956">
        <f t="shared" si="78"/>
        <v>15</v>
      </c>
      <c r="AT374" s="956">
        <v>12</v>
      </c>
      <c r="AU374" s="981"/>
      <c r="AV374" s="981"/>
      <c r="AW374" s="981"/>
      <c r="AX374" s="1045"/>
      <c r="AY374" s="1045"/>
      <c r="AZ374" s="1015"/>
      <c r="BA374" s="1016"/>
      <c r="BB374" s="1016"/>
      <c r="BC374" s="1016"/>
      <c r="BD374" s="1016"/>
      <c r="BE374" s="1016"/>
      <c r="BF374" s="1018"/>
    </row>
    <row r="375" spans="1:58" s="945" customFormat="1" ht="20.100000000000001" customHeight="1">
      <c r="A375" s="1036"/>
      <c r="B375" s="1037">
        <v>10</v>
      </c>
      <c r="C375" s="1038">
        <v>403</v>
      </c>
      <c r="D375" s="1039"/>
      <c r="E375" s="1039"/>
      <c r="F375" s="1039"/>
      <c r="G375" s="1028" t="s">
        <v>1335</v>
      </c>
      <c r="H375" s="1028" t="s">
        <v>1335</v>
      </c>
      <c r="I375" s="1028" t="s">
        <v>1335</v>
      </c>
      <c r="J375" s="1028"/>
      <c r="K375" s="1028" t="s">
        <v>1335</v>
      </c>
      <c r="L375" s="958" t="s">
        <v>1335</v>
      </c>
      <c r="M375" s="1028" t="s">
        <v>1335</v>
      </c>
      <c r="N375" s="1028" t="s">
        <v>1335</v>
      </c>
      <c r="O375" s="1028" t="s">
        <v>1335</v>
      </c>
      <c r="P375" s="1028" t="s">
        <v>1335</v>
      </c>
      <c r="Q375" s="1028" t="s">
        <v>1335</v>
      </c>
      <c r="R375" s="1028" t="s">
        <v>1335</v>
      </c>
      <c r="S375" s="1028" t="s">
        <v>1335</v>
      </c>
      <c r="T375" s="1028" t="s">
        <v>1335</v>
      </c>
      <c r="U375" s="1028" t="s">
        <v>1335</v>
      </c>
      <c r="V375" s="1029">
        <v>0</v>
      </c>
      <c r="W375" s="1029" t="s">
        <v>1335</v>
      </c>
      <c r="X375" s="1028"/>
      <c r="Y375" s="1030"/>
      <c r="Z375" s="1031"/>
      <c r="AA375" s="1043"/>
      <c r="AB375" s="1043"/>
      <c r="AC375" s="1043"/>
      <c r="AD375" s="1043"/>
      <c r="AE375" s="1043"/>
      <c r="AF375" s="1043"/>
      <c r="AG375" s="1043"/>
      <c r="AH375" s="1043"/>
      <c r="AI375" s="1043"/>
      <c r="AJ375" s="1043"/>
      <c r="AK375" s="1043"/>
      <c r="AL375" s="1043"/>
      <c r="AM375" s="1043"/>
      <c r="AN375" s="1043"/>
      <c r="AO375" s="1043"/>
      <c r="AP375" s="1043"/>
      <c r="AQ375" s="956">
        <f t="shared" si="77"/>
        <v>14</v>
      </c>
      <c r="AR375" s="956">
        <f t="shared" si="76"/>
        <v>1</v>
      </c>
      <c r="AS375" s="956">
        <f t="shared" si="78"/>
        <v>15</v>
      </c>
      <c r="AT375" s="956">
        <v>12</v>
      </c>
      <c r="AU375" s="981"/>
      <c r="AV375" s="981"/>
      <c r="AW375" s="981"/>
      <c r="AX375" s="1045"/>
      <c r="AY375" s="1045"/>
      <c r="AZ375" s="1015"/>
      <c r="BA375" s="1016"/>
      <c r="BB375" s="1016"/>
      <c r="BC375" s="1016"/>
      <c r="BD375" s="1016"/>
      <c r="BE375" s="1016"/>
      <c r="BF375" s="1018"/>
    </row>
    <row r="376" spans="1:58" s="945" customFormat="1" ht="20.100000000000001" customHeight="1">
      <c r="A376" s="1036"/>
      <c r="B376" s="1037">
        <v>10</v>
      </c>
      <c r="C376" s="1038">
        <v>404</v>
      </c>
      <c r="D376" s="1040"/>
      <c r="E376" s="1040"/>
      <c r="F376" s="1041"/>
      <c r="G376" s="1028" t="s">
        <v>1335</v>
      </c>
      <c r="H376" s="1028" t="s">
        <v>1335</v>
      </c>
      <c r="I376" s="1028" t="s">
        <v>1335</v>
      </c>
      <c r="J376" s="1028"/>
      <c r="K376" s="1028" t="s">
        <v>1335</v>
      </c>
      <c r="L376" s="958" t="s">
        <v>1335</v>
      </c>
      <c r="M376" s="1028" t="s">
        <v>1335</v>
      </c>
      <c r="N376" s="1028" t="s">
        <v>1335</v>
      </c>
      <c r="O376" s="1028" t="s">
        <v>1335</v>
      </c>
      <c r="P376" s="1028" t="s">
        <v>1335</v>
      </c>
      <c r="Q376" s="1028" t="s">
        <v>1335</v>
      </c>
      <c r="R376" s="1028" t="s">
        <v>1335</v>
      </c>
      <c r="S376" s="1028" t="s">
        <v>1335</v>
      </c>
      <c r="T376" s="1028" t="s">
        <v>1335</v>
      </c>
      <c r="U376" s="1028" t="s">
        <v>1335</v>
      </c>
      <c r="V376" s="1029" t="s">
        <v>1335</v>
      </c>
      <c r="W376" s="1029" t="s">
        <v>1335</v>
      </c>
      <c r="X376" s="1028"/>
      <c r="Y376" s="1030"/>
      <c r="Z376" s="1031"/>
      <c r="AA376" s="1043"/>
      <c r="AB376" s="1043"/>
      <c r="AC376" s="1043"/>
      <c r="AD376" s="1043"/>
      <c r="AE376" s="1043"/>
      <c r="AF376" s="1043"/>
      <c r="AG376" s="1043"/>
      <c r="AH376" s="1043"/>
      <c r="AI376" s="1043"/>
      <c r="AJ376" s="1043"/>
      <c r="AK376" s="1043"/>
      <c r="AL376" s="1043"/>
      <c r="AM376" s="1043"/>
      <c r="AN376" s="1043"/>
      <c r="AO376" s="1043"/>
      <c r="AP376" s="1043"/>
      <c r="AQ376" s="956">
        <f t="shared" si="77"/>
        <v>14</v>
      </c>
      <c r="AR376" s="956">
        <f t="shared" si="76"/>
        <v>2</v>
      </c>
      <c r="AS376" s="956">
        <f t="shared" si="78"/>
        <v>16</v>
      </c>
      <c r="AT376" s="956">
        <v>12</v>
      </c>
      <c r="AU376" s="981"/>
      <c r="AV376" s="981"/>
      <c r="AW376" s="981"/>
      <c r="AX376" s="1045"/>
      <c r="AY376" s="1045"/>
      <c r="AZ376" s="1015"/>
      <c r="BA376" s="1016"/>
      <c r="BB376" s="1016"/>
      <c r="BC376" s="1016"/>
      <c r="BD376" s="1016"/>
      <c r="BE376" s="1016"/>
      <c r="BF376" s="1018"/>
    </row>
    <row r="377" spans="1:58" s="945" customFormat="1" ht="20.100000000000001" customHeight="1">
      <c r="A377" s="1036"/>
      <c r="B377" s="1037">
        <v>10</v>
      </c>
      <c r="C377" s="1038">
        <v>405</v>
      </c>
      <c r="D377" s="1040"/>
      <c r="E377" s="1040"/>
      <c r="F377" s="1041"/>
      <c r="G377" s="1028" t="s">
        <v>1335</v>
      </c>
      <c r="H377" s="1028" t="s">
        <v>1335</v>
      </c>
      <c r="I377" s="1028">
        <v>0</v>
      </c>
      <c r="J377" s="1028"/>
      <c r="K377" s="1028" t="s">
        <v>1335</v>
      </c>
      <c r="L377" s="958" t="s">
        <v>1335</v>
      </c>
      <c r="M377" s="1028" t="s">
        <v>1335</v>
      </c>
      <c r="N377" s="1028" t="s">
        <v>1335</v>
      </c>
      <c r="O377" s="1028" t="s">
        <v>1335</v>
      </c>
      <c r="P377" s="1028">
        <v>0</v>
      </c>
      <c r="Q377" s="1028" t="s">
        <v>1335</v>
      </c>
      <c r="R377" s="1028" t="s">
        <v>1335</v>
      </c>
      <c r="S377" s="1028" t="s">
        <v>1335</v>
      </c>
      <c r="T377" s="1028" t="s">
        <v>1335</v>
      </c>
      <c r="U377" s="1028" t="s">
        <v>1335</v>
      </c>
      <c r="V377" s="1029">
        <v>0</v>
      </c>
      <c r="W377" s="1029">
        <v>0</v>
      </c>
      <c r="X377" s="1028"/>
      <c r="Y377" s="1030"/>
      <c r="Z377" s="1031"/>
      <c r="AA377" s="1043"/>
      <c r="AB377" s="1043"/>
      <c r="AC377" s="1043"/>
      <c r="AD377" s="1043"/>
      <c r="AE377" s="1043"/>
      <c r="AF377" s="1043"/>
      <c r="AG377" s="1043"/>
      <c r="AH377" s="1043"/>
      <c r="AI377" s="1043"/>
      <c r="AJ377" s="1043"/>
      <c r="AK377" s="1043"/>
      <c r="AL377" s="1043"/>
      <c r="AM377" s="1043"/>
      <c r="AN377" s="1043"/>
      <c r="AO377" s="1043"/>
      <c r="AP377" s="1043"/>
      <c r="AQ377" s="956">
        <f t="shared" si="77"/>
        <v>12</v>
      </c>
      <c r="AR377" s="956">
        <f t="shared" si="76"/>
        <v>0</v>
      </c>
      <c r="AS377" s="956">
        <f t="shared" si="78"/>
        <v>12</v>
      </c>
      <c r="AT377" s="956">
        <v>12</v>
      </c>
      <c r="AU377" s="981"/>
      <c r="AV377" s="981"/>
      <c r="AW377" s="981"/>
      <c r="AX377" s="1045"/>
      <c r="AY377" s="1045"/>
      <c r="AZ377" s="1015"/>
      <c r="BA377" s="1016"/>
      <c r="BB377" s="1016"/>
      <c r="BC377" s="1016"/>
      <c r="BD377" s="1016"/>
      <c r="BE377" s="1016"/>
      <c r="BF377" s="1018"/>
    </row>
    <row r="378" spans="1:58" s="945" customFormat="1" ht="20.100000000000001" customHeight="1">
      <c r="A378" s="1036"/>
      <c r="B378" s="1037">
        <v>10</v>
      </c>
      <c r="C378" s="1038">
        <v>406</v>
      </c>
      <c r="D378" s="1040"/>
      <c r="E378" s="1040"/>
      <c r="F378" s="1041"/>
      <c r="G378" s="1028" t="s">
        <v>1335</v>
      </c>
      <c r="H378" s="1028" t="s">
        <v>1335</v>
      </c>
      <c r="I378" s="1028" t="s">
        <v>1335</v>
      </c>
      <c r="J378" s="1028" t="s">
        <v>1335</v>
      </c>
      <c r="K378" s="1028" t="s">
        <v>1335</v>
      </c>
      <c r="L378" s="958" t="s">
        <v>1335</v>
      </c>
      <c r="M378" s="1028" t="s">
        <v>1335</v>
      </c>
      <c r="N378" s="1028" t="s">
        <v>1335</v>
      </c>
      <c r="O378" s="1028" t="s">
        <v>1335</v>
      </c>
      <c r="P378" s="1028" t="s">
        <v>1335</v>
      </c>
      <c r="Q378" s="1028" t="s">
        <v>1335</v>
      </c>
      <c r="R378" s="1028" t="s">
        <v>1335</v>
      </c>
      <c r="S378" s="1028" t="s">
        <v>1335</v>
      </c>
      <c r="T378" s="1028" t="s">
        <v>1335</v>
      </c>
      <c r="U378" s="1028" t="s">
        <v>1335</v>
      </c>
      <c r="V378" s="1029" t="s">
        <v>1335</v>
      </c>
      <c r="W378" s="1029" t="s">
        <v>1335</v>
      </c>
      <c r="X378" s="1028"/>
      <c r="Y378" s="1030"/>
      <c r="Z378" s="1031"/>
      <c r="AA378" s="1043"/>
      <c r="AB378" s="1043"/>
      <c r="AC378" s="1043"/>
      <c r="AD378" s="1043"/>
      <c r="AE378" s="1043"/>
      <c r="AF378" s="1043"/>
      <c r="AG378" s="1043"/>
      <c r="AH378" s="1043"/>
      <c r="AI378" s="1043"/>
      <c r="AJ378" s="1043"/>
      <c r="AK378" s="1043"/>
      <c r="AL378" s="1043"/>
      <c r="AM378" s="1043"/>
      <c r="AN378" s="1043"/>
      <c r="AO378" s="1043"/>
      <c r="AP378" s="1043"/>
      <c r="AQ378" s="956">
        <f t="shared" si="77"/>
        <v>15</v>
      </c>
      <c r="AR378" s="956">
        <f t="shared" si="76"/>
        <v>2</v>
      </c>
      <c r="AS378" s="956">
        <f t="shared" si="78"/>
        <v>17</v>
      </c>
      <c r="AT378" s="956">
        <v>12</v>
      </c>
      <c r="AU378" s="981"/>
      <c r="AV378" s="981"/>
      <c r="AW378" s="981"/>
      <c r="AX378" s="1045"/>
      <c r="AY378" s="1045"/>
      <c r="AZ378" s="1015"/>
      <c r="BA378" s="1016"/>
      <c r="BB378" s="1016"/>
      <c r="BC378" s="1016"/>
      <c r="BD378" s="1016"/>
      <c r="BE378" s="1016"/>
      <c r="BF378" s="1018"/>
    </row>
    <row r="379" spans="1:58" s="945" customFormat="1" ht="20.100000000000001" customHeight="1">
      <c r="A379" s="1036"/>
      <c r="B379" s="1037">
        <v>10</v>
      </c>
      <c r="C379" s="1038">
        <v>407</v>
      </c>
      <c r="D379" s="1040"/>
      <c r="E379" s="1040"/>
      <c r="F379" s="1041"/>
      <c r="G379" s="1028" t="s">
        <v>1335</v>
      </c>
      <c r="H379" s="1028" t="s">
        <v>1335</v>
      </c>
      <c r="I379" s="1028" t="s">
        <v>1335</v>
      </c>
      <c r="J379" s="1028"/>
      <c r="K379" s="1028">
        <v>0</v>
      </c>
      <c r="L379" s="958" t="s">
        <v>1335</v>
      </c>
      <c r="M379" s="1028" t="s">
        <v>1335</v>
      </c>
      <c r="N379" s="1028" t="s">
        <v>1335</v>
      </c>
      <c r="O379" s="1028" t="s">
        <v>1335</v>
      </c>
      <c r="P379" s="1028" t="s">
        <v>1335</v>
      </c>
      <c r="Q379" s="1028" t="s">
        <v>1335</v>
      </c>
      <c r="R379" s="1028" t="s">
        <v>1335</v>
      </c>
      <c r="S379" s="1028" t="s">
        <v>1335</v>
      </c>
      <c r="T379" s="1028" t="s">
        <v>1335</v>
      </c>
      <c r="U379" s="1028" t="s">
        <v>1335</v>
      </c>
      <c r="V379" s="1029" t="s">
        <v>1335</v>
      </c>
      <c r="W379" s="1029" t="s">
        <v>1335</v>
      </c>
      <c r="X379" s="1028"/>
      <c r="Y379" s="1030"/>
      <c r="Z379" s="1031"/>
      <c r="AA379" s="1043"/>
      <c r="AB379" s="1043"/>
      <c r="AC379" s="1043"/>
      <c r="AD379" s="1043"/>
      <c r="AE379" s="1043"/>
      <c r="AF379" s="1043"/>
      <c r="AG379" s="1043"/>
      <c r="AH379" s="1043"/>
      <c r="AI379" s="1043"/>
      <c r="AJ379" s="1043"/>
      <c r="AK379" s="1043"/>
      <c r="AL379" s="1043"/>
      <c r="AM379" s="1043"/>
      <c r="AN379" s="1043"/>
      <c r="AO379" s="1043"/>
      <c r="AP379" s="1043"/>
      <c r="AQ379" s="956">
        <f t="shared" si="77"/>
        <v>13</v>
      </c>
      <c r="AR379" s="956">
        <f t="shared" si="76"/>
        <v>2</v>
      </c>
      <c r="AS379" s="956">
        <f t="shared" si="78"/>
        <v>15</v>
      </c>
      <c r="AT379" s="956">
        <v>12</v>
      </c>
      <c r="AU379" s="981"/>
      <c r="AV379" s="981"/>
      <c r="AW379" s="981"/>
      <c r="AX379" s="1045"/>
      <c r="AY379" s="1045"/>
      <c r="AZ379" s="1015"/>
      <c r="BA379" s="1016"/>
      <c r="BB379" s="1016"/>
      <c r="BC379" s="1016"/>
      <c r="BD379" s="1016"/>
      <c r="BE379" s="1016"/>
      <c r="BF379" s="1018"/>
    </row>
    <row r="380" spans="1:58" s="945" customFormat="1" ht="20.100000000000001" customHeight="1">
      <c r="A380" s="1036"/>
      <c r="B380" s="1037">
        <v>10</v>
      </c>
      <c r="C380" s="1038">
        <v>408</v>
      </c>
      <c r="D380" s="1040"/>
      <c r="E380" s="1040"/>
      <c r="F380" s="1041"/>
      <c r="G380" s="1028" t="s">
        <v>1335</v>
      </c>
      <c r="H380" s="1028" t="s">
        <v>1335</v>
      </c>
      <c r="I380" s="1028" t="s">
        <v>1335</v>
      </c>
      <c r="J380" s="1028"/>
      <c r="K380" s="1028">
        <v>0</v>
      </c>
      <c r="L380" s="958" t="s">
        <v>1335</v>
      </c>
      <c r="M380" s="1028" t="s">
        <v>1335</v>
      </c>
      <c r="N380" s="1028" t="s">
        <v>1335</v>
      </c>
      <c r="O380" s="1028" t="s">
        <v>1335</v>
      </c>
      <c r="P380" s="1028" t="s">
        <v>1335</v>
      </c>
      <c r="Q380" s="1028" t="s">
        <v>1335</v>
      </c>
      <c r="R380" s="1028" t="s">
        <v>1335</v>
      </c>
      <c r="S380" s="1028" t="s">
        <v>1335</v>
      </c>
      <c r="T380" s="1028" t="s">
        <v>1335</v>
      </c>
      <c r="U380" s="1028" t="s">
        <v>1335</v>
      </c>
      <c r="V380" s="1029" t="s">
        <v>1335</v>
      </c>
      <c r="W380" s="1029" t="s">
        <v>1335</v>
      </c>
      <c r="X380" s="1028"/>
      <c r="Y380" s="1030"/>
      <c r="Z380" s="1031"/>
      <c r="AA380" s="1043"/>
      <c r="AB380" s="1043"/>
      <c r="AC380" s="1043"/>
      <c r="AD380" s="1043"/>
      <c r="AE380" s="1043"/>
      <c r="AF380" s="1043"/>
      <c r="AG380" s="1043"/>
      <c r="AH380" s="1043"/>
      <c r="AI380" s="1043"/>
      <c r="AJ380" s="1043"/>
      <c r="AK380" s="1043"/>
      <c r="AL380" s="1043"/>
      <c r="AM380" s="1043"/>
      <c r="AN380" s="1043"/>
      <c r="AO380" s="1043"/>
      <c r="AP380" s="1043"/>
      <c r="AQ380" s="956">
        <f t="shared" si="77"/>
        <v>13</v>
      </c>
      <c r="AR380" s="956">
        <f t="shared" si="76"/>
        <v>2</v>
      </c>
      <c r="AS380" s="956">
        <f t="shared" si="78"/>
        <v>15</v>
      </c>
      <c r="AT380" s="956">
        <v>12</v>
      </c>
      <c r="AU380" s="981"/>
      <c r="AV380" s="981"/>
      <c r="AW380" s="981"/>
      <c r="AX380" s="1045"/>
      <c r="AY380" s="1045"/>
      <c r="AZ380" s="1015"/>
      <c r="BA380" s="1016"/>
      <c r="BB380" s="1016"/>
      <c r="BC380" s="1016"/>
      <c r="BD380" s="1016"/>
      <c r="BE380" s="1016"/>
      <c r="BF380" s="1018"/>
    </row>
    <row r="381" spans="1:58" s="945" customFormat="1" ht="20.100000000000001" customHeight="1">
      <c r="A381" s="1036"/>
      <c r="B381" s="1037">
        <v>10</v>
      </c>
      <c r="C381" s="1038">
        <v>409</v>
      </c>
      <c r="D381" s="1040"/>
      <c r="E381" s="1040"/>
      <c r="F381" s="1041"/>
      <c r="G381" s="1028" t="s">
        <v>1335</v>
      </c>
      <c r="H381" s="1028" t="s">
        <v>1335</v>
      </c>
      <c r="I381" s="1028" t="s">
        <v>1335</v>
      </c>
      <c r="J381" s="1028"/>
      <c r="K381" s="1028" t="s">
        <v>1335</v>
      </c>
      <c r="L381" s="958" t="s">
        <v>1335</v>
      </c>
      <c r="M381" s="1028" t="s">
        <v>1335</v>
      </c>
      <c r="N381" s="1028" t="s">
        <v>1335</v>
      </c>
      <c r="O381" s="1028" t="s">
        <v>1335</v>
      </c>
      <c r="P381" s="1028" t="s">
        <v>1335</v>
      </c>
      <c r="Q381" s="1028" t="s">
        <v>1335</v>
      </c>
      <c r="R381" s="1028" t="s">
        <v>1335</v>
      </c>
      <c r="S381" s="1028" t="s">
        <v>1335</v>
      </c>
      <c r="T381" s="1028" t="s">
        <v>1335</v>
      </c>
      <c r="U381" s="1028" t="s">
        <v>1335</v>
      </c>
      <c r="V381" s="1029" t="s">
        <v>1335</v>
      </c>
      <c r="W381" s="1029" t="s">
        <v>1335</v>
      </c>
      <c r="X381" s="1028"/>
      <c r="Y381" s="1030"/>
      <c r="Z381" s="1031"/>
      <c r="AA381" s="1043"/>
      <c r="AB381" s="1043"/>
      <c r="AC381" s="1043"/>
      <c r="AD381" s="1043"/>
      <c r="AE381" s="1043"/>
      <c r="AF381" s="1043"/>
      <c r="AG381" s="1043"/>
      <c r="AH381" s="1043"/>
      <c r="AI381" s="1043"/>
      <c r="AJ381" s="1043"/>
      <c r="AK381" s="1043"/>
      <c r="AL381" s="1043"/>
      <c r="AM381" s="1043"/>
      <c r="AN381" s="1043"/>
      <c r="AO381" s="1043"/>
      <c r="AP381" s="1043"/>
      <c r="AQ381" s="956">
        <f t="shared" si="77"/>
        <v>14</v>
      </c>
      <c r="AR381" s="956">
        <f t="shared" si="76"/>
        <v>2</v>
      </c>
      <c r="AS381" s="956">
        <f t="shared" si="78"/>
        <v>16</v>
      </c>
      <c r="AT381" s="956">
        <v>12</v>
      </c>
      <c r="AU381" s="981"/>
      <c r="AV381" s="981"/>
      <c r="AW381" s="981"/>
      <c r="AX381" s="1045"/>
      <c r="AY381" s="1045"/>
      <c r="AZ381" s="1015"/>
      <c r="BA381" s="1016"/>
      <c r="BB381" s="1016"/>
      <c r="BC381" s="1016"/>
      <c r="BD381" s="1016"/>
      <c r="BE381" s="1016"/>
      <c r="BF381" s="1018"/>
    </row>
    <row r="382" spans="1:58" s="945" customFormat="1" ht="20.100000000000001" customHeight="1">
      <c r="A382" s="1036"/>
      <c r="B382" s="1037">
        <v>10</v>
      </c>
      <c r="C382" s="1038">
        <v>410</v>
      </c>
      <c r="D382" s="1040"/>
      <c r="E382" s="1040"/>
      <c r="F382" s="1041"/>
      <c r="G382" s="1028" t="s">
        <v>1335</v>
      </c>
      <c r="H382" s="1028" t="s">
        <v>1335</v>
      </c>
      <c r="I382" s="1028" t="s">
        <v>1335</v>
      </c>
      <c r="J382" s="1028"/>
      <c r="K382" s="1028" t="s">
        <v>1335</v>
      </c>
      <c r="L382" s="958" t="s">
        <v>1335</v>
      </c>
      <c r="M382" s="1028" t="s">
        <v>1335</v>
      </c>
      <c r="N382" s="1028" t="s">
        <v>1335</v>
      </c>
      <c r="O382" s="1028" t="s">
        <v>1335</v>
      </c>
      <c r="P382" s="1028" t="s">
        <v>1335</v>
      </c>
      <c r="Q382" s="1028" t="s">
        <v>1335</v>
      </c>
      <c r="R382" s="1028" t="s">
        <v>1335</v>
      </c>
      <c r="S382" s="1028" t="s">
        <v>1335</v>
      </c>
      <c r="T382" s="1028" t="s">
        <v>1335</v>
      </c>
      <c r="U382" s="1028" t="s">
        <v>1335</v>
      </c>
      <c r="V382" s="1029" t="s">
        <v>1335</v>
      </c>
      <c r="W382" s="1029" t="s">
        <v>1335</v>
      </c>
      <c r="X382" s="1028"/>
      <c r="Y382" s="1030"/>
      <c r="Z382" s="1031"/>
      <c r="AA382" s="1043"/>
      <c r="AB382" s="1043"/>
      <c r="AC382" s="1043"/>
      <c r="AD382" s="1043"/>
      <c r="AE382" s="1043"/>
      <c r="AF382" s="1043"/>
      <c r="AG382" s="1043"/>
      <c r="AH382" s="1043"/>
      <c r="AI382" s="1043"/>
      <c r="AJ382" s="1043"/>
      <c r="AK382" s="1043"/>
      <c r="AL382" s="1043"/>
      <c r="AM382" s="1043"/>
      <c r="AN382" s="1043"/>
      <c r="AO382" s="1043"/>
      <c r="AP382" s="1043"/>
      <c r="AQ382" s="956">
        <f t="shared" si="77"/>
        <v>14</v>
      </c>
      <c r="AR382" s="956">
        <f t="shared" si="76"/>
        <v>2</v>
      </c>
      <c r="AS382" s="956">
        <f t="shared" si="78"/>
        <v>16</v>
      </c>
      <c r="AT382" s="956">
        <v>12</v>
      </c>
      <c r="AU382" s="981"/>
      <c r="AV382" s="981"/>
      <c r="AW382" s="981"/>
      <c r="AX382" s="1045"/>
      <c r="AY382" s="1045"/>
      <c r="AZ382" s="1015"/>
      <c r="BA382" s="1016"/>
      <c r="BB382" s="1016"/>
      <c r="BC382" s="1016"/>
      <c r="BD382" s="1016"/>
      <c r="BE382" s="1016"/>
      <c r="BF382" s="1018"/>
    </row>
    <row r="383" spans="1:58" s="945" customFormat="1" ht="20.100000000000001" customHeight="1">
      <c r="A383" s="1036"/>
      <c r="B383" s="1037">
        <v>10</v>
      </c>
      <c r="C383" s="1038">
        <v>411</v>
      </c>
      <c r="D383" s="1040"/>
      <c r="E383" s="1040"/>
      <c r="F383" s="1041"/>
      <c r="G383" s="1028" t="s">
        <v>1335</v>
      </c>
      <c r="H383" s="1028" t="s">
        <v>1335</v>
      </c>
      <c r="I383" s="1028" t="s">
        <v>1335</v>
      </c>
      <c r="J383" s="1028"/>
      <c r="K383" s="1028" t="s">
        <v>1335</v>
      </c>
      <c r="L383" s="958" t="s">
        <v>1335</v>
      </c>
      <c r="M383" s="1028" t="s">
        <v>1335</v>
      </c>
      <c r="N383" s="1028" t="s">
        <v>1335</v>
      </c>
      <c r="O383" s="1028" t="s">
        <v>1335</v>
      </c>
      <c r="P383" s="1028" t="s">
        <v>1335</v>
      </c>
      <c r="Q383" s="1028" t="s">
        <v>1335</v>
      </c>
      <c r="R383" s="1028" t="s">
        <v>1335</v>
      </c>
      <c r="S383" s="1028" t="s">
        <v>1335</v>
      </c>
      <c r="T383" s="1028" t="s">
        <v>1335</v>
      </c>
      <c r="U383" s="1028" t="s">
        <v>1335</v>
      </c>
      <c r="V383" s="1029">
        <v>0</v>
      </c>
      <c r="W383" s="1029">
        <v>0</v>
      </c>
      <c r="X383" s="1028"/>
      <c r="Y383" s="1030"/>
      <c r="Z383" s="1031"/>
      <c r="AA383" s="1043"/>
      <c r="AB383" s="1043"/>
      <c r="AC383" s="1043"/>
      <c r="AD383" s="1043"/>
      <c r="AE383" s="1043"/>
      <c r="AF383" s="1043"/>
      <c r="AG383" s="1043"/>
      <c r="AH383" s="1043"/>
      <c r="AI383" s="1043"/>
      <c r="AJ383" s="1043"/>
      <c r="AK383" s="1043"/>
      <c r="AL383" s="1043"/>
      <c r="AM383" s="1043"/>
      <c r="AN383" s="1043"/>
      <c r="AO383" s="1043"/>
      <c r="AP383" s="1043"/>
      <c r="AQ383" s="956">
        <f t="shared" si="77"/>
        <v>14</v>
      </c>
      <c r="AR383" s="956">
        <f t="shared" si="76"/>
        <v>0</v>
      </c>
      <c r="AS383" s="956">
        <f t="shared" si="78"/>
        <v>14</v>
      </c>
      <c r="AT383" s="956">
        <v>12</v>
      </c>
      <c r="AU383" s="981"/>
      <c r="AV383" s="981"/>
      <c r="AW383" s="981"/>
      <c r="AX383" s="1045"/>
      <c r="AY383" s="1045"/>
      <c r="AZ383" s="1015"/>
      <c r="BA383" s="1016"/>
      <c r="BB383" s="1016"/>
      <c r="BC383" s="1016"/>
      <c r="BD383" s="1016"/>
      <c r="BE383" s="1016"/>
      <c r="BF383" s="1018"/>
    </row>
    <row r="384" spans="1:58" s="945" customFormat="1" ht="20.100000000000001" customHeight="1">
      <c r="A384" s="1036"/>
      <c r="B384" s="1037">
        <v>10</v>
      </c>
      <c r="C384" s="1038">
        <v>412</v>
      </c>
      <c r="D384" s="1040"/>
      <c r="E384" s="1040"/>
      <c r="F384" s="1041"/>
      <c r="G384" s="1028" t="s">
        <v>1335</v>
      </c>
      <c r="H384" s="1028" t="s">
        <v>1335</v>
      </c>
      <c r="I384" s="1028" t="s">
        <v>1335</v>
      </c>
      <c r="J384" s="1028"/>
      <c r="K384" s="1028" t="s">
        <v>1335</v>
      </c>
      <c r="L384" s="958" t="s">
        <v>1335</v>
      </c>
      <c r="M384" s="1028" t="s">
        <v>1335</v>
      </c>
      <c r="N384" s="1028" t="s">
        <v>1335</v>
      </c>
      <c r="O384" s="1028" t="s">
        <v>1335</v>
      </c>
      <c r="P384" s="1028" t="s">
        <v>1335</v>
      </c>
      <c r="Q384" s="1028" t="s">
        <v>1335</v>
      </c>
      <c r="R384" s="1028" t="s">
        <v>1335</v>
      </c>
      <c r="S384" s="1028" t="s">
        <v>1335</v>
      </c>
      <c r="T384" s="1028" t="s">
        <v>1335</v>
      </c>
      <c r="U384" s="1028" t="s">
        <v>1335</v>
      </c>
      <c r="V384" s="1029">
        <v>0</v>
      </c>
      <c r="W384" s="1029">
        <v>0</v>
      </c>
      <c r="X384" s="1028"/>
      <c r="Y384" s="1030"/>
      <c r="Z384" s="1031"/>
      <c r="AA384" s="1043"/>
      <c r="AB384" s="1043"/>
      <c r="AC384" s="1043"/>
      <c r="AD384" s="1043"/>
      <c r="AE384" s="1043"/>
      <c r="AF384" s="1043"/>
      <c r="AG384" s="1043"/>
      <c r="AH384" s="1043"/>
      <c r="AI384" s="1043"/>
      <c r="AJ384" s="1043"/>
      <c r="AK384" s="1043"/>
      <c r="AL384" s="1043"/>
      <c r="AM384" s="1043"/>
      <c r="AN384" s="1043"/>
      <c r="AO384" s="1043"/>
      <c r="AP384" s="1043"/>
      <c r="AQ384" s="956">
        <f t="shared" si="77"/>
        <v>14</v>
      </c>
      <c r="AR384" s="956">
        <f t="shared" si="76"/>
        <v>0</v>
      </c>
      <c r="AS384" s="956">
        <f t="shared" si="78"/>
        <v>14</v>
      </c>
      <c r="AT384" s="956">
        <v>12</v>
      </c>
      <c r="AU384" s="981"/>
      <c r="AV384" s="981"/>
      <c r="AW384" s="981"/>
      <c r="AX384" s="1045"/>
      <c r="AY384" s="1045"/>
      <c r="AZ384" s="1015"/>
      <c r="BA384" s="1016"/>
      <c r="BB384" s="1016"/>
      <c r="BC384" s="1016"/>
      <c r="BD384" s="1016"/>
      <c r="BE384" s="1016"/>
      <c r="BF384" s="1018"/>
    </row>
    <row r="385" spans="1:58" s="945" customFormat="1" ht="20.100000000000001" customHeight="1">
      <c r="A385" s="1036"/>
      <c r="B385" s="1037">
        <v>10</v>
      </c>
      <c r="C385" s="1038">
        <v>413</v>
      </c>
      <c r="D385" s="1040"/>
      <c r="E385" s="1040"/>
      <c r="F385" s="1041"/>
      <c r="G385" s="1028" t="s">
        <v>1335</v>
      </c>
      <c r="H385" s="1028" t="s">
        <v>1335</v>
      </c>
      <c r="I385" s="1028" t="s">
        <v>1335</v>
      </c>
      <c r="J385" s="1028" t="s">
        <v>1335</v>
      </c>
      <c r="K385" s="1028" t="s">
        <v>1335</v>
      </c>
      <c r="L385" s="958" t="s">
        <v>1335</v>
      </c>
      <c r="M385" s="1028" t="s">
        <v>1335</v>
      </c>
      <c r="N385" s="1028" t="s">
        <v>1335</v>
      </c>
      <c r="O385" s="1028" t="s">
        <v>1335</v>
      </c>
      <c r="P385" s="1028" t="s">
        <v>1335</v>
      </c>
      <c r="Q385" s="1028" t="s">
        <v>1335</v>
      </c>
      <c r="R385" s="1028" t="s">
        <v>1335</v>
      </c>
      <c r="S385" s="1028" t="s">
        <v>1335</v>
      </c>
      <c r="T385" s="1028" t="s">
        <v>1335</v>
      </c>
      <c r="U385" s="1028" t="s">
        <v>1335</v>
      </c>
      <c r="V385" s="1029" t="s">
        <v>1335</v>
      </c>
      <c r="W385" s="1029" t="s">
        <v>1335</v>
      </c>
      <c r="X385" s="1028"/>
      <c r="Y385" s="1030"/>
      <c r="Z385" s="1031"/>
      <c r="AA385" s="1043"/>
      <c r="AB385" s="1043"/>
      <c r="AC385" s="1043"/>
      <c r="AD385" s="1043"/>
      <c r="AE385" s="1043"/>
      <c r="AF385" s="1043"/>
      <c r="AG385" s="1043"/>
      <c r="AH385" s="1043"/>
      <c r="AI385" s="1043"/>
      <c r="AJ385" s="1043"/>
      <c r="AK385" s="1043"/>
      <c r="AL385" s="1043"/>
      <c r="AM385" s="1043"/>
      <c r="AN385" s="1043"/>
      <c r="AO385" s="1043"/>
      <c r="AP385" s="1043"/>
      <c r="AQ385" s="956">
        <f t="shared" si="77"/>
        <v>15</v>
      </c>
      <c r="AR385" s="956">
        <f t="shared" si="76"/>
        <v>2</v>
      </c>
      <c r="AS385" s="956">
        <f t="shared" si="78"/>
        <v>17</v>
      </c>
      <c r="AT385" s="956">
        <v>12</v>
      </c>
      <c r="AU385" s="981"/>
      <c r="AV385" s="981"/>
      <c r="AW385" s="981"/>
      <c r="AX385" s="1045"/>
      <c r="AY385" s="1045"/>
      <c r="AZ385" s="1015"/>
      <c r="BA385" s="1016"/>
      <c r="BB385" s="1016"/>
      <c r="BC385" s="1016"/>
      <c r="BD385" s="1016"/>
      <c r="BE385" s="1016"/>
      <c r="BF385" s="1018"/>
    </row>
    <row r="386" spans="1:58" s="945" customFormat="1" ht="20.100000000000001" customHeight="1">
      <c r="A386" s="1036"/>
      <c r="B386" s="1037">
        <v>10</v>
      </c>
      <c r="C386" s="1038">
        <v>414</v>
      </c>
      <c r="D386" s="1040"/>
      <c r="E386" s="1040"/>
      <c r="F386" s="1041"/>
      <c r="G386" s="1028" t="s">
        <v>1335</v>
      </c>
      <c r="H386" s="1028" t="s">
        <v>1335</v>
      </c>
      <c r="I386" s="1028" t="s">
        <v>1335</v>
      </c>
      <c r="J386" s="1028" t="s">
        <v>1335</v>
      </c>
      <c r="K386" s="1028" t="s">
        <v>1335</v>
      </c>
      <c r="L386" s="958" t="s">
        <v>1335</v>
      </c>
      <c r="M386" s="1028" t="s">
        <v>1335</v>
      </c>
      <c r="N386" s="1028" t="s">
        <v>1335</v>
      </c>
      <c r="O386" s="1028" t="s">
        <v>1335</v>
      </c>
      <c r="P386" s="1028" t="s">
        <v>1335</v>
      </c>
      <c r="Q386" s="1028" t="s">
        <v>1335</v>
      </c>
      <c r="R386" s="1028" t="s">
        <v>1335</v>
      </c>
      <c r="S386" s="1028" t="s">
        <v>1335</v>
      </c>
      <c r="T386" s="1028" t="s">
        <v>1335</v>
      </c>
      <c r="U386" s="1028" t="s">
        <v>1335</v>
      </c>
      <c r="V386" s="1029" t="s">
        <v>1335</v>
      </c>
      <c r="W386" s="1029" t="s">
        <v>1335</v>
      </c>
      <c r="X386" s="1028"/>
      <c r="Y386" s="1030"/>
      <c r="Z386" s="1031"/>
      <c r="AA386" s="1043"/>
      <c r="AB386" s="1043"/>
      <c r="AC386" s="1043"/>
      <c r="AD386" s="1043"/>
      <c r="AE386" s="1043"/>
      <c r="AF386" s="1043"/>
      <c r="AG386" s="1043"/>
      <c r="AH386" s="1043"/>
      <c r="AI386" s="1043"/>
      <c r="AJ386" s="1043"/>
      <c r="AK386" s="1043"/>
      <c r="AL386" s="1043"/>
      <c r="AM386" s="1043"/>
      <c r="AN386" s="1043"/>
      <c r="AO386" s="1043"/>
      <c r="AP386" s="1043"/>
      <c r="AQ386" s="956">
        <f t="shared" si="77"/>
        <v>15</v>
      </c>
      <c r="AR386" s="956">
        <f t="shared" si="76"/>
        <v>2</v>
      </c>
      <c r="AS386" s="956">
        <f t="shared" si="78"/>
        <v>17</v>
      </c>
      <c r="AT386" s="956">
        <v>12</v>
      </c>
      <c r="AU386" s="981"/>
      <c r="AV386" s="981"/>
      <c r="AW386" s="981"/>
      <c r="AX386" s="1045"/>
      <c r="AY386" s="1045"/>
      <c r="AZ386" s="1015"/>
      <c r="BA386" s="1016"/>
      <c r="BB386" s="1016"/>
      <c r="BC386" s="1016"/>
      <c r="BD386" s="1016"/>
      <c r="BE386" s="1016"/>
      <c r="BF386" s="1018"/>
    </row>
    <row r="387" spans="1:58" s="945" customFormat="1" ht="20.100000000000001" customHeight="1">
      <c r="A387" s="1036"/>
      <c r="B387" s="1037">
        <v>10</v>
      </c>
      <c r="C387" s="1038">
        <v>415</v>
      </c>
      <c r="D387" s="1040"/>
      <c r="E387" s="1040"/>
      <c r="F387" s="1041"/>
      <c r="G387" s="1028" t="s">
        <v>1335</v>
      </c>
      <c r="H387" s="1028" t="s">
        <v>1335</v>
      </c>
      <c r="I387" s="1028" t="s">
        <v>1335</v>
      </c>
      <c r="J387" s="1028" t="s">
        <v>1335</v>
      </c>
      <c r="K387" s="1028" t="s">
        <v>1335</v>
      </c>
      <c r="L387" s="958" t="s">
        <v>1335</v>
      </c>
      <c r="M387" s="1028" t="s">
        <v>1335</v>
      </c>
      <c r="N387" s="1028" t="s">
        <v>1335</v>
      </c>
      <c r="O387" s="1028" t="s">
        <v>1335</v>
      </c>
      <c r="P387" s="1028" t="s">
        <v>1335</v>
      </c>
      <c r="Q387" s="1028" t="s">
        <v>1335</v>
      </c>
      <c r="R387" s="1028" t="s">
        <v>1335</v>
      </c>
      <c r="S387" s="1028" t="s">
        <v>1335</v>
      </c>
      <c r="T387" s="1028" t="s">
        <v>1335</v>
      </c>
      <c r="U387" s="1028" t="s">
        <v>1335</v>
      </c>
      <c r="V387" s="1029" t="s">
        <v>1335</v>
      </c>
      <c r="W387" s="1029" t="s">
        <v>1335</v>
      </c>
      <c r="X387" s="1028"/>
      <c r="Y387" s="1030"/>
      <c r="Z387" s="1031"/>
      <c r="AA387" s="1043"/>
      <c r="AB387" s="1043"/>
      <c r="AC387" s="1043"/>
      <c r="AD387" s="1043"/>
      <c r="AE387" s="1043"/>
      <c r="AF387" s="1043"/>
      <c r="AG387" s="1043"/>
      <c r="AH387" s="1043"/>
      <c r="AI387" s="1043"/>
      <c r="AJ387" s="1043"/>
      <c r="AK387" s="1043"/>
      <c r="AL387" s="1043"/>
      <c r="AM387" s="1043"/>
      <c r="AN387" s="1043"/>
      <c r="AO387" s="1043"/>
      <c r="AP387" s="1043"/>
      <c r="AQ387" s="956">
        <f t="shared" si="77"/>
        <v>15</v>
      </c>
      <c r="AR387" s="956">
        <f t="shared" si="76"/>
        <v>2</v>
      </c>
      <c r="AS387" s="956">
        <f t="shared" si="78"/>
        <v>17</v>
      </c>
      <c r="AT387" s="956">
        <v>12</v>
      </c>
      <c r="AU387" s="981"/>
      <c r="AV387" s="981"/>
      <c r="AW387" s="981"/>
      <c r="AX387" s="1045"/>
      <c r="AY387" s="1045"/>
      <c r="AZ387" s="1015"/>
      <c r="BA387" s="1016"/>
      <c r="BB387" s="1016"/>
      <c r="BC387" s="1016"/>
      <c r="BD387" s="1016"/>
      <c r="BE387" s="1016"/>
      <c r="BF387" s="1018"/>
    </row>
    <row r="388" spans="1:58" s="945" customFormat="1" ht="20.100000000000001" customHeight="1">
      <c r="A388" s="1036"/>
      <c r="B388" s="1037">
        <v>10</v>
      </c>
      <c r="C388" s="1038">
        <v>416</v>
      </c>
      <c r="D388" s="1040"/>
      <c r="E388" s="1040"/>
      <c r="F388" s="1041"/>
      <c r="G388" s="1028" t="s">
        <v>1335</v>
      </c>
      <c r="H388" s="1028" t="s">
        <v>1335</v>
      </c>
      <c r="I388" s="1028" t="s">
        <v>1335</v>
      </c>
      <c r="J388" s="1028"/>
      <c r="K388" s="1028" t="s">
        <v>1335</v>
      </c>
      <c r="L388" s="958" t="s">
        <v>1335</v>
      </c>
      <c r="M388" s="1028" t="s">
        <v>1335</v>
      </c>
      <c r="N388" s="1028" t="s">
        <v>1335</v>
      </c>
      <c r="O388" s="1028" t="s">
        <v>1335</v>
      </c>
      <c r="P388" s="1028" t="s">
        <v>1335</v>
      </c>
      <c r="Q388" s="1028" t="s">
        <v>1335</v>
      </c>
      <c r="R388" s="1028" t="s">
        <v>1335</v>
      </c>
      <c r="S388" s="1028" t="s">
        <v>1335</v>
      </c>
      <c r="T388" s="1028" t="s">
        <v>1335</v>
      </c>
      <c r="U388" s="1028" t="s">
        <v>1335</v>
      </c>
      <c r="V388" s="1029" t="s">
        <v>1335</v>
      </c>
      <c r="W388" s="1029" t="s">
        <v>1335</v>
      </c>
      <c r="X388" s="1028"/>
      <c r="Y388" s="1030"/>
      <c r="Z388" s="1031"/>
      <c r="AA388" s="1043"/>
      <c r="AB388" s="1043"/>
      <c r="AC388" s="1043"/>
      <c r="AD388" s="1043"/>
      <c r="AE388" s="1043"/>
      <c r="AF388" s="1043"/>
      <c r="AG388" s="1043"/>
      <c r="AH388" s="1043"/>
      <c r="AI388" s="1043"/>
      <c r="AJ388" s="1043"/>
      <c r="AK388" s="1043"/>
      <c r="AL388" s="1043"/>
      <c r="AM388" s="1043"/>
      <c r="AN388" s="1043"/>
      <c r="AO388" s="1043"/>
      <c r="AP388" s="1043"/>
      <c r="AQ388" s="956">
        <f t="shared" si="77"/>
        <v>14</v>
      </c>
      <c r="AR388" s="956">
        <f t="shared" si="76"/>
        <v>2</v>
      </c>
      <c r="AS388" s="982">
        <f t="shared" si="78"/>
        <v>16</v>
      </c>
      <c r="AT388" s="982">
        <v>0</v>
      </c>
      <c r="AU388" s="981"/>
      <c r="AV388" s="981"/>
      <c r="AW388" s="981"/>
      <c r="AX388" s="1045"/>
      <c r="AY388" s="1045"/>
      <c r="AZ388" s="1015"/>
      <c r="BA388" s="1016"/>
      <c r="BB388" s="1016"/>
      <c r="BC388" s="1016"/>
      <c r="BD388" s="1016"/>
      <c r="BE388" s="1016"/>
      <c r="BF388" s="1018"/>
    </row>
    <row r="389" spans="1:58" s="945" customFormat="1" ht="20.100000000000001" customHeight="1">
      <c r="A389" s="1036"/>
      <c r="B389" s="1037">
        <v>10</v>
      </c>
      <c r="C389" s="1038">
        <v>417</v>
      </c>
      <c r="D389" s="1040"/>
      <c r="E389" s="1040"/>
      <c r="F389" s="1041"/>
      <c r="G389" s="1028" t="s">
        <v>1335</v>
      </c>
      <c r="H389" s="1028" t="s">
        <v>1335</v>
      </c>
      <c r="I389" s="1028" t="s">
        <v>1335</v>
      </c>
      <c r="J389" s="1028"/>
      <c r="K389" s="1028">
        <v>0</v>
      </c>
      <c r="L389" s="958" t="s">
        <v>1335</v>
      </c>
      <c r="M389" s="1028" t="s">
        <v>1335</v>
      </c>
      <c r="N389" s="1028" t="s">
        <v>1335</v>
      </c>
      <c r="O389" s="1028" t="s">
        <v>1335</v>
      </c>
      <c r="P389" s="1028" t="s">
        <v>1335</v>
      </c>
      <c r="Q389" s="1028" t="s">
        <v>1335</v>
      </c>
      <c r="R389" s="1028" t="s">
        <v>1335</v>
      </c>
      <c r="S389" s="1028" t="s">
        <v>1335</v>
      </c>
      <c r="T389" s="1028" t="s">
        <v>1335</v>
      </c>
      <c r="U389" s="1028" t="s">
        <v>1335</v>
      </c>
      <c r="V389" s="1029" t="s">
        <v>1335</v>
      </c>
      <c r="W389" s="1029" t="s">
        <v>1335</v>
      </c>
      <c r="X389" s="1028"/>
      <c r="Y389" s="1030"/>
      <c r="Z389" s="1031"/>
      <c r="AA389" s="1043"/>
      <c r="AB389" s="1043"/>
      <c r="AC389" s="1043"/>
      <c r="AD389" s="1043"/>
      <c r="AE389" s="1043"/>
      <c r="AF389" s="1043"/>
      <c r="AG389" s="1043"/>
      <c r="AH389" s="1043"/>
      <c r="AI389" s="1043"/>
      <c r="AJ389" s="1043"/>
      <c r="AK389" s="1043"/>
      <c r="AL389" s="1043"/>
      <c r="AM389" s="1043"/>
      <c r="AN389" s="1043"/>
      <c r="AO389" s="1043"/>
      <c r="AP389" s="1043"/>
      <c r="AQ389" s="956">
        <f t="shared" si="77"/>
        <v>13</v>
      </c>
      <c r="AR389" s="956">
        <f t="shared" si="76"/>
        <v>2</v>
      </c>
      <c r="AS389" s="956">
        <f t="shared" si="78"/>
        <v>15</v>
      </c>
      <c r="AT389" s="956">
        <v>12</v>
      </c>
      <c r="AU389" s="981"/>
      <c r="AV389" s="981"/>
      <c r="AW389" s="981"/>
      <c r="AX389" s="1045"/>
      <c r="AY389" s="1045"/>
      <c r="AZ389" s="1015"/>
      <c r="BA389" s="1016"/>
      <c r="BB389" s="1016"/>
      <c r="BC389" s="1016"/>
      <c r="BD389" s="1016"/>
      <c r="BE389" s="1016"/>
      <c r="BF389" s="1018"/>
    </row>
    <row r="390" spans="1:58" s="945" customFormat="1" ht="20.100000000000001" customHeight="1">
      <c r="A390" s="1036"/>
      <c r="B390" s="1037">
        <v>10</v>
      </c>
      <c r="C390" s="1038">
        <v>418</v>
      </c>
      <c r="D390" s="1040"/>
      <c r="E390" s="1040"/>
      <c r="F390" s="1041"/>
      <c r="G390" s="1028" t="s">
        <v>1335</v>
      </c>
      <c r="H390" s="1028" t="s">
        <v>1335</v>
      </c>
      <c r="I390" s="1028" t="s">
        <v>1335</v>
      </c>
      <c r="J390" s="1028" t="s">
        <v>1335</v>
      </c>
      <c r="K390" s="1028" t="s">
        <v>1335</v>
      </c>
      <c r="L390" s="958" t="s">
        <v>1335</v>
      </c>
      <c r="M390" s="1028" t="s">
        <v>1335</v>
      </c>
      <c r="N390" s="1028" t="s">
        <v>1335</v>
      </c>
      <c r="O390" s="1028" t="s">
        <v>1335</v>
      </c>
      <c r="P390" s="1028" t="s">
        <v>1335</v>
      </c>
      <c r="Q390" s="1028" t="s">
        <v>1335</v>
      </c>
      <c r="R390" s="1028" t="s">
        <v>1335</v>
      </c>
      <c r="S390" s="1028" t="s">
        <v>1335</v>
      </c>
      <c r="T390" s="1028" t="s">
        <v>1335</v>
      </c>
      <c r="U390" s="1028" t="s">
        <v>1335</v>
      </c>
      <c r="V390" s="1029" t="s">
        <v>1335</v>
      </c>
      <c r="W390" s="1029" t="s">
        <v>1335</v>
      </c>
      <c r="X390" s="1028"/>
      <c r="Y390" s="1030"/>
      <c r="Z390" s="1031"/>
      <c r="AA390" s="1043"/>
      <c r="AB390" s="1043"/>
      <c r="AC390" s="1043"/>
      <c r="AD390" s="1043"/>
      <c r="AE390" s="1043"/>
      <c r="AF390" s="1043"/>
      <c r="AG390" s="1043"/>
      <c r="AH390" s="1043"/>
      <c r="AI390" s="1043"/>
      <c r="AJ390" s="1043"/>
      <c r="AK390" s="1043"/>
      <c r="AL390" s="1043"/>
      <c r="AM390" s="1043"/>
      <c r="AN390" s="1043"/>
      <c r="AO390" s="1043"/>
      <c r="AP390" s="1043"/>
      <c r="AQ390" s="956">
        <f t="shared" si="77"/>
        <v>15</v>
      </c>
      <c r="AR390" s="956">
        <f t="shared" si="76"/>
        <v>2</v>
      </c>
      <c r="AS390" s="956">
        <f t="shared" si="78"/>
        <v>17</v>
      </c>
      <c r="AT390" s="956">
        <v>12</v>
      </c>
      <c r="AU390" s="981"/>
      <c r="AV390" s="981"/>
      <c r="AW390" s="981"/>
      <c r="AX390" s="1045"/>
      <c r="AY390" s="1045"/>
      <c r="AZ390" s="1015"/>
      <c r="BA390" s="1016"/>
      <c r="BB390" s="1016"/>
      <c r="BC390" s="1016"/>
      <c r="BD390" s="1016"/>
      <c r="BE390" s="1016"/>
      <c r="BF390" s="1018"/>
    </row>
    <row r="391" spans="1:58" s="945" customFormat="1" ht="20.100000000000001" customHeight="1">
      <c r="A391" s="1036"/>
      <c r="B391" s="1037">
        <v>10</v>
      </c>
      <c r="C391" s="1038">
        <v>419</v>
      </c>
      <c r="D391" s="1040"/>
      <c r="E391" s="1040"/>
      <c r="F391" s="1041"/>
      <c r="G391" s="1028" t="s">
        <v>1335</v>
      </c>
      <c r="H391" s="1028" t="s">
        <v>1335</v>
      </c>
      <c r="I391" s="1028" t="s">
        <v>1335</v>
      </c>
      <c r="J391" s="1028" t="s">
        <v>1335</v>
      </c>
      <c r="K391" s="1028" t="s">
        <v>1335</v>
      </c>
      <c r="L391" s="958" t="s">
        <v>1335</v>
      </c>
      <c r="M391" s="1028" t="s">
        <v>1335</v>
      </c>
      <c r="N391" s="1028" t="s">
        <v>1335</v>
      </c>
      <c r="O391" s="1028" t="s">
        <v>1335</v>
      </c>
      <c r="P391" s="1028" t="s">
        <v>1335</v>
      </c>
      <c r="Q391" s="1028" t="s">
        <v>1335</v>
      </c>
      <c r="R391" s="1028" t="s">
        <v>1335</v>
      </c>
      <c r="S391" s="1028" t="s">
        <v>1335</v>
      </c>
      <c r="T391" s="1028" t="s">
        <v>1335</v>
      </c>
      <c r="U391" s="1028" t="s">
        <v>1335</v>
      </c>
      <c r="V391" s="1029" t="s">
        <v>1335</v>
      </c>
      <c r="W391" s="1029" t="s">
        <v>1335</v>
      </c>
      <c r="X391" s="1028"/>
      <c r="Y391" s="1030"/>
      <c r="Z391" s="1031"/>
      <c r="AA391" s="1043"/>
      <c r="AB391" s="1043"/>
      <c r="AC391" s="1043"/>
      <c r="AD391" s="1043"/>
      <c r="AE391" s="1043"/>
      <c r="AF391" s="1043"/>
      <c r="AG391" s="1043"/>
      <c r="AH391" s="1043"/>
      <c r="AI391" s="1043"/>
      <c r="AJ391" s="1043"/>
      <c r="AK391" s="1043"/>
      <c r="AL391" s="1043"/>
      <c r="AM391" s="1043"/>
      <c r="AN391" s="1043"/>
      <c r="AO391" s="1043"/>
      <c r="AP391" s="1043"/>
      <c r="AQ391" s="956">
        <f t="shared" si="77"/>
        <v>15</v>
      </c>
      <c r="AR391" s="956">
        <f t="shared" si="76"/>
        <v>2</v>
      </c>
      <c r="AS391" s="956">
        <f t="shared" si="78"/>
        <v>17</v>
      </c>
      <c r="AT391" s="956">
        <v>12</v>
      </c>
      <c r="AU391" s="981"/>
      <c r="AV391" s="981"/>
      <c r="AW391" s="981"/>
      <c r="AX391" s="1045"/>
      <c r="AY391" s="1045"/>
      <c r="AZ391" s="1015"/>
      <c r="BA391" s="1016"/>
      <c r="BB391" s="1016"/>
      <c r="BC391" s="1016"/>
      <c r="BD391" s="1016"/>
      <c r="BE391" s="1016"/>
      <c r="BF391" s="1018"/>
    </row>
    <row r="392" spans="1:58" s="945" customFormat="1" ht="20.100000000000001" customHeight="1">
      <c r="A392" s="1036"/>
      <c r="B392" s="1037">
        <v>10</v>
      </c>
      <c r="C392" s="1038">
        <v>420</v>
      </c>
      <c r="D392" s="1040"/>
      <c r="E392" s="1040"/>
      <c r="F392" s="1041"/>
      <c r="G392" s="1028" t="s">
        <v>1335</v>
      </c>
      <c r="H392" s="1028" t="s">
        <v>1335</v>
      </c>
      <c r="I392" s="1028" t="s">
        <v>1335</v>
      </c>
      <c r="J392" s="1028"/>
      <c r="K392" s="1028" t="s">
        <v>1335</v>
      </c>
      <c r="L392" s="958" t="s">
        <v>1335</v>
      </c>
      <c r="M392" s="1028" t="s">
        <v>1335</v>
      </c>
      <c r="N392" s="1028" t="s">
        <v>1335</v>
      </c>
      <c r="O392" s="1028" t="s">
        <v>1335</v>
      </c>
      <c r="P392" s="1028" t="s">
        <v>1335</v>
      </c>
      <c r="Q392" s="1028" t="s">
        <v>1335</v>
      </c>
      <c r="R392" s="1028" t="s">
        <v>1335</v>
      </c>
      <c r="S392" s="1028" t="s">
        <v>1335</v>
      </c>
      <c r="T392" s="1028" t="s">
        <v>1335</v>
      </c>
      <c r="U392" s="1028" t="s">
        <v>1335</v>
      </c>
      <c r="V392" s="1029" t="s">
        <v>1335</v>
      </c>
      <c r="W392" s="1029" t="s">
        <v>1335</v>
      </c>
      <c r="X392" s="1028"/>
      <c r="Y392" s="1030"/>
      <c r="Z392" s="1031"/>
      <c r="AA392" s="1043"/>
      <c r="AB392" s="1043"/>
      <c r="AC392" s="1043"/>
      <c r="AD392" s="1043"/>
      <c r="AE392" s="1043"/>
      <c r="AF392" s="1043"/>
      <c r="AG392" s="1043"/>
      <c r="AH392" s="1043"/>
      <c r="AI392" s="1043"/>
      <c r="AJ392" s="1043"/>
      <c r="AK392" s="1043"/>
      <c r="AL392" s="1043"/>
      <c r="AM392" s="1043"/>
      <c r="AN392" s="1043"/>
      <c r="AO392" s="1043"/>
      <c r="AP392" s="1043"/>
      <c r="AQ392" s="956">
        <f t="shared" si="77"/>
        <v>14</v>
      </c>
      <c r="AR392" s="956">
        <f t="shared" si="76"/>
        <v>2</v>
      </c>
      <c r="AS392" s="956">
        <f t="shared" si="78"/>
        <v>16</v>
      </c>
      <c r="AT392" s="956">
        <v>12</v>
      </c>
      <c r="AU392" s="981"/>
      <c r="AV392" s="981"/>
      <c r="AW392" s="981"/>
      <c r="AX392" s="1045"/>
      <c r="AY392" s="1045"/>
      <c r="AZ392" s="1015"/>
      <c r="BA392" s="1016"/>
      <c r="BB392" s="1016"/>
      <c r="BC392" s="1016"/>
      <c r="BD392" s="1016"/>
      <c r="BE392" s="1016"/>
      <c r="BF392" s="1018"/>
    </row>
    <row r="393" spans="1:58" s="945" customFormat="1" ht="20.100000000000001" customHeight="1">
      <c r="A393" s="1036"/>
      <c r="B393" s="1037">
        <v>10</v>
      </c>
      <c r="C393" s="1038">
        <v>421</v>
      </c>
      <c r="D393" s="1040"/>
      <c r="E393" s="1040"/>
      <c r="F393" s="1041"/>
      <c r="G393" s="1028" t="s">
        <v>1335</v>
      </c>
      <c r="H393" s="1028" t="s">
        <v>1335</v>
      </c>
      <c r="I393" s="1028" t="s">
        <v>1335</v>
      </c>
      <c r="J393" s="1028"/>
      <c r="K393" s="1028" t="s">
        <v>1335</v>
      </c>
      <c r="L393" s="958" t="s">
        <v>1335</v>
      </c>
      <c r="M393" s="1028" t="s">
        <v>1335</v>
      </c>
      <c r="N393" s="1028" t="s">
        <v>1335</v>
      </c>
      <c r="O393" s="1028" t="s">
        <v>1335</v>
      </c>
      <c r="P393" s="1028" t="s">
        <v>1335</v>
      </c>
      <c r="Q393" s="1028" t="s">
        <v>1335</v>
      </c>
      <c r="R393" s="1028" t="s">
        <v>1335</v>
      </c>
      <c r="S393" s="1028" t="s">
        <v>1335</v>
      </c>
      <c r="T393" s="1028" t="s">
        <v>1335</v>
      </c>
      <c r="U393" s="1028" t="s">
        <v>1335</v>
      </c>
      <c r="V393" s="1029" t="s">
        <v>1335</v>
      </c>
      <c r="W393" s="1029" t="s">
        <v>1335</v>
      </c>
      <c r="X393" s="1028"/>
      <c r="Y393" s="1030"/>
      <c r="Z393" s="1031"/>
      <c r="AA393" s="1043"/>
      <c r="AB393" s="1043"/>
      <c r="AC393" s="1043"/>
      <c r="AD393" s="1043"/>
      <c r="AE393" s="1043"/>
      <c r="AF393" s="1043"/>
      <c r="AG393" s="1043"/>
      <c r="AH393" s="1043"/>
      <c r="AI393" s="1043"/>
      <c r="AJ393" s="1043"/>
      <c r="AK393" s="1043"/>
      <c r="AL393" s="1043"/>
      <c r="AM393" s="1043"/>
      <c r="AN393" s="1043"/>
      <c r="AO393" s="1043"/>
      <c r="AP393" s="1043"/>
      <c r="AQ393" s="956">
        <f t="shared" si="77"/>
        <v>14</v>
      </c>
      <c r="AR393" s="956">
        <f t="shared" si="76"/>
        <v>2</v>
      </c>
      <c r="AS393" s="956">
        <f t="shared" si="78"/>
        <v>16</v>
      </c>
      <c r="AT393" s="956">
        <v>12</v>
      </c>
      <c r="AU393" s="981"/>
      <c r="AV393" s="981"/>
      <c r="AW393" s="981"/>
      <c r="AX393" s="1045"/>
      <c r="AY393" s="1045"/>
      <c r="AZ393" s="1015"/>
      <c r="BA393" s="1016"/>
      <c r="BB393" s="1016"/>
      <c r="BC393" s="1016"/>
      <c r="BD393" s="1016"/>
      <c r="BE393" s="1016"/>
      <c r="BF393" s="1018"/>
    </row>
    <row r="394" spans="1:58" s="945" customFormat="1" ht="20.100000000000001" customHeight="1">
      <c r="A394" s="1036"/>
      <c r="B394" s="1037">
        <v>10</v>
      </c>
      <c r="C394" s="1038">
        <v>422</v>
      </c>
      <c r="D394" s="1040"/>
      <c r="E394" s="1040"/>
      <c r="F394" s="1041"/>
      <c r="G394" s="1028" t="s">
        <v>1335</v>
      </c>
      <c r="H394" s="1028" t="s">
        <v>1335</v>
      </c>
      <c r="I394" s="1028" t="s">
        <v>1335</v>
      </c>
      <c r="J394" s="1028" t="s">
        <v>1335</v>
      </c>
      <c r="K394" s="1028" t="s">
        <v>1335</v>
      </c>
      <c r="L394" s="958" t="s">
        <v>1335</v>
      </c>
      <c r="M394" s="1028" t="s">
        <v>1335</v>
      </c>
      <c r="N394" s="1028" t="s">
        <v>1335</v>
      </c>
      <c r="O394" s="1028" t="s">
        <v>1335</v>
      </c>
      <c r="P394" s="1028" t="s">
        <v>1335</v>
      </c>
      <c r="Q394" s="1028" t="s">
        <v>1335</v>
      </c>
      <c r="R394" s="1028" t="s">
        <v>1335</v>
      </c>
      <c r="S394" s="1028" t="s">
        <v>1335</v>
      </c>
      <c r="T394" s="1028" t="s">
        <v>1335</v>
      </c>
      <c r="U394" s="1028" t="s">
        <v>1335</v>
      </c>
      <c r="V394" s="1029" t="s">
        <v>1335</v>
      </c>
      <c r="W394" s="1029">
        <v>0</v>
      </c>
      <c r="X394" s="1028"/>
      <c r="Y394" s="1030"/>
      <c r="Z394" s="1031"/>
      <c r="AA394" s="1043"/>
      <c r="AB394" s="1043"/>
      <c r="AC394" s="1043"/>
      <c r="AD394" s="1043"/>
      <c r="AE394" s="1043"/>
      <c r="AF394" s="1043"/>
      <c r="AG394" s="1043"/>
      <c r="AH394" s="1043"/>
      <c r="AI394" s="1043"/>
      <c r="AJ394" s="1043"/>
      <c r="AK394" s="1043"/>
      <c r="AL394" s="1043"/>
      <c r="AM394" s="1043"/>
      <c r="AN394" s="1043"/>
      <c r="AO394" s="1043"/>
      <c r="AP394" s="1043"/>
      <c r="AQ394" s="956">
        <f t="shared" si="77"/>
        <v>15</v>
      </c>
      <c r="AR394" s="956">
        <f t="shared" si="76"/>
        <v>1</v>
      </c>
      <c r="AS394" s="956">
        <f t="shared" si="78"/>
        <v>16</v>
      </c>
      <c r="AT394" s="956">
        <v>12</v>
      </c>
      <c r="AU394" s="981"/>
      <c r="AV394" s="981"/>
      <c r="AW394" s="981"/>
      <c r="AX394" s="1045"/>
      <c r="AY394" s="1045"/>
      <c r="AZ394" s="1015"/>
      <c r="BA394" s="1016"/>
      <c r="BB394" s="1016"/>
      <c r="BC394" s="1016"/>
      <c r="BD394" s="1016"/>
      <c r="BE394" s="1016"/>
      <c r="BF394" s="1018"/>
    </row>
    <row r="395" spans="1:58" s="945" customFormat="1" ht="20.100000000000001" customHeight="1">
      <c r="A395" s="1036"/>
      <c r="B395" s="1037">
        <v>10</v>
      </c>
      <c r="C395" s="1038">
        <v>423</v>
      </c>
      <c r="D395" s="1040"/>
      <c r="E395" s="1040"/>
      <c r="F395" s="1041"/>
      <c r="G395" s="1028" t="s">
        <v>1335</v>
      </c>
      <c r="H395" s="1028" t="s">
        <v>1335</v>
      </c>
      <c r="I395" s="1028" t="s">
        <v>1335</v>
      </c>
      <c r="J395" s="1028" t="s">
        <v>1335</v>
      </c>
      <c r="K395" s="1028" t="s">
        <v>1335</v>
      </c>
      <c r="L395" s="958" t="s">
        <v>1335</v>
      </c>
      <c r="M395" s="1028" t="s">
        <v>1335</v>
      </c>
      <c r="N395" s="1028" t="s">
        <v>1335</v>
      </c>
      <c r="O395" s="1028" t="s">
        <v>1335</v>
      </c>
      <c r="P395" s="1028" t="s">
        <v>1335</v>
      </c>
      <c r="Q395" s="1028" t="s">
        <v>1335</v>
      </c>
      <c r="R395" s="1028" t="s">
        <v>1335</v>
      </c>
      <c r="S395" s="1028" t="s">
        <v>1335</v>
      </c>
      <c r="T395" s="1028" t="s">
        <v>1335</v>
      </c>
      <c r="U395" s="1028" t="s">
        <v>1335</v>
      </c>
      <c r="V395" s="1029" t="s">
        <v>1335</v>
      </c>
      <c r="W395" s="1029" t="s">
        <v>1335</v>
      </c>
      <c r="X395" s="1028"/>
      <c r="Y395" s="1030"/>
      <c r="Z395" s="1031"/>
      <c r="AA395" s="1043"/>
      <c r="AB395" s="1043"/>
      <c r="AC395" s="1043"/>
      <c r="AD395" s="1043"/>
      <c r="AE395" s="1043"/>
      <c r="AF395" s="1043"/>
      <c r="AG395" s="1043"/>
      <c r="AH395" s="1043"/>
      <c r="AI395" s="1043"/>
      <c r="AJ395" s="1043"/>
      <c r="AK395" s="1043"/>
      <c r="AL395" s="1043"/>
      <c r="AM395" s="1043"/>
      <c r="AN395" s="1043"/>
      <c r="AO395" s="1043"/>
      <c r="AP395" s="1043"/>
      <c r="AQ395" s="956">
        <f t="shared" si="77"/>
        <v>15</v>
      </c>
      <c r="AR395" s="956">
        <f t="shared" si="76"/>
        <v>2</v>
      </c>
      <c r="AS395" s="956">
        <f t="shared" si="78"/>
        <v>17</v>
      </c>
      <c r="AT395" s="956">
        <v>12</v>
      </c>
      <c r="AU395" s="981"/>
      <c r="AV395" s="981"/>
      <c r="AW395" s="981"/>
      <c r="AX395" s="1045"/>
      <c r="AY395" s="1045"/>
      <c r="AZ395" s="1015"/>
      <c r="BA395" s="1016"/>
      <c r="BB395" s="1016"/>
      <c r="BC395" s="1016"/>
      <c r="BD395" s="1016"/>
      <c r="BE395" s="1016"/>
      <c r="BF395" s="1018"/>
    </row>
    <row r="396" spans="1:58" s="945" customFormat="1" ht="20.100000000000001" customHeight="1">
      <c r="A396" s="1036"/>
      <c r="B396" s="1037">
        <v>10</v>
      </c>
      <c r="C396" s="1038">
        <v>424</v>
      </c>
      <c r="D396" s="1040"/>
      <c r="E396" s="1040"/>
      <c r="F396" s="1041"/>
      <c r="G396" s="1028" t="s">
        <v>1335</v>
      </c>
      <c r="H396" s="1028" t="s">
        <v>1335</v>
      </c>
      <c r="I396" s="1028">
        <v>0</v>
      </c>
      <c r="J396" s="1028"/>
      <c r="K396" s="1028" t="s">
        <v>1335</v>
      </c>
      <c r="L396" s="958" t="s">
        <v>1335</v>
      </c>
      <c r="M396" s="1028" t="s">
        <v>1335</v>
      </c>
      <c r="N396" s="1028" t="s">
        <v>1335</v>
      </c>
      <c r="O396" s="1028" t="s">
        <v>1335</v>
      </c>
      <c r="P396" s="1028">
        <v>0</v>
      </c>
      <c r="Q396" s="1028" t="s">
        <v>1335</v>
      </c>
      <c r="R396" s="1028" t="s">
        <v>1335</v>
      </c>
      <c r="S396" s="1028" t="s">
        <v>1335</v>
      </c>
      <c r="T396" s="1028" t="s">
        <v>1335</v>
      </c>
      <c r="U396" s="1028" t="s">
        <v>1335</v>
      </c>
      <c r="V396" s="1029">
        <v>0</v>
      </c>
      <c r="W396" s="1029">
        <v>0</v>
      </c>
      <c r="X396" s="1028"/>
      <c r="Y396" s="1030"/>
      <c r="Z396" s="1031"/>
      <c r="AA396" s="1043"/>
      <c r="AB396" s="1043"/>
      <c r="AC396" s="1043"/>
      <c r="AD396" s="1043"/>
      <c r="AE396" s="1043"/>
      <c r="AF396" s="1043"/>
      <c r="AG396" s="1043"/>
      <c r="AH396" s="1043"/>
      <c r="AI396" s="1043"/>
      <c r="AJ396" s="1043"/>
      <c r="AK396" s="1043"/>
      <c r="AL396" s="1043"/>
      <c r="AM396" s="1043"/>
      <c r="AN396" s="1043"/>
      <c r="AO396" s="1043"/>
      <c r="AP396" s="1043"/>
      <c r="AQ396" s="956">
        <f t="shared" si="77"/>
        <v>12</v>
      </c>
      <c r="AR396" s="956">
        <f t="shared" si="76"/>
        <v>0</v>
      </c>
      <c r="AS396" s="956">
        <f t="shared" si="78"/>
        <v>12</v>
      </c>
      <c r="AT396" s="956">
        <v>12</v>
      </c>
      <c r="AU396" s="981"/>
      <c r="AV396" s="981"/>
      <c r="AW396" s="981"/>
      <c r="AX396" s="1045"/>
      <c r="AY396" s="1045"/>
      <c r="AZ396" s="1015"/>
      <c r="BA396" s="1016"/>
      <c r="BB396" s="1016"/>
      <c r="BC396" s="1016"/>
      <c r="BD396" s="1016"/>
      <c r="BE396" s="1016"/>
      <c r="BF396" s="1018"/>
    </row>
    <row r="397" spans="1:58" s="945" customFormat="1" ht="20.100000000000001" customHeight="1">
      <c r="A397" s="1036"/>
      <c r="B397" s="1037">
        <v>10</v>
      </c>
      <c r="C397" s="1038">
        <v>425</v>
      </c>
      <c r="D397" s="1040"/>
      <c r="E397" s="1040"/>
      <c r="F397" s="1041"/>
      <c r="G397" s="1028" t="s">
        <v>1335</v>
      </c>
      <c r="H397" s="1028" t="s">
        <v>1335</v>
      </c>
      <c r="I397" s="1028" t="s">
        <v>1335</v>
      </c>
      <c r="J397" s="1028" t="s">
        <v>1335</v>
      </c>
      <c r="K397" s="1028" t="s">
        <v>1335</v>
      </c>
      <c r="L397" s="958" t="s">
        <v>1335</v>
      </c>
      <c r="M397" s="1028" t="s">
        <v>1335</v>
      </c>
      <c r="N397" s="1028" t="s">
        <v>1335</v>
      </c>
      <c r="O397" s="1028" t="s">
        <v>1335</v>
      </c>
      <c r="P397" s="1028">
        <v>0</v>
      </c>
      <c r="Q397" s="1028" t="s">
        <v>1335</v>
      </c>
      <c r="R397" s="1028" t="s">
        <v>1335</v>
      </c>
      <c r="S397" s="1028" t="s">
        <v>1335</v>
      </c>
      <c r="T397" s="1028" t="s">
        <v>1335</v>
      </c>
      <c r="U397" s="1028" t="s">
        <v>1335</v>
      </c>
      <c r="V397" s="1029" t="s">
        <v>1335</v>
      </c>
      <c r="W397" s="1029" t="s">
        <v>1335</v>
      </c>
      <c r="X397" s="1028"/>
      <c r="Y397" s="1030"/>
      <c r="Z397" s="1031"/>
      <c r="AA397" s="1043"/>
      <c r="AB397" s="1043"/>
      <c r="AC397" s="1043"/>
      <c r="AD397" s="1043"/>
      <c r="AE397" s="1043"/>
      <c r="AF397" s="1043"/>
      <c r="AG397" s="1043"/>
      <c r="AH397" s="1043"/>
      <c r="AI397" s="1043"/>
      <c r="AJ397" s="1043"/>
      <c r="AK397" s="1043"/>
      <c r="AL397" s="1043"/>
      <c r="AM397" s="1043"/>
      <c r="AN397" s="1043"/>
      <c r="AO397" s="1043"/>
      <c r="AP397" s="1043"/>
      <c r="AQ397" s="956">
        <f t="shared" si="77"/>
        <v>14</v>
      </c>
      <c r="AR397" s="956">
        <f t="shared" si="76"/>
        <v>2</v>
      </c>
      <c r="AS397" s="956">
        <f t="shared" si="78"/>
        <v>16</v>
      </c>
      <c r="AT397" s="956">
        <v>12</v>
      </c>
      <c r="AU397" s="981"/>
      <c r="AV397" s="981"/>
      <c r="AW397" s="981"/>
      <c r="AX397" s="1045"/>
      <c r="AY397" s="1045"/>
      <c r="AZ397" s="1015"/>
      <c r="BA397" s="1016"/>
      <c r="BB397" s="1016"/>
      <c r="BC397" s="1016"/>
      <c r="BD397" s="1016"/>
      <c r="BE397" s="1016"/>
      <c r="BF397" s="1018"/>
    </row>
    <row r="398" spans="1:58" s="945" customFormat="1" ht="20.100000000000001" customHeight="1">
      <c r="A398" s="1036"/>
      <c r="B398" s="1037">
        <v>10</v>
      </c>
      <c r="C398" s="1038">
        <v>426</v>
      </c>
      <c r="D398" s="1040"/>
      <c r="E398" s="1040"/>
      <c r="F398" s="1041"/>
      <c r="G398" s="1028" t="s">
        <v>1335</v>
      </c>
      <c r="H398" s="1028" t="s">
        <v>1335</v>
      </c>
      <c r="I398" s="1028" t="s">
        <v>1335</v>
      </c>
      <c r="J398" s="1028"/>
      <c r="K398" s="1028" t="s">
        <v>1335</v>
      </c>
      <c r="L398" s="958" t="s">
        <v>1335</v>
      </c>
      <c r="M398" s="1028" t="s">
        <v>1335</v>
      </c>
      <c r="N398" s="1028" t="s">
        <v>1335</v>
      </c>
      <c r="O398" s="1028" t="s">
        <v>1335</v>
      </c>
      <c r="P398" s="1028" t="s">
        <v>1335</v>
      </c>
      <c r="Q398" s="1028" t="s">
        <v>1335</v>
      </c>
      <c r="R398" s="1028" t="s">
        <v>1335</v>
      </c>
      <c r="S398" s="1028" t="s">
        <v>1335</v>
      </c>
      <c r="T398" s="1028" t="s">
        <v>1335</v>
      </c>
      <c r="U398" s="1028" t="s">
        <v>1335</v>
      </c>
      <c r="V398" s="1029" t="s">
        <v>1335</v>
      </c>
      <c r="W398" s="1029" t="s">
        <v>1335</v>
      </c>
      <c r="X398" s="1028"/>
      <c r="Y398" s="1030"/>
      <c r="Z398" s="1031"/>
      <c r="AA398" s="1043"/>
      <c r="AB398" s="1043"/>
      <c r="AC398" s="1043"/>
      <c r="AD398" s="1043"/>
      <c r="AE398" s="1043"/>
      <c r="AF398" s="1043"/>
      <c r="AG398" s="1043"/>
      <c r="AH398" s="1043"/>
      <c r="AI398" s="1043"/>
      <c r="AJ398" s="1043"/>
      <c r="AK398" s="1043"/>
      <c r="AL398" s="1043"/>
      <c r="AM398" s="1043"/>
      <c r="AN398" s="1043"/>
      <c r="AO398" s="1043"/>
      <c r="AP398" s="1043"/>
      <c r="AQ398" s="956">
        <f t="shared" si="77"/>
        <v>14</v>
      </c>
      <c r="AR398" s="956">
        <f t="shared" si="76"/>
        <v>2</v>
      </c>
      <c r="AS398" s="956">
        <f t="shared" si="78"/>
        <v>16</v>
      </c>
      <c r="AT398" s="956">
        <v>12</v>
      </c>
      <c r="AU398" s="981"/>
      <c r="AV398" s="981"/>
      <c r="AW398" s="981"/>
      <c r="AX398" s="1045"/>
      <c r="AY398" s="1045"/>
      <c r="AZ398" s="1015"/>
      <c r="BA398" s="1016"/>
      <c r="BB398" s="1016"/>
      <c r="BC398" s="1016"/>
      <c r="BD398" s="1016"/>
      <c r="BE398" s="1016"/>
      <c r="BF398" s="1018"/>
    </row>
    <row r="399" spans="1:58" s="945" customFormat="1" ht="20.100000000000001" customHeight="1">
      <c r="A399" s="1036"/>
      <c r="B399" s="1037">
        <v>10</v>
      </c>
      <c r="C399" s="1038">
        <v>427</v>
      </c>
      <c r="D399" s="1040"/>
      <c r="E399" s="1040"/>
      <c r="F399" s="1041"/>
      <c r="G399" s="1028" t="s">
        <v>1335</v>
      </c>
      <c r="H399" s="1028" t="s">
        <v>1335</v>
      </c>
      <c r="I399" s="1028" t="s">
        <v>1335</v>
      </c>
      <c r="J399" s="1028"/>
      <c r="K399" s="1028" t="s">
        <v>1335</v>
      </c>
      <c r="L399" s="958" t="s">
        <v>1335</v>
      </c>
      <c r="M399" s="1028" t="s">
        <v>1335</v>
      </c>
      <c r="N399" s="1028" t="s">
        <v>1335</v>
      </c>
      <c r="O399" s="1028" t="s">
        <v>1335</v>
      </c>
      <c r="P399" s="1028" t="s">
        <v>1335</v>
      </c>
      <c r="Q399" s="1028" t="s">
        <v>1335</v>
      </c>
      <c r="R399" s="1028" t="s">
        <v>1335</v>
      </c>
      <c r="S399" s="1028" t="s">
        <v>1335</v>
      </c>
      <c r="T399" s="1028" t="s">
        <v>1335</v>
      </c>
      <c r="U399" s="1028" t="s">
        <v>1335</v>
      </c>
      <c r="V399" s="1029">
        <v>0</v>
      </c>
      <c r="W399" s="1029" t="s">
        <v>1335</v>
      </c>
      <c r="X399" s="1028"/>
      <c r="Y399" s="1030"/>
      <c r="Z399" s="1031"/>
      <c r="AA399" s="1043"/>
      <c r="AB399" s="1043"/>
      <c r="AC399" s="1043"/>
      <c r="AD399" s="1043"/>
      <c r="AE399" s="1043"/>
      <c r="AF399" s="1043"/>
      <c r="AG399" s="1043"/>
      <c r="AH399" s="1043"/>
      <c r="AI399" s="1043"/>
      <c r="AJ399" s="1043"/>
      <c r="AK399" s="1043"/>
      <c r="AL399" s="1043"/>
      <c r="AM399" s="1043"/>
      <c r="AN399" s="1043"/>
      <c r="AO399" s="1043"/>
      <c r="AP399" s="1043"/>
      <c r="AQ399" s="956">
        <f t="shared" si="77"/>
        <v>14</v>
      </c>
      <c r="AR399" s="956">
        <f t="shared" si="76"/>
        <v>1</v>
      </c>
      <c r="AS399" s="956">
        <f t="shared" si="78"/>
        <v>15</v>
      </c>
      <c r="AT399" s="956">
        <v>12</v>
      </c>
      <c r="AU399" s="981"/>
      <c r="AV399" s="981"/>
      <c r="AW399" s="981"/>
      <c r="AX399" s="1045"/>
      <c r="AY399" s="1045"/>
      <c r="AZ399" s="1015"/>
      <c r="BA399" s="1016"/>
      <c r="BB399" s="1016"/>
      <c r="BC399" s="1016"/>
      <c r="BD399" s="1016"/>
      <c r="BE399" s="1016"/>
      <c r="BF399" s="1018"/>
    </row>
    <row r="400" spans="1:58" s="947" customFormat="1" ht="31.2" customHeight="1">
      <c r="A400" s="1046"/>
      <c r="B400" s="1039"/>
      <c r="C400" s="1036"/>
      <c r="D400" s="1047"/>
      <c r="E400" s="1047"/>
      <c r="F400" s="1048"/>
      <c r="G400" s="998">
        <f>COUNTIF(G316:G399,"X")</f>
        <v>74</v>
      </c>
      <c r="H400" s="998">
        <f t="shared" ref="H400:U400" si="79">COUNTIF(H316:H399,"X")</f>
        <v>84</v>
      </c>
      <c r="I400" s="998">
        <f t="shared" si="79"/>
        <v>82</v>
      </c>
      <c r="J400" s="998">
        <f t="shared" si="79"/>
        <v>13</v>
      </c>
      <c r="K400" s="998">
        <f t="shared" si="79"/>
        <v>69</v>
      </c>
      <c r="L400" s="998">
        <f t="shared" si="79"/>
        <v>83</v>
      </c>
      <c r="M400" s="998">
        <f t="shared" si="79"/>
        <v>76</v>
      </c>
      <c r="N400" s="998">
        <f t="shared" si="79"/>
        <v>84</v>
      </c>
      <c r="O400" s="998">
        <f t="shared" si="79"/>
        <v>81</v>
      </c>
      <c r="P400" s="998">
        <f t="shared" si="79"/>
        <v>72</v>
      </c>
      <c r="Q400" s="998">
        <f t="shared" si="79"/>
        <v>79</v>
      </c>
      <c r="R400" s="998">
        <f t="shared" si="79"/>
        <v>83</v>
      </c>
      <c r="S400" s="998">
        <f t="shared" si="79"/>
        <v>84</v>
      </c>
      <c r="T400" s="998">
        <f t="shared" si="79"/>
        <v>83</v>
      </c>
      <c r="U400" s="998">
        <f t="shared" si="79"/>
        <v>84</v>
      </c>
      <c r="V400" s="998">
        <f t="shared" ref="V400:AP400" si="80">COUNTIF(V316:V399,"x")</f>
        <v>60</v>
      </c>
      <c r="W400" s="998">
        <f t="shared" si="80"/>
        <v>64</v>
      </c>
      <c r="X400" s="998">
        <f t="shared" si="80"/>
        <v>0</v>
      </c>
      <c r="Y400" s="998">
        <f t="shared" si="80"/>
        <v>0</v>
      </c>
      <c r="Z400" s="998">
        <f t="shared" si="80"/>
        <v>0</v>
      </c>
      <c r="AA400" s="998">
        <f t="shared" si="80"/>
        <v>0</v>
      </c>
      <c r="AB400" s="998">
        <f t="shared" si="80"/>
        <v>0</v>
      </c>
      <c r="AC400" s="998">
        <f t="shared" si="80"/>
        <v>0</v>
      </c>
      <c r="AD400" s="998">
        <f t="shared" si="80"/>
        <v>0</v>
      </c>
      <c r="AE400" s="998">
        <f t="shared" si="80"/>
        <v>0</v>
      </c>
      <c r="AF400" s="998">
        <f t="shared" si="80"/>
        <v>0</v>
      </c>
      <c r="AG400" s="998">
        <f t="shared" si="80"/>
        <v>0</v>
      </c>
      <c r="AH400" s="998">
        <f t="shared" si="80"/>
        <v>0</v>
      </c>
      <c r="AI400" s="998">
        <f t="shared" si="80"/>
        <v>0</v>
      </c>
      <c r="AJ400" s="998">
        <f t="shared" si="80"/>
        <v>0</v>
      </c>
      <c r="AK400" s="998">
        <f t="shared" si="80"/>
        <v>0</v>
      </c>
      <c r="AL400" s="998">
        <f t="shared" si="80"/>
        <v>0</v>
      </c>
      <c r="AM400" s="998">
        <f t="shared" si="80"/>
        <v>0</v>
      </c>
      <c r="AN400" s="998">
        <f t="shared" si="80"/>
        <v>0</v>
      </c>
      <c r="AO400" s="998">
        <f t="shared" si="80"/>
        <v>0</v>
      </c>
      <c r="AP400" s="998">
        <f t="shared" si="80"/>
        <v>0</v>
      </c>
      <c r="AQ400" s="1052">
        <f t="shared" ref="AQ400:AW400" si="81">SUM(AQ316:AQ399)</f>
        <v>1131</v>
      </c>
      <c r="AR400" s="1052">
        <f t="shared" si="81"/>
        <v>124</v>
      </c>
      <c r="AS400" s="1052">
        <f t="shared" si="81"/>
        <v>1255</v>
      </c>
      <c r="AT400" s="1052">
        <f t="shared" si="81"/>
        <v>897</v>
      </c>
      <c r="AU400" s="1052"/>
      <c r="AV400" s="1052"/>
      <c r="AW400" s="1052">
        <f t="shared" si="81"/>
        <v>0</v>
      </c>
      <c r="AX400" s="1051">
        <f>SUM(AX358:AX399)</f>
        <v>0</v>
      </c>
      <c r="AY400" s="1051">
        <f>SUM(AY358:AY399)</f>
        <v>0</v>
      </c>
      <c r="AZ400" s="1051">
        <f>SUM(AZ358:AZ399)</f>
        <v>0</v>
      </c>
      <c r="BA400" s="1055"/>
      <c r="BB400" s="1055"/>
      <c r="BC400" s="1055"/>
      <c r="BD400" s="1055"/>
      <c r="BE400" s="1055"/>
      <c r="BF400" s="1057"/>
    </row>
    <row r="401" spans="1:58" s="947" customFormat="1" ht="31.2" customHeight="1">
      <c r="A401" s="1046"/>
      <c r="B401" s="1049"/>
      <c r="C401" s="1036"/>
      <c r="D401" s="1047"/>
      <c r="E401" s="1047"/>
      <c r="F401" s="1048"/>
      <c r="G401" s="1026">
        <f>84-G400</f>
        <v>10</v>
      </c>
      <c r="H401" s="1026">
        <f t="shared" ref="H401:U401" si="82">84-H400</f>
        <v>0</v>
      </c>
      <c r="I401" s="1026">
        <f t="shared" si="82"/>
        <v>2</v>
      </c>
      <c r="J401" s="1026">
        <f t="shared" si="82"/>
        <v>71</v>
      </c>
      <c r="K401" s="1026">
        <f t="shared" si="82"/>
        <v>15</v>
      </c>
      <c r="L401" s="1026">
        <f t="shared" si="82"/>
        <v>1</v>
      </c>
      <c r="M401" s="1026">
        <f t="shared" si="82"/>
        <v>8</v>
      </c>
      <c r="N401" s="1026">
        <f t="shared" si="82"/>
        <v>0</v>
      </c>
      <c r="O401" s="1026">
        <f t="shared" si="82"/>
        <v>3</v>
      </c>
      <c r="P401" s="1026">
        <f t="shared" si="82"/>
        <v>12</v>
      </c>
      <c r="Q401" s="1026">
        <f t="shared" si="82"/>
        <v>5</v>
      </c>
      <c r="R401" s="1026">
        <f t="shared" si="82"/>
        <v>1</v>
      </c>
      <c r="S401" s="1026">
        <f t="shared" si="82"/>
        <v>0</v>
      </c>
      <c r="T401" s="1026">
        <f t="shared" si="82"/>
        <v>1</v>
      </c>
      <c r="U401" s="1026">
        <f t="shared" si="82"/>
        <v>0</v>
      </c>
      <c r="V401" s="1002">
        <f t="shared" ref="V401:AP401" si="83">84-V400</f>
        <v>24</v>
      </c>
      <c r="W401" s="1002">
        <f t="shared" si="83"/>
        <v>20</v>
      </c>
      <c r="X401" s="1002">
        <f t="shared" si="83"/>
        <v>84</v>
      </c>
      <c r="Y401" s="1002">
        <f t="shared" si="83"/>
        <v>84</v>
      </c>
      <c r="Z401" s="1002">
        <f t="shared" si="83"/>
        <v>84</v>
      </c>
      <c r="AA401" s="1002">
        <f t="shared" si="83"/>
        <v>84</v>
      </c>
      <c r="AB401" s="1002">
        <f t="shared" si="83"/>
        <v>84</v>
      </c>
      <c r="AC401" s="1002">
        <f t="shared" si="83"/>
        <v>84</v>
      </c>
      <c r="AD401" s="1002">
        <f t="shared" si="83"/>
        <v>84</v>
      </c>
      <c r="AE401" s="1002">
        <f t="shared" si="83"/>
        <v>84</v>
      </c>
      <c r="AF401" s="1002">
        <f t="shared" si="83"/>
        <v>84</v>
      </c>
      <c r="AG401" s="1002">
        <f t="shared" si="83"/>
        <v>84</v>
      </c>
      <c r="AH401" s="1002">
        <f t="shared" si="83"/>
        <v>84</v>
      </c>
      <c r="AI401" s="1002">
        <f t="shared" si="83"/>
        <v>84</v>
      </c>
      <c r="AJ401" s="1002">
        <f t="shared" si="83"/>
        <v>84</v>
      </c>
      <c r="AK401" s="1002">
        <f t="shared" si="83"/>
        <v>84</v>
      </c>
      <c r="AL401" s="1002">
        <f t="shared" si="83"/>
        <v>84</v>
      </c>
      <c r="AM401" s="1002">
        <f t="shared" si="83"/>
        <v>84</v>
      </c>
      <c r="AN401" s="1002">
        <f t="shared" si="83"/>
        <v>84</v>
      </c>
      <c r="AO401" s="1002">
        <f t="shared" si="83"/>
        <v>84</v>
      </c>
      <c r="AP401" s="1002">
        <f t="shared" si="83"/>
        <v>84</v>
      </c>
      <c r="AQ401" s="1002"/>
      <c r="AR401" s="1002"/>
      <c r="AS401" s="1002"/>
      <c r="AT401" s="1053"/>
      <c r="AU401" s="1054"/>
      <c r="AV401" s="1054"/>
      <c r="AW401" s="1054"/>
      <c r="AX401" s="1056"/>
      <c r="AY401" s="1056"/>
      <c r="AZ401" s="1056"/>
      <c r="BA401" s="1055"/>
      <c r="BB401" s="1055"/>
      <c r="BC401" s="1055"/>
      <c r="BD401" s="1055"/>
      <c r="BE401" s="1055"/>
      <c r="BF401" s="1057"/>
    </row>
    <row r="402" spans="1:58" s="947" customFormat="1" ht="26.4" customHeight="1">
      <c r="A402" s="1046"/>
      <c r="B402" s="1050">
        <v>8</v>
      </c>
      <c r="C402" s="1038">
        <v>293</v>
      </c>
      <c r="D402" s="1047"/>
      <c r="E402" s="1047"/>
      <c r="F402" s="1048"/>
      <c r="G402" s="1028">
        <v>0</v>
      </c>
      <c r="H402" s="1028" t="s">
        <v>1335</v>
      </c>
      <c r="I402" s="1028" t="s">
        <v>1335</v>
      </c>
      <c r="J402" s="1028"/>
      <c r="K402" s="1028">
        <v>0</v>
      </c>
      <c r="L402" s="958" t="s">
        <v>1335</v>
      </c>
      <c r="M402" s="1028" t="s">
        <v>1335</v>
      </c>
      <c r="N402" s="1028" t="s">
        <v>1335</v>
      </c>
      <c r="O402" s="1028" t="s">
        <v>1335</v>
      </c>
      <c r="P402" s="1028" t="s">
        <v>1335</v>
      </c>
      <c r="Q402" s="1028" t="s">
        <v>1335</v>
      </c>
      <c r="R402" s="1028" t="s">
        <v>1335</v>
      </c>
      <c r="S402" s="1028" t="s">
        <v>1335</v>
      </c>
      <c r="T402" s="1028" t="s">
        <v>1335</v>
      </c>
      <c r="U402" s="1028" t="s">
        <v>1335</v>
      </c>
      <c r="V402" s="1029"/>
      <c r="W402" s="1029"/>
      <c r="X402" s="1028"/>
      <c r="Y402" s="1030"/>
      <c r="Z402" s="1031"/>
      <c r="AA402" s="1051"/>
      <c r="AB402" s="1051"/>
      <c r="AC402" s="1051"/>
      <c r="AD402" s="1051"/>
      <c r="AE402" s="1051"/>
      <c r="AF402" s="1051"/>
      <c r="AG402" s="1051"/>
      <c r="AH402" s="1051"/>
      <c r="AI402" s="1051"/>
      <c r="AJ402" s="1051"/>
      <c r="AK402" s="1051"/>
      <c r="AL402" s="1051"/>
      <c r="AM402" s="1051"/>
      <c r="AN402" s="1051"/>
      <c r="AO402" s="1051"/>
      <c r="AP402" s="1051"/>
      <c r="AQ402" s="956">
        <f t="shared" ref="AQ402:AQ453" si="84">COUNTIF(G402:U402,"X")</f>
        <v>12</v>
      </c>
      <c r="AR402" s="956">
        <f t="shared" ref="AR402:AR452" si="85">COUNTIF(V402:AA402,"X")</f>
        <v>0</v>
      </c>
      <c r="AS402" s="956">
        <f t="shared" ref="AS402:AS455" si="86">AQ402+AR402</f>
        <v>12</v>
      </c>
      <c r="AT402" s="982">
        <v>10</v>
      </c>
      <c r="AU402" s="981"/>
      <c r="AV402" s="981"/>
      <c r="AW402" s="981"/>
      <c r="AX402" s="1045"/>
      <c r="AY402" s="1045"/>
      <c r="AZ402" s="1015"/>
      <c r="BA402" s="1016"/>
      <c r="BB402" s="1016"/>
      <c r="BC402" s="1016"/>
      <c r="BD402" s="1016"/>
      <c r="BE402" s="1016"/>
      <c r="BF402" s="1057"/>
    </row>
    <row r="403" spans="1:58" s="947" customFormat="1" ht="26.4" customHeight="1">
      <c r="A403" s="1046"/>
      <c r="B403" s="1050">
        <v>8</v>
      </c>
      <c r="C403" s="1038">
        <v>294</v>
      </c>
      <c r="D403" s="1047"/>
      <c r="E403" s="1047"/>
      <c r="F403" s="1048"/>
      <c r="G403" s="1028" t="s">
        <v>1335</v>
      </c>
      <c r="H403" s="1028" t="s">
        <v>1335</v>
      </c>
      <c r="I403" s="1028">
        <v>0</v>
      </c>
      <c r="J403" s="1028"/>
      <c r="K403" s="1028">
        <v>0</v>
      </c>
      <c r="L403" s="958" t="s">
        <v>1335</v>
      </c>
      <c r="M403" s="1028" t="s">
        <v>1335</v>
      </c>
      <c r="N403" s="1028" t="s">
        <v>1335</v>
      </c>
      <c r="O403" s="1028" t="s">
        <v>1335</v>
      </c>
      <c r="P403" s="1028" t="s">
        <v>1335</v>
      </c>
      <c r="Q403" s="1028" t="s">
        <v>1335</v>
      </c>
      <c r="R403" s="1028" t="s">
        <v>1335</v>
      </c>
      <c r="S403" s="1028" t="s">
        <v>1335</v>
      </c>
      <c r="T403" s="1028" t="s">
        <v>1335</v>
      </c>
      <c r="U403" s="1028" t="s">
        <v>1335</v>
      </c>
      <c r="V403" s="1029"/>
      <c r="W403" s="1029"/>
      <c r="X403" s="1028"/>
      <c r="Y403" s="1030"/>
      <c r="Z403" s="1031"/>
      <c r="AA403" s="1051"/>
      <c r="AB403" s="1051"/>
      <c r="AC403" s="1051"/>
      <c r="AD403" s="1051"/>
      <c r="AE403" s="1051"/>
      <c r="AF403" s="1051"/>
      <c r="AG403" s="1051"/>
      <c r="AH403" s="1051"/>
      <c r="AI403" s="1051"/>
      <c r="AJ403" s="1051"/>
      <c r="AK403" s="1051"/>
      <c r="AL403" s="1051"/>
      <c r="AM403" s="1051"/>
      <c r="AN403" s="1051"/>
      <c r="AO403" s="1051"/>
      <c r="AP403" s="1051"/>
      <c r="AQ403" s="956">
        <f t="shared" si="84"/>
        <v>12</v>
      </c>
      <c r="AR403" s="956">
        <f t="shared" si="85"/>
        <v>0</v>
      </c>
      <c r="AS403" s="956">
        <f t="shared" si="86"/>
        <v>12</v>
      </c>
      <c r="AT403" s="982">
        <v>9</v>
      </c>
      <c r="AU403" s="981"/>
      <c r="AV403" s="981"/>
      <c r="AW403" s="981"/>
      <c r="AX403" s="1045"/>
      <c r="AY403" s="1045"/>
      <c r="AZ403" s="1015"/>
      <c r="BA403" s="1016"/>
      <c r="BB403" s="1016"/>
      <c r="BC403" s="1016"/>
      <c r="BD403" s="1016"/>
      <c r="BE403" s="1016"/>
      <c r="BF403" s="1057"/>
    </row>
    <row r="404" spans="1:58" s="947" customFormat="1" ht="26.4" customHeight="1">
      <c r="A404" s="1046"/>
      <c r="B404" s="1050">
        <v>8</v>
      </c>
      <c r="C404" s="1038">
        <v>295</v>
      </c>
      <c r="D404" s="1047"/>
      <c r="E404" s="1047"/>
      <c r="F404" s="1048"/>
      <c r="G404" s="1028" t="s">
        <v>1335</v>
      </c>
      <c r="H404" s="1028" t="s">
        <v>1335</v>
      </c>
      <c r="I404" s="1028">
        <v>0</v>
      </c>
      <c r="J404" s="1028"/>
      <c r="K404" s="1028">
        <v>0</v>
      </c>
      <c r="L404" s="958" t="s">
        <v>1335</v>
      </c>
      <c r="M404" s="1028" t="s">
        <v>1335</v>
      </c>
      <c r="N404" s="1028" t="s">
        <v>1335</v>
      </c>
      <c r="O404" s="1028" t="s">
        <v>1335</v>
      </c>
      <c r="P404" s="1028" t="s">
        <v>1335</v>
      </c>
      <c r="Q404" s="1028" t="s">
        <v>1335</v>
      </c>
      <c r="R404" s="1028" t="s">
        <v>1335</v>
      </c>
      <c r="S404" s="1028" t="s">
        <v>1335</v>
      </c>
      <c r="T404" s="1028" t="s">
        <v>1335</v>
      </c>
      <c r="U404" s="1028" t="s">
        <v>1335</v>
      </c>
      <c r="V404" s="1029"/>
      <c r="W404" s="1029"/>
      <c r="X404" s="1028"/>
      <c r="Y404" s="1030"/>
      <c r="Z404" s="1031"/>
      <c r="AA404" s="1051"/>
      <c r="AB404" s="1051"/>
      <c r="AC404" s="1051"/>
      <c r="AD404" s="1051"/>
      <c r="AE404" s="1051"/>
      <c r="AF404" s="1051"/>
      <c r="AG404" s="1051"/>
      <c r="AH404" s="1051"/>
      <c r="AI404" s="1051"/>
      <c r="AJ404" s="1051"/>
      <c r="AK404" s="1051"/>
      <c r="AL404" s="1051"/>
      <c r="AM404" s="1051"/>
      <c r="AN404" s="1051"/>
      <c r="AO404" s="1051"/>
      <c r="AP404" s="1051"/>
      <c r="AQ404" s="956">
        <f t="shared" si="84"/>
        <v>12</v>
      </c>
      <c r="AR404" s="956">
        <f t="shared" si="85"/>
        <v>0</v>
      </c>
      <c r="AS404" s="956">
        <f t="shared" si="86"/>
        <v>12</v>
      </c>
      <c r="AT404" s="956">
        <v>12</v>
      </c>
      <c r="AU404" s="981"/>
      <c r="AV404" s="981"/>
      <c r="AW404" s="981"/>
      <c r="AX404" s="1045"/>
      <c r="AY404" s="1045"/>
      <c r="AZ404" s="1015"/>
      <c r="BA404" s="1016"/>
      <c r="BB404" s="1016"/>
      <c r="BC404" s="1016"/>
      <c r="BD404" s="1016"/>
      <c r="BE404" s="1016"/>
      <c r="BF404" s="1057"/>
    </row>
    <row r="405" spans="1:58" s="947" customFormat="1" ht="26.4" customHeight="1">
      <c r="A405" s="1046"/>
      <c r="B405" s="1050">
        <v>8</v>
      </c>
      <c r="C405" s="1038">
        <v>296</v>
      </c>
      <c r="D405" s="1047"/>
      <c r="E405" s="1047"/>
      <c r="F405" s="1048"/>
      <c r="G405" s="1028">
        <v>0</v>
      </c>
      <c r="H405" s="1028" t="s">
        <v>1335</v>
      </c>
      <c r="I405" s="1028" t="s">
        <v>1335</v>
      </c>
      <c r="J405" s="1028"/>
      <c r="K405" s="1028">
        <v>0</v>
      </c>
      <c r="L405" s="958" t="s">
        <v>1335</v>
      </c>
      <c r="M405" s="1028" t="s">
        <v>1335</v>
      </c>
      <c r="N405" s="1028" t="s">
        <v>1335</v>
      </c>
      <c r="O405" s="1028" t="s">
        <v>1335</v>
      </c>
      <c r="P405" s="1028" t="s">
        <v>1335</v>
      </c>
      <c r="Q405" s="1028" t="s">
        <v>1335</v>
      </c>
      <c r="R405" s="1028" t="s">
        <v>1335</v>
      </c>
      <c r="S405" s="1028" t="s">
        <v>1335</v>
      </c>
      <c r="T405" s="1028" t="s">
        <v>1335</v>
      </c>
      <c r="U405" s="1028" t="s">
        <v>1335</v>
      </c>
      <c r="V405" s="1029"/>
      <c r="W405" s="1029"/>
      <c r="X405" s="1028"/>
      <c r="Y405" s="1030"/>
      <c r="Z405" s="1031"/>
      <c r="AA405" s="1051"/>
      <c r="AB405" s="1051"/>
      <c r="AC405" s="1051"/>
      <c r="AD405" s="1051"/>
      <c r="AE405" s="1051"/>
      <c r="AF405" s="1051"/>
      <c r="AG405" s="1051"/>
      <c r="AH405" s="1051"/>
      <c r="AI405" s="1051"/>
      <c r="AJ405" s="1051"/>
      <c r="AK405" s="1051"/>
      <c r="AL405" s="1051"/>
      <c r="AM405" s="1051"/>
      <c r="AN405" s="1051"/>
      <c r="AO405" s="1051"/>
      <c r="AP405" s="1051"/>
      <c r="AQ405" s="956">
        <f t="shared" si="84"/>
        <v>12</v>
      </c>
      <c r="AR405" s="956">
        <f t="shared" si="85"/>
        <v>0</v>
      </c>
      <c r="AS405" s="956">
        <f t="shared" si="86"/>
        <v>12</v>
      </c>
      <c r="AT405" s="982">
        <v>10</v>
      </c>
      <c r="AU405" s="981"/>
      <c r="AV405" s="981"/>
      <c r="AW405" s="981"/>
      <c r="AX405" s="1045"/>
      <c r="AY405" s="1045"/>
      <c r="AZ405" s="1015"/>
      <c r="BA405" s="1016"/>
      <c r="BB405" s="1016"/>
      <c r="BC405" s="1016"/>
      <c r="BD405" s="1016"/>
      <c r="BE405" s="1016"/>
      <c r="BF405" s="1057"/>
    </row>
    <row r="406" spans="1:58" s="947" customFormat="1" ht="26.4" customHeight="1">
      <c r="A406" s="1046"/>
      <c r="B406" s="1050">
        <v>8</v>
      </c>
      <c r="C406" s="1038">
        <v>297</v>
      </c>
      <c r="D406" s="1047"/>
      <c r="E406" s="1047"/>
      <c r="F406" s="1048"/>
      <c r="G406" s="1028" t="s">
        <v>1335</v>
      </c>
      <c r="H406" s="1028" t="s">
        <v>1335</v>
      </c>
      <c r="I406" s="1028" t="s">
        <v>1335</v>
      </c>
      <c r="J406" s="1028"/>
      <c r="K406" s="1028">
        <v>0</v>
      </c>
      <c r="L406" s="958" t="s">
        <v>1335</v>
      </c>
      <c r="M406" s="1028" t="s">
        <v>1335</v>
      </c>
      <c r="N406" s="1028" t="s">
        <v>1335</v>
      </c>
      <c r="O406" s="1028" t="s">
        <v>1335</v>
      </c>
      <c r="P406" s="1028" t="s">
        <v>1335</v>
      </c>
      <c r="Q406" s="1028" t="s">
        <v>1335</v>
      </c>
      <c r="R406" s="1028" t="s">
        <v>1335</v>
      </c>
      <c r="S406" s="1028" t="s">
        <v>1335</v>
      </c>
      <c r="T406" s="1028" t="s">
        <v>1335</v>
      </c>
      <c r="U406" s="1028" t="s">
        <v>1335</v>
      </c>
      <c r="V406" s="1029"/>
      <c r="W406" s="1029"/>
      <c r="X406" s="1028"/>
      <c r="Y406" s="1030" t="s">
        <v>1335</v>
      </c>
      <c r="Z406" s="1031"/>
      <c r="AA406" s="1051"/>
      <c r="AB406" s="1051"/>
      <c r="AC406" s="1051"/>
      <c r="AD406" s="1051"/>
      <c r="AE406" s="1051"/>
      <c r="AF406" s="1051"/>
      <c r="AG406" s="1051"/>
      <c r="AH406" s="1051"/>
      <c r="AI406" s="1051"/>
      <c r="AJ406" s="1051"/>
      <c r="AK406" s="1051"/>
      <c r="AL406" s="1051"/>
      <c r="AM406" s="1051"/>
      <c r="AN406" s="1051"/>
      <c r="AO406" s="1051"/>
      <c r="AP406" s="1051"/>
      <c r="AQ406" s="956">
        <f t="shared" si="84"/>
        <v>13</v>
      </c>
      <c r="AR406" s="956">
        <f t="shared" si="85"/>
        <v>1</v>
      </c>
      <c r="AS406" s="956">
        <f t="shared" si="86"/>
        <v>14</v>
      </c>
      <c r="AT406" s="956">
        <v>12</v>
      </c>
      <c r="AU406" s="981"/>
      <c r="AV406" s="981"/>
      <c r="AW406" s="981"/>
      <c r="AX406" s="1045"/>
      <c r="AY406" s="1045"/>
      <c r="AZ406" s="1015"/>
      <c r="BA406" s="1016"/>
      <c r="BB406" s="1016"/>
      <c r="BC406" s="1016"/>
      <c r="BD406" s="1016"/>
      <c r="BE406" s="1016"/>
      <c r="BF406" s="1057"/>
    </row>
    <row r="407" spans="1:58" s="947" customFormat="1" ht="26.4" customHeight="1">
      <c r="A407" s="1046"/>
      <c r="B407" s="1050">
        <v>8</v>
      </c>
      <c r="C407" s="1038">
        <v>298</v>
      </c>
      <c r="D407" s="1047"/>
      <c r="E407" s="1047"/>
      <c r="F407" s="1048"/>
      <c r="G407" s="1028" t="s">
        <v>1335</v>
      </c>
      <c r="H407" s="1028" t="s">
        <v>1335</v>
      </c>
      <c r="I407" s="1028" t="s">
        <v>1335</v>
      </c>
      <c r="J407" s="1028"/>
      <c r="K407" s="1028">
        <v>0</v>
      </c>
      <c r="L407" s="958" t="s">
        <v>1335</v>
      </c>
      <c r="M407" s="1028" t="s">
        <v>1335</v>
      </c>
      <c r="N407" s="1028" t="s">
        <v>1335</v>
      </c>
      <c r="O407" s="1028" t="s">
        <v>1335</v>
      </c>
      <c r="P407" s="1028" t="s">
        <v>1335</v>
      </c>
      <c r="Q407" s="1028" t="s">
        <v>1335</v>
      </c>
      <c r="R407" s="1028" t="s">
        <v>1335</v>
      </c>
      <c r="S407" s="1028" t="s">
        <v>1335</v>
      </c>
      <c r="T407" s="1028" t="s">
        <v>1335</v>
      </c>
      <c r="U407" s="1028" t="s">
        <v>1335</v>
      </c>
      <c r="V407" s="1029"/>
      <c r="W407" s="1029"/>
      <c r="X407" s="1028"/>
      <c r="Y407" s="1030"/>
      <c r="Z407" s="1031"/>
      <c r="AA407" s="1051"/>
      <c r="AB407" s="1051"/>
      <c r="AC407" s="1051"/>
      <c r="AD407" s="1051"/>
      <c r="AE407" s="1051"/>
      <c r="AF407" s="1051"/>
      <c r="AG407" s="1051"/>
      <c r="AH407" s="1051"/>
      <c r="AI407" s="1051"/>
      <c r="AJ407" s="1051"/>
      <c r="AK407" s="1051"/>
      <c r="AL407" s="1051"/>
      <c r="AM407" s="1051"/>
      <c r="AN407" s="1051"/>
      <c r="AO407" s="1051"/>
      <c r="AP407" s="1051"/>
      <c r="AQ407" s="956">
        <f t="shared" si="84"/>
        <v>13</v>
      </c>
      <c r="AR407" s="956">
        <f t="shared" si="85"/>
        <v>0</v>
      </c>
      <c r="AS407" s="956">
        <f t="shared" si="86"/>
        <v>13</v>
      </c>
      <c r="AT407" s="956">
        <v>12</v>
      </c>
      <c r="AU407" s="981"/>
      <c r="AV407" s="981"/>
      <c r="AW407" s="981"/>
      <c r="AX407" s="1045"/>
      <c r="AY407" s="1045"/>
      <c r="AZ407" s="1015"/>
      <c r="BA407" s="1016"/>
      <c r="BB407" s="1016"/>
      <c r="BC407" s="1016"/>
      <c r="BD407" s="1016"/>
      <c r="BE407" s="1016"/>
      <c r="BF407" s="1057"/>
    </row>
    <row r="408" spans="1:58" s="947" customFormat="1" ht="26.4" customHeight="1">
      <c r="A408" s="1046"/>
      <c r="B408" s="1050">
        <v>8</v>
      </c>
      <c r="C408" s="1038">
        <v>299</v>
      </c>
      <c r="D408" s="1047"/>
      <c r="E408" s="1047"/>
      <c r="F408" s="1048"/>
      <c r="G408" s="1028" t="s">
        <v>1335</v>
      </c>
      <c r="H408" s="1028" t="s">
        <v>1335</v>
      </c>
      <c r="I408" s="1028" t="s">
        <v>1335</v>
      </c>
      <c r="J408" s="1028"/>
      <c r="K408" s="1028" t="s">
        <v>1335</v>
      </c>
      <c r="L408" s="958" t="s">
        <v>1335</v>
      </c>
      <c r="M408" s="1028" t="s">
        <v>1335</v>
      </c>
      <c r="N408" s="1028">
        <v>0</v>
      </c>
      <c r="O408" s="1028" t="s">
        <v>1335</v>
      </c>
      <c r="P408" s="1028" t="s">
        <v>1335</v>
      </c>
      <c r="Q408" s="1028" t="s">
        <v>1335</v>
      </c>
      <c r="R408" s="1028" t="s">
        <v>1335</v>
      </c>
      <c r="S408" s="1028" t="s">
        <v>1335</v>
      </c>
      <c r="T408" s="1028" t="s">
        <v>1335</v>
      </c>
      <c r="U408" s="1028" t="s">
        <v>1335</v>
      </c>
      <c r="V408" s="1029"/>
      <c r="W408" s="1029"/>
      <c r="X408" s="1028"/>
      <c r="Y408" s="1030"/>
      <c r="Z408" s="1031"/>
      <c r="AA408" s="1051"/>
      <c r="AB408" s="1051"/>
      <c r="AC408" s="1051"/>
      <c r="AD408" s="1051"/>
      <c r="AE408" s="1051"/>
      <c r="AF408" s="1051"/>
      <c r="AG408" s="1051"/>
      <c r="AH408" s="1051"/>
      <c r="AI408" s="1051"/>
      <c r="AJ408" s="1051"/>
      <c r="AK408" s="1051"/>
      <c r="AL408" s="1051"/>
      <c r="AM408" s="1051"/>
      <c r="AN408" s="1051"/>
      <c r="AO408" s="1051"/>
      <c r="AP408" s="1051"/>
      <c r="AQ408" s="956">
        <f t="shared" si="84"/>
        <v>13</v>
      </c>
      <c r="AR408" s="956">
        <f t="shared" si="85"/>
        <v>0</v>
      </c>
      <c r="AS408" s="956">
        <f t="shared" si="86"/>
        <v>13</v>
      </c>
      <c r="AT408" s="956">
        <v>12</v>
      </c>
      <c r="AU408" s="981"/>
      <c r="AV408" s="981"/>
      <c r="AW408" s="981"/>
      <c r="AX408" s="1045"/>
      <c r="AY408" s="1045"/>
      <c r="AZ408" s="1015"/>
      <c r="BA408" s="1016"/>
      <c r="BB408" s="1016"/>
      <c r="BC408" s="1016"/>
      <c r="BD408" s="1016"/>
      <c r="BE408" s="1016"/>
      <c r="BF408" s="1057"/>
    </row>
    <row r="409" spans="1:58" s="947" customFormat="1" ht="26.4" customHeight="1">
      <c r="A409" s="1046"/>
      <c r="B409" s="1050">
        <v>8</v>
      </c>
      <c r="C409" s="1038">
        <v>300</v>
      </c>
      <c r="D409" s="1047"/>
      <c r="E409" s="1047"/>
      <c r="F409" s="1048"/>
      <c r="G409" s="1028" t="s">
        <v>1335</v>
      </c>
      <c r="H409" s="1028" t="s">
        <v>1335</v>
      </c>
      <c r="I409" s="1028" t="s">
        <v>1335</v>
      </c>
      <c r="J409" s="1028"/>
      <c r="K409" s="1028" t="s">
        <v>1335</v>
      </c>
      <c r="L409" s="958" t="s">
        <v>1335</v>
      </c>
      <c r="M409" s="1028" t="s">
        <v>1335</v>
      </c>
      <c r="N409" s="1028" t="s">
        <v>1335</v>
      </c>
      <c r="O409" s="1028" t="s">
        <v>1335</v>
      </c>
      <c r="P409" s="1028" t="s">
        <v>1335</v>
      </c>
      <c r="Q409" s="1028" t="s">
        <v>1335</v>
      </c>
      <c r="R409" s="1028" t="s">
        <v>1335</v>
      </c>
      <c r="S409" s="1028" t="s">
        <v>1335</v>
      </c>
      <c r="T409" s="1028" t="s">
        <v>1335</v>
      </c>
      <c r="U409" s="1028" t="s">
        <v>1335</v>
      </c>
      <c r="V409" s="1029"/>
      <c r="W409" s="1029"/>
      <c r="X409" s="1028"/>
      <c r="Y409" s="1030" t="s">
        <v>1335</v>
      </c>
      <c r="Z409" s="1031"/>
      <c r="AA409" s="1051"/>
      <c r="AB409" s="1051"/>
      <c r="AC409" s="1051"/>
      <c r="AD409" s="1051"/>
      <c r="AE409" s="1051"/>
      <c r="AF409" s="1051"/>
      <c r="AG409" s="1051"/>
      <c r="AH409" s="1051"/>
      <c r="AI409" s="1051"/>
      <c r="AJ409" s="1051"/>
      <c r="AK409" s="1051"/>
      <c r="AL409" s="1051"/>
      <c r="AM409" s="1051"/>
      <c r="AN409" s="1051"/>
      <c r="AO409" s="1051"/>
      <c r="AP409" s="1051"/>
      <c r="AQ409" s="956">
        <f t="shared" si="84"/>
        <v>14</v>
      </c>
      <c r="AR409" s="956">
        <f t="shared" si="85"/>
        <v>1</v>
      </c>
      <c r="AS409" s="956">
        <f t="shared" si="86"/>
        <v>15</v>
      </c>
      <c r="AT409" s="982">
        <v>1</v>
      </c>
      <c r="AU409" s="981"/>
      <c r="AV409" s="981"/>
      <c r="AW409" s="981"/>
      <c r="AX409" s="1045"/>
      <c r="AY409" s="1045"/>
      <c r="AZ409" s="1015"/>
      <c r="BA409" s="1016"/>
      <c r="BB409" s="1016"/>
      <c r="BC409" s="1016"/>
      <c r="BD409" s="1016"/>
      <c r="BE409" s="1016"/>
      <c r="BF409" s="1057"/>
    </row>
    <row r="410" spans="1:58" s="947" customFormat="1" ht="26.4" customHeight="1">
      <c r="A410" s="1046"/>
      <c r="B410" s="1050">
        <v>8</v>
      </c>
      <c r="C410" s="1038">
        <v>301</v>
      </c>
      <c r="D410" s="1047"/>
      <c r="E410" s="1047"/>
      <c r="F410" s="1048"/>
      <c r="G410" s="1028">
        <v>0</v>
      </c>
      <c r="H410" s="1028" t="s">
        <v>1335</v>
      </c>
      <c r="I410" s="1028" t="s">
        <v>1335</v>
      </c>
      <c r="J410" s="1028"/>
      <c r="K410" s="1028" t="s">
        <v>1335</v>
      </c>
      <c r="L410" s="958" t="s">
        <v>1335</v>
      </c>
      <c r="M410" s="1028" t="s">
        <v>1335</v>
      </c>
      <c r="N410" s="1028" t="s">
        <v>1335</v>
      </c>
      <c r="O410" s="1028" t="s">
        <v>1335</v>
      </c>
      <c r="P410" s="1028" t="s">
        <v>1335</v>
      </c>
      <c r="Q410" s="1028" t="s">
        <v>1335</v>
      </c>
      <c r="R410" s="1028" t="s">
        <v>1335</v>
      </c>
      <c r="S410" s="1028" t="s">
        <v>1335</v>
      </c>
      <c r="T410" s="1028" t="s">
        <v>1335</v>
      </c>
      <c r="U410" s="1028" t="s">
        <v>1335</v>
      </c>
      <c r="V410" s="1029"/>
      <c r="W410" s="1029"/>
      <c r="X410" s="1028"/>
      <c r="Y410" s="1030"/>
      <c r="Z410" s="1031"/>
      <c r="AA410" s="1051"/>
      <c r="AB410" s="1051"/>
      <c r="AC410" s="1051"/>
      <c r="AD410" s="1051"/>
      <c r="AE410" s="1051"/>
      <c r="AF410" s="1051"/>
      <c r="AG410" s="1051"/>
      <c r="AH410" s="1051"/>
      <c r="AI410" s="1051"/>
      <c r="AJ410" s="1051"/>
      <c r="AK410" s="1051"/>
      <c r="AL410" s="1051"/>
      <c r="AM410" s="1051"/>
      <c r="AN410" s="1051"/>
      <c r="AO410" s="1051"/>
      <c r="AP410" s="1051"/>
      <c r="AQ410" s="956">
        <f t="shared" si="84"/>
        <v>13</v>
      </c>
      <c r="AR410" s="956">
        <f t="shared" si="85"/>
        <v>0</v>
      </c>
      <c r="AS410" s="956">
        <f t="shared" si="86"/>
        <v>13</v>
      </c>
      <c r="AT410" s="956">
        <v>12</v>
      </c>
      <c r="AU410" s="981"/>
      <c r="AV410" s="981"/>
      <c r="AW410" s="981"/>
      <c r="AX410" s="1045"/>
      <c r="AY410" s="1045"/>
      <c r="AZ410" s="1015"/>
      <c r="BA410" s="1016"/>
      <c r="BB410" s="1016"/>
      <c r="BC410" s="1016"/>
      <c r="BD410" s="1016"/>
      <c r="BE410" s="1016"/>
      <c r="BF410" s="1057"/>
    </row>
    <row r="411" spans="1:58" s="947" customFormat="1" ht="26.4" customHeight="1">
      <c r="A411" s="1046"/>
      <c r="B411" s="1050">
        <v>8</v>
      </c>
      <c r="C411" s="1038">
        <v>302</v>
      </c>
      <c r="D411" s="1047"/>
      <c r="E411" s="1047"/>
      <c r="F411" s="1048"/>
      <c r="G411" s="1028" t="s">
        <v>1335</v>
      </c>
      <c r="H411" s="1028" t="s">
        <v>1335</v>
      </c>
      <c r="I411" s="1028" t="s">
        <v>1335</v>
      </c>
      <c r="J411" s="1028"/>
      <c r="K411" s="1028">
        <v>0</v>
      </c>
      <c r="L411" s="958" t="s">
        <v>1335</v>
      </c>
      <c r="M411" s="1028" t="s">
        <v>1335</v>
      </c>
      <c r="N411" s="1028" t="s">
        <v>1335</v>
      </c>
      <c r="O411" s="1028" t="s">
        <v>1335</v>
      </c>
      <c r="P411" s="1028" t="s">
        <v>1335</v>
      </c>
      <c r="Q411" s="1028" t="s">
        <v>1335</v>
      </c>
      <c r="R411" s="1028" t="s">
        <v>1335</v>
      </c>
      <c r="S411" s="1028" t="s">
        <v>1335</v>
      </c>
      <c r="T411" s="1028" t="s">
        <v>1335</v>
      </c>
      <c r="U411" s="1028" t="s">
        <v>1335</v>
      </c>
      <c r="V411" s="1029"/>
      <c r="W411" s="1029"/>
      <c r="X411" s="1028"/>
      <c r="Y411" s="1030" t="s">
        <v>1335</v>
      </c>
      <c r="Z411" s="1031"/>
      <c r="AA411" s="1051"/>
      <c r="AB411" s="1051"/>
      <c r="AC411" s="1051"/>
      <c r="AD411" s="1051"/>
      <c r="AE411" s="1051"/>
      <c r="AF411" s="1051"/>
      <c r="AG411" s="1051"/>
      <c r="AH411" s="1051"/>
      <c r="AI411" s="1051"/>
      <c r="AJ411" s="1051"/>
      <c r="AK411" s="1051"/>
      <c r="AL411" s="1051"/>
      <c r="AM411" s="1051"/>
      <c r="AN411" s="1051"/>
      <c r="AO411" s="1051"/>
      <c r="AP411" s="1051"/>
      <c r="AQ411" s="956">
        <f t="shared" si="84"/>
        <v>13</v>
      </c>
      <c r="AR411" s="956">
        <f t="shared" si="85"/>
        <v>1</v>
      </c>
      <c r="AS411" s="956">
        <f t="shared" si="86"/>
        <v>14</v>
      </c>
      <c r="AT411" s="956">
        <v>12</v>
      </c>
      <c r="AU411" s="981"/>
      <c r="AV411" s="981"/>
      <c r="AW411" s="981"/>
      <c r="AX411" s="1045"/>
      <c r="AY411" s="1045"/>
      <c r="AZ411" s="1015"/>
      <c r="BA411" s="1016"/>
      <c r="BB411" s="1016"/>
      <c r="BC411" s="1016"/>
      <c r="BD411" s="1016"/>
      <c r="BE411" s="1016"/>
      <c r="BF411" s="1057"/>
    </row>
    <row r="412" spans="1:58" s="947" customFormat="1" ht="26.4" customHeight="1">
      <c r="A412" s="1046"/>
      <c r="B412" s="1050">
        <v>8</v>
      </c>
      <c r="C412" s="1038">
        <v>303</v>
      </c>
      <c r="D412" s="1047"/>
      <c r="E412" s="1047"/>
      <c r="F412" s="1048"/>
      <c r="G412" s="1028" t="s">
        <v>1335</v>
      </c>
      <c r="H412" s="1028" t="s">
        <v>1335</v>
      </c>
      <c r="I412" s="1028" t="s">
        <v>1335</v>
      </c>
      <c r="J412" s="1028"/>
      <c r="K412" s="1028">
        <v>0</v>
      </c>
      <c r="L412" s="958" t="s">
        <v>1335</v>
      </c>
      <c r="M412" s="1028" t="s">
        <v>1335</v>
      </c>
      <c r="N412" s="1028" t="s">
        <v>1335</v>
      </c>
      <c r="O412" s="1028" t="s">
        <v>1335</v>
      </c>
      <c r="P412" s="1028" t="s">
        <v>1335</v>
      </c>
      <c r="Q412" s="1028" t="s">
        <v>1335</v>
      </c>
      <c r="R412" s="1028" t="s">
        <v>1335</v>
      </c>
      <c r="S412" s="1028" t="s">
        <v>1335</v>
      </c>
      <c r="T412" s="1028" t="s">
        <v>1335</v>
      </c>
      <c r="U412" s="1028" t="s">
        <v>1335</v>
      </c>
      <c r="V412" s="1029"/>
      <c r="W412" s="1029"/>
      <c r="X412" s="1028"/>
      <c r="Y412" s="1030"/>
      <c r="Z412" s="1031"/>
      <c r="AA412" s="1051"/>
      <c r="AB412" s="1051"/>
      <c r="AC412" s="1051"/>
      <c r="AD412" s="1051"/>
      <c r="AE412" s="1051"/>
      <c r="AF412" s="1051"/>
      <c r="AG412" s="1051"/>
      <c r="AH412" s="1051"/>
      <c r="AI412" s="1051"/>
      <c r="AJ412" s="1051"/>
      <c r="AK412" s="1051"/>
      <c r="AL412" s="1051"/>
      <c r="AM412" s="1051"/>
      <c r="AN412" s="1051"/>
      <c r="AO412" s="1051"/>
      <c r="AP412" s="1051"/>
      <c r="AQ412" s="956">
        <f t="shared" si="84"/>
        <v>13</v>
      </c>
      <c r="AR412" s="956">
        <f t="shared" si="85"/>
        <v>0</v>
      </c>
      <c r="AS412" s="956">
        <f t="shared" si="86"/>
        <v>13</v>
      </c>
      <c r="AT412" s="956">
        <v>12</v>
      </c>
      <c r="AU412" s="981"/>
      <c r="AV412" s="981"/>
      <c r="AW412" s="981"/>
      <c r="AX412" s="1045"/>
      <c r="AY412" s="1045"/>
      <c r="AZ412" s="1015"/>
      <c r="BA412" s="1016"/>
      <c r="BB412" s="1016"/>
      <c r="BC412" s="1016"/>
      <c r="BD412" s="1016"/>
      <c r="BE412" s="1016"/>
      <c r="BF412" s="1057"/>
    </row>
    <row r="413" spans="1:58" s="947" customFormat="1" ht="26.4" customHeight="1">
      <c r="A413" s="1046"/>
      <c r="B413" s="1050">
        <v>8</v>
      </c>
      <c r="C413" s="1038">
        <v>304</v>
      </c>
      <c r="D413" s="1047"/>
      <c r="E413" s="1047"/>
      <c r="F413" s="1048"/>
      <c r="G413" s="1028" t="s">
        <v>1335</v>
      </c>
      <c r="H413" s="1028" t="s">
        <v>1335</v>
      </c>
      <c r="I413" s="1028" t="s">
        <v>1335</v>
      </c>
      <c r="J413" s="1028"/>
      <c r="K413" s="1028" t="s">
        <v>1335</v>
      </c>
      <c r="L413" s="958" t="s">
        <v>1335</v>
      </c>
      <c r="M413" s="1028" t="s">
        <v>1335</v>
      </c>
      <c r="N413" s="1028" t="s">
        <v>1335</v>
      </c>
      <c r="O413" s="1028" t="s">
        <v>1335</v>
      </c>
      <c r="P413" s="1028" t="s">
        <v>1335</v>
      </c>
      <c r="Q413" s="1028" t="s">
        <v>1335</v>
      </c>
      <c r="R413" s="1028" t="s">
        <v>1335</v>
      </c>
      <c r="S413" s="1028" t="s">
        <v>1335</v>
      </c>
      <c r="T413" s="1028">
        <v>0</v>
      </c>
      <c r="U413" s="1028" t="s">
        <v>1335</v>
      </c>
      <c r="V413" s="1029"/>
      <c r="W413" s="1029"/>
      <c r="X413" s="1028"/>
      <c r="Y413" s="1030" t="s">
        <v>1335</v>
      </c>
      <c r="Z413" s="1031"/>
      <c r="AA413" s="1051"/>
      <c r="AB413" s="1051"/>
      <c r="AC413" s="1051"/>
      <c r="AD413" s="1051"/>
      <c r="AE413" s="1051"/>
      <c r="AF413" s="1051"/>
      <c r="AG413" s="1051"/>
      <c r="AH413" s="1051"/>
      <c r="AI413" s="1051"/>
      <c r="AJ413" s="1051"/>
      <c r="AK413" s="1051"/>
      <c r="AL413" s="1051"/>
      <c r="AM413" s="1051"/>
      <c r="AN413" s="1051"/>
      <c r="AO413" s="1051"/>
      <c r="AP413" s="1051"/>
      <c r="AQ413" s="956">
        <f t="shared" si="84"/>
        <v>13</v>
      </c>
      <c r="AR413" s="956">
        <f t="shared" si="85"/>
        <v>1</v>
      </c>
      <c r="AS413" s="956">
        <f t="shared" si="86"/>
        <v>14</v>
      </c>
      <c r="AT413" s="956">
        <v>12</v>
      </c>
      <c r="AU413" s="981"/>
      <c r="AV413" s="981"/>
      <c r="AW413" s="981"/>
      <c r="AX413" s="1045"/>
      <c r="AY413" s="1045"/>
      <c r="AZ413" s="1015"/>
      <c r="BA413" s="1016"/>
      <c r="BB413" s="1016"/>
      <c r="BC413" s="1016"/>
      <c r="BD413" s="1016"/>
      <c r="BE413" s="1016"/>
      <c r="BF413" s="1057"/>
    </row>
    <row r="414" spans="1:58" s="947" customFormat="1" ht="26.4" customHeight="1">
      <c r="A414" s="1046"/>
      <c r="B414" s="1050">
        <v>8</v>
      </c>
      <c r="C414" s="1038">
        <v>305</v>
      </c>
      <c r="D414" s="1047"/>
      <c r="E414" s="1047"/>
      <c r="F414" s="1048"/>
      <c r="G414" s="1028" t="s">
        <v>1335</v>
      </c>
      <c r="H414" s="1028" t="s">
        <v>1335</v>
      </c>
      <c r="I414" s="1028" t="s">
        <v>1335</v>
      </c>
      <c r="J414" s="1028"/>
      <c r="K414" s="1028">
        <v>0</v>
      </c>
      <c r="L414" s="958" t="s">
        <v>1335</v>
      </c>
      <c r="M414" s="1028" t="s">
        <v>1335</v>
      </c>
      <c r="N414" s="1028" t="s">
        <v>1335</v>
      </c>
      <c r="O414" s="1028" t="s">
        <v>1335</v>
      </c>
      <c r="P414" s="1028" t="s">
        <v>1335</v>
      </c>
      <c r="Q414" s="1028" t="s">
        <v>1335</v>
      </c>
      <c r="R414" s="1028" t="s">
        <v>1335</v>
      </c>
      <c r="S414" s="1028">
        <v>0</v>
      </c>
      <c r="T414" s="1028" t="s">
        <v>1335</v>
      </c>
      <c r="U414" s="1028" t="s">
        <v>1335</v>
      </c>
      <c r="V414" s="1029"/>
      <c r="W414" s="1029"/>
      <c r="X414" s="1028"/>
      <c r="Y414" s="1030"/>
      <c r="Z414" s="1031"/>
      <c r="AA414" s="1051"/>
      <c r="AB414" s="1051"/>
      <c r="AC414" s="1051"/>
      <c r="AD414" s="1051"/>
      <c r="AE414" s="1051"/>
      <c r="AF414" s="1051"/>
      <c r="AG414" s="1051"/>
      <c r="AH414" s="1051"/>
      <c r="AI414" s="1051"/>
      <c r="AJ414" s="1051"/>
      <c r="AK414" s="1051"/>
      <c r="AL414" s="1051"/>
      <c r="AM414" s="1051"/>
      <c r="AN414" s="1051"/>
      <c r="AO414" s="1051"/>
      <c r="AP414" s="1051"/>
      <c r="AQ414" s="956">
        <f t="shared" si="84"/>
        <v>12</v>
      </c>
      <c r="AR414" s="956">
        <f t="shared" si="85"/>
        <v>0</v>
      </c>
      <c r="AS414" s="956">
        <f t="shared" si="86"/>
        <v>12</v>
      </c>
      <c r="AT414" s="956">
        <v>12</v>
      </c>
      <c r="AU414" s="981"/>
      <c r="AV414" s="981"/>
      <c r="AW414" s="981"/>
      <c r="AX414" s="1045"/>
      <c r="AY414" s="1045"/>
      <c r="AZ414" s="1015"/>
      <c r="BA414" s="1016"/>
      <c r="BB414" s="1016"/>
      <c r="BC414" s="1016"/>
      <c r="BD414" s="1016"/>
      <c r="BE414" s="1016"/>
      <c r="BF414" s="1057"/>
    </row>
    <row r="415" spans="1:58" s="947" customFormat="1" ht="26.4" customHeight="1">
      <c r="A415" s="1046"/>
      <c r="B415" s="1050">
        <v>8</v>
      </c>
      <c r="C415" s="1038">
        <v>306</v>
      </c>
      <c r="D415" s="1047"/>
      <c r="E415" s="1047"/>
      <c r="F415" s="1048"/>
      <c r="G415" s="1028">
        <v>0</v>
      </c>
      <c r="H415" s="1028" t="s">
        <v>1335</v>
      </c>
      <c r="I415" s="1028">
        <v>0</v>
      </c>
      <c r="J415" s="1028"/>
      <c r="K415" s="1028" t="s">
        <v>1335</v>
      </c>
      <c r="L415" s="958" t="s">
        <v>1335</v>
      </c>
      <c r="M415" s="1028" t="s">
        <v>1335</v>
      </c>
      <c r="N415" s="1028" t="s">
        <v>1335</v>
      </c>
      <c r="O415" s="1028" t="s">
        <v>1335</v>
      </c>
      <c r="P415" s="1028" t="s">
        <v>1335</v>
      </c>
      <c r="Q415" s="1028" t="s">
        <v>1335</v>
      </c>
      <c r="R415" s="1028" t="s">
        <v>1335</v>
      </c>
      <c r="S415" s="1028" t="s">
        <v>1335</v>
      </c>
      <c r="T415" s="1028" t="s">
        <v>1335</v>
      </c>
      <c r="U415" s="1028">
        <v>0</v>
      </c>
      <c r="V415" s="1029"/>
      <c r="W415" s="1029"/>
      <c r="X415" s="1028"/>
      <c r="Y415" s="1030"/>
      <c r="Z415" s="1031"/>
      <c r="AA415" s="1051"/>
      <c r="AB415" s="1051"/>
      <c r="AC415" s="1051"/>
      <c r="AD415" s="1051"/>
      <c r="AE415" s="1051"/>
      <c r="AF415" s="1051"/>
      <c r="AG415" s="1051"/>
      <c r="AH415" s="1051"/>
      <c r="AI415" s="1051"/>
      <c r="AJ415" s="1051"/>
      <c r="AK415" s="1051"/>
      <c r="AL415" s="1051"/>
      <c r="AM415" s="1051"/>
      <c r="AN415" s="1051"/>
      <c r="AO415" s="1051"/>
      <c r="AP415" s="1051"/>
      <c r="AQ415" s="956">
        <f t="shared" si="84"/>
        <v>11</v>
      </c>
      <c r="AR415" s="956">
        <f t="shared" si="85"/>
        <v>0</v>
      </c>
      <c r="AS415" s="956">
        <f t="shared" si="86"/>
        <v>11</v>
      </c>
      <c r="AT415" s="982">
        <v>8</v>
      </c>
      <c r="AU415" s="981"/>
      <c r="AV415" s="981"/>
      <c r="AW415" s="981"/>
      <c r="AX415" s="1045"/>
      <c r="AY415" s="1045"/>
      <c r="AZ415" s="1015"/>
      <c r="BA415" s="1016"/>
      <c r="BB415" s="1016"/>
      <c r="BC415" s="1016"/>
      <c r="BD415" s="1016"/>
      <c r="BE415" s="1016"/>
      <c r="BF415" s="1057"/>
    </row>
    <row r="416" spans="1:58" s="947" customFormat="1" ht="26.4" customHeight="1">
      <c r="A416" s="1046"/>
      <c r="B416" s="1050">
        <v>8</v>
      </c>
      <c r="C416" s="1038">
        <v>307</v>
      </c>
      <c r="D416" s="1047"/>
      <c r="E416" s="1047"/>
      <c r="F416" s="1048"/>
      <c r="G416" s="1028">
        <v>0</v>
      </c>
      <c r="H416" s="1028" t="s">
        <v>1335</v>
      </c>
      <c r="I416" s="1028" t="s">
        <v>1335</v>
      </c>
      <c r="J416" s="1028"/>
      <c r="K416" s="1028" t="s">
        <v>1335</v>
      </c>
      <c r="L416" s="958" t="s">
        <v>1335</v>
      </c>
      <c r="M416" s="1028" t="s">
        <v>1335</v>
      </c>
      <c r="N416" s="1028" t="s">
        <v>1335</v>
      </c>
      <c r="O416" s="1028" t="s">
        <v>1335</v>
      </c>
      <c r="P416" s="1028" t="s">
        <v>1335</v>
      </c>
      <c r="Q416" s="1028" t="s">
        <v>1335</v>
      </c>
      <c r="R416" s="1028" t="s">
        <v>1335</v>
      </c>
      <c r="S416" s="1028" t="s">
        <v>1335</v>
      </c>
      <c r="T416" s="1028" t="s">
        <v>1335</v>
      </c>
      <c r="U416" s="1028">
        <v>0</v>
      </c>
      <c r="V416" s="1029"/>
      <c r="W416" s="1029"/>
      <c r="X416" s="1028"/>
      <c r="Y416" s="1030"/>
      <c r="Z416" s="1031"/>
      <c r="AA416" s="1051"/>
      <c r="AB416" s="1051"/>
      <c r="AC416" s="1051"/>
      <c r="AD416" s="1051"/>
      <c r="AE416" s="1051"/>
      <c r="AF416" s="1051"/>
      <c r="AG416" s="1051"/>
      <c r="AH416" s="1051"/>
      <c r="AI416" s="1051"/>
      <c r="AJ416" s="1051"/>
      <c r="AK416" s="1051"/>
      <c r="AL416" s="1051"/>
      <c r="AM416" s="1051"/>
      <c r="AN416" s="1051"/>
      <c r="AO416" s="1051"/>
      <c r="AP416" s="1051"/>
      <c r="AQ416" s="956">
        <f t="shared" si="84"/>
        <v>12</v>
      </c>
      <c r="AR416" s="956">
        <f t="shared" si="85"/>
        <v>0</v>
      </c>
      <c r="AS416" s="956">
        <f t="shared" si="86"/>
        <v>12</v>
      </c>
      <c r="AT416" s="982">
        <v>9</v>
      </c>
      <c r="AU416" s="981"/>
      <c r="AV416" s="981"/>
      <c r="AW416" s="981"/>
      <c r="AX416" s="1045"/>
      <c r="AY416" s="1045"/>
      <c r="AZ416" s="1015"/>
      <c r="BA416" s="1016"/>
      <c r="BB416" s="1016"/>
      <c r="BC416" s="1016"/>
      <c r="BD416" s="1016"/>
      <c r="BE416" s="1016"/>
      <c r="BF416" s="1057"/>
    </row>
    <row r="417" spans="1:58" s="947" customFormat="1" ht="26.4" customHeight="1">
      <c r="A417" s="1046"/>
      <c r="B417" s="1050">
        <v>8</v>
      </c>
      <c r="C417" s="1038">
        <v>308</v>
      </c>
      <c r="D417" s="1047"/>
      <c r="E417" s="1047"/>
      <c r="F417" s="1048"/>
      <c r="G417" s="1028" t="s">
        <v>1335</v>
      </c>
      <c r="H417" s="1028" t="s">
        <v>1335</v>
      </c>
      <c r="I417" s="1028" t="s">
        <v>1335</v>
      </c>
      <c r="J417" s="1028"/>
      <c r="K417" s="1028" t="s">
        <v>1335</v>
      </c>
      <c r="L417" s="958" t="s">
        <v>1335</v>
      </c>
      <c r="M417" s="1028" t="s">
        <v>1335</v>
      </c>
      <c r="N417" s="1028" t="s">
        <v>1335</v>
      </c>
      <c r="O417" s="1028" t="s">
        <v>1335</v>
      </c>
      <c r="P417" s="1028" t="s">
        <v>1335</v>
      </c>
      <c r="Q417" s="1028" t="s">
        <v>1335</v>
      </c>
      <c r="R417" s="1028" t="s">
        <v>1335</v>
      </c>
      <c r="S417" s="1028" t="s">
        <v>1335</v>
      </c>
      <c r="T417" s="1028" t="s">
        <v>1335</v>
      </c>
      <c r="U417" s="1028">
        <v>0</v>
      </c>
      <c r="V417" s="1029"/>
      <c r="W417" s="1029"/>
      <c r="X417" s="1028"/>
      <c r="Y417" s="1030"/>
      <c r="Z417" s="1031"/>
      <c r="AA417" s="1051"/>
      <c r="AB417" s="1051"/>
      <c r="AC417" s="1051"/>
      <c r="AD417" s="1051"/>
      <c r="AE417" s="1051"/>
      <c r="AF417" s="1051"/>
      <c r="AG417" s="1051"/>
      <c r="AH417" s="1051"/>
      <c r="AI417" s="1051"/>
      <c r="AJ417" s="1051"/>
      <c r="AK417" s="1051"/>
      <c r="AL417" s="1051"/>
      <c r="AM417" s="1051"/>
      <c r="AN417" s="1051"/>
      <c r="AO417" s="1051"/>
      <c r="AP417" s="1051"/>
      <c r="AQ417" s="956">
        <f t="shared" si="84"/>
        <v>13</v>
      </c>
      <c r="AR417" s="956">
        <f t="shared" si="85"/>
        <v>0</v>
      </c>
      <c r="AS417" s="956">
        <f t="shared" si="86"/>
        <v>13</v>
      </c>
      <c r="AT417" s="956">
        <v>12</v>
      </c>
      <c r="AU417" s="981"/>
      <c r="AV417" s="981"/>
      <c r="AW417" s="981"/>
      <c r="AX417" s="1045"/>
      <c r="AY417" s="1045"/>
      <c r="AZ417" s="1015"/>
      <c r="BA417" s="1016"/>
      <c r="BB417" s="1016"/>
      <c r="BC417" s="1016"/>
      <c r="BD417" s="1016"/>
      <c r="BE417" s="1016"/>
      <c r="BF417" s="1057"/>
    </row>
    <row r="418" spans="1:58" s="947" customFormat="1" ht="26.4" customHeight="1">
      <c r="A418" s="1046"/>
      <c r="B418" s="1050">
        <v>8</v>
      </c>
      <c r="C418" s="1038">
        <v>309</v>
      </c>
      <c r="D418" s="1047"/>
      <c r="E418" s="1047"/>
      <c r="F418" s="1048"/>
      <c r="G418" s="1028" t="s">
        <v>1335</v>
      </c>
      <c r="H418" s="1028" t="s">
        <v>1335</v>
      </c>
      <c r="I418" s="1028" t="s">
        <v>1335</v>
      </c>
      <c r="J418" s="1028" t="s">
        <v>1335</v>
      </c>
      <c r="K418" s="1028" t="s">
        <v>1335</v>
      </c>
      <c r="L418" s="958" t="s">
        <v>1335</v>
      </c>
      <c r="M418" s="1028">
        <v>0</v>
      </c>
      <c r="N418" s="1028" t="s">
        <v>1335</v>
      </c>
      <c r="O418" s="1028">
        <v>0</v>
      </c>
      <c r="P418" s="1028" t="s">
        <v>1335</v>
      </c>
      <c r="Q418" s="1028" t="s">
        <v>1335</v>
      </c>
      <c r="R418" s="1028" t="s">
        <v>1335</v>
      </c>
      <c r="S418" s="1028" t="s">
        <v>1335</v>
      </c>
      <c r="T418" s="1028" t="s">
        <v>1335</v>
      </c>
      <c r="U418" s="1028" t="s">
        <v>1335</v>
      </c>
      <c r="V418" s="1029"/>
      <c r="W418" s="1029"/>
      <c r="X418" s="1028"/>
      <c r="Y418" s="1030"/>
      <c r="Z418" s="1031"/>
      <c r="AA418" s="1051"/>
      <c r="AB418" s="1051"/>
      <c r="AC418" s="1051"/>
      <c r="AD418" s="1051"/>
      <c r="AE418" s="1051"/>
      <c r="AF418" s="1051"/>
      <c r="AG418" s="1051"/>
      <c r="AH418" s="1051"/>
      <c r="AI418" s="1051"/>
      <c r="AJ418" s="1051"/>
      <c r="AK418" s="1051"/>
      <c r="AL418" s="1051"/>
      <c r="AM418" s="1051"/>
      <c r="AN418" s="1051"/>
      <c r="AO418" s="1051"/>
      <c r="AP418" s="1051"/>
      <c r="AQ418" s="956">
        <f t="shared" si="84"/>
        <v>13</v>
      </c>
      <c r="AR418" s="956">
        <f t="shared" si="85"/>
        <v>0</v>
      </c>
      <c r="AS418" s="956">
        <f t="shared" si="86"/>
        <v>13</v>
      </c>
      <c r="AT418" s="956">
        <v>12</v>
      </c>
      <c r="AU418" s="981"/>
      <c r="AV418" s="981"/>
      <c r="AW418" s="981"/>
      <c r="AX418" s="1045"/>
      <c r="AY418" s="1045"/>
      <c r="AZ418" s="1015"/>
      <c r="BA418" s="1016"/>
      <c r="BB418" s="1016"/>
      <c r="BC418" s="1016"/>
      <c r="BD418" s="1016"/>
      <c r="BE418" s="1016"/>
      <c r="BF418" s="1057"/>
    </row>
    <row r="419" spans="1:58" s="947" customFormat="1" ht="26.4" customHeight="1">
      <c r="A419" s="1046"/>
      <c r="B419" s="1050">
        <v>8</v>
      </c>
      <c r="C419" s="1038">
        <v>310</v>
      </c>
      <c r="D419" s="1047"/>
      <c r="E419" s="1047"/>
      <c r="F419" s="1048"/>
      <c r="G419" s="1028" t="s">
        <v>1335</v>
      </c>
      <c r="H419" s="1028" t="s">
        <v>1335</v>
      </c>
      <c r="I419" s="1028" t="s">
        <v>1335</v>
      </c>
      <c r="J419" s="1028"/>
      <c r="K419" s="1028" t="s">
        <v>1335</v>
      </c>
      <c r="L419" s="958" t="s">
        <v>1335</v>
      </c>
      <c r="M419" s="1028" t="s">
        <v>1335</v>
      </c>
      <c r="N419" s="1028" t="s">
        <v>1335</v>
      </c>
      <c r="O419" s="1028" t="s">
        <v>1335</v>
      </c>
      <c r="P419" s="1028" t="s">
        <v>1335</v>
      </c>
      <c r="Q419" s="1028" t="s">
        <v>1335</v>
      </c>
      <c r="R419" s="1028" t="s">
        <v>1335</v>
      </c>
      <c r="S419" s="1028" t="s">
        <v>1335</v>
      </c>
      <c r="T419" s="1028" t="s">
        <v>1335</v>
      </c>
      <c r="U419" s="1028" t="s">
        <v>1335</v>
      </c>
      <c r="V419" s="1029"/>
      <c r="W419" s="1029"/>
      <c r="X419" s="1028"/>
      <c r="Y419" s="1030"/>
      <c r="Z419" s="1031"/>
      <c r="AA419" s="1051"/>
      <c r="AB419" s="1051"/>
      <c r="AC419" s="1051"/>
      <c r="AD419" s="1051"/>
      <c r="AE419" s="1051"/>
      <c r="AF419" s="1051"/>
      <c r="AG419" s="1051"/>
      <c r="AH419" s="1051"/>
      <c r="AI419" s="1051"/>
      <c r="AJ419" s="1051"/>
      <c r="AK419" s="1051"/>
      <c r="AL419" s="1051"/>
      <c r="AM419" s="1051"/>
      <c r="AN419" s="1051"/>
      <c r="AO419" s="1051"/>
      <c r="AP419" s="1051"/>
      <c r="AQ419" s="956">
        <f t="shared" si="84"/>
        <v>14</v>
      </c>
      <c r="AR419" s="956">
        <f t="shared" si="85"/>
        <v>0</v>
      </c>
      <c r="AS419" s="956">
        <f t="shared" si="86"/>
        <v>14</v>
      </c>
      <c r="AT419" s="956">
        <v>12</v>
      </c>
      <c r="AU419" s="981"/>
      <c r="AV419" s="981"/>
      <c r="AW419" s="981"/>
      <c r="AX419" s="1045"/>
      <c r="AY419" s="1045"/>
      <c r="AZ419" s="1015"/>
      <c r="BA419" s="1016"/>
      <c r="BB419" s="1016"/>
      <c r="BC419" s="1016"/>
      <c r="BD419" s="1016"/>
      <c r="BE419" s="1016"/>
      <c r="BF419" s="1057"/>
    </row>
    <row r="420" spans="1:58" s="947" customFormat="1" ht="26.4" customHeight="1">
      <c r="A420" s="1046"/>
      <c r="B420" s="1050">
        <v>8</v>
      </c>
      <c r="C420" s="1038">
        <v>311</v>
      </c>
      <c r="D420" s="1047"/>
      <c r="E420" s="1047"/>
      <c r="F420" s="1048"/>
      <c r="G420" s="1028">
        <v>0</v>
      </c>
      <c r="H420" s="1028">
        <v>0</v>
      </c>
      <c r="I420" s="1028" t="s">
        <v>1335</v>
      </c>
      <c r="J420" s="1028"/>
      <c r="K420" s="1028" t="s">
        <v>1335</v>
      </c>
      <c r="L420" s="958" t="s">
        <v>1335</v>
      </c>
      <c r="M420" s="1028" t="s">
        <v>1335</v>
      </c>
      <c r="N420" s="1028" t="s">
        <v>1335</v>
      </c>
      <c r="O420" s="1028" t="s">
        <v>1335</v>
      </c>
      <c r="P420" s="1028" t="s">
        <v>1335</v>
      </c>
      <c r="Q420" s="1028" t="s">
        <v>1335</v>
      </c>
      <c r="R420" s="1028" t="s">
        <v>1335</v>
      </c>
      <c r="S420" s="1028" t="s">
        <v>1335</v>
      </c>
      <c r="T420" s="1028" t="s">
        <v>1335</v>
      </c>
      <c r="U420" s="1028">
        <v>0</v>
      </c>
      <c r="V420" s="1029"/>
      <c r="W420" s="1029"/>
      <c r="X420" s="1028"/>
      <c r="Y420" s="1030"/>
      <c r="Z420" s="1031"/>
      <c r="AA420" s="1051"/>
      <c r="AB420" s="1051"/>
      <c r="AC420" s="1051"/>
      <c r="AD420" s="1051"/>
      <c r="AE420" s="1051"/>
      <c r="AF420" s="1051"/>
      <c r="AG420" s="1051"/>
      <c r="AH420" s="1051"/>
      <c r="AI420" s="1051"/>
      <c r="AJ420" s="1051"/>
      <c r="AK420" s="1051"/>
      <c r="AL420" s="1051"/>
      <c r="AM420" s="1051"/>
      <c r="AN420" s="1051"/>
      <c r="AO420" s="1051"/>
      <c r="AP420" s="1051"/>
      <c r="AQ420" s="956">
        <f t="shared" si="84"/>
        <v>11</v>
      </c>
      <c r="AR420" s="956">
        <f t="shared" si="85"/>
        <v>0</v>
      </c>
      <c r="AS420" s="956">
        <f t="shared" si="86"/>
        <v>11</v>
      </c>
      <c r="AT420" s="982">
        <v>0</v>
      </c>
      <c r="AU420" s="981"/>
      <c r="AV420" s="981"/>
      <c r="AW420" s="981"/>
      <c r="AX420" s="1045"/>
      <c r="AY420" s="1045"/>
      <c r="AZ420" s="1015"/>
      <c r="BA420" s="1016"/>
      <c r="BB420" s="1016"/>
      <c r="BC420" s="1016"/>
      <c r="BD420" s="1016"/>
      <c r="BE420" s="1016"/>
      <c r="BF420" s="1057"/>
    </row>
    <row r="421" spans="1:58" s="947" customFormat="1" ht="26.4" customHeight="1">
      <c r="A421" s="1046"/>
      <c r="B421" s="1050">
        <v>8</v>
      </c>
      <c r="C421" s="1038">
        <v>312</v>
      </c>
      <c r="D421" s="1047"/>
      <c r="E421" s="1047"/>
      <c r="F421" s="1048"/>
      <c r="G421" s="1028">
        <v>0</v>
      </c>
      <c r="H421" s="1028" t="s">
        <v>1335</v>
      </c>
      <c r="I421" s="1028" t="s">
        <v>1335</v>
      </c>
      <c r="J421" s="1028"/>
      <c r="K421" s="1028" t="s">
        <v>1335</v>
      </c>
      <c r="L421" s="958" t="s">
        <v>1335</v>
      </c>
      <c r="M421" s="1028" t="s">
        <v>1335</v>
      </c>
      <c r="N421" s="1028">
        <v>0</v>
      </c>
      <c r="O421" s="1028" t="s">
        <v>1335</v>
      </c>
      <c r="P421" s="1028" t="s">
        <v>1335</v>
      </c>
      <c r="Q421" s="1028" t="s">
        <v>1335</v>
      </c>
      <c r="R421" s="1028" t="s">
        <v>1335</v>
      </c>
      <c r="S421" s="1028" t="s">
        <v>1335</v>
      </c>
      <c r="T421" s="1028" t="s">
        <v>1335</v>
      </c>
      <c r="U421" s="1028">
        <v>0</v>
      </c>
      <c r="V421" s="1029"/>
      <c r="W421" s="1029"/>
      <c r="X421" s="1028"/>
      <c r="Y421" s="1030"/>
      <c r="Z421" s="1031"/>
      <c r="AA421" s="1051"/>
      <c r="AB421" s="1051"/>
      <c r="AC421" s="1051"/>
      <c r="AD421" s="1051"/>
      <c r="AE421" s="1051"/>
      <c r="AF421" s="1051"/>
      <c r="AG421" s="1051"/>
      <c r="AH421" s="1051"/>
      <c r="AI421" s="1051"/>
      <c r="AJ421" s="1051"/>
      <c r="AK421" s="1051"/>
      <c r="AL421" s="1051"/>
      <c r="AM421" s="1051"/>
      <c r="AN421" s="1051"/>
      <c r="AO421" s="1051"/>
      <c r="AP421" s="1051"/>
      <c r="AQ421" s="956">
        <f t="shared" si="84"/>
        <v>11</v>
      </c>
      <c r="AR421" s="956">
        <f t="shared" si="85"/>
        <v>0</v>
      </c>
      <c r="AS421" s="956">
        <f t="shared" si="86"/>
        <v>11</v>
      </c>
      <c r="AT421" s="982">
        <v>10</v>
      </c>
      <c r="AU421" s="981"/>
      <c r="AV421" s="981"/>
      <c r="AW421" s="981"/>
      <c r="AX421" s="1045"/>
      <c r="AY421" s="1045"/>
      <c r="AZ421" s="1015"/>
      <c r="BA421" s="1016"/>
      <c r="BB421" s="1016"/>
      <c r="BC421" s="1016"/>
      <c r="BD421" s="1016"/>
      <c r="BE421" s="1016"/>
      <c r="BF421" s="1057"/>
    </row>
    <row r="422" spans="1:58" s="947" customFormat="1" ht="26.4" customHeight="1">
      <c r="A422" s="1046"/>
      <c r="B422" s="1050">
        <v>8</v>
      </c>
      <c r="C422" s="1038">
        <v>313</v>
      </c>
      <c r="D422" s="1047"/>
      <c r="E422" s="1047"/>
      <c r="F422" s="1048"/>
      <c r="G422" s="1028">
        <v>0</v>
      </c>
      <c r="H422" s="1028" t="s">
        <v>1335</v>
      </c>
      <c r="I422" s="1028" t="s">
        <v>1335</v>
      </c>
      <c r="J422" s="1028"/>
      <c r="K422" s="1028" t="s">
        <v>1335</v>
      </c>
      <c r="L422" s="958" t="s">
        <v>1335</v>
      </c>
      <c r="M422" s="1028" t="s">
        <v>1335</v>
      </c>
      <c r="N422" s="1028">
        <v>0</v>
      </c>
      <c r="O422" s="1028" t="s">
        <v>1335</v>
      </c>
      <c r="P422" s="1028" t="s">
        <v>1335</v>
      </c>
      <c r="Q422" s="1028" t="s">
        <v>1335</v>
      </c>
      <c r="R422" s="1028" t="s">
        <v>1335</v>
      </c>
      <c r="S422" s="1028" t="s">
        <v>1335</v>
      </c>
      <c r="T422" s="1028" t="s">
        <v>1335</v>
      </c>
      <c r="U422" s="1028">
        <v>0</v>
      </c>
      <c r="V422" s="1029"/>
      <c r="W422" s="1029"/>
      <c r="X422" s="1028"/>
      <c r="Y422" s="1030"/>
      <c r="Z422" s="1031"/>
      <c r="AA422" s="1051"/>
      <c r="AB422" s="1051"/>
      <c r="AC422" s="1051"/>
      <c r="AD422" s="1051"/>
      <c r="AE422" s="1051"/>
      <c r="AF422" s="1051"/>
      <c r="AG422" s="1051"/>
      <c r="AH422" s="1051"/>
      <c r="AI422" s="1051"/>
      <c r="AJ422" s="1051"/>
      <c r="AK422" s="1051"/>
      <c r="AL422" s="1051"/>
      <c r="AM422" s="1051"/>
      <c r="AN422" s="1051"/>
      <c r="AO422" s="1051"/>
      <c r="AP422" s="1051"/>
      <c r="AQ422" s="956">
        <f t="shared" si="84"/>
        <v>11</v>
      </c>
      <c r="AR422" s="956">
        <f t="shared" si="85"/>
        <v>0</v>
      </c>
      <c r="AS422" s="956">
        <f t="shared" si="86"/>
        <v>11</v>
      </c>
      <c r="AT422" s="982">
        <v>10</v>
      </c>
      <c r="AU422" s="981"/>
      <c r="AV422" s="981"/>
      <c r="AW422" s="981"/>
      <c r="AX422" s="1045"/>
      <c r="AY422" s="1045"/>
      <c r="AZ422" s="1015"/>
      <c r="BA422" s="1016"/>
      <c r="BB422" s="1016"/>
      <c r="BC422" s="1016"/>
      <c r="BD422" s="1016"/>
      <c r="BE422" s="1016"/>
      <c r="BF422" s="1057"/>
    </row>
    <row r="423" spans="1:58" s="947" customFormat="1" ht="26.4" customHeight="1">
      <c r="A423" s="1046"/>
      <c r="B423" s="1050">
        <v>8</v>
      </c>
      <c r="C423" s="1038">
        <v>314</v>
      </c>
      <c r="D423" s="1047"/>
      <c r="E423" s="1047"/>
      <c r="F423" s="1048"/>
      <c r="G423" s="1028" t="s">
        <v>1335</v>
      </c>
      <c r="H423" s="1028" t="s">
        <v>1335</v>
      </c>
      <c r="I423" s="1028" t="s">
        <v>1335</v>
      </c>
      <c r="J423" s="1028"/>
      <c r="K423" s="1028" t="s">
        <v>1335</v>
      </c>
      <c r="L423" s="958" t="s">
        <v>1335</v>
      </c>
      <c r="M423" s="1028" t="s">
        <v>1335</v>
      </c>
      <c r="N423" s="1028" t="s">
        <v>1335</v>
      </c>
      <c r="O423" s="1028" t="s">
        <v>1335</v>
      </c>
      <c r="P423" s="1028" t="s">
        <v>1335</v>
      </c>
      <c r="Q423" s="1028" t="s">
        <v>1335</v>
      </c>
      <c r="R423" s="1028" t="s">
        <v>1335</v>
      </c>
      <c r="S423" s="1028" t="s">
        <v>1335</v>
      </c>
      <c r="T423" s="1028" t="s">
        <v>1335</v>
      </c>
      <c r="U423" s="1028" t="s">
        <v>1335</v>
      </c>
      <c r="V423" s="1029"/>
      <c r="W423" s="1029"/>
      <c r="X423" s="1028"/>
      <c r="Y423" s="1030" t="s">
        <v>1335</v>
      </c>
      <c r="Z423" s="1031"/>
      <c r="AA423" s="1051"/>
      <c r="AB423" s="1051"/>
      <c r="AC423" s="1051"/>
      <c r="AD423" s="1051"/>
      <c r="AE423" s="1051"/>
      <c r="AF423" s="1051"/>
      <c r="AG423" s="1051"/>
      <c r="AH423" s="1051"/>
      <c r="AI423" s="1051"/>
      <c r="AJ423" s="1051"/>
      <c r="AK423" s="1051"/>
      <c r="AL423" s="1051"/>
      <c r="AM423" s="1051"/>
      <c r="AN423" s="1051"/>
      <c r="AO423" s="1051"/>
      <c r="AP423" s="1051"/>
      <c r="AQ423" s="956">
        <f t="shared" si="84"/>
        <v>14</v>
      </c>
      <c r="AR423" s="956">
        <f t="shared" si="85"/>
        <v>1</v>
      </c>
      <c r="AS423" s="956">
        <f t="shared" si="86"/>
        <v>15</v>
      </c>
      <c r="AT423" s="956">
        <v>12</v>
      </c>
      <c r="AU423" s="981"/>
      <c r="AV423" s="981"/>
      <c r="AW423" s="981"/>
      <c r="AX423" s="1045"/>
      <c r="AY423" s="1045"/>
      <c r="AZ423" s="1015"/>
      <c r="BA423" s="1016"/>
      <c r="BB423" s="1016"/>
      <c r="BC423" s="1016"/>
      <c r="BD423" s="1016"/>
      <c r="BE423" s="1016"/>
      <c r="BF423" s="1057"/>
    </row>
    <row r="424" spans="1:58" s="947" customFormat="1" ht="26.4" customHeight="1">
      <c r="A424" s="1046"/>
      <c r="B424" s="1050">
        <v>8</v>
      </c>
      <c r="C424" s="1038">
        <v>315</v>
      </c>
      <c r="D424" s="1047"/>
      <c r="E424" s="1047"/>
      <c r="F424" s="1048"/>
      <c r="G424" s="1028" t="s">
        <v>1335</v>
      </c>
      <c r="H424" s="1028" t="s">
        <v>1335</v>
      </c>
      <c r="I424" s="1028" t="s">
        <v>1335</v>
      </c>
      <c r="J424" s="1028"/>
      <c r="K424" s="1028" t="s">
        <v>1335</v>
      </c>
      <c r="L424" s="958" t="s">
        <v>1335</v>
      </c>
      <c r="M424" s="1028" t="s">
        <v>1335</v>
      </c>
      <c r="N424" s="1028" t="s">
        <v>1335</v>
      </c>
      <c r="O424" s="1028" t="s">
        <v>1335</v>
      </c>
      <c r="P424" s="1028" t="s">
        <v>1335</v>
      </c>
      <c r="Q424" s="1028" t="s">
        <v>1335</v>
      </c>
      <c r="R424" s="1028" t="s">
        <v>1335</v>
      </c>
      <c r="S424" s="1028" t="s">
        <v>1335</v>
      </c>
      <c r="T424" s="1028" t="s">
        <v>1335</v>
      </c>
      <c r="U424" s="1028" t="s">
        <v>1335</v>
      </c>
      <c r="V424" s="1029"/>
      <c r="W424" s="1029"/>
      <c r="X424" s="1028"/>
      <c r="Y424" s="1030"/>
      <c r="Z424" s="1031"/>
      <c r="AA424" s="1051"/>
      <c r="AB424" s="1051"/>
      <c r="AC424" s="1051"/>
      <c r="AD424" s="1051"/>
      <c r="AE424" s="1051"/>
      <c r="AF424" s="1051"/>
      <c r="AG424" s="1051"/>
      <c r="AH424" s="1051"/>
      <c r="AI424" s="1051"/>
      <c r="AJ424" s="1051"/>
      <c r="AK424" s="1051"/>
      <c r="AL424" s="1051"/>
      <c r="AM424" s="1051"/>
      <c r="AN424" s="1051"/>
      <c r="AO424" s="1051"/>
      <c r="AP424" s="1051"/>
      <c r="AQ424" s="956">
        <f t="shared" si="84"/>
        <v>14</v>
      </c>
      <c r="AR424" s="956">
        <f t="shared" si="85"/>
        <v>0</v>
      </c>
      <c r="AS424" s="956">
        <f t="shared" si="86"/>
        <v>14</v>
      </c>
      <c r="AT424" s="956">
        <v>12</v>
      </c>
      <c r="AU424" s="981"/>
      <c r="AV424" s="981"/>
      <c r="AW424" s="981"/>
      <c r="AX424" s="1045"/>
      <c r="AY424" s="1045"/>
      <c r="AZ424" s="1015"/>
      <c r="BA424" s="1016"/>
      <c r="BB424" s="1016"/>
      <c r="BC424" s="1016"/>
      <c r="BD424" s="1016"/>
      <c r="BE424" s="1016"/>
      <c r="BF424" s="1057"/>
    </row>
    <row r="425" spans="1:58" s="947" customFormat="1" ht="26.4" customHeight="1">
      <c r="A425" s="1046"/>
      <c r="B425" s="1050">
        <v>8</v>
      </c>
      <c r="C425" s="1038">
        <v>316</v>
      </c>
      <c r="D425" s="1047"/>
      <c r="E425" s="1047"/>
      <c r="F425" s="1048"/>
      <c r="G425" s="1028" t="s">
        <v>1335</v>
      </c>
      <c r="H425" s="1028" t="s">
        <v>1335</v>
      </c>
      <c r="I425" s="1028" t="s">
        <v>1335</v>
      </c>
      <c r="J425" s="1028"/>
      <c r="K425" s="1028" t="s">
        <v>1335</v>
      </c>
      <c r="L425" s="958" t="s">
        <v>1335</v>
      </c>
      <c r="M425" s="1028" t="s">
        <v>1335</v>
      </c>
      <c r="N425" s="1028" t="s">
        <v>1335</v>
      </c>
      <c r="O425" s="1028" t="s">
        <v>1335</v>
      </c>
      <c r="P425" s="1028" t="s">
        <v>1335</v>
      </c>
      <c r="Q425" s="1028" t="s">
        <v>1335</v>
      </c>
      <c r="R425" s="1028" t="s">
        <v>1335</v>
      </c>
      <c r="S425" s="1028" t="s">
        <v>1335</v>
      </c>
      <c r="T425" s="1028" t="s">
        <v>1335</v>
      </c>
      <c r="U425" s="1028" t="s">
        <v>1335</v>
      </c>
      <c r="V425" s="1029"/>
      <c r="W425" s="1029"/>
      <c r="X425" s="1028"/>
      <c r="Y425" s="1030"/>
      <c r="Z425" s="1031"/>
      <c r="AA425" s="1051"/>
      <c r="AB425" s="1051"/>
      <c r="AC425" s="1051"/>
      <c r="AD425" s="1051"/>
      <c r="AE425" s="1051"/>
      <c r="AF425" s="1051"/>
      <c r="AG425" s="1051"/>
      <c r="AH425" s="1051"/>
      <c r="AI425" s="1051"/>
      <c r="AJ425" s="1051"/>
      <c r="AK425" s="1051"/>
      <c r="AL425" s="1051"/>
      <c r="AM425" s="1051"/>
      <c r="AN425" s="1051"/>
      <c r="AO425" s="1051"/>
      <c r="AP425" s="1051"/>
      <c r="AQ425" s="956">
        <f t="shared" si="84"/>
        <v>14</v>
      </c>
      <c r="AR425" s="956">
        <f t="shared" si="85"/>
        <v>0</v>
      </c>
      <c r="AS425" s="956">
        <f t="shared" si="86"/>
        <v>14</v>
      </c>
      <c r="AT425" s="956">
        <v>12</v>
      </c>
      <c r="AU425" s="981"/>
      <c r="AV425" s="981"/>
      <c r="AW425" s="981"/>
      <c r="AX425" s="1045"/>
      <c r="AY425" s="1045"/>
      <c r="AZ425" s="1015"/>
      <c r="BA425" s="1016"/>
      <c r="BB425" s="1016"/>
      <c r="BC425" s="1016"/>
      <c r="BD425" s="1016"/>
      <c r="BE425" s="1016"/>
      <c r="BF425" s="1057"/>
    </row>
    <row r="426" spans="1:58" s="947" customFormat="1" ht="26.4" customHeight="1">
      <c r="A426" s="1046"/>
      <c r="B426" s="1050">
        <v>8</v>
      </c>
      <c r="C426" s="1038">
        <v>317</v>
      </c>
      <c r="D426" s="1047"/>
      <c r="E426" s="1047"/>
      <c r="F426" s="1048"/>
      <c r="G426" s="1028" t="s">
        <v>1335</v>
      </c>
      <c r="H426" s="1028" t="s">
        <v>1335</v>
      </c>
      <c r="I426" s="1028" t="s">
        <v>1335</v>
      </c>
      <c r="J426" s="1028"/>
      <c r="K426" s="1028">
        <v>0</v>
      </c>
      <c r="L426" s="958" t="s">
        <v>1335</v>
      </c>
      <c r="M426" s="1028" t="s">
        <v>1335</v>
      </c>
      <c r="N426" s="1028" t="s">
        <v>1335</v>
      </c>
      <c r="O426" s="1028" t="s">
        <v>1335</v>
      </c>
      <c r="P426" s="1028" t="s">
        <v>1335</v>
      </c>
      <c r="Q426" s="1028" t="s">
        <v>1335</v>
      </c>
      <c r="R426" s="1028" t="s">
        <v>1335</v>
      </c>
      <c r="S426" s="1028" t="s">
        <v>1335</v>
      </c>
      <c r="T426" s="1028" t="s">
        <v>1335</v>
      </c>
      <c r="U426" s="1028" t="s">
        <v>1335</v>
      </c>
      <c r="V426" s="1029"/>
      <c r="W426" s="1029"/>
      <c r="X426" s="1028"/>
      <c r="Y426" s="1030"/>
      <c r="Z426" s="1031"/>
      <c r="AA426" s="1051"/>
      <c r="AB426" s="1051"/>
      <c r="AC426" s="1051"/>
      <c r="AD426" s="1051"/>
      <c r="AE426" s="1051"/>
      <c r="AF426" s="1051"/>
      <c r="AG426" s="1051"/>
      <c r="AH426" s="1051"/>
      <c r="AI426" s="1051"/>
      <c r="AJ426" s="1051"/>
      <c r="AK426" s="1051"/>
      <c r="AL426" s="1051"/>
      <c r="AM426" s="1051"/>
      <c r="AN426" s="1051"/>
      <c r="AO426" s="1051"/>
      <c r="AP426" s="1051"/>
      <c r="AQ426" s="956">
        <f t="shared" si="84"/>
        <v>13</v>
      </c>
      <c r="AR426" s="956">
        <f t="shared" si="85"/>
        <v>0</v>
      </c>
      <c r="AS426" s="956">
        <f t="shared" si="86"/>
        <v>13</v>
      </c>
      <c r="AT426" s="982">
        <v>9</v>
      </c>
      <c r="AU426" s="981"/>
      <c r="AV426" s="981"/>
      <c r="AW426" s="981"/>
      <c r="AX426" s="1045"/>
      <c r="AY426" s="1045"/>
      <c r="AZ426" s="1015"/>
      <c r="BA426" s="1016"/>
      <c r="BB426" s="1016"/>
      <c r="BC426" s="1016"/>
      <c r="BD426" s="1016"/>
      <c r="BE426" s="1016"/>
      <c r="BF426" s="1057"/>
    </row>
    <row r="427" spans="1:58" s="947" customFormat="1" ht="26.4" customHeight="1">
      <c r="A427" s="1046"/>
      <c r="B427" s="1050">
        <v>8</v>
      </c>
      <c r="C427" s="1038">
        <v>318</v>
      </c>
      <c r="D427" s="1047"/>
      <c r="E427" s="1047"/>
      <c r="F427" s="1048"/>
      <c r="G427" s="1028" t="s">
        <v>1335</v>
      </c>
      <c r="H427" s="1028" t="s">
        <v>1335</v>
      </c>
      <c r="I427" s="1028" t="s">
        <v>1335</v>
      </c>
      <c r="J427" s="1028"/>
      <c r="K427" s="1028">
        <v>0</v>
      </c>
      <c r="L427" s="958" t="s">
        <v>1335</v>
      </c>
      <c r="M427" s="1028" t="s">
        <v>1335</v>
      </c>
      <c r="N427" s="1028" t="s">
        <v>1335</v>
      </c>
      <c r="O427" s="1028" t="s">
        <v>1335</v>
      </c>
      <c r="P427" s="1028" t="s">
        <v>1335</v>
      </c>
      <c r="Q427" s="1028" t="s">
        <v>1335</v>
      </c>
      <c r="R427" s="1028" t="s">
        <v>1335</v>
      </c>
      <c r="S427" s="1028" t="s">
        <v>1335</v>
      </c>
      <c r="T427" s="1028" t="s">
        <v>1335</v>
      </c>
      <c r="U427" s="1028" t="s">
        <v>1335</v>
      </c>
      <c r="V427" s="1029"/>
      <c r="W427" s="1029"/>
      <c r="X427" s="1028"/>
      <c r="Y427" s="1030"/>
      <c r="Z427" s="1031"/>
      <c r="AA427" s="1051"/>
      <c r="AB427" s="1051"/>
      <c r="AC427" s="1051"/>
      <c r="AD427" s="1051"/>
      <c r="AE427" s="1051"/>
      <c r="AF427" s="1051"/>
      <c r="AG427" s="1051"/>
      <c r="AH427" s="1051"/>
      <c r="AI427" s="1051"/>
      <c r="AJ427" s="1051"/>
      <c r="AK427" s="1051"/>
      <c r="AL427" s="1051"/>
      <c r="AM427" s="1051"/>
      <c r="AN427" s="1051"/>
      <c r="AO427" s="1051"/>
      <c r="AP427" s="1051"/>
      <c r="AQ427" s="956">
        <f t="shared" si="84"/>
        <v>13</v>
      </c>
      <c r="AR427" s="956">
        <f t="shared" si="85"/>
        <v>0</v>
      </c>
      <c r="AS427" s="956">
        <f t="shared" si="86"/>
        <v>13</v>
      </c>
      <c r="AT427" s="956">
        <v>12</v>
      </c>
      <c r="AU427" s="981"/>
      <c r="AV427" s="981"/>
      <c r="AW427" s="981"/>
      <c r="AX427" s="1045"/>
      <c r="AY427" s="1045"/>
      <c r="AZ427" s="1015"/>
      <c r="BA427" s="1016"/>
      <c r="BB427" s="1016"/>
      <c r="BC427" s="1016"/>
      <c r="BD427" s="1016"/>
      <c r="BE427" s="1016"/>
      <c r="BF427" s="1057"/>
    </row>
    <row r="428" spans="1:58" s="947" customFormat="1" ht="26.4" customHeight="1">
      <c r="A428" s="1046"/>
      <c r="B428" s="1050">
        <v>8</v>
      </c>
      <c r="C428" s="1038">
        <v>319</v>
      </c>
      <c r="D428" s="1047"/>
      <c r="E428" s="1047"/>
      <c r="F428" s="1048"/>
      <c r="G428" s="1028" t="s">
        <v>1335</v>
      </c>
      <c r="H428" s="1028" t="s">
        <v>1335</v>
      </c>
      <c r="I428" s="1028" t="s">
        <v>1335</v>
      </c>
      <c r="J428" s="1028"/>
      <c r="K428" s="1028" t="s">
        <v>1335</v>
      </c>
      <c r="L428" s="958" t="s">
        <v>1335</v>
      </c>
      <c r="M428" s="1028" t="s">
        <v>1335</v>
      </c>
      <c r="N428" s="1028" t="s">
        <v>1335</v>
      </c>
      <c r="O428" s="1028" t="s">
        <v>1335</v>
      </c>
      <c r="P428" s="1028" t="s">
        <v>1335</v>
      </c>
      <c r="Q428" s="1028" t="s">
        <v>1335</v>
      </c>
      <c r="R428" s="1028" t="s">
        <v>1335</v>
      </c>
      <c r="S428" s="1028" t="s">
        <v>1335</v>
      </c>
      <c r="T428" s="1028" t="s">
        <v>1335</v>
      </c>
      <c r="U428" s="1028" t="s">
        <v>1335</v>
      </c>
      <c r="V428" s="1029"/>
      <c r="W428" s="1029"/>
      <c r="X428" s="1028"/>
      <c r="Y428" s="1030" t="s">
        <v>1335</v>
      </c>
      <c r="Z428" s="1031"/>
      <c r="AA428" s="1051"/>
      <c r="AB428" s="1051"/>
      <c r="AC428" s="1051"/>
      <c r="AD428" s="1051"/>
      <c r="AE428" s="1051"/>
      <c r="AF428" s="1051"/>
      <c r="AG428" s="1051"/>
      <c r="AH428" s="1051"/>
      <c r="AI428" s="1051"/>
      <c r="AJ428" s="1051"/>
      <c r="AK428" s="1051"/>
      <c r="AL428" s="1051"/>
      <c r="AM428" s="1051"/>
      <c r="AN428" s="1051"/>
      <c r="AO428" s="1051"/>
      <c r="AP428" s="1051"/>
      <c r="AQ428" s="956">
        <f t="shared" si="84"/>
        <v>14</v>
      </c>
      <c r="AR428" s="956">
        <f t="shared" si="85"/>
        <v>1</v>
      </c>
      <c r="AS428" s="956">
        <f t="shared" si="86"/>
        <v>15</v>
      </c>
      <c r="AT428" s="956">
        <v>12</v>
      </c>
      <c r="AU428" s="981"/>
      <c r="AV428" s="981"/>
      <c r="AW428" s="981"/>
      <c r="AX428" s="1045"/>
      <c r="AY428" s="1045"/>
      <c r="AZ428" s="1015"/>
      <c r="BA428" s="1016"/>
      <c r="BB428" s="1016"/>
      <c r="BC428" s="1016"/>
      <c r="BD428" s="1016"/>
      <c r="BE428" s="1016"/>
      <c r="BF428" s="1057"/>
    </row>
    <row r="429" spans="1:58" s="947" customFormat="1" ht="26.4" customHeight="1">
      <c r="A429" s="1046"/>
      <c r="B429" s="1050">
        <v>8</v>
      </c>
      <c r="C429" s="1038">
        <v>320</v>
      </c>
      <c r="D429" s="1047"/>
      <c r="E429" s="1047"/>
      <c r="F429" s="1048"/>
      <c r="G429" s="1028" t="s">
        <v>1335</v>
      </c>
      <c r="H429" s="1028" t="s">
        <v>1335</v>
      </c>
      <c r="I429" s="1028" t="s">
        <v>1335</v>
      </c>
      <c r="J429" s="1028"/>
      <c r="K429" s="1028" t="s">
        <v>1335</v>
      </c>
      <c r="L429" s="958" t="s">
        <v>1335</v>
      </c>
      <c r="M429" s="1028" t="s">
        <v>1335</v>
      </c>
      <c r="N429" s="1028" t="s">
        <v>1335</v>
      </c>
      <c r="O429" s="1028" t="s">
        <v>1335</v>
      </c>
      <c r="P429" s="1028" t="s">
        <v>1335</v>
      </c>
      <c r="Q429" s="1028" t="s">
        <v>1335</v>
      </c>
      <c r="R429" s="1028" t="s">
        <v>1335</v>
      </c>
      <c r="S429" s="1028" t="s">
        <v>1335</v>
      </c>
      <c r="T429" s="1028" t="s">
        <v>1335</v>
      </c>
      <c r="U429" s="1028" t="s">
        <v>1335</v>
      </c>
      <c r="V429" s="1029"/>
      <c r="W429" s="1029"/>
      <c r="X429" s="1028"/>
      <c r="Y429" s="1030"/>
      <c r="Z429" s="1031"/>
      <c r="AA429" s="1051"/>
      <c r="AB429" s="1051"/>
      <c r="AC429" s="1051"/>
      <c r="AD429" s="1051"/>
      <c r="AE429" s="1051"/>
      <c r="AF429" s="1051"/>
      <c r="AG429" s="1051"/>
      <c r="AH429" s="1051"/>
      <c r="AI429" s="1051"/>
      <c r="AJ429" s="1051"/>
      <c r="AK429" s="1051"/>
      <c r="AL429" s="1051"/>
      <c r="AM429" s="1051"/>
      <c r="AN429" s="1051"/>
      <c r="AO429" s="1051"/>
      <c r="AP429" s="1051"/>
      <c r="AQ429" s="956">
        <f t="shared" si="84"/>
        <v>14</v>
      </c>
      <c r="AR429" s="956">
        <f t="shared" si="85"/>
        <v>0</v>
      </c>
      <c r="AS429" s="956">
        <f t="shared" si="86"/>
        <v>14</v>
      </c>
      <c r="AT429" s="956">
        <v>12</v>
      </c>
      <c r="AU429" s="981"/>
      <c r="AV429" s="981"/>
      <c r="AW429" s="981"/>
      <c r="AX429" s="1045"/>
      <c r="AY429" s="1045"/>
      <c r="AZ429" s="1015"/>
      <c r="BA429" s="1016"/>
      <c r="BB429" s="1016"/>
      <c r="BC429" s="1016"/>
      <c r="BD429" s="1016"/>
      <c r="BE429" s="1016"/>
      <c r="BF429" s="1057"/>
    </row>
    <row r="430" spans="1:58" s="947" customFormat="1" ht="26.4" customHeight="1">
      <c r="A430" s="1046"/>
      <c r="B430" s="1050">
        <v>8</v>
      </c>
      <c r="C430" s="1038">
        <v>321</v>
      </c>
      <c r="D430" s="1047"/>
      <c r="E430" s="1047"/>
      <c r="F430" s="1048"/>
      <c r="G430" s="1028" t="s">
        <v>1335</v>
      </c>
      <c r="H430" s="1028" t="s">
        <v>1335</v>
      </c>
      <c r="I430" s="1028" t="s">
        <v>1335</v>
      </c>
      <c r="J430" s="1028"/>
      <c r="K430" s="1028" t="s">
        <v>1335</v>
      </c>
      <c r="L430" s="958" t="s">
        <v>1335</v>
      </c>
      <c r="M430" s="1028" t="s">
        <v>1335</v>
      </c>
      <c r="N430" s="1028" t="s">
        <v>1335</v>
      </c>
      <c r="O430" s="1028" t="s">
        <v>1335</v>
      </c>
      <c r="P430" s="1028" t="s">
        <v>1335</v>
      </c>
      <c r="Q430" s="1028" t="s">
        <v>1335</v>
      </c>
      <c r="R430" s="1028" t="s">
        <v>1335</v>
      </c>
      <c r="S430" s="1028" t="s">
        <v>1335</v>
      </c>
      <c r="T430" s="1028" t="s">
        <v>1335</v>
      </c>
      <c r="U430" s="1028" t="s">
        <v>1335</v>
      </c>
      <c r="V430" s="1029"/>
      <c r="W430" s="1029"/>
      <c r="X430" s="1028"/>
      <c r="Y430" s="1030"/>
      <c r="Z430" s="1031"/>
      <c r="AA430" s="1051"/>
      <c r="AB430" s="1051"/>
      <c r="AC430" s="1051"/>
      <c r="AD430" s="1051"/>
      <c r="AE430" s="1051"/>
      <c r="AF430" s="1051"/>
      <c r="AG430" s="1051"/>
      <c r="AH430" s="1051"/>
      <c r="AI430" s="1051"/>
      <c r="AJ430" s="1051"/>
      <c r="AK430" s="1051"/>
      <c r="AL430" s="1051"/>
      <c r="AM430" s="1051"/>
      <c r="AN430" s="1051"/>
      <c r="AO430" s="1051"/>
      <c r="AP430" s="1051"/>
      <c r="AQ430" s="956">
        <f t="shared" si="84"/>
        <v>14</v>
      </c>
      <c r="AR430" s="956">
        <f t="shared" si="85"/>
        <v>0</v>
      </c>
      <c r="AS430" s="956">
        <f t="shared" si="86"/>
        <v>14</v>
      </c>
      <c r="AT430" s="956">
        <v>12</v>
      </c>
      <c r="AU430" s="981"/>
      <c r="AV430" s="981"/>
      <c r="AW430" s="981"/>
      <c r="AX430" s="1045"/>
      <c r="AY430" s="1045"/>
      <c r="AZ430" s="1015"/>
      <c r="BA430" s="1016"/>
      <c r="BB430" s="1016"/>
      <c r="BC430" s="1016"/>
      <c r="BD430" s="1016"/>
      <c r="BE430" s="1016"/>
      <c r="BF430" s="1057"/>
    </row>
    <row r="431" spans="1:58" s="947" customFormat="1" ht="26.4" customHeight="1">
      <c r="A431" s="1046"/>
      <c r="B431" s="1050">
        <v>8</v>
      </c>
      <c r="C431" s="1038">
        <v>322</v>
      </c>
      <c r="D431" s="1047"/>
      <c r="E431" s="1047"/>
      <c r="F431" s="1048"/>
      <c r="G431" s="1028">
        <v>0</v>
      </c>
      <c r="H431" s="1028" t="s">
        <v>1335</v>
      </c>
      <c r="I431" s="1028">
        <v>0</v>
      </c>
      <c r="J431" s="1028"/>
      <c r="K431" s="1028" t="s">
        <v>1335</v>
      </c>
      <c r="L431" s="958" t="s">
        <v>1335</v>
      </c>
      <c r="M431" s="1028" t="s">
        <v>1335</v>
      </c>
      <c r="N431" s="1028" t="s">
        <v>1335</v>
      </c>
      <c r="O431" s="1028" t="s">
        <v>1335</v>
      </c>
      <c r="P431" s="1028" t="s">
        <v>1335</v>
      </c>
      <c r="Q431" s="1028" t="s">
        <v>1335</v>
      </c>
      <c r="R431" s="1028" t="s">
        <v>1335</v>
      </c>
      <c r="S431" s="1028" t="s">
        <v>1335</v>
      </c>
      <c r="T431" s="1028" t="s">
        <v>1335</v>
      </c>
      <c r="U431" s="1028" t="s">
        <v>1335</v>
      </c>
      <c r="V431" s="1029"/>
      <c r="W431" s="1029"/>
      <c r="X431" s="1028"/>
      <c r="Y431" s="1030" t="s">
        <v>1335</v>
      </c>
      <c r="Z431" s="1031"/>
      <c r="AA431" s="1051"/>
      <c r="AB431" s="1051"/>
      <c r="AC431" s="1051"/>
      <c r="AD431" s="1051"/>
      <c r="AE431" s="1051"/>
      <c r="AF431" s="1051"/>
      <c r="AG431" s="1051"/>
      <c r="AH431" s="1051"/>
      <c r="AI431" s="1051"/>
      <c r="AJ431" s="1051"/>
      <c r="AK431" s="1051"/>
      <c r="AL431" s="1051"/>
      <c r="AM431" s="1051"/>
      <c r="AN431" s="1051"/>
      <c r="AO431" s="1051"/>
      <c r="AP431" s="1051"/>
      <c r="AQ431" s="956">
        <f t="shared" si="84"/>
        <v>12</v>
      </c>
      <c r="AR431" s="956">
        <f t="shared" si="85"/>
        <v>1</v>
      </c>
      <c r="AS431" s="956">
        <f t="shared" si="86"/>
        <v>13</v>
      </c>
      <c r="AT431" s="956">
        <v>12</v>
      </c>
      <c r="AU431" s="981"/>
      <c r="AV431" s="981"/>
      <c r="AW431" s="981"/>
      <c r="AX431" s="1045"/>
      <c r="AY431" s="1045"/>
      <c r="AZ431" s="1015"/>
      <c r="BA431" s="1016"/>
      <c r="BB431" s="1016"/>
      <c r="BC431" s="1016"/>
      <c r="BD431" s="1016"/>
      <c r="BE431" s="1016"/>
      <c r="BF431" s="1057"/>
    </row>
    <row r="432" spans="1:58" s="947" customFormat="1" ht="26.4" customHeight="1">
      <c r="A432" s="1046"/>
      <c r="B432" s="1050">
        <v>8</v>
      </c>
      <c r="C432" s="1038">
        <v>323</v>
      </c>
      <c r="D432" s="1047"/>
      <c r="E432" s="1047"/>
      <c r="F432" s="1048"/>
      <c r="G432" s="1028">
        <v>0</v>
      </c>
      <c r="H432" s="1028" t="s">
        <v>1335</v>
      </c>
      <c r="I432" s="1028" t="s">
        <v>1335</v>
      </c>
      <c r="J432" s="1028"/>
      <c r="K432" s="1028" t="s">
        <v>1335</v>
      </c>
      <c r="L432" s="958" t="s">
        <v>1335</v>
      </c>
      <c r="M432" s="1028" t="s">
        <v>1335</v>
      </c>
      <c r="N432" s="1028" t="s">
        <v>1335</v>
      </c>
      <c r="O432" s="1028" t="s">
        <v>1335</v>
      </c>
      <c r="P432" s="1028" t="s">
        <v>1335</v>
      </c>
      <c r="Q432" s="1028" t="s">
        <v>1335</v>
      </c>
      <c r="R432" s="1028" t="s">
        <v>1335</v>
      </c>
      <c r="S432" s="1028" t="s">
        <v>1335</v>
      </c>
      <c r="T432" s="1028" t="s">
        <v>1335</v>
      </c>
      <c r="U432" s="1028" t="s">
        <v>1335</v>
      </c>
      <c r="V432" s="1029"/>
      <c r="W432" s="1029"/>
      <c r="X432" s="1028"/>
      <c r="Y432" s="1030" t="s">
        <v>1335</v>
      </c>
      <c r="Z432" s="1031"/>
      <c r="AA432" s="1051"/>
      <c r="AB432" s="1051"/>
      <c r="AC432" s="1051"/>
      <c r="AD432" s="1051"/>
      <c r="AE432" s="1051"/>
      <c r="AF432" s="1051"/>
      <c r="AG432" s="1051"/>
      <c r="AH432" s="1051"/>
      <c r="AI432" s="1051"/>
      <c r="AJ432" s="1051"/>
      <c r="AK432" s="1051"/>
      <c r="AL432" s="1051"/>
      <c r="AM432" s="1051"/>
      <c r="AN432" s="1051"/>
      <c r="AO432" s="1051"/>
      <c r="AP432" s="1051"/>
      <c r="AQ432" s="956">
        <f t="shared" si="84"/>
        <v>13</v>
      </c>
      <c r="AR432" s="956">
        <f t="shared" si="85"/>
        <v>1</v>
      </c>
      <c r="AS432" s="956">
        <f t="shared" si="86"/>
        <v>14</v>
      </c>
      <c r="AT432" s="956">
        <v>12</v>
      </c>
      <c r="AU432" s="981"/>
      <c r="AV432" s="981"/>
      <c r="AW432" s="981"/>
      <c r="AX432" s="1045"/>
      <c r="AY432" s="1045"/>
      <c r="AZ432" s="1015"/>
      <c r="BA432" s="1016"/>
      <c r="BB432" s="1016"/>
      <c r="BC432" s="1016"/>
      <c r="BD432" s="1016"/>
      <c r="BE432" s="1016"/>
      <c r="BF432" s="1057"/>
    </row>
    <row r="433" spans="1:58" s="947" customFormat="1" ht="26.4" customHeight="1">
      <c r="A433" s="1046"/>
      <c r="B433" s="1050">
        <v>8</v>
      </c>
      <c r="C433" s="1038">
        <v>324</v>
      </c>
      <c r="D433" s="1047"/>
      <c r="E433" s="1047"/>
      <c r="F433" s="1048"/>
      <c r="G433" s="1028" t="s">
        <v>1335</v>
      </c>
      <c r="H433" s="1028" t="s">
        <v>1335</v>
      </c>
      <c r="I433" s="1028" t="s">
        <v>1335</v>
      </c>
      <c r="J433" s="1028"/>
      <c r="K433" s="1028" t="s">
        <v>1335</v>
      </c>
      <c r="L433" s="958" t="s">
        <v>1335</v>
      </c>
      <c r="M433" s="1028" t="s">
        <v>1335</v>
      </c>
      <c r="N433" s="1028" t="s">
        <v>1335</v>
      </c>
      <c r="O433" s="1028" t="s">
        <v>1335</v>
      </c>
      <c r="P433" s="1028" t="s">
        <v>1335</v>
      </c>
      <c r="Q433" s="1028">
        <v>0</v>
      </c>
      <c r="R433" s="1028" t="s">
        <v>1335</v>
      </c>
      <c r="S433" s="1028" t="s">
        <v>1335</v>
      </c>
      <c r="T433" s="1028" t="s">
        <v>1335</v>
      </c>
      <c r="U433" s="1028" t="s">
        <v>1335</v>
      </c>
      <c r="V433" s="1029"/>
      <c r="W433" s="1029"/>
      <c r="X433" s="1028"/>
      <c r="Y433" s="1030" t="s">
        <v>1335</v>
      </c>
      <c r="Z433" s="1031"/>
      <c r="AA433" s="1051"/>
      <c r="AB433" s="1051"/>
      <c r="AC433" s="1051"/>
      <c r="AD433" s="1051"/>
      <c r="AE433" s="1051"/>
      <c r="AF433" s="1051"/>
      <c r="AG433" s="1051"/>
      <c r="AH433" s="1051"/>
      <c r="AI433" s="1051"/>
      <c r="AJ433" s="1051"/>
      <c r="AK433" s="1051"/>
      <c r="AL433" s="1051"/>
      <c r="AM433" s="1051"/>
      <c r="AN433" s="1051"/>
      <c r="AO433" s="1051"/>
      <c r="AP433" s="1051"/>
      <c r="AQ433" s="956">
        <f t="shared" si="84"/>
        <v>13</v>
      </c>
      <c r="AR433" s="956">
        <f t="shared" si="85"/>
        <v>1</v>
      </c>
      <c r="AS433" s="956">
        <f t="shared" si="86"/>
        <v>14</v>
      </c>
      <c r="AT433" s="982">
        <v>6</v>
      </c>
      <c r="AU433" s="981"/>
      <c r="AV433" s="981"/>
      <c r="AW433" s="981"/>
      <c r="AX433" s="1045"/>
      <c r="AY433" s="1045"/>
      <c r="AZ433" s="1015"/>
      <c r="BA433" s="1016"/>
      <c r="BB433" s="1016"/>
      <c r="BC433" s="1016"/>
      <c r="BD433" s="1016"/>
      <c r="BE433" s="1016"/>
      <c r="BF433" s="1057"/>
    </row>
    <row r="434" spans="1:58" s="947" customFormat="1" ht="26.4" customHeight="1">
      <c r="A434" s="1046"/>
      <c r="B434" s="1050">
        <v>8</v>
      </c>
      <c r="C434" s="1038">
        <v>325</v>
      </c>
      <c r="D434" s="1047"/>
      <c r="E434" s="1047"/>
      <c r="F434" s="1048"/>
      <c r="G434" s="1028" t="s">
        <v>1335</v>
      </c>
      <c r="H434" s="1028" t="s">
        <v>1335</v>
      </c>
      <c r="I434" s="1028" t="s">
        <v>1335</v>
      </c>
      <c r="J434" s="1028"/>
      <c r="K434" s="1028" t="s">
        <v>1335</v>
      </c>
      <c r="L434" s="958" t="s">
        <v>1335</v>
      </c>
      <c r="M434" s="1028" t="s">
        <v>1335</v>
      </c>
      <c r="N434" s="1028" t="s">
        <v>1335</v>
      </c>
      <c r="O434" s="1028" t="s">
        <v>1335</v>
      </c>
      <c r="P434" s="1028" t="s">
        <v>1335</v>
      </c>
      <c r="Q434" s="1028" t="s">
        <v>1335</v>
      </c>
      <c r="R434" s="1028" t="s">
        <v>1335</v>
      </c>
      <c r="S434" s="1028" t="s">
        <v>1335</v>
      </c>
      <c r="T434" s="1028" t="s">
        <v>1335</v>
      </c>
      <c r="U434" s="1028" t="s">
        <v>1335</v>
      </c>
      <c r="V434" s="1029"/>
      <c r="W434" s="1029"/>
      <c r="X434" s="1028"/>
      <c r="Y434" s="1030" t="s">
        <v>1335</v>
      </c>
      <c r="Z434" s="1031"/>
      <c r="AA434" s="1051"/>
      <c r="AB434" s="1051"/>
      <c r="AC434" s="1051"/>
      <c r="AD434" s="1051"/>
      <c r="AE434" s="1051"/>
      <c r="AF434" s="1051"/>
      <c r="AG434" s="1051"/>
      <c r="AH434" s="1051"/>
      <c r="AI434" s="1051"/>
      <c r="AJ434" s="1051"/>
      <c r="AK434" s="1051"/>
      <c r="AL434" s="1051"/>
      <c r="AM434" s="1051"/>
      <c r="AN434" s="1051"/>
      <c r="AO434" s="1051"/>
      <c r="AP434" s="1051"/>
      <c r="AQ434" s="956">
        <f t="shared" si="84"/>
        <v>14</v>
      </c>
      <c r="AR434" s="956">
        <f t="shared" si="85"/>
        <v>1</v>
      </c>
      <c r="AS434" s="956">
        <f t="shared" si="86"/>
        <v>15</v>
      </c>
      <c r="AT434" s="956">
        <v>12</v>
      </c>
      <c r="AU434" s="981"/>
      <c r="AV434" s="981"/>
      <c r="AW434" s="981"/>
      <c r="AX434" s="1045"/>
      <c r="AY434" s="1045"/>
      <c r="AZ434" s="1015"/>
      <c r="BA434" s="1016"/>
      <c r="BB434" s="1016"/>
      <c r="BC434" s="1016"/>
      <c r="BD434" s="1016"/>
      <c r="BE434" s="1016"/>
      <c r="BF434" s="1057"/>
    </row>
    <row r="435" spans="1:58" s="947" customFormat="1" ht="26.4" customHeight="1">
      <c r="A435" s="1046"/>
      <c r="B435" s="1050">
        <v>8</v>
      </c>
      <c r="C435" s="1038">
        <v>326</v>
      </c>
      <c r="D435" s="1047"/>
      <c r="E435" s="1047"/>
      <c r="F435" s="1048"/>
      <c r="G435" s="1028" t="s">
        <v>1335</v>
      </c>
      <c r="H435" s="1028" t="s">
        <v>1335</v>
      </c>
      <c r="I435" s="1028" t="s">
        <v>1335</v>
      </c>
      <c r="J435" s="1028"/>
      <c r="K435" s="1028" t="s">
        <v>1335</v>
      </c>
      <c r="L435" s="958" t="s">
        <v>1335</v>
      </c>
      <c r="M435" s="1028" t="s">
        <v>1335</v>
      </c>
      <c r="N435" s="1028" t="s">
        <v>1335</v>
      </c>
      <c r="O435" s="1028" t="s">
        <v>1335</v>
      </c>
      <c r="P435" s="1028" t="s">
        <v>1335</v>
      </c>
      <c r="Q435" s="1028" t="s">
        <v>1335</v>
      </c>
      <c r="R435" s="1028" t="s">
        <v>1335</v>
      </c>
      <c r="S435" s="1028" t="s">
        <v>1335</v>
      </c>
      <c r="T435" s="1028" t="s">
        <v>1335</v>
      </c>
      <c r="U435" s="1028" t="s">
        <v>1335</v>
      </c>
      <c r="V435" s="1029"/>
      <c r="W435" s="1029"/>
      <c r="X435" s="1028"/>
      <c r="Y435" s="1030" t="s">
        <v>1335</v>
      </c>
      <c r="Z435" s="1031"/>
      <c r="AA435" s="1051"/>
      <c r="AB435" s="1051"/>
      <c r="AC435" s="1051"/>
      <c r="AD435" s="1051"/>
      <c r="AE435" s="1051"/>
      <c r="AF435" s="1051"/>
      <c r="AG435" s="1051"/>
      <c r="AH435" s="1051"/>
      <c r="AI435" s="1051"/>
      <c r="AJ435" s="1051"/>
      <c r="AK435" s="1051"/>
      <c r="AL435" s="1051"/>
      <c r="AM435" s="1051"/>
      <c r="AN435" s="1051"/>
      <c r="AO435" s="1051"/>
      <c r="AP435" s="1051"/>
      <c r="AQ435" s="956">
        <f t="shared" si="84"/>
        <v>14</v>
      </c>
      <c r="AR435" s="956">
        <f t="shared" si="85"/>
        <v>1</v>
      </c>
      <c r="AS435" s="956">
        <f t="shared" si="86"/>
        <v>15</v>
      </c>
      <c r="AT435" s="982">
        <v>11</v>
      </c>
      <c r="AU435" s="981"/>
      <c r="AV435" s="981"/>
      <c r="AW435" s="981"/>
      <c r="AX435" s="1045"/>
      <c r="AY435" s="1045"/>
      <c r="AZ435" s="1015"/>
      <c r="BA435" s="1016"/>
      <c r="BB435" s="1016"/>
      <c r="BC435" s="1016"/>
      <c r="BD435" s="1016"/>
      <c r="BE435" s="1016"/>
      <c r="BF435" s="1057"/>
    </row>
    <row r="436" spans="1:58" s="947" customFormat="1" ht="26.4" customHeight="1">
      <c r="A436" s="1046"/>
      <c r="B436" s="1050">
        <v>8</v>
      </c>
      <c r="C436" s="1038">
        <v>327</v>
      </c>
      <c r="D436" s="1047"/>
      <c r="E436" s="1047"/>
      <c r="F436" s="1048"/>
      <c r="G436" s="1028">
        <v>0</v>
      </c>
      <c r="H436" s="1028" t="s">
        <v>1335</v>
      </c>
      <c r="I436" s="1028" t="s">
        <v>1335</v>
      </c>
      <c r="J436" s="1028" t="s">
        <v>1335</v>
      </c>
      <c r="K436" s="1028" t="s">
        <v>1335</v>
      </c>
      <c r="L436" s="958" t="s">
        <v>1335</v>
      </c>
      <c r="M436" s="1028" t="s">
        <v>1335</v>
      </c>
      <c r="N436" s="1028" t="s">
        <v>1335</v>
      </c>
      <c r="O436" s="1028" t="s">
        <v>1335</v>
      </c>
      <c r="P436" s="1028">
        <v>0</v>
      </c>
      <c r="Q436" s="1028" t="s">
        <v>1335</v>
      </c>
      <c r="R436" s="1028" t="s">
        <v>1335</v>
      </c>
      <c r="S436" s="1028" t="s">
        <v>1335</v>
      </c>
      <c r="T436" s="1028" t="s">
        <v>1335</v>
      </c>
      <c r="U436" s="1028" t="s">
        <v>1335</v>
      </c>
      <c r="V436" s="1029"/>
      <c r="W436" s="1029"/>
      <c r="X436" s="1028"/>
      <c r="Y436" s="1030"/>
      <c r="Z436" s="1031"/>
      <c r="AA436" s="1051"/>
      <c r="AB436" s="1051"/>
      <c r="AC436" s="1051"/>
      <c r="AD436" s="1051"/>
      <c r="AE436" s="1051"/>
      <c r="AF436" s="1051"/>
      <c r="AG436" s="1051"/>
      <c r="AH436" s="1051"/>
      <c r="AI436" s="1051"/>
      <c r="AJ436" s="1051"/>
      <c r="AK436" s="1051"/>
      <c r="AL436" s="1051"/>
      <c r="AM436" s="1051"/>
      <c r="AN436" s="1051"/>
      <c r="AO436" s="1051"/>
      <c r="AP436" s="1051"/>
      <c r="AQ436" s="956">
        <f t="shared" si="84"/>
        <v>13</v>
      </c>
      <c r="AR436" s="956">
        <f t="shared" si="85"/>
        <v>0</v>
      </c>
      <c r="AS436" s="956">
        <f t="shared" si="86"/>
        <v>13</v>
      </c>
      <c r="AT436" s="956">
        <v>12</v>
      </c>
      <c r="AU436" s="981"/>
      <c r="AV436" s="981"/>
      <c r="AW436" s="981"/>
      <c r="AX436" s="1045"/>
      <c r="AY436" s="1045"/>
      <c r="AZ436" s="1015"/>
      <c r="BA436" s="1016"/>
      <c r="BB436" s="1016"/>
      <c r="BC436" s="1016"/>
      <c r="BD436" s="1016"/>
      <c r="BE436" s="1016"/>
      <c r="BF436" s="1057"/>
    </row>
    <row r="437" spans="1:58" s="947" customFormat="1" ht="26.4" customHeight="1">
      <c r="A437" s="1046"/>
      <c r="B437" s="1050">
        <v>8</v>
      </c>
      <c r="C437" s="1038">
        <v>328</v>
      </c>
      <c r="D437" s="1047"/>
      <c r="E437" s="1047"/>
      <c r="F437" s="1048"/>
      <c r="G437" s="1028">
        <v>0</v>
      </c>
      <c r="H437" s="1028" t="s">
        <v>1335</v>
      </c>
      <c r="I437" s="1028" t="s">
        <v>1335</v>
      </c>
      <c r="J437" s="1028" t="s">
        <v>1335</v>
      </c>
      <c r="K437" s="1028" t="s">
        <v>1335</v>
      </c>
      <c r="L437" s="958" t="s">
        <v>1335</v>
      </c>
      <c r="M437" s="1028" t="s">
        <v>1335</v>
      </c>
      <c r="N437" s="1028" t="s">
        <v>1335</v>
      </c>
      <c r="O437" s="1028" t="s">
        <v>1335</v>
      </c>
      <c r="P437" s="1028" t="s">
        <v>1335</v>
      </c>
      <c r="Q437" s="1028" t="s">
        <v>1335</v>
      </c>
      <c r="R437" s="1028" t="s">
        <v>1335</v>
      </c>
      <c r="S437" s="1028" t="s">
        <v>1335</v>
      </c>
      <c r="T437" s="1028" t="s">
        <v>1335</v>
      </c>
      <c r="U437" s="1028" t="s">
        <v>1335</v>
      </c>
      <c r="V437" s="1029"/>
      <c r="W437" s="1029"/>
      <c r="X437" s="1028"/>
      <c r="Y437" s="1030"/>
      <c r="Z437" s="1031"/>
      <c r="AA437" s="1051"/>
      <c r="AB437" s="1051"/>
      <c r="AC437" s="1051"/>
      <c r="AD437" s="1051"/>
      <c r="AE437" s="1051"/>
      <c r="AF437" s="1051"/>
      <c r="AG437" s="1051"/>
      <c r="AH437" s="1051"/>
      <c r="AI437" s="1051"/>
      <c r="AJ437" s="1051"/>
      <c r="AK437" s="1051"/>
      <c r="AL437" s="1051"/>
      <c r="AM437" s="1051"/>
      <c r="AN437" s="1051"/>
      <c r="AO437" s="1051"/>
      <c r="AP437" s="1051"/>
      <c r="AQ437" s="956">
        <f t="shared" si="84"/>
        <v>14</v>
      </c>
      <c r="AR437" s="956">
        <f t="shared" si="85"/>
        <v>0</v>
      </c>
      <c r="AS437" s="956">
        <f t="shared" si="86"/>
        <v>14</v>
      </c>
      <c r="AT437" s="956">
        <v>12</v>
      </c>
      <c r="AU437" s="981"/>
      <c r="AV437" s="981"/>
      <c r="AW437" s="981"/>
      <c r="AX437" s="1045"/>
      <c r="AY437" s="1045"/>
      <c r="AZ437" s="1015"/>
      <c r="BA437" s="1016"/>
      <c r="BB437" s="1016"/>
      <c r="BC437" s="1016"/>
      <c r="BD437" s="1016"/>
      <c r="BE437" s="1016"/>
      <c r="BF437" s="1057"/>
    </row>
    <row r="438" spans="1:58" s="947" customFormat="1" ht="26.4" customHeight="1">
      <c r="A438" s="1046"/>
      <c r="B438" s="1050">
        <v>8</v>
      </c>
      <c r="C438" s="1038">
        <v>329</v>
      </c>
      <c r="D438" s="1047"/>
      <c r="E438" s="1047"/>
      <c r="F438" s="1048"/>
      <c r="G438" s="1028">
        <v>0</v>
      </c>
      <c r="H438" s="1028" t="s">
        <v>1335</v>
      </c>
      <c r="I438" s="1028" t="s">
        <v>1335</v>
      </c>
      <c r="J438" s="1028"/>
      <c r="K438" s="1028" t="s">
        <v>1335</v>
      </c>
      <c r="L438" s="958" t="s">
        <v>1335</v>
      </c>
      <c r="M438" s="1028" t="s">
        <v>1335</v>
      </c>
      <c r="N438" s="1028" t="s">
        <v>1335</v>
      </c>
      <c r="O438" s="1028" t="s">
        <v>1335</v>
      </c>
      <c r="P438" s="1028" t="s">
        <v>1335</v>
      </c>
      <c r="Q438" s="1028" t="s">
        <v>1335</v>
      </c>
      <c r="R438" s="1028" t="s">
        <v>1335</v>
      </c>
      <c r="S438" s="1028" t="s">
        <v>1335</v>
      </c>
      <c r="T438" s="1028" t="s">
        <v>1335</v>
      </c>
      <c r="U438" s="1028" t="s">
        <v>1335</v>
      </c>
      <c r="V438" s="1029"/>
      <c r="W438" s="1029"/>
      <c r="X438" s="1028"/>
      <c r="Y438" s="1030"/>
      <c r="Z438" s="1031"/>
      <c r="AA438" s="1051"/>
      <c r="AB438" s="1051"/>
      <c r="AC438" s="1051"/>
      <c r="AD438" s="1051"/>
      <c r="AE438" s="1051"/>
      <c r="AF438" s="1051"/>
      <c r="AG438" s="1051"/>
      <c r="AH438" s="1051"/>
      <c r="AI438" s="1051"/>
      <c r="AJ438" s="1051"/>
      <c r="AK438" s="1051"/>
      <c r="AL438" s="1051"/>
      <c r="AM438" s="1051"/>
      <c r="AN438" s="1051"/>
      <c r="AO438" s="1051"/>
      <c r="AP438" s="1051"/>
      <c r="AQ438" s="956">
        <f t="shared" si="84"/>
        <v>13</v>
      </c>
      <c r="AR438" s="956">
        <f t="shared" si="85"/>
        <v>0</v>
      </c>
      <c r="AS438" s="956">
        <f t="shared" si="86"/>
        <v>13</v>
      </c>
      <c r="AT438" s="982">
        <v>10</v>
      </c>
      <c r="AU438" s="981"/>
      <c r="AV438" s="981"/>
      <c r="AW438" s="981"/>
      <c r="AX438" s="1045"/>
      <c r="AY438" s="1045"/>
      <c r="AZ438" s="1015"/>
      <c r="BA438" s="1016"/>
      <c r="BB438" s="1016"/>
      <c r="BC438" s="1016"/>
      <c r="BD438" s="1016"/>
      <c r="BE438" s="1016"/>
      <c r="BF438" s="1057"/>
    </row>
    <row r="439" spans="1:58" s="947" customFormat="1" ht="26.4" customHeight="1">
      <c r="A439" s="1046"/>
      <c r="B439" s="1050">
        <v>8</v>
      </c>
      <c r="C439" s="1038">
        <v>330</v>
      </c>
      <c r="D439" s="1047"/>
      <c r="E439" s="1047"/>
      <c r="F439" s="1048"/>
      <c r="G439" s="1028">
        <v>0</v>
      </c>
      <c r="H439" s="1028" t="s">
        <v>1335</v>
      </c>
      <c r="I439" s="1028" t="s">
        <v>1335</v>
      </c>
      <c r="J439" s="1028"/>
      <c r="K439" s="1028">
        <v>0</v>
      </c>
      <c r="L439" s="958" t="s">
        <v>1335</v>
      </c>
      <c r="M439" s="1028">
        <v>0</v>
      </c>
      <c r="N439" s="1028" t="s">
        <v>1335</v>
      </c>
      <c r="O439" s="1028" t="s">
        <v>1335</v>
      </c>
      <c r="P439" s="1028" t="s">
        <v>1335</v>
      </c>
      <c r="Q439" s="1028" t="s">
        <v>1335</v>
      </c>
      <c r="R439" s="1028" t="s">
        <v>1335</v>
      </c>
      <c r="S439" s="1028" t="s">
        <v>1335</v>
      </c>
      <c r="T439" s="1028" t="s">
        <v>1335</v>
      </c>
      <c r="U439" s="1028" t="s">
        <v>1335</v>
      </c>
      <c r="V439" s="1029"/>
      <c r="W439" s="1029"/>
      <c r="X439" s="1028"/>
      <c r="Y439" s="1030"/>
      <c r="Z439" s="1031"/>
      <c r="AA439" s="1051"/>
      <c r="AB439" s="1051"/>
      <c r="AC439" s="1051"/>
      <c r="AD439" s="1051"/>
      <c r="AE439" s="1051"/>
      <c r="AF439" s="1051"/>
      <c r="AG439" s="1051"/>
      <c r="AH439" s="1051"/>
      <c r="AI439" s="1051"/>
      <c r="AJ439" s="1051"/>
      <c r="AK439" s="1051"/>
      <c r="AL439" s="1051"/>
      <c r="AM439" s="1051"/>
      <c r="AN439" s="1051"/>
      <c r="AO439" s="1051"/>
      <c r="AP439" s="1051"/>
      <c r="AQ439" s="956">
        <f t="shared" si="84"/>
        <v>11</v>
      </c>
      <c r="AR439" s="956">
        <f t="shared" si="85"/>
        <v>0</v>
      </c>
      <c r="AS439" s="956">
        <f t="shared" si="86"/>
        <v>11</v>
      </c>
      <c r="AT439" s="982">
        <v>7</v>
      </c>
      <c r="AU439" s="981"/>
      <c r="AV439" s="981"/>
      <c r="AW439" s="981"/>
      <c r="AX439" s="1045"/>
      <c r="AY439" s="1045"/>
      <c r="AZ439" s="1015"/>
      <c r="BA439" s="1016"/>
      <c r="BB439" s="1016"/>
      <c r="BC439" s="1016"/>
      <c r="BD439" s="1016"/>
      <c r="BE439" s="1016"/>
      <c r="BF439" s="1057"/>
    </row>
    <row r="440" spans="1:58" s="947" customFormat="1" ht="26.4" customHeight="1">
      <c r="A440" s="1046"/>
      <c r="B440" s="1050">
        <v>8</v>
      </c>
      <c r="C440" s="1038">
        <v>331</v>
      </c>
      <c r="D440" s="1047"/>
      <c r="E440" s="1047"/>
      <c r="F440" s="1048"/>
      <c r="G440" s="1028">
        <v>0</v>
      </c>
      <c r="H440" s="1028" t="s">
        <v>1335</v>
      </c>
      <c r="I440" s="1028" t="s">
        <v>1335</v>
      </c>
      <c r="J440" s="1028"/>
      <c r="K440" s="1028">
        <v>0</v>
      </c>
      <c r="L440" s="958" t="s">
        <v>1335</v>
      </c>
      <c r="M440" s="1028">
        <v>0</v>
      </c>
      <c r="N440" s="1028" t="s">
        <v>1335</v>
      </c>
      <c r="O440" s="1028" t="s">
        <v>1335</v>
      </c>
      <c r="P440" s="1028" t="s">
        <v>1335</v>
      </c>
      <c r="Q440" s="1028" t="s">
        <v>1335</v>
      </c>
      <c r="R440" s="1028" t="s">
        <v>1335</v>
      </c>
      <c r="S440" s="1028" t="s">
        <v>1335</v>
      </c>
      <c r="T440" s="1028" t="s">
        <v>1335</v>
      </c>
      <c r="U440" s="1028" t="s">
        <v>1335</v>
      </c>
      <c r="V440" s="1029"/>
      <c r="W440" s="1029"/>
      <c r="X440" s="1028"/>
      <c r="Y440" s="1030"/>
      <c r="Z440" s="1031"/>
      <c r="AA440" s="1051"/>
      <c r="AB440" s="1051"/>
      <c r="AC440" s="1051"/>
      <c r="AD440" s="1051"/>
      <c r="AE440" s="1051"/>
      <c r="AF440" s="1051"/>
      <c r="AG440" s="1051"/>
      <c r="AH440" s="1051"/>
      <c r="AI440" s="1051"/>
      <c r="AJ440" s="1051"/>
      <c r="AK440" s="1051"/>
      <c r="AL440" s="1051"/>
      <c r="AM440" s="1051"/>
      <c r="AN440" s="1051"/>
      <c r="AO440" s="1051"/>
      <c r="AP440" s="1051"/>
      <c r="AQ440" s="956">
        <f t="shared" si="84"/>
        <v>11</v>
      </c>
      <c r="AR440" s="956">
        <f t="shared" si="85"/>
        <v>0</v>
      </c>
      <c r="AS440" s="956">
        <f t="shared" si="86"/>
        <v>11</v>
      </c>
      <c r="AT440" s="982">
        <v>7</v>
      </c>
      <c r="AU440" s="981"/>
      <c r="AV440" s="981"/>
      <c r="AW440" s="981"/>
      <c r="AX440" s="1045"/>
      <c r="AY440" s="1045"/>
      <c r="AZ440" s="1015"/>
      <c r="BA440" s="1016"/>
      <c r="BB440" s="1016"/>
      <c r="BC440" s="1016"/>
      <c r="BD440" s="1016"/>
      <c r="BE440" s="1016"/>
      <c r="BF440" s="1057"/>
    </row>
    <row r="441" spans="1:58" s="947" customFormat="1" ht="26.4" customHeight="1">
      <c r="A441" s="1046"/>
      <c r="B441" s="1050">
        <v>8</v>
      </c>
      <c r="C441" s="1038">
        <v>332</v>
      </c>
      <c r="D441" s="1047"/>
      <c r="E441" s="1047"/>
      <c r="F441" s="1048"/>
      <c r="G441" s="1028" t="s">
        <v>1335</v>
      </c>
      <c r="H441" s="1028" t="s">
        <v>1335</v>
      </c>
      <c r="I441" s="1028" t="s">
        <v>1335</v>
      </c>
      <c r="J441" s="1028"/>
      <c r="K441" s="1028">
        <v>0</v>
      </c>
      <c r="L441" s="958" t="s">
        <v>1335</v>
      </c>
      <c r="M441" s="1028" t="s">
        <v>1335</v>
      </c>
      <c r="N441" s="1028" t="s">
        <v>1335</v>
      </c>
      <c r="O441" s="1028" t="s">
        <v>1335</v>
      </c>
      <c r="P441" s="1028">
        <v>0</v>
      </c>
      <c r="Q441" s="1028" t="s">
        <v>1335</v>
      </c>
      <c r="R441" s="1028" t="s">
        <v>1335</v>
      </c>
      <c r="S441" s="1028" t="s">
        <v>1335</v>
      </c>
      <c r="T441" s="1028" t="s">
        <v>1335</v>
      </c>
      <c r="U441" s="1028" t="s">
        <v>1335</v>
      </c>
      <c r="V441" s="1029"/>
      <c r="W441" s="1029"/>
      <c r="X441" s="1028"/>
      <c r="Y441" s="1030"/>
      <c r="Z441" s="1031"/>
      <c r="AA441" s="1051"/>
      <c r="AB441" s="1051"/>
      <c r="AC441" s="1051"/>
      <c r="AD441" s="1051"/>
      <c r="AE441" s="1051"/>
      <c r="AF441" s="1051"/>
      <c r="AG441" s="1051"/>
      <c r="AH441" s="1051"/>
      <c r="AI441" s="1051"/>
      <c r="AJ441" s="1051"/>
      <c r="AK441" s="1051"/>
      <c r="AL441" s="1051"/>
      <c r="AM441" s="1051"/>
      <c r="AN441" s="1051"/>
      <c r="AO441" s="1051"/>
      <c r="AP441" s="1051"/>
      <c r="AQ441" s="956">
        <f t="shared" si="84"/>
        <v>12</v>
      </c>
      <c r="AR441" s="956">
        <f t="shared" si="85"/>
        <v>0</v>
      </c>
      <c r="AS441" s="956">
        <f t="shared" si="86"/>
        <v>12</v>
      </c>
      <c r="AT441" s="982">
        <v>11</v>
      </c>
      <c r="AU441" s="981"/>
      <c r="AV441" s="981"/>
      <c r="AW441" s="981"/>
      <c r="AX441" s="1045"/>
      <c r="AY441" s="1045"/>
      <c r="AZ441" s="1015"/>
      <c r="BA441" s="1016"/>
      <c r="BB441" s="1016"/>
      <c r="BC441" s="1016"/>
      <c r="BD441" s="1016"/>
      <c r="BE441" s="1016"/>
      <c r="BF441" s="1057"/>
    </row>
    <row r="442" spans="1:58" s="947" customFormat="1" ht="26.4" customHeight="1">
      <c r="A442" s="1046"/>
      <c r="B442" s="1050">
        <v>8</v>
      </c>
      <c r="C442" s="1038">
        <v>333</v>
      </c>
      <c r="D442" s="1047"/>
      <c r="E442" s="1047"/>
      <c r="F442" s="1048"/>
      <c r="G442" s="1028">
        <v>0</v>
      </c>
      <c r="H442" s="1028" t="s">
        <v>1335</v>
      </c>
      <c r="I442" s="1028" t="s">
        <v>1335</v>
      </c>
      <c r="J442" s="1028"/>
      <c r="K442" s="1028" t="s">
        <v>1335</v>
      </c>
      <c r="L442" s="958" t="s">
        <v>1335</v>
      </c>
      <c r="M442" s="1028" t="s">
        <v>1335</v>
      </c>
      <c r="N442" s="1028" t="s">
        <v>1335</v>
      </c>
      <c r="O442" s="1028" t="s">
        <v>1335</v>
      </c>
      <c r="P442" s="1028" t="s">
        <v>1335</v>
      </c>
      <c r="Q442" s="1028" t="s">
        <v>1335</v>
      </c>
      <c r="R442" s="1028" t="s">
        <v>1335</v>
      </c>
      <c r="S442" s="1028" t="s">
        <v>1335</v>
      </c>
      <c r="T442" s="1028" t="s">
        <v>1335</v>
      </c>
      <c r="U442" s="1028" t="s">
        <v>1335</v>
      </c>
      <c r="V442" s="1029"/>
      <c r="W442" s="1029"/>
      <c r="X442" s="1028"/>
      <c r="Y442" s="1030"/>
      <c r="Z442" s="1031"/>
      <c r="AA442" s="1051"/>
      <c r="AB442" s="1051"/>
      <c r="AC442" s="1051"/>
      <c r="AD442" s="1051"/>
      <c r="AE442" s="1051"/>
      <c r="AF442" s="1051"/>
      <c r="AG442" s="1051"/>
      <c r="AH442" s="1051"/>
      <c r="AI442" s="1051"/>
      <c r="AJ442" s="1051"/>
      <c r="AK442" s="1051"/>
      <c r="AL442" s="1051"/>
      <c r="AM442" s="1051"/>
      <c r="AN442" s="1051"/>
      <c r="AO442" s="1051"/>
      <c r="AP442" s="1051"/>
      <c r="AQ442" s="956">
        <f t="shared" si="84"/>
        <v>13</v>
      </c>
      <c r="AR442" s="956">
        <f t="shared" si="85"/>
        <v>0</v>
      </c>
      <c r="AS442" s="956">
        <f t="shared" si="86"/>
        <v>13</v>
      </c>
      <c r="AT442" s="982">
        <v>7</v>
      </c>
      <c r="AU442" s="981"/>
      <c r="AV442" s="981"/>
      <c r="AW442" s="981"/>
      <c r="AX442" s="1045"/>
      <c r="AY442" s="1045"/>
      <c r="AZ442" s="1015"/>
      <c r="BA442" s="1016"/>
      <c r="BB442" s="1016"/>
      <c r="BC442" s="1016"/>
      <c r="BD442" s="1016"/>
      <c r="BE442" s="1016"/>
      <c r="BF442" s="1057"/>
    </row>
    <row r="443" spans="1:58" s="947" customFormat="1" ht="26.4" customHeight="1">
      <c r="A443" s="1046"/>
      <c r="B443" s="1050">
        <v>8</v>
      </c>
      <c r="C443" s="1038">
        <v>334</v>
      </c>
      <c r="D443" s="1047"/>
      <c r="E443" s="1047"/>
      <c r="F443" s="1048"/>
      <c r="G443" s="1028">
        <v>0</v>
      </c>
      <c r="H443" s="1028" t="s">
        <v>1335</v>
      </c>
      <c r="I443" s="1028" t="s">
        <v>1335</v>
      </c>
      <c r="J443" s="1028"/>
      <c r="K443" s="1028" t="s">
        <v>1335</v>
      </c>
      <c r="L443" s="958" t="s">
        <v>1335</v>
      </c>
      <c r="M443" s="1028" t="s">
        <v>1335</v>
      </c>
      <c r="N443" s="1028" t="s">
        <v>1335</v>
      </c>
      <c r="O443" s="1028" t="s">
        <v>1335</v>
      </c>
      <c r="P443" s="1028" t="s">
        <v>1335</v>
      </c>
      <c r="Q443" s="1028" t="s">
        <v>1335</v>
      </c>
      <c r="R443" s="1028" t="s">
        <v>1335</v>
      </c>
      <c r="S443" s="1028" t="s">
        <v>1335</v>
      </c>
      <c r="T443" s="1028" t="s">
        <v>1335</v>
      </c>
      <c r="U443" s="1028" t="s">
        <v>1335</v>
      </c>
      <c r="V443" s="1029"/>
      <c r="W443" s="1029"/>
      <c r="X443" s="1028"/>
      <c r="Y443" s="1030"/>
      <c r="Z443" s="1031"/>
      <c r="AA443" s="1051"/>
      <c r="AB443" s="1051"/>
      <c r="AC443" s="1051"/>
      <c r="AD443" s="1051"/>
      <c r="AE443" s="1051"/>
      <c r="AF443" s="1051"/>
      <c r="AG443" s="1051"/>
      <c r="AH443" s="1051"/>
      <c r="AI443" s="1051"/>
      <c r="AJ443" s="1051"/>
      <c r="AK443" s="1051"/>
      <c r="AL443" s="1051"/>
      <c r="AM443" s="1051"/>
      <c r="AN443" s="1051"/>
      <c r="AO443" s="1051"/>
      <c r="AP443" s="1051"/>
      <c r="AQ443" s="956">
        <f t="shared" si="84"/>
        <v>13</v>
      </c>
      <c r="AR443" s="956">
        <f t="shared" si="85"/>
        <v>0</v>
      </c>
      <c r="AS443" s="956">
        <f t="shared" si="86"/>
        <v>13</v>
      </c>
      <c r="AT443" s="982">
        <v>7</v>
      </c>
      <c r="AU443" s="981"/>
      <c r="AV443" s="981"/>
      <c r="AW443" s="981"/>
      <c r="AX443" s="1045"/>
      <c r="AY443" s="1045"/>
      <c r="AZ443" s="1015"/>
      <c r="BA443" s="1016"/>
      <c r="BB443" s="1016"/>
      <c r="BC443" s="1016"/>
      <c r="BD443" s="1016"/>
      <c r="BE443" s="1016"/>
      <c r="BF443" s="1057"/>
    </row>
    <row r="444" spans="1:58" s="947" customFormat="1" ht="26.4" customHeight="1">
      <c r="A444" s="1046"/>
      <c r="B444" s="1050">
        <v>8</v>
      </c>
      <c r="C444" s="1038">
        <v>335</v>
      </c>
      <c r="D444" s="1047"/>
      <c r="E444" s="1047"/>
      <c r="F444" s="1048"/>
      <c r="G444" s="1028" t="s">
        <v>1335</v>
      </c>
      <c r="H444" s="1028" t="s">
        <v>1335</v>
      </c>
      <c r="I444" s="1028" t="s">
        <v>1335</v>
      </c>
      <c r="J444" s="1028"/>
      <c r="K444" s="1028">
        <v>0</v>
      </c>
      <c r="L444" s="958" t="s">
        <v>1335</v>
      </c>
      <c r="M444" s="1028" t="s">
        <v>1335</v>
      </c>
      <c r="N444" s="1028" t="s">
        <v>1335</v>
      </c>
      <c r="O444" s="1028" t="s">
        <v>1335</v>
      </c>
      <c r="P444" s="1028" t="s">
        <v>1335</v>
      </c>
      <c r="Q444" s="1028" t="s">
        <v>1335</v>
      </c>
      <c r="R444" s="1028" t="s">
        <v>1335</v>
      </c>
      <c r="S444" s="1028" t="s">
        <v>1335</v>
      </c>
      <c r="T444" s="1028" t="s">
        <v>1335</v>
      </c>
      <c r="U444" s="1028" t="s">
        <v>1335</v>
      </c>
      <c r="V444" s="1029"/>
      <c r="W444" s="1029"/>
      <c r="X444" s="1028"/>
      <c r="Y444" s="1030" t="s">
        <v>1335</v>
      </c>
      <c r="Z444" s="1031"/>
      <c r="AA444" s="1051"/>
      <c r="AB444" s="1051"/>
      <c r="AC444" s="1051"/>
      <c r="AD444" s="1051"/>
      <c r="AE444" s="1051"/>
      <c r="AF444" s="1051"/>
      <c r="AG444" s="1051"/>
      <c r="AH444" s="1051"/>
      <c r="AI444" s="1051"/>
      <c r="AJ444" s="1051"/>
      <c r="AK444" s="1051"/>
      <c r="AL444" s="1051"/>
      <c r="AM444" s="1051"/>
      <c r="AN444" s="1051"/>
      <c r="AO444" s="1051"/>
      <c r="AP444" s="1051"/>
      <c r="AQ444" s="956">
        <f t="shared" si="84"/>
        <v>13</v>
      </c>
      <c r="AR444" s="956">
        <f t="shared" si="85"/>
        <v>1</v>
      </c>
      <c r="AS444" s="956">
        <f t="shared" si="86"/>
        <v>14</v>
      </c>
      <c r="AT444" s="956">
        <v>12</v>
      </c>
      <c r="AU444" s="981"/>
      <c r="AV444" s="981"/>
      <c r="AW444" s="981"/>
      <c r="AX444" s="1045"/>
      <c r="AY444" s="1045"/>
      <c r="AZ444" s="1015"/>
      <c r="BA444" s="1016"/>
      <c r="BB444" s="1016"/>
      <c r="BC444" s="1016"/>
      <c r="BD444" s="1016"/>
      <c r="BE444" s="1016"/>
      <c r="BF444" s="1057"/>
    </row>
    <row r="445" spans="1:58" s="947" customFormat="1" ht="26.4" customHeight="1">
      <c r="A445" s="1046"/>
      <c r="B445" s="1050">
        <v>8</v>
      </c>
      <c r="C445" s="1038">
        <v>336</v>
      </c>
      <c r="D445" s="1047"/>
      <c r="E445" s="1047"/>
      <c r="F445" s="1048"/>
      <c r="G445" s="1028" t="s">
        <v>1335</v>
      </c>
      <c r="H445" s="1028" t="s">
        <v>1335</v>
      </c>
      <c r="I445" s="1028" t="s">
        <v>1335</v>
      </c>
      <c r="J445" s="1028"/>
      <c r="K445" s="1028">
        <v>0</v>
      </c>
      <c r="L445" s="958" t="s">
        <v>1335</v>
      </c>
      <c r="M445" s="1028" t="s">
        <v>1335</v>
      </c>
      <c r="N445" s="1028" t="s">
        <v>1335</v>
      </c>
      <c r="O445" s="1028" t="s">
        <v>1335</v>
      </c>
      <c r="P445" s="1028" t="s">
        <v>1335</v>
      </c>
      <c r="Q445" s="1028" t="s">
        <v>1335</v>
      </c>
      <c r="R445" s="1028" t="s">
        <v>1335</v>
      </c>
      <c r="S445" s="1028" t="s">
        <v>1335</v>
      </c>
      <c r="T445" s="1028" t="s">
        <v>1335</v>
      </c>
      <c r="U445" s="1028" t="s">
        <v>1335</v>
      </c>
      <c r="V445" s="1029"/>
      <c r="W445" s="1029"/>
      <c r="X445" s="1028"/>
      <c r="Y445" s="1030" t="s">
        <v>1335</v>
      </c>
      <c r="Z445" s="1031"/>
      <c r="AA445" s="1051"/>
      <c r="AB445" s="1051"/>
      <c r="AC445" s="1051"/>
      <c r="AD445" s="1051"/>
      <c r="AE445" s="1051"/>
      <c r="AF445" s="1051"/>
      <c r="AG445" s="1051"/>
      <c r="AH445" s="1051"/>
      <c r="AI445" s="1051"/>
      <c r="AJ445" s="1051"/>
      <c r="AK445" s="1051"/>
      <c r="AL445" s="1051"/>
      <c r="AM445" s="1051"/>
      <c r="AN445" s="1051"/>
      <c r="AO445" s="1051"/>
      <c r="AP445" s="1051"/>
      <c r="AQ445" s="956">
        <f t="shared" si="84"/>
        <v>13</v>
      </c>
      <c r="AR445" s="956">
        <f t="shared" si="85"/>
        <v>1</v>
      </c>
      <c r="AS445" s="956">
        <f t="shared" si="86"/>
        <v>14</v>
      </c>
      <c r="AT445" s="982">
        <v>11</v>
      </c>
      <c r="AU445" s="981"/>
      <c r="AV445" s="981"/>
      <c r="AW445" s="981"/>
      <c r="AX445" s="1045"/>
      <c r="AY445" s="1045"/>
      <c r="AZ445" s="1015"/>
      <c r="BA445" s="1016"/>
      <c r="BB445" s="1016"/>
      <c r="BC445" s="1016"/>
      <c r="BD445" s="1016"/>
      <c r="BE445" s="1016"/>
      <c r="BF445" s="1057"/>
    </row>
    <row r="446" spans="1:58" s="947" customFormat="1" ht="26.4" customHeight="1">
      <c r="A446" s="1046"/>
      <c r="B446" s="1050">
        <v>8</v>
      </c>
      <c r="C446" s="1038">
        <v>337</v>
      </c>
      <c r="D446" s="1047"/>
      <c r="E446" s="1047"/>
      <c r="F446" s="1048"/>
      <c r="G446" s="1028">
        <v>0</v>
      </c>
      <c r="H446" s="1028" t="s">
        <v>1335</v>
      </c>
      <c r="I446" s="1028" t="s">
        <v>1335</v>
      </c>
      <c r="J446" s="1028"/>
      <c r="K446" s="1028">
        <v>0</v>
      </c>
      <c r="L446" s="958" t="s">
        <v>1335</v>
      </c>
      <c r="M446" s="1028" t="s">
        <v>1335</v>
      </c>
      <c r="N446" s="1028" t="s">
        <v>1335</v>
      </c>
      <c r="O446" s="1028" t="s">
        <v>1335</v>
      </c>
      <c r="P446" s="1028" t="s">
        <v>1335</v>
      </c>
      <c r="Q446" s="1028" t="s">
        <v>1335</v>
      </c>
      <c r="R446" s="1028" t="s">
        <v>1335</v>
      </c>
      <c r="S446" s="1028" t="s">
        <v>1335</v>
      </c>
      <c r="T446" s="1028" t="s">
        <v>1335</v>
      </c>
      <c r="U446" s="1028" t="s">
        <v>1335</v>
      </c>
      <c r="V446" s="1029"/>
      <c r="W446" s="1029"/>
      <c r="X446" s="1028"/>
      <c r="Y446" s="1030"/>
      <c r="Z446" s="1031"/>
      <c r="AA446" s="1051"/>
      <c r="AB446" s="1051"/>
      <c r="AC446" s="1051"/>
      <c r="AD446" s="1051"/>
      <c r="AE446" s="1051"/>
      <c r="AF446" s="1051"/>
      <c r="AG446" s="1051"/>
      <c r="AH446" s="1051"/>
      <c r="AI446" s="1051"/>
      <c r="AJ446" s="1051"/>
      <c r="AK446" s="1051"/>
      <c r="AL446" s="1051"/>
      <c r="AM446" s="1051"/>
      <c r="AN446" s="1051"/>
      <c r="AO446" s="1051"/>
      <c r="AP446" s="1051"/>
      <c r="AQ446" s="956">
        <f t="shared" si="84"/>
        <v>12</v>
      </c>
      <c r="AR446" s="956">
        <f t="shared" si="85"/>
        <v>0</v>
      </c>
      <c r="AS446" s="956">
        <f t="shared" si="86"/>
        <v>12</v>
      </c>
      <c r="AT446" s="956">
        <v>12</v>
      </c>
      <c r="AU446" s="981"/>
      <c r="AV446" s="981"/>
      <c r="AW446" s="981"/>
      <c r="AX446" s="1045"/>
      <c r="AY446" s="1045"/>
      <c r="AZ446" s="1015"/>
      <c r="BA446" s="1016"/>
      <c r="BB446" s="1016"/>
      <c r="BC446" s="1016"/>
      <c r="BD446" s="1016"/>
      <c r="BE446" s="1016"/>
      <c r="BF446" s="1057"/>
    </row>
    <row r="447" spans="1:58" s="947" customFormat="1" ht="26.4" customHeight="1">
      <c r="A447" s="1046"/>
      <c r="B447" s="1050">
        <v>8</v>
      </c>
      <c r="C447" s="1038">
        <v>338</v>
      </c>
      <c r="D447" s="1047"/>
      <c r="E447" s="1047"/>
      <c r="F447" s="1048"/>
      <c r="G447" s="1028">
        <v>0</v>
      </c>
      <c r="H447" s="1028" t="s">
        <v>1335</v>
      </c>
      <c r="I447" s="1028" t="s">
        <v>1335</v>
      </c>
      <c r="J447" s="1028"/>
      <c r="K447" s="1028">
        <v>0</v>
      </c>
      <c r="L447" s="958" t="s">
        <v>1335</v>
      </c>
      <c r="M447" s="1028" t="s">
        <v>1335</v>
      </c>
      <c r="N447" s="1028" t="s">
        <v>1335</v>
      </c>
      <c r="O447" s="1028" t="s">
        <v>1335</v>
      </c>
      <c r="P447" s="1028" t="s">
        <v>1335</v>
      </c>
      <c r="Q447" s="1028" t="s">
        <v>1335</v>
      </c>
      <c r="R447" s="1028" t="s">
        <v>1335</v>
      </c>
      <c r="S447" s="1028" t="s">
        <v>1335</v>
      </c>
      <c r="T447" s="1028" t="s">
        <v>1335</v>
      </c>
      <c r="U447" s="1028" t="s">
        <v>1335</v>
      </c>
      <c r="V447" s="1029"/>
      <c r="W447" s="1029"/>
      <c r="X447" s="1028"/>
      <c r="Y447" s="1030"/>
      <c r="Z447" s="1031"/>
      <c r="AA447" s="1051"/>
      <c r="AB447" s="1051"/>
      <c r="AC447" s="1051"/>
      <c r="AD447" s="1051"/>
      <c r="AE447" s="1051"/>
      <c r="AF447" s="1051"/>
      <c r="AG447" s="1051"/>
      <c r="AH447" s="1051"/>
      <c r="AI447" s="1051"/>
      <c r="AJ447" s="1051"/>
      <c r="AK447" s="1051"/>
      <c r="AL447" s="1051"/>
      <c r="AM447" s="1051"/>
      <c r="AN447" s="1051"/>
      <c r="AO447" s="1051"/>
      <c r="AP447" s="1051"/>
      <c r="AQ447" s="956">
        <f t="shared" si="84"/>
        <v>12</v>
      </c>
      <c r="AR447" s="956">
        <f t="shared" si="85"/>
        <v>0</v>
      </c>
      <c r="AS447" s="956">
        <f t="shared" si="86"/>
        <v>12</v>
      </c>
      <c r="AT447" s="982">
        <v>3</v>
      </c>
      <c r="AU447" s="981"/>
      <c r="AV447" s="981"/>
      <c r="AW447" s="981"/>
      <c r="AX447" s="1045"/>
      <c r="AY447" s="1045"/>
      <c r="AZ447" s="1015"/>
      <c r="BA447" s="1016"/>
      <c r="BB447" s="1016"/>
      <c r="BC447" s="1016"/>
      <c r="BD447" s="1016"/>
      <c r="BE447" s="1016"/>
      <c r="BF447" s="1057"/>
    </row>
    <row r="448" spans="1:58" s="947" customFormat="1" ht="26.4" customHeight="1">
      <c r="A448" s="1046"/>
      <c r="B448" s="1050">
        <v>8</v>
      </c>
      <c r="C448" s="1038">
        <v>339</v>
      </c>
      <c r="D448" s="1047"/>
      <c r="E448" s="1047"/>
      <c r="F448" s="1048"/>
      <c r="G448" s="1028">
        <v>0</v>
      </c>
      <c r="H448" s="1028" t="s">
        <v>1335</v>
      </c>
      <c r="I448" s="1028">
        <v>0</v>
      </c>
      <c r="J448" s="1028"/>
      <c r="K448" s="1028">
        <v>0</v>
      </c>
      <c r="L448" s="958" t="s">
        <v>1335</v>
      </c>
      <c r="M448" s="1028" t="s">
        <v>1335</v>
      </c>
      <c r="N448" s="1028" t="s">
        <v>1335</v>
      </c>
      <c r="O448" s="1028" t="s">
        <v>1335</v>
      </c>
      <c r="P448" s="1028" t="s">
        <v>1335</v>
      </c>
      <c r="Q448" s="1028" t="s">
        <v>1335</v>
      </c>
      <c r="R448" s="1028" t="s">
        <v>1335</v>
      </c>
      <c r="S448" s="1028" t="s">
        <v>1335</v>
      </c>
      <c r="T448" s="1028" t="s">
        <v>1335</v>
      </c>
      <c r="U448" s="1028" t="s">
        <v>1335</v>
      </c>
      <c r="V448" s="1029"/>
      <c r="W448" s="1029"/>
      <c r="X448" s="1028"/>
      <c r="Y448" s="1030"/>
      <c r="Z448" s="1031"/>
      <c r="AA448" s="1051"/>
      <c r="AB448" s="1051"/>
      <c r="AC448" s="1051"/>
      <c r="AD448" s="1051"/>
      <c r="AE448" s="1051"/>
      <c r="AF448" s="1051"/>
      <c r="AG448" s="1051"/>
      <c r="AH448" s="1051"/>
      <c r="AI448" s="1051"/>
      <c r="AJ448" s="1051"/>
      <c r="AK448" s="1051"/>
      <c r="AL448" s="1051"/>
      <c r="AM448" s="1051"/>
      <c r="AN448" s="1051"/>
      <c r="AO448" s="1051"/>
      <c r="AP448" s="1051"/>
      <c r="AQ448" s="956">
        <f t="shared" si="84"/>
        <v>11</v>
      </c>
      <c r="AR448" s="956">
        <f t="shared" si="85"/>
        <v>0</v>
      </c>
      <c r="AS448" s="956">
        <f t="shared" si="86"/>
        <v>11</v>
      </c>
      <c r="AT448" s="982">
        <v>4</v>
      </c>
      <c r="AU448" s="981"/>
      <c r="AV448" s="981"/>
      <c r="AW448" s="981"/>
      <c r="AX448" s="1045"/>
      <c r="AY448" s="1045"/>
      <c r="AZ448" s="1015"/>
      <c r="BA448" s="1016"/>
      <c r="BB448" s="1016"/>
      <c r="BC448" s="1016"/>
      <c r="BD448" s="1016"/>
      <c r="BE448" s="1016"/>
      <c r="BF448" s="1057"/>
    </row>
    <row r="449" spans="1:58" s="947" customFormat="1" ht="26.4" customHeight="1">
      <c r="A449" s="1046"/>
      <c r="B449" s="1050">
        <v>8</v>
      </c>
      <c r="C449" s="1038">
        <v>340</v>
      </c>
      <c r="D449" s="1047"/>
      <c r="E449" s="1047"/>
      <c r="F449" s="1048"/>
      <c r="G449" s="1028" t="s">
        <v>1335</v>
      </c>
      <c r="H449" s="1028">
        <v>0</v>
      </c>
      <c r="I449" s="1028" t="s">
        <v>1335</v>
      </c>
      <c r="J449" s="1028"/>
      <c r="K449" s="1028" t="s">
        <v>1335</v>
      </c>
      <c r="L449" s="958" t="s">
        <v>1335</v>
      </c>
      <c r="M449" s="1028" t="s">
        <v>1335</v>
      </c>
      <c r="N449" s="1028" t="s">
        <v>1335</v>
      </c>
      <c r="O449" s="1028" t="s">
        <v>1335</v>
      </c>
      <c r="P449" s="1028" t="s">
        <v>1335</v>
      </c>
      <c r="Q449" s="1028" t="s">
        <v>1335</v>
      </c>
      <c r="R449" s="1028" t="s">
        <v>1335</v>
      </c>
      <c r="S449" s="1028" t="s">
        <v>1335</v>
      </c>
      <c r="T449" s="1028" t="s">
        <v>1335</v>
      </c>
      <c r="U449" s="1028" t="s">
        <v>1335</v>
      </c>
      <c r="V449" s="1029"/>
      <c r="W449" s="1029"/>
      <c r="X449" s="1028"/>
      <c r="Y449" s="1030"/>
      <c r="Z449" s="1031"/>
      <c r="AA449" s="1051"/>
      <c r="AB449" s="1051"/>
      <c r="AC449" s="1051"/>
      <c r="AD449" s="1051"/>
      <c r="AE449" s="1051"/>
      <c r="AF449" s="1051"/>
      <c r="AG449" s="1051"/>
      <c r="AH449" s="1051"/>
      <c r="AI449" s="1051"/>
      <c r="AJ449" s="1051"/>
      <c r="AK449" s="1051"/>
      <c r="AL449" s="1051"/>
      <c r="AM449" s="1051"/>
      <c r="AN449" s="1051"/>
      <c r="AO449" s="1051"/>
      <c r="AP449" s="1051"/>
      <c r="AQ449" s="956">
        <f t="shared" si="84"/>
        <v>13</v>
      </c>
      <c r="AR449" s="956">
        <f t="shared" si="85"/>
        <v>0</v>
      </c>
      <c r="AS449" s="956">
        <f t="shared" si="86"/>
        <v>13</v>
      </c>
      <c r="AT449" s="956">
        <v>12</v>
      </c>
      <c r="AU449" s="981"/>
      <c r="AV449" s="981"/>
      <c r="AW449" s="981"/>
      <c r="AX449" s="1045"/>
      <c r="AY449" s="1045"/>
      <c r="AZ449" s="1015"/>
      <c r="BA449" s="1016"/>
      <c r="BB449" s="1016"/>
      <c r="BC449" s="1016"/>
      <c r="BD449" s="1016"/>
      <c r="BE449" s="1016"/>
      <c r="BF449" s="1057"/>
    </row>
    <row r="450" spans="1:58" s="947" customFormat="1" ht="26.4" customHeight="1">
      <c r="A450" s="1046"/>
      <c r="B450" s="1050">
        <v>8</v>
      </c>
      <c r="C450" s="1038">
        <v>341</v>
      </c>
      <c r="D450" s="1047"/>
      <c r="E450" s="1047"/>
      <c r="F450" s="1048"/>
      <c r="G450" s="1028" t="s">
        <v>1335</v>
      </c>
      <c r="H450" s="1028" t="s">
        <v>1335</v>
      </c>
      <c r="I450" s="1028" t="s">
        <v>1335</v>
      </c>
      <c r="J450" s="1028"/>
      <c r="K450" s="1028">
        <v>0</v>
      </c>
      <c r="L450" s="958" t="s">
        <v>1335</v>
      </c>
      <c r="M450" s="1028">
        <v>0</v>
      </c>
      <c r="N450" s="1028" t="s">
        <v>1335</v>
      </c>
      <c r="O450" s="1028" t="s">
        <v>1335</v>
      </c>
      <c r="P450" s="1028" t="s">
        <v>1335</v>
      </c>
      <c r="Q450" s="1028" t="s">
        <v>1335</v>
      </c>
      <c r="R450" s="1028" t="s">
        <v>1335</v>
      </c>
      <c r="S450" s="1028" t="s">
        <v>1335</v>
      </c>
      <c r="T450" s="1028" t="s">
        <v>1335</v>
      </c>
      <c r="U450" s="1028" t="s">
        <v>1335</v>
      </c>
      <c r="V450" s="1029"/>
      <c r="W450" s="1029"/>
      <c r="X450" s="1028"/>
      <c r="Y450" s="1030"/>
      <c r="Z450" s="1031"/>
      <c r="AA450" s="1051"/>
      <c r="AB450" s="1051"/>
      <c r="AC450" s="1051"/>
      <c r="AD450" s="1051"/>
      <c r="AE450" s="1051"/>
      <c r="AF450" s="1051"/>
      <c r="AG450" s="1051"/>
      <c r="AH450" s="1051"/>
      <c r="AI450" s="1051"/>
      <c r="AJ450" s="1051"/>
      <c r="AK450" s="1051"/>
      <c r="AL450" s="1051"/>
      <c r="AM450" s="1051"/>
      <c r="AN450" s="1051"/>
      <c r="AO450" s="1051"/>
      <c r="AP450" s="1051"/>
      <c r="AQ450" s="956">
        <f t="shared" si="84"/>
        <v>12</v>
      </c>
      <c r="AR450" s="956">
        <f t="shared" si="85"/>
        <v>0</v>
      </c>
      <c r="AS450" s="956">
        <f t="shared" si="86"/>
        <v>12</v>
      </c>
      <c r="AT450" s="982">
        <v>7</v>
      </c>
      <c r="AU450" s="981"/>
      <c r="AV450" s="981"/>
      <c r="AW450" s="981"/>
      <c r="AX450" s="1045"/>
      <c r="AY450" s="1045"/>
      <c r="AZ450" s="1015"/>
      <c r="BA450" s="1016"/>
      <c r="BB450" s="1016"/>
      <c r="BC450" s="1016"/>
      <c r="BD450" s="1016"/>
      <c r="BE450" s="1016"/>
      <c r="BF450" s="1057"/>
    </row>
    <row r="451" spans="1:58" s="947" customFormat="1" ht="26.4" customHeight="1">
      <c r="A451" s="1046"/>
      <c r="B451" s="1050">
        <v>8</v>
      </c>
      <c r="C451" s="1038">
        <v>342</v>
      </c>
      <c r="D451" s="1047"/>
      <c r="E451" s="1047"/>
      <c r="F451" s="1048"/>
      <c r="G451" s="1028" t="s">
        <v>1335</v>
      </c>
      <c r="H451" s="1028" t="s">
        <v>1335</v>
      </c>
      <c r="I451" s="1028" t="s">
        <v>1335</v>
      </c>
      <c r="J451" s="1028"/>
      <c r="K451" s="1028" t="s">
        <v>1335</v>
      </c>
      <c r="L451" s="958" t="s">
        <v>1335</v>
      </c>
      <c r="M451" s="1028" t="s">
        <v>1335</v>
      </c>
      <c r="N451" s="1028" t="s">
        <v>1335</v>
      </c>
      <c r="O451" s="1028" t="s">
        <v>1335</v>
      </c>
      <c r="P451" s="1028" t="s">
        <v>1335</v>
      </c>
      <c r="Q451" s="1028" t="s">
        <v>1335</v>
      </c>
      <c r="R451" s="1028" t="s">
        <v>1335</v>
      </c>
      <c r="S451" s="1028" t="s">
        <v>1335</v>
      </c>
      <c r="T451" s="1028" t="s">
        <v>1335</v>
      </c>
      <c r="U451" s="1028" t="s">
        <v>1335</v>
      </c>
      <c r="V451" s="1029"/>
      <c r="W451" s="1029"/>
      <c r="X451" s="1028"/>
      <c r="Y451" s="1030" t="s">
        <v>1335</v>
      </c>
      <c r="Z451" s="1031"/>
      <c r="AA451" s="1051"/>
      <c r="AB451" s="1051"/>
      <c r="AC451" s="1051"/>
      <c r="AD451" s="1051"/>
      <c r="AE451" s="1051"/>
      <c r="AF451" s="1051"/>
      <c r="AG451" s="1051"/>
      <c r="AH451" s="1051"/>
      <c r="AI451" s="1051"/>
      <c r="AJ451" s="1051"/>
      <c r="AK451" s="1051"/>
      <c r="AL451" s="1051"/>
      <c r="AM451" s="1051"/>
      <c r="AN451" s="1051"/>
      <c r="AO451" s="1051"/>
      <c r="AP451" s="1051"/>
      <c r="AQ451" s="956">
        <f t="shared" si="84"/>
        <v>14</v>
      </c>
      <c r="AR451" s="956">
        <f t="shared" si="85"/>
        <v>1</v>
      </c>
      <c r="AS451" s="956">
        <f t="shared" si="86"/>
        <v>15</v>
      </c>
      <c r="AT451" s="982">
        <v>7</v>
      </c>
      <c r="AU451" s="981"/>
      <c r="AV451" s="981"/>
      <c r="AW451" s="981"/>
      <c r="AX451" s="1045"/>
      <c r="AY451" s="1045"/>
      <c r="AZ451" s="1015"/>
      <c r="BA451" s="1016"/>
      <c r="BB451" s="1016"/>
      <c r="BC451" s="1016"/>
      <c r="BD451" s="1016"/>
      <c r="BE451" s="1016"/>
      <c r="BF451" s="1057"/>
    </row>
    <row r="452" spans="1:58" s="947" customFormat="1" ht="26.4" customHeight="1">
      <c r="A452" s="1046"/>
      <c r="B452" s="1050">
        <v>8</v>
      </c>
      <c r="C452" s="1038">
        <v>343</v>
      </c>
      <c r="D452" s="1047"/>
      <c r="E452" s="1047"/>
      <c r="F452" s="1048"/>
      <c r="G452" s="1028" t="s">
        <v>1335</v>
      </c>
      <c r="H452" s="1028" t="s">
        <v>1335</v>
      </c>
      <c r="I452" s="1028" t="s">
        <v>1335</v>
      </c>
      <c r="J452" s="1028"/>
      <c r="K452" s="1028" t="s">
        <v>1335</v>
      </c>
      <c r="L452" s="958" t="s">
        <v>1335</v>
      </c>
      <c r="M452" s="1028" t="s">
        <v>1335</v>
      </c>
      <c r="N452" s="1028" t="s">
        <v>1335</v>
      </c>
      <c r="O452" s="1028">
        <v>0</v>
      </c>
      <c r="P452" s="1028">
        <v>0</v>
      </c>
      <c r="Q452" s="1028">
        <v>0</v>
      </c>
      <c r="R452" s="1028">
        <v>0</v>
      </c>
      <c r="S452" s="1028">
        <v>0</v>
      </c>
      <c r="T452" s="1028">
        <v>0</v>
      </c>
      <c r="U452" s="1028" t="s">
        <v>1335</v>
      </c>
      <c r="V452" s="1029"/>
      <c r="W452" s="1029"/>
      <c r="X452" s="1028"/>
      <c r="Y452" s="1030"/>
      <c r="Z452" s="1031"/>
      <c r="AA452" s="1051"/>
      <c r="AB452" s="1051"/>
      <c r="AC452" s="1051"/>
      <c r="AD452" s="1051"/>
      <c r="AE452" s="1051"/>
      <c r="AF452" s="1051"/>
      <c r="AG452" s="1051"/>
      <c r="AH452" s="1051"/>
      <c r="AI452" s="1051"/>
      <c r="AJ452" s="1051"/>
      <c r="AK452" s="1051"/>
      <c r="AL452" s="1051"/>
      <c r="AM452" s="1051"/>
      <c r="AN452" s="1051"/>
      <c r="AO452" s="1051"/>
      <c r="AP452" s="1051"/>
      <c r="AQ452" s="956">
        <f t="shared" si="84"/>
        <v>8</v>
      </c>
      <c r="AR452" s="956">
        <f t="shared" si="85"/>
        <v>0</v>
      </c>
      <c r="AS452" s="956">
        <f t="shared" si="86"/>
        <v>8</v>
      </c>
      <c r="AT452" s="982">
        <v>7</v>
      </c>
      <c r="AU452" s="981"/>
      <c r="AV452" s="981"/>
      <c r="AW452" s="981"/>
      <c r="AX452" s="1045"/>
      <c r="AY452" s="1045"/>
      <c r="AZ452" s="1015"/>
      <c r="BA452" s="1016"/>
      <c r="BB452" s="1016"/>
      <c r="BC452" s="1016"/>
      <c r="BD452" s="1016"/>
      <c r="BE452" s="1016"/>
      <c r="BF452" s="1057"/>
    </row>
    <row r="453" spans="1:58" s="945" customFormat="1" ht="20.100000000000001" customHeight="1">
      <c r="A453" s="1036"/>
      <c r="B453" s="1058">
        <v>11</v>
      </c>
      <c r="C453" s="1038">
        <v>428</v>
      </c>
      <c r="D453" s="1040"/>
      <c r="E453" s="1040"/>
      <c r="F453" s="1041"/>
      <c r="G453" s="1028" t="s">
        <v>1335</v>
      </c>
      <c r="H453" s="1028">
        <v>0</v>
      </c>
      <c r="I453" s="1028" t="s">
        <v>1335</v>
      </c>
      <c r="J453" s="1028"/>
      <c r="K453" s="1028" t="s">
        <v>1335</v>
      </c>
      <c r="L453" s="958" t="s">
        <v>1335</v>
      </c>
      <c r="M453" s="1028" t="s">
        <v>1335</v>
      </c>
      <c r="N453" s="1028">
        <v>0</v>
      </c>
      <c r="O453" s="1028" t="s">
        <v>1335</v>
      </c>
      <c r="P453" s="1028" t="s">
        <v>1335</v>
      </c>
      <c r="Q453" s="1028" t="s">
        <v>1335</v>
      </c>
      <c r="R453" s="1028">
        <v>0</v>
      </c>
      <c r="S453" s="1028" t="s">
        <v>1335</v>
      </c>
      <c r="T453" s="1028" t="s">
        <v>1335</v>
      </c>
      <c r="U453" s="1028" t="s">
        <v>1335</v>
      </c>
      <c r="V453" s="1029"/>
      <c r="W453" s="1029"/>
      <c r="X453" s="1028"/>
      <c r="Y453" s="1030">
        <v>0</v>
      </c>
      <c r="Z453" s="1031"/>
      <c r="AA453" s="1043"/>
      <c r="AB453" s="1043"/>
      <c r="AC453" s="1043"/>
      <c r="AD453" s="1043"/>
      <c r="AE453" s="1043"/>
      <c r="AF453" s="1043"/>
      <c r="AG453" s="1043"/>
      <c r="AH453" s="1043"/>
      <c r="AI453" s="1043"/>
      <c r="AJ453" s="1043"/>
      <c r="AK453" s="1043"/>
      <c r="AL453" s="1043"/>
      <c r="AM453" s="1043"/>
      <c r="AN453" s="1043"/>
      <c r="AO453" s="1043"/>
      <c r="AP453" s="1043"/>
      <c r="AQ453" s="956">
        <f t="shared" si="84"/>
        <v>11</v>
      </c>
      <c r="AR453" s="956">
        <f t="shared" ref="AR453:AR497" si="87">COUNTIF(V453:AA453,"X")</f>
        <v>0</v>
      </c>
      <c r="AS453" s="956">
        <f t="shared" si="86"/>
        <v>11</v>
      </c>
      <c r="AT453" s="982">
        <v>10</v>
      </c>
      <c r="AU453" s="981"/>
      <c r="AV453" s="981"/>
      <c r="AW453" s="981"/>
      <c r="AX453" s="1045"/>
      <c r="AY453" s="1045"/>
      <c r="AZ453" s="1015"/>
      <c r="BA453" s="1016"/>
      <c r="BB453" s="1016"/>
      <c r="BC453" s="1016"/>
      <c r="BD453" s="1016"/>
      <c r="BE453" s="1016"/>
      <c r="BF453" s="1018"/>
    </row>
    <row r="454" spans="1:58" s="945" customFormat="1" ht="20.100000000000001" customHeight="1">
      <c r="A454" s="1036"/>
      <c r="B454" s="1058">
        <v>11</v>
      </c>
      <c r="C454" s="1038">
        <v>429</v>
      </c>
      <c r="D454" s="1040"/>
      <c r="E454" s="1040"/>
      <c r="F454" s="1041"/>
      <c r="G454" s="1028" t="s">
        <v>1335</v>
      </c>
      <c r="H454" s="1028" t="s">
        <v>1335</v>
      </c>
      <c r="I454" s="1028" t="s">
        <v>1335</v>
      </c>
      <c r="J454" s="1028"/>
      <c r="K454" s="1028" t="s">
        <v>1335</v>
      </c>
      <c r="L454" s="958" t="s">
        <v>1335</v>
      </c>
      <c r="M454" s="1028" t="s">
        <v>1335</v>
      </c>
      <c r="N454" s="1028" t="s">
        <v>1335</v>
      </c>
      <c r="O454" s="1028" t="s">
        <v>1335</v>
      </c>
      <c r="P454" s="1028" t="s">
        <v>1335</v>
      </c>
      <c r="Q454" s="1028" t="s">
        <v>1335</v>
      </c>
      <c r="R454" s="1028" t="s">
        <v>1335</v>
      </c>
      <c r="S454" s="1028" t="s">
        <v>1335</v>
      </c>
      <c r="T454" s="1028" t="s">
        <v>1335</v>
      </c>
      <c r="U454" s="1028" t="s">
        <v>1335</v>
      </c>
      <c r="V454" s="1029"/>
      <c r="W454" s="1029"/>
      <c r="X454" s="1028"/>
      <c r="Y454" s="1030" t="s">
        <v>1335</v>
      </c>
      <c r="Z454" s="1031"/>
      <c r="AA454" s="1043"/>
      <c r="AB454" s="1043"/>
      <c r="AC454" s="1043"/>
      <c r="AD454" s="1043"/>
      <c r="AE454" s="1043"/>
      <c r="AF454" s="1043"/>
      <c r="AG454" s="1043"/>
      <c r="AH454" s="1043"/>
      <c r="AI454" s="1043"/>
      <c r="AJ454" s="1043"/>
      <c r="AK454" s="1043"/>
      <c r="AL454" s="1043"/>
      <c r="AM454" s="1043"/>
      <c r="AN454" s="1043"/>
      <c r="AO454" s="1043"/>
      <c r="AP454" s="1043"/>
      <c r="AQ454" s="956">
        <f t="shared" ref="AQ454:AQ497" si="88">COUNTIF(G454:U454,"X")</f>
        <v>14</v>
      </c>
      <c r="AR454" s="956">
        <f t="shared" si="87"/>
        <v>1</v>
      </c>
      <c r="AS454" s="956">
        <f t="shared" si="86"/>
        <v>15</v>
      </c>
      <c r="AT454" s="982">
        <v>11</v>
      </c>
      <c r="AU454" s="981"/>
      <c r="AV454" s="981"/>
      <c r="AW454" s="981"/>
      <c r="AX454" s="1045"/>
      <c r="AY454" s="1045"/>
      <c r="AZ454" s="1015"/>
      <c r="BA454" s="1016"/>
      <c r="BB454" s="1016"/>
      <c r="BC454" s="1016"/>
      <c r="BD454" s="1016"/>
      <c r="BE454" s="1016"/>
      <c r="BF454" s="1018"/>
    </row>
    <row r="455" spans="1:58" s="945" customFormat="1" ht="20.100000000000001" customHeight="1">
      <c r="A455" s="1036"/>
      <c r="B455" s="1058">
        <v>11</v>
      </c>
      <c r="C455" s="1038">
        <v>430</v>
      </c>
      <c r="D455" s="1040"/>
      <c r="E455" s="1040"/>
      <c r="F455" s="1041"/>
      <c r="G455" s="1028" t="s">
        <v>1335</v>
      </c>
      <c r="H455" s="1028" t="s">
        <v>1335</v>
      </c>
      <c r="I455" s="1028" t="s">
        <v>1335</v>
      </c>
      <c r="J455" s="1028"/>
      <c r="K455" s="1028" t="s">
        <v>1335</v>
      </c>
      <c r="L455" s="958" t="s">
        <v>1335</v>
      </c>
      <c r="M455" s="1028" t="s">
        <v>1335</v>
      </c>
      <c r="N455" s="1028" t="s">
        <v>1335</v>
      </c>
      <c r="O455" s="1028" t="s">
        <v>1335</v>
      </c>
      <c r="P455" s="1028" t="s">
        <v>1335</v>
      </c>
      <c r="Q455" s="1028" t="s">
        <v>1335</v>
      </c>
      <c r="R455" s="1028" t="s">
        <v>1335</v>
      </c>
      <c r="S455" s="1028" t="s">
        <v>1335</v>
      </c>
      <c r="T455" s="1028" t="s">
        <v>1335</v>
      </c>
      <c r="U455" s="1028" t="s">
        <v>1335</v>
      </c>
      <c r="V455" s="1029"/>
      <c r="W455" s="1029"/>
      <c r="X455" s="1028"/>
      <c r="Y455" s="1030" t="s">
        <v>1335</v>
      </c>
      <c r="Z455" s="1031"/>
      <c r="AA455" s="1043"/>
      <c r="AB455" s="1043"/>
      <c r="AC455" s="1043"/>
      <c r="AD455" s="1043"/>
      <c r="AE455" s="1043"/>
      <c r="AF455" s="1043"/>
      <c r="AG455" s="1043"/>
      <c r="AH455" s="1043"/>
      <c r="AI455" s="1043"/>
      <c r="AJ455" s="1043"/>
      <c r="AK455" s="1043"/>
      <c r="AL455" s="1043"/>
      <c r="AM455" s="1043"/>
      <c r="AN455" s="1043"/>
      <c r="AO455" s="1043"/>
      <c r="AP455" s="1043"/>
      <c r="AQ455" s="956">
        <f t="shared" si="88"/>
        <v>14</v>
      </c>
      <c r="AR455" s="956">
        <f t="shared" si="87"/>
        <v>1</v>
      </c>
      <c r="AS455" s="956">
        <f t="shared" si="86"/>
        <v>15</v>
      </c>
      <c r="AT455" s="982">
        <v>11</v>
      </c>
      <c r="AU455" s="981"/>
      <c r="AV455" s="981"/>
      <c r="AW455" s="981"/>
      <c r="AX455" s="1045"/>
      <c r="AY455" s="1045"/>
      <c r="AZ455" s="1015"/>
      <c r="BA455" s="1016"/>
      <c r="BB455" s="1016"/>
      <c r="BC455" s="1016"/>
      <c r="BD455" s="1016"/>
      <c r="BE455" s="1016"/>
      <c r="BF455" s="1018"/>
    </row>
    <row r="456" spans="1:58" s="945" customFormat="1" ht="20.100000000000001" customHeight="1">
      <c r="A456" s="1036"/>
      <c r="B456" s="1058">
        <v>11</v>
      </c>
      <c r="C456" s="1038">
        <v>431</v>
      </c>
      <c r="D456" s="1040"/>
      <c r="E456" s="1040"/>
      <c r="F456" s="1041"/>
      <c r="G456" s="1028" t="s">
        <v>1335</v>
      </c>
      <c r="H456" s="1028" t="s">
        <v>1335</v>
      </c>
      <c r="I456" s="1028" t="s">
        <v>1335</v>
      </c>
      <c r="J456" s="1028"/>
      <c r="K456" s="1028" t="s">
        <v>1335</v>
      </c>
      <c r="L456" s="958" t="s">
        <v>1335</v>
      </c>
      <c r="M456" s="1028" t="s">
        <v>1335</v>
      </c>
      <c r="N456" s="1028" t="s">
        <v>1335</v>
      </c>
      <c r="O456" s="1028" t="s">
        <v>1335</v>
      </c>
      <c r="P456" s="1028" t="s">
        <v>1335</v>
      </c>
      <c r="Q456" s="1028" t="s">
        <v>1335</v>
      </c>
      <c r="R456" s="1028" t="s">
        <v>1335</v>
      </c>
      <c r="S456" s="1028" t="s">
        <v>1335</v>
      </c>
      <c r="T456" s="1028" t="s">
        <v>1335</v>
      </c>
      <c r="U456" s="1028" t="s">
        <v>1335</v>
      </c>
      <c r="V456" s="1029"/>
      <c r="W456" s="1029"/>
      <c r="X456" s="1028"/>
      <c r="Y456" s="1030" t="s">
        <v>1335</v>
      </c>
      <c r="Z456" s="1031"/>
      <c r="AA456" s="1043"/>
      <c r="AB456" s="1043"/>
      <c r="AC456" s="1043"/>
      <c r="AD456" s="1043"/>
      <c r="AE456" s="1043"/>
      <c r="AF456" s="1043"/>
      <c r="AG456" s="1043"/>
      <c r="AH456" s="1043"/>
      <c r="AI456" s="1043"/>
      <c r="AJ456" s="1043"/>
      <c r="AK456" s="1043"/>
      <c r="AL456" s="1043"/>
      <c r="AM456" s="1043"/>
      <c r="AN456" s="1043"/>
      <c r="AO456" s="1043"/>
      <c r="AP456" s="1043"/>
      <c r="AQ456" s="956">
        <f t="shared" si="88"/>
        <v>14</v>
      </c>
      <c r="AR456" s="956">
        <f t="shared" si="87"/>
        <v>1</v>
      </c>
      <c r="AS456" s="956">
        <f t="shared" ref="AS456:AS497" si="89">AQ456+AR456</f>
        <v>15</v>
      </c>
      <c r="AT456" s="982">
        <v>10</v>
      </c>
      <c r="AU456" s="981"/>
      <c r="AV456" s="981"/>
      <c r="AW456" s="981"/>
      <c r="AX456" s="1045"/>
      <c r="AY456" s="1045"/>
      <c r="AZ456" s="1015"/>
      <c r="BA456" s="1016"/>
      <c r="BB456" s="1016"/>
      <c r="BC456" s="1016"/>
      <c r="BD456" s="1016"/>
      <c r="BE456" s="1016"/>
      <c r="BF456" s="1018"/>
    </row>
    <row r="457" spans="1:58" s="945" customFormat="1" ht="20.100000000000001" customHeight="1">
      <c r="A457" s="1036"/>
      <c r="B457" s="1058">
        <v>11</v>
      </c>
      <c r="C457" s="1038">
        <v>432</v>
      </c>
      <c r="D457" s="1040"/>
      <c r="E457" s="1040"/>
      <c r="F457" s="1041"/>
      <c r="G457" s="1028" t="s">
        <v>1335</v>
      </c>
      <c r="H457" s="1028" t="s">
        <v>1335</v>
      </c>
      <c r="I457" s="1028" t="s">
        <v>1335</v>
      </c>
      <c r="J457" s="1028"/>
      <c r="K457" s="1028" t="s">
        <v>1335</v>
      </c>
      <c r="L457" s="958" t="s">
        <v>1335</v>
      </c>
      <c r="M457" s="1028" t="s">
        <v>1335</v>
      </c>
      <c r="N457" s="1028" t="s">
        <v>1335</v>
      </c>
      <c r="O457" s="1028" t="s">
        <v>1335</v>
      </c>
      <c r="P457" s="1028" t="s">
        <v>1335</v>
      </c>
      <c r="Q457" s="1028" t="s">
        <v>1335</v>
      </c>
      <c r="R457" s="1028" t="s">
        <v>1335</v>
      </c>
      <c r="S457" s="1028" t="s">
        <v>1335</v>
      </c>
      <c r="T457" s="1028" t="s">
        <v>1335</v>
      </c>
      <c r="U457" s="1028" t="s">
        <v>1335</v>
      </c>
      <c r="V457" s="1029"/>
      <c r="W457" s="1029"/>
      <c r="X457" s="1028"/>
      <c r="Y457" s="1030">
        <v>0</v>
      </c>
      <c r="Z457" s="1031"/>
      <c r="AA457" s="1043"/>
      <c r="AB457" s="1043"/>
      <c r="AC457" s="1043"/>
      <c r="AD457" s="1043"/>
      <c r="AE457" s="1043"/>
      <c r="AF457" s="1043"/>
      <c r="AG457" s="1043"/>
      <c r="AH457" s="1043"/>
      <c r="AI457" s="1043"/>
      <c r="AJ457" s="1043"/>
      <c r="AK457" s="1043"/>
      <c r="AL457" s="1043"/>
      <c r="AM457" s="1043"/>
      <c r="AN457" s="1043"/>
      <c r="AO457" s="1043"/>
      <c r="AP457" s="1043"/>
      <c r="AQ457" s="956">
        <f t="shared" si="88"/>
        <v>14</v>
      </c>
      <c r="AR457" s="956">
        <f t="shared" si="87"/>
        <v>0</v>
      </c>
      <c r="AS457" s="956">
        <f t="shared" si="89"/>
        <v>14</v>
      </c>
      <c r="AT457" s="982">
        <v>11</v>
      </c>
      <c r="AU457" s="981"/>
      <c r="AV457" s="981"/>
      <c r="AW457" s="981"/>
      <c r="AX457" s="1045"/>
      <c r="AY457" s="1045"/>
      <c r="AZ457" s="1015"/>
      <c r="BA457" s="1016"/>
      <c r="BB457" s="1016"/>
      <c r="BC457" s="1016"/>
      <c r="BD457" s="1016"/>
      <c r="BE457" s="1016"/>
      <c r="BF457" s="1018"/>
    </row>
    <row r="458" spans="1:58" s="945" customFormat="1" ht="20.100000000000001" customHeight="1">
      <c r="A458" s="1036"/>
      <c r="B458" s="1058">
        <v>11</v>
      </c>
      <c r="C458" s="1038">
        <v>433</v>
      </c>
      <c r="D458" s="1040"/>
      <c r="E458" s="1040"/>
      <c r="F458" s="1041"/>
      <c r="G458" s="1028" t="s">
        <v>1335</v>
      </c>
      <c r="H458" s="1028" t="s">
        <v>1335</v>
      </c>
      <c r="I458" s="1028" t="s">
        <v>1335</v>
      </c>
      <c r="J458" s="1028"/>
      <c r="K458" s="1028" t="s">
        <v>1335</v>
      </c>
      <c r="L458" s="958" t="s">
        <v>1335</v>
      </c>
      <c r="M458" s="1028" t="s">
        <v>1335</v>
      </c>
      <c r="N458" s="1028" t="s">
        <v>1335</v>
      </c>
      <c r="O458" s="1028" t="s">
        <v>1335</v>
      </c>
      <c r="P458" s="1028" t="s">
        <v>1335</v>
      </c>
      <c r="Q458" s="1028" t="s">
        <v>1335</v>
      </c>
      <c r="R458" s="1028" t="s">
        <v>1335</v>
      </c>
      <c r="S458" s="1028" t="s">
        <v>1335</v>
      </c>
      <c r="T458" s="1028" t="s">
        <v>1335</v>
      </c>
      <c r="U458" s="1028" t="s">
        <v>1335</v>
      </c>
      <c r="V458" s="1029"/>
      <c r="W458" s="1029"/>
      <c r="X458" s="1028"/>
      <c r="Y458" s="1030">
        <v>0</v>
      </c>
      <c r="Z458" s="1031"/>
      <c r="AA458" s="1043"/>
      <c r="AB458" s="1043"/>
      <c r="AC458" s="1043"/>
      <c r="AD458" s="1043"/>
      <c r="AE458" s="1043"/>
      <c r="AF458" s="1043"/>
      <c r="AG458" s="1043"/>
      <c r="AH458" s="1043"/>
      <c r="AI458" s="1043"/>
      <c r="AJ458" s="1043"/>
      <c r="AK458" s="1043"/>
      <c r="AL458" s="1043"/>
      <c r="AM458" s="1043"/>
      <c r="AN458" s="1043"/>
      <c r="AO458" s="1043"/>
      <c r="AP458" s="1043"/>
      <c r="AQ458" s="956">
        <f t="shared" si="88"/>
        <v>14</v>
      </c>
      <c r="AR458" s="956">
        <f t="shared" si="87"/>
        <v>0</v>
      </c>
      <c r="AS458" s="956">
        <f t="shared" si="89"/>
        <v>14</v>
      </c>
      <c r="AT458" s="982">
        <v>9</v>
      </c>
      <c r="AU458" s="981"/>
      <c r="AV458" s="981"/>
      <c r="AW458" s="981"/>
      <c r="AX458" s="1045"/>
      <c r="AY458" s="1045"/>
      <c r="AZ458" s="1015"/>
      <c r="BA458" s="1016"/>
      <c r="BB458" s="1016"/>
      <c r="BC458" s="1016"/>
      <c r="BD458" s="1016"/>
      <c r="BE458" s="1016"/>
      <c r="BF458" s="1018"/>
    </row>
    <row r="459" spans="1:58" s="945" customFormat="1" ht="20.100000000000001" customHeight="1">
      <c r="A459" s="1036"/>
      <c r="B459" s="1058">
        <v>11</v>
      </c>
      <c r="C459" s="1038">
        <v>434</v>
      </c>
      <c r="D459" s="1040"/>
      <c r="E459" s="1040"/>
      <c r="F459" s="1041"/>
      <c r="G459" s="1028">
        <v>0</v>
      </c>
      <c r="H459" s="1028" t="s">
        <v>1335</v>
      </c>
      <c r="I459" s="1028" t="s">
        <v>1335</v>
      </c>
      <c r="J459" s="1028"/>
      <c r="K459" s="1028">
        <v>0</v>
      </c>
      <c r="L459" s="958" t="s">
        <v>1335</v>
      </c>
      <c r="M459" s="1028" t="s">
        <v>1335</v>
      </c>
      <c r="N459" s="1028" t="s">
        <v>1335</v>
      </c>
      <c r="O459" s="1028" t="s">
        <v>1335</v>
      </c>
      <c r="P459" s="1028" t="s">
        <v>1335</v>
      </c>
      <c r="Q459" s="1028" t="s">
        <v>1335</v>
      </c>
      <c r="R459" s="1028" t="s">
        <v>1335</v>
      </c>
      <c r="S459" s="1028" t="s">
        <v>1335</v>
      </c>
      <c r="T459" s="1028" t="s">
        <v>1335</v>
      </c>
      <c r="U459" s="1028" t="s">
        <v>1335</v>
      </c>
      <c r="V459" s="1029"/>
      <c r="W459" s="1029"/>
      <c r="X459" s="1028"/>
      <c r="Y459" s="1030" t="s">
        <v>1335</v>
      </c>
      <c r="Z459" s="1031"/>
      <c r="AA459" s="1043"/>
      <c r="AB459" s="1043"/>
      <c r="AC459" s="1043"/>
      <c r="AD459" s="1043"/>
      <c r="AE459" s="1043"/>
      <c r="AF459" s="1043"/>
      <c r="AG459" s="1043"/>
      <c r="AH459" s="1043"/>
      <c r="AI459" s="1043"/>
      <c r="AJ459" s="1043"/>
      <c r="AK459" s="1043"/>
      <c r="AL459" s="1043"/>
      <c r="AM459" s="1043"/>
      <c r="AN459" s="1043"/>
      <c r="AO459" s="1043"/>
      <c r="AP459" s="1043"/>
      <c r="AQ459" s="956">
        <f t="shared" si="88"/>
        <v>12</v>
      </c>
      <c r="AR459" s="956">
        <f t="shared" si="87"/>
        <v>1</v>
      </c>
      <c r="AS459" s="956">
        <f t="shared" si="89"/>
        <v>13</v>
      </c>
      <c r="AT459" s="982">
        <v>9</v>
      </c>
      <c r="AU459" s="981"/>
      <c r="AV459" s="981"/>
      <c r="AW459" s="981"/>
      <c r="AX459" s="1045"/>
      <c r="AY459" s="1045"/>
      <c r="AZ459" s="1015"/>
      <c r="BA459" s="1016"/>
      <c r="BB459" s="1016"/>
      <c r="BC459" s="1016"/>
      <c r="BD459" s="1016"/>
      <c r="BE459" s="1016"/>
      <c r="BF459" s="1018"/>
    </row>
    <row r="460" spans="1:58" s="945" customFormat="1" ht="20.100000000000001" customHeight="1">
      <c r="A460" s="1036"/>
      <c r="B460" s="1058">
        <v>11</v>
      </c>
      <c r="C460" s="1038">
        <v>435</v>
      </c>
      <c r="D460" s="1040"/>
      <c r="E460" s="1040"/>
      <c r="F460" s="1041"/>
      <c r="G460" s="1028">
        <v>0</v>
      </c>
      <c r="H460" s="1028" t="s">
        <v>1335</v>
      </c>
      <c r="I460" s="1028" t="s">
        <v>1335</v>
      </c>
      <c r="J460" s="1028"/>
      <c r="K460" s="1028" t="s">
        <v>1335</v>
      </c>
      <c r="L460" s="958" t="s">
        <v>1335</v>
      </c>
      <c r="M460" s="1028" t="s">
        <v>1335</v>
      </c>
      <c r="N460" s="1028" t="s">
        <v>1335</v>
      </c>
      <c r="O460" s="1028" t="s">
        <v>1335</v>
      </c>
      <c r="P460" s="1028" t="s">
        <v>1335</v>
      </c>
      <c r="Q460" s="1028">
        <v>0</v>
      </c>
      <c r="R460" s="1028" t="s">
        <v>1335</v>
      </c>
      <c r="S460" s="1028" t="s">
        <v>1335</v>
      </c>
      <c r="T460" s="1028" t="s">
        <v>1335</v>
      </c>
      <c r="U460" s="1028" t="s">
        <v>1335</v>
      </c>
      <c r="V460" s="1029"/>
      <c r="W460" s="1029"/>
      <c r="X460" s="1028"/>
      <c r="Y460" s="1030" t="s">
        <v>1335</v>
      </c>
      <c r="Z460" s="1031"/>
      <c r="AA460" s="1043"/>
      <c r="AB460" s="1043"/>
      <c r="AC460" s="1043"/>
      <c r="AD460" s="1043"/>
      <c r="AE460" s="1043"/>
      <c r="AF460" s="1043"/>
      <c r="AG460" s="1043"/>
      <c r="AH460" s="1043"/>
      <c r="AI460" s="1043"/>
      <c r="AJ460" s="1043"/>
      <c r="AK460" s="1043"/>
      <c r="AL460" s="1043"/>
      <c r="AM460" s="1043"/>
      <c r="AN460" s="1043"/>
      <c r="AO460" s="1043"/>
      <c r="AP460" s="1043"/>
      <c r="AQ460" s="956">
        <f t="shared" si="88"/>
        <v>12</v>
      </c>
      <c r="AR460" s="956">
        <f t="shared" si="87"/>
        <v>1</v>
      </c>
      <c r="AS460" s="956">
        <f t="shared" si="89"/>
        <v>13</v>
      </c>
      <c r="AT460" s="982">
        <v>10</v>
      </c>
      <c r="AU460" s="981"/>
      <c r="AV460" s="981"/>
      <c r="AW460" s="981"/>
      <c r="AX460" s="1045"/>
      <c r="AY460" s="1045"/>
      <c r="AZ460" s="1015"/>
      <c r="BA460" s="1016"/>
      <c r="BB460" s="1016"/>
      <c r="BC460" s="1016"/>
      <c r="BD460" s="1016"/>
      <c r="BE460" s="1016"/>
      <c r="BF460" s="1018"/>
    </row>
    <row r="461" spans="1:58" s="945" customFormat="1" ht="20.100000000000001" customHeight="1">
      <c r="A461" s="1036"/>
      <c r="B461" s="1058">
        <v>11</v>
      </c>
      <c r="C461" s="1038">
        <v>436</v>
      </c>
      <c r="D461" s="1040"/>
      <c r="E461" s="1040"/>
      <c r="F461" s="1041"/>
      <c r="G461" s="1028">
        <v>0</v>
      </c>
      <c r="H461" s="1028" t="s">
        <v>1335</v>
      </c>
      <c r="I461" s="1028" t="s">
        <v>1335</v>
      </c>
      <c r="J461" s="1028"/>
      <c r="K461" s="1028">
        <v>0</v>
      </c>
      <c r="L461" s="958" t="s">
        <v>1335</v>
      </c>
      <c r="M461" s="1028" t="s">
        <v>1335</v>
      </c>
      <c r="N461" s="1028" t="s">
        <v>1335</v>
      </c>
      <c r="O461" s="1028" t="s">
        <v>1335</v>
      </c>
      <c r="P461" s="1028" t="s">
        <v>1335</v>
      </c>
      <c r="Q461" s="1028" t="s">
        <v>1335</v>
      </c>
      <c r="R461" s="1028" t="s">
        <v>1335</v>
      </c>
      <c r="S461" s="1028" t="s">
        <v>1335</v>
      </c>
      <c r="T461" s="1028" t="s">
        <v>1335</v>
      </c>
      <c r="U461" s="1028" t="s">
        <v>1335</v>
      </c>
      <c r="V461" s="1029"/>
      <c r="W461" s="1029"/>
      <c r="X461" s="1028"/>
      <c r="Y461" s="1030" t="s">
        <v>1335</v>
      </c>
      <c r="Z461" s="1031"/>
      <c r="AA461" s="1043"/>
      <c r="AB461" s="1043"/>
      <c r="AC461" s="1043"/>
      <c r="AD461" s="1043"/>
      <c r="AE461" s="1043"/>
      <c r="AF461" s="1043"/>
      <c r="AG461" s="1043"/>
      <c r="AH461" s="1043"/>
      <c r="AI461" s="1043"/>
      <c r="AJ461" s="1043"/>
      <c r="AK461" s="1043"/>
      <c r="AL461" s="1043"/>
      <c r="AM461" s="1043"/>
      <c r="AN461" s="1043"/>
      <c r="AO461" s="1043"/>
      <c r="AP461" s="1043"/>
      <c r="AQ461" s="956">
        <f t="shared" si="88"/>
        <v>12</v>
      </c>
      <c r="AR461" s="956">
        <f t="shared" si="87"/>
        <v>1</v>
      </c>
      <c r="AS461" s="956">
        <f t="shared" si="89"/>
        <v>13</v>
      </c>
      <c r="AT461" s="982">
        <v>7</v>
      </c>
      <c r="AU461" s="981"/>
      <c r="AV461" s="981"/>
      <c r="AW461" s="981"/>
      <c r="AX461" s="1045"/>
      <c r="AY461" s="1045"/>
      <c r="AZ461" s="1015"/>
      <c r="BA461" s="1016"/>
      <c r="BB461" s="1016"/>
      <c r="BC461" s="1016"/>
      <c r="BD461" s="1016"/>
      <c r="BE461" s="1016"/>
      <c r="BF461" s="1018"/>
    </row>
    <row r="462" spans="1:58" s="945" customFormat="1" ht="20.100000000000001" customHeight="1">
      <c r="A462" s="1036"/>
      <c r="B462" s="1058">
        <v>11</v>
      </c>
      <c r="C462" s="1038">
        <v>437</v>
      </c>
      <c r="D462" s="1040"/>
      <c r="E462" s="1040"/>
      <c r="F462" s="1041"/>
      <c r="G462" s="1028">
        <v>0</v>
      </c>
      <c r="H462" s="1028" t="s">
        <v>1335</v>
      </c>
      <c r="I462" s="1028" t="s">
        <v>1335</v>
      </c>
      <c r="J462" s="1028"/>
      <c r="K462" s="1028" t="s">
        <v>1335</v>
      </c>
      <c r="L462" s="958" t="s">
        <v>1335</v>
      </c>
      <c r="M462" s="1028" t="s">
        <v>1335</v>
      </c>
      <c r="N462" s="1028" t="s">
        <v>1335</v>
      </c>
      <c r="O462" s="1028" t="s">
        <v>1335</v>
      </c>
      <c r="P462" s="1028" t="s">
        <v>1335</v>
      </c>
      <c r="Q462" s="1028" t="s">
        <v>1335</v>
      </c>
      <c r="R462" s="1028" t="s">
        <v>1335</v>
      </c>
      <c r="S462" s="1028" t="s">
        <v>1335</v>
      </c>
      <c r="T462" s="1028" t="s">
        <v>1335</v>
      </c>
      <c r="U462" s="1028" t="s">
        <v>1335</v>
      </c>
      <c r="V462" s="1029"/>
      <c r="W462" s="1029"/>
      <c r="X462" s="1028"/>
      <c r="Y462" s="1030" t="s">
        <v>1335</v>
      </c>
      <c r="Z462" s="1031"/>
      <c r="AA462" s="1043"/>
      <c r="AB462" s="1043"/>
      <c r="AC462" s="1043"/>
      <c r="AD462" s="1043"/>
      <c r="AE462" s="1043"/>
      <c r="AF462" s="1043"/>
      <c r="AG462" s="1043"/>
      <c r="AH462" s="1043"/>
      <c r="AI462" s="1043"/>
      <c r="AJ462" s="1043"/>
      <c r="AK462" s="1043"/>
      <c r="AL462" s="1043"/>
      <c r="AM462" s="1043"/>
      <c r="AN462" s="1043"/>
      <c r="AO462" s="1043"/>
      <c r="AP462" s="1043"/>
      <c r="AQ462" s="956">
        <f t="shared" si="88"/>
        <v>13</v>
      </c>
      <c r="AR462" s="956">
        <f t="shared" si="87"/>
        <v>1</v>
      </c>
      <c r="AS462" s="956">
        <f t="shared" si="89"/>
        <v>14</v>
      </c>
      <c r="AT462" s="982">
        <v>7</v>
      </c>
      <c r="AU462" s="981"/>
      <c r="AV462" s="981"/>
      <c r="AW462" s="981"/>
      <c r="AX462" s="1045"/>
      <c r="AY462" s="1045"/>
      <c r="AZ462" s="1015"/>
      <c r="BA462" s="1016"/>
      <c r="BB462" s="1016"/>
      <c r="BC462" s="1016"/>
      <c r="BD462" s="1016"/>
      <c r="BE462" s="1016"/>
      <c r="BF462" s="1018"/>
    </row>
    <row r="463" spans="1:58" s="945" customFormat="1" ht="20.100000000000001" customHeight="1">
      <c r="A463" s="1036"/>
      <c r="B463" s="1058">
        <v>11</v>
      </c>
      <c r="C463" s="1038">
        <v>438</v>
      </c>
      <c r="D463" s="1040"/>
      <c r="E463" s="1040"/>
      <c r="F463" s="1041"/>
      <c r="G463" s="1028">
        <v>0</v>
      </c>
      <c r="H463" s="1028" t="s">
        <v>1335</v>
      </c>
      <c r="I463" s="1028" t="s">
        <v>1335</v>
      </c>
      <c r="J463" s="1028"/>
      <c r="K463" s="1028" t="s">
        <v>1335</v>
      </c>
      <c r="L463" s="958" t="s">
        <v>1335</v>
      </c>
      <c r="M463" s="1028" t="s">
        <v>1335</v>
      </c>
      <c r="N463" s="1028" t="s">
        <v>1335</v>
      </c>
      <c r="O463" s="1028" t="s">
        <v>1335</v>
      </c>
      <c r="P463" s="1028" t="s">
        <v>1335</v>
      </c>
      <c r="Q463" s="1028" t="s">
        <v>1335</v>
      </c>
      <c r="R463" s="1028" t="s">
        <v>1335</v>
      </c>
      <c r="S463" s="1028" t="s">
        <v>1335</v>
      </c>
      <c r="T463" s="1028" t="s">
        <v>1335</v>
      </c>
      <c r="U463" s="1028" t="s">
        <v>1335</v>
      </c>
      <c r="V463" s="1029"/>
      <c r="W463" s="1029"/>
      <c r="X463" s="1028"/>
      <c r="Y463" s="1030">
        <v>0</v>
      </c>
      <c r="Z463" s="1031"/>
      <c r="AA463" s="1043"/>
      <c r="AB463" s="1043"/>
      <c r="AC463" s="1043"/>
      <c r="AD463" s="1043"/>
      <c r="AE463" s="1043"/>
      <c r="AF463" s="1043"/>
      <c r="AG463" s="1043"/>
      <c r="AH463" s="1043"/>
      <c r="AI463" s="1043"/>
      <c r="AJ463" s="1043"/>
      <c r="AK463" s="1043"/>
      <c r="AL463" s="1043"/>
      <c r="AM463" s="1043"/>
      <c r="AN463" s="1043"/>
      <c r="AO463" s="1043"/>
      <c r="AP463" s="1043"/>
      <c r="AQ463" s="956">
        <f t="shared" si="88"/>
        <v>13</v>
      </c>
      <c r="AR463" s="956">
        <f t="shared" si="87"/>
        <v>0</v>
      </c>
      <c r="AS463" s="956">
        <f t="shared" si="89"/>
        <v>13</v>
      </c>
      <c r="AT463" s="982">
        <v>5</v>
      </c>
      <c r="AU463" s="981"/>
      <c r="AV463" s="981"/>
      <c r="AW463" s="981"/>
      <c r="AX463" s="1045"/>
      <c r="AY463" s="1045"/>
      <c r="AZ463" s="1015"/>
      <c r="BA463" s="1016"/>
      <c r="BB463" s="1016"/>
      <c r="BC463" s="1016"/>
      <c r="BD463" s="1016"/>
      <c r="BE463" s="1016"/>
      <c r="BF463" s="1018"/>
    </row>
    <row r="464" spans="1:58" s="945" customFormat="1" ht="20.100000000000001" customHeight="1">
      <c r="A464" s="1036"/>
      <c r="B464" s="1058">
        <v>11</v>
      </c>
      <c r="C464" s="1038">
        <v>439</v>
      </c>
      <c r="D464" s="1040"/>
      <c r="E464" s="1040"/>
      <c r="F464" s="1041"/>
      <c r="G464" s="1028">
        <v>0</v>
      </c>
      <c r="H464" s="1028" t="s">
        <v>1335</v>
      </c>
      <c r="I464" s="1028" t="s">
        <v>1335</v>
      </c>
      <c r="J464" s="1028"/>
      <c r="K464" s="1028" t="s">
        <v>1335</v>
      </c>
      <c r="L464" s="958" t="s">
        <v>1335</v>
      </c>
      <c r="M464" s="1028" t="s">
        <v>1335</v>
      </c>
      <c r="N464" s="1028" t="s">
        <v>1335</v>
      </c>
      <c r="O464" s="1028" t="s">
        <v>1335</v>
      </c>
      <c r="P464" s="1028" t="s">
        <v>1335</v>
      </c>
      <c r="Q464" s="1028" t="s">
        <v>1335</v>
      </c>
      <c r="R464" s="1028" t="s">
        <v>1335</v>
      </c>
      <c r="S464" s="1028" t="s">
        <v>1335</v>
      </c>
      <c r="T464" s="1028" t="s">
        <v>1335</v>
      </c>
      <c r="U464" s="1028" t="s">
        <v>1335</v>
      </c>
      <c r="V464" s="1029"/>
      <c r="W464" s="1029"/>
      <c r="X464" s="1028"/>
      <c r="Y464" s="1030">
        <v>0</v>
      </c>
      <c r="Z464" s="1031"/>
      <c r="AA464" s="1043"/>
      <c r="AB464" s="1043"/>
      <c r="AC464" s="1043"/>
      <c r="AD464" s="1043"/>
      <c r="AE464" s="1043"/>
      <c r="AF464" s="1043"/>
      <c r="AG464" s="1043"/>
      <c r="AH464" s="1043"/>
      <c r="AI464" s="1043"/>
      <c r="AJ464" s="1043"/>
      <c r="AK464" s="1043"/>
      <c r="AL464" s="1043"/>
      <c r="AM464" s="1043"/>
      <c r="AN464" s="1043"/>
      <c r="AO464" s="1043"/>
      <c r="AP464" s="1043"/>
      <c r="AQ464" s="956">
        <f t="shared" si="88"/>
        <v>13</v>
      </c>
      <c r="AR464" s="956">
        <f t="shared" si="87"/>
        <v>0</v>
      </c>
      <c r="AS464" s="956">
        <f t="shared" si="89"/>
        <v>13</v>
      </c>
      <c r="AT464" s="982">
        <v>9</v>
      </c>
      <c r="AU464" s="981"/>
      <c r="AV464" s="981"/>
      <c r="AW464" s="981"/>
      <c r="AX464" s="1045"/>
      <c r="AY464" s="1045"/>
      <c r="AZ464" s="1015"/>
      <c r="BA464" s="1016"/>
      <c r="BB464" s="1016"/>
      <c r="BC464" s="1016"/>
      <c r="BD464" s="1016"/>
      <c r="BE464" s="1016"/>
      <c r="BF464" s="1018"/>
    </row>
    <row r="465" spans="1:58" s="945" customFormat="1" ht="20.100000000000001" customHeight="1">
      <c r="A465" s="1036"/>
      <c r="B465" s="1058">
        <v>11</v>
      </c>
      <c r="C465" s="1038">
        <v>440</v>
      </c>
      <c r="D465" s="1040"/>
      <c r="E465" s="1040"/>
      <c r="F465" s="1041"/>
      <c r="G465" s="1028" t="s">
        <v>1335</v>
      </c>
      <c r="H465" s="1028" t="s">
        <v>1335</v>
      </c>
      <c r="I465" s="1028" t="s">
        <v>1335</v>
      </c>
      <c r="J465" s="1028"/>
      <c r="K465" s="1028">
        <v>0</v>
      </c>
      <c r="L465" s="958" t="s">
        <v>1335</v>
      </c>
      <c r="M465" s="1028" t="s">
        <v>1335</v>
      </c>
      <c r="N465" s="1028" t="s">
        <v>1335</v>
      </c>
      <c r="O465" s="1028" t="s">
        <v>1335</v>
      </c>
      <c r="P465" s="1028" t="s">
        <v>1335</v>
      </c>
      <c r="Q465" s="1028" t="s">
        <v>1335</v>
      </c>
      <c r="R465" s="1028" t="s">
        <v>1335</v>
      </c>
      <c r="S465" s="1028" t="s">
        <v>1335</v>
      </c>
      <c r="T465" s="1028" t="s">
        <v>1335</v>
      </c>
      <c r="U465" s="1028" t="s">
        <v>1335</v>
      </c>
      <c r="V465" s="1029"/>
      <c r="W465" s="1029"/>
      <c r="X465" s="1028"/>
      <c r="Y465" s="1030" t="s">
        <v>1335</v>
      </c>
      <c r="Z465" s="1031"/>
      <c r="AA465" s="1043"/>
      <c r="AB465" s="1043"/>
      <c r="AC465" s="1043"/>
      <c r="AD465" s="1043"/>
      <c r="AE465" s="1043"/>
      <c r="AF465" s="1043"/>
      <c r="AG465" s="1043"/>
      <c r="AH465" s="1043"/>
      <c r="AI465" s="1043"/>
      <c r="AJ465" s="1043"/>
      <c r="AK465" s="1043"/>
      <c r="AL465" s="1043"/>
      <c r="AM465" s="1043"/>
      <c r="AN465" s="1043"/>
      <c r="AO465" s="1043"/>
      <c r="AP465" s="1043"/>
      <c r="AQ465" s="956">
        <f t="shared" si="88"/>
        <v>13</v>
      </c>
      <c r="AR465" s="956">
        <f t="shared" si="87"/>
        <v>1</v>
      </c>
      <c r="AS465" s="956">
        <f t="shared" si="89"/>
        <v>14</v>
      </c>
      <c r="AT465" s="982">
        <v>10</v>
      </c>
      <c r="AU465" s="981"/>
      <c r="AV465" s="981"/>
      <c r="AW465" s="981"/>
      <c r="AX465" s="1045"/>
      <c r="AY465" s="1045"/>
      <c r="AZ465" s="1015"/>
      <c r="BA465" s="1016"/>
      <c r="BB465" s="1016"/>
      <c r="BC465" s="1016"/>
      <c r="BD465" s="1016"/>
      <c r="BE465" s="1016"/>
      <c r="BF465" s="1018"/>
    </row>
    <row r="466" spans="1:58" s="945" customFormat="1" ht="20.100000000000001" customHeight="1">
      <c r="A466" s="1036"/>
      <c r="B466" s="1058">
        <v>11</v>
      </c>
      <c r="C466" s="1038">
        <v>441</v>
      </c>
      <c r="D466" s="1040"/>
      <c r="E466" s="1040"/>
      <c r="F466" s="1041"/>
      <c r="G466" s="1028">
        <v>0</v>
      </c>
      <c r="H466" s="1028" t="s">
        <v>1335</v>
      </c>
      <c r="I466" s="1028" t="s">
        <v>1335</v>
      </c>
      <c r="J466" s="1028"/>
      <c r="K466" s="1028" t="s">
        <v>1335</v>
      </c>
      <c r="L466" s="958" t="s">
        <v>1335</v>
      </c>
      <c r="M466" s="1028" t="s">
        <v>1335</v>
      </c>
      <c r="N466" s="1028" t="s">
        <v>1335</v>
      </c>
      <c r="O466" s="1028" t="s">
        <v>1335</v>
      </c>
      <c r="P466" s="1028" t="s">
        <v>1335</v>
      </c>
      <c r="Q466" s="1028" t="s">
        <v>1335</v>
      </c>
      <c r="R466" s="1028" t="s">
        <v>1335</v>
      </c>
      <c r="S466" s="1028" t="s">
        <v>1335</v>
      </c>
      <c r="T466" s="1028" t="s">
        <v>1335</v>
      </c>
      <c r="U466" s="1028" t="s">
        <v>1335</v>
      </c>
      <c r="V466" s="1029"/>
      <c r="W466" s="1029"/>
      <c r="X466" s="1028"/>
      <c r="Y466" s="1030">
        <v>0</v>
      </c>
      <c r="Z466" s="1031"/>
      <c r="AA466" s="1043"/>
      <c r="AB466" s="1043"/>
      <c r="AC466" s="1043"/>
      <c r="AD466" s="1043"/>
      <c r="AE466" s="1043"/>
      <c r="AF466" s="1043"/>
      <c r="AG466" s="1043"/>
      <c r="AH466" s="1043"/>
      <c r="AI466" s="1043"/>
      <c r="AJ466" s="1043"/>
      <c r="AK466" s="1043"/>
      <c r="AL466" s="1043"/>
      <c r="AM466" s="1043"/>
      <c r="AN466" s="1043"/>
      <c r="AO466" s="1043"/>
      <c r="AP466" s="1043"/>
      <c r="AQ466" s="956">
        <f t="shared" si="88"/>
        <v>13</v>
      </c>
      <c r="AR466" s="956">
        <f t="shared" si="87"/>
        <v>0</v>
      </c>
      <c r="AS466" s="956">
        <f t="shared" si="89"/>
        <v>13</v>
      </c>
      <c r="AT466" s="982">
        <v>9</v>
      </c>
      <c r="AU466" s="981"/>
      <c r="AV466" s="981"/>
      <c r="AW466" s="981"/>
      <c r="AX466" s="1045"/>
      <c r="AY466" s="1045"/>
      <c r="AZ466" s="1015"/>
      <c r="BA466" s="1016"/>
      <c r="BB466" s="1016"/>
      <c r="BC466" s="1016"/>
      <c r="BD466" s="1016"/>
      <c r="BE466" s="1016"/>
      <c r="BF466" s="1018"/>
    </row>
    <row r="467" spans="1:58" s="945" customFormat="1" ht="20.100000000000001" customHeight="1">
      <c r="A467" s="1036"/>
      <c r="B467" s="1058">
        <v>11</v>
      </c>
      <c r="C467" s="1038">
        <v>442</v>
      </c>
      <c r="D467" s="1040"/>
      <c r="E467" s="1040"/>
      <c r="F467" s="1041"/>
      <c r="G467" s="1028">
        <v>0</v>
      </c>
      <c r="H467" s="1028" t="s">
        <v>1335</v>
      </c>
      <c r="I467" s="1028" t="s">
        <v>1335</v>
      </c>
      <c r="J467" s="1028"/>
      <c r="K467" s="1028" t="s">
        <v>1335</v>
      </c>
      <c r="L467" s="958" t="s">
        <v>1335</v>
      </c>
      <c r="M467" s="1028" t="s">
        <v>1335</v>
      </c>
      <c r="N467" s="1028" t="s">
        <v>1335</v>
      </c>
      <c r="O467" s="1028" t="s">
        <v>1335</v>
      </c>
      <c r="P467" s="1028" t="s">
        <v>1335</v>
      </c>
      <c r="Q467" s="1028" t="s">
        <v>1335</v>
      </c>
      <c r="R467" s="1028" t="s">
        <v>1335</v>
      </c>
      <c r="S467" s="1028" t="s">
        <v>1335</v>
      </c>
      <c r="T467" s="1028" t="s">
        <v>1335</v>
      </c>
      <c r="U467" s="1028" t="s">
        <v>1335</v>
      </c>
      <c r="V467" s="1029"/>
      <c r="W467" s="1029"/>
      <c r="X467" s="1028"/>
      <c r="Y467" s="1030" t="s">
        <v>1335</v>
      </c>
      <c r="Z467" s="1031"/>
      <c r="AA467" s="1043"/>
      <c r="AB467" s="1043"/>
      <c r="AC467" s="1043"/>
      <c r="AD467" s="1043"/>
      <c r="AE467" s="1043"/>
      <c r="AF467" s="1043"/>
      <c r="AG467" s="1043"/>
      <c r="AH467" s="1043"/>
      <c r="AI467" s="1043"/>
      <c r="AJ467" s="1043"/>
      <c r="AK467" s="1043"/>
      <c r="AL467" s="1043"/>
      <c r="AM467" s="1043"/>
      <c r="AN467" s="1043"/>
      <c r="AO467" s="1043"/>
      <c r="AP467" s="1043"/>
      <c r="AQ467" s="956">
        <f t="shared" si="88"/>
        <v>13</v>
      </c>
      <c r="AR467" s="956">
        <f t="shared" si="87"/>
        <v>1</v>
      </c>
      <c r="AS467" s="956">
        <f t="shared" si="89"/>
        <v>14</v>
      </c>
      <c r="AT467" s="982">
        <v>9</v>
      </c>
      <c r="AU467" s="981"/>
      <c r="AV467" s="981"/>
      <c r="AW467" s="981"/>
      <c r="AX467" s="1045"/>
      <c r="AY467" s="1045"/>
      <c r="AZ467" s="1015"/>
      <c r="BA467" s="1016"/>
      <c r="BB467" s="1016"/>
      <c r="BC467" s="1016"/>
      <c r="BD467" s="1016"/>
      <c r="BE467" s="1016"/>
      <c r="BF467" s="1018"/>
    </row>
    <row r="468" spans="1:58" s="945" customFormat="1" ht="20.100000000000001" customHeight="1">
      <c r="A468" s="1036"/>
      <c r="B468" s="1058">
        <v>11</v>
      </c>
      <c r="C468" s="1038">
        <v>443</v>
      </c>
      <c r="D468" s="1040"/>
      <c r="E468" s="1040"/>
      <c r="F468" s="1041"/>
      <c r="G468" s="1028" t="s">
        <v>1335</v>
      </c>
      <c r="H468" s="1028" t="s">
        <v>1335</v>
      </c>
      <c r="I468" s="1028" t="s">
        <v>1335</v>
      </c>
      <c r="J468" s="1028"/>
      <c r="K468" s="1028" t="s">
        <v>1335</v>
      </c>
      <c r="L468" s="958" t="s">
        <v>1335</v>
      </c>
      <c r="M468" s="1028">
        <v>0</v>
      </c>
      <c r="N468" s="1028" t="s">
        <v>1335</v>
      </c>
      <c r="O468" s="1028">
        <v>0</v>
      </c>
      <c r="P468" s="1028" t="s">
        <v>1335</v>
      </c>
      <c r="Q468" s="1028" t="s">
        <v>1335</v>
      </c>
      <c r="R468" s="1028" t="s">
        <v>1335</v>
      </c>
      <c r="S468" s="1028" t="s">
        <v>1335</v>
      </c>
      <c r="T468" s="1028" t="s">
        <v>1335</v>
      </c>
      <c r="U468" s="1028">
        <v>0</v>
      </c>
      <c r="V468" s="1029"/>
      <c r="W468" s="1029"/>
      <c r="X468" s="1028"/>
      <c r="Y468" s="1030">
        <v>0</v>
      </c>
      <c r="Z468" s="1031"/>
      <c r="AA468" s="1043"/>
      <c r="AB468" s="1043"/>
      <c r="AC468" s="1043"/>
      <c r="AD468" s="1043"/>
      <c r="AE468" s="1043"/>
      <c r="AF468" s="1043"/>
      <c r="AG468" s="1043"/>
      <c r="AH468" s="1043"/>
      <c r="AI468" s="1043"/>
      <c r="AJ468" s="1043"/>
      <c r="AK468" s="1043"/>
      <c r="AL468" s="1043"/>
      <c r="AM468" s="1043"/>
      <c r="AN468" s="1043"/>
      <c r="AO468" s="1043"/>
      <c r="AP468" s="1043"/>
      <c r="AQ468" s="956">
        <f t="shared" si="88"/>
        <v>11</v>
      </c>
      <c r="AR468" s="956">
        <f t="shared" si="87"/>
        <v>0</v>
      </c>
      <c r="AS468" s="956">
        <f t="shared" si="89"/>
        <v>11</v>
      </c>
      <c r="AT468" s="982">
        <v>11</v>
      </c>
      <c r="AU468" s="981"/>
      <c r="AV468" s="981"/>
      <c r="AW468" s="981"/>
      <c r="AX468" s="1045"/>
      <c r="AY468" s="1045"/>
      <c r="AZ468" s="1015"/>
      <c r="BA468" s="1016"/>
      <c r="BB468" s="1016"/>
      <c r="BC468" s="1016"/>
      <c r="BD468" s="1016"/>
      <c r="BE468" s="1016"/>
      <c r="BF468" s="1018"/>
    </row>
    <row r="469" spans="1:58" s="945" customFormat="1" ht="20.100000000000001" customHeight="1">
      <c r="A469" s="1036"/>
      <c r="B469" s="1058">
        <v>11</v>
      </c>
      <c r="C469" s="1038">
        <v>444</v>
      </c>
      <c r="D469" s="1040"/>
      <c r="E469" s="1040"/>
      <c r="F469" s="1041"/>
      <c r="G469" s="1028">
        <v>0</v>
      </c>
      <c r="H469" s="1028" t="s">
        <v>1335</v>
      </c>
      <c r="I469" s="1028" t="s">
        <v>1335</v>
      </c>
      <c r="J469" s="1028"/>
      <c r="K469" s="1028" t="s">
        <v>1335</v>
      </c>
      <c r="L469" s="958" t="s">
        <v>1335</v>
      </c>
      <c r="M469" s="1028" t="s">
        <v>1335</v>
      </c>
      <c r="N469" s="1028" t="s">
        <v>1335</v>
      </c>
      <c r="O469" s="1028" t="s">
        <v>1335</v>
      </c>
      <c r="P469" s="1028" t="s">
        <v>1335</v>
      </c>
      <c r="Q469" s="1028" t="s">
        <v>1335</v>
      </c>
      <c r="R469" s="1028" t="s">
        <v>1335</v>
      </c>
      <c r="S469" s="1028" t="s">
        <v>1335</v>
      </c>
      <c r="T469" s="1028" t="s">
        <v>1335</v>
      </c>
      <c r="U469" s="1028" t="s">
        <v>1335</v>
      </c>
      <c r="V469" s="1029"/>
      <c r="W469" s="1029"/>
      <c r="X469" s="1028"/>
      <c r="Y469" s="1030" t="s">
        <v>1335</v>
      </c>
      <c r="Z469" s="1031"/>
      <c r="AA469" s="1043"/>
      <c r="AB469" s="1043"/>
      <c r="AC469" s="1043"/>
      <c r="AD469" s="1043"/>
      <c r="AE469" s="1043"/>
      <c r="AF469" s="1043"/>
      <c r="AG469" s="1043"/>
      <c r="AH469" s="1043"/>
      <c r="AI469" s="1043"/>
      <c r="AJ469" s="1043"/>
      <c r="AK469" s="1043"/>
      <c r="AL469" s="1043"/>
      <c r="AM469" s="1043"/>
      <c r="AN469" s="1043"/>
      <c r="AO469" s="1043"/>
      <c r="AP469" s="1043"/>
      <c r="AQ469" s="956">
        <f t="shared" si="88"/>
        <v>13</v>
      </c>
      <c r="AR469" s="956">
        <f t="shared" si="87"/>
        <v>1</v>
      </c>
      <c r="AS469" s="956">
        <f t="shared" si="89"/>
        <v>14</v>
      </c>
      <c r="AT469" s="982">
        <v>9</v>
      </c>
      <c r="AU469" s="981"/>
      <c r="AV469" s="981"/>
      <c r="AW469" s="981"/>
      <c r="AX469" s="1045"/>
      <c r="AY469" s="1045"/>
      <c r="AZ469" s="1015"/>
      <c r="BA469" s="1016"/>
      <c r="BB469" s="1016"/>
      <c r="BC469" s="1016"/>
      <c r="BD469" s="1016"/>
      <c r="BE469" s="1016"/>
      <c r="BF469" s="1018"/>
    </row>
    <row r="470" spans="1:58" s="945" customFormat="1" ht="20.100000000000001" customHeight="1">
      <c r="A470" s="1036"/>
      <c r="B470" s="1058">
        <v>11</v>
      </c>
      <c r="C470" s="1038">
        <v>445</v>
      </c>
      <c r="D470" s="1040"/>
      <c r="E470" s="1040"/>
      <c r="F470" s="1041"/>
      <c r="G470" s="1028" t="s">
        <v>1335</v>
      </c>
      <c r="H470" s="1028" t="s">
        <v>1335</v>
      </c>
      <c r="I470" s="1028" t="s">
        <v>1335</v>
      </c>
      <c r="J470" s="1028"/>
      <c r="K470" s="1028">
        <v>0</v>
      </c>
      <c r="L470" s="958" t="s">
        <v>1335</v>
      </c>
      <c r="M470" s="1028" t="s">
        <v>1335</v>
      </c>
      <c r="N470" s="1028" t="s">
        <v>1335</v>
      </c>
      <c r="O470" s="1028" t="s">
        <v>1335</v>
      </c>
      <c r="P470" s="1028" t="s">
        <v>1335</v>
      </c>
      <c r="Q470" s="1028" t="s">
        <v>1335</v>
      </c>
      <c r="R470" s="1028" t="s">
        <v>1335</v>
      </c>
      <c r="S470" s="1028" t="s">
        <v>1335</v>
      </c>
      <c r="T470" s="1028" t="s">
        <v>1335</v>
      </c>
      <c r="U470" s="1028" t="s">
        <v>1335</v>
      </c>
      <c r="V470" s="1029"/>
      <c r="W470" s="1029"/>
      <c r="X470" s="1028"/>
      <c r="Y470" s="1030" t="s">
        <v>1335</v>
      </c>
      <c r="Z470" s="1031"/>
      <c r="AA470" s="1043"/>
      <c r="AB470" s="1043"/>
      <c r="AC470" s="1043"/>
      <c r="AD470" s="1043"/>
      <c r="AE470" s="1043"/>
      <c r="AF470" s="1043"/>
      <c r="AG470" s="1043"/>
      <c r="AH470" s="1043"/>
      <c r="AI470" s="1043"/>
      <c r="AJ470" s="1043"/>
      <c r="AK470" s="1043"/>
      <c r="AL470" s="1043"/>
      <c r="AM470" s="1043"/>
      <c r="AN470" s="1043"/>
      <c r="AO470" s="1043"/>
      <c r="AP470" s="1043"/>
      <c r="AQ470" s="956">
        <f t="shared" si="88"/>
        <v>13</v>
      </c>
      <c r="AR470" s="956">
        <f t="shared" si="87"/>
        <v>1</v>
      </c>
      <c r="AS470" s="956">
        <f t="shared" si="89"/>
        <v>14</v>
      </c>
      <c r="AT470" s="982">
        <v>10</v>
      </c>
      <c r="AU470" s="981"/>
      <c r="AV470" s="981"/>
      <c r="AW470" s="981"/>
      <c r="AX470" s="1045"/>
      <c r="AY470" s="1045"/>
      <c r="AZ470" s="1015"/>
      <c r="BA470" s="1016"/>
      <c r="BB470" s="1016"/>
      <c r="BC470" s="1016"/>
      <c r="BD470" s="1016"/>
      <c r="BE470" s="1016"/>
      <c r="BF470" s="1018"/>
    </row>
    <row r="471" spans="1:58" s="945" customFormat="1" ht="20.100000000000001" customHeight="1">
      <c r="A471" s="1036"/>
      <c r="B471" s="1058">
        <v>11</v>
      </c>
      <c r="C471" s="1038">
        <v>446</v>
      </c>
      <c r="D471" s="1040"/>
      <c r="E471" s="1040"/>
      <c r="F471" s="1041"/>
      <c r="G471" s="1028">
        <v>0</v>
      </c>
      <c r="H471" s="1028" t="s">
        <v>1335</v>
      </c>
      <c r="I471" s="1028" t="s">
        <v>1335</v>
      </c>
      <c r="J471" s="1028"/>
      <c r="K471" s="1028" t="s">
        <v>1335</v>
      </c>
      <c r="L471" s="958" t="s">
        <v>1335</v>
      </c>
      <c r="M471" s="1028" t="s">
        <v>1335</v>
      </c>
      <c r="N471" s="1028" t="s">
        <v>1335</v>
      </c>
      <c r="O471" s="1028" t="s">
        <v>1335</v>
      </c>
      <c r="P471" s="1028" t="s">
        <v>1335</v>
      </c>
      <c r="Q471" s="1028" t="s">
        <v>1335</v>
      </c>
      <c r="R471" s="1028" t="s">
        <v>1335</v>
      </c>
      <c r="S471" s="1028" t="s">
        <v>1335</v>
      </c>
      <c r="T471" s="1028" t="s">
        <v>1335</v>
      </c>
      <c r="U471" s="1028" t="s">
        <v>1335</v>
      </c>
      <c r="V471" s="1029"/>
      <c r="W471" s="1029"/>
      <c r="X471" s="1028"/>
      <c r="Y471" s="1030" t="s">
        <v>1335</v>
      </c>
      <c r="Z471" s="1031"/>
      <c r="AA471" s="1043"/>
      <c r="AB471" s="1043"/>
      <c r="AC471" s="1043"/>
      <c r="AD471" s="1043"/>
      <c r="AE471" s="1043"/>
      <c r="AF471" s="1043"/>
      <c r="AG471" s="1043"/>
      <c r="AH471" s="1043"/>
      <c r="AI471" s="1043"/>
      <c r="AJ471" s="1043"/>
      <c r="AK471" s="1043"/>
      <c r="AL471" s="1043"/>
      <c r="AM471" s="1043"/>
      <c r="AN471" s="1043"/>
      <c r="AO471" s="1043"/>
      <c r="AP471" s="1043"/>
      <c r="AQ471" s="956">
        <f t="shared" si="88"/>
        <v>13</v>
      </c>
      <c r="AR471" s="956">
        <f t="shared" si="87"/>
        <v>1</v>
      </c>
      <c r="AS471" s="956">
        <f t="shared" si="89"/>
        <v>14</v>
      </c>
      <c r="AT471" s="982">
        <v>9</v>
      </c>
      <c r="AU471" s="981"/>
      <c r="AV471" s="981"/>
      <c r="AW471" s="981"/>
      <c r="AX471" s="1045"/>
      <c r="AY471" s="1045"/>
      <c r="AZ471" s="1015"/>
      <c r="BA471" s="1016"/>
      <c r="BB471" s="1016"/>
      <c r="BC471" s="1016"/>
      <c r="BD471" s="1016"/>
      <c r="BE471" s="1016"/>
      <c r="BF471" s="1018"/>
    </row>
    <row r="472" spans="1:58" s="945" customFormat="1" ht="20.100000000000001" customHeight="1">
      <c r="A472" s="1036"/>
      <c r="B472" s="1058">
        <v>11</v>
      </c>
      <c r="C472" s="1038">
        <v>447</v>
      </c>
      <c r="D472" s="1040"/>
      <c r="E472" s="1040"/>
      <c r="F472" s="1041"/>
      <c r="G472" s="1028" t="s">
        <v>1335</v>
      </c>
      <c r="H472" s="1028">
        <v>0</v>
      </c>
      <c r="I472" s="1028" t="s">
        <v>1335</v>
      </c>
      <c r="J472" s="1028"/>
      <c r="K472" s="1028" t="s">
        <v>1335</v>
      </c>
      <c r="L472" s="958" t="s">
        <v>1335</v>
      </c>
      <c r="M472" s="1028" t="s">
        <v>1335</v>
      </c>
      <c r="N472" s="1028">
        <v>0</v>
      </c>
      <c r="O472" s="1028" t="s">
        <v>1335</v>
      </c>
      <c r="P472" s="1028" t="s">
        <v>1335</v>
      </c>
      <c r="Q472" s="1028">
        <v>0</v>
      </c>
      <c r="R472" s="1028" t="s">
        <v>1335</v>
      </c>
      <c r="S472" s="1028" t="s">
        <v>1335</v>
      </c>
      <c r="T472" s="1028">
        <v>0</v>
      </c>
      <c r="U472" s="1028" t="s">
        <v>1335</v>
      </c>
      <c r="V472" s="1029"/>
      <c r="W472" s="1029"/>
      <c r="X472" s="1028"/>
      <c r="Y472" s="1030">
        <v>0</v>
      </c>
      <c r="Z472" s="1031"/>
      <c r="AA472" s="1043"/>
      <c r="AB472" s="1043"/>
      <c r="AC472" s="1043"/>
      <c r="AD472" s="1043"/>
      <c r="AE472" s="1043"/>
      <c r="AF472" s="1043"/>
      <c r="AG472" s="1043"/>
      <c r="AH472" s="1043"/>
      <c r="AI472" s="1043"/>
      <c r="AJ472" s="1043"/>
      <c r="AK472" s="1043"/>
      <c r="AL472" s="1043"/>
      <c r="AM472" s="1043"/>
      <c r="AN472" s="1043"/>
      <c r="AO472" s="1043"/>
      <c r="AP472" s="1043"/>
      <c r="AQ472" s="956">
        <f t="shared" si="88"/>
        <v>10</v>
      </c>
      <c r="AR472" s="956">
        <f t="shared" si="87"/>
        <v>0</v>
      </c>
      <c r="AS472" s="956">
        <f t="shared" si="89"/>
        <v>10</v>
      </c>
      <c r="AT472" s="982">
        <v>0</v>
      </c>
      <c r="AU472" s="981"/>
      <c r="AV472" s="981"/>
      <c r="AW472" s="981"/>
      <c r="AX472" s="1045"/>
      <c r="AY472" s="1045"/>
      <c r="AZ472" s="1015"/>
      <c r="BA472" s="1016"/>
      <c r="BB472" s="1016"/>
      <c r="BC472" s="1016"/>
      <c r="BD472" s="1016"/>
      <c r="BE472" s="1016"/>
      <c r="BF472" s="1018"/>
    </row>
    <row r="473" spans="1:58" s="945" customFormat="1" ht="20.100000000000001" customHeight="1">
      <c r="A473" s="1036"/>
      <c r="B473" s="1058">
        <v>11</v>
      </c>
      <c r="C473" s="1038">
        <v>448</v>
      </c>
      <c r="D473" s="1040"/>
      <c r="E473" s="1040"/>
      <c r="F473" s="1041"/>
      <c r="G473" s="1028">
        <v>0</v>
      </c>
      <c r="H473" s="1028" t="s">
        <v>1335</v>
      </c>
      <c r="I473" s="1028" t="s">
        <v>1335</v>
      </c>
      <c r="J473" s="1028"/>
      <c r="K473" s="1028" t="s">
        <v>1335</v>
      </c>
      <c r="L473" s="958" t="s">
        <v>1335</v>
      </c>
      <c r="M473" s="1028" t="s">
        <v>1335</v>
      </c>
      <c r="N473" s="1028" t="s">
        <v>1335</v>
      </c>
      <c r="O473" s="1028" t="s">
        <v>1335</v>
      </c>
      <c r="P473" s="1028" t="s">
        <v>1335</v>
      </c>
      <c r="Q473" s="1028" t="s">
        <v>1335</v>
      </c>
      <c r="R473" s="1028" t="s">
        <v>1335</v>
      </c>
      <c r="S473" s="1028" t="s">
        <v>1335</v>
      </c>
      <c r="T473" s="1028" t="s">
        <v>1335</v>
      </c>
      <c r="U473" s="1028" t="s">
        <v>1335</v>
      </c>
      <c r="V473" s="1029"/>
      <c r="W473" s="1029"/>
      <c r="X473" s="1028"/>
      <c r="Y473" s="1030" t="s">
        <v>1335</v>
      </c>
      <c r="Z473" s="1031"/>
      <c r="AA473" s="1043"/>
      <c r="AB473" s="1043"/>
      <c r="AC473" s="1043"/>
      <c r="AD473" s="1043"/>
      <c r="AE473" s="1043"/>
      <c r="AF473" s="1043"/>
      <c r="AG473" s="1043"/>
      <c r="AH473" s="1043"/>
      <c r="AI473" s="1043"/>
      <c r="AJ473" s="1043"/>
      <c r="AK473" s="1043"/>
      <c r="AL473" s="1043"/>
      <c r="AM473" s="1043"/>
      <c r="AN473" s="1043"/>
      <c r="AO473" s="1043"/>
      <c r="AP473" s="1043"/>
      <c r="AQ473" s="956">
        <f t="shared" si="88"/>
        <v>13</v>
      </c>
      <c r="AR473" s="956">
        <f t="shared" si="87"/>
        <v>1</v>
      </c>
      <c r="AS473" s="956">
        <f t="shared" si="89"/>
        <v>14</v>
      </c>
      <c r="AT473" s="982">
        <v>11</v>
      </c>
      <c r="AU473" s="981"/>
      <c r="AV473" s="981"/>
      <c r="AW473" s="981"/>
      <c r="AX473" s="1045"/>
      <c r="AY473" s="1045"/>
      <c r="AZ473" s="1015"/>
      <c r="BA473" s="1016"/>
      <c r="BB473" s="1016"/>
      <c r="BC473" s="1016"/>
      <c r="BD473" s="1016"/>
      <c r="BE473" s="1016"/>
      <c r="BF473" s="1018"/>
    </row>
    <row r="474" spans="1:58" s="945" customFormat="1" ht="20.100000000000001" customHeight="1">
      <c r="A474" s="1036"/>
      <c r="B474" s="1058">
        <v>11</v>
      </c>
      <c r="C474" s="1038">
        <v>449</v>
      </c>
      <c r="D474" s="1040"/>
      <c r="E474" s="1040"/>
      <c r="F474" s="1041"/>
      <c r="G474" s="1028" t="s">
        <v>1335</v>
      </c>
      <c r="H474" s="1028" t="s">
        <v>1335</v>
      </c>
      <c r="I474" s="1028" t="s">
        <v>1335</v>
      </c>
      <c r="J474" s="1028"/>
      <c r="K474" s="1028" t="s">
        <v>1335</v>
      </c>
      <c r="L474" s="958" t="s">
        <v>1335</v>
      </c>
      <c r="M474" s="1028" t="s">
        <v>1335</v>
      </c>
      <c r="N474" s="1028" t="s">
        <v>1335</v>
      </c>
      <c r="O474" s="1028" t="s">
        <v>1335</v>
      </c>
      <c r="P474" s="1028" t="s">
        <v>1335</v>
      </c>
      <c r="Q474" s="1028" t="s">
        <v>1335</v>
      </c>
      <c r="R474" s="1028" t="s">
        <v>1335</v>
      </c>
      <c r="S474" s="1028" t="s">
        <v>1335</v>
      </c>
      <c r="T474" s="1028" t="s">
        <v>1335</v>
      </c>
      <c r="U474" s="1028" t="s">
        <v>1335</v>
      </c>
      <c r="V474" s="1029"/>
      <c r="W474" s="1029"/>
      <c r="X474" s="1028"/>
      <c r="Y474" s="1030" t="s">
        <v>1335</v>
      </c>
      <c r="Z474" s="1031"/>
      <c r="AA474" s="1043"/>
      <c r="AB474" s="1043"/>
      <c r="AC474" s="1043"/>
      <c r="AD474" s="1043"/>
      <c r="AE474" s="1043"/>
      <c r="AF474" s="1043"/>
      <c r="AG474" s="1043"/>
      <c r="AH474" s="1043"/>
      <c r="AI474" s="1043"/>
      <c r="AJ474" s="1043"/>
      <c r="AK474" s="1043"/>
      <c r="AL474" s="1043"/>
      <c r="AM474" s="1043"/>
      <c r="AN474" s="1043"/>
      <c r="AO474" s="1043"/>
      <c r="AP474" s="1043"/>
      <c r="AQ474" s="956">
        <f t="shared" si="88"/>
        <v>14</v>
      </c>
      <c r="AR474" s="956">
        <f t="shared" si="87"/>
        <v>1</v>
      </c>
      <c r="AS474" s="956">
        <f t="shared" si="89"/>
        <v>15</v>
      </c>
      <c r="AT474" s="982">
        <v>10</v>
      </c>
      <c r="AU474" s="981"/>
      <c r="AV474" s="981"/>
      <c r="AW474" s="981"/>
      <c r="AX474" s="1045"/>
      <c r="AY474" s="1045"/>
      <c r="AZ474" s="1015"/>
      <c r="BA474" s="1016"/>
      <c r="BB474" s="1016"/>
      <c r="BC474" s="1016"/>
      <c r="BD474" s="1016"/>
      <c r="BE474" s="1016"/>
      <c r="BF474" s="1018"/>
    </row>
    <row r="475" spans="1:58" s="945" customFormat="1" ht="20.100000000000001" customHeight="1">
      <c r="A475" s="1036"/>
      <c r="B475" s="1058">
        <v>11</v>
      </c>
      <c r="C475" s="1038">
        <v>450</v>
      </c>
      <c r="D475" s="1040"/>
      <c r="E475" s="1040"/>
      <c r="F475" s="1041"/>
      <c r="G475" s="1028">
        <v>0</v>
      </c>
      <c r="H475" s="1028" t="s">
        <v>1335</v>
      </c>
      <c r="I475" s="1028" t="s">
        <v>1335</v>
      </c>
      <c r="J475" s="1028"/>
      <c r="K475" s="1028" t="s">
        <v>1335</v>
      </c>
      <c r="L475" s="958" t="s">
        <v>1335</v>
      </c>
      <c r="M475" s="1028" t="s">
        <v>1335</v>
      </c>
      <c r="N475" s="1028" t="s">
        <v>1335</v>
      </c>
      <c r="O475" s="1028" t="s">
        <v>1335</v>
      </c>
      <c r="P475" s="1028" t="s">
        <v>1335</v>
      </c>
      <c r="Q475" s="1028" t="s">
        <v>1335</v>
      </c>
      <c r="R475" s="1028" t="s">
        <v>1335</v>
      </c>
      <c r="S475" s="1028" t="s">
        <v>1335</v>
      </c>
      <c r="T475" s="1028" t="s">
        <v>1335</v>
      </c>
      <c r="U475" s="1028" t="s">
        <v>1335</v>
      </c>
      <c r="V475" s="1029"/>
      <c r="W475" s="1029"/>
      <c r="X475" s="1028"/>
      <c r="Y475" s="1030" t="s">
        <v>1335</v>
      </c>
      <c r="Z475" s="1031"/>
      <c r="AA475" s="1043"/>
      <c r="AB475" s="1043"/>
      <c r="AC475" s="1043"/>
      <c r="AD475" s="1043"/>
      <c r="AE475" s="1043"/>
      <c r="AF475" s="1043"/>
      <c r="AG475" s="1043"/>
      <c r="AH475" s="1043"/>
      <c r="AI475" s="1043"/>
      <c r="AJ475" s="1043"/>
      <c r="AK475" s="1043"/>
      <c r="AL475" s="1043"/>
      <c r="AM475" s="1043"/>
      <c r="AN475" s="1043"/>
      <c r="AO475" s="1043"/>
      <c r="AP475" s="1043"/>
      <c r="AQ475" s="956">
        <f t="shared" si="88"/>
        <v>13</v>
      </c>
      <c r="AR475" s="956">
        <f t="shared" si="87"/>
        <v>1</v>
      </c>
      <c r="AS475" s="956">
        <f t="shared" si="89"/>
        <v>14</v>
      </c>
      <c r="AT475" s="982">
        <v>9</v>
      </c>
      <c r="AU475" s="981"/>
      <c r="AV475" s="981"/>
      <c r="AW475" s="981"/>
      <c r="AX475" s="1045"/>
      <c r="AY475" s="1045"/>
      <c r="AZ475" s="1015"/>
      <c r="BA475" s="1016"/>
      <c r="BB475" s="1016"/>
      <c r="BC475" s="1016"/>
      <c r="BD475" s="1016"/>
      <c r="BE475" s="1016"/>
      <c r="BF475" s="1018"/>
    </row>
    <row r="476" spans="1:58" s="945" customFormat="1" ht="20.100000000000001" customHeight="1">
      <c r="A476" s="1036"/>
      <c r="B476" s="1058">
        <v>11</v>
      </c>
      <c r="C476" s="1038">
        <v>451</v>
      </c>
      <c r="D476" s="1040"/>
      <c r="E476" s="1040"/>
      <c r="F476" s="1041"/>
      <c r="G476" s="1028" t="s">
        <v>1335</v>
      </c>
      <c r="H476" s="1028" t="s">
        <v>1335</v>
      </c>
      <c r="I476" s="1028" t="s">
        <v>1335</v>
      </c>
      <c r="J476" s="1028"/>
      <c r="K476" s="1028" t="s">
        <v>1335</v>
      </c>
      <c r="L476" s="958" t="s">
        <v>1335</v>
      </c>
      <c r="M476" s="1028" t="s">
        <v>1335</v>
      </c>
      <c r="N476" s="1028" t="s">
        <v>1335</v>
      </c>
      <c r="O476" s="1028" t="s">
        <v>1335</v>
      </c>
      <c r="P476" s="1028" t="s">
        <v>1335</v>
      </c>
      <c r="Q476" s="1028" t="s">
        <v>1335</v>
      </c>
      <c r="R476" s="1028" t="s">
        <v>1335</v>
      </c>
      <c r="S476" s="1028">
        <v>0</v>
      </c>
      <c r="T476" s="1028" t="s">
        <v>1335</v>
      </c>
      <c r="U476" s="1028" t="s">
        <v>1335</v>
      </c>
      <c r="V476" s="1029"/>
      <c r="W476" s="1029"/>
      <c r="X476" s="1028"/>
      <c r="Y476" s="1030" t="s">
        <v>1335</v>
      </c>
      <c r="Z476" s="1031"/>
      <c r="AA476" s="1043"/>
      <c r="AB476" s="1043"/>
      <c r="AC476" s="1043"/>
      <c r="AD476" s="1043"/>
      <c r="AE476" s="1043"/>
      <c r="AF476" s="1043"/>
      <c r="AG476" s="1043"/>
      <c r="AH476" s="1043"/>
      <c r="AI476" s="1043"/>
      <c r="AJ476" s="1043"/>
      <c r="AK476" s="1043"/>
      <c r="AL476" s="1043"/>
      <c r="AM476" s="1043"/>
      <c r="AN476" s="1043"/>
      <c r="AO476" s="1043"/>
      <c r="AP476" s="1043"/>
      <c r="AQ476" s="956">
        <f t="shared" si="88"/>
        <v>13</v>
      </c>
      <c r="AR476" s="956">
        <f t="shared" si="87"/>
        <v>1</v>
      </c>
      <c r="AS476" s="956">
        <f t="shared" si="89"/>
        <v>14</v>
      </c>
      <c r="AT476" s="982">
        <v>6</v>
      </c>
      <c r="AU476" s="981"/>
      <c r="AV476" s="981"/>
      <c r="AW476" s="981"/>
      <c r="AX476" s="1045"/>
      <c r="AY476" s="1045"/>
      <c r="AZ476" s="1015"/>
      <c r="BA476" s="1016"/>
      <c r="BB476" s="1016"/>
      <c r="BC476" s="1016"/>
      <c r="BD476" s="1016"/>
      <c r="BE476" s="1016"/>
      <c r="BF476" s="1018"/>
    </row>
    <row r="477" spans="1:58" s="945" customFormat="1" ht="20.100000000000001" customHeight="1">
      <c r="A477" s="1036"/>
      <c r="B477" s="1058">
        <v>11</v>
      </c>
      <c r="C477" s="1038">
        <v>452</v>
      </c>
      <c r="D477" s="1040"/>
      <c r="E477" s="1040"/>
      <c r="F477" s="1041"/>
      <c r="G477" s="1028" t="s">
        <v>1335</v>
      </c>
      <c r="H477" s="1028" t="s">
        <v>1335</v>
      </c>
      <c r="I477" s="1028" t="s">
        <v>1335</v>
      </c>
      <c r="J477" s="1028"/>
      <c r="K477" s="1028">
        <v>0</v>
      </c>
      <c r="L477" s="958" t="s">
        <v>1335</v>
      </c>
      <c r="M477" s="1028">
        <v>0</v>
      </c>
      <c r="N477" s="1028" t="s">
        <v>1335</v>
      </c>
      <c r="O477" s="1028" t="s">
        <v>1335</v>
      </c>
      <c r="P477" s="1028" t="s">
        <v>1335</v>
      </c>
      <c r="Q477" s="1028" t="s">
        <v>1335</v>
      </c>
      <c r="R477" s="1028" t="s">
        <v>1335</v>
      </c>
      <c r="S477" s="1028" t="s">
        <v>1335</v>
      </c>
      <c r="T477" s="1028" t="s">
        <v>1335</v>
      </c>
      <c r="U477" s="1028" t="s">
        <v>1335</v>
      </c>
      <c r="V477" s="1029"/>
      <c r="W477" s="1029"/>
      <c r="X477" s="1028"/>
      <c r="Y477" s="1030" t="s">
        <v>1335</v>
      </c>
      <c r="Z477" s="1031"/>
      <c r="AA477" s="1043"/>
      <c r="AB477" s="1043"/>
      <c r="AC477" s="1043"/>
      <c r="AD477" s="1043"/>
      <c r="AE477" s="1043"/>
      <c r="AF477" s="1043"/>
      <c r="AG477" s="1043"/>
      <c r="AH477" s="1043"/>
      <c r="AI477" s="1043"/>
      <c r="AJ477" s="1043"/>
      <c r="AK477" s="1043"/>
      <c r="AL477" s="1043"/>
      <c r="AM477" s="1043"/>
      <c r="AN477" s="1043"/>
      <c r="AO477" s="1043"/>
      <c r="AP477" s="1043"/>
      <c r="AQ477" s="956">
        <f t="shared" si="88"/>
        <v>12</v>
      </c>
      <c r="AR477" s="956">
        <f t="shared" si="87"/>
        <v>1</v>
      </c>
      <c r="AS477" s="956">
        <f t="shared" si="89"/>
        <v>13</v>
      </c>
      <c r="AT477" s="982">
        <v>9</v>
      </c>
      <c r="AU477" s="981"/>
      <c r="AV477" s="981"/>
      <c r="AW477" s="981"/>
      <c r="AX477" s="1045"/>
      <c r="AY477" s="1045"/>
      <c r="AZ477" s="1015"/>
      <c r="BA477" s="1016"/>
      <c r="BB477" s="1016"/>
      <c r="BC477" s="1016"/>
      <c r="BD477" s="1016"/>
      <c r="BE477" s="1016"/>
      <c r="BF477" s="1018"/>
    </row>
    <row r="478" spans="1:58" s="945" customFormat="1" ht="20.100000000000001" customHeight="1">
      <c r="A478" s="1036"/>
      <c r="B478" s="1058">
        <v>11</v>
      </c>
      <c r="C478" s="1038">
        <v>453</v>
      </c>
      <c r="D478" s="1040"/>
      <c r="E478" s="1040"/>
      <c r="F478" s="1041"/>
      <c r="G478" s="1028" t="s">
        <v>1335</v>
      </c>
      <c r="H478" s="1028" t="s">
        <v>1335</v>
      </c>
      <c r="I478" s="1028" t="s">
        <v>1335</v>
      </c>
      <c r="J478" s="1028"/>
      <c r="K478" s="1028">
        <v>0</v>
      </c>
      <c r="L478" s="958" t="s">
        <v>1335</v>
      </c>
      <c r="M478" s="1028">
        <v>0</v>
      </c>
      <c r="N478" s="1028" t="s">
        <v>1335</v>
      </c>
      <c r="O478" s="1028" t="s">
        <v>1335</v>
      </c>
      <c r="P478" s="1028" t="s">
        <v>1335</v>
      </c>
      <c r="Q478" s="1028" t="s">
        <v>1335</v>
      </c>
      <c r="R478" s="1028" t="s">
        <v>1335</v>
      </c>
      <c r="S478" s="1028" t="s">
        <v>1335</v>
      </c>
      <c r="T478" s="1028" t="s">
        <v>1335</v>
      </c>
      <c r="U478" s="1028" t="s">
        <v>1335</v>
      </c>
      <c r="V478" s="1029"/>
      <c r="W478" s="1029"/>
      <c r="X478" s="1028"/>
      <c r="Y478" s="1030">
        <v>0</v>
      </c>
      <c r="Z478" s="1031"/>
      <c r="AA478" s="1043"/>
      <c r="AB478" s="1043"/>
      <c r="AC478" s="1043"/>
      <c r="AD478" s="1043"/>
      <c r="AE478" s="1043"/>
      <c r="AF478" s="1043"/>
      <c r="AG478" s="1043"/>
      <c r="AH478" s="1043"/>
      <c r="AI478" s="1043"/>
      <c r="AJ478" s="1043"/>
      <c r="AK478" s="1043"/>
      <c r="AL478" s="1043"/>
      <c r="AM478" s="1043"/>
      <c r="AN478" s="1043"/>
      <c r="AO478" s="1043"/>
      <c r="AP478" s="1043"/>
      <c r="AQ478" s="956">
        <f t="shared" si="88"/>
        <v>12</v>
      </c>
      <c r="AR478" s="956">
        <f t="shared" si="87"/>
        <v>0</v>
      </c>
      <c r="AS478" s="956">
        <f t="shared" si="89"/>
        <v>12</v>
      </c>
      <c r="AT478" s="982">
        <v>9</v>
      </c>
      <c r="AU478" s="981"/>
      <c r="AV478" s="981"/>
      <c r="AW478" s="981"/>
      <c r="AX478" s="1045"/>
      <c r="AY478" s="1045"/>
      <c r="AZ478" s="1015"/>
      <c r="BA478" s="1016"/>
      <c r="BB478" s="1016"/>
      <c r="BC478" s="1016"/>
      <c r="BD478" s="1016"/>
      <c r="BE478" s="1016"/>
      <c r="BF478" s="1018"/>
    </row>
    <row r="479" spans="1:58" s="945" customFormat="1" ht="20.100000000000001" customHeight="1">
      <c r="A479" s="1036"/>
      <c r="B479" s="1058">
        <v>11</v>
      </c>
      <c r="C479" s="1038">
        <v>454</v>
      </c>
      <c r="D479" s="1040"/>
      <c r="E479" s="1040"/>
      <c r="F479" s="1041"/>
      <c r="G479" s="1028" t="s">
        <v>1335</v>
      </c>
      <c r="H479" s="1028" t="s">
        <v>1335</v>
      </c>
      <c r="I479" s="1028" t="s">
        <v>1335</v>
      </c>
      <c r="J479" s="1028"/>
      <c r="K479" s="1028">
        <v>0</v>
      </c>
      <c r="L479" s="958" t="s">
        <v>1335</v>
      </c>
      <c r="M479" s="1028" t="s">
        <v>1335</v>
      </c>
      <c r="N479" s="1028" t="s">
        <v>1335</v>
      </c>
      <c r="O479" s="1028" t="s">
        <v>1335</v>
      </c>
      <c r="P479" s="1028" t="s">
        <v>1335</v>
      </c>
      <c r="Q479" s="1028" t="s">
        <v>1335</v>
      </c>
      <c r="R479" s="1028" t="s">
        <v>1335</v>
      </c>
      <c r="S479" s="1028" t="s">
        <v>1335</v>
      </c>
      <c r="T479" s="1028" t="s">
        <v>1335</v>
      </c>
      <c r="U479" s="1028" t="s">
        <v>1335</v>
      </c>
      <c r="V479" s="1029"/>
      <c r="W479" s="1029"/>
      <c r="X479" s="1028"/>
      <c r="Y479" s="1030" t="s">
        <v>1335</v>
      </c>
      <c r="Z479" s="1031"/>
      <c r="AA479" s="1043"/>
      <c r="AB479" s="1043"/>
      <c r="AC479" s="1043"/>
      <c r="AD479" s="1043"/>
      <c r="AE479" s="1043"/>
      <c r="AF479" s="1043"/>
      <c r="AG479" s="1043"/>
      <c r="AH479" s="1043"/>
      <c r="AI479" s="1043"/>
      <c r="AJ479" s="1043"/>
      <c r="AK479" s="1043"/>
      <c r="AL479" s="1043"/>
      <c r="AM479" s="1043"/>
      <c r="AN479" s="1043"/>
      <c r="AO479" s="1043"/>
      <c r="AP479" s="1043"/>
      <c r="AQ479" s="956">
        <f t="shared" si="88"/>
        <v>13</v>
      </c>
      <c r="AR479" s="956">
        <f t="shared" si="87"/>
        <v>1</v>
      </c>
      <c r="AS479" s="956">
        <f t="shared" si="89"/>
        <v>14</v>
      </c>
      <c r="AT479" s="982">
        <v>11</v>
      </c>
      <c r="AU479" s="981"/>
      <c r="AV479" s="981"/>
      <c r="AW479" s="981"/>
      <c r="AX479" s="1045"/>
      <c r="AY479" s="1045"/>
      <c r="AZ479" s="1015"/>
      <c r="BA479" s="1016"/>
      <c r="BB479" s="1016"/>
      <c r="BC479" s="1016"/>
      <c r="BD479" s="1016"/>
      <c r="BE479" s="1016"/>
      <c r="BF479" s="1018"/>
    </row>
    <row r="480" spans="1:58" s="945" customFormat="1" ht="20.100000000000001" customHeight="1">
      <c r="A480" s="1036"/>
      <c r="B480" s="1058">
        <v>11</v>
      </c>
      <c r="C480" s="1038">
        <v>455</v>
      </c>
      <c r="D480" s="1040"/>
      <c r="E480" s="1040"/>
      <c r="F480" s="1041"/>
      <c r="G480" s="1028" t="s">
        <v>1335</v>
      </c>
      <c r="H480" s="1028" t="s">
        <v>1335</v>
      </c>
      <c r="I480" s="1028" t="s">
        <v>1335</v>
      </c>
      <c r="J480" s="1028"/>
      <c r="K480" s="1028" t="s">
        <v>1335</v>
      </c>
      <c r="L480" s="958">
        <v>0</v>
      </c>
      <c r="M480" s="1028" t="s">
        <v>1335</v>
      </c>
      <c r="N480" s="1028" t="s">
        <v>1335</v>
      </c>
      <c r="O480" s="1028">
        <v>0</v>
      </c>
      <c r="P480" s="1028" t="s">
        <v>1335</v>
      </c>
      <c r="Q480" s="1028">
        <v>0</v>
      </c>
      <c r="R480" s="1028" t="s">
        <v>1335</v>
      </c>
      <c r="S480" s="1028" t="s">
        <v>1335</v>
      </c>
      <c r="T480" s="1028" t="s">
        <v>1335</v>
      </c>
      <c r="U480" s="1028">
        <v>0</v>
      </c>
      <c r="V480" s="1029"/>
      <c r="W480" s="1029"/>
      <c r="X480" s="1028"/>
      <c r="Y480" s="1030">
        <v>0</v>
      </c>
      <c r="Z480" s="1031"/>
      <c r="AA480" s="1043"/>
      <c r="AB480" s="1043"/>
      <c r="AC480" s="1043"/>
      <c r="AD480" s="1043"/>
      <c r="AE480" s="1043"/>
      <c r="AF480" s="1043"/>
      <c r="AG480" s="1043"/>
      <c r="AH480" s="1043"/>
      <c r="AI480" s="1043"/>
      <c r="AJ480" s="1043"/>
      <c r="AK480" s="1043"/>
      <c r="AL480" s="1043"/>
      <c r="AM480" s="1043"/>
      <c r="AN480" s="1043"/>
      <c r="AO480" s="1043"/>
      <c r="AP480" s="1043"/>
      <c r="AQ480" s="956">
        <f t="shared" si="88"/>
        <v>10</v>
      </c>
      <c r="AR480" s="956">
        <f t="shared" si="87"/>
        <v>0</v>
      </c>
      <c r="AS480" s="956">
        <f t="shared" si="89"/>
        <v>10</v>
      </c>
      <c r="AT480" s="982">
        <v>11</v>
      </c>
      <c r="AU480" s="981"/>
      <c r="AV480" s="981"/>
      <c r="AW480" s="981"/>
      <c r="AX480" s="1045"/>
      <c r="AY480" s="1045"/>
      <c r="AZ480" s="1015"/>
      <c r="BA480" s="1016"/>
      <c r="BB480" s="1016"/>
      <c r="BC480" s="1016"/>
      <c r="BD480" s="1016"/>
      <c r="BE480" s="1016"/>
      <c r="BF480" s="1018"/>
    </row>
    <row r="481" spans="1:58" s="945" customFormat="1" ht="20.100000000000001" customHeight="1">
      <c r="A481" s="1036"/>
      <c r="B481" s="1058">
        <v>11</v>
      </c>
      <c r="C481" s="1038">
        <v>456</v>
      </c>
      <c r="D481" s="1040"/>
      <c r="E481" s="1040"/>
      <c r="F481" s="1041"/>
      <c r="G481" s="1028" t="s">
        <v>1335</v>
      </c>
      <c r="H481" s="1028" t="s">
        <v>1335</v>
      </c>
      <c r="I481" s="1028" t="s">
        <v>1335</v>
      </c>
      <c r="J481" s="1028"/>
      <c r="K481" s="1028" t="s">
        <v>1335</v>
      </c>
      <c r="L481" s="958" t="s">
        <v>1335</v>
      </c>
      <c r="M481" s="1028" t="s">
        <v>1335</v>
      </c>
      <c r="N481" s="1028" t="s">
        <v>1335</v>
      </c>
      <c r="O481" s="1028" t="s">
        <v>1335</v>
      </c>
      <c r="P481" s="1028" t="s">
        <v>1335</v>
      </c>
      <c r="Q481" s="1028" t="s">
        <v>1335</v>
      </c>
      <c r="R481" s="1028" t="s">
        <v>1335</v>
      </c>
      <c r="S481" s="1028" t="s">
        <v>1335</v>
      </c>
      <c r="T481" s="1028" t="s">
        <v>1335</v>
      </c>
      <c r="U481" s="1028" t="s">
        <v>1335</v>
      </c>
      <c r="V481" s="1029"/>
      <c r="W481" s="1029"/>
      <c r="X481" s="1028"/>
      <c r="Y481" s="1030" t="s">
        <v>1335</v>
      </c>
      <c r="Z481" s="1031"/>
      <c r="AA481" s="1043"/>
      <c r="AB481" s="1043"/>
      <c r="AC481" s="1043"/>
      <c r="AD481" s="1043"/>
      <c r="AE481" s="1043"/>
      <c r="AF481" s="1043"/>
      <c r="AG481" s="1043"/>
      <c r="AH481" s="1043"/>
      <c r="AI481" s="1043"/>
      <c r="AJ481" s="1043"/>
      <c r="AK481" s="1043"/>
      <c r="AL481" s="1043"/>
      <c r="AM481" s="1043"/>
      <c r="AN481" s="1043"/>
      <c r="AO481" s="1043"/>
      <c r="AP481" s="1043"/>
      <c r="AQ481" s="956">
        <f t="shared" si="88"/>
        <v>14</v>
      </c>
      <c r="AR481" s="956">
        <f t="shared" si="87"/>
        <v>1</v>
      </c>
      <c r="AS481" s="956">
        <f t="shared" si="89"/>
        <v>15</v>
      </c>
      <c r="AT481" s="982">
        <v>10</v>
      </c>
      <c r="AU481" s="981"/>
      <c r="AV481" s="981"/>
      <c r="AW481" s="981"/>
      <c r="AX481" s="1045"/>
      <c r="AY481" s="1045"/>
      <c r="AZ481" s="1015"/>
      <c r="BA481" s="1016"/>
      <c r="BB481" s="1016"/>
      <c r="BC481" s="1016"/>
      <c r="BD481" s="1016"/>
      <c r="BE481" s="1016"/>
      <c r="BF481" s="1018"/>
    </row>
    <row r="482" spans="1:58" s="945" customFormat="1" ht="20.100000000000001" customHeight="1">
      <c r="A482" s="1036"/>
      <c r="B482" s="1058">
        <v>11</v>
      </c>
      <c r="C482" s="1038">
        <v>457</v>
      </c>
      <c r="D482" s="1040"/>
      <c r="E482" s="1040"/>
      <c r="F482" s="1041"/>
      <c r="G482" s="1028" t="s">
        <v>1335</v>
      </c>
      <c r="H482" s="1028" t="s">
        <v>1335</v>
      </c>
      <c r="I482" s="1028" t="s">
        <v>1335</v>
      </c>
      <c r="J482" s="1028"/>
      <c r="K482" s="1028" t="s">
        <v>1335</v>
      </c>
      <c r="L482" s="958" t="s">
        <v>1335</v>
      </c>
      <c r="M482" s="1028" t="s">
        <v>1335</v>
      </c>
      <c r="N482" s="1028" t="s">
        <v>1335</v>
      </c>
      <c r="O482" s="1028" t="s">
        <v>1335</v>
      </c>
      <c r="P482" s="1028" t="s">
        <v>1335</v>
      </c>
      <c r="Q482" s="1028" t="s">
        <v>1335</v>
      </c>
      <c r="R482" s="1028" t="s">
        <v>1335</v>
      </c>
      <c r="S482" s="1028" t="s">
        <v>1335</v>
      </c>
      <c r="T482" s="1028" t="s">
        <v>1335</v>
      </c>
      <c r="U482" s="1028" t="s">
        <v>1335</v>
      </c>
      <c r="V482" s="1029"/>
      <c r="W482" s="1029"/>
      <c r="X482" s="1028"/>
      <c r="Y482" s="1030" t="s">
        <v>1335</v>
      </c>
      <c r="Z482" s="1031"/>
      <c r="AA482" s="1043"/>
      <c r="AB482" s="1043"/>
      <c r="AC482" s="1043"/>
      <c r="AD482" s="1043"/>
      <c r="AE482" s="1043"/>
      <c r="AF482" s="1043"/>
      <c r="AG482" s="1043"/>
      <c r="AH482" s="1043"/>
      <c r="AI482" s="1043"/>
      <c r="AJ482" s="1043"/>
      <c r="AK482" s="1043"/>
      <c r="AL482" s="1043"/>
      <c r="AM482" s="1043"/>
      <c r="AN482" s="1043"/>
      <c r="AO482" s="1043"/>
      <c r="AP482" s="1043"/>
      <c r="AQ482" s="956">
        <f t="shared" si="88"/>
        <v>14</v>
      </c>
      <c r="AR482" s="956">
        <f t="shared" si="87"/>
        <v>1</v>
      </c>
      <c r="AS482" s="956">
        <f t="shared" si="89"/>
        <v>15</v>
      </c>
      <c r="AT482" s="982">
        <v>10</v>
      </c>
      <c r="AU482" s="981"/>
      <c r="AV482" s="981"/>
      <c r="AW482" s="981"/>
      <c r="AX482" s="1045"/>
      <c r="AY482" s="1045"/>
      <c r="AZ482" s="1015"/>
      <c r="BA482" s="1016"/>
      <c r="BB482" s="1016"/>
      <c r="BC482" s="1016"/>
      <c r="BD482" s="1016"/>
      <c r="BE482" s="1016"/>
      <c r="BF482" s="1018"/>
    </row>
    <row r="483" spans="1:58" s="945" customFormat="1" ht="20.100000000000001" customHeight="1">
      <c r="A483" s="1036"/>
      <c r="B483" s="1058">
        <v>11</v>
      </c>
      <c r="C483" s="1038">
        <v>458</v>
      </c>
      <c r="D483" s="1040"/>
      <c r="E483" s="1040"/>
      <c r="F483" s="1041"/>
      <c r="G483" s="1028" t="s">
        <v>1335</v>
      </c>
      <c r="H483" s="1028" t="s">
        <v>1335</v>
      </c>
      <c r="I483" s="1028" t="s">
        <v>1335</v>
      </c>
      <c r="J483" s="1028"/>
      <c r="K483" s="1028" t="s">
        <v>1335</v>
      </c>
      <c r="L483" s="958" t="s">
        <v>1335</v>
      </c>
      <c r="M483" s="1028" t="s">
        <v>1335</v>
      </c>
      <c r="N483" s="1028" t="s">
        <v>1335</v>
      </c>
      <c r="O483" s="1028" t="s">
        <v>1335</v>
      </c>
      <c r="P483" s="1028" t="s">
        <v>1335</v>
      </c>
      <c r="Q483" s="1028" t="s">
        <v>1335</v>
      </c>
      <c r="R483" s="1028" t="s">
        <v>1335</v>
      </c>
      <c r="S483" s="1028" t="s">
        <v>1335</v>
      </c>
      <c r="T483" s="1028" t="s">
        <v>1335</v>
      </c>
      <c r="U483" s="1028" t="s">
        <v>1335</v>
      </c>
      <c r="V483" s="1029"/>
      <c r="W483" s="1029"/>
      <c r="X483" s="1028"/>
      <c r="Y483" s="1030" t="s">
        <v>1335</v>
      </c>
      <c r="Z483" s="1031"/>
      <c r="AA483" s="1043"/>
      <c r="AB483" s="1043"/>
      <c r="AC483" s="1043"/>
      <c r="AD483" s="1043"/>
      <c r="AE483" s="1043"/>
      <c r="AF483" s="1043"/>
      <c r="AG483" s="1043"/>
      <c r="AH483" s="1043"/>
      <c r="AI483" s="1043"/>
      <c r="AJ483" s="1043"/>
      <c r="AK483" s="1043"/>
      <c r="AL483" s="1043"/>
      <c r="AM483" s="1043"/>
      <c r="AN483" s="1043"/>
      <c r="AO483" s="1043"/>
      <c r="AP483" s="1043"/>
      <c r="AQ483" s="956">
        <f t="shared" si="88"/>
        <v>14</v>
      </c>
      <c r="AR483" s="956">
        <f t="shared" si="87"/>
        <v>1</v>
      </c>
      <c r="AS483" s="956">
        <f t="shared" si="89"/>
        <v>15</v>
      </c>
      <c r="AT483" s="982">
        <v>10</v>
      </c>
      <c r="AU483" s="981"/>
      <c r="AV483" s="981"/>
      <c r="AW483" s="981"/>
      <c r="AX483" s="1045"/>
      <c r="AY483" s="1045"/>
      <c r="AZ483" s="1015"/>
      <c r="BA483" s="1016"/>
      <c r="BB483" s="1016"/>
      <c r="BC483" s="1016"/>
      <c r="BD483" s="1016"/>
      <c r="BE483" s="1016"/>
      <c r="BF483" s="1018"/>
    </row>
    <row r="484" spans="1:58" s="945" customFormat="1" ht="20.100000000000001" customHeight="1">
      <c r="A484" s="1036"/>
      <c r="B484" s="1058">
        <v>11</v>
      </c>
      <c r="C484" s="1038">
        <v>459</v>
      </c>
      <c r="D484" s="1040"/>
      <c r="E484" s="1040"/>
      <c r="F484" s="1041"/>
      <c r="G484" s="1028" t="s">
        <v>1335</v>
      </c>
      <c r="H484" s="1028" t="s">
        <v>1335</v>
      </c>
      <c r="I484" s="1028" t="s">
        <v>1335</v>
      </c>
      <c r="J484" s="1028"/>
      <c r="K484" s="1028" t="s">
        <v>1335</v>
      </c>
      <c r="L484" s="958" t="s">
        <v>1335</v>
      </c>
      <c r="M484" s="1028" t="s">
        <v>1335</v>
      </c>
      <c r="N484" s="1028" t="s">
        <v>1335</v>
      </c>
      <c r="O484" s="1028" t="s">
        <v>1335</v>
      </c>
      <c r="P484" s="1028" t="s">
        <v>1335</v>
      </c>
      <c r="Q484" s="1028" t="s">
        <v>1335</v>
      </c>
      <c r="R484" s="1028" t="s">
        <v>1335</v>
      </c>
      <c r="S484" s="1028" t="s">
        <v>1335</v>
      </c>
      <c r="T484" s="1028" t="s">
        <v>1335</v>
      </c>
      <c r="U484" s="1028" t="s">
        <v>1335</v>
      </c>
      <c r="V484" s="1029"/>
      <c r="W484" s="1029"/>
      <c r="X484" s="1028"/>
      <c r="Y484" s="1030" t="s">
        <v>1335</v>
      </c>
      <c r="Z484" s="1031"/>
      <c r="AA484" s="1043"/>
      <c r="AB484" s="1043"/>
      <c r="AC484" s="1043"/>
      <c r="AD484" s="1043"/>
      <c r="AE484" s="1043"/>
      <c r="AF484" s="1043"/>
      <c r="AG484" s="1043"/>
      <c r="AH484" s="1043"/>
      <c r="AI484" s="1043"/>
      <c r="AJ484" s="1043"/>
      <c r="AK484" s="1043"/>
      <c r="AL484" s="1043"/>
      <c r="AM484" s="1043"/>
      <c r="AN484" s="1043"/>
      <c r="AO484" s="1043"/>
      <c r="AP484" s="1043"/>
      <c r="AQ484" s="956">
        <f t="shared" si="88"/>
        <v>14</v>
      </c>
      <c r="AR484" s="956">
        <f t="shared" si="87"/>
        <v>1</v>
      </c>
      <c r="AS484" s="956">
        <f t="shared" si="89"/>
        <v>15</v>
      </c>
      <c r="AT484" s="982">
        <v>10</v>
      </c>
      <c r="AU484" s="981"/>
      <c r="AV484" s="981"/>
      <c r="AW484" s="981"/>
      <c r="AX484" s="1045"/>
      <c r="AY484" s="1045"/>
      <c r="AZ484" s="1015"/>
      <c r="BA484" s="1016"/>
      <c r="BB484" s="1016"/>
      <c r="BC484" s="1016"/>
      <c r="BD484" s="1016"/>
      <c r="BE484" s="1016"/>
      <c r="BF484" s="1018"/>
    </row>
    <row r="485" spans="1:58" s="948" customFormat="1" ht="20.100000000000001" customHeight="1">
      <c r="A485" s="1059"/>
      <c r="B485" s="1058">
        <v>11</v>
      </c>
      <c r="C485" s="1038">
        <v>460</v>
      </c>
      <c r="D485" s="1060"/>
      <c r="E485" s="1060"/>
      <c r="F485" s="1061"/>
      <c r="G485" s="1028">
        <v>0</v>
      </c>
      <c r="H485" s="1028" t="s">
        <v>1335</v>
      </c>
      <c r="I485" s="1028" t="s">
        <v>1335</v>
      </c>
      <c r="J485" s="1028"/>
      <c r="K485" s="1028" t="s">
        <v>1335</v>
      </c>
      <c r="L485" s="958" t="s">
        <v>1335</v>
      </c>
      <c r="M485" s="1028" t="s">
        <v>1335</v>
      </c>
      <c r="N485" s="1028" t="s">
        <v>1335</v>
      </c>
      <c r="O485" s="1028" t="s">
        <v>1335</v>
      </c>
      <c r="P485" s="1028" t="s">
        <v>1335</v>
      </c>
      <c r="Q485" s="1028" t="s">
        <v>1335</v>
      </c>
      <c r="R485" s="1028" t="s">
        <v>1335</v>
      </c>
      <c r="S485" s="1028">
        <v>0</v>
      </c>
      <c r="T485" s="1028" t="s">
        <v>1335</v>
      </c>
      <c r="U485" s="1028" t="s">
        <v>1335</v>
      </c>
      <c r="V485" s="1029"/>
      <c r="W485" s="1029"/>
      <c r="X485" s="1028"/>
      <c r="Y485" s="1030" t="s">
        <v>1335</v>
      </c>
      <c r="Z485" s="1031"/>
      <c r="AA485" s="1067"/>
      <c r="AB485" s="1067"/>
      <c r="AC485" s="1067"/>
      <c r="AD485" s="1067"/>
      <c r="AE485" s="1067"/>
      <c r="AF485" s="1067"/>
      <c r="AG485" s="1067"/>
      <c r="AH485" s="1067"/>
      <c r="AI485" s="1067"/>
      <c r="AJ485" s="1067"/>
      <c r="AK485" s="1067"/>
      <c r="AL485" s="1067"/>
      <c r="AM485" s="1067"/>
      <c r="AN485" s="1067"/>
      <c r="AO485" s="1067"/>
      <c r="AP485" s="1067"/>
      <c r="AQ485" s="956">
        <f t="shared" si="88"/>
        <v>12</v>
      </c>
      <c r="AR485" s="956">
        <f t="shared" si="87"/>
        <v>1</v>
      </c>
      <c r="AS485" s="956">
        <f t="shared" si="89"/>
        <v>13</v>
      </c>
      <c r="AT485" s="982">
        <v>9</v>
      </c>
      <c r="AU485" s="981"/>
      <c r="AV485" s="981"/>
      <c r="AW485" s="981"/>
      <c r="AX485" s="1082"/>
      <c r="AY485" s="1082"/>
      <c r="AZ485" s="1083"/>
      <c r="BA485" s="1084"/>
      <c r="BB485" s="1084"/>
      <c r="BC485" s="1084"/>
      <c r="BD485" s="1084"/>
      <c r="BE485" s="1084"/>
      <c r="BF485" s="1093"/>
    </row>
    <row r="486" spans="1:58" s="945" customFormat="1" ht="20.100000000000001" customHeight="1">
      <c r="A486" s="1036"/>
      <c r="B486" s="1058">
        <v>11</v>
      </c>
      <c r="C486" s="1038">
        <v>461</v>
      </c>
      <c r="D486" s="1040"/>
      <c r="E486" s="1040"/>
      <c r="F486" s="1041"/>
      <c r="G486" s="1028" t="s">
        <v>1335</v>
      </c>
      <c r="H486" s="1028">
        <v>0</v>
      </c>
      <c r="I486" s="1028" t="s">
        <v>1335</v>
      </c>
      <c r="J486" s="1028" t="s">
        <v>1335</v>
      </c>
      <c r="K486" s="1028" t="s">
        <v>1335</v>
      </c>
      <c r="L486" s="958" t="s">
        <v>1335</v>
      </c>
      <c r="M486" s="1028" t="s">
        <v>1335</v>
      </c>
      <c r="N486" s="1028" t="s">
        <v>1335</v>
      </c>
      <c r="O486" s="1028" t="s">
        <v>1335</v>
      </c>
      <c r="P486" s="1028" t="s">
        <v>1335</v>
      </c>
      <c r="Q486" s="1028" t="s">
        <v>1335</v>
      </c>
      <c r="R486" s="1028" t="s">
        <v>1335</v>
      </c>
      <c r="S486" s="1028" t="s">
        <v>1335</v>
      </c>
      <c r="T486" s="1028" t="s">
        <v>1335</v>
      </c>
      <c r="U486" s="1028" t="s">
        <v>1335</v>
      </c>
      <c r="V486" s="1029"/>
      <c r="W486" s="1029"/>
      <c r="X486" s="1028"/>
      <c r="Y486" s="1030" t="s">
        <v>1335</v>
      </c>
      <c r="Z486" s="1031"/>
      <c r="AA486" s="1043"/>
      <c r="AB486" s="1043"/>
      <c r="AC486" s="1043"/>
      <c r="AD486" s="1043"/>
      <c r="AE486" s="1043"/>
      <c r="AF486" s="1043"/>
      <c r="AG486" s="1043"/>
      <c r="AH486" s="1043"/>
      <c r="AI486" s="1043"/>
      <c r="AJ486" s="1043"/>
      <c r="AK486" s="1043"/>
      <c r="AL486" s="1043"/>
      <c r="AM486" s="1043"/>
      <c r="AN486" s="1043"/>
      <c r="AO486" s="1043"/>
      <c r="AP486" s="1043"/>
      <c r="AQ486" s="956">
        <f t="shared" si="88"/>
        <v>14</v>
      </c>
      <c r="AR486" s="956">
        <f t="shared" si="87"/>
        <v>1</v>
      </c>
      <c r="AS486" s="956">
        <f t="shared" si="89"/>
        <v>15</v>
      </c>
      <c r="AT486" s="982">
        <v>10</v>
      </c>
      <c r="AU486" s="981"/>
      <c r="AV486" s="981"/>
      <c r="AW486" s="981"/>
      <c r="AX486" s="1045"/>
      <c r="AY486" s="1045"/>
      <c r="AZ486" s="1015"/>
      <c r="BA486" s="1016"/>
      <c r="BB486" s="1016"/>
      <c r="BC486" s="1016"/>
      <c r="BD486" s="1016"/>
      <c r="BE486" s="1016"/>
      <c r="BF486" s="1018"/>
    </row>
    <row r="487" spans="1:58" s="945" customFormat="1" ht="20.100000000000001" customHeight="1">
      <c r="A487" s="1036"/>
      <c r="B487" s="1058">
        <v>11</v>
      </c>
      <c r="C487" s="1038">
        <v>462</v>
      </c>
      <c r="D487" s="1040"/>
      <c r="E487" s="1040"/>
      <c r="F487" s="1041"/>
      <c r="G487" s="1028" t="s">
        <v>1335</v>
      </c>
      <c r="H487" s="1028" t="s">
        <v>1335</v>
      </c>
      <c r="I487" s="1028" t="s">
        <v>1335</v>
      </c>
      <c r="J487" s="1028"/>
      <c r="K487" s="1028">
        <v>0</v>
      </c>
      <c r="L487" s="958" t="s">
        <v>1335</v>
      </c>
      <c r="M487" s="1028" t="s">
        <v>1335</v>
      </c>
      <c r="N487" s="1028" t="s">
        <v>1335</v>
      </c>
      <c r="O487" s="1028" t="s">
        <v>1335</v>
      </c>
      <c r="P487" s="1028" t="s">
        <v>1335</v>
      </c>
      <c r="Q487" s="1028" t="s">
        <v>1335</v>
      </c>
      <c r="R487" s="1028" t="s">
        <v>1335</v>
      </c>
      <c r="S487" s="1028" t="s">
        <v>1335</v>
      </c>
      <c r="T487" s="1028" t="s">
        <v>1335</v>
      </c>
      <c r="U487" s="1028" t="s">
        <v>1335</v>
      </c>
      <c r="V487" s="1029"/>
      <c r="W487" s="1029"/>
      <c r="X487" s="1028"/>
      <c r="Y487" s="1030" t="s">
        <v>1335</v>
      </c>
      <c r="Z487" s="1031"/>
      <c r="AA487" s="1043"/>
      <c r="AB487" s="1043"/>
      <c r="AC487" s="1043"/>
      <c r="AD487" s="1043"/>
      <c r="AE487" s="1043"/>
      <c r="AF487" s="1043"/>
      <c r="AG487" s="1043"/>
      <c r="AH487" s="1043"/>
      <c r="AI487" s="1043"/>
      <c r="AJ487" s="1043"/>
      <c r="AK487" s="1043"/>
      <c r="AL487" s="1043"/>
      <c r="AM487" s="1043"/>
      <c r="AN487" s="1043"/>
      <c r="AO487" s="1043"/>
      <c r="AP487" s="1043"/>
      <c r="AQ487" s="956">
        <f t="shared" si="88"/>
        <v>13</v>
      </c>
      <c r="AR487" s="956">
        <f t="shared" si="87"/>
        <v>1</v>
      </c>
      <c r="AS487" s="956">
        <f t="shared" si="89"/>
        <v>14</v>
      </c>
      <c r="AT487" s="982">
        <v>11</v>
      </c>
      <c r="AU487" s="981"/>
      <c r="AV487" s="981"/>
      <c r="AW487" s="981"/>
      <c r="AX487" s="1045"/>
      <c r="AY487" s="1045"/>
      <c r="AZ487" s="1015"/>
      <c r="BA487" s="1016"/>
      <c r="BB487" s="1016"/>
      <c r="BC487" s="1016"/>
      <c r="BD487" s="1016"/>
      <c r="BE487" s="1016"/>
      <c r="BF487" s="1018"/>
    </row>
    <row r="488" spans="1:58" s="945" customFormat="1" ht="20.100000000000001" customHeight="1">
      <c r="A488" s="1036"/>
      <c r="B488" s="1058">
        <v>11</v>
      </c>
      <c r="C488" s="1038">
        <v>463</v>
      </c>
      <c r="D488" s="1040"/>
      <c r="E488" s="1040"/>
      <c r="F488" s="1041"/>
      <c r="G488" s="1028" t="s">
        <v>1335</v>
      </c>
      <c r="H488" s="1028">
        <v>0</v>
      </c>
      <c r="I488" s="1028" t="s">
        <v>1335</v>
      </c>
      <c r="J488" s="1028"/>
      <c r="K488" s="1028" t="s">
        <v>1335</v>
      </c>
      <c r="L488" s="958" t="s">
        <v>1335</v>
      </c>
      <c r="M488" s="1028" t="s">
        <v>1335</v>
      </c>
      <c r="N488" s="1028">
        <v>0</v>
      </c>
      <c r="O488" s="1028" t="s">
        <v>1335</v>
      </c>
      <c r="P488" s="1028" t="s">
        <v>1335</v>
      </c>
      <c r="Q488" s="1028" t="s">
        <v>1335</v>
      </c>
      <c r="R488" s="1028" t="s">
        <v>1335</v>
      </c>
      <c r="S488" s="1028" t="s">
        <v>1335</v>
      </c>
      <c r="T488" s="1028" t="s">
        <v>1335</v>
      </c>
      <c r="U488" s="1028" t="s">
        <v>1335</v>
      </c>
      <c r="V488" s="1029"/>
      <c r="W488" s="1029"/>
      <c r="X488" s="1028"/>
      <c r="Y488" s="1030">
        <v>0</v>
      </c>
      <c r="Z488" s="1031"/>
      <c r="AA488" s="1043"/>
      <c r="AB488" s="1043"/>
      <c r="AC488" s="1043"/>
      <c r="AD488" s="1043"/>
      <c r="AE488" s="1043"/>
      <c r="AF488" s="1043"/>
      <c r="AG488" s="1043"/>
      <c r="AH488" s="1043"/>
      <c r="AI488" s="1043"/>
      <c r="AJ488" s="1043"/>
      <c r="AK488" s="1043"/>
      <c r="AL488" s="1043"/>
      <c r="AM488" s="1043"/>
      <c r="AN488" s="1043"/>
      <c r="AO488" s="1043"/>
      <c r="AP488" s="1043"/>
      <c r="AQ488" s="956">
        <f t="shared" si="88"/>
        <v>12</v>
      </c>
      <c r="AR488" s="956">
        <f t="shared" si="87"/>
        <v>0</v>
      </c>
      <c r="AS488" s="956">
        <f t="shared" si="89"/>
        <v>12</v>
      </c>
      <c r="AT488" s="982">
        <v>10</v>
      </c>
      <c r="AU488" s="981"/>
      <c r="AV488" s="981"/>
      <c r="AW488" s="981"/>
      <c r="AX488" s="1045"/>
      <c r="AY488" s="1045"/>
      <c r="AZ488" s="1015"/>
      <c r="BA488" s="1016"/>
      <c r="BB488" s="1016"/>
      <c r="BC488" s="1016"/>
      <c r="BD488" s="1016"/>
      <c r="BE488" s="1016"/>
      <c r="BF488" s="1018"/>
    </row>
    <row r="489" spans="1:58" s="945" customFormat="1" ht="20.100000000000001" customHeight="1">
      <c r="A489" s="1036"/>
      <c r="B489" s="1058">
        <v>11</v>
      </c>
      <c r="C489" s="1038">
        <v>464</v>
      </c>
      <c r="D489" s="1040"/>
      <c r="E489" s="1040"/>
      <c r="F489" s="1041"/>
      <c r="G489" s="1028" t="s">
        <v>1335</v>
      </c>
      <c r="H489" s="1028" t="s">
        <v>1335</v>
      </c>
      <c r="I489" s="1028" t="s">
        <v>1335</v>
      </c>
      <c r="J489" s="1028"/>
      <c r="K489" s="1028" t="s">
        <v>1335</v>
      </c>
      <c r="L489" s="958" t="s">
        <v>1335</v>
      </c>
      <c r="M489" s="1028" t="s">
        <v>1335</v>
      </c>
      <c r="N489" s="1028" t="s">
        <v>1335</v>
      </c>
      <c r="O489" s="1028" t="s">
        <v>1335</v>
      </c>
      <c r="P489" s="1028" t="s">
        <v>1335</v>
      </c>
      <c r="Q489" s="1028" t="s">
        <v>1335</v>
      </c>
      <c r="R489" s="1028" t="s">
        <v>1335</v>
      </c>
      <c r="S489" s="1028" t="s">
        <v>1335</v>
      </c>
      <c r="T489" s="1028" t="s">
        <v>1335</v>
      </c>
      <c r="U489" s="1028" t="s">
        <v>1335</v>
      </c>
      <c r="V489" s="1029"/>
      <c r="W489" s="1029"/>
      <c r="X489" s="1028"/>
      <c r="Y489" s="1030" t="s">
        <v>1335</v>
      </c>
      <c r="Z489" s="1031"/>
      <c r="AA489" s="1043"/>
      <c r="AB489" s="1043"/>
      <c r="AC489" s="1043"/>
      <c r="AD489" s="1043"/>
      <c r="AE489" s="1043"/>
      <c r="AF489" s="1043"/>
      <c r="AG489" s="1043"/>
      <c r="AH489" s="1043"/>
      <c r="AI489" s="1043"/>
      <c r="AJ489" s="1043"/>
      <c r="AK489" s="1043"/>
      <c r="AL489" s="1043"/>
      <c r="AM489" s="1043"/>
      <c r="AN489" s="1043"/>
      <c r="AO489" s="1043"/>
      <c r="AP489" s="1043"/>
      <c r="AQ489" s="956">
        <f t="shared" si="88"/>
        <v>14</v>
      </c>
      <c r="AR489" s="956">
        <f t="shared" si="87"/>
        <v>1</v>
      </c>
      <c r="AS489" s="956">
        <f t="shared" si="89"/>
        <v>15</v>
      </c>
      <c r="AT489" s="982">
        <v>10</v>
      </c>
      <c r="AU489" s="981"/>
      <c r="AV489" s="981"/>
      <c r="AW489" s="981"/>
      <c r="AX489" s="1045"/>
      <c r="AY489" s="1045"/>
      <c r="AZ489" s="1015"/>
      <c r="BA489" s="1016"/>
      <c r="BB489" s="1016"/>
      <c r="BC489" s="1016"/>
      <c r="BD489" s="1016"/>
      <c r="BE489" s="1016"/>
      <c r="BF489" s="1018"/>
    </row>
    <row r="490" spans="1:58" s="945" customFormat="1" ht="20.100000000000001" customHeight="1">
      <c r="A490" s="1036"/>
      <c r="B490" s="1058">
        <v>11</v>
      </c>
      <c r="C490" s="1038">
        <v>465</v>
      </c>
      <c r="D490" s="1040"/>
      <c r="E490" s="1040"/>
      <c r="F490" s="1041"/>
      <c r="G490" s="1028" t="s">
        <v>1335</v>
      </c>
      <c r="H490" s="1028" t="s">
        <v>1335</v>
      </c>
      <c r="I490" s="1028" t="s">
        <v>1335</v>
      </c>
      <c r="J490" s="1028"/>
      <c r="K490" s="1028" t="s">
        <v>1335</v>
      </c>
      <c r="L490" s="958" t="s">
        <v>1335</v>
      </c>
      <c r="M490" s="1028" t="s">
        <v>1335</v>
      </c>
      <c r="N490" s="1028" t="s">
        <v>1335</v>
      </c>
      <c r="O490" s="1028" t="s">
        <v>1335</v>
      </c>
      <c r="P490" s="1028" t="s">
        <v>1335</v>
      </c>
      <c r="Q490" s="1028" t="s">
        <v>1335</v>
      </c>
      <c r="R490" s="1028" t="s">
        <v>1335</v>
      </c>
      <c r="S490" s="1028" t="s">
        <v>1335</v>
      </c>
      <c r="T490" s="1028" t="s">
        <v>1335</v>
      </c>
      <c r="U490" s="1028" t="s">
        <v>1335</v>
      </c>
      <c r="V490" s="1029"/>
      <c r="W490" s="1029"/>
      <c r="X490" s="1028"/>
      <c r="Y490" s="1030" t="s">
        <v>1335</v>
      </c>
      <c r="Z490" s="1031"/>
      <c r="AA490" s="1043"/>
      <c r="AB490" s="1043"/>
      <c r="AC490" s="1043"/>
      <c r="AD490" s="1043"/>
      <c r="AE490" s="1043"/>
      <c r="AF490" s="1043"/>
      <c r="AG490" s="1043"/>
      <c r="AH490" s="1043"/>
      <c r="AI490" s="1043"/>
      <c r="AJ490" s="1043"/>
      <c r="AK490" s="1043"/>
      <c r="AL490" s="1043"/>
      <c r="AM490" s="1043"/>
      <c r="AN490" s="1043"/>
      <c r="AO490" s="1043"/>
      <c r="AP490" s="1043"/>
      <c r="AQ490" s="956">
        <f t="shared" si="88"/>
        <v>14</v>
      </c>
      <c r="AR490" s="956">
        <f t="shared" si="87"/>
        <v>1</v>
      </c>
      <c r="AS490" s="956">
        <f t="shared" si="89"/>
        <v>15</v>
      </c>
      <c r="AT490" s="982">
        <v>11</v>
      </c>
      <c r="AU490" s="981"/>
      <c r="AV490" s="981"/>
      <c r="AW490" s="981"/>
      <c r="AX490" s="1045"/>
      <c r="AY490" s="1045"/>
      <c r="AZ490" s="1015"/>
      <c r="BA490" s="1016"/>
      <c r="BB490" s="1016"/>
      <c r="BC490" s="1016"/>
      <c r="BD490" s="1016"/>
      <c r="BE490" s="1016"/>
      <c r="BF490" s="1018"/>
    </row>
    <row r="491" spans="1:58" s="945" customFormat="1" ht="20.100000000000001" customHeight="1">
      <c r="A491" s="1036"/>
      <c r="B491" s="1058">
        <v>11</v>
      </c>
      <c r="C491" s="1038">
        <v>466</v>
      </c>
      <c r="D491" s="1040"/>
      <c r="E491" s="1040"/>
      <c r="F491" s="1041"/>
      <c r="G491" s="1028" t="s">
        <v>1335</v>
      </c>
      <c r="H491" s="1028" t="s">
        <v>1335</v>
      </c>
      <c r="I491" s="1028" t="s">
        <v>1335</v>
      </c>
      <c r="J491" s="1028"/>
      <c r="K491" s="1028" t="s">
        <v>1335</v>
      </c>
      <c r="L491" s="958" t="s">
        <v>1335</v>
      </c>
      <c r="M491" s="1028" t="s">
        <v>1335</v>
      </c>
      <c r="N491" s="1028">
        <v>0</v>
      </c>
      <c r="O491" s="1028" t="s">
        <v>1335</v>
      </c>
      <c r="P491" s="1028" t="s">
        <v>1335</v>
      </c>
      <c r="Q491" s="1028" t="s">
        <v>1335</v>
      </c>
      <c r="R491" s="1028" t="s">
        <v>1335</v>
      </c>
      <c r="S491" s="1028" t="s">
        <v>1335</v>
      </c>
      <c r="T491" s="1028" t="s">
        <v>1335</v>
      </c>
      <c r="U491" s="1028" t="s">
        <v>1335</v>
      </c>
      <c r="V491" s="1029"/>
      <c r="W491" s="1029"/>
      <c r="X491" s="1028"/>
      <c r="Y491" s="1030" t="s">
        <v>1335</v>
      </c>
      <c r="Z491" s="1031"/>
      <c r="AA491" s="1043"/>
      <c r="AB491" s="1043"/>
      <c r="AC491" s="1043"/>
      <c r="AD491" s="1043"/>
      <c r="AE491" s="1043"/>
      <c r="AF491" s="1043"/>
      <c r="AG491" s="1043"/>
      <c r="AH491" s="1043"/>
      <c r="AI491" s="1043"/>
      <c r="AJ491" s="1043"/>
      <c r="AK491" s="1043"/>
      <c r="AL491" s="1043"/>
      <c r="AM491" s="1043"/>
      <c r="AN491" s="1043"/>
      <c r="AO491" s="1043"/>
      <c r="AP491" s="1043"/>
      <c r="AQ491" s="956">
        <f t="shared" si="88"/>
        <v>13</v>
      </c>
      <c r="AR491" s="956">
        <f t="shared" si="87"/>
        <v>1</v>
      </c>
      <c r="AS491" s="956">
        <f t="shared" si="89"/>
        <v>14</v>
      </c>
      <c r="AT491" s="982">
        <v>10</v>
      </c>
      <c r="AU491" s="981"/>
      <c r="AV491" s="981"/>
      <c r="AW491" s="981"/>
      <c r="AX491" s="1045"/>
      <c r="AY491" s="1045"/>
      <c r="AZ491" s="1015"/>
      <c r="BA491" s="1016"/>
      <c r="BB491" s="1016"/>
      <c r="BC491" s="1016"/>
      <c r="BD491" s="1016"/>
      <c r="BE491" s="1016"/>
      <c r="BF491" s="1018"/>
    </row>
    <row r="492" spans="1:58" s="945" customFormat="1" ht="20.100000000000001" customHeight="1">
      <c r="A492" s="1036"/>
      <c r="B492" s="1058">
        <v>11</v>
      </c>
      <c r="C492" s="1038">
        <v>467</v>
      </c>
      <c r="D492" s="1040"/>
      <c r="E492" s="1040"/>
      <c r="F492" s="1041"/>
      <c r="G492" s="1028" t="s">
        <v>1335</v>
      </c>
      <c r="H492" s="1028" t="s">
        <v>1335</v>
      </c>
      <c r="I492" s="1028" t="s">
        <v>1335</v>
      </c>
      <c r="J492" s="1028"/>
      <c r="K492" s="1028">
        <v>0</v>
      </c>
      <c r="L492" s="958" t="s">
        <v>1335</v>
      </c>
      <c r="M492" s="1028" t="s">
        <v>1335</v>
      </c>
      <c r="N492" s="1028" t="s">
        <v>1335</v>
      </c>
      <c r="O492" s="1028" t="s">
        <v>1335</v>
      </c>
      <c r="P492" s="1028" t="s">
        <v>1335</v>
      </c>
      <c r="Q492" s="1028" t="s">
        <v>1335</v>
      </c>
      <c r="R492" s="1028" t="s">
        <v>1335</v>
      </c>
      <c r="S492" s="1028" t="s">
        <v>1335</v>
      </c>
      <c r="T492" s="1028" t="s">
        <v>1335</v>
      </c>
      <c r="U492" s="1028" t="s">
        <v>1335</v>
      </c>
      <c r="V492" s="1029"/>
      <c r="W492" s="1029"/>
      <c r="X492" s="1028"/>
      <c r="Y492" s="1030" t="s">
        <v>1335</v>
      </c>
      <c r="Z492" s="1031"/>
      <c r="AA492" s="1043"/>
      <c r="AB492" s="1043"/>
      <c r="AC492" s="1043"/>
      <c r="AD492" s="1043"/>
      <c r="AE492" s="1043"/>
      <c r="AF492" s="1043"/>
      <c r="AG492" s="1043"/>
      <c r="AH492" s="1043"/>
      <c r="AI492" s="1043"/>
      <c r="AJ492" s="1043"/>
      <c r="AK492" s="1043"/>
      <c r="AL492" s="1043"/>
      <c r="AM492" s="1043"/>
      <c r="AN492" s="1043"/>
      <c r="AO492" s="1043"/>
      <c r="AP492" s="1043"/>
      <c r="AQ492" s="956">
        <f t="shared" si="88"/>
        <v>13</v>
      </c>
      <c r="AR492" s="956">
        <f t="shared" si="87"/>
        <v>1</v>
      </c>
      <c r="AS492" s="956">
        <f t="shared" si="89"/>
        <v>14</v>
      </c>
      <c r="AT492" s="982">
        <v>10</v>
      </c>
      <c r="AU492" s="981"/>
      <c r="AV492" s="981"/>
      <c r="AW492" s="981"/>
      <c r="AX492" s="1045"/>
      <c r="AY492" s="1045"/>
      <c r="AZ492" s="1015"/>
      <c r="BA492" s="1016"/>
      <c r="BB492" s="1016"/>
      <c r="BC492" s="1016"/>
      <c r="BD492" s="1016"/>
      <c r="BE492" s="1016"/>
      <c r="BF492" s="1018"/>
    </row>
    <row r="493" spans="1:58" s="945" customFormat="1" ht="20.100000000000001" customHeight="1">
      <c r="A493" s="1036"/>
      <c r="B493" s="1058">
        <v>11</v>
      </c>
      <c r="C493" s="1038">
        <v>468</v>
      </c>
      <c r="D493" s="1040"/>
      <c r="E493" s="1040"/>
      <c r="F493" s="1041"/>
      <c r="G493" s="1028" t="s">
        <v>1335</v>
      </c>
      <c r="H493" s="1028" t="s">
        <v>1335</v>
      </c>
      <c r="I493" s="1028" t="s">
        <v>1335</v>
      </c>
      <c r="J493" s="1028"/>
      <c r="K493" s="1028" t="s">
        <v>1335</v>
      </c>
      <c r="L493" s="958" t="s">
        <v>1335</v>
      </c>
      <c r="M493" s="1028" t="s">
        <v>1335</v>
      </c>
      <c r="N493" s="1028" t="s">
        <v>1335</v>
      </c>
      <c r="O493" s="1028" t="s">
        <v>1335</v>
      </c>
      <c r="P493" s="1028" t="s">
        <v>1335</v>
      </c>
      <c r="Q493" s="1028" t="s">
        <v>1335</v>
      </c>
      <c r="R493" s="1028" t="s">
        <v>1335</v>
      </c>
      <c r="S493" s="1028" t="s">
        <v>1335</v>
      </c>
      <c r="T493" s="1028" t="s">
        <v>1335</v>
      </c>
      <c r="U493" s="1028" t="s">
        <v>1335</v>
      </c>
      <c r="V493" s="1029"/>
      <c r="W493" s="1029"/>
      <c r="X493" s="1028"/>
      <c r="Y493" s="1030" t="s">
        <v>1335</v>
      </c>
      <c r="Z493" s="1031"/>
      <c r="AA493" s="1043"/>
      <c r="AB493" s="1043"/>
      <c r="AC493" s="1043"/>
      <c r="AD493" s="1043"/>
      <c r="AE493" s="1043"/>
      <c r="AF493" s="1043"/>
      <c r="AG493" s="1043"/>
      <c r="AH493" s="1043"/>
      <c r="AI493" s="1043"/>
      <c r="AJ493" s="1043"/>
      <c r="AK493" s="1043"/>
      <c r="AL493" s="1043"/>
      <c r="AM493" s="1043"/>
      <c r="AN493" s="1043"/>
      <c r="AO493" s="1043"/>
      <c r="AP493" s="1043"/>
      <c r="AQ493" s="956">
        <f t="shared" si="88"/>
        <v>14</v>
      </c>
      <c r="AR493" s="956">
        <f t="shared" si="87"/>
        <v>1</v>
      </c>
      <c r="AS493" s="956">
        <f t="shared" si="89"/>
        <v>15</v>
      </c>
      <c r="AT493" s="982">
        <v>10</v>
      </c>
      <c r="AU493" s="981"/>
      <c r="AV493" s="981"/>
      <c r="AW493" s="981"/>
      <c r="AX493" s="1045"/>
      <c r="AY493" s="1045"/>
      <c r="AZ493" s="1015"/>
      <c r="BA493" s="1016"/>
      <c r="BB493" s="1016"/>
      <c r="BC493" s="1016"/>
      <c r="BD493" s="1016"/>
      <c r="BE493" s="1016"/>
      <c r="BF493" s="1018"/>
    </row>
    <row r="494" spans="1:58" s="948" customFormat="1" ht="20.100000000000001" customHeight="1">
      <c r="A494" s="1059"/>
      <c r="B494" s="1058">
        <v>11</v>
      </c>
      <c r="C494" s="1038">
        <v>469</v>
      </c>
      <c r="D494" s="1060"/>
      <c r="E494" s="1060"/>
      <c r="F494" s="1061"/>
      <c r="G494" s="1028" t="s">
        <v>1335</v>
      </c>
      <c r="H494" s="1028" t="s">
        <v>1335</v>
      </c>
      <c r="I494" s="1028" t="s">
        <v>1335</v>
      </c>
      <c r="J494" s="1028"/>
      <c r="K494" s="1028" t="s">
        <v>1335</v>
      </c>
      <c r="L494" s="958" t="s">
        <v>1335</v>
      </c>
      <c r="M494" s="1028" t="s">
        <v>1335</v>
      </c>
      <c r="N494" s="1028" t="s">
        <v>1335</v>
      </c>
      <c r="O494" s="1028" t="s">
        <v>1335</v>
      </c>
      <c r="P494" s="1028" t="s">
        <v>1335</v>
      </c>
      <c r="Q494" s="1028" t="s">
        <v>1335</v>
      </c>
      <c r="R494" s="1028" t="s">
        <v>1335</v>
      </c>
      <c r="S494" s="1028" t="s">
        <v>1335</v>
      </c>
      <c r="T494" s="1028" t="s">
        <v>1335</v>
      </c>
      <c r="U494" s="1028" t="s">
        <v>1335</v>
      </c>
      <c r="V494" s="1029"/>
      <c r="W494" s="1029"/>
      <c r="X494" s="1028"/>
      <c r="Y494" s="1030" t="s">
        <v>1335</v>
      </c>
      <c r="Z494" s="1031"/>
      <c r="AA494" s="1067"/>
      <c r="AB494" s="1067"/>
      <c r="AC494" s="1067"/>
      <c r="AD494" s="1067"/>
      <c r="AE494" s="1067"/>
      <c r="AF494" s="1067"/>
      <c r="AG494" s="1067"/>
      <c r="AH494" s="1067"/>
      <c r="AI494" s="1067"/>
      <c r="AJ494" s="1067"/>
      <c r="AK494" s="1067"/>
      <c r="AL494" s="1067"/>
      <c r="AM494" s="1067"/>
      <c r="AN494" s="1067"/>
      <c r="AO494" s="1067"/>
      <c r="AP494" s="1067"/>
      <c r="AQ494" s="956">
        <f t="shared" si="88"/>
        <v>14</v>
      </c>
      <c r="AR494" s="956">
        <f t="shared" si="87"/>
        <v>1</v>
      </c>
      <c r="AS494" s="956">
        <f t="shared" si="89"/>
        <v>15</v>
      </c>
      <c r="AT494" s="982">
        <v>8</v>
      </c>
      <c r="AU494" s="981"/>
      <c r="AV494" s="981"/>
      <c r="AW494" s="981"/>
      <c r="AX494" s="1082"/>
      <c r="AY494" s="1082"/>
      <c r="AZ494" s="1083"/>
      <c r="BA494" s="1084"/>
      <c r="BB494" s="1084"/>
      <c r="BC494" s="1084"/>
      <c r="BD494" s="1084"/>
      <c r="BE494" s="1084"/>
      <c r="BF494" s="1093"/>
    </row>
    <row r="495" spans="1:58" s="945" customFormat="1" ht="20.100000000000001" customHeight="1">
      <c r="A495" s="1036"/>
      <c r="B495" s="1058">
        <v>11</v>
      </c>
      <c r="C495" s="1038">
        <v>470</v>
      </c>
      <c r="D495" s="1040"/>
      <c r="E495" s="1040"/>
      <c r="F495" s="1041"/>
      <c r="G495" s="1028" t="s">
        <v>1335</v>
      </c>
      <c r="H495" s="1028" t="s">
        <v>1335</v>
      </c>
      <c r="I495" s="1028" t="s">
        <v>1335</v>
      </c>
      <c r="J495" s="1028"/>
      <c r="K495" s="1028">
        <v>0</v>
      </c>
      <c r="L495" s="958" t="s">
        <v>1335</v>
      </c>
      <c r="M495" s="1028" t="s">
        <v>1335</v>
      </c>
      <c r="N495" s="1028" t="s">
        <v>1335</v>
      </c>
      <c r="O495" s="1028" t="s">
        <v>1335</v>
      </c>
      <c r="P495" s="1028" t="s">
        <v>1335</v>
      </c>
      <c r="Q495" s="1028" t="s">
        <v>1335</v>
      </c>
      <c r="R495" s="1028" t="s">
        <v>1335</v>
      </c>
      <c r="S495" s="1028" t="s">
        <v>1335</v>
      </c>
      <c r="T495" s="1028" t="s">
        <v>1335</v>
      </c>
      <c r="U495" s="1028" t="s">
        <v>1335</v>
      </c>
      <c r="V495" s="1029"/>
      <c r="W495" s="1029"/>
      <c r="X495" s="1028"/>
      <c r="Y495" s="1030" t="s">
        <v>1335</v>
      </c>
      <c r="Z495" s="1031"/>
      <c r="AA495" s="1043"/>
      <c r="AB495" s="1043"/>
      <c r="AC495" s="1043"/>
      <c r="AD495" s="1043"/>
      <c r="AE495" s="1043"/>
      <c r="AF495" s="1043"/>
      <c r="AG495" s="1043"/>
      <c r="AH495" s="1043"/>
      <c r="AI495" s="1043"/>
      <c r="AJ495" s="1043"/>
      <c r="AK495" s="1043"/>
      <c r="AL495" s="1043"/>
      <c r="AM495" s="1043"/>
      <c r="AN495" s="1043"/>
      <c r="AO495" s="1043"/>
      <c r="AP495" s="1043"/>
      <c r="AQ495" s="956">
        <f t="shared" si="88"/>
        <v>13</v>
      </c>
      <c r="AR495" s="956">
        <f t="shared" si="87"/>
        <v>1</v>
      </c>
      <c r="AS495" s="956">
        <f t="shared" si="89"/>
        <v>14</v>
      </c>
      <c r="AT495" s="982">
        <v>9</v>
      </c>
      <c r="AU495" s="981"/>
      <c r="AV495" s="981"/>
      <c r="AW495" s="981"/>
      <c r="AX495" s="1045"/>
      <c r="AY495" s="1045"/>
      <c r="AZ495" s="1015"/>
      <c r="BA495" s="1016"/>
      <c r="BB495" s="1016"/>
      <c r="BC495" s="1016"/>
      <c r="BD495" s="1016"/>
      <c r="BE495" s="1016"/>
      <c r="BF495" s="1018"/>
    </row>
    <row r="496" spans="1:58" s="945" customFormat="1" ht="20.100000000000001" customHeight="1">
      <c r="A496" s="1036"/>
      <c r="B496" s="1058">
        <v>11</v>
      </c>
      <c r="C496" s="1038">
        <v>471</v>
      </c>
      <c r="D496" s="1040"/>
      <c r="E496" s="1040"/>
      <c r="F496" s="1041"/>
      <c r="G496" s="1028">
        <v>0</v>
      </c>
      <c r="H496" s="1028" t="s">
        <v>1335</v>
      </c>
      <c r="I496" s="1028" t="s">
        <v>1335</v>
      </c>
      <c r="J496" s="1028"/>
      <c r="K496" s="1028" t="s">
        <v>1335</v>
      </c>
      <c r="L496" s="958" t="s">
        <v>1335</v>
      </c>
      <c r="M496" s="1028">
        <v>0</v>
      </c>
      <c r="N496" s="1028" t="s">
        <v>1335</v>
      </c>
      <c r="O496" s="1028" t="s">
        <v>1335</v>
      </c>
      <c r="P496" s="1028" t="s">
        <v>1335</v>
      </c>
      <c r="Q496" s="1028" t="s">
        <v>1335</v>
      </c>
      <c r="R496" s="1028" t="s">
        <v>1335</v>
      </c>
      <c r="S496" s="1028" t="s">
        <v>1335</v>
      </c>
      <c r="T496" s="1028" t="s">
        <v>1335</v>
      </c>
      <c r="U496" s="1028" t="s">
        <v>1335</v>
      </c>
      <c r="V496" s="1029"/>
      <c r="W496" s="1029"/>
      <c r="X496" s="1028"/>
      <c r="Y496" s="1030" t="s">
        <v>1335</v>
      </c>
      <c r="Z496" s="1031"/>
      <c r="AA496" s="1043"/>
      <c r="AB496" s="1043"/>
      <c r="AC496" s="1043"/>
      <c r="AD496" s="1043"/>
      <c r="AE496" s="1043"/>
      <c r="AF496" s="1043"/>
      <c r="AG496" s="1043"/>
      <c r="AH496" s="1043"/>
      <c r="AI496" s="1043"/>
      <c r="AJ496" s="1043"/>
      <c r="AK496" s="1043"/>
      <c r="AL496" s="1043"/>
      <c r="AM496" s="1043"/>
      <c r="AN496" s="1043"/>
      <c r="AO496" s="1043"/>
      <c r="AP496" s="1043"/>
      <c r="AQ496" s="956">
        <f t="shared" si="88"/>
        <v>12</v>
      </c>
      <c r="AR496" s="956">
        <f t="shared" si="87"/>
        <v>1</v>
      </c>
      <c r="AS496" s="956">
        <f t="shared" si="89"/>
        <v>13</v>
      </c>
      <c r="AT496" s="982">
        <v>9</v>
      </c>
      <c r="AU496" s="981"/>
      <c r="AV496" s="981"/>
      <c r="AW496" s="981"/>
      <c r="AX496" s="1045"/>
      <c r="AY496" s="1045"/>
      <c r="AZ496" s="1015"/>
      <c r="BA496" s="1016"/>
      <c r="BB496" s="1016"/>
      <c r="BC496" s="1016"/>
      <c r="BD496" s="1016"/>
      <c r="BE496" s="1016"/>
      <c r="BF496" s="1018"/>
    </row>
    <row r="497" spans="1:58" s="945" customFormat="1" ht="20.100000000000001" customHeight="1">
      <c r="A497" s="1036"/>
      <c r="B497" s="1058">
        <v>11</v>
      </c>
      <c r="C497" s="1038">
        <v>472</v>
      </c>
      <c r="D497" s="1040"/>
      <c r="E497" s="1040"/>
      <c r="F497" s="1041"/>
      <c r="G497" s="1028">
        <v>0</v>
      </c>
      <c r="H497" s="1028" t="s">
        <v>1335</v>
      </c>
      <c r="I497" s="1028" t="s">
        <v>1335</v>
      </c>
      <c r="J497" s="1028"/>
      <c r="K497" s="1028" t="s">
        <v>1335</v>
      </c>
      <c r="L497" s="958" t="s">
        <v>1335</v>
      </c>
      <c r="M497" s="1028">
        <v>0</v>
      </c>
      <c r="N497" s="1028" t="s">
        <v>1335</v>
      </c>
      <c r="O497" s="1028" t="s">
        <v>1335</v>
      </c>
      <c r="P497" s="1028" t="s">
        <v>1335</v>
      </c>
      <c r="Q497" s="1028" t="s">
        <v>1335</v>
      </c>
      <c r="R497" s="1028" t="s">
        <v>1335</v>
      </c>
      <c r="S497" s="1028" t="s">
        <v>1335</v>
      </c>
      <c r="T497" s="1028" t="s">
        <v>1335</v>
      </c>
      <c r="U497" s="1028" t="s">
        <v>1335</v>
      </c>
      <c r="V497" s="1029"/>
      <c r="W497" s="1029"/>
      <c r="X497" s="1028"/>
      <c r="Y497" s="1030" t="s">
        <v>1335</v>
      </c>
      <c r="Z497" s="1031"/>
      <c r="AA497" s="1043"/>
      <c r="AB497" s="1043"/>
      <c r="AC497" s="1043"/>
      <c r="AD497" s="1043"/>
      <c r="AE497" s="1043"/>
      <c r="AF497" s="1043"/>
      <c r="AG497" s="1043"/>
      <c r="AH497" s="1043"/>
      <c r="AI497" s="1043"/>
      <c r="AJ497" s="1043"/>
      <c r="AK497" s="1043"/>
      <c r="AL497" s="1043"/>
      <c r="AM497" s="1043"/>
      <c r="AN497" s="1043"/>
      <c r="AO497" s="1043"/>
      <c r="AP497" s="1043"/>
      <c r="AQ497" s="956">
        <f t="shared" si="88"/>
        <v>12</v>
      </c>
      <c r="AR497" s="956">
        <f t="shared" si="87"/>
        <v>1</v>
      </c>
      <c r="AS497" s="956">
        <f t="shared" si="89"/>
        <v>13</v>
      </c>
      <c r="AT497" s="982">
        <v>9</v>
      </c>
      <c r="AU497" s="981"/>
      <c r="AV497" s="981"/>
      <c r="AW497" s="981"/>
      <c r="AX497" s="1045"/>
      <c r="AY497" s="1045"/>
      <c r="AZ497" s="1015"/>
      <c r="BA497" s="1016"/>
      <c r="BB497" s="1016"/>
      <c r="BC497" s="1016"/>
      <c r="BD497" s="1016"/>
      <c r="BE497" s="1016"/>
      <c r="BF497" s="1018"/>
    </row>
    <row r="498" spans="1:58" s="945" customFormat="1" ht="30" customHeight="1">
      <c r="A498" s="1036"/>
      <c r="B498" s="1039"/>
      <c r="C498" s="1062"/>
      <c r="D498" s="1040"/>
      <c r="E498" s="1040"/>
      <c r="F498" s="1041"/>
      <c r="G498" s="998">
        <f>COUNTIF(G402:G497,"x")</f>
        <v>61</v>
      </c>
      <c r="H498" s="998">
        <f t="shared" ref="H498:AP498" si="90">COUNTIF(H402:H497,"x")</f>
        <v>90</v>
      </c>
      <c r="I498" s="998">
        <f t="shared" si="90"/>
        <v>91</v>
      </c>
      <c r="J498" s="998">
        <f t="shared" si="90"/>
        <v>4</v>
      </c>
      <c r="K498" s="998">
        <f t="shared" si="90"/>
        <v>66</v>
      </c>
      <c r="L498" s="998">
        <f t="shared" si="90"/>
        <v>95</v>
      </c>
      <c r="M498" s="998">
        <f t="shared" si="90"/>
        <v>87</v>
      </c>
      <c r="N498" s="998">
        <f t="shared" si="90"/>
        <v>89</v>
      </c>
      <c r="O498" s="998">
        <f t="shared" si="90"/>
        <v>92</v>
      </c>
      <c r="P498" s="998">
        <f t="shared" si="90"/>
        <v>93</v>
      </c>
      <c r="Q498" s="998">
        <f t="shared" si="90"/>
        <v>91</v>
      </c>
      <c r="R498" s="998">
        <f t="shared" si="90"/>
        <v>94</v>
      </c>
      <c r="S498" s="998">
        <f t="shared" si="90"/>
        <v>92</v>
      </c>
      <c r="T498" s="998">
        <f t="shared" si="90"/>
        <v>93</v>
      </c>
      <c r="U498" s="998">
        <f t="shared" si="90"/>
        <v>88</v>
      </c>
      <c r="V498" s="998">
        <f t="shared" si="90"/>
        <v>0</v>
      </c>
      <c r="W498" s="998">
        <f t="shared" si="90"/>
        <v>0</v>
      </c>
      <c r="X498" s="998">
        <f t="shared" si="90"/>
        <v>0</v>
      </c>
      <c r="Y498" s="998">
        <f t="shared" si="90"/>
        <v>48</v>
      </c>
      <c r="Z498" s="998">
        <f t="shared" si="90"/>
        <v>0</v>
      </c>
      <c r="AA498" s="998">
        <f t="shared" si="90"/>
        <v>0</v>
      </c>
      <c r="AB498" s="998">
        <f t="shared" si="90"/>
        <v>0</v>
      </c>
      <c r="AC498" s="998">
        <f t="shared" si="90"/>
        <v>0</v>
      </c>
      <c r="AD498" s="998">
        <f t="shared" si="90"/>
        <v>0</v>
      </c>
      <c r="AE498" s="998">
        <f t="shared" si="90"/>
        <v>0</v>
      </c>
      <c r="AF498" s="998">
        <f t="shared" si="90"/>
        <v>0</v>
      </c>
      <c r="AG498" s="998">
        <f t="shared" si="90"/>
        <v>0</v>
      </c>
      <c r="AH498" s="998">
        <f t="shared" si="90"/>
        <v>0</v>
      </c>
      <c r="AI498" s="998">
        <f t="shared" si="90"/>
        <v>0</v>
      </c>
      <c r="AJ498" s="998">
        <f t="shared" si="90"/>
        <v>0</v>
      </c>
      <c r="AK498" s="998">
        <f t="shared" si="90"/>
        <v>0</v>
      </c>
      <c r="AL498" s="998">
        <f t="shared" si="90"/>
        <v>0</v>
      </c>
      <c r="AM498" s="998">
        <f t="shared" si="90"/>
        <v>0</v>
      </c>
      <c r="AN498" s="998">
        <f t="shared" si="90"/>
        <v>0</v>
      </c>
      <c r="AO498" s="998">
        <f t="shared" si="90"/>
        <v>0</v>
      </c>
      <c r="AP498" s="998">
        <f t="shared" si="90"/>
        <v>0</v>
      </c>
      <c r="AQ498" s="1052">
        <f>SUM(AQ402:AQ497)</f>
        <v>1226</v>
      </c>
      <c r="AR498" s="1052">
        <f t="shared" ref="AR498:AW498" si="91">SUM(AR402:AR497)</f>
        <v>48</v>
      </c>
      <c r="AS498" s="1052">
        <f t="shared" si="91"/>
        <v>1274</v>
      </c>
      <c r="AT498" s="1052">
        <f t="shared" si="91"/>
        <v>923</v>
      </c>
      <c r="AU498" s="1052">
        <f t="shared" si="91"/>
        <v>0</v>
      </c>
      <c r="AV498" s="1052">
        <f t="shared" si="91"/>
        <v>0</v>
      </c>
      <c r="AW498" s="1052">
        <f t="shared" si="91"/>
        <v>0</v>
      </c>
      <c r="AX498" s="1085">
        <f>SUM(AX453:AX497)</f>
        <v>0</v>
      </c>
      <c r="AY498" s="1085">
        <f>SUM(AY453:AY497)</f>
        <v>0</v>
      </c>
      <c r="AZ498" s="1085">
        <f>SUM(AZ453:AZ497)</f>
        <v>0</v>
      </c>
      <c r="BA498" s="1016"/>
      <c r="BB498" s="1016"/>
      <c r="BC498" s="1016"/>
      <c r="BD498" s="1016"/>
      <c r="BE498" s="1016"/>
      <c r="BF498" s="1018"/>
    </row>
    <row r="499" spans="1:58" s="945" customFormat="1" ht="20.100000000000001" customHeight="1">
      <c r="A499" s="1046"/>
      <c r="B499" s="1039"/>
      <c r="C499" s="1063"/>
      <c r="D499" s="1047"/>
      <c r="E499" s="1047"/>
      <c r="F499" s="1048"/>
      <c r="G499" s="998">
        <f>96-G498</f>
        <v>35</v>
      </c>
      <c r="H499" s="998">
        <f>96-H498</f>
        <v>6</v>
      </c>
      <c r="I499" s="998">
        <f t="shared" ref="I499:AP499" si="92">96-I498</f>
        <v>5</v>
      </c>
      <c r="J499" s="998">
        <f t="shared" si="92"/>
        <v>92</v>
      </c>
      <c r="K499" s="998">
        <f t="shared" si="92"/>
        <v>30</v>
      </c>
      <c r="L499" s="998">
        <f t="shared" si="92"/>
        <v>1</v>
      </c>
      <c r="M499" s="998">
        <f t="shared" si="92"/>
        <v>9</v>
      </c>
      <c r="N499" s="998">
        <f t="shared" si="92"/>
        <v>7</v>
      </c>
      <c r="O499" s="998">
        <f t="shared" si="92"/>
        <v>4</v>
      </c>
      <c r="P499" s="998">
        <f t="shared" si="92"/>
        <v>3</v>
      </c>
      <c r="Q499" s="998">
        <f t="shared" si="92"/>
        <v>5</v>
      </c>
      <c r="R499" s="998">
        <f t="shared" si="92"/>
        <v>2</v>
      </c>
      <c r="S499" s="998">
        <f t="shared" si="92"/>
        <v>4</v>
      </c>
      <c r="T499" s="998">
        <f t="shared" si="92"/>
        <v>3</v>
      </c>
      <c r="U499" s="998">
        <f t="shared" si="92"/>
        <v>8</v>
      </c>
      <c r="V499" s="998">
        <f t="shared" si="92"/>
        <v>96</v>
      </c>
      <c r="W499" s="998">
        <f t="shared" si="92"/>
        <v>96</v>
      </c>
      <c r="X499" s="998">
        <f t="shared" si="92"/>
        <v>96</v>
      </c>
      <c r="Y499" s="998">
        <f t="shared" si="92"/>
        <v>48</v>
      </c>
      <c r="Z499" s="998">
        <f t="shared" si="92"/>
        <v>96</v>
      </c>
      <c r="AA499" s="998">
        <f t="shared" si="92"/>
        <v>96</v>
      </c>
      <c r="AB499" s="998">
        <f t="shared" si="92"/>
        <v>96</v>
      </c>
      <c r="AC499" s="998">
        <f t="shared" si="92"/>
        <v>96</v>
      </c>
      <c r="AD499" s="998">
        <f t="shared" si="92"/>
        <v>96</v>
      </c>
      <c r="AE499" s="998">
        <f t="shared" si="92"/>
        <v>96</v>
      </c>
      <c r="AF499" s="998">
        <f t="shared" si="92"/>
        <v>96</v>
      </c>
      <c r="AG499" s="998">
        <f t="shared" si="92"/>
        <v>96</v>
      </c>
      <c r="AH499" s="998">
        <f t="shared" si="92"/>
        <v>96</v>
      </c>
      <c r="AI499" s="998">
        <f t="shared" si="92"/>
        <v>96</v>
      </c>
      <c r="AJ499" s="998">
        <f t="shared" si="92"/>
        <v>96</v>
      </c>
      <c r="AK499" s="998">
        <f t="shared" si="92"/>
        <v>96</v>
      </c>
      <c r="AL499" s="998">
        <f t="shared" si="92"/>
        <v>96</v>
      </c>
      <c r="AM499" s="998">
        <f t="shared" si="92"/>
        <v>96</v>
      </c>
      <c r="AN499" s="998">
        <f t="shared" si="92"/>
        <v>96</v>
      </c>
      <c r="AO499" s="998">
        <f t="shared" si="92"/>
        <v>96</v>
      </c>
      <c r="AP499" s="998">
        <f t="shared" si="92"/>
        <v>96</v>
      </c>
      <c r="AQ499" s="998"/>
      <c r="AR499" s="998"/>
      <c r="AS499" s="998"/>
      <c r="AT499" s="998"/>
      <c r="AU499" s="981"/>
      <c r="AV499" s="981"/>
      <c r="AW499" s="981"/>
      <c r="AX499" s="1045"/>
      <c r="AY499" s="1045"/>
      <c r="AZ499" s="1015"/>
      <c r="BA499" s="1016"/>
      <c r="BB499" s="1016"/>
      <c r="BC499" s="1016"/>
      <c r="BD499" s="1016"/>
      <c r="BE499" s="1016"/>
      <c r="BF499" s="1018"/>
    </row>
    <row r="500" spans="1:58" s="790" customFormat="1" ht="42" customHeight="1">
      <c r="A500" s="1312" t="s">
        <v>1339</v>
      </c>
      <c r="B500" s="1313"/>
      <c r="C500" s="1313"/>
      <c r="D500" s="1313"/>
      <c r="E500" s="1313"/>
      <c r="F500" s="1314"/>
      <c r="G500" s="1044">
        <f t="shared" ref="G500:Z500" si="93">COUNTIF(G8:G497,"X")</f>
        <v>341</v>
      </c>
      <c r="H500" s="1044">
        <f t="shared" si="93"/>
        <v>443</v>
      </c>
      <c r="I500" s="1044">
        <f t="shared" si="93"/>
        <v>444</v>
      </c>
      <c r="J500" s="1044">
        <f t="shared" si="93"/>
        <v>83</v>
      </c>
      <c r="K500" s="1044">
        <f t="shared" si="93"/>
        <v>352</v>
      </c>
      <c r="L500" s="1044">
        <f t="shared" si="93"/>
        <v>443</v>
      </c>
      <c r="M500" s="1044">
        <f t="shared" si="93"/>
        <v>419</v>
      </c>
      <c r="N500" s="1044">
        <f t="shared" si="93"/>
        <v>447</v>
      </c>
      <c r="O500" s="1044">
        <f t="shared" si="93"/>
        <v>456</v>
      </c>
      <c r="P500" s="1044">
        <f t="shared" si="93"/>
        <v>451</v>
      </c>
      <c r="Q500" s="956">
        <f t="shared" si="93"/>
        <v>454</v>
      </c>
      <c r="R500" s="956">
        <f t="shared" si="93"/>
        <v>467</v>
      </c>
      <c r="S500" s="966">
        <f t="shared" si="93"/>
        <v>465</v>
      </c>
      <c r="T500" s="966">
        <f t="shared" si="93"/>
        <v>467</v>
      </c>
      <c r="U500" s="966">
        <f t="shared" si="93"/>
        <v>462</v>
      </c>
      <c r="V500" s="966">
        <f t="shared" si="93"/>
        <v>123</v>
      </c>
      <c r="W500" s="966">
        <f t="shared" si="93"/>
        <v>141</v>
      </c>
      <c r="X500" s="966">
        <f t="shared" si="93"/>
        <v>52</v>
      </c>
      <c r="Y500" s="966">
        <f t="shared" si="93"/>
        <v>48</v>
      </c>
      <c r="Z500" s="966">
        <f t="shared" si="93"/>
        <v>0</v>
      </c>
      <c r="AA500" s="966">
        <f t="shared" ref="AA500:AP500" si="94">COUNTIF(AA8:AA399,"X")</f>
        <v>0</v>
      </c>
      <c r="AB500" s="966">
        <f t="shared" si="94"/>
        <v>0</v>
      </c>
      <c r="AC500" s="966">
        <f t="shared" si="94"/>
        <v>0</v>
      </c>
      <c r="AD500" s="966">
        <f t="shared" si="94"/>
        <v>0</v>
      </c>
      <c r="AE500" s="966">
        <f t="shared" si="94"/>
        <v>0</v>
      </c>
      <c r="AF500" s="966">
        <f t="shared" si="94"/>
        <v>0</v>
      </c>
      <c r="AG500" s="966">
        <f t="shared" si="94"/>
        <v>0</v>
      </c>
      <c r="AH500" s="966">
        <f t="shared" si="94"/>
        <v>0</v>
      </c>
      <c r="AI500" s="966">
        <f t="shared" si="94"/>
        <v>0</v>
      </c>
      <c r="AJ500" s="966">
        <f t="shared" si="94"/>
        <v>0</v>
      </c>
      <c r="AK500" s="966">
        <f t="shared" si="94"/>
        <v>0</v>
      </c>
      <c r="AL500" s="966">
        <f t="shared" si="94"/>
        <v>0</v>
      </c>
      <c r="AM500" s="966">
        <f t="shared" si="94"/>
        <v>0</v>
      </c>
      <c r="AN500" s="966">
        <f t="shared" si="94"/>
        <v>0</v>
      </c>
      <c r="AO500" s="966">
        <f t="shared" si="94"/>
        <v>0</v>
      </c>
      <c r="AP500" s="966">
        <f t="shared" si="94"/>
        <v>0</v>
      </c>
      <c r="AQ500" s="1070">
        <f t="shared" ref="AQ500:AW500" si="95">AQ498+AQ400+AQ314+AQ175</f>
        <v>6194</v>
      </c>
      <c r="AR500" s="1070">
        <f t="shared" si="95"/>
        <v>364</v>
      </c>
      <c r="AS500" s="1070">
        <f t="shared" si="95"/>
        <v>6558</v>
      </c>
      <c r="AT500" s="1070">
        <f t="shared" si="95"/>
        <v>4510</v>
      </c>
      <c r="AU500" s="1070">
        <f t="shared" si="95"/>
        <v>0</v>
      </c>
      <c r="AV500" s="1070">
        <f t="shared" si="95"/>
        <v>0</v>
      </c>
      <c r="AW500" s="1070">
        <f t="shared" si="95"/>
        <v>0</v>
      </c>
      <c r="AX500" s="1086"/>
      <c r="AY500" s="1086"/>
      <c r="AZ500" s="1087"/>
      <c r="BA500" s="1088" t="e">
        <f>SUM(BA8:BA314)</f>
        <v>#N/A</v>
      </c>
      <c r="BB500" s="1088" t="e">
        <f>SUM(BB8:BB314)</f>
        <v>#N/A</v>
      </c>
      <c r="BC500" s="1088" t="e">
        <f>SUM(BC8:BC314)</f>
        <v>#N/A</v>
      </c>
      <c r="BD500" s="1088" t="e">
        <f>SUM(BD8:BD314)</f>
        <v>#N/A</v>
      </c>
      <c r="BE500" s="1088" t="e">
        <f>SUM(BE8:BE314)</f>
        <v>#N/A</v>
      </c>
      <c r="BF500" s="871"/>
    </row>
    <row r="501" spans="1:58">
      <c r="A501" s="790" t="s">
        <v>1340</v>
      </c>
      <c r="B501" s="792"/>
      <c r="G501" s="1064">
        <f>G503-G500</f>
        <v>143</v>
      </c>
      <c r="H501" s="1064">
        <f>H503-H500</f>
        <v>41</v>
      </c>
      <c r="I501" s="1064">
        <f t="shared" ref="I501:Z501" si="96">I503-I500</f>
        <v>40</v>
      </c>
      <c r="J501" s="1064">
        <f t="shared" si="96"/>
        <v>401</v>
      </c>
      <c r="K501" s="1064">
        <f t="shared" si="96"/>
        <v>132</v>
      </c>
      <c r="L501" s="1064">
        <f t="shared" si="96"/>
        <v>41</v>
      </c>
      <c r="M501" s="1064">
        <f t="shared" si="96"/>
        <v>65</v>
      </c>
      <c r="N501" s="1064">
        <f t="shared" si="96"/>
        <v>37</v>
      </c>
      <c r="O501" s="1064">
        <f t="shared" si="96"/>
        <v>28</v>
      </c>
      <c r="P501" s="1064">
        <f t="shared" si="96"/>
        <v>33</v>
      </c>
      <c r="Q501" s="1064">
        <f t="shared" si="96"/>
        <v>30</v>
      </c>
      <c r="R501" s="1064">
        <f t="shared" si="96"/>
        <v>17</v>
      </c>
      <c r="S501" s="1064">
        <f t="shared" si="96"/>
        <v>19</v>
      </c>
      <c r="T501" s="1064">
        <f t="shared" si="96"/>
        <v>17</v>
      </c>
      <c r="U501" s="1064">
        <f t="shared" si="96"/>
        <v>22</v>
      </c>
      <c r="V501" s="1064">
        <f t="shared" si="96"/>
        <v>361</v>
      </c>
      <c r="W501" s="1064">
        <f t="shared" si="96"/>
        <v>343</v>
      </c>
      <c r="X501" s="1064">
        <f t="shared" si="96"/>
        <v>432</v>
      </c>
      <c r="Y501" s="1064">
        <f t="shared" si="96"/>
        <v>436</v>
      </c>
      <c r="Z501" s="1064">
        <f t="shared" si="96"/>
        <v>0</v>
      </c>
      <c r="AA501" s="1068">
        <f t="shared" ref="AA501:AP501" si="97">$G$503-AA500</f>
        <v>484</v>
      </c>
      <c r="AB501" s="1068">
        <f t="shared" si="97"/>
        <v>484</v>
      </c>
      <c r="AC501" s="1068">
        <f t="shared" si="97"/>
        <v>484</v>
      </c>
      <c r="AD501" s="1068">
        <f t="shared" si="97"/>
        <v>484</v>
      </c>
      <c r="AE501" s="1068">
        <f t="shared" si="97"/>
        <v>484</v>
      </c>
      <c r="AF501" s="1068">
        <f t="shared" si="97"/>
        <v>484</v>
      </c>
      <c r="AG501" s="1068">
        <f t="shared" si="97"/>
        <v>484</v>
      </c>
      <c r="AH501" s="1068">
        <f t="shared" si="97"/>
        <v>484</v>
      </c>
      <c r="AI501" s="1068">
        <f t="shared" si="97"/>
        <v>484</v>
      </c>
      <c r="AJ501" s="1068">
        <f t="shared" si="97"/>
        <v>484</v>
      </c>
      <c r="AK501" s="1068">
        <f t="shared" si="97"/>
        <v>484</v>
      </c>
      <c r="AL501" s="1068">
        <f t="shared" si="97"/>
        <v>484</v>
      </c>
      <c r="AM501" s="1068">
        <f t="shared" si="97"/>
        <v>484</v>
      </c>
      <c r="AN501" s="1068">
        <f t="shared" si="97"/>
        <v>484</v>
      </c>
      <c r="AO501" s="1068">
        <f t="shared" si="97"/>
        <v>484</v>
      </c>
      <c r="AP501" s="1068">
        <f t="shared" si="97"/>
        <v>484</v>
      </c>
      <c r="AQ501" s="1071">
        <f>AQ500*16000</f>
        <v>99104000</v>
      </c>
      <c r="AR501" s="1072">
        <f>AR500*17000</f>
        <v>6188000</v>
      </c>
      <c r="AV501" s="862">
        <f>AV500*25500</f>
        <v>0</v>
      </c>
      <c r="AW501" s="864">
        <f>AW500*AW5</f>
        <v>0</v>
      </c>
      <c r="AX501" s="862"/>
      <c r="BF501" s="871"/>
    </row>
    <row r="502" spans="1:58">
      <c r="A502" s="798" t="s">
        <v>1341</v>
      </c>
      <c r="J502" s="1065"/>
      <c r="N502" s="1066"/>
      <c r="O502" s="1066"/>
      <c r="P502" s="1066"/>
      <c r="Q502" s="1066"/>
      <c r="R502" s="1066"/>
      <c r="S502" s="1066"/>
      <c r="T502" s="1066"/>
      <c r="U502" s="1066"/>
      <c r="V502" s="1315" t="s">
        <v>1313</v>
      </c>
      <c r="W502" s="1315"/>
      <c r="X502" s="1315"/>
      <c r="Y502" s="1315"/>
      <c r="Z502" s="1069"/>
      <c r="AQ502" s="1072">
        <f>AQ500*1000</f>
        <v>6194000</v>
      </c>
      <c r="AV502" s="862">
        <f>AV501/30456</f>
        <v>0</v>
      </c>
      <c r="AW502" s="1089">
        <f>AW501/30456</f>
        <v>0</v>
      </c>
      <c r="AX502" s="1089">
        <f>AV502+AW502</f>
        <v>0</v>
      </c>
      <c r="BF502" s="871"/>
    </row>
    <row r="503" spans="1:58">
      <c r="B503" s="1316" t="s">
        <v>1342</v>
      </c>
      <c r="C503" s="1317"/>
      <c r="G503" s="949">
        <v>484</v>
      </c>
      <c r="H503" s="949">
        <v>484</v>
      </c>
      <c r="I503" s="949">
        <v>484</v>
      </c>
      <c r="J503" s="949">
        <v>484</v>
      </c>
      <c r="K503" s="949">
        <v>484</v>
      </c>
      <c r="L503" s="949">
        <v>484</v>
      </c>
      <c r="M503" s="949">
        <v>484</v>
      </c>
      <c r="N503" s="949">
        <v>484</v>
      </c>
      <c r="O503" s="949">
        <v>484</v>
      </c>
      <c r="P503" s="949">
        <v>484</v>
      </c>
      <c r="Q503" s="949">
        <v>484</v>
      </c>
      <c r="R503" s="949">
        <v>484</v>
      </c>
      <c r="S503" s="949">
        <v>484</v>
      </c>
      <c r="T503" s="949">
        <v>484</v>
      </c>
      <c r="U503" s="949">
        <v>484</v>
      </c>
      <c r="V503" s="949">
        <v>484</v>
      </c>
      <c r="W503" s="949">
        <v>484</v>
      </c>
      <c r="X503" s="949">
        <v>484</v>
      </c>
      <c r="Y503" s="949">
        <v>484</v>
      </c>
      <c r="Z503" s="1069"/>
      <c r="AS503" s="1073"/>
      <c r="AT503" s="1074"/>
      <c r="AU503" s="1074"/>
      <c r="AV503" s="1075"/>
      <c r="AW503" s="1075"/>
      <c r="AX503" s="1090"/>
      <c r="AY503" s="1091"/>
      <c r="AZ503" s="829"/>
      <c r="BF503" s="871"/>
    </row>
    <row r="504" spans="1:58">
      <c r="D504" s="798" t="s">
        <v>1343</v>
      </c>
      <c r="AQ504" s="811" t="s">
        <v>1344</v>
      </c>
      <c r="AR504" s="1076">
        <f>ROUND(AQ501/31947,1)</f>
        <v>3102.1</v>
      </c>
      <c r="AX504" s="1092"/>
      <c r="BF504" s="871"/>
    </row>
    <row r="505" spans="1:58">
      <c r="B505" s="801"/>
      <c r="D505" s="798" t="s">
        <v>1345</v>
      </c>
      <c r="AQ505" s="811" t="s">
        <v>1313</v>
      </c>
      <c r="AR505" s="1076">
        <f>ROUND(AR501/31947,1)</f>
        <v>193.7</v>
      </c>
      <c r="AX505" s="1092"/>
      <c r="BF505" s="871"/>
    </row>
    <row r="506" spans="1:58">
      <c r="B506" s="801"/>
      <c r="AQ506" s="811" t="s">
        <v>1346</v>
      </c>
      <c r="AR506" s="1076">
        <f>ROUND(AQ502/31947,1)</f>
        <v>193.9</v>
      </c>
      <c r="AX506" s="1092"/>
      <c r="BA506" s="823"/>
    </row>
    <row r="507" spans="1:58">
      <c r="B507" s="801"/>
      <c r="AR507" s="1077"/>
      <c r="AX507" s="1092"/>
    </row>
    <row r="508" spans="1:58">
      <c r="B508" s="801"/>
      <c r="AR508" s="1073"/>
      <c r="AS508" s="1077"/>
      <c r="AT508" s="825"/>
      <c r="AU508" s="1074"/>
      <c r="AV508" s="1075"/>
      <c r="AW508" s="1075"/>
      <c r="AX508" s="1092"/>
    </row>
    <row r="509" spans="1:58">
      <c r="B509" s="801"/>
      <c r="AQ509" s="1078"/>
      <c r="AR509" s="1079"/>
      <c r="AS509" s="1079"/>
      <c r="AT509" s="1079"/>
      <c r="AU509" s="1073"/>
      <c r="AV509" s="1080"/>
      <c r="AW509" s="1080"/>
      <c r="AX509" s="1092"/>
    </row>
    <row r="510" spans="1:58">
      <c r="B510" s="801"/>
      <c r="AQ510" s="1078"/>
      <c r="AR510" s="1079"/>
      <c r="AS510" s="956"/>
      <c r="AT510" s="983"/>
      <c r="AX510" s="1092"/>
    </row>
    <row r="511" spans="1:58">
      <c r="B511" s="801"/>
      <c r="AQ511" s="1081"/>
      <c r="AX511" s="1092"/>
    </row>
    <row r="512" spans="1:58">
      <c r="B512" s="801"/>
      <c r="AX512" s="1092"/>
    </row>
    <row r="513" spans="2:52">
      <c r="B513" s="801"/>
      <c r="AX513" s="1092"/>
    </row>
    <row r="514" spans="2:52">
      <c r="B514" s="801"/>
      <c r="AX514" s="1092"/>
    </row>
    <row r="515" spans="2:52">
      <c r="AY515" s="837"/>
      <c r="AZ515" s="837"/>
    </row>
  </sheetData>
  <mergeCells count="32">
    <mergeCell ref="BB5:BB6"/>
    <mergeCell ref="BC5:BC6"/>
    <mergeCell ref="BD5:BD6"/>
    <mergeCell ref="BE5:BE6"/>
    <mergeCell ref="AU5:AU6"/>
    <mergeCell ref="AV3:AV6"/>
    <mergeCell ref="AW5:AW6"/>
    <mergeCell ref="AX5:AX6"/>
    <mergeCell ref="AY5:AY6"/>
    <mergeCell ref="BA5:BA6"/>
    <mergeCell ref="E5:E6"/>
    <mergeCell ref="F4:F5"/>
    <mergeCell ref="AQ5:AQ6"/>
    <mergeCell ref="AR5:AR6"/>
    <mergeCell ref="AS5:AS6"/>
    <mergeCell ref="AT5:AT6"/>
    <mergeCell ref="B7:C7"/>
    <mergeCell ref="B176:C176"/>
    <mergeCell ref="B315:C315"/>
    <mergeCell ref="A500:F500"/>
    <mergeCell ref="V502:Y502"/>
    <mergeCell ref="B503:C503"/>
    <mergeCell ref="A2:AS2"/>
    <mergeCell ref="D4:E4"/>
    <mergeCell ref="G4:U4"/>
    <mergeCell ref="V4:Z4"/>
    <mergeCell ref="AA4:AP4"/>
    <mergeCell ref="AQ4:AS4"/>
    <mergeCell ref="A4:A6"/>
    <mergeCell ref="B4:B6"/>
    <mergeCell ref="C4:C6"/>
    <mergeCell ref="D5:D6"/>
  </mergeCells>
  <conditionalFormatting sqref="W316:W399">
    <cfRule type="expression" dxfId="150" priority="20">
      <formula>W316=0</formula>
    </cfRule>
    <cfRule type="expression" dxfId="149" priority="21">
      <formula>W316=0</formula>
    </cfRule>
    <cfRule type="expression" dxfId="148" priority="22">
      <formula>W316=0</formula>
    </cfRule>
    <cfRule type="expression" dxfId="119" priority="23">
      <formula>W316=0</formula>
    </cfRule>
    <cfRule type="expression" dxfId="118" priority="24">
      <formula>W316=0</formula>
    </cfRule>
    <cfRule type="expression" dxfId="117" priority="25">
      <formula>W316=0</formula>
    </cfRule>
  </conditionalFormatting>
  <conditionalFormatting sqref="W402:W497">
    <cfRule type="expression" dxfId="147" priority="8">
      <formula>W402=0</formula>
    </cfRule>
    <cfRule type="expression" dxfId="146" priority="9">
      <formula>W402=0</formula>
    </cfRule>
    <cfRule type="expression" dxfId="145" priority="10">
      <formula>W402=0</formula>
    </cfRule>
    <cfRule type="expression" dxfId="116" priority="11">
      <formula>W402=0</formula>
    </cfRule>
    <cfRule type="expression" dxfId="115" priority="12">
      <formula>W402=0</formula>
    </cfRule>
    <cfRule type="expression" dxfId="114" priority="13">
      <formula>W402=0</formula>
    </cfRule>
  </conditionalFormatting>
  <conditionalFormatting sqref="X316:X357">
    <cfRule type="expression" dxfId="144" priority="60">
      <formula>X316=0</formula>
    </cfRule>
    <cfRule type="expression" dxfId="143" priority="61">
      <formula>X316=0</formula>
    </cfRule>
    <cfRule type="expression" dxfId="142" priority="62">
      <formula>X316=0</formula>
    </cfRule>
    <cfRule type="expression" dxfId="113" priority="63">
      <formula>X316=0</formula>
    </cfRule>
    <cfRule type="expression" dxfId="112" priority="64">
      <formula>X316=0</formula>
    </cfRule>
    <cfRule type="expression" dxfId="111" priority="65">
      <formula>X316=0</formula>
    </cfRule>
  </conditionalFormatting>
  <conditionalFormatting sqref="X358:X399">
    <cfRule type="expression" dxfId="141" priority="52">
      <formula>X358=0</formula>
    </cfRule>
    <cfRule type="expression" dxfId="140" priority="53">
      <formula>X358=0</formula>
    </cfRule>
    <cfRule type="expression" dxfId="139" priority="54">
      <formula>X358=0</formula>
    </cfRule>
    <cfRule type="expression" dxfId="110" priority="55">
      <formula>X358=0</formula>
    </cfRule>
    <cfRule type="expression" dxfId="109" priority="56">
      <formula>X358=0</formula>
    </cfRule>
    <cfRule type="expression" dxfId="108" priority="57">
      <formula>X358=0</formula>
    </cfRule>
    <cfRule type="expression" dxfId="107" priority="58">
      <formula>X358=0</formula>
    </cfRule>
    <cfRule type="expression" dxfId="106" priority="59">
      <formula>X358=0</formula>
    </cfRule>
  </conditionalFormatting>
  <conditionalFormatting sqref="X402:X497">
    <cfRule type="expression" dxfId="138" priority="44">
      <formula>X402=0</formula>
    </cfRule>
    <cfRule type="expression" dxfId="137" priority="45">
      <formula>X402=0</formula>
    </cfRule>
    <cfRule type="expression" dxfId="136" priority="46">
      <formula>X402=0</formula>
    </cfRule>
    <cfRule type="expression" dxfId="105" priority="47">
      <formula>X402=0</formula>
    </cfRule>
    <cfRule type="expression" dxfId="104" priority="48">
      <formula>X402=0</formula>
    </cfRule>
    <cfRule type="expression" dxfId="103" priority="49">
      <formula>X402=0</formula>
    </cfRule>
    <cfRule type="expression" dxfId="102" priority="50">
      <formula>X402=0</formula>
    </cfRule>
    <cfRule type="expression" dxfId="101" priority="51">
      <formula>X402=0</formula>
    </cfRule>
  </conditionalFormatting>
  <conditionalFormatting sqref="G8:U174">
    <cfRule type="expression" dxfId="135" priority="7">
      <formula>G8=0</formula>
    </cfRule>
  </conditionalFormatting>
  <conditionalFormatting sqref="L316:L399 L402:L497 G177:U313">
    <cfRule type="expression" dxfId="134" priority="117">
      <formula>G177=0</formula>
    </cfRule>
  </conditionalFormatting>
  <conditionalFormatting sqref="G402:G497 G316:K399 M316:V399">
    <cfRule type="expression" dxfId="133" priority="93">
      <formula>G316=0</formula>
    </cfRule>
  </conditionalFormatting>
  <conditionalFormatting sqref="U316:V399">
    <cfRule type="expression" dxfId="132" priority="87">
      <formula>U316=0</formula>
    </cfRule>
    <cfRule type="expression" dxfId="131" priority="88">
      <formula>U316=0</formula>
    </cfRule>
    <cfRule type="expression" dxfId="130" priority="89">
      <formula>U316=0</formula>
    </cfRule>
    <cfRule type="expression" dxfId="100" priority="90">
      <formula>U316=0</formula>
    </cfRule>
    <cfRule type="expression" dxfId="99" priority="91">
      <formula>U316=0</formula>
    </cfRule>
    <cfRule type="expression" dxfId="98" priority="92">
      <formula>U316=0</formula>
    </cfRule>
  </conditionalFormatting>
  <conditionalFormatting sqref="Y316:Z357">
    <cfRule type="expression" dxfId="129" priority="38">
      <formula>Y316=0</formula>
    </cfRule>
    <cfRule type="expression" dxfId="128" priority="39">
      <formula>Y316=0</formula>
    </cfRule>
    <cfRule type="expression" dxfId="127" priority="40">
      <formula>Y316=0</formula>
    </cfRule>
    <cfRule type="expression" dxfId="97" priority="41">
      <formula>Y316=0</formula>
    </cfRule>
    <cfRule type="expression" dxfId="96" priority="42">
      <formula>Y316=0</formula>
    </cfRule>
    <cfRule type="expression" dxfId="95" priority="43">
      <formula>Y316=0</formula>
    </cfRule>
  </conditionalFormatting>
  <conditionalFormatting sqref="Y358:Z399">
    <cfRule type="expression" dxfId="126" priority="32">
      <formula>Y358=0</formula>
    </cfRule>
    <cfRule type="expression" dxfId="125" priority="33">
      <formula>Y358=0</formula>
    </cfRule>
    <cfRule type="expression" dxfId="124" priority="34">
      <formula>Y358=0</formula>
    </cfRule>
    <cfRule type="expression" dxfId="94" priority="35">
      <formula>Y358=0</formula>
    </cfRule>
    <cfRule type="expression" dxfId="93" priority="36">
      <formula>Y358=0</formula>
    </cfRule>
    <cfRule type="expression" dxfId="92" priority="37">
      <formula>Y358=0</formula>
    </cfRule>
  </conditionalFormatting>
  <conditionalFormatting sqref="H402:K497 M402:V497">
    <cfRule type="expression" dxfId="123" priority="74">
      <formula>H402=0</formula>
    </cfRule>
  </conditionalFormatting>
  <conditionalFormatting sqref="Y402:Z497">
    <cfRule type="expression" dxfId="122" priority="26">
      <formula>Y402=0</formula>
    </cfRule>
    <cfRule type="expression" dxfId="121" priority="27">
      <formula>Y402=0</formula>
    </cfRule>
    <cfRule type="expression" dxfId="120" priority="28">
      <formula>Y402=0</formula>
    </cfRule>
    <cfRule type="expression" dxfId="91" priority="29">
      <formula>Y402=0</formula>
    </cfRule>
    <cfRule type="expression" dxfId="90" priority="30">
      <formula>Y402=0</formula>
    </cfRule>
    <cfRule type="expression" dxfId="89" priority="31">
      <formula>Y402=0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F9980-A672-4AD3-9027-40A6E3FB97FA}">
  <sheetPr>
    <tabColor theme="0"/>
  </sheetPr>
  <dimension ref="A1:AU525"/>
  <sheetViews>
    <sheetView zoomScale="80" workbookViewId="0">
      <pane xSplit="2" ySplit="9" topLeftCell="AE490" activePane="bottomRight" state="frozen"/>
      <selection pane="topRight"/>
      <selection pane="bottomLeft"/>
      <selection pane="bottomRight" activeCell="D495" sqref="D495"/>
    </sheetView>
  </sheetViews>
  <sheetFormatPr defaultColWidth="8.69921875" defaultRowHeight="13.8"/>
  <cols>
    <col min="1" max="1" width="4.8984375" style="798" customWidth="1"/>
    <col min="2" max="2" width="9.19921875" style="799" customWidth="1"/>
    <col min="3" max="3" width="10" style="798" customWidth="1"/>
    <col min="4" max="4" width="9.19921875" style="798" customWidth="1"/>
    <col min="5" max="5" width="9.09765625" style="798" customWidth="1"/>
    <col min="6" max="7" width="9.19921875" style="798" customWidth="1"/>
    <col min="8" max="9" width="9.5" style="798" customWidth="1"/>
    <col min="10" max="16" width="9.09765625" style="798" customWidth="1"/>
    <col min="17" max="17" width="9.09765625" style="800" customWidth="1"/>
    <col min="18" max="18" width="8.8984375" style="798" hidden="1" customWidth="1"/>
    <col min="19" max="22" width="5.69921875" style="798" hidden="1" customWidth="1"/>
    <col min="23" max="23" width="15.69921875" style="801" customWidth="1"/>
    <col min="24" max="25" width="11.8984375" style="798" hidden="1" customWidth="1"/>
    <col min="26" max="26" width="9" style="798" hidden="1" customWidth="1"/>
    <col min="27" max="28" width="5" style="798" hidden="1" customWidth="1"/>
    <col min="29" max="29" width="4" style="798" hidden="1" customWidth="1"/>
    <col min="30" max="30" width="4.69921875" style="798" hidden="1" customWidth="1"/>
    <col min="31" max="31" width="11.8984375" style="798" customWidth="1"/>
    <col min="32" max="32" width="12.8984375" style="798" customWidth="1"/>
    <col min="33" max="33" width="11.69921875" style="798" customWidth="1"/>
    <col min="34" max="34" width="13.19921875" style="798" customWidth="1"/>
    <col min="35" max="35" width="15" style="798" customWidth="1"/>
    <col min="36" max="36" width="13.3984375" style="802" customWidth="1"/>
    <col min="37" max="37" width="11.69921875" style="798" customWidth="1"/>
    <col min="38" max="38" width="12.09765625" style="798" customWidth="1"/>
    <col min="39" max="39" width="11.8984375" style="798" customWidth="1"/>
    <col min="40" max="41" width="10" style="798" customWidth="1"/>
    <col min="42" max="42" width="10" style="798" bestFit="1" customWidth="1"/>
    <col min="43" max="43" width="13.59765625" style="798" customWidth="1"/>
    <col min="44" max="44" width="11.5" style="798" customWidth="1"/>
    <col min="45" max="45" width="10.19921875" style="798" bestFit="1" customWidth="1"/>
    <col min="46" max="46" width="10.3984375" style="798" customWidth="1"/>
    <col min="47" max="64" width="9" style="798" bestFit="1" customWidth="1"/>
    <col min="65" max="16384" width="8.69921875" style="798"/>
  </cols>
  <sheetData>
    <row r="1" spans="1:47" ht="16.5" customHeight="1">
      <c r="AE1" s="798" t="s">
        <v>1347</v>
      </c>
      <c r="AF1" s="798">
        <v>555</v>
      </c>
      <c r="AI1" s="794">
        <v>2011</v>
      </c>
      <c r="AJ1" s="829">
        <f>SUM(AQ2:AQ4)</f>
        <v>0</v>
      </c>
      <c r="AM1" s="798" t="s">
        <v>186</v>
      </c>
      <c r="AN1" s="798" t="s">
        <v>199</v>
      </c>
      <c r="AO1" s="798" t="s">
        <v>228</v>
      </c>
      <c r="AP1" s="798" t="s">
        <v>1322</v>
      </c>
      <c r="AQ1" s="798" t="s">
        <v>9</v>
      </c>
    </row>
    <row r="2" spans="1:47" ht="16.5" customHeight="1">
      <c r="G2" s="798" t="s">
        <v>186</v>
      </c>
      <c r="H2" s="798" t="s">
        <v>199</v>
      </c>
      <c r="I2" s="798" t="s">
        <v>228</v>
      </c>
      <c r="M2" s="798" t="s">
        <v>186</v>
      </c>
      <c r="N2" s="798" t="s">
        <v>199</v>
      </c>
      <c r="O2" s="798" t="s">
        <v>228</v>
      </c>
      <c r="AE2" s="798" t="s">
        <v>1348</v>
      </c>
      <c r="AF2" s="798">
        <v>455</v>
      </c>
      <c r="AI2" s="794">
        <v>2012</v>
      </c>
      <c r="AJ2" s="829">
        <f>SUM(AQ5:AQ6)+AQ9</f>
        <v>0</v>
      </c>
      <c r="AL2" s="798" t="s">
        <v>1302</v>
      </c>
      <c r="AM2" s="830"/>
      <c r="AN2" s="830"/>
      <c r="AO2" s="830"/>
      <c r="AP2" s="830"/>
      <c r="AQ2" s="795">
        <f t="shared" ref="AQ2:AQ12" si="0">SUM(AM2:AP2)</f>
        <v>0</v>
      </c>
    </row>
    <row r="3" spans="1:47" ht="16.5" customHeight="1">
      <c r="G3" s="1334" t="s">
        <v>1349</v>
      </c>
      <c r="H3" s="1334"/>
      <c r="I3" s="1334"/>
      <c r="L3" s="803"/>
      <c r="M3" s="803"/>
      <c r="N3" s="803"/>
      <c r="O3" s="803"/>
      <c r="P3" s="1334" t="s">
        <v>1349</v>
      </c>
      <c r="Q3" s="1334"/>
      <c r="AE3" s="798" t="s">
        <v>1350</v>
      </c>
      <c r="AF3" s="798">
        <v>505</v>
      </c>
      <c r="AI3" s="794">
        <v>2013</v>
      </c>
      <c r="AJ3" s="829">
        <f>SUM(AQ7:AQ8)</f>
        <v>455</v>
      </c>
      <c r="AL3" s="798" t="s">
        <v>1304</v>
      </c>
      <c r="AM3" s="830"/>
      <c r="AN3" s="830"/>
      <c r="AO3" s="830"/>
      <c r="AP3" s="830"/>
      <c r="AQ3" s="795">
        <f t="shared" si="0"/>
        <v>0</v>
      </c>
    </row>
    <row r="4" spans="1:47" ht="16.5" customHeight="1">
      <c r="F4" s="803"/>
      <c r="G4" s="804"/>
      <c r="H4" s="804"/>
      <c r="I4" s="804"/>
      <c r="J4" s="803"/>
      <c r="K4" s="803"/>
      <c r="P4" s="803"/>
      <c r="AJ4" s="802">
        <f>SUM(AJ1:AJ3)</f>
        <v>455</v>
      </c>
      <c r="AL4" s="798" t="s">
        <v>1307</v>
      </c>
      <c r="AM4" s="830"/>
      <c r="AN4" s="830"/>
      <c r="AO4" s="830"/>
      <c r="AP4" s="830"/>
      <c r="AQ4" s="837">
        <f t="shared" si="0"/>
        <v>0</v>
      </c>
    </row>
    <row r="5" spans="1:47" ht="16.5" customHeight="1">
      <c r="A5" s="1335" t="s">
        <v>1351</v>
      </c>
      <c r="B5" s="1335"/>
      <c r="C5" s="1335"/>
      <c r="D5" s="1335"/>
      <c r="E5" s="1335"/>
      <c r="F5" s="1335"/>
      <c r="G5" s="1335"/>
      <c r="H5" s="1335"/>
      <c r="I5" s="1335"/>
      <c r="J5" s="1335"/>
      <c r="K5" s="1335"/>
      <c r="L5" s="1335"/>
      <c r="M5" s="1335"/>
      <c r="N5" s="1335"/>
      <c r="O5" s="1335"/>
      <c r="P5" s="1335"/>
      <c r="Q5" s="1335"/>
      <c r="R5" s="1335"/>
      <c r="S5" s="1335"/>
      <c r="T5" s="1335"/>
      <c r="U5" s="1335"/>
      <c r="V5" s="1335"/>
      <c r="W5" s="1335"/>
      <c r="X5" s="805"/>
      <c r="Y5" s="805"/>
      <c r="AL5" s="798" t="s">
        <v>1316</v>
      </c>
      <c r="AM5" s="830"/>
      <c r="AN5" s="830"/>
      <c r="AO5" s="830"/>
      <c r="AP5" s="830"/>
      <c r="AQ5" s="837">
        <f t="shared" si="0"/>
        <v>0</v>
      </c>
    </row>
    <row r="6" spans="1:47" ht="16.5" customHeight="1">
      <c r="C6" s="803">
        <v>1</v>
      </c>
      <c r="D6" s="803">
        <v>2</v>
      </c>
      <c r="E6" s="803">
        <v>3</v>
      </c>
      <c r="F6" s="803">
        <v>4</v>
      </c>
      <c r="G6" s="803">
        <v>5</v>
      </c>
      <c r="H6" s="803">
        <v>6</v>
      </c>
      <c r="I6" s="803">
        <v>7</v>
      </c>
      <c r="J6" s="803">
        <v>8</v>
      </c>
      <c r="K6" s="803">
        <v>9</v>
      </c>
      <c r="L6" s="803">
        <v>10</v>
      </c>
      <c r="M6" s="803">
        <v>11</v>
      </c>
      <c r="N6" s="803">
        <v>12</v>
      </c>
      <c r="O6" s="803">
        <v>13</v>
      </c>
      <c r="P6" s="803">
        <v>14</v>
      </c>
      <c r="Q6" s="800">
        <v>15</v>
      </c>
      <c r="R6" s="816">
        <v>30</v>
      </c>
      <c r="S6" s="803">
        <v>17</v>
      </c>
      <c r="T6" s="803">
        <v>18</v>
      </c>
      <c r="U6" s="803">
        <v>19</v>
      </c>
      <c r="V6" s="803">
        <v>20</v>
      </c>
      <c r="W6" s="801">
        <f>W499/2</f>
        <v>288490.5</v>
      </c>
      <c r="X6" s="1316">
        <v>100</v>
      </c>
      <c r="Y6" s="1316">
        <v>480</v>
      </c>
      <c r="AA6" s="1334" t="s">
        <v>1352</v>
      </c>
      <c r="AB6" s="1334"/>
      <c r="AC6" s="1334"/>
      <c r="AD6" s="1334"/>
      <c r="AE6" s="798" t="s">
        <v>1353</v>
      </c>
      <c r="AF6" s="1334" t="s">
        <v>1354</v>
      </c>
      <c r="AG6" s="1334"/>
      <c r="AH6" s="1334"/>
      <c r="AI6" s="1334"/>
      <c r="AJ6" s="802" t="e">
        <f>AJ8+AJ177+#REF!+#REF!+#REF!+#REF!+#REF!+#REF!</f>
        <v>#REF!</v>
      </c>
      <c r="AL6" s="798" t="s">
        <v>1331</v>
      </c>
      <c r="AM6" s="830"/>
      <c r="AN6" s="830"/>
      <c r="AO6" s="830"/>
      <c r="AP6" s="830"/>
      <c r="AQ6" s="837">
        <f t="shared" si="0"/>
        <v>0</v>
      </c>
    </row>
    <row r="7" spans="1:47" ht="16.5" customHeight="1">
      <c r="A7" s="798" t="s">
        <v>262</v>
      </c>
      <c r="C7" s="806"/>
      <c r="D7" s="806"/>
      <c r="E7" s="806"/>
      <c r="F7" s="807"/>
      <c r="G7" s="806"/>
      <c r="H7" s="806" t="s">
        <v>1355</v>
      </c>
      <c r="I7" s="806" t="s">
        <v>1356</v>
      </c>
      <c r="J7" s="807" t="s">
        <v>1357</v>
      </c>
      <c r="K7" s="806" t="s">
        <v>1358</v>
      </c>
      <c r="L7" s="806"/>
      <c r="M7" s="806"/>
      <c r="N7" s="807"/>
      <c r="O7" s="806"/>
      <c r="P7" s="806" t="s">
        <v>1355</v>
      </c>
      <c r="Q7" s="817" t="s">
        <v>1356</v>
      </c>
      <c r="R7" s="807"/>
      <c r="S7" s="803"/>
      <c r="T7" s="803"/>
      <c r="U7" s="811"/>
      <c r="V7" s="811"/>
      <c r="W7" s="801" t="s">
        <v>9</v>
      </c>
      <c r="X7" s="1316"/>
      <c r="Y7" s="1316"/>
      <c r="AA7" s="794" t="s">
        <v>186</v>
      </c>
      <c r="AB7" s="794" t="s">
        <v>199</v>
      </c>
      <c r="AC7" s="794" t="s">
        <v>228</v>
      </c>
      <c r="AD7" s="794" t="s">
        <v>1322</v>
      </c>
      <c r="AF7" s="822" t="s">
        <v>186</v>
      </c>
      <c r="AG7" s="822" t="s">
        <v>199</v>
      </c>
      <c r="AH7" s="822" t="s">
        <v>228</v>
      </c>
      <c r="AI7" s="822" t="s">
        <v>1322</v>
      </c>
      <c r="AL7" s="798" t="s">
        <v>1334</v>
      </c>
      <c r="AM7" s="830"/>
      <c r="AN7" s="830"/>
      <c r="AO7" s="830"/>
      <c r="AP7" s="830"/>
      <c r="AQ7" s="837">
        <f t="shared" si="0"/>
        <v>0</v>
      </c>
    </row>
    <row r="8" spans="1:47" s="790" customFormat="1" ht="17.25" customHeight="1">
      <c r="A8" s="792"/>
      <c r="B8" s="808" t="s">
        <v>270</v>
      </c>
      <c r="C8" s="809">
        <f>SUM(C9:C175)</f>
        <v>0</v>
      </c>
      <c r="D8" s="809">
        <f>SUM(D9:D175)</f>
        <v>0</v>
      </c>
      <c r="E8" s="809">
        <f>SUM(E9:E175)</f>
        <v>0</v>
      </c>
      <c r="F8" s="809">
        <f>SUM(F9:F175)</f>
        <v>0</v>
      </c>
      <c r="G8" s="809">
        <f>SUM(G9:G175)</f>
        <v>6771</v>
      </c>
      <c r="H8" s="809">
        <f t="shared" ref="H8:W8" si="1">SUM(H9:H175)</f>
        <v>29941</v>
      </c>
      <c r="I8" s="809">
        <f t="shared" si="1"/>
        <v>21584</v>
      </c>
      <c r="J8" s="809">
        <f t="shared" si="1"/>
        <v>23636</v>
      </c>
      <c r="K8" s="809">
        <f t="shared" si="1"/>
        <v>28447</v>
      </c>
      <c r="L8" s="809">
        <f t="shared" si="1"/>
        <v>0</v>
      </c>
      <c r="M8" s="809">
        <f t="shared" si="1"/>
        <v>8664</v>
      </c>
      <c r="N8" s="809">
        <f t="shared" si="1"/>
        <v>9332</v>
      </c>
      <c r="O8" s="809">
        <f t="shared" si="1"/>
        <v>8409</v>
      </c>
      <c r="P8" s="809">
        <f t="shared" si="1"/>
        <v>21733</v>
      </c>
      <c r="Q8" s="809">
        <f t="shared" si="1"/>
        <v>24191</v>
      </c>
      <c r="R8" s="809">
        <f t="shared" si="1"/>
        <v>0</v>
      </c>
      <c r="S8" s="809">
        <f t="shared" si="1"/>
        <v>0</v>
      </c>
      <c r="T8" s="809">
        <f t="shared" si="1"/>
        <v>0</v>
      </c>
      <c r="U8" s="809">
        <f t="shared" si="1"/>
        <v>0</v>
      </c>
      <c r="V8" s="809">
        <f t="shared" si="1"/>
        <v>0</v>
      </c>
      <c r="W8" s="818">
        <f t="shared" si="1"/>
        <v>182708</v>
      </c>
      <c r="X8" s="818">
        <f t="shared" ref="X8:AJ8" si="2">SUM(X9:X175)</f>
        <v>0</v>
      </c>
      <c r="Y8" s="818">
        <f t="shared" si="2"/>
        <v>182708</v>
      </c>
      <c r="Z8" s="818">
        <f t="shared" si="2"/>
        <v>0</v>
      </c>
      <c r="AA8" s="818" t="e">
        <f t="shared" si="2"/>
        <v>#REF!</v>
      </c>
      <c r="AB8" s="818" t="e">
        <f t="shared" si="2"/>
        <v>#REF!</v>
      </c>
      <c r="AC8" s="818" t="e">
        <f t="shared" si="2"/>
        <v>#REF!</v>
      </c>
      <c r="AD8" s="818" t="e">
        <f t="shared" si="2"/>
        <v>#REF!</v>
      </c>
      <c r="AE8" s="818">
        <f t="shared" si="2"/>
        <v>80391.519999999975</v>
      </c>
      <c r="AF8" s="809">
        <f t="shared" si="2"/>
        <v>47406</v>
      </c>
      <c r="AG8" s="809">
        <f t="shared" si="2"/>
        <v>53256</v>
      </c>
      <c r="AH8" s="809">
        <f t="shared" si="2"/>
        <v>50660</v>
      </c>
      <c r="AI8" s="809">
        <f t="shared" si="2"/>
        <v>31386</v>
      </c>
      <c r="AJ8" s="809">
        <f t="shared" si="2"/>
        <v>182708</v>
      </c>
      <c r="AK8" s="790" t="s">
        <v>1349</v>
      </c>
      <c r="AL8" s="798" t="s">
        <v>1336</v>
      </c>
      <c r="AM8" s="830"/>
      <c r="AN8" s="830"/>
      <c r="AO8" s="830"/>
      <c r="AP8" s="830"/>
      <c r="AQ8" s="837">
        <v>455</v>
      </c>
      <c r="AU8" s="838">
        <f>SUM(AU9:AU175)</f>
        <v>0</v>
      </c>
    </row>
    <row r="9" spans="1:47">
      <c r="A9" s="798">
        <v>1</v>
      </c>
      <c r="B9" s="810">
        <v>1</v>
      </c>
      <c r="C9" s="803"/>
      <c r="D9" s="803"/>
      <c r="E9" s="803"/>
      <c r="F9" s="803"/>
      <c r="G9" s="803">
        <v>0</v>
      </c>
      <c r="H9" s="803">
        <v>171</v>
      </c>
      <c r="I9" s="803">
        <v>98</v>
      </c>
      <c r="J9" s="803"/>
      <c r="K9" s="803"/>
      <c r="L9" s="803"/>
      <c r="M9" s="803">
        <v>67</v>
      </c>
      <c r="N9" s="803">
        <v>204</v>
      </c>
      <c r="O9" s="803">
        <v>177</v>
      </c>
      <c r="P9" s="803"/>
      <c r="R9" s="803"/>
      <c r="S9" s="803"/>
      <c r="T9" s="803"/>
      <c r="U9" s="803"/>
      <c r="V9" s="803"/>
      <c r="W9" s="801">
        <f>SUM(C9:V9)</f>
        <v>717</v>
      </c>
      <c r="Y9" s="798">
        <f>W9-X9</f>
        <v>717</v>
      </c>
      <c r="AA9" s="823">
        <f>K9</f>
        <v>0</v>
      </c>
      <c r="AB9" s="823">
        <f>L9</f>
        <v>0</v>
      </c>
      <c r="AC9" s="823">
        <f>'CHAM CONG'!BC8</f>
        <v>0</v>
      </c>
      <c r="AD9" s="823">
        <f>'CHAM CONG'!BD8</f>
        <v>0</v>
      </c>
      <c r="AE9" s="824">
        <f>ROUND(W9*0.44,2)</f>
        <v>315.48</v>
      </c>
      <c r="AF9" s="798">
        <f>G9+M9</f>
        <v>67</v>
      </c>
      <c r="AG9" s="831">
        <f>H9+N9</f>
        <v>375</v>
      </c>
      <c r="AH9" s="798">
        <f>I9+O9</f>
        <v>275</v>
      </c>
      <c r="AJ9" s="802">
        <f>SUM(AF9:AI9)</f>
        <v>717</v>
      </c>
      <c r="AK9" s="831">
        <f>SUM(AJ9:AJ55)</f>
        <v>48462</v>
      </c>
      <c r="AL9" s="798" t="s">
        <v>1337</v>
      </c>
      <c r="AM9" s="830"/>
      <c r="AN9" s="830"/>
      <c r="AO9" s="830"/>
      <c r="AP9" s="830"/>
      <c r="AQ9" s="837">
        <f t="shared" si="0"/>
        <v>0</v>
      </c>
      <c r="AU9" s="798">
        <f t="shared" ref="AU9:AU54" si="3">SUM(AS9:AT9)/10</f>
        <v>0</v>
      </c>
    </row>
    <row r="10" spans="1:47">
      <c r="A10" s="798">
        <v>2</v>
      </c>
      <c r="B10" s="810">
        <v>1</v>
      </c>
      <c r="C10" s="803"/>
      <c r="D10" s="803"/>
      <c r="E10" s="803"/>
      <c r="F10" s="803"/>
      <c r="G10" s="803">
        <v>64</v>
      </c>
      <c r="H10" s="811">
        <v>206</v>
      </c>
      <c r="I10" s="811">
        <v>161</v>
      </c>
      <c r="J10" s="811"/>
      <c r="K10" s="811"/>
      <c r="L10" s="811"/>
      <c r="M10" s="811">
        <v>172</v>
      </c>
      <c r="N10" s="811">
        <v>229</v>
      </c>
      <c r="O10" s="811">
        <v>203</v>
      </c>
      <c r="P10" s="811"/>
      <c r="R10" s="803"/>
      <c r="S10" s="803"/>
      <c r="T10" s="803"/>
      <c r="U10" s="803"/>
      <c r="V10" s="803"/>
      <c r="W10" s="801">
        <f t="shared" ref="W10:W54" si="4">SUM(C10:V10)</f>
        <v>1035</v>
      </c>
      <c r="Y10" s="798">
        <f t="shared" ref="Y10:Y45" si="5">W10-X10</f>
        <v>1035</v>
      </c>
      <c r="AA10" s="823">
        <f>'CHAM CONG'!BA9</f>
        <v>0</v>
      </c>
      <c r="AB10" s="823">
        <f>'CHAM CONG'!BB9</f>
        <v>0</v>
      </c>
      <c r="AC10" s="823">
        <f>'CHAM CONG'!BC9</f>
        <v>0</v>
      </c>
      <c r="AD10" s="823">
        <f>'CHAM CONG'!BD9</f>
        <v>0</v>
      </c>
      <c r="AE10" s="824">
        <f t="shared" ref="AE10:AE73" si="6">ROUND(W10*0.44,2)</f>
        <v>455.4</v>
      </c>
      <c r="AF10" s="798">
        <f t="shared" ref="AF10:AF55" si="7">G10+M10</f>
        <v>236</v>
      </c>
      <c r="AG10" s="831">
        <f t="shared" ref="AG10:AG55" si="8">H10+N10</f>
        <v>435</v>
      </c>
      <c r="AH10" s="798">
        <f t="shared" ref="AH10:AH55" si="9">I10+O10</f>
        <v>364</v>
      </c>
      <c r="AJ10" s="802">
        <f t="shared" ref="AJ10:AJ54" si="10">SUM(AF10:AI10)</f>
        <v>1035</v>
      </c>
      <c r="AL10" s="798" t="s">
        <v>1359</v>
      </c>
      <c r="AM10" s="830"/>
      <c r="AN10" s="830"/>
      <c r="AO10" s="830"/>
      <c r="AP10" s="830"/>
      <c r="AQ10" s="837">
        <f t="shared" si="0"/>
        <v>0</v>
      </c>
      <c r="AU10" s="798">
        <f t="shared" si="3"/>
        <v>0</v>
      </c>
    </row>
    <row r="11" spans="1:47">
      <c r="A11" s="798">
        <v>3</v>
      </c>
      <c r="B11" s="810">
        <v>1</v>
      </c>
      <c r="C11" s="803"/>
      <c r="D11" s="803"/>
      <c r="E11" s="803"/>
      <c r="F11" s="803"/>
      <c r="G11" s="803">
        <v>170</v>
      </c>
      <c r="H11" s="811">
        <v>211</v>
      </c>
      <c r="I11" s="811">
        <v>258</v>
      </c>
      <c r="J11" s="811"/>
      <c r="K11" s="811"/>
      <c r="L11" s="811"/>
      <c r="M11" s="811">
        <v>171</v>
      </c>
      <c r="N11" s="811">
        <v>252</v>
      </c>
      <c r="O11" s="811">
        <v>211</v>
      </c>
      <c r="P11" s="811"/>
      <c r="R11" s="803"/>
      <c r="S11" s="803"/>
      <c r="T11" s="803"/>
      <c r="U11" s="803"/>
      <c r="V11" s="803"/>
      <c r="W11" s="801">
        <f t="shared" si="4"/>
        <v>1273</v>
      </c>
      <c r="Y11" s="798">
        <f t="shared" si="5"/>
        <v>1273</v>
      </c>
      <c r="AA11" s="823">
        <f>'CHAM CONG'!BA10</f>
        <v>0</v>
      </c>
      <c r="AB11" s="823">
        <f>'CHAM CONG'!BB10</f>
        <v>0</v>
      </c>
      <c r="AC11" s="823">
        <f>'CHAM CONG'!BC10</f>
        <v>0</v>
      </c>
      <c r="AD11" s="823">
        <f>'CHAM CONG'!BD10</f>
        <v>0</v>
      </c>
      <c r="AE11" s="824">
        <f t="shared" si="6"/>
        <v>560.12</v>
      </c>
      <c r="AF11" s="798">
        <f t="shared" si="7"/>
        <v>341</v>
      </c>
      <c r="AG11" s="831">
        <f t="shared" si="8"/>
        <v>463</v>
      </c>
      <c r="AH11" s="798">
        <f t="shared" si="9"/>
        <v>469</v>
      </c>
      <c r="AJ11" s="802">
        <f t="shared" si="10"/>
        <v>1273</v>
      </c>
      <c r="AL11" s="798" t="s">
        <v>1360</v>
      </c>
      <c r="AM11" s="830"/>
      <c r="AN11" s="830"/>
      <c r="AO11" s="830"/>
      <c r="AP11" s="830"/>
      <c r="AQ11" s="837">
        <f t="shared" si="0"/>
        <v>0</v>
      </c>
      <c r="AU11" s="798">
        <f t="shared" si="3"/>
        <v>0</v>
      </c>
    </row>
    <row r="12" spans="1:47">
      <c r="A12" s="798">
        <v>4</v>
      </c>
      <c r="B12" s="810">
        <v>1</v>
      </c>
      <c r="C12" s="803"/>
      <c r="D12" s="803"/>
      <c r="E12" s="803"/>
      <c r="F12" s="803"/>
      <c r="G12" s="803">
        <v>72</v>
      </c>
      <c r="H12" s="811">
        <v>168</v>
      </c>
      <c r="I12" s="811">
        <v>182</v>
      </c>
      <c r="J12" s="811"/>
      <c r="K12" s="811"/>
      <c r="L12" s="811"/>
      <c r="M12" s="811">
        <v>167</v>
      </c>
      <c r="N12" s="811">
        <v>209</v>
      </c>
      <c r="O12" s="811">
        <v>172</v>
      </c>
      <c r="P12" s="811"/>
      <c r="R12" s="803"/>
      <c r="S12" s="803"/>
      <c r="T12" s="803"/>
      <c r="U12" s="803"/>
      <c r="V12" s="803"/>
      <c r="W12" s="801">
        <f t="shared" si="4"/>
        <v>970</v>
      </c>
      <c r="Y12" s="798">
        <f t="shared" si="5"/>
        <v>970</v>
      </c>
      <c r="AA12" s="823">
        <f>'CHAM CONG'!BA11</f>
        <v>0</v>
      </c>
      <c r="AB12" s="823">
        <f>'CHAM CONG'!BB11</f>
        <v>0</v>
      </c>
      <c r="AC12" s="823">
        <f>'CHAM CONG'!BC11</f>
        <v>0</v>
      </c>
      <c r="AD12" s="823">
        <f>'CHAM CONG'!BD11</f>
        <v>0</v>
      </c>
      <c r="AE12" s="824">
        <f t="shared" si="6"/>
        <v>426.8</v>
      </c>
      <c r="AF12" s="798">
        <f t="shared" si="7"/>
        <v>239</v>
      </c>
      <c r="AG12" s="831">
        <f t="shared" si="8"/>
        <v>377</v>
      </c>
      <c r="AH12" s="798">
        <f t="shared" si="9"/>
        <v>354</v>
      </c>
      <c r="AJ12" s="802">
        <f t="shared" si="10"/>
        <v>970</v>
      </c>
      <c r="AL12" s="798" t="s">
        <v>1361</v>
      </c>
      <c r="AM12" s="830"/>
      <c r="AN12" s="830"/>
      <c r="AO12" s="830"/>
      <c r="AP12" s="830"/>
      <c r="AQ12" s="837">
        <f t="shared" si="0"/>
        <v>0</v>
      </c>
      <c r="AU12" s="798">
        <f t="shared" si="3"/>
        <v>0</v>
      </c>
    </row>
    <row r="13" spans="1:47">
      <c r="A13" s="798">
        <v>5</v>
      </c>
      <c r="B13" s="810">
        <v>1</v>
      </c>
      <c r="C13" s="803"/>
      <c r="D13" s="803"/>
      <c r="E13" s="803"/>
      <c r="F13" s="803"/>
      <c r="G13" s="803">
        <v>177</v>
      </c>
      <c r="H13" s="811">
        <v>203</v>
      </c>
      <c r="I13" s="811">
        <v>206</v>
      </c>
      <c r="J13" s="811"/>
      <c r="K13" s="811"/>
      <c r="L13" s="811"/>
      <c r="M13" s="811">
        <v>176</v>
      </c>
      <c r="N13" s="811">
        <v>196</v>
      </c>
      <c r="O13" s="811">
        <v>227</v>
      </c>
      <c r="P13" s="811"/>
      <c r="R13" s="803"/>
      <c r="S13" s="803"/>
      <c r="T13" s="803"/>
      <c r="U13" s="803"/>
      <c r="V13" s="803"/>
      <c r="W13" s="801">
        <f t="shared" si="4"/>
        <v>1185</v>
      </c>
      <c r="Y13" s="798">
        <f t="shared" si="5"/>
        <v>1185</v>
      </c>
      <c r="AA13" s="823">
        <f>'CHAM CONG'!BA12</f>
        <v>0</v>
      </c>
      <c r="AB13" s="823">
        <f>'CHAM CONG'!BB12</f>
        <v>0</v>
      </c>
      <c r="AC13" s="823">
        <f>'CHAM CONG'!BC12</f>
        <v>0</v>
      </c>
      <c r="AD13" s="823">
        <f>'CHAM CONG'!BD12</f>
        <v>0</v>
      </c>
      <c r="AE13" s="824">
        <f t="shared" si="6"/>
        <v>521.4</v>
      </c>
      <c r="AF13" s="798">
        <f t="shared" si="7"/>
        <v>353</v>
      </c>
      <c r="AG13" s="831">
        <f t="shared" si="8"/>
        <v>399</v>
      </c>
      <c r="AH13" s="798">
        <f t="shared" si="9"/>
        <v>433</v>
      </c>
      <c r="AJ13" s="802">
        <f t="shared" si="10"/>
        <v>1185</v>
      </c>
      <c r="AM13" s="832"/>
      <c r="AN13" s="832"/>
      <c r="AO13" s="832"/>
      <c r="AP13" s="832"/>
      <c r="AQ13" s="839">
        <f>SUM(AQ2:AQ12)</f>
        <v>455</v>
      </c>
      <c r="AU13" s="798">
        <f t="shared" si="3"/>
        <v>0</v>
      </c>
    </row>
    <row r="14" spans="1:47">
      <c r="A14" s="798">
        <v>6</v>
      </c>
      <c r="B14" s="810">
        <v>1</v>
      </c>
      <c r="C14" s="803"/>
      <c r="D14" s="803"/>
      <c r="E14" s="803"/>
      <c r="F14" s="803"/>
      <c r="G14" s="803">
        <v>173</v>
      </c>
      <c r="H14" s="811">
        <v>223</v>
      </c>
      <c r="I14" s="811">
        <v>95</v>
      </c>
      <c r="J14" s="811"/>
      <c r="K14" s="811"/>
      <c r="L14" s="815"/>
      <c r="M14" s="811">
        <v>171</v>
      </c>
      <c r="N14" s="811">
        <v>251</v>
      </c>
      <c r="O14" s="811">
        <v>223</v>
      </c>
      <c r="P14" s="811"/>
      <c r="R14" s="803"/>
      <c r="S14" s="803"/>
      <c r="T14" s="803"/>
      <c r="U14" s="803"/>
      <c r="V14" s="803"/>
      <c r="W14" s="801">
        <f t="shared" si="4"/>
        <v>1136</v>
      </c>
      <c r="Y14" s="798">
        <f t="shared" si="5"/>
        <v>1136</v>
      </c>
      <c r="AA14" s="823">
        <f>'CHAM CONG'!BA13</f>
        <v>0</v>
      </c>
      <c r="AB14" s="823">
        <f>'CHAM CONG'!BB13</f>
        <v>0</v>
      </c>
      <c r="AC14" s="823">
        <f>'CHAM CONG'!BC13</f>
        <v>0</v>
      </c>
      <c r="AD14" s="823">
        <f>'CHAM CONG'!BD13</f>
        <v>0</v>
      </c>
      <c r="AE14" s="824">
        <f t="shared" si="6"/>
        <v>499.84</v>
      </c>
      <c r="AF14" s="798">
        <f t="shared" si="7"/>
        <v>344</v>
      </c>
      <c r="AG14" s="831">
        <f t="shared" si="8"/>
        <v>474</v>
      </c>
      <c r="AH14" s="798">
        <f t="shared" si="9"/>
        <v>318</v>
      </c>
      <c r="AJ14" s="802">
        <f t="shared" si="10"/>
        <v>1136</v>
      </c>
      <c r="AU14" s="798">
        <f t="shared" si="3"/>
        <v>0</v>
      </c>
    </row>
    <row r="15" spans="1:47">
      <c r="A15" s="798">
        <v>7</v>
      </c>
      <c r="B15" s="810">
        <v>1</v>
      </c>
      <c r="C15" s="803"/>
      <c r="D15" s="803"/>
      <c r="E15" s="803"/>
      <c r="F15" s="803"/>
      <c r="G15" s="803">
        <v>81</v>
      </c>
      <c r="H15" s="811">
        <v>174</v>
      </c>
      <c r="I15" s="811">
        <v>191</v>
      </c>
      <c r="J15" s="811"/>
      <c r="K15" s="811"/>
      <c r="L15" s="815"/>
      <c r="M15" s="811">
        <v>82</v>
      </c>
      <c r="N15" s="811">
        <v>214</v>
      </c>
      <c r="O15" s="811">
        <v>143</v>
      </c>
      <c r="P15" s="811"/>
      <c r="R15" s="803"/>
      <c r="S15" s="803"/>
      <c r="T15" s="803"/>
      <c r="U15" s="803"/>
      <c r="V15" s="803"/>
      <c r="W15" s="801">
        <f t="shared" si="4"/>
        <v>885</v>
      </c>
      <c r="Y15" s="798">
        <f t="shared" si="5"/>
        <v>885</v>
      </c>
      <c r="AA15" s="823">
        <f>'CHAM CONG'!BA14</f>
        <v>0</v>
      </c>
      <c r="AB15" s="823">
        <f>'CHAM CONG'!BB14</f>
        <v>0</v>
      </c>
      <c r="AC15" s="823">
        <f>'CHAM CONG'!BC14</f>
        <v>0</v>
      </c>
      <c r="AD15" s="823">
        <f>'CHAM CONG'!BD14</f>
        <v>0</v>
      </c>
      <c r="AE15" s="824">
        <f t="shared" si="6"/>
        <v>389.4</v>
      </c>
      <c r="AF15" s="798">
        <f t="shared" si="7"/>
        <v>163</v>
      </c>
      <c r="AG15" s="831">
        <f t="shared" si="8"/>
        <v>388</v>
      </c>
      <c r="AH15" s="798">
        <f t="shared" si="9"/>
        <v>334</v>
      </c>
      <c r="AJ15" s="802">
        <f t="shared" si="10"/>
        <v>885</v>
      </c>
      <c r="AU15" s="798">
        <f t="shared" si="3"/>
        <v>0</v>
      </c>
    </row>
    <row r="16" spans="1:47">
      <c r="A16" s="798">
        <v>8</v>
      </c>
      <c r="B16" s="810">
        <v>1</v>
      </c>
      <c r="C16" s="803"/>
      <c r="D16" s="803"/>
      <c r="E16" s="803"/>
      <c r="F16" s="803"/>
      <c r="G16" s="803">
        <v>150</v>
      </c>
      <c r="H16" s="811">
        <v>177</v>
      </c>
      <c r="I16" s="811">
        <v>165</v>
      </c>
      <c r="J16" s="811"/>
      <c r="K16" s="811"/>
      <c r="L16" s="815"/>
      <c r="M16" s="811">
        <v>154</v>
      </c>
      <c r="N16" s="811">
        <v>224</v>
      </c>
      <c r="O16" s="811">
        <v>204</v>
      </c>
      <c r="P16" s="811"/>
      <c r="R16" s="803"/>
      <c r="S16" s="803"/>
      <c r="T16" s="803"/>
      <c r="U16" s="803"/>
      <c r="V16" s="803"/>
      <c r="W16" s="801">
        <f t="shared" si="4"/>
        <v>1074</v>
      </c>
      <c r="Y16" s="798">
        <f t="shared" si="5"/>
        <v>1074</v>
      </c>
      <c r="AA16" s="823">
        <f>'CHAM CONG'!BA15</f>
        <v>0</v>
      </c>
      <c r="AB16" s="823">
        <f>'CHAM CONG'!BB15</f>
        <v>0</v>
      </c>
      <c r="AC16" s="823">
        <f>'CHAM CONG'!BC15</f>
        <v>0</v>
      </c>
      <c r="AD16" s="823">
        <f>'CHAM CONG'!BD15</f>
        <v>0</v>
      </c>
      <c r="AE16" s="824">
        <f t="shared" si="6"/>
        <v>472.56</v>
      </c>
      <c r="AF16" s="798">
        <f t="shared" si="7"/>
        <v>304</v>
      </c>
      <c r="AG16" s="831">
        <f t="shared" si="8"/>
        <v>401</v>
      </c>
      <c r="AH16" s="798">
        <f t="shared" si="9"/>
        <v>369</v>
      </c>
      <c r="AJ16" s="802">
        <f t="shared" si="10"/>
        <v>1074</v>
      </c>
      <c r="AU16" s="798">
        <f t="shared" si="3"/>
        <v>0</v>
      </c>
    </row>
    <row r="17" spans="1:47">
      <c r="A17" s="798">
        <v>9</v>
      </c>
      <c r="B17" s="810">
        <v>1</v>
      </c>
      <c r="C17" s="803"/>
      <c r="D17" s="803"/>
      <c r="E17" s="803"/>
      <c r="F17" s="803"/>
      <c r="G17" s="803">
        <v>120</v>
      </c>
      <c r="H17" s="811">
        <v>82</v>
      </c>
      <c r="I17" s="811">
        <v>78</v>
      </c>
      <c r="J17" s="811"/>
      <c r="K17" s="811"/>
      <c r="L17" s="815"/>
      <c r="M17" s="811">
        <v>0</v>
      </c>
      <c r="N17" s="811">
        <v>282</v>
      </c>
      <c r="O17" s="811">
        <v>0</v>
      </c>
      <c r="P17" s="811"/>
      <c r="R17" s="803"/>
      <c r="S17" s="803"/>
      <c r="T17" s="803"/>
      <c r="U17" s="803"/>
      <c r="V17" s="803"/>
      <c r="W17" s="801">
        <f t="shared" si="4"/>
        <v>562</v>
      </c>
      <c r="Y17" s="798">
        <f t="shared" si="5"/>
        <v>562</v>
      </c>
      <c r="AA17" s="823">
        <f>'CHAM CONG'!BA16</f>
        <v>0</v>
      </c>
      <c r="AB17" s="823">
        <f>'CHAM CONG'!BB16</f>
        <v>0</v>
      </c>
      <c r="AC17" s="823">
        <f>'CHAM CONG'!BC16</f>
        <v>0</v>
      </c>
      <c r="AD17" s="823">
        <f>'CHAM CONG'!BD16</f>
        <v>0</v>
      </c>
      <c r="AE17" s="824">
        <f t="shared" si="6"/>
        <v>247.28</v>
      </c>
      <c r="AF17" s="798">
        <f t="shared" si="7"/>
        <v>120</v>
      </c>
      <c r="AG17" s="831">
        <f t="shared" si="8"/>
        <v>364</v>
      </c>
      <c r="AH17" s="798">
        <f t="shared" si="9"/>
        <v>78</v>
      </c>
      <c r="AJ17" s="802">
        <f t="shared" si="10"/>
        <v>562</v>
      </c>
      <c r="AU17" s="798">
        <f t="shared" si="3"/>
        <v>0</v>
      </c>
    </row>
    <row r="18" spans="1:47">
      <c r="A18" s="798">
        <v>10</v>
      </c>
      <c r="B18" s="810">
        <v>1</v>
      </c>
      <c r="C18" s="803"/>
      <c r="D18" s="803"/>
      <c r="E18" s="803"/>
      <c r="F18" s="803"/>
      <c r="G18" s="803">
        <v>0</v>
      </c>
      <c r="H18" s="811">
        <v>361</v>
      </c>
      <c r="I18" s="811">
        <v>90</v>
      </c>
      <c r="J18" s="811"/>
      <c r="K18" s="811"/>
      <c r="L18" s="815"/>
      <c r="M18" s="811">
        <v>205</v>
      </c>
      <c r="N18" s="811">
        <v>242</v>
      </c>
      <c r="O18" s="811">
        <v>278</v>
      </c>
      <c r="P18" s="811"/>
      <c r="R18" s="803"/>
      <c r="S18" s="803"/>
      <c r="T18" s="803"/>
      <c r="U18" s="803"/>
      <c r="V18" s="803"/>
      <c r="W18" s="801">
        <f t="shared" si="4"/>
        <v>1176</v>
      </c>
      <c r="Y18" s="798">
        <f t="shared" si="5"/>
        <v>1176</v>
      </c>
      <c r="AA18" s="823">
        <f>'CHAM CONG'!BA17</f>
        <v>0</v>
      </c>
      <c r="AB18" s="823">
        <f>'CHAM CONG'!BB17</f>
        <v>0</v>
      </c>
      <c r="AC18" s="823">
        <f>'CHAM CONG'!BC17</f>
        <v>0</v>
      </c>
      <c r="AD18" s="823">
        <f>'CHAM CONG'!BD17</f>
        <v>0</v>
      </c>
      <c r="AE18" s="824">
        <f t="shared" si="6"/>
        <v>517.44000000000005</v>
      </c>
      <c r="AF18" s="798">
        <f t="shared" si="7"/>
        <v>205</v>
      </c>
      <c r="AG18" s="831">
        <f t="shared" si="8"/>
        <v>603</v>
      </c>
      <c r="AH18" s="798">
        <f t="shared" si="9"/>
        <v>368</v>
      </c>
      <c r="AJ18" s="802">
        <f t="shared" si="10"/>
        <v>1176</v>
      </c>
      <c r="AU18" s="798">
        <f t="shared" si="3"/>
        <v>0</v>
      </c>
    </row>
    <row r="19" spans="1:47">
      <c r="A19" s="798">
        <v>11</v>
      </c>
      <c r="B19" s="810">
        <v>1</v>
      </c>
      <c r="C19" s="803"/>
      <c r="D19" s="803"/>
      <c r="E19" s="803"/>
      <c r="F19" s="803"/>
      <c r="G19" s="803">
        <v>0</v>
      </c>
      <c r="H19" s="811">
        <v>227</v>
      </c>
      <c r="I19" s="811">
        <v>80</v>
      </c>
      <c r="J19" s="811"/>
      <c r="K19" s="811"/>
      <c r="L19" s="811"/>
      <c r="M19" s="811">
        <v>124</v>
      </c>
      <c r="N19" s="811">
        <v>191</v>
      </c>
      <c r="O19" s="811">
        <v>108</v>
      </c>
      <c r="P19" s="811"/>
      <c r="R19" s="803"/>
      <c r="S19" s="803"/>
      <c r="T19" s="803"/>
      <c r="U19" s="803"/>
      <c r="V19" s="803"/>
      <c r="W19" s="801">
        <f t="shared" si="4"/>
        <v>730</v>
      </c>
      <c r="Y19" s="798">
        <f t="shared" si="5"/>
        <v>730</v>
      </c>
      <c r="AA19" s="823">
        <f>'CHAM CONG'!BA18</f>
        <v>0</v>
      </c>
      <c r="AB19" s="823">
        <f>'CHAM CONG'!BB18</f>
        <v>0</v>
      </c>
      <c r="AC19" s="823">
        <f>'CHAM CONG'!BC18</f>
        <v>0</v>
      </c>
      <c r="AD19" s="823">
        <f>'CHAM CONG'!BD18</f>
        <v>0</v>
      </c>
      <c r="AE19" s="824">
        <f t="shared" si="6"/>
        <v>321.2</v>
      </c>
      <c r="AF19" s="798">
        <f t="shared" si="7"/>
        <v>124</v>
      </c>
      <c r="AG19" s="831">
        <f t="shared" si="8"/>
        <v>418</v>
      </c>
      <c r="AH19" s="798">
        <f t="shared" si="9"/>
        <v>188</v>
      </c>
      <c r="AJ19" s="802">
        <f t="shared" si="10"/>
        <v>730</v>
      </c>
      <c r="AU19" s="798">
        <f t="shared" si="3"/>
        <v>0</v>
      </c>
    </row>
    <row r="20" spans="1:47">
      <c r="A20" s="798">
        <v>12</v>
      </c>
      <c r="B20" s="810">
        <v>1</v>
      </c>
      <c r="C20" s="803"/>
      <c r="D20" s="803"/>
      <c r="E20" s="803"/>
      <c r="F20" s="803"/>
      <c r="G20" s="803">
        <v>100</v>
      </c>
      <c r="H20" s="811">
        <v>118</v>
      </c>
      <c r="I20" s="811">
        <v>96</v>
      </c>
      <c r="J20" s="811"/>
      <c r="K20" s="811"/>
      <c r="L20" s="811"/>
      <c r="M20" s="811">
        <v>50</v>
      </c>
      <c r="N20" s="811">
        <v>64</v>
      </c>
      <c r="O20" s="811">
        <v>115</v>
      </c>
      <c r="P20" s="811"/>
      <c r="R20" s="803"/>
      <c r="S20" s="803"/>
      <c r="T20" s="803"/>
      <c r="U20" s="803"/>
      <c r="V20" s="803"/>
      <c r="W20" s="801">
        <f t="shared" si="4"/>
        <v>543</v>
      </c>
      <c r="Y20" s="798">
        <f t="shared" si="5"/>
        <v>543</v>
      </c>
      <c r="AA20" s="823">
        <f>'CHAM CONG'!BA19</f>
        <v>0</v>
      </c>
      <c r="AB20" s="823">
        <f>'CHAM CONG'!BB19</f>
        <v>0</v>
      </c>
      <c r="AC20" s="823">
        <f>'CHAM CONG'!BC19</f>
        <v>0</v>
      </c>
      <c r="AD20" s="823">
        <f>'CHAM CONG'!BD19</f>
        <v>0</v>
      </c>
      <c r="AE20" s="824">
        <f t="shared" si="6"/>
        <v>238.92</v>
      </c>
      <c r="AF20" s="798">
        <f t="shared" si="7"/>
        <v>150</v>
      </c>
      <c r="AG20" s="831">
        <f t="shared" si="8"/>
        <v>182</v>
      </c>
      <c r="AH20" s="798">
        <f t="shared" si="9"/>
        <v>211</v>
      </c>
      <c r="AJ20" s="802">
        <f t="shared" si="10"/>
        <v>543</v>
      </c>
      <c r="AU20" s="798">
        <f t="shared" si="3"/>
        <v>0</v>
      </c>
    </row>
    <row r="21" spans="1:47">
      <c r="A21" s="798">
        <v>13</v>
      </c>
      <c r="B21" s="810">
        <v>1</v>
      </c>
      <c r="C21" s="803"/>
      <c r="D21" s="803"/>
      <c r="E21" s="803"/>
      <c r="F21" s="803"/>
      <c r="G21" s="803">
        <v>105</v>
      </c>
      <c r="H21" s="811">
        <v>209</v>
      </c>
      <c r="I21" s="811">
        <v>97</v>
      </c>
      <c r="J21" s="811"/>
      <c r="K21" s="811"/>
      <c r="L21" s="811"/>
      <c r="M21" s="811">
        <v>194</v>
      </c>
      <c r="N21" s="811">
        <v>146</v>
      </c>
      <c r="O21" s="811">
        <v>214</v>
      </c>
      <c r="P21" s="811"/>
      <c r="R21" s="803"/>
      <c r="S21" s="803"/>
      <c r="T21" s="803"/>
      <c r="U21" s="803"/>
      <c r="V21" s="803"/>
      <c r="W21" s="801">
        <f t="shared" si="4"/>
        <v>965</v>
      </c>
      <c r="Y21" s="798">
        <f t="shared" si="5"/>
        <v>965</v>
      </c>
      <c r="AA21" s="823">
        <f>'CHAM CONG'!BA20</f>
        <v>0</v>
      </c>
      <c r="AB21" s="823">
        <f>'CHAM CONG'!BB20</f>
        <v>0</v>
      </c>
      <c r="AC21" s="823">
        <f>'CHAM CONG'!BC20</f>
        <v>0</v>
      </c>
      <c r="AD21" s="823">
        <f>'CHAM CONG'!BD20</f>
        <v>0</v>
      </c>
      <c r="AE21" s="824">
        <f t="shared" si="6"/>
        <v>424.6</v>
      </c>
      <c r="AF21" s="798">
        <f t="shared" si="7"/>
        <v>299</v>
      </c>
      <c r="AG21" s="831">
        <f t="shared" si="8"/>
        <v>355</v>
      </c>
      <c r="AH21" s="798">
        <f t="shared" si="9"/>
        <v>311</v>
      </c>
      <c r="AJ21" s="802">
        <f t="shared" si="10"/>
        <v>965</v>
      </c>
      <c r="AU21" s="798">
        <f t="shared" si="3"/>
        <v>0</v>
      </c>
    </row>
    <row r="22" spans="1:47">
      <c r="A22" s="798">
        <v>14</v>
      </c>
      <c r="B22" s="810">
        <v>1</v>
      </c>
      <c r="C22" s="803"/>
      <c r="D22" s="803"/>
      <c r="E22" s="803"/>
      <c r="F22" s="803"/>
      <c r="G22" s="803">
        <v>0</v>
      </c>
      <c r="H22" s="811">
        <v>199</v>
      </c>
      <c r="I22" s="811">
        <v>100</v>
      </c>
      <c r="J22" s="811"/>
      <c r="K22" s="811"/>
      <c r="L22" s="811"/>
      <c r="M22" s="811">
        <v>77</v>
      </c>
      <c r="N22" s="811">
        <v>205</v>
      </c>
      <c r="O22" s="811">
        <v>185</v>
      </c>
      <c r="P22" s="811"/>
      <c r="R22" s="803"/>
      <c r="S22" s="803"/>
      <c r="T22" s="803"/>
      <c r="U22" s="803"/>
      <c r="V22" s="803"/>
      <c r="W22" s="801">
        <f t="shared" si="4"/>
        <v>766</v>
      </c>
      <c r="Y22" s="798">
        <f t="shared" si="5"/>
        <v>766</v>
      </c>
      <c r="AA22" s="823">
        <f>'CHAM CONG'!BA21</f>
        <v>0</v>
      </c>
      <c r="AB22" s="823">
        <f>'CHAM CONG'!BB21</f>
        <v>0</v>
      </c>
      <c r="AC22" s="823">
        <f>'CHAM CONG'!BC21</f>
        <v>0</v>
      </c>
      <c r="AD22" s="823">
        <f>'CHAM CONG'!BD21</f>
        <v>0</v>
      </c>
      <c r="AE22" s="824">
        <f t="shared" si="6"/>
        <v>337.04</v>
      </c>
      <c r="AF22" s="798">
        <f t="shared" si="7"/>
        <v>77</v>
      </c>
      <c r="AG22" s="831">
        <f t="shared" si="8"/>
        <v>404</v>
      </c>
      <c r="AH22" s="798">
        <f t="shared" si="9"/>
        <v>285</v>
      </c>
      <c r="AJ22" s="802">
        <f t="shared" si="10"/>
        <v>766</v>
      </c>
      <c r="AU22" s="798">
        <f t="shared" si="3"/>
        <v>0</v>
      </c>
    </row>
    <row r="23" spans="1:47">
      <c r="A23" s="798">
        <v>15</v>
      </c>
      <c r="B23" s="810">
        <v>1</v>
      </c>
      <c r="C23" s="803"/>
      <c r="D23" s="803"/>
      <c r="E23" s="803"/>
      <c r="F23" s="803"/>
      <c r="G23" s="803">
        <v>108</v>
      </c>
      <c r="H23" s="811">
        <v>114</v>
      </c>
      <c r="I23" s="811">
        <v>222</v>
      </c>
      <c r="J23" s="811"/>
      <c r="K23" s="811"/>
      <c r="L23" s="811"/>
      <c r="M23" s="811">
        <v>177</v>
      </c>
      <c r="N23" s="811">
        <v>258</v>
      </c>
      <c r="O23" s="811">
        <v>242</v>
      </c>
      <c r="P23" s="811"/>
      <c r="R23" s="803"/>
      <c r="S23" s="803"/>
      <c r="T23" s="803"/>
      <c r="U23" s="803"/>
      <c r="V23" s="803"/>
      <c r="W23" s="801">
        <f t="shared" si="4"/>
        <v>1121</v>
      </c>
      <c r="Y23" s="798">
        <f t="shared" si="5"/>
        <v>1121</v>
      </c>
      <c r="AA23" s="823">
        <f>'CHAM CONG'!BA22</f>
        <v>0</v>
      </c>
      <c r="AB23" s="823">
        <f>'CHAM CONG'!BB22</f>
        <v>0</v>
      </c>
      <c r="AC23" s="823">
        <f>'CHAM CONG'!BC22</f>
        <v>0</v>
      </c>
      <c r="AD23" s="823">
        <f>'CHAM CONG'!BD22</f>
        <v>0</v>
      </c>
      <c r="AE23" s="824">
        <f t="shared" si="6"/>
        <v>493.24</v>
      </c>
      <c r="AF23" s="798">
        <f t="shared" si="7"/>
        <v>285</v>
      </c>
      <c r="AG23" s="831">
        <f t="shared" si="8"/>
        <v>372</v>
      </c>
      <c r="AH23" s="798">
        <f t="shared" si="9"/>
        <v>464</v>
      </c>
      <c r="AJ23" s="802">
        <f t="shared" si="10"/>
        <v>1121</v>
      </c>
      <c r="AU23" s="798">
        <f t="shared" si="3"/>
        <v>0</v>
      </c>
    </row>
    <row r="24" spans="1:47">
      <c r="A24" s="798">
        <v>16</v>
      </c>
      <c r="B24" s="810">
        <v>1</v>
      </c>
      <c r="C24" s="803"/>
      <c r="D24" s="803"/>
      <c r="E24" s="803"/>
      <c r="F24" s="803"/>
      <c r="G24" s="803">
        <v>104</v>
      </c>
      <c r="H24" s="811">
        <v>120</v>
      </c>
      <c r="I24" s="811">
        <v>155</v>
      </c>
      <c r="J24" s="811"/>
      <c r="K24" s="811"/>
      <c r="L24" s="811"/>
      <c r="M24" s="811">
        <v>210</v>
      </c>
      <c r="N24" s="811">
        <v>276</v>
      </c>
      <c r="O24" s="811">
        <v>210</v>
      </c>
      <c r="P24" s="811"/>
      <c r="R24" s="803"/>
      <c r="S24" s="803"/>
      <c r="T24" s="803"/>
      <c r="U24" s="803"/>
      <c r="V24" s="803"/>
      <c r="W24" s="801">
        <f t="shared" si="4"/>
        <v>1075</v>
      </c>
      <c r="Y24" s="798">
        <f t="shared" si="5"/>
        <v>1075</v>
      </c>
      <c r="AA24" s="823">
        <f>'CHAM CONG'!BA23</f>
        <v>0</v>
      </c>
      <c r="AB24" s="823">
        <f>'CHAM CONG'!BB23</f>
        <v>0</v>
      </c>
      <c r="AC24" s="823">
        <f>'CHAM CONG'!BC23</f>
        <v>0</v>
      </c>
      <c r="AD24" s="823">
        <f>'CHAM CONG'!BD23</f>
        <v>0</v>
      </c>
      <c r="AE24" s="824">
        <f t="shared" si="6"/>
        <v>473</v>
      </c>
      <c r="AF24" s="798">
        <f t="shared" si="7"/>
        <v>314</v>
      </c>
      <c r="AG24" s="831">
        <f t="shared" si="8"/>
        <v>396</v>
      </c>
      <c r="AH24" s="798">
        <f t="shared" si="9"/>
        <v>365</v>
      </c>
      <c r="AJ24" s="802">
        <f t="shared" si="10"/>
        <v>1075</v>
      </c>
      <c r="AU24" s="798">
        <f t="shared" si="3"/>
        <v>0</v>
      </c>
    </row>
    <row r="25" spans="1:47">
      <c r="A25" s="798">
        <v>17</v>
      </c>
      <c r="B25" s="810">
        <v>1</v>
      </c>
      <c r="C25" s="803"/>
      <c r="D25" s="803"/>
      <c r="E25" s="803"/>
      <c r="F25" s="803"/>
      <c r="G25" s="803">
        <v>101</v>
      </c>
      <c r="H25" s="811">
        <v>215</v>
      </c>
      <c r="I25" s="811">
        <v>178</v>
      </c>
      <c r="J25" s="811"/>
      <c r="K25" s="811"/>
      <c r="L25" s="811"/>
      <c r="M25" s="811">
        <v>172</v>
      </c>
      <c r="N25" s="811">
        <v>95</v>
      </c>
      <c r="O25" s="811">
        <v>179</v>
      </c>
      <c r="P25" s="811"/>
      <c r="R25" s="803"/>
      <c r="S25" s="803"/>
      <c r="T25" s="803"/>
      <c r="U25" s="803"/>
      <c r="V25" s="803"/>
      <c r="W25" s="801">
        <f t="shared" si="4"/>
        <v>940</v>
      </c>
      <c r="Y25" s="798">
        <f t="shared" si="5"/>
        <v>940</v>
      </c>
      <c r="AA25" s="823">
        <f>'CHAM CONG'!BA24</f>
        <v>0</v>
      </c>
      <c r="AB25" s="823">
        <f>'CHAM CONG'!BB24</f>
        <v>0</v>
      </c>
      <c r="AC25" s="823">
        <f>'CHAM CONG'!BC24</f>
        <v>0</v>
      </c>
      <c r="AD25" s="823">
        <f>'CHAM CONG'!BD24</f>
        <v>0</v>
      </c>
      <c r="AE25" s="824">
        <f t="shared" si="6"/>
        <v>413.6</v>
      </c>
      <c r="AF25" s="798">
        <f t="shared" si="7"/>
        <v>273</v>
      </c>
      <c r="AG25" s="831">
        <f t="shared" si="8"/>
        <v>310</v>
      </c>
      <c r="AH25" s="798">
        <f t="shared" si="9"/>
        <v>357</v>
      </c>
      <c r="AJ25" s="802">
        <f t="shared" si="10"/>
        <v>940</v>
      </c>
      <c r="AU25" s="798">
        <f t="shared" si="3"/>
        <v>0</v>
      </c>
    </row>
    <row r="26" spans="1:47">
      <c r="A26" s="798">
        <v>18</v>
      </c>
      <c r="B26" s="810">
        <v>1</v>
      </c>
      <c r="C26" s="803"/>
      <c r="D26" s="803"/>
      <c r="E26" s="803"/>
      <c r="F26" s="803"/>
      <c r="G26" s="803">
        <v>108</v>
      </c>
      <c r="H26" s="811">
        <v>180</v>
      </c>
      <c r="I26" s="811">
        <v>96</v>
      </c>
      <c r="J26" s="811"/>
      <c r="K26" s="811"/>
      <c r="L26" s="811"/>
      <c r="M26" s="811">
        <v>191</v>
      </c>
      <c r="N26" s="811">
        <v>228</v>
      </c>
      <c r="O26" s="811">
        <v>134</v>
      </c>
      <c r="P26" s="811"/>
      <c r="R26" s="803"/>
      <c r="S26" s="803"/>
      <c r="T26" s="803"/>
      <c r="U26" s="803"/>
      <c r="V26" s="803"/>
      <c r="W26" s="801">
        <f t="shared" si="4"/>
        <v>937</v>
      </c>
      <c r="Y26" s="798">
        <f t="shared" si="5"/>
        <v>937</v>
      </c>
      <c r="AA26" s="823">
        <f>'CHAM CONG'!BA25</f>
        <v>0</v>
      </c>
      <c r="AB26" s="823">
        <f>'CHAM CONG'!BB25</f>
        <v>0</v>
      </c>
      <c r="AC26" s="823">
        <f>'CHAM CONG'!BC25</f>
        <v>0</v>
      </c>
      <c r="AD26" s="823">
        <f>'CHAM CONG'!BD25</f>
        <v>0</v>
      </c>
      <c r="AE26" s="824">
        <f t="shared" si="6"/>
        <v>412.28</v>
      </c>
      <c r="AF26" s="798">
        <f t="shared" si="7"/>
        <v>299</v>
      </c>
      <c r="AG26" s="831">
        <f t="shared" si="8"/>
        <v>408</v>
      </c>
      <c r="AH26" s="798">
        <f t="shared" si="9"/>
        <v>230</v>
      </c>
      <c r="AJ26" s="802">
        <f t="shared" si="10"/>
        <v>937</v>
      </c>
      <c r="AU26" s="798">
        <f t="shared" si="3"/>
        <v>0</v>
      </c>
    </row>
    <row r="27" spans="1:47">
      <c r="A27" s="798">
        <v>19</v>
      </c>
      <c r="B27" s="810">
        <v>1</v>
      </c>
      <c r="C27" s="803"/>
      <c r="D27" s="803"/>
      <c r="E27" s="803"/>
      <c r="F27" s="803"/>
      <c r="G27" s="803">
        <v>136</v>
      </c>
      <c r="H27" s="811">
        <v>103</v>
      </c>
      <c r="I27" s="811">
        <v>204</v>
      </c>
      <c r="J27" s="811"/>
      <c r="K27" s="807"/>
      <c r="L27" s="811"/>
      <c r="M27" s="811">
        <v>257</v>
      </c>
      <c r="N27" s="811">
        <v>215</v>
      </c>
      <c r="O27" s="811">
        <v>254</v>
      </c>
      <c r="P27" s="811"/>
      <c r="R27" s="803"/>
      <c r="S27" s="803"/>
      <c r="T27" s="803"/>
      <c r="U27" s="803"/>
      <c r="V27" s="803"/>
      <c r="W27" s="801">
        <f t="shared" si="4"/>
        <v>1169</v>
      </c>
      <c r="Y27" s="798">
        <f t="shared" si="5"/>
        <v>1169</v>
      </c>
      <c r="AA27" s="823">
        <f>'CHAM CONG'!BA26</f>
        <v>0</v>
      </c>
      <c r="AB27" s="823">
        <f>'CHAM CONG'!BB26</f>
        <v>0</v>
      </c>
      <c r="AC27" s="823">
        <f>'CHAM CONG'!BC26</f>
        <v>0</v>
      </c>
      <c r="AD27" s="823">
        <f>'CHAM CONG'!BD26</f>
        <v>0</v>
      </c>
      <c r="AE27" s="824">
        <f t="shared" si="6"/>
        <v>514.36</v>
      </c>
      <c r="AF27" s="798">
        <f t="shared" si="7"/>
        <v>393</v>
      </c>
      <c r="AG27" s="831">
        <f t="shared" si="8"/>
        <v>318</v>
      </c>
      <c r="AH27" s="798">
        <f t="shared" si="9"/>
        <v>458</v>
      </c>
      <c r="AJ27" s="802">
        <f t="shared" si="10"/>
        <v>1169</v>
      </c>
      <c r="AU27" s="798">
        <f t="shared" si="3"/>
        <v>0</v>
      </c>
    </row>
    <row r="28" spans="1:47">
      <c r="A28" s="798">
        <v>20</v>
      </c>
      <c r="B28" s="810">
        <v>1</v>
      </c>
      <c r="C28" s="803"/>
      <c r="D28" s="803"/>
      <c r="E28" s="803"/>
      <c r="F28" s="803"/>
      <c r="G28" s="803">
        <v>225</v>
      </c>
      <c r="H28" s="811">
        <v>228</v>
      </c>
      <c r="I28" s="811">
        <v>80</v>
      </c>
      <c r="J28" s="811"/>
      <c r="K28" s="811"/>
      <c r="L28" s="811"/>
      <c r="M28" s="811">
        <v>227</v>
      </c>
      <c r="N28" s="811">
        <v>181</v>
      </c>
      <c r="O28" s="811">
        <v>193</v>
      </c>
      <c r="P28" s="811"/>
      <c r="Q28" s="819"/>
      <c r="R28" s="803"/>
      <c r="S28" s="803"/>
      <c r="T28" s="803"/>
      <c r="U28" s="803"/>
      <c r="V28" s="803"/>
      <c r="W28" s="801">
        <f t="shared" si="4"/>
        <v>1134</v>
      </c>
      <c r="Y28" s="798">
        <f t="shared" si="5"/>
        <v>1134</v>
      </c>
      <c r="AA28" s="823">
        <f>'CHAM CONG'!BA27</f>
        <v>0</v>
      </c>
      <c r="AB28" s="823">
        <f>'CHAM CONG'!BB27</f>
        <v>0</v>
      </c>
      <c r="AC28" s="823">
        <f>'CHAM CONG'!BC27</f>
        <v>0</v>
      </c>
      <c r="AD28" s="823">
        <f>'CHAM CONG'!BD27</f>
        <v>0</v>
      </c>
      <c r="AE28" s="824">
        <f t="shared" si="6"/>
        <v>498.96</v>
      </c>
      <c r="AF28" s="798">
        <f t="shared" si="7"/>
        <v>452</v>
      </c>
      <c r="AG28" s="831">
        <f t="shared" si="8"/>
        <v>409</v>
      </c>
      <c r="AH28" s="798">
        <f t="shared" si="9"/>
        <v>273</v>
      </c>
      <c r="AJ28" s="802">
        <f t="shared" si="10"/>
        <v>1134</v>
      </c>
      <c r="AU28" s="798">
        <f t="shared" si="3"/>
        <v>0</v>
      </c>
    </row>
    <row r="29" spans="1:47" s="9" customFormat="1">
      <c r="A29" s="9">
        <v>21</v>
      </c>
      <c r="B29" s="810">
        <v>1</v>
      </c>
      <c r="C29" s="811"/>
      <c r="D29" s="811"/>
      <c r="E29" s="811"/>
      <c r="F29" s="811"/>
      <c r="G29" s="811">
        <v>196</v>
      </c>
      <c r="H29" s="811">
        <v>130</v>
      </c>
      <c r="I29" s="811">
        <v>193</v>
      </c>
      <c r="J29" s="811"/>
      <c r="K29" s="811"/>
      <c r="L29" s="811"/>
      <c r="M29" s="811">
        <v>286</v>
      </c>
      <c r="N29" s="811">
        <v>295</v>
      </c>
      <c r="O29" s="811">
        <v>249</v>
      </c>
      <c r="P29" s="811"/>
      <c r="Q29" s="819"/>
      <c r="R29" s="811"/>
      <c r="S29" s="811"/>
      <c r="T29" s="811"/>
      <c r="U29" s="811"/>
      <c r="V29" s="811"/>
      <c r="W29" s="801">
        <f t="shared" si="4"/>
        <v>1349</v>
      </c>
      <c r="Y29" s="9">
        <f t="shared" si="5"/>
        <v>1349</v>
      </c>
      <c r="AA29" s="825">
        <f>'CHAM CONG'!BA28</f>
        <v>0</v>
      </c>
      <c r="AB29" s="825">
        <f>'CHAM CONG'!BB28</f>
        <v>0</v>
      </c>
      <c r="AC29" s="825">
        <f>'CHAM CONG'!BC28</f>
        <v>0</v>
      </c>
      <c r="AD29" s="825">
        <f>'CHAM CONG'!BD28</f>
        <v>0</v>
      </c>
      <c r="AE29" s="824">
        <f t="shared" si="6"/>
        <v>593.55999999999995</v>
      </c>
      <c r="AF29" s="798">
        <f t="shared" si="7"/>
        <v>482</v>
      </c>
      <c r="AG29" s="831">
        <f t="shared" si="8"/>
        <v>425</v>
      </c>
      <c r="AH29" s="798">
        <f t="shared" si="9"/>
        <v>442</v>
      </c>
      <c r="AI29" s="798"/>
      <c r="AJ29" s="833">
        <f t="shared" si="10"/>
        <v>1349</v>
      </c>
      <c r="AU29" s="9">
        <f t="shared" si="3"/>
        <v>0</v>
      </c>
    </row>
    <row r="30" spans="1:47" s="9" customFormat="1">
      <c r="A30" s="9">
        <v>22</v>
      </c>
      <c r="B30" s="810">
        <v>1</v>
      </c>
      <c r="C30" s="811"/>
      <c r="D30" s="811"/>
      <c r="E30" s="811"/>
      <c r="F30" s="811"/>
      <c r="G30" s="811">
        <v>120</v>
      </c>
      <c r="H30" s="811">
        <v>169</v>
      </c>
      <c r="I30" s="811">
        <v>140</v>
      </c>
      <c r="J30" s="811"/>
      <c r="K30" s="811"/>
      <c r="L30" s="811"/>
      <c r="M30" s="811">
        <v>0</v>
      </c>
      <c r="N30" s="811">
        <v>0</v>
      </c>
      <c r="O30" s="811">
        <v>0</v>
      </c>
      <c r="P30" s="811"/>
      <c r="Q30" s="819"/>
      <c r="R30" s="811"/>
      <c r="S30" s="811"/>
      <c r="T30" s="811"/>
      <c r="U30" s="811"/>
      <c r="V30" s="811"/>
      <c r="W30" s="801">
        <f t="shared" si="4"/>
        <v>429</v>
      </c>
      <c r="Y30" s="9">
        <f t="shared" si="5"/>
        <v>429</v>
      </c>
      <c r="AA30" s="825">
        <f>'CHAM CONG'!BA29</f>
        <v>0</v>
      </c>
      <c r="AB30" s="825">
        <f>'CHAM CONG'!BB29</f>
        <v>0</v>
      </c>
      <c r="AC30" s="825">
        <f>'CHAM CONG'!BC29</f>
        <v>0</v>
      </c>
      <c r="AD30" s="825">
        <f>'CHAM CONG'!BD29</f>
        <v>0</v>
      </c>
      <c r="AE30" s="824">
        <f t="shared" si="6"/>
        <v>188.76</v>
      </c>
      <c r="AF30" s="798">
        <f t="shared" si="7"/>
        <v>120</v>
      </c>
      <c r="AG30" s="831">
        <f t="shared" si="8"/>
        <v>169</v>
      </c>
      <c r="AH30" s="798">
        <f t="shared" si="9"/>
        <v>140</v>
      </c>
      <c r="AI30" s="798"/>
      <c r="AJ30" s="833">
        <f t="shared" si="10"/>
        <v>429</v>
      </c>
      <c r="AU30" s="9">
        <f t="shared" si="3"/>
        <v>0</v>
      </c>
    </row>
    <row r="31" spans="1:47" s="9" customFormat="1">
      <c r="A31" s="9">
        <v>23</v>
      </c>
      <c r="B31" s="810">
        <v>1</v>
      </c>
      <c r="C31" s="811"/>
      <c r="D31" s="811"/>
      <c r="E31" s="811"/>
      <c r="F31" s="811"/>
      <c r="G31" s="811">
        <v>167</v>
      </c>
      <c r="H31" s="811">
        <v>150</v>
      </c>
      <c r="I31" s="811">
        <v>222</v>
      </c>
      <c r="J31" s="811"/>
      <c r="K31" s="811"/>
      <c r="L31" s="811"/>
      <c r="M31" s="811">
        <v>233</v>
      </c>
      <c r="N31" s="811">
        <v>188</v>
      </c>
      <c r="O31" s="811">
        <v>168</v>
      </c>
      <c r="P31" s="811"/>
      <c r="Q31" s="819"/>
      <c r="R31" s="811"/>
      <c r="S31" s="811"/>
      <c r="T31" s="811"/>
      <c r="U31" s="811"/>
      <c r="V31" s="811"/>
      <c r="W31" s="801">
        <f t="shared" si="4"/>
        <v>1128</v>
      </c>
      <c r="Y31" s="9">
        <f t="shared" si="5"/>
        <v>1128</v>
      </c>
      <c r="AA31" s="825">
        <f>'CHAM CONG'!BA30</f>
        <v>0</v>
      </c>
      <c r="AB31" s="825">
        <f>'CHAM CONG'!BB30</f>
        <v>0</v>
      </c>
      <c r="AC31" s="825">
        <f>'CHAM CONG'!BC30</f>
        <v>0</v>
      </c>
      <c r="AD31" s="825">
        <f>'CHAM CONG'!BD30</f>
        <v>0</v>
      </c>
      <c r="AE31" s="824">
        <f t="shared" si="6"/>
        <v>496.32</v>
      </c>
      <c r="AF31" s="798">
        <f t="shared" si="7"/>
        <v>400</v>
      </c>
      <c r="AG31" s="831">
        <f t="shared" si="8"/>
        <v>338</v>
      </c>
      <c r="AH31" s="798">
        <f t="shared" si="9"/>
        <v>390</v>
      </c>
      <c r="AI31" s="798"/>
      <c r="AJ31" s="833">
        <f t="shared" si="10"/>
        <v>1128</v>
      </c>
      <c r="AU31" s="9">
        <f t="shared" si="3"/>
        <v>0</v>
      </c>
    </row>
    <row r="32" spans="1:47" s="9" customFormat="1">
      <c r="A32" s="9">
        <v>24</v>
      </c>
      <c r="B32" s="810">
        <v>1</v>
      </c>
      <c r="C32" s="811"/>
      <c r="D32" s="811"/>
      <c r="E32" s="811"/>
      <c r="F32" s="811"/>
      <c r="G32" s="811">
        <v>250</v>
      </c>
      <c r="H32" s="811">
        <v>165</v>
      </c>
      <c r="I32" s="811">
        <v>130</v>
      </c>
      <c r="J32" s="811"/>
      <c r="K32" s="811"/>
      <c r="L32" s="811"/>
      <c r="M32" s="811">
        <v>262</v>
      </c>
      <c r="N32" s="811">
        <v>207</v>
      </c>
      <c r="O32" s="811">
        <v>147</v>
      </c>
      <c r="P32" s="811"/>
      <c r="Q32" s="819"/>
      <c r="R32" s="811"/>
      <c r="S32" s="811"/>
      <c r="T32" s="811"/>
      <c r="U32" s="811"/>
      <c r="V32" s="811"/>
      <c r="W32" s="801">
        <f t="shared" si="4"/>
        <v>1161</v>
      </c>
      <c r="Y32" s="9">
        <f t="shared" si="5"/>
        <v>1161</v>
      </c>
      <c r="AA32" s="825">
        <f>'CHAM CONG'!BA31</f>
        <v>0</v>
      </c>
      <c r="AB32" s="825">
        <f>'CHAM CONG'!BB31</f>
        <v>0</v>
      </c>
      <c r="AC32" s="825">
        <f>'CHAM CONG'!BC31</f>
        <v>0</v>
      </c>
      <c r="AD32" s="825">
        <f>'CHAM CONG'!BD31</f>
        <v>0</v>
      </c>
      <c r="AE32" s="824">
        <f t="shared" si="6"/>
        <v>510.84</v>
      </c>
      <c r="AF32" s="798">
        <f t="shared" si="7"/>
        <v>512</v>
      </c>
      <c r="AG32" s="831">
        <f t="shared" si="8"/>
        <v>372</v>
      </c>
      <c r="AH32" s="798">
        <f t="shared" si="9"/>
        <v>277</v>
      </c>
      <c r="AI32" s="798"/>
      <c r="AJ32" s="833">
        <f t="shared" si="10"/>
        <v>1161</v>
      </c>
      <c r="AU32" s="9">
        <f t="shared" si="3"/>
        <v>0</v>
      </c>
    </row>
    <row r="33" spans="1:47" s="9" customFormat="1">
      <c r="A33" s="9">
        <v>25</v>
      </c>
      <c r="B33" s="810">
        <v>1</v>
      </c>
      <c r="C33" s="811"/>
      <c r="D33" s="811"/>
      <c r="E33" s="811"/>
      <c r="F33" s="811"/>
      <c r="G33" s="811">
        <v>158</v>
      </c>
      <c r="H33" s="811">
        <v>155</v>
      </c>
      <c r="I33" s="811">
        <v>215</v>
      </c>
      <c r="J33" s="811"/>
      <c r="K33" s="811"/>
      <c r="L33" s="811"/>
      <c r="M33" s="811">
        <v>256</v>
      </c>
      <c r="N33" s="811">
        <v>187</v>
      </c>
      <c r="O33" s="811">
        <v>164</v>
      </c>
      <c r="P33" s="811"/>
      <c r="Q33" s="819"/>
      <c r="R33" s="811"/>
      <c r="S33" s="811"/>
      <c r="T33" s="811"/>
      <c r="U33" s="811"/>
      <c r="V33" s="811"/>
      <c r="W33" s="801">
        <f t="shared" si="4"/>
        <v>1135</v>
      </c>
      <c r="Y33" s="9">
        <f t="shared" si="5"/>
        <v>1135</v>
      </c>
      <c r="AA33" s="825">
        <f>'CHAM CONG'!BA32</f>
        <v>0</v>
      </c>
      <c r="AB33" s="825">
        <f>'CHAM CONG'!BB32</f>
        <v>0</v>
      </c>
      <c r="AC33" s="825">
        <f>'CHAM CONG'!BC32</f>
        <v>0</v>
      </c>
      <c r="AD33" s="825">
        <f>'CHAM CONG'!BD32</f>
        <v>0</v>
      </c>
      <c r="AE33" s="824">
        <f t="shared" si="6"/>
        <v>499.4</v>
      </c>
      <c r="AF33" s="798">
        <f t="shared" si="7"/>
        <v>414</v>
      </c>
      <c r="AG33" s="831">
        <f t="shared" si="8"/>
        <v>342</v>
      </c>
      <c r="AH33" s="798">
        <f t="shared" si="9"/>
        <v>379</v>
      </c>
      <c r="AI33" s="798"/>
      <c r="AJ33" s="833">
        <f t="shared" si="10"/>
        <v>1135</v>
      </c>
      <c r="AU33" s="9">
        <f t="shared" si="3"/>
        <v>0</v>
      </c>
    </row>
    <row r="34" spans="1:47" s="9" customFormat="1">
      <c r="A34" s="9">
        <v>26</v>
      </c>
      <c r="B34" s="810">
        <v>1</v>
      </c>
      <c r="C34" s="811"/>
      <c r="D34" s="811"/>
      <c r="E34" s="811"/>
      <c r="F34" s="811"/>
      <c r="G34" s="811">
        <v>81</v>
      </c>
      <c r="H34" s="811">
        <v>161</v>
      </c>
      <c r="I34" s="811">
        <v>221</v>
      </c>
      <c r="J34" s="811"/>
      <c r="K34" s="811"/>
      <c r="L34" s="811"/>
      <c r="M34" s="811">
        <v>236</v>
      </c>
      <c r="N34" s="811">
        <v>201</v>
      </c>
      <c r="O34" s="811">
        <v>202</v>
      </c>
      <c r="P34" s="811"/>
      <c r="Q34" s="819"/>
      <c r="R34" s="811"/>
      <c r="S34" s="811"/>
      <c r="T34" s="811"/>
      <c r="U34" s="811"/>
      <c r="V34" s="811"/>
      <c r="W34" s="801">
        <f t="shared" si="4"/>
        <v>1102</v>
      </c>
      <c r="Y34" s="9">
        <f t="shared" si="5"/>
        <v>1102</v>
      </c>
      <c r="AA34" s="825">
        <f>'CHAM CONG'!BA33</f>
        <v>0</v>
      </c>
      <c r="AB34" s="825">
        <f>'CHAM CONG'!BB33</f>
        <v>0</v>
      </c>
      <c r="AC34" s="825">
        <f>'CHAM CONG'!BC33</f>
        <v>0</v>
      </c>
      <c r="AD34" s="825">
        <f>'CHAM CONG'!BD33</f>
        <v>0</v>
      </c>
      <c r="AE34" s="824">
        <f t="shared" si="6"/>
        <v>484.88</v>
      </c>
      <c r="AF34" s="798">
        <f t="shared" si="7"/>
        <v>317</v>
      </c>
      <c r="AG34" s="831">
        <f t="shared" si="8"/>
        <v>362</v>
      </c>
      <c r="AH34" s="798">
        <f t="shared" si="9"/>
        <v>423</v>
      </c>
      <c r="AI34" s="798"/>
      <c r="AJ34" s="833">
        <f t="shared" si="10"/>
        <v>1102</v>
      </c>
      <c r="AU34" s="9">
        <f t="shared" si="3"/>
        <v>0</v>
      </c>
    </row>
    <row r="35" spans="1:47" s="9" customFormat="1">
      <c r="A35" s="9">
        <v>27</v>
      </c>
      <c r="B35" s="810">
        <v>1</v>
      </c>
      <c r="C35" s="811"/>
      <c r="D35" s="811"/>
      <c r="E35" s="811"/>
      <c r="F35" s="811"/>
      <c r="G35" s="811">
        <v>93</v>
      </c>
      <c r="H35" s="811">
        <v>163</v>
      </c>
      <c r="I35" s="811">
        <v>226</v>
      </c>
      <c r="J35" s="811"/>
      <c r="K35" s="811"/>
      <c r="L35" s="811"/>
      <c r="M35" s="811">
        <v>237</v>
      </c>
      <c r="N35" s="811">
        <v>206</v>
      </c>
      <c r="O35" s="811">
        <v>200</v>
      </c>
      <c r="P35" s="811"/>
      <c r="Q35" s="819"/>
      <c r="R35" s="811"/>
      <c r="S35" s="811"/>
      <c r="T35" s="811"/>
      <c r="U35" s="811"/>
      <c r="V35" s="811"/>
      <c r="W35" s="801">
        <f t="shared" si="4"/>
        <v>1125</v>
      </c>
      <c r="Y35" s="9">
        <f t="shared" si="5"/>
        <v>1125</v>
      </c>
      <c r="AA35" s="825">
        <f>'CHAM CONG'!BA34</f>
        <v>0</v>
      </c>
      <c r="AB35" s="825">
        <f>'CHAM CONG'!BB34</f>
        <v>0</v>
      </c>
      <c r="AC35" s="825">
        <f>'CHAM CONG'!BC34</f>
        <v>0</v>
      </c>
      <c r="AD35" s="825">
        <f>'CHAM CONG'!BD34</f>
        <v>0</v>
      </c>
      <c r="AE35" s="824">
        <f t="shared" si="6"/>
        <v>495</v>
      </c>
      <c r="AF35" s="798">
        <f t="shared" si="7"/>
        <v>330</v>
      </c>
      <c r="AG35" s="831">
        <f t="shared" si="8"/>
        <v>369</v>
      </c>
      <c r="AH35" s="798">
        <f t="shared" si="9"/>
        <v>426</v>
      </c>
      <c r="AI35" s="798"/>
      <c r="AJ35" s="833">
        <f t="shared" si="10"/>
        <v>1125</v>
      </c>
      <c r="AU35" s="9">
        <f t="shared" si="3"/>
        <v>0</v>
      </c>
    </row>
    <row r="36" spans="1:47" s="9" customFormat="1">
      <c r="A36" s="9">
        <v>28</v>
      </c>
      <c r="B36" s="810">
        <v>1</v>
      </c>
      <c r="C36" s="811"/>
      <c r="D36" s="811"/>
      <c r="E36" s="811"/>
      <c r="F36" s="811"/>
      <c r="G36" s="811">
        <v>175</v>
      </c>
      <c r="H36" s="811">
        <v>122</v>
      </c>
      <c r="I36" s="811">
        <v>142</v>
      </c>
      <c r="J36" s="811"/>
      <c r="K36" s="811"/>
      <c r="L36" s="811"/>
      <c r="M36" s="811">
        <v>181</v>
      </c>
      <c r="N36" s="811">
        <v>89</v>
      </c>
      <c r="O36" s="811">
        <v>157</v>
      </c>
      <c r="P36" s="811"/>
      <c r="Q36" s="819"/>
      <c r="R36" s="811"/>
      <c r="S36" s="811"/>
      <c r="T36" s="811"/>
      <c r="U36" s="811"/>
      <c r="V36" s="811"/>
      <c r="W36" s="801">
        <f t="shared" si="4"/>
        <v>866</v>
      </c>
      <c r="Y36" s="9">
        <f t="shared" si="5"/>
        <v>866</v>
      </c>
      <c r="AA36" s="825">
        <f>'CHAM CONG'!BA35</f>
        <v>0</v>
      </c>
      <c r="AB36" s="825">
        <f>'CHAM CONG'!BB35</f>
        <v>0</v>
      </c>
      <c r="AC36" s="825">
        <f>'CHAM CONG'!BC35</f>
        <v>0</v>
      </c>
      <c r="AD36" s="825">
        <f>'CHAM CONG'!BD35</f>
        <v>0</v>
      </c>
      <c r="AE36" s="824">
        <f t="shared" si="6"/>
        <v>381.04</v>
      </c>
      <c r="AF36" s="798">
        <f t="shared" si="7"/>
        <v>356</v>
      </c>
      <c r="AG36" s="831">
        <f t="shared" si="8"/>
        <v>211</v>
      </c>
      <c r="AH36" s="798">
        <f t="shared" si="9"/>
        <v>299</v>
      </c>
      <c r="AI36" s="798"/>
      <c r="AJ36" s="833">
        <f t="shared" si="10"/>
        <v>866</v>
      </c>
      <c r="AU36" s="9">
        <f t="shared" si="3"/>
        <v>0</v>
      </c>
    </row>
    <row r="37" spans="1:47" s="9" customFormat="1">
      <c r="A37" s="9">
        <v>29</v>
      </c>
      <c r="B37" s="810">
        <v>1</v>
      </c>
      <c r="C37" s="811"/>
      <c r="D37" s="811"/>
      <c r="E37" s="811"/>
      <c r="F37" s="811"/>
      <c r="G37" s="811">
        <v>118</v>
      </c>
      <c r="H37" s="811">
        <v>128</v>
      </c>
      <c r="I37" s="811">
        <v>74</v>
      </c>
      <c r="J37" s="811"/>
      <c r="K37" s="811"/>
      <c r="L37" s="811"/>
      <c r="M37" s="811">
        <v>90</v>
      </c>
      <c r="N37" s="811">
        <v>148</v>
      </c>
      <c r="O37" s="811">
        <v>232</v>
      </c>
      <c r="P37" s="811"/>
      <c r="Q37" s="819"/>
      <c r="R37" s="811"/>
      <c r="S37" s="811"/>
      <c r="T37" s="811"/>
      <c r="U37" s="811"/>
      <c r="V37" s="811"/>
      <c r="W37" s="801">
        <f t="shared" si="4"/>
        <v>790</v>
      </c>
      <c r="Y37" s="9">
        <f t="shared" si="5"/>
        <v>790</v>
      </c>
      <c r="AA37" s="825">
        <f>'CHAM CONG'!BA36</f>
        <v>0</v>
      </c>
      <c r="AB37" s="825">
        <f>'CHAM CONG'!BB36</f>
        <v>0</v>
      </c>
      <c r="AC37" s="825">
        <f>'CHAM CONG'!BC36</f>
        <v>0</v>
      </c>
      <c r="AD37" s="825">
        <f>'CHAM CONG'!BD36</f>
        <v>0</v>
      </c>
      <c r="AE37" s="824">
        <f t="shared" si="6"/>
        <v>347.6</v>
      </c>
      <c r="AF37" s="798">
        <f t="shared" si="7"/>
        <v>208</v>
      </c>
      <c r="AG37" s="831">
        <f t="shared" si="8"/>
        <v>276</v>
      </c>
      <c r="AH37" s="798">
        <f t="shared" si="9"/>
        <v>306</v>
      </c>
      <c r="AI37" s="798"/>
      <c r="AJ37" s="833">
        <f t="shared" si="10"/>
        <v>790</v>
      </c>
      <c r="AU37" s="9">
        <f t="shared" si="3"/>
        <v>0</v>
      </c>
    </row>
    <row r="38" spans="1:47" s="9" customFormat="1">
      <c r="A38" s="9">
        <v>30</v>
      </c>
      <c r="B38" s="810">
        <v>1</v>
      </c>
      <c r="C38" s="811"/>
      <c r="D38" s="811"/>
      <c r="E38" s="811"/>
      <c r="F38" s="811"/>
      <c r="G38" s="811">
        <v>288</v>
      </c>
      <c r="H38" s="811">
        <v>167</v>
      </c>
      <c r="I38" s="811">
        <v>198</v>
      </c>
      <c r="J38" s="811"/>
      <c r="K38" s="811"/>
      <c r="L38" s="811"/>
      <c r="M38" s="811">
        <v>266</v>
      </c>
      <c r="N38" s="811">
        <v>210</v>
      </c>
      <c r="O38" s="811">
        <v>236</v>
      </c>
      <c r="P38" s="811"/>
      <c r="Q38" s="819"/>
      <c r="R38" s="811"/>
      <c r="S38" s="811"/>
      <c r="T38" s="811"/>
      <c r="U38" s="811"/>
      <c r="V38" s="811"/>
      <c r="W38" s="801">
        <f t="shared" si="4"/>
        <v>1365</v>
      </c>
      <c r="Y38" s="9">
        <f t="shared" si="5"/>
        <v>1365</v>
      </c>
      <c r="AA38" s="825">
        <f>'CHAM CONG'!BA37</f>
        <v>0</v>
      </c>
      <c r="AB38" s="825">
        <f>'CHAM CONG'!BB37</f>
        <v>0</v>
      </c>
      <c r="AC38" s="825">
        <f>'CHAM CONG'!BC37</f>
        <v>0</v>
      </c>
      <c r="AD38" s="825">
        <f>'CHAM CONG'!BD37</f>
        <v>0</v>
      </c>
      <c r="AE38" s="824">
        <f t="shared" si="6"/>
        <v>600.6</v>
      </c>
      <c r="AF38" s="798">
        <f t="shared" si="7"/>
        <v>554</v>
      </c>
      <c r="AG38" s="831">
        <f t="shared" si="8"/>
        <v>377</v>
      </c>
      <c r="AH38" s="798">
        <f t="shared" si="9"/>
        <v>434</v>
      </c>
      <c r="AI38" s="798"/>
      <c r="AJ38" s="833">
        <f t="shared" si="10"/>
        <v>1365</v>
      </c>
      <c r="AU38" s="9">
        <f t="shared" si="3"/>
        <v>0</v>
      </c>
    </row>
    <row r="39" spans="1:47" s="9" customFormat="1">
      <c r="A39" s="9">
        <v>31</v>
      </c>
      <c r="B39" s="810">
        <v>1</v>
      </c>
      <c r="C39" s="811"/>
      <c r="D39" s="811"/>
      <c r="E39" s="811"/>
      <c r="F39" s="811"/>
      <c r="G39" s="811">
        <v>276</v>
      </c>
      <c r="H39" s="811">
        <v>69</v>
      </c>
      <c r="I39" s="811">
        <v>213</v>
      </c>
      <c r="J39" s="811"/>
      <c r="K39" s="811"/>
      <c r="L39" s="811"/>
      <c r="M39" s="811">
        <v>254</v>
      </c>
      <c r="N39" s="811">
        <v>215</v>
      </c>
      <c r="O39" s="811">
        <v>248</v>
      </c>
      <c r="P39" s="811"/>
      <c r="Q39" s="819"/>
      <c r="R39" s="811"/>
      <c r="S39" s="811"/>
      <c r="T39" s="811"/>
      <c r="U39" s="811"/>
      <c r="V39" s="811"/>
      <c r="W39" s="801">
        <f t="shared" si="4"/>
        <v>1275</v>
      </c>
      <c r="Y39" s="9">
        <f t="shared" si="5"/>
        <v>1275</v>
      </c>
      <c r="AA39" s="825">
        <f>'CHAM CONG'!BA38</f>
        <v>0</v>
      </c>
      <c r="AB39" s="825">
        <f>'CHAM CONG'!BB38</f>
        <v>0</v>
      </c>
      <c r="AC39" s="825">
        <f>'CHAM CONG'!BC38</f>
        <v>0</v>
      </c>
      <c r="AD39" s="825">
        <f>'CHAM CONG'!BD38</f>
        <v>0</v>
      </c>
      <c r="AE39" s="824">
        <f t="shared" si="6"/>
        <v>561</v>
      </c>
      <c r="AF39" s="798">
        <f t="shared" si="7"/>
        <v>530</v>
      </c>
      <c r="AG39" s="831">
        <f t="shared" si="8"/>
        <v>284</v>
      </c>
      <c r="AH39" s="798">
        <f t="shared" si="9"/>
        <v>461</v>
      </c>
      <c r="AI39" s="798"/>
      <c r="AJ39" s="833">
        <f t="shared" si="10"/>
        <v>1275</v>
      </c>
      <c r="AU39" s="9">
        <f t="shared" si="3"/>
        <v>0</v>
      </c>
    </row>
    <row r="40" spans="1:47" s="9" customFormat="1">
      <c r="A40" s="9">
        <v>32</v>
      </c>
      <c r="B40" s="810">
        <v>1</v>
      </c>
      <c r="C40" s="811"/>
      <c r="D40" s="811"/>
      <c r="E40" s="811"/>
      <c r="F40" s="811"/>
      <c r="G40" s="811">
        <v>188</v>
      </c>
      <c r="H40" s="811">
        <v>165</v>
      </c>
      <c r="I40" s="811">
        <v>123</v>
      </c>
      <c r="J40" s="811"/>
      <c r="K40" s="811"/>
      <c r="L40" s="811"/>
      <c r="M40" s="811">
        <v>179</v>
      </c>
      <c r="N40" s="811">
        <v>212</v>
      </c>
      <c r="O40" s="811">
        <v>181</v>
      </c>
      <c r="P40" s="811"/>
      <c r="Q40" s="819"/>
      <c r="R40" s="811"/>
      <c r="S40" s="811"/>
      <c r="T40" s="811"/>
      <c r="U40" s="811"/>
      <c r="V40" s="811"/>
      <c r="W40" s="801">
        <f t="shared" si="4"/>
        <v>1048</v>
      </c>
      <c r="Y40" s="9">
        <f t="shared" si="5"/>
        <v>1048</v>
      </c>
      <c r="AA40" s="825">
        <f>'CHAM CONG'!BA39</f>
        <v>0</v>
      </c>
      <c r="AB40" s="825">
        <f>'CHAM CONG'!BB39</f>
        <v>0</v>
      </c>
      <c r="AC40" s="825">
        <f>'CHAM CONG'!BC39</f>
        <v>0</v>
      </c>
      <c r="AD40" s="825">
        <f>'CHAM CONG'!BD39</f>
        <v>0</v>
      </c>
      <c r="AE40" s="824">
        <f t="shared" si="6"/>
        <v>461.12</v>
      </c>
      <c r="AF40" s="798">
        <f t="shared" si="7"/>
        <v>367</v>
      </c>
      <c r="AG40" s="831">
        <f t="shared" si="8"/>
        <v>377</v>
      </c>
      <c r="AH40" s="798">
        <f t="shared" si="9"/>
        <v>304</v>
      </c>
      <c r="AI40" s="798"/>
      <c r="AJ40" s="833">
        <f t="shared" si="10"/>
        <v>1048</v>
      </c>
      <c r="AU40" s="9">
        <f t="shared" si="3"/>
        <v>0</v>
      </c>
    </row>
    <row r="41" spans="1:47" s="9" customFormat="1">
      <c r="A41" s="9">
        <v>33</v>
      </c>
      <c r="B41" s="810">
        <v>1</v>
      </c>
      <c r="C41" s="811"/>
      <c r="D41" s="811"/>
      <c r="E41" s="811"/>
      <c r="F41" s="811"/>
      <c r="G41" s="811">
        <v>242</v>
      </c>
      <c r="H41" s="811">
        <v>214</v>
      </c>
      <c r="I41" s="811">
        <v>148</v>
      </c>
      <c r="J41" s="811"/>
      <c r="K41" s="811"/>
      <c r="L41" s="811"/>
      <c r="M41" s="811">
        <v>241</v>
      </c>
      <c r="N41" s="811">
        <v>266</v>
      </c>
      <c r="O41" s="811">
        <v>182</v>
      </c>
      <c r="P41" s="811"/>
      <c r="Q41" s="819"/>
      <c r="R41" s="811"/>
      <c r="S41" s="811"/>
      <c r="T41" s="811"/>
      <c r="U41" s="811"/>
      <c r="V41" s="811"/>
      <c r="W41" s="801">
        <f t="shared" si="4"/>
        <v>1293</v>
      </c>
      <c r="Y41" s="9">
        <f t="shared" si="5"/>
        <v>1293</v>
      </c>
      <c r="AA41" s="825">
        <f>'CHAM CONG'!BA40</f>
        <v>0</v>
      </c>
      <c r="AB41" s="825">
        <f>'CHAM CONG'!BB40</f>
        <v>0</v>
      </c>
      <c r="AC41" s="825">
        <f>'CHAM CONG'!BC40</f>
        <v>0</v>
      </c>
      <c r="AD41" s="825">
        <f>'CHAM CONG'!BD40</f>
        <v>0</v>
      </c>
      <c r="AE41" s="824">
        <f t="shared" si="6"/>
        <v>568.91999999999996</v>
      </c>
      <c r="AF41" s="798">
        <f t="shared" si="7"/>
        <v>483</v>
      </c>
      <c r="AG41" s="831">
        <f t="shared" si="8"/>
        <v>480</v>
      </c>
      <c r="AH41" s="798">
        <f t="shared" si="9"/>
        <v>330</v>
      </c>
      <c r="AI41" s="798"/>
      <c r="AJ41" s="833">
        <f t="shared" si="10"/>
        <v>1293</v>
      </c>
      <c r="AU41" s="9">
        <f t="shared" si="3"/>
        <v>0</v>
      </c>
    </row>
    <row r="42" spans="1:47" s="9" customFormat="1">
      <c r="A42" s="9">
        <v>34</v>
      </c>
      <c r="B42" s="810">
        <v>1</v>
      </c>
      <c r="C42" s="811"/>
      <c r="D42" s="811"/>
      <c r="E42" s="811"/>
      <c r="F42" s="811"/>
      <c r="G42" s="811">
        <v>204</v>
      </c>
      <c r="H42" s="811">
        <v>182</v>
      </c>
      <c r="I42" s="811">
        <v>174</v>
      </c>
      <c r="J42" s="811"/>
      <c r="K42" s="811"/>
      <c r="L42" s="811"/>
      <c r="M42" s="811">
        <v>206</v>
      </c>
      <c r="N42" s="811">
        <v>203</v>
      </c>
      <c r="O42" s="811">
        <v>190</v>
      </c>
      <c r="P42" s="811"/>
      <c r="Q42" s="819"/>
      <c r="R42" s="811"/>
      <c r="S42" s="811"/>
      <c r="T42" s="811"/>
      <c r="U42" s="811"/>
      <c r="V42" s="811"/>
      <c r="W42" s="801">
        <f t="shared" si="4"/>
        <v>1159</v>
      </c>
      <c r="Y42" s="9">
        <f t="shared" si="5"/>
        <v>1159</v>
      </c>
      <c r="AA42" s="825">
        <f>'CHAM CONG'!BA41</f>
        <v>0</v>
      </c>
      <c r="AB42" s="825">
        <f>'CHAM CONG'!BB41</f>
        <v>0</v>
      </c>
      <c r="AC42" s="825">
        <f>'CHAM CONG'!BC41</f>
        <v>0</v>
      </c>
      <c r="AD42" s="825">
        <f>'CHAM CONG'!BD41</f>
        <v>0</v>
      </c>
      <c r="AE42" s="824">
        <f t="shared" si="6"/>
        <v>509.96</v>
      </c>
      <c r="AF42" s="798">
        <f t="shared" si="7"/>
        <v>410</v>
      </c>
      <c r="AG42" s="831">
        <f t="shared" si="8"/>
        <v>385</v>
      </c>
      <c r="AH42" s="798">
        <f t="shared" si="9"/>
        <v>364</v>
      </c>
      <c r="AI42" s="798"/>
      <c r="AJ42" s="833">
        <f t="shared" si="10"/>
        <v>1159</v>
      </c>
      <c r="AU42" s="9">
        <f t="shared" si="3"/>
        <v>0</v>
      </c>
    </row>
    <row r="43" spans="1:47" s="9" customFormat="1">
      <c r="A43" s="9">
        <v>35</v>
      </c>
      <c r="B43" s="810">
        <v>1</v>
      </c>
      <c r="C43" s="811"/>
      <c r="D43" s="811"/>
      <c r="E43" s="811"/>
      <c r="F43" s="811"/>
      <c r="G43" s="811">
        <v>186</v>
      </c>
      <c r="H43" s="811">
        <v>156</v>
      </c>
      <c r="I43" s="811">
        <v>104</v>
      </c>
      <c r="J43" s="811"/>
      <c r="K43" s="811"/>
      <c r="L43" s="811"/>
      <c r="M43" s="811">
        <v>200</v>
      </c>
      <c r="N43" s="811">
        <v>191</v>
      </c>
      <c r="O43" s="811">
        <v>121</v>
      </c>
      <c r="P43" s="811"/>
      <c r="Q43" s="819"/>
      <c r="R43" s="811"/>
      <c r="S43" s="811"/>
      <c r="T43" s="811"/>
      <c r="U43" s="811"/>
      <c r="V43" s="811"/>
      <c r="W43" s="801">
        <f t="shared" si="4"/>
        <v>958</v>
      </c>
      <c r="Y43" s="9">
        <f t="shared" si="5"/>
        <v>958</v>
      </c>
      <c r="AA43" s="825">
        <f>'CHAM CONG'!BA42</f>
        <v>0</v>
      </c>
      <c r="AB43" s="825">
        <f>'CHAM CONG'!BB42</f>
        <v>0</v>
      </c>
      <c r="AC43" s="825">
        <f>'CHAM CONG'!BC42</f>
        <v>0</v>
      </c>
      <c r="AD43" s="825">
        <f>'CHAM CONG'!BD42</f>
        <v>0</v>
      </c>
      <c r="AE43" s="824">
        <f t="shared" si="6"/>
        <v>421.52</v>
      </c>
      <c r="AF43" s="798">
        <f t="shared" si="7"/>
        <v>386</v>
      </c>
      <c r="AG43" s="831">
        <f t="shared" si="8"/>
        <v>347</v>
      </c>
      <c r="AH43" s="798">
        <f t="shared" si="9"/>
        <v>225</v>
      </c>
      <c r="AI43" s="798"/>
      <c r="AJ43" s="833">
        <f t="shared" si="10"/>
        <v>958</v>
      </c>
      <c r="AU43" s="9">
        <f t="shared" si="3"/>
        <v>0</v>
      </c>
    </row>
    <row r="44" spans="1:47" s="9" customFormat="1">
      <c r="A44" s="9">
        <v>36</v>
      </c>
      <c r="B44" s="810">
        <v>1</v>
      </c>
      <c r="C44" s="811"/>
      <c r="D44" s="811"/>
      <c r="E44" s="811"/>
      <c r="F44" s="811"/>
      <c r="G44" s="811">
        <v>232</v>
      </c>
      <c r="H44" s="811">
        <v>172</v>
      </c>
      <c r="I44" s="811">
        <v>158</v>
      </c>
      <c r="J44" s="811"/>
      <c r="K44" s="811"/>
      <c r="L44" s="811"/>
      <c r="M44" s="811">
        <v>234</v>
      </c>
      <c r="N44" s="811">
        <v>207</v>
      </c>
      <c r="O44" s="811">
        <v>200</v>
      </c>
      <c r="P44" s="811"/>
      <c r="Q44" s="819"/>
      <c r="R44" s="811"/>
      <c r="S44" s="811"/>
      <c r="T44" s="811"/>
      <c r="U44" s="811"/>
      <c r="V44" s="811"/>
      <c r="W44" s="801">
        <f t="shared" si="4"/>
        <v>1203</v>
      </c>
      <c r="Y44" s="9">
        <f t="shared" si="5"/>
        <v>1203</v>
      </c>
      <c r="AA44" s="825">
        <f>'CHAM CONG'!BA43</f>
        <v>0</v>
      </c>
      <c r="AB44" s="825">
        <f>'CHAM CONG'!BB43</f>
        <v>0</v>
      </c>
      <c r="AC44" s="825">
        <f>'CHAM CONG'!BC43</f>
        <v>0</v>
      </c>
      <c r="AD44" s="825">
        <f>'CHAM CONG'!BD43</f>
        <v>0</v>
      </c>
      <c r="AE44" s="824">
        <f t="shared" si="6"/>
        <v>529.32000000000005</v>
      </c>
      <c r="AF44" s="798">
        <f t="shared" si="7"/>
        <v>466</v>
      </c>
      <c r="AG44" s="831">
        <f t="shared" si="8"/>
        <v>379</v>
      </c>
      <c r="AH44" s="798">
        <f t="shared" si="9"/>
        <v>358</v>
      </c>
      <c r="AI44" s="798"/>
      <c r="AJ44" s="833">
        <f t="shared" si="10"/>
        <v>1203</v>
      </c>
      <c r="AU44" s="9">
        <f t="shared" si="3"/>
        <v>0</v>
      </c>
    </row>
    <row r="45" spans="1:47" s="9" customFormat="1">
      <c r="A45" s="9">
        <v>37</v>
      </c>
      <c r="B45" s="810">
        <v>1</v>
      </c>
      <c r="C45" s="811"/>
      <c r="D45" s="811"/>
      <c r="E45" s="811"/>
      <c r="F45" s="811"/>
      <c r="G45" s="811">
        <v>211</v>
      </c>
      <c r="H45" s="811">
        <v>152</v>
      </c>
      <c r="I45" s="811">
        <v>154</v>
      </c>
      <c r="J45" s="811"/>
      <c r="K45" s="811"/>
      <c r="L45" s="811"/>
      <c r="M45" s="811">
        <v>223</v>
      </c>
      <c r="N45" s="811">
        <v>204</v>
      </c>
      <c r="O45" s="811">
        <v>185</v>
      </c>
      <c r="P45" s="811"/>
      <c r="Q45" s="819"/>
      <c r="R45" s="811"/>
      <c r="S45" s="811"/>
      <c r="T45" s="811"/>
      <c r="U45" s="811"/>
      <c r="V45" s="811"/>
      <c r="W45" s="801">
        <f t="shared" si="4"/>
        <v>1129</v>
      </c>
      <c r="Y45" s="9">
        <f t="shared" si="5"/>
        <v>1129</v>
      </c>
      <c r="AA45" s="825">
        <f>'CHAM CONG'!BA44</f>
        <v>0</v>
      </c>
      <c r="AB45" s="825">
        <f>'CHAM CONG'!BB44</f>
        <v>0</v>
      </c>
      <c r="AC45" s="825">
        <f>'CHAM CONG'!BC44</f>
        <v>0</v>
      </c>
      <c r="AD45" s="825">
        <f>'CHAM CONG'!BD44</f>
        <v>0</v>
      </c>
      <c r="AE45" s="824">
        <f t="shared" si="6"/>
        <v>496.76</v>
      </c>
      <c r="AF45" s="798">
        <f t="shared" si="7"/>
        <v>434</v>
      </c>
      <c r="AG45" s="831">
        <f t="shared" si="8"/>
        <v>356</v>
      </c>
      <c r="AH45" s="798">
        <f t="shared" si="9"/>
        <v>339</v>
      </c>
      <c r="AI45" s="798"/>
      <c r="AJ45" s="833">
        <f t="shared" si="10"/>
        <v>1129</v>
      </c>
      <c r="AU45" s="9">
        <f t="shared" si="3"/>
        <v>0</v>
      </c>
    </row>
    <row r="46" spans="1:47" s="9" customFormat="1">
      <c r="A46" s="9">
        <v>38</v>
      </c>
      <c r="B46" s="810">
        <v>1</v>
      </c>
      <c r="C46" s="811"/>
      <c r="D46" s="811"/>
      <c r="E46" s="811"/>
      <c r="F46" s="811"/>
      <c r="G46" s="811">
        <v>225</v>
      </c>
      <c r="H46" s="811">
        <v>197</v>
      </c>
      <c r="I46" s="811">
        <v>152</v>
      </c>
      <c r="J46" s="811"/>
      <c r="K46" s="811"/>
      <c r="L46" s="811"/>
      <c r="M46" s="811">
        <v>215</v>
      </c>
      <c r="N46" s="811">
        <v>186</v>
      </c>
      <c r="O46" s="811">
        <v>188</v>
      </c>
      <c r="P46" s="811"/>
      <c r="Q46" s="819"/>
      <c r="R46" s="811"/>
      <c r="S46" s="811"/>
      <c r="T46" s="811"/>
      <c r="U46" s="811"/>
      <c r="V46" s="811"/>
      <c r="W46" s="801">
        <f t="shared" si="4"/>
        <v>1163</v>
      </c>
      <c r="Y46" s="9">
        <f t="shared" ref="Y46:Y54" si="11">W46-X46</f>
        <v>1163</v>
      </c>
      <c r="AA46" s="825">
        <f>'CHAM CONG'!BA45</f>
        <v>0</v>
      </c>
      <c r="AB46" s="825">
        <f>'CHAM CONG'!BB45</f>
        <v>0</v>
      </c>
      <c r="AC46" s="825">
        <f>'CHAM CONG'!BC45</f>
        <v>0</v>
      </c>
      <c r="AD46" s="825">
        <f>'CHAM CONG'!BD45</f>
        <v>0</v>
      </c>
      <c r="AE46" s="824">
        <f t="shared" si="6"/>
        <v>511.72</v>
      </c>
      <c r="AF46" s="798">
        <f t="shared" si="7"/>
        <v>440</v>
      </c>
      <c r="AG46" s="831">
        <f t="shared" si="8"/>
        <v>383</v>
      </c>
      <c r="AH46" s="798">
        <f t="shared" si="9"/>
        <v>340</v>
      </c>
      <c r="AI46" s="798"/>
      <c r="AJ46" s="833">
        <f t="shared" si="10"/>
        <v>1163</v>
      </c>
      <c r="AU46" s="9">
        <f t="shared" si="3"/>
        <v>0</v>
      </c>
    </row>
    <row r="47" spans="1:47" s="9" customFormat="1">
      <c r="A47" s="9">
        <v>39</v>
      </c>
      <c r="B47" s="810">
        <v>1</v>
      </c>
      <c r="C47" s="811"/>
      <c r="D47" s="811"/>
      <c r="E47" s="811"/>
      <c r="F47" s="811"/>
      <c r="G47" s="811">
        <v>205</v>
      </c>
      <c r="H47" s="811">
        <v>174</v>
      </c>
      <c r="I47" s="811">
        <v>170</v>
      </c>
      <c r="J47" s="811"/>
      <c r="K47" s="811"/>
      <c r="L47" s="811"/>
      <c r="M47" s="811">
        <v>201</v>
      </c>
      <c r="N47" s="811">
        <v>171</v>
      </c>
      <c r="O47" s="811">
        <v>202</v>
      </c>
      <c r="P47" s="811"/>
      <c r="Q47" s="819"/>
      <c r="R47" s="811"/>
      <c r="S47" s="811"/>
      <c r="T47" s="811"/>
      <c r="U47" s="811"/>
      <c r="V47" s="811"/>
      <c r="W47" s="801">
        <f t="shared" si="4"/>
        <v>1123</v>
      </c>
      <c r="Y47" s="9">
        <f t="shared" si="11"/>
        <v>1123</v>
      </c>
      <c r="AA47" s="825">
        <f>'CHAM CONG'!BA46</f>
        <v>0</v>
      </c>
      <c r="AB47" s="825">
        <f>'CHAM CONG'!BB46</f>
        <v>0</v>
      </c>
      <c r="AC47" s="825">
        <f>'CHAM CONG'!BC46</f>
        <v>0</v>
      </c>
      <c r="AD47" s="825">
        <f>'CHAM CONG'!BD46</f>
        <v>0</v>
      </c>
      <c r="AE47" s="824">
        <f t="shared" si="6"/>
        <v>494.12</v>
      </c>
      <c r="AF47" s="798">
        <f t="shared" si="7"/>
        <v>406</v>
      </c>
      <c r="AG47" s="831">
        <f t="shared" si="8"/>
        <v>345</v>
      </c>
      <c r="AH47" s="798">
        <f t="shared" si="9"/>
        <v>372</v>
      </c>
      <c r="AI47" s="798"/>
      <c r="AJ47" s="833">
        <f t="shared" si="10"/>
        <v>1123</v>
      </c>
      <c r="AU47" s="9">
        <f t="shared" si="3"/>
        <v>0</v>
      </c>
    </row>
    <row r="48" spans="1:47" s="9" customFormat="1">
      <c r="A48" s="9">
        <v>40</v>
      </c>
      <c r="B48" s="810">
        <v>1</v>
      </c>
      <c r="C48" s="811"/>
      <c r="D48" s="811"/>
      <c r="E48" s="811"/>
      <c r="F48" s="811"/>
      <c r="G48" s="811">
        <v>202</v>
      </c>
      <c r="H48" s="811">
        <v>179</v>
      </c>
      <c r="I48" s="811">
        <v>137</v>
      </c>
      <c r="J48" s="811"/>
      <c r="K48" s="811"/>
      <c r="L48" s="811"/>
      <c r="M48" s="811">
        <v>201</v>
      </c>
      <c r="N48" s="811">
        <v>207</v>
      </c>
      <c r="O48" s="811">
        <v>124</v>
      </c>
      <c r="P48" s="811"/>
      <c r="Q48" s="819"/>
      <c r="R48" s="811"/>
      <c r="S48" s="811"/>
      <c r="T48" s="811"/>
      <c r="U48" s="811"/>
      <c r="V48" s="811"/>
      <c r="W48" s="801">
        <f t="shared" si="4"/>
        <v>1050</v>
      </c>
      <c r="Y48" s="9">
        <f t="shared" si="11"/>
        <v>1050</v>
      </c>
      <c r="AA48" s="825">
        <f>'CHAM CONG'!BA47</f>
        <v>0</v>
      </c>
      <c r="AB48" s="825">
        <f>'CHAM CONG'!BB47</f>
        <v>0</v>
      </c>
      <c r="AC48" s="825">
        <f>'CHAM CONG'!BC47</f>
        <v>0</v>
      </c>
      <c r="AD48" s="825">
        <f>'CHAM CONG'!BD47</f>
        <v>0</v>
      </c>
      <c r="AE48" s="824">
        <f t="shared" si="6"/>
        <v>462</v>
      </c>
      <c r="AF48" s="798">
        <f t="shared" si="7"/>
        <v>403</v>
      </c>
      <c r="AG48" s="831">
        <f t="shared" si="8"/>
        <v>386</v>
      </c>
      <c r="AH48" s="798">
        <f t="shared" si="9"/>
        <v>261</v>
      </c>
      <c r="AI48" s="798"/>
      <c r="AJ48" s="833">
        <f t="shared" si="10"/>
        <v>1050</v>
      </c>
      <c r="AU48" s="9">
        <f t="shared" si="3"/>
        <v>0</v>
      </c>
    </row>
    <row r="49" spans="1:47" s="9" customFormat="1">
      <c r="A49" s="9">
        <v>41</v>
      </c>
      <c r="B49" s="810">
        <v>1</v>
      </c>
      <c r="C49" s="811"/>
      <c r="D49" s="811"/>
      <c r="E49" s="811"/>
      <c r="F49" s="811"/>
      <c r="G49" s="811">
        <v>153</v>
      </c>
      <c r="H49" s="811">
        <v>194</v>
      </c>
      <c r="I49" s="811">
        <v>70</v>
      </c>
      <c r="J49" s="811"/>
      <c r="K49" s="811"/>
      <c r="L49" s="811"/>
      <c r="M49" s="811">
        <v>149</v>
      </c>
      <c r="N49" s="811">
        <v>209</v>
      </c>
      <c r="O49" s="811">
        <v>112</v>
      </c>
      <c r="P49" s="811"/>
      <c r="Q49" s="819"/>
      <c r="R49" s="811"/>
      <c r="S49" s="811"/>
      <c r="T49" s="811"/>
      <c r="U49" s="811"/>
      <c r="V49" s="811"/>
      <c r="W49" s="801">
        <f t="shared" si="4"/>
        <v>887</v>
      </c>
      <c r="Y49" s="9">
        <f t="shared" si="11"/>
        <v>887</v>
      </c>
      <c r="AA49" s="825">
        <f>'CHAM CONG'!BA48</f>
        <v>0</v>
      </c>
      <c r="AB49" s="825">
        <f>'CHAM CONG'!BB48</f>
        <v>0</v>
      </c>
      <c r="AC49" s="825">
        <f>'CHAM CONG'!BC48</f>
        <v>0</v>
      </c>
      <c r="AD49" s="825">
        <f>'CHAM CONG'!BD48</f>
        <v>0</v>
      </c>
      <c r="AE49" s="824">
        <f t="shared" si="6"/>
        <v>390.28</v>
      </c>
      <c r="AF49" s="798">
        <f t="shared" si="7"/>
        <v>302</v>
      </c>
      <c r="AG49" s="831">
        <f t="shared" si="8"/>
        <v>403</v>
      </c>
      <c r="AH49" s="798">
        <f t="shared" si="9"/>
        <v>182</v>
      </c>
      <c r="AI49" s="798"/>
      <c r="AJ49" s="833">
        <f t="shared" si="10"/>
        <v>887</v>
      </c>
      <c r="AU49" s="9">
        <f t="shared" si="3"/>
        <v>0</v>
      </c>
    </row>
    <row r="50" spans="1:47" s="9" customFormat="1">
      <c r="A50" s="9">
        <v>42</v>
      </c>
      <c r="B50" s="810">
        <v>1</v>
      </c>
      <c r="C50" s="811"/>
      <c r="D50" s="811"/>
      <c r="E50" s="811"/>
      <c r="F50" s="811"/>
      <c r="G50" s="811">
        <v>120</v>
      </c>
      <c r="H50" s="811">
        <v>195</v>
      </c>
      <c r="I50" s="811">
        <v>276</v>
      </c>
      <c r="J50" s="811"/>
      <c r="K50" s="811"/>
      <c r="L50" s="811"/>
      <c r="M50" s="811">
        <v>247</v>
      </c>
      <c r="N50" s="811">
        <v>256</v>
      </c>
      <c r="O50" s="811">
        <v>221</v>
      </c>
      <c r="P50" s="811"/>
      <c r="Q50" s="819"/>
      <c r="R50" s="811"/>
      <c r="S50" s="811"/>
      <c r="T50" s="811"/>
      <c r="U50" s="811"/>
      <c r="V50" s="811"/>
      <c r="W50" s="801">
        <f t="shared" si="4"/>
        <v>1315</v>
      </c>
      <c r="Y50" s="9">
        <f t="shared" si="11"/>
        <v>1315</v>
      </c>
      <c r="AA50" s="825">
        <f>'CHAM CONG'!BA49</f>
        <v>0</v>
      </c>
      <c r="AB50" s="825">
        <f>'CHAM CONG'!BB49</f>
        <v>0</v>
      </c>
      <c r="AC50" s="825">
        <f>'CHAM CONG'!BC49</f>
        <v>0</v>
      </c>
      <c r="AD50" s="825">
        <f>'CHAM CONG'!BD49</f>
        <v>0</v>
      </c>
      <c r="AE50" s="824">
        <f t="shared" si="6"/>
        <v>578.6</v>
      </c>
      <c r="AF50" s="798">
        <f t="shared" si="7"/>
        <v>367</v>
      </c>
      <c r="AG50" s="831">
        <f t="shared" si="8"/>
        <v>451</v>
      </c>
      <c r="AH50" s="798">
        <f t="shared" si="9"/>
        <v>497</v>
      </c>
      <c r="AI50" s="798"/>
      <c r="AJ50" s="833">
        <f t="shared" si="10"/>
        <v>1315</v>
      </c>
      <c r="AU50" s="9">
        <f t="shared" si="3"/>
        <v>0</v>
      </c>
    </row>
    <row r="51" spans="1:47" s="9" customFormat="1">
      <c r="A51" s="9">
        <v>43</v>
      </c>
      <c r="B51" s="810">
        <v>1</v>
      </c>
      <c r="C51" s="811"/>
      <c r="D51" s="811"/>
      <c r="E51" s="811"/>
      <c r="F51" s="811"/>
      <c r="G51" s="811">
        <v>100</v>
      </c>
      <c r="H51" s="811">
        <v>205</v>
      </c>
      <c r="I51" s="811">
        <v>105</v>
      </c>
      <c r="J51" s="811"/>
      <c r="K51" s="811"/>
      <c r="L51" s="811"/>
      <c r="M51" s="811">
        <v>196</v>
      </c>
      <c r="N51" s="811">
        <v>240</v>
      </c>
      <c r="O51" s="811">
        <v>230</v>
      </c>
      <c r="P51" s="811"/>
      <c r="Q51" s="819"/>
      <c r="R51" s="811"/>
      <c r="S51" s="811"/>
      <c r="T51" s="811"/>
      <c r="U51" s="811"/>
      <c r="V51" s="811"/>
      <c r="W51" s="801">
        <f t="shared" si="4"/>
        <v>1076</v>
      </c>
      <c r="Y51" s="9">
        <f t="shared" si="11"/>
        <v>1076</v>
      </c>
      <c r="AA51" s="825">
        <f>'CHAM CONG'!BA50</f>
        <v>0</v>
      </c>
      <c r="AB51" s="825">
        <f>'CHAM CONG'!BB50</f>
        <v>0</v>
      </c>
      <c r="AC51" s="825">
        <f>'CHAM CONG'!BC50</f>
        <v>0</v>
      </c>
      <c r="AD51" s="825">
        <f>'CHAM CONG'!BD50</f>
        <v>0</v>
      </c>
      <c r="AE51" s="824">
        <f t="shared" si="6"/>
        <v>473.44</v>
      </c>
      <c r="AF51" s="798">
        <f t="shared" si="7"/>
        <v>296</v>
      </c>
      <c r="AG51" s="831">
        <f t="shared" si="8"/>
        <v>445</v>
      </c>
      <c r="AH51" s="798">
        <f t="shared" si="9"/>
        <v>335</v>
      </c>
      <c r="AI51" s="798"/>
      <c r="AJ51" s="833">
        <f t="shared" si="10"/>
        <v>1076</v>
      </c>
      <c r="AU51" s="9">
        <f t="shared" si="3"/>
        <v>0</v>
      </c>
    </row>
    <row r="52" spans="1:47" s="9" customFormat="1">
      <c r="A52" s="9">
        <v>44</v>
      </c>
      <c r="B52" s="810">
        <v>1</v>
      </c>
      <c r="C52" s="811"/>
      <c r="D52" s="811"/>
      <c r="E52" s="811"/>
      <c r="F52" s="811"/>
      <c r="G52" s="811">
        <v>205</v>
      </c>
      <c r="H52" s="811">
        <v>78</v>
      </c>
      <c r="I52" s="811">
        <v>146</v>
      </c>
      <c r="J52" s="811"/>
      <c r="K52" s="811"/>
      <c r="L52" s="811"/>
      <c r="M52" s="811">
        <v>209</v>
      </c>
      <c r="N52" s="811">
        <v>191</v>
      </c>
      <c r="O52" s="811">
        <v>177</v>
      </c>
      <c r="P52" s="811"/>
      <c r="Q52" s="800"/>
      <c r="R52" s="811"/>
      <c r="S52" s="811"/>
      <c r="T52" s="811"/>
      <c r="U52" s="811"/>
      <c r="V52" s="811"/>
      <c r="W52" s="801">
        <f t="shared" si="4"/>
        <v>1006</v>
      </c>
      <c r="Y52" s="9">
        <f t="shared" si="11"/>
        <v>1006</v>
      </c>
      <c r="AA52" s="825">
        <f>'CHAM CONG'!BA51</f>
        <v>0</v>
      </c>
      <c r="AB52" s="825">
        <f>'CHAM CONG'!BB51</f>
        <v>0</v>
      </c>
      <c r="AC52" s="825">
        <f>'CHAM CONG'!BC51</f>
        <v>0</v>
      </c>
      <c r="AD52" s="825">
        <f>'CHAM CONG'!BD51</f>
        <v>0</v>
      </c>
      <c r="AE52" s="824">
        <f t="shared" si="6"/>
        <v>442.64</v>
      </c>
      <c r="AF52" s="798">
        <f t="shared" si="7"/>
        <v>414</v>
      </c>
      <c r="AG52" s="831">
        <f t="shared" si="8"/>
        <v>269</v>
      </c>
      <c r="AH52" s="798">
        <f t="shared" si="9"/>
        <v>323</v>
      </c>
      <c r="AI52" s="798"/>
      <c r="AJ52" s="833">
        <f t="shared" si="10"/>
        <v>1006</v>
      </c>
      <c r="AU52" s="9">
        <f t="shared" si="3"/>
        <v>0</v>
      </c>
    </row>
    <row r="53" spans="1:47">
      <c r="A53" s="798">
        <v>45</v>
      </c>
      <c r="B53" s="810">
        <v>1</v>
      </c>
      <c r="C53" s="803"/>
      <c r="D53" s="803"/>
      <c r="E53" s="803"/>
      <c r="F53" s="803"/>
      <c r="G53" s="803">
        <v>141</v>
      </c>
      <c r="H53" s="811">
        <v>157</v>
      </c>
      <c r="I53" s="811">
        <v>161</v>
      </c>
      <c r="J53" s="811"/>
      <c r="K53" s="811"/>
      <c r="L53" s="811"/>
      <c r="M53" s="811">
        <v>283</v>
      </c>
      <c r="N53" s="811">
        <v>128</v>
      </c>
      <c r="O53" s="811">
        <v>200</v>
      </c>
      <c r="P53" s="811"/>
      <c r="R53" s="803"/>
      <c r="S53" s="803"/>
      <c r="T53" s="803"/>
      <c r="U53" s="803"/>
      <c r="V53" s="803"/>
      <c r="W53" s="801">
        <f t="shared" si="4"/>
        <v>1070</v>
      </c>
      <c r="Y53" s="798">
        <f t="shared" si="11"/>
        <v>1070</v>
      </c>
      <c r="AA53" s="823">
        <f>'CHAM CONG'!BA52</f>
        <v>0</v>
      </c>
      <c r="AB53" s="823">
        <f>'CHAM CONG'!BB52</f>
        <v>0</v>
      </c>
      <c r="AC53" s="823">
        <f>'CHAM CONG'!BC52</f>
        <v>0</v>
      </c>
      <c r="AD53" s="823">
        <f>'CHAM CONG'!BD52</f>
        <v>0</v>
      </c>
      <c r="AE53" s="824">
        <f t="shared" si="6"/>
        <v>470.8</v>
      </c>
      <c r="AF53" s="798">
        <f t="shared" si="7"/>
        <v>424</v>
      </c>
      <c r="AG53" s="831">
        <f t="shared" si="8"/>
        <v>285</v>
      </c>
      <c r="AH53" s="798">
        <f t="shared" si="9"/>
        <v>361</v>
      </c>
      <c r="AJ53" s="802">
        <f t="shared" si="10"/>
        <v>1070</v>
      </c>
      <c r="AU53" s="798">
        <f t="shared" si="3"/>
        <v>0</v>
      </c>
    </row>
    <row r="54" spans="1:47">
      <c r="A54" s="798">
        <v>46</v>
      </c>
      <c r="B54" s="810">
        <v>1</v>
      </c>
      <c r="C54" s="803"/>
      <c r="D54" s="803"/>
      <c r="E54" s="803"/>
      <c r="F54" s="803"/>
      <c r="G54" s="803">
        <v>133</v>
      </c>
      <c r="H54" s="811">
        <v>211</v>
      </c>
      <c r="I54" s="811">
        <v>344</v>
      </c>
      <c r="J54" s="811"/>
      <c r="K54" s="811"/>
      <c r="L54" s="811"/>
      <c r="M54" s="811">
        <v>224</v>
      </c>
      <c r="N54" s="811">
        <v>230</v>
      </c>
      <c r="O54" s="811">
        <v>129</v>
      </c>
      <c r="P54" s="811"/>
      <c r="R54" s="803"/>
      <c r="S54" s="803"/>
      <c r="T54" s="803"/>
      <c r="U54" s="803"/>
      <c r="V54" s="803"/>
      <c r="W54" s="801">
        <f t="shared" si="4"/>
        <v>1271</v>
      </c>
      <c r="Y54" s="798">
        <f t="shared" si="11"/>
        <v>1271</v>
      </c>
      <c r="AA54" s="823">
        <f>'CHAM CONG'!BA53</f>
        <v>0</v>
      </c>
      <c r="AB54" s="823">
        <f>'CHAM CONG'!BB53</f>
        <v>0</v>
      </c>
      <c r="AC54" s="823">
        <f>'CHAM CONG'!BC53</f>
        <v>0</v>
      </c>
      <c r="AD54" s="823">
        <f>'CHAM CONG'!BD53</f>
        <v>0</v>
      </c>
      <c r="AE54" s="824">
        <f t="shared" si="6"/>
        <v>559.24</v>
      </c>
      <c r="AF54" s="798">
        <f t="shared" si="7"/>
        <v>357</v>
      </c>
      <c r="AG54" s="831">
        <f t="shared" si="8"/>
        <v>441</v>
      </c>
      <c r="AH54" s="798">
        <f t="shared" si="9"/>
        <v>473</v>
      </c>
      <c r="AJ54" s="802">
        <f t="shared" si="10"/>
        <v>1271</v>
      </c>
      <c r="AU54" s="798">
        <f t="shared" si="3"/>
        <v>0</v>
      </c>
    </row>
    <row r="55" spans="1:47">
      <c r="A55" s="798">
        <v>47</v>
      </c>
      <c r="B55" s="810">
        <v>1</v>
      </c>
      <c r="C55" s="803"/>
      <c r="D55" s="803"/>
      <c r="E55" s="803"/>
      <c r="F55" s="803"/>
      <c r="G55" s="803">
        <v>108</v>
      </c>
      <c r="H55" s="811">
        <v>106</v>
      </c>
      <c r="I55" s="811">
        <v>53</v>
      </c>
      <c r="J55" s="811"/>
      <c r="K55" s="811"/>
      <c r="L55" s="811"/>
      <c r="M55" s="811">
        <v>111</v>
      </c>
      <c r="N55" s="811">
        <v>123</v>
      </c>
      <c r="O55" s="811">
        <v>92</v>
      </c>
      <c r="P55" s="811"/>
      <c r="R55" s="803"/>
      <c r="S55" s="803"/>
      <c r="T55" s="803"/>
      <c r="U55" s="803"/>
      <c r="V55" s="803"/>
      <c r="W55" s="801">
        <f t="shared" ref="W55:W118" si="12">SUM(C55:V55)</f>
        <v>593</v>
      </c>
      <c r="Y55" s="798">
        <f t="shared" ref="Y55:Y118" si="13">W55-X55</f>
        <v>593</v>
      </c>
      <c r="AA55" s="823" t="e">
        <f>'CHAM CONG'!#REF!</f>
        <v>#REF!</v>
      </c>
      <c r="AB55" s="823" t="e">
        <f>'CHAM CONG'!#REF!</f>
        <v>#REF!</v>
      </c>
      <c r="AC55" s="823" t="e">
        <f>'CHAM CONG'!#REF!</f>
        <v>#REF!</v>
      </c>
      <c r="AD55" s="823" t="e">
        <f>'CHAM CONG'!#REF!</f>
        <v>#REF!</v>
      </c>
      <c r="AE55" s="824">
        <f t="shared" si="6"/>
        <v>260.92</v>
      </c>
      <c r="AF55" s="798">
        <f t="shared" si="7"/>
        <v>219</v>
      </c>
      <c r="AG55" s="831">
        <f t="shared" si="8"/>
        <v>229</v>
      </c>
      <c r="AH55" s="798">
        <f t="shared" si="9"/>
        <v>145</v>
      </c>
      <c r="AJ55" s="802">
        <f t="shared" ref="AJ55:AJ118" si="14">SUM(AF55:AI55)</f>
        <v>593</v>
      </c>
      <c r="AK55" s="790" t="s">
        <v>1362</v>
      </c>
    </row>
    <row r="56" spans="1:47" s="791" customFormat="1">
      <c r="A56" s="791">
        <v>137</v>
      </c>
      <c r="B56" s="812">
        <v>4</v>
      </c>
      <c r="C56" s="813"/>
      <c r="D56" s="813"/>
      <c r="E56" s="813"/>
      <c r="F56" s="813"/>
      <c r="G56" s="813"/>
      <c r="H56" s="813">
        <v>191</v>
      </c>
      <c r="I56" s="813">
        <v>149</v>
      </c>
      <c r="J56" s="813">
        <v>206</v>
      </c>
      <c r="K56" s="813">
        <v>200</v>
      </c>
      <c r="L56" s="813"/>
      <c r="M56" s="813"/>
      <c r="N56" s="813"/>
      <c r="O56" s="813"/>
      <c r="P56" s="813">
        <v>177</v>
      </c>
      <c r="Q56" s="820">
        <v>208</v>
      </c>
      <c r="R56" s="813"/>
      <c r="S56" s="813"/>
      <c r="T56" s="813"/>
      <c r="U56" s="813"/>
      <c r="V56" s="813"/>
      <c r="W56" s="821">
        <f t="shared" si="12"/>
        <v>1131</v>
      </c>
      <c r="Y56" s="791">
        <f t="shared" si="13"/>
        <v>1131</v>
      </c>
      <c r="AA56" s="826">
        <f>'CHAM CONG'!BA175</f>
        <v>0</v>
      </c>
      <c r="AB56" s="826">
        <f>'CHAM CONG'!BB175</f>
        <v>0</v>
      </c>
      <c r="AC56" s="826">
        <f>'CHAM CONG'!BC175</f>
        <v>0</v>
      </c>
      <c r="AD56" s="826">
        <f>'CHAM CONG'!BD175</f>
        <v>0</v>
      </c>
      <c r="AE56" s="827">
        <f t="shared" si="6"/>
        <v>497.64</v>
      </c>
      <c r="AF56" s="791">
        <f>K56</f>
        <v>200</v>
      </c>
      <c r="AG56" s="834">
        <f>H56+P56</f>
        <v>368</v>
      </c>
      <c r="AH56" s="791">
        <f>I56+Q56</f>
        <v>357</v>
      </c>
      <c r="AI56" s="791">
        <f>J56</f>
        <v>206</v>
      </c>
      <c r="AJ56" s="835">
        <f t="shared" si="14"/>
        <v>1131</v>
      </c>
      <c r="AK56" s="834">
        <f>SUM(AJ56:AJ94)</f>
        <v>48749</v>
      </c>
    </row>
    <row r="57" spans="1:47">
      <c r="A57" s="798">
        <v>138</v>
      </c>
      <c r="B57" s="814">
        <v>4</v>
      </c>
      <c r="C57" s="803"/>
      <c r="D57" s="803"/>
      <c r="E57" s="803"/>
      <c r="F57" s="803"/>
      <c r="G57" s="803"/>
      <c r="H57" s="811">
        <v>173</v>
      </c>
      <c r="I57" s="811">
        <v>154</v>
      </c>
      <c r="J57" s="811">
        <v>394</v>
      </c>
      <c r="K57" s="811">
        <v>292</v>
      </c>
      <c r="L57" s="811"/>
      <c r="M57" s="811"/>
      <c r="N57" s="811"/>
      <c r="O57" s="811"/>
      <c r="P57" s="811">
        <v>165</v>
      </c>
      <c r="Q57" s="800">
        <v>187</v>
      </c>
      <c r="R57" s="803"/>
      <c r="S57" s="803"/>
      <c r="T57" s="803"/>
      <c r="U57" s="803"/>
      <c r="V57" s="803"/>
      <c r="W57" s="801">
        <f t="shared" si="12"/>
        <v>1365</v>
      </c>
      <c r="Y57" s="798">
        <f t="shared" si="13"/>
        <v>1365</v>
      </c>
      <c r="AA57" s="823">
        <f>'CHAM CONG'!BA176</f>
        <v>0</v>
      </c>
      <c r="AB57" s="823">
        <f>'CHAM CONG'!BB176</f>
        <v>0</v>
      </c>
      <c r="AC57" s="823">
        <f>'CHAM CONG'!BC176</f>
        <v>0</v>
      </c>
      <c r="AD57" s="823">
        <f>'CHAM CONG'!BD176</f>
        <v>0</v>
      </c>
      <c r="AE57" s="824">
        <f t="shared" si="6"/>
        <v>600.6</v>
      </c>
      <c r="AF57" s="828">
        <f t="shared" ref="AF57:AF120" si="15">K57</f>
        <v>292</v>
      </c>
      <c r="AG57" s="836">
        <f t="shared" ref="AG57:AG120" si="16">H57+P57</f>
        <v>338</v>
      </c>
      <c r="AH57" s="828">
        <f t="shared" ref="AH57:AH120" si="17">I57+Q57</f>
        <v>341</v>
      </c>
      <c r="AI57" s="828">
        <f t="shared" ref="AI57:AI120" si="18">J57</f>
        <v>394</v>
      </c>
      <c r="AJ57" s="802">
        <f t="shared" si="14"/>
        <v>1365</v>
      </c>
    </row>
    <row r="58" spans="1:47">
      <c r="A58" s="798">
        <v>139</v>
      </c>
      <c r="B58" s="814">
        <v>4</v>
      </c>
      <c r="C58" s="803"/>
      <c r="D58" s="803"/>
      <c r="E58" s="803"/>
      <c r="F58" s="803"/>
      <c r="G58" s="803"/>
      <c r="H58" s="811">
        <v>221</v>
      </c>
      <c r="I58" s="811">
        <v>130</v>
      </c>
      <c r="J58" s="811">
        <v>388</v>
      </c>
      <c r="K58" s="811">
        <v>216</v>
      </c>
      <c r="L58" s="811"/>
      <c r="M58" s="811"/>
      <c r="N58" s="811"/>
      <c r="O58" s="811"/>
      <c r="P58" s="811">
        <v>244</v>
      </c>
      <c r="Q58" s="800">
        <v>196</v>
      </c>
      <c r="R58" s="803"/>
      <c r="S58" s="803"/>
      <c r="T58" s="803"/>
      <c r="U58" s="803"/>
      <c r="V58" s="803"/>
      <c r="W58" s="801">
        <f t="shared" si="12"/>
        <v>1395</v>
      </c>
      <c r="Y58" s="798">
        <f t="shared" si="13"/>
        <v>1395</v>
      </c>
      <c r="AA58" s="823">
        <f>'CHAM CONG'!BA177</f>
        <v>0</v>
      </c>
      <c r="AB58" s="823">
        <f>'CHAM CONG'!BB177</f>
        <v>0</v>
      </c>
      <c r="AC58" s="823">
        <f>'CHAM CONG'!BC177</f>
        <v>0</v>
      </c>
      <c r="AD58" s="823">
        <f>'CHAM CONG'!BD177</f>
        <v>0</v>
      </c>
      <c r="AE58" s="824">
        <f t="shared" si="6"/>
        <v>613.79999999999995</v>
      </c>
      <c r="AF58" s="828">
        <f t="shared" si="15"/>
        <v>216</v>
      </c>
      <c r="AG58" s="836">
        <f t="shared" si="16"/>
        <v>465</v>
      </c>
      <c r="AH58" s="828">
        <f t="shared" si="17"/>
        <v>326</v>
      </c>
      <c r="AI58" s="828">
        <f t="shared" si="18"/>
        <v>388</v>
      </c>
      <c r="AJ58" s="802">
        <f t="shared" si="14"/>
        <v>1395</v>
      </c>
    </row>
    <row r="59" spans="1:47">
      <c r="A59" s="798">
        <v>140</v>
      </c>
      <c r="B59" s="814">
        <v>4</v>
      </c>
      <c r="C59" s="803"/>
      <c r="D59" s="803"/>
      <c r="E59" s="803"/>
      <c r="F59" s="803"/>
      <c r="G59" s="803"/>
      <c r="H59" s="811">
        <v>171</v>
      </c>
      <c r="I59" s="811">
        <v>60</v>
      </c>
      <c r="J59" s="811">
        <v>351</v>
      </c>
      <c r="K59" s="811">
        <v>194</v>
      </c>
      <c r="L59" s="811"/>
      <c r="M59" s="811"/>
      <c r="N59" s="811"/>
      <c r="O59" s="811"/>
      <c r="P59" s="811">
        <v>87</v>
      </c>
      <c r="Q59" s="800">
        <v>162</v>
      </c>
      <c r="R59" s="803"/>
      <c r="S59" s="803"/>
      <c r="T59" s="803"/>
      <c r="U59" s="803"/>
      <c r="V59" s="803"/>
      <c r="W59" s="801">
        <f t="shared" si="12"/>
        <v>1025</v>
      </c>
      <c r="Y59" s="798">
        <f t="shared" si="13"/>
        <v>1025</v>
      </c>
      <c r="AA59" s="823">
        <f>'CHAM CONG'!BA178</f>
        <v>0</v>
      </c>
      <c r="AB59" s="823">
        <f>'CHAM CONG'!BB178</f>
        <v>0</v>
      </c>
      <c r="AC59" s="823">
        <f>'CHAM CONG'!BC178</f>
        <v>0</v>
      </c>
      <c r="AD59" s="823">
        <f>'CHAM CONG'!BD178</f>
        <v>0</v>
      </c>
      <c r="AE59" s="824">
        <f t="shared" si="6"/>
        <v>451</v>
      </c>
      <c r="AF59" s="828">
        <f t="shared" si="15"/>
        <v>194</v>
      </c>
      <c r="AG59" s="836">
        <f t="shared" si="16"/>
        <v>258</v>
      </c>
      <c r="AH59" s="828">
        <f t="shared" si="17"/>
        <v>222</v>
      </c>
      <c r="AI59" s="828">
        <f t="shared" si="18"/>
        <v>351</v>
      </c>
      <c r="AJ59" s="802">
        <f t="shared" si="14"/>
        <v>1025</v>
      </c>
    </row>
    <row r="60" spans="1:47">
      <c r="A60" s="798">
        <v>141</v>
      </c>
      <c r="B60" s="814">
        <v>4</v>
      </c>
      <c r="C60" s="803"/>
      <c r="D60" s="803"/>
      <c r="E60" s="803"/>
      <c r="F60" s="803"/>
      <c r="G60" s="803"/>
      <c r="H60" s="811">
        <v>130</v>
      </c>
      <c r="I60" s="811">
        <v>58</v>
      </c>
      <c r="J60" s="811">
        <v>362</v>
      </c>
      <c r="K60" s="811">
        <v>210</v>
      </c>
      <c r="L60" s="811"/>
      <c r="M60" s="811"/>
      <c r="N60" s="811"/>
      <c r="O60" s="811"/>
      <c r="P60" s="811">
        <v>133</v>
      </c>
      <c r="Q60" s="800">
        <v>72</v>
      </c>
      <c r="R60" s="803"/>
      <c r="S60" s="803"/>
      <c r="T60" s="803"/>
      <c r="U60" s="803"/>
      <c r="V60" s="803"/>
      <c r="W60" s="801">
        <f t="shared" si="12"/>
        <v>965</v>
      </c>
      <c r="Y60" s="798">
        <f t="shared" si="13"/>
        <v>965</v>
      </c>
      <c r="AA60" s="823">
        <f>'CHAM CONG'!BA179</f>
        <v>0</v>
      </c>
      <c r="AB60" s="823">
        <f>'CHAM CONG'!BB179</f>
        <v>0</v>
      </c>
      <c r="AC60" s="823">
        <f>'CHAM CONG'!BC179</f>
        <v>0</v>
      </c>
      <c r="AD60" s="823">
        <f>'CHAM CONG'!BD179</f>
        <v>0</v>
      </c>
      <c r="AE60" s="824">
        <f t="shared" si="6"/>
        <v>424.6</v>
      </c>
      <c r="AF60" s="828">
        <f t="shared" si="15"/>
        <v>210</v>
      </c>
      <c r="AG60" s="836">
        <f t="shared" si="16"/>
        <v>263</v>
      </c>
      <c r="AH60" s="828">
        <f t="shared" si="17"/>
        <v>130</v>
      </c>
      <c r="AI60" s="828">
        <f t="shared" si="18"/>
        <v>362</v>
      </c>
      <c r="AJ60" s="802">
        <f t="shared" si="14"/>
        <v>965</v>
      </c>
    </row>
    <row r="61" spans="1:47">
      <c r="A61" s="798">
        <v>142</v>
      </c>
      <c r="B61" s="814">
        <v>4</v>
      </c>
      <c r="C61" s="803"/>
      <c r="D61" s="803"/>
      <c r="E61" s="803"/>
      <c r="F61" s="803"/>
      <c r="G61" s="803"/>
      <c r="H61" s="811">
        <v>196</v>
      </c>
      <c r="I61" s="811">
        <v>58</v>
      </c>
      <c r="J61" s="811">
        <v>381</v>
      </c>
      <c r="K61" s="811">
        <v>229</v>
      </c>
      <c r="L61" s="811"/>
      <c r="M61" s="811"/>
      <c r="N61" s="811"/>
      <c r="O61" s="811"/>
      <c r="P61" s="811">
        <v>157</v>
      </c>
      <c r="Q61" s="800">
        <v>107</v>
      </c>
      <c r="R61" s="803"/>
      <c r="S61" s="803"/>
      <c r="T61" s="803"/>
      <c r="U61" s="803"/>
      <c r="V61" s="803"/>
      <c r="W61" s="801">
        <f t="shared" si="12"/>
        <v>1128</v>
      </c>
      <c r="Y61" s="798">
        <f t="shared" si="13"/>
        <v>1128</v>
      </c>
      <c r="AA61" s="823">
        <f>'CHAM CONG'!BA180</f>
        <v>0</v>
      </c>
      <c r="AB61" s="823">
        <f>'CHAM CONG'!BB180</f>
        <v>0</v>
      </c>
      <c r="AC61" s="823">
        <f>'CHAM CONG'!BC180</f>
        <v>0</v>
      </c>
      <c r="AD61" s="823">
        <f>'CHAM CONG'!BD180</f>
        <v>0</v>
      </c>
      <c r="AE61" s="824">
        <f t="shared" si="6"/>
        <v>496.32</v>
      </c>
      <c r="AF61" s="828">
        <f t="shared" si="15"/>
        <v>229</v>
      </c>
      <c r="AG61" s="836">
        <f t="shared" si="16"/>
        <v>353</v>
      </c>
      <c r="AH61" s="828">
        <f t="shared" si="17"/>
        <v>165</v>
      </c>
      <c r="AI61" s="828">
        <f t="shared" si="18"/>
        <v>381</v>
      </c>
      <c r="AJ61" s="802">
        <f t="shared" si="14"/>
        <v>1128</v>
      </c>
    </row>
    <row r="62" spans="1:47">
      <c r="A62" s="798">
        <v>143</v>
      </c>
      <c r="B62" s="814">
        <v>4</v>
      </c>
      <c r="C62" s="803"/>
      <c r="D62" s="803"/>
      <c r="E62" s="803"/>
      <c r="F62" s="803"/>
      <c r="G62" s="803"/>
      <c r="H62" s="811">
        <v>154</v>
      </c>
      <c r="I62" s="811">
        <v>215</v>
      </c>
      <c r="J62" s="811">
        <v>279</v>
      </c>
      <c r="K62" s="811">
        <v>164</v>
      </c>
      <c r="L62" s="811"/>
      <c r="M62" s="811"/>
      <c r="N62" s="811"/>
      <c r="O62" s="811"/>
      <c r="P62" s="811">
        <v>155</v>
      </c>
      <c r="Q62" s="800">
        <v>73</v>
      </c>
      <c r="R62" s="803"/>
      <c r="S62" s="803"/>
      <c r="T62" s="803"/>
      <c r="U62" s="803"/>
      <c r="V62" s="803"/>
      <c r="W62" s="801">
        <f t="shared" si="12"/>
        <v>1040</v>
      </c>
      <c r="Y62" s="798">
        <f t="shared" si="13"/>
        <v>1040</v>
      </c>
      <c r="AA62" s="823">
        <f>'CHAM CONG'!BA181</f>
        <v>0</v>
      </c>
      <c r="AB62" s="823">
        <f>'CHAM CONG'!BB181</f>
        <v>0</v>
      </c>
      <c r="AC62" s="823">
        <f>'CHAM CONG'!BC181</f>
        <v>0</v>
      </c>
      <c r="AD62" s="823">
        <f>'CHAM CONG'!BD181</f>
        <v>0</v>
      </c>
      <c r="AE62" s="824">
        <f t="shared" si="6"/>
        <v>457.6</v>
      </c>
      <c r="AF62" s="828">
        <f t="shared" si="15"/>
        <v>164</v>
      </c>
      <c r="AG62" s="836">
        <f t="shared" si="16"/>
        <v>309</v>
      </c>
      <c r="AH62" s="828">
        <f t="shared" si="17"/>
        <v>288</v>
      </c>
      <c r="AI62" s="828">
        <f t="shared" si="18"/>
        <v>279</v>
      </c>
      <c r="AJ62" s="802">
        <f t="shared" si="14"/>
        <v>1040</v>
      </c>
    </row>
    <row r="63" spans="1:47">
      <c r="A63" s="798">
        <v>144</v>
      </c>
      <c r="B63" s="814">
        <v>4</v>
      </c>
      <c r="C63" s="803"/>
      <c r="D63" s="803"/>
      <c r="E63" s="803"/>
      <c r="F63" s="803"/>
      <c r="G63" s="803"/>
      <c r="H63" s="811">
        <v>224</v>
      </c>
      <c r="I63" s="811">
        <v>74</v>
      </c>
      <c r="J63" s="811">
        <v>309</v>
      </c>
      <c r="K63" s="811">
        <v>293</v>
      </c>
      <c r="L63" s="811"/>
      <c r="M63" s="811"/>
      <c r="N63" s="811"/>
      <c r="O63" s="811"/>
      <c r="P63" s="811">
        <v>184</v>
      </c>
      <c r="Q63" s="800">
        <v>255</v>
      </c>
      <c r="R63" s="803"/>
      <c r="S63" s="803"/>
      <c r="T63" s="803"/>
      <c r="U63" s="803"/>
      <c r="V63" s="803"/>
      <c r="W63" s="801">
        <f t="shared" si="12"/>
        <v>1339</v>
      </c>
      <c r="Y63" s="798">
        <f t="shared" si="13"/>
        <v>1339</v>
      </c>
      <c r="AA63" s="823">
        <f>'CHAM CONG'!BA182</f>
        <v>0</v>
      </c>
      <c r="AB63" s="823">
        <f>'CHAM CONG'!BB182</f>
        <v>0</v>
      </c>
      <c r="AC63" s="823">
        <f>'CHAM CONG'!BC182</f>
        <v>0</v>
      </c>
      <c r="AD63" s="823">
        <f>'CHAM CONG'!BD182</f>
        <v>0</v>
      </c>
      <c r="AE63" s="824">
        <f t="shared" si="6"/>
        <v>589.16</v>
      </c>
      <c r="AF63" s="828">
        <f t="shared" si="15"/>
        <v>293</v>
      </c>
      <c r="AG63" s="836">
        <f t="shared" si="16"/>
        <v>408</v>
      </c>
      <c r="AH63" s="828">
        <f t="shared" si="17"/>
        <v>329</v>
      </c>
      <c r="AI63" s="828">
        <f t="shared" si="18"/>
        <v>309</v>
      </c>
      <c r="AJ63" s="802">
        <f t="shared" si="14"/>
        <v>1339</v>
      </c>
    </row>
    <row r="64" spans="1:47">
      <c r="A64" s="798">
        <v>145</v>
      </c>
      <c r="B64" s="814">
        <v>4</v>
      </c>
      <c r="C64" s="803"/>
      <c r="D64" s="803"/>
      <c r="E64" s="803"/>
      <c r="F64" s="803"/>
      <c r="G64" s="803"/>
      <c r="H64" s="811">
        <v>148</v>
      </c>
      <c r="I64" s="811">
        <v>110</v>
      </c>
      <c r="J64" s="811">
        <v>255</v>
      </c>
      <c r="K64" s="811">
        <v>290</v>
      </c>
      <c r="L64" s="811"/>
      <c r="M64" s="811"/>
      <c r="N64" s="811"/>
      <c r="O64" s="811"/>
      <c r="P64" s="811">
        <v>142</v>
      </c>
      <c r="Q64" s="800">
        <v>138</v>
      </c>
      <c r="R64" s="803"/>
      <c r="S64" s="803"/>
      <c r="T64" s="803"/>
      <c r="U64" s="803"/>
      <c r="V64" s="803"/>
      <c r="W64" s="801">
        <f t="shared" si="12"/>
        <v>1083</v>
      </c>
      <c r="Y64" s="798">
        <f t="shared" si="13"/>
        <v>1083</v>
      </c>
      <c r="AA64" s="823">
        <f>'CHAM CONG'!BA183</f>
        <v>0</v>
      </c>
      <c r="AB64" s="823">
        <f>'CHAM CONG'!BB183</f>
        <v>0</v>
      </c>
      <c r="AC64" s="823">
        <f>'CHAM CONG'!BC183</f>
        <v>0</v>
      </c>
      <c r="AD64" s="823">
        <f>'CHAM CONG'!BD183</f>
        <v>0</v>
      </c>
      <c r="AE64" s="824">
        <f t="shared" si="6"/>
        <v>476.52</v>
      </c>
      <c r="AF64" s="828">
        <f t="shared" si="15"/>
        <v>290</v>
      </c>
      <c r="AG64" s="836">
        <f t="shared" si="16"/>
        <v>290</v>
      </c>
      <c r="AH64" s="828">
        <f t="shared" si="17"/>
        <v>248</v>
      </c>
      <c r="AI64" s="828">
        <f t="shared" si="18"/>
        <v>255</v>
      </c>
      <c r="AJ64" s="802">
        <f t="shared" si="14"/>
        <v>1083</v>
      </c>
    </row>
    <row r="65" spans="1:36">
      <c r="A65" s="798">
        <v>146</v>
      </c>
      <c r="B65" s="814">
        <v>4</v>
      </c>
      <c r="C65" s="803"/>
      <c r="D65" s="803"/>
      <c r="E65" s="803"/>
      <c r="F65" s="803"/>
      <c r="G65" s="803"/>
      <c r="H65" s="811">
        <v>178</v>
      </c>
      <c r="I65" s="811">
        <v>140</v>
      </c>
      <c r="J65" s="811">
        <v>349</v>
      </c>
      <c r="K65" s="811">
        <v>265</v>
      </c>
      <c r="L65" s="811"/>
      <c r="M65" s="811"/>
      <c r="N65" s="811"/>
      <c r="O65" s="811"/>
      <c r="P65" s="811">
        <v>151</v>
      </c>
      <c r="Q65" s="800">
        <v>193</v>
      </c>
      <c r="R65" s="803"/>
      <c r="S65" s="803"/>
      <c r="T65" s="803"/>
      <c r="U65" s="803"/>
      <c r="V65" s="803"/>
      <c r="W65" s="801">
        <f t="shared" si="12"/>
        <v>1276</v>
      </c>
      <c r="Y65" s="798">
        <f t="shared" si="13"/>
        <v>1276</v>
      </c>
      <c r="AA65" s="823">
        <f>'CHAM CONG'!BA184</f>
        <v>0</v>
      </c>
      <c r="AB65" s="823">
        <f>'CHAM CONG'!BB184</f>
        <v>0</v>
      </c>
      <c r="AC65" s="823">
        <f>'CHAM CONG'!BC184</f>
        <v>0</v>
      </c>
      <c r="AD65" s="823">
        <f>'CHAM CONG'!BD184</f>
        <v>0</v>
      </c>
      <c r="AE65" s="824">
        <f t="shared" si="6"/>
        <v>561.44000000000005</v>
      </c>
      <c r="AF65" s="828">
        <f t="shared" si="15"/>
        <v>265</v>
      </c>
      <c r="AG65" s="836">
        <f t="shared" si="16"/>
        <v>329</v>
      </c>
      <c r="AH65" s="828">
        <f t="shared" si="17"/>
        <v>333</v>
      </c>
      <c r="AI65" s="828">
        <f t="shared" si="18"/>
        <v>349</v>
      </c>
      <c r="AJ65" s="802">
        <f t="shared" si="14"/>
        <v>1276</v>
      </c>
    </row>
    <row r="66" spans="1:36">
      <c r="A66" s="798">
        <v>147</v>
      </c>
      <c r="B66" s="814">
        <v>4</v>
      </c>
      <c r="C66" s="803"/>
      <c r="D66" s="803"/>
      <c r="E66" s="803"/>
      <c r="F66" s="803"/>
      <c r="G66" s="803"/>
      <c r="H66" s="811">
        <v>241</v>
      </c>
      <c r="I66" s="811">
        <v>107</v>
      </c>
      <c r="J66" s="811">
        <v>374</v>
      </c>
      <c r="K66" s="811">
        <v>246</v>
      </c>
      <c r="L66" s="811"/>
      <c r="M66" s="811"/>
      <c r="N66" s="811"/>
      <c r="O66" s="811"/>
      <c r="P66" s="811">
        <v>258</v>
      </c>
      <c r="Q66" s="800">
        <v>232</v>
      </c>
      <c r="R66" s="803"/>
      <c r="S66" s="803"/>
      <c r="T66" s="803"/>
      <c r="U66" s="803"/>
      <c r="V66" s="803"/>
      <c r="W66" s="801">
        <f t="shared" si="12"/>
        <v>1458</v>
      </c>
      <c r="Y66" s="798">
        <f t="shared" si="13"/>
        <v>1458</v>
      </c>
      <c r="AA66" s="823">
        <f>'CHAM CONG'!BA185</f>
        <v>0</v>
      </c>
      <c r="AB66" s="823">
        <f>'CHAM CONG'!BB185</f>
        <v>0</v>
      </c>
      <c r="AC66" s="823">
        <f>'CHAM CONG'!BC185</f>
        <v>0</v>
      </c>
      <c r="AD66" s="823">
        <f>'CHAM CONG'!BD185</f>
        <v>0</v>
      </c>
      <c r="AE66" s="824">
        <f t="shared" si="6"/>
        <v>641.52</v>
      </c>
      <c r="AF66" s="828">
        <f t="shared" si="15"/>
        <v>246</v>
      </c>
      <c r="AG66" s="836">
        <f t="shared" si="16"/>
        <v>499</v>
      </c>
      <c r="AH66" s="828">
        <f t="shared" si="17"/>
        <v>339</v>
      </c>
      <c r="AI66" s="828">
        <f t="shared" si="18"/>
        <v>374</v>
      </c>
      <c r="AJ66" s="802">
        <f t="shared" si="14"/>
        <v>1458</v>
      </c>
    </row>
    <row r="67" spans="1:36">
      <c r="A67" s="798">
        <v>148</v>
      </c>
      <c r="B67" s="814">
        <v>4</v>
      </c>
      <c r="C67" s="803"/>
      <c r="D67" s="803"/>
      <c r="E67" s="803"/>
      <c r="F67" s="803"/>
      <c r="G67" s="803"/>
      <c r="H67" s="811">
        <v>233</v>
      </c>
      <c r="I67" s="811">
        <v>192</v>
      </c>
      <c r="J67" s="811">
        <v>342</v>
      </c>
      <c r="K67" s="811">
        <v>229</v>
      </c>
      <c r="L67" s="811"/>
      <c r="M67" s="811"/>
      <c r="N67" s="811"/>
      <c r="O67" s="811"/>
      <c r="P67" s="811">
        <v>237</v>
      </c>
      <c r="Q67" s="800">
        <v>279</v>
      </c>
      <c r="R67" s="803"/>
      <c r="S67" s="803"/>
      <c r="T67" s="803"/>
      <c r="U67" s="803"/>
      <c r="V67" s="803"/>
      <c r="W67" s="801">
        <f t="shared" si="12"/>
        <v>1512</v>
      </c>
      <c r="Y67" s="798">
        <f t="shared" si="13"/>
        <v>1512</v>
      </c>
      <c r="AA67" s="823">
        <f>'CHAM CONG'!BA186</f>
        <v>0</v>
      </c>
      <c r="AB67" s="823">
        <f>'CHAM CONG'!BB186</f>
        <v>0</v>
      </c>
      <c r="AC67" s="823">
        <f>'CHAM CONG'!BC186</f>
        <v>0</v>
      </c>
      <c r="AD67" s="823">
        <f>'CHAM CONG'!BD186</f>
        <v>0</v>
      </c>
      <c r="AE67" s="824">
        <f t="shared" si="6"/>
        <v>665.28</v>
      </c>
      <c r="AF67" s="828">
        <f t="shared" si="15"/>
        <v>229</v>
      </c>
      <c r="AG67" s="836">
        <f t="shared" si="16"/>
        <v>470</v>
      </c>
      <c r="AH67" s="828">
        <f t="shared" si="17"/>
        <v>471</v>
      </c>
      <c r="AI67" s="828">
        <f t="shared" si="18"/>
        <v>342</v>
      </c>
      <c r="AJ67" s="802">
        <f t="shared" si="14"/>
        <v>1512</v>
      </c>
    </row>
    <row r="68" spans="1:36">
      <c r="A68" s="798">
        <v>149</v>
      </c>
      <c r="B68" s="814">
        <v>4</v>
      </c>
      <c r="C68" s="803"/>
      <c r="D68" s="803"/>
      <c r="E68" s="803"/>
      <c r="F68" s="803"/>
      <c r="G68" s="803"/>
      <c r="H68" s="811">
        <v>197</v>
      </c>
      <c r="I68" s="811">
        <v>88</v>
      </c>
      <c r="J68" s="811">
        <v>369</v>
      </c>
      <c r="K68" s="811">
        <v>171</v>
      </c>
      <c r="L68" s="811"/>
      <c r="M68" s="811"/>
      <c r="N68" s="811"/>
      <c r="O68" s="811"/>
      <c r="P68" s="811">
        <v>205</v>
      </c>
      <c r="Q68" s="800">
        <v>196</v>
      </c>
      <c r="R68" s="803"/>
      <c r="S68" s="803"/>
      <c r="T68" s="803"/>
      <c r="U68" s="803"/>
      <c r="V68" s="803"/>
      <c r="W68" s="801">
        <f t="shared" si="12"/>
        <v>1226</v>
      </c>
      <c r="Y68" s="798">
        <f t="shared" si="13"/>
        <v>1226</v>
      </c>
      <c r="AA68" s="823">
        <f>'CHAM CONG'!BA187</f>
        <v>0</v>
      </c>
      <c r="AB68" s="823">
        <f>'CHAM CONG'!BB187</f>
        <v>0</v>
      </c>
      <c r="AC68" s="823">
        <f>'CHAM CONG'!BC187</f>
        <v>0</v>
      </c>
      <c r="AD68" s="823">
        <f>'CHAM CONG'!BD187</f>
        <v>0</v>
      </c>
      <c r="AE68" s="824">
        <f t="shared" si="6"/>
        <v>539.44000000000005</v>
      </c>
      <c r="AF68" s="828">
        <f t="shared" si="15"/>
        <v>171</v>
      </c>
      <c r="AG68" s="836">
        <f t="shared" si="16"/>
        <v>402</v>
      </c>
      <c r="AH68" s="828">
        <f t="shared" si="17"/>
        <v>284</v>
      </c>
      <c r="AI68" s="828">
        <f t="shared" si="18"/>
        <v>369</v>
      </c>
      <c r="AJ68" s="802">
        <f t="shared" si="14"/>
        <v>1226</v>
      </c>
    </row>
    <row r="69" spans="1:36">
      <c r="A69" s="798">
        <v>150</v>
      </c>
      <c r="B69" s="814">
        <v>4</v>
      </c>
      <c r="C69" s="803"/>
      <c r="D69" s="803"/>
      <c r="E69" s="803"/>
      <c r="F69" s="803"/>
      <c r="G69" s="803"/>
      <c r="H69" s="811">
        <v>218</v>
      </c>
      <c r="I69" s="811">
        <v>90</v>
      </c>
      <c r="J69" s="811">
        <v>183</v>
      </c>
      <c r="K69" s="811">
        <v>294</v>
      </c>
      <c r="L69" s="811"/>
      <c r="M69" s="811"/>
      <c r="N69" s="811"/>
      <c r="O69" s="811"/>
      <c r="P69" s="811">
        <v>207</v>
      </c>
      <c r="Q69" s="800">
        <v>195</v>
      </c>
      <c r="R69" s="803"/>
      <c r="S69" s="803"/>
      <c r="T69" s="803"/>
      <c r="U69" s="803"/>
      <c r="V69" s="803"/>
      <c r="W69" s="801">
        <f t="shared" si="12"/>
        <v>1187</v>
      </c>
      <c r="Y69" s="798">
        <f t="shared" si="13"/>
        <v>1187</v>
      </c>
      <c r="AA69" s="823">
        <f>'CHAM CONG'!BA188</f>
        <v>0</v>
      </c>
      <c r="AB69" s="823">
        <f>'CHAM CONG'!BB188</f>
        <v>0</v>
      </c>
      <c r="AC69" s="823">
        <f>'CHAM CONG'!BC188</f>
        <v>0</v>
      </c>
      <c r="AD69" s="823">
        <f>'CHAM CONG'!BD188</f>
        <v>0</v>
      </c>
      <c r="AE69" s="824">
        <f t="shared" si="6"/>
        <v>522.28</v>
      </c>
      <c r="AF69" s="828">
        <f t="shared" si="15"/>
        <v>294</v>
      </c>
      <c r="AG69" s="836">
        <f t="shared" si="16"/>
        <v>425</v>
      </c>
      <c r="AH69" s="828">
        <f t="shared" si="17"/>
        <v>285</v>
      </c>
      <c r="AI69" s="828">
        <f t="shared" si="18"/>
        <v>183</v>
      </c>
      <c r="AJ69" s="802">
        <f t="shared" si="14"/>
        <v>1187</v>
      </c>
    </row>
    <row r="70" spans="1:36">
      <c r="A70" s="798">
        <v>151</v>
      </c>
      <c r="B70" s="814">
        <v>4</v>
      </c>
      <c r="C70" s="803"/>
      <c r="D70" s="803"/>
      <c r="E70" s="803"/>
      <c r="F70" s="803"/>
      <c r="G70" s="803"/>
      <c r="H70" s="811">
        <v>178</v>
      </c>
      <c r="I70" s="811">
        <v>230</v>
      </c>
      <c r="J70" s="811">
        <v>152</v>
      </c>
      <c r="K70" s="811">
        <v>185</v>
      </c>
      <c r="L70" s="811"/>
      <c r="M70" s="811"/>
      <c r="N70" s="811"/>
      <c r="O70" s="811"/>
      <c r="P70" s="811">
        <v>118</v>
      </c>
      <c r="Q70" s="800">
        <v>206</v>
      </c>
      <c r="R70" s="803"/>
      <c r="S70" s="803"/>
      <c r="T70" s="803"/>
      <c r="U70" s="803"/>
      <c r="V70" s="803"/>
      <c r="W70" s="801">
        <f t="shared" si="12"/>
        <v>1069</v>
      </c>
      <c r="Y70" s="798">
        <f t="shared" si="13"/>
        <v>1069</v>
      </c>
      <c r="AA70" s="823">
        <f>'CHAM CONG'!BA189</f>
        <v>0</v>
      </c>
      <c r="AB70" s="823">
        <f>'CHAM CONG'!BB189</f>
        <v>0</v>
      </c>
      <c r="AC70" s="823">
        <f>'CHAM CONG'!BC189</f>
        <v>0</v>
      </c>
      <c r="AD70" s="823">
        <f>'CHAM CONG'!BD189</f>
        <v>0</v>
      </c>
      <c r="AE70" s="824">
        <f t="shared" si="6"/>
        <v>470.36</v>
      </c>
      <c r="AF70" s="828">
        <f t="shared" si="15"/>
        <v>185</v>
      </c>
      <c r="AG70" s="836">
        <f t="shared" si="16"/>
        <v>296</v>
      </c>
      <c r="AH70" s="828">
        <f t="shared" si="17"/>
        <v>436</v>
      </c>
      <c r="AI70" s="828">
        <f t="shared" si="18"/>
        <v>152</v>
      </c>
      <c r="AJ70" s="802">
        <f t="shared" si="14"/>
        <v>1069</v>
      </c>
    </row>
    <row r="71" spans="1:36">
      <c r="A71" s="798">
        <v>152</v>
      </c>
      <c r="B71" s="814">
        <v>4</v>
      </c>
      <c r="C71" s="803"/>
      <c r="D71" s="803"/>
      <c r="E71" s="803"/>
      <c r="F71" s="803"/>
      <c r="G71" s="803"/>
      <c r="H71" s="811">
        <v>233</v>
      </c>
      <c r="I71" s="811">
        <v>144</v>
      </c>
      <c r="J71" s="811">
        <v>164</v>
      </c>
      <c r="K71" s="811">
        <v>214</v>
      </c>
      <c r="L71" s="811"/>
      <c r="M71" s="811"/>
      <c r="N71" s="811"/>
      <c r="O71" s="811"/>
      <c r="P71" s="811">
        <v>87</v>
      </c>
      <c r="Q71" s="800">
        <v>278</v>
      </c>
      <c r="R71" s="803"/>
      <c r="S71" s="803"/>
      <c r="T71" s="803"/>
      <c r="U71" s="803"/>
      <c r="V71" s="803"/>
      <c r="W71" s="801">
        <f t="shared" si="12"/>
        <v>1120</v>
      </c>
      <c r="Y71" s="798">
        <f t="shared" si="13"/>
        <v>1120</v>
      </c>
      <c r="AA71" s="823">
        <f>'CHAM CONG'!BA190</f>
        <v>0</v>
      </c>
      <c r="AB71" s="823">
        <f>'CHAM CONG'!BB190</f>
        <v>0</v>
      </c>
      <c r="AC71" s="823">
        <f>'CHAM CONG'!BC190</f>
        <v>0</v>
      </c>
      <c r="AD71" s="823">
        <f>'CHAM CONG'!BD190</f>
        <v>0</v>
      </c>
      <c r="AE71" s="824">
        <f t="shared" si="6"/>
        <v>492.8</v>
      </c>
      <c r="AF71" s="828">
        <f t="shared" si="15"/>
        <v>214</v>
      </c>
      <c r="AG71" s="836">
        <f t="shared" si="16"/>
        <v>320</v>
      </c>
      <c r="AH71" s="828">
        <f t="shared" si="17"/>
        <v>422</v>
      </c>
      <c r="AI71" s="828">
        <f t="shared" si="18"/>
        <v>164</v>
      </c>
      <c r="AJ71" s="802">
        <f t="shared" si="14"/>
        <v>1120</v>
      </c>
    </row>
    <row r="72" spans="1:36">
      <c r="A72" s="798">
        <v>153</v>
      </c>
      <c r="B72" s="814">
        <v>4</v>
      </c>
      <c r="C72" s="803"/>
      <c r="D72" s="803"/>
      <c r="E72" s="803"/>
      <c r="F72" s="803"/>
      <c r="G72" s="803"/>
      <c r="H72" s="811">
        <v>182</v>
      </c>
      <c r="I72" s="811">
        <v>93</v>
      </c>
      <c r="J72" s="811">
        <v>266</v>
      </c>
      <c r="K72" s="811">
        <v>220</v>
      </c>
      <c r="L72" s="811"/>
      <c r="M72" s="811"/>
      <c r="N72" s="811"/>
      <c r="O72" s="811"/>
      <c r="P72" s="811">
        <v>217</v>
      </c>
      <c r="Q72" s="800">
        <v>238</v>
      </c>
      <c r="R72" s="803"/>
      <c r="S72" s="803"/>
      <c r="T72" s="803"/>
      <c r="U72" s="803"/>
      <c r="V72" s="803"/>
      <c r="W72" s="801">
        <f t="shared" si="12"/>
        <v>1216</v>
      </c>
      <c r="Y72" s="798">
        <f t="shared" si="13"/>
        <v>1216</v>
      </c>
      <c r="AA72" s="823">
        <f>'CHAM CONG'!BA191</f>
        <v>0</v>
      </c>
      <c r="AB72" s="823">
        <f>'CHAM CONG'!BB191</f>
        <v>0</v>
      </c>
      <c r="AC72" s="823">
        <f>'CHAM CONG'!BC191</f>
        <v>0</v>
      </c>
      <c r="AD72" s="823">
        <f>'CHAM CONG'!BD191</f>
        <v>0</v>
      </c>
      <c r="AE72" s="824">
        <f t="shared" si="6"/>
        <v>535.04</v>
      </c>
      <c r="AF72" s="828">
        <f t="shared" si="15"/>
        <v>220</v>
      </c>
      <c r="AG72" s="836">
        <f t="shared" si="16"/>
        <v>399</v>
      </c>
      <c r="AH72" s="828">
        <f t="shared" si="17"/>
        <v>331</v>
      </c>
      <c r="AI72" s="828">
        <f t="shared" si="18"/>
        <v>266</v>
      </c>
      <c r="AJ72" s="802">
        <f t="shared" si="14"/>
        <v>1216</v>
      </c>
    </row>
    <row r="73" spans="1:36">
      <c r="A73" s="798">
        <v>154</v>
      </c>
      <c r="B73" s="814">
        <v>4</v>
      </c>
      <c r="C73" s="803"/>
      <c r="D73" s="803"/>
      <c r="E73" s="803"/>
      <c r="F73" s="803"/>
      <c r="G73" s="803"/>
      <c r="H73" s="811">
        <v>229</v>
      </c>
      <c r="I73" s="811">
        <v>201</v>
      </c>
      <c r="J73" s="811">
        <v>268</v>
      </c>
      <c r="K73" s="811">
        <v>268</v>
      </c>
      <c r="L73" s="811"/>
      <c r="M73" s="811"/>
      <c r="N73" s="811"/>
      <c r="O73" s="811"/>
      <c r="P73" s="811">
        <v>255</v>
      </c>
      <c r="Q73" s="800">
        <v>246</v>
      </c>
      <c r="R73" s="803"/>
      <c r="S73" s="803"/>
      <c r="T73" s="803"/>
      <c r="U73" s="803"/>
      <c r="V73" s="803"/>
      <c r="W73" s="801">
        <f t="shared" si="12"/>
        <v>1467</v>
      </c>
      <c r="Y73" s="798">
        <f t="shared" si="13"/>
        <v>1467</v>
      </c>
      <c r="AA73" s="823">
        <f>'CHAM CONG'!BA192</f>
        <v>0</v>
      </c>
      <c r="AB73" s="823">
        <f>'CHAM CONG'!BB192</f>
        <v>0</v>
      </c>
      <c r="AC73" s="823">
        <f>'CHAM CONG'!BC192</f>
        <v>0</v>
      </c>
      <c r="AD73" s="823">
        <f>'CHAM CONG'!BD192</f>
        <v>0</v>
      </c>
      <c r="AE73" s="824">
        <f t="shared" si="6"/>
        <v>645.48</v>
      </c>
      <c r="AF73" s="828">
        <f t="shared" si="15"/>
        <v>268</v>
      </c>
      <c r="AG73" s="836">
        <f t="shared" si="16"/>
        <v>484</v>
      </c>
      <c r="AH73" s="828">
        <f t="shared" si="17"/>
        <v>447</v>
      </c>
      <c r="AI73" s="828">
        <f t="shared" si="18"/>
        <v>268</v>
      </c>
      <c r="AJ73" s="802">
        <f t="shared" si="14"/>
        <v>1467</v>
      </c>
    </row>
    <row r="74" spans="1:36">
      <c r="A74" s="798">
        <v>155</v>
      </c>
      <c r="B74" s="814">
        <v>4</v>
      </c>
      <c r="C74" s="803"/>
      <c r="D74" s="803"/>
      <c r="E74" s="803"/>
      <c r="F74" s="803"/>
      <c r="G74" s="803"/>
      <c r="H74" s="811">
        <v>221</v>
      </c>
      <c r="I74" s="811">
        <v>186</v>
      </c>
      <c r="J74" s="811">
        <v>178</v>
      </c>
      <c r="K74" s="811">
        <v>177</v>
      </c>
      <c r="L74" s="811"/>
      <c r="M74" s="811"/>
      <c r="N74" s="811"/>
      <c r="O74" s="811"/>
      <c r="P74" s="811">
        <v>218</v>
      </c>
      <c r="Q74" s="800">
        <v>247</v>
      </c>
      <c r="R74" s="803"/>
      <c r="S74" s="803"/>
      <c r="T74" s="803"/>
      <c r="U74" s="803"/>
      <c r="V74" s="803"/>
      <c r="W74" s="801">
        <f t="shared" si="12"/>
        <v>1227</v>
      </c>
      <c r="Y74" s="798">
        <f t="shared" si="13"/>
        <v>1227</v>
      </c>
      <c r="AA74" s="823">
        <f>'CHAM CONG'!BA193</f>
        <v>0</v>
      </c>
      <c r="AB74" s="823">
        <f>'CHAM CONG'!BB193</f>
        <v>0</v>
      </c>
      <c r="AC74" s="823">
        <f>'CHAM CONG'!BC193</f>
        <v>0</v>
      </c>
      <c r="AD74" s="823">
        <f>'CHAM CONG'!BD193</f>
        <v>0</v>
      </c>
      <c r="AE74" s="824">
        <f t="shared" ref="AE74:AE137" si="19">ROUND(W74*0.44,2)</f>
        <v>539.88</v>
      </c>
      <c r="AF74" s="828">
        <f t="shared" si="15"/>
        <v>177</v>
      </c>
      <c r="AG74" s="836">
        <f t="shared" si="16"/>
        <v>439</v>
      </c>
      <c r="AH74" s="828">
        <f t="shared" si="17"/>
        <v>433</v>
      </c>
      <c r="AI74" s="828">
        <f t="shared" si="18"/>
        <v>178</v>
      </c>
      <c r="AJ74" s="802">
        <f t="shared" si="14"/>
        <v>1227</v>
      </c>
    </row>
    <row r="75" spans="1:36">
      <c r="A75" s="798">
        <v>156</v>
      </c>
      <c r="B75" s="814">
        <v>4</v>
      </c>
      <c r="C75" s="803"/>
      <c r="D75" s="803"/>
      <c r="E75" s="803"/>
      <c r="F75" s="803"/>
      <c r="G75" s="803"/>
      <c r="H75" s="811">
        <v>222</v>
      </c>
      <c r="I75" s="811">
        <v>96</v>
      </c>
      <c r="J75" s="811">
        <v>252</v>
      </c>
      <c r="K75" s="811">
        <v>261</v>
      </c>
      <c r="L75" s="811"/>
      <c r="M75" s="811"/>
      <c r="N75" s="811"/>
      <c r="O75" s="811"/>
      <c r="P75" s="811">
        <v>122</v>
      </c>
      <c r="Q75" s="800">
        <v>256</v>
      </c>
      <c r="R75" s="803"/>
      <c r="S75" s="803"/>
      <c r="T75" s="803"/>
      <c r="U75" s="803"/>
      <c r="V75" s="803"/>
      <c r="W75" s="801">
        <f t="shared" si="12"/>
        <v>1209</v>
      </c>
      <c r="Y75" s="798">
        <f t="shared" si="13"/>
        <v>1209</v>
      </c>
      <c r="AA75" s="823">
        <f>'CHAM CONG'!BA194</f>
        <v>0</v>
      </c>
      <c r="AB75" s="823">
        <f>'CHAM CONG'!BB194</f>
        <v>0</v>
      </c>
      <c r="AC75" s="823">
        <f>'CHAM CONG'!BC194</f>
        <v>0</v>
      </c>
      <c r="AD75" s="823">
        <f>'CHAM CONG'!BD194</f>
        <v>0</v>
      </c>
      <c r="AE75" s="824">
        <f t="shared" si="19"/>
        <v>531.96</v>
      </c>
      <c r="AF75" s="828">
        <f t="shared" si="15"/>
        <v>261</v>
      </c>
      <c r="AG75" s="836">
        <f t="shared" si="16"/>
        <v>344</v>
      </c>
      <c r="AH75" s="828">
        <f t="shared" si="17"/>
        <v>352</v>
      </c>
      <c r="AI75" s="828">
        <f t="shared" si="18"/>
        <v>252</v>
      </c>
      <c r="AJ75" s="802">
        <f t="shared" si="14"/>
        <v>1209</v>
      </c>
    </row>
    <row r="76" spans="1:36">
      <c r="A76" s="798">
        <v>157</v>
      </c>
      <c r="B76" s="814">
        <v>4</v>
      </c>
      <c r="C76" s="803"/>
      <c r="D76" s="803"/>
      <c r="E76" s="803"/>
      <c r="F76" s="803"/>
      <c r="G76" s="803"/>
      <c r="H76" s="811">
        <v>227</v>
      </c>
      <c r="I76" s="811">
        <v>94</v>
      </c>
      <c r="J76" s="811">
        <v>250</v>
      </c>
      <c r="K76" s="811">
        <v>250</v>
      </c>
      <c r="L76" s="811"/>
      <c r="M76" s="811"/>
      <c r="N76" s="811"/>
      <c r="O76" s="811"/>
      <c r="P76" s="811">
        <v>122</v>
      </c>
      <c r="Q76" s="800">
        <v>254</v>
      </c>
      <c r="R76" s="803"/>
      <c r="S76" s="803"/>
      <c r="T76" s="803"/>
      <c r="U76" s="803"/>
      <c r="V76" s="803"/>
      <c r="W76" s="801">
        <f t="shared" si="12"/>
        <v>1197</v>
      </c>
      <c r="Y76" s="798">
        <f t="shared" si="13"/>
        <v>1197</v>
      </c>
      <c r="AA76" s="823">
        <f>'CHAM CONG'!BA195</f>
        <v>0</v>
      </c>
      <c r="AB76" s="823">
        <f>'CHAM CONG'!BB195</f>
        <v>0</v>
      </c>
      <c r="AC76" s="823">
        <f>'CHAM CONG'!BC195</f>
        <v>0</v>
      </c>
      <c r="AD76" s="823">
        <f>'CHAM CONG'!BD195</f>
        <v>0</v>
      </c>
      <c r="AE76" s="824">
        <f t="shared" si="19"/>
        <v>526.67999999999995</v>
      </c>
      <c r="AF76" s="828">
        <f t="shared" si="15"/>
        <v>250</v>
      </c>
      <c r="AG76" s="836">
        <f t="shared" si="16"/>
        <v>349</v>
      </c>
      <c r="AH76" s="828">
        <f t="shared" si="17"/>
        <v>348</v>
      </c>
      <c r="AI76" s="828">
        <f t="shared" si="18"/>
        <v>250</v>
      </c>
      <c r="AJ76" s="802">
        <f t="shared" si="14"/>
        <v>1197</v>
      </c>
    </row>
    <row r="77" spans="1:36">
      <c r="A77" s="798">
        <v>158</v>
      </c>
      <c r="B77" s="814">
        <v>4</v>
      </c>
      <c r="C77" s="803"/>
      <c r="D77" s="803"/>
      <c r="E77" s="803"/>
      <c r="F77" s="803"/>
      <c r="G77" s="803"/>
      <c r="H77" s="811">
        <v>130</v>
      </c>
      <c r="I77" s="811">
        <v>100</v>
      </c>
      <c r="J77" s="811">
        <v>263</v>
      </c>
      <c r="K77" s="811">
        <v>349</v>
      </c>
      <c r="L77" s="811"/>
      <c r="M77" s="811"/>
      <c r="N77" s="811"/>
      <c r="O77" s="811"/>
      <c r="P77" s="811">
        <v>147</v>
      </c>
      <c r="Q77" s="800">
        <v>270</v>
      </c>
      <c r="R77" s="803"/>
      <c r="S77" s="803"/>
      <c r="T77" s="803"/>
      <c r="U77" s="803"/>
      <c r="V77" s="803"/>
      <c r="W77" s="801">
        <f t="shared" si="12"/>
        <v>1259</v>
      </c>
      <c r="Y77" s="798">
        <f t="shared" si="13"/>
        <v>1259</v>
      </c>
      <c r="AA77" s="823">
        <f>'CHAM CONG'!BA196</f>
        <v>0</v>
      </c>
      <c r="AB77" s="823">
        <f>'CHAM CONG'!BB196</f>
        <v>0</v>
      </c>
      <c r="AC77" s="823">
        <f>'CHAM CONG'!BC196</f>
        <v>0</v>
      </c>
      <c r="AD77" s="823">
        <f>'CHAM CONG'!BD196</f>
        <v>0</v>
      </c>
      <c r="AE77" s="824">
        <f t="shared" si="19"/>
        <v>553.96</v>
      </c>
      <c r="AF77" s="828">
        <f t="shared" si="15"/>
        <v>349</v>
      </c>
      <c r="AG77" s="836">
        <f t="shared" si="16"/>
        <v>277</v>
      </c>
      <c r="AH77" s="828">
        <f t="shared" si="17"/>
        <v>370</v>
      </c>
      <c r="AI77" s="828">
        <f t="shared" si="18"/>
        <v>263</v>
      </c>
      <c r="AJ77" s="802">
        <f t="shared" si="14"/>
        <v>1259</v>
      </c>
    </row>
    <row r="78" spans="1:36">
      <c r="A78" s="798">
        <v>159</v>
      </c>
      <c r="B78" s="814">
        <v>4</v>
      </c>
      <c r="C78" s="803"/>
      <c r="D78" s="803"/>
      <c r="E78" s="803"/>
      <c r="F78" s="803"/>
      <c r="G78" s="803"/>
      <c r="H78" s="811">
        <v>194</v>
      </c>
      <c r="I78" s="811">
        <v>190</v>
      </c>
      <c r="J78" s="811">
        <v>272</v>
      </c>
      <c r="K78" s="811">
        <v>354</v>
      </c>
      <c r="L78" s="811"/>
      <c r="M78" s="811"/>
      <c r="N78" s="811"/>
      <c r="O78" s="811"/>
      <c r="P78" s="811">
        <v>218</v>
      </c>
      <c r="Q78" s="800">
        <v>225</v>
      </c>
      <c r="R78" s="803"/>
      <c r="S78" s="803"/>
      <c r="T78" s="803"/>
      <c r="U78" s="803"/>
      <c r="V78" s="803"/>
      <c r="W78" s="801">
        <f t="shared" si="12"/>
        <v>1453</v>
      </c>
      <c r="Y78" s="798">
        <f t="shared" si="13"/>
        <v>1453</v>
      </c>
      <c r="AA78" s="823">
        <f>'CHAM CONG'!BA197</f>
        <v>0</v>
      </c>
      <c r="AB78" s="823">
        <f>'CHAM CONG'!BB197</f>
        <v>0</v>
      </c>
      <c r="AC78" s="823">
        <f>'CHAM CONG'!BC197</f>
        <v>0</v>
      </c>
      <c r="AD78" s="823">
        <f>'CHAM CONG'!BD197</f>
        <v>0</v>
      </c>
      <c r="AE78" s="824">
        <f t="shared" si="19"/>
        <v>639.32000000000005</v>
      </c>
      <c r="AF78" s="828">
        <f t="shared" si="15"/>
        <v>354</v>
      </c>
      <c r="AG78" s="836">
        <f t="shared" si="16"/>
        <v>412</v>
      </c>
      <c r="AH78" s="828">
        <f t="shared" si="17"/>
        <v>415</v>
      </c>
      <c r="AI78" s="828">
        <f t="shared" si="18"/>
        <v>272</v>
      </c>
      <c r="AJ78" s="802">
        <f t="shared" si="14"/>
        <v>1453</v>
      </c>
    </row>
    <row r="79" spans="1:36">
      <c r="A79" s="798">
        <v>160</v>
      </c>
      <c r="B79" s="814">
        <v>4</v>
      </c>
      <c r="C79" s="803"/>
      <c r="D79" s="803"/>
      <c r="E79" s="803"/>
      <c r="F79" s="803"/>
      <c r="G79" s="803"/>
      <c r="H79" s="811">
        <v>199</v>
      </c>
      <c r="I79" s="811">
        <v>171</v>
      </c>
      <c r="J79" s="811">
        <v>284</v>
      </c>
      <c r="K79" s="811">
        <v>249</v>
      </c>
      <c r="L79" s="811"/>
      <c r="M79" s="811"/>
      <c r="N79" s="811"/>
      <c r="O79" s="811"/>
      <c r="P79" s="811">
        <v>183</v>
      </c>
      <c r="Q79" s="800">
        <v>274</v>
      </c>
      <c r="R79" s="803"/>
      <c r="S79" s="803"/>
      <c r="T79" s="803"/>
      <c r="U79" s="803"/>
      <c r="V79" s="803"/>
      <c r="W79" s="801">
        <f t="shared" si="12"/>
        <v>1360</v>
      </c>
      <c r="Y79" s="798">
        <f t="shared" si="13"/>
        <v>1360</v>
      </c>
      <c r="AA79" s="823">
        <f>'CHAM CONG'!BA198</f>
        <v>0</v>
      </c>
      <c r="AB79" s="823">
        <f>'CHAM CONG'!BB198</f>
        <v>0</v>
      </c>
      <c r="AC79" s="823">
        <f>'CHAM CONG'!BC198</f>
        <v>0</v>
      </c>
      <c r="AD79" s="823">
        <f>'CHAM CONG'!BD198</f>
        <v>0</v>
      </c>
      <c r="AE79" s="824">
        <f t="shared" si="19"/>
        <v>598.4</v>
      </c>
      <c r="AF79" s="828">
        <f t="shared" si="15"/>
        <v>249</v>
      </c>
      <c r="AG79" s="836">
        <f t="shared" si="16"/>
        <v>382</v>
      </c>
      <c r="AH79" s="828">
        <f t="shared" si="17"/>
        <v>445</v>
      </c>
      <c r="AI79" s="828">
        <f t="shared" si="18"/>
        <v>284</v>
      </c>
      <c r="AJ79" s="802">
        <f t="shared" si="14"/>
        <v>1360</v>
      </c>
    </row>
    <row r="80" spans="1:36">
      <c r="A80" s="798">
        <v>161</v>
      </c>
      <c r="B80" s="814">
        <v>4</v>
      </c>
      <c r="C80" s="803"/>
      <c r="D80" s="803"/>
      <c r="E80" s="803"/>
      <c r="F80" s="803"/>
      <c r="G80" s="803"/>
      <c r="H80" s="811">
        <v>198</v>
      </c>
      <c r="I80" s="811">
        <v>131</v>
      </c>
      <c r="J80" s="811">
        <v>307</v>
      </c>
      <c r="K80" s="811">
        <v>223</v>
      </c>
      <c r="L80" s="811"/>
      <c r="M80" s="811"/>
      <c r="N80" s="811"/>
      <c r="O80" s="811"/>
      <c r="P80" s="811">
        <v>157</v>
      </c>
      <c r="Q80" s="800">
        <v>221</v>
      </c>
      <c r="R80" s="803"/>
      <c r="S80" s="803"/>
      <c r="T80" s="803"/>
      <c r="U80" s="803"/>
      <c r="V80" s="803"/>
      <c r="W80" s="801">
        <f t="shared" si="12"/>
        <v>1237</v>
      </c>
      <c r="Y80" s="798">
        <f t="shared" si="13"/>
        <v>1237</v>
      </c>
      <c r="AA80" s="823">
        <f>'CHAM CONG'!BA199</f>
        <v>0</v>
      </c>
      <c r="AB80" s="823">
        <f>'CHAM CONG'!BB199</f>
        <v>0</v>
      </c>
      <c r="AC80" s="823">
        <f>'CHAM CONG'!BC199</f>
        <v>0</v>
      </c>
      <c r="AD80" s="823">
        <f>'CHAM CONG'!BD199</f>
        <v>0</v>
      </c>
      <c r="AE80" s="824">
        <f t="shared" si="19"/>
        <v>544.28</v>
      </c>
      <c r="AF80" s="828">
        <f t="shared" si="15"/>
        <v>223</v>
      </c>
      <c r="AG80" s="836">
        <f t="shared" si="16"/>
        <v>355</v>
      </c>
      <c r="AH80" s="828">
        <f t="shared" si="17"/>
        <v>352</v>
      </c>
      <c r="AI80" s="828">
        <f t="shared" si="18"/>
        <v>307</v>
      </c>
      <c r="AJ80" s="802">
        <f t="shared" si="14"/>
        <v>1237</v>
      </c>
    </row>
    <row r="81" spans="1:37">
      <c r="A81" s="798">
        <v>162</v>
      </c>
      <c r="B81" s="814">
        <v>4</v>
      </c>
      <c r="C81" s="803"/>
      <c r="D81" s="803"/>
      <c r="E81" s="803"/>
      <c r="F81" s="803"/>
      <c r="G81" s="803"/>
      <c r="H81" s="811">
        <v>182</v>
      </c>
      <c r="I81" s="811">
        <v>220</v>
      </c>
      <c r="J81" s="811">
        <v>185</v>
      </c>
      <c r="K81" s="811">
        <v>280</v>
      </c>
      <c r="L81" s="811"/>
      <c r="M81" s="811"/>
      <c r="N81" s="811"/>
      <c r="O81" s="811"/>
      <c r="P81" s="811">
        <v>104</v>
      </c>
      <c r="Q81" s="800">
        <v>278</v>
      </c>
      <c r="R81" s="803"/>
      <c r="S81" s="803"/>
      <c r="T81" s="803"/>
      <c r="U81" s="803"/>
      <c r="V81" s="803"/>
      <c r="W81" s="801">
        <f t="shared" si="12"/>
        <v>1249</v>
      </c>
      <c r="Y81" s="798">
        <f t="shared" si="13"/>
        <v>1249</v>
      </c>
      <c r="AA81" s="823">
        <f>'CHAM CONG'!BA200</f>
        <v>0</v>
      </c>
      <c r="AB81" s="823">
        <f>'CHAM CONG'!BB200</f>
        <v>0</v>
      </c>
      <c r="AC81" s="823">
        <f>'CHAM CONG'!BC200</f>
        <v>0</v>
      </c>
      <c r="AD81" s="823">
        <f>'CHAM CONG'!BD200</f>
        <v>0</v>
      </c>
      <c r="AE81" s="824">
        <f t="shared" si="19"/>
        <v>549.55999999999995</v>
      </c>
      <c r="AF81" s="828">
        <f t="shared" si="15"/>
        <v>280</v>
      </c>
      <c r="AG81" s="836">
        <f t="shared" si="16"/>
        <v>286</v>
      </c>
      <c r="AH81" s="828">
        <f t="shared" si="17"/>
        <v>498</v>
      </c>
      <c r="AI81" s="828">
        <f t="shared" si="18"/>
        <v>185</v>
      </c>
      <c r="AJ81" s="802">
        <f t="shared" si="14"/>
        <v>1249</v>
      </c>
    </row>
    <row r="82" spans="1:37">
      <c r="A82" s="798">
        <v>163</v>
      </c>
      <c r="B82" s="814">
        <v>4</v>
      </c>
      <c r="C82" s="803"/>
      <c r="D82" s="803"/>
      <c r="E82" s="803"/>
      <c r="F82" s="803"/>
      <c r="G82" s="803"/>
      <c r="H82" s="811">
        <v>174</v>
      </c>
      <c r="I82" s="811">
        <v>194</v>
      </c>
      <c r="J82" s="811">
        <v>259</v>
      </c>
      <c r="K82" s="811">
        <v>215</v>
      </c>
      <c r="L82" s="811"/>
      <c r="M82" s="811"/>
      <c r="N82" s="811"/>
      <c r="O82" s="811"/>
      <c r="P82" s="811">
        <v>177</v>
      </c>
      <c r="Q82" s="800">
        <v>322</v>
      </c>
      <c r="R82" s="803"/>
      <c r="S82" s="803"/>
      <c r="T82" s="803"/>
      <c r="U82" s="803"/>
      <c r="V82" s="803"/>
      <c r="W82" s="801">
        <f t="shared" si="12"/>
        <v>1341</v>
      </c>
      <c r="Y82" s="798">
        <f t="shared" si="13"/>
        <v>1341</v>
      </c>
      <c r="AA82" s="823">
        <f>'CHAM CONG'!BA201</f>
        <v>0</v>
      </c>
      <c r="AB82" s="823">
        <f>'CHAM CONG'!BB201</f>
        <v>0</v>
      </c>
      <c r="AC82" s="823">
        <f>'CHAM CONG'!BC201</f>
        <v>0</v>
      </c>
      <c r="AD82" s="823">
        <f>'CHAM CONG'!BD201</f>
        <v>0</v>
      </c>
      <c r="AE82" s="824">
        <f t="shared" si="19"/>
        <v>590.04</v>
      </c>
      <c r="AF82" s="828">
        <f t="shared" si="15"/>
        <v>215</v>
      </c>
      <c r="AG82" s="836">
        <f t="shared" si="16"/>
        <v>351</v>
      </c>
      <c r="AH82" s="828">
        <f t="shared" si="17"/>
        <v>516</v>
      </c>
      <c r="AI82" s="828">
        <f t="shared" si="18"/>
        <v>259</v>
      </c>
      <c r="AJ82" s="802">
        <f t="shared" si="14"/>
        <v>1341</v>
      </c>
    </row>
    <row r="83" spans="1:37">
      <c r="A83" s="798">
        <v>164</v>
      </c>
      <c r="B83" s="814">
        <v>4</v>
      </c>
      <c r="C83" s="803"/>
      <c r="D83" s="803"/>
      <c r="E83" s="803"/>
      <c r="F83" s="803"/>
      <c r="G83" s="803"/>
      <c r="H83" s="811">
        <v>193</v>
      </c>
      <c r="I83" s="811">
        <v>0</v>
      </c>
      <c r="J83" s="811">
        <v>279</v>
      </c>
      <c r="K83" s="811">
        <v>246</v>
      </c>
      <c r="L83" s="811"/>
      <c r="M83" s="811"/>
      <c r="N83" s="811"/>
      <c r="O83" s="811"/>
      <c r="P83" s="811">
        <v>212</v>
      </c>
      <c r="Q83" s="800">
        <v>208</v>
      </c>
      <c r="R83" s="803"/>
      <c r="S83" s="803"/>
      <c r="T83" s="803"/>
      <c r="U83" s="803"/>
      <c r="V83" s="803"/>
      <c r="W83" s="801">
        <f t="shared" si="12"/>
        <v>1138</v>
      </c>
      <c r="Y83" s="798">
        <f t="shared" si="13"/>
        <v>1138</v>
      </c>
      <c r="AA83" s="823">
        <f>'CHAM CONG'!BA202</f>
        <v>0</v>
      </c>
      <c r="AB83" s="823">
        <f>'CHAM CONG'!BB202</f>
        <v>0</v>
      </c>
      <c r="AC83" s="823">
        <f>'CHAM CONG'!BC202</f>
        <v>0</v>
      </c>
      <c r="AD83" s="823">
        <f>'CHAM CONG'!BD202</f>
        <v>0</v>
      </c>
      <c r="AE83" s="824">
        <f t="shared" si="19"/>
        <v>500.72</v>
      </c>
      <c r="AF83" s="828">
        <f t="shared" si="15"/>
        <v>246</v>
      </c>
      <c r="AG83" s="836">
        <f t="shared" si="16"/>
        <v>405</v>
      </c>
      <c r="AH83" s="828">
        <f t="shared" si="17"/>
        <v>208</v>
      </c>
      <c r="AI83" s="828">
        <f t="shared" si="18"/>
        <v>279</v>
      </c>
      <c r="AJ83" s="802">
        <f t="shared" si="14"/>
        <v>1138</v>
      </c>
    </row>
    <row r="84" spans="1:37">
      <c r="A84" s="798">
        <v>165</v>
      </c>
      <c r="B84" s="814">
        <v>4</v>
      </c>
      <c r="C84" s="803"/>
      <c r="D84" s="803"/>
      <c r="E84" s="803"/>
      <c r="F84" s="803"/>
      <c r="G84" s="803"/>
      <c r="H84" s="811">
        <v>187</v>
      </c>
      <c r="I84" s="811">
        <v>114</v>
      </c>
      <c r="J84" s="811">
        <v>279</v>
      </c>
      <c r="K84" s="811">
        <v>235</v>
      </c>
      <c r="L84" s="811"/>
      <c r="M84" s="811"/>
      <c r="N84" s="811"/>
      <c r="O84" s="811"/>
      <c r="P84" s="811">
        <v>221</v>
      </c>
      <c r="Q84" s="800">
        <v>328</v>
      </c>
      <c r="R84" s="803"/>
      <c r="S84" s="803"/>
      <c r="T84" s="803"/>
      <c r="U84" s="803"/>
      <c r="V84" s="803"/>
      <c r="W84" s="801">
        <f t="shared" si="12"/>
        <v>1364</v>
      </c>
      <c r="Y84" s="798">
        <f t="shared" si="13"/>
        <v>1364</v>
      </c>
      <c r="AA84" s="823">
        <f>'CHAM CONG'!BA203</f>
        <v>0</v>
      </c>
      <c r="AB84" s="823">
        <f>'CHAM CONG'!BB203</f>
        <v>0</v>
      </c>
      <c r="AC84" s="823">
        <f>'CHAM CONG'!BC203</f>
        <v>0</v>
      </c>
      <c r="AD84" s="823">
        <f>'CHAM CONG'!BD203</f>
        <v>0</v>
      </c>
      <c r="AE84" s="824">
        <f t="shared" si="19"/>
        <v>600.16</v>
      </c>
      <c r="AF84" s="828">
        <f t="shared" si="15"/>
        <v>235</v>
      </c>
      <c r="AG84" s="836">
        <f t="shared" si="16"/>
        <v>408</v>
      </c>
      <c r="AH84" s="828">
        <f t="shared" si="17"/>
        <v>442</v>
      </c>
      <c r="AI84" s="828">
        <f t="shared" si="18"/>
        <v>279</v>
      </c>
      <c r="AJ84" s="802">
        <f t="shared" si="14"/>
        <v>1364</v>
      </c>
    </row>
    <row r="85" spans="1:37">
      <c r="A85" s="798">
        <v>166</v>
      </c>
      <c r="B85" s="814">
        <v>4</v>
      </c>
      <c r="C85" s="803"/>
      <c r="D85" s="803"/>
      <c r="E85" s="803"/>
      <c r="F85" s="803"/>
      <c r="G85" s="803"/>
      <c r="H85" s="811">
        <v>150</v>
      </c>
      <c r="I85" s="811">
        <v>255</v>
      </c>
      <c r="J85" s="811">
        <v>284</v>
      </c>
      <c r="K85" s="811">
        <v>235</v>
      </c>
      <c r="L85" s="811"/>
      <c r="M85" s="811"/>
      <c r="N85" s="811"/>
      <c r="O85" s="811"/>
      <c r="P85" s="811">
        <v>168</v>
      </c>
      <c r="Q85" s="800">
        <v>292</v>
      </c>
      <c r="R85" s="803"/>
      <c r="S85" s="803"/>
      <c r="T85" s="803"/>
      <c r="U85" s="803"/>
      <c r="V85" s="803"/>
      <c r="W85" s="801">
        <f t="shared" si="12"/>
        <v>1384</v>
      </c>
      <c r="Y85" s="798">
        <f t="shared" si="13"/>
        <v>1384</v>
      </c>
      <c r="AA85" s="823">
        <f>'CHAM CONG'!BA204</f>
        <v>0</v>
      </c>
      <c r="AB85" s="823">
        <f>'CHAM CONG'!BB204</f>
        <v>0</v>
      </c>
      <c r="AC85" s="823">
        <f>'CHAM CONG'!BC204</f>
        <v>0</v>
      </c>
      <c r="AD85" s="823">
        <f>'CHAM CONG'!BD204</f>
        <v>0</v>
      </c>
      <c r="AE85" s="824">
        <f t="shared" si="19"/>
        <v>608.96</v>
      </c>
      <c r="AF85" s="828">
        <f t="shared" si="15"/>
        <v>235</v>
      </c>
      <c r="AG85" s="836">
        <f t="shared" si="16"/>
        <v>318</v>
      </c>
      <c r="AH85" s="828">
        <f t="shared" si="17"/>
        <v>547</v>
      </c>
      <c r="AI85" s="828">
        <f t="shared" si="18"/>
        <v>284</v>
      </c>
      <c r="AJ85" s="802">
        <f t="shared" si="14"/>
        <v>1384</v>
      </c>
    </row>
    <row r="86" spans="1:37">
      <c r="A86" s="798">
        <v>167</v>
      </c>
      <c r="B86" s="814">
        <v>4</v>
      </c>
      <c r="C86" s="803"/>
      <c r="D86" s="803"/>
      <c r="E86" s="803"/>
      <c r="F86" s="803"/>
      <c r="G86" s="803"/>
      <c r="H86" s="811">
        <v>291</v>
      </c>
      <c r="I86" s="811">
        <v>272</v>
      </c>
      <c r="J86" s="811">
        <v>243</v>
      </c>
      <c r="K86" s="811">
        <v>240</v>
      </c>
      <c r="L86" s="811"/>
      <c r="M86" s="811"/>
      <c r="N86" s="811"/>
      <c r="O86" s="811"/>
      <c r="P86" s="811">
        <v>234</v>
      </c>
      <c r="Q86" s="800">
        <v>299</v>
      </c>
      <c r="R86" s="803"/>
      <c r="S86" s="803"/>
      <c r="T86" s="803"/>
      <c r="U86" s="803"/>
      <c r="V86" s="803"/>
      <c r="W86" s="801">
        <f t="shared" si="12"/>
        <v>1579</v>
      </c>
      <c r="Y86" s="798">
        <f t="shared" si="13"/>
        <v>1579</v>
      </c>
      <c r="AA86" s="823">
        <f>'CHAM CONG'!BA205</f>
        <v>0</v>
      </c>
      <c r="AB86" s="823">
        <f>'CHAM CONG'!BB205</f>
        <v>0</v>
      </c>
      <c r="AC86" s="823">
        <f>'CHAM CONG'!BC205</f>
        <v>0</v>
      </c>
      <c r="AD86" s="823">
        <f>'CHAM CONG'!BD205</f>
        <v>0</v>
      </c>
      <c r="AE86" s="824">
        <f t="shared" si="19"/>
        <v>694.76</v>
      </c>
      <c r="AF86" s="828">
        <f t="shared" si="15"/>
        <v>240</v>
      </c>
      <c r="AG86" s="836">
        <f t="shared" si="16"/>
        <v>525</v>
      </c>
      <c r="AH86" s="828">
        <f t="shared" si="17"/>
        <v>571</v>
      </c>
      <c r="AI86" s="828">
        <f t="shared" si="18"/>
        <v>243</v>
      </c>
      <c r="AJ86" s="802">
        <f t="shared" si="14"/>
        <v>1579</v>
      </c>
    </row>
    <row r="87" spans="1:37">
      <c r="A87" s="798">
        <v>168</v>
      </c>
      <c r="B87" s="814">
        <v>4</v>
      </c>
      <c r="C87" s="803"/>
      <c r="D87" s="803"/>
      <c r="E87" s="803"/>
      <c r="F87" s="803"/>
      <c r="G87" s="803"/>
      <c r="H87" s="811">
        <v>182</v>
      </c>
      <c r="I87" s="811">
        <v>201</v>
      </c>
      <c r="J87" s="811">
        <v>275</v>
      </c>
      <c r="K87" s="811">
        <v>290</v>
      </c>
      <c r="L87" s="811"/>
      <c r="M87" s="811"/>
      <c r="N87" s="811"/>
      <c r="O87" s="811"/>
      <c r="P87" s="811">
        <v>261</v>
      </c>
      <c r="Q87" s="800">
        <v>268</v>
      </c>
      <c r="R87" s="803"/>
      <c r="S87" s="803"/>
      <c r="T87" s="803"/>
      <c r="U87" s="803"/>
      <c r="V87" s="803"/>
      <c r="W87" s="801">
        <f t="shared" si="12"/>
        <v>1477</v>
      </c>
      <c r="Y87" s="798">
        <f t="shared" si="13"/>
        <v>1477</v>
      </c>
      <c r="AA87" s="823">
        <f>'CHAM CONG'!BA206</f>
        <v>0</v>
      </c>
      <c r="AB87" s="823">
        <f>'CHAM CONG'!BB206</f>
        <v>0</v>
      </c>
      <c r="AC87" s="823">
        <f>'CHAM CONG'!BC206</f>
        <v>0</v>
      </c>
      <c r="AD87" s="823">
        <f>'CHAM CONG'!BD206</f>
        <v>0</v>
      </c>
      <c r="AE87" s="824">
        <f t="shared" si="19"/>
        <v>649.88</v>
      </c>
      <c r="AF87" s="828">
        <f t="shared" si="15"/>
        <v>290</v>
      </c>
      <c r="AG87" s="836">
        <f t="shared" si="16"/>
        <v>443</v>
      </c>
      <c r="AH87" s="828">
        <f t="shared" si="17"/>
        <v>469</v>
      </c>
      <c r="AI87" s="828">
        <f t="shared" si="18"/>
        <v>275</v>
      </c>
      <c r="AJ87" s="802">
        <f t="shared" si="14"/>
        <v>1477</v>
      </c>
    </row>
    <row r="88" spans="1:37">
      <c r="A88" s="798">
        <v>169</v>
      </c>
      <c r="B88" s="814">
        <v>4</v>
      </c>
      <c r="C88" s="803"/>
      <c r="D88" s="803"/>
      <c r="E88" s="803"/>
      <c r="F88" s="803"/>
      <c r="G88" s="803"/>
      <c r="H88" s="811">
        <v>227</v>
      </c>
      <c r="I88" s="811">
        <v>227</v>
      </c>
      <c r="J88" s="811">
        <v>274</v>
      </c>
      <c r="K88" s="811">
        <v>280</v>
      </c>
      <c r="L88" s="811"/>
      <c r="M88" s="811"/>
      <c r="N88" s="811"/>
      <c r="O88" s="811"/>
      <c r="P88" s="811">
        <v>245</v>
      </c>
      <c r="Q88" s="800">
        <v>301</v>
      </c>
      <c r="R88" s="803"/>
      <c r="S88" s="803"/>
      <c r="T88" s="803"/>
      <c r="U88" s="803"/>
      <c r="V88" s="803"/>
      <c r="W88" s="801">
        <f t="shared" si="12"/>
        <v>1554</v>
      </c>
      <c r="Y88" s="798">
        <f t="shared" si="13"/>
        <v>1554</v>
      </c>
      <c r="AA88" s="823">
        <f>'CHAM CONG'!BA207</f>
        <v>0</v>
      </c>
      <c r="AB88" s="823">
        <f>'CHAM CONG'!BB207</f>
        <v>0</v>
      </c>
      <c r="AC88" s="823">
        <f>'CHAM CONG'!BC207</f>
        <v>0</v>
      </c>
      <c r="AD88" s="823">
        <f>'CHAM CONG'!BD207</f>
        <v>0</v>
      </c>
      <c r="AE88" s="824">
        <f t="shared" si="19"/>
        <v>683.76</v>
      </c>
      <c r="AF88" s="828">
        <f t="shared" si="15"/>
        <v>280</v>
      </c>
      <c r="AG88" s="836">
        <f t="shared" si="16"/>
        <v>472</v>
      </c>
      <c r="AH88" s="828">
        <f t="shared" si="17"/>
        <v>528</v>
      </c>
      <c r="AI88" s="828">
        <f t="shared" si="18"/>
        <v>274</v>
      </c>
      <c r="AJ88" s="802">
        <f t="shared" si="14"/>
        <v>1554</v>
      </c>
    </row>
    <row r="89" spans="1:37">
      <c r="A89" s="798">
        <v>170</v>
      </c>
      <c r="B89" s="814">
        <v>4</v>
      </c>
      <c r="C89" s="803"/>
      <c r="D89" s="803"/>
      <c r="E89" s="803"/>
      <c r="F89" s="803"/>
      <c r="G89" s="803"/>
      <c r="H89" s="811">
        <v>227</v>
      </c>
      <c r="I89" s="811">
        <v>224</v>
      </c>
      <c r="J89" s="811">
        <v>256</v>
      </c>
      <c r="K89" s="811">
        <v>273</v>
      </c>
      <c r="L89" s="811"/>
      <c r="M89" s="811"/>
      <c r="N89" s="811"/>
      <c r="O89" s="811"/>
      <c r="P89" s="811">
        <v>230</v>
      </c>
      <c r="Q89" s="800">
        <v>262</v>
      </c>
      <c r="R89" s="803"/>
      <c r="S89" s="803"/>
      <c r="T89" s="803"/>
      <c r="U89" s="803"/>
      <c r="V89" s="803"/>
      <c r="W89" s="801">
        <f t="shared" si="12"/>
        <v>1472</v>
      </c>
      <c r="Y89" s="798">
        <f t="shared" si="13"/>
        <v>1472</v>
      </c>
      <c r="AA89" s="823">
        <f>'CHAM CONG'!BA208</f>
        <v>0</v>
      </c>
      <c r="AB89" s="823">
        <f>'CHAM CONG'!BB208</f>
        <v>0</v>
      </c>
      <c r="AC89" s="823">
        <f>'CHAM CONG'!BC208</f>
        <v>0</v>
      </c>
      <c r="AD89" s="823">
        <f>'CHAM CONG'!BD208</f>
        <v>0</v>
      </c>
      <c r="AE89" s="824">
        <f t="shared" si="19"/>
        <v>647.67999999999995</v>
      </c>
      <c r="AF89" s="828">
        <f t="shared" si="15"/>
        <v>273</v>
      </c>
      <c r="AG89" s="836">
        <f t="shared" si="16"/>
        <v>457</v>
      </c>
      <c r="AH89" s="828">
        <f t="shared" si="17"/>
        <v>486</v>
      </c>
      <c r="AI89" s="828">
        <f t="shared" si="18"/>
        <v>256</v>
      </c>
      <c r="AJ89" s="802">
        <f t="shared" si="14"/>
        <v>1472</v>
      </c>
    </row>
    <row r="90" spans="1:37">
      <c r="A90" s="798">
        <v>171</v>
      </c>
      <c r="B90" s="814">
        <v>4</v>
      </c>
      <c r="C90" s="803"/>
      <c r="D90" s="803"/>
      <c r="E90" s="803"/>
      <c r="F90" s="803"/>
      <c r="G90" s="803"/>
      <c r="H90" s="811">
        <v>204</v>
      </c>
      <c r="I90" s="811">
        <v>212</v>
      </c>
      <c r="J90" s="811">
        <v>225</v>
      </c>
      <c r="K90" s="811">
        <v>286</v>
      </c>
      <c r="L90" s="811"/>
      <c r="M90" s="811"/>
      <c r="N90" s="811"/>
      <c r="O90" s="811"/>
      <c r="P90" s="811">
        <v>183</v>
      </c>
      <c r="Q90" s="800">
        <v>253</v>
      </c>
      <c r="R90" s="803"/>
      <c r="S90" s="803"/>
      <c r="T90" s="803"/>
      <c r="U90" s="803"/>
      <c r="V90" s="803"/>
      <c r="W90" s="801">
        <f t="shared" si="12"/>
        <v>1363</v>
      </c>
      <c r="Y90" s="798">
        <f t="shared" si="13"/>
        <v>1363</v>
      </c>
      <c r="AA90" s="823">
        <f>'CHAM CONG'!BA209</f>
        <v>0</v>
      </c>
      <c r="AB90" s="823">
        <f>'CHAM CONG'!BB209</f>
        <v>0</v>
      </c>
      <c r="AC90" s="823">
        <f>'CHAM CONG'!BC209</f>
        <v>0</v>
      </c>
      <c r="AD90" s="823">
        <f>'CHAM CONG'!BD209</f>
        <v>0</v>
      </c>
      <c r="AE90" s="824">
        <f t="shared" si="19"/>
        <v>599.72</v>
      </c>
      <c r="AF90" s="828">
        <f t="shared" si="15"/>
        <v>286</v>
      </c>
      <c r="AG90" s="836">
        <f t="shared" si="16"/>
        <v>387</v>
      </c>
      <c r="AH90" s="828">
        <f t="shared" si="17"/>
        <v>465</v>
      </c>
      <c r="AI90" s="828">
        <f t="shared" si="18"/>
        <v>225</v>
      </c>
      <c r="AJ90" s="802">
        <f t="shared" si="14"/>
        <v>1363</v>
      </c>
    </row>
    <row r="91" spans="1:37">
      <c r="A91" s="798">
        <v>172</v>
      </c>
      <c r="B91" s="814">
        <v>4</v>
      </c>
      <c r="C91" s="803"/>
      <c r="D91" s="803"/>
      <c r="E91" s="803"/>
      <c r="F91" s="803"/>
      <c r="G91" s="803"/>
      <c r="H91" s="811">
        <v>154</v>
      </c>
      <c r="I91" s="811">
        <v>0</v>
      </c>
      <c r="J91" s="811">
        <v>195</v>
      </c>
      <c r="K91" s="811">
        <v>187</v>
      </c>
      <c r="L91" s="811"/>
      <c r="M91" s="811"/>
      <c r="N91" s="811"/>
      <c r="O91" s="811"/>
      <c r="P91" s="811">
        <v>156</v>
      </c>
      <c r="Q91" s="800">
        <v>201</v>
      </c>
      <c r="R91" s="803"/>
      <c r="S91" s="803"/>
      <c r="T91" s="803"/>
      <c r="U91" s="803"/>
      <c r="V91" s="803"/>
      <c r="W91" s="801">
        <f t="shared" si="12"/>
        <v>893</v>
      </c>
      <c r="Y91" s="798">
        <f t="shared" si="13"/>
        <v>893</v>
      </c>
      <c r="AA91" s="823">
        <f>'CHAM CONG'!BA210</f>
        <v>0</v>
      </c>
      <c r="AB91" s="823">
        <f>'CHAM CONG'!BB210</f>
        <v>0</v>
      </c>
      <c r="AC91" s="823">
        <f>'CHAM CONG'!BC210</f>
        <v>0</v>
      </c>
      <c r="AD91" s="823">
        <f>'CHAM CONG'!BD210</f>
        <v>0</v>
      </c>
      <c r="AE91" s="824">
        <f t="shared" si="19"/>
        <v>392.92</v>
      </c>
      <c r="AF91" s="828">
        <f t="shared" si="15"/>
        <v>187</v>
      </c>
      <c r="AG91" s="836">
        <f t="shared" si="16"/>
        <v>310</v>
      </c>
      <c r="AH91" s="828">
        <f t="shared" si="17"/>
        <v>201</v>
      </c>
      <c r="AI91" s="828">
        <f t="shared" si="18"/>
        <v>195</v>
      </c>
      <c r="AJ91" s="802">
        <f t="shared" si="14"/>
        <v>893</v>
      </c>
    </row>
    <row r="92" spans="1:37">
      <c r="A92" s="798">
        <v>173</v>
      </c>
      <c r="B92" s="814">
        <v>4</v>
      </c>
      <c r="C92" s="803"/>
      <c r="D92" s="803"/>
      <c r="E92" s="803"/>
      <c r="F92" s="803"/>
      <c r="G92" s="803"/>
      <c r="H92" s="811">
        <v>229</v>
      </c>
      <c r="I92" s="811">
        <v>0</v>
      </c>
      <c r="J92" s="811">
        <v>206</v>
      </c>
      <c r="K92" s="811">
        <v>203</v>
      </c>
      <c r="L92" s="811"/>
      <c r="M92" s="811"/>
      <c r="N92" s="811"/>
      <c r="O92" s="811"/>
      <c r="P92" s="811">
        <v>176</v>
      </c>
      <c r="Q92" s="800">
        <v>217</v>
      </c>
      <c r="R92" s="803"/>
      <c r="S92" s="803"/>
      <c r="T92" s="803"/>
      <c r="U92" s="803"/>
      <c r="V92" s="803"/>
      <c r="W92" s="801">
        <f t="shared" si="12"/>
        <v>1031</v>
      </c>
      <c r="Y92" s="798">
        <f t="shared" si="13"/>
        <v>1031</v>
      </c>
      <c r="AA92" s="823">
        <f>'CHAM CONG'!BA211</f>
        <v>0</v>
      </c>
      <c r="AB92" s="823">
        <f>'CHAM CONG'!BB211</f>
        <v>0</v>
      </c>
      <c r="AC92" s="823">
        <f>'CHAM CONG'!BC211</f>
        <v>0</v>
      </c>
      <c r="AD92" s="823">
        <f>'CHAM CONG'!BD211</f>
        <v>0</v>
      </c>
      <c r="AE92" s="824">
        <f t="shared" si="19"/>
        <v>453.64</v>
      </c>
      <c r="AF92" s="828">
        <f t="shared" si="15"/>
        <v>203</v>
      </c>
      <c r="AG92" s="836">
        <f t="shared" si="16"/>
        <v>405</v>
      </c>
      <c r="AH92" s="828">
        <f t="shared" si="17"/>
        <v>217</v>
      </c>
      <c r="AI92" s="828">
        <f t="shared" si="18"/>
        <v>206</v>
      </c>
      <c r="AJ92" s="802">
        <f t="shared" si="14"/>
        <v>1031</v>
      </c>
    </row>
    <row r="93" spans="1:37">
      <c r="A93" s="798">
        <v>174</v>
      </c>
      <c r="B93" s="814">
        <v>4</v>
      </c>
      <c r="C93" s="803"/>
      <c r="D93" s="803"/>
      <c r="E93" s="803"/>
      <c r="F93" s="803"/>
      <c r="G93" s="803"/>
      <c r="H93" s="811">
        <v>149</v>
      </c>
      <c r="I93" s="811">
        <v>0</v>
      </c>
      <c r="J93" s="811">
        <v>131</v>
      </c>
      <c r="K93" s="811">
        <v>199</v>
      </c>
      <c r="L93" s="811"/>
      <c r="M93" s="811"/>
      <c r="N93" s="811"/>
      <c r="O93" s="811"/>
      <c r="P93" s="811">
        <v>210</v>
      </c>
      <c r="Q93" s="800">
        <v>161</v>
      </c>
      <c r="R93" s="803"/>
      <c r="S93" s="803"/>
      <c r="T93" s="803"/>
      <c r="U93" s="803"/>
      <c r="V93" s="803"/>
      <c r="W93" s="801">
        <f t="shared" si="12"/>
        <v>850</v>
      </c>
      <c r="Y93" s="798">
        <f t="shared" si="13"/>
        <v>850</v>
      </c>
      <c r="AA93" s="823">
        <f>'CHAM CONG'!BA212</f>
        <v>0</v>
      </c>
      <c r="AB93" s="823">
        <f>'CHAM CONG'!BB212</f>
        <v>0</v>
      </c>
      <c r="AC93" s="823">
        <f>'CHAM CONG'!BC212</f>
        <v>0</v>
      </c>
      <c r="AD93" s="823">
        <f>'CHAM CONG'!BD212</f>
        <v>0</v>
      </c>
      <c r="AE93" s="824">
        <f t="shared" si="19"/>
        <v>374</v>
      </c>
      <c r="AF93" s="828">
        <f t="shared" si="15"/>
        <v>199</v>
      </c>
      <c r="AG93" s="836">
        <f t="shared" si="16"/>
        <v>359</v>
      </c>
      <c r="AH93" s="828">
        <f t="shared" si="17"/>
        <v>161</v>
      </c>
      <c r="AI93" s="828">
        <f t="shared" si="18"/>
        <v>131</v>
      </c>
      <c r="AJ93" s="802">
        <f t="shared" si="14"/>
        <v>850</v>
      </c>
    </row>
    <row r="94" spans="1:37">
      <c r="A94" s="798">
        <v>175</v>
      </c>
      <c r="B94" s="814">
        <v>4</v>
      </c>
      <c r="C94" s="803"/>
      <c r="D94" s="803"/>
      <c r="E94" s="803"/>
      <c r="F94" s="803"/>
      <c r="G94" s="803"/>
      <c r="H94" s="811">
        <v>211</v>
      </c>
      <c r="I94" s="811">
        <v>0</v>
      </c>
      <c r="J94" s="811">
        <v>240</v>
      </c>
      <c r="K94" s="811">
        <v>307</v>
      </c>
      <c r="L94" s="811"/>
      <c r="M94" s="811"/>
      <c r="N94" s="811"/>
      <c r="O94" s="811"/>
      <c r="P94" s="811">
        <v>112</v>
      </c>
      <c r="Q94" s="800">
        <v>240</v>
      </c>
      <c r="R94" s="803"/>
      <c r="S94" s="803"/>
      <c r="T94" s="803"/>
      <c r="U94" s="803"/>
      <c r="V94" s="803"/>
      <c r="W94" s="801">
        <f t="shared" si="12"/>
        <v>1110</v>
      </c>
      <c r="Y94" s="798">
        <f t="shared" si="13"/>
        <v>1110</v>
      </c>
      <c r="AA94" s="823">
        <f>'CHAM CONG'!BA213</f>
        <v>0</v>
      </c>
      <c r="AB94" s="823">
        <f>'CHAM CONG'!BB213</f>
        <v>0</v>
      </c>
      <c r="AC94" s="823">
        <f>'CHAM CONG'!BC213</f>
        <v>0</v>
      </c>
      <c r="AD94" s="823">
        <f>'CHAM CONG'!BD213</f>
        <v>0</v>
      </c>
      <c r="AE94" s="824">
        <f t="shared" si="19"/>
        <v>488.4</v>
      </c>
      <c r="AF94" s="828">
        <f t="shared" si="15"/>
        <v>307</v>
      </c>
      <c r="AG94" s="836">
        <f t="shared" si="16"/>
        <v>323</v>
      </c>
      <c r="AH94" s="828">
        <f t="shared" si="17"/>
        <v>240</v>
      </c>
      <c r="AI94" s="828">
        <f t="shared" si="18"/>
        <v>240</v>
      </c>
      <c r="AJ94" s="802">
        <f t="shared" si="14"/>
        <v>1110</v>
      </c>
      <c r="AK94" s="790" t="s">
        <v>1363</v>
      </c>
    </row>
    <row r="95" spans="1:37" s="791" customFormat="1">
      <c r="A95" s="791">
        <v>176</v>
      </c>
      <c r="B95" s="812">
        <v>5</v>
      </c>
      <c r="C95" s="813"/>
      <c r="D95" s="813"/>
      <c r="E95" s="813"/>
      <c r="F95" s="813"/>
      <c r="G95" s="813"/>
      <c r="H95" s="813">
        <v>233</v>
      </c>
      <c r="I95" s="813">
        <v>180</v>
      </c>
      <c r="J95" s="813">
        <v>220</v>
      </c>
      <c r="K95" s="813">
        <v>390</v>
      </c>
      <c r="L95" s="813"/>
      <c r="M95" s="813"/>
      <c r="N95" s="813"/>
      <c r="O95" s="813"/>
      <c r="P95" s="813">
        <v>207</v>
      </c>
      <c r="Q95" s="820">
        <v>219</v>
      </c>
      <c r="R95" s="813"/>
      <c r="S95" s="813"/>
      <c r="T95" s="813"/>
      <c r="U95" s="813"/>
      <c r="V95" s="813"/>
      <c r="W95" s="821">
        <f t="shared" si="12"/>
        <v>1449</v>
      </c>
      <c r="Y95" s="791">
        <f t="shared" si="13"/>
        <v>1449</v>
      </c>
      <c r="AA95" s="826">
        <f>'CHAM CONG'!BA214</f>
        <v>0</v>
      </c>
      <c r="AB95" s="826">
        <f>'CHAM CONG'!BB214</f>
        <v>0</v>
      </c>
      <c r="AC95" s="826">
        <f>'CHAM CONG'!BC214</f>
        <v>0</v>
      </c>
      <c r="AD95" s="826">
        <f>'CHAM CONG'!BD214</f>
        <v>0</v>
      </c>
      <c r="AE95" s="827">
        <f t="shared" si="19"/>
        <v>637.55999999999995</v>
      </c>
      <c r="AF95" s="791">
        <f t="shared" si="15"/>
        <v>390</v>
      </c>
      <c r="AG95" s="834">
        <f t="shared" si="16"/>
        <v>440</v>
      </c>
      <c r="AH95" s="791">
        <f t="shared" si="17"/>
        <v>399</v>
      </c>
      <c r="AI95" s="791">
        <f t="shared" si="18"/>
        <v>220</v>
      </c>
      <c r="AJ95" s="835">
        <f t="shared" si="14"/>
        <v>1449</v>
      </c>
      <c r="AK95" s="834">
        <f>SUM(AJ95:AJ133)</f>
        <v>53645</v>
      </c>
    </row>
    <row r="96" spans="1:37">
      <c r="A96" s="798">
        <v>177</v>
      </c>
      <c r="B96" s="840">
        <v>5</v>
      </c>
      <c r="C96" s="803"/>
      <c r="D96" s="803"/>
      <c r="E96" s="803"/>
      <c r="F96" s="803"/>
      <c r="G96" s="803"/>
      <c r="H96" s="811">
        <v>177</v>
      </c>
      <c r="I96" s="811">
        <v>162</v>
      </c>
      <c r="J96" s="811">
        <v>235</v>
      </c>
      <c r="K96" s="811">
        <v>311</v>
      </c>
      <c r="L96" s="811"/>
      <c r="M96" s="811"/>
      <c r="N96" s="811"/>
      <c r="O96" s="811"/>
      <c r="P96" s="811">
        <v>179</v>
      </c>
      <c r="Q96" s="800">
        <v>190</v>
      </c>
      <c r="R96" s="803"/>
      <c r="S96" s="803"/>
      <c r="T96" s="803"/>
      <c r="U96" s="803"/>
      <c r="V96" s="803"/>
      <c r="W96" s="801">
        <f t="shared" si="12"/>
        <v>1254</v>
      </c>
      <c r="Y96" s="798">
        <f t="shared" si="13"/>
        <v>1254</v>
      </c>
      <c r="AA96" s="823">
        <f>'CHAM CONG'!BA215</f>
        <v>0</v>
      </c>
      <c r="AB96" s="823">
        <f>'CHAM CONG'!BB215</f>
        <v>0</v>
      </c>
      <c r="AC96" s="823">
        <f>'CHAM CONG'!BC215</f>
        <v>0</v>
      </c>
      <c r="AD96" s="823">
        <f>'CHAM CONG'!BD215</f>
        <v>0</v>
      </c>
      <c r="AE96" s="824">
        <f t="shared" si="19"/>
        <v>551.76</v>
      </c>
      <c r="AF96" s="828">
        <f t="shared" si="15"/>
        <v>311</v>
      </c>
      <c r="AG96" s="836">
        <f t="shared" si="16"/>
        <v>356</v>
      </c>
      <c r="AH96" s="828">
        <f t="shared" si="17"/>
        <v>352</v>
      </c>
      <c r="AI96" s="828">
        <f t="shared" si="18"/>
        <v>235</v>
      </c>
      <c r="AJ96" s="802">
        <f t="shared" si="14"/>
        <v>1254</v>
      </c>
    </row>
    <row r="97" spans="1:36">
      <c r="A97" s="798">
        <v>178</v>
      </c>
      <c r="B97" s="840">
        <v>5</v>
      </c>
      <c r="C97" s="803"/>
      <c r="D97" s="803"/>
      <c r="E97" s="803"/>
      <c r="F97" s="803"/>
      <c r="G97" s="803"/>
      <c r="H97" s="811">
        <v>223</v>
      </c>
      <c r="I97" s="811">
        <v>176</v>
      </c>
      <c r="J97" s="811">
        <v>167</v>
      </c>
      <c r="K97" s="811">
        <v>379</v>
      </c>
      <c r="L97" s="811"/>
      <c r="M97" s="811"/>
      <c r="N97" s="811"/>
      <c r="O97" s="811"/>
      <c r="P97" s="811">
        <v>281</v>
      </c>
      <c r="Q97" s="800">
        <v>239</v>
      </c>
      <c r="R97" s="803"/>
      <c r="S97" s="803"/>
      <c r="T97" s="803"/>
      <c r="U97" s="803"/>
      <c r="V97" s="803"/>
      <c r="W97" s="801">
        <f t="shared" si="12"/>
        <v>1465</v>
      </c>
      <c r="Y97" s="798">
        <f t="shared" si="13"/>
        <v>1465</v>
      </c>
      <c r="AA97" s="823">
        <f>'CHAM CONG'!BA216</f>
        <v>0</v>
      </c>
      <c r="AB97" s="823">
        <f>'CHAM CONG'!BB216</f>
        <v>0</v>
      </c>
      <c r="AC97" s="823">
        <f>'CHAM CONG'!BC216</f>
        <v>0</v>
      </c>
      <c r="AD97" s="823">
        <f>'CHAM CONG'!BD216</f>
        <v>0</v>
      </c>
      <c r="AE97" s="824">
        <f t="shared" si="19"/>
        <v>644.6</v>
      </c>
      <c r="AF97" s="828">
        <f t="shared" si="15"/>
        <v>379</v>
      </c>
      <c r="AG97" s="836">
        <f t="shared" si="16"/>
        <v>504</v>
      </c>
      <c r="AH97" s="828">
        <f t="shared" si="17"/>
        <v>415</v>
      </c>
      <c r="AI97" s="828">
        <f t="shared" si="18"/>
        <v>167</v>
      </c>
      <c r="AJ97" s="802">
        <f t="shared" si="14"/>
        <v>1465</v>
      </c>
    </row>
    <row r="98" spans="1:36">
      <c r="A98" s="798">
        <v>179</v>
      </c>
      <c r="B98" s="840">
        <v>5</v>
      </c>
      <c r="C98" s="803"/>
      <c r="D98" s="803"/>
      <c r="E98" s="803"/>
      <c r="F98" s="803"/>
      <c r="G98" s="803"/>
      <c r="H98" s="811">
        <v>280</v>
      </c>
      <c r="I98" s="811">
        <v>132</v>
      </c>
      <c r="J98" s="811">
        <v>167</v>
      </c>
      <c r="K98" s="811">
        <v>417</v>
      </c>
      <c r="L98" s="811"/>
      <c r="M98" s="811"/>
      <c r="N98" s="811"/>
      <c r="O98" s="811"/>
      <c r="P98" s="811">
        <v>223</v>
      </c>
      <c r="Q98" s="800">
        <v>191</v>
      </c>
      <c r="R98" s="803"/>
      <c r="S98" s="803"/>
      <c r="T98" s="803"/>
      <c r="U98" s="803"/>
      <c r="V98" s="803"/>
      <c r="W98" s="801">
        <f t="shared" si="12"/>
        <v>1410</v>
      </c>
      <c r="Y98" s="798">
        <f t="shared" si="13"/>
        <v>1410</v>
      </c>
      <c r="AA98" s="823">
        <f>'CHAM CONG'!BA217</f>
        <v>0</v>
      </c>
      <c r="AB98" s="823">
        <f>'CHAM CONG'!BB217</f>
        <v>0</v>
      </c>
      <c r="AC98" s="823">
        <f>'CHAM CONG'!BC217</f>
        <v>0</v>
      </c>
      <c r="AD98" s="823">
        <f>'CHAM CONG'!BD217</f>
        <v>0</v>
      </c>
      <c r="AE98" s="824">
        <f t="shared" si="19"/>
        <v>620.4</v>
      </c>
      <c r="AF98" s="828">
        <f t="shared" si="15"/>
        <v>417</v>
      </c>
      <c r="AG98" s="836">
        <f t="shared" si="16"/>
        <v>503</v>
      </c>
      <c r="AH98" s="828">
        <f t="shared" si="17"/>
        <v>323</v>
      </c>
      <c r="AI98" s="828">
        <f t="shared" si="18"/>
        <v>167</v>
      </c>
      <c r="AJ98" s="802">
        <f t="shared" si="14"/>
        <v>1410</v>
      </c>
    </row>
    <row r="99" spans="1:36">
      <c r="A99" s="798">
        <v>180</v>
      </c>
      <c r="B99" s="840">
        <v>5</v>
      </c>
      <c r="C99" s="803"/>
      <c r="D99" s="803"/>
      <c r="E99" s="803"/>
      <c r="F99" s="803"/>
      <c r="G99" s="803"/>
      <c r="H99" s="811">
        <v>244</v>
      </c>
      <c r="I99" s="811">
        <v>189</v>
      </c>
      <c r="J99" s="811">
        <v>187</v>
      </c>
      <c r="K99" s="811">
        <v>326</v>
      </c>
      <c r="L99" s="811"/>
      <c r="M99" s="811"/>
      <c r="N99" s="811"/>
      <c r="O99" s="811"/>
      <c r="P99" s="811">
        <v>234</v>
      </c>
      <c r="Q99" s="800">
        <v>250</v>
      </c>
      <c r="R99" s="803"/>
      <c r="S99" s="803"/>
      <c r="T99" s="803"/>
      <c r="U99" s="803"/>
      <c r="V99" s="803"/>
      <c r="W99" s="801">
        <f t="shared" si="12"/>
        <v>1430</v>
      </c>
      <c r="Y99" s="798">
        <f t="shared" si="13"/>
        <v>1430</v>
      </c>
      <c r="AA99" s="823">
        <f>'CHAM CONG'!BA218</f>
        <v>0</v>
      </c>
      <c r="AB99" s="823">
        <f>'CHAM CONG'!BB218</f>
        <v>0</v>
      </c>
      <c r="AC99" s="823">
        <f>'CHAM CONG'!BC218</f>
        <v>0</v>
      </c>
      <c r="AD99" s="823">
        <f>'CHAM CONG'!BD218</f>
        <v>0</v>
      </c>
      <c r="AE99" s="824">
        <f t="shared" si="19"/>
        <v>629.20000000000005</v>
      </c>
      <c r="AF99" s="828">
        <f t="shared" si="15"/>
        <v>326</v>
      </c>
      <c r="AG99" s="836">
        <f t="shared" si="16"/>
        <v>478</v>
      </c>
      <c r="AH99" s="828">
        <f t="shared" si="17"/>
        <v>439</v>
      </c>
      <c r="AI99" s="828">
        <f t="shared" si="18"/>
        <v>187</v>
      </c>
      <c r="AJ99" s="802">
        <f t="shared" si="14"/>
        <v>1430</v>
      </c>
    </row>
    <row r="100" spans="1:36">
      <c r="A100" s="798">
        <v>181</v>
      </c>
      <c r="B100" s="840">
        <v>5</v>
      </c>
      <c r="C100" s="803"/>
      <c r="D100" s="803"/>
      <c r="E100" s="803"/>
      <c r="F100" s="803"/>
      <c r="G100" s="803"/>
      <c r="H100" s="811">
        <v>204</v>
      </c>
      <c r="I100" s="811">
        <v>170</v>
      </c>
      <c r="J100" s="811">
        <v>120</v>
      </c>
      <c r="K100" s="811">
        <v>358</v>
      </c>
      <c r="L100" s="811"/>
      <c r="M100" s="811"/>
      <c r="N100" s="811"/>
      <c r="O100" s="811"/>
      <c r="P100" s="811">
        <v>186</v>
      </c>
      <c r="Q100" s="800">
        <v>188</v>
      </c>
      <c r="R100" s="803"/>
      <c r="S100" s="803"/>
      <c r="T100" s="803"/>
      <c r="U100" s="803"/>
      <c r="V100" s="803"/>
      <c r="W100" s="801">
        <f t="shared" si="12"/>
        <v>1226</v>
      </c>
      <c r="Y100" s="798">
        <f t="shared" si="13"/>
        <v>1226</v>
      </c>
      <c r="AA100" s="823">
        <f>'CHAM CONG'!BA219</f>
        <v>0</v>
      </c>
      <c r="AB100" s="823">
        <f>'CHAM CONG'!BB219</f>
        <v>0</v>
      </c>
      <c r="AC100" s="823">
        <f>'CHAM CONG'!BC219</f>
        <v>0</v>
      </c>
      <c r="AD100" s="823">
        <f>'CHAM CONG'!BD219</f>
        <v>0</v>
      </c>
      <c r="AE100" s="824">
        <f t="shared" si="19"/>
        <v>539.44000000000005</v>
      </c>
      <c r="AF100" s="828">
        <f t="shared" si="15"/>
        <v>358</v>
      </c>
      <c r="AG100" s="836">
        <f t="shared" si="16"/>
        <v>390</v>
      </c>
      <c r="AH100" s="828">
        <f t="shared" si="17"/>
        <v>358</v>
      </c>
      <c r="AI100" s="828">
        <f t="shared" si="18"/>
        <v>120</v>
      </c>
      <c r="AJ100" s="802">
        <f t="shared" si="14"/>
        <v>1226</v>
      </c>
    </row>
    <row r="101" spans="1:36">
      <c r="A101" s="798">
        <v>182</v>
      </c>
      <c r="B101" s="840">
        <v>5</v>
      </c>
      <c r="C101" s="803"/>
      <c r="D101" s="803"/>
      <c r="E101" s="803"/>
      <c r="F101" s="803"/>
      <c r="G101" s="803"/>
      <c r="H101" s="811">
        <v>275</v>
      </c>
      <c r="I101" s="811">
        <v>209</v>
      </c>
      <c r="J101" s="811">
        <v>195</v>
      </c>
      <c r="K101" s="811">
        <v>321</v>
      </c>
      <c r="L101" s="811"/>
      <c r="M101" s="811"/>
      <c r="N101" s="811"/>
      <c r="O101" s="811"/>
      <c r="P101" s="811">
        <v>278</v>
      </c>
      <c r="Q101" s="800">
        <v>256</v>
      </c>
      <c r="R101" s="803"/>
      <c r="S101" s="803"/>
      <c r="T101" s="803"/>
      <c r="U101" s="803"/>
      <c r="V101" s="803"/>
      <c r="W101" s="801">
        <f t="shared" si="12"/>
        <v>1534</v>
      </c>
      <c r="Y101" s="798">
        <f t="shared" si="13"/>
        <v>1534</v>
      </c>
      <c r="AA101" s="823">
        <f>'CHAM CONG'!BA220</f>
        <v>0</v>
      </c>
      <c r="AB101" s="823">
        <f>'CHAM CONG'!BB220</f>
        <v>0</v>
      </c>
      <c r="AC101" s="823">
        <f>'CHAM CONG'!BC220</f>
        <v>0</v>
      </c>
      <c r="AD101" s="823">
        <f>'CHAM CONG'!BD220</f>
        <v>0</v>
      </c>
      <c r="AE101" s="824">
        <f t="shared" si="19"/>
        <v>674.96</v>
      </c>
      <c r="AF101" s="828">
        <f t="shared" si="15"/>
        <v>321</v>
      </c>
      <c r="AG101" s="836">
        <f t="shared" si="16"/>
        <v>553</v>
      </c>
      <c r="AH101" s="828">
        <f t="shared" si="17"/>
        <v>465</v>
      </c>
      <c r="AI101" s="828">
        <f t="shared" si="18"/>
        <v>195</v>
      </c>
      <c r="AJ101" s="802">
        <f t="shared" si="14"/>
        <v>1534</v>
      </c>
    </row>
    <row r="102" spans="1:36">
      <c r="A102" s="798">
        <v>183</v>
      </c>
      <c r="B102" s="840">
        <v>5</v>
      </c>
      <c r="C102" s="803"/>
      <c r="D102" s="803"/>
      <c r="E102" s="803"/>
      <c r="F102" s="803"/>
      <c r="G102" s="803"/>
      <c r="H102" s="811">
        <v>217</v>
      </c>
      <c r="I102" s="811">
        <v>161</v>
      </c>
      <c r="J102" s="811">
        <v>164</v>
      </c>
      <c r="K102" s="811">
        <v>321</v>
      </c>
      <c r="L102" s="811"/>
      <c r="M102" s="811"/>
      <c r="N102" s="811"/>
      <c r="O102" s="811"/>
      <c r="P102" s="811">
        <v>234</v>
      </c>
      <c r="Q102" s="800">
        <v>206</v>
      </c>
      <c r="R102" s="803"/>
      <c r="S102" s="803"/>
      <c r="T102" s="803"/>
      <c r="U102" s="803"/>
      <c r="V102" s="803"/>
      <c r="W102" s="801">
        <f t="shared" si="12"/>
        <v>1303</v>
      </c>
      <c r="Y102" s="798">
        <f t="shared" si="13"/>
        <v>1303</v>
      </c>
      <c r="AA102" s="823">
        <f>'CHAM CONG'!BA221</f>
        <v>0</v>
      </c>
      <c r="AB102" s="823">
        <f>'CHAM CONG'!BB221</f>
        <v>0</v>
      </c>
      <c r="AC102" s="823">
        <f>'CHAM CONG'!BC221</f>
        <v>0</v>
      </c>
      <c r="AD102" s="823">
        <f>'CHAM CONG'!BD221</f>
        <v>0</v>
      </c>
      <c r="AE102" s="824">
        <f t="shared" si="19"/>
        <v>573.32000000000005</v>
      </c>
      <c r="AF102" s="828">
        <f t="shared" si="15"/>
        <v>321</v>
      </c>
      <c r="AG102" s="836">
        <f t="shared" si="16"/>
        <v>451</v>
      </c>
      <c r="AH102" s="828">
        <f t="shared" si="17"/>
        <v>367</v>
      </c>
      <c r="AI102" s="828">
        <f t="shared" si="18"/>
        <v>164</v>
      </c>
      <c r="AJ102" s="802">
        <f t="shared" si="14"/>
        <v>1303</v>
      </c>
    </row>
    <row r="103" spans="1:36">
      <c r="A103" s="798">
        <v>184</v>
      </c>
      <c r="B103" s="840">
        <v>5</v>
      </c>
      <c r="C103" s="803"/>
      <c r="D103" s="803"/>
      <c r="E103" s="803"/>
      <c r="F103" s="803"/>
      <c r="G103" s="803"/>
      <c r="H103" s="811">
        <v>209</v>
      </c>
      <c r="I103" s="811">
        <v>81</v>
      </c>
      <c r="J103" s="811">
        <v>117</v>
      </c>
      <c r="K103" s="811">
        <v>323</v>
      </c>
      <c r="L103" s="811"/>
      <c r="M103" s="811"/>
      <c r="N103" s="811"/>
      <c r="O103" s="811"/>
      <c r="P103" s="811">
        <v>191</v>
      </c>
      <c r="Q103" s="800">
        <v>170</v>
      </c>
      <c r="R103" s="803"/>
      <c r="S103" s="803"/>
      <c r="T103" s="803"/>
      <c r="U103" s="803"/>
      <c r="V103" s="803"/>
      <c r="W103" s="801">
        <f t="shared" si="12"/>
        <v>1091</v>
      </c>
      <c r="Y103" s="798">
        <f t="shared" si="13"/>
        <v>1091</v>
      </c>
      <c r="AA103" s="823" t="e">
        <f>'CHAM CONG'!#REF!</f>
        <v>#REF!</v>
      </c>
      <c r="AB103" s="823" t="e">
        <f>'CHAM CONG'!#REF!</f>
        <v>#REF!</v>
      </c>
      <c r="AC103" s="823" t="e">
        <f>'CHAM CONG'!#REF!</f>
        <v>#REF!</v>
      </c>
      <c r="AD103" s="823" t="e">
        <f>'CHAM CONG'!#REF!</f>
        <v>#REF!</v>
      </c>
      <c r="AE103" s="824">
        <f t="shared" si="19"/>
        <v>480.04</v>
      </c>
      <c r="AF103" s="828">
        <f t="shared" si="15"/>
        <v>323</v>
      </c>
      <c r="AG103" s="836">
        <f t="shared" si="16"/>
        <v>400</v>
      </c>
      <c r="AH103" s="828">
        <f t="shared" si="17"/>
        <v>251</v>
      </c>
      <c r="AI103" s="828">
        <f t="shared" si="18"/>
        <v>117</v>
      </c>
      <c r="AJ103" s="802">
        <f t="shared" si="14"/>
        <v>1091</v>
      </c>
    </row>
    <row r="104" spans="1:36">
      <c r="A104" s="798">
        <v>185</v>
      </c>
      <c r="B104" s="840">
        <v>5</v>
      </c>
      <c r="C104" s="803"/>
      <c r="D104" s="803"/>
      <c r="E104" s="803"/>
      <c r="F104" s="803"/>
      <c r="G104" s="803"/>
      <c r="H104" s="811">
        <v>191</v>
      </c>
      <c r="I104" s="811">
        <v>104</v>
      </c>
      <c r="J104" s="811">
        <v>140</v>
      </c>
      <c r="K104" s="811">
        <v>264</v>
      </c>
      <c r="L104" s="811"/>
      <c r="M104" s="811"/>
      <c r="N104" s="811"/>
      <c r="O104" s="811"/>
      <c r="P104" s="811">
        <v>191</v>
      </c>
      <c r="Q104" s="800">
        <v>184</v>
      </c>
      <c r="R104" s="803"/>
      <c r="S104" s="803"/>
      <c r="T104" s="803"/>
      <c r="U104" s="803"/>
      <c r="V104" s="803"/>
      <c r="W104" s="801">
        <f t="shared" si="12"/>
        <v>1074</v>
      </c>
      <c r="Y104" s="798">
        <f t="shared" si="13"/>
        <v>1074</v>
      </c>
      <c r="AA104" s="823" t="e">
        <f>'CHAM CONG'!#REF!</f>
        <v>#REF!</v>
      </c>
      <c r="AB104" s="823" t="e">
        <f>'CHAM CONG'!#REF!</f>
        <v>#REF!</v>
      </c>
      <c r="AC104" s="823" t="e">
        <f>'CHAM CONG'!#REF!</f>
        <v>#REF!</v>
      </c>
      <c r="AD104" s="823" t="e">
        <f>'CHAM CONG'!#REF!</f>
        <v>#REF!</v>
      </c>
      <c r="AE104" s="824">
        <f t="shared" si="19"/>
        <v>472.56</v>
      </c>
      <c r="AF104" s="828">
        <f t="shared" si="15"/>
        <v>264</v>
      </c>
      <c r="AG104" s="836">
        <f t="shared" si="16"/>
        <v>382</v>
      </c>
      <c r="AH104" s="828">
        <f t="shared" si="17"/>
        <v>288</v>
      </c>
      <c r="AI104" s="828">
        <f t="shared" si="18"/>
        <v>140</v>
      </c>
      <c r="AJ104" s="802">
        <f t="shared" si="14"/>
        <v>1074</v>
      </c>
    </row>
    <row r="105" spans="1:36">
      <c r="A105" s="798">
        <v>186</v>
      </c>
      <c r="B105" s="840">
        <v>5</v>
      </c>
      <c r="C105" s="803"/>
      <c r="D105" s="803"/>
      <c r="E105" s="803"/>
      <c r="F105" s="803"/>
      <c r="G105" s="803"/>
      <c r="H105" s="811">
        <v>319</v>
      </c>
      <c r="I105" s="811">
        <v>127</v>
      </c>
      <c r="J105" s="811">
        <v>325</v>
      </c>
      <c r="K105" s="811">
        <v>316</v>
      </c>
      <c r="L105" s="811"/>
      <c r="M105" s="811"/>
      <c r="N105" s="811"/>
      <c r="O105" s="811"/>
      <c r="P105" s="811">
        <v>324</v>
      </c>
      <c r="Q105" s="800">
        <v>319</v>
      </c>
      <c r="R105" s="803"/>
      <c r="S105" s="803"/>
      <c r="T105" s="803"/>
      <c r="U105" s="803"/>
      <c r="V105" s="803"/>
      <c r="W105" s="801">
        <f t="shared" si="12"/>
        <v>1730</v>
      </c>
      <c r="Y105" s="798">
        <f t="shared" si="13"/>
        <v>1730</v>
      </c>
      <c r="AA105" s="823">
        <f>'CHAM CONG'!BA222</f>
        <v>0</v>
      </c>
      <c r="AB105" s="823">
        <f>'CHAM CONG'!BB222</f>
        <v>0</v>
      </c>
      <c r="AC105" s="823">
        <f>'CHAM CONG'!BC222</f>
        <v>0</v>
      </c>
      <c r="AD105" s="823">
        <f>'CHAM CONG'!BD222</f>
        <v>0</v>
      </c>
      <c r="AE105" s="824">
        <f t="shared" si="19"/>
        <v>761.2</v>
      </c>
      <c r="AF105" s="828">
        <f t="shared" si="15"/>
        <v>316</v>
      </c>
      <c r="AG105" s="836">
        <f t="shared" si="16"/>
        <v>643</v>
      </c>
      <c r="AH105" s="828">
        <f t="shared" si="17"/>
        <v>446</v>
      </c>
      <c r="AI105" s="828">
        <f t="shared" si="18"/>
        <v>325</v>
      </c>
      <c r="AJ105" s="802">
        <f t="shared" si="14"/>
        <v>1730</v>
      </c>
    </row>
    <row r="106" spans="1:36">
      <c r="A106" s="798">
        <v>187</v>
      </c>
      <c r="B106" s="840">
        <v>5</v>
      </c>
      <c r="C106" s="803"/>
      <c r="D106" s="803"/>
      <c r="E106" s="803"/>
      <c r="F106" s="803"/>
      <c r="G106" s="803"/>
      <c r="H106" s="811">
        <v>306</v>
      </c>
      <c r="I106" s="811">
        <v>103</v>
      </c>
      <c r="J106" s="811">
        <v>280</v>
      </c>
      <c r="K106" s="811">
        <v>294</v>
      </c>
      <c r="L106" s="811"/>
      <c r="M106" s="811"/>
      <c r="N106" s="811"/>
      <c r="O106" s="811"/>
      <c r="P106" s="811">
        <v>373</v>
      </c>
      <c r="Q106" s="800">
        <v>250</v>
      </c>
      <c r="R106" s="803"/>
      <c r="S106" s="803"/>
      <c r="T106" s="803"/>
      <c r="U106" s="803"/>
      <c r="V106" s="803"/>
      <c r="W106" s="801">
        <f t="shared" si="12"/>
        <v>1606</v>
      </c>
      <c r="Y106" s="798">
        <f t="shared" si="13"/>
        <v>1606</v>
      </c>
      <c r="AA106" s="823">
        <f>'CHAM CONG'!BA223</f>
        <v>0</v>
      </c>
      <c r="AB106" s="823">
        <f>'CHAM CONG'!BB223</f>
        <v>0</v>
      </c>
      <c r="AC106" s="823">
        <f>'CHAM CONG'!BC223</f>
        <v>0</v>
      </c>
      <c r="AD106" s="823">
        <f>'CHAM CONG'!BD223</f>
        <v>0</v>
      </c>
      <c r="AE106" s="824">
        <f t="shared" si="19"/>
        <v>706.64</v>
      </c>
      <c r="AF106" s="828">
        <f t="shared" si="15"/>
        <v>294</v>
      </c>
      <c r="AG106" s="836">
        <f t="shared" si="16"/>
        <v>679</v>
      </c>
      <c r="AH106" s="828">
        <f t="shared" si="17"/>
        <v>353</v>
      </c>
      <c r="AI106" s="828">
        <f t="shared" si="18"/>
        <v>280</v>
      </c>
      <c r="AJ106" s="802">
        <f t="shared" si="14"/>
        <v>1606</v>
      </c>
    </row>
    <row r="107" spans="1:36">
      <c r="A107" s="798">
        <v>188</v>
      </c>
      <c r="B107" s="840">
        <v>5</v>
      </c>
      <c r="C107" s="803"/>
      <c r="D107" s="803"/>
      <c r="E107" s="803"/>
      <c r="F107" s="803"/>
      <c r="G107" s="803"/>
      <c r="H107" s="811">
        <v>177</v>
      </c>
      <c r="I107" s="811">
        <v>232</v>
      </c>
      <c r="J107" s="811">
        <v>309</v>
      </c>
      <c r="K107" s="811">
        <v>176</v>
      </c>
      <c r="L107" s="811"/>
      <c r="M107" s="811"/>
      <c r="N107" s="811"/>
      <c r="O107" s="811"/>
      <c r="P107" s="811">
        <v>199</v>
      </c>
      <c r="Q107" s="800">
        <v>305</v>
      </c>
      <c r="R107" s="803"/>
      <c r="S107" s="803"/>
      <c r="T107" s="803"/>
      <c r="U107" s="803"/>
      <c r="V107" s="803"/>
      <c r="W107" s="801">
        <f t="shared" si="12"/>
        <v>1398</v>
      </c>
      <c r="Y107" s="798">
        <f t="shared" si="13"/>
        <v>1398</v>
      </c>
      <c r="AA107" s="823">
        <f>'CHAM CONG'!BA224</f>
        <v>0</v>
      </c>
      <c r="AB107" s="823">
        <f>'CHAM CONG'!BB224</f>
        <v>0</v>
      </c>
      <c r="AC107" s="823">
        <f>'CHAM CONG'!BC224</f>
        <v>0</v>
      </c>
      <c r="AD107" s="823">
        <f>'CHAM CONG'!BD224</f>
        <v>0</v>
      </c>
      <c r="AE107" s="824">
        <f t="shared" si="19"/>
        <v>615.12</v>
      </c>
      <c r="AF107" s="828">
        <f t="shared" si="15"/>
        <v>176</v>
      </c>
      <c r="AG107" s="836">
        <f t="shared" si="16"/>
        <v>376</v>
      </c>
      <c r="AH107" s="828">
        <f t="shared" si="17"/>
        <v>537</v>
      </c>
      <c r="AI107" s="828">
        <f t="shared" si="18"/>
        <v>309</v>
      </c>
      <c r="AJ107" s="802">
        <f t="shared" si="14"/>
        <v>1398</v>
      </c>
    </row>
    <row r="108" spans="1:36">
      <c r="A108" s="798">
        <v>189</v>
      </c>
      <c r="B108" s="840">
        <v>5</v>
      </c>
      <c r="C108" s="803"/>
      <c r="D108" s="803"/>
      <c r="E108" s="803"/>
      <c r="F108" s="803"/>
      <c r="G108" s="803"/>
      <c r="H108" s="811">
        <v>197</v>
      </c>
      <c r="I108" s="811">
        <v>64</v>
      </c>
      <c r="J108" s="811">
        <v>251</v>
      </c>
      <c r="K108" s="811">
        <v>201</v>
      </c>
      <c r="L108" s="811"/>
      <c r="M108" s="811"/>
      <c r="N108" s="811"/>
      <c r="O108" s="811"/>
      <c r="P108" s="811">
        <v>187</v>
      </c>
      <c r="Q108" s="800">
        <v>124</v>
      </c>
      <c r="R108" s="803"/>
      <c r="S108" s="803"/>
      <c r="T108" s="803"/>
      <c r="U108" s="803"/>
      <c r="V108" s="803"/>
      <c r="W108" s="801">
        <f t="shared" si="12"/>
        <v>1024</v>
      </c>
      <c r="Y108" s="798">
        <f t="shared" si="13"/>
        <v>1024</v>
      </c>
      <c r="AA108" s="823">
        <f>'CHAM CONG'!BA225</f>
        <v>0</v>
      </c>
      <c r="AB108" s="823">
        <f>'CHAM CONG'!BB225</f>
        <v>0</v>
      </c>
      <c r="AC108" s="823">
        <f>'CHAM CONG'!BC225</f>
        <v>0</v>
      </c>
      <c r="AD108" s="823">
        <f>'CHAM CONG'!BD225</f>
        <v>0</v>
      </c>
      <c r="AE108" s="824">
        <f t="shared" si="19"/>
        <v>450.56</v>
      </c>
      <c r="AF108" s="828">
        <f t="shared" si="15"/>
        <v>201</v>
      </c>
      <c r="AG108" s="836">
        <f t="shared" si="16"/>
        <v>384</v>
      </c>
      <c r="AH108" s="828">
        <f t="shared" si="17"/>
        <v>188</v>
      </c>
      <c r="AI108" s="828">
        <f t="shared" si="18"/>
        <v>251</v>
      </c>
      <c r="AJ108" s="802">
        <f t="shared" si="14"/>
        <v>1024</v>
      </c>
    </row>
    <row r="109" spans="1:36">
      <c r="A109" s="798">
        <v>190</v>
      </c>
      <c r="B109" s="840">
        <v>5</v>
      </c>
      <c r="C109" s="803"/>
      <c r="D109" s="803"/>
      <c r="E109" s="803"/>
      <c r="F109" s="803"/>
      <c r="G109" s="803"/>
      <c r="H109" s="811">
        <v>300</v>
      </c>
      <c r="I109" s="811">
        <v>74</v>
      </c>
      <c r="J109" s="811">
        <v>294</v>
      </c>
      <c r="K109" s="811">
        <v>334</v>
      </c>
      <c r="L109" s="811"/>
      <c r="M109" s="811"/>
      <c r="N109" s="811"/>
      <c r="O109" s="811"/>
      <c r="P109" s="811">
        <v>263</v>
      </c>
      <c r="Q109" s="800">
        <v>207</v>
      </c>
      <c r="R109" s="803"/>
      <c r="S109" s="803"/>
      <c r="T109" s="803"/>
      <c r="U109" s="803"/>
      <c r="V109" s="803"/>
      <c r="W109" s="801">
        <f t="shared" si="12"/>
        <v>1472</v>
      </c>
      <c r="Y109" s="798">
        <f t="shared" si="13"/>
        <v>1472</v>
      </c>
      <c r="AA109" s="823">
        <f>'CHAM CONG'!BA226</f>
        <v>0</v>
      </c>
      <c r="AB109" s="823">
        <f>'CHAM CONG'!BB226</f>
        <v>0</v>
      </c>
      <c r="AC109" s="823">
        <f>'CHAM CONG'!BC226</f>
        <v>0</v>
      </c>
      <c r="AD109" s="823">
        <f>'CHAM CONG'!BD226</f>
        <v>0</v>
      </c>
      <c r="AE109" s="824">
        <f t="shared" si="19"/>
        <v>647.67999999999995</v>
      </c>
      <c r="AF109" s="828">
        <f t="shared" si="15"/>
        <v>334</v>
      </c>
      <c r="AG109" s="836">
        <f t="shared" si="16"/>
        <v>563</v>
      </c>
      <c r="AH109" s="828">
        <f t="shared" si="17"/>
        <v>281</v>
      </c>
      <c r="AI109" s="828">
        <f t="shared" si="18"/>
        <v>294</v>
      </c>
      <c r="AJ109" s="802">
        <f t="shared" si="14"/>
        <v>1472</v>
      </c>
    </row>
    <row r="110" spans="1:36">
      <c r="A110" s="798">
        <v>191</v>
      </c>
      <c r="B110" s="840">
        <v>5</v>
      </c>
      <c r="C110" s="803"/>
      <c r="D110" s="803"/>
      <c r="E110" s="803"/>
      <c r="F110" s="803"/>
      <c r="G110" s="803"/>
      <c r="H110" s="811">
        <v>213</v>
      </c>
      <c r="I110" s="811">
        <v>81</v>
      </c>
      <c r="J110" s="811">
        <v>275</v>
      </c>
      <c r="K110" s="811">
        <v>327</v>
      </c>
      <c r="L110" s="811"/>
      <c r="M110" s="811"/>
      <c r="N110" s="811"/>
      <c r="O110" s="811"/>
      <c r="P110" s="811">
        <v>327</v>
      </c>
      <c r="Q110" s="800">
        <v>209</v>
      </c>
      <c r="R110" s="803"/>
      <c r="S110" s="803"/>
      <c r="T110" s="803"/>
      <c r="U110" s="803"/>
      <c r="V110" s="803"/>
      <c r="W110" s="801">
        <f t="shared" si="12"/>
        <v>1432</v>
      </c>
      <c r="Y110" s="798">
        <f t="shared" si="13"/>
        <v>1432</v>
      </c>
      <c r="AA110" s="823">
        <f>'CHAM CONG'!BA227</f>
        <v>0</v>
      </c>
      <c r="AB110" s="823">
        <f>'CHAM CONG'!BB227</f>
        <v>0</v>
      </c>
      <c r="AC110" s="823">
        <f>'CHAM CONG'!BC227</f>
        <v>0</v>
      </c>
      <c r="AD110" s="823">
        <f>'CHAM CONG'!BD227</f>
        <v>0</v>
      </c>
      <c r="AE110" s="824">
        <f t="shared" si="19"/>
        <v>630.08000000000004</v>
      </c>
      <c r="AF110" s="828">
        <f t="shared" si="15"/>
        <v>327</v>
      </c>
      <c r="AG110" s="836">
        <f t="shared" si="16"/>
        <v>540</v>
      </c>
      <c r="AH110" s="828">
        <f t="shared" si="17"/>
        <v>290</v>
      </c>
      <c r="AI110" s="828">
        <f t="shared" si="18"/>
        <v>275</v>
      </c>
      <c r="AJ110" s="802">
        <f t="shared" si="14"/>
        <v>1432</v>
      </c>
    </row>
    <row r="111" spans="1:36">
      <c r="A111" s="798">
        <v>192</v>
      </c>
      <c r="B111" s="840">
        <v>5</v>
      </c>
      <c r="C111" s="803"/>
      <c r="D111" s="803"/>
      <c r="E111" s="803"/>
      <c r="F111" s="803"/>
      <c r="G111" s="803"/>
      <c r="H111" s="811">
        <v>219</v>
      </c>
      <c r="I111" s="811">
        <v>117</v>
      </c>
      <c r="J111" s="811">
        <v>292</v>
      </c>
      <c r="K111" s="811">
        <v>329</v>
      </c>
      <c r="L111" s="811"/>
      <c r="M111" s="811"/>
      <c r="N111" s="811"/>
      <c r="O111" s="811"/>
      <c r="P111" s="811">
        <v>214</v>
      </c>
      <c r="Q111" s="800">
        <v>308</v>
      </c>
      <c r="R111" s="803"/>
      <c r="S111" s="803"/>
      <c r="T111" s="803"/>
      <c r="U111" s="803"/>
      <c r="V111" s="803"/>
      <c r="W111" s="801">
        <f t="shared" si="12"/>
        <v>1479</v>
      </c>
      <c r="Y111" s="798">
        <f t="shared" si="13"/>
        <v>1479</v>
      </c>
      <c r="AA111" s="823">
        <f>'CHAM CONG'!BA228</f>
        <v>0</v>
      </c>
      <c r="AB111" s="823">
        <f>'CHAM CONG'!BB228</f>
        <v>0</v>
      </c>
      <c r="AC111" s="823">
        <f>'CHAM CONG'!BC228</f>
        <v>0</v>
      </c>
      <c r="AD111" s="823">
        <f>'CHAM CONG'!BD228</f>
        <v>0</v>
      </c>
      <c r="AE111" s="824">
        <f t="shared" si="19"/>
        <v>650.76</v>
      </c>
      <c r="AF111" s="828">
        <f t="shared" si="15"/>
        <v>329</v>
      </c>
      <c r="AG111" s="836">
        <f t="shared" si="16"/>
        <v>433</v>
      </c>
      <c r="AH111" s="828">
        <f t="shared" si="17"/>
        <v>425</v>
      </c>
      <c r="AI111" s="828">
        <f t="shared" si="18"/>
        <v>292</v>
      </c>
      <c r="AJ111" s="802">
        <f t="shared" si="14"/>
        <v>1479</v>
      </c>
    </row>
    <row r="112" spans="1:36">
      <c r="A112" s="798">
        <v>193</v>
      </c>
      <c r="B112" s="840">
        <v>5</v>
      </c>
      <c r="C112" s="803"/>
      <c r="D112" s="803"/>
      <c r="E112" s="803"/>
      <c r="F112" s="803"/>
      <c r="G112" s="803"/>
      <c r="H112" s="811">
        <v>226</v>
      </c>
      <c r="I112" s="811">
        <v>130</v>
      </c>
      <c r="J112" s="811">
        <v>326</v>
      </c>
      <c r="K112" s="811">
        <v>315</v>
      </c>
      <c r="L112" s="811"/>
      <c r="M112" s="811"/>
      <c r="N112" s="811"/>
      <c r="O112" s="811"/>
      <c r="P112" s="811">
        <v>213</v>
      </c>
      <c r="Q112" s="800">
        <v>223</v>
      </c>
      <c r="R112" s="803"/>
      <c r="S112" s="803"/>
      <c r="T112" s="803"/>
      <c r="U112" s="803"/>
      <c r="V112" s="803"/>
      <c r="W112" s="801">
        <f t="shared" si="12"/>
        <v>1433</v>
      </c>
      <c r="Y112" s="798">
        <f t="shared" si="13"/>
        <v>1433</v>
      </c>
      <c r="AA112" s="823">
        <f>'CHAM CONG'!BA229</f>
        <v>0</v>
      </c>
      <c r="AB112" s="823">
        <f>'CHAM CONG'!BB229</f>
        <v>0</v>
      </c>
      <c r="AC112" s="823">
        <f>'CHAM CONG'!BC229</f>
        <v>0</v>
      </c>
      <c r="AD112" s="823">
        <f>'CHAM CONG'!BD229</f>
        <v>0</v>
      </c>
      <c r="AE112" s="824">
        <f t="shared" si="19"/>
        <v>630.52</v>
      </c>
      <c r="AF112" s="828">
        <f t="shared" si="15"/>
        <v>315</v>
      </c>
      <c r="AG112" s="836">
        <f t="shared" si="16"/>
        <v>439</v>
      </c>
      <c r="AH112" s="828">
        <f t="shared" si="17"/>
        <v>353</v>
      </c>
      <c r="AI112" s="828">
        <f t="shared" si="18"/>
        <v>326</v>
      </c>
      <c r="AJ112" s="802">
        <f t="shared" si="14"/>
        <v>1433</v>
      </c>
    </row>
    <row r="113" spans="1:36">
      <c r="A113" s="798">
        <v>194</v>
      </c>
      <c r="B113" s="840">
        <v>5</v>
      </c>
      <c r="C113" s="803"/>
      <c r="D113" s="803"/>
      <c r="E113" s="803"/>
      <c r="F113" s="803"/>
      <c r="G113" s="803"/>
      <c r="H113" s="811">
        <v>242</v>
      </c>
      <c r="I113" s="811">
        <v>264</v>
      </c>
      <c r="J113" s="811">
        <v>401</v>
      </c>
      <c r="K113" s="811">
        <v>373</v>
      </c>
      <c r="L113" s="811"/>
      <c r="M113" s="811"/>
      <c r="N113" s="811"/>
      <c r="O113" s="811"/>
      <c r="P113" s="811">
        <v>235</v>
      </c>
      <c r="Q113" s="800">
        <v>339</v>
      </c>
      <c r="R113" s="803"/>
      <c r="S113" s="803"/>
      <c r="T113" s="803"/>
      <c r="U113" s="803"/>
      <c r="V113" s="803"/>
      <c r="W113" s="801">
        <f t="shared" si="12"/>
        <v>1854</v>
      </c>
      <c r="Y113" s="798">
        <f t="shared" si="13"/>
        <v>1854</v>
      </c>
      <c r="AA113" s="823">
        <f>'CHAM CONG'!BA230</f>
        <v>0</v>
      </c>
      <c r="AB113" s="823">
        <f>'CHAM CONG'!BB230</f>
        <v>0</v>
      </c>
      <c r="AC113" s="823">
        <f>'CHAM CONG'!BC230</f>
        <v>0</v>
      </c>
      <c r="AD113" s="823">
        <f>'CHAM CONG'!BD230</f>
        <v>0</v>
      </c>
      <c r="AE113" s="824">
        <f t="shared" si="19"/>
        <v>815.76</v>
      </c>
      <c r="AF113" s="828">
        <f t="shared" si="15"/>
        <v>373</v>
      </c>
      <c r="AG113" s="836">
        <f t="shared" si="16"/>
        <v>477</v>
      </c>
      <c r="AH113" s="828">
        <f t="shared" si="17"/>
        <v>603</v>
      </c>
      <c r="AI113" s="828">
        <f t="shared" si="18"/>
        <v>401</v>
      </c>
      <c r="AJ113" s="802">
        <f t="shared" si="14"/>
        <v>1854</v>
      </c>
    </row>
    <row r="114" spans="1:36">
      <c r="A114" s="798">
        <v>195</v>
      </c>
      <c r="B114" s="840">
        <v>5</v>
      </c>
      <c r="C114" s="803"/>
      <c r="D114" s="803"/>
      <c r="E114" s="803"/>
      <c r="F114" s="803"/>
      <c r="G114" s="803"/>
      <c r="H114" s="811">
        <v>259</v>
      </c>
      <c r="I114" s="811">
        <v>246</v>
      </c>
      <c r="J114" s="811">
        <v>366</v>
      </c>
      <c r="K114" s="811">
        <v>346</v>
      </c>
      <c r="L114" s="811"/>
      <c r="M114" s="811"/>
      <c r="N114" s="811"/>
      <c r="O114" s="811"/>
      <c r="P114" s="811">
        <v>285</v>
      </c>
      <c r="Q114" s="800">
        <v>238</v>
      </c>
      <c r="R114" s="803"/>
      <c r="S114" s="803"/>
      <c r="T114" s="803"/>
      <c r="U114" s="803"/>
      <c r="V114" s="803"/>
      <c r="W114" s="801">
        <f t="shared" si="12"/>
        <v>1740</v>
      </c>
      <c r="Y114" s="798">
        <f t="shared" si="13"/>
        <v>1740</v>
      </c>
      <c r="AA114" s="823">
        <f>'CHAM CONG'!BA231</f>
        <v>0</v>
      </c>
      <c r="AB114" s="823">
        <f>'CHAM CONG'!BB231</f>
        <v>0</v>
      </c>
      <c r="AC114" s="823">
        <f>'CHAM CONG'!BC231</f>
        <v>0</v>
      </c>
      <c r="AD114" s="823">
        <f>'CHAM CONG'!BD231</f>
        <v>0</v>
      </c>
      <c r="AE114" s="824">
        <f t="shared" si="19"/>
        <v>765.6</v>
      </c>
      <c r="AF114" s="828">
        <f t="shared" si="15"/>
        <v>346</v>
      </c>
      <c r="AG114" s="836">
        <f t="shared" si="16"/>
        <v>544</v>
      </c>
      <c r="AH114" s="828">
        <f t="shared" si="17"/>
        <v>484</v>
      </c>
      <c r="AI114" s="828">
        <f t="shared" si="18"/>
        <v>366</v>
      </c>
      <c r="AJ114" s="802">
        <f t="shared" si="14"/>
        <v>1740</v>
      </c>
    </row>
    <row r="115" spans="1:36">
      <c r="A115" s="798">
        <v>196</v>
      </c>
      <c r="B115" s="840">
        <v>5</v>
      </c>
      <c r="C115" s="803"/>
      <c r="D115" s="803"/>
      <c r="E115" s="803"/>
      <c r="F115" s="803"/>
      <c r="G115" s="803"/>
      <c r="H115" s="811">
        <v>134</v>
      </c>
      <c r="I115" s="811">
        <v>109</v>
      </c>
      <c r="J115" s="811">
        <v>222</v>
      </c>
      <c r="K115" s="811">
        <v>331</v>
      </c>
      <c r="L115" s="811"/>
      <c r="M115" s="811"/>
      <c r="N115" s="811"/>
      <c r="O115" s="811"/>
      <c r="P115" s="811">
        <v>126</v>
      </c>
      <c r="Q115" s="800">
        <v>198</v>
      </c>
      <c r="R115" s="803"/>
      <c r="S115" s="803"/>
      <c r="T115" s="803"/>
      <c r="U115" s="803"/>
      <c r="V115" s="803"/>
      <c r="W115" s="801">
        <f t="shared" si="12"/>
        <v>1120</v>
      </c>
      <c r="Y115" s="798">
        <f t="shared" si="13"/>
        <v>1120</v>
      </c>
      <c r="AA115" s="823">
        <f>'CHAM CONG'!BA232</f>
        <v>0</v>
      </c>
      <c r="AB115" s="823">
        <f>'CHAM CONG'!BB232</f>
        <v>0</v>
      </c>
      <c r="AC115" s="823">
        <f>'CHAM CONG'!BC232</f>
        <v>0</v>
      </c>
      <c r="AD115" s="823">
        <f>'CHAM CONG'!BD232</f>
        <v>0</v>
      </c>
      <c r="AE115" s="824">
        <f t="shared" si="19"/>
        <v>492.8</v>
      </c>
      <c r="AF115" s="828">
        <f t="shared" si="15"/>
        <v>331</v>
      </c>
      <c r="AG115" s="836">
        <f t="shared" si="16"/>
        <v>260</v>
      </c>
      <c r="AH115" s="828">
        <f t="shared" si="17"/>
        <v>307</v>
      </c>
      <c r="AI115" s="828">
        <f t="shared" si="18"/>
        <v>222</v>
      </c>
      <c r="AJ115" s="802">
        <f t="shared" si="14"/>
        <v>1120</v>
      </c>
    </row>
    <row r="116" spans="1:36">
      <c r="A116" s="798">
        <v>197</v>
      </c>
      <c r="B116" s="840">
        <v>5</v>
      </c>
      <c r="C116" s="803"/>
      <c r="D116" s="803"/>
      <c r="E116" s="803"/>
      <c r="F116" s="803"/>
      <c r="G116" s="803"/>
      <c r="H116" s="811">
        <v>132</v>
      </c>
      <c r="I116" s="811">
        <v>81</v>
      </c>
      <c r="J116" s="811">
        <v>126</v>
      </c>
      <c r="K116" s="811">
        <v>270</v>
      </c>
      <c r="L116" s="811"/>
      <c r="M116" s="811"/>
      <c r="N116" s="811"/>
      <c r="O116" s="811"/>
      <c r="P116" s="811">
        <v>130</v>
      </c>
      <c r="Q116" s="800">
        <v>139</v>
      </c>
      <c r="R116" s="803"/>
      <c r="S116" s="803"/>
      <c r="T116" s="803"/>
      <c r="U116" s="803"/>
      <c r="V116" s="803"/>
      <c r="W116" s="801">
        <f t="shared" si="12"/>
        <v>878</v>
      </c>
      <c r="Y116" s="798">
        <f t="shared" si="13"/>
        <v>878</v>
      </c>
      <c r="AA116" s="823">
        <f>'CHAM CONG'!BA233</f>
        <v>0</v>
      </c>
      <c r="AB116" s="823">
        <f>'CHAM CONG'!BB233</f>
        <v>0</v>
      </c>
      <c r="AC116" s="823">
        <f>'CHAM CONG'!BC233</f>
        <v>0</v>
      </c>
      <c r="AD116" s="823">
        <f>'CHAM CONG'!BD233</f>
        <v>0</v>
      </c>
      <c r="AE116" s="824">
        <f t="shared" si="19"/>
        <v>386.32</v>
      </c>
      <c r="AF116" s="828">
        <f t="shared" si="15"/>
        <v>270</v>
      </c>
      <c r="AG116" s="836">
        <f t="shared" si="16"/>
        <v>262</v>
      </c>
      <c r="AH116" s="828">
        <f t="shared" si="17"/>
        <v>220</v>
      </c>
      <c r="AI116" s="828">
        <f t="shared" si="18"/>
        <v>126</v>
      </c>
      <c r="AJ116" s="802">
        <f t="shared" si="14"/>
        <v>878</v>
      </c>
    </row>
    <row r="117" spans="1:36">
      <c r="A117" s="798">
        <v>198</v>
      </c>
      <c r="B117" s="840">
        <v>5</v>
      </c>
      <c r="C117" s="803"/>
      <c r="D117" s="803"/>
      <c r="E117" s="803"/>
      <c r="F117" s="803"/>
      <c r="G117" s="803"/>
      <c r="H117" s="811">
        <v>202</v>
      </c>
      <c r="I117" s="811">
        <v>124</v>
      </c>
      <c r="J117" s="811">
        <v>266</v>
      </c>
      <c r="K117" s="811">
        <v>297</v>
      </c>
      <c r="L117" s="811"/>
      <c r="M117" s="811"/>
      <c r="N117" s="811"/>
      <c r="O117" s="811"/>
      <c r="P117" s="811">
        <v>210</v>
      </c>
      <c r="Q117" s="800">
        <v>199</v>
      </c>
      <c r="R117" s="803"/>
      <c r="S117" s="803"/>
      <c r="T117" s="803"/>
      <c r="U117" s="803"/>
      <c r="V117" s="803"/>
      <c r="W117" s="801">
        <f t="shared" si="12"/>
        <v>1298</v>
      </c>
      <c r="Y117" s="798">
        <f t="shared" si="13"/>
        <v>1298</v>
      </c>
      <c r="AA117" s="823">
        <f>'CHAM CONG'!BA234</f>
        <v>0</v>
      </c>
      <c r="AB117" s="823">
        <f>'CHAM CONG'!BB234</f>
        <v>0</v>
      </c>
      <c r="AC117" s="823">
        <f>'CHAM CONG'!BC234</f>
        <v>0</v>
      </c>
      <c r="AD117" s="823">
        <f>'CHAM CONG'!BD234</f>
        <v>0</v>
      </c>
      <c r="AE117" s="824">
        <f t="shared" si="19"/>
        <v>571.12</v>
      </c>
      <c r="AF117" s="828">
        <f t="shared" si="15"/>
        <v>297</v>
      </c>
      <c r="AG117" s="836">
        <f t="shared" si="16"/>
        <v>412</v>
      </c>
      <c r="AH117" s="828">
        <f t="shared" si="17"/>
        <v>323</v>
      </c>
      <c r="AI117" s="828">
        <f t="shared" si="18"/>
        <v>266</v>
      </c>
      <c r="AJ117" s="802">
        <f t="shared" si="14"/>
        <v>1298</v>
      </c>
    </row>
    <row r="118" spans="1:36">
      <c r="A118" s="798">
        <v>199</v>
      </c>
      <c r="B118" s="840">
        <v>5</v>
      </c>
      <c r="C118" s="803"/>
      <c r="D118" s="803"/>
      <c r="E118" s="803"/>
      <c r="F118" s="803"/>
      <c r="G118" s="803"/>
      <c r="H118" s="811">
        <v>228</v>
      </c>
      <c r="I118" s="811">
        <v>119</v>
      </c>
      <c r="J118" s="811">
        <v>234</v>
      </c>
      <c r="K118" s="811">
        <v>379</v>
      </c>
      <c r="L118" s="811"/>
      <c r="M118" s="811"/>
      <c r="N118" s="811"/>
      <c r="O118" s="811"/>
      <c r="P118" s="811">
        <v>174</v>
      </c>
      <c r="Q118" s="800">
        <v>177</v>
      </c>
      <c r="R118" s="803"/>
      <c r="S118" s="803"/>
      <c r="T118" s="803"/>
      <c r="U118" s="803"/>
      <c r="V118" s="803"/>
      <c r="W118" s="801">
        <f t="shared" si="12"/>
        <v>1311</v>
      </c>
      <c r="Y118" s="798">
        <f t="shared" si="13"/>
        <v>1311</v>
      </c>
      <c r="AA118" s="823">
        <f>'CHAM CONG'!BA235</f>
        <v>0</v>
      </c>
      <c r="AB118" s="823">
        <f>'CHAM CONG'!BB235</f>
        <v>0</v>
      </c>
      <c r="AC118" s="823">
        <f>'CHAM CONG'!BC235</f>
        <v>0</v>
      </c>
      <c r="AD118" s="823">
        <f>'CHAM CONG'!BD235</f>
        <v>0</v>
      </c>
      <c r="AE118" s="824">
        <f t="shared" si="19"/>
        <v>576.84</v>
      </c>
      <c r="AF118" s="828">
        <f t="shared" si="15"/>
        <v>379</v>
      </c>
      <c r="AG118" s="836">
        <f t="shared" si="16"/>
        <v>402</v>
      </c>
      <c r="AH118" s="828">
        <f t="shared" si="17"/>
        <v>296</v>
      </c>
      <c r="AI118" s="828">
        <f t="shared" si="18"/>
        <v>234</v>
      </c>
      <c r="AJ118" s="802">
        <f t="shared" si="14"/>
        <v>1311</v>
      </c>
    </row>
    <row r="119" spans="1:36">
      <c r="A119" s="798">
        <v>200</v>
      </c>
      <c r="B119" s="840">
        <v>5</v>
      </c>
      <c r="C119" s="803"/>
      <c r="D119" s="803"/>
      <c r="E119" s="803"/>
      <c r="F119" s="803"/>
      <c r="G119" s="803"/>
      <c r="H119" s="811">
        <v>213</v>
      </c>
      <c r="I119" s="811">
        <v>107</v>
      </c>
      <c r="J119" s="811">
        <v>372</v>
      </c>
      <c r="K119" s="811">
        <v>371</v>
      </c>
      <c r="L119" s="811"/>
      <c r="M119" s="811"/>
      <c r="N119" s="811"/>
      <c r="O119" s="811"/>
      <c r="P119" s="811">
        <v>218</v>
      </c>
      <c r="Q119" s="800">
        <v>180</v>
      </c>
      <c r="R119" s="803"/>
      <c r="S119" s="803"/>
      <c r="T119" s="803"/>
      <c r="U119" s="803"/>
      <c r="V119" s="803"/>
      <c r="W119" s="801">
        <f t="shared" ref="W119:W175" si="20">SUM(C119:V119)</f>
        <v>1461</v>
      </c>
      <c r="Y119" s="798">
        <f t="shared" ref="Y119:Y175" si="21">W119-X119</f>
        <v>1461</v>
      </c>
      <c r="AA119" s="823">
        <f>'CHAM CONG'!BA236</f>
        <v>0</v>
      </c>
      <c r="AB119" s="823">
        <f>'CHAM CONG'!BB236</f>
        <v>0</v>
      </c>
      <c r="AC119" s="823">
        <f>'CHAM CONG'!BC236</f>
        <v>0</v>
      </c>
      <c r="AD119" s="823">
        <f>'CHAM CONG'!BD236</f>
        <v>0</v>
      </c>
      <c r="AE119" s="824">
        <f t="shared" si="19"/>
        <v>642.84</v>
      </c>
      <c r="AF119" s="828">
        <f t="shared" si="15"/>
        <v>371</v>
      </c>
      <c r="AG119" s="836">
        <f t="shared" si="16"/>
        <v>431</v>
      </c>
      <c r="AH119" s="828">
        <f t="shared" si="17"/>
        <v>287</v>
      </c>
      <c r="AI119" s="828">
        <f t="shared" si="18"/>
        <v>372</v>
      </c>
      <c r="AJ119" s="802">
        <f t="shared" ref="AJ119:AJ175" si="22">SUM(AF119:AI119)</f>
        <v>1461</v>
      </c>
    </row>
    <row r="120" spans="1:36">
      <c r="A120" s="798">
        <v>201</v>
      </c>
      <c r="B120" s="840">
        <v>5</v>
      </c>
      <c r="C120" s="803"/>
      <c r="D120" s="803"/>
      <c r="E120" s="803"/>
      <c r="F120" s="803"/>
      <c r="G120" s="803"/>
      <c r="H120" s="811">
        <v>274</v>
      </c>
      <c r="I120" s="811">
        <v>115</v>
      </c>
      <c r="J120" s="811">
        <v>379</v>
      </c>
      <c r="K120" s="811">
        <v>361</v>
      </c>
      <c r="L120" s="811"/>
      <c r="M120" s="811"/>
      <c r="N120" s="811"/>
      <c r="O120" s="811"/>
      <c r="P120" s="811">
        <v>225</v>
      </c>
      <c r="Q120" s="800">
        <v>201</v>
      </c>
      <c r="R120" s="803"/>
      <c r="S120" s="803"/>
      <c r="T120" s="803"/>
      <c r="U120" s="803"/>
      <c r="V120" s="803"/>
      <c r="W120" s="801">
        <f t="shared" si="20"/>
        <v>1555</v>
      </c>
      <c r="Y120" s="798">
        <f t="shared" si="21"/>
        <v>1555</v>
      </c>
      <c r="AA120" s="823">
        <f>'CHAM CONG'!BA237</f>
        <v>0</v>
      </c>
      <c r="AB120" s="823">
        <f>'CHAM CONG'!BB237</f>
        <v>0</v>
      </c>
      <c r="AC120" s="823">
        <f>'CHAM CONG'!BC237</f>
        <v>0</v>
      </c>
      <c r="AD120" s="823">
        <f>'CHAM CONG'!BD237</f>
        <v>0</v>
      </c>
      <c r="AE120" s="824">
        <f t="shared" si="19"/>
        <v>684.2</v>
      </c>
      <c r="AF120" s="828">
        <f t="shared" si="15"/>
        <v>361</v>
      </c>
      <c r="AG120" s="836">
        <f t="shared" si="16"/>
        <v>499</v>
      </c>
      <c r="AH120" s="828">
        <f t="shared" si="17"/>
        <v>316</v>
      </c>
      <c r="AI120" s="828">
        <f t="shared" si="18"/>
        <v>379</v>
      </c>
      <c r="AJ120" s="802">
        <f t="shared" si="22"/>
        <v>1555</v>
      </c>
    </row>
    <row r="121" spans="1:36">
      <c r="A121" s="798">
        <v>202</v>
      </c>
      <c r="B121" s="840">
        <v>5</v>
      </c>
      <c r="C121" s="803"/>
      <c r="D121" s="803"/>
      <c r="E121" s="803"/>
      <c r="F121" s="803"/>
      <c r="G121" s="803"/>
      <c r="H121" s="811">
        <v>220</v>
      </c>
      <c r="I121" s="811">
        <v>81</v>
      </c>
      <c r="J121" s="811">
        <v>199</v>
      </c>
      <c r="K121" s="811">
        <v>418</v>
      </c>
      <c r="L121" s="811"/>
      <c r="M121" s="811"/>
      <c r="N121" s="811"/>
      <c r="O121" s="811"/>
      <c r="P121" s="811">
        <v>208</v>
      </c>
      <c r="Q121" s="800">
        <v>243</v>
      </c>
      <c r="R121" s="803"/>
      <c r="S121" s="803"/>
      <c r="T121" s="803"/>
      <c r="U121" s="803"/>
      <c r="V121" s="803"/>
      <c r="W121" s="801">
        <f t="shared" si="20"/>
        <v>1369</v>
      </c>
      <c r="Y121" s="798">
        <f t="shared" si="21"/>
        <v>1369</v>
      </c>
      <c r="AA121" s="823">
        <f>'CHAM CONG'!BA238</f>
        <v>0</v>
      </c>
      <c r="AB121" s="823">
        <f>'CHAM CONG'!BB238</f>
        <v>0</v>
      </c>
      <c r="AC121" s="823">
        <f>'CHAM CONG'!BC238</f>
        <v>0</v>
      </c>
      <c r="AD121" s="823">
        <f>'CHAM CONG'!BD238</f>
        <v>0</v>
      </c>
      <c r="AE121" s="824">
        <f t="shared" si="19"/>
        <v>602.36</v>
      </c>
      <c r="AF121" s="828">
        <f t="shared" ref="AF121:AF133" si="23">K121</f>
        <v>418</v>
      </c>
      <c r="AG121" s="836">
        <f t="shared" ref="AG121:AG133" si="24">H121+P121</f>
        <v>428</v>
      </c>
      <c r="AH121" s="828">
        <f t="shared" ref="AH121:AH133" si="25">I121+Q121</f>
        <v>324</v>
      </c>
      <c r="AI121" s="828">
        <f t="shared" ref="AI121:AI133" si="26">J121</f>
        <v>199</v>
      </c>
      <c r="AJ121" s="802">
        <f t="shared" si="22"/>
        <v>1369</v>
      </c>
    </row>
    <row r="122" spans="1:36">
      <c r="A122" s="798">
        <v>203</v>
      </c>
      <c r="B122" s="840">
        <v>5</v>
      </c>
      <c r="C122" s="803"/>
      <c r="D122" s="803"/>
      <c r="E122" s="803"/>
      <c r="F122" s="803"/>
      <c r="G122" s="803"/>
      <c r="H122" s="811">
        <v>216</v>
      </c>
      <c r="I122" s="811">
        <v>104</v>
      </c>
      <c r="J122" s="811">
        <v>192</v>
      </c>
      <c r="K122" s="811">
        <v>368</v>
      </c>
      <c r="L122" s="811"/>
      <c r="M122" s="811"/>
      <c r="N122" s="811"/>
      <c r="O122" s="811"/>
      <c r="P122" s="811">
        <v>207</v>
      </c>
      <c r="Q122" s="800">
        <v>240</v>
      </c>
      <c r="R122" s="803"/>
      <c r="S122" s="803"/>
      <c r="T122" s="803"/>
      <c r="U122" s="803"/>
      <c r="V122" s="803"/>
      <c r="W122" s="801">
        <f t="shared" si="20"/>
        <v>1327</v>
      </c>
      <c r="Y122" s="798">
        <f t="shared" si="21"/>
        <v>1327</v>
      </c>
      <c r="AA122" s="823">
        <f>'CHAM CONG'!BA239</f>
        <v>0</v>
      </c>
      <c r="AB122" s="823">
        <f>'CHAM CONG'!BB239</f>
        <v>0</v>
      </c>
      <c r="AC122" s="823">
        <f>'CHAM CONG'!BC239</f>
        <v>0</v>
      </c>
      <c r="AD122" s="823">
        <f>'CHAM CONG'!BD239</f>
        <v>0</v>
      </c>
      <c r="AE122" s="824">
        <f t="shared" si="19"/>
        <v>583.88</v>
      </c>
      <c r="AF122" s="828">
        <f t="shared" si="23"/>
        <v>368</v>
      </c>
      <c r="AG122" s="836">
        <f t="shared" si="24"/>
        <v>423</v>
      </c>
      <c r="AH122" s="828">
        <f t="shared" si="25"/>
        <v>344</v>
      </c>
      <c r="AI122" s="828">
        <f t="shared" si="26"/>
        <v>192</v>
      </c>
      <c r="AJ122" s="802">
        <f t="shared" si="22"/>
        <v>1327</v>
      </c>
    </row>
    <row r="123" spans="1:36">
      <c r="A123" s="798">
        <v>204</v>
      </c>
      <c r="B123" s="840">
        <v>5</v>
      </c>
      <c r="C123" s="803"/>
      <c r="D123" s="803"/>
      <c r="E123" s="803"/>
      <c r="F123" s="803"/>
      <c r="G123" s="803"/>
      <c r="H123" s="811">
        <v>200</v>
      </c>
      <c r="I123" s="811">
        <v>136</v>
      </c>
      <c r="J123" s="811">
        <v>241</v>
      </c>
      <c r="K123" s="811">
        <v>401</v>
      </c>
      <c r="L123" s="811"/>
      <c r="M123" s="811"/>
      <c r="N123" s="811"/>
      <c r="O123" s="811"/>
      <c r="P123" s="811">
        <v>216</v>
      </c>
      <c r="Q123" s="800">
        <v>291</v>
      </c>
      <c r="R123" s="803"/>
      <c r="S123" s="803"/>
      <c r="T123" s="803"/>
      <c r="U123" s="803"/>
      <c r="V123" s="803"/>
      <c r="W123" s="801">
        <f t="shared" si="20"/>
        <v>1485</v>
      </c>
      <c r="Y123" s="798">
        <f t="shared" si="21"/>
        <v>1485</v>
      </c>
      <c r="AA123" s="823">
        <f>'CHAM CONG'!BA240</f>
        <v>0</v>
      </c>
      <c r="AB123" s="823">
        <f>'CHAM CONG'!BB240</f>
        <v>0</v>
      </c>
      <c r="AC123" s="823">
        <f>'CHAM CONG'!BC240</f>
        <v>0</v>
      </c>
      <c r="AD123" s="823">
        <f>'CHAM CONG'!BD240</f>
        <v>0</v>
      </c>
      <c r="AE123" s="824">
        <f t="shared" si="19"/>
        <v>653.4</v>
      </c>
      <c r="AF123" s="828">
        <f t="shared" si="23"/>
        <v>401</v>
      </c>
      <c r="AG123" s="836">
        <f t="shared" si="24"/>
        <v>416</v>
      </c>
      <c r="AH123" s="828">
        <f t="shared" si="25"/>
        <v>427</v>
      </c>
      <c r="AI123" s="828">
        <f t="shared" si="26"/>
        <v>241</v>
      </c>
      <c r="AJ123" s="802">
        <f t="shared" si="22"/>
        <v>1485</v>
      </c>
    </row>
    <row r="124" spans="1:36">
      <c r="A124" s="798">
        <v>205</v>
      </c>
      <c r="B124" s="840">
        <v>5</v>
      </c>
      <c r="C124" s="803"/>
      <c r="D124" s="803"/>
      <c r="E124" s="803"/>
      <c r="F124" s="803"/>
      <c r="G124" s="803"/>
      <c r="H124" s="811">
        <v>145</v>
      </c>
      <c r="I124" s="811">
        <v>101</v>
      </c>
      <c r="J124" s="811">
        <v>125</v>
      </c>
      <c r="K124" s="811">
        <v>261</v>
      </c>
      <c r="L124" s="811"/>
      <c r="M124" s="811"/>
      <c r="N124" s="811"/>
      <c r="O124" s="811"/>
      <c r="P124" s="811">
        <v>137</v>
      </c>
      <c r="Q124" s="800">
        <v>231</v>
      </c>
      <c r="R124" s="803"/>
      <c r="S124" s="803"/>
      <c r="T124" s="803"/>
      <c r="U124" s="803"/>
      <c r="V124" s="803"/>
      <c r="W124" s="801">
        <f t="shared" si="20"/>
        <v>1000</v>
      </c>
      <c r="Y124" s="798">
        <f t="shared" si="21"/>
        <v>1000</v>
      </c>
      <c r="AA124" s="823">
        <f>'CHAM CONG'!BA241</f>
        <v>0</v>
      </c>
      <c r="AB124" s="823">
        <f>'CHAM CONG'!BB241</f>
        <v>0</v>
      </c>
      <c r="AC124" s="823">
        <f>'CHAM CONG'!BC241</f>
        <v>0</v>
      </c>
      <c r="AD124" s="823">
        <f>'CHAM CONG'!BD241</f>
        <v>0</v>
      </c>
      <c r="AE124" s="824">
        <f t="shared" si="19"/>
        <v>440</v>
      </c>
      <c r="AF124" s="828">
        <f t="shared" si="23"/>
        <v>261</v>
      </c>
      <c r="AG124" s="836">
        <f t="shared" si="24"/>
        <v>282</v>
      </c>
      <c r="AH124" s="828">
        <f t="shared" si="25"/>
        <v>332</v>
      </c>
      <c r="AI124" s="828">
        <f t="shared" si="26"/>
        <v>125</v>
      </c>
      <c r="AJ124" s="802">
        <f t="shared" si="22"/>
        <v>1000</v>
      </c>
    </row>
    <row r="125" spans="1:36">
      <c r="A125" s="798">
        <v>206</v>
      </c>
      <c r="B125" s="840">
        <v>5</v>
      </c>
      <c r="C125" s="803"/>
      <c r="D125" s="803"/>
      <c r="E125" s="803"/>
      <c r="F125" s="803"/>
      <c r="G125" s="803"/>
      <c r="H125" s="811">
        <v>220</v>
      </c>
      <c r="I125" s="811">
        <v>108</v>
      </c>
      <c r="J125" s="811">
        <v>223</v>
      </c>
      <c r="K125" s="811">
        <v>430</v>
      </c>
      <c r="L125" s="811"/>
      <c r="M125" s="811"/>
      <c r="N125" s="811"/>
      <c r="O125" s="811"/>
      <c r="P125" s="811">
        <v>218</v>
      </c>
      <c r="Q125" s="800">
        <v>256</v>
      </c>
      <c r="R125" s="803"/>
      <c r="S125" s="803"/>
      <c r="T125" s="803"/>
      <c r="U125" s="803"/>
      <c r="V125" s="803"/>
      <c r="W125" s="801">
        <f t="shared" si="20"/>
        <v>1455</v>
      </c>
      <c r="Y125" s="798">
        <f t="shared" si="21"/>
        <v>1455</v>
      </c>
      <c r="AA125" s="823">
        <f>'CHAM CONG'!BA242</f>
        <v>0</v>
      </c>
      <c r="AB125" s="823">
        <f>'CHAM CONG'!BB242</f>
        <v>0</v>
      </c>
      <c r="AC125" s="823">
        <f>'CHAM CONG'!BC242</f>
        <v>0</v>
      </c>
      <c r="AD125" s="823">
        <f>'CHAM CONG'!BD242</f>
        <v>0</v>
      </c>
      <c r="AE125" s="824">
        <f t="shared" si="19"/>
        <v>640.20000000000005</v>
      </c>
      <c r="AF125" s="828">
        <f t="shared" si="23"/>
        <v>430</v>
      </c>
      <c r="AG125" s="836">
        <f t="shared" si="24"/>
        <v>438</v>
      </c>
      <c r="AH125" s="828">
        <f t="shared" si="25"/>
        <v>364</v>
      </c>
      <c r="AI125" s="828">
        <f t="shared" si="26"/>
        <v>223</v>
      </c>
      <c r="AJ125" s="802">
        <f t="shared" si="22"/>
        <v>1455</v>
      </c>
    </row>
    <row r="126" spans="1:36">
      <c r="A126" s="798">
        <v>207</v>
      </c>
      <c r="B126" s="840">
        <v>5</v>
      </c>
      <c r="C126" s="803"/>
      <c r="D126" s="803"/>
      <c r="E126" s="803"/>
      <c r="F126" s="803"/>
      <c r="G126" s="803"/>
      <c r="H126" s="811">
        <v>273</v>
      </c>
      <c r="I126" s="811">
        <v>113</v>
      </c>
      <c r="J126" s="811">
        <v>164</v>
      </c>
      <c r="K126" s="811">
        <v>376</v>
      </c>
      <c r="L126" s="811"/>
      <c r="M126" s="811"/>
      <c r="N126" s="811"/>
      <c r="O126" s="811"/>
      <c r="P126" s="811">
        <v>264</v>
      </c>
      <c r="Q126" s="800">
        <v>260</v>
      </c>
      <c r="R126" s="803"/>
      <c r="S126" s="803"/>
      <c r="T126" s="803"/>
      <c r="U126" s="803"/>
      <c r="V126" s="803"/>
      <c r="W126" s="801">
        <f t="shared" si="20"/>
        <v>1450</v>
      </c>
      <c r="Y126" s="798">
        <f t="shared" si="21"/>
        <v>1450</v>
      </c>
      <c r="AA126" s="823">
        <f>'CHAM CONG'!BA243</f>
        <v>0</v>
      </c>
      <c r="AB126" s="823">
        <f>'CHAM CONG'!BB243</f>
        <v>0</v>
      </c>
      <c r="AC126" s="823">
        <f>'CHAM CONG'!BC243</f>
        <v>0</v>
      </c>
      <c r="AD126" s="823">
        <f>'CHAM CONG'!BD243</f>
        <v>0</v>
      </c>
      <c r="AE126" s="824">
        <f t="shared" si="19"/>
        <v>638</v>
      </c>
      <c r="AF126" s="828">
        <f t="shared" si="23"/>
        <v>376</v>
      </c>
      <c r="AG126" s="836">
        <f t="shared" si="24"/>
        <v>537</v>
      </c>
      <c r="AH126" s="828">
        <f t="shared" si="25"/>
        <v>373</v>
      </c>
      <c r="AI126" s="828">
        <f t="shared" si="26"/>
        <v>164</v>
      </c>
      <c r="AJ126" s="802">
        <f t="shared" si="22"/>
        <v>1450</v>
      </c>
    </row>
    <row r="127" spans="1:36">
      <c r="A127" s="798">
        <v>208</v>
      </c>
      <c r="B127" s="840">
        <v>5</v>
      </c>
      <c r="C127" s="803"/>
      <c r="D127" s="803"/>
      <c r="E127" s="803"/>
      <c r="F127" s="803"/>
      <c r="G127" s="803"/>
      <c r="H127" s="811">
        <v>250</v>
      </c>
      <c r="I127" s="811">
        <v>125</v>
      </c>
      <c r="J127" s="811">
        <v>135</v>
      </c>
      <c r="K127" s="811">
        <v>295</v>
      </c>
      <c r="L127" s="811"/>
      <c r="M127" s="811"/>
      <c r="N127" s="811"/>
      <c r="O127" s="811"/>
      <c r="P127" s="811">
        <v>213</v>
      </c>
      <c r="Q127" s="800">
        <v>258</v>
      </c>
      <c r="R127" s="803"/>
      <c r="S127" s="803"/>
      <c r="T127" s="803"/>
      <c r="U127" s="803"/>
      <c r="V127" s="803"/>
      <c r="W127" s="801">
        <f t="shared" si="20"/>
        <v>1276</v>
      </c>
      <c r="Y127" s="798">
        <f t="shared" si="21"/>
        <v>1276</v>
      </c>
      <c r="AA127" s="823">
        <f>'CHAM CONG'!BA244</f>
        <v>0</v>
      </c>
      <c r="AB127" s="823">
        <f>'CHAM CONG'!BB244</f>
        <v>0</v>
      </c>
      <c r="AC127" s="823">
        <f>'CHAM CONG'!BC244</f>
        <v>0</v>
      </c>
      <c r="AD127" s="823">
        <f>'CHAM CONG'!BD244</f>
        <v>0</v>
      </c>
      <c r="AE127" s="824">
        <f t="shared" si="19"/>
        <v>561.44000000000005</v>
      </c>
      <c r="AF127" s="828">
        <f t="shared" si="23"/>
        <v>295</v>
      </c>
      <c r="AG127" s="836">
        <f t="shared" si="24"/>
        <v>463</v>
      </c>
      <c r="AH127" s="828">
        <f t="shared" si="25"/>
        <v>383</v>
      </c>
      <c r="AI127" s="828">
        <f t="shared" si="26"/>
        <v>135</v>
      </c>
      <c r="AJ127" s="802">
        <f t="shared" si="22"/>
        <v>1276</v>
      </c>
    </row>
    <row r="128" spans="1:36">
      <c r="A128" s="798">
        <v>209</v>
      </c>
      <c r="B128" s="840">
        <v>5</v>
      </c>
      <c r="C128" s="803"/>
      <c r="D128" s="803"/>
      <c r="E128" s="803"/>
      <c r="F128" s="803"/>
      <c r="G128" s="803"/>
      <c r="H128" s="811">
        <v>263</v>
      </c>
      <c r="I128" s="811">
        <v>104</v>
      </c>
      <c r="J128" s="811">
        <v>188</v>
      </c>
      <c r="K128" s="811">
        <v>391</v>
      </c>
      <c r="L128" s="811"/>
      <c r="M128" s="811"/>
      <c r="N128" s="811"/>
      <c r="O128" s="811"/>
      <c r="P128" s="811">
        <v>255</v>
      </c>
      <c r="Q128" s="800">
        <v>237</v>
      </c>
      <c r="R128" s="803"/>
      <c r="S128" s="803"/>
      <c r="T128" s="803"/>
      <c r="U128" s="803"/>
      <c r="V128" s="803"/>
      <c r="W128" s="801">
        <f t="shared" si="20"/>
        <v>1438</v>
      </c>
      <c r="Y128" s="798">
        <f t="shared" si="21"/>
        <v>1438</v>
      </c>
      <c r="AA128" s="823">
        <f>'CHAM CONG'!BA245</f>
        <v>0</v>
      </c>
      <c r="AB128" s="823">
        <f>'CHAM CONG'!BB245</f>
        <v>0</v>
      </c>
      <c r="AC128" s="823">
        <f>'CHAM CONG'!BC245</f>
        <v>0</v>
      </c>
      <c r="AD128" s="823">
        <f>'CHAM CONG'!BD245</f>
        <v>0</v>
      </c>
      <c r="AE128" s="824">
        <f t="shared" si="19"/>
        <v>632.72</v>
      </c>
      <c r="AF128" s="828">
        <f t="shared" si="23"/>
        <v>391</v>
      </c>
      <c r="AG128" s="836">
        <f t="shared" si="24"/>
        <v>518</v>
      </c>
      <c r="AH128" s="828">
        <f t="shared" si="25"/>
        <v>341</v>
      </c>
      <c r="AI128" s="828">
        <f t="shared" si="26"/>
        <v>188</v>
      </c>
      <c r="AJ128" s="802">
        <f t="shared" si="22"/>
        <v>1438</v>
      </c>
    </row>
    <row r="129" spans="1:37">
      <c r="A129" s="798">
        <v>210</v>
      </c>
      <c r="B129" s="840">
        <v>5</v>
      </c>
      <c r="C129" s="803"/>
      <c r="D129" s="803"/>
      <c r="E129" s="803"/>
      <c r="F129" s="803"/>
      <c r="G129" s="803"/>
      <c r="H129" s="811">
        <v>206</v>
      </c>
      <c r="I129" s="811">
        <v>219</v>
      </c>
      <c r="J129" s="811">
        <v>317</v>
      </c>
      <c r="K129" s="811">
        <v>281</v>
      </c>
      <c r="L129" s="811"/>
      <c r="M129" s="811"/>
      <c r="N129" s="811"/>
      <c r="O129" s="811"/>
      <c r="P129" s="811">
        <v>250</v>
      </c>
      <c r="Q129" s="800">
        <v>255</v>
      </c>
      <c r="R129" s="803"/>
      <c r="S129" s="803"/>
      <c r="T129" s="803"/>
      <c r="U129" s="803"/>
      <c r="V129" s="803"/>
      <c r="W129" s="801">
        <f t="shared" si="20"/>
        <v>1528</v>
      </c>
      <c r="Y129" s="798">
        <f t="shared" si="21"/>
        <v>1528</v>
      </c>
      <c r="AA129" s="823">
        <f>'CHAM CONG'!BA246</f>
        <v>0</v>
      </c>
      <c r="AB129" s="823">
        <f>'CHAM CONG'!BB246</f>
        <v>0</v>
      </c>
      <c r="AC129" s="823">
        <f>'CHAM CONG'!BC246</f>
        <v>0</v>
      </c>
      <c r="AD129" s="823">
        <f>'CHAM CONG'!BD246</f>
        <v>0</v>
      </c>
      <c r="AE129" s="824">
        <f t="shared" si="19"/>
        <v>672.32</v>
      </c>
      <c r="AF129" s="828">
        <f t="shared" si="23"/>
        <v>281</v>
      </c>
      <c r="AG129" s="836">
        <f t="shared" si="24"/>
        <v>456</v>
      </c>
      <c r="AH129" s="828">
        <f t="shared" si="25"/>
        <v>474</v>
      </c>
      <c r="AI129" s="828">
        <f t="shared" si="26"/>
        <v>317</v>
      </c>
      <c r="AJ129" s="802">
        <f t="shared" si="22"/>
        <v>1528</v>
      </c>
    </row>
    <row r="130" spans="1:37">
      <c r="A130" s="798">
        <v>211</v>
      </c>
      <c r="B130" s="840">
        <v>5</v>
      </c>
      <c r="C130" s="803"/>
      <c r="D130" s="803"/>
      <c r="E130" s="803"/>
      <c r="F130" s="803"/>
      <c r="G130" s="803"/>
      <c r="H130" s="811">
        <v>250</v>
      </c>
      <c r="I130" s="811">
        <v>113</v>
      </c>
      <c r="J130" s="811">
        <v>237</v>
      </c>
      <c r="K130" s="811">
        <v>262</v>
      </c>
      <c r="L130" s="811"/>
      <c r="M130" s="811"/>
      <c r="N130" s="811"/>
      <c r="O130" s="811"/>
      <c r="P130" s="811">
        <v>192</v>
      </c>
      <c r="Q130" s="800">
        <v>327</v>
      </c>
      <c r="R130" s="803"/>
      <c r="S130" s="803"/>
      <c r="T130" s="803"/>
      <c r="U130" s="803"/>
      <c r="V130" s="803"/>
      <c r="W130" s="801">
        <f t="shared" si="20"/>
        <v>1381</v>
      </c>
      <c r="Y130" s="798">
        <f t="shared" si="21"/>
        <v>1381</v>
      </c>
      <c r="AA130" s="823">
        <f>'CHAM CONG'!BA247</f>
        <v>0</v>
      </c>
      <c r="AB130" s="823">
        <f>'CHAM CONG'!BB247</f>
        <v>0</v>
      </c>
      <c r="AC130" s="823">
        <f>'CHAM CONG'!BC247</f>
        <v>0</v>
      </c>
      <c r="AD130" s="823">
        <f>'CHAM CONG'!BD247</f>
        <v>0</v>
      </c>
      <c r="AE130" s="824">
        <f t="shared" si="19"/>
        <v>607.64</v>
      </c>
      <c r="AF130" s="828">
        <f t="shared" si="23"/>
        <v>262</v>
      </c>
      <c r="AG130" s="836">
        <f t="shared" si="24"/>
        <v>442</v>
      </c>
      <c r="AH130" s="828">
        <f t="shared" si="25"/>
        <v>440</v>
      </c>
      <c r="AI130" s="828">
        <f t="shared" si="26"/>
        <v>237</v>
      </c>
      <c r="AJ130" s="802">
        <f t="shared" si="22"/>
        <v>1381</v>
      </c>
    </row>
    <row r="131" spans="1:37">
      <c r="A131" s="798">
        <v>212</v>
      </c>
      <c r="B131" s="840">
        <v>5</v>
      </c>
      <c r="C131" s="803"/>
      <c r="D131" s="803"/>
      <c r="E131" s="803"/>
      <c r="F131" s="803"/>
      <c r="G131" s="803"/>
      <c r="H131" s="811">
        <v>122</v>
      </c>
      <c r="I131" s="811">
        <v>118</v>
      </c>
      <c r="J131" s="811">
        <v>202</v>
      </c>
      <c r="K131" s="811">
        <v>261</v>
      </c>
      <c r="L131" s="811"/>
      <c r="M131" s="811"/>
      <c r="N131" s="811"/>
      <c r="O131" s="811"/>
      <c r="P131" s="811">
        <v>143</v>
      </c>
      <c r="Q131" s="800">
        <v>334</v>
      </c>
      <c r="R131" s="803"/>
      <c r="S131" s="803"/>
      <c r="T131" s="803"/>
      <c r="U131" s="803"/>
      <c r="V131" s="803"/>
      <c r="W131" s="801">
        <f t="shared" si="20"/>
        <v>1180</v>
      </c>
      <c r="Y131" s="798">
        <f t="shared" si="21"/>
        <v>1180</v>
      </c>
      <c r="AA131" s="823">
        <f>'CHAM CONG'!BA248</f>
        <v>0</v>
      </c>
      <c r="AB131" s="823">
        <f>'CHAM CONG'!BB248</f>
        <v>0</v>
      </c>
      <c r="AC131" s="823">
        <f>'CHAM CONG'!BC248</f>
        <v>0</v>
      </c>
      <c r="AD131" s="823">
        <f>'CHAM CONG'!BD248</f>
        <v>0</v>
      </c>
      <c r="AE131" s="824">
        <f t="shared" si="19"/>
        <v>519.20000000000005</v>
      </c>
      <c r="AF131" s="828">
        <f t="shared" si="23"/>
        <v>261</v>
      </c>
      <c r="AG131" s="836">
        <f t="shared" si="24"/>
        <v>265</v>
      </c>
      <c r="AH131" s="828">
        <f t="shared" si="25"/>
        <v>452</v>
      </c>
      <c r="AI131" s="828">
        <f t="shared" si="26"/>
        <v>202</v>
      </c>
      <c r="AJ131" s="802">
        <f t="shared" si="22"/>
        <v>1180</v>
      </c>
    </row>
    <row r="132" spans="1:37">
      <c r="A132" s="798">
        <v>213</v>
      </c>
      <c r="B132" s="840">
        <v>5</v>
      </c>
      <c r="C132" s="803"/>
      <c r="D132" s="803"/>
      <c r="E132" s="803"/>
      <c r="F132" s="803"/>
      <c r="G132" s="803"/>
      <c r="H132" s="811">
        <v>173</v>
      </c>
      <c r="I132" s="811">
        <v>231</v>
      </c>
      <c r="J132" s="811">
        <v>177</v>
      </c>
      <c r="K132" s="811">
        <v>241</v>
      </c>
      <c r="L132" s="811"/>
      <c r="M132" s="811"/>
      <c r="N132" s="811"/>
      <c r="O132" s="811"/>
      <c r="P132" s="811">
        <v>160</v>
      </c>
      <c r="Q132" s="800">
        <v>263</v>
      </c>
      <c r="R132" s="803"/>
      <c r="S132" s="803"/>
      <c r="T132" s="803"/>
      <c r="U132" s="803"/>
      <c r="V132" s="803"/>
      <c r="W132" s="801">
        <f t="shared" si="20"/>
        <v>1245</v>
      </c>
      <c r="Y132" s="798">
        <f t="shared" si="21"/>
        <v>1245</v>
      </c>
      <c r="AA132" s="823">
        <f>'CHAM CONG'!BA249</f>
        <v>0</v>
      </c>
      <c r="AB132" s="823">
        <f>'CHAM CONG'!BB249</f>
        <v>0</v>
      </c>
      <c r="AC132" s="823">
        <f>'CHAM CONG'!BC249</f>
        <v>0</v>
      </c>
      <c r="AD132" s="823">
        <f>'CHAM CONG'!BD249</f>
        <v>0</v>
      </c>
      <c r="AE132" s="824">
        <f t="shared" si="19"/>
        <v>547.79999999999995</v>
      </c>
      <c r="AF132" s="828">
        <f t="shared" si="23"/>
        <v>241</v>
      </c>
      <c r="AG132" s="836">
        <f t="shared" si="24"/>
        <v>333</v>
      </c>
      <c r="AH132" s="828">
        <f t="shared" si="25"/>
        <v>494</v>
      </c>
      <c r="AI132" s="828">
        <f t="shared" si="26"/>
        <v>177</v>
      </c>
      <c r="AJ132" s="802">
        <f t="shared" si="22"/>
        <v>1245</v>
      </c>
    </row>
    <row r="133" spans="1:37">
      <c r="A133" s="798">
        <v>214</v>
      </c>
      <c r="B133" s="840">
        <v>5</v>
      </c>
      <c r="C133" s="803"/>
      <c r="D133" s="803"/>
      <c r="E133" s="803"/>
      <c r="F133" s="803"/>
      <c r="G133" s="803"/>
      <c r="H133" s="811">
        <v>233</v>
      </c>
      <c r="I133" s="811">
        <v>233</v>
      </c>
      <c r="J133" s="811">
        <v>287</v>
      </c>
      <c r="K133" s="811">
        <v>214</v>
      </c>
      <c r="L133" s="811"/>
      <c r="M133" s="811"/>
      <c r="N133" s="811"/>
      <c r="O133" s="811"/>
      <c r="P133" s="811">
        <v>211</v>
      </c>
      <c r="Q133" s="800">
        <v>306</v>
      </c>
      <c r="R133" s="803"/>
      <c r="S133" s="803"/>
      <c r="T133" s="803"/>
      <c r="U133" s="803"/>
      <c r="V133" s="803"/>
      <c r="W133" s="801">
        <f t="shared" si="20"/>
        <v>1484</v>
      </c>
      <c r="Y133" s="798">
        <f t="shared" si="21"/>
        <v>1484</v>
      </c>
      <c r="AA133" s="823">
        <f>'CHAM CONG'!BA250</f>
        <v>0</v>
      </c>
      <c r="AB133" s="823">
        <f>'CHAM CONG'!BB250</f>
        <v>0</v>
      </c>
      <c r="AC133" s="823">
        <f>'CHAM CONG'!BC250</f>
        <v>0</v>
      </c>
      <c r="AD133" s="823">
        <f>'CHAM CONG'!BD250</f>
        <v>0</v>
      </c>
      <c r="AE133" s="824">
        <f t="shared" si="19"/>
        <v>652.96</v>
      </c>
      <c r="AF133" s="828">
        <f t="shared" si="23"/>
        <v>214</v>
      </c>
      <c r="AG133" s="836">
        <f t="shared" si="24"/>
        <v>444</v>
      </c>
      <c r="AH133" s="828">
        <f t="shared" si="25"/>
        <v>539</v>
      </c>
      <c r="AI133" s="828">
        <f t="shared" si="26"/>
        <v>287</v>
      </c>
      <c r="AJ133" s="802">
        <f t="shared" si="22"/>
        <v>1484</v>
      </c>
      <c r="AK133" s="790" t="s">
        <v>1364</v>
      </c>
    </row>
    <row r="134" spans="1:37" s="791" customFormat="1">
      <c r="A134" s="791">
        <v>251</v>
      </c>
      <c r="B134" s="812">
        <v>7</v>
      </c>
      <c r="C134" s="813"/>
      <c r="D134" s="813"/>
      <c r="E134" s="813"/>
      <c r="F134" s="813"/>
      <c r="G134" s="813"/>
      <c r="H134" s="813">
        <v>0</v>
      </c>
      <c r="I134" s="813">
        <v>0</v>
      </c>
      <c r="J134" s="813">
        <v>0</v>
      </c>
      <c r="K134" s="813">
        <v>0</v>
      </c>
      <c r="L134" s="813"/>
      <c r="M134" s="813"/>
      <c r="N134" s="813"/>
      <c r="O134" s="813"/>
      <c r="P134" s="813">
        <v>163</v>
      </c>
      <c r="Q134" s="820">
        <v>157</v>
      </c>
      <c r="R134" s="813"/>
      <c r="S134" s="813"/>
      <c r="T134" s="813"/>
      <c r="U134" s="813"/>
      <c r="V134" s="813"/>
      <c r="W134" s="821">
        <f t="shared" si="20"/>
        <v>320</v>
      </c>
      <c r="Y134" s="791">
        <f t="shared" si="21"/>
        <v>320</v>
      </c>
      <c r="AA134" s="826">
        <f>'CHAM CONG'!BA251</f>
        <v>0</v>
      </c>
      <c r="AB134" s="826">
        <f>'CHAM CONG'!BB251</f>
        <v>0</v>
      </c>
      <c r="AC134" s="826">
        <f>'CHAM CONG'!BC251</f>
        <v>0</v>
      </c>
      <c r="AD134" s="826">
        <f>'CHAM CONG'!BD251</f>
        <v>0</v>
      </c>
      <c r="AE134" s="827">
        <f t="shared" si="19"/>
        <v>140.80000000000001</v>
      </c>
      <c r="AF134" s="791">
        <f>I134+Q134</f>
        <v>157</v>
      </c>
      <c r="AG134" s="834">
        <f>J134</f>
        <v>0</v>
      </c>
      <c r="AH134" s="791">
        <f>K134</f>
        <v>0</v>
      </c>
      <c r="AI134" s="791">
        <f>H134+P134</f>
        <v>163</v>
      </c>
      <c r="AJ134" s="835">
        <f t="shared" si="22"/>
        <v>320</v>
      </c>
      <c r="AK134" s="834">
        <f>SUM(AJ134:AJ175)</f>
        <v>31852</v>
      </c>
    </row>
    <row r="135" spans="1:37">
      <c r="A135" s="798">
        <v>252</v>
      </c>
      <c r="B135" s="841">
        <v>7</v>
      </c>
      <c r="C135" s="803"/>
      <c r="D135" s="803"/>
      <c r="E135" s="803"/>
      <c r="F135" s="803"/>
      <c r="G135" s="803"/>
      <c r="H135" s="811">
        <v>0</v>
      </c>
      <c r="I135" s="811">
        <v>0</v>
      </c>
      <c r="J135" s="811">
        <v>0</v>
      </c>
      <c r="K135" s="811">
        <v>0</v>
      </c>
      <c r="L135" s="811"/>
      <c r="M135" s="811"/>
      <c r="N135" s="811"/>
      <c r="O135" s="811"/>
      <c r="P135" s="811">
        <v>173</v>
      </c>
      <c r="Q135" s="800">
        <v>146</v>
      </c>
      <c r="R135" s="803"/>
      <c r="S135" s="803"/>
      <c r="T135" s="803"/>
      <c r="U135" s="803"/>
      <c r="V135" s="803"/>
      <c r="W135" s="801">
        <f t="shared" si="20"/>
        <v>319</v>
      </c>
      <c r="Y135" s="798">
        <f t="shared" si="21"/>
        <v>319</v>
      </c>
      <c r="AA135" s="823">
        <f>'CHAM CONG'!BA252</f>
        <v>0</v>
      </c>
      <c r="AB135" s="823">
        <f>'CHAM CONG'!BB252</f>
        <v>0</v>
      </c>
      <c r="AC135" s="823">
        <f>'CHAM CONG'!BC252</f>
        <v>0</v>
      </c>
      <c r="AD135" s="823">
        <f>'CHAM CONG'!BD252</f>
        <v>0</v>
      </c>
      <c r="AE135" s="824">
        <f t="shared" si="19"/>
        <v>140.36000000000001</v>
      </c>
      <c r="AF135" s="828">
        <f t="shared" ref="AF135:AF175" si="27">I135+Q135</f>
        <v>146</v>
      </c>
      <c r="AG135" s="836">
        <f t="shared" ref="AG135:AG175" si="28">J135</f>
        <v>0</v>
      </c>
      <c r="AH135" s="828">
        <f t="shared" ref="AH135:AH175" si="29">K135</f>
        <v>0</v>
      </c>
      <c r="AI135" s="828">
        <f t="shared" ref="AI135:AI175" si="30">H135+P135</f>
        <v>173</v>
      </c>
      <c r="AJ135" s="802">
        <f t="shared" si="22"/>
        <v>319</v>
      </c>
    </row>
    <row r="136" spans="1:37">
      <c r="A136" s="798">
        <v>253</v>
      </c>
      <c r="B136" s="841">
        <v>7</v>
      </c>
      <c r="C136" s="803"/>
      <c r="D136" s="803"/>
      <c r="E136" s="803"/>
      <c r="F136" s="803"/>
      <c r="G136" s="803"/>
      <c r="H136" s="811">
        <v>0</v>
      </c>
      <c r="I136" s="811">
        <v>0</v>
      </c>
      <c r="J136" s="811">
        <v>0</v>
      </c>
      <c r="K136" s="811">
        <v>0</v>
      </c>
      <c r="L136" s="811"/>
      <c r="M136" s="811"/>
      <c r="N136" s="811"/>
      <c r="O136" s="811"/>
      <c r="P136" s="811">
        <v>166</v>
      </c>
      <c r="Q136" s="800">
        <v>140</v>
      </c>
      <c r="R136" s="803"/>
      <c r="S136" s="803"/>
      <c r="T136" s="803"/>
      <c r="U136" s="803"/>
      <c r="V136" s="803"/>
      <c r="W136" s="801">
        <f t="shared" si="20"/>
        <v>306</v>
      </c>
      <c r="Y136" s="798">
        <f t="shared" si="21"/>
        <v>306</v>
      </c>
      <c r="AA136" s="823">
        <f>'CHAM CONG'!BA253</f>
        <v>0</v>
      </c>
      <c r="AB136" s="823">
        <f>'CHAM CONG'!BB253</f>
        <v>0</v>
      </c>
      <c r="AC136" s="823">
        <f>'CHAM CONG'!BC253</f>
        <v>0</v>
      </c>
      <c r="AD136" s="823">
        <f>'CHAM CONG'!BD253</f>
        <v>0</v>
      </c>
      <c r="AE136" s="824">
        <f t="shared" si="19"/>
        <v>134.63999999999999</v>
      </c>
      <c r="AF136" s="828">
        <f t="shared" si="27"/>
        <v>140</v>
      </c>
      <c r="AG136" s="836">
        <f t="shared" si="28"/>
        <v>0</v>
      </c>
      <c r="AH136" s="828">
        <f t="shared" si="29"/>
        <v>0</v>
      </c>
      <c r="AI136" s="828">
        <f t="shared" si="30"/>
        <v>166</v>
      </c>
      <c r="AJ136" s="802">
        <f t="shared" si="22"/>
        <v>306</v>
      </c>
    </row>
    <row r="137" spans="1:37">
      <c r="A137" s="798">
        <v>254</v>
      </c>
      <c r="B137" s="841">
        <v>7</v>
      </c>
      <c r="C137" s="803"/>
      <c r="D137" s="803"/>
      <c r="E137" s="803"/>
      <c r="F137" s="803"/>
      <c r="G137" s="803"/>
      <c r="H137" s="811">
        <v>107</v>
      </c>
      <c r="I137" s="811">
        <v>93</v>
      </c>
      <c r="J137" s="811">
        <v>97</v>
      </c>
      <c r="K137" s="811">
        <v>142</v>
      </c>
      <c r="L137" s="811"/>
      <c r="M137" s="811"/>
      <c r="N137" s="811"/>
      <c r="O137" s="811"/>
      <c r="P137" s="811">
        <v>0</v>
      </c>
      <c r="Q137" s="800">
        <v>0</v>
      </c>
      <c r="R137" s="803"/>
      <c r="S137" s="803"/>
      <c r="T137" s="803"/>
      <c r="U137" s="803"/>
      <c r="V137" s="803"/>
      <c r="W137" s="801">
        <f t="shared" si="20"/>
        <v>439</v>
      </c>
      <c r="Y137" s="798">
        <f t="shared" si="21"/>
        <v>439</v>
      </c>
      <c r="AA137" s="823">
        <f>'CHAM CONG'!BA254</f>
        <v>0</v>
      </c>
      <c r="AB137" s="823">
        <f>'CHAM CONG'!BB254</f>
        <v>0</v>
      </c>
      <c r="AC137" s="823">
        <f>'CHAM CONG'!BC254</f>
        <v>0</v>
      </c>
      <c r="AD137" s="823">
        <f>'CHAM CONG'!BD254</f>
        <v>0</v>
      </c>
      <c r="AE137" s="824">
        <f t="shared" si="19"/>
        <v>193.16</v>
      </c>
      <c r="AF137" s="828">
        <f t="shared" si="27"/>
        <v>93</v>
      </c>
      <c r="AG137" s="836">
        <f t="shared" si="28"/>
        <v>97</v>
      </c>
      <c r="AH137" s="828">
        <f t="shared" si="29"/>
        <v>142</v>
      </c>
      <c r="AI137" s="828">
        <f t="shared" si="30"/>
        <v>107</v>
      </c>
      <c r="AJ137" s="802">
        <f t="shared" si="22"/>
        <v>439</v>
      </c>
    </row>
    <row r="138" spans="1:37">
      <c r="A138" s="798">
        <v>255</v>
      </c>
      <c r="B138" s="841">
        <v>7</v>
      </c>
      <c r="C138" s="803"/>
      <c r="D138" s="803"/>
      <c r="E138" s="803"/>
      <c r="F138" s="803"/>
      <c r="G138" s="803"/>
      <c r="H138" s="811">
        <v>128</v>
      </c>
      <c r="I138" s="811">
        <v>132</v>
      </c>
      <c r="J138" s="811">
        <v>75</v>
      </c>
      <c r="K138" s="811">
        <v>90</v>
      </c>
      <c r="L138" s="811"/>
      <c r="M138" s="811"/>
      <c r="N138" s="811"/>
      <c r="O138" s="811"/>
      <c r="P138" s="811">
        <v>112</v>
      </c>
      <c r="Q138" s="800">
        <v>90</v>
      </c>
      <c r="R138" s="803"/>
      <c r="S138" s="803"/>
      <c r="T138" s="803"/>
      <c r="U138" s="803"/>
      <c r="V138" s="803"/>
      <c r="W138" s="801">
        <f t="shared" si="20"/>
        <v>627</v>
      </c>
      <c r="Y138" s="798">
        <f t="shared" si="21"/>
        <v>627</v>
      </c>
      <c r="AA138" s="823">
        <f>'CHAM CONG'!BA255</f>
        <v>0</v>
      </c>
      <c r="AB138" s="823">
        <f>'CHAM CONG'!BB255</f>
        <v>0</v>
      </c>
      <c r="AC138" s="823">
        <f>'CHAM CONG'!BC255</f>
        <v>0</v>
      </c>
      <c r="AD138" s="823">
        <f>'CHAM CONG'!BD255</f>
        <v>0</v>
      </c>
      <c r="AE138" s="824">
        <f t="shared" ref="AE138:AE175" si="31">ROUND(W138*0.44,2)</f>
        <v>275.88</v>
      </c>
      <c r="AF138" s="828">
        <f t="shared" si="27"/>
        <v>222</v>
      </c>
      <c r="AG138" s="836">
        <f t="shared" si="28"/>
        <v>75</v>
      </c>
      <c r="AH138" s="828">
        <f t="shared" si="29"/>
        <v>90</v>
      </c>
      <c r="AI138" s="828">
        <f t="shared" si="30"/>
        <v>240</v>
      </c>
      <c r="AJ138" s="802">
        <f t="shared" si="22"/>
        <v>627</v>
      </c>
    </row>
    <row r="139" spans="1:37">
      <c r="A139" s="798">
        <v>256</v>
      </c>
      <c r="B139" s="841">
        <v>7</v>
      </c>
      <c r="C139" s="803"/>
      <c r="D139" s="803"/>
      <c r="E139" s="803"/>
      <c r="F139" s="803"/>
      <c r="G139" s="803"/>
      <c r="H139" s="811">
        <v>130</v>
      </c>
      <c r="I139" s="811">
        <v>64</v>
      </c>
      <c r="J139" s="811">
        <v>48</v>
      </c>
      <c r="K139" s="811">
        <v>148</v>
      </c>
      <c r="L139" s="811"/>
      <c r="M139" s="811"/>
      <c r="N139" s="811"/>
      <c r="O139" s="811"/>
      <c r="P139" s="811">
        <v>72</v>
      </c>
      <c r="Q139" s="800">
        <v>126</v>
      </c>
      <c r="R139" s="803"/>
      <c r="S139" s="803"/>
      <c r="T139" s="803"/>
      <c r="U139" s="803"/>
      <c r="V139" s="803"/>
      <c r="W139" s="801">
        <f t="shared" si="20"/>
        <v>588</v>
      </c>
      <c r="Y139" s="798">
        <f t="shared" si="21"/>
        <v>588</v>
      </c>
      <c r="AA139" s="823">
        <f>'CHAM CONG'!BA256</f>
        <v>0</v>
      </c>
      <c r="AB139" s="823">
        <f>'CHAM CONG'!BB256</f>
        <v>0</v>
      </c>
      <c r="AC139" s="823">
        <f>'CHAM CONG'!BC256</f>
        <v>0</v>
      </c>
      <c r="AD139" s="823">
        <f>'CHAM CONG'!BD256</f>
        <v>0</v>
      </c>
      <c r="AE139" s="824">
        <f t="shared" si="31"/>
        <v>258.72000000000003</v>
      </c>
      <c r="AF139" s="828">
        <f t="shared" si="27"/>
        <v>190</v>
      </c>
      <c r="AG139" s="836">
        <f t="shared" si="28"/>
        <v>48</v>
      </c>
      <c r="AH139" s="828">
        <f t="shared" si="29"/>
        <v>148</v>
      </c>
      <c r="AI139" s="828">
        <f t="shared" si="30"/>
        <v>202</v>
      </c>
      <c r="AJ139" s="802">
        <f t="shared" si="22"/>
        <v>588</v>
      </c>
    </row>
    <row r="140" spans="1:37">
      <c r="A140" s="798">
        <v>257</v>
      </c>
      <c r="B140" s="841">
        <v>7</v>
      </c>
      <c r="C140" s="803"/>
      <c r="D140" s="803"/>
      <c r="E140" s="803"/>
      <c r="F140" s="803"/>
      <c r="G140" s="803"/>
      <c r="H140" s="811">
        <v>121</v>
      </c>
      <c r="I140" s="811">
        <v>64</v>
      </c>
      <c r="J140" s="811">
        <v>52</v>
      </c>
      <c r="K140" s="811">
        <v>154</v>
      </c>
      <c r="L140" s="811"/>
      <c r="M140" s="811"/>
      <c r="N140" s="811"/>
      <c r="O140" s="811"/>
      <c r="P140" s="811">
        <v>115</v>
      </c>
      <c r="Q140" s="800">
        <v>147</v>
      </c>
      <c r="R140" s="803"/>
      <c r="S140" s="803"/>
      <c r="T140" s="803"/>
      <c r="U140" s="803"/>
      <c r="V140" s="803"/>
      <c r="W140" s="801">
        <f t="shared" si="20"/>
        <v>653</v>
      </c>
      <c r="Y140" s="798">
        <f t="shared" si="21"/>
        <v>653</v>
      </c>
      <c r="AA140" s="823">
        <f>'CHAM CONG'!BA257</f>
        <v>0</v>
      </c>
      <c r="AB140" s="823">
        <f>'CHAM CONG'!BB257</f>
        <v>0</v>
      </c>
      <c r="AC140" s="823">
        <f>'CHAM CONG'!BC257</f>
        <v>0</v>
      </c>
      <c r="AD140" s="823">
        <f>'CHAM CONG'!BD257</f>
        <v>0</v>
      </c>
      <c r="AE140" s="824">
        <f t="shared" si="31"/>
        <v>287.32</v>
      </c>
      <c r="AF140" s="828">
        <f t="shared" si="27"/>
        <v>211</v>
      </c>
      <c r="AG140" s="836">
        <f t="shared" si="28"/>
        <v>52</v>
      </c>
      <c r="AH140" s="828">
        <f t="shared" si="29"/>
        <v>154</v>
      </c>
      <c r="AI140" s="828">
        <f t="shared" si="30"/>
        <v>236</v>
      </c>
      <c r="AJ140" s="802">
        <f t="shared" si="22"/>
        <v>653</v>
      </c>
    </row>
    <row r="141" spans="1:37">
      <c r="A141" s="798">
        <v>258</v>
      </c>
      <c r="B141" s="841">
        <v>7</v>
      </c>
      <c r="C141" s="803"/>
      <c r="D141" s="803"/>
      <c r="E141" s="803"/>
      <c r="F141" s="803"/>
      <c r="G141" s="803"/>
      <c r="H141" s="811">
        <v>0</v>
      </c>
      <c r="I141" s="811">
        <v>0</v>
      </c>
      <c r="J141" s="811">
        <v>0</v>
      </c>
      <c r="K141" s="811">
        <v>0</v>
      </c>
      <c r="L141" s="811"/>
      <c r="M141" s="811"/>
      <c r="N141" s="811"/>
      <c r="O141" s="811"/>
      <c r="P141" s="811">
        <v>171</v>
      </c>
      <c r="Q141" s="800">
        <v>148</v>
      </c>
      <c r="R141" s="803"/>
      <c r="S141" s="803"/>
      <c r="T141" s="803"/>
      <c r="U141" s="803"/>
      <c r="V141" s="803"/>
      <c r="W141" s="801">
        <f t="shared" si="20"/>
        <v>319</v>
      </c>
      <c r="Y141" s="798">
        <f t="shared" si="21"/>
        <v>319</v>
      </c>
      <c r="AA141" s="823">
        <f>'CHAM CONG'!BA258</f>
        <v>0</v>
      </c>
      <c r="AB141" s="823">
        <f>'CHAM CONG'!BB258</f>
        <v>0</v>
      </c>
      <c r="AC141" s="823">
        <f>'CHAM CONG'!BC258</f>
        <v>0</v>
      </c>
      <c r="AD141" s="823">
        <f>'CHAM CONG'!BD258</f>
        <v>0</v>
      </c>
      <c r="AE141" s="824">
        <f t="shared" si="31"/>
        <v>140.36000000000001</v>
      </c>
      <c r="AF141" s="828">
        <f t="shared" si="27"/>
        <v>148</v>
      </c>
      <c r="AG141" s="836">
        <f t="shared" si="28"/>
        <v>0</v>
      </c>
      <c r="AH141" s="828">
        <f t="shared" si="29"/>
        <v>0</v>
      </c>
      <c r="AI141" s="828">
        <f t="shared" si="30"/>
        <v>171</v>
      </c>
      <c r="AJ141" s="802">
        <f t="shared" si="22"/>
        <v>319</v>
      </c>
    </row>
    <row r="142" spans="1:37">
      <c r="A142" s="798">
        <v>259</v>
      </c>
      <c r="B142" s="841">
        <v>7</v>
      </c>
      <c r="C142" s="803"/>
      <c r="D142" s="803"/>
      <c r="E142" s="803"/>
      <c r="F142" s="803"/>
      <c r="G142" s="803"/>
      <c r="H142" s="811">
        <v>101</v>
      </c>
      <c r="I142" s="811">
        <v>72</v>
      </c>
      <c r="J142" s="811">
        <v>124</v>
      </c>
      <c r="K142" s="811">
        <v>256</v>
      </c>
      <c r="L142" s="811"/>
      <c r="M142" s="811"/>
      <c r="N142" s="811"/>
      <c r="O142" s="811"/>
      <c r="P142" s="811">
        <v>177</v>
      </c>
      <c r="Q142" s="800">
        <v>153</v>
      </c>
      <c r="R142" s="803"/>
      <c r="S142" s="803"/>
      <c r="T142" s="803"/>
      <c r="U142" s="803"/>
      <c r="V142" s="803"/>
      <c r="W142" s="801">
        <f t="shared" si="20"/>
        <v>883</v>
      </c>
      <c r="Y142" s="798">
        <f t="shared" si="21"/>
        <v>883</v>
      </c>
      <c r="AA142" s="823">
        <f>'CHAM CONG'!BA259</f>
        <v>0</v>
      </c>
      <c r="AB142" s="823">
        <f>'CHAM CONG'!BB259</f>
        <v>0</v>
      </c>
      <c r="AC142" s="823">
        <f>'CHAM CONG'!BC259</f>
        <v>0</v>
      </c>
      <c r="AD142" s="823">
        <f>'CHAM CONG'!BD259</f>
        <v>0</v>
      </c>
      <c r="AE142" s="824">
        <f t="shared" si="31"/>
        <v>388.52</v>
      </c>
      <c r="AF142" s="828">
        <f t="shared" si="27"/>
        <v>225</v>
      </c>
      <c r="AG142" s="836">
        <f t="shared" si="28"/>
        <v>124</v>
      </c>
      <c r="AH142" s="828">
        <f t="shared" si="29"/>
        <v>256</v>
      </c>
      <c r="AI142" s="828">
        <f t="shared" si="30"/>
        <v>278</v>
      </c>
      <c r="AJ142" s="802">
        <f t="shared" si="22"/>
        <v>883</v>
      </c>
    </row>
    <row r="143" spans="1:37">
      <c r="A143" s="798">
        <v>260</v>
      </c>
      <c r="B143" s="841">
        <v>7</v>
      </c>
      <c r="C143" s="803"/>
      <c r="D143" s="803"/>
      <c r="E143" s="803"/>
      <c r="F143" s="803"/>
      <c r="G143" s="803"/>
      <c r="H143" s="811">
        <v>97</v>
      </c>
      <c r="I143" s="811">
        <v>73</v>
      </c>
      <c r="J143" s="811">
        <v>60</v>
      </c>
      <c r="K143" s="811">
        <v>262</v>
      </c>
      <c r="L143" s="811"/>
      <c r="M143" s="811"/>
      <c r="N143" s="811"/>
      <c r="O143" s="811"/>
      <c r="P143" s="811">
        <v>184</v>
      </c>
      <c r="Q143" s="800">
        <v>154</v>
      </c>
      <c r="R143" s="803"/>
      <c r="S143" s="803"/>
      <c r="T143" s="803"/>
      <c r="U143" s="803"/>
      <c r="V143" s="803"/>
      <c r="W143" s="801">
        <f t="shared" si="20"/>
        <v>830</v>
      </c>
      <c r="Y143" s="798">
        <f t="shared" si="21"/>
        <v>830</v>
      </c>
      <c r="AA143" s="823">
        <f>'CHAM CONG'!BA260</f>
        <v>0</v>
      </c>
      <c r="AB143" s="823">
        <f>'CHAM CONG'!BB260</f>
        <v>0</v>
      </c>
      <c r="AC143" s="823">
        <f>'CHAM CONG'!BC260</f>
        <v>0</v>
      </c>
      <c r="AD143" s="823">
        <f>'CHAM CONG'!BD260</f>
        <v>0</v>
      </c>
      <c r="AE143" s="824">
        <f t="shared" si="31"/>
        <v>365.2</v>
      </c>
      <c r="AF143" s="828">
        <f t="shared" si="27"/>
        <v>227</v>
      </c>
      <c r="AG143" s="836">
        <f t="shared" si="28"/>
        <v>60</v>
      </c>
      <c r="AH143" s="828">
        <f t="shared" si="29"/>
        <v>262</v>
      </c>
      <c r="AI143" s="828">
        <f t="shared" si="30"/>
        <v>281</v>
      </c>
      <c r="AJ143" s="802">
        <f t="shared" si="22"/>
        <v>830</v>
      </c>
    </row>
    <row r="144" spans="1:37">
      <c r="A144" s="798">
        <v>261</v>
      </c>
      <c r="B144" s="841">
        <v>7</v>
      </c>
      <c r="C144" s="803"/>
      <c r="D144" s="803"/>
      <c r="E144" s="803"/>
      <c r="F144" s="803"/>
      <c r="G144" s="803"/>
      <c r="H144" s="811">
        <v>112</v>
      </c>
      <c r="I144" s="811">
        <v>57</v>
      </c>
      <c r="J144" s="811">
        <v>63</v>
      </c>
      <c r="K144" s="811">
        <v>77</v>
      </c>
      <c r="L144" s="811"/>
      <c r="M144" s="811"/>
      <c r="N144" s="811"/>
      <c r="O144" s="811"/>
      <c r="P144" s="811">
        <v>146</v>
      </c>
      <c r="Q144" s="800">
        <v>118</v>
      </c>
      <c r="R144" s="803"/>
      <c r="S144" s="803"/>
      <c r="T144" s="803"/>
      <c r="U144" s="803"/>
      <c r="V144" s="803"/>
      <c r="W144" s="801">
        <f t="shared" si="20"/>
        <v>573</v>
      </c>
      <c r="Y144" s="798">
        <f t="shared" si="21"/>
        <v>573</v>
      </c>
      <c r="AA144" s="823">
        <f>'CHAM CONG'!BA261</f>
        <v>0</v>
      </c>
      <c r="AB144" s="823">
        <f>'CHAM CONG'!BB261</f>
        <v>0</v>
      </c>
      <c r="AC144" s="823">
        <f>'CHAM CONG'!BC261</f>
        <v>0</v>
      </c>
      <c r="AD144" s="823">
        <f>'CHAM CONG'!BD261</f>
        <v>0</v>
      </c>
      <c r="AE144" s="824">
        <f t="shared" si="31"/>
        <v>252.12</v>
      </c>
      <c r="AF144" s="828">
        <f t="shared" si="27"/>
        <v>175</v>
      </c>
      <c r="AG144" s="836">
        <f t="shared" si="28"/>
        <v>63</v>
      </c>
      <c r="AH144" s="828">
        <f t="shared" si="29"/>
        <v>77</v>
      </c>
      <c r="AI144" s="828">
        <f t="shared" si="30"/>
        <v>258</v>
      </c>
      <c r="AJ144" s="802">
        <f t="shared" si="22"/>
        <v>573</v>
      </c>
    </row>
    <row r="145" spans="1:36">
      <c r="A145" s="798">
        <v>262</v>
      </c>
      <c r="B145" s="841">
        <v>7</v>
      </c>
      <c r="C145" s="803"/>
      <c r="D145" s="803"/>
      <c r="E145" s="803"/>
      <c r="F145" s="803"/>
      <c r="G145" s="803"/>
      <c r="H145" s="811">
        <v>116</v>
      </c>
      <c r="I145" s="811">
        <v>88</v>
      </c>
      <c r="J145" s="811">
        <v>45</v>
      </c>
      <c r="K145" s="811">
        <v>81</v>
      </c>
      <c r="L145" s="811"/>
      <c r="M145" s="811"/>
      <c r="N145" s="811"/>
      <c r="O145" s="811"/>
      <c r="P145" s="811">
        <v>146</v>
      </c>
      <c r="Q145" s="800">
        <v>139</v>
      </c>
      <c r="R145" s="803"/>
      <c r="S145" s="803"/>
      <c r="T145" s="803"/>
      <c r="U145" s="803"/>
      <c r="V145" s="803"/>
      <c r="W145" s="801">
        <f t="shared" si="20"/>
        <v>615</v>
      </c>
      <c r="Y145" s="798">
        <f t="shared" si="21"/>
        <v>615</v>
      </c>
      <c r="AA145" s="823">
        <f>'CHAM CONG'!BA262</f>
        <v>0</v>
      </c>
      <c r="AB145" s="823">
        <f>'CHAM CONG'!BB262</f>
        <v>0</v>
      </c>
      <c r="AC145" s="823">
        <f>'CHAM CONG'!BC262</f>
        <v>0</v>
      </c>
      <c r="AD145" s="823">
        <f>'CHAM CONG'!BD262</f>
        <v>0</v>
      </c>
      <c r="AE145" s="824">
        <f t="shared" si="31"/>
        <v>270.60000000000002</v>
      </c>
      <c r="AF145" s="828">
        <f t="shared" si="27"/>
        <v>227</v>
      </c>
      <c r="AG145" s="836">
        <f t="shared" si="28"/>
        <v>45</v>
      </c>
      <c r="AH145" s="828">
        <f t="shared" si="29"/>
        <v>81</v>
      </c>
      <c r="AI145" s="828">
        <f t="shared" si="30"/>
        <v>262</v>
      </c>
      <c r="AJ145" s="802">
        <f t="shared" si="22"/>
        <v>615</v>
      </c>
    </row>
    <row r="146" spans="1:36">
      <c r="A146" s="798">
        <v>263</v>
      </c>
      <c r="B146" s="841">
        <v>7</v>
      </c>
      <c r="C146" s="803"/>
      <c r="D146" s="803"/>
      <c r="E146" s="803"/>
      <c r="F146" s="803"/>
      <c r="G146" s="803"/>
      <c r="H146" s="811">
        <v>129</v>
      </c>
      <c r="I146" s="811">
        <v>70</v>
      </c>
      <c r="J146" s="811">
        <v>48</v>
      </c>
      <c r="K146" s="811">
        <v>136</v>
      </c>
      <c r="L146" s="811"/>
      <c r="M146" s="811"/>
      <c r="N146" s="811"/>
      <c r="O146" s="811"/>
      <c r="P146" s="811">
        <v>129</v>
      </c>
      <c r="Q146" s="800">
        <v>138</v>
      </c>
      <c r="R146" s="803"/>
      <c r="S146" s="803"/>
      <c r="T146" s="803"/>
      <c r="U146" s="803"/>
      <c r="V146" s="803"/>
      <c r="W146" s="801">
        <f t="shared" si="20"/>
        <v>650</v>
      </c>
      <c r="Y146" s="798">
        <f t="shared" si="21"/>
        <v>650</v>
      </c>
      <c r="AA146" s="823">
        <f>'CHAM CONG'!BA263</f>
        <v>0</v>
      </c>
      <c r="AB146" s="823">
        <f>'CHAM CONG'!BB263</f>
        <v>0</v>
      </c>
      <c r="AC146" s="823">
        <f>'CHAM CONG'!BC263</f>
        <v>0</v>
      </c>
      <c r="AD146" s="823">
        <f>'CHAM CONG'!BD263</f>
        <v>0</v>
      </c>
      <c r="AE146" s="824">
        <f t="shared" si="31"/>
        <v>286</v>
      </c>
      <c r="AF146" s="828">
        <f t="shared" si="27"/>
        <v>208</v>
      </c>
      <c r="AG146" s="836">
        <f t="shared" si="28"/>
        <v>48</v>
      </c>
      <c r="AH146" s="828">
        <f t="shared" si="29"/>
        <v>136</v>
      </c>
      <c r="AI146" s="828">
        <f t="shared" si="30"/>
        <v>258</v>
      </c>
      <c r="AJ146" s="802">
        <f t="shared" si="22"/>
        <v>650</v>
      </c>
    </row>
    <row r="147" spans="1:36">
      <c r="A147" s="798">
        <v>264</v>
      </c>
      <c r="B147" s="841">
        <v>7</v>
      </c>
      <c r="C147" s="803"/>
      <c r="D147" s="803"/>
      <c r="E147" s="803"/>
      <c r="F147" s="803"/>
      <c r="G147" s="803"/>
      <c r="H147" s="811">
        <v>112</v>
      </c>
      <c r="I147" s="811">
        <v>57</v>
      </c>
      <c r="J147" s="811">
        <v>46</v>
      </c>
      <c r="K147" s="811">
        <v>111</v>
      </c>
      <c r="L147" s="811"/>
      <c r="M147" s="811"/>
      <c r="N147" s="811"/>
      <c r="O147" s="811"/>
      <c r="P147" s="811">
        <v>60</v>
      </c>
      <c r="Q147" s="800">
        <v>101</v>
      </c>
      <c r="R147" s="803"/>
      <c r="S147" s="803"/>
      <c r="T147" s="803"/>
      <c r="U147" s="803"/>
      <c r="V147" s="803"/>
      <c r="W147" s="801">
        <f t="shared" si="20"/>
        <v>487</v>
      </c>
      <c r="Y147" s="798">
        <f t="shared" si="21"/>
        <v>487</v>
      </c>
      <c r="AA147" s="823">
        <f>'CHAM CONG'!BA264</f>
        <v>0</v>
      </c>
      <c r="AB147" s="823">
        <f>'CHAM CONG'!BB264</f>
        <v>0</v>
      </c>
      <c r="AC147" s="823">
        <f>'CHAM CONG'!BC264</f>
        <v>0</v>
      </c>
      <c r="AD147" s="823">
        <f>'CHAM CONG'!BD264</f>
        <v>0</v>
      </c>
      <c r="AE147" s="824">
        <f t="shared" si="31"/>
        <v>214.28</v>
      </c>
      <c r="AF147" s="828">
        <f t="shared" si="27"/>
        <v>158</v>
      </c>
      <c r="AG147" s="836">
        <f t="shared" si="28"/>
        <v>46</v>
      </c>
      <c r="AH147" s="828">
        <f t="shared" si="29"/>
        <v>111</v>
      </c>
      <c r="AI147" s="828">
        <f t="shared" si="30"/>
        <v>172</v>
      </c>
      <c r="AJ147" s="802">
        <f t="shared" si="22"/>
        <v>487</v>
      </c>
    </row>
    <row r="148" spans="1:36">
      <c r="A148" s="798">
        <v>265</v>
      </c>
      <c r="B148" s="841">
        <v>7</v>
      </c>
      <c r="C148" s="803"/>
      <c r="D148" s="803"/>
      <c r="E148" s="803"/>
      <c r="F148" s="803"/>
      <c r="G148" s="803"/>
      <c r="H148" s="811">
        <v>208</v>
      </c>
      <c r="I148" s="811">
        <v>116</v>
      </c>
      <c r="J148" s="811">
        <v>51</v>
      </c>
      <c r="K148" s="811">
        <v>97</v>
      </c>
      <c r="L148" s="811"/>
      <c r="M148" s="811"/>
      <c r="N148" s="811"/>
      <c r="O148" s="811"/>
      <c r="P148" s="811">
        <v>231</v>
      </c>
      <c r="Q148" s="800">
        <v>120</v>
      </c>
      <c r="R148" s="803"/>
      <c r="S148" s="803"/>
      <c r="T148" s="803"/>
      <c r="U148" s="803"/>
      <c r="V148" s="803"/>
      <c r="W148" s="801">
        <f t="shared" si="20"/>
        <v>823</v>
      </c>
      <c r="Y148" s="798">
        <f t="shared" si="21"/>
        <v>823</v>
      </c>
      <c r="AA148" s="823">
        <f>'CHAM CONG'!BA265</f>
        <v>0</v>
      </c>
      <c r="AB148" s="823">
        <f>'CHAM CONG'!BB265</f>
        <v>0</v>
      </c>
      <c r="AC148" s="823">
        <f>'CHAM CONG'!BC265</f>
        <v>0</v>
      </c>
      <c r="AD148" s="823">
        <f>'CHAM CONG'!BD265</f>
        <v>0</v>
      </c>
      <c r="AE148" s="824">
        <f t="shared" si="31"/>
        <v>362.12</v>
      </c>
      <c r="AF148" s="828">
        <f t="shared" si="27"/>
        <v>236</v>
      </c>
      <c r="AG148" s="836">
        <f t="shared" si="28"/>
        <v>51</v>
      </c>
      <c r="AH148" s="828">
        <f t="shared" si="29"/>
        <v>97</v>
      </c>
      <c r="AI148" s="828">
        <f t="shared" si="30"/>
        <v>439</v>
      </c>
      <c r="AJ148" s="802">
        <f t="shared" si="22"/>
        <v>823</v>
      </c>
    </row>
    <row r="149" spans="1:36">
      <c r="A149" s="798">
        <v>266</v>
      </c>
      <c r="B149" s="841">
        <v>7</v>
      </c>
      <c r="C149" s="803"/>
      <c r="D149" s="803"/>
      <c r="E149" s="803"/>
      <c r="F149" s="803"/>
      <c r="G149" s="803"/>
      <c r="H149" s="811">
        <v>216</v>
      </c>
      <c r="I149" s="811">
        <v>111</v>
      </c>
      <c r="J149" s="811">
        <v>54</v>
      </c>
      <c r="K149" s="811">
        <v>116</v>
      </c>
      <c r="L149" s="811"/>
      <c r="M149" s="811"/>
      <c r="N149" s="811"/>
      <c r="O149" s="811"/>
      <c r="P149" s="811">
        <v>227</v>
      </c>
      <c r="Q149" s="800">
        <v>118</v>
      </c>
      <c r="R149" s="803"/>
      <c r="S149" s="803"/>
      <c r="T149" s="803"/>
      <c r="U149" s="803"/>
      <c r="V149" s="803"/>
      <c r="W149" s="801">
        <f t="shared" si="20"/>
        <v>842</v>
      </c>
      <c r="Y149" s="798">
        <f t="shared" si="21"/>
        <v>842</v>
      </c>
      <c r="AA149" s="823" t="e">
        <f>'CHAM CONG'!#REF!</f>
        <v>#REF!</v>
      </c>
      <c r="AB149" s="823" t="e">
        <f>'CHAM CONG'!#REF!</f>
        <v>#REF!</v>
      </c>
      <c r="AC149" s="823" t="e">
        <f>'CHAM CONG'!#REF!</f>
        <v>#REF!</v>
      </c>
      <c r="AD149" s="823" t="e">
        <f>'CHAM CONG'!#REF!</f>
        <v>#REF!</v>
      </c>
      <c r="AE149" s="824">
        <f t="shared" si="31"/>
        <v>370.48</v>
      </c>
      <c r="AF149" s="828">
        <f t="shared" si="27"/>
        <v>229</v>
      </c>
      <c r="AG149" s="836">
        <f t="shared" si="28"/>
        <v>54</v>
      </c>
      <c r="AH149" s="828">
        <f t="shared" si="29"/>
        <v>116</v>
      </c>
      <c r="AI149" s="828">
        <f t="shared" si="30"/>
        <v>443</v>
      </c>
      <c r="AJ149" s="802">
        <f t="shared" si="22"/>
        <v>842</v>
      </c>
    </row>
    <row r="150" spans="1:36">
      <c r="A150" s="798">
        <v>267</v>
      </c>
      <c r="B150" s="841">
        <v>7</v>
      </c>
      <c r="C150" s="803"/>
      <c r="D150" s="803"/>
      <c r="E150" s="803"/>
      <c r="F150" s="803"/>
      <c r="G150" s="803"/>
      <c r="H150" s="811">
        <v>162</v>
      </c>
      <c r="I150" s="811">
        <v>130</v>
      </c>
      <c r="J150" s="811">
        <v>87</v>
      </c>
      <c r="K150" s="811">
        <v>125</v>
      </c>
      <c r="L150" s="811"/>
      <c r="M150" s="811"/>
      <c r="N150" s="811"/>
      <c r="O150" s="811"/>
      <c r="P150" s="811">
        <v>175</v>
      </c>
      <c r="Q150" s="800">
        <v>164</v>
      </c>
      <c r="R150" s="803"/>
      <c r="S150" s="803"/>
      <c r="T150" s="803"/>
      <c r="U150" s="803"/>
      <c r="V150" s="803"/>
      <c r="W150" s="801">
        <f t="shared" si="20"/>
        <v>843</v>
      </c>
      <c r="Y150" s="798">
        <f t="shared" si="21"/>
        <v>843</v>
      </c>
      <c r="AA150" s="823" t="e">
        <f>'CHAM CONG'!#REF!</f>
        <v>#REF!</v>
      </c>
      <c r="AB150" s="823" t="e">
        <f>'CHAM CONG'!#REF!</f>
        <v>#REF!</v>
      </c>
      <c r="AC150" s="823" t="e">
        <f>'CHAM CONG'!#REF!</f>
        <v>#REF!</v>
      </c>
      <c r="AD150" s="823" t="e">
        <f>'CHAM CONG'!#REF!</f>
        <v>#REF!</v>
      </c>
      <c r="AE150" s="824">
        <f t="shared" si="31"/>
        <v>370.92</v>
      </c>
      <c r="AF150" s="828">
        <f t="shared" si="27"/>
        <v>294</v>
      </c>
      <c r="AG150" s="836">
        <f t="shared" si="28"/>
        <v>87</v>
      </c>
      <c r="AH150" s="828">
        <f t="shared" si="29"/>
        <v>125</v>
      </c>
      <c r="AI150" s="828">
        <f t="shared" si="30"/>
        <v>337</v>
      </c>
      <c r="AJ150" s="802">
        <f t="shared" si="22"/>
        <v>843</v>
      </c>
    </row>
    <row r="151" spans="1:36">
      <c r="A151" s="798">
        <v>268</v>
      </c>
      <c r="B151" s="841">
        <v>7</v>
      </c>
      <c r="C151" s="803"/>
      <c r="D151" s="803"/>
      <c r="E151" s="803"/>
      <c r="F151" s="803"/>
      <c r="G151" s="803"/>
      <c r="H151" s="811">
        <v>124</v>
      </c>
      <c r="I151" s="811">
        <v>45</v>
      </c>
      <c r="J151" s="811">
        <v>69</v>
      </c>
      <c r="K151" s="811">
        <v>42</v>
      </c>
      <c r="L151" s="811"/>
      <c r="M151" s="811"/>
      <c r="N151" s="811"/>
      <c r="O151" s="811"/>
      <c r="P151" s="811">
        <v>141</v>
      </c>
      <c r="Q151" s="800">
        <v>108</v>
      </c>
      <c r="R151" s="803"/>
      <c r="S151" s="803"/>
      <c r="T151" s="803"/>
      <c r="U151" s="803"/>
      <c r="V151" s="803"/>
      <c r="W151" s="801">
        <f t="shared" si="20"/>
        <v>529</v>
      </c>
      <c r="Y151" s="798">
        <f t="shared" si="21"/>
        <v>529</v>
      </c>
      <c r="AA151" s="823" t="e">
        <f>'CHAM CONG'!#REF!</f>
        <v>#REF!</v>
      </c>
      <c r="AB151" s="823" t="e">
        <f>'CHAM CONG'!#REF!</f>
        <v>#REF!</v>
      </c>
      <c r="AC151" s="823" t="e">
        <f>'CHAM CONG'!#REF!</f>
        <v>#REF!</v>
      </c>
      <c r="AD151" s="823" t="e">
        <f>'CHAM CONG'!#REF!</f>
        <v>#REF!</v>
      </c>
      <c r="AE151" s="824">
        <f t="shared" si="31"/>
        <v>232.76</v>
      </c>
      <c r="AF151" s="828">
        <f t="shared" si="27"/>
        <v>153</v>
      </c>
      <c r="AG151" s="836">
        <f t="shared" si="28"/>
        <v>69</v>
      </c>
      <c r="AH151" s="828">
        <f t="shared" si="29"/>
        <v>42</v>
      </c>
      <c r="AI151" s="828">
        <f t="shared" si="30"/>
        <v>265</v>
      </c>
      <c r="AJ151" s="802">
        <f t="shared" si="22"/>
        <v>529</v>
      </c>
    </row>
    <row r="152" spans="1:36">
      <c r="A152" s="798">
        <v>269</v>
      </c>
      <c r="B152" s="841">
        <v>7</v>
      </c>
      <c r="C152" s="803"/>
      <c r="D152" s="803"/>
      <c r="E152" s="803"/>
      <c r="F152" s="803"/>
      <c r="G152" s="803"/>
      <c r="H152" s="811">
        <v>192</v>
      </c>
      <c r="I152" s="811">
        <v>170</v>
      </c>
      <c r="J152" s="811">
        <v>144</v>
      </c>
      <c r="K152" s="811">
        <v>255</v>
      </c>
      <c r="L152" s="811"/>
      <c r="M152" s="811"/>
      <c r="N152" s="811"/>
      <c r="O152" s="811"/>
      <c r="P152" s="811">
        <v>168</v>
      </c>
      <c r="Q152" s="800">
        <v>156</v>
      </c>
      <c r="R152" s="803"/>
      <c r="S152" s="803"/>
      <c r="T152" s="803"/>
      <c r="U152" s="803"/>
      <c r="V152" s="803"/>
      <c r="W152" s="801">
        <f t="shared" si="20"/>
        <v>1085</v>
      </c>
      <c r="Y152" s="798">
        <f t="shared" si="21"/>
        <v>1085</v>
      </c>
      <c r="AA152" s="823" t="e">
        <f>'CHAM CONG'!#REF!</f>
        <v>#REF!</v>
      </c>
      <c r="AB152" s="823" t="e">
        <f>'CHAM CONG'!#REF!</f>
        <v>#REF!</v>
      </c>
      <c r="AC152" s="823" t="e">
        <f>'CHAM CONG'!#REF!</f>
        <v>#REF!</v>
      </c>
      <c r="AD152" s="823" t="e">
        <f>'CHAM CONG'!#REF!</f>
        <v>#REF!</v>
      </c>
      <c r="AE152" s="824">
        <f t="shared" si="31"/>
        <v>477.4</v>
      </c>
      <c r="AF152" s="828">
        <f t="shared" si="27"/>
        <v>326</v>
      </c>
      <c r="AG152" s="836">
        <f t="shared" si="28"/>
        <v>144</v>
      </c>
      <c r="AH152" s="828">
        <f t="shared" si="29"/>
        <v>255</v>
      </c>
      <c r="AI152" s="828">
        <f t="shared" si="30"/>
        <v>360</v>
      </c>
      <c r="AJ152" s="802">
        <f t="shared" si="22"/>
        <v>1085</v>
      </c>
    </row>
    <row r="153" spans="1:36">
      <c r="A153" s="798">
        <v>270</v>
      </c>
      <c r="B153" s="841">
        <v>7</v>
      </c>
      <c r="C153" s="803"/>
      <c r="D153" s="803"/>
      <c r="E153" s="803"/>
      <c r="F153" s="803"/>
      <c r="G153" s="803"/>
      <c r="H153" s="811">
        <v>247</v>
      </c>
      <c r="I153" s="811">
        <v>155</v>
      </c>
      <c r="J153" s="811">
        <v>93</v>
      </c>
      <c r="K153" s="811">
        <v>272</v>
      </c>
      <c r="L153" s="811"/>
      <c r="M153" s="811"/>
      <c r="N153" s="811"/>
      <c r="O153" s="811"/>
      <c r="P153" s="811">
        <v>203</v>
      </c>
      <c r="Q153" s="800">
        <v>152</v>
      </c>
      <c r="R153" s="803"/>
      <c r="S153" s="803"/>
      <c r="T153" s="803"/>
      <c r="U153" s="803"/>
      <c r="V153" s="803"/>
      <c r="W153" s="801">
        <f t="shared" si="20"/>
        <v>1122</v>
      </c>
      <c r="Y153" s="798">
        <f t="shared" si="21"/>
        <v>1122</v>
      </c>
      <c r="AA153" s="823" t="e">
        <f>'CHAM CONG'!#REF!</f>
        <v>#REF!</v>
      </c>
      <c r="AB153" s="823" t="e">
        <f>'CHAM CONG'!#REF!</f>
        <v>#REF!</v>
      </c>
      <c r="AC153" s="823" t="e">
        <f>'CHAM CONG'!#REF!</f>
        <v>#REF!</v>
      </c>
      <c r="AD153" s="823" t="e">
        <f>'CHAM CONG'!#REF!</f>
        <v>#REF!</v>
      </c>
      <c r="AE153" s="824">
        <f t="shared" si="31"/>
        <v>493.68</v>
      </c>
      <c r="AF153" s="828">
        <f t="shared" si="27"/>
        <v>307</v>
      </c>
      <c r="AG153" s="836">
        <f t="shared" si="28"/>
        <v>93</v>
      </c>
      <c r="AH153" s="828">
        <f t="shared" si="29"/>
        <v>272</v>
      </c>
      <c r="AI153" s="828">
        <f t="shared" si="30"/>
        <v>450</v>
      </c>
      <c r="AJ153" s="802">
        <f t="shared" si="22"/>
        <v>1122</v>
      </c>
    </row>
    <row r="154" spans="1:36">
      <c r="A154" s="798">
        <v>271</v>
      </c>
      <c r="B154" s="841">
        <v>7</v>
      </c>
      <c r="C154" s="803"/>
      <c r="D154" s="803"/>
      <c r="E154" s="803"/>
      <c r="F154" s="803"/>
      <c r="G154" s="803"/>
      <c r="H154" s="811">
        <v>180</v>
      </c>
      <c r="I154" s="811">
        <v>78</v>
      </c>
      <c r="J154" s="811">
        <v>43</v>
      </c>
      <c r="K154" s="811">
        <v>199</v>
      </c>
      <c r="L154" s="811"/>
      <c r="M154" s="811"/>
      <c r="N154" s="811"/>
      <c r="O154" s="811"/>
      <c r="P154" s="811">
        <v>166</v>
      </c>
      <c r="Q154" s="800">
        <v>170</v>
      </c>
      <c r="R154" s="803"/>
      <c r="S154" s="803"/>
      <c r="T154" s="803"/>
      <c r="U154" s="803"/>
      <c r="V154" s="803"/>
      <c r="W154" s="801">
        <f t="shared" si="20"/>
        <v>836</v>
      </c>
      <c r="Y154" s="798">
        <f t="shared" si="21"/>
        <v>836</v>
      </c>
      <c r="AA154" s="823" t="e">
        <f>'CHAM CONG'!#REF!</f>
        <v>#REF!</v>
      </c>
      <c r="AB154" s="823" t="e">
        <f>'CHAM CONG'!#REF!</f>
        <v>#REF!</v>
      </c>
      <c r="AC154" s="823" t="e">
        <f>'CHAM CONG'!#REF!</f>
        <v>#REF!</v>
      </c>
      <c r="AD154" s="823" t="e">
        <f>'CHAM CONG'!#REF!</f>
        <v>#REF!</v>
      </c>
      <c r="AE154" s="824">
        <f t="shared" si="31"/>
        <v>367.84</v>
      </c>
      <c r="AF154" s="828">
        <f t="shared" si="27"/>
        <v>248</v>
      </c>
      <c r="AG154" s="836">
        <f t="shared" si="28"/>
        <v>43</v>
      </c>
      <c r="AH154" s="828">
        <f t="shared" si="29"/>
        <v>199</v>
      </c>
      <c r="AI154" s="828">
        <f t="shared" si="30"/>
        <v>346</v>
      </c>
      <c r="AJ154" s="802">
        <f t="shared" si="22"/>
        <v>836</v>
      </c>
    </row>
    <row r="155" spans="1:36">
      <c r="A155" s="798">
        <v>272</v>
      </c>
      <c r="B155" s="841">
        <v>7</v>
      </c>
      <c r="C155" s="803"/>
      <c r="D155" s="803"/>
      <c r="E155" s="803"/>
      <c r="F155" s="803"/>
      <c r="G155" s="803"/>
      <c r="H155" s="811">
        <v>206</v>
      </c>
      <c r="I155" s="811">
        <v>226</v>
      </c>
      <c r="J155" s="811">
        <v>82</v>
      </c>
      <c r="K155" s="811">
        <v>147</v>
      </c>
      <c r="L155" s="811"/>
      <c r="M155" s="811"/>
      <c r="N155" s="811"/>
      <c r="O155" s="811"/>
      <c r="P155" s="811">
        <v>132</v>
      </c>
      <c r="Q155" s="800">
        <v>274</v>
      </c>
      <c r="R155" s="803"/>
      <c r="S155" s="803"/>
      <c r="T155" s="803"/>
      <c r="U155" s="803"/>
      <c r="V155" s="803"/>
      <c r="W155" s="801">
        <f t="shared" si="20"/>
        <v>1067</v>
      </c>
      <c r="Y155" s="798">
        <f t="shared" si="21"/>
        <v>1067</v>
      </c>
      <c r="AA155" s="823" t="e">
        <f>'CHAM CONG'!#REF!</f>
        <v>#REF!</v>
      </c>
      <c r="AB155" s="823" t="e">
        <f>'CHAM CONG'!#REF!</f>
        <v>#REF!</v>
      </c>
      <c r="AC155" s="823" t="e">
        <f>'CHAM CONG'!#REF!</f>
        <v>#REF!</v>
      </c>
      <c r="AD155" s="823" t="e">
        <f>'CHAM CONG'!#REF!</f>
        <v>#REF!</v>
      </c>
      <c r="AE155" s="824">
        <f t="shared" si="31"/>
        <v>469.48</v>
      </c>
      <c r="AF155" s="828">
        <f t="shared" si="27"/>
        <v>500</v>
      </c>
      <c r="AG155" s="836">
        <f t="shared" si="28"/>
        <v>82</v>
      </c>
      <c r="AH155" s="828">
        <f t="shared" si="29"/>
        <v>147</v>
      </c>
      <c r="AI155" s="828">
        <f t="shared" si="30"/>
        <v>338</v>
      </c>
      <c r="AJ155" s="802">
        <f t="shared" si="22"/>
        <v>1067</v>
      </c>
    </row>
    <row r="156" spans="1:36">
      <c r="A156" s="798">
        <v>273</v>
      </c>
      <c r="B156" s="841">
        <v>7</v>
      </c>
      <c r="C156" s="803"/>
      <c r="D156" s="803"/>
      <c r="E156" s="803"/>
      <c r="F156" s="803"/>
      <c r="G156" s="803"/>
      <c r="H156" s="811">
        <v>189</v>
      </c>
      <c r="I156" s="811">
        <v>95</v>
      </c>
      <c r="J156" s="811">
        <v>93</v>
      </c>
      <c r="K156" s="811">
        <v>108</v>
      </c>
      <c r="L156" s="811"/>
      <c r="M156" s="811"/>
      <c r="N156" s="811"/>
      <c r="O156" s="811"/>
      <c r="P156" s="811">
        <v>165</v>
      </c>
      <c r="Q156" s="800">
        <v>161</v>
      </c>
      <c r="R156" s="803"/>
      <c r="S156" s="803"/>
      <c r="T156" s="803"/>
      <c r="U156" s="803"/>
      <c r="V156" s="803"/>
      <c r="W156" s="801">
        <f t="shared" si="20"/>
        <v>811</v>
      </c>
      <c r="Y156" s="798">
        <f t="shared" si="21"/>
        <v>811</v>
      </c>
      <c r="AA156" s="823" t="e">
        <f>'CHAM CONG'!#REF!</f>
        <v>#REF!</v>
      </c>
      <c r="AB156" s="823" t="e">
        <f>'CHAM CONG'!#REF!</f>
        <v>#REF!</v>
      </c>
      <c r="AC156" s="823" t="e">
        <f>'CHAM CONG'!#REF!</f>
        <v>#REF!</v>
      </c>
      <c r="AD156" s="823" t="e">
        <f>'CHAM CONG'!#REF!</f>
        <v>#REF!</v>
      </c>
      <c r="AE156" s="824">
        <f t="shared" si="31"/>
        <v>356.84</v>
      </c>
      <c r="AF156" s="828">
        <f t="shared" si="27"/>
        <v>256</v>
      </c>
      <c r="AG156" s="836">
        <f t="shared" si="28"/>
        <v>93</v>
      </c>
      <c r="AH156" s="828">
        <f t="shared" si="29"/>
        <v>108</v>
      </c>
      <c r="AI156" s="828">
        <f t="shared" si="30"/>
        <v>354</v>
      </c>
      <c r="AJ156" s="802">
        <f t="shared" si="22"/>
        <v>811</v>
      </c>
    </row>
    <row r="157" spans="1:36">
      <c r="A157" s="798">
        <v>274</v>
      </c>
      <c r="B157" s="841">
        <v>7</v>
      </c>
      <c r="C157" s="803"/>
      <c r="D157" s="803"/>
      <c r="E157" s="803"/>
      <c r="F157" s="803"/>
      <c r="G157" s="803"/>
      <c r="H157" s="811">
        <v>181</v>
      </c>
      <c r="I157" s="811">
        <v>99</v>
      </c>
      <c r="J157" s="811">
        <v>147</v>
      </c>
      <c r="K157" s="811">
        <v>189</v>
      </c>
      <c r="L157" s="811"/>
      <c r="M157" s="811"/>
      <c r="N157" s="811"/>
      <c r="O157" s="811"/>
      <c r="P157" s="811">
        <v>163</v>
      </c>
      <c r="Q157" s="800">
        <v>108</v>
      </c>
      <c r="R157" s="803"/>
      <c r="S157" s="803"/>
      <c r="T157" s="803"/>
      <c r="U157" s="803"/>
      <c r="V157" s="803"/>
      <c r="W157" s="801">
        <f t="shared" si="20"/>
        <v>887</v>
      </c>
      <c r="Y157" s="798">
        <f t="shared" si="21"/>
        <v>887</v>
      </c>
      <c r="AA157" s="823" t="e">
        <f>'CHAM CONG'!#REF!</f>
        <v>#REF!</v>
      </c>
      <c r="AB157" s="823" t="e">
        <f>'CHAM CONG'!#REF!</f>
        <v>#REF!</v>
      </c>
      <c r="AC157" s="823" t="e">
        <f>'CHAM CONG'!#REF!</f>
        <v>#REF!</v>
      </c>
      <c r="AD157" s="823" t="e">
        <f>'CHAM CONG'!#REF!</f>
        <v>#REF!</v>
      </c>
      <c r="AE157" s="824">
        <f t="shared" si="31"/>
        <v>390.28</v>
      </c>
      <c r="AF157" s="828">
        <f t="shared" si="27"/>
        <v>207</v>
      </c>
      <c r="AG157" s="836">
        <f t="shared" si="28"/>
        <v>147</v>
      </c>
      <c r="AH157" s="828">
        <f t="shared" si="29"/>
        <v>189</v>
      </c>
      <c r="AI157" s="828">
        <f t="shared" si="30"/>
        <v>344</v>
      </c>
      <c r="AJ157" s="802">
        <f t="shared" si="22"/>
        <v>887</v>
      </c>
    </row>
    <row r="158" spans="1:36">
      <c r="A158" s="798">
        <v>275</v>
      </c>
      <c r="B158" s="841">
        <v>7</v>
      </c>
      <c r="C158" s="803"/>
      <c r="D158" s="803"/>
      <c r="E158" s="803"/>
      <c r="F158" s="803"/>
      <c r="G158" s="803"/>
      <c r="H158" s="811">
        <v>228</v>
      </c>
      <c r="I158" s="811">
        <v>156</v>
      </c>
      <c r="J158" s="811">
        <v>76</v>
      </c>
      <c r="K158" s="811">
        <v>183</v>
      </c>
      <c r="L158" s="811"/>
      <c r="M158" s="811"/>
      <c r="N158" s="811"/>
      <c r="O158" s="811"/>
      <c r="P158" s="811">
        <v>84</v>
      </c>
      <c r="Q158" s="800">
        <v>173</v>
      </c>
      <c r="R158" s="803"/>
      <c r="S158" s="803"/>
      <c r="T158" s="803"/>
      <c r="U158" s="803"/>
      <c r="V158" s="803"/>
      <c r="W158" s="801">
        <f t="shared" si="20"/>
        <v>900</v>
      </c>
      <c r="Y158" s="798">
        <f t="shared" si="21"/>
        <v>900</v>
      </c>
      <c r="AA158" s="823" t="e">
        <f>'CHAM CONG'!#REF!</f>
        <v>#REF!</v>
      </c>
      <c r="AB158" s="823" t="e">
        <f>'CHAM CONG'!#REF!</f>
        <v>#REF!</v>
      </c>
      <c r="AC158" s="823" t="e">
        <f>'CHAM CONG'!#REF!</f>
        <v>#REF!</v>
      </c>
      <c r="AD158" s="823" t="e">
        <f>'CHAM CONG'!#REF!</f>
        <v>#REF!</v>
      </c>
      <c r="AE158" s="824">
        <f t="shared" si="31"/>
        <v>396</v>
      </c>
      <c r="AF158" s="828">
        <f t="shared" si="27"/>
        <v>329</v>
      </c>
      <c r="AG158" s="836">
        <f t="shared" si="28"/>
        <v>76</v>
      </c>
      <c r="AH158" s="828">
        <f t="shared" si="29"/>
        <v>183</v>
      </c>
      <c r="AI158" s="828">
        <f t="shared" si="30"/>
        <v>312</v>
      </c>
      <c r="AJ158" s="802">
        <f t="shared" si="22"/>
        <v>900</v>
      </c>
    </row>
    <row r="159" spans="1:36">
      <c r="A159" s="798">
        <v>276</v>
      </c>
      <c r="B159" s="841">
        <v>7</v>
      </c>
      <c r="C159" s="803"/>
      <c r="D159" s="803"/>
      <c r="E159" s="803"/>
      <c r="F159" s="803"/>
      <c r="G159" s="803"/>
      <c r="H159" s="811">
        <v>172</v>
      </c>
      <c r="I159" s="811">
        <v>40</v>
      </c>
      <c r="J159" s="811">
        <v>112</v>
      </c>
      <c r="K159" s="811">
        <v>145</v>
      </c>
      <c r="L159" s="811"/>
      <c r="M159" s="811"/>
      <c r="N159" s="811"/>
      <c r="O159" s="811"/>
      <c r="P159" s="811">
        <v>184</v>
      </c>
      <c r="Q159" s="800">
        <v>112</v>
      </c>
      <c r="R159" s="803"/>
      <c r="S159" s="803"/>
      <c r="T159" s="803"/>
      <c r="U159" s="803"/>
      <c r="V159" s="803"/>
      <c r="W159" s="801">
        <f t="shared" si="20"/>
        <v>765</v>
      </c>
      <c r="Y159" s="798">
        <f t="shared" si="21"/>
        <v>765</v>
      </c>
      <c r="AA159" s="823" t="e">
        <f>'CHAM CONG'!#REF!</f>
        <v>#REF!</v>
      </c>
      <c r="AB159" s="823" t="e">
        <f>'CHAM CONG'!#REF!</f>
        <v>#REF!</v>
      </c>
      <c r="AC159" s="823" t="e">
        <f>'CHAM CONG'!#REF!</f>
        <v>#REF!</v>
      </c>
      <c r="AD159" s="823" t="e">
        <f>'CHAM CONG'!#REF!</f>
        <v>#REF!</v>
      </c>
      <c r="AE159" s="824">
        <f t="shared" si="31"/>
        <v>336.6</v>
      </c>
      <c r="AF159" s="828">
        <f t="shared" si="27"/>
        <v>152</v>
      </c>
      <c r="AG159" s="836">
        <f t="shared" si="28"/>
        <v>112</v>
      </c>
      <c r="AH159" s="828">
        <f t="shared" si="29"/>
        <v>145</v>
      </c>
      <c r="AI159" s="828">
        <f t="shared" si="30"/>
        <v>356</v>
      </c>
      <c r="AJ159" s="802">
        <f t="shared" si="22"/>
        <v>765</v>
      </c>
    </row>
    <row r="160" spans="1:36">
      <c r="A160" s="798">
        <v>277</v>
      </c>
      <c r="B160" s="841">
        <v>7</v>
      </c>
      <c r="C160" s="803"/>
      <c r="D160" s="803"/>
      <c r="E160" s="803"/>
      <c r="F160" s="803"/>
      <c r="G160" s="803"/>
      <c r="H160" s="811">
        <v>168</v>
      </c>
      <c r="I160" s="811">
        <v>44</v>
      </c>
      <c r="J160" s="811">
        <v>138</v>
      </c>
      <c r="K160" s="811">
        <v>116</v>
      </c>
      <c r="L160" s="811"/>
      <c r="M160" s="811"/>
      <c r="N160" s="811"/>
      <c r="O160" s="811"/>
      <c r="P160" s="811">
        <v>175</v>
      </c>
      <c r="Q160" s="800">
        <v>118</v>
      </c>
      <c r="R160" s="803"/>
      <c r="S160" s="803"/>
      <c r="T160" s="803"/>
      <c r="U160" s="803"/>
      <c r="V160" s="803"/>
      <c r="W160" s="801">
        <f t="shared" si="20"/>
        <v>759</v>
      </c>
      <c r="Y160" s="798">
        <f t="shared" si="21"/>
        <v>759</v>
      </c>
      <c r="AA160" s="823" t="e">
        <f>'CHAM CONG'!#REF!</f>
        <v>#REF!</v>
      </c>
      <c r="AB160" s="823" t="e">
        <f>'CHAM CONG'!#REF!</f>
        <v>#REF!</v>
      </c>
      <c r="AC160" s="823" t="e">
        <f>'CHAM CONG'!#REF!</f>
        <v>#REF!</v>
      </c>
      <c r="AD160" s="823" t="e">
        <f>'CHAM CONG'!#REF!</f>
        <v>#REF!</v>
      </c>
      <c r="AE160" s="824">
        <f t="shared" si="31"/>
        <v>333.96</v>
      </c>
      <c r="AF160" s="828">
        <f t="shared" si="27"/>
        <v>162</v>
      </c>
      <c r="AG160" s="836">
        <f t="shared" si="28"/>
        <v>138</v>
      </c>
      <c r="AH160" s="828">
        <f t="shared" si="29"/>
        <v>116</v>
      </c>
      <c r="AI160" s="828">
        <f t="shared" si="30"/>
        <v>343</v>
      </c>
      <c r="AJ160" s="802">
        <f t="shared" si="22"/>
        <v>759</v>
      </c>
    </row>
    <row r="161" spans="1:37">
      <c r="A161" s="798">
        <v>278</v>
      </c>
      <c r="B161" s="841">
        <v>7</v>
      </c>
      <c r="C161" s="803"/>
      <c r="D161" s="803"/>
      <c r="E161" s="803"/>
      <c r="F161" s="803"/>
      <c r="G161" s="803"/>
      <c r="H161" s="811">
        <v>209</v>
      </c>
      <c r="I161" s="811">
        <v>134</v>
      </c>
      <c r="J161" s="811">
        <v>172</v>
      </c>
      <c r="K161" s="811">
        <v>188</v>
      </c>
      <c r="L161" s="811"/>
      <c r="M161" s="811"/>
      <c r="N161" s="811"/>
      <c r="O161" s="811"/>
      <c r="P161" s="811">
        <v>211</v>
      </c>
      <c r="Q161" s="800">
        <v>128</v>
      </c>
      <c r="R161" s="803"/>
      <c r="S161" s="803"/>
      <c r="T161" s="803"/>
      <c r="U161" s="803"/>
      <c r="V161" s="803"/>
      <c r="W161" s="801">
        <f t="shared" si="20"/>
        <v>1042</v>
      </c>
      <c r="Y161" s="798">
        <f t="shared" si="21"/>
        <v>1042</v>
      </c>
      <c r="AA161" s="823" t="e">
        <f>'CHAM CONG'!#REF!</f>
        <v>#REF!</v>
      </c>
      <c r="AB161" s="823" t="e">
        <f>'CHAM CONG'!#REF!</f>
        <v>#REF!</v>
      </c>
      <c r="AC161" s="823" t="e">
        <f>'CHAM CONG'!#REF!</f>
        <v>#REF!</v>
      </c>
      <c r="AD161" s="823" t="e">
        <f>'CHAM CONG'!#REF!</f>
        <v>#REF!</v>
      </c>
      <c r="AE161" s="824">
        <f t="shared" si="31"/>
        <v>458.48</v>
      </c>
      <c r="AF161" s="828">
        <f t="shared" si="27"/>
        <v>262</v>
      </c>
      <c r="AG161" s="836">
        <f t="shared" si="28"/>
        <v>172</v>
      </c>
      <c r="AH161" s="828">
        <f t="shared" si="29"/>
        <v>188</v>
      </c>
      <c r="AI161" s="828">
        <f t="shared" si="30"/>
        <v>420</v>
      </c>
      <c r="AJ161" s="802">
        <f t="shared" si="22"/>
        <v>1042</v>
      </c>
    </row>
    <row r="162" spans="1:37">
      <c r="A162" s="798">
        <v>279</v>
      </c>
      <c r="B162" s="841">
        <v>7</v>
      </c>
      <c r="C162" s="803"/>
      <c r="D162" s="803"/>
      <c r="E162" s="803"/>
      <c r="F162" s="803"/>
      <c r="G162" s="803"/>
      <c r="H162" s="811">
        <v>171</v>
      </c>
      <c r="I162" s="811">
        <v>192</v>
      </c>
      <c r="J162" s="811">
        <v>82</v>
      </c>
      <c r="K162" s="811">
        <v>169</v>
      </c>
      <c r="L162" s="811"/>
      <c r="M162" s="811"/>
      <c r="N162" s="811"/>
      <c r="O162" s="811"/>
      <c r="P162" s="811">
        <v>191</v>
      </c>
      <c r="Q162" s="800">
        <v>202</v>
      </c>
      <c r="R162" s="803"/>
      <c r="S162" s="803"/>
      <c r="T162" s="803"/>
      <c r="U162" s="803"/>
      <c r="V162" s="803"/>
      <c r="W162" s="801">
        <f t="shared" si="20"/>
        <v>1007</v>
      </c>
      <c r="Y162" s="798">
        <f t="shared" si="21"/>
        <v>1007</v>
      </c>
      <c r="AA162" s="823" t="e">
        <f>'CHAM CONG'!#REF!</f>
        <v>#REF!</v>
      </c>
      <c r="AB162" s="823" t="e">
        <f>'CHAM CONG'!#REF!</f>
        <v>#REF!</v>
      </c>
      <c r="AC162" s="823" t="e">
        <f>'CHAM CONG'!#REF!</f>
        <v>#REF!</v>
      </c>
      <c r="AD162" s="823" t="e">
        <f>'CHAM CONG'!#REF!</f>
        <v>#REF!</v>
      </c>
      <c r="AE162" s="824">
        <f t="shared" si="31"/>
        <v>443.08</v>
      </c>
      <c r="AF162" s="828">
        <f t="shared" si="27"/>
        <v>394</v>
      </c>
      <c r="AG162" s="836">
        <f t="shared" si="28"/>
        <v>82</v>
      </c>
      <c r="AH162" s="828">
        <f t="shared" si="29"/>
        <v>169</v>
      </c>
      <c r="AI162" s="828">
        <f t="shared" si="30"/>
        <v>362</v>
      </c>
      <c r="AJ162" s="802">
        <f t="shared" si="22"/>
        <v>1007</v>
      </c>
    </row>
    <row r="163" spans="1:37">
      <c r="A163" s="798">
        <v>280</v>
      </c>
      <c r="B163" s="841">
        <v>7</v>
      </c>
      <c r="C163" s="803"/>
      <c r="D163" s="803"/>
      <c r="E163" s="803"/>
      <c r="F163" s="803"/>
      <c r="G163" s="803"/>
      <c r="H163" s="811">
        <v>212</v>
      </c>
      <c r="I163" s="811">
        <v>79</v>
      </c>
      <c r="J163" s="811">
        <v>204</v>
      </c>
      <c r="K163" s="811">
        <v>113</v>
      </c>
      <c r="L163" s="811"/>
      <c r="M163" s="811"/>
      <c r="N163" s="811"/>
      <c r="O163" s="811"/>
      <c r="P163" s="811">
        <v>239</v>
      </c>
      <c r="Q163" s="800">
        <v>195</v>
      </c>
      <c r="R163" s="803"/>
      <c r="S163" s="803"/>
      <c r="T163" s="803"/>
      <c r="U163" s="803"/>
      <c r="V163" s="803"/>
      <c r="W163" s="801">
        <f t="shared" si="20"/>
        <v>1042</v>
      </c>
      <c r="Y163" s="798">
        <f t="shared" si="21"/>
        <v>1042</v>
      </c>
      <c r="AA163" s="823" t="e">
        <f>'CHAM CONG'!#REF!</f>
        <v>#REF!</v>
      </c>
      <c r="AB163" s="823" t="e">
        <f>'CHAM CONG'!#REF!</f>
        <v>#REF!</v>
      </c>
      <c r="AC163" s="823" t="e">
        <f>'CHAM CONG'!#REF!</f>
        <v>#REF!</v>
      </c>
      <c r="AD163" s="823" t="e">
        <f>'CHAM CONG'!#REF!</f>
        <v>#REF!</v>
      </c>
      <c r="AE163" s="824">
        <f t="shared" si="31"/>
        <v>458.48</v>
      </c>
      <c r="AF163" s="828">
        <f t="shared" si="27"/>
        <v>274</v>
      </c>
      <c r="AG163" s="836">
        <f t="shared" si="28"/>
        <v>204</v>
      </c>
      <c r="AH163" s="828">
        <f t="shared" si="29"/>
        <v>113</v>
      </c>
      <c r="AI163" s="828">
        <f t="shared" si="30"/>
        <v>451</v>
      </c>
      <c r="AJ163" s="802">
        <f t="shared" si="22"/>
        <v>1042</v>
      </c>
    </row>
    <row r="164" spans="1:37">
      <c r="A164" s="798">
        <v>281</v>
      </c>
      <c r="B164" s="841">
        <v>7</v>
      </c>
      <c r="C164" s="803"/>
      <c r="D164" s="803"/>
      <c r="E164" s="803"/>
      <c r="F164" s="803"/>
      <c r="G164" s="803"/>
      <c r="H164" s="811">
        <v>150</v>
      </c>
      <c r="I164" s="811">
        <v>89</v>
      </c>
      <c r="J164" s="811">
        <v>65</v>
      </c>
      <c r="K164" s="811">
        <v>194</v>
      </c>
      <c r="L164" s="811"/>
      <c r="M164" s="811"/>
      <c r="N164" s="811"/>
      <c r="O164" s="811"/>
      <c r="P164" s="811">
        <v>160</v>
      </c>
      <c r="Q164" s="800">
        <v>166</v>
      </c>
      <c r="R164" s="803"/>
      <c r="S164" s="803"/>
      <c r="T164" s="803"/>
      <c r="U164" s="803"/>
      <c r="V164" s="803"/>
      <c r="W164" s="801">
        <f t="shared" si="20"/>
        <v>824</v>
      </c>
      <c r="Y164" s="798">
        <f t="shared" si="21"/>
        <v>824</v>
      </c>
      <c r="AA164" s="823" t="e">
        <f>'CHAM CONG'!#REF!</f>
        <v>#REF!</v>
      </c>
      <c r="AB164" s="823" t="e">
        <f>'CHAM CONG'!#REF!</f>
        <v>#REF!</v>
      </c>
      <c r="AC164" s="823" t="e">
        <f>'CHAM CONG'!#REF!</f>
        <v>#REF!</v>
      </c>
      <c r="AD164" s="823" t="e">
        <f>'CHAM CONG'!#REF!</f>
        <v>#REF!</v>
      </c>
      <c r="AE164" s="824">
        <f t="shared" si="31"/>
        <v>362.56</v>
      </c>
      <c r="AF164" s="828">
        <f t="shared" si="27"/>
        <v>255</v>
      </c>
      <c r="AG164" s="836">
        <f t="shared" si="28"/>
        <v>65</v>
      </c>
      <c r="AH164" s="828">
        <f t="shared" si="29"/>
        <v>194</v>
      </c>
      <c r="AI164" s="828">
        <f t="shared" si="30"/>
        <v>310</v>
      </c>
      <c r="AJ164" s="802">
        <f t="shared" si="22"/>
        <v>824</v>
      </c>
    </row>
    <row r="165" spans="1:37">
      <c r="A165" s="798">
        <v>282</v>
      </c>
      <c r="B165" s="841">
        <v>7</v>
      </c>
      <c r="C165" s="803"/>
      <c r="D165" s="803"/>
      <c r="E165" s="803"/>
      <c r="F165" s="803"/>
      <c r="G165" s="803"/>
      <c r="H165" s="811">
        <v>111</v>
      </c>
      <c r="I165" s="811">
        <v>60</v>
      </c>
      <c r="J165" s="811">
        <v>63</v>
      </c>
      <c r="K165" s="811">
        <v>200</v>
      </c>
      <c r="L165" s="811"/>
      <c r="M165" s="811"/>
      <c r="N165" s="811"/>
      <c r="O165" s="811"/>
      <c r="P165" s="811">
        <v>119</v>
      </c>
      <c r="Q165" s="800">
        <v>179</v>
      </c>
      <c r="R165" s="803"/>
      <c r="S165" s="803"/>
      <c r="T165" s="803"/>
      <c r="U165" s="803"/>
      <c r="V165" s="803"/>
      <c r="W165" s="801">
        <f t="shared" si="20"/>
        <v>732</v>
      </c>
      <c r="Y165" s="798">
        <f t="shared" si="21"/>
        <v>732</v>
      </c>
      <c r="AA165" s="823" t="e">
        <f>'CHAM CONG'!#REF!</f>
        <v>#REF!</v>
      </c>
      <c r="AB165" s="823" t="e">
        <f>'CHAM CONG'!#REF!</f>
        <v>#REF!</v>
      </c>
      <c r="AC165" s="823" t="e">
        <f>'CHAM CONG'!#REF!</f>
        <v>#REF!</v>
      </c>
      <c r="AD165" s="823" t="e">
        <f>'CHAM CONG'!#REF!</f>
        <v>#REF!</v>
      </c>
      <c r="AE165" s="824">
        <f t="shared" si="31"/>
        <v>322.08</v>
      </c>
      <c r="AF165" s="828">
        <f t="shared" si="27"/>
        <v>239</v>
      </c>
      <c r="AG165" s="836">
        <f t="shared" si="28"/>
        <v>63</v>
      </c>
      <c r="AH165" s="828">
        <f t="shared" si="29"/>
        <v>200</v>
      </c>
      <c r="AI165" s="828">
        <f t="shared" si="30"/>
        <v>230</v>
      </c>
      <c r="AJ165" s="802">
        <f t="shared" si="22"/>
        <v>732</v>
      </c>
    </row>
    <row r="166" spans="1:37">
      <c r="A166" s="798">
        <v>283</v>
      </c>
      <c r="B166" s="841">
        <v>7</v>
      </c>
      <c r="C166" s="803"/>
      <c r="D166" s="803"/>
      <c r="E166" s="803"/>
      <c r="F166" s="803"/>
      <c r="G166" s="803"/>
      <c r="H166" s="811">
        <v>119</v>
      </c>
      <c r="I166" s="811">
        <v>113</v>
      </c>
      <c r="J166" s="811">
        <v>152</v>
      </c>
      <c r="K166" s="811">
        <v>137</v>
      </c>
      <c r="L166" s="811"/>
      <c r="M166" s="811"/>
      <c r="N166" s="811"/>
      <c r="O166" s="811"/>
      <c r="P166" s="811">
        <v>135</v>
      </c>
      <c r="Q166" s="800">
        <v>233</v>
      </c>
      <c r="R166" s="803"/>
      <c r="S166" s="803"/>
      <c r="T166" s="803"/>
      <c r="U166" s="803"/>
      <c r="V166" s="803"/>
      <c r="W166" s="801">
        <f t="shared" si="20"/>
        <v>889</v>
      </c>
      <c r="Y166" s="798">
        <f t="shared" si="21"/>
        <v>889</v>
      </c>
      <c r="AA166" s="823" t="e">
        <f>'CHAM CONG'!#REF!</f>
        <v>#REF!</v>
      </c>
      <c r="AB166" s="823" t="e">
        <f>'CHAM CONG'!#REF!</f>
        <v>#REF!</v>
      </c>
      <c r="AC166" s="823" t="e">
        <f>'CHAM CONG'!#REF!</f>
        <v>#REF!</v>
      </c>
      <c r="AD166" s="823" t="e">
        <f>'CHAM CONG'!#REF!</f>
        <v>#REF!</v>
      </c>
      <c r="AE166" s="824">
        <f t="shared" si="31"/>
        <v>391.16</v>
      </c>
      <c r="AF166" s="828">
        <f t="shared" si="27"/>
        <v>346</v>
      </c>
      <c r="AG166" s="836">
        <f t="shared" si="28"/>
        <v>152</v>
      </c>
      <c r="AH166" s="828">
        <f t="shared" si="29"/>
        <v>137</v>
      </c>
      <c r="AI166" s="828">
        <f t="shared" si="30"/>
        <v>254</v>
      </c>
      <c r="AJ166" s="802">
        <f t="shared" si="22"/>
        <v>889</v>
      </c>
    </row>
    <row r="167" spans="1:37">
      <c r="A167" s="798">
        <v>284</v>
      </c>
      <c r="B167" s="841">
        <v>7</v>
      </c>
      <c r="C167" s="803"/>
      <c r="D167" s="803"/>
      <c r="E167" s="803"/>
      <c r="F167" s="803"/>
      <c r="G167" s="803"/>
      <c r="H167" s="811">
        <v>159</v>
      </c>
      <c r="I167" s="811">
        <v>112</v>
      </c>
      <c r="J167" s="811">
        <v>84</v>
      </c>
      <c r="K167" s="811">
        <v>256</v>
      </c>
      <c r="L167" s="811"/>
      <c r="M167" s="811"/>
      <c r="N167" s="811"/>
      <c r="O167" s="811"/>
      <c r="P167" s="811">
        <v>164</v>
      </c>
      <c r="Q167" s="800">
        <v>128</v>
      </c>
      <c r="R167" s="803"/>
      <c r="S167" s="803"/>
      <c r="T167" s="803"/>
      <c r="U167" s="803"/>
      <c r="V167" s="803"/>
      <c r="W167" s="801">
        <f t="shared" si="20"/>
        <v>903</v>
      </c>
      <c r="Y167" s="798">
        <f t="shared" si="21"/>
        <v>903</v>
      </c>
      <c r="AA167" s="823" t="e">
        <f>'CHAM CONG'!#REF!</f>
        <v>#REF!</v>
      </c>
      <c r="AB167" s="823" t="e">
        <f>'CHAM CONG'!#REF!</f>
        <v>#REF!</v>
      </c>
      <c r="AC167" s="823" t="e">
        <f>'CHAM CONG'!#REF!</f>
        <v>#REF!</v>
      </c>
      <c r="AD167" s="823" t="e">
        <f>'CHAM CONG'!#REF!</f>
        <v>#REF!</v>
      </c>
      <c r="AE167" s="824">
        <f t="shared" si="31"/>
        <v>397.32</v>
      </c>
      <c r="AF167" s="828">
        <f t="shared" si="27"/>
        <v>240</v>
      </c>
      <c r="AG167" s="836">
        <f t="shared" si="28"/>
        <v>84</v>
      </c>
      <c r="AH167" s="828">
        <f t="shared" si="29"/>
        <v>256</v>
      </c>
      <c r="AI167" s="828">
        <f t="shared" si="30"/>
        <v>323</v>
      </c>
      <c r="AJ167" s="802">
        <f t="shared" si="22"/>
        <v>903</v>
      </c>
    </row>
    <row r="168" spans="1:37">
      <c r="A168" s="798">
        <v>285</v>
      </c>
      <c r="B168" s="841">
        <v>7</v>
      </c>
      <c r="C168" s="803"/>
      <c r="D168" s="803"/>
      <c r="E168" s="803"/>
      <c r="F168" s="803"/>
      <c r="G168" s="803"/>
      <c r="H168" s="811">
        <v>115</v>
      </c>
      <c r="I168" s="811">
        <v>103</v>
      </c>
      <c r="J168" s="811">
        <v>162</v>
      </c>
      <c r="K168" s="811">
        <v>175</v>
      </c>
      <c r="L168" s="811"/>
      <c r="M168" s="811"/>
      <c r="N168" s="811"/>
      <c r="O168" s="811"/>
      <c r="P168" s="811">
        <v>132</v>
      </c>
      <c r="Q168" s="800">
        <v>123</v>
      </c>
      <c r="R168" s="803"/>
      <c r="S168" s="803"/>
      <c r="T168" s="803"/>
      <c r="U168" s="803"/>
      <c r="V168" s="803"/>
      <c r="W168" s="801">
        <f t="shared" si="20"/>
        <v>810</v>
      </c>
      <c r="Y168" s="798">
        <f t="shared" si="21"/>
        <v>810</v>
      </c>
      <c r="AA168" s="823" t="e">
        <f>'CHAM CONG'!#REF!</f>
        <v>#REF!</v>
      </c>
      <c r="AB168" s="823" t="e">
        <f>'CHAM CONG'!#REF!</f>
        <v>#REF!</v>
      </c>
      <c r="AC168" s="823" t="e">
        <f>'CHAM CONG'!#REF!</f>
        <v>#REF!</v>
      </c>
      <c r="AD168" s="823" t="e">
        <f>'CHAM CONG'!#REF!</f>
        <v>#REF!</v>
      </c>
      <c r="AE168" s="824">
        <f t="shared" si="31"/>
        <v>356.4</v>
      </c>
      <c r="AF168" s="828">
        <f t="shared" si="27"/>
        <v>226</v>
      </c>
      <c r="AG168" s="836">
        <f t="shared" si="28"/>
        <v>162</v>
      </c>
      <c r="AH168" s="828">
        <f t="shared" si="29"/>
        <v>175</v>
      </c>
      <c r="AI168" s="828">
        <f t="shared" si="30"/>
        <v>247</v>
      </c>
      <c r="AJ168" s="802">
        <f t="shared" si="22"/>
        <v>810</v>
      </c>
    </row>
    <row r="169" spans="1:37">
      <c r="A169" s="798">
        <v>286</v>
      </c>
      <c r="B169" s="841">
        <v>7</v>
      </c>
      <c r="C169" s="803"/>
      <c r="D169" s="803"/>
      <c r="E169" s="803"/>
      <c r="F169" s="803"/>
      <c r="G169" s="803"/>
      <c r="H169" s="811">
        <v>92</v>
      </c>
      <c r="I169" s="811">
        <v>44</v>
      </c>
      <c r="J169" s="811">
        <v>81</v>
      </c>
      <c r="K169" s="811">
        <v>193</v>
      </c>
      <c r="L169" s="811"/>
      <c r="M169" s="811"/>
      <c r="N169" s="811"/>
      <c r="O169" s="811"/>
      <c r="P169" s="811">
        <v>124</v>
      </c>
      <c r="Q169" s="800">
        <v>172</v>
      </c>
      <c r="R169" s="803"/>
      <c r="S169" s="803"/>
      <c r="T169" s="803"/>
      <c r="U169" s="803"/>
      <c r="V169" s="803"/>
      <c r="W169" s="801">
        <f t="shared" si="20"/>
        <v>706</v>
      </c>
      <c r="Y169" s="798">
        <f t="shared" si="21"/>
        <v>706</v>
      </c>
      <c r="AA169" s="823" t="e">
        <f>'CHAM CONG'!#REF!</f>
        <v>#REF!</v>
      </c>
      <c r="AB169" s="823" t="e">
        <f>'CHAM CONG'!#REF!</f>
        <v>#REF!</v>
      </c>
      <c r="AC169" s="823" t="e">
        <f>'CHAM CONG'!#REF!</f>
        <v>#REF!</v>
      </c>
      <c r="AD169" s="823" t="e">
        <f>'CHAM CONG'!#REF!</f>
        <v>#REF!</v>
      </c>
      <c r="AE169" s="824">
        <f t="shared" si="31"/>
        <v>310.64</v>
      </c>
      <c r="AF169" s="828">
        <f t="shared" si="27"/>
        <v>216</v>
      </c>
      <c r="AG169" s="836">
        <f t="shared" si="28"/>
        <v>81</v>
      </c>
      <c r="AH169" s="828">
        <f t="shared" si="29"/>
        <v>193</v>
      </c>
      <c r="AI169" s="828">
        <f t="shared" si="30"/>
        <v>216</v>
      </c>
      <c r="AJ169" s="802">
        <f t="shared" si="22"/>
        <v>706</v>
      </c>
    </row>
    <row r="170" spans="1:37">
      <c r="A170" s="798">
        <v>287</v>
      </c>
      <c r="B170" s="841">
        <v>7</v>
      </c>
      <c r="C170" s="803"/>
      <c r="D170" s="803"/>
      <c r="E170" s="803"/>
      <c r="F170" s="803"/>
      <c r="G170" s="803"/>
      <c r="H170" s="811">
        <v>123</v>
      </c>
      <c r="I170" s="811">
        <v>171</v>
      </c>
      <c r="J170" s="811">
        <v>270</v>
      </c>
      <c r="K170" s="811">
        <v>290</v>
      </c>
      <c r="L170" s="811"/>
      <c r="M170" s="811"/>
      <c r="N170" s="811"/>
      <c r="O170" s="811"/>
      <c r="P170" s="811">
        <v>140</v>
      </c>
      <c r="Q170" s="800">
        <v>194</v>
      </c>
      <c r="R170" s="803"/>
      <c r="S170" s="803"/>
      <c r="T170" s="803"/>
      <c r="U170" s="803"/>
      <c r="V170" s="803"/>
      <c r="W170" s="801">
        <f t="shared" si="20"/>
        <v>1188</v>
      </c>
      <c r="Y170" s="798">
        <f t="shared" si="21"/>
        <v>1188</v>
      </c>
      <c r="AA170" s="823" t="e">
        <f>'CHAM CONG'!#REF!</f>
        <v>#REF!</v>
      </c>
      <c r="AB170" s="823" t="e">
        <f>'CHAM CONG'!#REF!</f>
        <v>#REF!</v>
      </c>
      <c r="AC170" s="823" t="e">
        <f>'CHAM CONG'!#REF!</f>
        <v>#REF!</v>
      </c>
      <c r="AD170" s="823" t="e">
        <f>'CHAM CONG'!#REF!</f>
        <v>#REF!</v>
      </c>
      <c r="AE170" s="824">
        <f t="shared" si="31"/>
        <v>522.72</v>
      </c>
      <c r="AF170" s="828">
        <f t="shared" si="27"/>
        <v>365</v>
      </c>
      <c r="AG170" s="836">
        <f t="shared" si="28"/>
        <v>270</v>
      </c>
      <c r="AH170" s="828">
        <f t="shared" si="29"/>
        <v>290</v>
      </c>
      <c r="AI170" s="828">
        <f t="shared" si="30"/>
        <v>263</v>
      </c>
      <c r="AJ170" s="802">
        <f t="shared" si="22"/>
        <v>1188</v>
      </c>
    </row>
    <row r="171" spans="1:37">
      <c r="A171" s="798">
        <v>288</v>
      </c>
      <c r="B171" s="841">
        <v>7</v>
      </c>
      <c r="C171" s="803"/>
      <c r="D171" s="803"/>
      <c r="E171" s="803"/>
      <c r="F171" s="803"/>
      <c r="G171" s="803"/>
      <c r="H171" s="811">
        <v>107</v>
      </c>
      <c r="I171" s="811">
        <v>84</v>
      </c>
      <c r="J171" s="811">
        <v>99</v>
      </c>
      <c r="K171" s="811">
        <v>219</v>
      </c>
      <c r="L171" s="811"/>
      <c r="M171" s="811"/>
      <c r="N171" s="811"/>
      <c r="O171" s="811"/>
      <c r="P171" s="811">
        <v>52</v>
      </c>
      <c r="Q171" s="800">
        <v>188</v>
      </c>
      <c r="R171" s="803"/>
      <c r="S171" s="803"/>
      <c r="T171" s="803"/>
      <c r="U171" s="803"/>
      <c r="V171" s="803"/>
      <c r="W171" s="801">
        <f t="shared" si="20"/>
        <v>749</v>
      </c>
      <c r="Y171" s="798">
        <f t="shared" si="21"/>
        <v>749</v>
      </c>
      <c r="AA171" s="823" t="e">
        <f>'CHAM CONG'!#REF!</f>
        <v>#REF!</v>
      </c>
      <c r="AB171" s="823" t="e">
        <f>'CHAM CONG'!#REF!</f>
        <v>#REF!</v>
      </c>
      <c r="AC171" s="823" t="e">
        <f>'CHAM CONG'!#REF!</f>
        <v>#REF!</v>
      </c>
      <c r="AD171" s="823" t="e">
        <f>'CHAM CONG'!#REF!</f>
        <v>#REF!</v>
      </c>
      <c r="AE171" s="824">
        <f t="shared" si="31"/>
        <v>329.56</v>
      </c>
      <c r="AF171" s="828">
        <f t="shared" si="27"/>
        <v>272</v>
      </c>
      <c r="AG171" s="836">
        <f t="shared" si="28"/>
        <v>99</v>
      </c>
      <c r="AH171" s="828">
        <f t="shared" si="29"/>
        <v>219</v>
      </c>
      <c r="AI171" s="828">
        <f t="shared" si="30"/>
        <v>159</v>
      </c>
      <c r="AJ171" s="802">
        <f t="shared" si="22"/>
        <v>749</v>
      </c>
    </row>
    <row r="172" spans="1:37">
      <c r="A172" s="798">
        <v>289</v>
      </c>
      <c r="B172" s="841">
        <v>7</v>
      </c>
      <c r="C172" s="803"/>
      <c r="D172" s="803"/>
      <c r="E172" s="803"/>
      <c r="F172" s="803"/>
      <c r="G172" s="803"/>
      <c r="H172" s="811">
        <v>110</v>
      </c>
      <c r="I172" s="811">
        <v>87</v>
      </c>
      <c r="J172" s="811">
        <v>102</v>
      </c>
      <c r="K172" s="811">
        <v>221</v>
      </c>
      <c r="L172" s="811"/>
      <c r="M172" s="811"/>
      <c r="N172" s="811"/>
      <c r="O172" s="811"/>
      <c r="P172" s="811">
        <v>59</v>
      </c>
      <c r="Q172" s="800">
        <v>178</v>
      </c>
      <c r="R172" s="803"/>
      <c r="S172" s="803"/>
      <c r="T172" s="803"/>
      <c r="U172" s="803"/>
      <c r="V172" s="803"/>
      <c r="W172" s="801">
        <f t="shared" si="20"/>
        <v>757</v>
      </c>
      <c r="Y172" s="798">
        <f t="shared" si="21"/>
        <v>757</v>
      </c>
      <c r="AA172" s="823" t="e">
        <f>'CHAM CONG'!#REF!</f>
        <v>#REF!</v>
      </c>
      <c r="AB172" s="823" t="e">
        <f>'CHAM CONG'!#REF!</f>
        <v>#REF!</v>
      </c>
      <c r="AC172" s="823" t="e">
        <f>'CHAM CONG'!#REF!</f>
        <v>#REF!</v>
      </c>
      <c r="AD172" s="823" t="e">
        <f>'CHAM CONG'!#REF!</f>
        <v>#REF!</v>
      </c>
      <c r="AE172" s="824">
        <f t="shared" si="31"/>
        <v>333.08</v>
      </c>
      <c r="AF172" s="828">
        <f t="shared" si="27"/>
        <v>265</v>
      </c>
      <c r="AG172" s="836">
        <f t="shared" si="28"/>
        <v>102</v>
      </c>
      <c r="AH172" s="828">
        <f t="shared" si="29"/>
        <v>221</v>
      </c>
      <c r="AI172" s="828">
        <f t="shared" si="30"/>
        <v>169</v>
      </c>
      <c r="AJ172" s="802">
        <f t="shared" si="22"/>
        <v>757</v>
      </c>
    </row>
    <row r="173" spans="1:37">
      <c r="A173" s="798">
        <v>290</v>
      </c>
      <c r="B173" s="841">
        <v>7</v>
      </c>
      <c r="C173" s="803"/>
      <c r="D173" s="803"/>
      <c r="E173" s="803"/>
      <c r="F173" s="803"/>
      <c r="G173" s="803"/>
      <c r="H173" s="811">
        <v>138</v>
      </c>
      <c r="I173" s="811">
        <v>84</v>
      </c>
      <c r="J173" s="811">
        <v>304</v>
      </c>
      <c r="K173" s="811">
        <v>175</v>
      </c>
      <c r="L173" s="811"/>
      <c r="M173" s="811"/>
      <c r="N173" s="811"/>
      <c r="O173" s="811"/>
      <c r="P173" s="811">
        <v>153</v>
      </c>
      <c r="Q173" s="800">
        <v>152</v>
      </c>
      <c r="R173" s="803"/>
      <c r="S173" s="803"/>
      <c r="T173" s="803"/>
      <c r="U173" s="803"/>
      <c r="V173" s="803"/>
      <c r="W173" s="801">
        <f t="shared" si="20"/>
        <v>1006</v>
      </c>
      <c r="Y173" s="798">
        <f t="shared" si="21"/>
        <v>1006</v>
      </c>
      <c r="AA173" s="823" t="e">
        <f>'CHAM CONG'!#REF!</f>
        <v>#REF!</v>
      </c>
      <c r="AB173" s="823" t="e">
        <f>'CHAM CONG'!#REF!</f>
        <v>#REF!</v>
      </c>
      <c r="AC173" s="823" t="e">
        <f>'CHAM CONG'!#REF!</f>
        <v>#REF!</v>
      </c>
      <c r="AD173" s="823" t="e">
        <f>'CHAM CONG'!#REF!</f>
        <v>#REF!</v>
      </c>
      <c r="AE173" s="824">
        <f t="shared" si="31"/>
        <v>442.64</v>
      </c>
      <c r="AF173" s="828">
        <f t="shared" si="27"/>
        <v>236</v>
      </c>
      <c r="AG173" s="836">
        <f t="shared" si="28"/>
        <v>304</v>
      </c>
      <c r="AH173" s="828">
        <f t="shared" si="29"/>
        <v>175</v>
      </c>
      <c r="AI173" s="828">
        <f t="shared" si="30"/>
        <v>291</v>
      </c>
      <c r="AJ173" s="802">
        <f t="shared" si="22"/>
        <v>1006</v>
      </c>
    </row>
    <row r="174" spans="1:37">
      <c r="A174" s="798">
        <v>291</v>
      </c>
      <c r="B174" s="841">
        <v>7</v>
      </c>
      <c r="C174" s="803"/>
      <c r="D174" s="803"/>
      <c r="E174" s="803"/>
      <c r="F174" s="803"/>
      <c r="G174" s="803"/>
      <c r="H174" s="811">
        <v>98</v>
      </c>
      <c r="I174" s="811">
        <v>42</v>
      </c>
      <c r="J174" s="811">
        <v>188</v>
      </c>
      <c r="K174" s="811">
        <v>107</v>
      </c>
      <c r="L174" s="811"/>
      <c r="M174" s="811"/>
      <c r="N174" s="811"/>
      <c r="O174" s="811"/>
      <c r="P174" s="811">
        <v>118</v>
      </c>
      <c r="Q174" s="800">
        <v>96</v>
      </c>
      <c r="R174" s="803"/>
      <c r="S174" s="803"/>
      <c r="T174" s="803"/>
      <c r="U174" s="803"/>
      <c r="V174" s="803"/>
      <c r="W174" s="801">
        <f t="shared" si="20"/>
        <v>649</v>
      </c>
      <c r="Y174" s="798">
        <f t="shared" si="21"/>
        <v>649</v>
      </c>
      <c r="AA174" s="823" t="e">
        <f>'CHAM CONG'!#REF!</f>
        <v>#REF!</v>
      </c>
      <c r="AB174" s="823" t="e">
        <f>'CHAM CONG'!#REF!</f>
        <v>#REF!</v>
      </c>
      <c r="AC174" s="823" t="e">
        <f>'CHAM CONG'!#REF!</f>
        <v>#REF!</v>
      </c>
      <c r="AD174" s="823" t="e">
        <f>'CHAM CONG'!#REF!</f>
        <v>#REF!</v>
      </c>
      <c r="AE174" s="824">
        <f t="shared" si="31"/>
        <v>285.56</v>
      </c>
      <c r="AF174" s="828">
        <f t="shared" si="27"/>
        <v>138</v>
      </c>
      <c r="AG174" s="836">
        <f t="shared" si="28"/>
        <v>188</v>
      </c>
      <c r="AH174" s="828">
        <f t="shared" si="29"/>
        <v>107</v>
      </c>
      <c r="AI174" s="828">
        <f t="shared" si="30"/>
        <v>216</v>
      </c>
      <c r="AJ174" s="802">
        <f t="shared" si="22"/>
        <v>649</v>
      </c>
    </row>
    <row r="175" spans="1:37">
      <c r="A175" s="798">
        <v>292</v>
      </c>
      <c r="B175" s="841">
        <v>7</v>
      </c>
      <c r="C175" s="803"/>
      <c r="D175" s="803"/>
      <c r="E175" s="803"/>
      <c r="F175" s="803"/>
      <c r="G175" s="803"/>
      <c r="H175" s="811">
        <v>83</v>
      </c>
      <c r="I175" s="811">
        <v>51</v>
      </c>
      <c r="J175" s="811">
        <v>115</v>
      </c>
      <c r="K175" s="811">
        <v>211</v>
      </c>
      <c r="L175" s="811"/>
      <c r="M175" s="811"/>
      <c r="N175" s="811"/>
      <c r="O175" s="811"/>
      <c r="P175" s="811">
        <v>92</v>
      </c>
      <c r="Q175" s="800">
        <v>118</v>
      </c>
      <c r="R175" s="803"/>
      <c r="S175" s="803"/>
      <c r="T175" s="803"/>
      <c r="U175" s="803"/>
      <c r="V175" s="803"/>
      <c r="W175" s="801">
        <f t="shared" si="20"/>
        <v>670</v>
      </c>
      <c r="Y175" s="798">
        <f t="shared" si="21"/>
        <v>670</v>
      </c>
      <c r="AA175" s="823" t="e">
        <f>'CHAM CONG'!#REF!</f>
        <v>#REF!</v>
      </c>
      <c r="AB175" s="823" t="e">
        <f>'CHAM CONG'!#REF!</f>
        <v>#REF!</v>
      </c>
      <c r="AC175" s="823" t="e">
        <f>'CHAM CONG'!#REF!</f>
        <v>#REF!</v>
      </c>
      <c r="AD175" s="823" t="e">
        <f>'CHAM CONG'!#REF!</f>
        <v>#REF!</v>
      </c>
      <c r="AE175" s="824">
        <f t="shared" si="31"/>
        <v>294.8</v>
      </c>
      <c r="AF175" s="828">
        <f t="shared" si="27"/>
        <v>169</v>
      </c>
      <c r="AG175" s="836">
        <f t="shared" si="28"/>
        <v>115</v>
      </c>
      <c r="AH175" s="828">
        <f t="shared" si="29"/>
        <v>211</v>
      </c>
      <c r="AI175" s="828">
        <f t="shared" si="30"/>
        <v>175</v>
      </c>
      <c r="AJ175" s="802">
        <f t="shared" si="22"/>
        <v>670</v>
      </c>
    </row>
    <row r="176" spans="1:37" ht="22.2" customHeight="1">
      <c r="C176" s="806"/>
      <c r="D176" s="806"/>
      <c r="E176" s="806"/>
      <c r="F176" s="806"/>
      <c r="G176" s="806" t="s">
        <v>228</v>
      </c>
      <c r="H176" s="806" t="s">
        <v>186</v>
      </c>
      <c r="I176" s="806" t="s">
        <v>199</v>
      </c>
      <c r="J176" s="806" t="s">
        <v>199</v>
      </c>
      <c r="K176" s="806"/>
      <c r="L176" s="806"/>
      <c r="M176" s="806" t="s">
        <v>228</v>
      </c>
      <c r="N176" s="806" t="s">
        <v>186</v>
      </c>
      <c r="O176" s="806" t="s">
        <v>199</v>
      </c>
      <c r="P176" s="806" t="s">
        <v>199</v>
      </c>
      <c r="Q176" s="817"/>
      <c r="R176" s="806"/>
      <c r="S176" s="806"/>
      <c r="T176" s="806"/>
      <c r="U176" s="806"/>
      <c r="V176" s="806"/>
      <c r="AA176" s="823"/>
      <c r="AB176" s="823"/>
      <c r="AC176" s="823"/>
      <c r="AD176" s="823"/>
      <c r="AK176" s="790" t="s">
        <v>1365</v>
      </c>
    </row>
    <row r="177" spans="1:47" s="792" customFormat="1" ht="24" customHeight="1">
      <c r="A177" s="1336" t="s">
        <v>619</v>
      </c>
      <c r="B177" s="1336"/>
      <c r="C177" s="842">
        <f>SUM(C178:C314)</f>
        <v>0</v>
      </c>
      <c r="D177" s="842">
        <f>SUM(D178:D314)</f>
        <v>0</v>
      </c>
      <c r="E177" s="842">
        <f>SUM(E178:E314)</f>
        <v>0</v>
      </c>
      <c r="F177" s="842">
        <f>SUM(F178:F314)</f>
        <v>0</v>
      </c>
      <c r="G177" s="842">
        <f>SUM(G178:G314)</f>
        <v>16908</v>
      </c>
      <c r="H177" s="842">
        <f t="shared" ref="H177:W177" si="32">SUM(H178:H314)</f>
        <v>30434</v>
      </c>
      <c r="I177" s="842">
        <f t="shared" si="32"/>
        <v>23859</v>
      </c>
      <c r="J177" s="842">
        <f t="shared" si="32"/>
        <v>433</v>
      </c>
      <c r="K177" s="842">
        <f t="shared" si="32"/>
        <v>0</v>
      </c>
      <c r="L177" s="842">
        <f t="shared" si="32"/>
        <v>0</v>
      </c>
      <c r="M177" s="842">
        <f t="shared" si="32"/>
        <v>23145</v>
      </c>
      <c r="N177" s="842">
        <f t="shared" si="32"/>
        <v>29109</v>
      </c>
      <c r="O177" s="842">
        <f t="shared" si="32"/>
        <v>30848</v>
      </c>
      <c r="P177" s="842">
        <f t="shared" si="32"/>
        <v>122</v>
      </c>
      <c r="Q177" s="842">
        <f t="shared" si="32"/>
        <v>0</v>
      </c>
      <c r="R177" s="842">
        <f t="shared" si="32"/>
        <v>0</v>
      </c>
      <c r="S177" s="842">
        <f t="shared" si="32"/>
        <v>0</v>
      </c>
      <c r="T177" s="842">
        <f t="shared" si="32"/>
        <v>0</v>
      </c>
      <c r="U177" s="842">
        <f t="shared" si="32"/>
        <v>0</v>
      </c>
      <c r="V177" s="842">
        <f t="shared" si="32"/>
        <v>0</v>
      </c>
      <c r="W177" s="843">
        <f t="shared" si="32"/>
        <v>154858</v>
      </c>
      <c r="X177" s="843">
        <f t="shared" ref="X177:AJ177" si="33">SUM(X178:X314)</f>
        <v>0</v>
      </c>
      <c r="Y177" s="843">
        <f t="shared" si="33"/>
        <v>154858</v>
      </c>
      <c r="Z177" s="843">
        <f t="shared" si="33"/>
        <v>0</v>
      </c>
      <c r="AA177" s="843" t="e">
        <f t="shared" si="33"/>
        <v>#N/A</v>
      </c>
      <c r="AB177" s="843" t="e">
        <f t="shared" si="33"/>
        <v>#N/A</v>
      </c>
      <c r="AC177" s="843" t="e">
        <f t="shared" si="33"/>
        <v>#N/A</v>
      </c>
      <c r="AD177" s="843" t="e">
        <f t="shared" si="33"/>
        <v>#N/A</v>
      </c>
      <c r="AE177" s="818">
        <f t="shared" si="33"/>
        <v>68137.520000000019</v>
      </c>
      <c r="AF177" s="843">
        <f t="shared" si="33"/>
        <v>59543</v>
      </c>
      <c r="AG177" s="843">
        <f t="shared" si="33"/>
        <v>55262</v>
      </c>
      <c r="AH177" s="843">
        <f t="shared" si="33"/>
        <v>40053</v>
      </c>
      <c r="AI177" s="843">
        <f t="shared" si="33"/>
        <v>0</v>
      </c>
      <c r="AJ177" s="843">
        <f t="shared" si="33"/>
        <v>154858</v>
      </c>
      <c r="AK177" s="844">
        <f>SUM(AJ178:AJ222)</f>
        <v>38996</v>
      </c>
      <c r="AU177" s="792">
        <f>SUM(AU178:AU222)</f>
        <v>0</v>
      </c>
    </row>
    <row r="178" spans="1:47">
      <c r="A178" s="798">
        <v>48</v>
      </c>
      <c r="B178" s="812">
        <v>2</v>
      </c>
      <c r="C178" s="811"/>
      <c r="D178" s="811"/>
      <c r="E178" s="811"/>
      <c r="F178" s="811"/>
      <c r="G178" s="811">
        <v>0</v>
      </c>
      <c r="H178" s="811">
        <v>216</v>
      </c>
      <c r="I178" s="811">
        <v>93</v>
      </c>
      <c r="J178" s="811"/>
      <c r="K178" s="811"/>
      <c r="L178" s="811"/>
      <c r="M178" s="811">
        <v>61</v>
      </c>
      <c r="N178" s="811">
        <v>141</v>
      </c>
      <c r="O178" s="811">
        <v>174</v>
      </c>
      <c r="P178" s="811"/>
      <c r="Q178" s="819"/>
      <c r="R178" s="803"/>
      <c r="S178" s="803"/>
      <c r="T178" s="803"/>
      <c r="U178" s="803"/>
      <c r="V178" s="803"/>
      <c r="W178" s="801">
        <f>SUM(C178:V178)</f>
        <v>685</v>
      </c>
      <c r="Y178" s="798">
        <f>W178-X178</f>
        <v>685</v>
      </c>
      <c r="AA178" s="823">
        <f>'CHAM CONG'!BA177</f>
        <v>0</v>
      </c>
      <c r="AB178" s="823">
        <f>'CHAM CONG'!BB177</f>
        <v>0</v>
      </c>
      <c r="AC178" s="823">
        <f>'CHAM CONG'!BC177</f>
        <v>0</v>
      </c>
      <c r="AD178" s="823">
        <f>'CHAM CONG'!BD177</f>
        <v>0</v>
      </c>
      <c r="AE178" s="824">
        <f>ROUND(W178*0.44,2)</f>
        <v>301.39999999999998</v>
      </c>
      <c r="AF178" s="798">
        <f>H178+N178</f>
        <v>357</v>
      </c>
      <c r="AG178" s="831">
        <f>I178+J178+O178+P178</f>
        <v>267</v>
      </c>
      <c r="AH178" s="798">
        <f>G178+M178</f>
        <v>61</v>
      </c>
      <c r="AJ178" s="802">
        <f>SUM(AF178:AI178)</f>
        <v>685</v>
      </c>
      <c r="AU178" s="798">
        <f t="shared" ref="AU178:AU193" si="34">SUM(AS178:AT178)/10</f>
        <v>0</v>
      </c>
    </row>
    <row r="179" spans="1:47">
      <c r="A179" s="798">
        <v>49</v>
      </c>
      <c r="B179" s="812">
        <v>2</v>
      </c>
      <c r="C179" s="811"/>
      <c r="D179" s="811"/>
      <c r="E179" s="811"/>
      <c r="F179" s="811"/>
      <c r="G179" s="811">
        <v>0</v>
      </c>
      <c r="H179" s="811">
        <v>202</v>
      </c>
      <c r="I179" s="811">
        <v>90</v>
      </c>
      <c r="J179" s="811"/>
      <c r="K179" s="811"/>
      <c r="L179" s="811"/>
      <c r="M179" s="811">
        <v>63</v>
      </c>
      <c r="N179" s="811">
        <v>134</v>
      </c>
      <c r="O179" s="811">
        <v>170</v>
      </c>
      <c r="P179" s="811"/>
      <c r="Q179" s="819"/>
      <c r="R179" s="803"/>
      <c r="S179" s="803"/>
      <c r="T179" s="803"/>
      <c r="U179" s="803"/>
      <c r="V179" s="803"/>
      <c r="W179" s="801">
        <f t="shared" ref="W179:W222" si="35">SUM(C179:V179)</f>
        <v>659</v>
      </c>
      <c r="Y179" s="798">
        <f t="shared" ref="Y179:Y187" si="36">W179-X179</f>
        <v>659</v>
      </c>
      <c r="AA179" s="823">
        <f>'CHAM CONG'!BA178</f>
        <v>0</v>
      </c>
      <c r="AB179" s="823">
        <f>'CHAM CONG'!BB178</f>
        <v>0</v>
      </c>
      <c r="AC179" s="823">
        <f>'CHAM CONG'!BC178</f>
        <v>0</v>
      </c>
      <c r="AD179" s="823">
        <f>'CHAM CONG'!BD178</f>
        <v>0</v>
      </c>
      <c r="AE179" s="824">
        <f t="shared" ref="AE179:AE242" si="37">ROUND(W179*0.44,2)</f>
        <v>289.95999999999998</v>
      </c>
      <c r="AF179" s="798">
        <f t="shared" ref="AF179:AF242" si="38">H179+N179</f>
        <v>336</v>
      </c>
      <c r="AG179" s="831">
        <f t="shared" ref="AG179:AG242" si="39">I179+J179+O179+P179</f>
        <v>260</v>
      </c>
      <c r="AH179" s="798">
        <f t="shared" ref="AH179:AH242" si="40">G179+M179</f>
        <v>63</v>
      </c>
      <c r="AJ179" s="802">
        <f t="shared" ref="AJ179:AJ223" si="41">SUM(AF179:AI179)</f>
        <v>659</v>
      </c>
      <c r="AU179" s="798">
        <f t="shared" si="34"/>
        <v>0</v>
      </c>
    </row>
    <row r="180" spans="1:47">
      <c r="A180" s="798">
        <v>50</v>
      </c>
      <c r="B180" s="812">
        <v>2</v>
      </c>
      <c r="C180" s="811"/>
      <c r="D180" s="811"/>
      <c r="E180" s="811"/>
      <c r="F180" s="811"/>
      <c r="G180" s="811">
        <v>0</v>
      </c>
      <c r="H180" s="811">
        <v>321</v>
      </c>
      <c r="I180" s="811">
        <v>95</v>
      </c>
      <c r="J180" s="811"/>
      <c r="K180" s="811"/>
      <c r="L180" s="811"/>
      <c r="M180" s="811">
        <v>143</v>
      </c>
      <c r="N180" s="811">
        <v>161</v>
      </c>
      <c r="O180" s="811">
        <v>229</v>
      </c>
      <c r="P180" s="811"/>
      <c r="Q180" s="819"/>
      <c r="R180" s="803"/>
      <c r="S180" s="803"/>
      <c r="T180" s="803"/>
      <c r="U180" s="803"/>
      <c r="V180" s="803"/>
      <c r="W180" s="801">
        <f t="shared" si="35"/>
        <v>949</v>
      </c>
      <c r="Y180" s="798">
        <f t="shared" si="36"/>
        <v>949</v>
      </c>
      <c r="AA180" s="823">
        <f>'CHAM CONG'!BA179</f>
        <v>0</v>
      </c>
      <c r="AB180" s="823">
        <f>'CHAM CONG'!BB179</f>
        <v>0</v>
      </c>
      <c r="AC180" s="823">
        <f>'CHAM CONG'!BC179</f>
        <v>0</v>
      </c>
      <c r="AD180" s="823">
        <f>'CHAM CONG'!BD179</f>
        <v>0</v>
      </c>
      <c r="AE180" s="824">
        <f t="shared" si="37"/>
        <v>417.56</v>
      </c>
      <c r="AF180" s="798">
        <f t="shared" si="38"/>
        <v>482</v>
      </c>
      <c r="AG180" s="831">
        <f t="shared" si="39"/>
        <v>324</v>
      </c>
      <c r="AH180" s="798">
        <f t="shared" si="40"/>
        <v>143</v>
      </c>
      <c r="AJ180" s="802">
        <f t="shared" si="41"/>
        <v>949</v>
      </c>
      <c r="AU180" s="798">
        <f t="shared" si="34"/>
        <v>0</v>
      </c>
    </row>
    <row r="181" spans="1:47">
      <c r="A181" s="798">
        <v>51</v>
      </c>
      <c r="B181" s="812">
        <v>2</v>
      </c>
      <c r="C181" s="811"/>
      <c r="D181" s="811"/>
      <c r="E181" s="811"/>
      <c r="F181" s="811"/>
      <c r="G181" s="811">
        <v>0</v>
      </c>
      <c r="H181" s="811">
        <v>279</v>
      </c>
      <c r="I181" s="811">
        <v>99</v>
      </c>
      <c r="J181" s="811"/>
      <c r="K181" s="811"/>
      <c r="L181" s="811"/>
      <c r="M181" s="811">
        <v>140</v>
      </c>
      <c r="N181" s="811">
        <v>153</v>
      </c>
      <c r="O181" s="811">
        <v>225</v>
      </c>
      <c r="P181" s="811"/>
      <c r="Q181" s="819"/>
      <c r="R181" s="803"/>
      <c r="S181" s="803"/>
      <c r="T181" s="803"/>
      <c r="U181" s="803"/>
      <c r="V181" s="803"/>
      <c r="W181" s="801">
        <f t="shared" si="35"/>
        <v>896</v>
      </c>
      <c r="Y181" s="798">
        <f t="shared" si="36"/>
        <v>896</v>
      </c>
      <c r="AA181" s="823">
        <f>'CHAM CONG'!BA180</f>
        <v>0</v>
      </c>
      <c r="AB181" s="823">
        <f>'CHAM CONG'!BB180</f>
        <v>0</v>
      </c>
      <c r="AC181" s="823">
        <f>'CHAM CONG'!BC180</f>
        <v>0</v>
      </c>
      <c r="AD181" s="823">
        <f>'CHAM CONG'!BD180</f>
        <v>0</v>
      </c>
      <c r="AE181" s="824">
        <f t="shared" si="37"/>
        <v>394.24</v>
      </c>
      <c r="AF181" s="798">
        <f t="shared" si="38"/>
        <v>432</v>
      </c>
      <c r="AG181" s="831">
        <f t="shared" si="39"/>
        <v>324</v>
      </c>
      <c r="AH181" s="798">
        <f t="shared" si="40"/>
        <v>140</v>
      </c>
      <c r="AJ181" s="802">
        <f t="shared" si="41"/>
        <v>896</v>
      </c>
      <c r="AU181" s="798">
        <f t="shared" si="34"/>
        <v>0</v>
      </c>
    </row>
    <row r="182" spans="1:47" s="9" customFormat="1">
      <c r="A182" s="9">
        <v>52</v>
      </c>
      <c r="B182" s="812">
        <v>2</v>
      </c>
      <c r="C182" s="811"/>
      <c r="D182" s="811"/>
      <c r="E182" s="811"/>
      <c r="F182" s="811"/>
      <c r="G182" s="811">
        <v>0</v>
      </c>
      <c r="H182" s="811">
        <v>168</v>
      </c>
      <c r="I182" s="811">
        <v>66</v>
      </c>
      <c r="J182" s="811"/>
      <c r="K182" s="811"/>
      <c r="L182" s="811"/>
      <c r="M182" s="811">
        <v>32</v>
      </c>
      <c r="N182" s="811">
        <v>61</v>
      </c>
      <c r="O182" s="811">
        <v>126</v>
      </c>
      <c r="P182" s="811"/>
      <c r="Q182" s="819"/>
      <c r="R182" s="811"/>
      <c r="S182" s="811"/>
      <c r="T182" s="811"/>
      <c r="U182" s="811"/>
      <c r="V182" s="811"/>
      <c r="W182" s="801">
        <f t="shared" si="35"/>
        <v>453</v>
      </c>
      <c r="Y182" s="9">
        <f t="shared" si="36"/>
        <v>453</v>
      </c>
      <c r="AA182" s="825">
        <f>'CHAM CONG'!BA181</f>
        <v>0</v>
      </c>
      <c r="AB182" s="825">
        <f>'CHAM CONG'!BB181</f>
        <v>0</v>
      </c>
      <c r="AC182" s="825">
        <f>'CHAM CONG'!BC181</f>
        <v>0</v>
      </c>
      <c r="AD182" s="825">
        <f>'CHAM CONG'!BD181</f>
        <v>0</v>
      </c>
      <c r="AE182" s="824">
        <f t="shared" si="37"/>
        <v>199.32</v>
      </c>
      <c r="AF182" s="798">
        <f t="shared" si="38"/>
        <v>229</v>
      </c>
      <c r="AG182" s="831">
        <f t="shared" si="39"/>
        <v>192</v>
      </c>
      <c r="AH182" s="798">
        <f t="shared" si="40"/>
        <v>32</v>
      </c>
      <c r="AI182" s="798"/>
      <c r="AJ182" s="802">
        <f t="shared" si="41"/>
        <v>453</v>
      </c>
      <c r="AU182" s="9">
        <f t="shared" si="34"/>
        <v>0</v>
      </c>
    </row>
    <row r="183" spans="1:47">
      <c r="A183" s="798">
        <v>53</v>
      </c>
      <c r="B183" s="812">
        <v>2</v>
      </c>
      <c r="C183" s="811"/>
      <c r="D183" s="811"/>
      <c r="E183" s="811"/>
      <c r="F183" s="811"/>
      <c r="G183" s="811">
        <v>0</v>
      </c>
      <c r="H183" s="811">
        <v>343</v>
      </c>
      <c r="I183" s="811">
        <v>119</v>
      </c>
      <c r="J183" s="811"/>
      <c r="K183" s="811"/>
      <c r="L183" s="811"/>
      <c r="M183" s="811">
        <v>66</v>
      </c>
      <c r="N183" s="811">
        <v>201</v>
      </c>
      <c r="O183" s="811">
        <v>264</v>
      </c>
      <c r="P183" s="811"/>
      <c r="Q183" s="819"/>
      <c r="R183" s="803"/>
      <c r="S183" s="803"/>
      <c r="T183" s="803"/>
      <c r="U183" s="803"/>
      <c r="V183" s="803"/>
      <c r="W183" s="801">
        <f t="shared" si="35"/>
        <v>993</v>
      </c>
      <c r="Y183" s="798">
        <f t="shared" si="36"/>
        <v>993</v>
      </c>
      <c r="AA183" s="823">
        <f>'CHAM CONG'!BA182</f>
        <v>0</v>
      </c>
      <c r="AB183" s="823">
        <f>'CHAM CONG'!BB182</f>
        <v>0</v>
      </c>
      <c r="AC183" s="823">
        <f>'CHAM CONG'!BC182</f>
        <v>0</v>
      </c>
      <c r="AD183" s="823">
        <f>'CHAM CONG'!BD182</f>
        <v>0</v>
      </c>
      <c r="AE183" s="824">
        <f t="shared" si="37"/>
        <v>436.92</v>
      </c>
      <c r="AF183" s="798">
        <f t="shared" si="38"/>
        <v>544</v>
      </c>
      <c r="AG183" s="831">
        <f t="shared" si="39"/>
        <v>383</v>
      </c>
      <c r="AH183" s="798">
        <f t="shared" si="40"/>
        <v>66</v>
      </c>
      <c r="AJ183" s="802">
        <f t="shared" si="41"/>
        <v>993</v>
      </c>
      <c r="AU183" s="798">
        <f t="shared" si="34"/>
        <v>0</v>
      </c>
    </row>
    <row r="184" spans="1:47" s="9" customFormat="1">
      <c r="A184" s="9">
        <v>54</v>
      </c>
      <c r="B184" s="812">
        <v>2</v>
      </c>
      <c r="C184" s="811"/>
      <c r="D184" s="811"/>
      <c r="E184" s="811"/>
      <c r="F184" s="811"/>
      <c r="G184" s="811">
        <v>0</v>
      </c>
      <c r="H184" s="811">
        <v>163</v>
      </c>
      <c r="I184" s="811">
        <v>0</v>
      </c>
      <c r="J184" s="811"/>
      <c r="K184" s="811"/>
      <c r="L184" s="811"/>
      <c r="M184" s="811">
        <v>101</v>
      </c>
      <c r="N184" s="811">
        <v>248</v>
      </c>
      <c r="O184" s="811">
        <v>263</v>
      </c>
      <c r="P184" s="811"/>
      <c r="Q184" s="819"/>
      <c r="R184" s="811"/>
      <c r="S184" s="811"/>
      <c r="T184" s="811"/>
      <c r="U184" s="811"/>
      <c r="V184" s="811"/>
      <c r="W184" s="801">
        <f t="shared" si="35"/>
        <v>775</v>
      </c>
      <c r="Y184" s="9">
        <f t="shared" si="36"/>
        <v>775</v>
      </c>
      <c r="AA184" s="825">
        <f>'CHAM CONG'!BA183</f>
        <v>0</v>
      </c>
      <c r="AB184" s="825">
        <f>'CHAM CONG'!BB183</f>
        <v>0</v>
      </c>
      <c r="AC184" s="825">
        <f>'CHAM CONG'!BC183</f>
        <v>0</v>
      </c>
      <c r="AD184" s="825">
        <f>'CHAM CONG'!BD183</f>
        <v>0</v>
      </c>
      <c r="AE184" s="824">
        <f t="shared" si="37"/>
        <v>341</v>
      </c>
      <c r="AF184" s="798">
        <f t="shared" si="38"/>
        <v>411</v>
      </c>
      <c r="AG184" s="831">
        <f t="shared" si="39"/>
        <v>263</v>
      </c>
      <c r="AH184" s="798">
        <f t="shared" si="40"/>
        <v>101</v>
      </c>
      <c r="AI184" s="798"/>
      <c r="AJ184" s="802">
        <f t="shared" si="41"/>
        <v>775</v>
      </c>
      <c r="AU184" s="9">
        <f t="shared" si="34"/>
        <v>0</v>
      </c>
    </row>
    <row r="185" spans="1:47">
      <c r="A185" s="798">
        <v>55</v>
      </c>
      <c r="B185" s="812">
        <v>2</v>
      </c>
      <c r="C185" s="811"/>
      <c r="D185" s="811"/>
      <c r="E185" s="811"/>
      <c r="F185" s="811"/>
      <c r="G185" s="811">
        <v>186</v>
      </c>
      <c r="H185" s="811">
        <v>134</v>
      </c>
      <c r="I185" s="811">
        <v>104</v>
      </c>
      <c r="J185" s="811"/>
      <c r="K185" s="811"/>
      <c r="L185" s="811"/>
      <c r="M185" s="811">
        <v>199</v>
      </c>
      <c r="N185" s="811">
        <v>129</v>
      </c>
      <c r="O185" s="811">
        <v>228</v>
      </c>
      <c r="P185" s="811"/>
      <c r="Q185" s="819"/>
      <c r="R185" s="803"/>
      <c r="S185" s="803"/>
      <c r="T185" s="803"/>
      <c r="U185" s="803"/>
      <c r="V185" s="803"/>
      <c r="W185" s="801">
        <f t="shared" si="35"/>
        <v>980</v>
      </c>
      <c r="Y185" s="798">
        <f t="shared" si="36"/>
        <v>980</v>
      </c>
      <c r="AA185" s="823">
        <f>'CHAM CONG'!BA184</f>
        <v>0</v>
      </c>
      <c r="AB185" s="823">
        <f>'CHAM CONG'!BB184</f>
        <v>0</v>
      </c>
      <c r="AC185" s="823">
        <f>'CHAM CONG'!BC184</f>
        <v>0</v>
      </c>
      <c r="AD185" s="823">
        <f>'CHAM CONG'!BD184</f>
        <v>0</v>
      </c>
      <c r="AE185" s="824">
        <f t="shared" si="37"/>
        <v>431.2</v>
      </c>
      <c r="AF185" s="798">
        <f t="shared" si="38"/>
        <v>263</v>
      </c>
      <c r="AG185" s="831">
        <f t="shared" si="39"/>
        <v>332</v>
      </c>
      <c r="AH185" s="798">
        <f t="shared" si="40"/>
        <v>385</v>
      </c>
      <c r="AJ185" s="802">
        <f t="shared" si="41"/>
        <v>980</v>
      </c>
      <c r="AU185" s="798">
        <f t="shared" si="34"/>
        <v>0</v>
      </c>
    </row>
    <row r="186" spans="1:47">
      <c r="A186" s="798">
        <v>56</v>
      </c>
      <c r="B186" s="812">
        <v>2</v>
      </c>
      <c r="C186" s="811"/>
      <c r="D186" s="811"/>
      <c r="E186" s="811"/>
      <c r="F186" s="811"/>
      <c r="G186" s="811">
        <v>0</v>
      </c>
      <c r="H186" s="811">
        <v>299</v>
      </c>
      <c r="I186" s="811">
        <v>69</v>
      </c>
      <c r="J186" s="811"/>
      <c r="K186" s="811"/>
      <c r="L186" s="811"/>
      <c r="M186" s="811">
        <v>126</v>
      </c>
      <c r="N186" s="811">
        <v>177</v>
      </c>
      <c r="O186" s="811">
        <v>171</v>
      </c>
      <c r="P186" s="811"/>
      <c r="Q186" s="819"/>
      <c r="R186" s="803"/>
      <c r="S186" s="803"/>
      <c r="T186" s="803"/>
      <c r="U186" s="803"/>
      <c r="V186" s="803"/>
      <c r="W186" s="801">
        <f t="shared" si="35"/>
        <v>842</v>
      </c>
      <c r="Y186" s="798">
        <f t="shared" si="36"/>
        <v>842</v>
      </c>
      <c r="AA186" s="823">
        <f>'CHAM CONG'!BA185</f>
        <v>0</v>
      </c>
      <c r="AB186" s="823">
        <f>'CHAM CONG'!BB185</f>
        <v>0</v>
      </c>
      <c r="AC186" s="823">
        <f>'CHAM CONG'!BC185</f>
        <v>0</v>
      </c>
      <c r="AD186" s="823">
        <f>'CHAM CONG'!BD185</f>
        <v>0</v>
      </c>
      <c r="AE186" s="824">
        <f t="shared" si="37"/>
        <v>370.48</v>
      </c>
      <c r="AF186" s="798">
        <f t="shared" si="38"/>
        <v>476</v>
      </c>
      <c r="AG186" s="831">
        <f t="shared" si="39"/>
        <v>240</v>
      </c>
      <c r="AH186" s="798">
        <f t="shared" si="40"/>
        <v>126</v>
      </c>
      <c r="AJ186" s="802">
        <f t="shared" si="41"/>
        <v>842</v>
      </c>
      <c r="AU186" s="798">
        <f t="shared" si="34"/>
        <v>0</v>
      </c>
    </row>
    <row r="187" spans="1:47">
      <c r="A187" s="798">
        <v>57</v>
      </c>
      <c r="B187" s="812">
        <v>2</v>
      </c>
      <c r="C187" s="811"/>
      <c r="D187" s="811"/>
      <c r="E187" s="811"/>
      <c r="F187" s="811"/>
      <c r="G187" s="811">
        <v>165</v>
      </c>
      <c r="H187" s="811">
        <v>233</v>
      </c>
      <c r="I187" s="811">
        <v>153</v>
      </c>
      <c r="J187" s="811"/>
      <c r="K187" s="811"/>
      <c r="L187" s="811"/>
      <c r="M187" s="811">
        <v>163</v>
      </c>
      <c r="N187" s="811">
        <v>170</v>
      </c>
      <c r="O187" s="811">
        <v>225</v>
      </c>
      <c r="P187" s="811"/>
      <c r="Q187" s="819"/>
      <c r="R187" s="803"/>
      <c r="S187" s="803"/>
      <c r="T187" s="803"/>
      <c r="U187" s="803"/>
      <c r="V187" s="803"/>
      <c r="W187" s="801">
        <f t="shared" si="35"/>
        <v>1109</v>
      </c>
      <c r="Y187" s="798">
        <f t="shared" si="36"/>
        <v>1109</v>
      </c>
      <c r="AA187" s="823">
        <f>'CHAM CONG'!BA186</f>
        <v>0</v>
      </c>
      <c r="AB187" s="823">
        <f>'CHAM CONG'!BB186</f>
        <v>0</v>
      </c>
      <c r="AC187" s="823">
        <f>'CHAM CONG'!BC186</f>
        <v>0</v>
      </c>
      <c r="AD187" s="823">
        <f>'CHAM CONG'!BD186</f>
        <v>0</v>
      </c>
      <c r="AE187" s="824">
        <f t="shared" si="37"/>
        <v>487.96</v>
      </c>
      <c r="AF187" s="798">
        <f t="shared" si="38"/>
        <v>403</v>
      </c>
      <c r="AG187" s="831">
        <f t="shared" si="39"/>
        <v>378</v>
      </c>
      <c r="AH187" s="798">
        <f t="shared" si="40"/>
        <v>328</v>
      </c>
      <c r="AJ187" s="802">
        <f t="shared" si="41"/>
        <v>1109</v>
      </c>
      <c r="AU187" s="798">
        <f t="shared" si="34"/>
        <v>0</v>
      </c>
    </row>
    <row r="188" spans="1:47">
      <c r="A188" s="798">
        <v>58</v>
      </c>
      <c r="B188" s="812">
        <v>2</v>
      </c>
      <c r="C188" s="811"/>
      <c r="D188" s="811"/>
      <c r="E188" s="811"/>
      <c r="F188" s="811"/>
      <c r="G188" s="811">
        <v>171</v>
      </c>
      <c r="H188" s="811">
        <v>173</v>
      </c>
      <c r="I188" s="811">
        <v>135</v>
      </c>
      <c r="J188" s="811"/>
      <c r="K188" s="811"/>
      <c r="L188" s="811"/>
      <c r="M188" s="811">
        <v>190</v>
      </c>
      <c r="N188" s="811">
        <v>244</v>
      </c>
      <c r="O188" s="811">
        <v>203</v>
      </c>
      <c r="P188" s="811"/>
      <c r="Q188" s="819"/>
      <c r="R188" s="803"/>
      <c r="S188" s="803"/>
      <c r="T188" s="803"/>
      <c r="U188" s="803"/>
      <c r="V188" s="803"/>
      <c r="W188" s="801">
        <f t="shared" si="35"/>
        <v>1116</v>
      </c>
      <c r="Y188" s="798">
        <f t="shared" ref="Y188:Y222" si="42">W188-X188</f>
        <v>1116</v>
      </c>
      <c r="AA188" s="823">
        <f>'CHAM CONG'!BA187</f>
        <v>0</v>
      </c>
      <c r="AB188" s="823">
        <f>'CHAM CONG'!BB187</f>
        <v>0</v>
      </c>
      <c r="AC188" s="823">
        <f>'CHAM CONG'!BC187</f>
        <v>0</v>
      </c>
      <c r="AD188" s="823">
        <f>'CHAM CONG'!BD187</f>
        <v>0</v>
      </c>
      <c r="AE188" s="824">
        <f t="shared" si="37"/>
        <v>491.04</v>
      </c>
      <c r="AF188" s="798">
        <f t="shared" si="38"/>
        <v>417</v>
      </c>
      <c r="AG188" s="831">
        <f t="shared" si="39"/>
        <v>338</v>
      </c>
      <c r="AH188" s="798">
        <f t="shared" si="40"/>
        <v>361</v>
      </c>
      <c r="AJ188" s="802">
        <f t="shared" si="41"/>
        <v>1116</v>
      </c>
      <c r="AU188" s="798">
        <f t="shared" si="34"/>
        <v>0</v>
      </c>
    </row>
    <row r="189" spans="1:47">
      <c r="A189" s="798">
        <v>59</v>
      </c>
      <c r="B189" s="812">
        <v>2</v>
      </c>
      <c r="C189" s="811"/>
      <c r="D189" s="811"/>
      <c r="E189" s="811"/>
      <c r="F189" s="811"/>
      <c r="G189" s="811">
        <v>0</v>
      </c>
      <c r="H189" s="811">
        <v>0</v>
      </c>
      <c r="I189" s="811">
        <v>161</v>
      </c>
      <c r="J189" s="811"/>
      <c r="K189" s="811"/>
      <c r="L189" s="811"/>
      <c r="M189" s="811">
        <v>0</v>
      </c>
      <c r="N189" s="811">
        <v>0</v>
      </c>
      <c r="O189" s="811">
        <v>0</v>
      </c>
      <c r="P189" s="811"/>
      <c r="Q189" s="819"/>
      <c r="R189" s="803"/>
      <c r="S189" s="803"/>
      <c r="T189" s="803"/>
      <c r="U189" s="803"/>
      <c r="V189" s="803"/>
      <c r="W189" s="801">
        <f t="shared" si="35"/>
        <v>161</v>
      </c>
      <c r="Y189" s="798">
        <f t="shared" si="42"/>
        <v>161</v>
      </c>
      <c r="AA189" s="823">
        <f>'CHAM CONG'!BA188</f>
        <v>0</v>
      </c>
      <c r="AB189" s="823">
        <f>'CHAM CONG'!BB188</f>
        <v>0</v>
      </c>
      <c r="AC189" s="823">
        <f>'CHAM CONG'!BC188</f>
        <v>0</v>
      </c>
      <c r="AD189" s="823">
        <f>'CHAM CONG'!BD188</f>
        <v>0</v>
      </c>
      <c r="AE189" s="824">
        <f t="shared" si="37"/>
        <v>70.84</v>
      </c>
      <c r="AF189" s="798">
        <f t="shared" si="38"/>
        <v>0</v>
      </c>
      <c r="AG189" s="831">
        <f t="shared" si="39"/>
        <v>161</v>
      </c>
      <c r="AH189" s="798">
        <f t="shared" si="40"/>
        <v>0</v>
      </c>
      <c r="AJ189" s="802">
        <f t="shared" si="41"/>
        <v>161</v>
      </c>
      <c r="AU189" s="798">
        <f t="shared" si="34"/>
        <v>0</v>
      </c>
    </row>
    <row r="190" spans="1:47">
      <c r="A190" s="798">
        <v>60</v>
      </c>
      <c r="B190" s="812">
        <v>2</v>
      </c>
      <c r="C190" s="811"/>
      <c r="D190" s="811"/>
      <c r="E190" s="811"/>
      <c r="F190" s="811"/>
      <c r="G190" s="811">
        <v>0</v>
      </c>
      <c r="H190" s="811">
        <v>0</v>
      </c>
      <c r="I190" s="811">
        <v>200</v>
      </c>
      <c r="J190" s="811"/>
      <c r="K190" s="811"/>
      <c r="L190" s="811"/>
      <c r="M190" s="811">
        <v>100</v>
      </c>
      <c r="N190" s="811">
        <v>146</v>
      </c>
      <c r="O190" s="811">
        <v>270</v>
      </c>
      <c r="P190" s="811"/>
      <c r="Q190" s="819"/>
      <c r="R190" s="803"/>
      <c r="S190" s="803"/>
      <c r="T190" s="803"/>
      <c r="U190" s="803"/>
      <c r="V190" s="803"/>
      <c r="W190" s="801">
        <f t="shared" si="35"/>
        <v>716</v>
      </c>
      <c r="Y190" s="798">
        <f t="shared" si="42"/>
        <v>716</v>
      </c>
      <c r="AA190" s="823">
        <f>'CHAM CONG'!BA189</f>
        <v>0</v>
      </c>
      <c r="AB190" s="823">
        <f>'CHAM CONG'!BB189</f>
        <v>0</v>
      </c>
      <c r="AC190" s="823">
        <f>'CHAM CONG'!BC189</f>
        <v>0</v>
      </c>
      <c r="AD190" s="823">
        <f>'CHAM CONG'!BD189</f>
        <v>0</v>
      </c>
      <c r="AE190" s="824">
        <f t="shared" si="37"/>
        <v>315.04000000000002</v>
      </c>
      <c r="AF190" s="798">
        <f t="shared" si="38"/>
        <v>146</v>
      </c>
      <c r="AG190" s="831">
        <f t="shared" si="39"/>
        <v>470</v>
      </c>
      <c r="AH190" s="798">
        <f t="shared" si="40"/>
        <v>100</v>
      </c>
      <c r="AJ190" s="802">
        <f t="shared" si="41"/>
        <v>716</v>
      </c>
      <c r="AU190" s="798">
        <f t="shared" si="34"/>
        <v>0</v>
      </c>
    </row>
    <row r="191" spans="1:47">
      <c r="A191" s="798">
        <v>61</v>
      </c>
      <c r="B191" s="812">
        <v>2</v>
      </c>
      <c r="C191" s="811"/>
      <c r="D191" s="811"/>
      <c r="E191" s="811"/>
      <c r="F191" s="811"/>
      <c r="G191" s="811">
        <v>174</v>
      </c>
      <c r="H191" s="811">
        <v>215</v>
      </c>
      <c r="I191" s="811">
        <v>185</v>
      </c>
      <c r="J191" s="811"/>
      <c r="K191" s="811"/>
      <c r="L191" s="811"/>
      <c r="M191" s="811">
        <v>144</v>
      </c>
      <c r="N191" s="811">
        <v>222</v>
      </c>
      <c r="O191" s="811">
        <v>163</v>
      </c>
      <c r="P191" s="811"/>
      <c r="Q191" s="819"/>
      <c r="R191" s="803"/>
      <c r="S191" s="803"/>
      <c r="T191" s="803"/>
      <c r="U191" s="803"/>
      <c r="V191" s="803"/>
      <c r="W191" s="801">
        <f t="shared" si="35"/>
        <v>1103</v>
      </c>
      <c r="Y191" s="798">
        <f t="shared" si="42"/>
        <v>1103</v>
      </c>
      <c r="AA191" s="823">
        <f>'CHAM CONG'!BA190</f>
        <v>0</v>
      </c>
      <c r="AB191" s="823">
        <f>'CHAM CONG'!BB190</f>
        <v>0</v>
      </c>
      <c r="AC191" s="823">
        <f>'CHAM CONG'!BC190</f>
        <v>0</v>
      </c>
      <c r="AD191" s="823">
        <f>'CHAM CONG'!BD190</f>
        <v>0</v>
      </c>
      <c r="AE191" s="824">
        <f t="shared" si="37"/>
        <v>485.32</v>
      </c>
      <c r="AF191" s="798">
        <f t="shared" si="38"/>
        <v>437</v>
      </c>
      <c r="AG191" s="831">
        <f t="shared" si="39"/>
        <v>348</v>
      </c>
      <c r="AH191" s="798">
        <f t="shared" si="40"/>
        <v>318</v>
      </c>
      <c r="AJ191" s="802">
        <f t="shared" si="41"/>
        <v>1103</v>
      </c>
      <c r="AU191" s="798">
        <f t="shared" si="34"/>
        <v>0</v>
      </c>
    </row>
    <row r="192" spans="1:47" s="9" customFormat="1">
      <c r="A192" s="9">
        <v>62</v>
      </c>
      <c r="B192" s="812">
        <v>2</v>
      </c>
      <c r="C192" s="811"/>
      <c r="D192" s="811"/>
      <c r="E192" s="811"/>
      <c r="F192" s="811"/>
      <c r="G192" s="811">
        <v>218</v>
      </c>
      <c r="H192" s="811">
        <v>207</v>
      </c>
      <c r="I192" s="811">
        <v>0</v>
      </c>
      <c r="J192" s="811"/>
      <c r="K192" s="811"/>
      <c r="L192" s="811"/>
      <c r="M192" s="811">
        <v>212</v>
      </c>
      <c r="N192" s="811">
        <v>229</v>
      </c>
      <c r="O192" s="811">
        <v>255</v>
      </c>
      <c r="P192" s="811"/>
      <c r="Q192" s="819"/>
      <c r="R192" s="811"/>
      <c r="S192" s="811"/>
      <c r="T192" s="811"/>
      <c r="U192" s="811"/>
      <c r="V192" s="811"/>
      <c r="W192" s="801">
        <f t="shared" si="35"/>
        <v>1121</v>
      </c>
      <c r="Y192" s="9">
        <f t="shared" si="42"/>
        <v>1121</v>
      </c>
      <c r="AA192" s="825">
        <f>'CHAM CONG'!BA191</f>
        <v>0</v>
      </c>
      <c r="AB192" s="825">
        <f>'CHAM CONG'!BB191</f>
        <v>0</v>
      </c>
      <c r="AC192" s="825">
        <f>'CHAM CONG'!BC191</f>
        <v>0</v>
      </c>
      <c r="AD192" s="825">
        <f>'CHAM CONG'!BD191</f>
        <v>0</v>
      </c>
      <c r="AE192" s="824">
        <f t="shared" si="37"/>
        <v>493.24</v>
      </c>
      <c r="AF192" s="798">
        <f t="shared" si="38"/>
        <v>436</v>
      </c>
      <c r="AG192" s="831">
        <f t="shared" si="39"/>
        <v>255</v>
      </c>
      <c r="AH192" s="798">
        <f t="shared" si="40"/>
        <v>430</v>
      </c>
      <c r="AI192" s="798"/>
      <c r="AJ192" s="802">
        <f t="shared" si="41"/>
        <v>1121</v>
      </c>
      <c r="AU192" s="9">
        <f t="shared" si="34"/>
        <v>0</v>
      </c>
    </row>
    <row r="193" spans="1:47">
      <c r="A193" s="798">
        <v>63</v>
      </c>
      <c r="B193" s="812">
        <v>2</v>
      </c>
      <c r="C193" s="811"/>
      <c r="D193" s="811"/>
      <c r="E193" s="811"/>
      <c r="F193" s="811"/>
      <c r="G193" s="811">
        <v>100</v>
      </c>
      <c r="H193" s="811">
        <v>72</v>
      </c>
      <c r="I193" s="811">
        <v>187</v>
      </c>
      <c r="J193" s="811"/>
      <c r="K193" s="811"/>
      <c r="L193" s="811"/>
      <c r="M193" s="811">
        <v>143</v>
      </c>
      <c r="N193" s="811">
        <v>0</v>
      </c>
      <c r="O193" s="811">
        <v>360</v>
      </c>
      <c r="P193" s="811"/>
      <c r="Q193" s="819"/>
      <c r="R193" s="803"/>
      <c r="S193" s="803"/>
      <c r="T193" s="803"/>
      <c r="U193" s="803"/>
      <c r="V193" s="803"/>
      <c r="W193" s="801">
        <f t="shared" si="35"/>
        <v>862</v>
      </c>
      <c r="Y193" s="798">
        <f t="shared" si="42"/>
        <v>862</v>
      </c>
      <c r="AA193" s="823">
        <f>'CHAM CONG'!BA192</f>
        <v>0</v>
      </c>
      <c r="AB193" s="823">
        <f>'CHAM CONG'!BB192</f>
        <v>0</v>
      </c>
      <c r="AC193" s="823">
        <f>'CHAM CONG'!BC192</f>
        <v>0</v>
      </c>
      <c r="AD193" s="823">
        <f>'CHAM CONG'!BD192</f>
        <v>0</v>
      </c>
      <c r="AE193" s="824">
        <f t="shared" si="37"/>
        <v>379.28</v>
      </c>
      <c r="AF193" s="798">
        <f t="shared" si="38"/>
        <v>72</v>
      </c>
      <c r="AG193" s="831">
        <f t="shared" si="39"/>
        <v>547</v>
      </c>
      <c r="AH193" s="798">
        <f t="shared" si="40"/>
        <v>243</v>
      </c>
      <c r="AJ193" s="802">
        <f t="shared" si="41"/>
        <v>862</v>
      </c>
      <c r="AU193" s="798">
        <f t="shared" si="34"/>
        <v>0</v>
      </c>
    </row>
    <row r="194" spans="1:47">
      <c r="A194" s="798">
        <v>64</v>
      </c>
      <c r="B194" s="812">
        <v>2</v>
      </c>
      <c r="C194" s="811"/>
      <c r="D194" s="811"/>
      <c r="E194" s="811"/>
      <c r="F194" s="811"/>
      <c r="G194" s="811">
        <v>0</v>
      </c>
      <c r="H194" s="811">
        <v>121</v>
      </c>
      <c r="I194" s="811">
        <v>211</v>
      </c>
      <c r="J194" s="811"/>
      <c r="K194" s="811"/>
      <c r="L194" s="811"/>
      <c r="M194" s="811">
        <v>175</v>
      </c>
      <c r="N194" s="811">
        <v>210</v>
      </c>
      <c r="O194" s="811">
        <v>232</v>
      </c>
      <c r="P194" s="811"/>
      <c r="Q194" s="819"/>
      <c r="R194" s="803"/>
      <c r="S194" s="803"/>
      <c r="T194" s="803"/>
      <c r="U194" s="803"/>
      <c r="V194" s="803"/>
      <c r="W194" s="801">
        <f t="shared" si="35"/>
        <v>949</v>
      </c>
      <c r="Y194" s="798">
        <f t="shared" si="42"/>
        <v>949</v>
      </c>
      <c r="AA194" s="823">
        <f>'CHAM CONG'!BA193</f>
        <v>0</v>
      </c>
      <c r="AB194" s="823">
        <f>'CHAM CONG'!BB193</f>
        <v>0</v>
      </c>
      <c r="AC194" s="823">
        <f>'CHAM CONG'!BC193</f>
        <v>0</v>
      </c>
      <c r="AD194" s="823">
        <f>'CHAM CONG'!BD193</f>
        <v>0</v>
      </c>
      <c r="AE194" s="824">
        <f t="shared" si="37"/>
        <v>417.56</v>
      </c>
      <c r="AF194" s="798">
        <f t="shared" si="38"/>
        <v>331</v>
      </c>
      <c r="AG194" s="831">
        <f t="shared" si="39"/>
        <v>443</v>
      </c>
      <c r="AH194" s="798">
        <f t="shared" si="40"/>
        <v>175</v>
      </c>
      <c r="AJ194" s="802">
        <f t="shared" si="41"/>
        <v>949</v>
      </c>
      <c r="AU194" s="798">
        <f t="shared" ref="AU194:AU255" si="43">SUM(AS194:AT194)/10</f>
        <v>0</v>
      </c>
    </row>
    <row r="195" spans="1:47">
      <c r="A195" s="798">
        <v>65</v>
      </c>
      <c r="B195" s="812">
        <v>2</v>
      </c>
      <c r="C195" s="811"/>
      <c r="D195" s="811"/>
      <c r="E195" s="811"/>
      <c r="F195" s="811"/>
      <c r="G195" s="811">
        <v>0</v>
      </c>
      <c r="H195" s="811">
        <v>246</v>
      </c>
      <c r="I195" s="811">
        <v>0</v>
      </c>
      <c r="J195" s="811"/>
      <c r="K195" s="811"/>
      <c r="L195" s="811"/>
      <c r="M195" s="811">
        <v>100</v>
      </c>
      <c r="N195" s="811">
        <v>279</v>
      </c>
      <c r="O195" s="811">
        <v>245</v>
      </c>
      <c r="P195" s="811"/>
      <c r="Q195" s="819"/>
      <c r="R195" s="803"/>
      <c r="S195" s="803"/>
      <c r="T195" s="803"/>
      <c r="U195" s="803"/>
      <c r="V195" s="803"/>
      <c r="W195" s="801">
        <f t="shared" si="35"/>
        <v>870</v>
      </c>
      <c r="Y195" s="798">
        <f t="shared" si="42"/>
        <v>870</v>
      </c>
      <c r="AA195" s="823">
        <f>'CHAM CONG'!BA194</f>
        <v>0</v>
      </c>
      <c r="AB195" s="823">
        <f>'CHAM CONG'!BB194</f>
        <v>0</v>
      </c>
      <c r="AC195" s="823">
        <f>'CHAM CONG'!BC194</f>
        <v>0</v>
      </c>
      <c r="AD195" s="823">
        <f>'CHAM CONG'!BD194</f>
        <v>0</v>
      </c>
      <c r="AE195" s="824">
        <f t="shared" si="37"/>
        <v>382.8</v>
      </c>
      <c r="AF195" s="798">
        <f t="shared" si="38"/>
        <v>525</v>
      </c>
      <c r="AG195" s="831">
        <f t="shared" si="39"/>
        <v>245</v>
      </c>
      <c r="AH195" s="798">
        <f t="shared" si="40"/>
        <v>100</v>
      </c>
      <c r="AJ195" s="802">
        <f t="shared" si="41"/>
        <v>870</v>
      </c>
      <c r="AU195" s="798">
        <f t="shared" si="43"/>
        <v>0</v>
      </c>
    </row>
    <row r="196" spans="1:47" s="9" customFormat="1">
      <c r="A196" s="9">
        <v>66</v>
      </c>
      <c r="B196" s="812">
        <v>2</v>
      </c>
      <c r="C196" s="811"/>
      <c r="D196" s="811"/>
      <c r="E196" s="811"/>
      <c r="F196" s="811"/>
      <c r="G196" s="811">
        <v>216</v>
      </c>
      <c r="H196" s="811">
        <v>63</v>
      </c>
      <c r="I196" s="811">
        <v>125</v>
      </c>
      <c r="J196" s="811"/>
      <c r="K196" s="811"/>
      <c r="L196" s="811"/>
      <c r="M196" s="811">
        <v>172</v>
      </c>
      <c r="N196" s="811">
        <v>0</v>
      </c>
      <c r="O196" s="811">
        <v>288</v>
      </c>
      <c r="P196" s="811"/>
      <c r="Q196" s="819"/>
      <c r="R196" s="811"/>
      <c r="S196" s="811"/>
      <c r="T196" s="811"/>
      <c r="U196" s="811"/>
      <c r="V196" s="811"/>
      <c r="W196" s="801">
        <f t="shared" si="35"/>
        <v>864</v>
      </c>
      <c r="Y196" s="9">
        <f t="shared" si="42"/>
        <v>864</v>
      </c>
      <c r="AA196" s="825">
        <f>'CHAM CONG'!BA195</f>
        <v>0</v>
      </c>
      <c r="AB196" s="825">
        <f>'CHAM CONG'!BB195</f>
        <v>0</v>
      </c>
      <c r="AC196" s="825">
        <f>'CHAM CONG'!BC195</f>
        <v>0</v>
      </c>
      <c r="AD196" s="825">
        <f>'CHAM CONG'!BD195</f>
        <v>0</v>
      </c>
      <c r="AE196" s="824">
        <f t="shared" si="37"/>
        <v>380.16</v>
      </c>
      <c r="AF196" s="798">
        <f t="shared" si="38"/>
        <v>63</v>
      </c>
      <c r="AG196" s="831">
        <f t="shared" si="39"/>
        <v>413</v>
      </c>
      <c r="AH196" s="798">
        <f t="shared" si="40"/>
        <v>388</v>
      </c>
      <c r="AI196" s="798"/>
      <c r="AJ196" s="802">
        <f t="shared" si="41"/>
        <v>864</v>
      </c>
      <c r="AU196" s="9">
        <f t="shared" si="43"/>
        <v>0</v>
      </c>
    </row>
    <row r="197" spans="1:47" s="9" customFormat="1">
      <c r="A197" s="9">
        <v>67</v>
      </c>
      <c r="B197" s="812">
        <v>2</v>
      </c>
      <c r="C197" s="811"/>
      <c r="D197" s="811"/>
      <c r="E197" s="811"/>
      <c r="F197" s="811"/>
      <c r="G197" s="811">
        <v>0</v>
      </c>
      <c r="H197" s="811">
        <v>120</v>
      </c>
      <c r="I197" s="811">
        <v>165</v>
      </c>
      <c r="J197" s="811"/>
      <c r="K197" s="811"/>
      <c r="L197" s="811"/>
      <c r="M197" s="811">
        <v>150</v>
      </c>
      <c r="N197" s="811">
        <v>154</v>
      </c>
      <c r="O197" s="811">
        <v>225</v>
      </c>
      <c r="P197" s="811"/>
      <c r="Q197" s="819"/>
      <c r="R197" s="811"/>
      <c r="S197" s="811"/>
      <c r="T197" s="811"/>
      <c r="U197" s="811"/>
      <c r="V197" s="811"/>
      <c r="W197" s="801">
        <f t="shared" si="35"/>
        <v>814</v>
      </c>
      <c r="Y197" s="9">
        <f t="shared" si="42"/>
        <v>814</v>
      </c>
      <c r="AA197" s="825">
        <f>'CHAM CONG'!BA196</f>
        <v>0</v>
      </c>
      <c r="AB197" s="825">
        <f>'CHAM CONG'!BB196</f>
        <v>0</v>
      </c>
      <c r="AC197" s="825">
        <f>'CHAM CONG'!BC196</f>
        <v>0</v>
      </c>
      <c r="AD197" s="825">
        <f>'CHAM CONG'!BD196</f>
        <v>0</v>
      </c>
      <c r="AE197" s="824">
        <f t="shared" si="37"/>
        <v>358.16</v>
      </c>
      <c r="AF197" s="798">
        <f t="shared" si="38"/>
        <v>274</v>
      </c>
      <c r="AG197" s="831">
        <f t="shared" si="39"/>
        <v>390</v>
      </c>
      <c r="AH197" s="798">
        <f t="shared" si="40"/>
        <v>150</v>
      </c>
      <c r="AI197" s="798"/>
      <c r="AJ197" s="802">
        <f t="shared" si="41"/>
        <v>814</v>
      </c>
      <c r="AU197" s="9">
        <f t="shared" si="43"/>
        <v>0</v>
      </c>
    </row>
    <row r="198" spans="1:47" s="9" customFormat="1">
      <c r="A198" s="9">
        <v>68</v>
      </c>
      <c r="B198" s="812">
        <v>2</v>
      </c>
      <c r="C198" s="811"/>
      <c r="D198" s="811"/>
      <c r="E198" s="811"/>
      <c r="F198" s="811"/>
      <c r="G198" s="811">
        <v>148</v>
      </c>
      <c r="H198" s="811">
        <v>77</v>
      </c>
      <c r="I198" s="811">
        <v>0</v>
      </c>
      <c r="J198" s="811"/>
      <c r="K198" s="811"/>
      <c r="L198" s="811"/>
      <c r="M198" s="811">
        <v>163</v>
      </c>
      <c r="N198" s="811">
        <v>0</v>
      </c>
      <c r="O198" s="811">
        <v>408</v>
      </c>
      <c r="P198" s="811"/>
      <c r="Q198" s="819"/>
      <c r="R198" s="811"/>
      <c r="S198" s="811"/>
      <c r="T198" s="811"/>
      <c r="U198" s="811"/>
      <c r="V198" s="811"/>
      <c r="W198" s="801">
        <f t="shared" si="35"/>
        <v>796</v>
      </c>
      <c r="Y198" s="9">
        <f t="shared" si="42"/>
        <v>796</v>
      </c>
      <c r="AA198" s="825">
        <f>'CHAM CONG'!BA197</f>
        <v>0</v>
      </c>
      <c r="AB198" s="825">
        <f>'CHAM CONG'!BB197</f>
        <v>0</v>
      </c>
      <c r="AC198" s="825">
        <f>'CHAM CONG'!BC197</f>
        <v>0</v>
      </c>
      <c r="AD198" s="825">
        <f>'CHAM CONG'!BD197</f>
        <v>0</v>
      </c>
      <c r="AE198" s="824">
        <f t="shared" si="37"/>
        <v>350.24</v>
      </c>
      <c r="AF198" s="798">
        <f t="shared" si="38"/>
        <v>77</v>
      </c>
      <c r="AG198" s="831">
        <f t="shared" si="39"/>
        <v>408</v>
      </c>
      <c r="AH198" s="798">
        <f t="shared" si="40"/>
        <v>311</v>
      </c>
      <c r="AI198" s="798"/>
      <c r="AJ198" s="802">
        <f t="shared" si="41"/>
        <v>796</v>
      </c>
      <c r="AU198" s="9">
        <f t="shared" si="43"/>
        <v>0</v>
      </c>
    </row>
    <row r="199" spans="1:47" s="9" customFormat="1">
      <c r="A199" s="9">
        <v>69</v>
      </c>
      <c r="B199" s="812">
        <v>2</v>
      </c>
      <c r="C199" s="811"/>
      <c r="D199" s="811"/>
      <c r="E199" s="811"/>
      <c r="F199" s="811"/>
      <c r="G199" s="811">
        <v>71</v>
      </c>
      <c r="H199" s="811">
        <v>126</v>
      </c>
      <c r="I199" s="811">
        <v>77</v>
      </c>
      <c r="J199" s="811"/>
      <c r="K199" s="811"/>
      <c r="L199" s="811"/>
      <c r="M199" s="811">
        <v>152</v>
      </c>
      <c r="N199" s="811">
        <v>150</v>
      </c>
      <c r="O199" s="811">
        <v>163</v>
      </c>
      <c r="P199" s="811"/>
      <c r="Q199" s="819"/>
      <c r="R199" s="811"/>
      <c r="S199" s="811"/>
      <c r="T199" s="811"/>
      <c r="U199" s="811"/>
      <c r="V199" s="811"/>
      <c r="W199" s="801">
        <f t="shared" si="35"/>
        <v>739</v>
      </c>
      <c r="Y199" s="9">
        <f t="shared" si="42"/>
        <v>739</v>
      </c>
      <c r="AA199" s="825">
        <f>'CHAM CONG'!BA198</f>
        <v>0</v>
      </c>
      <c r="AB199" s="825">
        <f>'CHAM CONG'!BB198</f>
        <v>0</v>
      </c>
      <c r="AC199" s="825">
        <f>'CHAM CONG'!BC198</f>
        <v>0</v>
      </c>
      <c r="AD199" s="825">
        <f>'CHAM CONG'!BD198</f>
        <v>0</v>
      </c>
      <c r="AE199" s="824">
        <f t="shared" si="37"/>
        <v>325.16000000000003</v>
      </c>
      <c r="AF199" s="798">
        <f t="shared" si="38"/>
        <v>276</v>
      </c>
      <c r="AG199" s="831">
        <f t="shared" si="39"/>
        <v>240</v>
      </c>
      <c r="AH199" s="798">
        <f t="shared" si="40"/>
        <v>223</v>
      </c>
      <c r="AI199" s="798"/>
      <c r="AJ199" s="802">
        <f t="shared" si="41"/>
        <v>739</v>
      </c>
      <c r="AU199" s="9">
        <f t="shared" si="43"/>
        <v>0</v>
      </c>
    </row>
    <row r="200" spans="1:47" s="9" customFormat="1">
      <c r="A200" s="9">
        <v>70</v>
      </c>
      <c r="B200" s="812">
        <v>2</v>
      </c>
      <c r="C200" s="811"/>
      <c r="D200" s="811"/>
      <c r="E200" s="811"/>
      <c r="F200" s="811"/>
      <c r="G200" s="811">
        <v>0</v>
      </c>
      <c r="H200" s="811">
        <v>51</v>
      </c>
      <c r="I200" s="811">
        <v>94</v>
      </c>
      <c r="J200" s="811"/>
      <c r="K200" s="811"/>
      <c r="L200" s="811"/>
      <c r="M200" s="811">
        <v>126</v>
      </c>
      <c r="N200" s="811">
        <v>188</v>
      </c>
      <c r="O200" s="811">
        <v>222</v>
      </c>
      <c r="P200" s="811"/>
      <c r="Q200" s="819"/>
      <c r="R200" s="811"/>
      <c r="S200" s="811"/>
      <c r="T200" s="811"/>
      <c r="U200" s="811"/>
      <c r="V200" s="811"/>
      <c r="W200" s="801">
        <f t="shared" si="35"/>
        <v>681</v>
      </c>
      <c r="Y200" s="9">
        <f t="shared" si="42"/>
        <v>681</v>
      </c>
      <c r="AA200" s="825">
        <f>'CHAM CONG'!BA199</f>
        <v>0</v>
      </c>
      <c r="AB200" s="825">
        <f>'CHAM CONG'!BB199</f>
        <v>0</v>
      </c>
      <c r="AC200" s="825">
        <f>'CHAM CONG'!BC199</f>
        <v>0</v>
      </c>
      <c r="AD200" s="825">
        <f>'CHAM CONG'!BD199</f>
        <v>0</v>
      </c>
      <c r="AE200" s="824">
        <f t="shared" si="37"/>
        <v>299.64</v>
      </c>
      <c r="AF200" s="798">
        <f t="shared" si="38"/>
        <v>239</v>
      </c>
      <c r="AG200" s="831">
        <f t="shared" si="39"/>
        <v>316</v>
      </c>
      <c r="AH200" s="798">
        <f t="shared" si="40"/>
        <v>126</v>
      </c>
      <c r="AI200" s="798"/>
      <c r="AJ200" s="802">
        <f t="shared" si="41"/>
        <v>681</v>
      </c>
      <c r="AU200" s="9">
        <f t="shared" si="43"/>
        <v>0</v>
      </c>
    </row>
    <row r="201" spans="1:47" s="9" customFormat="1">
      <c r="A201" s="9">
        <v>71</v>
      </c>
      <c r="B201" s="812">
        <v>2</v>
      </c>
      <c r="C201" s="811"/>
      <c r="D201" s="811"/>
      <c r="E201" s="811"/>
      <c r="F201" s="811"/>
      <c r="G201" s="811">
        <v>0</v>
      </c>
      <c r="H201" s="811">
        <v>268</v>
      </c>
      <c r="I201" s="811">
        <v>131</v>
      </c>
      <c r="J201" s="811"/>
      <c r="K201" s="811"/>
      <c r="L201" s="811"/>
      <c r="M201" s="811">
        <v>160</v>
      </c>
      <c r="N201" s="811">
        <v>193</v>
      </c>
      <c r="O201" s="811">
        <v>216</v>
      </c>
      <c r="P201" s="811"/>
      <c r="Q201" s="819"/>
      <c r="R201" s="811"/>
      <c r="S201" s="811"/>
      <c r="T201" s="811"/>
      <c r="U201" s="811"/>
      <c r="V201" s="811"/>
      <c r="W201" s="801">
        <f t="shared" si="35"/>
        <v>968</v>
      </c>
      <c r="Y201" s="9">
        <f t="shared" si="42"/>
        <v>968</v>
      </c>
      <c r="AA201" s="825">
        <f>'CHAM CONG'!BA200</f>
        <v>0</v>
      </c>
      <c r="AB201" s="825">
        <f>'CHAM CONG'!BB200</f>
        <v>0</v>
      </c>
      <c r="AC201" s="825">
        <f>'CHAM CONG'!BC200</f>
        <v>0</v>
      </c>
      <c r="AD201" s="825">
        <f>'CHAM CONG'!BD200</f>
        <v>0</v>
      </c>
      <c r="AE201" s="824">
        <f t="shared" si="37"/>
        <v>425.92</v>
      </c>
      <c r="AF201" s="798">
        <f t="shared" si="38"/>
        <v>461</v>
      </c>
      <c r="AG201" s="831">
        <f t="shared" si="39"/>
        <v>347</v>
      </c>
      <c r="AH201" s="798">
        <f t="shared" si="40"/>
        <v>160</v>
      </c>
      <c r="AI201" s="798"/>
      <c r="AJ201" s="802">
        <f t="shared" si="41"/>
        <v>968</v>
      </c>
      <c r="AU201" s="9">
        <f t="shared" si="43"/>
        <v>0</v>
      </c>
    </row>
    <row r="202" spans="1:47" s="9" customFormat="1">
      <c r="A202" s="9">
        <v>72</v>
      </c>
      <c r="B202" s="812">
        <v>2</v>
      </c>
      <c r="C202" s="811"/>
      <c r="D202" s="811"/>
      <c r="E202" s="811"/>
      <c r="F202" s="811"/>
      <c r="G202" s="811">
        <v>0</v>
      </c>
      <c r="H202" s="811">
        <v>198</v>
      </c>
      <c r="I202" s="811">
        <v>131</v>
      </c>
      <c r="J202" s="811"/>
      <c r="K202" s="811"/>
      <c r="L202" s="811"/>
      <c r="M202" s="811">
        <v>164</v>
      </c>
      <c r="N202" s="811">
        <v>188</v>
      </c>
      <c r="O202" s="811">
        <v>188</v>
      </c>
      <c r="P202" s="811"/>
      <c r="Q202" s="819"/>
      <c r="R202" s="811"/>
      <c r="S202" s="811"/>
      <c r="T202" s="811"/>
      <c r="U202" s="811"/>
      <c r="V202" s="811"/>
      <c r="W202" s="801">
        <f t="shared" si="35"/>
        <v>869</v>
      </c>
      <c r="Y202" s="9">
        <f t="shared" si="42"/>
        <v>869</v>
      </c>
      <c r="AA202" s="825">
        <f>'CHAM CONG'!BA201</f>
        <v>0</v>
      </c>
      <c r="AB202" s="825">
        <f>'CHAM CONG'!BB201</f>
        <v>0</v>
      </c>
      <c r="AC202" s="825">
        <f>'CHAM CONG'!BC201</f>
        <v>0</v>
      </c>
      <c r="AD202" s="825">
        <f>'CHAM CONG'!BD201</f>
        <v>0</v>
      </c>
      <c r="AE202" s="824">
        <f t="shared" si="37"/>
        <v>382.36</v>
      </c>
      <c r="AF202" s="798">
        <f t="shared" si="38"/>
        <v>386</v>
      </c>
      <c r="AG202" s="831">
        <f t="shared" si="39"/>
        <v>319</v>
      </c>
      <c r="AH202" s="798">
        <f t="shared" si="40"/>
        <v>164</v>
      </c>
      <c r="AI202" s="798"/>
      <c r="AJ202" s="802">
        <f t="shared" si="41"/>
        <v>869</v>
      </c>
      <c r="AU202" s="9">
        <f t="shared" si="43"/>
        <v>0</v>
      </c>
    </row>
    <row r="203" spans="1:47" s="9" customFormat="1">
      <c r="A203" s="9">
        <v>73</v>
      </c>
      <c r="B203" s="812">
        <v>2</v>
      </c>
      <c r="C203" s="811"/>
      <c r="D203" s="811"/>
      <c r="E203" s="811"/>
      <c r="F203" s="811"/>
      <c r="G203" s="811">
        <v>0</v>
      </c>
      <c r="H203" s="811">
        <v>250</v>
      </c>
      <c r="I203" s="811">
        <v>124</v>
      </c>
      <c r="J203" s="811"/>
      <c r="K203" s="811"/>
      <c r="L203" s="811"/>
      <c r="M203" s="811">
        <v>65</v>
      </c>
      <c r="N203" s="811">
        <v>152</v>
      </c>
      <c r="O203" s="811">
        <v>255</v>
      </c>
      <c r="P203" s="811"/>
      <c r="Q203" s="819"/>
      <c r="R203" s="811"/>
      <c r="S203" s="811"/>
      <c r="T203" s="811"/>
      <c r="U203" s="811"/>
      <c r="V203" s="811"/>
      <c r="W203" s="801">
        <f t="shared" si="35"/>
        <v>846</v>
      </c>
      <c r="Y203" s="9">
        <f t="shared" si="42"/>
        <v>846</v>
      </c>
      <c r="AA203" s="825">
        <f>'CHAM CONG'!BA202</f>
        <v>0</v>
      </c>
      <c r="AB203" s="825">
        <f>'CHAM CONG'!BB202</f>
        <v>0</v>
      </c>
      <c r="AC203" s="825">
        <f>'CHAM CONG'!BC202</f>
        <v>0</v>
      </c>
      <c r="AD203" s="825">
        <f>'CHAM CONG'!BD202</f>
        <v>0</v>
      </c>
      <c r="AE203" s="824">
        <f t="shared" si="37"/>
        <v>372.24</v>
      </c>
      <c r="AF203" s="798">
        <f t="shared" si="38"/>
        <v>402</v>
      </c>
      <c r="AG203" s="831">
        <f t="shared" si="39"/>
        <v>379</v>
      </c>
      <c r="AH203" s="798">
        <f t="shared" si="40"/>
        <v>65</v>
      </c>
      <c r="AI203" s="798"/>
      <c r="AJ203" s="802">
        <f t="shared" si="41"/>
        <v>846</v>
      </c>
      <c r="AU203" s="9">
        <f t="shared" si="43"/>
        <v>0</v>
      </c>
    </row>
    <row r="204" spans="1:47" s="9" customFormat="1">
      <c r="A204" s="9">
        <v>74</v>
      </c>
      <c r="B204" s="812">
        <v>2</v>
      </c>
      <c r="C204" s="811"/>
      <c r="D204" s="811"/>
      <c r="E204" s="811"/>
      <c r="F204" s="811"/>
      <c r="G204" s="811">
        <v>0</v>
      </c>
      <c r="H204" s="811">
        <v>280</v>
      </c>
      <c r="I204" s="811">
        <v>122</v>
      </c>
      <c r="J204" s="811"/>
      <c r="K204" s="811"/>
      <c r="L204" s="811"/>
      <c r="M204" s="811">
        <v>90</v>
      </c>
      <c r="N204" s="811">
        <v>211</v>
      </c>
      <c r="O204" s="811">
        <v>287</v>
      </c>
      <c r="P204" s="811"/>
      <c r="Q204" s="819"/>
      <c r="R204" s="811"/>
      <c r="S204" s="811"/>
      <c r="T204" s="811"/>
      <c r="U204" s="811"/>
      <c r="V204" s="811"/>
      <c r="W204" s="801">
        <f t="shared" si="35"/>
        <v>990</v>
      </c>
      <c r="Y204" s="9">
        <f t="shared" si="42"/>
        <v>990</v>
      </c>
      <c r="AA204" s="825">
        <f>'CHAM CONG'!BA203</f>
        <v>0</v>
      </c>
      <c r="AB204" s="825">
        <f>'CHAM CONG'!BB203</f>
        <v>0</v>
      </c>
      <c r="AC204" s="825">
        <f>'CHAM CONG'!BC203</f>
        <v>0</v>
      </c>
      <c r="AD204" s="825">
        <f>'CHAM CONG'!BD203</f>
        <v>0</v>
      </c>
      <c r="AE204" s="824">
        <f t="shared" si="37"/>
        <v>435.6</v>
      </c>
      <c r="AF204" s="798">
        <f t="shared" si="38"/>
        <v>491</v>
      </c>
      <c r="AG204" s="831">
        <f t="shared" si="39"/>
        <v>409</v>
      </c>
      <c r="AH204" s="798">
        <f t="shared" si="40"/>
        <v>90</v>
      </c>
      <c r="AI204" s="798"/>
      <c r="AJ204" s="802">
        <f t="shared" si="41"/>
        <v>990</v>
      </c>
      <c r="AU204" s="9">
        <f t="shared" si="43"/>
        <v>0</v>
      </c>
    </row>
    <row r="205" spans="1:47" s="9" customFormat="1">
      <c r="A205" s="9">
        <v>75</v>
      </c>
      <c r="B205" s="812">
        <v>2</v>
      </c>
      <c r="C205" s="811"/>
      <c r="D205" s="811"/>
      <c r="E205" s="811"/>
      <c r="F205" s="811"/>
      <c r="G205" s="811">
        <v>0</v>
      </c>
      <c r="H205" s="811">
        <v>250</v>
      </c>
      <c r="I205" s="811">
        <v>141</v>
      </c>
      <c r="J205" s="811"/>
      <c r="K205" s="811"/>
      <c r="L205" s="811"/>
      <c r="M205" s="811">
        <v>83</v>
      </c>
      <c r="N205" s="811">
        <v>235</v>
      </c>
      <c r="O205" s="811">
        <v>287</v>
      </c>
      <c r="P205" s="811"/>
      <c r="Q205" s="819"/>
      <c r="R205" s="811"/>
      <c r="S205" s="811"/>
      <c r="T205" s="811"/>
      <c r="U205" s="811"/>
      <c r="V205" s="811"/>
      <c r="W205" s="801">
        <f t="shared" si="35"/>
        <v>996</v>
      </c>
      <c r="Y205" s="9">
        <f t="shared" si="42"/>
        <v>996</v>
      </c>
      <c r="AA205" s="825">
        <f>'CHAM CONG'!BA204</f>
        <v>0</v>
      </c>
      <c r="AB205" s="825">
        <f>'CHAM CONG'!BB204</f>
        <v>0</v>
      </c>
      <c r="AC205" s="825">
        <f>'CHAM CONG'!BC204</f>
        <v>0</v>
      </c>
      <c r="AD205" s="825">
        <f>'CHAM CONG'!BD204</f>
        <v>0</v>
      </c>
      <c r="AE205" s="824">
        <f t="shared" si="37"/>
        <v>438.24</v>
      </c>
      <c r="AF205" s="798">
        <f t="shared" si="38"/>
        <v>485</v>
      </c>
      <c r="AG205" s="831">
        <f t="shared" si="39"/>
        <v>428</v>
      </c>
      <c r="AH205" s="798">
        <f t="shared" si="40"/>
        <v>83</v>
      </c>
      <c r="AI205" s="798"/>
      <c r="AJ205" s="802">
        <f t="shared" si="41"/>
        <v>996</v>
      </c>
      <c r="AU205" s="9">
        <f t="shared" si="43"/>
        <v>0</v>
      </c>
    </row>
    <row r="206" spans="1:47" s="9" customFormat="1">
      <c r="A206" s="9">
        <v>76</v>
      </c>
      <c r="B206" s="812">
        <v>2</v>
      </c>
      <c r="C206" s="811"/>
      <c r="D206" s="811"/>
      <c r="E206" s="811"/>
      <c r="F206" s="811"/>
      <c r="G206" s="811">
        <v>78</v>
      </c>
      <c r="H206" s="811">
        <v>150</v>
      </c>
      <c r="I206" s="811">
        <v>144</v>
      </c>
      <c r="J206" s="811"/>
      <c r="K206" s="811"/>
      <c r="L206" s="811"/>
      <c r="M206" s="811">
        <v>59</v>
      </c>
      <c r="N206" s="811">
        <v>163</v>
      </c>
      <c r="O206" s="811">
        <v>76</v>
      </c>
      <c r="P206" s="811"/>
      <c r="Q206" s="819"/>
      <c r="R206" s="811"/>
      <c r="S206" s="811"/>
      <c r="T206" s="811"/>
      <c r="U206" s="811"/>
      <c r="V206" s="811"/>
      <c r="W206" s="801">
        <f t="shared" si="35"/>
        <v>670</v>
      </c>
      <c r="Y206" s="9">
        <f t="shared" si="42"/>
        <v>670</v>
      </c>
      <c r="AA206" s="825">
        <f>'CHAM CONG'!BA205</f>
        <v>0</v>
      </c>
      <c r="AB206" s="825">
        <f>'CHAM CONG'!BB205</f>
        <v>0</v>
      </c>
      <c r="AC206" s="825">
        <f>'CHAM CONG'!BC205</f>
        <v>0</v>
      </c>
      <c r="AD206" s="825">
        <f>'CHAM CONG'!BD205</f>
        <v>0</v>
      </c>
      <c r="AE206" s="824">
        <f t="shared" si="37"/>
        <v>294.8</v>
      </c>
      <c r="AF206" s="798">
        <f t="shared" si="38"/>
        <v>313</v>
      </c>
      <c r="AG206" s="831">
        <f t="shared" si="39"/>
        <v>220</v>
      </c>
      <c r="AH206" s="798">
        <f t="shared" si="40"/>
        <v>137</v>
      </c>
      <c r="AI206" s="798"/>
      <c r="AJ206" s="802">
        <f t="shared" si="41"/>
        <v>670</v>
      </c>
      <c r="AU206" s="9">
        <f t="shared" si="43"/>
        <v>0</v>
      </c>
    </row>
    <row r="207" spans="1:47" s="9" customFormat="1">
      <c r="A207" s="9">
        <v>77</v>
      </c>
      <c r="B207" s="812">
        <v>2</v>
      </c>
      <c r="C207" s="811"/>
      <c r="D207" s="811"/>
      <c r="E207" s="811"/>
      <c r="F207" s="811"/>
      <c r="G207" s="811">
        <v>147</v>
      </c>
      <c r="H207" s="811">
        <v>200</v>
      </c>
      <c r="I207" s="811">
        <v>0</v>
      </c>
      <c r="J207" s="811"/>
      <c r="K207" s="811"/>
      <c r="L207" s="811"/>
      <c r="M207" s="811">
        <v>148</v>
      </c>
      <c r="N207" s="811">
        <v>229</v>
      </c>
      <c r="O207" s="811">
        <v>236</v>
      </c>
      <c r="P207" s="811"/>
      <c r="Q207" s="819"/>
      <c r="R207" s="811"/>
      <c r="S207" s="811"/>
      <c r="T207" s="811"/>
      <c r="U207" s="811"/>
      <c r="V207" s="811"/>
      <c r="W207" s="801">
        <f t="shared" si="35"/>
        <v>960</v>
      </c>
      <c r="Y207" s="9">
        <f t="shared" si="42"/>
        <v>960</v>
      </c>
      <c r="AA207" s="825">
        <f>'CHAM CONG'!BA206</f>
        <v>0</v>
      </c>
      <c r="AB207" s="825">
        <f>'CHAM CONG'!BB206</f>
        <v>0</v>
      </c>
      <c r="AC207" s="825">
        <f>'CHAM CONG'!BC206</f>
        <v>0</v>
      </c>
      <c r="AD207" s="825">
        <f>'CHAM CONG'!BD206</f>
        <v>0</v>
      </c>
      <c r="AE207" s="824">
        <f t="shared" si="37"/>
        <v>422.4</v>
      </c>
      <c r="AF207" s="798">
        <f t="shared" si="38"/>
        <v>429</v>
      </c>
      <c r="AG207" s="831">
        <f t="shared" si="39"/>
        <v>236</v>
      </c>
      <c r="AH207" s="798">
        <f t="shared" si="40"/>
        <v>295</v>
      </c>
      <c r="AI207" s="798"/>
      <c r="AJ207" s="802">
        <f t="shared" si="41"/>
        <v>960</v>
      </c>
      <c r="AU207" s="9">
        <f t="shared" si="43"/>
        <v>0</v>
      </c>
    </row>
    <row r="208" spans="1:47" s="9" customFormat="1">
      <c r="A208" s="9">
        <v>78</v>
      </c>
      <c r="B208" s="812">
        <v>2</v>
      </c>
      <c r="C208" s="811"/>
      <c r="D208" s="811"/>
      <c r="E208" s="811"/>
      <c r="F208" s="811"/>
      <c r="G208" s="811">
        <v>0</v>
      </c>
      <c r="H208" s="811">
        <v>178</v>
      </c>
      <c r="I208" s="811">
        <v>138</v>
      </c>
      <c r="J208" s="811"/>
      <c r="K208" s="811"/>
      <c r="L208" s="811"/>
      <c r="M208" s="811">
        <v>49</v>
      </c>
      <c r="N208" s="811">
        <v>158</v>
      </c>
      <c r="O208" s="811">
        <v>128</v>
      </c>
      <c r="P208" s="811"/>
      <c r="Q208" s="819"/>
      <c r="R208" s="811"/>
      <c r="S208" s="811"/>
      <c r="T208" s="811"/>
      <c r="U208" s="811"/>
      <c r="V208" s="811"/>
      <c r="W208" s="801">
        <f t="shared" si="35"/>
        <v>651</v>
      </c>
      <c r="Y208" s="9">
        <f t="shared" si="42"/>
        <v>651</v>
      </c>
      <c r="AA208" s="825">
        <f>'CHAM CONG'!BA207</f>
        <v>0</v>
      </c>
      <c r="AB208" s="825">
        <f>'CHAM CONG'!BB207</f>
        <v>0</v>
      </c>
      <c r="AC208" s="825">
        <f>'CHAM CONG'!BC207</f>
        <v>0</v>
      </c>
      <c r="AD208" s="825">
        <f>'CHAM CONG'!BD207</f>
        <v>0</v>
      </c>
      <c r="AE208" s="824">
        <f t="shared" si="37"/>
        <v>286.44</v>
      </c>
      <c r="AF208" s="798">
        <f t="shared" si="38"/>
        <v>336</v>
      </c>
      <c r="AG208" s="831">
        <f t="shared" si="39"/>
        <v>266</v>
      </c>
      <c r="AH208" s="798">
        <f t="shared" si="40"/>
        <v>49</v>
      </c>
      <c r="AI208" s="798"/>
      <c r="AJ208" s="802">
        <f t="shared" si="41"/>
        <v>651</v>
      </c>
      <c r="AU208" s="9">
        <f t="shared" si="43"/>
        <v>0</v>
      </c>
    </row>
    <row r="209" spans="1:47" s="9" customFormat="1">
      <c r="A209" s="9">
        <v>79</v>
      </c>
      <c r="B209" s="812">
        <v>2</v>
      </c>
      <c r="C209" s="811"/>
      <c r="D209" s="811"/>
      <c r="E209" s="811"/>
      <c r="F209" s="811"/>
      <c r="G209" s="811">
        <v>83</v>
      </c>
      <c r="H209" s="811">
        <v>146</v>
      </c>
      <c r="I209" s="811">
        <v>127</v>
      </c>
      <c r="J209" s="811"/>
      <c r="K209" s="811"/>
      <c r="L209" s="811"/>
      <c r="M209" s="811">
        <v>56</v>
      </c>
      <c r="N209" s="811">
        <v>246</v>
      </c>
      <c r="O209" s="811">
        <v>85</v>
      </c>
      <c r="P209" s="811"/>
      <c r="Q209" s="819"/>
      <c r="R209" s="811"/>
      <c r="S209" s="811"/>
      <c r="T209" s="811"/>
      <c r="U209" s="811"/>
      <c r="V209" s="811"/>
      <c r="W209" s="801">
        <f t="shared" si="35"/>
        <v>743</v>
      </c>
      <c r="Y209" s="9">
        <f t="shared" si="42"/>
        <v>743</v>
      </c>
      <c r="AA209" s="825">
        <f>'CHAM CONG'!BA208</f>
        <v>0</v>
      </c>
      <c r="AB209" s="825">
        <f>'CHAM CONG'!BB208</f>
        <v>0</v>
      </c>
      <c r="AC209" s="825">
        <f>'CHAM CONG'!BC208</f>
        <v>0</v>
      </c>
      <c r="AD209" s="825">
        <f>'CHAM CONG'!BD208</f>
        <v>0</v>
      </c>
      <c r="AE209" s="824">
        <f t="shared" si="37"/>
        <v>326.92</v>
      </c>
      <c r="AF209" s="798">
        <f t="shared" si="38"/>
        <v>392</v>
      </c>
      <c r="AG209" s="831">
        <f t="shared" si="39"/>
        <v>212</v>
      </c>
      <c r="AH209" s="798">
        <f t="shared" si="40"/>
        <v>139</v>
      </c>
      <c r="AI209" s="798"/>
      <c r="AJ209" s="802">
        <f t="shared" si="41"/>
        <v>743</v>
      </c>
      <c r="AU209" s="9">
        <f t="shared" si="43"/>
        <v>0</v>
      </c>
    </row>
    <row r="210" spans="1:47" s="9" customFormat="1">
      <c r="A210" s="9">
        <v>80</v>
      </c>
      <c r="B210" s="812">
        <v>2</v>
      </c>
      <c r="C210" s="811"/>
      <c r="D210" s="811"/>
      <c r="E210" s="811"/>
      <c r="F210" s="811"/>
      <c r="G210" s="811">
        <v>0</v>
      </c>
      <c r="H210" s="811">
        <v>272</v>
      </c>
      <c r="I210" s="811">
        <v>105</v>
      </c>
      <c r="J210" s="811"/>
      <c r="K210" s="811"/>
      <c r="L210" s="811"/>
      <c r="M210" s="811">
        <v>95</v>
      </c>
      <c r="N210" s="811">
        <v>217</v>
      </c>
      <c r="O210" s="811">
        <v>206</v>
      </c>
      <c r="P210" s="811"/>
      <c r="Q210" s="819"/>
      <c r="R210" s="811"/>
      <c r="S210" s="811"/>
      <c r="T210" s="811"/>
      <c r="U210" s="811"/>
      <c r="V210" s="811"/>
      <c r="W210" s="801">
        <f t="shared" si="35"/>
        <v>895</v>
      </c>
      <c r="Y210" s="9">
        <f t="shared" si="42"/>
        <v>895</v>
      </c>
      <c r="AA210" s="825">
        <f>'CHAM CONG'!BA209</f>
        <v>0</v>
      </c>
      <c r="AB210" s="825">
        <f>'CHAM CONG'!BB209</f>
        <v>0</v>
      </c>
      <c r="AC210" s="825">
        <f>'CHAM CONG'!BC209</f>
        <v>0</v>
      </c>
      <c r="AD210" s="825">
        <f>'CHAM CONG'!BD209</f>
        <v>0</v>
      </c>
      <c r="AE210" s="824">
        <f t="shared" si="37"/>
        <v>393.8</v>
      </c>
      <c r="AF210" s="798">
        <f t="shared" si="38"/>
        <v>489</v>
      </c>
      <c r="AG210" s="831">
        <f t="shared" si="39"/>
        <v>311</v>
      </c>
      <c r="AH210" s="798">
        <f t="shared" si="40"/>
        <v>95</v>
      </c>
      <c r="AI210" s="798"/>
      <c r="AJ210" s="802">
        <f t="shared" si="41"/>
        <v>895</v>
      </c>
      <c r="AU210" s="9">
        <f t="shared" si="43"/>
        <v>0</v>
      </c>
    </row>
    <row r="211" spans="1:47" s="9" customFormat="1">
      <c r="A211" s="9">
        <v>81</v>
      </c>
      <c r="B211" s="812">
        <v>2</v>
      </c>
      <c r="C211" s="811"/>
      <c r="D211" s="811"/>
      <c r="E211" s="811"/>
      <c r="F211" s="811"/>
      <c r="G211" s="811">
        <v>0</v>
      </c>
      <c r="H211" s="811">
        <v>262</v>
      </c>
      <c r="I211" s="811">
        <v>138</v>
      </c>
      <c r="J211" s="811"/>
      <c r="K211" s="811"/>
      <c r="L211" s="811"/>
      <c r="M211" s="811">
        <v>95</v>
      </c>
      <c r="N211" s="811">
        <v>211</v>
      </c>
      <c r="O211" s="811">
        <v>235</v>
      </c>
      <c r="P211" s="811"/>
      <c r="Q211" s="819"/>
      <c r="R211" s="811"/>
      <c r="S211" s="811"/>
      <c r="T211" s="811"/>
      <c r="U211" s="811"/>
      <c r="V211" s="811"/>
      <c r="W211" s="801">
        <f t="shared" si="35"/>
        <v>941</v>
      </c>
      <c r="Y211" s="9">
        <f t="shared" si="42"/>
        <v>941</v>
      </c>
      <c r="AA211" s="825">
        <f>'CHAM CONG'!BA210</f>
        <v>0</v>
      </c>
      <c r="AB211" s="825">
        <f>'CHAM CONG'!BB210</f>
        <v>0</v>
      </c>
      <c r="AC211" s="825">
        <f>'CHAM CONG'!BC210</f>
        <v>0</v>
      </c>
      <c r="AD211" s="825">
        <f>'CHAM CONG'!BD210</f>
        <v>0</v>
      </c>
      <c r="AE211" s="824">
        <f t="shared" si="37"/>
        <v>414.04</v>
      </c>
      <c r="AF211" s="798">
        <f t="shared" si="38"/>
        <v>473</v>
      </c>
      <c r="AG211" s="831">
        <f t="shared" si="39"/>
        <v>373</v>
      </c>
      <c r="AH211" s="798">
        <f t="shared" si="40"/>
        <v>95</v>
      </c>
      <c r="AI211" s="798"/>
      <c r="AJ211" s="802">
        <f t="shared" si="41"/>
        <v>941</v>
      </c>
      <c r="AU211" s="9">
        <f t="shared" si="43"/>
        <v>0</v>
      </c>
    </row>
    <row r="212" spans="1:47" s="9" customFormat="1">
      <c r="A212" s="9">
        <v>82</v>
      </c>
      <c r="B212" s="812">
        <v>2</v>
      </c>
      <c r="C212" s="811"/>
      <c r="D212" s="811"/>
      <c r="E212" s="811"/>
      <c r="F212" s="811"/>
      <c r="G212" s="811">
        <v>0</v>
      </c>
      <c r="H212" s="811">
        <v>137</v>
      </c>
      <c r="I212" s="811">
        <v>85</v>
      </c>
      <c r="J212" s="811"/>
      <c r="K212" s="811"/>
      <c r="L212" s="811"/>
      <c r="M212" s="811">
        <v>108</v>
      </c>
      <c r="N212" s="811">
        <v>97</v>
      </c>
      <c r="O212" s="811">
        <v>224</v>
      </c>
      <c r="P212" s="811"/>
      <c r="Q212" s="819"/>
      <c r="R212" s="811"/>
      <c r="S212" s="811"/>
      <c r="T212" s="811"/>
      <c r="U212" s="811"/>
      <c r="V212" s="811"/>
      <c r="W212" s="801">
        <f t="shared" si="35"/>
        <v>651</v>
      </c>
      <c r="Y212" s="9">
        <f t="shared" si="42"/>
        <v>651</v>
      </c>
      <c r="AA212" s="825">
        <f>'CHAM CONG'!BA211</f>
        <v>0</v>
      </c>
      <c r="AB212" s="825">
        <f>'CHAM CONG'!BB211</f>
        <v>0</v>
      </c>
      <c r="AC212" s="825">
        <f>'CHAM CONG'!BC211</f>
        <v>0</v>
      </c>
      <c r="AD212" s="825">
        <f>'CHAM CONG'!BD211</f>
        <v>0</v>
      </c>
      <c r="AE212" s="824">
        <f t="shared" si="37"/>
        <v>286.44</v>
      </c>
      <c r="AF212" s="798">
        <f t="shared" si="38"/>
        <v>234</v>
      </c>
      <c r="AG212" s="831">
        <f t="shared" si="39"/>
        <v>309</v>
      </c>
      <c r="AH212" s="798">
        <f t="shared" si="40"/>
        <v>108</v>
      </c>
      <c r="AI212" s="798"/>
      <c r="AJ212" s="802">
        <f t="shared" si="41"/>
        <v>651</v>
      </c>
      <c r="AU212" s="9">
        <f t="shared" si="43"/>
        <v>0</v>
      </c>
    </row>
    <row r="213" spans="1:47" s="9" customFormat="1">
      <c r="A213" s="9">
        <v>83</v>
      </c>
      <c r="B213" s="812">
        <v>2</v>
      </c>
      <c r="C213" s="811"/>
      <c r="D213" s="811"/>
      <c r="E213" s="811"/>
      <c r="F213" s="811"/>
      <c r="G213" s="811">
        <v>0</v>
      </c>
      <c r="H213" s="811">
        <v>247</v>
      </c>
      <c r="I213" s="811">
        <v>0</v>
      </c>
      <c r="J213" s="811"/>
      <c r="K213" s="811"/>
      <c r="L213" s="811"/>
      <c r="M213" s="811">
        <v>153</v>
      </c>
      <c r="N213" s="811">
        <v>133</v>
      </c>
      <c r="O213" s="811">
        <v>346</v>
      </c>
      <c r="P213" s="811"/>
      <c r="Q213" s="819"/>
      <c r="R213" s="811"/>
      <c r="S213" s="811"/>
      <c r="T213" s="811"/>
      <c r="U213" s="811"/>
      <c r="V213" s="811"/>
      <c r="W213" s="801">
        <f t="shared" si="35"/>
        <v>879</v>
      </c>
      <c r="Y213" s="9">
        <f t="shared" si="42"/>
        <v>879</v>
      </c>
      <c r="AA213" s="825">
        <f>'CHAM CONG'!BA212</f>
        <v>0</v>
      </c>
      <c r="AB213" s="825">
        <f>'CHAM CONG'!BB212</f>
        <v>0</v>
      </c>
      <c r="AC213" s="825">
        <f>'CHAM CONG'!BC212</f>
        <v>0</v>
      </c>
      <c r="AD213" s="825">
        <f>'CHAM CONG'!BD212</f>
        <v>0</v>
      </c>
      <c r="AE213" s="824">
        <f t="shared" si="37"/>
        <v>386.76</v>
      </c>
      <c r="AF213" s="798">
        <f t="shared" si="38"/>
        <v>380</v>
      </c>
      <c r="AG213" s="831">
        <f t="shared" si="39"/>
        <v>346</v>
      </c>
      <c r="AH213" s="798">
        <f t="shared" si="40"/>
        <v>153</v>
      </c>
      <c r="AI213" s="798"/>
      <c r="AJ213" s="802">
        <f t="shared" si="41"/>
        <v>879</v>
      </c>
      <c r="AU213" s="9">
        <f t="shared" si="43"/>
        <v>0</v>
      </c>
    </row>
    <row r="214" spans="1:47" s="9" customFormat="1">
      <c r="A214" s="9">
        <v>84</v>
      </c>
      <c r="B214" s="812">
        <v>2</v>
      </c>
      <c r="C214" s="811"/>
      <c r="D214" s="811"/>
      <c r="E214" s="811"/>
      <c r="F214" s="811"/>
      <c r="G214" s="811">
        <v>59</v>
      </c>
      <c r="H214" s="811">
        <v>144</v>
      </c>
      <c r="I214" s="811">
        <v>190</v>
      </c>
      <c r="J214" s="811"/>
      <c r="K214" s="811"/>
      <c r="L214" s="811"/>
      <c r="M214" s="811">
        <v>171</v>
      </c>
      <c r="N214" s="811">
        <v>183</v>
      </c>
      <c r="O214" s="811">
        <v>119</v>
      </c>
      <c r="P214" s="811"/>
      <c r="Q214" s="819"/>
      <c r="R214" s="811"/>
      <c r="S214" s="811"/>
      <c r="T214" s="811"/>
      <c r="U214" s="811"/>
      <c r="V214" s="811"/>
      <c r="W214" s="801">
        <f t="shared" si="35"/>
        <v>866</v>
      </c>
      <c r="Y214" s="9">
        <f t="shared" si="42"/>
        <v>866</v>
      </c>
      <c r="AA214" s="825">
        <f>'CHAM CONG'!BA213</f>
        <v>0</v>
      </c>
      <c r="AB214" s="825">
        <f>'CHAM CONG'!BB213</f>
        <v>0</v>
      </c>
      <c r="AC214" s="825">
        <f>'CHAM CONG'!BC213</f>
        <v>0</v>
      </c>
      <c r="AD214" s="825">
        <f>'CHAM CONG'!BD213</f>
        <v>0</v>
      </c>
      <c r="AE214" s="824">
        <f t="shared" si="37"/>
        <v>381.04</v>
      </c>
      <c r="AF214" s="798">
        <f t="shared" si="38"/>
        <v>327</v>
      </c>
      <c r="AG214" s="831">
        <f t="shared" si="39"/>
        <v>309</v>
      </c>
      <c r="AH214" s="798">
        <f t="shared" si="40"/>
        <v>230</v>
      </c>
      <c r="AI214" s="798"/>
      <c r="AJ214" s="802">
        <f t="shared" si="41"/>
        <v>866</v>
      </c>
      <c r="AU214" s="9">
        <f t="shared" si="43"/>
        <v>0</v>
      </c>
    </row>
    <row r="215" spans="1:47" s="9" customFormat="1">
      <c r="A215" s="9">
        <v>85</v>
      </c>
      <c r="B215" s="812">
        <v>2</v>
      </c>
      <c r="C215" s="811"/>
      <c r="D215" s="811"/>
      <c r="E215" s="811"/>
      <c r="F215" s="811"/>
      <c r="G215" s="811">
        <v>47</v>
      </c>
      <c r="H215" s="811">
        <v>178</v>
      </c>
      <c r="I215" s="811">
        <v>182</v>
      </c>
      <c r="J215" s="811"/>
      <c r="K215" s="811"/>
      <c r="L215" s="811"/>
      <c r="M215" s="811">
        <v>101</v>
      </c>
      <c r="N215" s="811">
        <v>101</v>
      </c>
      <c r="O215" s="811">
        <v>235</v>
      </c>
      <c r="P215" s="811"/>
      <c r="Q215" s="819"/>
      <c r="R215" s="811"/>
      <c r="S215" s="811"/>
      <c r="T215" s="811"/>
      <c r="U215" s="811"/>
      <c r="V215" s="811"/>
      <c r="W215" s="801">
        <f t="shared" si="35"/>
        <v>844</v>
      </c>
      <c r="Y215" s="9">
        <f t="shared" si="42"/>
        <v>844</v>
      </c>
      <c r="AA215" s="825">
        <f>'CHAM CONG'!BA214</f>
        <v>0</v>
      </c>
      <c r="AB215" s="825">
        <f>'CHAM CONG'!BB214</f>
        <v>0</v>
      </c>
      <c r="AC215" s="825">
        <f>'CHAM CONG'!BC214</f>
        <v>0</v>
      </c>
      <c r="AD215" s="825">
        <f>'CHAM CONG'!BD214</f>
        <v>0</v>
      </c>
      <c r="AE215" s="824">
        <f t="shared" si="37"/>
        <v>371.36</v>
      </c>
      <c r="AF215" s="798">
        <f t="shared" si="38"/>
        <v>279</v>
      </c>
      <c r="AG215" s="831">
        <f t="shared" si="39"/>
        <v>417</v>
      </c>
      <c r="AH215" s="798">
        <f t="shared" si="40"/>
        <v>148</v>
      </c>
      <c r="AI215" s="798"/>
      <c r="AJ215" s="802">
        <f t="shared" si="41"/>
        <v>844</v>
      </c>
      <c r="AU215" s="9">
        <f t="shared" si="43"/>
        <v>0</v>
      </c>
    </row>
    <row r="216" spans="1:47" s="9" customFormat="1">
      <c r="A216" s="9">
        <v>86</v>
      </c>
      <c r="B216" s="812">
        <v>2</v>
      </c>
      <c r="C216" s="811"/>
      <c r="D216" s="811"/>
      <c r="E216" s="811"/>
      <c r="F216" s="811"/>
      <c r="G216" s="811">
        <v>0</v>
      </c>
      <c r="H216" s="811">
        <v>94</v>
      </c>
      <c r="I216" s="811">
        <v>92</v>
      </c>
      <c r="J216" s="811"/>
      <c r="K216" s="811"/>
      <c r="L216" s="811"/>
      <c r="M216" s="811">
        <v>146</v>
      </c>
      <c r="N216" s="811">
        <v>273</v>
      </c>
      <c r="O216" s="811">
        <v>258</v>
      </c>
      <c r="P216" s="811"/>
      <c r="Q216" s="819"/>
      <c r="R216" s="811"/>
      <c r="S216" s="811"/>
      <c r="T216" s="811"/>
      <c r="U216" s="811"/>
      <c r="V216" s="811"/>
      <c r="W216" s="801">
        <f t="shared" si="35"/>
        <v>863</v>
      </c>
      <c r="Y216" s="9">
        <f t="shared" si="42"/>
        <v>863</v>
      </c>
      <c r="AA216" s="825">
        <f>'CHAM CONG'!BA215</f>
        <v>0</v>
      </c>
      <c r="AB216" s="825">
        <f>'CHAM CONG'!BB215</f>
        <v>0</v>
      </c>
      <c r="AC216" s="825">
        <f>'CHAM CONG'!BC215</f>
        <v>0</v>
      </c>
      <c r="AD216" s="825">
        <f>'CHAM CONG'!BD215</f>
        <v>0</v>
      </c>
      <c r="AE216" s="824">
        <f t="shared" si="37"/>
        <v>379.72</v>
      </c>
      <c r="AF216" s="798">
        <f t="shared" si="38"/>
        <v>367</v>
      </c>
      <c r="AG216" s="831">
        <f t="shared" si="39"/>
        <v>350</v>
      </c>
      <c r="AH216" s="798">
        <f t="shared" si="40"/>
        <v>146</v>
      </c>
      <c r="AI216" s="798"/>
      <c r="AJ216" s="802">
        <f t="shared" si="41"/>
        <v>863</v>
      </c>
      <c r="AU216" s="9">
        <f t="shared" si="43"/>
        <v>0</v>
      </c>
    </row>
    <row r="217" spans="1:47" s="9" customFormat="1">
      <c r="A217" s="9">
        <v>87</v>
      </c>
      <c r="B217" s="812">
        <v>2</v>
      </c>
      <c r="C217" s="811"/>
      <c r="D217" s="811"/>
      <c r="E217" s="811"/>
      <c r="F217" s="811"/>
      <c r="G217" s="811">
        <v>83</v>
      </c>
      <c r="H217" s="811">
        <v>200</v>
      </c>
      <c r="I217" s="811">
        <v>155</v>
      </c>
      <c r="J217" s="811"/>
      <c r="K217" s="811"/>
      <c r="L217" s="811"/>
      <c r="M217" s="811">
        <v>83</v>
      </c>
      <c r="N217" s="811">
        <v>204</v>
      </c>
      <c r="O217" s="811">
        <v>193</v>
      </c>
      <c r="P217" s="811"/>
      <c r="Q217" s="819"/>
      <c r="R217" s="811"/>
      <c r="S217" s="811"/>
      <c r="T217" s="811"/>
      <c r="U217" s="811"/>
      <c r="V217" s="811"/>
      <c r="W217" s="801">
        <f t="shared" si="35"/>
        <v>918</v>
      </c>
      <c r="Y217" s="9">
        <f t="shared" si="42"/>
        <v>918</v>
      </c>
      <c r="AA217" s="825">
        <f>'CHAM CONG'!BA216</f>
        <v>0</v>
      </c>
      <c r="AB217" s="825">
        <f>'CHAM CONG'!BB216</f>
        <v>0</v>
      </c>
      <c r="AC217" s="825">
        <f>'CHAM CONG'!BC216</f>
        <v>0</v>
      </c>
      <c r="AD217" s="825">
        <f>'CHAM CONG'!BD216</f>
        <v>0</v>
      </c>
      <c r="AE217" s="824">
        <f t="shared" si="37"/>
        <v>403.92</v>
      </c>
      <c r="AF217" s="798">
        <f t="shared" si="38"/>
        <v>404</v>
      </c>
      <c r="AG217" s="831">
        <f t="shared" si="39"/>
        <v>348</v>
      </c>
      <c r="AH217" s="798">
        <f t="shared" si="40"/>
        <v>166</v>
      </c>
      <c r="AI217" s="798"/>
      <c r="AJ217" s="802">
        <f t="shared" si="41"/>
        <v>918</v>
      </c>
      <c r="AU217" s="9">
        <f t="shared" si="43"/>
        <v>0</v>
      </c>
    </row>
    <row r="218" spans="1:47" s="9" customFormat="1">
      <c r="A218" s="9">
        <v>88</v>
      </c>
      <c r="B218" s="812">
        <v>2</v>
      </c>
      <c r="C218" s="811"/>
      <c r="D218" s="811"/>
      <c r="E218" s="811"/>
      <c r="F218" s="811"/>
      <c r="G218" s="811">
        <v>0</v>
      </c>
      <c r="H218" s="811">
        <v>232</v>
      </c>
      <c r="I218" s="811">
        <v>125</v>
      </c>
      <c r="J218" s="811"/>
      <c r="K218" s="811"/>
      <c r="L218" s="811"/>
      <c r="M218" s="811">
        <v>98</v>
      </c>
      <c r="N218" s="811">
        <v>247</v>
      </c>
      <c r="O218" s="811">
        <v>247</v>
      </c>
      <c r="P218" s="811"/>
      <c r="Q218" s="819"/>
      <c r="R218" s="811"/>
      <c r="S218" s="811"/>
      <c r="T218" s="811"/>
      <c r="U218" s="811"/>
      <c r="V218" s="811"/>
      <c r="W218" s="801">
        <f t="shared" si="35"/>
        <v>949</v>
      </c>
      <c r="Y218" s="9">
        <f t="shared" si="42"/>
        <v>949</v>
      </c>
      <c r="AA218" s="825">
        <f>'CHAM CONG'!BA217</f>
        <v>0</v>
      </c>
      <c r="AB218" s="825">
        <f>'CHAM CONG'!BB217</f>
        <v>0</v>
      </c>
      <c r="AC218" s="825">
        <f>'CHAM CONG'!BC217</f>
        <v>0</v>
      </c>
      <c r="AD218" s="825">
        <f>'CHAM CONG'!BD217</f>
        <v>0</v>
      </c>
      <c r="AE218" s="824">
        <f t="shared" si="37"/>
        <v>417.56</v>
      </c>
      <c r="AF218" s="798">
        <f t="shared" si="38"/>
        <v>479</v>
      </c>
      <c r="AG218" s="831">
        <f t="shared" si="39"/>
        <v>372</v>
      </c>
      <c r="AH218" s="798">
        <f t="shared" si="40"/>
        <v>98</v>
      </c>
      <c r="AI218" s="798"/>
      <c r="AJ218" s="802">
        <f t="shared" si="41"/>
        <v>949</v>
      </c>
      <c r="AU218" s="9">
        <f t="shared" si="43"/>
        <v>0</v>
      </c>
    </row>
    <row r="219" spans="1:47" s="9" customFormat="1">
      <c r="A219" s="9">
        <v>89</v>
      </c>
      <c r="B219" s="812">
        <v>2</v>
      </c>
      <c r="C219" s="811"/>
      <c r="D219" s="811"/>
      <c r="E219" s="811"/>
      <c r="F219" s="811"/>
      <c r="G219" s="811">
        <v>53</v>
      </c>
      <c r="H219" s="811">
        <v>97</v>
      </c>
      <c r="I219" s="811">
        <v>183</v>
      </c>
      <c r="J219" s="811"/>
      <c r="K219" s="811"/>
      <c r="L219" s="811"/>
      <c r="M219" s="811">
        <v>53</v>
      </c>
      <c r="N219" s="811">
        <v>99</v>
      </c>
      <c r="O219" s="811">
        <v>360</v>
      </c>
      <c r="P219" s="811"/>
      <c r="Q219" s="819"/>
      <c r="R219" s="811"/>
      <c r="S219" s="811"/>
      <c r="T219" s="811"/>
      <c r="U219" s="811"/>
      <c r="V219" s="811"/>
      <c r="W219" s="801">
        <f t="shared" si="35"/>
        <v>845</v>
      </c>
      <c r="Y219" s="9">
        <f t="shared" si="42"/>
        <v>845</v>
      </c>
      <c r="AA219" s="825">
        <f>'CHAM CONG'!BA218</f>
        <v>0</v>
      </c>
      <c r="AB219" s="825">
        <f>'CHAM CONG'!BB218</f>
        <v>0</v>
      </c>
      <c r="AC219" s="825">
        <f>'CHAM CONG'!BC218</f>
        <v>0</v>
      </c>
      <c r="AD219" s="825">
        <f>'CHAM CONG'!BD218</f>
        <v>0</v>
      </c>
      <c r="AE219" s="824">
        <f t="shared" si="37"/>
        <v>371.8</v>
      </c>
      <c r="AF219" s="798">
        <f t="shared" si="38"/>
        <v>196</v>
      </c>
      <c r="AG219" s="831">
        <f t="shared" si="39"/>
        <v>543</v>
      </c>
      <c r="AH219" s="798">
        <f t="shared" si="40"/>
        <v>106</v>
      </c>
      <c r="AI219" s="798"/>
      <c r="AJ219" s="802">
        <f t="shared" si="41"/>
        <v>845</v>
      </c>
      <c r="AU219" s="9">
        <f t="shared" si="43"/>
        <v>0</v>
      </c>
    </row>
    <row r="220" spans="1:47" s="9" customFormat="1">
      <c r="A220" s="9">
        <v>90</v>
      </c>
      <c r="B220" s="812">
        <v>2</v>
      </c>
      <c r="C220" s="811"/>
      <c r="D220" s="811"/>
      <c r="E220" s="811"/>
      <c r="F220" s="811"/>
      <c r="G220" s="811">
        <v>143</v>
      </c>
      <c r="H220" s="811">
        <v>202</v>
      </c>
      <c r="I220" s="811">
        <v>200</v>
      </c>
      <c r="J220" s="811"/>
      <c r="K220" s="811"/>
      <c r="L220" s="811"/>
      <c r="M220" s="811">
        <v>137</v>
      </c>
      <c r="N220" s="811">
        <v>244</v>
      </c>
      <c r="O220" s="811">
        <v>273</v>
      </c>
      <c r="P220" s="811"/>
      <c r="Q220" s="819"/>
      <c r="R220" s="811"/>
      <c r="S220" s="811"/>
      <c r="T220" s="811"/>
      <c r="U220" s="811"/>
      <c r="V220" s="811"/>
      <c r="W220" s="801">
        <f t="shared" si="35"/>
        <v>1199</v>
      </c>
      <c r="Y220" s="9">
        <f t="shared" si="42"/>
        <v>1199</v>
      </c>
      <c r="AA220" s="825">
        <f>'CHAM CONG'!BA219</f>
        <v>0</v>
      </c>
      <c r="AB220" s="825">
        <f>'CHAM CONG'!BB219</f>
        <v>0</v>
      </c>
      <c r="AC220" s="825">
        <f>'CHAM CONG'!BC219</f>
        <v>0</v>
      </c>
      <c r="AD220" s="825">
        <f>'CHAM CONG'!BD219</f>
        <v>0</v>
      </c>
      <c r="AE220" s="824">
        <f t="shared" si="37"/>
        <v>527.55999999999995</v>
      </c>
      <c r="AF220" s="798">
        <f t="shared" si="38"/>
        <v>446</v>
      </c>
      <c r="AG220" s="831">
        <f t="shared" si="39"/>
        <v>473</v>
      </c>
      <c r="AH220" s="798">
        <f t="shared" si="40"/>
        <v>280</v>
      </c>
      <c r="AI220" s="798"/>
      <c r="AJ220" s="802">
        <f t="shared" si="41"/>
        <v>1199</v>
      </c>
      <c r="AU220" s="9">
        <f t="shared" si="43"/>
        <v>0</v>
      </c>
    </row>
    <row r="221" spans="1:47" s="9" customFormat="1">
      <c r="A221" s="9">
        <v>91</v>
      </c>
      <c r="B221" s="812">
        <v>2</v>
      </c>
      <c r="C221" s="811"/>
      <c r="D221" s="811"/>
      <c r="E221" s="811"/>
      <c r="F221" s="811"/>
      <c r="G221" s="811">
        <v>164</v>
      </c>
      <c r="H221" s="811">
        <v>187</v>
      </c>
      <c r="I221" s="811">
        <v>190</v>
      </c>
      <c r="J221" s="811"/>
      <c r="K221" s="811"/>
      <c r="L221" s="811"/>
      <c r="M221" s="811">
        <v>155</v>
      </c>
      <c r="N221" s="811">
        <v>228</v>
      </c>
      <c r="O221" s="811">
        <v>242</v>
      </c>
      <c r="P221" s="811"/>
      <c r="Q221" s="819"/>
      <c r="R221" s="811"/>
      <c r="S221" s="811"/>
      <c r="T221" s="811"/>
      <c r="U221" s="811"/>
      <c r="V221" s="811"/>
      <c r="W221" s="801">
        <f t="shared" si="35"/>
        <v>1166</v>
      </c>
      <c r="Y221" s="9">
        <f t="shared" si="42"/>
        <v>1166</v>
      </c>
      <c r="AA221" s="825">
        <f>'CHAM CONG'!BA220</f>
        <v>0</v>
      </c>
      <c r="AB221" s="825">
        <f>'CHAM CONG'!BB220</f>
        <v>0</v>
      </c>
      <c r="AC221" s="825">
        <f>'CHAM CONG'!BC220</f>
        <v>0</v>
      </c>
      <c r="AD221" s="825">
        <f>'CHAM CONG'!BD220</f>
        <v>0</v>
      </c>
      <c r="AE221" s="824">
        <f t="shared" si="37"/>
        <v>513.04</v>
      </c>
      <c r="AF221" s="798">
        <f t="shared" si="38"/>
        <v>415</v>
      </c>
      <c r="AG221" s="831">
        <f t="shared" si="39"/>
        <v>432</v>
      </c>
      <c r="AH221" s="798">
        <f t="shared" si="40"/>
        <v>319</v>
      </c>
      <c r="AI221" s="798"/>
      <c r="AJ221" s="802">
        <f t="shared" si="41"/>
        <v>1166</v>
      </c>
      <c r="AU221" s="9">
        <f t="shared" si="43"/>
        <v>0</v>
      </c>
    </row>
    <row r="222" spans="1:47" s="9" customFormat="1">
      <c r="A222" s="9">
        <v>92</v>
      </c>
      <c r="B222" s="812">
        <v>2</v>
      </c>
      <c r="C222" s="811"/>
      <c r="D222" s="811"/>
      <c r="E222" s="811"/>
      <c r="F222" s="811"/>
      <c r="G222" s="811">
        <v>137</v>
      </c>
      <c r="H222" s="811">
        <v>140</v>
      </c>
      <c r="I222" s="811">
        <v>99</v>
      </c>
      <c r="J222" s="811"/>
      <c r="K222" s="811"/>
      <c r="L222" s="811"/>
      <c r="M222" s="811">
        <v>263</v>
      </c>
      <c r="N222" s="811">
        <v>165</v>
      </c>
      <c r="O222" s="811">
        <v>350</v>
      </c>
      <c r="P222" s="811"/>
      <c r="Q222" s="819"/>
      <c r="R222" s="811"/>
      <c r="S222" s="811"/>
      <c r="T222" s="811"/>
      <c r="U222" s="811"/>
      <c r="V222" s="811"/>
      <c r="W222" s="801">
        <f t="shared" si="35"/>
        <v>1154</v>
      </c>
      <c r="Y222" s="9">
        <f t="shared" si="42"/>
        <v>1154</v>
      </c>
      <c r="AA222" s="825">
        <f>'CHAM CONG'!BA221</f>
        <v>0</v>
      </c>
      <c r="AB222" s="825">
        <f>'CHAM CONG'!BB221</f>
        <v>0</v>
      </c>
      <c r="AC222" s="825">
        <f>'CHAM CONG'!BC221</f>
        <v>0</v>
      </c>
      <c r="AD222" s="825">
        <f>'CHAM CONG'!BD221</f>
        <v>0</v>
      </c>
      <c r="AE222" s="824">
        <f t="shared" si="37"/>
        <v>507.76</v>
      </c>
      <c r="AF222" s="798">
        <f t="shared" si="38"/>
        <v>305</v>
      </c>
      <c r="AG222" s="831">
        <f t="shared" si="39"/>
        <v>449</v>
      </c>
      <c r="AH222" s="798">
        <f t="shared" si="40"/>
        <v>400</v>
      </c>
      <c r="AI222" s="798"/>
      <c r="AJ222" s="802">
        <f t="shared" si="41"/>
        <v>1154</v>
      </c>
      <c r="AK222" s="790" t="s">
        <v>1366</v>
      </c>
      <c r="AU222" s="9">
        <f t="shared" si="43"/>
        <v>0</v>
      </c>
    </row>
    <row r="223" spans="1:47" s="793" customFormat="1">
      <c r="A223" s="793">
        <v>93</v>
      </c>
      <c r="B223" s="845">
        <v>3</v>
      </c>
      <c r="C223" s="846"/>
      <c r="D223" s="846"/>
      <c r="E223" s="846"/>
      <c r="F223" s="846"/>
      <c r="G223" s="846">
        <v>221</v>
      </c>
      <c r="H223" s="846">
        <v>171</v>
      </c>
      <c r="I223" s="846">
        <v>172</v>
      </c>
      <c r="J223" s="846"/>
      <c r="K223" s="846"/>
      <c r="L223" s="846"/>
      <c r="M223" s="846">
        <v>104</v>
      </c>
      <c r="N223" s="846">
        <v>196</v>
      </c>
      <c r="O223" s="846">
        <v>234</v>
      </c>
      <c r="P223" s="846"/>
      <c r="Q223" s="847"/>
      <c r="R223" s="846"/>
      <c r="S223" s="846"/>
      <c r="T223" s="846"/>
      <c r="U223" s="846"/>
      <c r="V223" s="846"/>
      <c r="W223" s="848">
        <f t="shared" ref="W223:W267" si="44">SUM(C223:V223)</f>
        <v>1098</v>
      </c>
      <c r="Y223" s="793">
        <f>W223</f>
        <v>1098</v>
      </c>
      <c r="AA223" s="849">
        <f>'CHAM CONG'!BA222</f>
        <v>0</v>
      </c>
      <c r="AB223" s="849">
        <f>'CHAM CONG'!BB222</f>
        <v>0</v>
      </c>
      <c r="AC223" s="849">
        <f>'CHAM CONG'!BC222</f>
        <v>0</v>
      </c>
      <c r="AD223" s="849">
        <f>'CHAM CONG'!BD222</f>
        <v>0</v>
      </c>
      <c r="AE223" s="850">
        <f t="shared" si="37"/>
        <v>483.12</v>
      </c>
      <c r="AF223" s="798">
        <f t="shared" si="38"/>
        <v>367</v>
      </c>
      <c r="AG223" s="831">
        <f t="shared" si="39"/>
        <v>406</v>
      </c>
      <c r="AH223" s="798">
        <f t="shared" si="40"/>
        <v>325</v>
      </c>
      <c r="AJ223" s="851">
        <f t="shared" si="41"/>
        <v>1098</v>
      </c>
      <c r="AK223" s="852">
        <f>SUM(AJ223:AJ266)</f>
        <v>46018</v>
      </c>
      <c r="AU223" s="793">
        <f t="shared" si="43"/>
        <v>0</v>
      </c>
    </row>
    <row r="224" spans="1:47">
      <c r="A224" s="798">
        <v>94</v>
      </c>
      <c r="B224" s="810">
        <v>3</v>
      </c>
      <c r="C224" s="811"/>
      <c r="D224" s="811"/>
      <c r="E224" s="811"/>
      <c r="F224" s="811"/>
      <c r="G224" s="811">
        <v>131</v>
      </c>
      <c r="H224" s="811">
        <v>139</v>
      </c>
      <c r="I224" s="811">
        <v>100</v>
      </c>
      <c r="J224" s="811"/>
      <c r="K224" s="811"/>
      <c r="L224" s="811"/>
      <c r="M224" s="811">
        <v>212</v>
      </c>
      <c r="N224" s="811">
        <v>173</v>
      </c>
      <c r="O224" s="811">
        <v>113</v>
      </c>
      <c r="P224" s="811"/>
      <c r="Q224" s="819"/>
      <c r="R224" s="803"/>
      <c r="S224" s="803"/>
      <c r="T224" s="803"/>
      <c r="U224" s="803"/>
      <c r="V224" s="803"/>
      <c r="W224" s="801">
        <f t="shared" si="44"/>
        <v>868</v>
      </c>
      <c r="Y224" s="798">
        <f t="shared" ref="Y224:Y266" si="45">W224</f>
        <v>868</v>
      </c>
      <c r="AA224" s="823">
        <f>'CHAM CONG'!BA223</f>
        <v>0</v>
      </c>
      <c r="AB224" s="823">
        <f>'CHAM CONG'!BB223</f>
        <v>0</v>
      </c>
      <c r="AC224" s="823">
        <f>'CHAM CONG'!BC223</f>
        <v>0</v>
      </c>
      <c r="AD224" s="823">
        <f>'CHAM CONG'!BD223</f>
        <v>0</v>
      </c>
      <c r="AE224" s="824">
        <f t="shared" si="37"/>
        <v>381.92</v>
      </c>
      <c r="AF224" s="798">
        <f t="shared" si="38"/>
        <v>312</v>
      </c>
      <c r="AG224" s="831">
        <f t="shared" si="39"/>
        <v>213</v>
      </c>
      <c r="AH224" s="798">
        <f t="shared" si="40"/>
        <v>343</v>
      </c>
      <c r="AJ224" s="802">
        <f t="shared" ref="AJ224:AJ258" si="46">SUM(AF224:AI224)</f>
        <v>868</v>
      </c>
      <c r="AU224" s="798">
        <f t="shared" si="43"/>
        <v>0</v>
      </c>
    </row>
    <row r="225" spans="1:47">
      <c r="A225" s="798">
        <v>95</v>
      </c>
      <c r="B225" s="810">
        <v>3</v>
      </c>
      <c r="C225" s="811"/>
      <c r="D225" s="811"/>
      <c r="E225" s="811"/>
      <c r="F225" s="811"/>
      <c r="G225" s="811">
        <v>112</v>
      </c>
      <c r="H225" s="811">
        <v>149</v>
      </c>
      <c r="I225" s="811">
        <v>105</v>
      </c>
      <c r="J225" s="811"/>
      <c r="K225" s="811"/>
      <c r="L225" s="811"/>
      <c r="M225" s="811">
        <v>185</v>
      </c>
      <c r="N225" s="811">
        <v>189</v>
      </c>
      <c r="O225" s="811">
        <v>164</v>
      </c>
      <c r="P225" s="811"/>
      <c r="Q225" s="819"/>
      <c r="R225" s="803"/>
      <c r="S225" s="803"/>
      <c r="T225" s="803"/>
      <c r="U225" s="803"/>
      <c r="V225" s="803"/>
      <c r="W225" s="801">
        <f t="shared" si="44"/>
        <v>904</v>
      </c>
      <c r="Y225" s="798">
        <f t="shared" si="45"/>
        <v>904</v>
      </c>
      <c r="AA225" s="823">
        <f>'CHAM CONG'!BA224</f>
        <v>0</v>
      </c>
      <c r="AB225" s="823">
        <f>'CHAM CONG'!BB224</f>
        <v>0</v>
      </c>
      <c r="AC225" s="823">
        <f>'CHAM CONG'!BC224</f>
        <v>0</v>
      </c>
      <c r="AD225" s="823">
        <f>'CHAM CONG'!BD224</f>
        <v>0</v>
      </c>
      <c r="AE225" s="824">
        <f t="shared" si="37"/>
        <v>397.76</v>
      </c>
      <c r="AF225" s="798">
        <f t="shared" si="38"/>
        <v>338</v>
      </c>
      <c r="AG225" s="831">
        <f t="shared" si="39"/>
        <v>269</v>
      </c>
      <c r="AH225" s="798">
        <f t="shared" si="40"/>
        <v>297</v>
      </c>
      <c r="AJ225" s="802">
        <f t="shared" si="46"/>
        <v>904</v>
      </c>
      <c r="AU225" s="798">
        <f t="shared" si="43"/>
        <v>0</v>
      </c>
    </row>
    <row r="226" spans="1:47">
      <c r="A226" s="798">
        <v>96</v>
      </c>
      <c r="B226" s="810">
        <v>3</v>
      </c>
      <c r="C226" s="811"/>
      <c r="D226" s="811"/>
      <c r="E226" s="811"/>
      <c r="F226" s="811"/>
      <c r="G226" s="811">
        <v>266</v>
      </c>
      <c r="H226" s="811">
        <v>208</v>
      </c>
      <c r="I226" s="811">
        <v>205</v>
      </c>
      <c r="J226" s="811"/>
      <c r="K226" s="811"/>
      <c r="L226" s="811"/>
      <c r="M226" s="811">
        <v>216</v>
      </c>
      <c r="N226" s="811">
        <v>241</v>
      </c>
      <c r="O226" s="811">
        <v>218</v>
      </c>
      <c r="P226" s="811"/>
      <c r="Q226" s="819"/>
      <c r="R226" s="803"/>
      <c r="S226" s="803"/>
      <c r="T226" s="803"/>
      <c r="U226" s="803"/>
      <c r="V226" s="803"/>
      <c r="W226" s="801">
        <f t="shared" si="44"/>
        <v>1354</v>
      </c>
      <c r="Y226" s="798">
        <f t="shared" si="45"/>
        <v>1354</v>
      </c>
      <c r="AA226" s="823">
        <f>'CHAM CONG'!BA225</f>
        <v>0</v>
      </c>
      <c r="AB226" s="823">
        <f>'CHAM CONG'!BB225</f>
        <v>0</v>
      </c>
      <c r="AC226" s="823">
        <f>'CHAM CONG'!BC225</f>
        <v>0</v>
      </c>
      <c r="AD226" s="823">
        <f>'CHAM CONG'!BD225</f>
        <v>0</v>
      </c>
      <c r="AE226" s="824">
        <f t="shared" si="37"/>
        <v>595.76</v>
      </c>
      <c r="AF226" s="798">
        <f t="shared" si="38"/>
        <v>449</v>
      </c>
      <c r="AG226" s="831">
        <f t="shared" si="39"/>
        <v>423</v>
      </c>
      <c r="AH226" s="798">
        <f t="shared" si="40"/>
        <v>482</v>
      </c>
      <c r="AJ226" s="802">
        <f t="shared" si="46"/>
        <v>1354</v>
      </c>
      <c r="AU226" s="798">
        <f t="shared" si="43"/>
        <v>0</v>
      </c>
    </row>
    <row r="227" spans="1:47">
      <c r="A227" s="798">
        <v>97</v>
      </c>
      <c r="B227" s="810">
        <v>3</v>
      </c>
      <c r="C227" s="811"/>
      <c r="D227" s="811"/>
      <c r="E227" s="811"/>
      <c r="F227" s="811"/>
      <c r="G227" s="811">
        <v>0</v>
      </c>
      <c r="H227" s="811">
        <v>382</v>
      </c>
      <c r="I227" s="811">
        <v>103</v>
      </c>
      <c r="J227" s="811"/>
      <c r="K227" s="811"/>
      <c r="L227" s="811"/>
      <c r="M227" s="811">
        <v>119</v>
      </c>
      <c r="N227" s="811">
        <v>197</v>
      </c>
      <c r="O227" s="811">
        <v>212</v>
      </c>
      <c r="P227" s="811"/>
      <c r="Q227" s="819"/>
      <c r="R227" s="803"/>
      <c r="S227" s="803"/>
      <c r="T227" s="803"/>
      <c r="U227" s="803"/>
      <c r="V227" s="803"/>
      <c r="W227" s="801">
        <f t="shared" si="44"/>
        <v>1013</v>
      </c>
      <c r="Y227" s="798">
        <f t="shared" si="45"/>
        <v>1013</v>
      </c>
      <c r="AA227" s="823">
        <f>'CHAM CONG'!BA226</f>
        <v>0</v>
      </c>
      <c r="AB227" s="823">
        <f>'CHAM CONG'!BB226</f>
        <v>0</v>
      </c>
      <c r="AC227" s="823">
        <f>'CHAM CONG'!BC226</f>
        <v>0</v>
      </c>
      <c r="AD227" s="823">
        <f>'CHAM CONG'!BD226</f>
        <v>0</v>
      </c>
      <c r="AE227" s="824">
        <f t="shared" si="37"/>
        <v>445.72</v>
      </c>
      <c r="AF227" s="798">
        <f t="shared" si="38"/>
        <v>579</v>
      </c>
      <c r="AG227" s="831">
        <f t="shared" si="39"/>
        <v>315</v>
      </c>
      <c r="AH227" s="798">
        <f t="shared" si="40"/>
        <v>119</v>
      </c>
      <c r="AJ227" s="802">
        <f t="shared" si="46"/>
        <v>1013</v>
      </c>
      <c r="AU227" s="798">
        <f t="shared" si="43"/>
        <v>0</v>
      </c>
    </row>
    <row r="228" spans="1:47" s="9" customFormat="1">
      <c r="A228" s="9">
        <v>98</v>
      </c>
      <c r="B228" s="810">
        <v>3</v>
      </c>
      <c r="C228" s="811"/>
      <c r="D228" s="811"/>
      <c r="E228" s="811"/>
      <c r="F228" s="811"/>
      <c r="G228" s="811">
        <v>195</v>
      </c>
      <c r="H228" s="811">
        <v>175</v>
      </c>
      <c r="I228" s="811">
        <v>140</v>
      </c>
      <c r="J228" s="811"/>
      <c r="K228" s="811"/>
      <c r="L228" s="811"/>
      <c r="M228" s="811">
        <v>229</v>
      </c>
      <c r="N228" s="811">
        <v>262</v>
      </c>
      <c r="O228" s="811">
        <v>205</v>
      </c>
      <c r="P228" s="811"/>
      <c r="Q228" s="819"/>
      <c r="R228" s="811"/>
      <c r="S228" s="811"/>
      <c r="T228" s="811"/>
      <c r="U228" s="811"/>
      <c r="V228" s="811"/>
      <c r="W228" s="801">
        <f t="shared" si="44"/>
        <v>1206</v>
      </c>
      <c r="Y228" s="798">
        <f t="shared" si="45"/>
        <v>1206</v>
      </c>
      <c r="AA228" s="825">
        <f>'CHAM CONG'!BA227</f>
        <v>0</v>
      </c>
      <c r="AB228" s="825">
        <f>'CHAM CONG'!BB227</f>
        <v>0</v>
      </c>
      <c r="AC228" s="825">
        <f>'CHAM CONG'!BC227</f>
        <v>0</v>
      </c>
      <c r="AD228" s="825">
        <f>'CHAM CONG'!BD227</f>
        <v>0</v>
      </c>
      <c r="AE228" s="824">
        <f t="shared" si="37"/>
        <v>530.64</v>
      </c>
      <c r="AF228" s="798">
        <f t="shared" si="38"/>
        <v>437</v>
      </c>
      <c r="AG228" s="831">
        <f t="shared" si="39"/>
        <v>345</v>
      </c>
      <c r="AH228" s="798">
        <f t="shared" si="40"/>
        <v>424</v>
      </c>
      <c r="AI228" s="798"/>
      <c r="AJ228" s="833">
        <f t="shared" si="46"/>
        <v>1206</v>
      </c>
      <c r="AU228" s="9">
        <f t="shared" si="43"/>
        <v>0</v>
      </c>
    </row>
    <row r="229" spans="1:47">
      <c r="A229" s="798">
        <v>99</v>
      </c>
      <c r="B229" s="810">
        <v>3</v>
      </c>
      <c r="C229" s="811"/>
      <c r="D229" s="811"/>
      <c r="E229" s="811"/>
      <c r="F229" s="811"/>
      <c r="G229" s="811">
        <v>228</v>
      </c>
      <c r="H229" s="811">
        <v>197</v>
      </c>
      <c r="I229" s="811">
        <v>153</v>
      </c>
      <c r="J229" s="811"/>
      <c r="K229" s="811"/>
      <c r="L229" s="811"/>
      <c r="M229" s="811">
        <v>212</v>
      </c>
      <c r="N229" s="811">
        <v>226</v>
      </c>
      <c r="O229" s="811">
        <v>170</v>
      </c>
      <c r="P229" s="811"/>
      <c r="Q229" s="819"/>
      <c r="R229" s="803"/>
      <c r="S229" s="803"/>
      <c r="T229" s="803"/>
      <c r="U229" s="803"/>
      <c r="V229" s="803"/>
      <c r="W229" s="801">
        <f t="shared" si="44"/>
        <v>1186</v>
      </c>
      <c r="Y229" s="798">
        <f t="shared" si="45"/>
        <v>1186</v>
      </c>
      <c r="AA229" s="823">
        <f>'CHAM CONG'!BA228</f>
        <v>0</v>
      </c>
      <c r="AB229" s="823">
        <f>'CHAM CONG'!BB228</f>
        <v>0</v>
      </c>
      <c r="AC229" s="823">
        <f>'CHAM CONG'!BC228</f>
        <v>0</v>
      </c>
      <c r="AD229" s="823">
        <f>'CHAM CONG'!BD228</f>
        <v>0</v>
      </c>
      <c r="AE229" s="824">
        <f t="shared" si="37"/>
        <v>521.84</v>
      </c>
      <c r="AF229" s="798">
        <f t="shared" si="38"/>
        <v>423</v>
      </c>
      <c r="AG229" s="831">
        <f t="shared" si="39"/>
        <v>323</v>
      </c>
      <c r="AH229" s="798">
        <f t="shared" si="40"/>
        <v>440</v>
      </c>
      <c r="AJ229" s="802">
        <f t="shared" si="46"/>
        <v>1186</v>
      </c>
      <c r="AU229" s="798">
        <f t="shared" si="43"/>
        <v>0</v>
      </c>
    </row>
    <row r="230" spans="1:47">
      <c r="A230" s="798">
        <v>100</v>
      </c>
      <c r="B230" s="810">
        <v>3</v>
      </c>
      <c r="C230" s="811"/>
      <c r="D230" s="811"/>
      <c r="E230" s="811"/>
      <c r="F230" s="811"/>
      <c r="G230" s="811">
        <v>0</v>
      </c>
      <c r="H230" s="811">
        <v>364</v>
      </c>
      <c r="I230" s="811">
        <v>82</v>
      </c>
      <c r="J230" s="811"/>
      <c r="K230" s="811"/>
      <c r="L230" s="811"/>
      <c r="M230" s="811">
        <v>202</v>
      </c>
      <c r="N230" s="811">
        <v>0</v>
      </c>
      <c r="O230" s="811">
        <v>485</v>
      </c>
      <c r="P230" s="811"/>
      <c r="Q230" s="819"/>
      <c r="R230" s="803"/>
      <c r="S230" s="803"/>
      <c r="T230" s="803"/>
      <c r="U230" s="803"/>
      <c r="V230" s="803"/>
      <c r="W230" s="801">
        <f t="shared" si="44"/>
        <v>1133</v>
      </c>
      <c r="Y230" s="798">
        <f t="shared" si="45"/>
        <v>1133</v>
      </c>
      <c r="AA230" s="823">
        <f>'CHAM CONG'!BA229</f>
        <v>0</v>
      </c>
      <c r="AB230" s="823">
        <f>'CHAM CONG'!BB229</f>
        <v>0</v>
      </c>
      <c r="AC230" s="823">
        <f>'CHAM CONG'!BC229</f>
        <v>0</v>
      </c>
      <c r="AD230" s="823">
        <f>'CHAM CONG'!BD229</f>
        <v>0</v>
      </c>
      <c r="AE230" s="824">
        <f t="shared" si="37"/>
        <v>498.52</v>
      </c>
      <c r="AF230" s="798">
        <f t="shared" si="38"/>
        <v>364</v>
      </c>
      <c r="AG230" s="831">
        <f t="shared" si="39"/>
        <v>567</v>
      </c>
      <c r="AH230" s="798">
        <f t="shared" si="40"/>
        <v>202</v>
      </c>
      <c r="AJ230" s="802">
        <f t="shared" si="46"/>
        <v>1133</v>
      </c>
      <c r="AU230" s="798">
        <f t="shared" si="43"/>
        <v>0</v>
      </c>
    </row>
    <row r="231" spans="1:47">
      <c r="A231" s="798">
        <v>101</v>
      </c>
      <c r="B231" s="810">
        <v>3</v>
      </c>
      <c r="C231" s="811"/>
      <c r="D231" s="811"/>
      <c r="E231" s="811"/>
      <c r="F231" s="811"/>
      <c r="G231" s="811">
        <v>244</v>
      </c>
      <c r="H231" s="811">
        <v>257</v>
      </c>
      <c r="I231" s="811">
        <v>140</v>
      </c>
      <c r="J231" s="811"/>
      <c r="K231" s="811"/>
      <c r="L231" s="811"/>
      <c r="M231" s="811">
        <v>151</v>
      </c>
      <c r="N231" s="811">
        <v>253</v>
      </c>
      <c r="O231" s="811">
        <v>167</v>
      </c>
      <c r="P231" s="811"/>
      <c r="Q231" s="819"/>
      <c r="R231" s="803"/>
      <c r="S231" s="803"/>
      <c r="T231" s="803"/>
      <c r="U231" s="803"/>
      <c r="V231" s="803"/>
      <c r="W231" s="801">
        <f t="shared" si="44"/>
        <v>1212</v>
      </c>
      <c r="Y231" s="798">
        <f t="shared" si="45"/>
        <v>1212</v>
      </c>
      <c r="AA231" s="823">
        <f>'CHAM CONG'!BA230</f>
        <v>0</v>
      </c>
      <c r="AB231" s="823">
        <f>'CHAM CONG'!BB230</f>
        <v>0</v>
      </c>
      <c r="AC231" s="823">
        <f>'CHAM CONG'!BC230</f>
        <v>0</v>
      </c>
      <c r="AD231" s="823">
        <f>'CHAM CONG'!BD230</f>
        <v>0</v>
      </c>
      <c r="AE231" s="824">
        <f t="shared" si="37"/>
        <v>533.28</v>
      </c>
      <c r="AF231" s="798">
        <f t="shared" si="38"/>
        <v>510</v>
      </c>
      <c r="AG231" s="831">
        <f t="shared" si="39"/>
        <v>307</v>
      </c>
      <c r="AH231" s="798">
        <f t="shared" si="40"/>
        <v>395</v>
      </c>
      <c r="AJ231" s="802">
        <f t="shared" si="46"/>
        <v>1212</v>
      </c>
      <c r="AU231" s="798">
        <f t="shared" si="43"/>
        <v>0</v>
      </c>
    </row>
    <row r="232" spans="1:47">
      <c r="A232" s="798">
        <v>102</v>
      </c>
      <c r="B232" s="810">
        <v>3</v>
      </c>
      <c r="C232" s="811"/>
      <c r="D232" s="811"/>
      <c r="E232" s="811"/>
      <c r="F232" s="811"/>
      <c r="G232" s="811">
        <v>240</v>
      </c>
      <c r="H232" s="811">
        <v>107</v>
      </c>
      <c r="I232" s="811">
        <v>99</v>
      </c>
      <c r="J232" s="811"/>
      <c r="K232" s="811"/>
      <c r="L232" s="811"/>
      <c r="M232" s="811">
        <v>221</v>
      </c>
      <c r="N232" s="811">
        <v>192</v>
      </c>
      <c r="O232" s="811">
        <v>219</v>
      </c>
      <c r="P232" s="811"/>
      <c r="Q232" s="819"/>
      <c r="R232" s="803"/>
      <c r="S232" s="803"/>
      <c r="T232" s="803"/>
      <c r="U232" s="803"/>
      <c r="V232" s="803"/>
      <c r="W232" s="801">
        <f t="shared" si="44"/>
        <v>1078</v>
      </c>
      <c r="Y232" s="798">
        <f t="shared" si="45"/>
        <v>1078</v>
      </c>
      <c r="AA232" s="823">
        <f>'CHAM CONG'!BA231</f>
        <v>0</v>
      </c>
      <c r="AB232" s="823">
        <f>'CHAM CONG'!BB231</f>
        <v>0</v>
      </c>
      <c r="AC232" s="823">
        <f>'CHAM CONG'!BC231</f>
        <v>0</v>
      </c>
      <c r="AD232" s="823">
        <f>'CHAM CONG'!BD231</f>
        <v>0</v>
      </c>
      <c r="AE232" s="824">
        <f t="shared" si="37"/>
        <v>474.32</v>
      </c>
      <c r="AF232" s="798">
        <f t="shared" si="38"/>
        <v>299</v>
      </c>
      <c r="AG232" s="831">
        <f t="shared" si="39"/>
        <v>318</v>
      </c>
      <c r="AH232" s="798">
        <f t="shared" si="40"/>
        <v>461</v>
      </c>
      <c r="AJ232" s="802">
        <f t="shared" si="46"/>
        <v>1078</v>
      </c>
      <c r="AU232" s="798">
        <f t="shared" si="43"/>
        <v>0</v>
      </c>
    </row>
    <row r="233" spans="1:47">
      <c r="A233" s="798">
        <v>103</v>
      </c>
      <c r="B233" s="810">
        <v>3</v>
      </c>
      <c r="C233" s="811"/>
      <c r="D233" s="811"/>
      <c r="E233" s="811"/>
      <c r="F233" s="811"/>
      <c r="G233" s="811">
        <v>185</v>
      </c>
      <c r="H233" s="811">
        <v>273</v>
      </c>
      <c r="I233" s="811">
        <v>216</v>
      </c>
      <c r="J233" s="811"/>
      <c r="K233" s="811"/>
      <c r="L233" s="811"/>
      <c r="M233" s="811">
        <v>205</v>
      </c>
      <c r="N233" s="811">
        <v>235</v>
      </c>
      <c r="O233" s="811">
        <v>237</v>
      </c>
      <c r="P233" s="811"/>
      <c r="Q233" s="819"/>
      <c r="R233" s="803"/>
      <c r="S233" s="803"/>
      <c r="T233" s="803"/>
      <c r="U233" s="803"/>
      <c r="V233" s="803"/>
      <c r="W233" s="801">
        <f t="shared" si="44"/>
        <v>1351</v>
      </c>
      <c r="Y233" s="798">
        <f t="shared" si="45"/>
        <v>1351</v>
      </c>
      <c r="AA233" s="823">
        <f>'CHAM CONG'!BA232</f>
        <v>0</v>
      </c>
      <c r="AB233" s="823">
        <f>'CHAM CONG'!BB232</f>
        <v>0</v>
      </c>
      <c r="AC233" s="823">
        <f>'CHAM CONG'!BC232</f>
        <v>0</v>
      </c>
      <c r="AD233" s="823">
        <f>'CHAM CONG'!BD232</f>
        <v>0</v>
      </c>
      <c r="AE233" s="824">
        <f t="shared" si="37"/>
        <v>594.44000000000005</v>
      </c>
      <c r="AF233" s="798">
        <f t="shared" si="38"/>
        <v>508</v>
      </c>
      <c r="AG233" s="831">
        <f t="shared" si="39"/>
        <v>453</v>
      </c>
      <c r="AH233" s="798">
        <f t="shared" si="40"/>
        <v>390</v>
      </c>
      <c r="AJ233" s="802">
        <f t="shared" si="46"/>
        <v>1351</v>
      </c>
      <c r="AU233" s="798">
        <f t="shared" si="43"/>
        <v>0</v>
      </c>
    </row>
    <row r="234" spans="1:47">
      <c r="A234" s="798">
        <v>104</v>
      </c>
      <c r="B234" s="810">
        <v>3</v>
      </c>
      <c r="C234" s="811"/>
      <c r="D234" s="811"/>
      <c r="E234" s="811"/>
      <c r="F234" s="811"/>
      <c r="G234" s="811">
        <v>0</v>
      </c>
      <c r="H234" s="811">
        <v>340</v>
      </c>
      <c r="I234" s="811">
        <v>186</v>
      </c>
      <c r="J234" s="811"/>
      <c r="K234" s="811"/>
      <c r="L234" s="811"/>
      <c r="M234" s="811">
        <v>140</v>
      </c>
      <c r="N234" s="811">
        <v>120</v>
      </c>
      <c r="O234" s="811">
        <v>244</v>
      </c>
      <c r="P234" s="811"/>
      <c r="Q234" s="819"/>
      <c r="R234" s="803"/>
      <c r="S234" s="803"/>
      <c r="T234" s="803"/>
      <c r="U234" s="803"/>
      <c r="V234" s="803"/>
      <c r="W234" s="801">
        <f t="shared" si="44"/>
        <v>1030</v>
      </c>
      <c r="Y234" s="798">
        <f t="shared" si="45"/>
        <v>1030</v>
      </c>
      <c r="AA234" s="823">
        <f>'CHAM CONG'!BA233</f>
        <v>0</v>
      </c>
      <c r="AB234" s="823">
        <f>'CHAM CONG'!BB233</f>
        <v>0</v>
      </c>
      <c r="AC234" s="823">
        <f>'CHAM CONG'!BC233</f>
        <v>0</v>
      </c>
      <c r="AD234" s="823">
        <f>'CHAM CONG'!BD233</f>
        <v>0</v>
      </c>
      <c r="AE234" s="824">
        <f t="shared" si="37"/>
        <v>453.2</v>
      </c>
      <c r="AF234" s="798">
        <f t="shared" si="38"/>
        <v>460</v>
      </c>
      <c r="AG234" s="831">
        <f t="shared" si="39"/>
        <v>430</v>
      </c>
      <c r="AH234" s="798">
        <f t="shared" si="40"/>
        <v>140</v>
      </c>
      <c r="AJ234" s="802">
        <f t="shared" si="46"/>
        <v>1030</v>
      </c>
      <c r="AU234" s="798">
        <f t="shared" si="43"/>
        <v>0</v>
      </c>
    </row>
    <row r="235" spans="1:47" s="9" customFormat="1">
      <c r="A235" s="9">
        <v>105</v>
      </c>
      <c r="B235" s="810">
        <v>3</v>
      </c>
      <c r="C235" s="811"/>
      <c r="D235" s="811"/>
      <c r="E235" s="811"/>
      <c r="F235" s="811"/>
      <c r="G235" s="811">
        <v>216</v>
      </c>
      <c r="H235" s="811">
        <v>190</v>
      </c>
      <c r="I235" s="811">
        <v>144</v>
      </c>
      <c r="J235" s="811"/>
      <c r="K235" s="811"/>
      <c r="L235" s="811"/>
      <c r="M235" s="811">
        <v>222</v>
      </c>
      <c r="N235" s="811">
        <v>197</v>
      </c>
      <c r="O235" s="811">
        <v>177</v>
      </c>
      <c r="P235" s="811"/>
      <c r="Q235" s="819"/>
      <c r="R235" s="811"/>
      <c r="S235" s="811"/>
      <c r="T235" s="811"/>
      <c r="U235" s="811"/>
      <c r="V235" s="811"/>
      <c r="W235" s="801">
        <f t="shared" si="44"/>
        <v>1146</v>
      </c>
      <c r="Y235" s="798">
        <f t="shared" si="45"/>
        <v>1146</v>
      </c>
      <c r="AA235" s="825">
        <f>'CHAM CONG'!BA234</f>
        <v>0</v>
      </c>
      <c r="AB235" s="825">
        <f>'CHAM CONG'!BB234</f>
        <v>0</v>
      </c>
      <c r="AC235" s="825">
        <f>'CHAM CONG'!BC234</f>
        <v>0</v>
      </c>
      <c r="AD235" s="825">
        <f>'CHAM CONG'!BD234</f>
        <v>0</v>
      </c>
      <c r="AE235" s="824">
        <f t="shared" si="37"/>
        <v>504.24</v>
      </c>
      <c r="AF235" s="798">
        <f t="shared" si="38"/>
        <v>387</v>
      </c>
      <c r="AG235" s="831">
        <f t="shared" si="39"/>
        <v>321</v>
      </c>
      <c r="AH235" s="798">
        <f t="shared" si="40"/>
        <v>438</v>
      </c>
      <c r="AI235" s="798"/>
      <c r="AJ235" s="833">
        <f t="shared" si="46"/>
        <v>1146</v>
      </c>
      <c r="AU235" s="9">
        <f t="shared" si="43"/>
        <v>0</v>
      </c>
    </row>
    <row r="236" spans="1:47">
      <c r="A236" s="798">
        <v>106</v>
      </c>
      <c r="B236" s="810">
        <v>3</v>
      </c>
      <c r="C236" s="811"/>
      <c r="D236" s="811"/>
      <c r="E236" s="811"/>
      <c r="F236" s="811"/>
      <c r="G236" s="811">
        <v>112</v>
      </c>
      <c r="H236" s="811">
        <v>174</v>
      </c>
      <c r="I236" s="811">
        <v>189</v>
      </c>
      <c r="J236" s="811"/>
      <c r="K236" s="811"/>
      <c r="L236" s="811"/>
      <c r="M236" s="811">
        <v>190</v>
      </c>
      <c r="N236" s="811">
        <v>124</v>
      </c>
      <c r="O236" s="811">
        <v>220</v>
      </c>
      <c r="P236" s="811"/>
      <c r="Q236" s="819"/>
      <c r="R236" s="806"/>
      <c r="S236" s="803"/>
      <c r="T236" s="803"/>
      <c r="U236" s="803"/>
      <c r="V236" s="803"/>
      <c r="W236" s="801">
        <f t="shared" si="44"/>
        <v>1009</v>
      </c>
      <c r="Y236" s="798">
        <f t="shared" si="45"/>
        <v>1009</v>
      </c>
      <c r="AA236" s="823">
        <f>'CHAM CONG'!BA235</f>
        <v>0</v>
      </c>
      <c r="AB236" s="823">
        <f>'CHAM CONG'!BB235</f>
        <v>0</v>
      </c>
      <c r="AC236" s="823">
        <f>'CHAM CONG'!BC235</f>
        <v>0</v>
      </c>
      <c r="AD236" s="823">
        <f>'CHAM CONG'!BD235</f>
        <v>0</v>
      </c>
      <c r="AE236" s="824">
        <f t="shared" si="37"/>
        <v>443.96</v>
      </c>
      <c r="AF236" s="798">
        <f t="shared" si="38"/>
        <v>298</v>
      </c>
      <c r="AG236" s="831">
        <f t="shared" si="39"/>
        <v>409</v>
      </c>
      <c r="AH236" s="798">
        <f t="shared" si="40"/>
        <v>302</v>
      </c>
      <c r="AJ236" s="802">
        <f t="shared" si="46"/>
        <v>1009</v>
      </c>
      <c r="AU236" s="798">
        <f t="shared" si="43"/>
        <v>0</v>
      </c>
    </row>
    <row r="237" spans="1:47">
      <c r="A237" s="798">
        <v>107</v>
      </c>
      <c r="B237" s="810">
        <v>3</v>
      </c>
      <c r="C237" s="811"/>
      <c r="D237" s="811"/>
      <c r="E237" s="811"/>
      <c r="F237" s="811"/>
      <c r="G237" s="811">
        <v>0</v>
      </c>
      <c r="H237" s="811">
        <v>325</v>
      </c>
      <c r="I237" s="811">
        <v>97</v>
      </c>
      <c r="J237" s="811"/>
      <c r="K237" s="811"/>
      <c r="L237" s="811"/>
      <c r="M237" s="811">
        <v>237</v>
      </c>
      <c r="N237" s="811">
        <v>0</v>
      </c>
      <c r="O237" s="811">
        <v>485</v>
      </c>
      <c r="P237" s="811"/>
      <c r="Q237" s="819"/>
      <c r="R237" s="803"/>
      <c r="S237" s="803"/>
      <c r="T237" s="803"/>
      <c r="U237" s="803"/>
      <c r="V237" s="803"/>
      <c r="W237" s="801">
        <f t="shared" si="44"/>
        <v>1144</v>
      </c>
      <c r="Y237" s="798">
        <f t="shared" si="45"/>
        <v>1144</v>
      </c>
      <c r="AA237" s="823">
        <f>'CHAM CONG'!BA236</f>
        <v>0</v>
      </c>
      <c r="AB237" s="823">
        <f>'CHAM CONG'!BB236</f>
        <v>0</v>
      </c>
      <c r="AC237" s="823">
        <f>'CHAM CONG'!BC236</f>
        <v>0</v>
      </c>
      <c r="AD237" s="823">
        <f>'CHAM CONG'!BD236</f>
        <v>0</v>
      </c>
      <c r="AE237" s="824">
        <f t="shared" si="37"/>
        <v>503.36</v>
      </c>
      <c r="AF237" s="798">
        <f t="shared" si="38"/>
        <v>325</v>
      </c>
      <c r="AG237" s="831">
        <f t="shared" si="39"/>
        <v>582</v>
      </c>
      <c r="AH237" s="798">
        <f t="shared" si="40"/>
        <v>237</v>
      </c>
      <c r="AJ237" s="802">
        <f t="shared" si="46"/>
        <v>1144</v>
      </c>
      <c r="AU237" s="798">
        <f t="shared" si="43"/>
        <v>0</v>
      </c>
    </row>
    <row r="238" spans="1:47">
      <c r="A238" s="798">
        <v>108</v>
      </c>
      <c r="B238" s="810">
        <v>3</v>
      </c>
      <c r="C238" s="811"/>
      <c r="D238" s="811"/>
      <c r="E238" s="811"/>
      <c r="F238" s="811"/>
      <c r="G238" s="811">
        <v>244</v>
      </c>
      <c r="H238" s="811">
        <v>249</v>
      </c>
      <c r="I238" s="811">
        <v>115</v>
      </c>
      <c r="J238" s="811"/>
      <c r="K238" s="811"/>
      <c r="L238" s="811"/>
      <c r="M238" s="811">
        <v>188</v>
      </c>
      <c r="N238" s="811">
        <v>268</v>
      </c>
      <c r="O238" s="811">
        <v>235</v>
      </c>
      <c r="P238" s="811"/>
      <c r="Q238" s="819"/>
      <c r="R238" s="803"/>
      <c r="S238" s="803"/>
      <c r="T238" s="803"/>
      <c r="U238" s="803"/>
      <c r="V238" s="803"/>
      <c r="W238" s="801">
        <f t="shared" si="44"/>
        <v>1299</v>
      </c>
      <c r="Y238" s="798">
        <f t="shared" si="45"/>
        <v>1299</v>
      </c>
      <c r="AA238" s="823">
        <f>'CHAM CONG'!BA237</f>
        <v>0</v>
      </c>
      <c r="AB238" s="823">
        <f>'CHAM CONG'!BB237</f>
        <v>0</v>
      </c>
      <c r="AC238" s="823">
        <f>'CHAM CONG'!BC237</f>
        <v>0</v>
      </c>
      <c r="AD238" s="823">
        <f>'CHAM CONG'!BD237</f>
        <v>0</v>
      </c>
      <c r="AE238" s="824">
        <f t="shared" si="37"/>
        <v>571.55999999999995</v>
      </c>
      <c r="AF238" s="798">
        <f t="shared" si="38"/>
        <v>517</v>
      </c>
      <c r="AG238" s="831">
        <f t="shared" si="39"/>
        <v>350</v>
      </c>
      <c r="AH238" s="798">
        <f t="shared" si="40"/>
        <v>432</v>
      </c>
      <c r="AJ238" s="802">
        <f t="shared" si="46"/>
        <v>1299</v>
      </c>
      <c r="AU238" s="798">
        <f t="shared" si="43"/>
        <v>0</v>
      </c>
    </row>
    <row r="239" spans="1:47">
      <c r="A239" s="798">
        <v>109</v>
      </c>
      <c r="B239" s="810">
        <v>3</v>
      </c>
      <c r="C239" s="811"/>
      <c r="D239" s="811"/>
      <c r="E239" s="811"/>
      <c r="F239" s="811"/>
      <c r="G239" s="811">
        <v>117</v>
      </c>
      <c r="H239" s="811">
        <v>276</v>
      </c>
      <c r="I239" s="811">
        <v>110</v>
      </c>
      <c r="J239" s="811"/>
      <c r="K239" s="811"/>
      <c r="L239" s="811"/>
      <c r="M239" s="811">
        <v>235</v>
      </c>
      <c r="N239" s="811">
        <v>162</v>
      </c>
      <c r="O239" s="811">
        <v>226</v>
      </c>
      <c r="P239" s="811"/>
      <c r="Q239" s="819"/>
      <c r="R239" s="803"/>
      <c r="S239" s="803"/>
      <c r="T239" s="803"/>
      <c r="U239" s="803"/>
      <c r="V239" s="803"/>
      <c r="W239" s="801">
        <f t="shared" si="44"/>
        <v>1126</v>
      </c>
      <c r="Y239" s="798">
        <f t="shared" si="45"/>
        <v>1126</v>
      </c>
      <c r="AA239" s="823">
        <f>'CHAM CONG'!BA238</f>
        <v>0</v>
      </c>
      <c r="AB239" s="823">
        <f>'CHAM CONG'!BB238</f>
        <v>0</v>
      </c>
      <c r="AC239" s="823">
        <f>'CHAM CONG'!BC238</f>
        <v>0</v>
      </c>
      <c r="AD239" s="823">
        <f>'CHAM CONG'!BD238</f>
        <v>0</v>
      </c>
      <c r="AE239" s="824">
        <f t="shared" si="37"/>
        <v>495.44</v>
      </c>
      <c r="AF239" s="798">
        <f t="shared" si="38"/>
        <v>438</v>
      </c>
      <c r="AG239" s="831">
        <f t="shared" si="39"/>
        <v>336</v>
      </c>
      <c r="AH239" s="798">
        <f t="shared" si="40"/>
        <v>352</v>
      </c>
      <c r="AJ239" s="802">
        <f t="shared" si="46"/>
        <v>1126</v>
      </c>
      <c r="AU239" s="798">
        <f t="shared" si="43"/>
        <v>0</v>
      </c>
    </row>
    <row r="240" spans="1:47">
      <c r="A240" s="798">
        <v>110</v>
      </c>
      <c r="B240" s="810">
        <v>3</v>
      </c>
      <c r="C240" s="811"/>
      <c r="D240" s="811"/>
      <c r="E240" s="811"/>
      <c r="F240" s="811"/>
      <c r="G240" s="811">
        <v>123</v>
      </c>
      <c r="H240" s="811">
        <v>193</v>
      </c>
      <c r="I240" s="811">
        <v>91</v>
      </c>
      <c r="J240" s="811"/>
      <c r="K240" s="811"/>
      <c r="L240" s="811"/>
      <c r="M240" s="811">
        <v>164</v>
      </c>
      <c r="N240" s="811">
        <v>158</v>
      </c>
      <c r="O240" s="811">
        <v>205</v>
      </c>
      <c r="P240" s="811"/>
      <c r="Q240" s="819"/>
      <c r="R240" s="803"/>
      <c r="S240" s="803"/>
      <c r="T240" s="803"/>
      <c r="U240" s="803"/>
      <c r="V240" s="803"/>
      <c r="W240" s="801">
        <f t="shared" si="44"/>
        <v>934</v>
      </c>
      <c r="Y240" s="798">
        <f t="shared" si="45"/>
        <v>934</v>
      </c>
      <c r="AA240" s="823">
        <f>'CHAM CONG'!BA239</f>
        <v>0</v>
      </c>
      <c r="AB240" s="823">
        <f>'CHAM CONG'!BB239</f>
        <v>0</v>
      </c>
      <c r="AC240" s="823">
        <f>'CHAM CONG'!BC239</f>
        <v>0</v>
      </c>
      <c r="AD240" s="823">
        <f>'CHAM CONG'!BD239</f>
        <v>0</v>
      </c>
      <c r="AE240" s="824">
        <f t="shared" si="37"/>
        <v>410.96</v>
      </c>
      <c r="AF240" s="798">
        <f t="shared" si="38"/>
        <v>351</v>
      </c>
      <c r="AG240" s="831">
        <f t="shared" si="39"/>
        <v>296</v>
      </c>
      <c r="AH240" s="798">
        <f t="shared" si="40"/>
        <v>287</v>
      </c>
      <c r="AJ240" s="802">
        <f t="shared" si="46"/>
        <v>934</v>
      </c>
      <c r="AU240" s="798">
        <f t="shared" si="43"/>
        <v>0</v>
      </c>
    </row>
    <row r="241" spans="1:47">
      <c r="A241" s="798">
        <v>111</v>
      </c>
      <c r="B241" s="810">
        <v>3</v>
      </c>
      <c r="C241" s="811"/>
      <c r="D241" s="811"/>
      <c r="E241" s="811"/>
      <c r="F241" s="811"/>
      <c r="G241" s="811">
        <v>0</v>
      </c>
      <c r="H241" s="811">
        <v>360</v>
      </c>
      <c r="I241" s="811">
        <v>117</v>
      </c>
      <c r="J241" s="811"/>
      <c r="K241" s="811"/>
      <c r="L241" s="811"/>
      <c r="M241" s="811">
        <v>130</v>
      </c>
      <c r="N241" s="811">
        <v>0</v>
      </c>
      <c r="O241" s="811">
        <v>497</v>
      </c>
      <c r="P241" s="811"/>
      <c r="Q241" s="819"/>
      <c r="R241" s="803"/>
      <c r="S241" s="803"/>
      <c r="T241" s="803"/>
      <c r="U241" s="803"/>
      <c r="V241" s="803"/>
      <c r="W241" s="801">
        <f t="shared" si="44"/>
        <v>1104</v>
      </c>
      <c r="Y241" s="798">
        <f t="shared" si="45"/>
        <v>1104</v>
      </c>
      <c r="AA241" s="823">
        <f>'CHAM CONG'!BA240</f>
        <v>0</v>
      </c>
      <c r="AB241" s="823">
        <f>'CHAM CONG'!BB240</f>
        <v>0</v>
      </c>
      <c r="AC241" s="823">
        <f>'CHAM CONG'!BC240</f>
        <v>0</v>
      </c>
      <c r="AD241" s="823">
        <f>'CHAM CONG'!BD240</f>
        <v>0</v>
      </c>
      <c r="AE241" s="824">
        <f t="shared" si="37"/>
        <v>485.76</v>
      </c>
      <c r="AF241" s="798">
        <f t="shared" si="38"/>
        <v>360</v>
      </c>
      <c r="AG241" s="831">
        <f t="shared" si="39"/>
        <v>614</v>
      </c>
      <c r="AH241" s="798">
        <f t="shared" si="40"/>
        <v>130</v>
      </c>
      <c r="AJ241" s="802">
        <f t="shared" si="46"/>
        <v>1104</v>
      </c>
      <c r="AU241" s="798">
        <f t="shared" si="43"/>
        <v>0</v>
      </c>
    </row>
    <row r="242" spans="1:47">
      <c r="A242" s="798">
        <v>112</v>
      </c>
      <c r="B242" s="810">
        <v>3</v>
      </c>
      <c r="C242" s="811"/>
      <c r="D242" s="811"/>
      <c r="E242" s="811"/>
      <c r="F242" s="811"/>
      <c r="G242" s="811">
        <v>0</v>
      </c>
      <c r="H242" s="811">
        <v>380</v>
      </c>
      <c r="I242" s="811">
        <v>114</v>
      </c>
      <c r="J242" s="811"/>
      <c r="K242" s="811"/>
      <c r="L242" s="811"/>
      <c r="M242" s="811">
        <v>129</v>
      </c>
      <c r="N242" s="811">
        <v>0</v>
      </c>
      <c r="O242" s="811">
        <v>497</v>
      </c>
      <c r="P242" s="811"/>
      <c r="Q242" s="819"/>
      <c r="R242" s="803"/>
      <c r="S242" s="803"/>
      <c r="T242" s="803"/>
      <c r="U242" s="803"/>
      <c r="V242" s="803"/>
      <c r="W242" s="801">
        <f t="shared" si="44"/>
        <v>1120</v>
      </c>
      <c r="Y242" s="798">
        <f t="shared" si="45"/>
        <v>1120</v>
      </c>
      <c r="AA242" s="823">
        <f>'CHAM CONG'!BA241</f>
        <v>0</v>
      </c>
      <c r="AB242" s="823">
        <f>'CHAM CONG'!BB241</f>
        <v>0</v>
      </c>
      <c r="AC242" s="823">
        <f>'CHAM CONG'!BC241</f>
        <v>0</v>
      </c>
      <c r="AD242" s="823">
        <f>'CHAM CONG'!BD241</f>
        <v>0</v>
      </c>
      <c r="AE242" s="824">
        <f t="shared" si="37"/>
        <v>492.8</v>
      </c>
      <c r="AF242" s="798">
        <f t="shared" si="38"/>
        <v>380</v>
      </c>
      <c r="AG242" s="831">
        <f t="shared" si="39"/>
        <v>611</v>
      </c>
      <c r="AH242" s="798">
        <f t="shared" si="40"/>
        <v>129</v>
      </c>
      <c r="AJ242" s="802">
        <f t="shared" si="46"/>
        <v>1120</v>
      </c>
      <c r="AU242" s="798">
        <f t="shared" si="43"/>
        <v>0</v>
      </c>
    </row>
    <row r="243" spans="1:47">
      <c r="A243" s="798">
        <v>113</v>
      </c>
      <c r="B243" s="810">
        <v>3</v>
      </c>
      <c r="C243" s="811"/>
      <c r="D243" s="811"/>
      <c r="E243" s="811"/>
      <c r="F243" s="811"/>
      <c r="G243" s="811">
        <v>190</v>
      </c>
      <c r="H243" s="811">
        <v>102</v>
      </c>
      <c r="I243" s="811">
        <v>128</v>
      </c>
      <c r="J243" s="811"/>
      <c r="K243" s="811"/>
      <c r="L243" s="811"/>
      <c r="M243" s="811">
        <v>171</v>
      </c>
      <c r="N243" s="811">
        <v>273</v>
      </c>
      <c r="O243" s="811">
        <v>142</v>
      </c>
      <c r="P243" s="811"/>
      <c r="Q243" s="819"/>
      <c r="R243" s="803"/>
      <c r="S243" s="803"/>
      <c r="T243" s="803"/>
      <c r="U243" s="803"/>
      <c r="V243" s="803"/>
      <c r="W243" s="801">
        <f t="shared" si="44"/>
        <v>1006</v>
      </c>
      <c r="Y243" s="798">
        <f t="shared" si="45"/>
        <v>1006</v>
      </c>
      <c r="AA243" s="823">
        <f>'CHAM CONG'!BA242</f>
        <v>0</v>
      </c>
      <c r="AB243" s="823">
        <f>'CHAM CONG'!BB242</f>
        <v>0</v>
      </c>
      <c r="AC243" s="823">
        <f>'CHAM CONG'!BC242</f>
        <v>0</v>
      </c>
      <c r="AD243" s="823">
        <f>'CHAM CONG'!BD242</f>
        <v>0</v>
      </c>
      <c r="AE243" s="824">
        <f t="shared" ref="AE243:AE306" si="47">ROUND(W243*0.44,2)</f>
        <v>442.64</v>
      </c>
      <c r="AF243" s="798">
        <f t="shared" ref="AF243:AF268" si="48">H243+N243</f>
        <v>375</v>
      </c>
      <c r="AG243" s="831">
        <f t="shared" ref="AG243:AG268" si="49">I243+J243+O243+P243</f>
        <v>270</v>
      </c>
      <c r="AH243" s="798">
        <f t="shared" ref="AH243:AH268" si="50">G243+M243</f>
        <v>361</v>
      </c>
      <c r="AJ243" s="802">
        <f t="shared" si="46"/>
        <v>1006</v>
      </c>
      <c r="AU243" s="798">
        <f t="shared" si="43"/>
        <v>0</v>
      </c>
    </row>
    <row r="244" spans="1:47">
      <c r="A244" s="798">
        <v>114</v>
      </c>
      <c r="B244" s="810">
        <v>3</v>
      </c>
      <c r="C244" s="811"/>
      <c r="D244" s="811"/>
      <c r="E244" s="811"/>
      <c r="F244" s="811"/>
      <c r="G244" s="811">
        <v>0</v>
      </c>
      <c r="H244" s="811">
        <v>328</v>
      </c>
      <c r="I244" s="811">
        <v>174</v>
      </c>
      <c r="J244" s="811"/>
      <c r="K244" s="811"/>
      <c r="L244" s="811"/>
      <c r="M244" s="811">
        <v>116</v>
      </c>
      <c r="N244" s="811">
        <v>197</v>
      </c>
      <c r="O244" s="811">
        <v>230</v>
      </c>
      <c r="P244" s="811"/>
      <c r="Q244" s="819"/>
      <c r="R244" s="803"/>
      <c r="S244" s="803"/>
      <c r="T244" s="803"/>
      <c r="U244" s="803"/>
      <c r="V244" s="803"/>
      <c r="W244" s="801">
        <f t="shared" si="44"/>
        <v>1045</v>
      </c>
      <c r="Y244" s="798">
        <f t="shared" si="45"/>
        <v>1045</v>
      </c>
      <c r="AA244" s="823">
        <f>'CHAM CONG'!BA243</f>
        <v>0</v>
      </c>
      <c r="AB244" s="823">
        <f>'CHAM CONG'!BB243</f>
        <v>0</v>
      </c>
      <c r="AC244" s="823">
        <f>'CHAM CONG'!BC243</f>
        <v>0</v>
      </c>
      <c r="AD244" s="823">
        <f>'CHAM CONG'!BD243</f>
        <v>0</v>
      </c>
      <c r="AE244" s="824">
        <f t="shared" si="47"/>
        <v>459.8</v>
      </c>
      <c r="AF244" s="798">
        <f t="shared" si="48"/>
        <v>525</v>
      </c>
      <c r="AG244" s="831">
        <f t="shared" si="49"/>
        <v>404</v>
      </c>
      <c r="AH244" s="798">
        <f t="shared" si="50"/>
        <v>116</v>
      </c>
      <c r="AJ244" s="802">
        <f t="shared" si="46"/>
        <v>1045</v>
      </c>
      <c r="AU244" s="798">
        <f t="shared" si="43"/>
        <v>0</v>
      </c>
    </row>
    <row r="245" spans="1:47">
      <c r="A245" s="798">
        <v>115</v>
      </c>
      <c r="B245" s="810">
        <v>3</v>
      </c>
      <c r="C245" s="811"/>
      <c r="D245" s="811"/>
      <c r="E245" s="811"/>
      <c r="F245" s="811"/>
      <c r="G245" s="811">
        <v>212</v>
      </c>
      <c r="H245" s="811">
        <v>175</v>
      </c>
      <c r="I245" s="811">
        <v>209</v>
      </c>
      <c r="J245" s="811"/>
      <c r="K245" s="811"/>
      <c r="L245" s="811"/>
      <c r="M245" s="811">
        <v>199</v>
      </c>
      <c r="N245" s="811">
        <v>131</v>
      </c>
      <c r="O245" s="811">
        <v>239</v>
      </c>
      <c r="P245" s="811"/>
      <c r="Q245" s="819"/>
      <c r="R245" s="803"/>
      <c r="S245" s="803"/>
      <c r="T245" s="803"/>
      <c r="U245" s="803"/>
      <c r="V245" s="803"/>
      <c r="W245" s="801">
        <f t="shared" si="44"/>
        <v>1165</v>
      </c>
      <c r="Y245" s="798">
        <f t="shared" si="45"/>
        <v>1165</v>
      </c>
      <c r="AA245" s="823">
        <f>'CHAM CONG'!BA244</f>
        <v>0</v>
      </c>
      <c r="AB245" s="823">
        <f>'CHAM CONG'!BB244</f>
        <v>0</v>
      </c>
      <c r="AC245" s="823">
        <f>'CHAM CONG'!BC244</f>
        <v>0</v>
      </c>
      <c r="AD245" s="823">
        <f>'CHAM CONG'!BD244</f>
        <v>0</v>
      </c>
      <c r="AE245" s="824">
        <f t="shared" si="47"/>
        <v>512.6</v>
      </c>
      <c r="AF245" s="798">
        <f t="shared" si="48"/>
        <v>306</v>
      </c>
      <c r="AG245" s="831">
        <f t="shared" si="49"/>
        <v>448</v>
      </c>
      <c r="AH245" s="798">
        <f t="shared" si="50"/>
        <v>411</v>
      </c>
      <c r="AJ245" s="802">
        <f t="shared" si="46"/>
        <v>1165</v>
      </c>
      <c r="AU245" s="798">
        <f t="shared" si="43"/>
        <v>0</v>
      </c>
    </row>
    <row r="246" spans="1:47">
      <c r="A246" s="798">
        <v>116</v>
      </c>
      <c r="B246" s="810">
        <v>3</v>
      </c>
      <c r="C246" s="811"/>
      <c r="D246" s="811"/>
      <c r="E246" s="811"/>
      <c r="F246" s="811"/>
      <c r="G246" s="811">
        <v>202</v>
      </c>
      <c r="H246" s="811">
        <v>182</v>
      </c>
      <c r="I246" s="811">
        <v>198</v>
      </c>
      <c r="J246" s="811"/>
      <c r="K246" s="811"/>
      <c r="L246" s="811"/>
      <c r="M246" s="811">
        <v>209</v>
      </c>
      <c r="N246" s="811">
        <v>121</v>
      </c>
      <c r="O246" s="811">
        <v>215</v>
      </c>
      <c r="P246" s="811"/>
      <c r="Q246" s="819"/>
      <c r="R246" s="803"/>
      <c r="S246" s="803"/>
      <c r="T246" s="803"/>
      <c r="U246" s="803"/>
      <c r="V246" s="803"/>
      <c r="W246" s="801">
        <f t="shared" si="44"/>
        <v>1127</v>
      </c>
      <c r="Y246" s="798">
        <f t="shared" si="45"/>
        <v>1127</v>
      </c>
      <c r="AA246" s="823">
        <f>'CHAM CONG'!BA245</f>
        <v>0</v>
      </c>
      <c r="AB246" s="823">
        <f>'CHAM CONG'!BB245</f>
        <v>0</v>
      </c>
      <c r="AC246" s="823">
        <f>'CHAM CONG'!BC245</f>
        <v>0</v>
      </c>
      <c r="AD246" s="823">
        <f>'CHAM CONG'!BD245</f>
        <v>0</v>
      </c>
      <c r="AE246" s="824">
        <f t="shared" si="47"/>
        <v>495.88</v>
      </c>
      <c r="AF246" s="798">
        <f t="shared" si="48"/>
        <v>303</v>
      </c>
      <c r="AG246" s="831">
        <f t="shared" si="49"/>
        <v>413</v>
      </c>
      <c r="AH246" s="798">
        <f t="shared" si="50"/>
        <v>411</v>
      </c>
      <c r="AJ246" s="802">
        <f t="shared" si="46"/>
        <v>1127</v>
      </c>
      <c r="AU246" s="798">
        <f t="shared" si="43"/>
        <v>0</v>
      </c>
    </row>
    <row r="247" spans="1:47">
      <c r="A247" s="798">
        <v>117</v>
      </c>
      <c r="B247" s="810">
        <v>3</v>
      </c>
      <c r="C247" s="811"/>
      <c r="D247" s="811"/>
      <c r="E247" s="811"/>
      <c r="F247" s="811"/>
      <c r="G247" s="811">
        <v>225</v>
      </c>
      <c r="H247" s="811">
        <v>195</v>
      </c>
      <c r="I247" s="811">
        <v>155</v>
      </c>
      <c r="J247" s="811"/>
      <c r="K247" s="811"/>
      <c r="L247" s="811"/>
      <c r="M247" s="811">
        <v>212</v>
      </c>
      <c r="N247" s="811">
        <v>226</v>
      </c>
      <c r="O247" s="811">
        <v>170</v>
      </c>
      <c r="P247" s="811"/>
      <c r="Q247" s="819"/>
      <c r="R247" s="803"/>
      <c r="S247" s="803"/>
      <c r="T247" s="803"/>
      <c r="U247" s="803"/>
      <c r="V247" s="803"/>
      <c r="W247" s="801">
        <f t="shared" si="44"/>
        <v>1183</v>
      </c>
      <c r="Y247" s="798">
        <f t="shared" si="45"/>
        <v>1183</v>
      </c>
      <c r="AA247" s="823">
        <f>'CHAM CONG'!BA246</f>
        <v>0</v>
      </c>
      <c r="AB247" s="823">
        <f>'CHAM CONG'!BB246</f>
        <v>0</v>
      </c>
      <c r="AC247" s="823">
        <f>'CHAM CONG'!BC246</f>
        <v>0</v>
      </c>
      <c r="AD247" s="823">
        <f>'CHAM CONG'!BD246</f>
        <v>0</v>
      </c>
      <c r="AE247" s="824">
        <f t="shared" si="47"/>
        <v>520.52</v>
      </c>
      <c r="AF247" s="798">
        <f t="shared" si="48"/>
        <v>421</v>
      </c>
      <c r="AG247" s="831">
        <f t="shared" si="49"/>
        <v>325</v>
      </c>
      <c r="AH247" s="798">
        <f t="shared" si="50"/>
        <v>437</v>
      </c>
      <c r="AJ247" s="802">
        <f t="shared" si="46"/>
        <v>1183</v>
      </c>
      <c r="AU247" s="798">
        <f t="shared" si="43"/>
        <v>0</v>
      </c>
    </row>
    <row r="248" spans="1:47" s="9" customFormat="1">
      <c r="A248" s="9">
        <v>118</v>
      </c>
      <c r="B248" s="810">
        <v>3</v>
      </c>
      <c r="C248" s="811"/>
      <c r="D248" s="811"/>
      <c r="E248" s="811"/>
      <c r="F248" s="811"/>
      <c r="G248" s="811">
        <v>210</v>
      </c>
      <c r="H248" s="811">
        <v>97</v>
      </c>
      <c r="I248" s="811">
        <v>201</v>
      </c>
      <c r="J248" s="811"/>
      <c r="K248" s="811"/>
      <c r="L248" s="811"/>
      <c r="M248" s="811">
        <v>213</v>
      </c>
      <c r="N248" s="811">
        <v>0</v>
      </c>
      <c r="O248" s="811">
        <v>236</v>
      </c>
      <c r="P248" s="811"/>
      <c r="Q248" s="819"/>
      <c r="R248" s="811"/>
      <c r="S248" s="811"/>
      <c r="T248" s="811"/>
      <c r="U248" s="811"/>
      <c r="V248" s="811"/>
      <c r="W248" s="801">
        <f t="shared" si="44"/>
        <v>957</v>
      </c>
      <c r="Y248" s="798">
        <f t="shared" si="45"/>
        <v>957</v>
      </c>
      <c r="AA248" s="825">
        <f>'CHAM CONG'!BA247</f>
        <v>0</v>
      </c>
      <c r="AB248" s="825">
        <f>'CHAM CONG'!BB247</f>
        <v>0</v>
      </c>
      <c r="AC248" s="825">
        <f>'CHAM CONG'!BC247</f>
        <v>0</v>
      </c>
      <c r="AD248" s="825">
        <f>'CHAM CONG'!BD247</f>
        <v>0</v>
      </c>
      <c r="AE248" s="824">
        <f t="shared" si="47"/>
        <v>421.08</v>
      </c>
      <c r="AF248" s="798">
        <f t="shared" si="48"/>
        <v>97</v>
      </c>
      <c r="AG248" s="831">
        <f t="shared" si="49"/>
        <v>437</v>
      </c>
      <c r="AH248" s="798">
        <f t="shared" si="50"/>
        <v>423</v>
      </c>
      <c r="AI248" s="798"/>
      <c r="AJ248" s="833">
        <f t="shared" si="46"/>
        <v>957</v>
      </c>
      <c r="AU248" s="9">
        <f t="shared" si="43"/>
        <v>0</v>
      </c>
    </row>
    <row r="249" spans="1:47" s="9" customFormat="1">
      <c r="A249" s="9">
        <v>119</v>
      </c>
      <c r="B249" s="810">
        <v>3</v>
      </c>
      <c r="C249" s="811"/>
      <c r="D249" s="811"/>
      <c r="E249" s="811"/>
      <c r="F249" s="811"/>
      <c r="G249" s="811">
        <v>206</v>
      </c>
      <c r="H249" s="811">
        <v>179</v>
      </c>
      <c r="I249" s="811">
        <v>167</v>
      </c>
      <c r="J249" s="811"/>
      <c r="K249" s="811"/>
      <c r="L249" s="811"/>
      <c r="M249" s="811">
        <v>227</v>
      </c>
      <c r="N249" s="811">
        <v>199</v>
      </c>
      <c r="O249" s="811">
        <v>211</v>
      </c>
      <c r="P249" s="811"/>
      <c r="Q249" s="819"/>
      <c r="R249" s="811"/>
      <c r="S249" s="811"/>
      <c r="T249" s="811"/>
      <c r="U249" s="811"/>
      <c r="V249" s="811"/>
      <c r="W249" s="801">
        <f t="shared" si="44"/>
        <v>1189</v>
      </c>
      <c r="Y249" s="798">
        <f t="shared" si="45"/>
        <v>1189</v>
      </c>
      <c r="AA249" s="825">
        <f>'CHAM CONG'!BA248</f>
        <v>0</v>
      </c>
      <c r="AB249" s="825">
        <f>'CHAM CONG'!BB248</f>
        <v>0</v>
      </c>
      <c r="AC249" s="825">
        <f>'CHAM CONG'!BC248</f>
        <v>0</v>
      </c>
      <c r="AD249" s="825">
        <f>'CHAM CONG'!BD248</f>
        <v>0</v>
      </c>
      <c r="AE249" s="824">
        <f t="shared" si="47"/>
        <v>523.16</v>
      </c>
      <c r="AF249" s="798">
        <f t="shared" si="48"/>
        <v>378</v>
      </c>
      <c r="AG249" s="831">
        <f t="shared" si="49"/>
        <v>378</v>
      </c>
      <c r="AH249" s="798">
        <f t="shared" si="50"/>
        <v>433</v>
      </c>
      <c r="AI249" s="798"/>
      <c r="AJ249" s="833">
        <f t="shared" si="46"/>
        <v>1189</v>
      </c>
      <c r="AU249" s="9">
        <f t="shared" si="43"/>
        <v>0</v>
      </c>
    </row>
    <row r="250" spans="1:47" s="9" customFormat="1">
      <c r="A250" s="9">
        <v>120</v>
      </c>
      <c r="B250" s="810">
        <v>3</v>
      </c>
      <c r="C250" s="811"/>
      <c r="D250" s="811"/>
      <c r="E250" s="811"/>
      <c r="F250" s="811"/>
      <c r="G250" s="811">
        <v>101</v>
      </c>
      <c r="H250" s="811">
        <v>180</v>
      </c>
      <c r="I250" s="811">
        <v>70</v>
      </c>
      <c r="J250" s="811"/>
      <c r="K250" s="811"/>
      <c r="L250" s="811"/>
      <c r="M250" s="811">
        <v>180</v>
      </c>
      <c r="N250" s="811">
        <v>226</v>
      </c>
      <c r="O250" s="811">
        <v>192</v>
      </c>
      <c r="P250" s="811"/>
      <c r="Q250" s="819"/>
      <c r="R250" s="811"/>
      <c r="S250" s="811"/>
      <c r="T250" s="811"/>
      <c r="U250" s="811"/>
      <c r="V250" s="811"/>
      <c r="W250" s="801">
        <f t="shared" si="44"/>
        <v>949</v>
      </c>
      <c r="Y250" s="798">
        <f t="shared" si="45"/>
        <v>949</v>
      </c>
      <c r="AA250" s="825">
        <f>'CHAM CONG'!BA249</f>
        <v>0</v>
      </c>
      <c r="AB250" s="825">
        <f>'CHAM CONG'!BB249</f>
        <v>0</v>
      </c>
      <c r="AC250" s="825">
        <f>'CHAM CONG'!BC249</f>
        <v>0</v>
      </c>
      <c r="AD250" s="825">
        <f>'CHAM CONG'!BD249</f>
        <v>0</v>
      </c>
      <c r="AE250" s="824">
        <f t="shared" si="47"/>
        <v>417.56</v>
      </c>
      <c r="AF250" s="798">
        <f t="shared" si="48"/>
        <v>406</v>
      </c>
      <c r="AG250" s="831">
        <f t="shared" si="49"/>
        <v>262</v>
      </c>
      <c r="AH250" s="798">
        <f t="shared" si="50"/>
        <v>281</v>
      </c>
      <c r="AI250" s="798"/>
      <c r="AJ250" s="833">
        <f t="shared" si="46"/>
        <v>949</v>
      </c>
      <c r="AU250" s="9">
        <f t="shared" si="43"/>
        <v>0</v>
      </c>
    </row>
    <row r="251" spans="1:47">
      <c r="A251" s="798">
        <v>121</v>
      </c>
      <c r="B251" s="810">
        <v>3</v>
      </c>
      <c r="C251" s="811"/>
      <c r="D251" s="811"/>
      <c r="E251" s="811"/>
      <c r="F251" s="811"/>
      <c r="G251" s="811">
        <v>251</v>
      </c>
      <c r="H251" s="811">
        <v>170</v>
      </c>
      <c r="I251" s="811">
        <v>0</v>
      </c>
      <c r="J251" s="811"/>
      <c r="K251" s="811"/>
      <c r="L251" s="811"/>
      <c r="M251" s="811">
        <v>270</v>
      </c>
      <c r="N251" s="811">
        <v>135</v>
      </c>
      <c r="O251" s="811">
        <v>215</v>
      </c>
      <c r="P251" s="811"/>
      <c r="Q251" s="819"/>
      <c r="R251" s="803"/>
      <c r="S251" s="803"/>
      <c r="T251" s="803"/>
      <c r="U251" s="803"/>
      <c r="V251" s="803"/>
      <c r="W251" s="801">
        <f t="shared" si="44"/>
        <v>1041</v>
      </c>
      <c r="Y251" s="798">
        <f t="shared" si="45"/>
        <v>1041</v>
      </c>
      <c r="AA251" s="823">
        <f>'CHAM CONG'!BA250</f>
        <v>0</v>
      </c>
      <c r="AB251" s="823">
        <f>'CHAM CONG'!BB250</f>
        <v>0</v>
      </c>
      <c r="AC251" s="823">
        <f>'CHAM CONG'!BC250</f>
        <v>0</v>
      </c>
      <c r="AD251" s="823">
        <f>'CHAM CONG'!BD250</f>
        <v>0</v>
      </c>
      <c r="AE251" s="824">
        <f t="shared" si="47"/>
        <v>458.04</v>
      </c>
      <c r="AF251" s="798">
        <f t="shared" si="48"/>
        <v>305</v>
      </c>
      <c r="AG251" s="831">
        <f t="shared" si="49"/>
        <v>215</v>
      </c>
      <c r="AH251" s="798">
        <f t="shared" si="50"/>
        <v>521</v>
      </c>
      <c r="AJ251" s="802">
        <f t="shared" si="46"/>
        <v>1041</v>
      </c>
      <c r="AU251" s="798">
        <f t="shared" si="43"/>
        <v>0</v>
      </c>
    </row>
    <row r="252" spans="1:47">
      <c r="A252" s="798">
        <v>122</v>
      </c>
      <c r="B252" s="810">
        <v>3</v>
      </c>
      <c r="C252" s="811"/>
      <c r="D252" s="811"/>
      <c r="E252" s="811"/>
      <c r="F252" s="811"/>
      <c r="G252" s="811">
        <v>224</v>
      </c>
      <c r="H252" s="811">
        <v>231</v>
      </c>
      <c r="I252" s="811">
        <v>221</v>
      </c>
      <c r="J252" s="811"/>
      <c r="K252" s="811"/>
      <c r="L252" s="811"/>
      <c r="M252" s="811">
        <v>275</v>
      </c>
      <c r="N252" s="811">
        <v>308</v>
      </c>
      <c r="O252" s="811">
        <v>307</v>
      </c>
      <c r="P252" s="811"/>
      <c r="Q252" s="819"/>
      <c r="R252" s="803"/>
      <c r="S252" s="803"/>
      <c r="T252" s="803"/>
      <c r="U252" s="803"/>
      <c r="V252" s="803"/>
      <c r="W252" s="801">
        <f t="shared" si="44"/>
        <v>1566</v>
      </c>
      <c r="Y252" s="798">
        <f t="shared" si="45"/>
        <v>1566</v>
      </c>
      <c r="AA252" s="823">
        <f>'CHAM CONG'!BA251</f>
        <v>0</v>
      </c>
      <c r="AB252" s="823">
        <f>'CHAM CONG'!BB251</f>
        <v>0</v>
      </c>
      <c r="AC252" s="823">
        <f>'CHAM CONG'!BC251</f>
        <v>0</v>
      </c>
      <c r="AD252" s="823">
        <f>'CHAM CONG'!BD251</f>
        <v>0</v>
      </c>
      <c r="AE252" s="824">
        <f t="shared" si="47"/>
        <v>689.04</v>
      </c>
      <c r="AF252" s="798">
        <f t="shared" si="48"/>
        <v>539</v>
      </c>
      <c r="AG252" s="831">
        <f t="shared" si="49"/>
        <v>528</v>
      </c>
      <c r="AH252" s="798">
        <f t="shared" si="50"/>
        <v>499</v>
      </c>
      <c r="AJ252" s="802">
        <f t="shared" si="46"/>
        <v>1566</v>
      </c>
      <c r="AU252" s="798">
        <f t="shared" si="43"/>
        <v>0</v>
      </c>
    </row>
    <row r="253" spans="1:47">
      <c r="A253" s="798">
        <v>123</v>
      </c>
      <c r="B253" s="810">
        <v>3</v>
      </c>
      <c r="C253" s="811"/>
      <c r="D253" s="811"/>
      <c r="E253" s="811"/>
      <c r="F253" s="811"/>
      <c r="G253" s="811">
        <v>101</v>
      </c>
      <c r="H253" s="811">
        <v>103</v>
      </c>
      <c r="I253" s="811">
        <v>80</v>
      </c>
      <c r="J253" s="811"/>
      <c r="K253" s="811"/>
      <c r="L253" s="811"/>
      <c r="M253" s="811">
        <v>193</v>
      </c>
      <c r="N253" s="811">
        <v>140</v>
      </c>
      <c r="O253" s="811">
        <v>194</v>
      </c>
      <c r="P253" s="811"/>
      <c r="Q253" s="819"/>
      <c r="R253" s="803"/>
      <c r="S253" s="803"/>
      <c r="T253" s="803"/>
      <c r="U253" s="803"/>
      <c r="V253" s="803"/>
      <c r="W253" s="801">
        <f t="shared" si="44"/>
        <v>811</v>
      </c>
      <c r="Y253" s="798">
        <f t="shared" si="45"/>
        <v>811</v>
      </c>
      <c r="AA253" s="823">
        <f>'CHAM CONG'!BA252</f>
        <v>0</v>
      </c>
      <c r="AB253" s="823">
        <f>'CHAM CONG'!BB252</f>
        <v>0</v>
      </c>
      <c r="AC253" s="823">
        <f>'CHAM CONG'!BC252</f>
        <v>0</v>
      </c>
      <c r="AD253" s="823">
        <f>'CHAM CONG'!BD252</f>
        <v>0</v>
      </c>
      <c r="AE253" s="824">
        <f t="shared" si="47"/>
        <v>356.84</v>
      </c>
      <c r="AF253" s="798">
        <f t="shared" si="48"/>
        <v>243</v>
      </c>
      <c r="AG253" s="831">
        <f t="shared" si="49"/>
        <v>274</v>
      </c>
      <c r="AH253" s="798">
        <f t="shared" si="50"/>
        <v>294</v>
      </c>
      <c r="AJ253" s="802">
        <f t="shared" si="46"/>
        <v>811</v>
      </c>
      <c r="AU253" s="798">
        <f t="shared" si="43"/>
        <v>0</v>
      </c>
    </row>
    <row r="254" spans="1:47">
      <c r="A254" s="798">
        <v>124</v>
      </c>
      <c r="B254" s="810">
        <v>3</v>
      </c>
      <c r="C254" s="811"/>
      <c r="D254" s="811"/>
      <c r="E254" s="811"/>
      <c r="F254" s="811"/>
      <c r="G254" s="811">
        <v>291</v>
      </c>
      <c r="H254" s="811">
        <v>202</v>
      </c>
      <c r="I254" s="811">
        <v>0</v>
      </c>
      <c r="J254" s="811"/>
      <c r="K254" s="811"/>
      <c r="L254" s="811"/>
      <c r="M254" s="811">
        <v>295</v>
      </c>
      <c r="N254" s="811">
        <v>126</v>
      </c>
      <c r="O254" s="811">
        <v>234</v>
      </c>
      <c r="P254" s="811"/>
      <c r="Q254" s="819"/>
      <c r="R254" s="803"/>
      <c r="S254" s="803"/>
      <c r="T254" s="803"/>
      <c r="U254" s="803"/>
      <c r="V254" s="803"/>
      <c r="W254" s="801">
        <f t="shared" si="44"/>
        <v>1148</v>
      </c>
      <c r="Y254" s="798">
        <f t="shared" si="45"/>
        <v>1148</v>
      </c>
      <c r="AA254" s="823">
        <f>'CHAM CONG'!BA253</f>
        <v>0</v>
      </c>
      <c r="AB254" s="823">
        <f>'CHAM CONG'!BB253</f>
        <v>0</v>
      </c>
      <c r="AC254" s="823">
        <f>'CHAM CONG'!BC253</f>
        <v>0</v>
      </c>
      <c r="AD254" s="823">
        <f>'CHAM CONG'!BD253</f>
        <v>0</v>
      </c>
      <c r="AE254" s="824">
        <f t="shared" si="47"/>
        <v>505.12</v>
      </c>
      <c r="AF254" s="798">
        <f t="shared" si="48"/>
        <v>328</v>
      </c>
      <c r="AG254" s="831">
        <f t="shared" si="49"/>
        <v>234</v>
      </c>
      <c r="AH254" s="798">
        <f t="shared" si="50"/>
        <v>586</v>
      </c>
      <c r="AJ254" s="802">
        <f t="shared" si="46"/>
        <v>1148</v>
      </c>
      <c r="AU254" s="798">
        <f t="shared" si="43"/>
        <v>0</v>
      </c>
    </row>
    <row r="255" spans="1:47">
      <c r="A255" s="798">
        <v>125</v>
      </c>
      <c r="B255" s="810">
        <v>3</v>
      </c>
      <c r="C255" s="811"/>
      <c r="D255" s="811"/>
      <c r="E255" s="811"/>
      <c r="F255" s="811"/>
      <c r="G255" s="811">
        <v>235</v>
      </c>
      <c r="H255" s="811">
        <v>176</v>
      </c>
      <c r="I255" s="811">
        <v>0</v>
      </c>
      <c r="J255" s="811"/>
      <c r="K255" s="811"/>
      <c r="L255" s="811"/>
      <c r="M255" s="811">
        <v>247</v>
      </c>
      <c r="N255" s="811">
        <v>138</v>
      </c>
      <c r="O255" s="811">
        <v>207</v>
      </c>
      <c r="P255" s="811"/>
      <c r="Q255" s="819"/>
      <c r="R255" s="803"/>
      <c r="S255" s="803"/>
      <c r="T255" s="803"/>
      <c r="U255" s="803"/>
      <c r="V255" s="803"/>
      <c r="W255" s="801">
        <f t="shared" si="44"/>
        <v>1003</v>
      </c>
      <c r="Y255" s="798">
        <f t="shared" si="45"/>
        <v>1003</v>
      </c>
      <c r="AA255" s="823">
        <f>'CHAM CONG'!BA254</f>
        <v>0</v>
      </c>
      <c r="AB255" s="823">
        <f>'CHAM CONG'!BB254</f>
        <v>0</v>
      </c>
      <c r="AC255" s="823">
        <f>'CHAM CONG'!BC254</f>
        <v>0</v>
      </c>
      <c r="AD255" s="823">
        <f>'CHAM CONG'!BD254</f>
        <v>0</v>
      </c>
      <c r="AE255" s="824">
        <f t="shared" si="47"/>
        <v>441.32</v>
      </c>
      <c r="AF255" s="798">
        <f t="shared" si="48"/>
        <v>314</v>
      </c>
      <c r="AG255" s="831">
        <f t="shared" si="49"/>
        <v>207</v>
      </c>
      <c r="AH255" s="798">
        <f t="shared" si="50"/>
        <v>482</v>
      </c>
      <c r="AJ255" s="802">
        <f t="shared" si="46"/>
        <v>1003</v>
      </c>
      <c r="AU255" s="798">
        <f t="shared" si="43"/>
        <v>0</v>
      </c>
    </row>
    <row r="256" spans="1:47">
      <c r="A256" s="798">
        <v>126</v>
      </c>
      <c r="B256" s="810">
        <v>3</v>
      </c>
      <c r="C256" s="811"/>
      <c r="D256" s="811"/>
      <c r="E256" s="811"/>
      <c r="F256" s="811"/>
      <c r="G256" s="811">
        <v>108</v>
      </c>
      <c r="H256" s="811">
        <v>184</v>
      </c>
      <c r="I256" s="811">
        <v>213</v>
      </c>
      <c r="J256" s="811"/>
      <c r="K256" s="811"/>
      <c r="L256" s="811"/>
      <c r="M256" s="811">
        <v>199</v>
      </c>
      <c r="N256" s="811">
        <v>134</v>
      </c>
      <c r="O256" s="811">
        <v>255</v>
      </c>
      <c r="P256" s="811"/>
      <c r="Q256" s="819"/>
      <c r="R256" s="803"/>
      <c r="S256" s="803"/>
      <c r="T256" s="803"/>
      <c r="U256" s="803"/>
      <c r="V256" s="803"/>
      <c r="W256" s="801">
        <f t="shared" si="44"/>
        <v>1093</v>
      </c>
      <c r="Y256" s="798">
        <f t="shared" si="45"/>
        <v>1093</v>
      </c>
      <c r="AA256" s="823">
        <f>'CHAM CONG'!BA255</f>
        <v>0</v>
      </c>
      <c r="AB256" s="823">
        <f>'CHAM CONG'!BB255</f>
        <v>0</v>
      </c>
      <c r="AC256" s="823">
        <f>'CHAM CONG'!BC255</f>
        <v>0</v>
      </c>
      <c r="AD256" s="823">
        <f>'CHAM CONG'!BD255</f>
        <v>0</v>
      </c>
      <c r="AE256" s="824">
        <f t="shared" si="47"/>
        <v>480.92</v>
      </c>
      <c r="AF256" s="798">
        <f t="shared" si="48"/>
        <v>318</v>
      </c>
      <c r="AG256" s="831">
        <f t="shared" si="49"/>
        <v>468</v>
      </c>
      <c r="AH256" s="798">
        <f t="shared" si="50"/>
        <v>307</v>
      </c>
      <c r="AJ256" s="802">
        <f t="shared" si="46"/>
        <v>1093</v>
      </c>
      <c r="AU256" s="798">
        <f t="shared" ref="AU256:AU266" si="51">SUM(AS256:AT256)/10</f>
        <v>0</v>
      </c>
    </row>
    <row r="257" spans="1:47">
      <c r="A257" s="798">
        <v>127</v>
      </c>
      <c r="B257" s="810">
        <v>3</v>
      </c>
      <c r="C257" s="811"/>
      <c r="D257" s="811"/>
      <c r="E257" s="811"/>
      <c r="F257" s="811"/>
      <c r="G257" s="811">
        <v>109</v>
      </c>
      <c r="H257" s="811">
        <v>141</v>
      </c>
      <c r="I257" s="811">
        <v>216</v>
      </c>
      <c r="J257" s="811"/>
      <c r="K257" s="811"/>
      <c r="L257" s="811"/>
      <c r="M257" s="811">
        <v>191</v>
      </c>
      <c r="N257" s="811">
        <v>171</v>
      </c>
      <c r="O257" s="811">
        <v>249</v>
      </c>
      <c r="P257" s="811"/>
      <c r="Q257" s="819"/>
      <c r="R257" s="803"/>
      <c r="S257" s="803"/>
      <c r="T257" s="803"/>
      <c r="U257" s="803"/>
      <c r="V257" s="803"/>
      <c r="W257" s="801">
        <f t="shared" si="44"/>
        <v>1077</v>
      </c>
      <c r="Y257" s="798">
        <f t="shared" si="45"/>
        <v>1077</v>
      </c>
      <c r="AA257" s="823">
        <f>'CHAM CONG'!BA256</f>
        <v>0</v>
      </c>
      <c r="AB257" s="823">
        <f>'CHAM CONG'!BB256</f>
        <v>0</v>
      </c>
      <c r="AC257" s="823">
        <f>'CHAM CONG'!BC256</f>
        <v>0</v>
      </c>
      <c r="AD257" s="823">
        <f>'CHAM CONG'!BD256</f>
        <v>0</v>
      </c>
      <c r="AE257" s="824">
        <f t="shared" si="47"/>
        <v>473.88</v>
      </c>
      <c r="AF257" s="798">
        <f t="shared" si="48"/>
        <v>312</v>
      </c>
      <c r="AG257" s="831">
        <f t="shared" si="49"/>
        <v>465</v>
      </c>
      <c r="AH257" s="798">
        <f t="shared" si="50"/>
        <v>300</v>
      </c>
      <c r="AJ257" s="802">
        <f t="shared" si="46"/>
        <v>1077</v>
      </c>
      <c r="AU257" s="798">
        <f t="shared" si="51"/>
        <v>0</v>
      </c>
    </row>
    <row r="258" spans="1:47">
      <c r="A258" s="798">
        <v>128</v>
      </c>
      <c r="B258" s="810">
        <v>3</v>
      </c>
      <c r="C258" s="811"/>
      <c r="D258" s="811"/>
      <c r="E258" s="811"/>
      <c r="F258" s="811"/>
      <c r="G258" s="811">
        <v>99</v>
      </c>
      <c r="H258" s="811">
        <v>237</v>
      </c>
      <c r="I258" s="811">
        <v>100</v>
      </c>
      <c r="J258" s="811"/>
      <c r="K258" s="811"/>
      <c r="L258" s="811"/>
      <c r="M258" s="811">
        <v>190</v>
      </c>
      <c r="N258" s="811">
        <v>246</v>
      </c>
      <c r="O258" s="811">
        <v>185</v>
      </c>
      <c r="P258" s="811"/>
      <c r="Q258" s="819"/>
      <c r="R258" s="803"/>
      <c r="S258" s="803"/>
      <c r="T258" s="803"/>
      <c r="U258" s="803"/>
      <c r="V258" s="803"/>
      <c r="W258" s="801">
        <f t="shared" si="44"/>
        <v>1057</v>
      </c>
      <c r="Y258" s="798">
        <f t="shared" si="45"/>
        <v>1057</v>
      </c>
      <c r="AA258" s="823">
        <f>'CHAM CONG'!BA257</f>
        <v>0</v>
      </c>
      <c r="AB258" s="823">
        <f>'CHAM CONG'!BB257</f>
        <v>0</v>
      </c>
      <c r="AC258" s="823">
        <f>'CHAM CONG'!BC257</f>
        <v>0</v>
      </c>
      <c r="AD258" s="823">
        <f>'CHAM CONG'!BD257</f>
        <v>0</v>
      </c>
      <c r="AE258" s="824">
        <f t="shared" si="47"/>
        <v>465.08</v>
      </c>
      <c r="AF258" s="798">
        <f t="shared" si="48"/>
        <v>483</v>
      </c>
      <c r="AG258" s="831">
        <f t="shared" si="49"/>
        <v>285</v>
      </c>
      <c r="AH258" s="798">
        <f t="shared" si="50"/>
        <v>289</v>
      </c>
      <c r="AJ258" s="802">
        <f t="shared" si="46"/>
        <v>1057</v>
      </c>
      <c r="AU258" s="798">
        <f t="shared" si="51"/>
        <v>0</v>
      </c>
    </row>
    <row r="259" spans="1:47">
      <c r="A259" s="798">
        <v>129</v>
      </c>
      <c r="B259" s="810">
        <v>3</v>
      </c>
      <c r="C259" s="811"/>
      <c r="D259" s="811"/>
      <c r="E259" s="811"/>
      <c r="F259" s="811"/>
      <c r="G259" s="811">
        <v>106</v>
      </c>
      <c r="H259" s="811">
        <v>81</v>
      </c>
      <c r="I259" s="811">
        <v>239</v>
      </c>
      <c r="J259" s="811"/>
      <c r="K259" s="811"/>
      <c r="L259" s="811"/>
      <c r="M259" s="811">
        <v>200</v>
      </c>
      <c r="N259" s="811">
        <v>99</v>
      </c>
      <c r="O259" s="811">
        <v>252</v>
      </c>
      <c r="P259" s="811"/>
      <c r="Q259" s="819"/>
      <c r="R259" s="803"/>
      <c r="S259" s="803"/>
      <c r="T259" s="803"/>
      <c r="U259" s="803"/>
      <c r="V259" s="803"/>
      <c r="W259" s="801">
        <f t="shared" si="44"/>
        <v>977</v>
      </c>
      <c r="Y259" s="798">
        <f t="shared" si="45"/>
        <v>977</v>
      </c>
      <c r="AA259" s="823">
        <f>'CHAM CONG'!BA258</f>
        <v>0</v>
      </c>
      <c r="AB259" s="823">
        <f>'CHAM CONG'!BB258</f>
        <v>0</v>
      </c>
      <c r="AC259" s="823">
        <f>'CHAM CONG'!BC258</f>
        <v>0</v>
      </c>
      <c r="AD259" s="823">
        <f>'CHAM CONG'!BD258</f>
        <v>0</v>
      </c>
      <c r="AE259" s="824">
        <f t="shared" si="47"/>
        <v>429.88</v>
      </c>
      <c r="AF259" s="798">
        <f t="shared" si="48"/>
        <v>180</v>
      </c>
      <c r="AG259" s="831">
        <f t="shared" si="49"/>
        <v>491</v>
      </c>
      <c r="AH259" s="798">
        <f t="shared" si="50"/>
        <v>306</v>
      </c>
      <c r="AJ259" s="802">
        <f t="shared" ref="AJ259:AJ266" si="52">SUM(AF259:AI259)</f>
        <v>977</v>
      </c>
      <c r="AU259" s="798">
        <f t="shared" si="51"/>
        <v>0</v>
      </c>
    </row>
    <row r="260" spans="1:47">
      <c r="A260" s="798">
        <v>130</v>
      </c>
      <c r="B260" s="810">
        <v>3</v>
      </c>
      <c r="C260" s="811"/>
      <c r="D260" s="811"/>
      <c r="E260" s="811"/>
      <c r="F260" s="811"/>
      <c r="G260" s="811">
        <v>0</v>
      </c>
      <c r="H260" s="811">
        <v>0</v>
      </c>
      <c r="I260" s="811">
        <v>0</v>
      </c>
      <c r="J260" s="811"/>
      <c r="K260" s="811"/>
      <c r="L260" s="811"/>
      <c r="M260" s="811">
        <v>24</v>
      </c>
      <c r="N260" s="811">
        <v>110</v>
      </c>
      <c r="O260" s="811">
        <v>43</v>
      </c>
      <c r="P260" s="811"/>
      <c r="Q260" s="819"/>
      <c r="R260" s="803"/>
      <c r="S260" s="803"/>
      <c r="T260" s="803"/>
      <c r="U260" s="803"/>
      <c r="V260" s="803"/>
      <c r="W260" s="801">
        <f t="shared" si="44"/>
        <v>177</v>
      </c>
      <c r="Y260" s="798">
        <f t="shared" si="45"/>
        <v>177</v>
      </c>
      <c r="AA260" s="823">
        <f>'CHAM CONG'!BA259</f>
        <v>0</v>
      </c>
      <c r="AB260" s="823">
        <f>'CHAM CONG'!BB259</f>
        <v>0</v>
      </c>
      <c r="AC260" s="823">
        <f>'CHAM CONG'!BC259</f>
        <v>0</v>
      </c>
      <c r="AD260" s="823">
        <f>'CHAM CONG'!BD259</f>
        <v>0</v>
      </c>
      <c r="AE260" s="824">
        <f t="shared" si="47"/>
        <v>77.88</v>
      </c>
      <c r="AF260" s="798">
        <f t="shared" si="48"/>
        <v>110</v>
      </c>
      <c r="AG260" s="831">
        <f t="shared" si="49"/>
        <v>43</v>
      </c>
      <c r="AH260" s="798">
        <f t="shared" si="50"/>
        <v>24</v>
      </c>
      <c r="AJ260" s="802">
        <f t="shared" si="52"/>
        <v>177</v>
      </c>
      <c r="AU260" s="798">
        <f t="shared" si="51"/>
        <v>0</v>
      </c>
    </row>
    <row r="261" spans="1:47">
      <c r="A261" s="798">
        <v>131</v>
      </c>
      <c r="B261" s="810">
        <v>3</v>
      </c>
      <c r="C261" s="811"/>
      <c r="D261" s="811"/>
      <c r="E261" s="811"/>
      <c r="F261" s="811"/>
      <c r="G261" s="811">
        <v>0</v>
      </c>
      <c r="H261" s="811">
        <v>0</v>
      </c>
      <c r="I261" s="811">
        <v>0</v>
      </c>
      <c r="J261" s="811"/>
      <c r="K261" s="811"/>
      <c r="L261" s="811"/>
      <c r="M261" s="811">
        <v>0</v>
      </c>
      <c r="N261" s="811">
        <v>0</v>
      </c>
      <c r="O261" s="811">
        <v>114</v>
      </c>
      <c r="P261" s="811"/>
      <c r="Q261" s="819"/>
      <c r="R261" s="803"/>
      <c r="S261" s="803"/>
      <c r="T261" s="803"/>
      <c r="U261" s="803"/>
      <c r="V261" s="803"/>
      <c r="W261" s="801">
        <f t="shared" si="44"/>
        <v>114</v>
      </c>
      <c r="Y261" s="798">
        <f t="shared" si="45"/>
        <v>114</v>
      </c>
      <c r="AA261" s="823">
        <f>'CHAM CONG'!BA260</f>
        <v>0</v>
      </c>
      <c r="AB261" s="823">
        <f>'CHAM CONG'!BB260</f>
        <v>0</v>
      </c>
      <c r="AC261" s="823">
        <f>'CHAM CONG'!BC260</f>
        <v>0</v>
      </c>
      <c r="AD261" s="823">
        <f>'CHAM CONG'!BD260</f>
        <v>0</v>
      </c>
      <c r="AE261" s="824">
        <f t="shared" si="47"/>
        <v>50.16</v>
      </c>
      <c r="AF261" s="798">
        <f t="shared" si="48"/>
        <v>0</v>
      </c>
      <c r="AG261" s="831">
        <f t="shared" si="49"/>
        <v>114</v>
      </c>
      <c r="AH261" s="798">
        <f t="shared" si="50"/>
        <v>0</v>
      </c>
      <c r="AJ261" s="802">
        <f t="shared" si="52"/>
        <v>114</v>
      </c>
      <c r="AU261" s="798">
        <f t="shared" si="51"/>
        <v>0</v>
      </c>
    </row>
    <row r="262" spans="1:47">
      <c r="A262" s="798">
        <v>132</v>
      </c>
      <c r="B262" s="810">
        <v>3</v>
      </c>
      <c r="C262" s="811"/>
      <c r="D262" s="811"/>
      <c r="E262" s="811"/>
      <c r="F262" s="811"/>
      <c r="G262" s="811">
        <v>60</v>
      </c>
      <c r="H262" s="811">
        <v>232</v>
      </c>
      <c r="I262" s="811">
        <v>174</v>
      </c>
      <c r="J262" s="811"/>
      <c r="K262" s="811"/>
      <c r="L262" s="811"/>
      <c r="M262" s="811">
        <v>136</v>
      </c>
      <c r="N262" s="811">
        <v>195</v>
      </c>
      <c r="O262" s="811">
        <v>177</v>
      </c>
      <c r="P262" s="811"/>
      <c r="Q262" s="819"/>
      <c r="R262" s="803"/>
      <c r="S262" s="803"/>
      <c r="T262" s="803"/>
      <c r="U262" s="803"/>
      <c r="V262" s="803"/>
      <c r="W262" s="801">
        <f t="shared" si="44"/>
        <v>974</v>
      </c>
      <c r="Y262" s="798">
        <f t="shared" si="45"/>
        <v>974</v>
      </c>
      <c r="AA262" s="823">
        <f>'CHAM CONG'!BA261</f>
        <v>0</v>
      </c>
      <c r="AB262" s="823">
        <f>'CHAM CONG'!BB261</f>
        <v>0</v>
      </c>
      <c r="AC262" s="823">
        <f>'CHAM CONG'!BC261</f>
        <v>0</v>
      </c>
      <c r="AD262" s="823">
        <f>'CHAM CONG'!BD261</f>
        <v>0</v>
      </c>
      <c r="AE262" s="824">
        <f t="shared" si="47"/>
        <v>428.56</v>
      </c>
      <c r="AF262" s="798">
        <f t="shared" si="48"/>
        <v>427</v>
      </c>
      <c r="AG262" s="831">
        <f t="shared" si="49"/>
        <v>351</v>
      </c>
      <c r="AH262" s="798">
        <f t="shared" si="50"/>
        <v>196</v>
      </c>
      <c r="AJ262" s="802">
        <f t="shared" si="52"/>
        <v>974</v>
      </c>
      <c r="AU262" s="798">
        <f t="shared" si="51"/>
        <v>0</v>
      </c>
    </row>
    <row r="263" spans="1:47">
      <c r="A263" s="798">
        <v>133</v>
      </c>
      <c r="B263" s="810">
        <v>3</v>
      </c>
      <c r="C263" s="811"/>
      <c r="D263" s="811"/>
      <c r="E263" s="811"/>
      <c r="F263" s="811"/>
      <c r="G263" s="811">
        <v>105</v>
      </c>
      <c r="H263" s="811">
        <v>242</v>
      </c>
      <c r="I263" s="811">
        <v>202</v>
      </c>
      <c r="J263" s="811"/>
      <c r="K263" s="811"/>
      <c r="L263" s="811"/>
      <c r="M263" s="811">
        <v>176</v>
      </c>
      <c r="N263" s="811">
        <v>195</v>
      </c>
      <c r="O263" s="811">
        <v>182</v>
      </c>
      <c r="P263" s="811"/>
      <c r="Q263" s="819"/>
      <c r="R263" s="803"/>
      <c r="S263" s="803"/>
      <c r="T263" s="803"/>
      <c r="U263" s="803"/>
      <c r="V263" s="803"/>
      <c r="W263" s="801">
        <f t="shared" si="44"/>
        <v>1102</v>
      </c>
      <c r="Y263" s="798">
        <f t="shared" si="45"/>
        <v>1102</v>
      </c>
      <c r="AA263" s="823">
        <f>'CHAM CONG'!BA262</f>
        <v>0</v>
      </c>
      <c r="AB263" s="823">
        <f>'CHAM CONG'!BB262</f>
        <v>0</v>
      </c>
      <c r="AC263" s="823">
        <f>'CHAM CONG'!BC262</f>
        <v>0</v>
      </c>
      <c r="AD263" s="823">
        <f>'CHAM CONG'!BD262</f>
        <v>0</v>
      </c>
      <c r="AE263" s="824">
        <f t="shared" si="47"/>
        <v>484.88</v>
      </c>
      <c r="AF263" s="798">
        <f t="shared" si="48"/>
        <v>437</v>
      </c>
      <c r="AG263" s="831">
        <f t="shared" si="49"/>
        <v>384</v>
      </c>
      <c r="AH263" s="798">
        <f t="shared" si="50"/>
        <v>281</v>
      </c>
      <c r="AJ263" s="802">
        <f t="shared" si="52"/>
        <v>1102</v>
      </c>
      <c r="AP263" s="1337">
        <v>0.44</v>
      </c>
      <c r="AQ263" s="1337"/>
      <c r="AU263" s="798">
        <f t="shared" si="51"/>
        <v>0</v>
      </c>
    </row>
    <row r="264" spans="1:47">
      <c r="A264" s="798">
        <v>134</v>
      </c>
      <c r="B264" s="810">
        <v>3</v>
      </c>
      <c r="C264" s="811"/>
      <c r="D264" s="811"/>
      <c r="E264" s="811"/>
      <c r="F264" s="811"/>
      <c r="G264" s="811">
        <v>98</v>
      </c>
      <c r="H264" s="811">
        <v>117</v>
      </c>
      <c r="I264" s="811">
        <v>136</v>
      </c>
      <c r="J264" s="811"/>
      <c r="K264" s="811"/>
      <c r="L264" s="811"/>
      <c r="M264" s="811">
        <v>175</v>
      </c>
      <c r="N264" s="811">
        <v>141</v>
      </c>
      <c r="O264" s="811">
        <v>171</v>
      </c>
      <c r="P264" s="811"/>
      <c r="Q264" s="819"/>
      <c r="R264" s="803"/>
      <c r="S264" s="803"/>
      <c r="T264" s="803"/>
      <c r="U264" s="803"/>
      <c r="V264" s="803"/>
      <c r="W264" s="801">
        <f t="shared" si="44"/>
        <v>838</v>
      </c>
      <c r="Y264" s="798">
        <f t="shared" si="45"/>
        <v>838</v>
      </c>
      <c r="AA264" s="823">
        <f>'CHAM CONG'!BA263</f>
        <v>0</v>
      </c>
      <c r="AB264" s="823">
        <f>'CHAM CONG'!BB263</f>
        <v>0</v>
      </c>
      <c r="AC264" s="823">
        <f>'CHAM CONG'!BC263</f>
        <v>0</v>
      </c>
      <c r="AD264" s="823">
        <f>'CHAM CONG'!BD263</f>
        <v>0</v>
      </c>
      <c r="AE264" s="824">
        <f t="shared" si="47"/>
        <v>368.72</v>
      </c>
      <c r="AF264" s="798">
        <f t="shared" si="48"/>
        <v>258</v>
      </c>
      <c r="AG264" s="831">
        <f t="shared" si="49"/>
        <v>307</v>
      </c>
      <c r="AH264" s="798">
        <f t="shared" si="50"/>
        <v>273</v>
      </c>
      <c r="AJ264" s="802">
        <f t="shared" si="52"/>
        <v>838</v>
      </c>
      <c r="AM264" s="859">
        <v>455</v>
      </c>
      <c r="AN264" s="859">
        <v>555</v>
      </c>
      <c r="AP264" s="859">
        <v>455</v>
      </c>
      <c r="AQ264" s="859">
        <v>555</v>
      </c>
      <c r="AU264" s="798">
        <f t="shared" si="51"/>
        <v>0</v>
      </c>
    </row>
    <row r="265" spans="1:47">
      <c r="A265" s="798">
        <v>135</v>
      </c>
      <c r="B265" s="810">
        <v>3</v>
      </c>
      <c r="C265" s="811"/>
      <c r="D265" s="811"/>
      <c r="E265" s="811"/>
      <c r="F265" s="811"/>
      <c r="G265" s="811">
        <v>110</v>
      </c>
      <c r="H265" s="811">
        <v>164</v>
      </c>
      <c r="I265" s="811">
        <v>160</v>
      </c>
      <c r="J265" s="811"/>
      <c r="K265" s="811"/>
      <c r="L265" s="811"/>
      <c r="M265" s="811">
        <v>139</v>
      </c>
      <c r="N265" s="811">
        <v>230</v>
      </c>
      <c r="O265" s="811">
        <v>193</v>
      </c>
      <c r="P265" s="811"/>
      <c r="Q265" s="819"/>
      <c r="R265" s="803"/>
      <c r="S265" s="803"/>
      <c r="T265" s="803"/>
      <c r="U265" s="803"/>
      <c r="V265" s="803"/>
      <c r="W265" s="801">
        <f t="shared" si="44"/>
        <v>996</v>
      </c>
      <c r="Y265" s="798">
        <f t="shared" si="45"/>
        <v>996</v>
      </c>
      <c r="AA265" s="823">
        <f>'CHAM CONG'!BA264</f>
        <v>0</v>
      </c>
      <c r="AB265" s="823">
        <f>'CHAM CONG'!BB264</f>
        <v>0</v>
      </c>
      <c r="AC265" s="823">
        <f>'CHAM CONG'!BC264</f>
        <v>0</v>
      </c>
      <c r="AD265" s="823">
        <f>'CHAM CONG'!BD264</f>
        <v>0</v>
      </c>
      <c r="AE265" s="824">
        <f t="shared" si="47"/>
        <v>438.24</v>
      </c>
      <c r="AF265" s="798">
        <f t="shared" si="48"/>
        <v>394</v>
      </c>
      <c r="AG265" s="831">
        <f t="shared" si="49"/>
        <v>353</v>
      </c>
      <c r="AH265" s="798">
        <f t="shared" si="50"/>
        <v>249</v>
      </c>
      <c r="AJ265" s="802">
        <f t="shared" si="52"/>
        <v>996</v>
      </c>
      <c r="AM265" s="1337" t="s">
        <v>1367</v>
      </c>
      <c r="AN265" s="1337"/>
      <c r="AO265" s="798" t="s">
        <v>1368</v>
      </c>
      <c r="AU265" s="798">
        <f t="shared" si="51"/>
        <v>0</v>
      </c>
    </row>
    <row r="266" spans="1:47">
      <c r="A266" s="798">
        <v>136</v>
      </c>
      <c r="B266" s="810">
        <v>3</v>
      </c>
      <c r="C266" s="811"/>
      <c r="D266" s="811"/>
      <c r="E266" s="811"/>
      <c r="F266" s="811"/>
      <c r="G266" s="811">
        <v>0</v>
      </c>
      <c r="H266" s="811">
        <v>200</v>
      </c>
      <c r="I266" s="811">
        <v>261</v>
      </c>
      <c r="J266" s="811"/>
      <c r="K266" s="811"/>
      <c r="L266" s="811"/>
      <c r="M266" s="811">
        <v>173</v>
      </c>
      <c r="N266" s="811">
        <v>257</v>
      </c>
      <c r="O266" s="811">
        <v>217</v>
      </c>
      <c r="P266" s="811"/>
      <c r="Q266" s="819"/>
      <c r="R266" s="803"/>
      <c r="S266" s="803"/>
      <c r="T266" s="803"/>
      <c r="U266" s="803"/>
      <c r="V266" s="803"/>
      <c r="W266" s="801">
        <f t="shared" si="44"/>
        <v>1108</v>
      </c>
      <c r="Y266" s="798">
        <f t="shared" si="45"/>
        <v>1108</v>
      </c>
      <c r="AA266" s="823">
        <f>'CHAM CONG'!BA265</f>
        <v>0</v>
      </c>
      <c r="AB266" s="823">
        <f>'CHAM CONG'!BB265</f>
        <v>0</v>
      </c>
      <c r="AC266" s="823">
        <f>'CHAM CONG'!BC265</f>
        <v>0</v>
      </c>
      <c r="AD266" s="823">
        <f>'CHAM CONG'!BD265</f>
        <v>0</v>
      </c>
      <c r="AE266" s="824">
        <f t="shared" si="47"/>
        <v>487.52</v>
      </c>
      <c r="AF266" s="798">
        <f t="shared" si="48"/>
        <v>457</v>
      </c>
      <c r="AG266" s="831">
        <f t="shared" si="49"/>
        <v>478</v>
      </c>
      <c r="AH266" s="798">
        <f t="shared" si="50"/>
        <v>173</v>
      </c>
      <c r="AJ266" s="802">
        <f t="shared" si="52"/>
        <v>1108</v>
      </c>
      <c r="AK266" s="790" t="s">
        <v>1367</v>
      </c>
      <c r="AM266" s="860">
        <f>SUM(AM267:AM314)</f>
        <v>44850</v>
      </c>
      <c r="AN266" s="861">
        <f>SUM(AN267:AN314)</f>
        <v>24994</v>
      </c>
      <c r="AO266" s="868">
        <f>SUM(AO267:AO314)</f>
        <v>69844</v>
      </c>
      <c r="AP266" s="868">
        <f>SUM(AP267:AP314)</f>
        <v>19734</v>
      </c>
      <c r="AQ266" s="869">
        <f>SUM(AQ267:AQ314)</f>
        <v>10997.560000000001</v>
      </c>
      <c r="AU266" s="798">
        <f t="shared" si="51"/>
        <v>0</v>
      </c>
    </row>
    <row r="267" spans="1:47" s="793" customFormat="1">
      <c r="A267" s="793">
        <v>215</v>
      </c>
      <c r="B267" s="845">
        <v>6</v>
      </c>
      <c r="C267" s="846"/>
      <c r="D267" s="846"/>
      <c r="E267" s="846"/>
      <c r="F267" s="846"/>
      <c r="G267" s="846">
        <v>104</v>
      </c>
      <c r="H267" s="846">
        <v>282</v>
      </c>
      <c r="I267" s="846">
        <v>355</v>
      </c>
      <c r="J267" s="846">
        <v>0</v>
      </c>
      <c r="K267" s="846"/>
      <c r="L267" s="846"/>
      <c r="M267" s="846">
        <v>0</v>
      </c>
      <c r="N267" s="846">
        <v>503</v>
      </c>
      <c r="O267" s="846">
        <v>112</v>
      </c>
      <c r="P267" s="846">
        <v>0</v>
      </c>
      <c r="Q267" s="847"/>
      <c r="R267" s="846"/>
      <c r="S267" s="846"/>
      <c r="T267" s="846"/>
      <c r="U267" s="846"/>
      <c r="V267" s="846"/>
      <c r="W267" s="848">
        <f t="shared" si="44"/>
        <v>1356</v>
      </c>
      <c r="Y267" s="793">
        <f>W267-X267</f>
        <v>1356</v>
      </c>
      <c r="AA267" s="849" t="e">
        <f>'CHAM CONG'!BA266</f>
        <v>#N/A</v>
      </c>
      <c r="AB267" s="849" t="e">
        <f>'CHAM CONG'!BB266</f>
        <v>#N/A</v>
      </c>
      <c r="AC267" s="849" t="e">
        <f>'CHAM CONG'!BC266</f>
        <v>#N/A</v>
      </c>
      <c r="AD267" s="849" t="e">
        <f>'CHAM CONG'!BD266</f>
        <v>#N/A</v>
      </c>
      <c r="AE267" s="850">
        <f t="shared" si="47"/>
        <v>596.64</v>
      </c>
      <c r="AF267" s="798">
        <f t="shared" si="48"/>
        <v>785</v>
      </c>
      <c r="AG267" s="831">
        <f t="shared" si="49"/>
        <v>467</v>
      </c>
      <c r="AH267" s="798">
        <f t="shared" si="50"/>
        <v>104</v>
      </c>
      <c r="AJ267" s="851">
        <f t="shared" ref="AJ267:AJ314" si="53">SUM(AF267:AI267)</f>
        <v>1356</v>
      </c>
      <c r="AK267" s="852">
        <f>SUM(AJ267:AJ314)</f>
        <v>69844</v>
      </c>
      <c r="AM267" s="852">
        <f>AF267+AG267</f>
        <v>1252</v>
      </c>
      <c r="AN267" s="793">
        <f>AH267</f>
        <v>104</v>
      </c>
      <c r="AO267" s="793">
        <f>AM267+AN267</f>
        <v>1356</v>
      </c>
      <c r="AP267" s="870">
        <f>ROUND(AM267*0.44,2)</f>
        <v>550.88</v>
      </c>
      <c r="AQ267" s="870">
        <f>ROUND(AN267*0.44,2)</f>
        <v>45.76</v>
      </c>
      <c r="AU267" s="793">
        <f t="shared" ref="AU267:AU300" si="54">SUM(AS267:AT267)/10</f>
        <v>0</v>
      </c>
    </row>
    <row r="268" spans="1:47" s="9" customFormat="1">
      <c r="A268" s="9">
        <v>216</v>
      </c>
      <c r="B268" s="853">
        <v>6</v>
      </c>
      <c r="C268" s="811"/>
      <c r="D268" s="811"/>
      <c r="E268" s="811"/>
      <c r="F268" s="811"/>
      <c r="G268" s="811">
        <v>0</v>
      </c>
      <c r="H268" s="811">
        <v>254</v>
      </c>
      <c r="I268" s="811">
        <v>268</v>
      </c>
      <c r="J268" s="811">
        <v>0</v>
      </c>
      <c r="K268" s="811"/>
      <c r="L268" s="811"/>
      <c r="M268" s="811">
        <v>248</v>
      </c>
      <c r="N268" s="811">
        <v>244</v>
      </c>
      <c r="O268" s="811">
        <v>155</v>
      </c>
      <c r="P268" s="811">
        <v>0</v>
      </c>
      <c r="Q268" s="819"/>
      <c r="R268" s="811"/>
      <c r="S268" s="811"/>
      <c r="T268" s="811"/>
      <c r="U268" s="811"/>
      <c r="V268" s="811"/>
      <c r="W268" s="801">
        <f t="shared" ref="W268:W300" si="55">SUM(C268:V268)</f>
        <v>1169</v>
      </c>
      <c r="Y268" s="9">
        <f t="shared" ref="Y268:Y300" si="56">W268-X268</f>
        <v>1169</v>
      </c>
      <c r="AA268" s="825" t="e">
        <f>'CHAM CONG'!BA267</f>
        <v>#N/A</v>
      </c>
      <c r="AB268" s="825" t="e">
        <f>'CHAM CONG'!BB267</f>
        <v>#N/A</v>
      </c>
      <c r="AC268" s="825" t="e">
        <f>'CHAM CONG'!BC267</f>
        <v>#N/A</v>
      </c>
      <c r="AD268" s="825" t="e">
        <f>'CHAM CONG'!BD267</f>
        <v>#N/A</v>
      </c>
      <c r="AE268" s="824">
        <f t="shared" si="47"/>
        <v>514.36</v>
      </c>
      <c r="AF268" s="798">
        <f t="shared" si="48"/>
        <v>498</v>
      </c>
      <c r="AG268" s="831">
        <f t="shared" si="49"/>
        <v>423</v>
      </c>
      <c r="AH268" s="862">
        <f t="shared" si="50"/>
        <v>248</v>
      </c>
      <c r="AI268" s="798"/>
      <c r="AJ268" s="833">
        <f t="shared" si="53"/>
        <v>1169</v>
      </c>
      <c r="AM268" s="863">
        <f>AF268+AG268</f>
        <v>921</v>
      </c>
      <c r="AN268" s="862">
        <f t="shared" ref="AN268:AN284" si="57">AH268</f>
        <v>248</v>
      </c>
      <c r="AO268" s="9">
        <f t="shared" ref="AO268:AO314" si="58">AM268+AN268</f>
        <v>1169</v>
      </c>
      <c r="AP268" s="871">
        <f t="shared" ref="AP268:AP314" si="59">ROUND(AM268*0.44,2)</f>
        <v>405.24</v>
      </c>
      <c r="AQ268" s="871">
        <f t="shared" ref="AQ268:AQ313" si="60">ROUND(AN268*0.44,2)</f>
        <v>109.12</v>
      </c>
      <c r="AU268" s="9">
        <f t="shared" si="54"/>
        <v>0</v>
      </c>
    </row>
    <row r="269" spans="1:47" s="9" customFormat="1">
      <c r="A269" s="9">
        <v>217</v>
      </c>
      <c r="B269" s="853">
        <v>6</v>
      </c>
      <c r="C269" s="811"/>
      <c r="D269" s="811"/>
      <c r="E269" s="811"/>
      <c r="F269" s="811"/>
      <c r="G269" s="811">
        <v>168</v>
      </c>
      <c r="H269" s="811">
        <v>354</v>
      </c>
      <c r="I269" s="811">
        <v>144</v>
      </c>
      <c r="J269" s="811">
        <v>0</v>
      </c>
      <c r="K269" s="811"/>
      <c r="L269" s="811"/>
      <c r="M269" s="811">
        <v>201</v>
      </c>
      <c r="N269" s="811">
        <v>333</v>
      </c>
      <c r="O269" s="811">
        <v>298</v>
      </c>
      <c r="P269" s="811">
        <v>0</v>
      </c>
      <c r="Q269" s="819"/>
      <c r="R269" s="811"/>
      <c r="S269" s="811"/>
      <c r="T269" s="811"/>
      <c r="U269" s="811"/>
      <c r="V269" s="811"/>
      <c r="W269" s="801">
        <f t="shared" si="55"/>
        <v>1498</v>
      </c>
      <c r="Y269" s="9">
        <f t="shared" si="56"/>
        <v>1498</v>
      </c>
      <c r="AA269" s="825" t="e">
        <f>'CHAM CONG'!BA268</f>
        <v>#N/A</v>
      </c>
      <c r="AB269" s="825" t="e">
        <f>'CHAM CONG'!BB268</f>
        <v>#N/A</v>
      </c>
      <c r="AC269" s="825" t="e">
        <f>'CHAM CONG'!BC268</f>
        <v>#N/A</v>
      </c>
      <c r="AD269" s="825" t="e">
        <f>'CHAM CONG'!BD268</f>
        <v>#N/A</v>
      </c>
      <c r="AE269" s="824">
        <f t="shared" si="47"/>
        <v>659.12</v>
      </c>
      <c r="AF269" s="798">
        <f t="shared" ref="AF269:AF285" si="61">H269+N269</f>
        <v>687</v>
      </c>
      <c r="AG269" s="831">
        <f t="shared" ref="AG269:AG285" si="62">I269+J269+O269+P269</f>
        <v>442</v>
      </c>
      <c r="AH269" s="862">
        <f t="shared" ref="AH269:AH285" si="63">G269+M269</f>
        <v>369</v>
      </c>
      <c r="AI269" s="798"/>
      <c r="AJ269" s="833">
        <f t="shared" si="53"/>
        <v>1498</v>
      </c>
      <c r="AM269" s="863">
        <f t="shared" ref="AM269:AM284" si="64">AF269+AG269</f>
        <v>1129</v>
      </c>
      <c r="AN269" s="862">
        <f t="shared" si="57"/>
        <v>369</v>
      </c>
      <c r="AO269" s="9">
        <f t="shared" si="58"/>
        <v>1498</v>
      </c>
      <c r="AP269" s="871">
        <f t="shared" si="59"/>
        <v>496.76</v>
      </c>
      <c r="AQ269" s="871">
        <f t="shared" si="60"/>
        <v>162.36000000000001</v>
      </c>
      <c r="AU269" s="9">
        <f t="shared" si="54"/>
        <v>0</v>
      </c>
    </row>
    <row r="270" spans="1:47" s="9" customFormat="1">
      <c r="A270" s="9">
        <v>218</v>
      </c>
      <c r="B270" s="853">
        <v>6</v>
      </c>
      <c r="C270" s="811"/>
      <c r="D270" s="811"/>
      <c r="E270" s="811"/>
      <c r="F270" s="811"/>
      <c r="G270" s="811">
        <v>133</v>
      </c>
      <c r="H270" s="811">
        <v>269</v>
      </c>
      <c r="I270" s="811">
        <v>389</v>
      </c>
      <c r="J270" s="811">
        <v>0</v>
      </c>
      <c r="K270" s="811"/>
      <c r="L270" s="811"/>
      <c r="M270" s="811">
        <v>241</v>
      </c>
      <c r="N270" s="811">
        <v>274</v>
      </c>
      <c r="O270" s="811">
        <v>316</v>
      </c>
      <c r="P270" s="811">
        <v>0</v>
      </c>
      <c r="Q270" s="819"/>
      <c r="R270" s="811"/>
      <c r="S270" s="811"/>
      <c r="T270" s="811"/>
      <c r="U270" s="811"/>
      <c r="V270" s="811"/>
      <c r="W270" s="801">
        <f t="shared" si="55"/>
        <v>1622</v>
      </c>
      <c r="Y270" s="9">
        <f t="shared" si="56"/>
        <v>1622</v>
      </c>
      <c r="AA270" s="825" t="e">
        <f>'CHAM CONG'!BA269</f>
        <v>#N/A</v>
      </c>
      <c r="AB270" s="825" t="e">
        <f>'CHAM CONG'!BB269</f>
        <v>#N/A</v>
      </c>
      <c r="AC270" s="825" t="e">
        <f>'CHAM CONG'!BC269</f>
        <v>#N/A</v>
      </c>
      <c r="AD270" s="825" t="e">
        <f>'CHAM CONG'!BD269</f>
        <v>#N/A</v>
      </c>
      <c r="AE270" s="824">
        <f t="shared" si="47"/>
        <v>713.68</v>
      </c>
      <c r="AF270" s="798">
        <f t="shared" si="61"/>
        <v>543</v>
      </c>
      <c r="AG270" s="831">
        <f t="shared" si="62"/>
        <v>705</v>
      </c>
      <c r="AH270" s="862">
        <f t="shared" si="63"/>
        <v>374</v>
      </c>
      <c r="AI270" s="798"/>
      <c r="AJ270" s="833">
        <f t="shared" si="53"/>
        <v>1622</v>
      </c>
      <c r="AM270" s="863">
        <f t="shared" si="64"/>
        <v>1248</v>
      </c>
      <c r="AN270" s="862">
        <f t="shared" si="57"/>
        <v>374</v>
      </c>
      <c r="AO270" s="9">
        <f t="shared" si="58"/>
        <v>1622</v>
      </c>
      <c r="AP270" s="871">
        <f t="shared" si="59"/>
        <v>549.12</v>
      </c>
      <c r="AQ270" s="871">
        <f t="shared" si="60"/>
        <v>164.56</v>
      </c>
      <c r="AU270" s="9">
        <f t="shared" si="54"/>
        <v>0</v>
      </c>
    </row>
    <row r="271" spans="1:47" s="9" customFormat="1">
      <c r="A271" s="9">
        <v>219</v>
      </c>
      <c r="B271" s="853">
        <v>6</v>
      </c>
      <c r="C271" s="811"/>
      <c r="D271" s="811"/>
      <c r="E271" s="811"/>
      <c r="F271" s="811"/>
      <c r="G271" s="811">
        <v>166</v>
      </c>
      <c r="H271" s="811">
        <v>298</v>
      </c>
      <c r="I271" s="811">
        <v>364</v>
      </c>
      <c r="J271" s="811">
        <v>0</v>
      </c>
      <c r="K271" s="811"/>
      <c r="L271" s="811"/>
      <c r="M271" s="811">
        <v>178</v>
      </c>
      <c r="N271" s="811">
        <v>314</v>
      </c>
      <c r="O271" s="811">
        <v>284</v>
      </c>
      <c r="P271" s="811">
        <v>0</v>
      </c>
      <c r="Q271" s="819"/>
      <c r="R271" s="811"/>
      <c r="S271" s="811"/>
      <c r="T271" s="811"/>
      <c r="U271" s="811"/>
      <c r="V271" s="811"/>
      <c r="W271" s="801">
        <f t="shared" si="55"/>
        <v>1604</v>
      </c>
      <c r="Y271" s="9">
        <f t="shared" si="56"/>
        <v>1604</v>
      </c>
      <c r="AA271" s="825" t="e">
        <f>'CHAM CONG'!BA270</f>
        <v>#N/A</v>
      </c>
      <c r="AB271" s="825" t="e">
        <f>'CHAM CONG'!BB270</f>
        <v>#N/A</v>
      </c>
      <c r="AC271" s="825" t="e">
        <f>'CHAM CONG'!BC270</f>
        <v>#N/A</v>
      </c>
      <c r="AD271" s="825" t="e">
        <f>'CHAM CONG'!BD270</f>
        <v>#N/A</v>
      </c>
      <c r="AE271" s="824">
        <f t="shared" si="47"/>
        <v>705.76</v>
      </c>
      <c r="AF271" s="798">
        <f t="shared" si="61"/>
        <v>612</v>
      </c>
      <c r="AG271" s="831">
        <f t="shared" si="62"/>
        <v>648</v>
      </c>
      <c r="AH271" s="862">
        <f t="shared" si="63"/>
        <v>344</v>
      </c>
      <c r="AI271" s="798"/>
      <c r="AJ271" s="833">
        <f t="shared" si="53"/>
        <v>1604</v>
      </c>
      <c r="AM271" s="863">
        <f t="shared" si="64"/>
        <v>1260</v>
      </c>
      <c r="AN271" s="862">
        <f t="shared" si="57"/>
        <v>344</v>
      </c>
      <c r="AO271" s="9">
        <f t="shared" si="58"/>
        <v>1604</v>
      </c>
      <c r="AP271" s="871">
        <f t="shared" si="59"/>
        <v>554.4</v>
      </c>
      <c r="AQ271" s="871">
        <f t="shared" si="60"/>
        <v>151.36000000000001</v>
      </c>
      <c r="AU271" s="9">
        <f t="shared" si="54"/>
        <v>0</v>
      </c>
    </row>
    <row r="272" spans="1:47" s="9" customFormat="1">
      <c r="A272" s="9">
        <v>220</v>
      </c>
      <c r="B272" s="853">
        <v>6</v>
      </c>
      <c r="C272" s="811"/>
      <c r="D272" s="811"/>
      <c r="E272" s="811"/>
      <c r="F272" s="811"/>
      <c r="G272" s="811">
        <v>144</v>
      </c>
      <c r="H272" s="811">
        <v>226</v>
      </c>
      <c r="I272" s="811">
        <v>258</v>
      </c>
      <c r="J272" s="811">
        <v>0</v>
      </c>
      <c r="K272" s="811"/>
      <c r="L272" s="811"/>
      <c r="M272" s="811">
        <v>202</v>
      </c>
      <c r="N272" s="811">
        <v>157</v>
      </c>
      <c r="O272" s="811">
        <v>308</v>
      </c>
      <c r="P272" s="811">
        <v>0</v>
      </c>
      <c r="Q272" s="819"/>
      <c r="R272" s="811"/>
      <c r="S272" s="811"/>
      <c r="T272" s="811"/>
      <c r="U272" s="811"/>
      <c r="V272" s="811"/>
      <c r="W272" s="801">
        <f t="shared" si="55"/>
        <v>1295</v>
      </c>
      <c r="Y272" s="9">
        <f t="shared" si="56"/>
        <v>1295</v>
      </c>
      <c r="AA272" s="825" t="e">
        <f>'CHAM CONG'!BA271</f>
        <v>#N/A</v>
      </c>
      <c r="AB272" s="825" t="e">
        <f>'CHAM CONG'!BB271</f>
        <v>#N/A</v>
      </c>
      <c r="AC272" s="825" t="e">
        <f>'CHAM CONG'!BC271</f>
        <v>#N/A</v>
      </c>
      <c r="AD272" s="825" t="e">
        <f>'CHAM CONG'!BD271</f>
        <v>#N/A</v>
      </c>
      <c r="AE272" s="824">
        <f t="shared" si="47"/>
        <v>569.79999999999995</v>
      </c>
      <c r="AF272" s="798">
        <f t="shared" si="61"/>
        <v>383</v>
      </c>
      <c r="AG272" s="831">
        <f t="shared" si="62"/>
        <v>566</v>
      </c>
      <c r="AH272" s="862">
        <f t="shared" si="63"/>
        <v>346</v>
      </c>
      <c r="AI272" s="798"/>
      <c r="AJ272" s="833">
        <f t="shared" si="53"/>
        <v>1295</v>
      </c>
      <c r="AM272" s="863">
        <f t="shared" si="64"/>
        <v>949</v>
      </c>
      <c r="AN272" s="862">
        <f t="shared" si="57"/>
        <v>346</v>
      </c>
      <c r="AO272" s="9">
        <f t="shared" si="58"/>
        <v>1295</v>
      </c>
      <c r="AP272" s="871">
        <f t="shared" si="59"/>
        <v>417.56</v>
      </c>
      <c r="AQ272" s="871">
        <f t="shared" si="60"/>
        <v>152.24</v>
      </c>
      <c r="AU272" s="9">
        <f t="shared" si="54"/>
        <v>0</v>
      </c>
    </row>
    <row r="273" spans="1:47" s="9" customFormat="1">
      <c r="A273" s="9">
        <v>221</v>
      </c>
      <c r="B273" s="853">
        <v>6</v>
      </c>
      <c r="C273" s="811"/>
      <c r="D273" s="811"/>
      <c r="E273" s="811"/>
      <c r="F273" s="811"/>
      <c r="G273" s="811">
        <v>243</v>
      </c>
      <c r="H273" s="811">
        <v>299</v>
      </c>
      <c r="I273" s="811">
        <v>469</v>
      </c>
      <c r="J273" s="811">
        <v>0</v>
      </c>
      <c r="K273" s="811"/>
      <c r="L273" s="811"/>
      <c r="M273" s="811">
        <v>243</v>
      </c>
      <c r="N273" s="811">
        <v>325</v>
      </c>
      <c r="O273" s="811">
        <v>370</v>
      </c>
      <c r="P273" s="811">
        <v>0</v>
      </c>
      <c r="Q273" s="819"/>
      <c r="R273" s="811"/>
      <c r="S273" s="811"/>
      <c r="T273" s="811"/>
      <c r="U273" s="811"/>
      <c r="V273" s="811"/>
      <c r="W273" s="801">
        <f t="shared" si="55"/>
        <v>1949</v>
      </c>
      <c r="Y273" s="9">
        <f t="shared" si="56"/>
        <v>1949</v>
      </c>
      <c r="AA273" s="825" t="e">
        <f>'CHAM CONG'!BA272</f>
        <v>#N/A</v>
      </c>
      <c r="AB273" s="825" t="e">
        <f>'CHAM CONG'!BB272</f>
        <v>#N/A</v>
      </c>
      <c r="AC273" s="825" t="e">
        <f>'CHAM CONG'!BC272</f>
        <v>#N/A</v>
      </c>
      <c r="AD273" s="825" t="e">
        <f>'CHAM CONG'!BD272</f>
        <v>#N/A</v>
      </c>
      <c r="AE273" s="824">
        <f t="shared" si="47"/>
        <v>857.56</v>
      </c>
      <c r="AF273" s="798">
        <f t="shared" si="61"/>
        <v>624</v>
      </c>
      <c r="AG273" s="831">
        <f t="shared" si="62"/>
        <v>839</v>
      </c>
      <c r="AH273" s="862">
        <f t="shared" si="63"/>
        <v>486</v>
      </c>
      <c r="AI273" s="798"/>
      <c r="AJ273" s="833">
        <f t="shared" si="53"/>
        <v>1949</v>
      </c>
      <c r="AM273" s="863">
        <f t="shared" si="64"/>
        <v>1463</v>
      </c>
      <c r="AN273" s="862">
        <f t="shared" si="57"/>
        <v>486</v>
      </c>
      <c r="AO273" s="9">
        <f t="shared" si="58"/>
        <v>1949</v>
      </c>
      <c r="AP273" s="871">
        <f t="shared" si="59"/>
        <v>643.72</v>
      </c>
      <c r="AQ273" s="871">
        <f t="shared" si="60"/>
        <v>213.84</v>
      </c>
      <c r="AU273" s="9">
        <f t="shared" si="54"/>
        <v>0</v>
      </c>
    </row>
    <row r="274" spans="1:47" s="9" customFormat="1">
      <c r="A274" s="9">
        <v>222</v>
      </c>
      <c r="B274" s="853">
        <v>6</v>
      </c>
      <c r="C274" s="811"/>
      <c r="D274" s="811"/>
      <c r="E274" s="811"/>
      <c r="F274" s="811"/>
      <c r="G274" s="811">
        <v>227</v>
      </c>
      <c r="H274" s="811">
        <v>241</v>
      </c>
      <c r="I274" s="811">
        <v>458</v>
      </c>
      <c r="J274" s="811">
        <v>0</v>
      </c>
      <c r="K274" s="811"/>
      <c r="L274" s="811"/>
      <c r="M274" s="811">
        <v>222</v>
      </c>
      <c r="N274" s="811">
        <v>279</v>
      </c>
      <c r="O274" s="811">
        <v>352</v>
      </c>
      <c r="P274" s="811">
        <v>0</v>
      </c>
      <c r="Q274" s="819"/>
      <c r="R274" s="811"/>
      <c r="S274" s="811"/>
      <c r="T274" s="811"/>
      <c r="U274" s="811"/>
      <c r="V274" s="811"/>
      <c r="W274" s="801">
        <f t="shared" si="55"/>
        <v>1779</v>
      </c>
      <c r="Y274" s="9">
        <f t="shared" si="56"/>
        <v>1779</v>
      </c>
      <c r="AA274" s="825" t="e">
        <f>'CHAM CONG'!BA273</f>
        <v>#N/A</v>
      </c>
      <c r="AB274" s="825" t="e">
        <f>'CHAM CONG'!BB273</f>
        <v>#N/A</v>
      </c>
      <c r="AC274" s="825" t="e">
        <f>'CHAM CONG'!BC273</f>
        <v>#N/A</v>
      </c>
      <c r="AD274" s="825" t="e">
        <f>'CHAM CONG'!BD273</f>
        <v>#N/A</v>
      </c>
      <c r="AE274" s="824">
        <f t="shared" si="47"/>
        <v>782.76</v>
      </c>
      <c r="AF274" s="798">
        <f t="shared" si="61"/>
        <v>520</v>
      </c>
      <c r="AG274" s="831">
        <f t="shared" si="62"/>
        <v>810</v>
      </c>
      <c r="AH274" s="862">
        <f t="shared" si="63"/>
        <v>449</v>
      </c>
      <c r="AI274" s="798"/>
      <c r="AJ274" s="833">
        <f t="shared" si="53"/>
        <v>1779</v>
      </c>
      <c r="AM274" s="863">
        <f t="shared" si="64"/>
        <v>1330</v>
      </c>
      <c r="AN274" s="862">
        <f t="shared" si="57"/>
        <v>449</v>
      </c>
      <c r="AO274" s="9">
        <f t="shared" si="58"/>
        <v>1779</v>
      </c>
      <c r="AP274" s="871">
        <f t="shared" si="59"/>
        <v>585.20000000000005</v>
      </c>
      <c r="AQ274" s="871">
        <f t="shared" si="60"/>
        <v>197.56</v>
      </c>
      <c r="AU274" s="9">
        <f t="shared" si="54"/>
        <v>0</v>
      </c>
    </row>
    <row r="275" spans="1:47" s="9" customFormat="1">
      <c r="A275" s="9">
        <v>223</v>
      </c>
      <c r="B275" s="853">
        <v>6</v>
      </c>
      <c r="C275" s="811"/>
      <c r="D275" s="811"/>
      <c r="E275" s="811"/>
      <c r="F275" s="811"/>
      <c r="G275" s="811">
        <v>128</v>
      </c>
      <c r="H275" s="811">
        <v>274</v>
      </c>
      <c r="I275" s="811">
        <v>334</v>
      </c>
      <c r="J275" s="811">
        <v>0</v>
      </c>
      <c r="K275" s="811"/>
      <c r="L275" s="811"/>
      <c r="M275" s="811">
        <v>215</v>
      </c>
      <c r="N275" s="811">
        <v>288</v>
      </c>
      <c r="O275" s="811">
        <v>243</v>
      </c>
      <c r="P275" s="811">
        <v>0</v>
      </c>
      <c r="Q275" s="819"/>
      <c r="R275" s="811"/>
      <c r="S275" s="811"/>
      <c r="T275" s="811"/>
      <c r="U275" s="811"/>
      <c r="V275" s="811"/>
      <c r="W275" s="801">
        <f t="shared" si="55"/>
        <v>1482</v>
      </c>
      <c r="Y275" s="9">
        <f t="shared" si="56"/>
        <v>1482</v>
      </c>
      <c r="AA275" s="825" t="e">
        <f>'CHAM CONG'!BA274</f>
        <v>#N/A</v>
      </c>
      <c r="AB275" s="825" t="e">
        <f>'CHAM CONG'!BB274</f>
        <v>#N/A</v>
      </c>
      <c r="AC275" s="825" t="e">
        <f>'CHAM CONG'!BC274</f>
        <v>#N/A</v>
      </c>
      <c r="AD275" s="825" t="e">
        <f>'CHAM CONG'!BD274</f>
        <v>#N/A</v>
      </c>
      <c r="AE275" s="824">
        <f t="shared" si="47"/>
        <v>652.08000000000004</v>
      </c>
      <c r="AF275" s="798">
        <f t="shared" si="61"/>
        <v>562</v>
      </c>
      <c r="AG275" s="831">
        <f t="shared" si="62"/>
        <v>577</v>
      </c>
      <c r="AH275" s="862">
        <f t="shared" si="63"/>
        <v>343</v>
      </c>
      <c r="AI275" s="798"/>
      <c r="AJ275" s="833">
        <f t="shared" si="53"/>
        <v>1482</v>
      </c>
      <c r="AM275" s="863">
        <f t="shared" si="64"/>
        <v>1139</v>
      </c>
      <c r="AN275" s="862">
        <f t="shared" si="57"/>
        <v>343</v>
      </c>
      <c r="AO275" s="9">
        <f t="shared" si="58"/>
        <v>1482</v>
      </c>
      <c r="AP275" s="871">
        <f t="shared" si="59"/>
        <v>501.16</v>
      </c>
      <c r="AQ275" s="871">
        <f t="shared" si="60"/>
        <v>150.91999999999999</v>
      </c>
      <c r="AU275" s="9">
        <f t="shared" si="54"/>
        <v>0</v>
      </c>
    </row>
    <row r="276" spans="1:47" s="9" customFormat="1">
      <c r="A276" s="9">
        <v>224</v>
      </c>
      <c r="B276" s="853">
        <v>6</v>
      </c>
      <c r="C276" s="811"/>
      <c r="D276" s="811"/>
      <c r="E276" s="811"/>
      <c r="F276" s="811"/>
      <c r="G276" s="811">
        <v>133</v>
      </c>
      <c r="H276" s="811">
        <v>271</v>
      </c>
      <c r="I276" s="811">
        <v>309</v>
      </c>
      <c r="J276" s="811">
        <v>0</v>
      </c>
      <c r="K276" s="811"/>
      <c r="L276" s="811"/>
      <c r="M276" s="811">
        <v>267</v>
      </c>
      <c r="N276" s="811">
        <v>283</v>
      </c>
      <c r="O276" s="811">
        <v>240</v>
      </c>
      <c r="P276" s="811">
        <v>0</v>
      </c>
      <c r="Q276" s="819"/>
      <c r="R276" s="811"/>
      <c r="S276" s="811"/>
      <c r="T276" s="811"/>
      <c r="U276" s="811"/>
      <c r="V276" s="811"/>
      <c r="W276" s="801">
        <f t="shared" si="55"/>
        <v>1503</v>
      </c>
      <c r="Y276" s="9">
        <f t="shared" si="56"/>
        <v>1503</v>
      </c>
      <c r="AA276" s="825" t="e">
        <f>'CHAM CONG'!BA275</f>
        <v>#N/A</v>
      </c>
      <c r="AB276" s="825" t="e">
        <f>'CHAM CONG'!BB275</f>
        <v>#N/A</v>
      </c>
      <c r="AC276" s="825" t="e">
        <f>'CHAM CONG'!BC275</f>
        <v>#N/A</v>
      </c>
      <c r="AD276" s="825" t="e">
        <f>'CHAM CONG'!BD275</f>
        <v>#N/A</v>
      </c>
      <c r="AE276" s="824">
        <f t="shared" si="47"/>
        <v>661.32</v>
      </c>
      <c r="AF276" s="798">
        <f t="shared" si="61"/>
        <v>554</v>
      </c>
      <c r="AG276" s="831">
        <f t="shared" si="62"/>
        <v>549</v>
      </c>
      <c r="AH276" s="862">
        <f t="shared" si="63"/>
        <v>400</v>
      </c>
      <c r="AI276" s="798"/>
      <c r="AJ276" s="833">
        <f t="shared" si="53"/>
        <v>1503</v>
      </c>
      <c r="AM276" s="863">
        <f t="shared" si="64"/>
        <v>1103</v>
      </c>
      <c r="AN276" s="862">
        <f t="shared" si="57"/>
        <v>400</v>
      </c>
      <c r="AO276" s="9">
        <f t="shared" si="58"/>
        <v>1503</v>
      </c>
      <c r="AP276" s="871">
        <f t="shared" si="59"/>
        <v>485.32</v>
      </c>
      <c r="AQ276" s="871">
        <f t="shared" si="60"/>
        <v>176</v>
      </c>
      <c r="AU276" s="9">
        <f t="shared" si="54"/>
        <v>0</v>
      </c>
    </row>
    <row r="277" spans="1:47" s="9" customFormat="1">
      <c r="A277" s="9">
        <v>225</v>
      </c>
      <c r="B277" s="853">
        <v>6</v>
      </c>
      <c r="C277" s="811"/>
      <c r="D277" s="811"/>
      <c r="E277" s="811"/>
      <c r="F277" s="811"/>
      <c r="G277" s="811">
        <v>128</v>
      </c>
      <c r="H277" s="811">
        <v>312</v>
      </c>
      <c r="I277" s="811">
        <v>328</v>
      </c>
      <c r="J277" s="811">
        <v>0</v>
      </c>
      <c r="K277" s="811"/>
      <c r="L277" s="811"/>
      <c r="M277" s="811">
        <v>0</v>
      </c>
      <c r="N277" s="811">
        <v>559</v>
      </c>
      <c r="O277" s="811">
        <v>122</v>
      </c>
      <c r="P277" s="811">
        <v>0</v>
      </c>
      <c r="Q277" s="858"/>
      <c r="R277" s="811"/>
      <c r="S277" s="811"/>
      <c r="T277" s="811"/>
      <c r="U277" s="811"/>
      <c r="V277" s="811"/>
      <c r="W277" s="801">
        <f t="shared" si="55"/>
        <v>1449</v>
      </c>
      <c r="Y277" s="9">
        <f t="shared" si="56"/>
        <v>1449</v>
      </c>
      <c r="AA277" s="825" t="e">
        <f>'CHAM CONG'!BA276</f>
        <v>#N/A</v>
      </c>
      <c r="AB277" s="825" t="e">
        <f>'CHAM CONG'!BB276</f>
        <v>#N/A</v>
      </c>
      <c r="AC277" s="825" t="e">
        <f>'CHAM CONG'!BC276</f>
        <v>#N/A</v>
      </c>
      <c r="AD277" s="825" t="e">
        <f>'CHAM CONG'!BD276</f>
        <v>#N/A</v>
      </c>
      <c r="AE277" s="824">
        <f t="shared" si="47"/>
        <v>637.55999999999995</v>
      </c>
      <c r="AF277" s="798">
        <f t="shared" si="61"/>
        <v>871</v>
      </c>
      <c r="AG277" s="831">
        <f t="shared" si="62"/>
        <v>450</v>
      </c>
      <c r="AH277" s="862">
        <f t="shared" si="63"/>
        <v>128</v>
      </c>
      <c r="AI277" s="798"/>
      <c r="AJ277" s="833">
        <f t="shared" si="53"/>
        <v>1449</v>
      </c>
      <c r="AM277" s="863">
        <f t="shared" si="64"/>
        <v>1321</v>
      </c>
      <c r="AN277" s="862">
        <f t="shared" si="57"/>
        <v>128</v>
      </c>
      <c r="AO277" s="9">
        <f t="shared" si="58"/>
        <v>1449</v>
      </c>
      <c r="AP277" s="871">
        <f t="shared" si="59"/>
        <v>581.24</v>
      </c>
      <c r="AQ277" s="871">
        <f t="shared" si="60"/>
        <v>56.32</v>
      </c>
      <c r="AU277" s="9">
        <f t="shared" si="54"/>
        <v>0</v>
      </c>
    </row>
    <row r="278" spans="1:47" s="9" customFormat="1">
      <c r="A278" s="9">
        <v>226</v>
      </c>
      <c r="B278" s="853">
        <v>6</v>
      </c>
      <c r="C278" s="811"/>
      <c r="D278" s="811"/>
      <c r="E278" s="811"/>
      <c r="F278" s="811"/>
      <c r="G278" s="811">
        <v>148</v>
      </c>
      <c r="H278" s="811">
        <v>250</v>
      </c>
      <c r="I278" s="811">
        <v>139</v>
      </c>
      <c r="J278" s="811">
        <v>155</v>
      </c>
      <c r="K278" s="811"/>
      <c r="L278" s="811"/>
      <c r="M278" s="811">
        <v>242</v>
      </c>
      <c r="N278" s="811">
        <v>253</v>
      </c>
      <c r="O278" s="811">
        <v>126</v>
      </c>
      <c r="P278" s="811">
        <v>0</v>
      </c>
      <c r="Q278" s="819"/>
      <c r="R278" s="811"/>
      <c r="S278" s="811"/>
      <c r="T278" s="811"/>
      <c r="U278" s="811"/>
      <c r="V278" s="811"/>
      <c r="W278" s="801">
        <f t="shared" si="55"/>
        <v>1313</v>
      </c>
      <c r="Y278" s="9">
        <f t="shared" si="56"/>
        <v>1313</v>
      </c>
      <c r="AA278" s="825" t="e">
        <f>'CHAM CONG'!BA277</f>
        <v>#N/A</v>
      </c>
      <c r="AB278" s="825" t="e">
        <f>'CHAM CONG'!BB277</f>
        <v>#N/A</v>
      </c>
      <c r="AC278" s="825" t="e">
        <f>'CHAM CONG'!BC277</f>
        <v>#N/A</v>
      </c>
      <c r="AD278" s="825" t="e">
        <f>'CHAM CONG'!BD277</f>
        <v>#N/A</v>
      </c>
      <c r="AE278" s="824">
        <f t="shared" si="47"/>
        <v>577.72</v>
      </c>
      <c r="AF278" s="798">
        <f t="shared" si="61"/>
        <v>503</v>
      </c>
      <c r="AG278" s="831">
        <f t="shared" si="62"/>
        <v>420</v>
      </c>
      <c r="AH278" s="862">
        <f t="shared" si="63"/>
        <v>390</v>
      </c>
      <c r="AI278" s="798"/>
      <c r="AJ278" s="833">
        <f t="shared" si="53"/>
        <v>1313</v>
      </c>
      <c r="AM278" s="863">
        <f t="shared" si="64"/>
        <v>923</v>
      </c>
      <c r="AN278" s="862">
        <f t="shared" si="57"/>
        <v>390</v>
      </c>
      <c r="AO278" s="9">
        <f t="shared" si="58"/>
        <v>1313</v>
      </c>
      <c r="AP278" s="871">
        <f t="shared" si="59"/>
        <v>406.12</v>
      </c>
      <c r="AQ278" s="871">
        <f t="shared" si="60"/>
        <v>171.6</v>
      </c>
      <c r="AU278" s="9">
        <f t="shared" si="54"/>
        <v>0</v>
      </c>
    </row>
    <row r="279" spans="1:47" s="9" customFormat="1">
      <c r="A279" s="9">
        <v>227</v>
      </c>
      <c r="B279" s="853">
        <v>6</v>
      </c>
      <c r="C279" s="811"/>
      <c r="D279" s="811"/>
      <c r="E279" s="811"/>
      <c r="F279" s="811"/>
      <c r="G279" s="811">
        <v>248</v>
      </c>
      <c r="H279" s="811">
        <v>325</v>
      </c>
      <c r="I279" s="811">
        <v>292</v>
      </c>
      <c r="J279" s="811">
        <v>0</v>
      </c>
      <c r="K279" s="811"/>
      <c r="L279" s="811"/>
      <c r="M279" s="811">
        <v>249</v>
      </c>
      <c r="N279" s="811">
        <v>397</v>
      </c>
      <c r="O279" s="811">
        <v>349</v>
      </c>
      <c r="P279" s="811">
        <v>0</v>
      </c>
      <c r="Q279" s="819"/>
      <c r="R279" s="811"/>
      <c r="S279" s="811"/>
      <c r="T279" s="811"/>
      <c r="U279" s="811"/>
      <c r="V279" s="811"/>
      <c r="W279" s="801">
        <f t="shared" si="55"/>
        <v>1860</v>
      </c>
      <c r="Y279" s="9">
        <f t="shared" si="56"/>
        <v>1860</v>
      </c>
      <c r="AA279" s="825" t="e">
        <f>'CHAM CONG'!BA278</f>
        <v>#N/A</v>
      </c>
      <c r="AB279" s="825" t="e">
        <f>'CHAM CONG'!BB278</f>
        <v>#N/A</v>
      </c>
      <c r="AC279" s="825" t="e">
        <f>'CHAM CONG'!BC278</f>
        <v>#N/A</v>
      </c>
      <c r="AD279" s="825" t="e">
        <f>'CHAM CONG'!BD278</f>
        <v>#N/A</v>
      </c>
      <c r="AE279" s="824">
        <f t="shared" si="47"/>
        <v>818.4</v>
      </c>
      <c r="AF279" s="798">
        <f t="shared" si="61"/>
        <v>722</v>
      </c>
      <c r="AG279" s="831">
        <f t="shared" si="62"/>
        <v>641</v>
      </c>
      <c r="AH279" s="862">
        <f t="shared" si="63"/>
        <v>497</v>
      </c>
      <c r="AI279" s="798"/>
      <c r="AJ279" s="833">
        <f t="shared" si="53"/>
        <v>1860</v>
      </c>
      <c r="AM279" s="863">
        <f t="shared" si="64"/>
        <v>1363</v>
      </c>
      <c r="AN279" s="862">
        <f t="shared" si="57"/>
        <v>497</v>
      </c>
      <c r="AO279" s="9">
        <f t="shared" si="58"/>
        <v>1860</v>
      </c>
      <c r="AP279" s="871">
        <f t="shared" si="59"/>
        <v>599.72</v>
      </c>
      <c r="AQ279" s="871">
        <f t="shared" si="60"/>
        <v>218.68</v>
      </c>
      <c r="AU279" s="9">
        <f t="shared" si="54"/>
        <v>0</v>
      </c>
    </row>
    <row r="280" spans="1:47" s="9" customFormat="1">
      <c r="A280" s="9">
        <v>228</v>
      </c>
      <c r="B280" s="853">
        <v>6</v>
      </c>
      <c r="C280" s="811"/>
      <c r="D280" s="811"/>
      <c r="E280" s="811"/>
      <c r="F280" s="811"/>
      <c r="G280" s="811">
        <v>222</v>
      </c>
      <c r="H280" s="811">
        <v>315</v>
      </c>
      <c r="I280" s="811">
        <v>256</v>
      </c>
      <c r="J280" s="811">
        <v>0</v>
      </c>
      <c r="K280" s="811"/>
      <c r="L280" s="811"/>
      <c r="M280" s="811">
        <v>246</v>
      </c>
      <c r="N280" s="811">
        <v>335</v>
      </c>
      <c r="O280" s="811">
        <v>290</v>
      </c>
      <c r="P280" s="811">
        <v>0</v>
      </c>
      <c r="Q280" s="819"/>
      <c r="R280" s="811"/>
      <c r="S280" s="811"/>
      <c r="T280" s="811"/>
      <c r="U280" s="811"/>
      <c r="V280" s="811"/>
      <c r="W280" s="801">
        <f t="shared" si="55"/>
        <v>1664</v>
      </c>
      <c r="Y280" s="9">
        <f t="shared" si="56"/>
        <v>1664</v>
      </c>
      <c r="AA280" s="825" t="e">
        <f>'CHAM CONG'!BA279</f>
        <v>#N/A</v>
      </c>
      <c r="AB280" s="825" t="e">
        <f>'CHAM CONG'!BB279</f>
        <v>#N/A</v>
      </c>
      <c r="AC280" s="825" t="e">
        <f>'CHAM CONG'!BC279</f>
        <v>#N/A</v>
      </c>
      <c r="AD280" s="825" t="e">
        <f>'CHAM CONG'!BD279</f>
        <v>#N/A</v>
      </c>
      <c r="AE280" s="824">
        <f t="shared" si="47"/>
        <v>732.16</v>
      </c>
      <c r="AF280" s="798">
        <f t="shared" si="61"/>
        <v>650</v>
      </c>
      <c r="AG280" s="831">
        <f t="shared" si="62"/>
        <v>546</v>
      </c>
      <c r="AH280" s="862">
        <f t="shared" si="63"/>
        <v>468</v>
      </c>
      <c r="AI280" s="798"/>
      <c r="AJ280" s="833">
        <f t="shared" si="53"/>
        <v>1664</v>
      </c>
      <c r="AM280" s="863">
        <f t="shared" si="64"/>
        <v>1196</v>
      </c>
      <c r="AN280" s="862">
        <f t="shared" si="57"/>
        <v>468</v>
      </c>
      <c r="AO280" s="9">
        <f t="shared" si="58"/>
        <v>1664</v>
      </c>
      <c r="AP280" s="871">
        <f t="shared" si="59"/>
        <v>526.24</v>
      </c>
      <c r="AQ280" s="871">
        <f t="shared" si="60"/>
        <v>205.92</v>
      </c>
      <c r="AU280" s="9">
        <f t="shared" si="54"/>
        <v>0</v>
      </c>
    </row>
    <row r="281" spans="1:47" s="9" customFormat="1">
      <c r="A281" s="9">
        <v>229</v>
      </c>
      <c r="B281" s="853">
        <v>6</v>
      </c>
      <c r="C281" s="811"/>
      <c r="D281" s="811"/>
      <c r="E281" s="811"/>
      <c r="F281" s="811"/>
      <c r="G281" s="811">
        <v>125</v>
      </c>
      <c r="H281" s="811">
        <v>295</v>
      </c>
      <c r="I281" s="811">
        <v>276</v>
      </c>
      <c r="J281" s="811">
        <v>0</v>
      </c>
      <c r="K281" s="811"/>
      <c r="L281" s="811"/>
      <c r="M281" s="811">
        <v>267</v>
      </c>
      <c r="N281" s="811">
        <v>338</v>
      </c>
      <c r="O281" s="811">
        <v>224</v>
      </c>
      <c r="P281" s="811">
        <v>0</v>
      </c>
      <c r="Q281" s="819"/>
      <c r="R281" s="811"/>
      <c r="S281" s="811"/>
      <c r="T281" s="811"/>
      <c r="U281" s="811"/>
      <c r="V281" s="811"/>
      <c r="W281" s="801">
        <f t="shared" si="55"/>
        <v>1525</v>
      </c>
      <c r="Y281" s="9">
        <f t="shared" si="56"/>
        <v>1525</v>
      </c>
      <c r="AA281" s="825" t="e">
        <f>'CHAM CONG'!BA280</f>
        <v>#N/A</v>
      </c>
      <c r="AB281" s="825" t="e">
        <f>'CHAM CONG'!BB280</f>
        <v>#N/A</v>
      </c>
      <c r="AC281" s="825" t="e">
        <f>'CHAM CONG'!BC280</f>
        <v>#N/A</v>
      </c>
      <c r="AD281" s="825" t="e">
        <f>'CHAM CONG'!BD280</f>
        <v>#N/A</v>
      </c>
      <c r="AE281" s="824">
        <f t="shared" si="47"/>
        <v>671</v>
      </c>
      <c r="AF281" s="798">
        <f t="shared" si="61"/>
        <v>633</v>
      </c>
      <c r="AG281" s="831">
        <f t="shared" si="62"/>
        <v>500</v>
      </c>
      <c r="AH281" s="862">
        <f t="shared" si="63"/>
        <v>392</v>
      </c>
      <c r="AI281" s="798"/>
      <c r="AJ281" s="833">
        <f t="shared" si="53"/>
        <v>1525</v>
      </c>
      <c r="AM281" s="863">
        <f t="shared" si="64"/>
        <v>1133</v>
      </c>
      <c r="AN281" s="862">
        <f t="shared" si="57"/>
        <v>392</v>
      </c>
      <c r="AO281" s="9">
        <f t="shared" si="58"/>
        <v>1525</v>
      </c>
      <c r="AP281" s="871">
        <f t="shared" si="59"/>
        <v>498.52</v>
      </c>
      <c r="AQ281" s="871">
        <f t="shared" si="60"/>
        <v>172.48</v>
      </c>
      <c r="AU281" s="9">
        <f t="shared" si="54"/>
        <v>0</v>
      </c>
    </row>
    <row r="282" spans="1:47" s="9" customFormat="1">
      <c r="A282" s="9">
        <v>230</v>
      </c>
      <c r="B282" s="853">
        <v>6</v>
      </c>
      <c r="C282" s="811"/>
      <c r="D282" s="811"/>
      <c r="E282" s="811"/>
      <c r="F282" s="811"/>
      <c r="G282" s="811">
        <v>166</v>
      </c>
      <c r="H282" s="811">
        <v>238</v>
      </c>
      <c r="I282" s="811">
        <v>254</v>
      </c>
      <c r="J282" s="811">
        <v>0</v>
      </c>
      <c r="K282" s="811"/>
      <c r="L282" s="811"/>
      <c r="M282" s="811">
        <v>278</v>
      </c>
      <c r="N282" s="811">
        <v>257</v>
      </c>
      <c r="O282" s="811">
        <v>238</v>
      </c>
      <c r="P282" s="811">
        <v>0</v>
      </c>
      <c r="Q282" s="819"/>
      <c r="R282" s="811"/>
      <c r="S282" s="811"/>
      <c r="T282" s="811"/>
      <c r="U282" s="811"/>
      <c r="V282" s="811"/>
      <c r="W282" s="801">
        <f t="shared" si="55"/>
        <v>1431</v>
      </c>
      <c r="Y282" s="9">
        <f t="shared" si="56"/>
        <v>1431</v>
      </c>
      <c r="AA282" s="825" t="e">
        <f>'CHAM CONG'!BA281</f>
        <v>#N/A</v>
      </c>
      <c r="AB282" s="825" t="e">
        <f>'CHAM CONG'!BB281</f>
        <v>#N/A</v>
      </c>
      <c r="AC282" s="825" t="e">
        <f>'CHAM CONG'!BC281</f>
        <v>#N/A</v>
      </c>
      <c r="AD282" s="825" t="e">
        <f>'CHAM CONG'!BD281</f>
        <v>#N/A</v>
      </c>
      <c r="AE282" s="824">
        <f t="shared" si="47"/>
        <v>629.64</v>
      </c>
      <c r="AF282" s="798">
        <f t="shared" si="61"/>
        <v>495</v>
      </c>
      <c r="AG282" s="831">
        <f t="shared" si="62"/>
        <v>492</v>
      </c>
      <c r="AH282" s="862">
        <f t="shared" si="63"/>
        <v>444</v>
      </c>
      <c r="AI282" s="798"/>
      <c r="AJ282" s="833">
        <f t="shared" si="53"/>
        <v>1431</v>
      </c>
      <c r="AM282" s="863">
        <f t="shared" si="64"/>
        <v>987</v>
      </c>
      <c r="AN282" s="862">
        <f t="shared" si="57"/>
        <v>444</v>
      </c>
      <c r="AO282" s="9">
        <f t="shared" si="58"/>
        <v>1431</v>
      </c>
      <c r="AP282" s="871">
        <f t="shared" si="59"/>
        <v>434.28</v>
      </c>
      <c r="AQ282" s="871">
        <f t="shared" si="60"/>
        <v>195.36</v>
      </c>
      <c r="AU282" s="9">
        <f t="shared" si="54"/>
        <v>0</v>
      </c>
    </row>
    <row r="283" spans="1:47" s="9" customFormat="1">
      <c r="A283" s="9">
        <v>231</v>
      </c>
      <c r="B283" s="853">
        <v>6</v>
      </c>
      <c r="C283" s="811"/>
      <c r="D283" s="811"/>
      <c r="E283" s="811"/>
      <c r="F283" s="811"/>
      <c r="G283" s="811">
        <v>0</v>
      </c>
      <c r="H283" s="811">
        <v>381</v>
      </c>
      <c r="I283" s="811">
        <v>288</v>
      </c>
      <c r="J283" s="811">
        <v>0</v>
      </c>
      <c r="K283" s="811"/>
      <c r="L283" s="811"/>
      <c r="M283" s="811">
        <v>136</v>
      </c>
      <c r="N283" s="811">
        <v>240</v>
      </c>
      <c r="O283" s="811">
        <v>239</v>
      </c>
      <c r="P283" s="811">
        <v>0</v>
      </c>
      <c r="Q283" s="819"/>
      <c r="R283" s="811"/>
      <c r="S283" s="811"/>
      <c r="T283" s="811"/>
      <c r="U283" s="811"/>
      <c r="V283" s="811"/>
      <c r="W283" s="801">
        <f t="shared" si="55"/>
        <v>1284</v>
      </c>
      <c r="Y283" s="9">
        <f t="shared" si="56"/>
        <v>1284</v>
      </c>
      <c r="AA283" s="825" t="e">
        <f>'CHAM CONG'!BA308</f>
        <v>#N/A</v>
      </c>
      <c r="AB283" s="825" t="e">
        <f>'CHAM CONG'!BB308</f>
        <v>#N/A</v>
      </c>
      <c r="AC283" s="825" t="e">
        <f>'CHAM CONG'!BC308</f>
        <v>#N/A</v>
      </c>
      <c r="AD283" s="825" t="e">
        <f>'CHAM CONG'!BD308</f>
        <v>#N/A</v>
      </c>
      <c r="AE283" s="824">
        <f t="shared" si="47"/>
        <v>564.96</v>
      </c>
      <c r="AF283" s="798">
        <f t="shared" si="61"/>
        <v>621</v>
      </c>
      <c r="AG283" s="831">
        <f t="shared" si="62"/>
        <v>527</v>
      </c>
      <c r="AH283" s="862">
        <f t="shared" si="63"/>
        <v>136</v>
      </c>
      <c r="AI283" s="798"/>
      <c r="AJ283" s="833">
        <f t="shared" si="53"/>
        <v>1284</v>
      </c>
      <c r="AM283" s="863">
        <f t="shared" si="64"/>
        <v>1148</v>
      </c>
      <c r="AN283" s="862">
        <f t="shared" si="57"/>
        <v>136</v>
      </c>
      <c r="AO283" s="9">
        <f t="shared" si="58"/>
        <v>1284</v>
      </c>
      <c r="AP283" s="871">
        <f t="shared" si="59"/>
        <v>505.12</v>
      </c>
      <c r="AQ283" s="871">
        <f t="shared" si="60"/>
        <v>59.84</v>
      </c>
      <c r="AU283" s="9">
        <f t="shared" si="54"/>
        <v>0</v>
      </c>
    </row>
    <row r="284" spans="1:47" s="9" customFormat="1">
      <c r="A284" s="9">
        <v>232</v>
      </c>
      <c r="B284" s="853">
        <v>6</v>
      </c>
      <c r="C284" s="811"/>
      <c r="D284" s="811"/>
      <c r="E284" s="811"/>
      <c r="F284" s="811"/>
      <c r="G284" s="811">
        <v>362</v>
      </c>
      <c r="H284" s="811">
        <v>244</v>
      </c>
      <c r="I284" s="811">
        <v>424</v>
      </c>
      <c r="J284" s="811">
        <v>0</v>
      </c>
      <c r="K284" s="811"/>
      <c r="L284" s="811"/>
      <c r="M284" s="811">
        <v>284</v>
      </c>
      <c r="N284" s="811">
        <v>186</v>
      </c>
      <c r="O284" s="811">
        <v>271</v>
      </c>
      <c r="P284" s="811">
        <v>0</v>
      </c>
      <c r="Q284" s="819"/>
      <c r="R284" s="811"/>
      <c r="S284" s="811"/>
      <c r="T284" s="811"/>
      <c r="U284" s="811"/>
      <c r="V284" s="811"/>
      <c r="W284" s="801">
        <f t="shared" si="55"/>
        <v>1771</v>
      </c>
      <c r="Y284" s="9">
        <f t="shared" si="56"/>
        <v>1771</v>
      </c>
      <c r="AA284" s="825" t="e">
        <f>'CHAM CONG'!BA309</f>
        <v>#N/A</v>
      </c>
      <c r="AB284" s="825" t="e">
        <f>'CHAM CONG'!BB309</f>
        <v>#N/A</v>
      </c>
      <c r="AC284" s="825" t="e">
        <f>'CHAM CONG'!BC309</f>
        <v>#N/A</v>
      </c>
      <c r="AD284" s="825" t="e">
        <f>'CHAM CONG'!BD309</f>
        <v>#N/A</v>
      </c>
      <c r="AE284" s="824">
        <f t="shared" si="47"/>
        <v>779.24</v>
      </c>
      <c r="AF284" s="798">
        <f t="shared" si="61"/>
        <v>430</v>
      </c>
      <c r="AG284" s="831">
        <f t="shared" si="62"/>
        <v>695</v>
      </c>
      <c r="AH284" s="862">
        <f t="shared" si="63"/>
        <v>646</v>
      </c>
      <c r="AJ284" s="833">
        <f t="shared" si="53"/>
        <v>1771</v>
      </c>
      <c r="AM284" s="863">
        <f t="shared" si="64"/>
        <v>1125</v>
      </c>
      <c r="AN284" s="862">
        <f t="shared" si="57"/>
        <v>646</v>
      </c>
      <c r="AO284" s="9">
        <f t="shared" si="58"/>
        <v>1771</v>
      </c>
      <c r="AP284" s="871">
        <f t="shared" si="59"/>
        <v>495</v>
      </c>
      <c r="AQ284" s="871">
        <f t="shared" si="60"/>
        <v>284.24</v>
      </c>
      <c r="AU284" s="9">
        <f t="shared" si="54"/>
        <v>0</v>
      </c>
    </row>
    <row r="285" spans="1:47" s="9" customFormat="1">
      <c r="A285" s="794">
        <v>233</v>
      </c>
      <c r="B285" s="853">
        <v>6</v>
      </c>
      <c r="C285" s="811"/>
      <c r="D285" s="811"/>
      <c r="E285" s="811"/>
      <c r="F285" s="811"/>
      <c r="G285" s="811">
        <v>214</v>
      </c>
      <c r="H285" s="811">
        <v>251</v>
      </c>
      <c r="I285" s="811">
        <v>402</v>
      </c>
      <c r="J285" s="811">
        <v>0</v>
      </c>
      <c r="K285" s="811"/>
      <c r="L285" s="811"/>
      <c r="M285" s="811">
        <v>195</v>
      </c>
      <c r="N285" s="811">
        <v>155</v>
      </c>
      <c r="O285" s="811">
        <v>315</v>
      </c>
      <c r="P285" s="811">
        <v>0</v>
      </c>
      <c r="Q285" s="819"/>
      <c r="R285" s="811"/>
      <c r="S285" s="811"/>
      <c r="T285" s="811"/>
      <c r="U285" s="811"/>
      <c r="V285" s="811"/>
      <c r="W285" s="801">
        <f t="shared" si="55"/>
        <v>1532</v>
      </c>
      <c r="Y285" s="9">
        <f t="shared" si="56"/>
        <v>1532</v>
      </c>
      <c r="AA285" s="825" t="e">
        <f>'CHAM CONG'!BA310</f>
        <v>#N/A</v>
      </c>
      <c r="AB285" s="825" t="e">
        <f>'CHAM CONG'!BB310</f>
        <v>#N/A</v>
      </c>
      <c r="AC285" s="825" t="e">
        <f>'CHAM CONG'!BC310</f>
        <v>#N/A</v>
      </c>
      <c r="AD285" s="825" t="e">
        <f>'CHAM CONG'!BD310</f>
        <v>#N/A</v>
      </c>
      <c r="AE285" s="824">
        <f t="shared" si="47"/>
        <v>674.08</v>
      </c>
      <c r="AF285" s="798">
        <f t="shared" si="61"/>
        <v>406</v>
      </c>
      <c r="AG285" s="831">
        <f t="shared" si="62"/>
        <v>717</v>
      </c>
      <c r="AH285" s="9">
        <f t="shared" si="63"/>
        <v>409</v>
      </c>
      <c r="AJ285" s="833">
        <f t="shared" si="53"/>
        <v>1532</v>
      </c>
      <c r="AM285" s="863">
        <f>AF285+AG285+AH285</f>
        <v>1532</v>
      </c>
      <c r="AN285" s="862"/>
      <c r="AO285" s="9">
        <f t="shared" si="58"/>
        <v>1532</v>
      </c>
      <c r="AP285" s="871">
        <f t="shared" si="59"/>
        <v>674.08</v>
      </c>
      <c r="AQ285" s="871">
        <f t="shared" si="60"/>
        <v>0</v>
      </c>
      <c r="AU285" s="9">
        <f t="shared" si="54"/>
        <v>0</v>
      </c>
    </row>
    <row r="286" spans="1:47" s="9" customFormat="1">
      <c r="A286" s="794">
        <v>234</v>
      </c>
      <c r="B286" s="853">
        <v>6</v>
      </c>
      <c r="C286" s="811"/>
      <c r="D286" s="811"/>
      <c r="E286" s="811"/>
      <c r="F286" s="811"/>
      <c r="G286" s="811">
        <v>124</v>
      </c>
      <c r="H286" s="811">
        <v>228</v>
      </c>
      <c r="I286" s="811">
        <v>355</v>
      </c>
      <c r="J286" s="811">
        <v>0</v>
      </c>
      <c r="K286" s="811"/>
      <c r="L286" s="811"/>
      <c r="M286" s="811">
        <v>224</v>
      </c>
      <c r="N286" s="811">
        <v>262</v>
      </c>
      <c r="O286" s="811">
        <v>251</v>
      </c>
      <c r="P286" s="811">
        <v>0</v>
      </c>
      <c r="Q286" s="819"/>
      <c r="R286" s="811"/>
      <c r="S286" s="811"/>
      <c r="T286" s="811"/>
      <c r="U286" s="811"/>
      <c r="V286" s="811"/>
      <c r="W286" s="801">
        <f t="shared" si="55"/>
        <v>1444</v>
      </c>
      <c r="Y286" s="9">
        <f t="shared" si="56"/>
        <v>1444</v>
      </c>
      <c r="AA286" s="825" t="e">
        <f>'CHAM CONG'!BA311</f>
        <v>#N/A</v>
      </c>
      <c r="AB286" s="825" t="e">
        <f>'CHAM CONG'!BB311</f>
        <v>#N/A</v>
      </c>
      <c r="AC286" s="825" t="e">
        <f>'CHAM CONG'!BC311</f>
        <v>#N/A</v>
      </c>
      <c r="AD286" s="825" t="e">
        <f>'CHAM CONG'!BD311</f>
        <v>#N/A</v>
      </c>
      <c r="AE286" s="824">
        <f t="shared" si="47"/>
        <v>635.36</v>
      </c>
      <c r="AF286" s="798">
        <f t="shared" ref="AF286:AF293" si="65">H286+N286</f>
        <v>490</v>
      </c>
      <c r="AG286" s="831">
        <f t="shared" ref="AG286:AG293" si="66">I286+J286+O286+P286</f>
        <v>606</v>
      </c>
      <c r="AH286" s="9">
        <f t="shared" ref="AH286:AH293" si="67">G286+M286</f>
        <v>348</v>
      </c>
      <c r="AJ286" s="833">
        <f t="shared" si="53"/>
        <v>1444</v>
      </c>
      <c r="AM286" s="863">
        <f t="shared" ref="AM286:AM292" si="68">AF286+AG286+AH286</f>
        <v>1444</v>
      </c>
      <c r="AN286" s="862"/>
      <c r="AO286" s="9">
        <f t="shared" si="58"/>
        <v>1444</v>
      </c>
      <c r="AP286" s="871">
        <f t="shared" si="59"/>
        <v>635.36</v>
      </c>
      <c r="AQ286" s="871">
        <f t="shared" si="60"/>
        <v>0</v>
      </c>
      <c r="AU286" s="9">
        <f t="shared" si="54"/>
        <v>0</v>
      </c>
    </row>
    <row r="287" spans="1:47" s="9" customFormat="1">
      <c r="A287" s="794">
        <v>235</v>
      </c>
      <c r="B287" s="853">
        <v>6</v>
      </c>
      <c r="C287" s="811"/>
      <c r="D287" s="811"/>
      <c r="E287" s="811"/>
      <c r="F287" s="811"/>
      <c r="G287" s="811">
        <v>177</v>
      </c>
      <c r="H287" s="811">
        <v>205</v>
      </c>
      <c r="I287" s="811">
        <v>284</v>
      </c>
      <c r="J287" s="811">
        <v>0</v>
      </c>
      <c r="K287" s="811"/>
      <c r="L287" s="811"/>
      <c r="M287" s="811">
        <v>197</v>
      </c>
      <c r="N287" s="811">
        <v>233</v>
      </c>
      <c r="O287" s="811">
        <v>209</v>
      </c>
      <c r="P287" s="811">
        <v>0</v>
      </c>
      <c r="Q287" s="819"/>
      <c r="R287" s="811"/>
      <c r="S287" s="811"/>
      <c r="T287" s="811"/>
      <c r="U287" s="811"/>
      <c r="V287" s="811"/>
      <c r="W287" s="801">
        <f t="shared" si="55"/>
        <v>1305</v>
      </c>
      <c r="Y287" s="9">
        <f t="shared" si="56"/>
        <v>1305</v>
      </c>
      <c r="AA287" s="825" t="e">
        <f>'CHAM CONG'!BA312</f>
        <v>#N/A</v>
      </c>
      <c r="AB287" s="825" t="e">
        <f>'CHAM CONG'!BB312</f>
        <v>#N/A</v>
      </c>
      <c r="AC287" s="825" t="e">
        <f>'CHAM CONG'!BC312</f>
        <v>#N/A</v>
      </c>
      <c r="AD287" s="825" t="e">
        <f>'CHAM CONG'!BD312</f>
        <v>#N/A</v>
      </c>
      <c r="AE287" s="824">
        <f t="shared" si="47"/>
        <v>574.20000000000005</v>
      </c>
      <c r="AF287" s="798">
        <f t="shared" si="65"/>
        <v>438</v>
      </c>
      <c r="AG287" s="831">
        <f t="shared" si="66"/>
        <v>493</v>
      </c>
      <c r="AH287" s="9">
        <f t="shared" si="67"/>
        <v>374</v>
      </c>
      <c r="AJ287" s="833">
        <f t="shared" si="53"/>
        <v>1305</v>
      </c>
      <c r="AM287" s="863">
        <f t="shared" si="68"/>
        <v>1305</v>
      </c>
      <c r="AN287" s="862"/>
      <c r="AO287" s="9">
        <f t="shared" si="58"/>
        <v>1305</v>
      </c>
      <c r="AP287" s="871">
        <f t="shared" si="59"/>
        <v>574.20000000000005</v>
      </c>
      <c r="AQ287" s="871">
        <f t="shared" si="60"/>
        <v>0</v>
      </c>
      <c r="AU287" s="9">
        <f t="shared" si="54"/>
        <v>0</v>
      </c>
    </row>
    <row r="288" spans="1:47" s="9" customFormat="1">
      <c r="A288" s="794">
        <v>236</v>
      </c>
      <c r="B288" s="853">
        <v>6</v>
      </c>
      <c r="C288" s="811"/>
      <c r="D288" s="811"/>
      <c r="E288" s="811"/>
      <c r="F288" s="811"/>
      <c r="G288" s="811">
        <v>169</v>
      </c>
      <c r="H288" s="811">
        <v>208</v>
      </c>
      <c r="I288" s="811">
        <v>287</v>
      </c>
      <c r="J288" s="811">
        <v>0</v>
      </c>
      <c r="K288" s="811"/>
      <c r="L288" s="811"/>
      <c r="M288" s="811">
        <v>178</v>
      </c>
      <c r="N288" s="811">
        <v>240</v>
      </c>
      <c r="O288" s="811">
        <v>216</v>
      </c>
      <c r="P288" s="811">
        <v>0</v>
      </c>
      <c r="Q288" s="819"/>
      <c r="R288" s="811"/>
      <c r="S288" s="811"/>
      <c r="T288" s="811"/>
      <c r="U288" s="811"/>
      <c r="V288" s="811"/>
      <c r="W288" s="801">
        <f t="shared" si="55"/>
        <v>1298</v>
      </c>
      <c r="Y288" s="9">
        <f t="shared" si="56"/>
        <v>1298</v>
      </c>
      <c r="AA288" s="825" t="e">
        <f>'CHAM CONG'!BA313</f>
        <v>#N/A</v>
      </c>
      <c r="AB288" s="825" t="e">
        <f>'CHAM CONG'!BB313</f>
        <v>#N/A</v>
      </c>
      <c r="AC288" s="825" t="e">
        <f>'CHAM CONG'!BC313</f>
        <v>#N/A</v>
      </c>
      <c r="AD288" s="825" t="e">
        <f>'CHAM CONG'!BD313</f>
        <v>#N/A</v>
      </c>
      <c r="AE288" s="824">
        <f t="shared" si="47"/>
        <v>571.12</v>
      </c>
      <c r="AF288" s="798">
        <f t="shared" si="65"/>
        <v>448</v>
      </c>
      <c r="AG288" s="831">
        <f t="shared" si="66"/>
        <v>503</v>
      </c>
      <c r="AH288" s="9">
        <f t="shared" si="67"/>
        <v>347</v>
      </c>
      <c r="AJ288" s="833">
        <f t="shared" si="53"/>
        <v>1298</v>
      </c>
      <c r="AM288" s="863">
        <f t="shared" si="68"/>
        <v>1298</v>
      </c>
      <c r="AN288" s="862"/>
      <c r="AO288" s="9">
        <f t="shared" si="58"/>
        <v>1298</v>
      </c>
      <c r="AP288" s="871">
        <f t="shared" si="59"/>
        <v>571.12</v>
      </c>
      <c r="AQ288" s="871">
        <f t="shared" si="60"/>
        <v>0</v>
      </c>
      <c r="AU288" s="9">
        <f t="shared" si="54"/>
        <v>0</v>
      </c>
    </row>
    <row r="289" spans="1:47" s="9" customFormat="1">
      <c r="A289" s="794">
        <v>237</v>
      </c>
      <c r="B289" s="853">
        <v>6</v>
      </c>
      <c r="C289" s="811"/>
      <c r="D289" s="811"/>
      <c r="E289" s="811"/>
      <c r="F289" s="811"/>
      <c r="G289" s="811">
        <v>105</v>
      </c>
      <c r="H289" s="811">
        <v>232</v>
      </c>
      <c r="I289" s="811">
        <v>206</v>
      </c>
      <c r="J289" s="811">
        <v>0</v>
      </c>
      <c r="K289" s="811"/>
      <c r="L289" s="811"/>
      <c r="M289" s="811">
        <v>194</v>
      </c>
      <c r="N289" s="811">
        <v>152</v>
      </c>
      <c r="O289" s="811">
        <v>251</v>
      </c>
      <c r="P289" s="811">
        <v>0</v>
      </c>
      <c r="Q289" s="819"/>
      <c r="R289" s="811"/>
      <c r="S289" s="811"/>
      <c r="T289" s="811"/>
      <c r="U289" s="811"/>
      <c r="V289" s="811"/>
      <c r="W289" s="801">
        <f t="shared" si="55"/>
        <v>1140</v>
      </c>
      <c r="Y289" s="9">
        <f t="shared" si="56"/>
        <v>1140</v>
      </c>
      <c r="AA289" s="825" t="e">
        <f>'CHAM CONG'!#REF!</f>
        <v>#REF!</v>
      </c>
      <c r="AB289" s="825" t="e">
        <f>'CHAM CONG'!#REF!</f>
        <v>#REF!</v>
      </c>
      <c r="AC289" s="825" t="e">
        <f>'CHAM CONG'!#REF!</f>
        <v>#REF!</v>
      </c>
      <c r="AD289" s="825" t="e">
        <f>'CHAM CONG'!#REF!</f>
        <v>#REF!</v>
      </c>
      <c r="AE289" s="824">
        <f t="shared" si="47"/>
        <v>501.6</v>
      </c>
      <c r="AF289" s="798">
        <f t="shared" si="65"/>
        <v>384</v>
      </c>
      <c r="AG289" s="831">
        <f t="shared" si="66"/>
        <v>457</v>
      </c>
      <c r="AH289" s="9">
        <f t="shared" si="67"/>
        <v>299</v>
      </c>
      <c r="AJ289" s="833">
        <f t="shared" si="53"/>
        <v>1140</v>
      </c>
      <c r="AM289" s="863">
        <f t="shared" si="68"/>
        <v>1140</v>
      </c>
      <c r="AN289" s="862"/>
      <c r="AO289" s="9">
        <f t="shared" si="58"/>
        <v>1140</v>
      </c>
      <c r="AP289" s="871">
        <f t="shared" si="59"/>
        <v>501.6</v>
      </c>
      <c r="AQ289" s="871">
        <f t="shared" si="60"/>
        <v>0</v>
      </c>
      <c r="AU289" s="9">
        <f t="shared" si="54"/>
        <v>0</v>
      </c>
    </row>
    <row r="290" spans="1:47" s="9" customFormat="1">
      <c r="A290" s="794">
        <v>238</v>
      </c>
      <c r="B290" s="853">
        <v>6</v>
      </c>
      <c r="C290" s="811"/>
      <c r="D290" s="811"/>
      <c r="E290" s="811"/>
      <c r="F290" s="811"/>
      <c r="G290" s="811">
        <v>0</v>
      </c>
      <c r="H290" s="811">
        <v>275</v>
      </c>
      <c r="I290" s="811">
        <v>110</v>
      </c>
      <c r="J290" s="811">
        <v>0</v>
      </c>
      <c r="K290" s="811"/>
      <c r="L290" s="811"/>
      <c r="M290" s="811">
        <v>243</v>
      </c>
      <c r="N290" s="811">
        <v>242</v>
      </c>
      <c r="O290" s="811">
        <v>256</v>
      </c>
      <c r="P290" s="811">
        <v>0</v>
      </c>
      <c r="Q290" s="819"/>
      <c r="R290" s="811"/>
      <c r="S290" s="811"/>
      <c r="T290" s="811"/>
      <c r="U290" s="811"/>
      <c r="V290" s="811"/>
      <c r="W290" s="801">
        <f t="shared" si="55"/>
        <v>1126</v>
      </c>
      <c r="Y290" s="9">
        <f t="shared" si="56"/>
        <v>1126</v>
      </c>
      <c r="AA290" s="825" t="e">
        <f>'CHAM CONG'!#REF!</f>
        <v>#REF!</v>
      </c>
      <c r="AB290" s="825" t="e">
        <f>'CHAM CONG'!#REF!</f>
        <v>#REF!</v>
      </c>
      <c r="AC290" s="825" t="e">
        <f>'CHAM CONG'!#REF!</f>
        <v>#REF!</v>
      </c>
      <c r="AD290" s="825" t="e">
        <f>'CHAM CONG'!#REF!</f>
        <v>#REF!</v>
      </c>
      <c r="AE290" s="824">
        <f t="shared" si="47"/>
        <v>495.44</v>
      </c>
      <c r="AF290" s="798">
        <f t="shared" si="65"/>
        <v>517</v>
      </c>
      <c r="AG290" s="831">
        <f t="shared" si="66"/>
        <v>366</v>
      </c>
      <c r="AH290" s="9">
        <f t="shared" si="67"/>
        <v>243</v>
      </c>
      <c r="AJ290" s="833">
        <f t="shared" si="53"/>
        <v>1126</v>
      </c>
      <c r="AM290" s="863">
        <f t="shared" si="68"/>
        <v>1126</v>
      </c>
      <c r="AN290" s="862"/>
      <c r="AO290" s="9">
        <f t="shared" si="58"/>
        <v>1126</v>
      </c>
      <c r="AP290" s="871">
        <f t="shared" si="59"/>
        <v>495.44</v>
      </c>
      <c r="AQ290" s="871">
        <f t="shared" si="60"/>
        <v>0</v>
      </c>
      <c r="AU290" s="9">
        <f t="shared" si="54"/>
        <v>0</v>
      </c>
    </row>
    <row r="291" spans="1:47" s="9" customFormat="1">
      <c r="A291" s="794">
        <v>239</v>
      </c>
      <c r="B291" s="853">
        <v>6</v>
      </c>
      <c r="C291" s="811"/>
      <c r="D291" s="811"/>
      <c r="E291" s="811"/>
      <c r="F291" s="811"/>
      <c r="G291" s="811">
        <v>90</v>
      </c>
      <c r="H291" s="811">
        <v>165</v>
      </c>
      <c r="I291" s="811">
        <v>241</v>
      </c>
      <c r="J291" s="811">
        <v>0</v>
      </c>
      <c r="K291" s="811"/>
      <c r="L291" s="811"/>
      <c r="M291" s="811">
        <v>165</v>
      </c>
      <c r="N291" s="811">
        <v>217</v>
      </c>
      <c r="O291" s="811">
        <v>134</v>
      </c>
      <c r="P291" s="811">
        <v>122</v>
      </c>
      <c r="Q291" s="819"/>
      <c r="R291" s="811"/>
      <c r="S291" s="811"/>
      <c r="T291" s="811"/>
      <c r="U291" s="811"/>
      <c r="V291" s="811"/>
      <c r="W291" s="801">
        <f t="shared" si="55"/>
        <v>1134</v>
      </c>
      <c r="Y291" s="9">
        <f t="shared" si="56"/>
        <v>1134</v>
      </c>
      <c r="AA291" s="825" t="e">
        <f>'CHAM CONG'!#REF!</f>
        <v>#REF!</v>
      </c>
      <c r="AB291" s="825" t="e">
        <f>'CHAM CONG'!#REF!</f>
        <v>#REF!</v>
      </c>
      <c r="AC291" s="825" t="e">
        <f>'CHAM CONG'!#REF!</f>
        <v>#REF!</v>
      </c>
      <c r="AD291" s="825" t="e">
        <f>'CHAM CONG'!#REF!</f>
        <v>#REF!</v>
      </c>
      <c r="AE291" s="824">
        <f t="shared" si="47"/>
        <v>498.96</v>
      </c>
      <c r="AF291" s="798">
        <f t="shared" si="65"/>
        <v>382</v>
      </c>
      <c r="AG291" s="831">
        <f t="shared" si="66"/>
        <v>497</v>
      </c>
      <c r="AH291" s="9">
        <f t="shared" si="67"/>
        <v>255</v>
      </c>
      <c r="AJ291" s="833">
        <f t="shared" si="53"/>
        <v>1134</v>
      </c>
      <c r="AM291" s="863">
        <f t="shared" si="68"/>
        <v>1134</v>
      </c>
      <c r="AN291" s="862"/>
      <c r="AO291" s="9">
        <f t="shared" si="58"/>
        <v>1134</v>
      </c>
      <c r="AP291" s="871">
        <f t="shared" si="59"/>
        <v>498.96</v>
      </c>
      <c r="AQ291" s="871">
        <f t="shared" si="60"/>
        <v>0</v>
      </c>
      <c r="AU291" s="9">
        <f t="shared" si="54"/>
        <v>0</v>
      </c>
    </row>
    <row r="292" spans="1:47" s="9" customFormat="1">
      <c r="A292" s="794">
        <v>240</v>
      </c>
      <c r="B292" s="853">
        <v>6</v>
      </c>
      <c r="C292" s="811"/>
      <c r="D292" s="811"/>
      <c r="E292" s="811"/>
      <c r="F292" s="811"/>
      <c r="G292" s="811">
        <v>184</v>
      </c>
      <c r="H292" s="811">
        <v>109</v>
      </c>
      <c r="I292" s="811">
        <v>211</v>
      </c>
      <c r="J292" s="811">
        <v>0</v>
      </c>
      <c r="K292" s="811"/>
      <c r="L292" s="811"/>
      <c r="M292" s="811">
        <v>169</v>
      </c>
      <c r="N292" s="811">
        <v>251</v>
      </c>
      <c r="O292" s="811">
        <v>265</v>
      </c>
      <c r="P292" s="811">
        <v>0</v>
      </c>
      <c r="Q292" s="819"/>
      <c r="R292" s="811"/>
      <c r="S292" s="811"/>
      <c r="T292" s="811"/>
      <c r="U292" s="811"/>
      <c r="V292" s="811"/>
      <c r="W292" s="801">
        <f t="shared" si="55"/>
        <v>1189</v>
      </c>
      <c r="Y292" s="9">
        <f t="shared" si="56"/>
        <v>1189</v>
      </c>
      <c r="AA292" s="825" t="e">
        <f>'CHAM CONG'!#REF!</f>
        <v>#REF!</v>
      </c>
      <c r="AB292" s="825" t="e">
        <f>'CHAM CONG'!#REF!</f>
        <v>#REF!</v>
      </c>
      <c r="AC292" s="825" t="e">
        <f>'CHAM CONG'!#REF!</f>
        <v>#REF!</v>
      </c>
      <c r="AD292" s="825" t="e">
        <f>'CHAM CONG'!#REF!</f>
        <v>#REF!</v>
      </c>
      <c r="AE292" s="824">
        <f t="shared" si="47"/>
        <v>523.16</v>
      </c>
      <c r="AF292" s="798">
        <f t="shared" si="65"/>
        <v>360</v>
      </c>
      <c r="AG292" s="831">
        <f t="shared" si="66"/>
        <v>476</v>
      </c>
      <c r="AH292" s="9">
        <f t="shared" si="67"/>
        <v>353</v>
      </c>
      <c r="AJ292" s="833">
        <f t="shared" si="53"/>
        <v>1189</v>
      </c>
      <c r="AM292" s="863">
        <f t="shared" si="68"/>
        <v>1189</v>
      </c>
      <c r="AN292" s="862"/>
      <c r="AO292" s="9">
        <f t="shared" si="58"/>
        <v>1189</v>
      </c>
      <c r="AP292" s="871">
        <f t="shared" si="59"/>
        <v>523.16</v>
      </c>
      <c r="AQ292" s="871">
        <f t="shared" si="60"/>
        <v>0</v>
      </c>
      <c r="AU292" s="9">
        <f t="shared" si="54"/>
        <v>0</v>
      </c>
    </row>
    <row r="293" spans="1:47" s="9" customFormat="1">
      <c r="A293" s="854">
        <v>241</v>
      </c>
      <c r="B293" s="853">
        <v>6</v>
      </c>
      <c r="C293" s="811"/>
      <c r="D293" s="811"/>
      <c r="E293" s="811"/>
      <c r="F293" s="811"/>
      <c r="G293" s="811">
        <v>0</v>
      </c>
      <c r="H293" s="811">
        <v>239</v>
      </c>
      <c r="I293" s="811">
        <v>0</v>
      </c>
      <c r="J293" s="811">
        <v>132</v>
      </c>
      <c r="K293" s="811"/>
      <c r="L293" s="811"/>
      <c r="M293" s="811">
        <v>276</v>
      </c>
      <c r="N293" s="811">
        <v>138</v>
      </c>
      <c r="O293" s="811">
        <v>110</v>
      </c>
      <c r="P293" s="811">
        <v>0</v>
      </c>
      <c r="Q293" s="819"/>
      <c r="R293" s="811"/>
      <c r="S293" s="811"/>
      <c r="T293" s="811"/>
      <c r="U293" s="811"/>
      <c r="V293" s="811"/>
      <c r="W293" s="801">
        <f t="shared" si="55"/>
        <v>895</v>
      </c>
      <c r="Y293" s="9">
        <f t="shared" si="56"/>
        <v>895</v>
      </c>
      <c r="AA293" s="825" t="e">
        <f>'CHAM CONG'!#REF!</f>
        <v>#REF!</v>
      </c>
      <c r="AB293" s="825" t="e">
        <f>'CHAM CONG'!#REF!</f>
        <v>#REF!</v>
      </c>
      <c r="AC293" s="825" t="e">
        <f>'CHAM CONG'!#REF!</f>
        <v>#REF!</v>
      </c>
      <c r="AD293" s="825" t="e">
        <f>'CHAM CONG'!#REF!</f>
        <v>#REF!</v>
      </c>
      <c r="AE293" s="824">
        <f t="shared" si="47"/>
        <v>393.8</v>
      </c>
      <c r="AF293" s="798">
        <f t="shared" si="65"/>
        <v>377</v>
      </c>
      <c r="AG293" s="864">
        <f t="shared" si="66"/>
        <v>242</v>
      </c>
      <c r="AH293" s="862">
        <f t="shared" si="67"/>
        <v>276</v>
      </c>
      <c r="AJ293" s="833">
        <f t="shared" si="53"/>
        <v>895</v>
      </c>
      <c r="AM293" s="863">
        <f>AF293</f>
        <v>377</v>
      </c>
      <c r="AN293" s="864">
        <f>AG293+AH293</f>
        <v>518</v>
      </c>
      <c r="AO293" s="9">
        <f t="shared" si="58"/>
        <v>895</v>
      </c>
      <c r="AP293" s="871">
        <f t="shared" si="59"/>
        <v>165.88</v>
      </c>
      <c r="AQ293" s="871">
        <f t="shared" si="60"/>
        <v>227.92</v>
      </c>
      <c r="AU293" s="9">
        <f t="shared" si="54"/>
        <v>0</v>
      </c>
    </row>
    <row r="294" spans="1:47" s="9" customFormat="1">
      <c r="A294" s="854">
        <v>242</v>
      </c>
      <c r="B294" s="853">
        <v>6</v>
      </c>
      <c r="C294" s="811"/>
      <c r="D294" s="811"/>
      <c r="E294" s="811"/>
      <c r="F294" s="811"/>
      <c r="G294" s="811">
        <v>0</v>
      </c>
      <c r="H294" s="811">
        <v>252</v>
      </c>
      <c r="I294" s="811">
        <v>0</v>
      </c>
      <c r="J294" s="811">
        <v>146</v>
      </c>
      <c r="K294" s="811"/>
      <c r="L294" s="811"/>
      <c r="M294" s="811">
        <v>281</v>
      </c>
      <c r="N294" s="811">
        <v>180</v>
      </c>
      <c r="O294" s="811">
        <v>119</v>
      </c>
      <c r="P294" s="811">
        <v>0</v>
      </c>
      <c r="Q294" s="819"/>
      <c r="R294" s="811"/>
      <c r="S294" s="811"/>
      <c r="T294" s="811"/>
      <c r="U294" s="811"/>
      <c r="V294" s="811"/>
      <c r="W294" s="801">
        <f t="shared" si="55"/>
        <v>978</v>
      </c>
      <c r="Y294" s="9">
        <f t="shared" si="56"/>
        <v>978</v>
      </c>
      <c r="AA294" s="825" t="e">
        <f>'CHAM CONG'!#REF!</f>
        <v>#REF!</v>
      </c>
      <c r="AB294" s="825" t="e">
        <f>'CHAM CONG'!#REF!</f>
        <v>#REF!</v>
      </c>
      <c r="AC294" s="825" t="e">
        <f>'CHAM CONG'!#REF!</f>
        <v>#REF!</v>
      </c>
      <c r="AD294" s="825" t="e">
        <f>'CHAM CONG'!#REF!</f>
        <v>#REF!</v>
      </c>
      <c r="AE294" s="824">
        <f t="shared" si="47"/>
        <v>430.32</v>
      </c>
      <c r="AF294" s="798">
        <f t="shared" ref="AF294:AF314" si="69">H294+N294</f>
        <v>432</v>
      </c>
      <c r="AG294" s="864">
        <f t="shared" ref="AG294:AG314" si="70">I294+J294+O294+P294</f>
        <v>265</v>
      </c>
      <c r="AH294" s="862">
        <f t="shared" ref="AH294:AH314" si="71">G294+M294</f>
        <v>281</v>
      </c>
      <c r="AJ294" s="833">
        <f t="shared" si="53"/>
        <v>978</v>
      </c>
      <c r="AM294" s="863">
        <f t="shared" ref="AM294:AM314" si="72">AF294</f>
        <v>432</v>
      </c>
      <c r="AN294" s="864">
        <f t="shared" ref="AN294:AN314" si="73">AG294+AH294</f>
        <v>546</v>
      </c>
      <c r="AO294" s="9">
        <f t="shared" si="58"/>
        <v>978</v>
      </c>
      <c r="AP294" s="871">
        <f t="shared" si="59"/>
        <v>190.08</v>
      </c>
      <c r="AQ294" s="871">
        <f t="shared" si="60"/>
        <v>240.24</v>
      </c>
      <c r="AU294" s="9">
        <f t="shared" si="54"/>
        <v>0</v>
      </c>
    </row>
    <row r="295" spans="1:47" s="9" customFormat="1">
      <c r="A295" s="854">
        <v>243</v>
      </c>
      <c r="B295" s="853">
        <v>6</v>
      </c>
      <c r="C295" s="811"/>
      <c r="D295" s="811"/>
      <c r="E295" s="811"/>
      <c r="F295" s="811"/>
      <c r="G295" s="811">
        <v>324</v>
      </c>
      <c r="H295" s="811">
        <v>363</v>
      </c>
      <c r="I295" s="811">
        <v>215</v>
      </c>
      <c r="J295" s="811">
        <v>0</v>
      </c>
      <c r="K295" s="811"/>
      <c r="L295" s="811"/>
      <c r="M295" s="811">
        <v>0</v>
      </c>
      <c r="N295" s="811">
        <v>616</v>
      </c>
      <c r="O295" s="811">
        <v>127</v>
      </c>
      <c r="P295" s="811">
        <v>0</v>
      </c>
      <c r="Q295" s="819"/>
      <c r="R295" s="811"/>
      <c r="S295" s="811"/>
      <c r="T295" s="811"/>
      <c r="U295" s="811"/>
      <c r="V295" s="811"/>
      <c r="W295" s="801">
        <f t="shared" si="55"/>
        <v>1645</v>
      </c>
      <c r="Y295" s="9">
        <f t="shared" si="56"/>
        <v>1645</v>
      </c>
      <c r="AA295" s="825" t="e">
        <f>'CHAM CONG'!#REF!</f>
        <v>#REF!</v>
      </c>
      <c r="AB295" s="825" t="e">
        <f>'CHAM CONG'!#REF!</f>
        <v>#REF!</v>
      </c>
      <c r="AC295" s="825" t="e">
        <f>'CHAM CONG'!#REF!</f>
        <v>#REF!</v>
      </c>
      <c r="AD295" s="825" t="e">
        <f>'CHAM CONG'!#REF!</f>
        <v>#REF!</v>
      </c>
      <c r="AE295" s="824">
        <f t="shared" si="47"/>
        <v>723.8</v>
      </c>
      <c r="AF295" s="798">
        <f t="shared" si="69"/>
        <v>979</v>
      </c>
      <c r="AG295" s="864">
        <f t="shared" si="70"/>
        <v>342</v>
      </c>
      <c r="AH295" s="862">
        <f t="shared" si="71"/>
        <v>324</v>
      </c>
      <c r="AJ295" s="833">
        <f t="shared" si="53"/>
        <v>1645</v>
      </c>
      <c r="AM295" s="863">
        <f t="shared" si="72"/>
        <v>979</v>
      </c>
      <c r="AN295" s="864">
        <f t="shared" si="73"/>
        <v>666</v>
      </c>
      <c r="AO295" s="9">
        <f t="shared" si="58"/>
        <v>1645</v>
      </c>
      <c r="AP295" s="871">
        <f t="shared" si="59"/>
        <v>430.76</v>
      </c>
      <c r="AQ295" s="871">
        <f t="shared" si="60"/>
        <v>293.04000000000002</v>
      </c>
      <c r="AU295" s="9">
        <f t="shared" si="54"/>
        <v>0</v>
      </c>
    </row>
    <row r="296" spans="1:47" s="9" customFormat="1">
      <c r="A296" s="854">
        <v>244</v>
      </c>
      <c r="B296" s="853">
        <v>6</v>
      </c>
      <c r="C296" s="811"/>
      <c r="D296" s="811"/>
      <c r="E296" s="811"/>
      <c r="F296" s="811"/>
      <c r="G296" s="811">
        <v>338</v>
      </c>
      <c r="H296" s="811">
        <v>318</v>
      </c>
      <c r="I296" s="811">
        <v>186</v>
      </c>
      <c r="J296" s="811">
        <v>0</v>
      </c>
      <c r="K296" s="811"/>
      <c r="L296" s="811"/>
      <c r="M296" s="811">
        <v>294</v>
      </c>
      <c r="N296" s="811">
        <v>263</v>
      </c>
      <c r="O296" s="811">
        <v>215</v>
      </c>
      <c r="P296" s="811">
        <v>0</v>
      </c>
      <c r="Q296" s="819"/>
      <c r="R296" s="811"/>
      <c r="S296" s="811"/>
      <c r="T296" s="811"/>
      <c r="U296" s="811"/>
      <c r="V296" s="811"/>
      <c r="W296" s="801">
        <f t="shared" si="55"/>
        <v>1614</v>
      </c>
      <c r="Y296" s="9">
        <f t="shared" si="56"/>
        <v>1614</v>
      </c>
      <c r="AA296" s="825" t="e">
        <f>'CHAM CONG'!#REF!</f>
        <v>#REF!</v>
      </c>
      <c r="AB296" s="825" t="e">
        <f>'CHAM CONG'!#REF!</f>
        <v>#REF!</v>
      </c>
      <c r="AC296" s="825" t="e">
        <f>'CHAM CONG'!#REF!</f>
        <v>#REF!</v>
      </c>
      <c r="AD296" s="825" t="e">
        <f>'CHAM CONG'!#REF!</f>
        <v>#REF!</v>
      </c>
      <c r="AE296" s="824">
        <f t="shared" si="47"/>
        <v>710.16</v>
      </c>
      <c r="AF296" s="798">
        <f t="shared" si="69"/>
        <v>581</v>
      </c>
      <c r="AG296" s="864">
        <f t="shared" si="70"/>
        <v>401</v>
      </c>
      <c r="AH296" s="862">
        <f t="shared" si="71"/>
        <v>632</v>
      </c>
      <c r="AJ296" s="833">
        <f t="shared" si="53"/>
        <v>1614</v>
      </c>
      <c r="AM296" s="863">
        <f t="shared" si="72"/>
        <v>581</v>
      </c>
      <c r="AN296" s="864">
        <f t="shared" si="73"/>
        <v>1033</v>
      </c>
      <c r="AO296" s="9">
        <f t="shared" si="58"/>
        <v>1614</v>
      </c>
      <c r="AP296" s="871">
        <f t="shared" si="59"/>
        <v>255.64</v>
      </c>
      <c r="AQ296" s="871">
        <f t="shared" si="60"/>
        <v>454.52</v>
      </c>
      <c r="AU296" s="9">
        <f t="shared" si="54"/>
        <v>0</v>
      </c>
    </row>
    <row r="297" spans="1:47" s="9" customFormat="1">
      <c r="A297" s="854">
        <v>245</v>
      </c>
      <c r="B297" s="853">
        <v>6</v>
      </c>
      <c r="C297" s="811"/>
      <c r="D297" s="811"/>
      <c r="E297" s="811"/>
      <c r="F297" s="811"/>
      <c r="G297" s="811">
        <v>0</v>
      </c>
      <c r="H297" s="811">
        <v>424</v>
      </c>
      <c r="I297" s="811">
        <v>347</v>
      </c>
      <c r="J297" s="811">
        <v>0</v>
      </c>
      <c r="K297" s="811"/>
      <c r="L297" s="811"/>
      <c r="M297" s="811">
        <v>327</v>
      </c>
      <c r="N297" s="811">
        <v>290</v>
      </c>
      <c r="O297" s="811">
        <v>0</v>
      </c>
      <c r="P297" s="811">
        <v>0</v>
      </c>
      <c r="Q297" s="819"/>
      <c r="R297" s="811"/>
      <c r="S297" s="811"/>
      <c r="T297" s="811"/>
      <c r="U297" s="811"/>
      <c r="V297" s="811"/>
      <c r="W297" s="801">
        <f t="shared" si="55"/>
        <v>1388</v>
      </c>
      <c r="Y297" s="9">
        <f t="shared" si="56"/>
        <v>1388</v>
      </c>
      <c r="AA297" s="825" t="e">
        <f>'CHAM CONG'!#REF!</f>
        <v>#REF!</v>
      </c>
      <c r="AB297" s="825" t="e">
        <f>'CHAM CONG'!#REF!</f>
        <v>#REF!</v>
      </c>
      <c r="AC297" s="825" t="e">
        <f>'CHAM CONG'!#REF!</f>
        <v>#REF!</v>
      </c>
      <c r="AD297" s="825" t="e">
        <f>'CHAM CONG'!#REF!</f>
        <v>#REF!</v>
      </c>
      <c r="AE297" s="824">
        <f t="shared" si="47"/>
        <v>610.72</v>
      </c>
      <c r="AF297" s="798">
        <f t="shared" si="69"/>
        <v>714</v>
      </c>
      <c r="AG297" s="864">
        <f t="shared" si="70"/>
        <v>347</v>
      </c>
      <c r="AH297" s="862">
        <f t="shared" si="71"/>
        <v>327</v>
      </c>
      <c r="AJ297" s="833">
        <f t="shared" si="53"/>
        <v>1388</v>
      </c>
      <c r="AM297" s="863">
        <f t="shared" si="72"/>
        <v>714</v>
      </c>
      <c r="AN297" s="864">
        <f t="shared" si="73"/>
        <v>674</v>
      </c>
      <c r="AO297" s="9">
        <f t="shared" si="58"/>
        <v>1388</v>
      </c>
      <c r="AP297" s="871">
        <f t="shared" si="59"/>
        <v>314.16000000000003</v>
      </c>
      <c r="AQ297" s="871">
        <f t="shared" si="60"/>
        <v>296.56</v>
      </c>
      <c r="AU297" s="9">
        <f t="shared" si="54"/>
        <v>0</v>
      </c>
    </row>
    <row r="298" spans="1:47" s="9" customFormat="1">
      <c r="A298" s="854">
        <v>246</v>
      </c>
      <c r="B298" s="853">
        <v>6</v>
      </c>
      <c r="C298" s="811"/>
      <c r="D298" s="811"/>
      <c r="E298" s="811"/>
      <c r="F298" s="811"/>
      <c r="G298" s="811">
        <v>296</v>
      </c>
      <c r="H298" s="811">
        <v>246</v>
      </c>
      <c r="I298" s="811">
        <v>353</v>
      </c>
      <c r="J298" s="811">
        <v>0</v>
      </c>
      <c r="K298" s="811"/>
      <c r="L298" s="811"/>
      <c r="M298" s="811">
        <v>282</v>
      </c>
      <c r="N298" s="811">
        <v>290</v>
      </c>
      <c r="O298" s="811">
        <v>243</v>
      </c>
      <c r="P298" s="811">
        <v>0</v>
      </c>
      <c r="Q298" s="819"/>
      <c r="R298" s="811"/>
      <c r="S298" s="811"/>
      <c r="T298" s="811"/>
      <c r="U298" s="811"/>
      <c r="V298" s="811"/>
      <c r="W298" s="801">
        <f t="shared" si="55"/>
        <v>1710</v>
      </c>
      <c r="Y298" s="9">
        <f t="shared" si="56"/>
        <v>1710</v>
      </c>
      <c r="AA298" s="825" t="e">
        <f>'CHAM CONG'!#REF!</f>
        <v>#REF!</v>
      </c>
      <c r="AB298" s="825" t="e">
        <f>'CHAM CONG'!#REF!</f>
        <v>#REF!</v>
      </c>
      <c r="AC298" s="825" t="e">
        <f>'CHAM CONG'!#REF!</f>
        <v>#REF!</v>
      </c>
      <c r="AD298" s="825" t="e">
        <f>'CHAM CONG'!#REF!</f>
        <v>#REF!</v>
      </c>
      <c r="AE298" s="824">
        <f t="shared" si="47"/>
        <v>752.4</v>
      </c>
      <c r="AF298" s="798">
        <f t="shared" si="69"/>
        <v>536</v>
      </c>
      <c r="AG298" s="864">
        <f t="shared" si="70"/>
        <v>596</v>
      </c>
      <c r="AH298" s="862">
        <f t="shared" si="71"/>
        <v>578</v>
      </c>
      <c r="AJ298" s="833">
        <f t="shared" si="53"/>
        <v>1710</v>
      </c>
      <c r="AM298" s="863">
        <f t="shared" si="72"/>
        <v>536</v>
      </c>
      <c r="AN298" s="864">
        <f t="shared" si="73"/>
        <v>1174</v>
      </c>
      <c r="AO298" s="9">
        <f t="shared" si="58"/>
        <v>1710</v>
      </c>
      <c r="AP298" s="871">
        <f t="shared" si="59"/>
        <v>235.84</v>
      </c>
      <c r="AQ298" s="871">
        <f t="shared" si="60"/>
        <v>516.55999999999995</v>
      </c>
      <c r="AU298" s="9">
        <f t="shared" si="54"/>
        <v>0</v>
      </c>
    </row>
    <row r="299" spans="1:47" s="9" customFormat="1">
      <c r="A299" s="854">
        <v>247</v>
      </c>
      <c r="B299" s="853">
        <v>6</v>
      </c>
      <c r="C299" s="811"/>
      <c r="D299" s="811"/>
      <c r="E299" s="811"/>
      <c r="F299" s="811"/>
      <c r="G299" s="811">
        <v>290</v>
      </c>
      <c r="H299" s="811">
        <v>245</v>
      </c>
      <c r="I299" s="811">
        <v>395</v>
      </c>
      <c r="J299" s="811">
        <v>0</v>
      </c>
      <c r="K299" s="811"/>
      <c r="L299" s="811"/>
      <c r="M299" s="811">
        <v>289</v>
      </c>
      <c r="N299" s="811">
        <v>291</v>
      </c>
      <c r="O299" s="811">
        <v>249</v>
      </c>
      <c r="P299" s="811">
        <v>0</v>
      </c>
      <c r="Q299" s="819"/>
      <c r="R299" s="811"/>
      <c r="S299" s="811"/>
      <c r="T299" s="811"/>
      <c r="U299" s="811"/>
      <c r="V299" s="811"/>
      <c r="W299" s="801">
        <f t="shared" si="55"/>
        <v>1759</v>
      </c>
      <c r="Y299" s="9">
        <f t="shared" si="56"/>
        <v>1759</v>
      </c>
      <c r="AA299" s="825" t="e">
        <f>'CHAM CONG'!#REF!</f>
        <v>#REF!</v>
      </c>
      <c r="AB299" s="825" t="e">
        <f>'CHAM CONG'!#REF!</f>
        <v>#REF!</v>
      </c>
      <c r="AC299" s="825" t="e">
        <f>'CHAM CONG'!#REF!</f>
        <v>#REF!</v>
      </c>
      <c r="AD299" s="825" t="e">
        <f>'CHAM CONG'!#REF!</f>
        <v>#REF!</v>
      </c>
      <c r="AE299" s="824">
        <f t="shared" si="47"/>
        <v>773.96</v>
      </c>
      <c r="AF299" s="798">
        <f t="shared" si="69"/>
        <v>536</v>
      </c>
      <c r="AG299" s="864">
        <f t="shared" si="70"/>
        <v>644</v>
      </c>
      <c r="AH299" s="862">
        <f t="shared" si="71"/>
        <v>579</v>
      </c>
      <c r="AJ299" s="833">
        <f t="shared" si="53"/>
        <v>1759</v>
      </c>
      <c r="AM299" s="863">
        <f t="shared" si="72"/>
        <v>536</v>
      </c>
      <c r="AN299" s="864">
        <f t="shared" si="73"/>
        <v>1223</v>
      </c>
      <c r="AO299" s="9">
        <f t="shared" si="58"/>
        <v>1759</v>
      </c>
      <c r="AP299" s="871">
        <f t="shared" si="59"/>
        <v>235.84</v>
      </c>
      <c r="AQ299" s="872">
        <f t="shared" si="60"/>
        <v>538.12</v>
      </c>
      <c r="AU299" s="9">
        <f t="shared" si="54"/>
        <v>0</v>
      </c>
    </row>
    <row r="300" spans="1:47" s="9" customFormat="1">
      <c r="A300" s="854">
        <v>248</v>
      </c>
      <c r="B300" s="853">
        <v>6</v>
      </c>
      <c r="C300" s="811"/>
      <c r="D300" s="811"/>
      <c r="E300" s="811"/>
      <c r="F300" s="811"/>
      <c r="G300" s="811">
        <v>274</v>
      </c>
      <c r="H300" s="811">
        <v>337</v>
      </c>
      <c r="I300" s="811">
        <v>276</v>
      </c>
      <c r="J300" s="811">
        <v>0</v>
      </c>
      <c r="K300" s="811"/>
      <c r="L300" s="811"/>
      <c r="M300" s="811">
        <v>0</v>
      </c>
      <c r="N300" s="811">
        <v>515</v>
      </c>
      <c r="O300" s="811">
        <v>113</v>
      </c>
      <c r="P300" s="811">
        <v>0</v>
      </c>
      <c r="Q300" s="819"/>
      <c r="R300" s="811"/>
      <c r="S300" s="811"/>
      <c r="T300" s="811"/>
      <c r="U300" s="811"/>
      <c r="V300" s="811"/>
      <c r="W300" s="801">
        <f t="shared" si="55"/>
        <v>1515</v>
      </c>
      <c r="Y300" s="9">
        <f t="shared" si="56"/>
        <v>1515</v>
      </c>
      <c r="AA300" s="825" t="e">
        <f>'CHAM CONG'!#REF!</f>
        <v>#REF!</v>
      </c>
      <c r="AB300" s="825" t="e">
        <f>'CHAM CONG'!#REF!</f>
        <v>#REF!</v>
      </c>
      <c r="AC300" s="825" t="e">
        <f>'CHAM CONG'!#REF!</f>
        <v>#REF!</v>
      </c>
      <c r="AD300" s="825" t="e">
        <f>'CHAM CONG'!#REF!</f>
        <v>#REF!</v>
      </c>
      <c r="AE300" s="824">
        <f t="shared" si="47"/>
        <v>666.6</v>
      </c>
      <c r="AF300" s="798">
        <f t="shared" si="69"/>
        <v>852</v>
      </c>
      <c r="AG300" s="864">
        <f t="shared" si="70"/>
        <v>389</v>
      </c>
      <c r="AH300" s="862">
        <f t="shared" si="71"/>
        <v>274</v>
      </c>
      <c r="AJ300" s="833">
        <f t="shared" si="53"/>
        <v>1515</v>
      </c>
      <c r="AM300" s="863">
        <f t="shared" si="72"/>
        <v>852</v>
      </c>
      <c r="AN300" s="864">
        <f t="shared" si="73"/>
        <v>663</v>
      </c>
      <c r="AO300" s="9">
        <f t="shared" si="58"/>
        <v>1515</v>
      </c>
      <c r="AP300" s="871">
        <f t="shared" si="59"/>
        <v>374.88</v>
      </c>
      <c r="AQ300" s="871">
        <f t="shared" si="60"/>
        <v>291.72000000000003</v>
      </c>
      <c r="AU300" s="9">
        <f t="shared" si="54"/>
        <v>0</v>
      </c>
    </row>
    <row r="301" spans="1:47" s="9" customFormat="1">
      <c r="A301" s="854">
        <v>249</v>
      </c>
      <c r="B301" s="853">
        <v>6</v>
      </c>
      <c r="C301" s="811"/>
      <c r="D301" s="811"/>
      <c r="E301" s="811"/>
      <c r="F301" s="811"/>
      <c r="G301" s="811">
        <v>324</v>
      </c>
      <c r="H301" s="811">
        <v>281</v>
      </c>
      <c r="I301" s="811">
        <v>397</v>
      </c>
      <c r="J301" s="811">
        <v>0</v>
      </c>
      <c r="K301" s="811"/>
      <c r="L301" s="811"/>
      <c r="M301" s="811">
        <v>317</v>
      </c>
      <c r="N301" s="811">
        <v>313</v>
      </c>
      <c r="O301" s="811">
        <v>299</v>
      </c>
      <c r="P301" s="811">
        <v>0</v>
      </c>
      <c r="Q301" s="819"/>
      <c r="R301" s="811"/>
      <c r="S301" s="811"/>
      <c r="T301" s="811"/>
      <c r="U301" s="811"/>
      <c r="V301" s="811"/>
      <c r="W301" s="801">
        <f t="shared" ref="W301:W314" si="74">SUM(C301:V301)</f>
        <v>1931</v>
      </c>
      <c r="Y301" s="9">
        <f t="shared" ref="Y301:Y314" si="75">W301-X301</f>
        <v>1931</v>
      </c>
      <c r="AA301" s="825" t="e">
        <f>'CHAM CONG'!#REF!</f>
        <v>#REF!</v>
      </c>
      <c r="AB301" s="825" t="e">
        <f>'CHAM CONG'!#REF!</f>
        <v>#REF!</v>
      </c>
      <c r="AC301" s="825" t="e">
        <f>'CHAM CONG'!#REF!</f>
        <v>#REF!</v>
      </c>
      <c r="AD301" s="825" t="e">
        <f>'CHAM CONG'!#REF!</f>
        <v>#REF!</v>
      </c>
      <c r="AE301" s="824">
        <f t="shared" si="47"/>
        <v>849.64</v>
      </c>
      <c r="AF301" s="798">
        <f t="shared" si="69"/>
        <v>594</v>
      </c>
      <c r="AG301" s="864">
        <f t="shared" si="70"/>
        <v>696</v>
      </c>
      <c r="AH301" s="862">
        <f t="shared" si="71"/>
        <v>641</v>
      </c>
      <c r="AJ301" s="833">
        <f t="shared" si="53"/>
        <v>1931</v>
      </c>
      <c r="AM301" s="863">
        <f t="shared" si="72"/>
        <v>594</v>
      </c>
      <c r="AN301" s="864">
        <f t="shared" si="73"/>
        <v>1337</v>
      </c>
      <c r="AO301" s="9">
        <f t="shared" si="58"/>
        <v>1931</v>
      </c>
      <c r="AP301" s="871">
        <f t="shared" si="59"/>
        <v>261.36</v>
      </c>
      <c r="AQ301" s="871">
        <f t="shared" si="60"/>
        <v>588.28</v>
      </c>
    </row>
    <row r="302" spans="1:47" s="9" customFormat="1">
      <c r="A302" s="854">
        <v>250</v>
      </c>
      <c r="B302" s="853">
        <v>6</v>
      </c>
      <c r="C302" s="811"/>
      <c r="D302" s="811"/>
      <c r="E302" s="811"/>
      <c r="F302" s="811"/>
      <c r="G302" s="811">
        <v>281</v>
      </c>
      <c r="H302" s="811">
        <v>313</v>
      </c>
      <c r="I302" s="811">
        <v>0</v>
      </c>
      <c r="J302" s="811">
        <v>0</v>
      </c>
      <c r="K302" s="811"/>
      <c r="L302" s="811"/>
      <c r="M302" s="811">
        <v>260</v>
      </c>
      <c r="N302" s="811">
        <v>346</v>
      </c>
      <c r="O302" s="811">
        <v>182</v>
      </c>
      <c r="P302" s="811">
        <v>0</v>
      </c>
      <c r="Q302" s="819"/>
      <c r="R302" s="811"/>
      <c r="S302" s="811"/>
      <c r="T302" s="811"/>
      <c r="U302" s="811"/>
      <c r="V302" s="811"/>
      <c r="W302" s="801">
        <f t="shared" si="74"/>
        <v>1382</v>
      </c>
      <c r="Y302" s="9">
        <f t="shared" si="75"/>
        <v>1382</v>
      </c>
      <c r="AA302" s="825" t="e">
        <f>'CHAM CONG'!#REF!</f>
        <v>#REF!</v>
      </c>
      <c r="AB302" s="825" t="e">
        <f>'CHAM CONG'!#REF!</f>
        <v>#REF!</v>
      </c>
      <c r="AC302" s="825" t="e">
        <f>'CHAM CONG'!#REF!</f>
        <v>#REF!</v>
      </c>
      <c r="AD302" s="825" t="e">
        <f>'CHAM CONG'!#REF!</f>
        <v>#REF!</v>
      </c>
      <c r="AE302" s="824">
        <f t="shared" si="47"/>
        <v>608.08000000000004</v>
      </c>
      <c r="AF302" s="798">
        <f t="shared" si="69"/>
        <v>659</v>
      </c>
      <c r="AG302" s="864">
        <f t="shared" si="70"/>
        <v>182</v>
      </c>
      <c r="AH302" s="862">
        <f t="shared" si="71"/>
        <v>541</v>
      </c>
      <c r="AJ302" s="833">
        <f t="shared" si="53"/>
        <v>1382</v>
      </c>
      <c r="AM302" s="863">
        <f t="shared" si="72"/>
        <v>659</v>
      </c>
      <c r="AN302" s="864">
        <f t="shared" si="73"/>
        <v>723</v>
      </c>
      <c r="AO302" s="9">
        <f t="shared" si="58"/>
        <v>1382</v>
      </c>
      <c r="AP302" s="871">
        <f t="shared" si="59"/>
        <v>289.95999999999998</v>
      </c>
      <c r="AQ302" s="871">
        <f t="shared" si="60"/>
        <v>318.12</v>
      </c>
    </row>
    <row r="303" spans="1:47" s="9" customFormat="1">
      <c r="A303" s="854">
        <v>499</v>
      </c>
      <c r="B303" s="853">
        <v>6</v>
      </c>
      <c r="C303" s="811"/>
      <c r="D303" s="811"/>
      <c r="E303" s="811"/>
      <c r="F303" s="811"/>
      <c r="G303" s="811">
        <v>148</v>
      </c>
      <c r="H303" s="811">
        <v>533</v>
      </c>
      <c r="I303" s="811">
        <v>258</v>
      </c>
      <c r="J303" s="811">
        <v>0</v>
      </c>
      <c r="K303" s="811"/>
      <c r="L303" s="811"/>
      <c r="M303" s="811">
        <v>0</v>
      </c>
      <c r="N303" s="811">
        <v>454</v>
      </c>
      <c r="O303" s="811">
        <v>271</v>
      </c>
      <c r="P303" s="811">
        <v>0</v>
      </c>
      <c r="Q303" s="819"/>
      <c r="R303" s="811"/>
      <c r="S303" s="811"/>
      <c r="T303" s="811"/>
      <c r="U303" s="811"/>
      <c r="V303" s="811"/>
      <c r="W303" s="801">
        <f t="shared" si="74"/>
        <v>1664</v>
      </c>
      <c r="Y303" s="9">
        <f t="shared" si="75"/>
        <v>1664</v>
      </c>
      <c r="AA303" s="825" t="e">
        <f>'CHAM CONG'!#REF!</f>
        <v>#REF!</v>
      </c>
      <c r="AB303" s="825" t="e">
        <f>'CHAM CONG'!#REF!</f>
        <v>#REF!</v>
      </c>
      <c r="AC303" s="825" t="e">
        <f>'CHAM CONG'!#REF!</f>
        <v>#REF!</v>
      </c>
      <c r="AD303" s="825" t="e">
        <f>'CHAM CONG'!#REF!</f>
        <v>#REF!</v>
      </c>
      <c r="AE303" s="824">
        <f t="shared" si="47"/>
        <v>732.16</v>
      </c>
      <c r="AF303" s="798">
        <f t="shared" si="69"/>
        <v>987</v>
      </c>
      <c r="AG303" s="864">
        <f t="shared" si="70"/>
        <v>529</v>
      </c>
      <c r="AH303" s="862">
        <f t="shared" si="71"/>
        <v>148</v>
      </c>
      <c r="AJ303" s="833">
        <f t="shared" si="53"/>
        <v>1664</v>
      </c>
      <c r="AM303" s="863">
        <f t="shared" si="72"/>
        <v>987</v>
      </c>
      <c r="AN303" s="864">
        <f t="shared" si="73"/>
        <v>677</v>
      </c>
      <c r="AO303" s="9">
        <f t="shared" si="58"/>
        <v>1664</v>
      </c>
      <c r="AP303" s="871">
        <f t="shared" si="59"/>
        <v>434.28</v>
      </c>
      <c r="AQ303" s="871">
        <f t="shared" si="60"/>
        <v>297.88</v>
      </c>
    </row>
    <row r="304" spans="1:47" s="9" customFormat="1">
      <c r="A304" s="854">
        <v>500</v>
      </c>
      <c r="B304" s="853">
        <v>6</v>
      </c>
      <c r="C304" s="811"/>
      <c r="D304" s="811"/>
      <c r="E304" s="811"/>
      <c r="F304" s="811"/>
      <c r="G304" s="811">
        <v>260</v>
      </c>
      <c r="H304" s="811">
        <v>404</v>
      </c>
      <c r="I304" s="811">
        <v>229</v>
      </c>
      <c r="J304" s="811">
        <v>0</v>
      </c>
      <c r="K304" s="811"/>
      <c r="L304" s="811"/>
      <c r="M304" s="811">
        <v>271</v>
      </c>
      <c r="N304" s="811">
        <v>276</v>
      </c>
      <c r="O304" s="811">
        <v>307</v>
      </c>
      <c r="P304" s="811">
        <v>0</v>
      </c>
      <c r="Q304" s="819"/>
      <c r="R304" s="811"/>
      <c r="S304" s="811"/>
      <c r="T304" s="811"/>
      <c r="U304" s="811"/>
      <c r="V304" s="811"/>
      <c r="W304" s="801">
        <f t="shared" si="74"/>
        <v>1747</v>
      </c>
      <c r="Y304" s="9">
        <f t="shared" si="75"/>
        <v>1747</v>
      </c>
      <c r="AA304" s="825" t="e">
        <f>'CHAM CONG'!#REF!</f>
        <v>#REF!</v>
      </c>
      <c r="AB304" s="825" t="e">
        <f>'CHAM CONG'!#REF!</f>
        <v>#REF!</v>
      </c>
      <c r="AC304" s="825" t="e">
        <f>'CHAM CONG'!#REF!</f>
        <v>#REF!</v>
      </c>
      <c r="AD304" s="825" t="e">
        <f>'CHAM CONG'!#REF!</f>
        <v>#REF!</v>
      </c>
      <c r="AE304" s="824">
        <f t="shared" si="47"/>
        <v>768.68</v>
      </c>
      <c r="AF304" s="798">
        <f t="shared" si="69"/>
        <v>680</v>
      </c>
      <c r="AG304" s="864">
        <f t="shared" si="70"/>
        <v>536</v>
      </c>
      <c r="AH304" s="862">
        <f t="shared" si="71"/>
        <v>531</v>
      </c>
      <c r="AJ304" s="833">
        <f t="shared" si="53"/>
        <v>1747</v>
      </c>
      <c r="AM304" s="863">
        <f t="shared" si="72"/>
        <v>680</v>
      </c>
      <c r="AN304" s="864">
        <f t="shared" si="73"/>
        <v>1067</v>
      </c>
      <c r="AO304" s="9">
        <f t="shared" si="58"/>
        <v>1747</v>
      </c>
      <c r="AP304" s="871">
        <f t="shared" si="59"/>
        <v>299.2</v>
      </c>
      <c r="AQ304" s="871">
        <f t="shared" si="60"/>
        <v>469.48</v>
      </c>
    </row>
    <row r="305" spans="1:46" s="9" customFormat="1">
      <c r="A305" s="854">
        <v>501</v>
      </c>
      <c r="B305" s="853">
        <v>6</v>
      </c>
      <c r="C305" s="811"/>
      <c r="D305" s="811"/>
      <c r="E305" s="811"/>
      <c r="F305" s="811"/>
      <c r="G305" s="811">
        <v>245</v>
      </c>
      <c r="H305" s="811">
        <v>221</v>
      </c>
      <c r="I305" s="811">
        <v>343</v>
      </c>
      <c r="J305" s="811">
        <v>0</v>
      </c>
      <c r="K305" s="811"/>
      <c r="L305" s="811"/>
      <c r="M305" s="811">
        <v>240</v>
      </c>
      <c r="N305" s="811">
        <v>313</v>
      </c>
      <c r="O305" s="811">
        <v>325</v>
      </c>
      <c r="P305" s="811">
        <v>0</v>
      </c>
      <c r="Q305" s="819"/>
      <c r="R305" s="811"/>
      <c r="S305" s="811"/>
      <c r="T305" s="811"/>
      <c r="U305" s="811"/>
      <c r="V305" s="811"/>
      <c r="W305" s="801">
        <f t="shared" si="74"/>
        <v>1687</v>
      </c>
      <c r="Y305" s="9">
        <f t="shared" si="75"/>
        <v>1687</v>
      </c>
      <c r="AA305" s="825" t="e">
        <f>'CHAM CONG'!#REF!</f>
        <v>#REF!</v>
      </c>
      <c r="AB305" s="825" t="e">
        <f>'CHAM CONG'!#REF!</f>
        <v>#REF!</v>
      </c>
      <c r="AC305" s="825" t="e">
        <f>'CHAM CONG'!#REF!</f>
        <v>#REF!</v>
      </c>
      <c r="AD305" s="825" t="e">
        <f>'CHAM CONG'!#REF!</f>
        <v>#REF!</v>
      </c>
      <c r="AE305" s="824">
        <f t="shared" si="47"/>
        <v>742.28</v>
      </c>
      <c r="AF305" s="798">
        <f t="shared" si="69"/>
        <v>534</v>
      </c>
      <c r="AG305" s="864">
        <f t="shared" si="70"/>
        <v>668</v>
      </c>
      <c r="AH305" s="862">
        <f t="shared" si="71"/>
        <v>485</v>
      </c>
      <c r="AJ305" s="833">
        <f t="shared" si="53"/>
        <v>1687</v>
      </c>
      <c r="AM305" s="863">
        <f t="shared" si="72"/>
        <v>534</v>
      </c>
      <c r="AN305" s="864">
        <f t="shared" si="73"/>
        <v>1153</v>
      </c>
      <c r="AO305" s="9">
        <f t="shared" si="58"/>
        <v>1687</v>
      </c>
      <c r="AP305" s="871">
        <f t="shared" si="59"/>
        <v>234.96</v>
      </c>
      <c r="AQ305" s="871">
        <f t="shared" si="60"/>
        <v>507.32</v>
      </c>
    </row>
    <row r="306" spans="1:46" s="9" customFormat="1">
      <c r="A306" s="854">
        <v>502</v>
      </c>
      <c r="B306" s="853">
        <v>6</v>
      </c>
      <c r="C306" s="811"/>
      <c r="D306" s="811"/>
      <c r="E306" s="811"/>
      <c r="F306" s="811"/>
      <c r="G306" s="811">
        <v>265</v>
      </c>
      <c r="H306" s="811">
        <v>300</v>
      </c>
      <c r="I306" s="811">
        <v>301</v>
      </c>
      <c r="J306" s="811">
        <v>0</v>
      </c>
      <c r="K306" s="811"/>
      <c r="L306" s="811"/>
      <c r="M306" s="811">
        <v>252</v>
      </c>
      <c r="N306" s="811">
        <v>329</v>
      </c>
      <c r="O306" s="811">
        <v>236</v>
      </c>
      <c r="P306" s="811">
        <v>0</v>
      </c>
      <c r="Q306" s="819"/>
      <c r="R306" s="811"/>
      <c r="S306" s="811"/>
      <c r="T306" s="811"/>
      <c r="U306" s="811"/>
      <c r="V306" s="811"/>
      <c r="W306" s="801">
        <f t="shared" si="74"/>
        <v>1683</v>
      </c>
      <c r="Y306" s="9">
        <f t="shared" si="75"/>
        <v>1683</v>
      </c>
      <c r="AA306" s="825" t="e">
        <f>'CHAM CONG'!#REF!</f>
        <v>#REF!</v>
      </c>
      <c r="AB306" s="825" t="e">
        <f>'CHAM CONG'!#REF!</f>
        <v>#REF!</v>
      </c>
      <c r="AC306" s="825" t="e">
        <f>'CHAM CONG'!#REF!</f>
        <v>#REF!</v>
      </c>
      <c r="AD306" s="825" t="e">
        <f>'CHAM CONG'!#REF!</f>
        <v>#REF!</v>
      </c>
      <c r="AE306" s="824">
        <f t="shared" si="47"/>
        <v>740.52</v>
      </c>
      <c r="AF306" s="798">
        <f t="shared" si="69"/>
        <v>629</v>
      </c>
      <c r="AG306" s="864">
        <f t="shared" si="70"/>
        <v>537</v>
      </c>
      <c r="AH306" s="862">
        <f t="shared" si="71"/>
        <v>517</v>
      </c>
      <c r="AJ306" s="833">
        <f t="shared" si="53"/>
        <v>1683</v>
      </c>
      <c r="AM306" s="863">
        <f t="shared" si="72"/>
        <v>629</v>
      </c>
      <c r="AN306" s="864">
        <f t="shared" si="73"/>
        <v>1054</v>
      </c>
      <c r="AO306" s="9">
        <f t="shared" si="58"/>
        <v>1683</v>
      </c>
      <c r="AP306" s="871">
        <f t="shared" si="59"/>
        <v>276.76</v>
      </c>
      <c r="AQ306" s="871">
        <f t="shared" si="60"/>
        <v>463.76</v>
      </c>
    </row>
    <row r="307" spans="1:46" s="9" customFormat="1">
      <c r="A307" s="854">
        <v>503</v>
      </c>
      <c r="B307" s="853">
        <v>6</v>
      </c>
      <c r="C307" s="811"/>
      <c r="D307" s="811"/>
      <c r="E307" s="811"/>
      <c r="F307" s="811"/>
      <c r="G307" s="811">
        <v>266</v>
      </c>
      <c r="H307" s="811">
        <v>267</v>
      </c>
      <c r="I307" s="811">
        <v>225</v>
      </c>
      <c r="J307" s="811">
        <v>0</v>
      </c>
      <c r="K307" s="811"/>
      <c r="L307" s="811"/>
      <c r="M307" s="811">
        <v>259</v>
      </c>
      <c r="N307" s="811">
        <v>299</v>
      </c>
      <c r="O307" s="811">
        <v>228</v>
      </c>
      <c r="P307" s="811">
        <v>0</v>
      </c>
      <c r="Q307" s="819"/>
      <c r="R307" s="811"/>
      <c r="S307" s="811"/>
      <c r="T307" s="811"/>
      <c r="U307" s="811"/>
      <c r="V307" s="811"/>
      <c r="W307" s="801">
        <f t="shared" si="74"/>
        <v>1544</v>
      </c>
      <c r="Y307" s="9">
        <f t="shared" si="75"/>
        <v>1544</v>
      </c>
      <c r="AA307" s="825" t="e">
        <f>'CHAM CONG'!#REF!</f>
        <v>#REF!</v>
      </c>
      <c r="AB307" s="825" t="e">
        <f>'CHAM CONG'!#REF!</f>
        <v>#REF!</v>
      </c>
      <c r="AC307" s="825" t="e">
        <f>'CHAM CONG'!#REF!</f>
        <v>#REF!</v>
      </c>
      <c r="AD307" s="825" t="e">
        <f>'CHAM CONG'!#REF!</f>
        <v>#REF!</v>
      </c>
      <c r="AE307" s="824">
        <f t="shared" ref="AE307:AE314" si="76">ROUND(W307*0.44,2)</f>
        <v>679.36</v>
      </c>
      <c r="AF307" s="798">
        <f t="shared" si="69"/>
        <v>566</v>
      </c>
      <c r="AG307" s="864">
        <f t="shared" si="70"/>
        <v>453</v>
      </c>
      <c r="AH307" s="862">
        <f t="shared" si="71"/>
        <v>525</v>
      </c>
      <c r="AJ307" s="833">
        <f t="shared" si="53"/>
        <v>1544</v>
      </c>
      <c r="AM307" s="863">
        <f t="shared" si="72"/>
        <v>566</v>
      </c>
      <c r="AN307" s="864">
        <f t="shared" si="73"/>
        <v>978</v>
      </c>
      <c r="AO307" s="9">
        <f t="shared" si="58"/>
        <v>1544</v>
      </c>
      <c r="AP307" s="871">
        <f t="shared" si="59"/>
        <v>249.04</v>
      </c>
      <c r="AQ307" s="871">
        <f t="shared" si="60"/>
        <v>430.32</v>
      </c>
    </row>
    <row r="308" spans="1:46" s="9" customFormat="1">
      <c r="A308" s="854">
        <v>504</v>
      </c>
      <c r="B308" s="853">
        <v>6</v>
      </c>
      <c r="C308" s="811"/>
      <c r="D308" s="811"/>
      <c r="E308" s="811"/>
      <c r="F308" s="811"/>
      <c r="G308" s="811">
        <v>0</v>
      </c>
      <c r="H308" s="811">
        <v>0</v>
      </c>
      <c r="I308" s="811">
        <v>0</v>
      </c>
      <c r="J308" s="811">
        <v>0</v>
      </c>
      <c r="K308" s="811"/>
      <c r="L308" s="811"/>
      <c r="M308" s="811">
        <v>273</v>
      </c>
      <c r="N308" s="811">
        <v>141</v>
      </c>
      <c r="O308" s="811">
        <v>351</v>
      </c>
      <c r="P308" s="811">
        <v>0</v>
      </c>
      <c r="Q308" s="819"/>
      <c r="R308" s="811"/>
      <c r="S308" s="811"/>
      <c r="T308" s="811"/>
      <c r="U308" s="811"/>
      <c r="V308" s="811"/>
      <c r="W308" s="801">
        <f t="shared" si="74"/>
        <v>765</v>
      </c>
      <c r="Y308" s="9">
        <f t="shared" si="75"/>
        <v>765</v>
      </c>
      <c r="AA308" s="825" t="e">
        <f>'CHAM CONG'!#REF!</f>
        <v>#REF!</v>
      </c>
      <c r="AB308" s="825" t="e">
        <f>'CHAM CONG'!#REF!</f>
        <v>#REF!</v>
      </c>
      <c r="AC308" s="825" t="e">
        <f>'CHAM CONG'!#REF!</f>
        <v>#REF!</v>
      </c>
      <c r="AD308" s="825" t="e">
        <f>'CHAM CONG'!#REF!</f>
        <v>#REF!</v>
      </c>
      <c r="AE308" s="824">
        <f t="shared" si="76"/>
        <v>336.6</v>
      </c>
      <c r="AF308" s="798">
        <f t="shared" si="69"/>
        <v>141</v>
      </c>
      <c r="AG308" s="864">
        <f t="shared" si="70"/>
        <v>351</v>
      </c>
      <c r="AH308" s="862">
        <f t="shared" si="71"/>
        <v>273</v>
      </c>
      <c r="AJ308" s="833">
        <f t="shared" si="53"/>
        <v>765</v>
      </c>
      <c r="AM308" s="863">
        <f t="shared" si="72"/>
        <v>141</v>
      </c>
      <c r="AN308" s="864">
        <f t="shared" si="73"/>
        <v>624</v>
      </c>
      <c r="AO308" s="9">
        <f t="shared" si="58"/>
        <v>765</v>
      </c>
      <c r="AP308" s="871">
        <f t="shared" si="59"/>
        <v>62.04</v>
      </c>
      <c r="AQ308" s="871">
        <f t="shared" si="60"/>
        <v>274.56</v>
      </c>
    </row>
    <row r="309" spans="1:46" s="9" customFormat="1">
      <c r="A309" s="854">
        <v>505</v>
      </c>
      <c r="B309" s="853">
        <v>6</v>
      </c>
      <c r="C309" s="811"/>
      <c r="D309" s="811"/>
      <c r="E309" s="811"/>
      <c r="F309" s="811"/>
      <c r="G309" s="811">
        <v>180</v>
      </c>
      <c r="H309" s="811">
        <v>266</v>
      </c>
      <c r="I309" s="811">
        <v>151</v>
      </c>
      <c r="J309" s="811">
        <v>0</v>
      </c>
      <c r="K309" s="811"/>
      <c r="L309" s="811"/>
      <c r="M309" s="811">
        <v>244</v>
      </c>
      <c r="N309" s="811">
        <v>258</v>
      </c>
      <c r="O309" s="811">
        <v>172</v>
      </c>
      <c r="P309" s="811">
        <v>0</v>
      </c>
      <c r="Q309" s="819"/>
      <c r="R309" s="811"/>
      <c r="S309" s="811"/>
      <c r="T309" s="811"/>
      <c r="U309" s="811"/>
      <c r="V309" s="811"/>
      <c r="W309" s="801">
        <f t="shared" si="74"/>
        <v>1271</v>
      </c>
      <c r="Y309" s="9">
        <f t="shared" si="75"/>
        <v>1271</v>
      </c>
      <c r="AA309" s="825" t="e">
        <f>'CHAM CONG'!#REF!</f>
        <v>#REF!</v>
      </c>
      <c r="AB309" s="825" t="e">
        <f>'CHAM CONG'!#REF!</f>
        <v>#REF!</v>
      </c>
      <c r="AC309" s="825" t="e">
        <f>'CHAM CONG'!#REF!</f>
        <v>#REF!</v>
      </c>
      <c r="AD309" s="825" t="e">
        <f>'CHAM CONG'!#REF!</f>
        <v>#REF!</v>
      </c>
      <c r="AE309" s="824">
        <f t="shared" si="76"/>
        <v>559.24</v>
      </c>
      <c r="AF309" s="798">
        <f t="shared" si="69"/>
        <v>524</v>
      </c>
      <c r="AG309" s="864">
        <f t="shared" si="70"/>
        <v>323</v>
      </c>
      <c r="AH309" s="862">
        <f t="shared" si="71"/>
        <v>424</v>
      </c>
      <c r="AJ309" s="833">
        <f t="shared" si="53"/>
        <v>1271</v>
      </c>
      <c r="AM309" s="863">
        <f t="shared" si="72"/>
        <v>524</v>
      </c>
      <c r="AN309" s="864">
        <f t="shared" si="73"/>
        <v>747</v>
      </c>
      <c r="AO309" s="9">
        <f t="shared" si="58"/>
        <v>1271</v>
      </c>
      <c r="AP309" s="871">
        <f t="shared" si="59"/>
        <v>230.56</v>
      </c>
      <c r="AQ309" s="871">
        <f t="shared" si="60"/>
        <v>328.68</v>
      </c>
    </row>
    <row r="310" spans="1:46" s="9" customFormat="1">
      <c r="A310" s="854">
        <v>506</v>
      </c>
      <c r="B310" s="853">
        <v>6</v>
      </c>
      <c r="C310" s="811"/>
      <c r="D310" s="811"/>
      <c r="E310" s="811"/>
      <c r="F310" s="811"/>
      <c r="G310" s="811">
        <v>228</v>
      </c>
      <c r="H310" s="811">
        <v>287</v>
      </c>
      <c r="I310" s="811">
        <v>283</v>
      </c>
      <c r="J310" s="811">
        <v>0</v>
      </c>
      <c r="K310" s="811"/>
      <c r="L310" s="811"/>
      <c r="M310" s="811">
        <v>130</v>
      </c>
      <c r="N310" s="811">
        <v>303</v>
      </c>
      <c r="O310" s="811">
        <v>212</v>
      </c>
      <c r="P310" s="811">
        <v>0</v>
      </c>
      <c r="Q310" s="819"/>
      <c r="R310" s="811"/>
      <c r="S310" s="811"/>
      <c r="T310" s="811"/>
      <c r="U310" s="811"/>
      <c r="V310" s="811"/>
      <c r="W310" s="801">
        <f t="shared" si="74"/>
        <v>1443</v>
      </c>
      <c r="Y310" s="9">
        <f t="shared" si="75"/>
        <v>1443</v>
      </c>
      <c r="AA310" s="825" t="e">
        <f>'CHAM CONG'!#REF!</f>
        <v>#REF!</v>
      </c>
      <c r="AB310" s="825" t="e">
        <f>'CHAM CONG'!#REF!</f>
        <v>#REF!</v>
      </c>
      <c r="AC310" s="825" t="e">
        <f>'CHAM CONG'!#REF!</f>
        <v>#REF!</v>
      </c>
      <c r="AD310" s="825" t="e">
        <f>'CHAM CONG'!#REF!</f>
        <v>#REF!</v>
      </c>
      <c r="AE310" s="824">
        <f t="shared" si="76"/>
        <v>634.91999999999996</v>
      </c>
      <c r="AF310" s="798">
        <f t="shared" si="69"/>
        <v>590</v>
      </c>
      <c r="AG310" s="864">
        <f t="shared" si="70"/>
        <v>495</v>
      </c>
      <c r="AH310" s="862">
        <f t="shared" si="71"/>
        <v>358</v>
      </c>
      <c r="AJ310" s="833">
        <f t="shared" si="53"/>
        <v>1443</v>
      </c>
      <c r="AM310" s="863">
        <f t="shared" si="72"/>
        <v>590</v>
      </c>
      <c r="AN310" s="864">
        <f t="shared" si="73"/>
        <v>853</v>
      </c>
      <c r="AO310" s="9">
        <f t="shared" si="58"/>
        <v>1443</v>
      </c>
      <c r="AP310" s="871">
        <f t="shared" si="59"/>
        <v>259.60000000000002</v>
      </c>
      <c r="AQ310" s="871">
        <f t="shared" si="60"/>
        <v>375.32</v>
      </c>
    </row>
    <row r="311" spans="1:46" s="9" customFormat="1">
      <c r="A311" s="855">
        <v>507</v>
      </c>
      <c r="B311" s="853">
        <v>6</v>
      </c>
      <c r="C311" s="811"/>
      <c r="D311" s="811"/>
      <c r="E311" s="811"/>
      <c r="F311" s="811"/>
      <c r="G311" s="811">
        <v>248</v>
      </c>
      <c r="H311" s="811">
        <v>292</v>
      </c>
      <c r="I311" s="811">
        <v>243</v>
      </c>
      <c r="J311" s="811">
        <v>0</v>
      </c>
      <c r="K311" s="811"/>
      <c r="L311" s="811"/>
      <c r="M311" s="811">
        <v>103</v>
      </c>
      <c r="N311" s="811">
        <v>248</v>
      </c>
      <c r="O311" s="811">
        <v>168</v>
      </c>
      <c r="P311" s="811">
        <v>0</v>
      </c>
      <c r="Q311" s="819"/>
      <c r="R311" s="811"/>
      <c r="S311" s="811"/>
      <c r="T311" s="811"/>
      <c r="U311" s="811"/>
      <c r="V311" s="811"/>
      <c r="W311" s="801">
        <f t="shared" si="74"/>
        <v>1302</v>
      </c>
      <c r="Y311" s="9">
        <f t="shared" si="75"/>
        <v>1302</v>
      </c>
      <c r="AA311" s="825" t="e">
        <f>'CHAM CONG'!#REF!</f>
        <v>#REF!</v>
      </c>
      <c r="AB311" s="825" t="e">
        <f>'CHAM CONG'!#REF!</f>
        <v>#REF!</v>
      </c>
      <c r="AC311" s="825" t="e">
        <f>'CHAM CONG'!#REF!</f>
        <v>#REF!</v>
      </c>
      <c r="AD311" s="825" t="e">
        <f>'CHAM CONG'!#REF!</f>
        <v>#REF!</v>
      </c>
      <c r="AE311" s="824">
        <f t="shared" si="76"/>
        <v>572.88</v>
      </c>
      <c r="AF311" s="798">
        <f t="shared" si="69"/>
        <v>540</v>
      </c>
      <c r="AG311" s="864">
        <f t="shared" si="70"/>
        <v>411</v>
      </c>
      <c r="AH311" s="862">
        <f t="shared" si="71"/>
        <v>351</v>
      </c>
      <c r="AJ311" s="833">
        <f t="shared" si="53"/>
        <v>1302</v>
      </c>
      <c r="AM311" s="863">
        <f t="shared" si="72"/>
        <v>540</v>
      </c>
      <c r="AN311" s="864">
        <f t="shared" si="73"/>
        <v>762</v>
      </c>
      <c r="AO311" s="9">
        <f t="shared" si="58"/>
        <v>1302</v>
      </c>
      <c r="AP311" s="871">
        <f t="shared" si="59"/>
        <v>237.6</v>
      </c>
      <c r="AQ311" s="871">
        <f t="shared" si="60"/>
        <v>335.28</v>
      </c>
    </row>
    <row r="312" spans="1:46" s="9" customFormat="1">
      <c r="A312" s="855">
        <v>508</v>
      </c>
      <c r="B312" s="853">
        <v>6</v>
      </c>
      <c r="C312" s="811"/>
      <c r="D312" s="811"/>
      <c r="E312" s="811"/>
      <c r="F312" s="811"/>
      <c r="G312" s="811">
        <v>209</v>
      </c>
      <c r="H312" s="811">
        <v>384</v>
      </c>
      <c r="I312" s="811">
        <v>270</v>
      </c>
      <c r="J312" s="811">
        <v>0</v>
      </c>
      <c r="K312" s="811"/>
      <c r="L312" s="811"/>
      <c r="M312" s="811">
        <v>0</v>
      </c>
      <c r="N312" s="811">
        <v>464</v>
      </c>
      <c r="O312" s="811">
        <v>0</v>
      </c>
      <c r="P312" s="811">
        <v>0</v>
      </c>
      <c r="Q312" s="819"/>
      <c r="R312" s="811"/>
      <c r="S312" s="811"/>
      <c r="T312" s="811"/>
      <c r="U312" s="811"/>
      <c r="V312" s="811"/>
      <c r="W312" s="801">
        <f t="shared" si="74"/>
        <v>1327</v>
      </c>
      <c r="Y312" s="9">
        <f t="shared" si="75"/>
        <v>1327</v>
      </c>
      <c r="AA312" s="825" t="e">
        <f>'CHAM CONG'!#REF!</f>
        <v>#REF!</v>
      </c>
      <c r="AB312" s="825" t="e">
        <f>'CHAM CONG'!#REF!</f>
        <v>#REF!</v>
      </c>
      <c r="AC312" s="825" t="e">
        <f>'CHAM CONG'!#REF!</f>
        <v>#REF!</v>
      </c>
      <c r="AD312" s="825" t="e">
        <f>'CHAM CONG'!#REF!</f>
        <v>#REF!</v>
      </c>
      <c r="AE312" s="824">
        <f t="shared" si="76"/>
        <v>583.88</v>
      </c>
      <c r="AF312" s="798">
        <f t="shared" si="69"/>
        <v>848</v>
      </c>
      <c r="AG312" s="864">
        <f t="shared" si="70"/>
        <v>270</v>
      </c>
      <c r="AH312" s="862">
        <f t="shared" si="71"/>
        <v>209</v>
      </c>
      <c r="AJ312" s="833">
        <f t="shared" si="53"/>
        <v>1327</v>
      </c>
      <c r="AM312" s="863">
        <f t="shared" si="72"/>
        <v>848</v>
      </c>
      <c r="AN312" s="864">
        <f t="shared" si="73"/>
        <v>479</v>
      </c>
      <c r="AO312" s="9">
        <f t="shared" si="58"/>
        <v>1327</v>
      </c>
      <c r="AP312" s="871">
        <f t="shared" si="59"/>
        <v>373.12</v>
      </c>
      <c r="AQ312" s="871">
        <f t="shared" si="60"/>
        <v>210.76</v>
      </c>
    </row>
    <row r="313" spans="1:46" s="9" customFormat="1">
      <c r="A313" s="855">
        <v>509</v>
      </c>
      <c r="B313" s="853">
        <v>6</v>
      </c>
      <c r="C313" s="811"/>
      <c r="D313" s="811"/>
      <c r="E313" s="811"/>
      <c r="F313" s="811"/>
      <c r="G313" s="811">
        <v>211</v>
      </c>
      <c r="H313" s="811">
        <v>339</v>
      </c>
      <c r="I313" s="811">
        <v>218</v>
      </c>
      <c r="J313" s="811">
        <v>0</v>
      </c>
      <c r="K313" s="811"/>
      <c r="L313" s="811"/>
      <c r="M313" s="811">
        <v>209</v>
      </c>
      <c r="N313" s="811">
        <v>243</v>
      </c>
      <c r="O313" s="811">
        <v>144</v>
      </c>
      <c r="P313" s="811">
        <v>0</v>
      </c>
      <c r="Q313" s="819"/>
      <c r="R313" s="811"/>
      <c r="S313" s="811"/>
      <c r="T313" s="811"/>
      <c r="U313" s="811"/>
      <c r="V313" s="811"/>
      <c r="W313" s="801">
        <f t="shared" si="74"/>
        <v>1364</v>
      </c>
      <c r="Y313" s="9">
        <f t="shared" si="75"/>
        <v>1364</v>
      </c>
      <c r="AA313" s="825" t="e">
        <f>'CHAM CONG'!#REF!</f>
        <v>#REF!</v>
      </c>
      <c r="AB313" s="825" t="e">
        <f>'CHAM CONG'!#REF!</f>
        <v>#REF!</v>
      </c>
      <c r="AC313" s="825" t="e">
        <f>'CHAM CONG'!#REF!</f>
        <v>#REF!</v>
      </c>
      <c r="AD313" s="825" t="e">
        <f>'CHAM CONG'!#REF!</f>
        <v>#REF!</v>
      </c>
      <c r="AE313" s="824">
        <f t="shared" si="76"/>
        <v>600.16</v>
      </c>
      <c r="AF313" s="798">
        <f t="shared" si="69"/>
        <v>582</v>
      </c>
      <c r="AG313" s="864">
        <f t="shared" si="70"/>
        <v>362</v>
      </c>
      <c r="AH313" s="862">
        <f t="shared" si="71"/>
        <v>420</v>
      </c>
      <c r="AJ313" s="833">
        <f t="shared" si="53"/>
        <v>1364</v>
      </c>
      <c r="AM313" s="863">
        <f t="shared" si="72"/>
        <v>582</v>
      </c>
      <c r="AN313" s="864">
        <f t="shared" si="73"/>
        <v>782</v>
      </c>
      <c r="AO313" s="9">
        <f t="shared" si="58"/>
        <v>1364</v>
      </c>
      <c r="AP313" s="871">
        <f t="shared" si="59"/>
        <v>256.08</v>
      </c>
      <c r="AQ313" s="871">
        <f t="shared" si="60"/>
        <v>344.08</v>
      </c>
    </row>
    <row r="314" spans="1:46" s="9" customFormat="1">
      <c r="A314" s="854">
        <v>510</v>
      </c>
      <c r="B314" s="853">
        <v>6</v>
      </c>
      <c r="C314" s="811"/>
      <c r="D314" s="811"/>
      <c r="E314" s="811"/>
      <c r="F314" s="811"/>
      <c r="G314" s="811">
        <v>293</v>
      </c>
      <c r="H314" s="811">
        <v>354</v>
      </c>
      <c r="I314" s="811">
        <v>256</v>
      </c>
      <c r="J314" s="811">
        <v>0</v>
      </c>
      <c r="K314" s="811"/>
      <c r="L314" s="811"/>
      <c r="M314" s="811">
        <v>0</v>
      </c>
      <c r="N314" s="811">
        <v>457</v>
      </c>
      <c r="O314" s="811">
        <v>148</v>
      </c>
      <c r="P314" s="811">
        <v>0</v>
      </c>
      <c r="Q314" s="819"/>
      <c r="R314" s="811"/>
      <c r="S314" s="811"/>
      <c r="T314" s="811"/>
      <c r="U314" s="811"/>
      <c r="V314" s="811"/>
      <c r="W314" s="801">
        <f t="shared" si="74"/>
        <v>1508</v>
      </c>
      <c r="Y314" s="9">
        <f t="shared" si="75"/>
        <v>1508</v>
      </c>
      <c r="AA314" s="825" t="e">
        <f>'CHAM CONG'!#REF!</f>
        <v>#REF!</v>
      </c>
      <c r="AB314" s="825" t="e">
        <f>'CHAM CONG'!#REF!</f>
        <v>#REF!</v>
      </c>
      <c r="AC314" s="825" t="e">
        <f>'CHAM CONG'!#REF!</f>
        <v>#REF!</v>
      </c>
      <c r="AD314" s="825" t="e">
        <f>'CHAM CONG'!#REF!</f>
        <v>#REF!</v>
      </c>
      <c r="AE314" s="824">
        <f t="shared" si="76"/>
        <v>663.52</v>
      </c>
      <c r="AF314" s="798">
        <f t="shared" si="69"/>
        <v>811</v>
      </c>
      <c r="AG314" s="864">
        <f t="shared" si="70"/>
        <v>404</v>
      </c>
      <c r="AH314" s="862">
        <f t="shared" si="71"/>
        <v>293</v>
      </c>
      <c r="AJ314" s="833">
        <f t="shared" si="53"/>
        <v>1508</v>
      </c>
      <c r="AK314" s="865"/>
      <c r="AM314" s="863">
        <f t="shared" si="72"/>
        <v>811</v>
      </c>
      <c r="AN314" s="864">
        <f t="shared" si="73"/>
        <v>697</v>
      </c>
      <c r="AO314" s="9">
        <f t="shared" si="58"/>
        <v>1508</v>
      </c>
      <c r="AP314" s="871">
        <f t="shared" si="59"/>
        <v>356.84</v>
      </c>
      <c r="AQ314" s="871">
        <f>ROUND(AN314*0.44,2)+0.2</f>
        <v>306.88</v>
      </c>
    </row>
    <row r="315" spans="1:46" ht="21" customHeight="1">
      <c r="A315" s="9"/>
      <c r="C315" s="806"/>
      <c r="D315" s="806"/>
      <c r="E315" s="806"/>
      <c r="F315" s="806"/>
      <c r="G315" s="806"/>
      <c r="H315" s="806" t="s">
        <v>228</v>
      </c>
      <c r="I315" s="806" t="s">
        <v>1322</v>
      </c>
      <c r="J315" s="806" t="s">
        <v>186</v>
      </c>
      <c r="K315" s="806" t="s">
        <v>199</v>
      </c>
      <c r="L315" s="806"/>
      <c r="M315" s="806"/>
      <c r="N315" s="806"/>
      <c r="O315" s="806"/>
      <c r="P315" s="806" t="s">
        <v>228</v>
      </c>
      <c r="Q315" s="817" t="s">
        <v>1322</v>
      </c>
      <c r="R315" s="806"/>
      <c r="S315" s="806"/>
      <c r="T315" s="806"/>
      <c r="U315" s="806"/>
      <c r="V315" s="806"/>
      <c r="AA315" s="823"/>
      <c r="AB315" s="823"/>
      <c r="AC315" s="823"/>
      <c r="AD315" s="823"/>
      <c r="AG315" s="831"/>
      <c r="AI315" s="866"/>
      <c r="AK315" s="790" t="s">
        <v>1369</v>
      </c>
      <c r="AP315" s="798">
        <v>455</v>
      </c>
      <c r="AQ315" s="798">
        <v>505</v>
      </c>
      <c r="AR315" s="798" t="s">
        <v>1368</v>
      </c>
      <c r="AS315" s="798">
        <v>455</v>
      </c>
      <c r="AT315" s="798">
        <v>505</v>
      </c>
    </row>
    <row r="316" spans="1:46" s="794" customFormat="1" ht="16.95" customHeight="1">
      <c r="A316" s="1316" t="s">
        <v>923</v>
      </c>
      <c r="B316" s="1316"/>
      <c r="C316" s="856">
        <f>SUM(C317:C400)</f>
        <v>0</v>
      </c>
      <c r="D316" s="856">
        <f>SUM(D317:D358)</f>
        <v>0</v>
      </c>
      <c r="E316" s="856">
        <f>SUM(E317:E400)</f>
        <v>0</v>
      </c>
      <c r="F316" s="856">
        <f>SUM(F317:F400)</f>
        <v>0</v>
      </c>
      <c r="G316" s="856">
        <f>SUM(G317:G400)</f>
        <v>0</v>
      </c>
      <c r="H316" s="856">
        <f>SUM(H317:H400)</f>
        <v>13937</v>
      </c>
      <c r="I316" s="856">
        <f t="shared" ref="I316:W316" si="77">SUM(I317:I400)</f>
        <v>17153</v>
      </c>
      <c r="J316" s="856">
        <f t="shared" si="77"/>
        <v>17966</v>
      </c>
      <c r="K316" s="856">
        <f t="shared" si="77"/>
        <v>20648</v>
      </c>
      <c r="L316" s="856">
        <f t="shared" si="77"/>
        <v>0</v>
      </c>
      <c r="M316" s="856">
        <f t="shared" si="77"/>
        <v>0</v>
      </c>
      <c r="N316" s="856">
        <f t="shared" si="77"/>
        <v>0</v>
      </c>
      <c r="O316" s="856">
        <f t="shared" si="77"/>
        <v>0</v>
      </c>
      <c r="P316" s="856">
        <f t="shared" si="77"/>
        <v>15569</v>
      </c>
      <c r="Q316" s="856">
        <f t="shared" si="77"/>
        <v>18660</v>
      </c>
      <c r="R316" s="856">
        <f t="shared" si="77"/>
        <v>0</v>
      </c>
      <c r="S316" s="856">
        <f t="shared" si="77"/>
        <v>0</v>
      </c>
      <c r="T316" s="856">
        <f t="shared" si="77"/>
        <v>0</v>
      </c>
      <c r="U316" s="856">
        <f t="shared" si="77"/>
        <v>0</v>
      </c>
      <c r="V316" s="856">
        <f t="shared" si="77"/>
        <v>0</v>
      </c>
      <c r="W316" s="856">
        <f t="shared" si="77"/>
        <v>103933</v>
      </c>
      <c r="X316" s="856">
        <f t="shared" ref="X316:AJ316" si="78">SUM(X317:X400)</f>
        <v>0</v>
      </c>
      <c r="Y316" s="856">
        <f t="shared" si="78"/>
        <v>103933</v>
      </c>
      <c r="Z316" s="856">
        <f t="shared" si="78"/>
        <v>0</v>
      </c>
      <c r="AA316" s="856" t="e">
        <f t="shared" si="78"/>
        <v>#N/A</v>
      </c>
      <c r="AB316" s="856" t="e">
        <f t="shared" si="78"/>
        <v>#N/A</v>
      </c>
      <c r="AC316" s="856" t="e">
        <f t="shared" si="78"/>
        <v>#N/A</v>
      </c>
      <c r="AD316" s="856" t="e">
        <f t="shared" si="78"/>
        <v>#N/A</v>
      </c>
      <c r="AE316" s="818">
        <f t="shared" si="78"/>
        <v>45730.520000000019</v>
      </c>
      <c r="AF316" s="856">
        <f t="shared" si="78"/>
        <v>17966</v>
      </c>
      <c r="AG316" s="856">
        <f t="shared" si="78"/>
        <v>20648</v>
      </c>
      <c r="AH316" s="856">
        <f t="shared" si="78"/>
        <v>29506</v>
      </c>
      <c r="AI316" s="856">
        <f t="shared" si="78"/>
        <v>35813</v>
      </c>
      <c r="AJ316" s="856">
        <f t="shared" si="78"/>
        <v>103933</v>
      </c>
      <c r="AK316" s="867">
        <f>SUM(AJ317:AJ358)</f>
        <v>47399</v>
      </c>
      <c r="AP316" s="829">
        <f>SUM(AP317:AP400)</f>
        <v>97684</v>
      </c>
      <c r="AQ316" s="829">
        <f>SUM(AQ317:AQ400)</f>
        <v>6249</v>
      </c>
      <c r="AR316" s="873">
        <f>SUM(AR317:AR358)</f>
        <v>47399</v>
      </c>
      <c r="AS316" s="874">
        <f>SUM(AS317:AS400)</f>
        <v>42980.960000000021</v>
      </c>
      <c r="AT316" s="874">
        <f>SUM(AT317:AT400)</f>
        <v>2749.56</v>
      </c>
    </row>
    <row r="317" spans="1:46">
      <c r="A317" s="798">
        <v>344</v>
      </c>
      <c r="B317" s="857">
        <v>9</v>
      </c>
      <c r="C317" s="811"/>
      <c r="D317" s="811"/>
      <c r="E317" s="811"/>
      <c r="F317" s="811"/>
      <c r="G317" s="811"/>
      <c r="H317" s="811">
        <v>208</v>
      </c>
      <c r="I317" s="811">
        <v>184</v>
      </c>
      <c r="J317" s="811">
        <v>274</v>
      </c>
      <c r="K317" s="811">
        <v>316</v>
      </c>
      <c r="L317" s="811"/>
      <c r="M317" s="811"/>
      <c r="N317" s="811"/>
      <c r="O317" s="811"/>
      <c r="P317" s="811">
        <v>192</v>
      </c>
      <c r="Q317" s="819">
        <v>154</v>
      </c>
      <c r="R317" s="803"/>
      <c r="S317" s="803"/>
      <c r="T317" s="803"/>
      <c r="U317" s="803"/>
      <c r="V317" s="803"/>
      <c r="W317" s="801">
        <f>SUM(C317:V317)</f>
        <v>1328</v>
      </c>
      <c r="Y317" s="798">
        <f>W317-X317</f>
        <v>1328</v>
      </c>
      <c r="AA317" s="823" t="e">
        <f>'CHAM CONG'!BA316</f>
        <v>#N/A</v>
      </c>
      <c r="AB317" s="823" t="e">
        <f>'CHAM CONG'!BB316</f>
        <v>#N/A</v>
      </c>
      <c r="AC317" s="823" t="e">
        <f>'CHAM CONG'!BC316</f>
        <v>#N/A</v>
      </c>
      <c r="AD317" s="823" t="e">
        <f>'CHAM CONG'!BD316</f>
        <v>#N/A</v>
      </c>
      <c r="AE317" s="824">
        <f>ROUND(W317*0.44,2)</f>
        <v>584.32000000000005</v>
      </c>
      <c r="AF317" s="798">
        <f t="shared" ref="AF317:AG323" si="79">J317</f>
        <v>274</v>
      </c>
      <c r="AG317" s="864">
        <f t="shared" si="79"/>
        <v>316</v>
      </c>
      <c r="AH317" s="798">
        <f t="shared" ref="AH317:AI323" si="80">H317+P317</f>
        <v>400</v>
      </c>
      <c r="AI317" s="798">
        <f t="shared" si="80"/>
        <v>338</v>
      </c>
      <c r="AJ317" s="802">
        <f>SUM(AF317:AI317)</f>
        <v>1328</v>
      </c>
      <c r="AL317" s="798" t="s">
        <v>1370</v>
      </c>
      <c r="AP317" s="9">
        <f t="shared" ref="AP317:AP322" si="81">AF317+AH317+AI317</f>
        <v>1012</v>
      </c>
      <c r="AQ317" s="875">
        <f t="shared" ref="AQ317:AQ322" si="82">AG317</f>
        <v>316</v>
      </c>
      <c r="AR317" s="832">
        <f>AP317+AQ317</f>
        <v>1328</v>
      </c>
      <c r="AS317" s="876">
        <f>ROUND(AP317*0.44,2)</f>
        <v>445.28</v>
      </c>
      <c r="AT317" s="876">
        <f>ROUND(AQ317*0.44,2)</f>
        <v>139.04</v>
      </c>
    </row>
    <row r="318" spans="1:46">
      <c r="A318" s="798">
        <v>345</v>
      </c>
      <c r="B318" s="857">
        <v>9</v>
      </c>
      <c r="C318" s="811"/>
      <c r="D318" s="811"/>
      <c r="E318" s="811"/>
      <c r="F318" s="811"/>
      <c r="G318" s="811"/>
      <c r="H318" s="811">
        <v>122</v>
      </c>
      <c r="I318" s="811">
        <v>154</v>
      </c>
      <c r="J318" s="811">
        <v>240</v>
      </c>
      <c r="K318" s="811">
        <v>264</v>
      </c>
      <c r="L318" s="811"/>
      <c r="M318" s="811"/>
      <c r="N318" s="811"/>
      <c r="O318" s="811"/>
      <c r="P318" s="811">
        <v>193</v>
      </c>
      <c r="Q318" s="819">
        <v>178</v>
      </c>
      <c r="R318" s="803"/>
      <c r="S318" s="803"/>
      <c r="T318" s="803"/>
      <c r="U318" s="803"/>
      <c r="V318" s="803"/>
      <c r="W318" s="801">
        <f t="shared" ref="W318:W352" si="83">SUM(C318:V318)</f>
        <v>1151</v>
      </c>
      <c r="Y318" s="798">
        <f t="shared" ref="Y318:Y352" si="84">W318-X318</f>
        <v>1151</v>
      </c>
      <c r="AA318" s="823" t="e">
        <f>'CHAM CONG'!BA317</f>
        <v>#N/A</v>
      </c>
      <c r="AB318" s="823" t="e">
        <f>'CHAM CONG'!BB317</f>
        <v>#N/A</v>
      </c>
      <c r="AC318" s="823" t="e">
        <f>'CHAM CONG'!BC317</f>
        <v>#N/A</v>
      </c>
      <c r="AD318" s="823" t="e">
        <f>'CHAM CONG'!BD317</f>
        <v>#N/A</v>
      </c>
      <c r="AE318" s="824">
        <f t="shared" ref="AE318:AE381" si="85">ROUND(W318*0.44,2)</f>
        <v>506.44</v>
      </c>
      <c r="AF318" s="798">
        <f t="shared" si="79"/>
        <v>240</v>
      </c>
      <c r="AG318" s="864">
        <f t="shared" si="79"/>
        <v>264</v>
      </c>
      <c r="AH318" s="798">
        <f t="shared" si="80"/>
        <v>315</v>
      </c>
      <c r="AI318" s="798">
        <f t="shared" si="80"/>
        <v>332</v>
      </c>
      <c r="AJ318" s="802">
        <f t="shared" ref="AJ318:AJ358" si="86">SUM(AF318:AI318)</f>
        <v>1151</v>
      </c>
      <c r="AL318" s="831">
        <f>SUM(AG317:AG322)+SUM(AF335:AF358)</f>
        <v>6249</v>
      </c>
      <c r="AP318" s="9">
        <f t="shared" si="81"/>
        <v>887</v>
      </c>
      <c r="AQ318" s="875">
        <f t="shared" si="82"/>
        <v>264</v>
      </c>
      <c r="AR318" s="832">
        <f t="shared" ref="AR318:AR358" si="87">AP318+AQ318</f>
        <v>1151</v>
      </c>
      <c r="AS318" s="876">
        <f t="shared" ref="AS318:AS381" si="88">ROUND(AP318*0.44,2)</f>
        <v>390.28</v>
      </c>
      <c r="AT318" s="876">
        <f t="shared" ref="AT318:AT381" si="89">ROUND(AQ318*0.44,2)</f>
        <v>116.16</v>
      </c>
    </row>
    <row r="319" spans="1:46">
      <c r="A319" s="798">
        <v>346</v>
      </c>
      <c r="B319" s="857">
        <v>9</v>
      </c>
      <c r="C319" s="811"/>
      <c r="D319" s="811"/>
      <c r="E319" s="811"/>
      <c r="F319" s="811"/>
      <c r="G319" s="811"/>
      <c r="H319" s="811">
        <v>179</v>
      </c>
      <c r="I319" s="811">
        <v>186</v>
      </c>
      <c r="J319" s="811">
        <v>134</v>
      </c>
      <c r="K319" s="811">
        <v>243</v>
      </c>
      <c r="L319" s="811"/>
      <c r="M319" s="811"/>
      <c r="N319" s="811"/>
      <c r="O319" s="811"/>
      <c r="P319" s="811">
        <v>194</v>
      </c>
      <c r="Q319" s="819">
        <v>226</v>
      </c>
      <c r="R319" s="803"/>
      <c r="S319" s="803"/>
      <c r="T319" s="803"/>
      <c r="U319" s="803"/>
      <c r="V319" s="803"/>
      <c r="W319" s="801">
        <f t="shared" si="83"/>
        <v>1162</v>
      </c>
      <c r="Y319" s="798">
        <f t="shared" si="84"/>
        <v>1162</v>
      </c>
      <c r="AA319" s="823" t="e">
        <f>'CHAM CONG'!BA318</f>
        <v>#N/A</v>
      </c>
      <c r="AB319" s="823" t="e">
        <f>'CHAM CONG'!BB318</f>
        <v>#N/A</v>
      </c>
      <c r="AC319" s="823" t="e">
        <f>'CHAM CONG'!BC318</f>
        <v>#N/A</v>
      </c>
      <c r="AD319" s="823" t="e">
        <f>'CHAM CONG'!BD318</f>
        <v>#N/A</v>
      </c>
      <c r="AE319" s="824">
        <f t="shared" si="85"/>
        <v>511.28</v>
      </c>
      <c r="AF319" s="798">
        <f t="shared" si="79"/>
        <v>134</v>
      </c>
      <c r="AG319" s="864">
        <f t="shared" si="79"/>
        <v>243</v>
      </c>
      <c r="AH319" s="798">
        <f t="shared" si="80"/>
        <v>373</v>
      </c>
      <c r="AI319" s="798">
        <f t="shared" si="80"/>
        <v>412</v>
      </c>
      <c r="AJ319" s="802">
        <f t="shared" si="86"/>
        <v>1162</v>
      </c>
      <c r="AP319" s="9">
        <f t="shared" si="81"/>
        <v>919</v>
      </c>
      <c r="AQ319" s="875">
        <f t="shared" si="82"/>
        <v>243</v>
      </c>
      <c r="AR319" s="832">
        <f t="shared" si="87"/>
        <v>1162</v>
      </c>
      <c r="AS319" s="876">
        <f t="shared" si="88"/>
        <v>404.36</v>
      </c>
      <c r="AT319" s="876">
        <f t="shared" si="89"/>
        <v>106.92</v>
      </c>
    </row>
    <row r="320" spans="1:46">
      <c r="A320" s="798">
        <v>347</v>
      </c>
      <c r="B320" s="857">
        <v>9</v>
      </c>
      <c r="C320" s="811"/>
      <c r="D320" s="811"/>
      <c r="E320" s="811"/>
      <c r="F320" s="811"/>
      <c r="G320" s="811"/>
      <c r="H320" s="811">
        <v>186</v>
      </c>
      <c r="I320" s="811">
        <v>191</v>
      </c>
      <c r="J320" s="811">
        <v>141</v>
      </c>
      <c r="K320" s="811">
        <v>232</v>
      </c>
      <c r="L320" s="811"/>
      <c r="M320" s="811"/>
      <c r="N320" s="811"/>
      <c r="O320" s="811"/>
      <c r="P320" s="811">
        <v>185</v>
      </c>
      <c r="Q320" s="819">
        <v>221</v>
      </c>
      <c r="R320" s="803"/>
      <c r="S320" s="803"/>
      <c r="T320" s="803"/>
      <c r="U320" s="803"/>
      <c r="V320" s="803"/>
      <c r="W320" s="801">
        <f t="shared" si="83"/>
        <v>1156</v>
      </c>
      <c r="Y320" s="798">
        <f t="shared" si="84"/>
        <v>1156</v>
      </c>
      <c r="AA320" s="823" t="e">
        <f>'CHAM CONG'!BA319</f>
        <v>#N/A</v>
      </c>
      <c r="AB320" s="823" t="e">
        <f>'CHAM CONG'!BB319</f>
        <v>#N/A</v>
      </c>
      <c r="AC320" s="823" t="e">
        <f>'CHAM CONG'!BC319</f>
        <v>#N/A</v>
      </c>
      <c r="AD320" s="823" t="e">
        <f>'CHAM CONG'!BD319</f>
        <v>#N/A</v>
      </c>
      <c r="AE320" s="824">
        <f t="shared" si="85"/>
        <v>508.64</v>
      </c>
      <c r="AF320" s="798">
        <f t="shared" si="79"/>
        <v>141</v>
      </c>
      <c r="AG320" s="864">
        <f t="shared" si="79"/>
        <v>232</v>
      </c>
      <c r="AH320" s="798">
        <f t="shared" si="80"/>
        <v>371</v>
      </c>
      <c r="AI320" s="798">
        <f t="shared" si="80"/>
        <v>412</v>
      </c>
      <c r="AJ320" s="802">
        <f t="shared" si="86"/>
        <v>1156</v>
      </c>
      <c r="AP320" s="9">
        <f t="shared" si="81"/>
        <v>924</v>
      </c>
      <c r="AQ320" s="875">
        <f t="shared" si="82"/>
        <v>232</v>
      </c>
      <c r="AR320" s="832">
        <f t="shared" si="87"/>
        <v>1156</v>
      </c>
      <c r="AS320" s="876">
        <f t="shared" si="88"/>
        <v>406.56</v>
      </c>
      <c r="AT320" s="876">
        <f t="shared" si="89"/>
        <v>102.08</v>
      </c>
    </row>
    <row r="321" spans="1:46">
      <c r="A321" s="798">
        <v>348</v>
      </c>
      <c r="B321" s="857">
        <v>9</v>
      </c>
      <c r="C321" s="811"/>
      <c r="D321" s="811"/>
      <c r="E321" s="811"/>
      <c r="F321" s="811"/>
      <c r="G321" s="811"/>
      <c r="H321" s="811">
        <v>115</v>
      </c>
      <c r="I321" s="811">
        <v>198</v>
      </c>
      <c r="J321" s="811">
        <v>259</v>
      </c>
      <c r="K321" s="811">
        <v>227</v>
      </c>
      <c r="L321" s="811"/>
      <c r="M321" s="811"/>
      <c r="N321" s="811"/>
      <c r="O321" s="811"/>
      <c r="P321" s="811">
        <v>242</v>
      </c>
      <c r="Q321" s="819">
        <v>216</v>
      </c>
      <c r="R321" s="803"/>
      <c r="S321" s="803"/>
      <c r="T321" s="803"/>
      <c r="U321" s="803"/>
      <c r="V321" s="803"/>
      <c r="W321" s="801">
        <f t="shared" si="83"/>
        <v>1257</v>
      </c>
      <c r="Y321" s="798">
        <f t="shared" si="84"/>
        <v>1257</v>
      </c>
      <c r="AA321" s="823" t="e">
        <f>'CHAM CONG'!BA337</f>
        <v>#N/A</v>
      </c>
      <c r="AB321" s="823" t="e">
        <f>'CHAM CONG'!BB337</f>
        <v>#N/A</v>
      </c>
      <c r="AC321" s="823" t="e">
        <f>'CHAM CONG'!BC337</f>
        <v>#N/A</v>
      </c>
      <c r="AD321" s="823" t="e">
        <f>'CHAM CONG'!BD337</f>
        <v>#N/A</v>
      </c>
      <c r="AE321" s="824">
        <f t="shared" si="85"/>
        <v>553.08000000000004</v>
      </c>
      <c r="AF321" s="798">
        <f t="shared" si="79"/>
        <v>259</v>
      </c>
      <c r="AG321" s="864">
        <f t="shared" si="79"/>
        <v>227</v>
      </c>
      <c r="AH321" s="798">
        <f t="shared" si="80"/>
        <v>357</v>
      </c>
      <c r="AI321" s="798">
        <f t="shared" si="80"/>
        <v>414</v>
      </c>
      <c r="AJ321" s="802">
        <f t="shared" si="86"/>
        <v>1257</v>
      </c>
      <c r="AP321" s="9">
        <f t="shared" si="81"/>
        <v>1030</v>
      </c>
      <c r="AQ321" s="875">
        <f t="shared" si="82"/>
        <v>227</v>
      </c>
      <c r="AR321" s="832">
        <f t="shared" si="87"/>
        <v>1257</v>
      </c>
      <c r="AS321" s="876">
        <f t="shared" si="88"/>
        <v>453.2</v>
      </c>
      <c r="AT321" s="876">
        <f t="shared" si="89"/>
        <v>99.88</v>
      </c>
    </row>
    <row r="322" spans="1:46">
      <c r="A322" s="798">
        <v>349</v>
      </c>
      <c r="B322" s="857">
        <v>9</v>
      </c>
      <c r="C322" s="811"/>
      <c r="D322" s="811"/>
      <c r="E322" s="811"/>
      <c r="F322" s="811"/>
      <c r="G322" s="811"/>
      <c r="H322" s="811">
        <v>120</v>
      </c>
      <c r="I322" s="811">
        <v>197</v>
      </c>
      <c r="J322" s="811">
        <v>255</v>
      </c>
      <c r="K322" s="811">
        <v>221</v>
      </c>
      <c r="L322" s="811"/>
      <c r="M322" s="811"/>
      <c r="N322" s="811"/>
      <c r="O322" s="811"/>
      <c r="P322" s="811">
        <v>242</v>
      </c>
      <c r="Q322" s="819">
        <v>212</v>
      </c>
      <c r="R322" s="803"/>
      <c r="S322" s="803"/>
      <c r="T322" s="803"/>
      <c r="U322" s="803"/>
      <c r="V322" s="803"/>
      <c r="W322" s="801">
        <f t="shared" si="83"/>
        <v>1247</v>
      </c>
      <c r="Y322" s="798">
        <f t="shared" si="84"/>
        <v>1247</v>
      </c>
      <c r="AA322" s="823" t="e">
        <f>'CHAM CONG'!BA338</f>
        <v>#N/A</v>
      </c>
      <c r="AB322" s="823" t="e">
        <f>'CHAM CONG'!BB338</f>
        <v>#N/A</v>
      </c>
      <c r="AC322" s="823" t="e">
        <f>'CHAM CONG'!BC338</f>
        <v>#N/A</v>
      </c>
      <c r="AD322" s="823" t="e">
        <f>'CHAM CONG'!BD338</f>
        <v>#N/A</v>
      </c>
      <c r="AE322" s="824">
        <f t="shared" si="85"/>
        <v>548.67999999999995</v>
      </c>
      <c r="AF322" s="798">
        <f t="shared" si="79"/>
        <v>255</v>
      </c>
      <c r="AG322" s="864">
        <f t="shared" si="79"/>
        <v>221</v>
      </c>
      <c r="AH322" s="798">
        <f t="shared" si="80"/>
        <v>362</v>
      </c>
      <c r="AI322" s="798">
        <f t="shared" si="80"/>
        <v>409</v>
      </c>
      <c r="AJ322" s="802">
        <f t="shared" si="86"/>
        <v>1247</v>
      </c>
      <c r="AP322" s="9">
        <f t="shared" si="81"/>
        <v>1026</v>
      </c>
      <c r="AQ322" s="875">
        <f t="shared" si="82"/>
        <v>221</v>
      </c>
      <c r="AR322" s="832">
        <f t="shared" si="87"/>
        <v>1247</v>
      </c>
      <c r="AS322" s="876">
        <f t="shared" si="88"/>
        <v>451.44</v>
      </c>
      <c r="AT322" s="876">
        <f t="shared" si="89"/>
        <v>97.24</v>
      </c>
    </row>
    <row r="323" spans="1:46">
      <c r="A323" s="798">
        <v>350</v>
      </c>
      <c r="B323" s="857">
        <v>9</v>
      </c>
      <c r="C323" s="811"/>
      <c r="D323" s="811"/>
      <c r="E323" s="811"/>
      <c r="F323" s="811"/>
      <c r="G323" s="811"/>
      <c r="H323" s="811">
        <v>115</v>
      </c>
      <c r="I323" s="811">
        <v>184</v>
      </c>
      <c r="J323" s="811">
        <v>346</v>
      </c>
      <c r="K323" s="811">
        <v>264</v>
      </c>
      <c r="L323" s="811"/>
      <c r="M323" s="811"/>
      <c r="N323" s="811"/>
      <c r="O323" s="811"/>
      <c r="P323" s="811">
        <v>96</v>
      </c>
      <c r="Q323" s="819">
        <v>231</v>
      </c>
      <c r="R323" s="803"/>
      <c r="S323" s="803"/>
      <c r="T323" s="803"/>
      <c r="U323" s="803"/>
      <c r="V323" s="803"/>
      <c r="W323" s="801">
        <f t="shared" si="83"/>
        <v>1236</v>
      </c>
      <c r="Y323" s="798">
        <f t="shared" si="84"/>
        <v>1236</v>
      </c>
      <c r="AA323" s="823" t="e">
        <f>'CHAM CONG'!BA339</f>
        <v>#N/A</v>
      </c>
      <c r="AB323" s="823" t="e">
        <f>'CHAM CONG'!BB339</f>
        <v>#N/A</v>
      </c>
      <c r="AC323" s="823" t="e">
        <f>'CHAM CONG'!BC339</f>
        <v>#N/A</v>
      </c>
      <c r="AD323" s="823" t="e">
        <f>'CHAM CONG'!BD339</f>
        <v>#N/A</v>
      </c>
      <c r="AE323" s="824">
        <f t="shared" si="85"/>
        <v>543.84</v>
      </c>
      <c r="AF323" s="798">
        <f t="shared" si="79"/>
        <v>346</v>
      </c>
      <c r="AG323" s="863">
        <f t="shared" si="79"/>
        <v>264</v>
      </c>
      <c r="AH323" s="798">
        <f t="shared" si="80"/>
        <v>211</v>
      </c>
      <c r="AI323" s="798">
        <f t="shared" si="80"/>
        <v>415</v>
      </c>
      <c r="AJ323" s="802">
        <f t="shared" si="86"/>
        <v>1236</v>
      </c>
      <c r="AP323" s="863">
        <f>AF323+AH323+AI323+AG323</f>
        <v>1236</v>
      </c>
      <c r="AQ323" s="875"/>
      <c r="AR323" s="832">
        <f t="shared" si="87"/>
        <v>1236</v>
      </c>
      <c r="AS323" s="876">
        <f t="shared" si="88"/>
        <v>543.84</v>
      </c>
      <c r="AT323" s="876">
        <f t="shared" si="89"/>
        <v>0</v>
      </c>
    </row>
    <row r="324" spans="1:46">
      <c r="A324" s="798">
        <v>351</v>
      </c>
      <c r="B324" s="857">
        <v>9</v>
      </c>
      <c r="C324" s="811"/>
      <c r="D324" s="811"/>
      <c r="E324" s="811"/>
      <c r="F324" s="811"/>
      <c r="G324" s="811"/>
      <c r="H324" s="811">
        <v>114</v>
      </c>
      <c r="I324" s="811">
        <v>177</v>
      </c>
      <c r="J324" s="811">
        <v>359</v>
      </c>
      <c r="K324" s="811">
        <v>275</v>
      </c>
      <c r="L324" s="811"/>
      <c r="M324" s="811"/>
      <c r="N324" s="811"/>
      <c r="O324" s="811"/>
      <c r="P324" s="811">
        <v>100</v>
      </c>
      <c r="Q324" s="819">
        <v>229</v>
      </c>
      <c r="R324" s="803"/>
      <c r="S324" s="803"/>
      <c r="T324" s="803"/>
      <c r="U324" s="803"/>
      <c r="V324" s="803"/>
      <c r="W324" s="801">
        <f t="shared" si="83"/>
        <v>1254</v>
      </c>
      <c r="Y324" s="798">
        <f t="shared" si="84"/>
        <v>1254</v>
      </c>
      <c r="AA324" s="823" t="e">
        <f>'CHAM CONG'!BA340</f>
        <v>#N/A</v>
      </c>
      <c r="AB324" s="823" t="e">
        <f>'CHAM CONG'!BB340</f>
        <v>#N/A</v>
      </c>
      <c r="AC324" s="823" t="e">
        <f>'CHAM CONG'!BC340</f>
        <v>#N/A</v>
      </c>
      <c r="AD324" s="823" t="e">
        <f>'CHAM CONG'!BD340</f>
        <v>#N/A</v>
      </c>
      <c r="AE324" s="824">
        <f t="shared" si="85"/>
        <v>551.76</v>
      </c>
      <c r="AF324" s="798">
        <f t="shared" ref="AF324:AF335" si="90">J324</f>
        <v>359</v>
      </c>
      <c r="AG324" s="863">
        <f t="shared" ref="AG324:AG335" si="91">K324</f>
        <v>275</v>
      </c>
      <c r="AH324" s="798">
        <f t="shared" ref="AH324:AH335" si="92">H324+P324</f>
        <v>214</v>
      </c>
      <c r="AI324" s="798">
        <f t="shared" ref="AI324:AI335" si="93">I324+Q324</f>
        <v>406</v>
      </c>
      <c r="AJ324" s="802">
        <f t="shared" si="86"/>
        <v>1254</v>
      </c>
      <c r="AP324" s="863">
        <f t="shared" ref="AP324:AP334" si="94">AF324+AH324+AI324+AG324</f>
        <v>1254</v>
      </c>
      <c r="AQ324" s="875"/>
      <c r="AR324" s="832">
        <f t="shared" si="87"/>
        <v>1254</v>
      </c>
      <c r="AS324" s="876">
        <f t="shared" si="88"/>
        <v>551.76</v>
      </c>
      <c r="AT324" s="876">
        <f t="shared" si="89"/>
        <v>0</v>
      </c>
    </row>
    <row r="325" spans="1:46">
      <c r="A325" s="798">
        <v>352</v>
      </c>
      <c r="B325" s="857">
        <v>9</v>
      </c>
      <c r="C325" s="811"/>
      <c r="D325" s="811"/>
      <c r="E325" s="811"/>
      <c r="F325" s="811"/>
      <c r="G325" s="811"/>
      <c r="H325" s="811">
        <v>265</v>
      </c>
      <c r="I325" s="811">
        <v>267</v>
      </c>
      <c r="J325" s="811">
        <v>339</v>
      </c>
      <c r="K325" s="811">
        <v>298</v>
      </c>
      <c r="L325" s="811"/>
      <c r="M325" s="811"/>
      <c r="N325" s="811"/>
      <c r="O325" s="811"/>
      <c r="P325" s="811">
        <v>271</v>
      </c>
      <c r="Q325" s="819">
        <v>209</v>
      </c>
      <c r="R325" s="803"/>
      <c r="S325" s="803"/>
      <c r="T325" s="803"/>
      <c r="U325" s="803"/>
      <c r="V325" s="803"/>
      <c r="W325" s="801">
        <f t="shared" si="83"/>
        <v>1649</v>
      </c>
      <c r="Y325" s="798">
        <f t="shared" si="84"/>
        <v>1649</v>
      </c>
      <c r="AA325" s="823" t="e">
        <f>'CHAM CONG'!BA341</f>
        <v>#N/A</v>
      </c>
      <c r="AB325" s="823" t="e">
        <f>'CHAM CONG'!BB341</f>
        <v>#N/A</v>
      </c>
      <c r="AC325" s="823" t="e">
        <f>'CHAM CONG'!BC341</f>
        <v>#N/A</v>
      </c>
      <c r="AD325" s="823" t="e">
        <f>'CHAM CONG'!BD341</f>
        <v>#N/A</v>
      </c>
      <c r="AE325" s="824">
        <f t="shared" si="85"/>
        <v>725.56</v>
      </c>
      <c r="AF325" s="798">
        <f t="shared" si="90"/>
        <v>339</v>
      </c>
      <c r="AG325" s="863">
        <f t="shared" si="91"/>
        <v>298</v>
      </c>
      <c r="AH325" s="798">
        <f t="shared" si="92"/>
        <v>536</v>
      </c>
      <c r="AI325" s="798">
        <f t="shared" si="93"/>
        <v>476</v>
      </c>
      <c r="AJ325" s="802">
        <f t="shared" si="86"/>
        <v>1649</v>
      </c>
      <c r="AP325" s="863">
        <f t="shared" si="94"/>
        <v>1649</v>
      </c>
      <c r="AQ325" s="875"/>
      <c r="AR325" s="832">
        <f t="shared" si="87"/>
        <v>1649</v>
      </c>
      <c r="AS325" s="876">
        <f t="shared" si="88"/>
        <v>725.56</v>
      </c>
      <c r="AT325" s="876">
        <f t="shared" si="89"/>
        <v>0</v>
      </c>
    </row>
    <row r="326" spans="1:46">
      <c r="A326" s="798">
        <v>353</v>
      </c>
      <c r="B326" s="857">
        <v>9</v>
      </c>
      <c r="C326" s="811"/>
      <c r="D326" s="811"/>
      <c r="E326" s="811"/>
      <c r="F326" s="811"/>
      <c r="G326" s="811"/>
      <c r="H326" s="811">
        <v>164</v>
      </c>
      <c r="I326" s="811">
        <v>194</v>
      </c>
      <c r="J326" s="811">
        <v>107</v>
      </c>
      <c r="K326" s="811">
        <v>281</v>
      </c>
      <c r="L326" s="811"/>
      <c r="M326" s="811"/>
      <c r="N326" s="811"/>
      <c r="O326" s="811"/>
      <c r="P326" s="811">
        <v>308</v>
      </c>
      <c r="Q326" s="819">
        <v>277</v>
      </c>
      <c r="R326" s="803"/>
      <c r="S326" s="803"/>
      <c r="T326" s="803"/>
      <c r="U326" s="803"/>
      <c r="V326" s="803"/>
      <c r="W326" s="801">
        <f t="shared" si="83"/>
        <v>1331</v>
      </c>
      <c r="Y326" s="798">
        <f t="shared" si="84"/>
        <v>1331</v>
      </c>
      <c r="AA326" s="823" t="e">
        <f>'CHAM CONG'!BA342</f>
        <v>#N/A</v>
      </c>
      <c r="AB326" s="823" t="e">
        <f>'CHAM CONG'!BB342</f>
        <v>#N/A</v>
      </c>
      <c r="AC326" s="823" t="e">
        <f>'CHAM CONG'!BC342</f>
        <v>#N/A</v>
      </c>
      <c r="AD326" s="823" t="e">
        <f>'CHAM CONG'!BD342</f>
        <v>#N/A</v>
      </c>
      <c r="AE326" s="824">
        <f t="shared" si="85"/>
        <v>585.64</v>
      </c>
      <c r="AF326" s="798">
        <f t="shared" si="90"/>
        <v>107</v>
      </c>
      <c r="AG326" s="863">
        <f t="shared" si="91"/>
        <v>281</v>
      </c>
      <c r="AH326" s="798">
        <f t="shared" si="92"/>
        <v>472</v>
      </c>
      <c r="AI326" s="798">
        <f t="shared" si="93"/>
        <v>471</v>
      </c>
      <c r="AJ326" s="802">
        <f t="shared" si="86"/>
        <v>1331</v>
      </c>
      <c r="AP326" s="863">
        <f t="shared" si="94"/>
        <v>1331</v>
      </c>
      <c r="AQ326" s="875"/>
      <c r="AR326" s="832">
        <f t="shared" si="87"/>
        <v>1331</v>
      </c>
      <c r="AS326" s="876">
        <f t="shared" si="88"/>
        <v>585.64</v>
      </c>
      <c r="AT326" s="876">
        <f t="shared" si="89"/>
        <v>0</v>
      </c>
    </row>
    <row r="327" spans="1:46">
      <c r="A327" s="798">
        <v>354</v>
      </c>
      <c r="B327" s="857">
        <v>9</v>
      </c>
      <c r="C327" s="811"/>
      <c r="D327" s="811"/>
      <c r="E327" s="811"/>
      <c r="F327" s="811"/>
      <c r="G327" s="811"/>
      <c r="H327" s="811">
        <v>128</v>
      </c>
      <c r="I327" s="811">
        <v>220</v>
      </c>
      <c r="J327" s="811">
        <v>197</v>
      </c>
      <c r="K327" s="811">
        <v>251</v>
      </c>
      <c r="L327" s="811"/>
      <c r="M327" s="811"/>
      <c r="N327" s="811"/>
      <c r="O327" s="811"/>
      <c r="P327" s="811">
        <v>224</v>
      </c>
      <c r="Q327" s="819">
        <v>260</v>
      </c>
      <c r="R327" s="803"/>
      <c r="S327" s="803"/>
      <c r="T327" s="803"/>
      <c r="U327" s="803"/>
      <c r="V327" s="803"/>
      <c r="W327" s="801">
        <f t="shared" si="83"/>
        <v>1280</v>
      </c>
      <c r="Y327" s="798">
        <f t="shared" si="84"/>
        <v>1280</v>
      </c>
      <c r="AA327" s="823" t="e">
        <f>'CHAM CONG'!BA343</f>
        <v>#N/A</v>
      </c>
      <c r="AB327" s="823" t="e">
        <f>'CHAM CONG'!BB343</f>
        <v>#N/A</v>
      </c>
      <c r="AC327" s="823" t="e">
        <f>'CHAM CONG'!BC343</f>
        <v>#N/A</v>
      </c>
      <c r="AD327" s="823" t="e">
        <f>'CHAM CONG'!BD343</f>
        <v>#N/A</v>
      </c>
      <c r="AE327" s="824">
        <f t="shared" si="85"/>
        <v>563.20000000000005</v>
      </c>
      <c r="AF327" s="798">
        <f t="shared" si="90"/>
        <v>197</v>
      </c>
      <c r="AG327" s="863">
        <f t="shared" si="91"/>
        <v>251</v>
      </c>
      <c r="AH327" s="798">
        <f t="shared" si="92"/>
        <v>352</v>
      </c>
      <c r="AI327" s="798">
        <f t="shared" si="93"/>
        <v>480</v>
      </c>
      <c r="AJ327" s="802">
        <f t="shared" si="86"/>
        <v>1280</v>
      </c>
      <c r="AP327" s="863">
        <f t="shared" si="94"/>
        <v>1280</v>
      </c>
      <c r="AQ327" s="875"/>
      <c r="AR327" s="832">
        <f t="shared" si="87"/>
        <v>1280</v>
      </c>
      <c r="AS327" s="876">
        <f t="shared" si="88"/>
        <v>563.20000000000005</v>
      </c>
      <c r="AT327" s="876">
        <f t="shared" si="89"/>
        <v>0</v>
      </c>
    </row>
    <row r="328" spans="1:46">
      <c r="A328" s="798">
        <v>355</v>
      </c>
      <c r="B328" s="857">
        <v>9</v>
      </c>
      <c r="C328" s="811"/>
      <c r="D328" s="811"/>
      <c r="E328" s="811"/>
      <c r="F328" s="811"/>
      <c r="G328" s="811"/>
      <c r="H328" s="811">
        <v>190</v>
      </c>
      <c r="I328" s="811">
        <v>194</v>
      </c>
      <c r="J328" s="811">
        <v>110</v>
      </c>
      <c r="K328" s="811">
        <v>248</v>
      </c>
      <c r="L328" s="811"/>
      <c r="M328" s="811"/>
      <c r="N328" s="811"/>
      <c r="O328" s="811"/>
      <c r="P328" s="811">
        <v>213</v>
      </c>
      <c r="Q328" s="819">
        <v>207</v>
      </c>
      <c r="R328" s="803"/>
      <c r="S328" s="803"/>
      <c r="T328" s="803"/>
      <c r="U328" s="803"/>
      <c r="V328" s="803"/>
      <c r="W328" s="801">
        <f t="shared" si="83"/>
        <v>1162</v>
      </c>
      <c r="Y328" s="798">
        <f t="shared" si="84"/>
        <v>1162</v>
      </c>
      <c r="AA328" s="823" t="e">
        <f>'CHAM CONG'!BA344</f>
        <v>#N/A</v>
      </c>
      <c r="AB328" s="823" t="e">
        <f>'CHAM CONG'!BB344</f>
        <v>#N/A</v>
      </c>
      <c r="AC328" s="823" t="e">
        <f>'CHAM CONG'!BC344</f>
        <v>#N/A</v>
      </c>
      <c r="AD328" s="823" t="e">
        <f>'CHAM CONG'!BD344</f>
        <v>#N/A</v>
      </c>
      <c r="AE328" s="824">
        <f t="shared" si="85"/>
        <v>511.28</v>
      </c>
      <c r="AF328" s="798">
        <f t="shared" si="90"/>
        <v>110</v>
      </c>
      <c r="AG328" s="863">
        <f t="shared" si="91"/>
        <v>248</v>
      </c>
      <c r="AH328" s="798">
        <f t="shared" si="92"/>
        <v>403</v>
      </c>
      <c r="AI328" s="798">
        <f t="shared" si="93"/>
        <v>401</v>
      </c>
      <c r="AJ328" s="802">
        <f t="shared" si="86"/>
        <v>1162</v>
      </c>
      <c r="AP328" s="863">
        <f t="shared" si="94"/>
        <v>1162</v>
      </c>
      <c r="AQ328" s="875"/>
      <c r="AR328" s="832">
        <f t="shared" si="87"/>
        <v>1162</v>
      </c>
      <c r="AS328" s="876">
        <f t="shared" si="88"/>
        <v>511.28</v>
      </c>
      <c r="AT328" s="876">
        <f t="shared" si="89"/>
        <v>0</v>
      </c>
    </row>
    <row r="329" spans="1:46">
      <c r="A329" s="798">
        <v>356</v>
      </c>
      <c r="B329" s="857">
        <v>9</v>
      </c>
      <c r="C329" s="811"/>
      <c r="D329" s="811"/>
      <c r="E329" s="811"/>
      <c r="F329" s="811"/>
      <c r="G329" s="811"/>
      <c r="H329" s="811">
        <v>433</v>
      </c>
      <c r="I329" s="811">
        <v>573</v>
      </c>
      <c r="J329" s="811">
        <v>0</v>
      </c>
      <c r="K329" s="811">
        <v>0</v>
      </c>
      <c r="L329" s="811"/>
      <c r="M329" s="811"/>
      <c r="N329" s="811"/>
      <c r="O329" s="811"/>
      <c r="P329" s="811">
        <v>110</v>
      </c>
      <c r="Q329" s="819">
        <v>232</v>
      </c>
      <c r="R329" s="803"/>
      <c r="S329" s="803"/>
      <c r="T329" s="803"/>
      <c r="U329" s="803"/>
      <c r="V329" s="803"/>
      <c r="W329" s="801">
        <f t="shared" si="83"/>
        <v>1348</v>
      </c>
      <c r="Y329" s="798">
        <f t="shared" si="84"/>
        <v>1348</v>
      </c>
      <c r="AA329" s="823" t="e">
        <f>'CHAM CONG'!BA345</f>
        <v>#N/A</v>
      </c>
      <c r="AB329" s="823" t="e">
        <f>'CHAM CONG'!BB345</f>
        <v>#N/A</v>
      </c>
      <c r="AC329" s="823" t="e">
        <f>'CHAM CONG'!BC345</f>
        <v>#N/A</v>
      </c>
      <c r="AD329" s="823" t="e">
        <f>'CHAM CONG'!BD345</f>
        <v>#N/A</v>
      </c>
      <c r="AE329" s="824">
        <f t="shared" si="85"/>
        <v>593.12</v>
      </c>
      <c r="AF329" s="798">
        <f t="shared" si="90"/>
        <v>0</v>
      </c>
      <c r="AG329" s="863">
        <f t="shared" si="91"/>
        <v>0</v>
      </c>
      <c r="AH329" s="798">
        <f t="shared" si="92"/>
        <v>543</v>
      </c>
      <c r="AI329" s="798">
        <f t="shared" si="93"/>
        <v>805</v>
      </c>
      <c r="AJ329" s="802">
        <f t="shared" si="86"/>
        <v>1348</v>
      </c>
      <c r="AP329" s="863">
        <f t="shared" si="94"/>
        <v>1348</v>
      </c>
      <c r="AQ329" s="875"/>
      <c r="AR329" s="832">
        <f t="shared" si="87"/>
        <v>1348</v>
      </c>
      <c r="AS329" s="876">
        <f t="shared" si="88"/>
        <v>593.12</v>
      </c>
      <c r="AT329" s="876">
        <f t="shared" si="89"/>
        <v>0</v>
      </c>
    </row>
    <row r="330" spans="1:46">
      <c r="A330" s="798">
        <v>357</v>
      </c>
      <c r="B330" s="857">
        <v>9</v>
      </c>
      <c r="C330" s="811"/>
      <c r="D330" s="811"/>
      <c r="E330" s="811"/>
      <c r="F330" s="811"/>
      <c r="G330" s="811"/>
      <c r="H330" s="811">
        <v>208</v>
      </c>
      <c r="I330" s="811">
        <v>194</v>
      </c>
      <c r="J330" s="811">
        <v>284</v>
      </c>
      <c r="K330" s="811">
        <v>307</v>
      </c>
      <c r="L330" s="811"/>
      <c r="M330" s="811"/>
      <c r="N330" s="811"/>
      <c r="O330" s="811"/>
      <c r="P330" s="811">
        <v>220</v>
      </c>
      <c r="Q330" s="819">
        <v>250</v>
      </c>
      <c r="R330" s="803"/>
      <c r="S330" s="803"/>
      <c r="T330" s="803"/>
      <c r="U330" s="803"/>
      <c r="V330" s="803"/>
      <c r="W330" s="801">
        <f t="shared" si="83"/>
        <v>1463</v>
      </c>
      <c r="Y330" s="798">
        <f t="shared" si="84"/>
        <v>1463</v>
      </c>
      <c r="AA330" s="823" t="e">
        <f>'CHAM CONG'!BA346</f>
        <v>#N/A</v>
      </c>
      <c r="AB330" s="823" t="e">
        <f>'CHAM CONG'!BB346</f>
        <v>#N/A</v>
      </c>
      <c r="AC330" s="823" t="e">
        <f>'CHAM CONG'!BC346</f>
        <v>#N/A</v>
      </c>
      <c r="AD330" s="823" t="e">
        <f>'CHAM CONG'!BD346</f>
        <v>#N/A</v>
      </c>
      <c r="AE330" s="824">
        <f t="shared" si="85"/>
        <v>643.72</v>
      </c>
      <c r="AF330" s="798">
        <f t="shared" si="90"/>
        <v>284</v>
      </c>
      <c r="AG330" s="863">
        <f t="shared" si="91"/>
        <v>307</v>
      </c>
      <c r="AH330" s="798">
        <f t="shared" si="92"/>
        <v>428</v>
      </c>
      <c r="AI330" s="798">
        <f t="shared" si="93"/>
        <v>444</v>
      </c>
      <c r="AJ330" s="802">
        <f t="shared" si="86"/>
        <v>1463</v>
      </c>
      <c r="AP330" s="863">
        <f t="shared" si="94"/>
        <v>1463</v>
      </c>
      <c r="AQ330" s="875"/>
      <c r="AR330" s="832">
        <f t="shared" si="87"/>
        <v>1463</v>
      </c>
      <c r="AS330" s="876">
        <f t="shared" si="88"/>
        <v>643.72</v>
      </c>
      <c r="AT330" s="876">
        <f t="shared" si="89"/>
        <v>0</v>
      </c>
    </row>
    <row r="331" spans="1:46">
      <c r="A331" s="798">
        <v>358</v>
      </c>
      <c r="B331" s="857">
        <v>9</v>
      </c>
      <c r="C331" s="811"/>
      <c r="D331" s="811"/>
      <c r="E331" s="811"/>
      <c r="F331" s="811"/>
      <c r="G331" s="811"/>
      <c r="H331" s="811">
        <v>213</v>
      </c>
      <c r="I331" s="811">
        <v>334</v>
      </c>
      <c r="J331" s="811">
        <v>287</v>
      </c>
      <c r="K331" s="811">
        <v>320</v>
      </c>
      <c r="L331" s="811"/>
      <c r="M331" s="811"/>
      <c r="N331" s="811"/>
      <c r="O331" s="811"/>
      <c r="P331" s="811">
        <v>235</v>
      </c>
      <c r="Q331" s="819">
        <v>254</v>
      </c>
      <c r="R331" s="803"/>
      <c r="S331" s="803"/>
      <c r="T331" s="803"/>
      <c r="U331" s="803"/>
      <c r="V331" s="803"/>
      <c r="W331" s="801">
        <f t="shared" si="83"/>
        <v>1643</v>
      </c>
      <c r="Y331" s="798">
        <f t="shared" si="84"/>
        <v>1643</v>
      </c>
      <c r="AA331" s="823" t="e">
        <f>'CHAM CONG'!BA347</f>
        <v>#N/A</v>
      </c>
      <c r="AB331" s="823" t="e">
        <f>'CHAM CONG'!BB347</f>
        <v>#N/A</v>
      </c>
      <c r="AC331" s="823" t="e">
        <f>'CHAM CONG'!BC347</f>
        <v>#N/A</v>
      </c>
      <c r="AD331" s="823" t="e">
        <f>'CHAM CONG'!BD347</f>
        <v>#N/A</v>
      </c>
      <c r="AE331" s="824">
        <f t="shared" si="85"/>
        <v>722.92</v>
      </c>
      <c r="AF331" s="798">
        <f t="shared" si="90"/>
        <v>287</v>
      </c>
      <c r="AG331" s="863">
        <f t="shared" si="91"/>
        <v>320</v>
      </c>
      <c r="AH331" s="798">
        <f t="shared" si="92"/>
        <v>448</v>
      </c>
      <c r="AI331" s="798">
        <f t="shared" si="93"/>
        <v>588</v>
      </c>
      <c r="AJ331" s="802">
        <f t="shared" si="86"/>
        <v>1643</v>
      </c>
      <c r="AP331" s="863">
        <f t="shared" si="94"/>
        <v>1643</v>
      </c>
      <c r="AQ331" s="875"/>
      <c r="AR331" s="832">
        <f t="shared" si="87"/>
        <v>1643</v>
      </c>
      <c r="AS331" s="876">
        <f t="shared" si="88"/>
        <v>722.92</v>
      </c>
      <c r="AT331" s="876">
        <f t="shared" si="89"/>
        <v>0</v>
      </c>
    </row>
    <row r="332" spans="1:46">
      <c r="A332" s="798">
        <v>359</v>
      </c>
      <c r="B332" s="857">
        <v>9</v>
      </c>
      <c r="C332" s="811"/>
      <c r="D332" s="811"/>
      <c r="E332" s="811"/>
      <c r="F332" s="811"/>
      <c r="G332" s="811"/>
      <c r="H332" s="811">
        <v>60</v>
      </c>
      <c r="I332" s="811">
        <v>206</v>
      </c>
      <c r="J332" s="811">
        <v>179</v>
      </c>
      <c r="K332" s="811">
        <v>205</v>
      </c>
      <c r="L332" s="811"/>
      <c r="M332" s="811"/>
      <c r="N332" s="811"/>
      <c r="O332" s="811"/>
      <c r="P332" s="811">
        <v>251</v>
      </c>
      <c r="Q332" s="819">
        <v>248</v>
      </c>
      <c r="R332" s="803"/>
      <c r="S332" s="803"/>
      <c r="T332" s="803"/>
      <c r="U332" s="803"/>
      <c r="V332" s="803"/>
      <c r="W332" s="801">
        <f t="shared" si="83"/>
        <v>1149</v>
      </c>
      <c r="Y332" s="798">
        <f t="shared" si="84"/>
        <v>1149</v>
      </c>
      <c r="AA332" s="823" t="e">
        <f>'CHAM CONG'!BA348</f>
        <v>#N/A</v>
      </c>
      <c r="AB332" s="823" t="e">
        <f>'CHAM CONG'!BB348</f>
        <v>#N/A</v>
      </c>
      <c r="AC332" s="823" t="e">
        <f>'CHAM CONG'!BC348</f>
        <v>#N/A</v>
      </c>
      <c r="AD332" s="823" t="e">
        <f>'CHAM CONG'!BD348</f>
        <v>#N/A</v>
      </c>
      <c r="AE332" s="824">
        <f t="shared" si="85"/>
        <v>505.56</v>
      </c>
      <c r="AF332" s="798">
        <f t="shared" si="90"/>
        <v>179</v>
      </c>
      <c r="AG332" s="863">
        <f t="shared" si="91"/>
        <v>205</v>
      </c>
      <c r="AH332" s="798">
        <f t="shared" si="92"/>
        <v>311</v>
      </c>
      <c r="AI332" s="798">
        <f t="shared" si="93"/>
        <v>454</v>
      </c>
      <c r="AJ332" s="802">
        <f t="shared" si="86"/>
        <v>1149</v>
      </c>
      <c r="AP332" s="863">
        <f t="shared" si="94"/>
        <v>1149</v>
      </c>
      <c r="AQ332" s="875"/>
      <c r="AR332" s="832">
        <f t="shared" si="87"/>
        <v>1149</v>
      </c>
      <c r="AS332" s="876">
        <f t="shared" si="88"/>
        <v>505.56</v>
      </c>
      <c r="AT332" s="876">
        <f t="shared" si="89"/>
        <v>0</v>
      </c>
    </row>
    <row r="333" spans="1:46">
      <c r="A333" s="798">
        <v>360</v>
      </c>
      <c r="B333" s="857">
        <v>9</v>
      </c>
      <c r="C333" s="811"/>
      <c r="D333" s="811"/>
      <c r="E333" s="811"/>
      <c r="F333" s="811"/>
      <c r="G333" s="811"/>
      <c r="H333" s="811">
        <v>113</v>
      </c>
      <c r="I333" s="811">
        <v>148</v>
      </c>
      <c r="J333" s="811">
        <v>204</v>
      </c>
      <c r="K333" s="811">
        <v>252</v>
      </c>
      <c r="L333" s="811"/>
      <c r="M333" s="811"/>
      <c r="N333" s="811"/>
      <c r="O333" s="811"/>
      <c r="P333" s="811">
        <v>156</v>
      </c>
      <c r="Q333" s="819">
        <v>116</v>
      </c>
      <c r="R333" s="803"/>
      <c r="S333" s="803"/>
      <c r="T333" s="803"/>
      <c r="U333" s="803"/>
      <c r="V333" s="803"/>
      <c r="W333" s="801">
        <f t="shared" si="83"/>
        <v>989</v>
      </c>
      <c r="Y333" s="798">
        <f t="shared" si="84"/>
        <v>989</v>
      </c>
      <c r="AA333" s="823" t="e">
        <f>'CHAM CONG'!BA349</f>
        <v>#N/A</v>
      </c>
      <c r="AB333" s="823" t="e">
        <f>'CHAM CONG'!BB349</f>
        <v>#N/A</v>
      </c>
      <c r="AC333" s="823" t="e">
        <f>'CHAM CONG'!BC349</f>
        <v>#N/A</v>
      </c>
      <c r="AD333" s="823" t="e">
        <f>'CHAM CONG'!BD349</f>
        <v>#N/A</v>
      </c>
      <c r="AE333" s="824">
        <f t="shared" si="85"/>
        <v>435.16</v>
      </c>
      <c r="AF333" s="798">
        <f t="shared" si="90"/>
        <v>204</v>
      </c>
      <c r="AG333" s="863">
        <f t="shared" si="91"/>
        <v>252</v>
      </c>
      <c r="AH333" s="798">
        <f t="shared" si="92"/>
        <v>269</v>
      </c>
      <c r="AI333" s="798">
        <f t="shared" si="93"/>
        <v>264</v>
      </c>
      <c r="AJ333" s="802">
        <f t="shared" si="86"/>
        <v>989</v>
      </c>
      <c r="AP333" s="863">
        <f t="shared" si="94"/>
        <v>989</v>
      </c>
      <c r="AQ333" s="875"/>
      <c r="AR333" s="832">
        <f t="shared" si="87"/>
        <v>989</v>
      </c>
      <c r="AS333" s="876">
        <f t="shared" si="88"/>
        <v>435.16</v>
      </c>
      <c r="AT333" s="876">
        <f t="shared" si="89"/>
        <v>0</v>
      </c>
    </row>
    <row r="334" spans="1:46">
      <c r="A334" s="798">
        <v>361</v>
      </c>
      <c r="B334" s="857">
        <v>9</v>
      </c>
      <c r="C334" s="811"/>
      <c r="D334" s="811"/>
      <c r="E334" s="811"/>
      <c r="F334" s="811"/>
      <c r="G334" s="811"/>
      <c r="H334" s="811">
        <v>67</v>
      </c>
      <c r="I334" s="811">
        <v>128</v>
      </c>
      <c r="J334" s="811">
        <v>202</v>
      </c>
      <c r="K334" s="811">
        <v>248</v>
      </c>
      <c r="L334" s="811"/>
      <c r="M334" s="811"/>
      <c r="N334" s="811"/>
      <c r="O334" s="811"/>
      <c r="P334" s="811">
        <v>146</v>
      </c>
      <c r="Q334" s="819">
        <v>259</v>
      </c>
      <c r="R334" s="803"/>
      <c r="S334" s="803"/>
      <c r="T334" s="803"/>
      <c r="U334" s="803"/>
      <c r="V334" s="803"/>
      <c r="W334" s="801">
        <f t="shared" si="83"/>
        <v>1050</v>
      </c>
      <c r="Y334" s="798">
        <f t="shared" si="84"/>
        <v>1050</v>
      </c>
      <c r="AA334" s="823" t="e">
        <f>'CHAM CONG'!BA350</f>
        <v>#N/A</v>
      </c>
      <c r="AB334" s="823" t="e">
        <f>'CHAM CONG'!BB350</f>
        <v>#N/A</v>
      </c>
      <c r="AC334" s="823" t="e">
        <f>'CHAM CONG'!BC350</f>
        <v>#N/A</v>
      </c>
      <c r="AD334" s="823" t="e">
        <f>'CHAM CONG'!BD350</f>
        <v>#N/A</v>
      </c>
      <c r="AE334" s="824">
        <f t="shared" si="85"/>
        <v>462</v>
      </c>
      <c r="AF334" s="798">
        <f t="shared" si="90"/>
        <v>202</v>
      </c>
      <c r="AG334" s="863">
        <f t="shared" si="91"/>
        <v>248</v>
      </c>
      <c r="AH334" s="798">
        <f t="shared" si="92"/>
        <v>213</v>
      </c>
      <c r="AI334" s="798">
        <f t="shared" si="93"/>
        <v>387</v>
      </c>
      <c r="AJ334" s="802">
        <f t="shared" si="86"/>
        <v>1050</v>
      </c>
      <c r="AP334" s="863">
        <f t="shared" si="94"/>
        <v>1050</v>
      </c>
      <c r="AQ334" s="875"/>
      <c r="AR334" s="832">
        <f t="shared" si="87"/>
        <v>1050</v>
      </c>
      <c r="AS334" s="876">
        <f t="shared" si="88"/>
        <v>462</v>
      </c>
      <c r="AT334" s="876">
        <f t="shared" si="89"/>
        <v>0</v>
      </c>
    </row>
    <row r="335" spans="1:46">
      <c r="A335" s="798">
        <v>362</v>
      </c>
      <c r="B335" s="857">
        <v>9</v>
      </c>
      <c r="C335" s="811"/>
      <c r="D335" s="811"/>
      <c r="E335" s="811"/>
      <c r="F335" s="811"/>
      <c r="G335" s="811"/>
      <c r="H335" s="811">
        <v>0</v>
      </c>
      <c r="I335" s="811">
        <v>0</v>
      </c>
      <c r="J335" s="811">
        <v>0</v>
      </c>
      <c r="K335" s="811">
        <v>0</v>
      </c>
      <c r="L335" s="811"/>
      <c r="M335" s="811"/>
      <c r="N335" s="811"/>
      <c r="O335" s="811"/>
      <c r="P335" s="811">
        <v>143</v>
      </c>
      <c r="Q335" s="819">
        <v>118</v>
      </c>
      <c r="R335" s="803"/>
      <c r="S335" s="803"/>
      <c r="T335" s="803"/>
      <c r="U335" s="803"/>
      <c r="V335" s="803"/>
      <c r="W335" s="801">
        <f t="shared" si="83"/>
        <v>261</v>
      </c>
      <c r="Y335" s="798">
        <f t="shared" si="84"/>
        <v>261</v>
      </c>
      <c r="AA335" s="823" t="e">
        <f>'CHAM CONG'!BA351</f>
        <v>#N/A</v>
      </c>
      <c r="AB335" s="823" t="e">
        <f>'CHAM CONG'!BB351</f>
        <v>#N/A</v>
      </c>
      <c r="AC335" s="823" t="e">
        <f>'CHAM CONG'!BC351</f>
        <v>#N/A</v>
      </c>
      <c r="AD335" s="823" t="e">
        <f>'CHAM CONG'!BD351</f>
        <v>#N/A</v>
      </c>
      <c r="AE335" s="824">
        <f t="shared" si="85"/>
        <v>114.84</v>
      </c>
      <c r="AF335" s="862">
        <f t="shared" si="90"/>
        <v>0</v>
      </c>
      <c r="AG335" s="863">
        <f t="shared" si="91"/>
        <v>0</v>
      </c>
      <c r="AH335" s="798">
        <f t="shared" si="92"/>
        <v>143</v>
      </c>
      <c r="AI335" s="798">
        <f t="shared" si="93"/>
        <v>118</v>
      </c>
      <c r="AJ335" s="802">
        <f t="shared" si="86"/>
        <v>261</v>
      </c>
      <c r="AP335" s="863">
        <f>AH335+AI335+AG335</f>
        <v>261</v>
      </c>
      <c r="AQ335" s="875">
        <f>AF335</f>
        <v>0</v>
      </c>
      <c r="AR335" s="832">
        <f t="shared" si="87"/>
        <v>261</v>
      </c>
      <c r="AS335" s="876">
        <f t="shared" si="88"/>
        <v>114.84</v>
      </c>
      <c r="AT335" s="876">
        <f t="shared" si="89"/>
        <v>0</v>
      </c>
    </row>
    <row r="336" spans="1:46">
      <c r="A336" s="798">
        <v>363</v>
      </c>
      <c r="B336" s="857">
        <v>9</v>
      </c>
      <c r="C336" s="811"/>
      <c r="D336" s="811"/>
      <c r="E336" s="811"/>
      <c r="F336" s="811"/>
      <c r="G336" s="811"/>
      <c r="H336" s="811">
        <v>0</v>
      </c>
      <c r="I336" s="811">
        <v>204</v>
      </c>
      <c r="J336" s="811">
        <v>173</v>
      </c>
      <c r="K336" s="811">
        <v>291</v>
      </c>
      <c r="L336" s="811"/>
      <c r="M336" s="811"/>
      <c r="N336" s="811"/>
      <c r="O336" s="811"/>
      <c r="P336" s="811">
        <v>181</v>
      </c>
      <c r="Q336" s="819">
        <v>226</v>
      </c>
      <c r="R336" s="803"/>
      <c r="S336" s="803"/>
      <c r="T336" s="803"/>
      <c r="U336" s="803"/>
      <c r="V336" s="803"/>
      <c r="W336" s="801">
        <f t="shared" si="83"/>
        <v>1075</v>
      </c>
      <c r="Y336" s="798">
        <f t="shared" si="84"/>
        <v>1075</v>
      </c>
      <c r="AA336" s="823" t="e">
        <f>'CHAM CONG'!BA352</f>
        <v>#N/A</v>
      </c>
      <c r="AB336" s="823" t="e">
        <f>'CHAM CONG'!BB352</f>
        <v>#N/A</v>
      </c>
      <c r="AC336" s="823" t="e">
        <f>'CHAM CONG'!BC352</f>
        <v>#N/A</v>
      </c>
      <c r="AD336" s="823" t="e">
        <f>'CHAM CONG'!BD352</f>
        <v>#N/A</v>
      </c>
      <c r="AE336" s="824">
        <f t="shared" si="85"/>
        <v>473</v>
      </c>
      <c r="AF336" s="862">
        <f t="shared" ref="AF336:AF359" si="95">J336</f>
        <v>173</v>
      </c>
      <c r="AG336" s="863">
        <f t="shared" ref="AG336:AG359" si="96">K336</f>
        <v>291</v>
      </c>
      <c r="AH336" s="798">
        <f t="shared" ref="AH336:AH359" si="97">H336+P336</f>
        <v>181</v>
      </c>
      <c r="AI336" s="798">
        <f t="shared" ref="AI336:AI359" si="98">I336+Q336</f>
        <v>430</v>
      </c>
      <c r="AJ336" s="802">
        <f t="shared" si="86"/>
        <v>1075</v>
      </c>
      <c r="AP336" s="863">
        <f t="shared" ref="AP336:AP358" si="99">AH336+AI336+AG336</f>
        <v>902</v>
      </c>
      <c r="AQ336" s="875">
        <f>AF336</f>
        <v>173</v>
      </c>
      <c r="AR336" s="832">
        <f t="shared" si="87"/>
        <v>1075</v>
      </c>
      <c r="AS336" s="876">
        <f t="shared" si="88"/>
        <v>396.88</v>
      </c>
      <c r="AT336" s="876">
        <f t="shared" si="89"/>
        <v>76.12</v>
      </c>
    </row>
    <row r="337" spans="1:46">
      <c r="A337" s="798">
        <v>364</v>
      </c>
      <c r="B337" s="857">
        <v>9</v>
      </c>
      <c r="C337" s="811"/>
      <c r="D337" s="811"/>
      <c r="E337" s="811"/>
      <c r="F337" s="811"/>
      <c r="G337" s="811"/>
      <c r="H337" s="811">
        <v>0</v>
      </c>
      <c r="I337" s="811">
        <v>142</v>
      </c>
      <c r="J337" s="811">
        <v>126</v>
      </c>
      <c r="K337" s="811">
        <v>212</v>
      </c>
      <c r="L337" s="811"/>
      <c r="M337" s="811"/>
      <c r="N337" s="811"/>
      <c r="O337" s="811"/>
      <c r="P337" s="811">
        <v>183</v>
      </c>
      <c r="Q337" s="819">
        <v>219</v>
      </c>
      <c r="R337" s="803"/>
      <c r="S337" s="803"/>
      <c r="T337" s="803"/>
      <c r="U337" s="803"/>
      <c r="V337" s="803"/>
      <c r="W337" s="801">
        <f t="shared" si="83"/>
        <v>882</v>
      </c>
      <c r="Y337" s="798">
        <f t="shared" si="84"/>
        <v>882</v>
      </c>
      <c r="AA337" s="823" t="e">
        <f>'CHAM CONG'!BA353</f>
        <v>#N/A</v>
      </c>
      <c r="AB337" s="823" t="e">
        <f>'CHAM CONG'!BB353</f>
        <v>#N/A</v>
      </c>
      <c r="AC337" s="823" t="e">
        <f>'CHAM CONG'!BC353</f>
        <v>#N/A</v>
      </c>
      <c r="AD337" s="823" t="e">
        <f>'CHAM CONG'!BD353</f>
        <v>#N/A</v>
      </c>
      <c r="AE337" s="824">
        <f t="shared" si="85"/>
        <v>388.08</v>
      </c>
      <c r="AF337" s="862">
        <f t="shared" si="95"/>
        <v>126</v>
      </c>
      <c r="AG337" s="863">
        <f t="shared" si="96"/>
        <v>212</v>
      </c>
      <c r="AH337" s="798">
        <f t="shared" si="97"/>
        <v>183</v>
      </c>
      <c r="AI337" s="798">
        <f t="shared" si="98"/>
        <v>361</v>
      </c>
      <c r="AJ337" s="802">
        <f t="shared" si="86"/>
        <v>882</v>
      </c>
      <c r="AP337" s="863">
        <f t="shared" si="99"/>
        <v>756</v>
      </c>
      <c r="AQ337" s="875">
        <f t="shared" ref="AQ337:AQ358" si="100">AF337</f>
        <v>126</v>
      </c>
      <c r="AR337" s="832">
        <f t="shared" si="87"/>
        <v>882</v>
      </c>
      <c r="AS337" s="876">
        <f t="shared" si="88"/>
        <v>332.64</v>
      </c>
      <c r="AT337" s="876">
        <f t="shared" si="89"/>
        <v>55.44</v>
      </c>
    </row>
    <row r="338" spans="1:46">
      <c r="A338" s="798">
        <v>365</v>
      </c>
      <c r="B338" s="857">
        <v>9</v>
      </c>
      <c r="C338" s="811"/>
      <c r="D338" s="811"/>
      <c r="E338" s="811"/>
      <c r="F338" s="811"/>
      <c r="G338" s="811"/>
      <c r="H338" s="811">
        <v>158</v>
      </c>
      <c r="I338" s="811">
        <v>272</v>
      </c>
      <c r="J338" s="811">
        <v>240</v>
      </c>
      <c r="K338" s="811">
        <v>296</v>
      </c>
      <c r="L338" s="811"/>
      <c r="M338" s="811"/>
      <c r="N338" s="811"/>
      <c r="O338" s="811"/>
      <c r="P338" s="811">
        <v>166</v>
      </c>
      <c r="Q338" s="819">
        <v>200</v>
      </c>
      <c r="R338" s="803"/>
      <c r="S338" s="803"/>
      <c r="T338" s="803"/>
      <c r="U338" s="803"/>
      <c r="V338" s="803"/>
      <c r="W338" s="801">
        <f t="shared" si="83"/>
        <v>1332</v>
      </c>
      <c r="Y338" s="798">
        <f t="shared" si="84"/>
        <v>1332</v>
      </c>
      <c r="AA338" s="823" t="e">
        <f>'CHAM CONG'!BA354</f>
        <v>#N/A</v>
      </c>
      <c r="AB338" s="823" t="e">
        <f>'CHAM CONG'!BB354</f>
        <v>#N/A</v>
      </c>
      <c r="AC338" s="823" t="e">
        <f>'CHAM CONG'!BC354</f>
        <v>#N/A</v>
      </c>
      <c r="AD338" s="823" t="e">
        <f>'CHAM CONG'!BD354</f>
        <v>#N/A</v>
      </c>
      <c r="AE338" s="824">
        <f t="shared" si="85"/>
        <v>586.08000000000004</v>
      </c>
      <c r="AF338" s="862">
        <f t="shared" si="95"/>
        <v>240</v>
      </c>
      <c r="AG338" s="863">
        <f t="shared" si="96"/>
        <v>296</v>
      </c>
      <c r="AH338" s="798">
        <f t="shared" si="97"/>
        <v>324</v>
      </c>
      <c r="AI338" s="798">
        <f t="shared" si="98"/>
        <v>472</v>
      </c>
      <c r="AJ338" s="802">
        <f t="shared" si="86"/>
        <v>1332</v>
      </c>
      <c r="AP338" s="863">
        <f t="shared" si="99"/>
        <v>1092</v>
      </c>
      <c r="AQ338" s="875">
        <f t="shared" si="100"/>
        <v>240</v>
      </c>
      <c r="AR338" s="832">
        <f t="shared" si="87"/>
        <v>1332</v>
      </c>
      <c r="AS338" s="876">
        <f t="shared" si="88"/>
        <v>480.48</v>
      </c>
      <c r="AT338" s="876">
        <f t="shared" si="89"/>
        <v>105.6</v>
      </c>
    </row>
    <row r="339" spans="1:46">
      <c r="A339" s="798">
        <v>366</v>
      </c>
      <c r="B339" s="857">
        <v>9</v>
      </c>
      <c r="C339" s="811"/>
      <c r="D339" s="811"/>
      <c r="E339" s="811"/>
      <c r="F339" s="811"/>
      <c r="G339" s="811"/>
      <c r="H339" s="811">
        <v>83</v>
      </c>
      <c r="I339" s="811">
        <v>153</v>
      </c>
      <c r="J339" s="811">
        <v>252</v>
      </c>
      <c r="K339" s="811">
        <v>262</v>
      </c>
      <c r="L339" s="811"/>
      <c r="M339" s="811"/>
      <c r="N339" s="811"/>
      <c r="O339" s="811"/>
      <c r="P339" s="811">
        <v>263</v>
      </c>
      <c r="Q339" s="819">
        <v>197</v>
      </c>
      <c r="R339" s="803"/>
      <c r="S339" s="803"/>
      <c r="T339" s="803"/>
      <c r="U339" s="803"/>
      <c r="V339" s="803"/>
      <c r="W339" s="801">
        <f t="shared" si="83"/>
        <v>1210</v>
      </c>
      <c r="Y339" s="798">
        <f t="shared" si="84"/>
        <v>1210</v>
      </c>
      <c r="AA339" s="823" t="e">
        <f>'CHAM CONG'!BA355</f>
        <v>#N/A</v>
      </c>
      <c r="AB339" s="823" t="e">
        <f>'CHAM CONG'!BB355</f>
        <v>#N/A</v>
      </c>
      <c r="AC339" s="823" t="e">
        <f>'CHAM CONG'!BC355</f>
        <v>#N/A</v>
      </c>
      <c r="AD339" s="823" t="e">
        <f>'CHAM CONG'!BD355</f>
        <v>#N/A</v>
      </c>
      <c r="AE339" s="824">
        <f t="shared" si="85"/>
        <v>532.4</v>
      </c>
      <c r="AF339" s="862">
        <f t="shared" si="95"/>
        <v>252</v>
      </c>
      <c r="AG339" s="863">
        <f t="shared" si="96"/>
        <v>262</v>
      </c>
      <c r="AH339" s="798">
        <f t="shared" si="97"/>
        <v>346</v>
      </c>
      <c r="AI339" s="798">
        <f t="shared" si="98"/>
        <v>350</v>
      </c>
      <c r="AJ339" s="802">
        <f t="shared" si="86"/>
        <v>1210</v>
      </c>
      <c r="AP339" s="863">
        <f t="shared" si="99"/>
        <v>958</v>
      </c>
      <c r="AQ339" s="875">
        <f t="shared" si="100"/>
        <v>252</v>
      </c>
      <c r="AR339" s="832">
        <f t="shared" si="87"/>
        <v>1210</v>
      </c>
      <c r="AS339" s="876">
        <f t="shared" si="88"/>
        <v>421.52</v>
      </c>
      <c r="AT339" s="876">
        <f t="shared" si="89"/>
        <v>110.88</v>
      </c>
    </row>
    <row r="340" spans="1:46">
      <c r="A340" s="798">
        <v>367</v>
      </c>
      <c r="B340" s="857">
        <v>9</v>
      </c>
      <c r="C340" s="811"/>
      <c r="D340" s="811"/>
      <c r="E340" s="811"/>
      <c r="F340" s="811"/>
      <c r="G340" s="811"/>
      <c r="H340" s="811">
        <v>207</v>
      </c>
      <c r="I340" s="811">
        <v>144</v>
      </c>
      <c r="J340" s="811">
        <v>266</v>
      </c>
      <c r="K340" s="811">
        <v>320</v>
      </c>
      <c r="L340" s="811"/>
      <c r="M340" s="811"/>
      <c r="N340" s="811"/>
      <c r="O340" s="811"/>
      <c r="P340" s="811">
        <v>221</v>
      </c>
      <c r="Q340" s="819">
        <v>180</v>
      </c>
      <c r="R340" s="803"/>
      <c r="S340" s="803"/>
      <c r="T340" s="803"/>
      <c r="U340" s="803"/>
      <c r="V340" s="803"/>
      <c r="W340" s="801">
        <f t="shared" si="83"/>
        <v>1338</v>
      </c>
      <c r="Y340" s="798">
        <f t="shared" si="84"/>
        <v>1338</v>
      </c>
      <c r="AA340" s="823" t="e">
        <f>'CHAM CONG'!BA356</f>
        <v>#N/A</v>
      </c>
      <c r="AB340" s="823" t="e">
        <f>'CHAM CONG'!BB356</f>
        <v>#N/A</v>
      </c>
      <c r="AC340" s="823" t="e">
        <f>'CHAM CONG'!BC356</f>
        <v>#N/A</v>
      </c>
      <c r="AD340" s="823" t="e">
        <f>'CHAM CONG'!BD356</f>
        <v>#N/A</v>
      </c>
      <c r="AE340" s="824">
        <f t="shared" si="85"/>
        <v>588.72</v>
      </c>
      <c r="AF340" s="862">
        <f t="shared" si="95"/>
        <v>266</v>
      </c>
      <c r="AG340" s="863">
        <f t="shared" si="96"/>
        <v>320</v>
      </c>
      <c r="AH340" s="798">
        <f t="shared" si="97"/>
        <v>428</v>
      </c>
      <c r="AI340" s="798">
        <f t="shared" si="98"/>
        <v>324</v>
      </c>
      <c r="AJ340" s="802">
        <f t="shared" si="86"/>
        <v>1338</v>
      </c>
      <c r="AP340" s="863">
        <f t="shared" si="99"/>
        <v>1072</v>
      </c>
      <c r="AQ340" s="875">
        <f t="shared" si="100"/>
        <v>266</v>
      </c>
      <c r="AR340" s="832">
        <f t="shared" si="87"/>
        <v>1338</v>
      </c>
      <c r="AS340" s="876">
        <f t="shared" si="88"/>
        <v>471.68</v>
      </c>
      <c r="AT340" s="876">
        <f t="shared" si="89"/>
        <v>117.04</v>
      </c>
    </row>
    <row r="341" spans="1:46" s="9" customFormat="1">
      <c r="A341" s="9">
        <v>368</v>
      </c>
      <c r="B341" s="857">
        <v>9</v>
      </c>
      <c r="C341" s="811"/>
      <c r="D341" s="811"/>
      <c r="E341" s="811"/>
      <c r="F341" s="811"/>
      <c r="G341" s="811"/>
      <c r="H341" s="811">
        <v>214</v>
      </c>
      <c r="I341" s="811">
        <v>92</v>
      </c>
      <c r="J341" s="811">
        <v>200</v>
      </c>
      <c r="K341" s="811">
        <v>237</v>
      </c>
      <c r="L341" s="811"/>
      <c r="M341" s="811"/>
      <c r="N341" s="811"/>
      <c r="O341" s="811"/>
      <c r="P341" s="811">
        <v>259</v>
      </c>
      <c r="Q341" s="819">
        <v>122</v>
      </c>
      <c r="R341" s="811"/>
      <c r="S341" s="811"/>
      <c r="T341" s="811"/>
      <c r="U341" s="811"/>
      <c r="V341" s="811"/>
      <c r="W341" s="801">
        <f t="shared" si="83"/>
        <v>1124</v>
      </c>
      <c r="Y341" s="9">
        <f t="shared" si="84"/>
        <v>1124</v>
      </c>
      <c r="AA341" s="825" t="e">
        <f>'CHAM CONG'!BA357</f>
        <v>#N/A</v>
      </c>
      <c r="AB341" s="825" t="e">
        <f>'CHAM CONG'!BB357</f>
        <v>#N/A</v>
      </c>
      <c r="AC341" s="825" t="e">
        <f>'CHAM CONG'!BC357</f>
        <v>#N/A</v>
      </c>
      <c r="AD341" s="825" t="e">
        <f>'CHAM CONG'!BD357</f>
        <v>#N/A</v>
      </c>
      <c r="AE341" s="824">
        <f t="shared" si="85"/>
        <v>494.56</v>
      </c>
      <c r="AF341" s="862">
        <f t="shared" si="95"/>
        <v>200</v>
      </c>
      <c r="AG341" s="863">
        <f t="shared" si="96"/>
        <v>237</v>
      </c>
      <c r="AH341" s="798">
        <f t="shared" si="97"/>
        <v>473</v>
      </c>
      <c r="AI341" s="798">
        <f t="shared" si="98"/>
        <v>214</v>
      </c>
      <c r="AJ341" s="833">
        <f t="shared" si="86"/>
        <v>1124</v>
      </c>
      <c r="AP341" s="863">
        <f t="shared" si="99"/>
        <v>924</v>
      </c>
      <c r="AQ341" s="875">
        <f t="shared" si="100"/>
        <v>200</v>
      </c>
      <c r="AR341" s="832">
        <f t="shared" si="87"/>
        <v>1124</v>
      </c>
      <c r="AS341" s="876">
        <f t="shared" si="88"/>
        <v>406.56</v>
      </c>
      <c r="AT341" s="876">
        <f t="shared" si="89"/>
        <v>88</v>
      </c>
    </row>
    <row r="342" spans="1:46" s="9" customFormat="1">
      <c r="A342" s="9">
        <v>369</v>
      </c>
      <c r="B342" s="857">
        <v>9</v>
      </c>
      <c r="C342" s="811"/>
      <c r="D342" s="811"/>
      <c r="E342" s="811"/>
      <c r="F342" s="811"/>
      <c r="G342" s="811"/>
      <c r="H342" s="811">
        <v>173</v>
      </c>
      <c r="I342" s="811">
        <v>127</v>
      </c>
      <c r="J342" s="811">
        <v>177</v>
      </c>
      <c r="K342" s="811">
        <v>281</v>
      </c>
      <c r="L342" s="811"/>
      <c r="M342" s="811"/>
      <c r="N342" s="811"/>
      <c r="O342" s="811"/>
      <c r="P342" s="811">
        <v>96</v>
      </c>
      <c r="Q342" s="819">
        <v>146</v>
      </c>
      <c r="R342" s="811"/>
      <c r="S342" s="811"/>
      <c r="T342" s="811"/>
      <c r="U342" s="811"/>
      <c r="V342" s="811"/>
      <c r="W342" s="801">
        <f t="shared" si="83"/>
        <v>1000</v>
      </c>
      <c r="Y342" s="9">
        <f t="shared" si="84"/>
        <v>1000</v>
      </c>
      <c r="AA342" s="825" t="e">
        <f>'CHAM CONG'!#REF!</f>
        <v>#REF!</v>
      </c>
      <c r="AB342" s="825" t="e">
        <f>'CHAM CONG'!#REF!</f>
        <v>#REF!</v>
      </c>
      <c r="AC342" s="825" t="e">
        <f>'CHAM CONG'!#REF!</f>
        <v>#REF!</v>
      </c>
      <c r="AD342" s="825" t="e">
        <f>'CHAM CONG'!#REF!</f>
        <v>#REF!</v>
      </c>
      <c r="AE342" s="824">
        <f t="shared" si="85"/>
        <v>440</v>
      </c>
      <c r="AF342" s="862">
        <f t="shared" si="95"/>
        <v>177</v>
      </c>
      <c r="AG342" s="863">
        <f t="shared" si="96"/>
        <v>281</v>
      </c>
      <c r="AH342" s="798">
        <f t="shared" si="97"/>
        <v>269</v>
      </c>
      <c r="AI342" s="798">
        <f t="shared" si="98"/>
        <v>273</v>
      </c>
      <c r="AJ342" s="833">
        <f t="shared" si="86"/>
        <v>1000</v>
      </c>
      <c r="AP342" s="863">
        <f t="shared" si="99"/>
        <v>823</v>
      </c>
      <c r="AQ342" s="875">
        <f t="shared" si="100"/>
        <v>177</v>
      </c>
      <c r="AR342" s="832">
        <f t="shared" si="87"/>
        <v>1000</v>
      </c>
      <c r="AS342" s="876">
        <f t="shared" si="88"/>
        <v>362.12</v>
      </c>
      <c r="AT342" s="876">
        <f t="shared" si="89"/>
        <v>77.88</v>
      </c>
    </row>
    <row r="343" spans="1:46" s="9" customFormat="1">
      <c r="A343" s="9">
        <v>370</v>
      </c>
      <c r="B343" s="857">
        <v>9</v>
      </c>
      <c r="C343" s="811"/>
      <c r="D343" s="811"/>
      <c r="E343" s="811"/>
      <c r="F343" s="811"/>
      <c r="G343" s="811"/>
      <c r="H343" s="811">
        <v>151</v>
      </c>
      <c r="I343" s="811">
        <v>133</v>
      </c>
      <c r="J343" s="811">
        <v>207</v>
      </c>
      <c r="K343" s="811">
        <v>254</v>
      </c>
      <c r="L343" s="811"/>
      <c r="M343" s="811"/>
      <c r="N343" s="811"/>
      <c r="O343" s="811"/>
      <c r="P343" s="811">
        <v>95</v>
      </c>
      <c r="Q343" s="819">
        <v>144</v>
      </c>
      <c r="R343" s="811"/>
      <c r="S343" s="811"/>
      <c r="T343" s="811"/>
      <c r="U343" s="811"/>
      <c r="V343" s="811"/>
      <c r="W343" s="801">
        <f t="shared" si="83"/>
        <v>984</v>
      </c>
      <c r="Y343" s="9">
        <f t="shared" si="84"/>
        <v>984</v>
      </c>
      <c r="AA343" s="825" t="e">
        <f>'CHAM CONG'!#REF!</f>
        <v>#REF!</v>
      </c>
      <c r="AB343" s="825" t="e">
        <f>'CHAM CONG'!#REF!</f>
        <v>#REF!</v>
      </c>
      <c r="AC343" s="825" t="e">
        <f>'CHAM CONG'!#REF!</f>
        <v>#REF!</v>
      </c>
      <c r="AD343" s="825" t="e">
        <f>'CHAM CONG'!#REF!</f>
        <v>#REF!</v>
      </c>
      <c r="AE343" s="824">
        <f t="shared" si="85"/>
        <v>432.96</v>
      </c>
      <c r="AF343" s="862">
        <f t="shared" si="95"/>
        <v>207</v>
      </c>
      <c r="AG343" s="863">
        <f t="shared" si="96"/>
        <v>254</v>
      </c>
      <c r="AH343" s="798">
        <f t="shared" si="97"/>
        <v>246</v>
      </c>
      <c r="AI343" s="798">
        <f t="shared" si="98"/>
        <v>277</v>
      </c>
      <c r="AJ343" s="833">
        <f t="shared" si="86"/>
        <v>984</v>
      </c>
      <c r="AP343" s="863">
        <f t="shared" si="99"/>
        <v>777</v>
      </c>
      <c r="AQ343" s="875">
        <f t="shared" si="100"/>
        <v>207</v>
      </c>
      <c r="AR343" s="832">
        <f t="shared" si="87"/>
        <v>984</v>
      </c>
      <c r="AS343" s="876">
        <f t="shared" si="88"/>
        <v>341.88</v>
      </c>
      <c r="AT343" s="876">
        <f t="shared" si="89"/>
        <v>91.08</v>
      </c>
    </row>
    <row r="344" spans="1:46" s="9" customFormat="1">
      <c r="A344" s="9">
        <v>371</v>
      </c>
      <c r="B344" s="857">
        <v>9</v>
      </c>
      <c r="C344" s="811"/>
      <c r="D344" s="811"/>
      <c r="E344" s="811"/>
      <c r="F344" s="811"/>
      <c r="G344" s="811"/>
      <c r="H344" s="811">
        <v>55</v>
      </c>
      <c r="I344" s="811">
        <v>128</v>
      </c>
      <c r="J344" s="811">
        <v>141</v>
      </c>
      <c r="K344" s="811">
        <v>226</v>
      </c>
      <c r="L344" s="811"/>
      <c r="M344" s="811"/>
      <c r="N344" s="811"/>
      <c r="O344" s="811"/>
      <c r="P344" s="811">
        <v>65</v>
      </c>
      <c r="Q344" s="819">
        <v>146</v>
      </c>
      <c r="R344" s="811"/>
      <c r="S344" s="811"/>
      <c r="T344" s="811"/>
      <c r="U344" s="811"/>
      <c r="V344" s="811"/>
      <c r="W344" s="801">
        <f t="shared" si="83"/>
        <v>761</v>
      </c>
      <c r="Y344" s="9">
        <f t="shared" si="84"/>
        <v>761</v>
      </c>
      <c r="AA344" s="825" t="e">
        <f>'CHAM CONG'!#REF!</f>
        <v>#REF!</v>
      </c>
      <c r="AB344" s="825" t="e">
        <f>'CHAM CONG'!#REF!</f>
        <v>#REF!</v>
      </c>
      <c r="AC344" s="825" t="e">
        <f>'CHAM CONG'!#REF!</f>
        <v>#REF!</v>
      </c>
      <c r="AD344" s="825" t="e">
        <f>'CHAM CONG'!#REF!</f>
        <v>#REF!</v>
      </c>
      <c r="AE344" s="824">
        <f t="shared" si="85"/>
        <v>334.84</v>
      </c>
      <c r="AF344" s="862">
        <f t="shared" si="95"/>
        <v>141</v>
      </c>
      <c r="AG344" s="863">
        <f t="shared" si="96"/>
        <v>226</v>
      </c>
      <c r="AH344" s="798">
        <f t="shared" si="97"/>
        <v>120</v>
      </c>
      <c r="AI344" s="798">
        <f t="shared" si="98"/>
        <v>274</v>
      </c>
      <c r="AJ344" s="833">
        <f t="shared" si="86"/>
        <v>761</v>
      </c>
      <c r="AP344" s="863">
        <f t="shared" si="99"/>
        <v>620</v>
      </c>
      <c r="AQ344" s="875">
        <f t="shared" si="100"/>
        <v>141</v>
      </c>
      <c r="AR344" s="832">
        <f t="shared" si="87"/>
        <v>761</v>
      </c>
      <c r="AS344" s="876">
        <f t="shared" si="88"/>
        <v>272.8</v>
      </c>
      <c r="AT344" s="876">
        <f t="shared" si="89"/>
        <v>62.04</v>
      </c>
    </row>
    <row r="345" spans="1:46" s="9" customFormat="1">
      <c r="A345" s="9">
        <v>372</v>
      </c>
      <c r="B345" s="857">
        <v>9</v>
      </c>
      <c r="C345" s="811"/>
      <c r="D345" s="811"/>
      <c r="E345" s="811"/>
      <c r="F345" s="811"/>
      <c r="G345" s="811"/>
      <c r="H345" s="807">
        <v>187</v>
      </c>
      <c r="I345" s="811">
        <v>109</v>
      </c>
      <c r="J345" s="811">
        <v>128</v>
      </c>
      <c r="K345" s="811">
        <v>244</v>
      </c>
      <c r="L345" s="811"/>
      <c r="M345" s="811"/>
      <c r="N345" s="811"/>
      <c r="O345" s="811"/>
      <c r="P345" s="811">
        <v>192</v>
      </c>
      <c r="Q345" s="819">
        <v>127</v>
      </c>
      <c r="R345" s="811"/>
      <c r="S345" s="811"/>
      <c r="T345" s="811"/>
      <c r="U345" s="811"/>
      <c r="V345" s="811"/>
      <c r="W345" s="801">
        <f t="shared" si="83"/>
        <v>987</v>
      </c>
      <c r="Y345" s="9">
        <f t="shared" si="84"/>
        <v>987</v>
      </c>
      <c r="AA345" s="825" t="e">
        <f>'CHAM CONG'!#REF!</f>
        <v>#REF!</v>
      </c>
      <c r="AB345" s="825" t="e">
        <f>'CHAM CONG'!#REF!</f>
        <v>#REF!</v>
      </c>
      <c r="AC345" s="825" t="e">
        <f>'CHAM CONG'!#REF!</f>
        <v>#REF!</v>
      </c>
      <c r="AD345" s="825" t="e">
        <f>'CHAM CONG'!#REF!</f>
        <v>#REF!</v>
      </c>
      <c r="AE345" s="824">
        <f t="shared" si="85"/>
        <v>434.28</v>
      </c>
      <c r="AF345" s="862">
        <f t="shared" si="95"/>
        <v>128</v>
      </c>
      <c r="AG345" s="863">
        <f t="shared" si="96"/>
        <v>244</v>
      </c>
      <c r="AH345" s="798">
        <f t="shared" si="97"/>
        <v>379</v>
      </c>
      <c r="AI345" s="798">
        <f t="shared" si="98"/>
        <v>236</v>
      </c>
      <c r="AJ345" s="833">
        <f t="shared" si="86"/>
        <v>987</v>
      </c>
      <c r="AP345" s="863">
        <f t="shared" si="99"/>
        <v>859</v>
      </c>
      <c r="AQ345" s="875">
        <f t="shared" si="100"/>
        <v>128</v>
      </c>
      <c r="AR345" s="832">
        <f t="shared" si="87"/>
        <v>987</v>
      </c>
      <c r="AS345" s="876">
        <f t="shared" si="88"/>
        <v>377.96</v>
      </c>
      <c r="AT345" s="876">
        <f t="shared" si="89"/>
        <v>56.32</v>
      </c>
    </row>
    <row r="346" spans="1:46" s="9" customFormat="1">
      <c r="A346" s="9">
        <v>373</v>
      </c>
      <c r="B346" s="857">
        <v>9</v>
      </c>
      <c r="C346" s="811"/>
      <c r="D346" s="811"/>
      <c r="E346" s="811"/>
      <c r="F346" s="811"/>
      <c r="G346" s="811"/>
      <c r="H346" s="811">
        <v>81</v>
      </c>
      <c r="I346" s="811">
        <v>62</v>
      </c>
      <c r="J346" s="811">
        <v>235</v>
      </c>
      <c r="K346" s="811">
        <v>248</v>
      </c>
      <c r="L346" s="811"/>
      <c r="M346" s="811"/>
      <c r="N346" s="811"/>
      <c r="O346" s="811"/>
      <c r="P346" s="811">
        <v>92</v>
      </c>
      <c r="Q346" s="819">
        <v>154</v>
      </c>
      <c r="R346" s="811"/>
      <c r="S346" s="811"/>
      <c r="T346" s="811"/>
      <c r="U346" s="811"/>
      <c r="V346" s="811"/>
      <c r="W346" s="801">
        <f t="shared" si="83"/>
        <v>872</v>
      </c>
      <c r="Y346" s="9">
        <f t="shared" si="84"/>
        <v>872</v>
      </c>
      <c r="AA346" s="825" t="e">
        <f>'CHAM CONG'!#REF!</f>
        <v>#REF!</v>
      </c>
      <c r="AB346" s="825" t="e">
        <f>'CHAM CONG'!#REF!</f>
        <v>#REF!</v>
      </c>
      <c r="AC346" s="825" t="e">
        <f>'CHAM CONG'!#REF!</f>
        <v>#REF!</v>
      </c>
      <c r="AD346" s="825" t="e">
        <f>'CHAM CONG'!#REF!</f>
        <v>#REF!</v>
      </c>
      <c r="AE346" s="824">
        <f t="shared" si="85"/>
        <v>383.68</v>
      </c>
      <c r="AF346" s="862">
        <f t="shared" si="95"/>
        <v>235</v>
      </c>
      <c r="AG346" s="863">
        <f t="shared" si="96"/>
        <v>248</v>
      </c>
      <c r="AH346" s="798">
        <f t="shared" si="97"/>
        <v>173</v>
      </c>
      <c r="AI346" s="798">
        <f t="shared" si="98"/>
        <v>216</v>
      </c>
      <c r="AJ346" s="833">
        <f t="shared" si="86"/>
        <v>872</v>
      </c>
      <c r="AP346" s="863">
        <f t="shared" si="99"/>
        <v>637</v>
      </c>
      <c r="AQ346" s="875">
        <f t="shared" si="100"/>
        <v>235</v>
      </c>
      <c r="AR346" s="832">
        <f t="shared" si="87"/>
        <v>872</v>
      </c>
      <c r="AS346" s="876">
        <f t="shared" si="88"/>
        <v>280.27999999999997</v>
      </c>
      <c r="AT346" s="876">
        <f t="shared" si="89"/>
        <v>103.4</v>
      </c>
    </row>
    <row r="347" spans="1:46" s="9" customFormat="1">
      <c r="A347" s="9">
        <v>374</v>
      </c>
      <c r="B347" s="857">
        <v>9</v>
      </c>
      <c r="C347" s="811"/>
      <c r="D347" s="811"/>
      <c r="E347" s="811"/>
      <c r="F347" s="811"/>
      <c r="G347" s="811"/>
      <c r="H347" s="811">
        <v>149</v>
      </c>
      <c r="I347" s="811">
        <v>121</v>
      </c>
      <c r="J347" s="811">
        <v>251</v>
      </c>
      <c r="K347" s="811">
        <v>180</v>
      </c>
      <c r="L347" s="811"/>
      <c r="M347" s="811"/>
      <c r="N347" s="811"/>
      <c r="O347" s="811"/>
      <c r="P347" s="811">
        <v>137</v>
      </c>
      <c r="Q347" s="819">
        <v>146</v>
      </c>
      <c r="R347" s="811"/>
      <c r="S347" s="811"/>
      <c r="T347" s="811"/>
      <c r="U347" s="811"/>
      <c r="V347" s="811"/>
      <c r="W347" s="801">
        <f t="shared" si="83"/>
        <v>984</v>
      </c>
      <c r="Y347" s="9">
        <f t="shared" si="84"/>
        <v>984</v>
      </c>
      <c r="AA347" s="825" t="e">
        <f>'CHAM CONG'!#REF!</f>
        <v>#REF!</v>
      </c>
      <c r="AB347" s="825" t="e">
        <f>'CHAM CONG'!#REF!</f>
        <v>#REF!</v>
      </c>
      <c r="AC347" s="825" t="e">
        <f>'CHAM CONG'!#REF!</f>
        <v>#REF!</v>
      </c>
      <c r="AD347" s="825" t="e">
        <f>'CHAM CONG'!#REF!</f>
        <v>#REF!</v>
      </c>
      <c r="AE347" s="824">
        <f t="shared" si="85"/>
        <v>432.96</v>
      </c>
      <c r="AF347" s="862">
        <f t="shared" si="95"/>
        <v>251</v>
      </c>
      <c r="AG347" s="863">
        <f t="shared" si="96"/>
        <v>180</v>
      </c>
      <c r="AH347" s="798">
        <f t="shared" si="97"/>
        <v>286</v>
      </c>
      <c r="AI347" s="798">
        <f t="shared" si="98"/>
        <v>267</v>
      </c>
      <c r="AJ347" s="833">
        <f t="shared" si="86"/>
        <v>984</v>
      </c>
      <c r="AP347" s="863">
        <f t="shared" si="99"/>
        <v>733</v>
      </c>
      <c r="AQ347" s="875">
        <f t="shared" si="100"/>
        <v>251</v>
      </c>
      <c r="AR347" s="832">
        <f t="shared" si="87"/>
        <v>984</v>
      </c>
      <c r="AS347" s="876">
        <f t="shared" si="88"/>
        <v>322.52</v>
      </c>
      <c r="AT347" s="876">
        <f t="shared" si="89"/>
        <v>110.44</v>
      </c>
    </row>
    <row r="348" spans="1:46" s="9" customFormat="1">
      <c r="A348" s="9">
        <v>375</v>
      </c>
      <c r="B348" s="857">
        <v>9</v>
      </c>
      <c r="C348" s="811"/>
      <c r="D348" s="811"/>
      <c r="E348" s="811"/>
      <c r="F348" s="811"/>
      <c r="G348" s="811"/>
      <c r="H348" s="811">
        <v>180</v>
      </c>
      <c r="I348" s="811">
        <v>96</v>
      </c>
      <c r="J348" s="811">
        <v>207</v>
      </c>
      <c r="K348" s="811">
        <v>184</v>
      </c>
      <c r="L348" s="811"/>
      <c r="M348" s="811"/>
      <c r="N348" s="811"/>
      <c r="O348" s="811"/>
      <c r="P348" s="811">
        <v>174</v>
      </c>
      <c r="Q348" s="819">
        <v>122</v>
      </c>
      <c r="R348" s="811"/>
      <c r="S348" s="811"/>
      <c r="T348" s="811"/>
      <c r="U348" s="811"/>
      <c r="V348" s="811"/>
      <c r="W348" s="801">
        <f t="shared" si="83"/>
        <v>963</v>
      </c>
      <c r="Y348" s="9">
        <f t="shared" si="84"/>
        <v>963</v>
      </c>
      <c r="AA348" s="825" t="e">
        <f>'CHAM CONG'!#REF!</f>
        <v>#REF!</v>
      </c>
      <c r="AB348" s="825" t="e">
        <f>'CHAM CONG'!#REF!</f>
        <v>#REF!</v>
      </c>
      <c r="AC348" s="825" t="e">
        <f>'CHAM CONG'!#REF!</f>
        <v>#REF!</v>
      </c>
      <c r="AD348" s="825" t="e">
        <f>'CHAM CONG'!#REF!</f>
        <v>#REF!</v>
      </c>
      <c r="AE348" s="824">
        <f t="shared" si="85"/>
        <v>423.72</v>
      </c>
      <c r="AF348" s="862">
        <f t="shared" si="95"/>
        <v>207</v>
      </c>
      <c r="AG348" s="863">
        <f t="shared" si="96"/>
        <v>184</v>
      </c>
      <c r="AH348" s="798">
        <f t="shared" si="97"/>
        <v>354</v>
      </c>
      <c r="AI348" s="798">
        <f t="shared" si="98"/>
        <v>218</v>
      </c>
      <c r="AJ348" s="833">
        <f t="shared" si="86"/>
        <v>963</v>
      </c>
      <c r="AP348" s="863">
        <f t="shared" si="99"/>
        <v>756</v>
      </c>
      <c r="AQ348" s="875">
        <f t="shared" si="100"/>
        <v>207</v>
      </c>
      <c r="AR348" s="832">
        <f t="shared" si="87"/>
        <v>963</v>
      </c>
      <c r="AS348" s="876">
        <f t="shared" si="88"/>
        <v>332.64</v>
      </c>
      <c r="AT348" s="876">
        <f t="shared" si="89"/>
        <v>91.08</v>
      </c>
    </row>
    <row r="349" spans="1:46" s="9" customFormat="1">
      <c r="A349" s="9">
        <v>376</v>
      </c>
      <c r="B349" s="857">
        <v>9</v>
      </c>
      <c r="C349" s="811"/>
      <c r="D349" s="811"/>
      <c r="E349" s="811"/>
      <c r="F349" s="811"/>
      <c r="G349" s="811"/>
      <c r="H349" s="811">
        <v>0</v>
      </c>
      <c r="I349" s="811">
        <v>147</v>
      </c>
      <c r="J349" s="811">
        <v>72</v>
      </c>
      <c r="K349" s="811">
        <v>0</v>
      </c>
      <c r="L349" s="811"/>
      <c r="M349" s="811"/>
      <c r="N349" s="811"/>
      <c r="O349" s="811"/>
      <c r="P349" s="811">
        <v>75</v>
      </c>
      <c r="Q349" s="819">
        <v>157</v>
      </c>
      <c r="R349" s="811"/>
      <c r="S349" s="811"/>
      <c r="T349" s="811"/>
      <c r="U349" s="811"/>
      <c r="V349" s="811"/>
      <c r="W349" s="801">
        <f t="shared" si="83"/>
        <v>451</v>
      </c>
      <c r="Y349" s="9">
        <f t="shared" si="84"/>
        <v>451</v>
      </c>
      <c r="AA349" s="825" t="e">
        <f>'CHAM CONG'!#REF!</f>
        <v>#REF!</v>
      </c>
      <c r="AB349" s="825" t="e">
        <f>'CHAM CONG'!#REF!</f>
        <v>#REF!</v>
      </c>
      <c r="AC349" s="825" t="e">
        <f>'CHAM CONG'!#REF!</f>
        <v>#REF!</v>
      </c>
      <c r="AD349" s="825" t="e">
        <f>'CHAM CONG'!#REF!</f>
        <v>#REF!</v>
      </c>
      <c r="AE349" s="824">
        <f t="shared" si="85"/>
        <v>198.44</v>
      </c>
      <c r="AF349" s="862">
        <f t="shared" si="95"/>
        <v>72</v>
      </c>
      <c r="AG349" s="863">
        <f t="shared" si="96"/>
        <v>0</v>
      </c>
      <c r="AH349" s="798">
        <f t="shared" si="97"/>
        <v>75</v>
      </c>
      <c r="AI349" s="798">
        <f t="shared" si="98"/>
        <v>304</v>
      </c>
      <c r="AJ349" s="833">
        <f t="shared" si="86"/>
        <v>451</v>
      </c>
      <c r="AP349" s="863">
        <f t="shared" si="99"/>
        <v>379</v>
      </c>
      <c r="AQ349" s="875">
        <f t="shared" si="100"/>
        <v>72</v>
      </c>
      <c r="AR349" s="832">
        <f t="shared" si="87"/>
        <v>451</v>
      </c>
      <c r="AS349" s="876">
        <f t="shared" si="88"/>
        <v>166.76</v>
      </c>
      <c r="AT349" s="876">
        <f t="shared" si="89"/>
        <v>31.68</v>
      </c>
    </row>
    <row r="350" spans="1:46" s="9" customFormat="1" ht="14.4" customHeight="1">
      <c r="A350" s="9">
        <v>377</v>
      </c>
      <c r="B350" s="857">
        <v>9</v>
      </c>
      <c r="C350" s="811"/>
      <c r="D350" s="811"/>
      <c r="E350" s="811"/>
      <c r="F350" s="811"/>
      <c r="G350" s="811"/>
      <c r="H350" s="811">
        <v>137</v>
      </c>
      <c r="I350" s="811">
        <v>165</v>
      </c>
      <c r="J350" s="811">
        <v>134</v>
      </c>
      <c r="K350" s="811">
        <v>196</v>
      </c>
      <c r="L350" s="811"/>
      <c r="M350" s="811"/>
      <c r="N350" s="811"/>
      <c r="O350" s="811"/>
      <c r="P350" s="811">
        <v>120</v>
      </c>
      <c r="Q350" s="819">
        <v>190</v>
      </c>
      <c r="R350" s="811"/>
      <c r="S350" s="811"/>
      <c r="T350" s="811"/>
      <c r="U350" s="811"/>
      <c r="V350" s="811"/>
      <c r="W350" s="801">
        <f t="shared" si="83"/>
        <v>942</v>
      </c>
      <c r="Y350" s="9">
        <f t="shared" si="84"/>
        <v>942</v>
      </c>
      <c r="AA350" s="825" t="e">
        <f>'CHAM CONG'!#REF!</f>
        <v>#REF!</v>
      </c>
      <c r="AB350" s="825" t="e">
        <f>'CHAM CONG'!#REF!</f>
        <v>#REF!</v>
      </c>
      <c r="AC350" s="825" t="e">
        <f>'CHAM CONG'!#REF!</f>
        <v>#REF!</v>
      </c>
      <c r="AD350" s="825" t="e">
        <f>'CHAM CONG'!#REF!</f>
        <v>#REF!</v>
      </c>
      <c r="AE350" s="824">
        <f t="shared" si="85"/>
        <v>414.48</v>
      </c>
      <c r="AF350" s="862">
        <f t="shared" si="95"/>
        <v>134</v>
      </c>
      <c r="AG350" s="863">
        <f t="shared" si="96"/>
        <v>196</v>
      </c>
      <c r="AH350" s="798">
        <f t="shared" si="97"/>
        <v>257</v>
      </c>
      <c r="AI350" s="798">
        <f t="shared" si="98"/>
        <v>355</v>
      </c>
      <c r="AJ350" s="833">
        <f t="shared" si="86"/>
        <v>942</v>
      </c>
      <c r="AP350" s="863">
        <f t="shared" si="99"/>
        <v>808</v>
      </c>
      <c r="AQ350" s="875">
        <f t="shared" si="100"/>
        <v>134</v>
      </c>
      <c r="AR350" s="832">
        <f t="shared" si="87"/>
        <v>942</v>
      </c>
      <c r="AS350" s="876">
        <f t="shared" si="88"/>
        <v>355.52</v>
      </c>
      <c r="AT350" s="876">
        <f t="shared" si="89"/>
        <v>58.96</v>
      </c>
    </row>
    <row r="351" spans="1:46" s="9" customFormat="1">
      <c r="A351" s="9">
        <v>378</v>
      </c>
      <c r="B351" s="857">
        <v>9</v>
      </c>
      <c r="C351" s="811"/>
      <c r="D351" s="811"/>
      <c r="E351" s="811"/>
      <c r="F351" s="811"/>
      <c r="G351" s="811"/>
      <c r="H351" s="811">
        <v>171</v>
      </c>
      <c r="I351" s="811">
        <v>137</v>
      </c>
      <c r="J351" s="811">
        <v>263</v>
      </c>
      <c r="K351" s="811">
        <v>269</v>
      </c>
      <c r="L351" s="811"/>
      <c r="M351" s="811"/>
      <c r="N351" s="811"/>
      <c r="O351" s="811"/>
      <c r="P351" s="811">
        <v>179</v>
      </c>
      <c r="Q351" s="819">
        <v>155</v>
      </c>
      <c r="R351" s="811"/>
      <c r="S351" s="811"/>
      <c r="T351" s="811"/>
      <c r="U351" s="811"/>
      <c r="V351" s="811"/>
      <c r="W351" s="801">
        <f t="shared" si="83"/>
        <v>1174</v>
      </c>
      <c r="Y351" s="9">
        <f t="shared" si="84"/>
        <v>1174</v>
      </c>
      <c r="AA351" s="825" t="e">
        <f>'CHAM CONG'!#REF!</f>
        <v>#REF!</v>
      </c>
      <c r="AB351" s="825" t="e">
        <f>'CHAM CONG'!#REF!</f>
        <v>#REF!</v>
      </c>
      <c r="AC351" s="825" t="e">
        <f>'CHAM CONG'!#REF!</f>
        <v>#REF!</v>
      </c>
      <c r="AD351" s="825" t="e">
        <f>'CHAM CONG'!#REF!</f>
        <v>#REF!</v>
      </c>
      <c r="AE351" s="824">
        <f t="shared" si="85"/>
        <v>516.55999999999995</v>
      </c>
      <c r="AF351" s="862">
        <f t="shared" si="95"/>
        <v>263</v>
      </c>
      <c r="AG351" s="863">
        <f t="shared" si="96"/>
        <v>269</v>
      </c>
      <c r="AH351" s="798">
        <f t="shared" si="97"/>
        <v>350</v>
      </c>
      <c r="AI351" s="798">
        <f t="shared" si="98"/>
        <v>292</v>
      </c>
      <c r="AJ351" s="833">
        <f t="shared" si="86"/>
        <v>1174</v>
      </c>
      <c r="AP351" s="863">
        <f t="shared" si="99"/>
        <v>911</v>
      </c>
      <c r="AQ351" s="875">
        <f t="shared" si="100"/>
        <v>263</v>
      </c>
      <c r="AR351" s="832">
        <f t="shared" si="87"/>
        <v>1174</v>
      </c>
      <c r="AS351" s="876">
        <f t="shared" si="88"/>
        <v>400.84</v>
      </c>
      <c r="AT351" s="876">
        <f t="shared" si="89"/>
        <v>115.72</v>
      </c>
    </row>
    <row r="352" spans="1:46" s="9" customFormat="1">
      <c r="A352" s="9">
        <v>379</v>
      </c>
      <c r="B352" s="857">
        <v>9</v>
      </c>
      <c r="C352" s="811"/>
      <c r="D352" s="811"/>
      <c r="E352" s="811"/>
      <c r="F352" s="811"/>
      <c r="G352" s="811"/>
      <c r="H352" s="811">
        <v>171</v>
      </c>
      <c r="I352" s="811">
        <v>142</v>
      </c>
      <c r="J352" s="811">
        <v>247</v>
      </c>
      <c r="K352" s="811">
        <v>231</v>
      </c>
      <c r="L352" s="811"/>
      <c r="M352" s="811"/>
      <c r="N352" s="811"/>
      <c r="O352" s="811"/>
      <c r="P352" s="811">
        <v>154</v>
      </c>
      <c r="Q352" s="819">
        <v>150</v>
      </c>
      <c r="R352" s="811"/>
      <c r="S352" s="811"/>
      <c r="T352" s="811"/>
      <c r="U352" s="811"/>
      <c r="V352" s="811"/>
      <c r="W352" s="801">
        <f t="shared" si="83"/>
        <v>1095</v>
      </c>
      <c r="Y352" s="9">
        <f t="shared" si="84"/>
        <v>1095</v>
      </c>
      <c r="AA352" s="825" t="e">
        <f>'CHAM CONG'!#REF!</f>
        <v>#REF!</v>
      </c>
      <c r="AB352" s="825" t="e">
        <f>'CHAM CONG'!#REF!</f>
        <v>#REF!</v>
      </c>
      <c r="AC352" s="825" t="e">
        <f>'CHAM CONG'!#REF!</f>
        <v>#REF!</v>
      </c>
      <c r="AD352" s="825" t="e">
        <f>'CHAM CONG'!#REF!</f>
        <v>#REF!</v>
      </c>
      <c r="AE352" s="824">
        <f t="shared" si="85"/>
        <v>481.8</v>
      </c>
      <c r="AF352" s="862">
        <f t="shared" si="95"/>
        <v>247</v>
      </c>
      <c r="AG352" s="863">
        <f t="shared" si="96"/>
        <v>231</v>
      </c>
      <c r="AH352" s="798">
        <f t="shared" si="97"/>
        <v>325</v>
      </c>
      <c r="AI352" s="798">
        <f t="shared" si="98"/>
        <v>292</v>
      </c>
      <c r="AJ352" s="833">
        <f t="shared" si="86"/>
        <v>1095</v>
      </c>
      <c r="AP352" s="863">
        <f t="shared" si="99"/>
        <v>848</v>
      </c>
      <c r="AQ352" s="875">
        <f t="shared" si="100"/>
        <v>247</v>
      </c>
      <c r="AR352" s="832">
        <f t="shared" si="87"/>
        <v>1095</v>
      </c>
      <c r="AS352" s="876">
        <f t="shared" si="88"/>
        <v>373.12</v>
      </c>
      <c r="AT352" s="876">
        <f t="shared" si="89"/>
        <v>108.68</v>
      </c>
    </row>
    <row r="353" spans="1:46" s="9" customFormat="1">
      <c r="A353" s="9">
        <v>380</v>
      </c>
      <c r="B353" s="857">
        <v>9</v>
      </c>
      <c r="C353" s="811"/>
      <c r="D353" s="811"/>
      <c r="E353" s="811"/>
      <c r="F353" s="811"/>
      <c r="G353" s="811"/>
      <c r="H353" s="811">
        <v>182</v>
      </c>
      <c r="I353" s="811">
        <v>212</v>
      </c>
      <c r="J353" s="811">
        <v>205</v>
      </c>
      <c r="K353" s="811">
        <v>236</v>
      </c>
      <c r="L353" s="811"/>
      <c r="M353" s="811"/>
      <c r="N353" s="811"/>
      <c r="O353" s="811"/>
      <c r="P353" s="811">
        <v>205</v>
      </c>
      <c r="Q353" s="819">
        <v>250</v>
      </c>
      <c r="R353" s="811"/>
      <c r="S353" s="811"/>
      <c r="T353" s="811"/>
      <c r="U353" s="811"/>
      <c r="V353" s="811"/>
      <c r="W353" s="801">
        <f t="shared" ref="W353:W359" si="101">SUM(C353:V353)</f>
        <v>1290</v>
      </c>
      <c r="Y353" s="9">
        <f t="shared" ref="Y353:Y358" si="102">W353-X353</f>
        <v>1290</v>
      </c>
      <c r="AA353" s="825" t="e">
        <f>'CHAM CONG'!#REF!</f>
        <v>#REF!</v>
      </c>
      <c r="AB353" s="825" t="e">
        <f>'CHAM CONG'!#REF!</f>
        <v>#REF!</v>
      </c>
      <c r="AC353" s="825" t="e">
        <f>'CHAM CONG'!#REF!</f>
        <v>#REF!</v>
      </c>
      <c r="AD353" s="825" t="e">
        <f>'CHAM CONG'!#REF!</f>
        <v>#REF!</v>
      </c>
      <c r="AE353" s="824">
        <f t="shared" si="85"/>
        <v>567.6</v>
      </c>
      <c r="AF353" s="862">
        <f t="shared" si="95"/>
        <v>205</v>
      </c>
      <c r="AG353" s="863">
        <f t="shared" si="96"/>
        <v>236</v>
      </c>
      <c r="AH353" s="798">
        <f t="shared" si="97"/>
        <v>387</v>
      </c>
      <c r="AI353" s="798">
        <f t="shared" si="98"/>
        <v>462</v>
      </c>
      <c r="AJ353" s="833">
        <f t="shared" si="86"/>
        <v>1290</v>
      </c>
      <c r="AP353" s="863">
        <f t="shared" si="99"/>
        <v>1085</v>
      </c>
      <c r="AQ353" s="875">
        <f t="shared" si="100"/>
        <v>205</v>
      </c>
      <c r="AR353" s="832">
        <f t="shared" si="87"/>
        <v>1290</v>
      </c>
      <c r="AS353" s="876">
        <f t="shared" si="88"/>
        <v>477.4</v>
      </c>
      <c r="AT353" s="876">
        <f t="shared" si="89"/>
        <v>90.2</v>
      </c>
    </row>
    <row r="354" spans="1:46" s="9" customFormat="1">
      <c r="A354" s="9">
        <v>381</v>
      </c>
      <c r="B354" s="857">
        <v>9</v>
      </c>
      <c r="C354" s="811"/>
      <c r="D354" s="811"/>
      <c r="E354" s="811"/>
      <c r="F354" s="811"/>
      <c r="G354" s="811"/>
      <c r="H354" s="811">
        <v>135</v>
      </c>
      <c r="I354" s="811">
        <v>212</v>
      </c>
      <c r="J354" s="811">
        <v>254</v>
      </c>
      <c r="K354" s="811">
        <v>229</v>
      </c>
      <c r="L354" s="811"/>
      <c r="M354" s="811"/>
      <c r="N354" s="811"/>
      <c r="O354" s="811"/>
      <c r="P354" s="811">
        <v>134</v>
      </c>
      <c r="Q354" s="819">
        <v>228</v>
      </c>
      <c r="R354" s="811"/>
      <c r="S354" s="811"/>
      <c r="T354" s="811"/>
      <c r="U354" s="811"/>
      <c r="V354" s="811"/>
      <c r="W354" s="801">
        <f t="shared" si="101"/>
        <v>1192</v>
      </c>
      <c r="Y354" s="9">
        <f t="shared" si="102"/>
        <v>1192</v>
      </c>
      <c r="AA354" s="825" t="e">
        <f>'CHAM CONG'!#REF!</f>
        <v>#REF!</v>
      </c>
      <c r="AB354" s="825" t="e">
        <f>'CHAM CONG'!#REF!</f>
        <v>#REF!</v>
      </c>
      <c r="AC354" s="825" t="e">
        <f>'CHAM CONG'!#REF!</f>
        <v>#REF!</v>
      </c>
      <c r="AD354" s="825" t="e">
        <f>'CHAM CONG'!#REF!</f>
        <v>#REF!</v>
      </c>
      <c r="AE354" s="824">
        <f t="shared" si="85"/>
        <v>524.48</v>
      </c>
      <c r="AF354" s="862">
        <f t="shared" si="95"/>
        <v>254</v>
      </c>
      <c r="AG354" s="863">
        <f t="shared" si="96"/>
        <v>229</v>
      </c>
      <c r="AH354" s="798">
        <f t="shared" si="97"/>
        <v>269</v>
      </c>
      <c r="AI354" s="798">
        <f t="shared" si="98"/>
        <v>440</v>
      </c>
      <c r="AJ354" s="833">
        <f t="shared" si="86"/>
        <v>1192</v>
      </c>
      <c r="AP354" s="863">
        <f t="shared" si="99"/>
        <v>938</v>
      </c>
      <c r="AQ354" s="875">
        <f t="shared" si="100"/>
        <v>254</v>
      </c>
      <c r="AR354" s="832">
        <f t="shared" si="87"/>
        <v>1192</v>
      </c>
      <c r="AS354" s="876">
        <f t="shared" si="88"/>
        <v>412.72</v>
      </c>
      <c r="AT354" s="876">
        <f t="shared" si="89"/>
        <v>111.76</v>
      </c>
    </row>
    <row r="355" spans="1:46" s="9" customFormat="1">
      <c r="A355" s="9">
        <v>382</v>
      </c>
      <c r="B355" s="857">
        <v>9</v>
      </c>
      <c r="C355" s="811"/>
      <c r="D355" s="811"/>
      <c r="E355" s="811"/>
      <c r="F355" s="811"/>
      <c r="G355" s="811"/>
      <c r="H355" s="811">
        <v>142</v>
      </c>
      <c r="I355" s="811">
        <v>208</v>
      </c>
      <c r="J355" s="811">
        <v>246</v>
      </c>
      <c r="K355" s="811">
        <v>237</v>
      </c>
      <c r="L355" s="811"/>
      <c r="M355" s="811"/>
      <c r="N355" s="811"/>
      <c r="O355" s="811"/>
      <c r="P355" s="811">
        <v>135</v>
      </c>
      <c r="Q355" s="819">
        <v>232</v>
      </c>
      <c r="R355" s="811"/>
      <c r="S355" s="811"/>
      <c r="T355" s="811"/>
      <c r="U355" s="811"/>
      <c r="V355" s="811"/>
      <c r="W355" s="801">
        <f t="shared" si="101"/>
        <v>1200</v>
      </c>
      <c r="Y355" s="9">
        <f t="shared" si="102"/>
        <v>1200</v>
      </c>
      <c r="AA355" s="825" t="e">
        <f>'CHAM CONG'!#REF!</f>
        <v>#REF!</v>
      </c>
      <c r="AB355" s="825" t="e">
        <f>'CHAM CONG'!#REF!</f>
        <v>#REF!</v>
      </c>
      <c r="AC355" s="825" t="e">
        <f>'CHAM CONG'!#REF!</f>
        <v>#REF!</v>
      </c>
      <c r="AD355" s="825" t="e">
        <f>'CHAM CONG'!#REF!</f>
        <v>#REF!</v>
      </c>
      <c r="AE355" s="824">
        <f t="shared" si="85"/>
        <v>528</v>
      </c>
      <c r="AF355" s="862">
        <f t="shared" si="95"/>
        <v>246</v>
      </c>
      <c r="AG355" s="863">
        <f t="shared" si="96"/>
        <v>237</v>
      </c>
      <c r="AH355" s="798">
        <f t="shared" si="97"/>
        <v>277</v>
      </c>
      <c r="AI355" s="798">
        <f t="shared" si="98"/>
        <v>440</v>
      </c>
      <c r="AJ355" s="833">
        <f t="shared" si="86"/>
        <v>1200</v>
      </c>
      <c r="AP355" s="863">
        <f t="shared" si="99"/>
        <v>954</v>
      </c>
      <c r="AQ355" s="875">
        <f t="shared" si="100"/>
        <v>246</v>
      </c>
      <c r="AR355" s="832">
        <f t="shared" si="87"/>
        <v>1200</v>
      </c>
      <c r="AS355" s="876">
        <f t="shared" si="88"/>
        <v>419.76</v>
      </c>
      <c r="AT355" s="876">
        <f t="shared" si="89"/>
        <v>108.24</v>
      </c>
    </row>
    <row r="356" spans="1:46" s="9" customFormat="1">
      <c r="A356" s="9">
        <v>383</v>
      </c>
      <c r="B356" s="857">
        <v>9</v>
      </c>
      <c r="C356" s="811"/>
      <c r="D356" s="811"/>
      <c r="E356" s="811"/>
      <c r="F356" s="811"/>
      <c r="G356" s="811"/>
      <c r="H356" s="811">
        <v>162</v>
      </c>
      <c r="I356" s="811">
        <v>193</v>
      </c>
      <c r="J356" s="811">
        <v>259</v>
      </c>
      <c r="K356" s="811">
        <v>250</v>
      </c>
      <c r="L356" s="811"/>
      <c r="M356" s="811"/>
      <c r="N356" s="811"/>
      <c r="O356" s="811"/>
      <c r="P356" s="811">
        <v>196</v>
      </c>
      <c r="Q356" s="819">
        <v>154</v>
      </c>
      <c r="R356" s="811"/>
      <c r="S356" s="811"/>
      <c r="T356" s="811"/>
      <c r="U356" s="811"/>
      <c r="V356" s="811"/>
      <c r="W356" s="801">
        <f t="shared" si="101"/>
        <v>1214</v>
      </c>
      <c r="Y356" s="9">
        <f t="shared" si="102"/>
        <v>1214</v>
      </c>
      <c r="AA356" s="825" t="e">
        <f>'CHAM CONG'!#REF!</f>
        <v>#REF!</v>
      </c>
      <c r="AB356" s="825" t="e">
        <f>'CHAM CONG'!#REF!</f>
        <v>#REF!</v>
      </c>
      <c r="AC356" s="825" t="e">
        <f>'CHAM CONG'!#REF!</f>
        <v>#REF!</v>
      </c>
      <c r="AD356" s="825" t="e">
        <f>'CHAM CONG'!#REF!</f>
        <v>#REF!</v>
      </c>
      <c r="AE356" s="824">
        <f t="shared" si="85"/>
        <v>534.16</v>
      </c>
      <c r="AF356" s="862">
        <f t="shared" si="95"/>
        <v>259</v>
      </c>
      <c r="AG356" s="863">
        <f t="shared" si="96"/>
        <v>250</v>
      </c>
      <c r="AH356" s="798">
        <f t="shared" si="97"/>
        <v>358</v>
      </c>
      <c r="AI356" s="798">
        <f t="shared" si="98"/>
        <v>347</v>
      </c>
      <c r="AJ356" s="833">
        <f t="shared" si="86"/>
        <v>1214</v>
      </c>
      <c r="AP356" s="863">
        <f t="shared" si="99"/>
        <v>955</v>
      </c>
      <c r="AQ356" s="875">
        <f t="shared" si="100"/>
        <v>259</v>
      </c>
      <c r="AR356" s="832">
        <f t="shared" si="87"/>
        <v>1214</v>
      </c>
      <c r="AS356" s="876">
        <f t="shared" si="88"/>
        <v>420.2</v>
      </c>
      <c r="AT356" s="876">
        <f t="shared" si="89"/>
        <v>113.96</v>
      </c>
    </row>
    <row r="357" spans="1:46" s="9" customFormat="1">
      <c r="A357" s="9">
        <v>384</v>
      </c>
      <c r="B357" s="857">
        <v>9</v>
      </c>
      <c r="C357" s="811"/>
      <c r="D357" s="811"/>
      <c r="E357" s="811"/>
      <c r="F357" s="811"/>
      <c r="G357" s="811"/>
      <c r="H357" s="811">
        <v>127</v>
      </c>
      <c r="I357" s="811">
        <v>154</v>
      </c>
      <c r="J357" s="811">
        <v>209</v>
      </c>
      <c r="K357" s="811">
        <v>218</v>
      </c>
      <c r="L357" s="811"/>
      <c r="M357" s="811"/>
      <c r="N357" s="811"/>
      <c r="O357" s="811"/>
      <c r="P357" s="811">
        <v>128</v>
      </c>
      <c r="Q357" s="819">
        <v>172</v>
      </c>
      <c r="R357" s="811"/>
      <c r="S357" s="811"/>
      <c r="T357" s="811"/>
      <c r="U357" s="811"/>
      <c r="V357" s="811"/>
      <c r="W357" s="801">
        <f t="shared" si="101"/>
        <v>1008</v>
      </c>
      <c r="Y357" s="9">
        <f t="shared" si="102"/>
        <v>1008</v>
      </c>
      <c r="AA357" s="825" t="e">
        <f>'CHAM CONG'!#REF!</f>
        <v>#REF!</v>
      </c>
      <c r="AB357" s="825" t="e">
        <f>'CHAM CONG'!#REF!</f>
        <v>#REF!</v>
      </c>
      <c r="AC357" s="825" t="e">
        <f>'CHAM CONG'!#REF!</f>
        <v>#REF!</v>
      </c>
      <c r="AD357" s="825" t="e">
        <f>'CHAM CONG'!#REF!</f>
        <v>#REF!</v>
      </c>
      <c r="AE357" s="824">
        <f t="shared" si="85"/>
        <v>443.52</v>
      </c>
      <c r="AF357" s="862">
        <f t="shared" si="95"/>
        <v>209</v>
      </c>
      <c r="AG357" s="863">
        <f t="shared" si="96"/>
        <v>218</v>
      </c>
      <c r="AH357" s="798">
        <f t="shared" si="97"/>
        <v>255</v>
      </c>
      <c r="AI357" s="798">
        <f t="shared" si="98"/>
        <v>326</v>
      </c>
      <c r="AJ357" s="833">
        <f t="shared" si="86"/>
        <v>1008</v>
      </c>
      <c r="AP357" s="863">
        <f t="shared" si="99"/>
        <v>799</v>
      </c>
      <c r="AQ357" s="875">
        <f t="shared" si="100"/>
        <v>209</v>
      </c>
      <c r="AR357" s="832">
        <f t="shared" si="87"/>
        <v>1008</v>
      </c>
      <c r="AS357" s="876">
        <f t="shared" si="88"/>
        <v>351.56</v>
      </c>
      <c r="AT357" s="876">
        <f t="shared" si="89"/>
        <v>91.96</v>
      </c>
    </row>
    <row r="358" spans="1:46" s="9" customFormat="1">
      <c r="A358" s="9">
        <v>385</v>
      </c>
      <c r="B358" s="857">
        <v>9</v>
      </c>
      <c r="C358" s="811"/>
      <c r="D358" s="811"/>
      <c r="E358" s="811"/>
      <c r="F358" s="811"/>
      <c r="G358" s="811"/>
      <c r="H358" s="811">
        <v>180</v>
      </c>
      <c r="I358" s="811">
        <v>189</v>
      </c>
      <c r="J358" s="811">
        <v>254</v>
      </c>
      <c r="K358" s="811">
        <v>236</v>
      </c>
      <c r="L358" s="811"/>
      <c r="M358" s="811"/>
      <c r="N358" s="811"/>
      <c r="O358" s="811"/>
      <c r="P358" s="811">
        <v>194</v>
      </c>
      <c r="Q358" s="819">
        <v>152</v>
      </c>
      <c r="R358" s="811"/>
      <c r="S358" s="811"/>
      <c r="T358" s="811"/>
      <c r="U358" s="811"/>
      <c r="V358" s="811"/>
      <c r="W358" s="801">
        <f t="shared" si="101"/>
        <v>1205</v>
      </c>
      <c r="Y358" s="9">
        <f t="shared" si="102"/>
        <v>1205</v>
      </c>
      <c r="AA358" s="825" t="e">
        <f>'CHAM CONG'!#REF!</f>
        <v>#REF!</v>
      </c>
      <c r="AB358" s="825" t="e">
        <f>'CHAM CONG'!#REF!</f>
        <v>#REF!</v>
      </c>
      <c r="AC358" s="825" t="e">
        <f>'CHAM CONG'!#REF!</f>
        <v>#REF!</v>
      </c>
      <c r="AD358" s="825" t="e">
        <f>'CHAM CONG'!#REF!</f>
        <v>#REF!</v>
      </c>
      <c r="AE358" s="824">
        <f t="shared" si="85"/>
        <v>530.20000000000005</v>
      </c>
      <c r="AF358" s="862">
        <f t="shared" si="95"/>
        <v>254</v>
      </c>
      <c r="AG358" s="863">
        <f t="shared" si="96"/>
        <v>236</v>
      </c>
      <c r="AH358" s="798">
        <f t="shared" si="97"/>
        <v>374</v>
      </c>
      <c r="AI358" s="798">
        <f t="shared" si="98"/>
        <v>341</v>
      </c>
      <c r="AJ358" s="833">
        <f t="shared" si="86"/>
        <v>1205</v>
      </c>
      <c r="AK358" s="790" t="s">
        <v>1371</v>
      </c>
      <c r="AP358" s="863">
        <f t="shared" si="99"/>
        <v>951</v>
      </c>
      <c r="AQ358" s="875">
        <f t="shared" si="100"/>
        <v>254</v>
      </c>
      <c r="AR358" s="832">
        <f t="shared" si="87"/>
        <v>1205</v>
      </c>
      <c r="AS358" s="876">
        <f t="shared" si="88"/>
        <v>418.44</v>
      </c>
      <c r="AT358" s="876">
        <f t="shared" si="89"/>
        <v>111.76</v>
      </c>
    </row>
    <row r="359" spans="1:46" s="791" customFormat="1">
      <c r="A359" s="791">
        <v>386</v>
      </c>
      <c r="B359" s="812">
        <v>10</v>
      </c>
      <c r="C359" s="813"/>
      <c r="D359" s="813"/>
      <c r="E359" s="813"/>
      <c r="F359" s="877"/>
      <c r="G359" s="813"/>
      <c r="H359" s="813">
        <v>266</v>
      </c>
      <c r="I359" s="813">
        <v>207</v>
      </c>
      <c r="J359" s="813">
        <v>213</v>
      </c>
      <c r="K359" s="813">
        <v>360</v>
      </c>
      <c r="L359" s="813"/>
      <c r="M359" s="813"/>
      <c r="N359" s="813"/>
      <c r="O359" s="813"/>
      <c r="P359" s="813">
        <v>296</v>
      </c>
      <c r="Q359" s="820">
        <v>281</v>
      </c>
      <c r="R359" s="813"/>
      <c r="S359" s="813"/>
      <c r="T359" s="813"/>
      <c r="U359" s="813"/>
      <c r="V359" s="813"/>
      <c r="W359" s="821">
        <f t="shared" si="101"/>
        <v>1623</v>
      </c>
      <c r="Y359" s="791">
        <f>W359</f>
        <v>1623</v>
      </c>
      <c r="AA359" s="826"/>
      <c r="AB359" s="826"/>
      <c r="AC359" s="826"/>
      <c r="AD359" s="826"/>
      <c r="AE359" s="827">
        <f t="shared" si="85"/>
        <v>714.12</v>
      </c>
      <c r="AF359" s="9">
        <f t="shared" si="95"/>
        <v>213</v>
      </c>
      <c r="AG359" s="863">
        <f t="shared" si="96"/>
        <v>360</v>
      </c>
      <c r="AH359" s="798">
        <f t="shared" si="97"/>
        <v>562</v>
      </c>
      <c r="AI359" s="798">
        <f t="shared" si="98"/>
        <v>488</v>
      </c>
      <c r="AJ359" s="835">
        <f t="shared" ref="AJ359:AJ400" si="103">SUM(AF359:AI359)</f>
        <v>1623</v>
      </c>
      <c r="AK359" s="834">
        <f>SUM(AJ359:AJ400)</f>
        <v>56534</v>
      </c>
      <c r="AP359" s="834">
        <f>AH359+AI359+AG359+AF359</f>
        <v>1623</v>
      </c>
      <c r="AQ359" s="879"/>
      <c r="AR359" s="879"/>
      <c r="AS359" s="880">
        <f t="shared" si="88"/>
        <v>714.12</v>
      </c>
      <c r="AT359" s="880">
        <f t="shared" si="89"/>
        <v>0</v>
      </c>
    </row>
    <row r="360" spans="1:46">
      <c r="A360" s="798">
        <v>387</v>
      </c>
      <c r="B360" s="878">
        <v>10</v>
      </c>
      <c r="C360" s="811"/>
      <c r="D360" s="811"/>
      <c r="E360" s="811"/>
      <c r="F360" s="811"/>
      <c r="G360" s="811"/>
      <c r="H360" s="811">
        <v>254</v>
      </c>
      <c r="I360" s="811">
        <v>197</v>
      </c>
      <c r="J360" s="811">
        <v>252</v>
      </c>
      <c r="K360" s="811">
        <v>270</v>
      </c>
      <c r="L360" s="811"/>
      <c r="M360" s="811"/>
      <c r="N360" s="811"/>
      <c r="O360" s="811"/>
      <c r="P360" s="811">
        <v>230</v>
      </c>
      <c r="Q360" s="819">
        <v>260</v>
      </c>
      <c r="R360" s="803"/>
      <c r="S360" s="803"/>
      <c r="T360" s="803"/>
      <c r="U360" s="803"/>
      <c r="V360" s="803"/>
      <c r="W360" s="801">
        <f t="shared" ref="W360:W389" si="104">SUM(C360:V360)</f>
        <v>1463</v>
      </c>
      <c r="Y360" s="798">
        <f t="shared" ref="Y360:Y389" si="105">W360</f>
        <v>1463</v>
      </c>
      <c r="AA360" s="823"/>
      <c r="AB360" s="823"/>
      <c r="AC360" s="823"/>
      <c r="AD360" s="823"/>
      <c r="AE360" s="824">
        <f t="shared" si="85"/>
        <v>643.72</v>
      </c>
      <c r="AF360" s="9">
        <f t="shared" ref="AF360:AF400" si="106">J360</f>
        <v>252</v>
      </c>
      <c r="AG360" s="863">
        <f t="shared" ref="AG360:AG400" si="107">K360</f>
        <v>270</v>
      </c>
      <c r="AH360" s="798">
        <f t="shared" ref="AH360:AH400" si="108">H360+P360</f>
        <v>484</v>
      </c>
      <c r="AI360" s="798">
        <f t="shared" ref="AI360:AI400" si="109">I360+Q360</f>
        <v>457</v>
      </c>
      <c r="AJ360" s="802">
        <f t="shared" si="103"/>
        <v>1463</v>
      </c>
      <c r="AP360" s="863">
        <f t="shared" ref="AP360:AP400" si="110">AH360+AI360+AG360+AF360</f>
        <v>1463</v>
      </c>
      <c r="AQ360" s="832"/>
      <c r="AR360" s="832"/>
      <c r="AS360" s="876">
        <f t="shared" si="88"/>
        <v>643.72</v>
      </c>
      <c r="AT360" s="876">
        <f t="shared" si="89"/>
        <v>0</v>
      </c>
    </row>
    <row r="361" spans="1:46">
      <c r="A361" s="798">
        <v>388</v>
      </c>
      <c r="B361" s="878">
        <v>10</v>
      </c>
      <c r="C361" s="811"/>
      <c r="D361" s="811"/>
      <c r="E361" s="811"/>
      <c r="F361" s="811"/>
      <c r="G361" s="811"/>
      <c r="H361" s="811">
        <v>215</v>
      </c>
      <c r="I361" s="811">
        <v>326</v>
      </c>
      <c r="J361" s="811">
        <v>212</v>
      </c>
      <c r="K361" s="811">
        <v>269</v>
      </c>
      <c r="L361" s="811"/>
      <c r="M361" s="811"/>
      <c r="N361" s="811"/>
      <c r="O361" s="811"/>
      <c r="P361" s="811">
        <v>230</v>
      </c>
      <c r="Q361" s="819">
        <v>254</v>
      </c>
      <c r="R361" s="803"/>
      <c r="S361" s="803"/>
      <c r="T361" s="803"/>
      <c r="U361" s="803"/>
      <c r="V361" s="803"/>
      <c r="W361" s="801">
        <f t="shared" si="104"/>
        <v>1506</v>
      </c>
      <c r="Y361" s="798">
        <f t="shared" si="105"/>
        <v>1506</v>
      </c>
      <c r="AA361" s="823"/>
      <c r="AB361" s="823"/>
      <c r="AC361" s="823"/>
      <c r="AD361" s="823"/>
      <c r="AE361" s="824">
        <f t="shared" si="85"/>
        <v>662.64</v>
      </c>
      <c r="AF361" s="9">
        <f t="shared" si="106"/>
        <v>212</v>
      </c>
      <c r="AG361" s="863">
        <f t="shared" si="107"/>
        <v>269</v>
      </c>
      <c r="AH361" s="798">
        <f t="shared" si="108"/>
        <v>445</v>
      </c>
      <c r="AI361" s="798">
        <f t="shared" si="109"/>
        <v>580</v>
      </c>
      <c r="AJ361" s="802">
        <f t="shared" si="103"/>
        <v>1506</v>
      </c>
      <c r="AP361" s="863">
        <f t="shared" si="110"/>
        <v>1506</v>
      </c>
      <c r="AQ361" s="832"/>
      <c r="AR361" s="832"/>
      <c r="AS361" s="876">
        <f t="shared" si="88"/>
        <v>662.64</v>
      </c>
      <c r="AT361" s="876">
        <f t="shared" si="89"/>
        <v>0</v>
      </c>
    </row>
    <row r="362" spans="1:46">
      <c r="A362" s="798">
        <v>389</v>
      </c>
      <c r="B362" s="878">
        <v>10</v>
      </c>
      <c r="C362" s="811"/>
      <c r="D362" s="811"/>
      <c r="E362" s="811"/>
      <c r="F362" s="811"/>
      <c r="G362" s="811"/>
      <c r="H362" s="811">
        <v>161</v>
      </c>
      <c r="I362" s="811">
        <v>219</v>
      </c>
      <c r="J362" s="811">
        <v>225</v>
      </c>
      <c r="K362" s="811">
        <v>258</v>
      </c>
      <c r="L362" s="811"/>
      <c r="M362" s="811"/>
      <c r="N362" s="811"/>
      <c r="O362" s="811"/>
      <c r="P362" s="811">
        <v>105</v>
      </c>
      <c r="Q362" s="819">
        <v>278</v>
      </c>
      <c r="R362" s="803"/>
      <c r="S362" s="803"/>
      <c r="T362" s="803"/>
      <c r="U362" s="803"/>
      <c r="V362" s="803"/>
      <c r="W362" s="801">
        <f t="shared" si="104"/>
        <v>1246</v>
      </c>
      <c r="Y362" s="798">
        <f t="shared" si="105"/>
        <v>1246</v>
      </c>
      <c r="AA362" s="823"/>
      <c r="AB362" s="823"/>
      <c r="AC362" s="823"/>
      <c r="AD362" s="823"/>
      <c r="AE362" s="824">
        <f t="shared" si="85"/>
        <v>548.24</v>
      </c>
      <c r="AF362" s="9">
        <f t="shared" si="106"/>
        <v>225</v>
      </c>
      <c r="AG362" s="863">
        <f t="shared" si="107"/>
        <v>258</v>
      </c>
      <c r="AH362" s="798">
        <f t="shared" si="108"/>
        <v>266</v>
      </c>
      <c r="AI362" s="798">
        <f t="shared" si="109"/>
        <v>497</v>
      </c>
      <c r="AJ362" s="802">
        <f t="shared" si="103"/>
        <v>1246</v>
      </c>
      <c r="AP362" s="863">
        <f t="shared" si="110"/>
        <v>1246</v>
      </c>
      <c r="AQ362" s="832"/>
      <c r="AR362" s="832"/>
      <c r="AS362" s="876">
        <f t="shared" si="88"/>
        <v>548.24</v>
      </c>
      <c r="AT362" s="876">
        <f t="shared" si="89"/>
        <v>0</v>
      </c>
    </row>
    <row r="363" spans="1:46">
      <c r="A363" s="798">
        <v>390</v>
      </c>
      <c r="B363" s="878">
        <v>10</v>
      </c>
      <c r="C363" s="811"/>
      <c r="D363" s="811"/>
      <c r="E363" s="811"/>
      <c r="F363" s="811"/>
      <c r="G363" s="811"/>
      <c r="H363" s="811">
        <v>159</v>
      </c>
      <c r="I363" s="811">
        <v>235</v>
      </c>
      <c r="J363" s="811">
        <v>189</v>
      </c>
      <c r="K363" s="811">
        <v>244</v>
      </c>
      <c r="L363" s="811"/>
      <c r="M363" s="811"/>
      <c r="N363" s="811"/>
      <c r="O363" s="811"/>
      <c r="P363" s="811">
        <v>201</v>
      </c>
      <c r="Q363" s="819">
        <v>293</v>
      </c>
      <c r="R363" s="803"/>
      <c r="S363" s="803"/>
      <c r="T363" s="803"/>
      <c r="U363" s="803"/>
      <c r="V363" s="803"/>
      <c r="W363" s="801">
        <f t="shared" si="104"/>
        <v>1321</v>
      </c>
      <c r="Y363" s="798">
        <f t="shared" si="105"/>
        <v>1321</v>
      </c>
      <c r="AA363" s="823"/>
      <c r="AB363" s="823"/>
      <c r="AC363" s="823"/>
      <c r="AD363" s="823"/>
      <c r="AE363" s="824">
        <f t="shared" si="85"/>
        <v>581.24</v>
      </c>
      <c r="AF363" s="9">
        <f t="shared" si="106"/>
        <v>189</v>
      </c>
      <c r="AG363" s="863">
        <f t="shared" si="107"/>
        <v>244</v>
      </c>
      <c r="AH363" s="798">
        <f t="shared" si="108"/>
        <v>360</v>
      </c>
      <c r="AI363" s="798">
        <f t="shared" si="109"/>
        <v>528</v>
      </c>
      <c r="AJ363" s="802">
        <f t="shared" si="103"/>
        <v>1321</v>
      </c>
      <c r="AP363" s="863">
        <f t="shared" si="110"/>
        <v>1321</v>
      </c>
      <c r="AQ363" s="832"/>
      <c r="AR363" s="832"/>
      <c r="AS363" s="876">
        <f t="shared" si="88"/>
        <v>581.24</v>
      </c>
      <c r="AT363" s="876">
        <f t="shared" si="89"/>
        <v>0</v>
      </c>
    </row>
    <row r="364" spans="1:46">
      <c r="A364" s="798">
        <v>391</v>
      </c>
      <c r="B364" s="878">
        <v>10</v>
      </c>
      <c r="C364" s="811"/>
      <c r="D364" s="811"/>
      <c r="E364" s="811"/>
      <c r="F364" s="811"/>
      <c r="G364" s="811"/>
      <c r="H364" s="811">
        <v>234</v>
      </c>
      <c r="I364" s="811">
        <v>247</v>
      </c>
      <c r="J364" s="811">
        <v>294</v>
      </c>
      <c r="K364" s="811">
        <v>261</v>
      </c>
      <c r="L364" s="811"/>
      <c r="M364" s="811"/>
      <c r="N364" s="811"/>
      <c r="O364" s="811"/>
      <c r="P364" s="811">
        <v>283</v>
      </c>
      <c r="Q364" s="819">
        <v>308</v>
      </c>
      <c r="R364" s="803"/>
      <c r="S364" s="803"/>
      <c r="T364" s="803"/>
      <c r="U364" s="803"/>
      <c r="V364" s="803"/>
      <c r="W364" s="801">
        <f t="shared" si="104"/>
        <v>1627</v>
      </c>
      <c r="Y364" s="798">
        <f t="shared" si="105"/>
        <v>1627</v>
      </c>
      <c r="AA364" s="823"/>
      <c r="AB364" s="823"/>
      <c r="AC364" s="823"/>
      <c r="AD364" s="823"/>
      <c r="AE364" s="824">
        <f t="shared" si="85"/>
        <v>715.88</v>
      </c>
      <c r="AF364" s="9">
        <f t="shared" si="106"/>
        <v>294</v>
      </c>
      <c r="AG364" s="863">
        <f t="shared" si="107"/>
        <v>261</v>
      </c>
      <c r="AH364" s="798">
        <f t="shared" si="108"/>
        <v>517</v>
      </c>
      <c r="AI364" s="798">
        <f t="shared" si="109"/>
        <v>555</v>
      </c>
      <c r="AJ364" s="802">
        <f t="shared" si="103"/>
        <v>1627</v>
      </c>
      <c r="AP364" s="863">
        <f t="shared" si="110"/>
        <v>1627</v>
      </c>
      <c r="AQ364" s="832"/>
      <c r="AR364" s="832"/>
      <c r="AS364" s="876">
        <f t="shared" si="88"/>
        <v>715.88</v>
      </c>
      <c r="AT364" s="876">
        <f t="shared" si="89"/>
        <v>0</v>
      </c>
    </row>
    <row r="365" spans="1:46">
      <c r="A365" s="798">
        <v>392</v>
      </c>
      <c r="B365" s="878">
        <v>10</v>
      </c>
      <c r="C365" s="811"/>
      <c r="D365" s="811"/>
      <c r="E365" s="811"/>
      <c r="F365" s="811"/>
      <c r="G365" s="811"/>
      <c r="H365" s="811">
        <v>170</v>
      </c>
      <c r="I365" s="811">
        <v>264</v>
      </c>
      <c r="J365" s="811">
        <v>173</v>
      </c>
      <c r="K365" s="811">
        <v>276</v>
      </c>
      <c r="L365" s="811"/>
      <c r="M365" s="811"/>
      <c r="N365" s="811"/>
      <c r="O365" s="811"/>
      <c r="P365" s="811">
        <v>155</v>
      </c>
      <c r="Q365" s="819">
        <v>285</v>
      </c>
      <c r="R365" s="803"/>
      <c r="S365" s="803"/>
      <c r="T365" s="803"/>
      <c r="U365" s="803"/>
      <c r="V365" s="803"/>
      <c r="W365" s="801">
        <f t="shared" si="104"/>
        <v>1323</v>
      </c>
      <c r="Y365" s="798">
        <f t="shared" si="105"/>
        <v>1323</v>
      </c>
      <c r="AA365" s="823"/>
      <c r="AB365" s="823"/>
      <c r="AC365" s="823"/>
      <c r="AD365" s="823"/>
      <c r="AE365" s="824">
        <f t="shared" si="85"/>
        <v>582.12</v>
      </c>
      <c r="AF365" s="9">
        <f t="shared" si="106"/>
        <v>173</v>
      </c>
      <c r="AG365" s="863">
        <f t="shared" si="107"/>
        <v>276</v>
      </c>
      <c r="AH365" s="798">
        <f t="shared" si="108"/>
        <v>325</v>
      </c>
      <c r="AI365" s="798">
        <f t="shared" si="109"/>
        <v>549</v>
      </c>
      <c r="AJ365" s="802">
        <f t="shared" si="103"/>
        <v>1323</v>
      </c>
      <c r="AP365" s="863">
        <f t="shared" si="110"/>
        <v>1323</v>
      </c>
      <c r="AQ365" s="832"/>
      <c r="AR365" s="832"/>
      <c r="AS365" s="876">
        <f t="shared" si="88"/>
        <v>582.12</v>
      </c>
      <c r="AT365" s="876">
        <f t="shared" si="89"/>
        <v>0</v>
      </c>
    </row>
    <row r="366" spans="1:46">
      <c r="A366" s="798">
        <v>393</v>
      </c>
      <c r="B366" s="878">
        <v>10</v>
      </c>
      <c r="C366" s="811"/>
      <c r="D366" s="811"/>
      <c r="E366" s="811"/>
      <c r="F366" s="811"/>
      <c r="G366" s="811"/>
      <c r="H366" s="811">
        <v>139</v>
      </c>
      <c r="I366" s="811">
        <v>221</v>
      </c>
      <c r="J366" s="811">
        <v>182</v>
      </c>
      <c r="K366" s="811">
        <v>268</v>
      </c>
      <c r="L366" s="811"/>
      <c r="M366" s="811"/>
      <c r="N366" s="811"/>
      <c r="O366" s="811"/>
      <c r="P366" s="811">
        <v>154</v>
      </c>
      <c r="Q366" s="819">
        <v>289</v>
      </c>
      <c r="R366" s="803"/>
      <c r="S366" s="803"/>
      <c r="T366" s="803"/>
      <c r="U366" s="803"/>
      <c r="V366" s="803"/>
      <c r="W366" s="801">
        <f t="shared" si="104"/>
        <v>1253</v>
      </c>
      <c r="Y366" s="798">
        <f t="shared" si="105"/>
        <v>1253</v>
      </c>
      <c r="AA366" s="823"/>
      <c r="AB366" s="823"/>
      <c r="AC366" s="823"/>
      <c r="AD366" s="823"/>
      <c r="AE366" s="824">
        <f t="shared" si="85"/>
        <v>551.32000000000005</v>
      </c>
      <c r="AF366" s="9">
        <f t="shared" si="106"/>
        <v>182</v>
      </c>
      <c r="AG366" s="863">
        <f t="shared" si="107"/>
        <v>268</v>
      </c>
      <c r="AH366" s="798">
        <f t="shared" si="108"/>
        <v>293</v>
      </c>
      <c r="AI366" s="798">
        <f t="shared" si="109"/>
        <v>510</v>
      </c>
      <c r="AJ366" s="802">
        <f t="shared" si="103"/>
        <v>1253</v>
      </c>
      <c r="AP366" s="863">
        <f t="shared" si="110"/>
        <v>1253</v>
      </c>
      <c r="AQ366" s="832"/>
      <c r="AR366" s="832"/>
      <c r="AS366" s="876">
        <f t="shared" si="88"/>
        <v>551.32000000000005</v>
      </c>
      <c r="AT366" s="876">
        <f t="shared" si="89"/>
        <v>0</v>
      </c>
    </row>
    <row r="367" spans="1:46">
      <c r="A367" s="798">
        <v>394</v>
      </c>
      <c r="B367" s="878">
        <v>10</v>
      </c>
      <c r="C367" s="811"/>
      <c r="D367" s="811"/>
      <c r="E367" s="811"/>
      <c r="F367" s="811"/>
      <c r="G367" s="811"/>
      <c r="H367" s="811">
        <v>153</v>
      </c>
      <c r="I367" s="811">
        <v>280</v>
      </c>
      <c r="J367" s="811">
        <v>249</v>
      </c>
      <c r="K367" s="811">
        <v>314</v>
      </c>
      <c r="L367" s="811"/>
      <c r="M367" s="811"/>
      <c r="N367" s="811"/>
      <c r="O367" s="811"/>
      <c r="P367" s="811">
        <v>171</v>
      </c>
      <c r="Q367" s="819">
        <v>327</v>
      </c>
      <c r="R367" s="803"/>
      <c r="S367" s="803"/>
      <c r="T367" s="803"/>
      <c r="U367" s="803"/>
      <c r="V367" s="803"/>
      <c r="W367" s="801">
        <f t="shared" si="104"/>
        <v>1494</v>
      </c>
      <c r="Y367" s="798">
        <f t="shared" si="105"/>
        <v>1494</v>
      </c>
      <c r="AA367" s="823"/>
      <c r="AB367" s="823"/>
      <c r="AC367" s="823"/>
      <c r="AD367" s="823"/>
      <c r="AE367" s="824">
        <f t="shared" si="85"/>
        <v>657.36</v>
      </c>
      <c r="AF367" s="9">
        <f t="shared" si="106"/>
        <v>249</v>
      </c>
      <c r="AG367" s="863">
        <f t="shared" si="107"/>
        <v>314</v>
      </c>
      <c r="AH367" s="798">
        <f t="shared" si="108"/>
        <v>324</v>
      </c>
      <c r="AI367" s="798">
        <f t="shared" si="109"/>
        <v>607</v>
      </c>
      <c r="AJ367" s="802">
        <f t="shared" si="103"/>
        <v>1494</v>
      </c>
      <c r="AP367" s="863">
        <f t="shared" si="110"/>
        <v>1494</v>
      </c>
      <c r="AQ367" s="832"/>
      <c r="AR367" s="832"/>
      <c r="AS367" s="876">
        <f t="shared" si="88"/>
        <v>657.36</v>
      </c>
      <c r="AT367" s="876">
        <f t="shared" si="89"/>
        <v>0</v>
      </c>
    </row>
    <row r="368" spans="1:46">
      <c r="A368" s="798">
        <v>395</v>
      </c>
      <c r="B368" s="878">
        <v>10</v>
      </c>
      <c r="C368" s="811"/>
      <c r="D368" s="811"/>
      <c r="E368" s="811"/>
      <c r="F368" s="811"/>
      <c r="G368" s="811"/>
      <c r="H368" s="811">
        <v>153</v>
      </c>
      <c r="I368" s="811">
        <v>291</v>
      </c>
      <c r="J368" s="811">
        <v>259</v>
      </c>
      <c r="K368" s="811">
        <v>323</v>
      </c>
      <c r="L368" s="811"/>
      <c r="M368" s="811"/>
      <c r="N368" s="811"/>
      <c r="O368" s="811"/>
      <c r="P368" s="811">
        <v>169</v>
      </c>
      <c r="Q368" s="819">
        <v>326</v>
      </c>
      <c r="R368" s="803"/>
      <c r="S368" s="803"/>
      <c r="T368" s="803"/>
      <c r="U368" s="803"/>
      <c r="V368" s="803"/>
      <c r="W368" s="801">
        <f t="shared" si="104"/>
        <v>1521</v>
      </c>
      <c r="Y368" s="798">
        <f t="shared" si="105"/>
        <v>1521</v>
      </c>
      <c r="AA368" s="823"/>
      <c r="AB368" s="823"/>
      <c r="AC368" s="823"/>
      <c r="AD368" s="823"/>
      <c r="AE368" s="824">
        <f t="shared" si="85"/>
        <v>669.24</v>
      </c>
      <c r="AF368" s="9">
        <f t="shared" si="106"/>
        <v>259</v>
      </c>
      <c r="AG368" s="863">
        <f t="shared" si="107"/>
        <v>323</v>
      </c>
      <c r="AH368" s="798">
        <f t="shared" si="108"/>
        <v>322</v>
      </c>
      <c r="AI368" s="798">
        <f t="shared" si="109"/>
        <v>617</v>
      </c>
      <c r="AJ368" s="802">
        <f t="shared" si="103"/>
        <v>1521</v>
      </c>
      <c r="AP368" s="863">
        <f t="shared" si="110"/>
        <v>1521</v>
      </c>
      <c r="AQ368" s="832"/>
      <c r="AR368" s="832"/>
      <c r="AS368" s="876">
        <f t="shared" si="88"/>
        <v>669.24</v>
      </c>
      <c r="AT368" s="876">
        <f t="shared" si="89"/>
        <v>0</v>
      </c>
    </row>
    <row r="369" spans="1:46">
      <c r="A369" s="798">
        <v>396</v>
      </c>
      <c r="B369" s="878">
        <v>10</v>
      </c>
      <c r="C369" s="811"/>
      <c r="D369" s="811"/>
      <c r="E369" s="811"/>
      <c r="F369" s="811"/>
      <c r="G369" s="811"/>
      <c r="H369" s="811">
        <v>79</v>
      </c>
      <c r="I369" s="811">
        <v>226</v>
      </c>
      <c r="J369" s="811">
        <v>137</v>
      </c>
      <c r="K369" s="811">
        <v>186</v>
      </c>
      <c r="L369" s="811"/>
      <c r="M369" s="811"/>
      <c r="N369" s="811"/>
      <c r="O369" s="811"/>
      <c r="P369" s="811">
        <v>183</v>
      </c>
      <c r="Q369" s="819">
        <v>246</v>
      </c>
      <c r="R369" s="803"/>
      <c r="S369" s="803"/>
      <c r="T369" s="803"/>
      <c r="U369" s="803"/>
      <c r="V369" s="803"/>
      <c r="W369" s="801">
        <f t="shared" si="104"/>
        <v>1057</v>
      </c>
      <c r="Y369" s="798">
        <f t="shared" si="105"/>
        <v>1057</v>
      </c>
      <c r="AA369" s="823"/>
      <c r="AB369" s="823"/>
      <c r="AC369" s="823"/>
      <c r="AD369" s="823"/>
      <c r="AE369" s="824">
        <f t="shared" si="85"/>
        <v>465.08</v>
      </c>
      <c r="AF369" s="9">
        <f t="shared" si="106"/>
        <v>137</v>
      </c>
      <c r="AG369" s="863">
        <f t="shared" si="107"/>
        <v>186</v>
      </c>
      <c r="AH369" s="798">
        <f t="shared" si="108"/>
        <v>262</v>
      </c>
      <c r="AI369" s="798">
        <f t="shared" si="109"/>
        <v>472</v>
      </c>
      <c r="AJ369" s="802">
        <f t="shared" si="103"/>
        <v>1057</v>
      </c>
      <c r="AP369" s="863">
        <f t="shared" si="110"/>
        <v>1057</v>
      </c>
      <c r="AQ369" s="832"/>
      <c r="AR369" s="832"/>
      <c r="AS369" s="876">
        <f t="shared" si="88"/>
        <v>465.08</v>
      </c>
      <c r="AT369" s="876">
        <f t="shared" si="89"/>
        <v>0</v>
      </c>
    </row>
    <row r="370" spans="1:46">
      <c r="A370" s="798">
        <v>397</v>
      </c>
      <c r="B370" s="878">
        <v>10</v>
      </c>
      <c r="C370" s="811"/>
      <c r="D370" s="811"/>
      <c r="E370" s="811"/>
      <c r="F370" s="811"/>
      <c r="G370" s="811"/>
      <c r="H370" s="811">
        <v>79</v>
      </c>
      <c r="I370" s="811">
        <v>179</v>
      </c>
      <c r="J370" s="811">
        <v>164</v>
      </c>
      <c r="K370" s="811">
        <v>180</v>
      </c>
      <c r="L370" s="811"/>
      <c r="M370" s="811"/>
      <c r="N370" s="811"/>
      <c r="O370" s="811"/>
      <c r="P370" s="811">
        <v>178</v>
      </c>
      <c r="Q370" s="819">
        <v>266</v>
      </c>
      <c r="R370" s="803"/>
      <c r="S370" s="803"/>
      <c r="T370" s="803"/>
      <c r="U370" s="803"/>
      <c r="V370" s="803"/>
      <c r="W370" s="801">
        <f t="shared" si="104"/>
        <v>1046</v>
      </c>
      <c r="Y370" s="798">
        <f t="shared" si="105"/>
        <v>1046</v>
      </c>
      <c r="AA370" s="823"/>
      <c r="AB370" s="823"/>
      <c r="AC370" s="823"/>
      <c r="AD370" s="823"/>
      <c r="AE370" s="824">
        <f t="shared" si="85"/>
        <v>460.24</v>
      </c>
      <c r="AF370" s="9">
        <f t="shared" si="106"/>
        <v>164</v>
      </c>
      <c r="AG370" s="863">
        <f t="shared" si="107"/>
        <v>180</v>
      </c>
      <c r="AH370" s="798">
        <f t="shared" si="108"/>
        <v>257</v>
      </c>
      <c r="AI370" s="798">
        <f t="shared" si="109"/>
        <v>445</v>
      </c>
      <c r="AJ370" s="802">
        <f t="shared" si="103"/>
        <v>1046</v>
      </c>
      <c r="AP370" s="863">
        <f t="shared" si="110"/>
        <v>1046</v>
      </c>
      <c r="AQ370" s="832"/>
      <c r="AR370" s="832"/>
      <c r="AS370" s="876">
        <f t="shared" si="88"/>
        <v>460.24</v>
      </c>
      <c r="AT370" s="876">
        <f t="shared" si="89"/>
        <v>0</v>
      </c>
    </row>
    <row r="371" spans="1:46">
      <c r="A371" s="798">
        <v>398</v>
      </c>
      <c r="B371" s="878">
        <v>10</v>
      </c>
      <c r="C371" s="811"/>
      <c r="D371" s="811"/>
      <c r="E371" s="811"/>
      <c r="F371" s="811"/>
      <c r="G371" s="811"/>
      <c r="H371" s="811">
        <v>193</v>
      </c>
      <c r="I371" s="811">
        <v>244</v>
      </c>
      <c r="J371" s="811">
        <v>191</v>
      </c>
      <c r="K371" s="811">
        <v>263</v>
      </c>
      <c r="L371" s="811"/>
      <c r="M371" s="811"/>
      <c r="N371" s="811"/>
      <c r="O371" s="811"/>
      <c r="P371" s="811">
        <v>186</v>
      </c>
      <c r="Q371" s="819">
        <v>293</v>
      </c>
      <c r="R371" s="803"/>
      <c r="S371" s="803"/>
      <c r="T371" s="803"/>
      <c r="U371" s="803"/>
      <c r="V371" s="803"/>
      <c r="W371" s="801">
        <f t="shared" si="104"/>
        <v>1370</v>
      </c>
      <c r="Y371" s="798">
        <f t="shared" si="105"/>
        <v>1370</v>
      </c>
      <c r="AA371" s="823"/>
      <c r="AB371" s="823"/>
      <c r="AC371" s="823"/>
      <c r="AD371" s="823"/>
      <c r="AE371" s="824">
        <f t="shared" si="85"/>
        <v>602.79999999999995</v>
      </c>
      <c r="AF371" s="9">
        <f t="shared" si="106"/>
        <v>191</v>
      </c>
      <c r="AG371" s="863">
        <f t="shared" si="107"/>
        <v>263</v>
      </c>
      <c r="AH371" s="798">
        <f t="shared" si="108"/>
        <v>379</v>
      </c>
      <c r="AI371" s="798">
        <f t="shared" si="109"/>
        <v>537</v>
      </c>
      <c r="AJ371" s="802">
        <f t="shared" si="103"/>
        <v>1370</v>
      </c>
      <c r="AP371" s="863">
        <f t="shared" si="110"/>
        <v>1370</v>
      </c>
      <c r="AQ371" s="832"/>
      <c r="AR371" s="832"/>
      <c r="AS371" s="876">
        <f t="shared" si="88"/>
        <v>602.79999999999995</v>
      </c>
      <c r="AT371" s="876">
        <f t="shared" si="89"/>
        <v>0</v>
      </c>
    </row>
    <row r="372" spans="1:46">
      <c r="A372" s="798">
        <v>399</v>
      </c>
      <c r="B372" s="878">
        <v>10</v>
      </c>
      <c r="C372" s="811"/>
      <c r="D372" s="811"/>
      <c r="E372" s="811"/>
      <c r="F372" s="811"/>
      <c r="G372" s="811"/>
      <c r="H372" s="811">
        <v>189</v>
      </c>
      <c r="I372" s="811">
        <v>207</v>
      </c>
      <c r="J372" s="811">
        <v>163</v>
      </c>
      <c r="K372" s="811">
        <v>208</v>
      </c>
      <c r="L372" s="811"/>
      <c r="M372" s="811"/>
      <c r="N372" s="811"/>
      <c r="O372" s="811"/>
      <c r="P372" s="811">
        <v>195</v>
      </c>
      <c r="Q372" s="819">
        <v>251</v>
      </c>
      <c r="R372" s="803"/>
      <c r="S372" s="803"/>
      <c r="T372" s="803"/>
      <c r="U372" s="803"/>
      <c r="V372" s="803"/>
      <c r="W372" s="801">
        <f t="shared" si="104"/>
        <v>1213</v>
      </c>
      <c r="Y372" s="798">
        <f t="shared" si="105"/>
        <v>1213</v>
      </c>
      <c r="AA372" s="823"/>
      <c r="AB372" s="823"/>
      <c r="AC372" s="823"/>
      <c r="AD372" s="823"/>
      <c r="AE372" s="824">
        <f t="shared" si="85"/>
        <v>533.72</v>
      </c>
      <c r="AF372" s="9">
        <f t="shared" si="106"/>
        <v>163</v>
      </c>
      <c r="AG372" s="863">
        <f t="shared" si="107"/>
        <v>208</v>
      </c>
      <c r="AH372" s="798">
        <f t="shared" si="108"/>
        <v>384</v>
      </c>
      <c r="AI372" s="798">
        <f t="shared" si="109"/>
        <v>458</v>
      </c>
      <c r="AJ372" s="802">
        <f t="shared" si="103"/>
        <v>1213</v>
      </c>
      <c r="AP372" s="863">
        <f t="shared" si="110"/>
        <v>1213</v>
      </c>
      <c r="AQ372" s="832"/>
      <c r="AR372" s="832"/>
      <c r="AS372" s="876">
        <f t="shared" si="88"/>
        <v>533.72</v>
      </c>
      <c r="AT372" s="876">
        <f t="shared" si="89"/>
        <v>0</v>
      </c>
    </row>
    <row r="373" spans="1:46">
      <c r="A373" s="798">
        <v>400</v>
      </c>
      <c r="B373" s="878">
        <v>10</v>
      </c>
      <c r="C373" s="811"/>
      <c r="D373" s="811"/>
      <c r="E373" s="811"/>
      <c r="F373" s="811"/>
      <c r="G373" s="811"/>
      <c r="H373" s="811">
        <v>190</v>
      </c>
      <c r="I373" s="811">
        <v>205</v>
      </c>
      <c r="J373" s="811">
        <v>167</v>
      </c>
      <c r="K373" s="811">
        <v>206</v>
      </c>
      <c r="L373" s="811"/>
      <c r="M373" s="811"/>
      <c r="N373" s="811"/>
      <c r="O373" s="811"/>
      <c r="P373" s="811">
        <v>193</v>
      </c>
      <c r="Q373" s="819">
        <v>241</v>
      </c>
      <c r="R373" s="803"/>
      <c r="S373" s="803"/>
      <c r="T373" s="803"/>
      <c r="U373" s="803"/>
      <c r="V373" s="803"/>
      <c r="W373" s="801">
        <f t="shared" si="104"/>
        <v>1202</v>
      </c>
      <c r="Y373" s="798">
        <f t="shared" si="105"/>
        <v>1202</v>
      </c>
      <c r="AA373" s="823"/>
      <c r="AB373" s="823"/>
      <c r="AC373" s="823"/>
      <c r="AD373" s="823"/>
      <c r="AE373" s="824">
        <f t="shared" si="85"/>
        <v>528.88</v>
      </c>
      <c r="AF373" s="9">
        <f t="shared" si="106"/>
        <v>167</v>
      </c>
      <c r="AG373" s="863">
        <f t="shared" si="107"/>
        <v>206</v>
      </c>
      <c r="AH373" s="798">
        <f t="shared" si="108"/>
        <v>383</v>
      </c>
      <c r="AI373" s="798">
        <f t="shared" si="109"/>
        <v>446</v>
      </c>
      <c r="AJ373" s="802">
        <f t="shared" si="103"/>
        <v>1202</v>
      </c>
      <c r="AP373" s="863">
        <f t="shared" si="110"/>
        <v>1202</v>
      </c>
      <c r="AQ373" s="832"/>
      <c r="AR373" s="832"/>
      <c r="AS373" s="876">
        <f t="shared" si="88"/>
        <v>528.88</v>
      </c>
      <c r="AT373" s="876">
        <f t="shared" si="89"/>
        <v>0</v>
      </c>
    </row>
    <row r="374" spans="1:46">
      <c r="A374" s="798">
        <v>401</v>
      </c>
      <c r="B374" s="878">
        <v>10</v>
      </c>
      <c r="C374" s="811"/>
      <c r="D374" s="811"/>
      <c r="E374" s="811"/>
      <c r="F374" s="811"/>
      <c r="G374" s="811"/>
      <c r="H374" s="811">
        <v>129</v>
      </c>
      <c r="I374" s="811">
        <v>219</v>
      </c>
      <c r="J374" s="811">
        <v>259</v>
      </c>
      <c r="K374" s="811">
        <v>239</v>
      </c>
      <c r="L374" s="811"/>
      <c r="M374" s="811"/>
      <c r="N374" s="811"/>
      <c r="O374" s="811"/>
      <c r="P374" s="811">
        <v>101</v>
      </c>
      <c r="Q374" s="819">
        <v>97</v>
      </c>
      <c r="R374" s="803"/>
      <c r="S374" s="803"/>
      <c r="T374" s="803"/>
      <c r="U374" s="803"/>
      <c r="V374" s="803"/>
      <c r="W374" s="801">
        <f t="shared" si="104"/>
        <v>1044</v>
      </c>
      <c r="Y374" s="798">
        <f t="shared" si="105"/>
        <v>1044</v>
      </c>
      <c r="AA374" s="823"/>
      <c r="AB374" s="823"/>
      <c r="AC374" s="823"/>
      <c r="AD374" s="823"/>
      <c r="AE374" s="824">
        <f t="shared" si="85"/>
        <v>459.36</v>
      </c>
      <c r="AF374" s="9">
        <f t="shared" si="106"/>
        <v>259</v>
      </c>
      <c r="AG374" s="863">
        <f t="shared" si="107"/>
        <v>239</v>
      </c>
      <c r="AH374" s="798">
        <f t="shared" si="108"/>
        <v>230</v>
      </c>
      <c r="AI374" s="798">
        <f t="shared" si="109"/>
        <v>316</v>
      </c>
      <c r="AJ374" s="802">
        <f t="shared" si="103"/>
        <v>1044</v>
      </c>
      <c r="AP374" s="863">
        <f t="shared" si="110"/>
        <v>1044</v>
      </c>
      <c r="AQ374" s="832"/>
      <c r="AR374" s="832"/>
      <c r="AS374" s="876">
        <f t="shared" si="88"/>
        <v>459.36</v>
      </c>
      <c r="AT374" s="876">
        <f t="shared" si="89"/>
        <v>0</v>
      </c>
    </row>
    <row r="375" spans="1:46">
      <c r="A375" s="798">
        <v>402</v>
      </c>
      <c r="B375" s="878">
        <v>10</v>
      </c>
      <c r="C375" s="811"/>
      <c r="D375" s="811"/>
      <c r="E375" s="811"/>
      <c r="F375" s="811"/>
      <c r="G375" s="811"/>
      <c r="H375" s="811">
        <v>209</v>
      </c>
      <c r="I375" s="811">
        <v>237</v>
      </c>
      <c r="J375" s="811">
        <v>281</v>
      </c>
      <c r="K375" s="811">
        <v>281</v>
      </c>
      <c r="L375" s="811"/>
      <c r="M375" s="811"/>
      <c r="N375" s="811"/>
      <c r="O375" s="811"/>
      <c r="P375" s="811">
        <v>211</v>
      </c>
      <c r="Q375" s="819">
        <v>316</v>
      </c>
      <c r="R375" s="803"/>
      <c r="S375" s="803"/>
      <c r="T375" s="803"/>
      <c r="U375" s="803"/>
      <c r="V375" s="803"/>
      <c r="W375" s="801">
        <f t="shared" si="104"/>
        <v>1535</v>
      </c>
      <c r="Y375" s="798">
        <f t="shared" si="105"/>
        <v>1535</v>
      </c>
      <c r="AA375" s="823"/>
      <c r="AB375" s="823"/>
      <c r="AC375" s="823"/>
      <c r="AD375" s="823"/>
      <c r="AE375" s="824">
        <f t="shared" si="85"/>
        <v>675.4</v>
      </c>
      <c r="AF375" s="9">
        <f t="shared" si="106"/>
        <v>281</v>
      </c>
      <c r="AG375" s="863">
        <f t="shared" si="107"/>
        <v>281</v>
      </c>
      <c r="AH375" s="798">
        <f t="shared" si="108"/>
        <v>420</v>
      </c>
      <c r="AI375" s="798">
        <f t="shared" si="109"/>
        <v>553</v>
      </c>
      <c r="AJ375" s="802">
        <f t="shared" si="103"/>
        <v>1535</v>
      </c>
      <c r="AP375" s="863">
        <f t="shared" si="110"/>
        <v>1535</v>
      </c>
      <c r="AQ375" s="832"/>
      <c r="AR375" s="832"/>
      <c r="AS375" s="876">
        <f t="shared" si="88"/>
        <v>675.4</v>
      </c>
      <c r="AT375" s="876">
        <f t="shared" si="89"/>
        <v>0</v>
      </c>
    </row>
    <row r="376" spans="1:46">
      <c r="A376" s="798">
        <v>403</v>
      </c>
      <c r="B376" s="878">
        <v>10</v>
      </c>
      <c r="C376" s="811"/>
      <c r="D376" s="811"/>
      <c r="E376" s="811"/>
      <c r="F376" s="811"/>
      <c r="G376" s="811"/>
      <c r="H376" s="811">
        <v>218</v>
      </c>
      <c r="I376" s="811">
        <v>199</v>
      </c>
      <c r="J376" s="811">
        <v>225</v>
      </c>
      <c r="K376" s="811">
        <v>209</v>
      </c>
      <c r="L376" s="811"/>
      <c r="M376" s="811"/>
      <c r="N376" s="811"/>
      <c r="O376" s="811"/>
      <c r="P376" s="811">
        <v>209</v>
      </c>
      <c r="Q376" s="819">
        <v>264</v>
      </c>
      <c r="R376" s="803"/>
      <c r="S376" s="803"/>
      <c r="T376" s="803"/>
      <c r="U376" s="803"/>
      <c r="V376" s="803"/>
      <c r="W376" s="801">
        <f t="shared" si="104"/>
        <v>1324</v>
      </c>
      <c r="Y376" s="798">
        <f t="shared" si="105"/>
        <v>1324</v>
      </c>
      <c r="AA376" s="823"/>
      <c r="AB376" s="823"/>
      <c r="AC376" s="823"/>
      <c r="AD376" s="823"/>
      <c r="AE376" s="824">
        <f t="shared" si="85"/>
        <v>582.55999999999995</v>
      </c>
      <c r="AF376" s="9">
        <f t="shared" si="106"/>
        <v>225</v>
      </c>
      <c r="AG376" s="863">
        <f t="shared" si="107"/>
        <v>209</v>
      </c>
      <c r="AH376" s="798">
        <f t="shared" si="108"/>
        <v>427</v>
      </c>
      <c r="AI376" s="798">
        <f t="shared" si="109"/>
        <v>463</v>
      </c>
      <c r="AJ376" s="802">
        <f t="shared" si="103"/>
        <v>1324</v>
      </c>
      <c r="AP376" s="863">
        <f t="shared" si="110"/>
        <v>1324</v>
      </c>
      <c r="AQ376" s="832"/>
      <c r="AR376" s="832"/>
      <c r="AS376" s="876">
        <f t="shared" si="88"/>
        <v>582.55999999999995</v>
      </c>
      <c r="AT376" s="876">
        <f t="shared" si="89"/>
        <v>0</v>
      </c>
    </row>
    <row r="377" spans="1:46">
      <c r="A377" s="798">
        <v>404</v>
      </c>
      <c r="B377" s="878">
        <v>10</v>
      </c>
      <c r="C377" s="811"/>
      <c r="D377" s="811"/>
      <c r="E377" s="811"/>
      <c r="F377" s="811"/>
      <c r="G377" s="811"/>
      <c r="H377" s="811">
        <v>234</v>
      </c>
      <c r="I377" s="811">
        <v>162</v>
      </c>
      <c r="J377" s="811">
        <v>258</v>
      </c>
      <c r="K377" s="811">
        <v>271</v>
      </c>
      <c r="L377" s="811"/>
      <c r="M377" s="811"/>
      <c r="N377" s="811"/>
      <c r="O377" s="811"/>
      <c r="P377" s="811">
        <v>238</v>
      </c>
      <c r="Q377" s="819">
        <v>193</v>
      </c>
      <c r="R377" s="803"/>
      <c r="S377" s="803"/>
      <c r="T377" s="803"/>
      <c r="U377" s="803"/>
      <c r="V377" s="803"/>
      <c r="W377" s="801">
        <f t="shared" si="104"/>
        <v>1356</v>
      </c>
      <c r="Y377" s="798">
        <f t="shared" si="105"/>
        <v>1356</v>
      </c>
      <c r="AA377" s="823"/>
      <c r="AB377" s="823"/>
      <c r="AC377" s="823"/>
      <c r="AD377" s="823"/>
      <c r="AE377" s="824">
        <f t="shared" si="85"/>
        <v>596.64</v>
      </c>
      <c r="AF377" s="9">
        <f t="shared" si="106"/>
        <v>258</v>
      </c>
      <c r="AG377" s="863">
        <f t="shared" si="107"/>
        <v>271</v>
      </c>
      <c r="AH377" s="798">
        <f t="shared" si="108"/>
        <v>472</v>
      </c>
      <c r="AI377" s="798">
        <f t="shared" si="109"/>
        <v>355</v>
      </c>
      <c r="AJ377" s="802">
        <f t="shared" si="103"/>
        <v>1356</v>
      </c>
      <c r="AP377" s="863">
        <f t="shared" si="110"/>
        <v>1356</v>
      </c>
      <c r="AQ377" s="832"/>
      <c r="AR377" s="832"/>
      <c r="AS377" s="876">
        <f t="shared" si="88"/>
        <v>596.64</v>
      </c>
      <c r="AT377" s="876">
        <f t="shared" si="89"/>
        <v>0</v>
      </c>
    </row>
    <row r="378" spans="1:46">
      <c r="A378" s="798">
        <v>405</v>
      </c>
      <c r="B378" s="878">
        <v>10</v>
      </c>
      <c r="C378" s="811"/>
      <c r="D378" s="811"/>
      <c r="E378" s="811"/>
      <c r="F378" s="811"/>
      <c r="G378" s="811"/>
      <c r="H378" s="811">
        <v>91</v>
      </c>
      <c r="I378" s="811">
        <v>166</v>
      </c>
      <c r="J378" s="811">
        <v>133</v>
      </c>
      <c r="K378" s="811">
        <v>175</v>
      </c>
      <c r="L378" s="811"/>
      <c r="M378" s="811"/>
      <c r="N378" s="811"/>
      <c r="O378" s="811"/>
      <c r="P378" s="811">
        <v>176</v>
      </c>
      <c r="Q378" s="819">
        <v>261</v>
      </c>
      <c r="R378" s="803"/>
      <c r="S378" s="803"/>
      <c r="T378" s="803"/>
      <c r="U378" s="803"/>
      <c r="V378" s="803"/>
      <c r="W378" s="801">
        <f t="shared" si="104"/>
        <v>1002</v>
      </c>
      <c r="Y378" s="798">
        <f t="shared" si="105"/>
        <v>1002</v>
      </c>
      <c r="AA378" s="823"/>
      <c r="AB378" s="823"/>
      <c r="AC378" s="823"/>
      <c r="AD378" s="823"/>
      <c r="AE378" s="824">
        <f t="shared" si="85"/>
        <v>440.88</v>
      </c>
      <c r="AF378" s="9">
        <f t="shared" si="106"/>
        <v>133</v>
      </c>
      <c r="AG378" s="863">
        <f t="shared" si="107"/>
        <v>175</v>
      </c>
      <c r="AH378" s="798">
        <f t="shared" si="108"/>
        <v>267</v>
      </c>
      <c r="AI378" s="798">
        <f t="shared" si="109"/>
        <v>427</v>
      </c>
      <c r="AJ378" s="802">
        <f t="shared" si="103"/>
        <v>1002</v>
      </c>
      <c r="AP378" s="863">
        <f t="shared" si="110"/>
        <v>1002</v>
      </c>
      <c r="AQ378" s="832"/>
      <c r="AR378" s="832"/>
      <c r="AS378" s="876">
        <f t="shared" si="88"/>
        <v>440.88</v>
      </c>
      <c r="AT378" s="876">
        <f t="shared" si="89"/>
        <v>0</v>
      </c>
    </row>
    <row r="379" spans="1:46">
      <c r="A379" s="798">
        <v>406</v>
      </c>
      <c r="B379" s="878">
        <v>10</v>
      </c>
      <c r="C379" s="811"/>
      <c r="D379" s="811"/>
      <c r="E379" s="811"/>
      <c r="F379" s="811"/>
      <c r="G379" s="811"/>
      <c r="H379" s="811">
        <v>211</v>
      </c>
      <c r="I379" s="811">
        <v>346</v>
      </c>
      <c r="J379" s="811">
        <v>203</v>
      </c>
      <c r="K379" s="811">
        <v>296</v>
      </c>
      <c r="L379" s="811"/>
      <c r="M379" s="811"/>
      <c r="N379" s="811"/>
      <c r="O379" s="811"/>
      <c r="P379" s="811">
        <v>230</v>
      </c>
      <c r="Q379" s="819">
        <v>278</v>
      </c>
      <c r="R379" s="803"/>
      <c r="S379" s="803"/>
      <c r="T379" s="803"/>
      <c r="U379" s="803"/>
      <c r="V379" s="803"/>
      <c r="W379" s="801">
        <f t="shared" si="104"/>
        <v>1564</v>
      </c>
      <c r="Y379" s="798">
        <f t="shared" si="105"/>
        <v>1564</v>
      </c>
      <c r="AA379" s="823"/>
      <c r="AB379" s="823"/>
      <c r="AC379" s="823"/>
      <c r="AD379" s="823"/>
      <c r="AE379" s="824">
        <f t="shared" si="85"/>
        <v>688.16</v>
      </c>
      <c r="AF379" s="9">
        <f t="shared" si="106"/>
        <v>203</v>
      </c>
      <c r="AG379" s="863">
        <f t="shared" si="107"/>
        <v>296</v>
      </c>
      <c r="AH379" s="798">
        <f t="shared" si="108"/>
        <v>441</v>
      </c>
      <c r="AI379" s="798">
        <f t="shared" si="109"/>
        <v>624</v>
      </c>
      <c r="AJ379" s="802">
        <f t="shared" si="103"/>
        <v>1564</v>
      </c>
      <c r="AP379" s="863">
        <f t="shared" si="110"/>
        <v>1564</v>
      </c>
      <c r="AQ379" s="832"/>
      <c r="AR379" s="832"/>
      <c r="AS379" s="876">
        <f t="shared" si="88"/>
        <v>688.16</v>
      </c>
      <c r="AT379" s="876">
        <f t="shared" si="89"/>
        <v>0</v>
      </c>
    </row>
    <row r="380" spans="1:46">
      <c r="A380" s="798">
        <v>407</v>
      </c>
      <c r="B380" s="878">
        <v>10</v>
      </c>
      <c r="C380" s="811"/>
      <c r="D380" s="811"/>
      <c r="E380" s="811"/>
      <c r="F380" s="811"/>
      <c r="G380" s="811"/>
      <c r="H380" s="811">
        <v>225</v>
      </c>
      <c r="I380" s="811">
        <v>179</v>
      </c>
      <c r="J380" s="811">
        <v>156</v>
      </c>
      <c r="K380" s="811">
        <v>258</v>
      </c>
      <c r="L380" s="811"/>
      <c r="M380" s="811"/>
      <c r="N380" s="811"/>
      <c r="O380" s="811"/>
      <c r="P380" s="811">
        <v>226</v>
      </c>
      <c r="Q380" s="819">
        <v>225</v>
      </c>
      <c r="R380" s="803"/>
      <c r="S380" s="803"/>
      <c r="T380" s="803"/>
      <c r="U380" s="803"/>
      <c r="V380" s="803"/>
      <c r="W380" s="801">
        <f t="shared" si="104"/>
        <v>1269</v>
      </c>
      <c r="Y380" s="798">
        <f t="shared" si="105"/>
        <v>1269</v>
      </c>
      <c r="AA380" s="823"/>
      <c r="AB380" s="823"/>
      <c r="AC380" s="823"/>
      <c r="AD380" s="823"/>
      <c r="AE380" s="824">
        <f t="shared" si="85"/>
        <v>558.36</v>
      </c>
      <c r="AF380" s="9">
        <f t="shared" si="106"/>
        <v>156</v>
      </c>
      <c r="AG380" s="863">
        <f t="shared" si="107"/>
        <v>258</v>
      </c>
      <c r="AH380" s="798">
        <f t="shared" si="108"/>
        <v>451</v>
      </c>
      <c r="AI380" s="798">
        <f t="shared" si="109"/>
        <v>404</v>
      </c>
      <c r="AJ380" s="802">
        <f t="shared" si="103"/>
        <v>1269</v>
      </c>
      <c r="AP380" s="863">
        <f t="shared" si="110"/>
        <v>1269</v>
      </c>
      <c r="AQ380" s="832"/>
      <c r="AR380" s="832"/>
      <c r="AS380" s="876">
        <f t="shared" si="88"/>
        <v>558.36</v>
      </c>
      <c r="AT380" s="876">
        <f t="shared" si="89"/>
        <v>0</v>
      </c>
    </row>
    <row r="381" spans="1:46">
      <c r="A381" s="798">
        <v>408</v>
      </c>
      <c r="B381" s="878">
        <v>10</v>
      </c>
      <c r="C381" s="811"/>
      <c r="D381" s="811"/>
      <c r="E381" s="811"/>
      <c r="F381" s="811"/>
      <c r="G381" s="811"/>
      <c r="H381" s="811">
        <v>167</v>
      </c>
      <c r="I381" s="811">
        <v>202</v>
      </c>
      <c r="J381" s="811">
        <v>169</v>
      </c>
      <c r="K381" s="811">
        <v>251</v>
      </c>
      <c r="L381" s="811"/>
      <c r="M381" s="811"/>
      <c r="N381" s="811"/>
      <c r="O381" s="811"/>
      <c r="P381" s="811">
        <v>227</v>
      </c>
      <c r="Q381" s="819">
        <v>240</v>
      </c>
      <c r="R381" s="803"/>
      <c r="S381" s="803"/>
      <c r="T381" s="803"/>
      <c r="U381" s="803"/>
      <c r="V381" s="803"/>
      <c r="W381" s="801">
        <f t="shared" si="104"/>
        <v>1256</v>
      </c>
      <c r="Y381" s="798">
        <f t="shared" si="105"/>
        <v>1256</v>
      </c>
      <c r="AA381" s="823"/>
      <c r="AB381" s="823"/>
      <c r="AC381" s="823"/>
      <c r="AD381" s="823"/>
      <c r="AE381" s="824">
        <f t="shared" si="85"/>
        <v>552.64</v>
      </c>
      <c r="AF381" s="9">
        <f t="shared" si="106"/>
        <v>169</v>
      </c>
      <c r="AG381" s="863">
        <f t="shared" si="107"/>
        <v>251</v>
      </c>
      <c r="AH381" s="798">
        <f t="shared" si="108"/>
        <v>394</v>
      </c>
      <c r="AI381" s="798">
        <f t="shared" si="109"/>
        <v>442</v>
      </c>
      <c r="AJ381" s="802">
        <f t="shared" si="103"/>
        <v>1256</v>
      </c>
      <c r="AP381" s="863">
        <f t="shared" si="110"/>
        <v>1256</v>
      </c>
      <c r="AQ381" s="832"/>
      <c r="AR381" s="832"/>
      <c r="AS381" s="876">
        <f t="shared" si="88"/>
        <v>552.64</v>
      </c>
      <c r="AT381" s="876">
        <f t="shared" si="89"/>
        <v>0</v>
      </c>
    </row>
    <row r="382" spans="1:46">
      <c r="A382" s="798">
        <v>409</v>
      </c>
      <c r="B382" s="878">
        <v>10</v>
      </c>
      <c r="C382" s="811"/>
      <c r="D382" s="811"/>
      <c r="E382" s="811"/>
      <c r="F382" s="811"/>
      <c r="G382" s="811"/>
      <c r="H382" s="811">
        <v>93</v>
      </c>
      <c r="I382" s="811">
        <v>162</v>
      </c>
      <c r="J382" s="811">
        <v>127</v>
      </c>
      <c r="K382" s="811">
        <v>131</v>
      </c>
      <c r="L382" s="811"/>
      <c r="M382" s="811"/>
      <c r="N382" s="811"/>
      <c r="O382" s="811"/>
      <c r="P382" s="811">
        <v>150</v>
      </c>
      <c r="Q382" s="819">
        <v>156</v>
      </c>
      <c r="R382" s="803"/>
      <c r="S382" s="803"/>
      <c r="T382" s="803"/>
      <c r="U382" s="803"/>
      <c r="V382" s="803"/>
      <c r="W382" s="801">
        <f t="shared" si="104"/>
        <v>819</v>
      </c>
      <c r="Y382" s="798">
        <f t="shared" si="105"/>
        <v>819</v>
      </c>
      <c r="AA382" s="823"/>
      <c r="AB382" s="823"/>
      <c r="AC382" s="823"/>
      <c r="AD382" s="823"/>
      <c r="AE382" s="824">
        <f t="shared" ref="AE382:AE400" si="111">ROUND(W382*0.44,2)</f>
        <v>360.36</v>
      </c>
      <c r="AF382" s="9">
        <f t="shared" si="106"/>
        <v>127</v>
      </c>
      <c r="AG382" s="863">
        <f t="shared" si="107"/>
        <v>131</v>
      </c>
      <c r="AH382" s="798">
        <f t="shared" si="108"/>
        <v>243</v>
      </c>
      <c r="AI382" s="798">
        <f t="shared" si="109"/>
        <v>318</v>
      </c>
      <c r="AJ382" s="802">
        <f t="shared" si="103"/>
        <v>819</v>
      </c>
      <c r="AP382" s="863">
        <f t="shared" si="110"/>
        <v>819</v>
      </c>
      <c r="AQ382" s="832"/>
      <c r="AR382" s="832"/>
      <c r="AS382" s="876">
        <f t="shared" ref="AS382:AS400" si="112">ROUND(AP382*0.44,2)</f>
        <v>360.36</v>
      </c>
      <c r="AT382" s="876">
        <f t="shared" ref="AT382:AT400" si="113">ROUND(AQ382*0.44,2)</f>
        <v>0</v>
      </c>
    </row>
    <row r="383" spans="1:46">
      <c r="A383" s="798">
        <v>410</v>
      </c>
      <c r="B383" s="878">
        <v>10</v>
      </c>
      <c r="C383" s="811"/>
      <c r="D383" s="811"/>
      <c r="E383" s="811"/>
      <c r="F383" s="811"/>
      <c r="G383" s="811"/>
      <c r="H383" s="811">
        <v>102</v>
      </c>
      <c r="I383" s="811">
        <v>171</v>
      </c>
      <c r="J383" s="811">
        <v>124</v>
      </c>
      <c r="K383" s="811">
        <v>110</v>
      </c>
      <c r="L383" s="811"/>
      <c r="M383" s="811"/>
      <c r="N383" s="811"/>
      <c r="O383" s="811"/>
      <c r="P383" s="811">
        <v>0</v>
      </c>
      <c r="Q383" s="819">
        <v>279</v>
      </c>
      <c r="R383" s="803"/>
      <c r="S383" s="803"/>
      <c r="T383" s="803"/>
      <c r="U383" s="803"/>
      <c r="V383" s="803"/>
      <c r="W383" s="801">
        <f t="shared" si="104"/>
        <v>786</v>
      </c>
      <c r="Y383" s="798">
        <f t="shared" si="105"/>
        <v>786</v>
      </c>
      <c r="AA383" s="823"/>
      <c r="AB383" s="823"/>
      <c r="AC383" s="823"/>
      <c r="AD383" s="823"/>
      <c r="AE383" s="824">
        <f t="shared" si="111"/>
        <v>345.84</v>
      </c>
      <c r="AF383" s="9">
        <f t="shared" si="106"/>
        <v>124</v>
      </c>
      <c r="AG383" s="863">
        <f t="shared" si="107"/>
        <v>110</v>
      </c>
      <c r="AH383" s="798">
        <f t="shared" si="108"/>
        <v>102</v>
      </c>
      <c r="AI383" s="798">
        <f t="shared" si="109"/>
        <v>450</v>
      </c>
      <c r="AJ383" s="802">
        <f t="shared" si="103"/>
        <v>786</v>
      </c>
      <c r="AP383" s="863">
        <f t="shared" si="110"/>
        <v>786</v>
      </c>
      <c r="AQ383" s="832"/>
      <c r="AR383" s="832"/>
      <c r="AS383" s="876">
        <f t="shared" si="112"/>
        <v>345.84</v>
      </c>
      <c r="AT383" s="876">
        <f t="shared" si="113"/>
        <v>0</v>
      </c>
    </row>
    <row r="384" spans="1:46">
      <c r="A384" s="798">
        <v>411</v>
      </c>
      <c r="B384" s="878">
        <v>10</v>
      </c>
      <c r="C384" s="811"/>
      <c r="D384" s="811"/>
      <c r="E384" s="811"/>
      <c r="F384" s="811"/>
      <c r="G384" s="811"/>
      <c r="H384" s="811">
        <v>111</v>
      </c>
      <c r="I384" s="811">
        <v>199</v>
      </c>
      <c r="J384" s="811">
        <v>90</v>
      </c>
      <c r="K384" s="811">
        <v>312</v>
      </c>
      <c r="L384" s="811"/>
      <c r="M384" s="811"/>
      <c r="N384" s="811"/>
      <c r="O384" s="811"/>
      <c r="P384" s="811">
        <v>209</v>
      </c>
      <c r="Q384" s="819">
        <v>273</v>
      </c>
      <c r="R384" s="803"/>
      <c r="S384" s="803"/>
      <c r="T384" s="803"/>
      <c r="U384" s="803"/>
      <c r="V384" s="803"/>
      <c r="W384" s="801">
        <f t="shared" si="104"/>
        <v>1194</v>
      </c>
      <c r="Y384" s="798">
        <f t="shared" si="105"/>
        <v>1194</v>
      </c>
      <c r="AA384" s="823"/>
      <c r="AB384" s="823"/>
      <c r="AC384" s="823"/>
      <c r="AD384" s="823"/>
      <c r="AE384" s="824">
        <f t="shared" si="111"/>
        <v>525.36</v>
      </c>
      <c r="AF384" s="9">
        <f t="shared" si="106"/>
        <v>90</v>
      </c>
      <c r="AG384" s="863">
        <f t="shared" si="107"/>
        <v>312</v>
      </c>
      <c r="AH384" s="798">
        <f t="shared" si="108"/>
        <v>320</v>
      </c>
      <c r="AI384" s="798">
        <f t="shared" si="109"/>
        <v>472</v>
      </c>
      <c r="AJ384" s="802">
        <f t="shared" si="103"/>
        <v>1194</v>
      </c>
      <c r="AP384" s="863">
        <f t="shared" si="110"/>
        <v>1194</v>
      </c>
      <c r="AQ384" s="832"/>
      <c r="AR384" s="832"/>
      <c r="AS384" s="876">
        <f t="shared" si="112"/>
        <v>525.36</v>
      </c>
      <c r="AT384" s="876">
        <f t="shared" si="113"/>
        <v>0</v>
      </c>
    </row>
    <row r="385" spans="1:46">
      <c r="A385" s="798">
        <v>412</v>
      </c>
      <c r="B385" s="878">
        <v>10</v>
      </c>
      <c r="C385" s="811"/>
      <c r="D385" s="811"/>
      <c r="E385" s="811"/>
      <c r="F385" s="811"/>
      <c r="G385" s="811"/>
      <c r="H385" s="811">
        <v>98</v>
      </c>
      <c r="I385" s="811">
        <v>204</v>
      </c>
      <c r="J385" s="811">
        <v>93</v>
      </c>
      <c r="K385" s="811">
        <v>227</v>
      </c>
      <c r="L385" s="811"/>
      <c r="M385" s="811"/>
      <c r="N385" s="811"/>
      <c r="O385" s="811"/>
      <c r="P385" s="811">
        <v>173</v>
      </c>
      <c r="Q385" s="819">
        <v>243</v>
      </c>
      <c r="R385" s="803"/>
      <c r="S385" s="803"/>
      <c r="T385" s="803"/>
      <c r="U385" s="803"/>
      <c r="V385" s="803"/>
      <c r="W385" s="801">
        <f t="shared" si="104"/>
        <v>1038</v>
      </c>
      <c r="Y385" s="798">
        <f t="shared" si="105"/>
        <v>1038</v>
      </c>
      <c r="AA385" s="823"/>
      <c r="AB385" s="823"/>
      <c r="AC385" s="823"/>
      <c r="AD385" s="823"/>
      <c r="AE385" s="824">
        <f t="shared" si="111"/>
        <v>456.72</v>
      </c>
      <c r="AF385" s="9">
        <f t="shared" si="106"/>
        <v>93</v>
      </c>
      <c r="AG385" s="863">
        <f t="shared" si="107"/>
        <v>227</v>
      </c>
      <c r="AH385" s="798">
        <f t="shared" si="108"/>
        <v>271</v>
      </c>
      <c r="AI385" s="798">
        <f t="shared" si="109"/>
        <v>447</v>
      </c>
      <c r="AJ385" s="802">
        <f t="shared" si="103"/>
        <v>1038</v>
      </c>
      <c r="AP385" s="863">
        <f t="shared" si="110"/>
        <v>1038</v>
      </c>
      <c r="AQ385" s="832"/>
      <c r="AR385" s="832"/>
      <c r="AS385" s="876">
        <f t="shared" si="112"/>
        <v>456.72</v>
      </c>
      <c r="AT385" s="876">
        <f t="shared" si="113"/>
        <v>0</v>
      </c>
    </row>
    <row r="386" spans="1:46">
      <c r="A386" s="798">
        <v>413</v>
      </c>
      <c r="B386" s="878">
        <v>10</v>
      </c>
      <c r="C386" s="811"/>
      <c r="D386" s="811"/>
      <c r="E386" s="811"/>
      <c r="F386" s="811"/>
      <c r="G386" s="811"/>
      <c r="H386" s="811">
        <v>276</v>
      </c>
      <c r="I386" s="811">
        <v>290</v>
      </c>
      <c r="J386" s="811">
        <v>376</v>
      </c>
      <c r="K386" s="811">
        <v>278</v>
      </c>
      <c r="L386" s="811"/>
      <c r="M386" s="811"/>
      <c r="N386" s="811"/>
      <c r="O386" s="811"/>
      <c r="P386" s="811">
        <v>294</v>
      </c>
      <c r="Q386" s="819">
        <v>252</v>
      </c>
      <c r="R386" s="803"/>
      <c r="S386" s="803"/>
      <c r="T386" s="803"/>
      <c r="U386" s="803"/>
      <c r="V386" s="803"/>
      <c r="W386" s="801">
        <f t="shared" si="104"/>
        <v>1766</v>
      </c>
      <c r="Y386" s="798">
        <f t="shared" si="105"/>
        <v>1766</v>
      </c>
      <c r="AA386" s="823"/>
      <c r="AB386" s="823"/>
      <c r="AC386" s="823"/>
      <c r="AD386" s="823"/>
      <c r="AE386" s="824">
        <f t="shared" si="111"/>
        <v>777.04</v>
      </c>
      <c r="AF386" s="9">
        <f t="shared" si="106"/>
        <v>376</v>
      </c>
      <c r="AG386" s="863">
        <f t="shared" si="107"/>
        <v>278</v>
      </c>
      <c r="AH386" s="798">
        <f t="shared" si="108"/>
        <v>570</v>
      </c>
      <c r="AI386" s="798">
        <f t="shared" si="109"/>
        <v>542</v>
      </c>
      <c r="AJ386" s="802">
        <f t="shared" si="103"/>
        <v>1766</v>
      </c>
      <c r="AP386" s="863">
        <f t="shared" si="110"/>
        <v>1766</v>
      </c>
      <c r="AQ386" s="832"/>
      <c r="AR386" s="832"/>
      <c r="AS386" s="876">
        <f t="shared" si="112"/>
        <v>777.04</v>
      </c>
      <c r="AT386" s="876">
        <f t="shared" si="113"/>
        <v>0</v>
      </c>
    </row>
    <row r="387" spans="1:46">
      <c r="A387" s="798">
        <v>414</v>
      </c>
      <c r="B387" s="878">
        <v>10</v>
      </c>
      <c r="C387" s="811"/>
      <c r="D387" s="811"/>
      <c r="E387" s="811"/>
      <c r="F387" s="811"/>
      <c r="G387" s="811"/>
      <c r="H387" s="811">
        <v>209</v>
      </c>
      <c r="I387" s="811">
        <v>271</v>
      </c>
      <c r="J387" s="811">
        <v>372</v>
      </c>
      <c r="K387" s="811">
        <v>276</v>
      </c>
      <c r="L387" s="811"/>
      <c r="M387" s="811"/>
      <c r="N387" s="811"/>
      <c r="O387" s="811"/>
      <c r="P387" s="811">
        <v>238</v>
      </c>
      <c r="Q387" s="819">
        <v>213</v>
      </c>
      <c r="R387" s="803"/>
      <c r="S387" s="803"/>
      <c r="T387" s="803"/>
      <c r="U387" s="803"/>
      <c r="V387" s="803"/>
      <c r="W387" s="801">
        <f t="shared" si="104"/>
        <v>1579</v>
      </c>
      <c r="Y387" s="798">
        <f t="shared" si="105"/>
        <v>1579</v>
      </c>
      <c r="AA387" s="823"/>
      <c r="AB387" s="823"/>
      <c r="AC387" s="823"/>
      <c r="AD387" s="823"/>
      <c r="AE387" s="824">
        <f t="shared" si="111"/>
        <v>694.76</v>
      </c>
      <c r="AF387" s="9">
        <f t="shared" si="106"/>
        <v>372</v>
      </c>
      <c r="AG387" s="863">
        <f t="shared" si="107"/>
        <v>276</v>
      </c>
      <c r="AH387" s="798">
        <f t="shared" si="108"/>
        <v>447</v>
      </c>
      <c r="AI387" s="798">
        <f t="shared" si="109"/>
        <v>484</v>
      </c>
      <c r="AJ387" s="802">
        <f t="shared" si="103"/>
        <v>1579</v>
      </c>
      <c r="AP387" s="863">
        <f t="shared" si="110"/>
        <v>1579</v>
      </c>
      <c r="AQ387" s="832"/>
      <c r="AR387" s="832"/>
      <c r="AS387" s="876">
        <f t="shared" si="112"/>
        <v>694.76</v>
      </c>
      <c r="AT387" s="876">
        <f t="shared" si="113"/>
        <v>0</v>
      </c>
    </row>
    <row r="388" spans="1:46">
      <c r="A388" s="798">
        <v>415</v>
      </c>
      <c r="B388" s="878">
        <v>10</v>
      </c>
      <c r="C388" s="811"/>
      <c r="D388" s="811"/>
      <c r="E388" s="811"/>
      <c r="F388" s="811"/>
      <c r="G388" s="811"/>
      <c r="H388" s="811">
        <v>202</v>
      </c>
      <c r="I388" s="811">
        <v>264</v>
      </c>
      <c r="J388" s="811">
        <v>374</v>
      </c>
      <c r="K388" s="811">
        <v>274</v>
      </c>
      <c r="L388" s="811"/>
      <c r="M388" s="811"/>
      <c r="N388" s="811"/>
      <c r="O388" s="811"/>
      <c r="P388" s="811">
        <v>249</v>
      </c>
      <c r="Q388" s="819">
        <v>194</v>
      </c>
      <c r="R388" s="803"/>
      <c r="S388" s="803"/>
      <c r="T388" s="803"/>
      <c r="U388" s="803"/>
      <c r="V388" s="803"/>
      <c r="W388" s="801">
        <f t="shared" si="104"/>
        <v>1557</v>
      </c>
      <c r="Y388" s="798">
        <f t="shared" si="105"/>
        <v>1557</v>
      </c>
      <c r="AA388" s="823"/>
      <c r="AB388" s="823"/>
      <c r="AC388" s="823"/>
      <c r="AD388" s="823"/>
      <c r="AE388" s="824">
        <f t="shared" si="111"/>
        <v>685.08</v>
      </c>
      <c r="AF388" s="9">
        <f t="shared" si="106"/>
        <v>374</v>
      </c>
      <c r="AG388" s="863">
        <f t="shared" si="107"/>
        <v>274</v>
      </c>
      <c r="AH388" s="798">
        <f t="shared" si="108"/>
        <v>451</v>
      </c>
      <c r="AI388" s="798">
        <f t="shared" si="109"/>
        <v>458</v>
      </c>
      <c r="AJ388" s="802">
        <f t="shared" si="103"/>
        <v>1557</v>
      </c>
      <c r="AP388" s="863">
        <f t="shared" si="110"/>
        <v>1557</v>
      </c>
      <c r="AQ388" s="832"/>
      <c r="AR388" s="832"/>
      <c r="AS388" s="876">
        <f t="shared" si="112"/>
        <v>685.08</v>
      </c>
      <c r="AT388" s="876">
        <f t="shared" si="113"/>
        <v>0</v>
      </c>
    </row>
    <row r="389" spans="1:46">
      <c r="A389" s="798">
        <v>416</v>
      </c>
      <c r="B389" s="878">
        <v>10</v>
      </c>
      <c r="C389" s="811"/>
      <c r="D389" s="811"/>
      <c r="E389" s="811"/>
      <c r="F389" s="811"/>
      <c r="G389" s="811"/>
      <c r="H389" s="811">
        <v>131</v>
      </c>
      <c r="I389" s="811">
        <v>289</v>
      </c>
      <c r="J389" s="811">
        <v>263</v>
      </c>
      <c r="K389" s="811">
        <v>151</v>
      </c>
      <c r="L389" s="811"/>
      <c r="M389" s="811"/>
      <c r="N389" s="811"/>
      <c r="O389" s="811"/>
      <c r="P389" s="811">
        <v>0</v>
      </c>
      <c r="Q389" s="819">
        <v>381</v>
      </c>
      <c r="R389" s="803"/>
      <c r="S389" s="803"/>
      <c r="T389" s="803"/>
      <c r="U389" s="803"/>
      <c r="V389" s="803"/>
      <c r="W389" s="801">
        <f t="shared" si="104"/>
        <v>1215</v>
      </c>
      <c r="Y389" s="798">
        <f t="shared" si="105"/>
        <v>1215</v>
      </c>
      <c r="AA389" s="823"/>
      <c r="AB389" s="823"/>
      <c r="AC389" s="823"/>
      <c r="AD389" s="823"/>
      <c r="AE389" s="824">
        <f t="shared" si="111"/>
        <v>534.6</v>
      </c>
      <c r="AF389" s="9">
        <f t="shared" si="106"/>
        <v>263</v>
      </c>
      <c r="AG389" s="863">
        <f t="shared" si="107"/>
        <v>151</v>
      </c>
      <c r="AH389" s="798">
        <f t="shared" si="108"/>
        <v>131</v>
      </c>
      <c r="AI389" s="798">
        <f t="shared" si="109"/>
        <v>670</v>
      </c>
      <c r="AJ389" s="802">
        <f t="shared" si="103"/>
        <v>1215</v>
      </c>
      <c r="AP389" s="863">
        <f t="shared" si="110"/>
        <v>1215</v>
      </c>
      <c r="AQ389" s="832"/>
      <c r="AR389" s="832"/>
      <c r="AS389" s="876">
        <f t="shared" si="112"/>
        <v>534.6</v>
      </c>
      <c r="AT389" s="876">
        <f t="shared" si="113"/>
        <v>0</v>
      </c>
    </row>
    <row r="390" spans="1:46">
      <c r="A390" s="798">
        <v>417</v>
      </c>
      <c r="B390" s="878">
        <v>10</v>
      </c>
      <c r="C390" s="811"/>
      <c r="D390" s="811"/>
      <c r="E390" s="811"/>
      <c r="F390" s="811"/>
      <c r="G390" s="811"/>
      <c r="H390" s="811">
        <v>203</v>
      </c>
      <c r="I390" s="811">
        <v>207</v>
      </c>
      <c r="J390" s="811">
        <v>239</v>
      </c>
      <c r="K390" s="811">
        <v>189</v>
      </c>
      <c r="L390" s="811"/>
      <c r="M390" s="811"/>
      <c r="N390" s="811"/>
      <c r="O390" s="811"/>
      <c r="P390" s="811">
        <v>242</v>
      </c>
      <c r="Q390" s="819">
        <v>235</v>
      </c>
      <c r="R390" s="803"/>
      <c r="S390" s="803"/>
      <c r="T390" s="803"/>
      <c r="U390" s="803"/>
      <c r="V390" s="803"/>
      <c r="W390" s="801">
        <f t="shared" ref="W390:W400" si="114">SUM(C390:V390)</f>
        <v>1315</v>
      </c>
      <c r="Y390" s="798">
        <f t="shared" ref="Y390:Y400" si="115">W390</f>
        <v>1315</v>
      </c>
      <c r="AA390" s="823"/>
      <c r="AB390" s="823"/>
      <c r="AC390" s="823"/>
      <c r="AD390" s="823"/>
      <c r="AE390" s="824">
        <f t="shared" si="111"/>
        <v>578.6</v>
      </c>
      <c r="AF390" s="9">
        <f t="shared" si="106"/>
        <v>239</v>
      </c>
      <c r="AG390" s="863">
        <f t="shared" si="107"/>
        <v>189</v>
      </c>
      <c r="AH390" s="798">
        <f t="shared" si="108"/>
        <v>445</v>
      </c>
      <c r="AI390" s="798">
        <f t="shared" si="109"/>
        <v>442</v>
      </c>
      <c r="AJ390" s="802">
        <f t="shared" si="103"/>
        <v>1315</v>
      </c>
      <c r="AP390" s="863">
        <f t="shared" si="110"/>
        <v>1315</v>
      </c>
      <c r="AQ390" s="832"/>
      <c r="AR390" s="832"/>
      <c r="AS390" s="876">
        <f t="shared" si="112"/>
        <v>578.6</v>
      </c>
      <c r="AT390" s="876">
        <f t="shared" si="113"/>
        <v>0</v>
      </c>
    </row>
    <row r="391" spans="1:46">
      <c r="A391" s="798">
        <v>418</v>
      </c>
      <c r="B391" s="878">
        <v>10</v>
      </c>
      <c r="C391" s="811"/>
      <c r="D391" s="811"/>
      <c r="E391" s="811"/>
      <c r="F391" s="811"/>
      <c r="G391" s="811"/>
      <c r="H391" s="811">
        <v>220</v>
      </c>
      <c r="I391" s="811">
        <v>255</v>
      </c>
      <c r="J391" s="811">
        <v>358</v>
      </c>
      <c r="K391" s="811">
        <v>224</v>
      </c>
      <c r="L391" s="811"/>
      <c r="M391" s="811"/>
      <c r="N391" s="811"/>
      <c r="O391" s="811"/>
      <c r="P391" s="811">
        <v>250</v>
      </c>
      <c r="Q391" s="819">
        <v>213</v>
      </c>
      <c r="R391" s="803"/>
      <c r="S391" s="803"/>
      <c r="T391" s="803"/>
      <c r="U391" s="803"/>
      <c r="V391" s="803"/>
      <c r="W391" s="801">
        <f t="shared" si="114"/>
        <v>1520</v>
      </c>
      <c r="Y391" s="798">
        <f t="shared" si="115"/>
        <v>1520</v>
      </c>
      <c r="AA391" s="823"/>
      <c r="AB391" s="823"/>
      <c r="AC391" s="823"/>
      <c r="AD391" s="823"/>
      <c r="AE391" s="824">
        <f t="shared" si="111"/>
        <v>668.8</v>
      </c>
      <c r="AF391" s="9">
        <f t="shared" si="106"/>
        <v>358</v>
      </c>
      <c r="AG391" s="863">
        <f t="shared" si="107"/>
        <v>224</v>
      </c>
      <c r="AH391" s="798">
        <f t="shared" si="108"/>
        <v>470</v>
      </c>
      <c r="AI391" s="798">
        <f t="shared" si="109"/>
        <v>468</v>
      </c>
      <c r="AJ391" s="802">
        <f t="shared" si="103"/>
        <v>1520</v>
      </c>
      <c r="AP391" s="863">
        <f t="shared" si="110"/>
        <v>1520</v>
      </c>
      <c r="AQ391" s="832"/>
      <c r="AR391" s="832"/>
      <c r="AS391" s="876">
        <f t="shared" si="112"/>
        <v>668.8</v>
      </c>
      <c r="AT391" s="876">
        <f t="shared" si="113"/>
        <v>0</v>
      </c>
    </row>
    <row r="392" spans="1:46">
      <c r="A392" s="798">
        <v>419</v>
      </c>
      <c r="B392" s="878">
        <v>10</v>
      </c>
      <c r="C392" s="811"/>
      <c r="D392" s="811"/>
      <c r="E392" s="811"/>
      <c r="F392" s="811"/>
      <c r="G392" s="811"/>
      <c r="H392" s="811">
        <v>169</v>
      </c>
      <c r="I392" s="811">
        <v>244</v>
      </c>
      <c r="J392" s="811">
        <v>362</v>
      </c>
      <c r="K392" s="811">
        <v>263</v>
      </c>
      <c r="L392" s="811"/>
      <c r="M392" s="811"/>
      <c r="N392" s="811"/>
      <c r="O392" s="811"/>
      <c r="P392" s="811">
        <v>265</v>
      </c>
      <c r="Q392" s="819">
        <v>206</v>
      </c>
      <c r="R392" s="803"/>
      <c r="S392" s="803"/>
      <c r="T392" s="803"/>
      <c r="U392" s="803"/>
      <c r="V392" s="803"/>
      <c r="W392" s="801">
        <f t="shared" si="114"/>
        <v>1509</v>
      </c>
      <c r="Y392" s="798">
        <f t="shared" si="115"/>
        <v>1509</v>
      </c>
      <c r="AA392" s="823"/>
      <c r="AB392" s="823"/>
      <c r="AC392" s="823"/>
      <c r="AD392" s="823"/>
      <c r="AE392" s="824">
        <f t="shared" si="111"/>
        <v>663.96</v>
      </c>
      <c r="AF392" s="9">
        <f t="shared" si="106"/>
        <v>362</v>
      </c>
      <c r="AG392" s="863">
        <f t="shared" si="107"/>
        <v>263</v>
      </c>
      <c r="AH392" s="798">
        <f t="shared" si="108"/>
        <v>434</v>
      </c>
      <c r="AI392" s="798">
        <f t="shared" si="109"/>
        <v>450</v>
      </c>
      <c r="AJ392" s="802">
        <f t="shared" si="103"/>
        <v>1509</v>
      </c>
      <c r="AP392" s="863">
        <f t="shared" si="110"/>
        <v>1509</v>
      </c>
      <c r="AQ392" s="832"/>
      <c r="AR392" s="832"/>
      <c r="AS392" s="876">
        <f t="shared" si="112"/>
        <v>663.96</v>
      </c>
      <c r="AT392" s="876">
        <f t="shared" si="113"/>
        <v>0</v>
      </c>
    </row>
    <row r="393" spans="1:46">
      <c r="A393" s="798">
        <v>420</v>
      </c>
      <c r="B393" s="878">
        <v>10</v>
      </c>
      <c r="C393" s="811"/>
      <c r="D393" s="811"/>
      <c r="E393" s="811"/>
      <c r="F393" s="811"/>
      <c r="G393" s="811"/>
      <c r="H393" s="811">
        <v>169</v>
      </c>
      <c r="I393" s="811">
        <v>209</v>
      </c>
      <c r="J393" s="811">
        <v>269</v>
      </c>
      <c r="K393" s="811">
        <v>333</v>
      </c>
      <c r="L393" s="811"/>
      <c r="M393" s="811"/>
      <c r="N393" s="811"/>
      <c r="O393" s="811"/>
      <c r="P393" s="811">
        <v>184</v>
      </c>
      <c r="Q393" s="819">
        <v>243</v>
      </c>
      <c r="R393" s="803"/>
      <c r="S393" s="803"/>
      <c r="T393" s="803"/>
      <c r="U393" s="803"/>
      <c r="V393" s="803"/>
      <c r="W393" s="801">
        <f t="shared" si="114"/>
        <v>1407</v>
      </c>
      <c r="Y393" s="798">
        <f t="shared" si="115"/>
        <v>1407</v>
      </c>
      <c r="AA393" s="823"/>
      <c r="AB393" s="823"/>
      <c r="AC393" s="823"/>
      <c r="AD393" s="823"/>
      <c r="AE393" s="824">
        <f t="shared" si="111"/>
        <v>619.08000000000004</v>
      </c>
      <c r="AF393" s="9">
        <f t="shared" si="106"/>
        <v>269</v>
      </c>
      <c r="AG393" s="863">
        <f t="shared" si="107"/>
        <v>333</v>
      </c>
      <c r="AH393" s="798">
        <f t="shared" si="108"/>
        <v>353</v>
      </c>
      <c r="AI393" s="798">
        <f t="shared" si="109"/>
        <v>452</v>
      </c>
      <c r="AJ393" s="802">
        <f t="shared" si="103"/>
        <v>1407</v>
      </c>
      <c r="AP393" s="863">
        <f t="shared" si="110"/>
        <v>1407</v>
      </c>
      <c r="AQ393" s="832"/>
      <c r="AR393" s="832"/>
      <c r="AS393" s="876">
        <f t="shared" si="112"/>
        <v>619.08000000000004</v>
      </c>
      <c r="AT393" s="876">
        <f t="shared" si="113"/>
        <v>0</v>
      </c>
    </row>
    <row r="394" spans="1:46">
      <c r="A394" s="798">
        <v>421</v>
      </c>
      <c r="B394" s="878">
        <v>10</v>
      </c>
      <c r="C394" s="811"/>
      <c r="D394" s="811"/>
      <c r="E394" s="811"/>
      <c r="F394" s="811"/>
      <c r="G394" s="811"/>
      <c r="H394" s="811">
        <v>167</v>
      </c>
      <c r="I394" s="811">
        <v>230</v>
      </c>
      <c r="J394" s="811">
        <v>227</v>
      </c>
      <c r="K394" s="811">
        <v>349</v>
      </c>
      <c r="L394" s="811"/>
      <c r="M394" s="811"/>
      <c r="N394" s="811"/>
      <c r="O394" s="811"/>
      <c r="P394" s="811">
        <v>189</v>
      </c>
      <c r="Q394" s="819">
        <v>250</v>
      </c>
      <c r="R394" s="803"/>
      <c r="S394" s="803"/>
      <c r="T394" s="803"/>
      <c r="U394" s="803"/>
      <c r="V394" s="803"/>
      <c r="W394" s="801">
        <f t="shared" si="114"/>
        <v>1412</v>
      </c>
      <c r="Y394" s="798">
        <f t="shared" si="115"/>
        <v>1412</v>
      </c>
      <c r="AA394" s="823"/>
      <c r="AB394" s="823"/>
      <c r="AC394" s="823"/>
      <c r="AD394" s="823"/>
      <c r="AE394" s="824">
        <f t="shared" si="111"/>
        <v>621.28</v>
      </c>
      <c r="AF394" s="9">
        <f t="shared" si="106"/>
        <v>227</v>
      </c>
      <c r="AG394" s="863">
        <f t="shared" si="107"/>
        <v>349</v>
      </c>
      <c r="AH394" s="798">
        <f t="shared" si="108"/>
        <v>356</v>
      </c>
      <c r="AI394" s="798">
        <f t="shared" si="109"/>
        <v>480</v>
      </c>
      <c r="AJ394" s="802">
        <f t="shared" si="103"/>
        <v>1412</v>
      </c>
      <c r="AP394" s="863">
        <f t="shared" si="110"/>
        <v>1412</v>
      </c>
      <c r="AQ394" s="832"/>
      <c r="AR394" s="832"/>
      <c r="AS394" s="876">
        <f t="shared" si="112"/>
        <v>621.28</v>
      </c>
      <c r="AT394" s="876">
        <f t="shared" si="113"/>
        <v>0</v>
      </c>
    </row>
    <row r="395" spans="1:46">
      <c r="A395" s="798">
        <v>422</v>
      </c>
      <c r="B395" s="878">
        <v>10</v>
      </c>
      <c r="C395" s="811"/>
      <c r="D395" s="811"/>
      <c r="E395" s="811"/>
      <c r="F395" s="811"/>
      <c r="G395" s="811"/>
      <c r="H395" s="811">
        <v>148</v>
      </c>
      <c r="I395" s="811">
        <v>290</v>
      </c>
      <c r="J395" s="811">
        <v>248</v>
      </c>
      <c r="K395" s="811">
        <v>289</v>
      </c>
      <c r="L395" s="811"/>
      <c r="M395" s="811"/>
      <c r="N395" s="811"/>
      <c r="O395" s="811"/>
      <c r="P395" s="811">
        <v>196</v>
      </c>
      <c r="Q395" s="819">
        <v>196</v>
      </c>
      <c r="R395" s="803"/>
      <c r="S395" s="803"/>
      <c r="T395" s="803"/>
      <c r="U395" s="803"/>
      <c r="V395" s="803"/>
      <c r="W395" s="801">
        <f t="shared" si="114"/>
        <v>1367</v>
      </c>
      <c r="Y395" s="798">
        <f t="shared" si="115"/>
        <v>1367</v>
      </c>
      <c r="AA395" s="823"/>
      <c r="AB395" s="823"/>
      <c r="AC395" s="823"/>
      <c r="AD395" s="823"/>
      <c r="AE395" s="824">
        <f t="shared" si="111"/>
        <v>601.48</v>
      </c>
      <c r="AF395" s="9">
        <f t="shared" si="106"/>
        <v>248</v>
      </c>
      <c r="AG395" s="863">
        <f t="shared" si="107"/>
        <v>289</v>
      </c>
      <c r="AH395" s="798">
        <f t="shared" si="108"/>
        <v>344</v>
      </c>
      <c r="AI395" s="798">
        <f t="shared" si="109"/>
        <v>486</v>
      </c>
      <c r="AJ395" s="802">
        <f t="shared" si="103"/>
        <v>1367</v>
      </c>
      <c r="AP395" s="863">
        <f t="shared" si="110"/>
        <v>1367</v>
      </c>
      <c r="AQ395" s="832"/>
      <c r="AR395" s="832"/>
      <c r="AS395" s="876">
        <f t="shared" si="112"/>
        <v>601.48</v>
      </c>
      <c r="AT395" s="876">
        <f t="shared" si="113"/>
        <v>0</v>
      </c>
    </row>
    <row r="396" spans="1:46">
      <c r="A396" s="798">
        <v>423</v>
      </c>
      <c r="B396" s="878">
        <v>10</v>
      </c>
      <c r="C396" s="811"/>
      <c r="D396" s="811"/>
      <c r="E396" s="811"/>
      <c r="F396" s="811"/>
      <c r="G396" s="811"/>
      <c r="H396" s="811">
        <v>138</v>
      </c>
      <c r="I396" s="811">
        <v>286</v>
      </c>
      <c r="J396" s="811">
        <v>245</v>
      </c>
      <c r="K396" s="811">
        <v>302</v>
      </c>
      <c r="L396" s="811"/>
      <c r="M396" s="811"/>
      <c r="N396" s="811"/>
      <c r="O396" s="811"/>
      <c r="P396" s="811">
        <v>192</v>
      </c>
      <c r="Q396" s="819">
        <v>176</v>
      </c>
      <c r="R396" s="803"/>
      <c r="S396" s="803"/>
      <c r="T396" s="803"/>
      <c r="U396" s="803"/>
      <c r="V396" s="803"/>
      <c r="W396" s="801">
        <f t="shared" si="114"/>
        <v>1339</v>
      </c>
      <c r="Y396" s="798">
        <f t="shared" si="115"/>
        <v>1339</v>
      </c>
      <c r="AA396" s="823"/>
      <c r="AB396" s="823"/>
      <c r="AC396" s="823"/>
      <c r="AD396" s="823"/>
      <c r="AE396" s="824">
        <f t="shared" si="111"/>
        <v>589.16</v>
      </c>
      <c r="AF396" s="9">
        <f t="shared" si="106"/>
        <v>245</v>
      </c>
      <c r="AG396" s="863">
        <f t="shared" si="107"/>
        <v>302</v>
      </c>
      <c r="AH396" s="798">
        <f t="shared" si="108"/>
        <v>330</v>
      </c>
      <c r="AI396" s="798">
        <f t="shared" si="109"/>
        <v>462</v>
      </c>
      <c r="AJ396" s="802">
        <f t="shared" si="103"/>
        <v>1339</v>
      </c>
      <c r="AP396" s="863">
        <f t="shared" si="110"/>
        <v>1339</v>
      </c>
      <c r="AQ396" s="832"/>
      <c r="AR396" s="832"/>
      <c r="AS396" s="876">
        <f t="shared" si="112"/>
        <v>589.16</v>
      </c>
      <c r="AT396" s="876">
        <f t="shared" si="113"/>
        <v>0</v>
      </c>
    </row>
    <row r="397" spans="1:46">
      <c r="A397" s="798">
        <v>424</v>
      </c>
      <c r="B397" s="878">
        <v>10</v>
      </c>
      <c r="C397" s="811"/>
      <c r="D397" s="811"/>
      <c r="E397" s="811"/>
      <c r="F397" s="811"/>
      <c r="G397" s="811"/>
      <c r="H397" s="811">
        <v>87</v>
      </c>
      <c r="I397" s="811">
        <v>193</v>
      </c>
      <c r="J397" s="811">
        <v>132</v>
      </c>
      <c r="K397" s="811">
        <v>295</v>
      </c>
      <c r="L397" s="811"/>
      <c r="M397" s="811"/>
      <c r="N397" s="811"/>
      <c r="O397" s="811"/>
      <c r="P397" s="811">
        <v>137</v>
      </c>
      <c r="Q397" s="819">
        <v>261</v>
      </c>
      <c r="R397" s="803"/>
      <c r="S397" s="803"/>
      <c r="T397" s="803"/>
      <c r="U397" s="803"/>
      <c r="V397" s="803"/>
      <c r="W397" s="801">
        <f t="shared" si="114"/>
        <v>1105</v>
      </c>
      <c r="Y397" s="798">
        <f t="shared" si="115"/>
        <v>1105</v>
      </c>
      <c r="AA397" s="823"/>
      <c r="AB397" s="823"/>
      <c r="AC397" s="823"/>
      <c r="AD397" s="823"/>
      <c r="AE397" s="824">
        <f t="shared" si="111"/>
        <v>486.2</v>
      </c>
      <c r="AF397" s="9">
        <f t="shared" si="106"/>
        <v>132</v>
      </c>
      <c r="AG397" s="863">
        <f t="shared" si="107"/>
        <v>295</v>
      </c>
      <c r="AH397" s="798">
        <f t="shared" si="108"/>
        <v>224</v>
      </c>
      <c r="AI397" s="798">
        <f t="shared" si="109"/>
        <v>454</v>
      </c>
      <c r="AJ397" s="802">
        <f t="shared" si="103"/>
        <v>1105</v>
      </c>
      <c r="AP397" s="863">
        <f t="shared" si="110"/>
        <v>1105</v>
      </c>
      <c r="AQ397" s="832"/>
      <c r="AR397" s="832"/>
      <c r="AS397" s="876">
        <f t="shared" si="112"/>
        <v>486.2</v>
      </c>
      <c r="AT397" s="876">
        <f t="shared" si="113"/>
        <v>0</v>
      </c>
    </row>
    <row r="398" spans="1:46">
      <c r="A398" s="798">
        <v>425</v>
      </c>
      <c r="B398" s="878">
        <v>10</v>
      </c>
      <c r="C398" s="811"/>
      <c r="D398" s="811"/>
      <c r="E398" s="811"/>
      <c r="F398" s="811"/>
      <c r="G398" s="811"/>
      <c r="H398" s="811">
        <v>226</v>
      </c>
      <c r="I398" s="811">
        <v>306</v>
      </c>
      <c r="J398" s="811">
        <v>244</v>
      </c>
      <c r="K398" s="811">
        <v>428</v>
      </c>
      <c r="L398" s="811"/>
      <c r="M398" s="811"/>
      <c r="N398" s="811"/>
      <c r="O398" s="811"/>
      <c r="P398" s="811">
        <v>242</v>
      </c>
      <c r="Q398" s="819">
        <v>244</v>
      </c>
      <c r="R398" s="803"/>
      <c r="S398" s="803"/>
      <c r="T398" s="803"/>
      <c r="U398" s="803"/>
      <c r="V398" s="803"/>
      <c r="W398" s="801">
        <f t="shared" si="114"/>
        <v>1690</v>
      </c>
      <c r="Y398" s="798">
        <f t="shared" si="115"/>
        <v>1690</v>
      </c>
      <c r="AA398" s="823"/>
      <c r="AB398" s="823"/>
      <c r="AC398" s="823"/>
      <c r="AD398" s="823"/>
      <c r="AE398" s="824">
        <f t="shared" si="111"/>
        <v>743.6</v>
      </c>
      <c r="AF398" s="9">
        <f t="shared" si="106"/>
        <v>244</v>
      </c>
      <c r="AG398" s="863">
        <f t="shared" si="107"/>
        <v>428</v>
      </c>
      <c r="AH398" s="798">
        <f t="shared" si="108"/>
        <v>468</v>
      </c>
      <c r="AI398" s="798">
        <f t="shared" si="109"/>
        <v>550</v>
      </c>
      <c r="AJ398" s="802">
        <f t="shared" si="103"/>
        <v>1690</v>
      </c>
      <c r="AP398" s="863">
        <f t="shared" si="110"/>
        <v>1690</v>
      </c>
      <c r="AQ398" s="832"/>
      <c r="AR398" s="832"/>
      <c r="AS398" s="876">
        <f t="shared" si="112"/>
        <v>743.6</v>
      </c>
      <c r="AT398" s="876">
        <f t="shared" si="113"/>
        <v>0</v>
      </c>
    </row>
    <row r="399" spans="1:46">
      <c r="A399" s="798">
        <v>426</v>
      </c>
      <c r="B399" s="878">
        <v>10</v>
      </c>
      <c r="C399" s="811"/>
      <c r="D399" s="811"/>
      <c r="E399" s="811"/>
      <c r="F399" s="811"/>
      <c r="G399" s="811"/>
      <c r="H399" s="811">
        <v>228</v>
      </c>
      <c r="I399" s="811">
        <v>254</v>
      </c>
      <c r="J399" s="811">
        <v>226</v>
      </c>
      <c r="K399" s="811">
        <v>276</v>
      </c>
      <c r="L399" s="811"/>
      <c r="M399" s="811"/>
      <c r="N399" s="811"/>
      <c r="O399" s="811"/>
      <c r="P399" s="811">
        <v>223</v>
      </c>
      <c r="Q399" s="819">
        <v>240</v>
      </c>
      <c r="R399" s="803"/>
      <c r="S399" s="803"/>
      <c r="T399" s="803"/>
      <c r="U399" s="803"/>
      <c r="V399" s="803"/>
      <c r="W399" s="801">
        <f t="shared" si="114"/>
        <v>1447</v>
      </c>
      <c r="Y399" s="798">
        <f t="shared" si="115"/>
        <v>1447</v>
      </c>
      <c r="AA399" s="823"/>
      <c r="AB399" s="823"/>
      <c r="AC399" s="823"/>
      <c r="AD399" s="823"/>
      <c r="AE399" s="824">
        <f t="shared" si="111"/>
        <v>636.67999999999995</v>
      </c>
      <c r="AF399" s="9">
        <f t="shared" si="106"/>
        <v>226</v>
      </c>
      <c r="AG399" s="863">
        <f t="shared" si="107"/>
        <v>276</v>
      </c>
      <c r="AH399" s="798">
        <f t="shared" si="108"/>
        <v>451</v>
      </c>
      <c r="AI399" s="798">
        <f t="shared" si="109"/>
        <v>494</v>
      </c>
      <c r="AJ399" s="802">
        <f t="shared" si="103"/>
        <v>1447</v>
      </c>
      <c r="AP399" s="863">
        <f t="shared" si="110"/>
        <v>1447</v>
      </c>
      <c r="AQ399" s="832"/>
      <c r="AR399" s="832"/>
      <c r="AS399" s="876">
        <f t="shared" si="112"/>
        <v>636.67999999999995</v>
      </c>
      <c r="AT399" s="876">
        <f t="shared" si="113"/>
        <v>0</v>
      </c>
    </row>
    <row r="400" spans="1:46">
      <c r="A400" s="798">
        <v>427</v>
      </c>
      <c r="B400" s="878">
        <v>10</v>
      </c>
      <c r="C400" s="811"/>
      <c r="D400" s="811"/>
      <c r="E400" s="811"/>
      <c r="F400" s="811"/>
      <c r="G400" s="811"/>
      <c r="H400" s="811">
        <v>797</v>
      </c>
      <c r="I400" s="811">
        <v>100</v>
      </c>
      <c r="J400" s="811">
        <v>180</v>
      </c>
      <c r="K400" s="811">
        <v>286</v>
      </c>
      <c r="L400" s="811"/>
      <c r="M400" s="811"/>
      <c r="N400" s="811"/>
      <c r="O400" s="811"/>
      <c r="P400" s="811">
        <v>224</v>
      </c>
      <c r="Q400" s="819">
        <v>267</v>
      </c>
      <c r="R400" s="803"/>
      <c r="S400" s="803"/>
      <c r="T400" s="803"/>
      <c r="U400" s="803"/>
      <c r="V400" s="803"/>
      <c r="W400" s="801">
        <f t="shared" si="114"/>
        <v>1854</v>
      </c>
      <c r="Y400" s="798">
        <f t="shared" si="115"/>
        <v>1854</v>
      </c>
      <c r="AA400" s="823"/>
      <c r="AB400" s="823"/>
      <c r="AC400" s="823"/>
      <c r="AD400" s="823"/>
      <c r="AE400" s="824">
        <f t="shared" si="111"/>
        <v>815.76</v>
      </c>
      <c r="AF400" s="9">
        <f t="shared" si="106"/>
        <v>180</v>
      </c>
      <c r="AG400" s="863">
        <f t="shared" si="107"/>
        <v>286</v>
      </c>
      <c r="AH400" s="798">
        <f t="shared" si="108"/>
        <v>1021</v>
      </c>
      <c r="AI400" s="798">
        <f t="shared" si="109"/>
        <v>367</v>
      </c>
      <c r="AJ400" s="802">
        <f t="shared" si="103"/>
        <v>1854</v>
      </c>
      <c r="AP400" s="863">
        <f t="shared" si="110"/>
        <v>1854</v>
      </c>
      <c r="AQ400" s="832"/>
      <c r="AR400" s="832"/>
      <c r="AS400" s="876">
        <f t="shared" si="112"/>
        <v>815.76</v>
      </c>
      <c r="AT400" s="876">
        <f t="shared" si="113"/>
        <v>0</v>
      </c>
    </row>
    <row r="401" spans="1:46" ht="30" customHeight="1">
      <c r="C401" s="807"/>
      <c r="D401" s="807" t="s">
        <v>1322</v>
      </c>
      <c r="E401" s="807" t="s">
        <v>186</v>
      </c>
      <c r="F401" s="807"/>
      <c r="G401" s="807" t="s">
        <v>199</v>
      </c>
      <c r="H401" s="807" t="s">
        <v>228</v>
      </c>
      <c r="I401" s="807"/>
      <c r="J401" s="807"/>
      <c r="K401" s="807"/>
      <c r="L401" s="807"/>
      <c r="M401" s="807" t="s">
        <v>1322</v>
      </c>
      <c r="N401" s="807" t="s">
        <v>186</v>
      </c>
      <c r="O401" s="807" t="s">
        <v>199</v>
      </c>
      <c r="P401" s="807" t="s">
        <v>228</v>
      </c>
      <c r="Q401" s="886"/>
      <c r="R401" s="806"/>
      <c r="S401" s="803"/>
      <c r="T401" s="803"/>
      <c r="U401" s="803"/>
      <c r="V401" s="803"/>
      <c r="AA401" s="823"/>
      <c r="AB401" s="823"/>
      <c r="AC401" s="823"/>
      <c r="AD401" s="823"/>
      <c r="AG401" s="831"/>
      <c r="AK401" s="790" t="s">
        <v>1372</v>
      </c>
      <c r="AL401" s="798" t="s">
        <v>1348</v>
      </c>
      <c r="AM401" s="890">
        <v>505</v>
      </c>
      <c r="AN401" s="890">
        <v>455</v>
      </c>
      <c r="AO401" s="890" t="s">
        <v>1368</v>
      </c>
      <c r="AS401" s="892">
        <v>505</v>
      </c>
      <c r="AT401" s="892">
        <v>455</v>
      </c>
    </row>
    <row r="402" spans="1:46" s="795" customFormat="1" ht="19.95" customHeight="1">
      <c r="A402" s="1338" t="s">
        <v>1094</v>
      </c>
      <c r="B402" s="1338"/>
      <c r="C402" s="881">
        <f>SUM(C403:C498)</f>
        <v>0</v>
      </c>
      <c r="D402" s="881">
        <f>SUM(D403:D498)</f>
        <v>16821</v>
      </c>
      <c r="E402" s="881">
        <f>SUM(E403:E498)</f>
        <v>12655</v>
      </c>
      <c r="F402" s="881">
        <f>SUM(F403:F498)</f>
        <v>0</v>
      </c>
      <c r="G402" s="881">
        <f>SUM(G403:G498)</f>
        <v>18816</v>
      </c>
      <c r="H402" s="881">
        <f t="shared" ref="H402:AJ402" si="116">SUM(H403:H498)</f>
        <v>19513</v>
      </c>
      <c r="I402" s="881">
        <f t="shared" si="116"/>
        <v>0</v>
      </c>
      <c r="J402" s="881">
        <f t="shared" si="116"/>
        <v>0</v>
      </c>
      <c r="K402" s="881">
        <f t="shared" si="116"/>
        <v>0</v>
      </c>
      <c r="L402" s="881">
        <f t="shared" si="116"/>
        <v>0</v>
      </c>
      <c r="M402" s="881">
        <f t="shared" si="116"/>
        <v>16751</v>
      </c>
      <c r="N402" s="881">
        <f t="shared" si="116"/>
        <v>16656</v>
      </c>
      <c r="O402" s="881">
        <f t="shared" si="116"/>
        <v>17421</v>
      </c>
      <c r="P402" s="881">
        <f t="shared" si="116"/>
        <v>16849</v>
      </c>
      <c r="Q402" s="881">
        <f t="shared" si="116"/>
        <v>0</v>
      </c>
      <c r="R402" s="881">
        <f t="shared" si="116"/>
        <v>0</v>
      </c>
      <c r="S402" s="881">
        <f t="shared" si="116"/>
        <v>0</v>
      </c>
      <c r="T402" s="881">
        <f t="shared" si="116"/>
        <v>0</v>
      </c>
      <c r="U402" s="881">
        <f t="shared" si="116"/>
        <v>0</v>
      </c>
      <c r="V402" s="881">
        <f t="shared" si="116"/>
        <v>0</v>
      </c>
      <c r="W402" s="881">
        <f t="shared" si="116"/>
        <v>135482</v>
      </c>
      <c r="X402" s="881">
        <f t="shared" si="116"/>
        <v>0</v>
      </c>
      <c r="Y402" s="881">
        <f t="shared" si="116"/>
        <v>135482</v>
      </c>
      <c r="Z402" s="881">
        <f t="shared" si="116"/>
        <v>0</v>
      </c>
      <c r="AA402" s="881">
        <f t="shared" si="116"/>
        <v>0</v>
      </c>
      <c r="AB402" s="881">
        <f t="shared" si="116"/>
        <v>0</v>
      </c>
      <c r="AC402" s="881">
        <f t="shared" si="116"/>
        <v>0</v>
      </c>
      <c r="AD402" s="881">
        <f t="shared" si="116"/>
        <v>0</v>
      </c>
      <c r="AE402" s="889">
        <f t="shared" si="116"/>
        <v>59612.079999999994</v>
      </c>
      <c r="AF402" s="881">
        <f t="shared" si="116"/>
        <v>29311</v>
      </c>
      <c r="AG402" s="881">
        <f t="shared" si="116"/>
        <v>36237</v>
      </c>
      <c r="AH402" s="881">
        <f t="shared" si="116"/>
        <v>36362</v>
      </c>
      <c r="AI402" s="881">
        <f t="shared" si="116"/>
        <v>33572</v>
      </c>
      <c r="AJ402" s="881">
        <f t="shared" si="116"/>
        <v>135482</v>
      </c>
      <c r="AK402" s="795">
        <f>SUM(AJ403:AJ453)</f>
        <v>61576</v>
      </c>
      <c r="AL402" s="795">
        <f>SUM(AF411:AF441)+SUM(AI444:AI453)</f>
        <v>13405</v>
      </c>
      <c r="AM402" s="795">
        <f>SUM(AM403:AM453)</f>
        <v>48171</v>
      </c>
      <c r="AN402" s="795">
        <f>SUM(AN403:AN453)</f>
        <v>13405</v>
      </c>
      <c r="AO402" s="795">
        <f>SUM(AO403:AO453)</f>
        <v>61576</v>
      </c>
      <c r="AS402" s="893">
        <f>SUM(AS403:AS498)</f>
        <v>32613.599999999999</v>
      </c>
      <c r="AT402" s="893">
        <f>SUM(AT403:AT498)</f>
        <v>26998.679999999997</v>
      </c>
    </row>
    <row r="403" spans="1:46" s="796" customFormat="1" ht="19.95" customHeight="1">
      <c r="A403" s="882">
        <v>293</v>
      </c>
      <c r="B403" s="883">
        <v>8</v>
      </c>
      <c r="C403" s="884"/>
      <c r="D403" s="884">
        <v>53</v>
      </c>
      <c r="E403" s="884">
        <v>94</v>
      </c>
      <c r="F403" s="884"/>
      <c r="G403" s="884">
        <v>82</v>
      </c>
      <c r="H403" s="885">
        <v>155</v>
      </c>
      <c r="I403" s="885"/>
      <c r="J403" s="885"/>
      <c r="K403" s="885"/>
      <c r="L403" s="884"/>
      <c r="M403" s="884">
        <v>101</v>
      </c>
      <c r="N403" s="884">
        <v>108</v>
      </c>
      <c r="O403" s="884">
        <v>104</v>
      </c>
      <c r="P403" s="884">
        <v>191</v>
      </c>
      <c r="Q403" s="884"/>
      <c r="R403" s="884"/>
      <c r="S403" s="887"/>
      <c r="T403" s="887"/>
      <c r="U403" s="887"/>
      <c r="V403" s="887"/>
      <c r="W403" s="801">
        <f t="shared" ref="W403:W454" si="117">SUM(C403:V403)</f>
        <v>888</v>
      </c>
      <c r="X403" s="798"/>
      <c r="Y403" s="798">
        <f t="shared" ref="Y403:Y454" si="118">W403</f>
        <v>888</v>
      </c>
      <c r="Z403" s="798"/>
      <c r="AA403" s="823"/>
      <c r="AB403" s="823"/>
      <c r="AC403" s="823"/>
      <c r="AD403" s="823"/>
      <c r="AE403" s="824">
        <f>ROUND(W403*0.44,2)</f>
        <v>390.72</v>
      </c>
      <c r="AF403" s="831">
        <f>E403+N403</f>
        <v>202</v>
      </c>
      <c r="AG403" s="831">
        <f>G403+O403</f>
        <v>186</v>
      </c>
      <c r="AH403" s="831">
        <f>H403+P403</f>
        <v>346</v>
      </c>
      <c r="AI403" s="831">
        <f>D403+M403</f>
        <v>154</v>
      </c>
      <c r="AJ403" s="802">
        <f>SUM(AF403:AI403)</f>
        <v>888</v>
      </c>
      <c r="AM403" s="12">
        <f>AF403+AG403+AH403+AI403</f>
        <v>888</v>
      </c>
      <c r="AN403" s="891"/>
      <c r="AO403" s="796">
        <f>AM403+AN403</f>
        <v>888</v>
      </c>
      <c r="AP403" s="894"/>
      <c r="AS403" s="871">
        <f>ROUND(AM403*0.44,2)</f>
        <v>390.72</v>
      </c>
      <c r="AT403" s="871">
        <f>ROUND(AN403*0.44,2)</f>
        <v>0</v>
      </c>
    </row>
    <row r="404" spans="1:46" s="796" customFormat="1" ht="19.95" customHeight="1">
      <c r="A404" s="882">
        <v>294</v>
      </c>
      <c r="B404" s="883">
        <v>8</v>
      </c>
      <c r="C404" s="884"/>
      <c r="D404" s="884">
        <v>169</v>
      </c>
      <c r="E404" s="884">
        <v>0</v>
      </c>
      <c r="F404" s="884"/>
      <c r="G404" s="884">
        <v>178</v>
      </c>
      <c r="H404" s="885">
        <v>262</v>
      </c>
      <c r="I404" s="885"/>
      <c r="J404" s="885"/>
      <c r="K404" s="885"/>
      <c r="L404" s="884"/>
      <c r="M404" s="884">
        <v>92</v>
      </c>
      <c r="N404" s="884">
        <v>122</v>
      </c>
      <c r="O404" s="884">
        <v>127</v>
      </c>
      <c r="P404" s="884">
        <v>187</v>
      </c>
      <c r="Q404" s="884"/>
      <c r="R404" s="884"/>
      <c r="S404" s="887"/>
      <c r="T404" s="887"/>
      <c r="U404" s="887"/>
      <c r="V404" s="887"/>
      <c r="W404" s="888">
        <f t="shared" si="117"/>
        <v>1137</v>
      </c>
      <c r="X404" s="798"/>
      <c r="Y404" s="798">
        <f t="shared" si="118"/>
        <v>1137</v>
      </c>
      <c r="Z404" s="798"/>
      <c r="AA404" s="823"/>
      <c r="AB404" s="823"/>
      <c r="AC404" s="823"/>
      <c r="AD404" s="823"/>
      <c r="AE404" s="824">
        <f t="shared" ref="AE404:AE467" si="119">ROUND(W404*0.44,2)</f>
        <v>500.28</v>
      </c>
      <c r="AF404" s="831">
        <f t="shared" ref="AF404:AF411" si="120">E404+N404</f>
        <v>122</v>
      </c>
      <c r="AG404" s="831">
        <f t="shared" ref="AG404:AG411" si="121">G404+O404</f>
        <v>305</v>
      </c>
      <c r="AH404" s="831">
        <f t="shared" ref="AH404:AH411" si="122">H404+P404</f>
        <v>449</v>
      </c>
      <c r="AI404" s="831">
        <f t="shared" ref="AI404:AI411" si="123">D404+M404</f>
        <v>261</v>
      </c>
      <c r="AJ404" s="802">
        <f t="shared" ref="AJ404:AJ454" si="124">SUM(AF404:AI404)</f>
        <v>1137</v>
      </c>
      <c r="AM404" s="12">
        <f t="shared" ref="AM404:AM410" si="125">AF404+AG404+AH404+AI404</f>
        <v>1137</v>
      </c>
      <c r="AN404" s="891"/>
      <c r="AO404" s="796">
        <f t="shared" ref="AO404:AO453" si="126">AM404+AN404</f>
        <v>1137</v>
      </c>
      <c r="AS404" s="871">
        <f t="shared" ref="AS404:AS453" si="127">ROUND(AM404*0.44,2)</f>
        <v>500.28</v>
      </c>
      <c r="AT404" s="871">
        <f t="shared" ref="AT404:AT453" si="128">ROUND(AN404*0.44,2)</f>
        <v>0</v>
      </c>
    </row>
    <row r="405" spans="1:46" s="796" customFormat="1" ht="19.95" customHeight="1">
      <c r="A405" s="882">
        <v>295</v>
      </c>
      <c r="B405" s="883">
        <v>8</v>
      </c>
      <c r="C405" s="884"/>
      <c r="D405" s="884">
        <v>205</v>
      </c>
      <c r="E405" s="884">
        <v>118</v>
      </c>
      <c r="F405" s="884"/>
      <c r="G405" s="884">
        <v>211</v>
      </c>
      <c r="H405" s="885">
        <v>337</v>
      </c>
      <c r="I405" s="885"/>
      <c r="J405" s="885"/>
      <c r="K405" s="885"/>
      <c r="L405" s="884"/>
      <c r="M405" s="884">
        <v>98</v>
      </c>
      <c r="N405" s="884">
        <v>124</v>
      </c>
      <c r="O405" s="884">
        <v>177</v>
      </c>
      <c r="P405" s="884">
        <v>256</v>
      </c>
      <c r="Q405" s="884"/>
      <c r="R405" s="884"/>
      <c r="S405" s="887"/>
      <c r="T405" s="887"/>
      <c r="U405" s="887"/>
      <c r="V405" s="887"/>
      <c r="W405" s="801">
        <f t="shared" si="117"/>
        <v>1526</v>
      </c>
      <c r="X405" s="798"/>
      <c r="Y405" s="798">
        <f t="shared" si="118"/>
        <v>1526</v>
      </c>
      <c r="Z405" s="798"/>
      <c r="AA405" s="823"/>
      <c r="AB405" s="823"/>
      <c r="AC405" s="823"/>
      <c r="AD405" s="823"/>
      <c r="AE405" s="824">
        <f t="shared" si="119"/>
        <v>671.44</v>
      </c>
      <c r="AF405" s="831">
        <f t="shared" si="120"/>
        <v>242</v>
      </c>
      <c r="AG405" s="831">
        <f t="shared" si="121"/>
        <v>388</v>
      </c>
      <c r="AH405" s="831">
        <f t="shared" si="122"/>
        <v>593</v>
      </c>
      <c r="AI405" s="831">
        <f t="shared" si="123"/>
        <v>303</v>
      </c>
      <c r="AJ405" s="802">
        <f t="shared" si="124"/>
        <v>1526</v>
      </c>
      <c r="AM405" s="12">
        <f t="shared" si="125"/>
        <v>1526</v>
      </c>
      <c r="AN405" s="891"/>
      <c r="AO405" s="796">
        <f t="shared" si="126"/>
        <v>1526</v>
      </c>
      <c r="AS405" s="871">
        <f t="shared" si="127"/>
        <v>671.44</v>
      </c>
      <c r="AT405" s="871">
        <f t="shared" si="128"/>
        <v>0</v>
      </c>
    </row>
    <row r="406" spans="1:46" s="796" customFormat="1" ht="19.95" customHeight="1">
      <c r="A406" s="882">
        <v>296</v>
      </c>
      <c r="B406" s="883">
        <v>8</v>
      </c>
      <c r="C406" s="884"/>
      <c r="D406" s="884">
        <v>180</v>
      </c>
      <c r="E406" s="884">
        <v>111</v>
      </c>
      <c r="F406" s="884"/>
      <c r="G406" s="884">
        <v>123</v>
      </c>
      <c r="H406" s="885">
        <v>153</v>
      </c>
      <c r="I406" s="885"/>
      <c r="J406" s="885"/>
      <c r="K406" s="885"/>
      <c r="L406" s="884"/>
      <c r="M406" s="884">
        <v>157</v>
      </c>
      <c r="N406" s="884">
        <v>127</v>
      </c>
      <c r="O406" s="884">
        <v>147</v>
      </c>
      <c r="P406" s="884">
        <v>174</v>
      </c>
      <c r="Q406" s="884"/>
      <c r="R406" s="884"/>
      <c r="S406" s="887"/>
      <c r="T406" s="887"/>
      <c r="U406" s="887"/>
      <c r="V406" s="887"/>
      <c r="W406" s="801">
        <f t="shared" si="117"/>
        <v>1172</v>
      </c>
      <c r="X406" s="798"/>
      <c r="Y406" s="798">
        <f t="shared" si="118"/>
        <v>1172</v>
      </c>
      <c r="Z406" s="798"/>
      <c r="AA406" s="823"/>
      <c r="AB406" s="823"/>
      <c r="AC406" s="823"/>
      <c r="AD406" s="823"/>
      <c r="AE406" s="824">
        <f t="shared" si="119"/>
        <v>515.67999999999995</v>
      </c>
      <c r="AF406" s="831">
        <f t="shared" si="120"/>
        <v>238</v>
      </c>
      <c r="AG406" s="831">
        <f t="shared" si="121"/>
        <v>270</v>
      </c>
      <c r="AH406" s="831">
        <f t="shared" si="122"/>
        <v>327</v>
      </c>
      <c r="AI406" s="831">
        <f t="shared" si="123"/>
        <v>337</v>
      </c>
      <c r="AJ406" s="802">
        <f t="shared" si="124"/>
        <v>1172</v>
      </c>
      <c r="AM406" s="12">
        <f t="shared" si="125"/>
        <v>1172</v>
      </c>
      <c r="AN406" s="891"/>
      <c r="AO406" s="796">
        <f t="shared" si="126"/>
        <v>1172</v>
      </c>
      <c r="AS406" s="871">
        <f t="shared" si="127"/>
        <v>515.67999999999995</v>
      </c>
      <c r="AT406" s="871">
        <f t="shared" si="128"/>
        <v>0</v>
      </c>
    </row>
    <row r="407" spans="1:46" s="796" customFormat="1" ht="19.95" customHeight="1">
      <c r="A407" s="882">
        <v>297</v>
      </c>
      <c r="B407" s="883">
        <v>8</v>
      </c>
      <c r="C407" s="884"/>
      <c r="D407" s="884">
        <v>189</v>
      </c>
      <c r="E407" s="884">
        <v>182</v>
      </c>
      <c r="F407" s="884"/>
      <c r="G407" s="884">
        <v>279</v>
      </c>
      <c r="H407" s="885">
        <v>198</v>
      </c>
      <c r="I407" s="885"/>
      <c r="J407" s="885"/>
      <c r="K407" s="885"/>
      <c r="L407" s="884"/>
      <c r="M407" s="884">
        <v>202</v>
      </c>
      <c r="N407" s="884">
        <v>120</v>
      </c>
      <c r="O407" s="884">
        <v>212</v>
      </c>
      <c r="P407" s="884">
        <v>172</v>
      </c>
      <c r="Q407" s="884"/>
      <c r="R407" s="884"/>
      <c r="S407" s="887"/>
      <c r="T407" s="887"/>
      <c r="U407" s="887"/>
      <c r="V407" s="887"/>
      <c r="W407" s="801">
        <f t="shared" si="117"/>
        <v>1554</v>
      </c>
      <c r="X407" s="798"/>
      <c r="Y407" s="798">
        <f t="shared" si="118"/>
        <v>1554</v>
      </c>
      <c r="Z407" s="798"/>
      <c r="AA407" s="823"/>
      <c r="AB407" s="823"/>
      <c r="AC407" s="823"/>
      <c r="AD407" s="823"/>
      <c r="AE407" s="824">
        <f t="shared" si="119"/>
        <v>683.76</v>
      </c>
      <c r="AF407" s="831">
        <f t="shared" si="120"/>
        <v>302</v>
      </c>
      <c r="AG407" s="831">
        <f t="shared" si="121"/>
        <v>491</v>
      </c>
      <c r="AH407" s="831">
        <f t="shared" si="122"/>
        <v>370</v>
      </c>
      <c r="AI407" s="831">
        <f t="shared" si="123"/>
        <v>391</v>
      </c>
      <c r="AJ407" s="802">
        <f t="shared" si="124"/>
        <v>1554</v>
      </c>
      <c r="AM407" s="12">
        <f t="shared" si="125"/>
        <v>1554</v>
      </c>
      <c r="AN407" s="891"/>
      <c r="AO407" s="796">
        <f t="shared" si="126"/>
        <v>1554</v>
      </c>
      <c r="AS407" s="871">
        <f t="shared" si="127"/>
        <v>683.76</v>
      </c>
      <c r="AT407" s="871">
        <f t="shared" si="128"/>
        <v>0</v>
      </c>
    </row>
    <row r="408" spans="1:46" s="796" customFormat="1" ht="19.95" customHeight="1">
      <c r="A408" s="882">
        <v>298</v>
      </c>
      <c r="B408" s="883">
        <v>8</v>
      </c>
      <c r="C408" s="884"/>
      <c r="D408" s="884">
        <v>133</v>
      </c>
      <c r="E408" s="884">
        <v>70</v>
      </c>
      <c r="F408" s="884"/>
      <c r="G408" s="884">
        <v>99</v>
      </c>
      <c r="H408" s="885">
        <v>76</v>
      </c>
      <c r="I408" s="885"/>
      <c r="J408" s="885"/>
      <c r="K408" s="885"/>
      <c r="L408" s="884"/>
      <c r="M408" s="884">
        <v>136</v>
      </c>
      <c r="N408" s="884">
        <v>119</v>
      </c>
      <c r="O408" s="884">
        <v>117</v>
      </c>
      <c r="P408" s="884">
        <v>79</v>
      </c>
      <c r="Q408" s="884"/>
      <c r="R408" s="884"/>
      <c r="S408" s="887"/>
      <c r="T408" s="887"/>
      <c r="U408" s="887"/>
      <c r="V408" s="887"/>
      <c r="W408" s="801">
        <f t="shared" si="117"/>
        <v>829</v>
      </c>
      <c r="X408" s="798"/>
      <c r="Y408" s="798">
        <f t="shared" si="118"/>
        <v>829</v>
      </c>
      <c r="Z408" s="798"/>
      <c r="AA408" s="823"/>
      <c r="AB408" s="823"/>
      <c r="AC408" s="823"/>
      <c r="AD408" s="823"/>
      <c r="AE408" s="824">
        <f t="shared" si="119"/>
        <v>364.76</v>
      </c>
      <c r="AF408" s="831">
        <f t="shared" si="120"/>
        <v>189</v>
      </c>
      <c r="AG408" s="831">
        <f t="shared" si="121"/>
        <v>216</v>
      </c>
      <c r="AH408" s="831">
        <f t="shared" si="122"/>
        <v>155</v>
      </c>
      <c r="AI408" s="831">
        <f t="shared" si="123"/>
        <v>269</v>
      </c>
      <c r="AJ408" s="802">
        <f t="shared" si="124"/>
        <v>829</v>
      </c>
      <c r="AM408" s="12">
        <f t="shared" si="125"/>
        <v>829</v>
      </c>
      <c r="AN408" s="891"/>
      <c r="AO408" s="796">
        <f t="shared" si="126"/>
        <v>829</v>
      </c>
      <c r="AS408" s="871">
        <f t="shared" si="127"/>
        <v>364.76</v>
      </c>
      <c r="AT408" s="871">
        <f t="shared" si="128"/>
        <v>0</v>
      </c>
    </row>
    <row r="409" spans="1:46" s="796" customFormat="1" ht="19.95" customHeight="1">
      <c r="A409" s="882">
        <v>299</v>
      </c>
      <c r="B409" s="883">
        <v>8</v>
      </c>
      <c r="C409" s="884"/>
      <c r="D409" s="884">
        <v>195</v>
      </c>
      <c r="E409" s="884">
        <v>153</v>
      </c>
      <c r="F409" s="884"/>
      <c r="G409" s="884">
        <v>247</v>
      </c>
      <c r="H409" s="885">
        <v>196</v>
      </c>
      <c r="I409" s="885"/>
      <c r="J409" s="885"/>
      <c r="K409" s="885"/>
      <c r="L409" s="884"/>
      <c r="M409" s="884">
        <v>111</v>
      </c>
      <c r="N409" s="884">
        <v>291</v>
      </c>
      <c r="O409" s="884">
        <v>177</v>
      </c>
      <c r="P409" s="884">
        <v>201</v>
      </c>
      <c r="Q409" s="884"/>
      <c r="R409" s="884"/>
      <c r="S409" s="887"/>
      <c r="T409" s="887"/>
      <c r="U409" s="887"/>
      <c r="V409" s="887"/>
      <c r="W409" s="801">
        <f t="shared" si="117"/>
        <v>1571</v>
      </c>
      <c r="X409" s="798"/>
      <c r="Y409" s="798">
        <f t="shared" si="118"/>
        <v>1571</v>
      </c>
      <c r="Z409" s="798"/>
      <c r="AA409" s="823"/>
      <c r="AB409" s="823"/>
      <c r="AC409" s="823"/>
      <c r="AD409" s="823"/>
      <c r="AE409" s="824">
        <f t="shared" si="119"/>
        <v>691.24</v>
      </c>
      <c r="AF409" s="831">
        <f t="shared" si="120"/>
        <v>444</v>
      </c>
      <c r="AG409" s="831">
        <f t="shared" si="121"/>
        <v>424</v>
      </c>
      <c r="AH409" s="831">
        <f t="shared" si="122"/>
        <v>397</v>
      </c>
      <c r="AI409" s="831">
        <f t="shared" si="123"/>
        <v>306</v>
      </c>
      <c r="AJ409" s="802">
        <f t="shared" si="124"/>
        <v>1571</v>
      </c>
      <c r="AM409" s="12">
        <f t="shared" si="125"/>
        <v>1571</v>
      </c>
      <c r="AN409" s="891"/>
      <c r="AO409" s="796">
        <f t="shared" si="126"/>
        <v>1571</v>
      </c>
      <c r="AS409" s="871">
        <f t="shared" si="127"/>
        <v>691.24</v>
      </c>
      <c r="AT409" s="871">
        <f t="shared" si="128"/>
        <v>0</v>
      </c>
    </row>
    <row r="410" spans="1:46" s="796" customFormat="1" ht="19.95" customHeight="1">
      <c r="A410" s="882">
        <v>300</v>
      </c>
      <c r="B410" s="883">
        <v>8</v>
      </c>
      <c r="C410" s="884"/>
      <c r="D410" s="884">
        <v>154</v>
      </c>
      <c r="E410" s="884">
        <v>94</v>
      </c>
      <c r="F410" s="884"/>
      <c r="G410" s="884">
        <v>134</v>
      </c>
      <c r="H410" s="885">
        <v>181</v>
      </c>
      <c r="I410" s="885"/>
      <c r="J410" s="885"/>
      <c r="K410" s="885"/>
      <c r="L410" s="884"/>
      <c r="M410" s="884">
        <v>173</v>
      </c>
      <c r="N410" s="884">
        <v>198</v>
      </c>
      <c r="O410" s="884">
        <v>195</v>
      </c>
      <c r="P410" s="884">
        <v>193</v>
      </c>
      <c r="Q410" s="884"/>
      <c r="R410" s="884"/>
      <c r="S410" s="887"/>
      <c r="T410" s="887"/>
      <c r="U410" s="887"/>
      <c r="V410" s="887"/>
      <c r="W410" s="801">
        <f t="shared" si="117"/>
        <v>1322</v>
      </c>
      <c r="X410" s="798"/>
      <c r="Y410" s="798">
        <f t="shared" si="118"/>
        <v>1322</v>
      </c>
      <c r="Z410" s="798"/>
      <c r="AA410" s="823"/>
      <c r="AB410" s="823"/>
      <c r="AC410" s="823"/>
      <c r="AD410" s="823"/>
      <c r="AE410" s="824">
        <f t="shared" si="119"/>
        <v>581.67999999999995</v>
      </c>
      <c r="AF410" s="831">
        <f t="shared" si="120"/>
        <v>292</v>
      </c>
      <c r="AG410" s="831">
        <f t="shared" si="121"/>
        <v>329</v>
      </c>
      <c r="AH410" s="831">
        <f t="shared" si="122"/>
        <v>374</v>
      </c>
      <c r="AI410" s="831">
        <f t="shared" si="123"/>
        <v>327</v>
      </c>
      <c r="AJ410" s="802">
        <f t="shared" si="124"/>
        <v>1322</v>
      </c>
      <c r="AM410" s="12">
        <f t="shared" si="125"/>
        <v>1322</v>
      </c>
      <c r="AN410" s="891"/>
      <c r="AO410" s="796">
        <f t="shared" si="126"/>
        <v>1322</v>
      </c>
      <c r="AS410" s="871">
        <f t="shared" si="127"/>
        <v>581.67999999999995</v>
      </c>
      <c r="AT410" s="871">
        <f t="shared" si="128"/>
        <v>0</v>
      </c>
    </row>
    <row r="411" spans="1:46" s="796" customFormat="1" ht="19.95" customHeight="1">
      <c r="A411" s="882">
        <v>301</v>
      </c>
      <c r="B411" s="883">
        <v>8</v>
      </c>
      <c r="C411" s="884"/>
      <c r="D411" s="884">
        <v>168</v>
      </c>
      <c r="E411" s="884">
        <v>92</v>
      </c>
      <c r="F411" s="884"/>
      <c r="G411" s="884">
        <v>136</v>
      </c>
      <c r="H411" s="885">
        <v>122</v>
      </c>
      <c r="I411" s="885"/>
      <c r="J411" s="885"/>
      <c r="K411" s="885"/>
      <c r="L411" s="884"/>
      <c r="M411" s="884">
        <v>156</v>
      </c>
      <c r="N411" s="884">
        <v>185</v>
      </c>
      <c r="O411" s="884">
        <v>157</v>
      </c>
      <c r="P411" s="884">
        <v>138</v>
      </c>
      <c r="Q411" s="884"/>
      <c r="R411" s="884"/>
      <c r="S411" s="887"/>
      <c r="T411" s="887"/>
      <c r="U411" s="887"/>
      <c r="V411" s="887"/>
      <c r="W411" s="801">
        <f t="shared" si="117"/>
        <v>1154</v>
      </c>
      <c r="X411" s="798"/>
      <c r="Y411" s="798">
        <f t="shared" si="118"/>
        <v>1154</v>
      </c>
      <c r="Z411" s="798"/>
      <c r="AA411" s="823"/>
      <c r="AB411" s="823"/>
      <c r="AC411" s="823"/>
      <c r="AD411" s="823"/>
      <c r="AE411" s="824">
        <f t="shared" si="119"/>
        <v>507.76</v>
      </c>
      <c r="AF411" s="864">
        <f t="shared" si="120"/>
        <v>277</v>
      </c>
      <c r="AG411" s="831">
        <f t="shared" si="121"/>
        <v>293</v>
      </c>
      <c r="AH411" s="831">
        <f t="shared" si="122"/>
        <v>260</v>
      </c>
      <c r="AI411" s="831">
        <f t="shared" si="123"/>
        <v>324</v>
      </c>
      <c r="AJ411" s="802">
        <f t="shared" si="124"/>
        <v>1154</v>
      </c>
      <c r="AM411" s="12">
        <f>AG411+AH411+AI411</f>
        <v>877</v>
      </c>
      <c r="AN411" s="891">
        <f>AF411</f>
        <v>277</v>
      </c>
      <c r="AO411" s="796">
        <f t="shared" si="126"/>
        <v>1154</v>
      </c>
      <c r="AS411" s="871">
        <f t="shared" si="127"/>
        <v>385.88</v>
      </c>
      <c r="AT411" s="871">
        <f t="shared" si="128"/>
        <v>121.88</v>
      </c>
    </row>
    <row r="412" spans="1:46" s="796" customFormat="1" ht="19.95" customHeight="1">
      <c r="A412" s="882">
        <v>302</v>
      </c>
      <c r="B412" s="883">
        <v>8</v>
      </c>
      <c r="C412" s="884"/>
      <c r="D412" s="884">
        <v>148</v>
      </c>
      <c r="E412" s="884">
        <v>243</v>
      </c>
      <c r="F412" s="884"/>
      <c r="G412" s="884">
        <v>272</v>
      </c>
      <c r="H412" s="885">
        <v>248</v>
      </c>
      <c r="I412" s="885"/>
      <c r="J412" s="885"/>
      <c r="K412" s="885"/>
      <c r="L412" s="884"/>
      <c r="M412" s="884">
        <v>171</v>
      </c>
      <c r="N412" s="884">
        <v>164</v>
      </c>
      <c r="O412" s="884">
        <v>232</v>
      </c>
      <c r="P412" s="884">
        <v>188</v>
      </c>
      <c r="Q412" s="884"/>
      <c r="R412" s="884"/>
      <c r="S412" s="887"/>
      <c r="T412" s="887"/>
      <c r="U412" s="887"/>
      <c r="V412" s="887"/>
      <c r="W412" s="801">
        <f t="shared" si="117"/>
        <v>1666</v>
      </c>
      <c r="X412" s="798"/>
      <c r="Y412" s="798">
        <f t="shared" si="118"/>
        <v>1666</v>
      </c>
      <c r="Z412" s="798"/>
      <c r="AA412" s="823"/>
      <c r="AB412" s="823"/>
      <c r="AC412" s="823"/>
      <c r="AD412" s="823"/>
      <c r="AE412" s="824">
        <f t="shared" si="119"/>
        <v>733.04</v>
      </c>
      <c r="AF412" s="864">
        <f t="shared" ref="AF412:AF444" si="129">E412+N412</f>
        <v>407</v>
      </c>
      <c r="AG412" s="831">
        <f t="shared" ref="AG412:AG441" si="130">G412+O412</f>
        <v>504</v>
      </c>
      <c r="AH412" s="831">
        <f t="shared" ref="AH412:AH441" si="131">H412+P412</f>
        <v>436</v>
      </c>
      <c r="AI412" s="831">
        <f t="shared" ref="AI412:AI444" si="132">D412+M412</f>
        <v>319</v>
      </c>
      <c r="AJ412" s="802">
        <f t="shared" si="124"/>
        <v>1666</v>
      </c>
      <c r="AM412" s="12">
        <f t="shared" ref="AM412:AM441" si="133">AG412+AH412+AI412</f>
        <v>1259</v>
      </c>
      <c r="AN412" s="891">
        <f t="shared" ref="AN412:AN441" si="134">AF412</f>
        <v>407</v>
      </c>
      <c r="AO412" s="796">
        <f t="shared" si="126"/>
        <v>1666</v>
      </c>
      <c r="AS412" s="871">
        <f t="shared" si="127"/>
        <v>553.96</v>
      </c>
      <c r="AT412" s="871">
        <f t="shared" si="128"/>
        <v>179.08</v>
      </c>
    </row>
    <row r="413" spans="1:46" s="796" customFormat="1" ht="19.95" customHeight="1">
      <c r="A413" s="882">
        <v>303</v>
      </c>
      <c r="B413" s="883">
        <v>8</v>
      </c>
      <c r="C413" s="884"/>
      <c r="D413" s="884">
        <v>148</v>
      </c>
      <c r="E413" s="884">
        <v>123</v>
      </c>
      <c r="F413" s="884"/>
      <c r="G413" s="884">
        <v>230</v>
      </c>
      <c r="H413" s="885">
        <v>165</v>
      </c>
      <c r="I413" s="885"/>
      <c r="J413" s="885"/>
      <c r="K413" s="885"/>
      <c r="L413" s="884"/>
      <c r="M413" s="884">
        <v>201</v>
      </c>
      <c r="N413" s="884">
        <v>103</v>
      </c>
      <c r="O413" s="884">
        <v>212</v>
      </c>
      <c r="P413" s="884">
        <v>205</v>
      </c>
      <c r="Q413" s="884"/>
      <c r="R413" s="884"/>
      <c r="S413" s="887"/>
      <c r="T413" s="887"/>
      <c r="U413" s="887"/>
      <c r="V413" s="887"/>
      <c r="W413" s="801">
        <f t="shared" si="117"/>
        <v>1387</v>
      </c>
      <c r="X413" s="798"/>
      <c r="Y413" s="798">
        <f t="shared" si="118"/>
        <v>1387</v>
      </c>
      <c r="Z413" s="798"/>
      <c r="AA413" s="823"/>
      <c r="AB413" s="823"/>
      <c r="AC413" s="823"/>
      <c r="AD413" s="823"/>
      <c r="AE413" s="824">
        <f t="shared" si="119"/>
        <v>610.28</v>
      </c>
      <c r="AF413" s="864">
        <f t="shared" si="129"/>
        <v>226</v>
      </c>
      <c r="AG413" s="831">
        <f t="shared" si="130"/>
        <v>442</v>
      </c>
      <c r="AH413" s="831">
        <f t="shared" si="131"/>
        <v>370</v>
      </c>
      <c r="AI413" s="831">
        <f t="shared" si="132"/>
        <v>349</v>
      </c>
      <c r="AJ413" s="802">
        <f t="shared" si="124"/>
        <v>1387</v>
      </c>
      <c r="AM413" s="12">
        <f t="shared" si="133"/>
        <v>1161</v>
      </c>
      <c r="AN413" s="891">
        <f t="shared" si="134"/>
        <v>226</v>
      </c>
      <c r="AO413" s="796">
        <f t="shared" si="126"/>
        <v>1387</v>
      </c>
      <c r="AS413" s="871">
        <f t="shared" si="127"/>
        <v>510.84</v>
      </c>
      <c r="AT413" s="871">
        <f t="shared" si="128"/>
        <v>99.44</v>
      </c>
    </row>
    <row r="414" spans="1:46" s="796" customFormat="1" ht="19.95" customHeight="1">
      <c r="A414" s="882">
        <v>304</v>
      </c>
      <c r="B414" s="883">
        <v>8</v>
      </c>
      <c r="C414" s="884"/>
      <c r="D414" s="884">
        <v>93</v>
      </c>
      <c r="E414" s="884">
        <v>124</v>
      </c>
      <c r="F414" s="884"/>
      <c r="G414" s="884">
        <v>284</v>
      </c>
      <c r="H414" s="885">
        <v>256</v>
      </c>
      <c r="I414" s="885"/>
      <c r="J414" s="885"/>
      <c r="K414" s="885"/>
      <c r="L414" s="884"/>
      <c r="M414" s="884">
        <v>185</v>
      </c>
      <c r="N414" s="884">
        <v>263</v>
      </c>
      <c r="O414" s="884">
        <v>229</v>
      </c>
      <c r="P414" s="884">
        <v>190</v>
      </c>
      <c r="Q414" s="884"/>
      <c r="R414" s="884"/>
      <c r="S414" s="887"/>
      <c r="T414" s="887"/>
      <c r="U414" s="887"/>
      <c r="V414" s="887"/>
      <c r="W414" s="801">
        <f t="shared" si="117"/>
        <v>1624</v>
      </c>
      <c r="X414" s="798"/>
      <c r="Y414" s="798">
        <f t="shared" si="118"/>
        <v>1624</v>
      </c>
      <c r="Z414" s="798"/>
      <c r="AA414" s="823"/>
      <c r="AB414" s="823"/>
      <c r="AC414" s="823"/>
      <c r="AD414" s="823"/>
      <c r="AE414" s="824">
        <f t="shared" si="119"/>
        <v>714.56</v>
      </c>
      <c r="AF414" s="864">
        <f t="shared" si="129"/>
        <v>387</v>
      </c>
      <c r="AG414" s="831">
        <f t="shared" si="130"/>
        <v>513</v>
      </c>
      <c r="AH414" s="831">
        <f t="shared" si="131"/>
        <v>446</v>
      </c>
      <c r="AI414" s="831">
        <f t="shared" si="132"/>
        <v>278</v>
      </c>
      <c r="AJ414" s="802">
        <f t="shared" si="124"/>
        <v>1624</v>
      </c>
      <c r="AM414" s="12">
        <f t="shared" si="133"/>
        <v>1237</v>
      </c>
      <c r="AN414" s="891">
        <f t="shared" si="134"/>
        <v>387</v>
      </c>
      <c r="AO414" s="796">
        <f t="shared" si="126"/>
        <v>1624</v>
      </c>
      <c r="AS414" s="871">
        <f t="shared" si="127"/>
        <v>544.28</v>
      </c>
      <c r="AT414" s="871">
        <f t="shared" si="128"/>
        <v>170.28</v>
      </c>
    </row>
    <row r="415" spans="1:46" s="796" customFormat="1" ht="19.95" customHeight="1">
      <c r="A415" s="882">
        <v>305</v>
      </c>
      <c r="B415" s="883">
        <v>8</v>
      </c>
      <c r="C415" s="884"/>
      <c r="D415" s="884">
        <v>110</v>
      </c>
      <c r="E415" s="884">
        <v>85</v>
      </c>
      <c r="F415" s="884"/>
      <c r="G415" s="884">
        <v>49</v>
      </c>
      <c r="H415" s="885">
        <v>75</v>
      </c>
      <c r="I415" s="885"/>
      <c r="J415" s="885"/>
      <c r="K415" s="885"/>
      <c r="L415" s="884"/>
      <c r="M415" s="884">
        <v>108</v>
      </c>
      <c r="N415" s="884">
        <v>72</v>
      </c>
      <c r="O415" s="884">
        <v>51</v>
      </c>
      <c r="P415" s="884">
        <v>80</v>
      </c>
      <c r="Q415" s="884"/>
      <c r="R415" s="884"/>
      <c r="S415" s="887"/>
      <c r="T415" s="887"/>
      <c r="U415" s="887"/>
      <c r="V415" s="887"/>
      <c r="W415" s="801">
        <f t="shared" si="117"/>
        <v>630</v>
      </c>
      <c r="X415" s="798"/>
      <c r="Y415" s="798">
        <f t="shared" si="118"/>
        <v>630</v>
      </c>
      <c r="Z415" s="798"/>
      <c r="AA415" s="823"/>
      <c r="AB415" s="823"/>
      <c r="AC415" s="823"/>
      <c r="AD415" s="823"/>
      <c r="AE415" s="824">
        <f t="shared" si="119"/>
        <v>277.2</v>
      </c>
      <c r="AF415" s="864">
        <f t="shared" si="129"/>
        <v>157</v>
      </c>
      <c r="AG415" s="831">
        <f t="shared" si="130"/>
        <v>100</v>
      </c>
      <c r="AH415" s="831">
        <f t="shared" si="131"/>
        <v>155</v>
      </c>
      <c r="AI415" s="831">
        <f t="shared" si="132"/>
        <v>218</v>
      </c>
      <c r="AJ415" s="802">
        <f t="shared" si="124"/>
        <v>630</v>
      </c>
      <c r="AM415" s="12">
        <f t="shared" si="133"/>
        <v>473</v>
      </c>
      <c r="AN415" s="891">
        <f t="shared" si="134"/>
        <v>157</v>
      </c>
      <c r="AO415" s="796">
        <f t="shared" si="126"/>
        <v>630</v>
      </c>
      <c r="AS415" s="871">
        <f t="shared" si="127"/>
        <v>208.12</v>
      </c>
      <c r="AT415" s="871">
        <f t="shared" si="128"/>
        <v>69.08</v>
      </c>
    </row>
    <row r="416" spans="1:46" s="796" customFormat="1" ht="19.95" customHeight="1">
      <c r="A416" s="882">
        <v>306</v>
      </c>
      <c r="B416" s="883">
        <v>8</v>
      </c>
      <c r="C416" s="884"/>
      <c r="D416" s="884">
        <v>66</v>
      </c>
      <c r="E416" s="884">
        <v>93</v>
      </c>
      <c r="F416" s="884"/>
      <c r="G416" s="884">
        <v>60</v>
      </c>
      <c r="H416" s="885">
        <v>125</v>
      </c>
      <c r="I416" s="885"/>
      <c r="J416" s="885"/>
      <c r="K416" s="885"/>
      <c r="L416" s="884"/>
      <c r="M416" s="884">
        <v>106</v>
      </c>
      <c r="N416" s="884">
        <v>210</v>
      </c>
      <c r="O416" s="884">
        <v>87</v>
      </c>
      <c r="P416" s="884">
        <v>116</v>
      </c>
      <c r="Q416" s="884"/>
      <c r="R416" s="884"/>
      <c r="S416" s="887"/>
      <c r="T416" s="887"/>
      <c r="U416" s="887"/>
      <c r="V416" s="887"/>
      <c r="W416" s="801">
        <f t="shared" si="117"/>
        <v>863</v>
      </c>
      <c r="X416" s="798"/>
      <c r="Y416" s="798">
        <f t="shared" si="118"/>
        <v>863</v>
      </c>
      <c r="Z416" s="798"/>
      <c r="AA416" s="823"/>
      <c r="AB416" s="823"/>
      <c r="AC416" s="823"/>
      <c r="AD416" s="823"/>
      <c r="AE416" s="824">
        <f t="shared" si="119"/>
        <v>379.72</v>
      </c>
      <c r="AF416" s="864">
        <f t="shared" si="129"/>
        <v>303</v>
      </c>
      <c r="AG416" s="831">
        <f t="shared" si="130"/>
        <v>147</v>
      </c>
      <c r="AH416" s="831">
        <f t="shared" si="131"/>
        <v>241</v>
      </c>
      <c r="AI416" s="831">
        <f t="shared" si="132"/>
        <v>172</v>
      </c>
      <c r="AJ416" s="802">
        <f t="shared" si="124"/>
        <v>863</v>
      </c>
      <c r="AM416" s="12">
        <f t="shared" si="133"/>
        <v>560</v>
      </c>
      <c r="AN416" s="891">
        <f t="shared" si="134"/>
        <v>303</v>
      </c>
      <c r="AO416" s="796">
        <f t="shared" si="126"/>
        <v>863</v>
      </c>
      <c r="AS416" s="871">
        <f t="shared" si="127"/>
        <v>246.4</v>
      </c>
      <c r="AT416" s="871">
        <f t="shared" si="128"/>
        <v>133.32</v>
      </c>
    </row>
    <row r="417" spans="1:46" s="796" customFormat="1" ht="19.95" customHeight="1">
      <c r="A417" s="882">
        <v>307</v>
      </c>
      <c r="B417" s="883">
        <v>8</v>
      </c>
      <c r="C417" s="884"/>
      <c r="D417" s="884">
        <v>130</v>
      </c>
      <c r="E417" s="884">
        <v>86</v>
      </c>
      <c r="F417" s="884"/>
      <c r="G417" s="884">
        <v>63</v>
      </c>
      <c r="H417" s="885">
        <v>129</v>
      </c>
      <c r="I417" s="885"/>
      <c r="J417" s="885"/>
      <c r="K417" s="885"/>
      <c r="L417" s="884"/>
      <c r="M417" s="884">
        <v>112</v>
      </c>
      <c r="N417" s="884">
        <v>182</v>
      </c>
      <c r="O417" s="884">
        <v>77</v>
      </c>
      <c r="P417" s="884">
        <v>131</v>
      </c>
      <c r="Q417" s="884"/>
      <c r="R417" s="884"/>
      <c r="S417" s="887"/>
      <c r="T417" s="887"/>
      <c r="U417" s="887"/>
      <c r="V417" s="887"/>
      <c r="W417" s="801">
        <f t="shared" si="117"/>
        <v>910</v>
      </c>
      <c r="X417" s="798"/>
      <c r="Y417" s="798">
        <f t="shared" si="118"/>
        <v>910</v>
      </c>
      <c r="Z417" s="798"/>
      <c r="AA417" s="823"/>
      <c r="AB417" s="823"/>
      <c r="AC417" s="823"/>
      <c r="AD417" s="823"/>
      <c r="AE417" s="824">
        <f t="shared" si="119"/>
        <v>400.4</v>
      </c>
      <c r="AF417" s="864">
        <f t="shared" si="129"/>
        <v>268</v>
      </c>
      <c r="AG417" s="831">
        <f t="shared" si="130"/>
        <v>140</v>
      </c>
      <c r="AH417" s="831">
        <f t="shared" si="131"/>
        <v>260</v>
      </c>
      <c r="AI417" s="831">
        <f t="shared" si="132"/>
        <v>242</v>
      </c>
      <c r="AJ417" s="802">
        <f t="shared" si="124"/>
        <v>910</v>
      </c>
      <c r="AM417" s="12">
        <f t="shared" si="133"/>
        <v>642</v>
      </c>
      <c r="AN417" s="891">
        <f t="shared" si="134"/>
        <v>268</v>
      </c>
      <c r="AO417" s="796">
        <f t="shared" si="126"/>
        <v>910</v>
      </c>
      <c r="AS417" s="871">
        <f t="shared" si="127"/>
        <v>282.48</v>
      </c>
      <c r="AT417" s="871">
        <f t="shared" si="128"/>
        <v>117.92</v>
      </c>
    </row>
    <row r="418" spans="1:46" s="796" customFormat="1" ht="19.95" customHeight="1">
      <c r="A418" s="882">
        <v>308</v>
      </c>
      <c r="B418" s="883">
        <v>8</v>
      </c>
      <c r="C418" s="884"/>
      <c r="D418" s="884">
        <v>221</v>
      </c>
      <c r="E418" s="884">
        <v>137</v>
      </c>
      <c r="F418" s="884"/>
      <c r="G418" s="884">
        <v>122</v>
      </c>
      <c r="H418" s="885">
        <v>120</v>
      </c>
      <c r="I418" s="885"/>
      <c r="J418" s="885"/>
      <c r="K418" s="885"/>
      <c r="L418" s="884"/>
      <c r="M418" s="884">
        <v>227</v>
      </c>
      <c r="N418" s="884">
        <v>172</v>
      </c>
      <c r="O418" s="884">
        <v>138</v>
      </c>
      <c r="P418" s="884">
        <v>151</v>
      </c>
      <c r="Q418" s="884"/>
      <c r="R418" s="884"/>
      <c r="S418" s="887"/>
      <c r="T418" s="887"/>
      <c r="U418" s="887"/>
      <c r="V418" s="887"/>
      <c r="W418" s="801">
        <f t="shared" si="117"/>
        <v>1288</v>
      </c>
      <c r="X418" s="798"/>
      <c r="Y418" s="798">
        <f t="shared" si="118"/>
        <v>1288</v>
      </c>
      <c r="Z418" s="798"/>
      <c r="AA418" s="823"/>
      <c r="AB418" s="823"/>
      <c r="AC418" s="823"/>
      <c r="AD418" s="823"/>
      <c r="AE418" s="824">
        <f t="shared" si="119"/>
        <v>566.72</v>
      </c>
      <c r="AF418" s="864">
        <f t="shared" si="129"/>
        <v>309</v>
      </c>
      <c r="AG418" s="831">
        <f t="shared" si="130"/>
        <v>260</v>
      </c>
      <c r="AH418" s="831">
        <f t="shared" si="131"/>
        <v>271</v>
      </c>
      <c r="AI418" s="831">
        <f t="shared" si="132"/>
        <v>448</v>
      </c>
      <c r="AJ418" s="802">
        <f t="shared" si="124"/>
        <v>1288</v>
      </c>
      <c r="AM418" s="12">
        <f t="shared" si="133"/>
        <v>979</v>
      </c>
      <c r="AN418" s="891">
        <f t="shared" si="134"/>
        <v>309</v>
      </c>
      <c r="AO418" s="796">
        <f t="shared" si="126"/>
        <v>1288</v>
      </c>
      <c r="AS418" s="871">
        <f t="shared" si="127"/>
        <v>430.76</v>
      </c>
      <c r="AT418" s="871">
        <f t="shared" si="128"/>
        <v>135.96</v>
      </c>
    </row>
    <row r="419" spans="1:46" s="796" customFormat="1" ht="19.95" customHeight="1">
      <c r="A419" s="882">
        <v>309</v>
      </c>
      <c r="B419" s="883">
        <v>8</v>
      </c>
      <c r="C419" s="884"/>
      <c r="D419" s="884">
        <v>72</v>
      </c>
      <c r="E419" s="884">
        <v>84</v>
      </c>
      <c r="F419" s="884"/>
      <c r="G419" s="884">
        <v>135</v>
      </c>
      <c r="H419" s="885">
        <v>149</v>
      </c>
      <c r="I419" s="885"/>
      <c r="J419" s="885"/>
      <c r="K419" s="885"/>
      <c r="L419" s="884"/>
      <c r="M419" s="884">
        <v>138</v>
      </c>
      <c r="N419" s="884">
        <v>81</v>
      </c>
      <c r="O419" s="884">
        <v>115</v>
      </c>
      <c r="P419" s="884">
        <v>86</v>
      </c>
      <c r="Q419" s="884"/>
      <c r="R419" s="884"/>
      <c r="S419" s="887"/>
      <c r="T419" s="887"/>
      <c r="U419" s="887"/>
      <c r="V419" s="887"/>
      <c r="W419" s="801">
        <f t="shared" si="117"/>
        <v>860</v>
      </c>
      <c r="X419" s="798"/>
      <c r="Y419" s="798">
        <f t="shared" si="118"/>
        <v>860</v>
      </c>
      <c r="Z419" s="798"/>
      <c r="AA419" s="823"/>
      <c r="AB419" s="823"/>
      <c r="AC419" s="823"/>
      <c r="AD419" s="823"/>
      <c r="AE419" s="824">
        <f t="shared" si="119"/>
        <v>378.4</v>
      </c>
      <c r="AF419" s="864">
        <f t="shared" si="129"/>
        <v>165</v>
      </c>
      <c r="AG419" s="831">
        <f t="shared" si="130"/>
        <v>250</v>
      </c>
      <c r="AH419" s="831">
        <f t="shared" si="131"/>
        <v>235</v>
      </c>
      <c r="AI419" s="831">
        <f t="shared" si="132"/>
        <v>210</v>
      </c>
      <c r="AJ419" s="802">
        <f t="shared" si="124"/>
        <v>860</v>
      </c>
      <c r="AM419" s="12">
        <f t="shared" si="133"/>
        <v>695</v>
      </c>
      <c r="AN419" s="891">
        <f t="shared" si="134"/>
        <v>165</v>
      </c>
      <c r="AO419" s="796">
        <f t="shared" si="126"/>
        <v>860</v>
      </c>
      <c r="AS419" s="871">
        <f t="shared" si="127"/>
        <v>305.8</v>
      </c>
      <c r="AT419" s="871">
        <f t="shared" si="128"/>
        <v>72.599999999999994</v>
      </c>
    </row>
    <row r="420" spans="1:46" s="796" customFormat="1" ht="19.95" customHeight="1">
      <c r="A420" s="882">
        <v>310</v>
      </c>
      <c r="B420" s="883">
        <v>8</v>
      </c>
      <c r="C420" s="884"/>
      <c r="D420" s="884">
        <v>163</v>
      </c>
      <c r="E420" s="884">
        <v>0</v>
      </c>
      <c r="F420" s="884"/>
      <c r="G420" s="884">
        <v>182</v>
      </c>
      <c r="H420" s="885">
        <v>159</v>
      </c>
      <c r="I420" s="885"/>
      <c r="J420" s="885"/>
      <c r="K420" s="885"/>
      <c r="L420" s="884"/>
      <c r="M420" s="884">
        <v>172</v>
      </c>
      <c r="N420" s="884">
        <v>183</v>
      </c>
      <c r="O420" s="884">
        <v>137</v>
      </c>
      <c r="P420" s="884">
        <v>164</v>
      </c>
      <c r="Q420" s="884"/>
      <c r="R420" s="884"/>
      <c r="S420" s="887"/>
      <c r="T420" s="887"/>
      <c r="U420" s="887"/>
      <c r="V420" s="887"/>
      <c r="W420" s="801">
        <f t="shared" si="117"/>
        <v>1160</v>
      </c>
      <c r="X420" s="798"/>
      <c r="Y420" s="798">
        <f t="shared" si="118"/>
        <v>1160</v>
      </c>
      <c r="Z420" s="798"/>
      <c r="AA420" s="823"/>
      <c r="AB420" s="823"/>
      <c r="AC420" s="823"/>
      <c r="AD420" s="823"/>
      <c r="AE420" s="824">
        <f t="shared" si="119"/>
        <v>510.4</v>
      </c>
      <c r="AF420" s="864">
        <f t="shared" si="129"/>
        <v>183</v>
      </c>
      <c r="AG420" s="831">
        <f t="shared" si="130"/>
        <v>319</v>
      </c>
      <c r="AH420" s="831">
        <f t="shared" si="131"/>
        <v>323</v>
      </c>
      <c r="AI420" s="831">
        <f t="shared" si="132"/>
        <v>335</v>
      </c>
      <c r="AJ420" s="802">
        <f t="shared" si="124"/>
        <v>1160</v>
      </c>
      <c r="AM420" s="12">
        <f t="shared" si="133"/>
        <v>977</v>
      </c>
      <c r="AN420" s="891">
        <f t="shared" si="134"/>
        <v>183</v>
      </c>
      <c r="AO420" s="796">
        <f t="shared" si="126"/>
        <v>1160</v>
      </c>
      <c r="AS420" s="871">
        <f t="shared" si="127"/>
        <v>429.88</v>
      </c>
      <c r="AT420" s="871">
        <f t="shared" si="128"/>
        <v>80.52</v>
      </c>
    </row>
    <row r="421" spans="1:46" s="796" customFormat="1" ht="19.95" customHeight="1">
      <c r="A421" s="882">
        <v>311</v>
      </c>
      <c r="B421" s="883">
        <v>8</v>
      </c>
      <c r="C421" s="884"/>
      <c r="D421" s="884">
        <v>130</v>
      </c>
      <c r="E421" s="884">
        <v>0</v>
      </c>
      <c r="F421" s="884"/>
      <c r="G421" s="884">
        <v>140</v>
      </c>
      <c r="H421" s="885">
        <v>0</v>
      </c>
      <c r="I421" s="885"/>
      <c r="J421" s="885"/>
      <c r="K421" s="885"/>
      <c r="L421" s="884"/>
      <c r="M421" s="884">
        <v>134</v>
      </c>
      <c r="N421" s="884">
        <v>277</v>
      </c>
      <c r="O421" s="884">
        <v>216</v>
      </c>
      <c r="P421" s="884">
        <v>0</v>
      </c>
      <c r="Q421" s="884"/>
      <c r="R421" s="884"/>
      <c r="S421" s="887"/>
      <c r="T421" s="887"/>
      <c r="U421" s="887"/>
      <c r="V421" s="887"/>
      <c r="W421" s="801">
        <f t="shared" si="117"/>
        <v>897</v>
      </c>
      <c r="X421" s="798"/>
      <c r="Y421" s="798">
        <f t="shared" si="118"/>
        <v>897</v>
      </c>
      <c r="Z421" s="798"/>
      <c r="AA421" s="823"/>
      <c r="AB421" s="823"/>
      <c r="AC421" s="823"/>
      <c r="AD421" s="823"/>
      <c r="AE421" s="824">
        <f t="shared" si="119"/>
        <v>394.68</v>
      </c>
      <c r="AF421" s="864">
        <f t="shared" si="129"/>
        <v>277</v>
      </c>
      <c r="AG421" s="831">
        <f t="shared" si="130"/>
        <v>356</v>
      </c>
      <c r="AH421" s="831">
        <f t="shared" si="131"/>
        <v>0</v>
      </c>
      <c r="AI421" s="831">
        <f t="shared" si="132"/>
        <v>264</v>
      </c>
      <c r="AJ421" s="802">
        <f t="shared" si="124"/>
        <v>897</v>
      </c>
      <c r="AM421" s="12">
        <f t="shared" si="133"/>
        <v>620</v>
      </c>
      <c r="AN421" s="891">
        <f t="shared" si="134"/>
        <v>277</v>
      </c>
      <c r="AO421" s="796">
        <f t="shared" si="126"/>
        <v>897</v>
      </c>
      <c r="AS421" s="871">
        <f t="shared" si="127"/>
        <v>272.8</v>
      </c>
      <c r="AT421" s="871">
        <f t="shared" si="128"/>
        <v>121.88</v>
      </c>
    </row>
    <row r="422" spans="1:46" s="796" customFormat="1" ht="19.95" customHeight="1">
      <c r="A422" s="882">
        <v>312</v>
      </c>
      <c r="B422" s="883">
        <v>8</v>
      </c>
      <c r="C422" s="884"/>
      <c r="D422" s="884">
        <v>121</v>
      </c>
      <c r="E422" s="884">
        <v>196</v>
      </c>
      <c r="F422" s="884"/>
      <c r="G422" s="884">
        <v>125</v>
      </c>
      <c r="H422" s="885">
        <v>204</v>
      </c>
      <c r="I422" s="885"/>
      <c r="J422" s="885"/>
      <c r="K422" s="885"/>
      <c r="L422" s="884"/>
      <c r="M422" s="884">
        <v>95</v>
      </c>
      <c r="N422" s="884">
        <v>272</v>
      </c>
      <c r="O422" s="884">
        <v>125</v>
      </c>
      <c r="P422" s="884">
        <v>135</v>
      </c>
      <c r="Q422" s="884"/>
      <c r="R422" s="884"/>
      <c r="S422" s="887"/>
      <c r="T422" s="887"/>
      <c r="U422" s="887"/>
      <c r="V422" s="887"/>
      <c r="W422" s="801">
        <f t="shared" si="117"/>
        <v>1273</v>
      </c>
      <c r="X422" s="798"/>
      <c r="Y422" s="798">
        <f t="shared" si="118"/>
        <v>1273</v>
      </c>
      <c r="Z422" s="798"/>
      <c r="AA422" s="823"/>
      <c r="AB422" s="823"/>
      <c r="AC422" s="823"/>
      <c r="AD422" s="823"/>
      <c r="AE422" s="824">
        <f t="shared" si="119"/>
        <v>560.12</v>
      </c>
      <c r="AF422" s="864">
        <f t="shared" si="129"/>
        <v>468</v>
      </c>
      <c r="AG422" s="831">
        <f t="shared" si="130"/>
        <v>250</v>
      </c>
      <c r="AH422" s="831">
        <f t="shared" si="131"/>
        <v>339</v>
      </c>
      <c r="AI422" s="831">
        <f t="shared" si="132"/>
        <v>216</v>
      </c>
      <c r="AJ422" s="802">
        <f t="shared" si="124"/>
        <v>1273</v>
      </c>
      <c r="AM422" s="12">
        <f t="shared" si="133"/>
        <v>805</v>
      </c>
      <c r="AN422" s="891">
        <f t="shared" si="134"/>
        <v>468</v>
      </c>
      <c r="AO422" s="796">
        <f t="shared" si="126"/>
        <v>1273</v>
      </c>
      <c r="AS422" s="871">
        <f t="shared" si="127"/>
        <v>354.2</v>
      </c>
      <c r="AT422" s="871">
        <f t="shared" si="128"/>
        <v>205.92</v>
      </c>
    </row>
    <row r="423" spans="1:46" s="796" customFormat="1" ht="19.95" customHeight="1">
      <c r="A423" s="882">
        <v>313</v>
      </c>
      <c r="B423" s="883">
        <v>8</v>
      </c>
      <c r="C423" s="884"/>
      <c r="D423" s="884">
        <v>135</v>
      </c>
      <c r="E423" s="884">
        <v>205</v>
      </c>
      <c r="F423" s="884"/>
      <c r="G423" s="884">
        <v>110</v>
      </c>
      <c r="H423" s="885">
        <v>106</v>
      </c>
      <c r="I423" s="885"/>
      <c r="J423" s="885"/>
      <c r="K423" s="885"/>
      <c r="L423" s="884"/>
      <c r="M423" s="884">
        <v>61</v>
      </c>
      <c r="N423" s="884">
        <v>183</v>
      </c>
      <c r="O423" s="884">
        <v>155</v>
      </c>
      <c r="P423" s="884">
        <v>128</v>
      </c>
      <c r="Q423" s="884"/>
      <c r="R423" s="884"/>
      <c r="S423" s="887"/>
      <c r="T423" s="887"/>
      <c r="U423" s="887"/>
      <c r="V423" s="887"/>
      <c r="W423" s="801">
        <f t="shared" si="117"/>
        <v>1083</v>
      </c>
      <c r="X423" s="798"/>
      <c r="Y423" s="798">
        <f t="shared" si="118"/>
        <v>1083</v>
      </c>
      <c r="Z423" s="798"/>
      <c r="AA423" s="823"/>
      <c r="AB423" s="823"/>
      <c r="AC423" s="823"/>
      <c r="AD423" s="823"/>
      <c r="AE423" s="824">
        <f t="shared" si="119"/>
        <v>476.52</v>
      </c>
      <c r="AF423" s="864">
        <f t="shared" si="129"/>
        <v>388</v>
      </c>
      <c r="AG423" s="831">
        <f t="shared" si="130"/>
        <v>265</v>
      </c>
      <c r="AH423" s="831">
        <f t="shared" si="131"/>
        <v>234</v>
      </c>
      <c r="AI423" s="831">
        <f t="shared" si="132"/>
        <v>196</v>
      </c>
      <c r="AJ423" s="802">
        <f t="shared" si="124"/>
        <v>1083</v>
      </c>
      <c r="AM423" s="12">
        <f t="shared" si="133"/>
        <v>695</v>
      </c>
      <c r="AN423" s="891">
        <f t="shared" si="134"/>
        <v>388</v>
      </c>
      <c r="AO423" s="796">
        <f t="shared" si="126"/>
        <v>1083</v>
      </c>
      <c r="AS423" s="871">
        <f t="shared" si="127"/>
        <v>305.8</v>
      </c>
      <c r="AT423" s="871">
        <f t="shared" si="128"/>
        <v>170.72</v>
      </c>
    </row>
    <row r="424" spans="1:46" s="796" customFormat="1" ht="19.95" customHeight="1">
      <c r="A424" s="882">
        <v>314</v>
      </c>
      <c r="B424" s="883">
        <v>8</v>
      </c>
      <c r="C424" s="884"/>
      <c r="D424" s="884">
        <v>101</v>
      </c>
      <c r="E424" s="884">
        <v>99</v>
      </c>
      <c r="F424" s="884"/>
      <c r="G424" s="884">
        <v>210</v>
      </c>
      <c r="H424" s="885">
        <v>164</v>
      </c>
      <c r="I424" s="885"/>
      <c r="J424" s="885"/>
      <c r="K424" s="885"/>
      <c r="L424" s="884"/>
      <c r="M424" s="884">
        <v>190</v>
      </c>
      <c r="N424" s="884">
        <v>180</v>
      </c>
      <c r="O424" s="884">
        <v>182</v>
      </c>
      <c r="P424" s="884">
        <v>204</v>
      </c>
      <c r="Q424" s="884"/>
      <c r="R424" s="884"/>
      <c r="S424" s="887"/>
      <c r="T424" s="887"/>
      <c r="U424" s="887"/>
      <c r="V424" s="887"/>
      <c r="W424" s="801">
        <f t="shared" si="117"/>
        <v>1330</v>
      </c>
      <c r="X424" s="798"/>
      <c r="Y424" s="798">
        <f t="shared" si="118"/>
        <v>1330</v>
      </c>
      <c r="Z424" s="798"/>
      <c r="AA424" s="823"/>
      <c r="AB424" s="823"/>
      <c r="AC424" s="823"/>
      <c r="AD424" s="823"/>
      <c r="AE424" s="824">
        <f t="shared" si="119"/>
        <v>585.20000000000005</v>
      </c>
      <c r="AF424" s="864">
        <f t="shared" si="129"/>
        <v>279</v>
      </c>
      <c r="AG424" s="831">
        <f t="shared" si="130"/>
        <v>392</v>
      </c>
      <c r="AH424" s="831">
        <f t="shared" si="131"/>
        <v>368</v>
      </c>
      <c r="AI424" s="831">
        <f t="shared" si="132"/>
        <v>291</v>
      </c>
      <c r="AJ424" s="802">
        <f t="shared" si="124"/>
        <v>1330</v>
      </c>
      <c r="AM424" s="12">
        <f t="shared" si="133"/>
        <v>1051</v>
      </c>
      <c r="AN424" s="891">
        <f t="shared" si="134"/>
        <v>279</v>
      </c>
      <c r="AO424" s="796">
        <f t="shared" si="126"/>
        <v>1330</v>
      </c>
      <c r="AS424" s="871">
        <f t="shared" si="127"/>
        <v>462.44</v>
      </c>
      <c r="AT424" s="871">
        <f t="shared" si="128"/>
        <v>122.76</v>
      </c>
    </row>
    <row r="425" spans="1:46" s="796" customFormat="1" ht="19.95" customHeight="1">
      <c r="A425" s="882">
        <v>315</v>
      </c>
      <c r="B425" s="883">
        <v>8</v>
      </c>
      <c r="C425" s="884"/>
      <c r="D425" s="884">
        <v>135</v>
      </c>
      <c r="E425" s="884">
        <v>147</v>
      </c>
      <c r="F425" s="884"/>
      <c r="G425" s="884">
        <v>252</v>
      </c>
      <c r="H425" s="885">
        <v>183</v>
      </c>
      <c r="I425" s="885"/>
      <c r="J425" s="885"/>
      <c r="K425" s="885"/>
      <c r="L425" s="884"/>
      <c r="M425" s="884">
        <v>142</v>
      </c>
      <c r="N425" s="884">
        <v>228</v>
      </c>
      <c r="O425" s="884">
        <v>221</v>
      </c>
      <c r="P425" s="884">
        <v>221</v>
      </c>
      <c r="Q425" s="884"/>
      <c r="R425" s="884"/>
      <c r="S425" s="887"/>
      <c r="T425" s="887"/>
      <c r="U425" s="887"/>
      <c r="V425" s="887"/>
      <c r="W425" s="801">
        <f t="shared" si="117"/>
        <v>1529</v>
      </c>
      <c r="X425" s="798"/>
      <c r="Y425" s="798">
        <f t="shared" si="118"/>
        <v>1529</v>
      </c>
      <c r="Z425" s="798"/>
      <c r="AA425" s="823"/>
      <c r="AB425" s="823"/>
      <c r="AC425" s="823"/>
      <c r="AD425" s="823"/>
      <c r="AE425" s="824">
        <f t="shared" si="119"/>
        <v>672.76</v>
      </c>
      <c r="AF425" s="864">
        <f t="shared" si="129"/>
        <v>375</v>
      </c>
      <c r="AG425" s="831">
        <f t="shared" si="130"/>
        <v>473</v>
      </c>
      <c r="AH425" s="831">
        <f t="shared" si="131"/>
        <v>404</v>
      </c>
      <c r="AI425" s="831">
        <f t="shared" si="132"/>
        <v>277</v>
      </c>
      <c r="AJ425" s="802">
        <f t="shared" si="124"/>
        <v>1529</v>
      </c>
      <c r="AM425" s="12">
        <f t="shared" si="133"/>
        <v>1154</v>
      </c>
      <c r="AN425" s="891">
        <f t="shared" si="134"/>
        <v>375</v>
      </c>
      <c r="AO425" s="796">
        <f t="shared" si="126"/>
        <v>1529</v>
      </c>
      <c r="AS425" s="871">
        <f t="shared" si="127"/>
        <v>507.76</v>
      </c>
      <c r="AT425" s="871">
        <f t="shared" si="128"/>
        <v>165</v>
      </c>
    </row>
    <row r="426" spans="1:46" s="796" customFormat="1" ht="19.95" customHeight="1">
      <c r="A426" s="882">
        <v>316</v>
      </c>
      <c r="B426" s="883">
        <v>8</v>
      </c>
      <c r="C426" s="884"/>
      <c r="D426" s="884">
        <v>161</v>
      </c>
      <c r="E426" s="884">
        <v>186</v>
      </c>
      <c r="F426" s="884"/>
      <c r="G426" s="884">
        <v>198</v>
      </c>
      <c r="H426" s="885">
        <v>146</v>
      </c>
      <c r="I426" s="885"/>
      <c r="J426" s="885"/>
      <c r="K426" s="885"/>
      <c r="L426" s="884"/>
      <c r="M426" s="884">
        <v>141</v>
      </c>
      <c r="N426" s="884">
        <v>145</v>
      </c>
      <c r="O426" s="884">
        <v>128</v>
      </c>
      <c r="P426" s="884">
        <v>154</v>
      </c>
      <c r="Q426" s="884"/>
      <c r="R426" s="884"/>
      <c r="S426" s="887"/>
      <c r="T426" s="887"/>
      <c r="U426" s="887"/>
      <c r="V426" s="887"/>
      <c r="W426" s="801">
        <f t="shared" si="117"/>
        <v>1259</v>
      </c>
      <c r="X426" s="798"/>
      <c r="Y426" s="798">
        <f t="shared" si="118"/>
        <v>1259</v>
      </c>
      <c r="Z426" s="798"/>
      <c r="AA426" s="823"/>
      <c r="AB426" s="823"/>
      <c r="AC426" s="823"/>
      <c r="AD426" s="823"/>
      <c r="AE426" s="824">
        <f t="shared" si="119"/>
        <v>553.96</v>
      </c>
      <c r="AF426" s="864">
        <f t="shared" si="129"/>
        <v>331</v>
      </c>
      <c r="AG426" s="831">
        <f t="shared" si="130"/>
        <v>326</v>
      </c>
      <c r="AH426" s="831">
        <f t="shared" si="131"/>
        <v>300</v>
      </c>
      <c r="AI426" s="831">
        <f t="shared" si="132"/>
        <v>302</v>
      </c>
      <c r="AJ426" s="802">
        <f t="shared" si="124"/>
        <v>1259</v>
      </c>
      <c r="AM426" s="12">
        <f t="shared" si="133"/>
        <v>928</v>
      </c>
      <c r="AN426" s="891">
        <f t="shared" si="134"/>
        <v>331</v>
      </c>
      <c r="AO426" s="796">
        <f t="shared" si="126"/>
        <v>1259</v>
      </c>
      <c r="AS426" s="871">
        <f t="shared" si="127"/>
        <v>408.32</v>
      </c>
      <c r="AT426" s="871">
        <f t="shared" si="128"/>
        <v>145.63999999999999</v>
      </c>
    </row>
    <row r="427" spans="1:46" s="796" customFormat="1" ht="19.95" customHeight="1">
      <c r="A427" s="882">
        <v>317</v>
      </c>
      <c r="B427" s="883">
        <v>8</v>
      </c>
      <c r="C427" s="884"/>
      <c r="D427" s="884">
        <v>73</v>
      </c>
      <c r="E427" s="884">
        <v>106</v>
      </c>
      <c r="F427" s="884"/>
      <c r="G427" s="884">
        <v>180</v>
      </c>
      <c r="H427" s="885">
        <v>244</v>
      </c>
      <c r="I427" s="885"/>
      <c r="J427" s="885"/>
      <c r="K427" s="885"/>
      <c r="L427" s="884"/>
      <c r="M427" s="884">
        <v>193</v>
      </c>
      <c r="N427" s="884">
        <v>97</v>
      </c>
      <c r="O427" s="884">
        <v>151</v>
      </c>
      <c r="P427" s="884">
        <v>217</v>
      </c>
      <c r="Q427" s="884"/>
      <c r="R427" s="884"/>
      <c r="S427" s="887"/>
      <c r="T427" s="887"/>
      <c r="U427" s="887"/>
      <c r="V427" s="887"/>
      <c r="W427" s="801">
        <f t="shared" si="117"/>
        <v>1261</v>
      </c>
      <c r="X427" s="798"/>
      <c r="Y427" s="798">
        <f t="shared" si="118"/>
        <v>1261</v>
      </c>
      <c r="Z427" s="798"/>
      <c r="AA427" s="823"/>
      <c r="AB427" s="823"/>
      <c r="AC427" s="823"/>
      <c r="AD427" s="823"/>
      <c r="AE427" s="824">
        <f t="shared" si="119"/>
        <v>554.84</v>
      </c>
      <c r="AF427" s="864">
        <f t="shared" si="129"/>
        <v>203</v>
      </c>
      <c r="AG427" s="831">
        <f t="shared" si="130"/>
        <v>331</v>
      </c>
      <c r="AH427" s="831">
        <f t="shared" si="131"/>
        <v>461</v>
      </c>
      <c r="AI427" s="831">
        <f t="shared" si="132"/>
        <v>266</v>
      </c>
      <c r="AJ427" s="802">
        <f t="shared" si="124"/>
        <v>1261</v>
      </c>
      <c r="AM427" s="12">
        <f t="shared" si="133"/>
        <v>1058</v>
      </c>
      <c r="AN427" s="891">
        <f t="shared" si="134"/>
        <v>203</v>
      </c>
      <c r="AO427" s="796">
        <f t="shared" si="126"/>
        <v>1261</v>
      </c>
      <c r="AS427" s="871">
        <f t="shared" si="127"/>
        <v>465.52</v>
      </c>
      <c r="AT427" s="871">
        <f t="shared" si="128"/>
        <v>89.32</v>
      </c>
    </row>
    <row r="428" spans="1:46" s="796" customFormat="1" ht="19.95" customHeight="1">
      <c r="A428" s="882">
        <v>318</v>
      </c>
      <c r="B428" s="883">
        <v>8</v>
      </c>
      <c r="C428" s="884"/>
      <c r="D428" s="884">
        <v>196</v>
      </c>
      <c r="E428" s="884">
        <v>137</v>
      </c>
      <c r="F428" s="884"/>
      <c r="G428" s="884">
        <v>173</v>
      </c>
      <c r="H428" s="885">
        <v>173</v>
      </c>
      <c r="I428" s="885"/>
      <c r="J428" s="885"/>
      <c r="K428" s="885"/>
      <c r="L428" s="884"/>
      <c r="M428" s="884">
        <v>178</v>
      </c>
      <c r="N428" s="884">
        <v>108</v>
      </c>
      <c r="O428" s="884">
        <v>138</v>
      </c>
      <c r="P428" s="884">
        <v>218</v>
      </c>
      <c r="Q428" s="884"/>
      <c r="R428" s="884"/>
      <c r="S428" s="887"/>
      <c r="T428" s="887"/>
      <c r="U428" s="887"/>
      <c r="V428" s="887"/>
      <c r="W428" s="801">
        <f t="shared" si="117"/>
        <v>1321</v>
      </c>
      <c r="X428" s="798"/>
      <c r="Y428" s="798">
        <f t="shared" si="118"/>
        <v>1321</v>
      </c>
      <c r="Z428" s="798"/>
      <c r="AA428" s="823"/>
      <c r="AB428" s="823"/>
      <c r="AC428" s="823"/>
      <c r="AD428" s="823"/>
      <c r="AE428" s="824">
        <f t="shared" si="119"/>
        <v>581.24</v>
      </c>
      <c r="AF428" s="864">
        <f t="shared" si="129"/>
        <v>245</v>
      </c>
      <c r="AG428" s="831">
        <f t="shared" si="130"/>
        <v>311</v>
      </c>
      <c r="AH428" s="831">
        <f t="shared" si="131"/>
        <v>391</v>
      </c>
      <c r="AI428" s="831">
        <f t="shared" si="132"/>
        <v>374</v>
      </c>
      <c r="AJ428" s="802">
        <f t="shared" si="124"/>
        <v>1321</v>
      </c>
      <c r="AM428" s="12">
        <f t="shared" si="133"/>
        <v>1076</v>
      </c>
      <c r="AN428" s="891">
        <f t="shared" si="134"/>
        <v>245</v>
      </c>
      <c r="AO428" s="796">
        <f t="shared" si="126"/>
        <v>1321</v>
      </c>
      <c r="AS428" s="871">
        <f t="shared" si="127"/>
        <v>473.44</v>
      </c>
      <c r="AT428" s="871">
        <f t="shared" si="128"/>
        <v>107.8</v>
      </c>
    </row>
    <row r="429" spans="1:46" s="796" customFormat="1" ht="19.95" customHeight="1">
      <c r="A429" s="882">
        <v>319</v>
      </c>
      <c r="B429" s="883">
        <v>8</v>
      </c>
      <c r="C429" s="884"/>
      <c r="D429" s="884">
        <v>125</v>
      </c>
      <c r="E429" s="884">
        <v>168</v>
      </c>
      <c r="F429" s="884"/>
      <c r="G429" s="884">
        <v>121</v>
      </c>
      <c r="H429" s="885">
        <v>240</v>
      </c>
      <c r="I429" s="885"/>
      <c r="J429" s="885"/>
      <c r="K429" s="885"/>
      <c r="L429" s="884"/>
      <c r="M429" s="884">
        <v>150</v>
      </c>
      <c r="N429" s="884">
        <v>183</v>
      </c>
      <c r="O429" s="884">
        <v>85</v>
      </c>
      <c r="P429" s="884">
        <v>201</v>
      </c>
      <c r="Q429" s="884"/>
      <c r="R429" s="884"/>
      <c r="S429" s="887"/>
      <c r="T429" s="887"/>
      <c r="U429" s="887"/>
      <c r="V429" s="887"/>
      <c r="W429" s="801">
        <f t="shared" si="117"/>
        <v>1273</v>
      </c>
      <c r="X429" s="798"/>
      <c r="Y429" s="798">
        <f t="shared" si="118"/>
        <v>1273</v>
      </c>
      <c r="Z429" s="798"/>
      <c r="AA429" s="823"/>
      <c r="AB429" s="823"/>
      <c r="AC429" s="823"/>
      <c r="AD429" s="823"/>
      <c r="AE429" s="824">
        <f t="shared" si="119"/>
        <v>560.12</v>
      </c>
      <c r="AF429" s="864">
        <f t="shared" si="129"/>
        <v>351</v>
      </c>
      <c r="AG429" s="831">
        <f t="shared" si="130"/>
        <v>206</v>
      </c>
      <c r="AH429" s="831">
        <f t="shared" si="131"/>
        <v>441</v>
      </c>
      <c r="AI429" s="831">
        <f t="shared" si="132"/>
        <v>275</v>
      </c>
      <c r="AJ429" s="802">
        <f t="shared" si="124"/>
        <v>1273</v>
      </c>
      <c r="AM429" s="12">
        <f t="shared" si="133"/>
        <v>922</v>
      </c>
      <c r="AN429" s="891">
        <f t="shared" si="134"/>
        <v>351</v>
      </c>
      <c r="AO429" s="796">
        <f t="shared" si="126"/>
        <v>1273</v>
      </c>
      <c r="AS429" s="871">
        <f t="shared" si="127"/>
        <v>405.68</v>
      </c>
      <c r="AT429" s="871">
        <f t="shared" si="128"/>
        <v>154.44</v>
      </c>
    </row>
    <row r="430" spans="1:46" s="796" customFormat="1" ht="19.95" customHeight="1">
      <c r="A430" s="882">
        <v>320</v>
      </c>
      <c r="B430" s="883">
        <v>8</v>
      </c>
      <c r="C430" s="884"/>
      <c r="D430" s="884">
        <v>157</v>
      </c>
      <c r="E430" s="884">
        <v>179</v>
      </c>
      <c r="F430" s="884"/>
      <c r="G430" s="884">
        <v>170</v>
      </c>
      <c r="H430" s="885">
        <v>175</v>
      </c>
      <c r="I430" s="885"/>
      <c r="J430" s="885"/>
      <c r="K430" s="885"/>
      <c r="L430" s="884"/>
      <c r="M430" s="884">
        <v>164</v>
      </c>
      <c r="N430" s="884">
        <v>215</v>
      </c>
      <c r="O430" s="884">
        <v>114</v>
      </c>
      <c r="P430" s="884">
        <v>222</v>
      </c>
      <c r="Q430" s="884"/>
      <c r="R430" s="884"/>
      <c r="S430" s="887"/>
      <c r="T430" s="887"/>
      <c r="U430" s="887"/>
      <c r="V430" s="887"/>
      <c r="W430" s="801">
        <f t="shared" si="117"/>
        <v>1396</v>
      </c>
      <c r="X430" s="798"/>
      <c r="Y430" s="798">
        <f t="shared" si="118"/>
        <v>1396</v>
      </c>
      <c r="Z430" s="798"/>
      <c r="AA430" s="823"/>
      <c r="AB430" s="823"/>
      <c r="AC430" s="823"/>
      <c r="AD430" s="823"/>
      <c r="AE430" s="824">
        <f t="shared" si="119"/>
        <v>614.24</v>
      </c>
      <c r="AF430" s="864">
        <f t="shared" si="129"/>
        <v>394</v>
      </c>
      <c r="AG430" s="831">
        <f t="shared" si="130"/>
        <v>284</v>
      </c>
      <c r="AH430" s="831">
        <f t="shared" si="131"/>
        <v>397</v>
      </c>
      <c r="AI430" s="831">
        <f t="shared" si="132"/>
        <v>321</v>
      </c>
      <c r="AJ430" s="802">
        <f t="shared" si="124"/>
        <v>1396</v>
      </c>
      <c r="AM430" s="12">
        <f t="shared" si="133"/>
        <v>1002</v>
      </c>
      <c r="AN430" s="891">
        <f t="shared" si="134"/>
        <v>394</v>
      </c>
      <c r="AO430" s="796">
        <f t="shared" si="126"/>
        <v>1396</v>
      </c>
      <c r="AS430" s="871">
        <f t="shared" si="127"/>
        <v>440.88</v>
      </c>
      <c r="AT430" s="871">
        <f t="shared" si="128"/>
        <v>173.36</v>
      </c>
    </row>
    <row r="431" spans="1:46" s="796" customFormat="1" ht="19.95" customHeight="1">
      <c r="A431" s="882">
        <v>321</v>
      </c>
      <c r="B431" s="883">
        <v>8</v>
      </c>
      <c r="C431" s="884"/>
      <c r="D431" s="884">
        <v>152</v>
      </c>
      <c r="E431" s="884">
        <v>180</v>
      </c>
      <c r="F431" s="884"/>
      <c r="G431" s="884">
        <v>172</v>
      </c>
      <c r="H431" s="885">
        <v>181</v>
      </c>
      <c r="I431" s="885"/>
      <c r="J431" s="885"/>
      <c r="K431" s="885"/>
      <c r="L431" s="884"/>
      <c r="M431" s="884">
        <v>162</v>
      </c>
      <c r="N431" s="884">
        <v>196</v>
      </c>
      <c r="O431" s="884">
        <v>137</v>
      </c>
      <c r="P431" s="884">
        <v>137</v>
      </c>
      <c r="Q431" s="884"/>
      <c r="R431" s="884"/>
      <c r="S431" s="887"/>
      <c r="T431" s="887"/>
      <c r="U431" s="887"/>
      <c r="V431" s="887"/>
      <c r="W431" s="801">
        <f t="shared" si="117"/>
        <v>1317</v>
      </c>
      <c r="X431" s="798"/>
      <c r="Y431" s="798">
        <f t="shared" si="118"/>
        <v>1317</v>
      </c>
      <c r="Z431" s="798"/>
      <c r="AA431" s="823"/>
      <c r="AB431" s="823"/>
      <c r="AC431" s="823"/>
      <c r="AD431" s="823"/>
      <c r="AE431" s="824">
        <f t="shared" si="119"/>
        <v>579.48</v>
      </c>
      <c r="AF431" s="864">
        <f t="shared" si="129"/>
        <v>376</v>
      </c>
      <c r="AG431" s="831">
        <f t="shared" si="130"/>
        <v>309</v>
      </c>
      <c r="AH431" s="831">
        <f t="shared" si="131"/>
        <v>318</v>
      </c>
      <c r="AI431" s="831">
        <f t="shared" si="132"/>
        <v>314</v>
      </c>
      <c r="AJ431" s="802">
        <f t="shared" si="124"/>
        <v>1317</v>
      </c>
      <c r="AM431" s="12">
        <f t="shared" si="133"/>
        <v>941</v>
      </c>
      <c r="AN431" s="891">
        <f t="shared" si="134"/>
        <v>376</v>
      </c>
      <c r="AO431" s="796">
        <f t="shared" si="126"/>
        <v>1317</v>
      </c>
      <c r="AS431" s="871">
        <f t="shared" si="127"/>
        <v>414.04</v>
      </c>
      <c r="AT431" s="871">
        <f t="shared" si="128"/>
        <v>165.44</v>
      </c>
    </row>
    <row r="432" spans="1:46" s="796" customFormat="1" ht="19.95" customHeight="1">
      <c r="A432" s="882">
        <v>322</v>
      </c>
      <c r="B432" s="883">
        <v>8</v>
      </c>
      <c r="C432" s="884"/>
      <c r="D432" s="884">
        <v>128</v>
      </c>
      <c r="E432" s="884">
        <v>167</v>
      </c>
      <c r="F432" s="884"/>
      <c r="G432" s="884">
        <v>83</v>
      </c>
      <c r="H432" s="885">
        <v>184</v>
      </c>
      <c r="I432" s="885"/>
      <c r="J432" s="885"/>
      <c r="K432" s="885"/>
      <c r="L432" s="884"/>
      <c r="M432" s="884">
        <v>109</v>
      </c>
      <c r="N432" s="884">
        <v>189</v>
      </c>
      <c r="O432" s="884">
        <v>113</v>
      </c>
      <c r="P432" s="884">
        <v>187</v>
      </c>
      <c r="Q432" s="884"/>
      <c r="R432" s="884"/>
      <c r="S432" s="887"/>
      <c r="T432" s="887"/>
      <c r="U432" s="887"/>
      <c r="V432" s="887"/>
      <c r="W432" s="801">
        <f t="shared" si="117"/>
        <v>1160</v>
      </c>
      <c r="X432" s="798"/>
      <c r="Y432" s="798">
        <f t="shared" si="118"/>
        <v>1160</v>
      </c>
      <c r="Z432" s="798"/>
      <c r="AA432" s="823"/>
      <c r="AB432" s="823"/>
      <c r="AC432" s="823"/>
      <c r="AD432" s="823"/>
      <c r="AE432" s="824">
        <f t="shared" si="119"/>
        <v>510.4</v>
      </c>
      <c r="AF432" s="864">
        <f t="shared" si="129"/>
        <v>356</v>
      </c>
      <c r="AG432" s="831">
        <f t="shared" si="130"/>
        <v>196</v>
      </c>
      <c r="AH432" s="831">
        <f t="shared" si="131"/>
        <v>371</v>
      </c>
      <c r="AI432" s="831">
        <f t="shared" si="132"/>
        <v>237</v>
      </c>
      <c r="AJ432" s="802">
        <f t="shared" si="124"/>
        <v>1160</v>
      </c>
      <c r="AM432" s="12">
        <f t="shared" si="133"/>
        <v>804</v>
      </c>
      <c r="AN432" s="891">
        <f t="shared" si="134"/>
        <v>356</v>
      </c>
      <c r="AO432" s="796">
        <f t="shared" si="126"/>
        <v>1160</v>
      </c>
      <c r="AS432" s="871">
        <f t="shared" si="127"/>
        <v>353.76</v>
      </c>
      <c r="AT432" s="871">
        <f t="shared" si="128"/>
        <v>156.63999999999999</v>
      </c>
    </row>
    <row r="433" spans="1:46" s="796" customFormat="1" ht="19.95" customHeight="1">
      <c r="A433" s="882">
        <v>323</v>
      </c>
      <c r="B433" s="883">
        <v>8</v>
      </c>
      <c r="C433" s="884"/>
      <c r="D433" s="884">
        <v>125</v>
      </c>
      <c r="E433" s="884">
        <v>160</v>
      </c>
      <c r="F433" s="884"/>
      <c r="G433" s="884">
        <v>89</v>
      </c>
      <c r="H433" s="885">
        <v>163</v>
      </c>
      <c r="I433" s="885"/>
      <c r="J433" s="885"/>
      <c r="K433" s="885"/>
      <c r="L433" s="884"/>
      <c r="M433" s="884">
        <v>100</v>
      </c>
      <c r="N433" s="884">
        <v>226</v>
      </c>
      <c r="O433" s="884">
        <v>146</v>
      </c>
      <c r="P433" s="884">
        <v>156</v>
      </c>
      <c r="Q433" s="884"/>
      <c r="R433" s="884"/>
      <c r="S433" s="887"/>
      <c r="T433" s="887"/>
      <c r="U433" s="887"/>
      <c r="V433" s="887"/>
      <c r="W433" s="801">
        <f t="shared" si="117"/>
        <v>1165</v>
      </c>
      <c r="X433" s="798"/>
      <c r="Y433" s="798">
        <f t="shared" si="118"/>
        <v>1165</v>
      </c>
      <c r="Z433" s="798"/>
      <c r="AA433" s="823"/>
      <c r="AB433" s="823"/>
      <c r="AC433" s="823"/>
      <c r="AD433" s="823"/>
      <c r="AE433" s="824">
        <f t="shared" si="119"/>
        <v>512.6</v>
      </c>
      <c r="AF433" s="864">
        <f t="shared" si="129"/>
        <v>386</v>
      </c>
      <c r="AG433" s="831">
        <f t="shared" si="130"/>
        <v>235</v>
      </c>
      <c r="AH433" s="831">
        <f t="shared" si="131"/>
        <v>319</v>
      </c>
      <c r="AI433" s="831">
        <f t="shared" si="132"/>
        <v>225</v>
      </c>
      <c r="AJ433" s="802">
        <f t="shared" si="124"/>
        <v>1165</v>
      </c>
      <c r="AM433" s="12">
        <f t="shared" si="133"/>
        <v>779</v>
      </c>
      <c r="AN433" s="891">
        <f t="shared" si="134"/>
        <v>386</v>
      </c>
      <c r="AO433" s="796">
        <f t="shared" si="126"/>
        <v>1165</v>
      </c>
      <c r="AS433" s="871">
        <f t="shared" si="127"/>
        <v>342.76</v>
      </c>
      <c r="AT433" s="871">
        <f t="shared" si="128"/>
        <v>169.84</v>
      </c>
    </row>
    <row r="434" spans="1:46" s="796" customFormat="1" ht="19.95" customHeight="1">
      <c r="A434" s="882">
        <v>324</v>
      </c>
      <c r="B434" s="883">
        <v>8</v>
      </c>
      <c r="C434" s="884"/>
      <c r="D434" s="884">
        <v>46</v>
      </c>
      <c r="E434" s="884">
        <v>148</v>
      </c>
      <c r="F434" s="884"/>
      <c r="G434" s="884">
        <v>192</v>
      </c>
      <c r="H434" s="885">
        <v>127</v>
      </c>
      <c r="I434" s="885"/>
      <c r="J434" s="885"/>
      <c r="K434" s="885"/>
      <c r="L434" s="884"/>
      <c r="M434" s="884">
        <v>90</v>
      </c>
      <c r="N434" s="884">
        <v>160</v>
      </c>
      <c r="O434" s="884">
        <v>174</v>
      </c>
      <c r="P434" s="884">
        <v>52</v>
      </c>
      <c r="Q434" s="884"/>
      <c r="R434" s="884"/>
      <c r="S434" s="887"/>
      <c r="T434" s="887"/>
      <c r="U434" s="887"/>
      <c r="V434" s="887"/>
      <c r="W434" s="801">
        <f t="shared" si="117"/>
        <v>989</v>
      </c>
      <c r="X434" s="798"/>
      <c r="Y434" s="798">
        <f t="shared" si="118"/>
        <v>989</v>
      </c>
      <c r="Z434" s="798"/>
      <c r="AA434" s="823"/>
      <c r="AB434" s="823"/>
      <c r="AC434" s="823"/>
      <c r="AD434" s="823"/>
      <c r="AE434" s="824">
        <f t="shared" si="119"/>
        <v>435.16</v>
      </c>
      <c r="AF434" s="864">
        <f t="shared" si="129"/>
        <v>308</v>
      </c>
      <c r="AG434" s="831">
        <f t="shared" si="130"/>
        <v>366</v>
      </c>
      <c r="AH434" s="831">
        <f t="shared" si="131"/>
        <v>179</v>
      </c>
      <c r="AI434" s="831">
        <f t="shared" si="132"/>
        <v>136</v>
      </c>
      <c r="AJ434" s="802">
        <f t="shared" si="124"/>
        <v>989</v>
      </c>
      <c r="AM434" s="12">
        <f t="shared" si="133"/>
        <v>681</v>
      </c>
      <c r="AN434" s="891">
        <f t="shared" si="134"/>
        <v>308</v>
      </c>
      <c r="AO434" s="796">
        <f t="shared" si="126"/>
        <v>989</v>
      </c>
      <c r="AS434" s="871">
        <f t="shared" si="127"/>
        <v>299.64</v>
      </c>
      <c r="AT434" s="871">
        <f t="shared" si="128"/>
        <v>135.52000000000001</v>
      </c>
    </row>
    <row r="435" spans="1:46" s="796" customFormat="1" ht="19.95" customHeight="1">
      <c r="A435" s="882">
        <v>325</v>
      </c>
      <c r="B435" s="883">
        <v>8</v>
      </c>
      <c r="C435" s="884"/>
      <c r="D435" s="884">
        <v>73</v>
      </c>
      <c r="E435" s="884">
        <v>236</v>
      </c>
      <c r="F435" s="884"/>
      <c r="G435" s="884">
        <v>186</v>
      </c>
      <c r="H435" s="885">
        <v>164</v>
      </c>
      <c r="I435" s="885"/>
      <c r="J435" s="885"/>
      <c r="K435" s="885"/>
      <c r="L435" s="884"/>
      <c r="M435" s="884">
        <v>54</v>
      </c>
      <c r="N435" s="884">
        <v>273</v>
      </c>
      <c r="O435" s="884">
        <v>165</v>
      </c>
      <c r="P435" s="884">
        <v>128</v>
      </c>
      <c r="Q435" s="884"/>
      <c r="R435" s="884"/>
      <c r="S435" s="887"/>
      <c r="T435" s="887"/>
      <c r="U435" s="887"/>
      <c r="V435" s="887"/>
      <c r="W435" s="801">
        <f t="shared" si="117"/>
        <v>1279</v>
      </c>
      <c r="X435" s="798"/>
      <c r="Y435" s="798">
        <f t="shared" si="118"/>
        <v>1279</v>
      </c>
      <c r="Z435" s="798"/>
      <c r="AA435" s="823"/>
      <c r="AB435" s="823"/>
      <c r="AC435" s="823"/>
      <c r="AD435" s="823"/>
      <c r="AE435" s="824">
        <f t="shared" si="119"/>
        <v>562.76</v>
      </c>
      <c r="AF435" s="864">
        <f t="shared" si="129"/>
        <v>509</v>
      </c>
      <c r="AG435" s="831">
        <f t="shared" si="130"/>
        <v>351</v>
      </c>
      <c r="AH435" s="831">
        <f t="shared" si="131"/>
        <v>292</v>
      </c>
      <c r="AI435" s="831">
        <f t="shared" si="132"/>
        <v>127</v>
      </c>
      <c r="AJ435" s="802">
        <f t="shared" si="124"/>
        <v>1279</v>
      </c>
      <c r="AM435" s="12">
        <f t="shared" si="133"/>
        <v>770</v>
      </c>
      <c r="AN435" s="891">
        <f t="shared" si="134"/>
        <v>509</v>
      </c>
      <c r="AO435" s="796">
        <f t="shared" si="126"/>
        <v>1279</v>
      </c>
      <c r="AS435" s="871">
        <f t="shared" si="127"/>
        <v>338.8</v>
      </c>
      <c r="AT435" s="871">
        <f t="shared" si="128"/>
        <v>223.96</v>
      </c>
    </row>
    <row r="436" spans="1:46" s="796" customFormat="1" ht="19.95" customHeight="1">
      <c r="A436" s="882">
        <v>326</v>
      </c>
      <c r="B436" s="883">
        <v>8</v>
      </c>
      <c r="C436" s="884"/>
      <c r="D436" s="884">
        <v>48</v>
      </c>
      <c r="E436" s="884">
        <v>187</v>
      </c>
      <c r="F436" s="884"/>
      <c r="G436" s="884">
        <v>119</v>
      </c>
      <c r="H436" s="885">
        <v>131</v>
      </c>
      <c r="I436" s="885"/>
      <c r="J436" s="885"/>
      <c r="K436" s="885"/>
      <c r="L436" s="884"/>
      <c r="M436" s="884">
        <v>47</v>
      </c>
      <c r="N436" s="884">
        <v>221</v>
      </c>
      <c r="O436" s="884">
        <v>95</v>
      </c>
      <c r="P436" s="884">
        <v>106</v>
      </c>
      <c r="Q436" s="884"/>
      <c r="R436" s="884"/>
      <c r="S436" s="887"/>
      <c r="T436" s="887"/>
      <c r="U436" s="887"/>
      <c r="V436" s="887"/>
      <c r="W436" s="801">
        <f t="shared" si="117"/>
        <v>954</v>
      </c>
      <c r="X436" s="798"/>
      <c r="Y436" s="798">
        <f t="shared" si="118"/>
        <v>954</v>
      </c>
      <c r="Z436" s="798"/>
      <c r="AA436" s="823"/>
      <c r="AB436" s="823"/>
      <c r="AC436" s="823"/>
      <c r="AD436" s="823"/>
      <c r="AE436" s="824">
        <f t="shared" si="119"/>
        <v>419.76</v>
      </c>
      <c r="AF436" s="864">
        <f t="shared" si="129"/>
        <v>408</v>
      </c>
      <c r="AG436" s="831">
        <f t="shared" si="130"/>
        <v>214</v>
      </c>
      <c r="AH436" s="831">
        <f t="shared" si="131"/>
        <v>237</v>
      </c>
      <c r="AI436" s="831">
        <f t="shared" si="132"/>
        <v>95</v>
      </c>
      <c r="AJ436" s="802">
        <f t="shared" si="124"/>
        <v>954</v>
      </c>
      <c r="AM436" s="12">
        <f t="shared" si="133"/>
        <v>546</v>
      </c>
      <c r="AN436" s="891">
        <f t="shared" si="134"/>
        <v>408</v>
      </c>
      <c r="AO436" s="796">
        <f t="shared" si="126"/>
        <v>954</v>
      </c>
      <c r="AS436" s="871">
        <f t="shared" si="127"/>
        <v>240.24</v>
      </c>
      <c r="AT436" s="871">
        <f t="shared" si="128"/>
        <v>179.52</v>
      </c>
    </row>
    <row r="437" spans="1:46" s="796" customFormat="1" ht="19.95" customHeight="1">
      <c r="A437" s="882">
        <v>327</v>
      </c>
      <c r="B437" s="883">
        <v>8</v>
      </c>
      <c r="C437" s="884"/>
      <c r="D437" s="884">
        <v>181</v>
      </c>
      <c r="E437" s="884">
        <v>257</v>
      </c>
      <c r="F437" s="884"/>
      <c r="G437" s="884">
        <v>168</v>
      </c>
      <c r="H437" s="885">
        <v>196</v>
      </c>
      <c r="I437" s="885"/>
      <c r="J437" s="885"/>
      <c r="K437" s="885"/>
      <c r="L437" s="884"/>
      <c r="M437" s="884">
        <v>182</v>
      </c>
      <c r="N437" s="884">
        <v>235</v>
      </c>
      <c r="O437" s="884">
        <v>121</v>
      </c>
      <c r="P437" s="884">
        <v>121</v>
      </c>
      <c r="Q437" s="884"/>
      <c r="R437" s="884"/>
      <c r="S437" s="887"/>
      <c r="T437" s="887"/>
      <c r="U437" s="887"/>
      <c r="V437" s="887"/>
      <c r="W437" s="801">
        <f t="shared" si="117"/>
        <v>1461</v>
      </c>
      <c r="X437" s="798"/>
      <c r="Y437" s="798">
        <f t="shared" si="118"/>
        <v>1461</v>
      </c>
      <c r="Z437" s="798"/>
      <c r="AA437" s="823"/>
      <c r="AB437" s="823"/>
      <c r="AC437" s="823"/>
      <c r="AD437" s="823"/>
      <c r="AE437" s="824">
        <f t="shared" si="119"/>
        <v>642.84</v>
      </c>
      <c r="AF437" s="864">
        <f t="shared" si="129"/>
        <v>492</v>
      </c>
      <c r="AG437" s="831">
        <f t="shared" si="130"/>
        <v>289</v>
      </c>
      <c r="AH437" s="831">
        <f t="shared" si="131"/>
        <v>317</v>
      </c>
      <c r="AI437" s="831">
        <f t="shared" si="132"/>
        <v>363</v>
      </c>
      <c r="AJ437" s="802">
        <f t="shared" si="124"/>
        <v>1461</v>
      </c>
      <c r="AM437" s="12">
        <f t="shared" si="133"/>
        <v>969</v>
      </c>
      <c r="AN437" s="891">
        <f t="shared" si="134"/>
        <v>492</v>
      </c>
      <c r="AO437" s="796">
        <f t="shared" si="126"/>
        <v>1461</v>
      </c>
      <c r="AS437" s="871">
        <f t="shared" si="127"/>
        <v>426.36</v>
      </c>
      <c r="AT437" s="871">
        <f t="shared" si="128"/>
        <v>216.48</v>
      </c>
    </row>
    <row r="438" spans="1:46" s="796" customFormat="1" ht="19.95" customHeight="1">
      <c r="A438" s="882">
        <v>328</v>
      </c>
      <c r="B438" s="883">
        <v>8</v>
      </c>
      <c r="C438" s="884"/>
      <c r="D438" s="884">
        <v>229</v>
      </c>
      <c r="E438" s="884">
        <v>231</v>
      </c>
      <c r="F438" s="884"/>
      <c r="G438" s="884">
        <v>118</v>
      </c>
      <c r="H438" s="885">
        <v>129</v>
      </c>
      <c r="I438" s="885"/>
      <c r="J438" s="885"/>
      <c r="K438" s="885"/>
      <c r="L438" s="884"/>
      <c r="M438" s="884">
        <v>170</v>
      </c>
      <c r="N438" s="884">
        <v>257</v>
      </c>
      <c r="O438" s="884">
        <v>68</v>
      </c>
      <c r="P438" s="884">
        <v>122</v>
      </c>
      <c r="Q438" s="884"/>
      <c r="R438" s="884"/>
      <c r="S438" s="887"/>
      <c r="T438" s="887"/>
      <c r="U438" s="887"/>
      <c r="V438" s="887"/>
      <c r="W438" s="801">
        <f t="shared" si="117"/>
        <v>1324</v>
      </c>
      <c r="X438" s="798"/>
      <c r="Y438" s="798">
        <f t="shared" si="118"/>
        <v>1324</v>
      </c>
      <c r="Z438" s="798"/>
      <c r="AA438" s="823"/>
      <c r="AB438" s="823"/>
      <c r="AC438" s="823"/>
      <c r="AD438" s="823"/>
      <c r="AE438" s="824">
        <f t="shared" si="119"/>
        <v>582.55999999999995</v>
      </c>
      <c r="AF438" s="864">
        <f t="shared" si="129"/>
        <v>488</v>
      </c>
      <c r="AG438" s="831">
        <f t="shared" si="130"/>
        <v>186</v>
      </c>
      <c r="AH438" s="831">
        <f t="shared" si="131"/>
        <v>251</v>
      </c>
      <c r="AI438" s="831">
        <f t="shared" si="132"/>
        <v>399</v>
      </c>
      <c r="AJ438" s="802">
        <f t="shared" si="124"/>
        <v>1324</v>
      </c>
      <c r="AM438" s="12">
        <f t="shared" si="133"/>
        <v>836</v>
      </c>
      <c r="AN438" s="891">
        <f t="shared" si="134"/>
        <v>488</v>
      </c>
      <c r="AO438" s="796">
        <f t="shared" si="126"/>
        <v>1324</v>
      </c>
      <c r="AS438" s="871">
        <f t="shared" si="127"/>
        <v>367.84</v>
      </c>
      <c r="AT438" s="871">
        <f t="shared" si="128"/>
        <v>214.72</v>
      </c>
    </row>
    <row r="439" spans="1:46" s="796" customFormat="1" ht="19.95" customHeight="1">
      <c r="A439" s="882">
        <v>329</v>
      </c>
      <c r="B439" s="883">
        <v>8</v>
      </c>
      <c r="C439" s="884"/>
      <c r="D439" s="884">
        <v>173</v>
      </c>
      <c r="E439" s="884">
        <v>91</v>
      </c>
      <c r="F439" s="884"/>
      <c r="G439" s="884">
        <v>118</v>
      </c>
      <c r="H439" s="885">
        <v>182</v>
      </c>
      <c r="I439" s="885"/>
      <c r="J439" s="885"/>
      <c r="K439" s="885"/>
      <c r="L439" s="884"/>
      <c r="M439" s="884">
        <v>186</v>
      </c>
      <c r="N439" s="884">
        <v>220</v>
      </c>
      <c r="O439" s="884">
        <v>146</v>
      </c>
      <c r="P439" s="884">
        <v>151</v>
      </c>
      <c r="Q439" s="884"/>
      <c r="R439" s="884"/>
      <c r="S439" s="887"/>
      <c r="T439" s="887"/>
      <c r="U439" s="887"/>
      <c r="V439" s="887"/>
      <c r="W439" s="801">
        <f t="shared" si="117"/>
        <v>1267</v>
      </c>
      <c r="X439" s="798"/>
      <c r="Y439" s="798">
        <f t="shared" si="118"/>
        <v>1267</v>
      </c>
      <c r="Z439" s="798"/>
      <c r="AA439" s="823"/>
      <c r="AB439" s="823"/>
      <c r="AC439" s="823"/>
      <c r="AD439" s="823"/>
      <c r="AE439" s="824">
        <f t="shared" si="119"/>
        <v>557.48</v>
      </c>
      <c r="AF439" s="864">
        <f t="shared" si="129"/>
        <v>311</v>
      </c>
      <c r="AG439" s="831">
        <f t="shared" si="130"/>
        <v>264</v>
      </c>
      <c r="AH439" s="831">
        <f t="shared" si="131"/>
        <v>333</v>
      </c>
      <c r="AI439" s="831">
        <f t="shared" si="132"/>
        <v>359</v>
      </c>
      <c r="AJ439" s="802">
        <f t="shared" si="124"/>
        <v>1267</v>
      </c>
      <c r="AM439" s="12">
        <f t="shared" si="133"/>
        <v>956</v>
      </c>
      <c r="AN439" s="891">
        <f t="shared" si="134"/>
        <v>311</v>
      </c>
      <c r="AO439" s="796">
        <f t="shared" si="126"/>
        <v>1267</v>
      </c>
      <c r="AS439" s="871">
        <f t="shared" si="127"/>
        <v>420.64</v>
      </c>
      <c r="AT439" s="871">
        <f t="shared" si="128"/>
        <v>136.84</v>
      </c>
    </row>
    <row r="440" spans="1:46" s="796" customFormat="1" ht="19.95" customHeight="1">
      <c r="A440" s="882">
        <v>330</v>
      </c>
      <c r="B440" s="883">
        <v>8</v>
      </c>
      <c r="C440" s="884"/>
      <c r="D440" s="884">
        <v>127</v>
      </c>
      <c r="E440" s="884">
        <v>75</v>
      </c>
      <c r="F440" s="884"/>
      <c r="G440" s="884">
        <v>92</v>
      </c>
      <c r="H440" s="885">
        <v>108</v>
      </c>
      <c r="I440" s="885"/>
      <c r="J440" s="885"/>
      <c r="K440" s="885"/>
      <c r="L440" s="884"/>
      <c r="M440" s="884">
        <v>133</v>
      </c>
      <c r="N440" s="884">
        <v>75</v>
      </c>
      <c r="O440" s="884">
        <v>130</v>
      </c>
      <c r="P440" s="884">
        <v>68</v>
      </c>
      <c r="Q440" s="884"/>
      <c r="R440" s="884"/>
      <c r="S440" s="887"/>
      <c r="T440" s="887"/>
      <c r="U440" s="887"/>
      <c r="V440" s="887"/>
      <c r="W440" s="801">
        <f t="shared" si="117"/>
        <v>808</v>
      </c>
      <c r="X440" s="798"/>
      <c r="Y440" s="798">
        <f t="shared" si="118"/>
        <v>808</v>
      </c>
      <c r="Z440" s="798"/>
      <c r="AA440" s="823"/>
      <c r="AB440" s="823"/>
      <c r="AC440" s="823"/>
      <c r="AD440" s="823"/>
      <c r="AE440" s="824">
        <f t="shared" si="119"/>
        <v>355.52</v>
      </c>
      <c r="AF440" s="864">
        <f t="shared" si="129"/>
        <v>150</v>
      </c>
      <c r="AG440" s="831">
        <f t="shared" si="130"/>
        <v>222</v>
      </c>
      <c r="AH440" s="831">
        <f t="shared" si="131"/>
        <v>176</v>
      </c>
      <c r="AI440" s="831">
        <f t="shared" si="132"/>
        <v>260</v>
      </c>
      <c r="AJ440" s="802">
        <f t="shared" si="124"/>
        <v>808</v>
      </c>
      <c r="AM440" s="12">
        <f t="shared" si="133"/>
        <v>658</v>
      </c>
      <c r="AN440" s="891">
        <f t="shared" si="134"/>
        <v>150</v>
      </c>
      <c r="AO440" s="796">
        <f t="shared" si="126"/>
        <v>808</v>
      </c>
      <c r="AS440" s="871">
        <f t="shared" si="127"/>
        <v>289.52</v>
      </c>
      <c r="AT440" s="871">
        <f t="shared" si="128"/>
        <v>66</v>
      </c>
    </row>
    <row r="441" spans="1:46" s="796" customFormat="1" ht="19.95" customHeight="1">
      <c r="A441" s="882">
        <v>331</v>
      </c>
      <c r="B441" s="883">
        <v>8</v>
      </c>
      <c r="C441" s="884"/>
      <c r="D441" s="884">
        <v>123</v>
      </c>
      <c r="E441" s="884">
        <v>73</v>
      </c>
      <c r="F441" s="884"/>
      <c r="G441" s="884">
        <v>104</v>
      </c>
      <c r="H441" s="885">
        <v>110</v>
      </c>
      <c r="I441" s="885"/>
      <c r="J441" s="885"/>
      <c r="K441" s="885"/>
      <c r="L441" s="884"/>
      <c r="M441" s="884">
        <v>130</v>
      </c>
      <c r="N441" s="884">
        <v>72</v>
      </c>
      <c r="O441" s="884">
        <v>132</v>
      </c>
      <c r="P441" s="884">
        <v>70</v>
      </c>
      <c r="Q441" s="884"/>
      <c r="R441" s="884"/>
      <c r="S441" s="887"/>
      <c r="T441" s="887"/>
      <c r="U441" s="887"/>
      <c r="V441" s="887"/>
      <c r="W441" s="801">
        <f t="shared" si="117"/>
        <v>814</v>
      </c>
      <c r="X441" s="798"/>
      <c r="Y441" s="798">
        <f t="shared" si="118"/>
        <v>814</v>
      </c>
      <c r="Z441" s="798"/>
      <c r="AA441" s="823"/>
      <c r="AB441" s="823"/>
      <c r="AC441" s="823"/>
      <c r="AD441" s="823"/>
      <c r="AE441" s="824">
        <f t="shared" si="119"/>
        <v>358.16</v>
      </c>
      <c r="AF441" s="864">
        <f t="shared" si="129"/>
        <v>145</v>
      </c>
      <c r="AG441" s="831">
        <f t="shared" si="130"/>
        <v>236</v>
      </c>
      <c r="AH441" s="831">
        <f t="shared" si="131"/>
        <v>180</v>
      </c>
      <c r="AI441" s="831">
        <f t="shared" si="132"/>
        <v>253</v>
      </c>
      <c r="AJ441" s="802">
        <f t="shared" si="124"/>
        <v>814</v>
      </c>
      <c r="AM441" s="12">
        <f t="shared" si="133"/>
        <v>669</v>
      </c>
      <c r="AN441" s="891">
        <f t="shared" si="134"/>
        <v>145</v>
      </c>
      <c r="AO441" s="796">
        <f t="shared" si="126"/>
        <v>814</v>
      </c>
      <c r="AS441" s="871">
        <f t="shared" si="127"/>
        <v>294.36</v>
      </c>
      <c r="AT441" s="871">
        <f t="shared" si="128"/>
        <v>63.8</v>
      </c>
    </row>
    <row r="442" spans="1:46" s="796" customFormat="1" ht="19.95" customHeight="1">
      <c r="A442" s="882">
        <v>332</v>
      </c>
      <c r="B442" s="883">
        <v>8</v>
      </c>
      <c r="C442" s="884"/>
      <c r="D442" s="884">
        <v>108</v>
      </c>
      <c r="E442" s="884">
        <v>79</v>
      </c>
      <c r="F442" s="884"/>
      <c r="G442" s="884">
        <v>201</v>
      </c>
      <c r="H442" s="885">
        <v>190</v>
      </c>
      <c r="I442" s="885"/>
      <c r="J442" s="885"/>
      <c r="K442" s="885"/>
      <c r="L442" s="884"/>
      <c r="M442" s="884">
        <v>177</v>
      </c>
      <c r="N442" s="884">
        <v>73</v>
      </c>
      <c r="O442" s="884">
        <v>75</v>
      </c>
      <c r="P442" s="884">
        <v>153</v>
      </c>
      <c r="Q442" s="884"/>
      <c r="R442" s="884"/>
      <c r="S442" s="887"/>
      <c r="T442" s="887"/>
      <c r="U442" s="887"/>
      <c r="V442" s="887"/>
      <c r="W442" s="801">
        <f t="shared" si="117"/>
        <v>1056</v>
      </c>
      <c r="X442" s="798"/>
      <c r="Y442" s="798">
        <f t="shared" si="118"/>
        <v>1056</v>
      </c>
      <c r="Z442" s="798"/>
      <c r="AA442" s="823"/>
      <c r="AB442" s="823"/>
      <c r="AC442" s="823"/>
      <c r="AD442" s="823"/>
      <c r="AE442" s="824">
        <f t="shared" si="119"/>
        <v>464.64</v>
      </c>
      <c r="AF442" s="863">
        <f t="shared" si="129"/>
        <v>152</v>
      </c>
      <c r="AG442" s="831">
        <f t="shared" ref="AG442:AH444" si="135">G442+O442</f>
        <v>276</v>
      </c>
      <c r="AH442" s="831">
        <f t="shared" si="135"/>
        <v>343</v>
      </c>
      <c r="AI442" s="831">
        <f t="shared" si="132"/>
        <v>285</v>
      </c>
      <c r="AJ442" s="802">
        <f t="shared" si="124"/>
        <v>1056</v>
      </c>
      <c r="AM442" s="12">
        <f>AG442+AH442+AI442+AF442</f>
        <v>1056</v>
      </c>
      <c r="AN442" s="891"/>
      <c r="AO442" s="796">
        <f t="shared" si="126"/>
        <v>1056</v>
      </c>
      <c r="AS442" s="871">
        <f t="shared" si="127"/>
        <v>464.64</v>
      </c>
      <c r="AT442" s="871">
        <f t="shared" si="128"/>
        <v>0</v>
      </c>
    </row>
    <row r="443" spans="1:46" s="796" customFormat="1" ht="19.95" customHeight="1">
      <c r="A443" s="882">
        <v>333</v>
      </c>
      <c r="B443" s="883">
        <v>8</v>
      </c>
      <c r="C443" s="884"/>
      <c r="D443" s="884">
        <v>143</v>
      </c>
      <c r="E443" s="884">
        <v>132</v>
      </c>
      <c r="F443" s="884"/>
      <c r="G443" s="884">
        <v>130</v>
      </c>
      <c r="H443" s="885">
        <v>101</v>
      </c>
      <c r="I443" s="885"/>
      <c r="J443" s="885"/>
      <c r="K443" s="885"/>
      <c r="L443" s="884"/>
      <c r="M443" s="884">
        <v>203</v>
      </c>
      <c r="N443" s="884">
        <v>212</v>
      </c>
      <c r="O443" s="884">
        <v>183</v>
      </c>
      <c r="P443" s="884">
        <v>142</v>
      </c>
      <c r="Q443" s="884"/>
      <c r="R443" s="884"/>
      <c r="S443" s="887"/>
      <c r="T443" s="887"/>
      <c r="U443" s="887"/>
      <c r="V443" s="887"/>
      <c r="W443" s="801">
        <f t="shared" si="117"/>
        <v>1246</v>
      </c>
      <c r="X443" s="798"/>
      <c r="Y443" s="798">
        <f t="shared" si="118"/>
        <v>1246</v>
      </c>
      <c r="Z443" s="798"/>
      <c r="AA443" s="823"/>
      <c r="AB443" s="823"/>
      <c r="AC443" s="823"/>
      <c r="AD443" s="823"/>
      <c r="AE443" s="824">
        <f t="shared" si="119"/>
        <v>548.24</v>
      </c>
      <c r="AF443" s="863">
        <f t="shared" si="129"/>
        <v>344</v>
      </c>
      <c r="AG443" s="831">
        <f t="shared" si="135"/>
        <v>313</v>
      </c>
      <c r="AH443" s="831">
        <f t="shared" si="135"/>
        <v>243</v>
      </c>
      <c r="AI443" s="831">
        <f t="shared" si="132"/>
        <v>346</v>
      </c>
      <c r="AJ443" s="802">
        <f t="shared" si="124"/>
        <v>1246</v>
      </c>
      <c r="AM443" s="12">
        <f>AG443+AH443+AI443+AF443</f>
        <v>1246</v>
      </c>
      <c r="AN443" s="891"/>
      <c r="AO443" s="796">
        <f t="shared" si="126"/>
        <v>1246</v>
      </c>
      <c r="AS443" s="871">
        <f t="shared" si="127"/>
        <v>548.24</v>
      </c>
      <c r="AT443" s="871">
        <f t="shared" si="128"/>
        <v>0</v>
      </c>
    </row>
    <row r="444" spans="1:46" s="796" customFormat="1" ht="19.95" customHeight="1">
      <c r="A444" s="882">
        <v>334</v>
      </c>
      <c r="B444" s="883">
        <v>8</v>
      </c>
      <c r="C444" s="884"/>
      <c r="D444" s="884">
        <v>147</v>
      </c>
      <c r="E444" s="884">
        <v>131</v>
      </c>
      <c r="F444" s="884"/>
      <c r="G444" s="884">
        <v>127</v>
      </c>
      <c r="H444" s="885">
        <v>104</v>
      </c>
      <c r="I444" s="885"/>
      <c r="J444" s="885"/>
      <c r="K444" s="885"/>
      <c r="L444" s="884"/>
      <c r="M444" s="884">
        <v>125</v>
      </c>
      <c r="N444" s="884">
        <v>217</v>
      </c>
      <c r="O444" s="884">
        <v>173</v>
      </c>
      <c r="P444" s="884">
        <v>157</v>
      </c>
      <c r="Q444" s="884"/>
      <c r="R444" s="884"/>
      <c r="S444" s="887"/>
      <c r="T444" s="887"/>
      <c r="U444" s="887"/>
      <c r="V444" s="887"/>
      <c r="W444" s="801">
        <f t="shared" si="117"/>
        <v>1181</v>
      </c>
      <c r="X444" s="798"/>
      <c r="Y444" s="798">
        <f t="shared" si="118"/>
        <v>1181</v>
      </c>
      <c r="Z444" s="798"/>
      <c r="AA444" s="823"/>
      <c r="AB444" s="823"/>
      <c r="AC444" s="823"/>
      <c r="AD444" s="823"/>
      <c r="AE444" s="824">
        <f t="shared" si="119"/>
        <v>519.64</v>
      </c>
      <c r="AF444" s="863">
        <f t="shared" si="129"/>
        <v>348</v>
      </c>
      <c r="AG444" s="831">
        <f t="shared" si="135"/>
        <v>300</v>
      </c>
      <c r="AH444" s="831">
        <f t="shared" si="135"/>
        <v>261</v>
      </c>
      <c r="AI444" s="864">
        <f t="shared" si="132"/>
        <v>272</v>
      </c>
      <c r="AJ444" s="802">
        <f t="shared" si="124"/>
        <v>1181</v>
      </c>
      <c r="AM444" s="12">
        <f>AF444+AG444+AH444</f>
        <v>909</v>
      </c>
      <c r="AN444" s="891">
        <f>AI444</f>
        <v>272</v>
      </c>
      <c r="AO444" s="796">
        <f t="shared" si="126"/>
        <v>1181</v>
      </c>
      <c r="AS444" s="871">
        <f t="shared" si="127"/>
        <v>399.96</v>
      </c>
      <c r="AT444" s="871">
        <f t="shared" si="128"/>
        <v>119.68</v>
      </c>
    </row>
    <row r="445" spans="1:46" s="796" customFormat="1" ht="19.95" customHeight="1">
      <c r="A445" s="882">
        <v>335</v>
      </c>
      <c r="B445" s="883">
        <v>8</v>
      </c>
      <c r="C445" s="884"/>
      <c r="D445" s="884">
        <v>198</v>
      </c>
      <c r="E445" s="884">
        <v>189</v>
      </c>
      <c r="F445" s="884"/>
      <c r="G445" s="884">
        <v>239</v>
      </c>
      <c r="H445" s="885">
        <v>123</v>
      </c>
      <c r="I445" s="885"/>
      <c r="J445" s="885"/>
      <c r="K445" s="885"/>
      <c r="L445" s="884"/>
      <c r="M445" s="884">
        <v>184</v>
      </c>
      <c r="N445" s="884">
        <v>133</v>
      </c>
      <c r="O445" s="884">
        <v>212</v>
      </c>
      <c r="P445" s="884">
        <v>182</v>
      </c>
      <c r="Q445" s="884"/>
      <c r="R445" s="884"/>
      <c r="S445" s="887"/>
      <c r="T445" s="887"/>
      <c r="U445" s="887"/>
      <c r="V445" s="887"/>
      <c r="W445" s="801">
        <f t="shared" si="117"/>
        <v>1460</v>
      </c>
      <c r="X445" s="798"/>
      <c r="Y445" s="798">
        <f t="shared" si="118"/>
        <v>1460</v>
      </c>
      <c r="Z445" s="798"/>
      <c r="AA445" s="823"/>
      <c r="AB445" s="823"/>
      <c r="AC445" s="823"/>
      <c r="AD445" s="823"/>
      <c r="AE445" s="824">
        <f t="shared" si="119"/>
        <v>642.4</v>
      </c>
      <c r="AF445" s="863">
        <f t="shared" ref="AF445:AF454" si="136">E445+N445</f>
        <v>322</v>
      </c>
      <c r="AG445" s="831">
        <f t="shared" ref="AG445:AG454" si="137">G445+O445</f>
        <v>451</v>
      </c>
      <c r="AH445" s="831">
        <f t="shared" ref="AH445:AH454" si="138">H445+P445</f>
        <v>305</v>
      </c>
      <c r="AI445" s="864">
        <f t="shared" ref="AI445:AI454" si="139">D445+M445</f>
        <v>382</v>
      </c>
      <c r="AJ445" s="802">
        <f t="shared" si="124"/>
        <v>1460</v>
      </c>
      <c r="AM445" s="12">
        <f t="shared" ref="AM445:AM453" si="140">AF445+AG445+AH445</f>
        <v>1078</v>
      </c>
      <c r="AN445" s="891">
        <f t="shared" ref="AN445:AN453" si="141">AI445</f>
        <v>382</v>
      </c>
      <c r="AO445" s="796">
        <f t="shared" si="126"/>
        <v>1460</v>
      </c>
      <c r="AS445" s="871">
        <f t="shared" si="127"/>
        <v>474.32</v>
      </c>
      <c r="AT445" s="871">
        <f t="shared" si="128"/>
        <v>168.08</v>
      </c>
    </row>
    <row r="446" spans="1:46" s="796" customFormat="1" ht="19.95" customHeight="1">
      <c r="A446" s="882">
        <v>336</v>
      </c>
      <c r="B446" s="883">
        <v>8</v>
      </c>
      <c r="C446" s="884"/>
      <c r="D446" s="884">
        <v>177</v>
      </c>
      <c r="E446" s="884">
        <v>180</v>
      </c>
      <c r="F446" s="884"/>
      <c r="G446" s="884">
        <v>236</v>
      </c>
      <c r="H446" s="885">
        <v>128</v>
      </c>
      <c r="I446" s="885"/>
      <c r="J446" s="885"/>
      <c r="K446" s="885"/>
      <c r="L446" s="884"/>
      <c r="M446" s="884">
        <v>207</v>
      </c>
      <c r="N446" s="884">
        <v>130</v>
      </c>
      <c r="O446" s="884">
        <v>215</v>
      </c>
      <c r="P446" s="884">
        <v>185</v>
      </c>
      <c r="Q446" s="884"/>
      <c r="R446" s="884"/>
      <c r="S446" s="887"/>
      <c r="T446" s="887"/>
      <c r="U446" s="887"/>
      <c r="V446" s="887"/>
      <c r="W446" s="801">
        <f t="shared" si="117"/>
        <v>1458</v>
      </c>
      <c r="X446" s="798"/>
      <c r="Y446" s="798">
        <f t="shared" si="118"/>
        <v>1458</v>
      </c>
      <c r="Z446" s="798"/>
      <c r="AA446" s="823"/>
      <c r="AB446" s="823"/>
      <c r="AC446" s="823"/>
      <c r="AD446" s="823"/>
      <c r="AE446" s="824">
        <f t="shared" si="119"/>
        <v>641.52</v>
      </c>
      <c r="AF446" s="863">
        <f t="shared" si="136"/>
        <v>310</v>
      </c>
      <c r="AG446" s="831">
        <f t="shared" si="137"/>
        <v>451</v>
      </c>
      <c r="AH446" s="831">
        <f t="shared" si="138"/>
        <v>313</v>
      </c>
      <c r="AI446" s="864">
        <f t="shared" si="139"/>
        <v>384</v>
      </c>
      <c r="AJ446" s="802">
        <f t="shared" si="124"/>
        <v>1458</v>
      </c>
      <c r="AM446" s="12">
        <f t="shared" si="140"/>
        <v>1074</v>
      </c>
      <c r="AN446" s="891">
        <f t="shared" si="141"/>
        <v>384</v>
      </c>
      <c r="AO446" s="796">
        <f t="shared" si="126"/>
        <v>1458</v>
      </c>
      <c r="AS446" s="871">
        <f t="shared" si="127"/>
        <v>472.56</v>
      </c>
      <c r="AT446" s="871">
        <f t="shared" si="128"/>
        <v>168.96</v>
      </c>
    </row>
    <row r="447" spans="1:46" s="796" customFormat="1" ht="19.95" customHeight="1">
      <c r="A447" s="882">
        <v>337</v>
      </c>
      <c r="B447" s="883">
        <v>8</v>
      </c>
      <c r="C447" s="884"/>
      <c r="D447" s="884">
        <v>133</v>
      </c>
      <c r="E447" s="884">
        <v>66</v>
      </c>
      <c r="F447" s="884"/>
      <c r="G447" s="884">
        <v>151</v>
      </c>
      <c r="H447" s="885">
        <v>165</v>
      </c>
      <c r="I447" s="885"/>
      <c r="J447" s="885"/>
      <c r="K447" s="885"/>
      <c r="L447" s="884"/>
      <c r="M447" s="884">
        <v>135</v>
      </c>
      <c r="N447" s="884">
        <v>104</v>
      </c>
      <c r="O447" s="884">
        <v>211</v>
      </c>
      <c r="P447" s="884">
        <v>211</v>
      </c>
      <c r="Q447" s="884"/>
      <c r="R447" s="884"/>
      <c r="S447" s="887"/>
      <c r="T447" s="887"/>
      <c r="U447" s="887"/>
      <c r="V447" s="887"/>
      <c r="W447" s="801">
        <f t="shared" si="117"/>
        <v>1176</v>
      </c>
      <c r="X447" s="798"/>
      <c r="Y447" s="798">
        <f t="shared" si="118"/>
        <v>1176</v>
      </c>
      <c r="Z447" s="798"/>
      <c r="AA447" s="823"/>
      <c r="AB447" s="823"/>
      <c r="AC447" s="823"/>
      <c r="AD447" s="823"/>
      <c r="AE447" s="824">
        <f t="shared" si="119"/>
        <v>517.44000000000005</v>
      </c>
      <c r="AF447" s="863">
        <f t="shared" si="136"/>
        <v>170</v>
      </c>
      <c r="AG447" s="831">
        <f t="shared" si="137"/>
        <v>362</v>
      </c>
      <c r="AH447" s="831">
        <f t="shared" si="138"/>
        <v>376</v>
      </c>
      <c r="AI447" s="864">
        <f t="shared" si="139"/>
        <v>268</v>
      </c>
      <c r="AJ447" s="802">
        <f t="shared" si="124"/>
        <v>1176</v>
      </c>
      <c r="AM447" s="12">
        <f t="shared" si="140"/>
        <v>908</v>
      </c>
      <c r="AN447" s="891">
        <f t="shared" si="141"/>
        <v>268</v>
      </c>
      <c r="AO447" s="796">
        <f t="shared" si="126"/>
        <v>1176</v>
      </c>
      <c r="AS447" s="871">
        <f t="shared" si="127"/>
        <v>399.52</v>
      </c>
      <c r="AT447" s="871">
        <f t="shared" si="128"/>
        <v>117.92</v>
      </c>
    </row>
    <row r="448" spans="1:46" s="796" customFormat="1" ht="19.95" customHeight="1">
      <c r="A448" s="882">
        <v>338</v>
      </c>
      <c r="B448" s="883">
        <v>8</v>
      </c>
      <c r="C448" s="884"/>
      <c r="D448" s="884">
        <v>200</v>
      </c>
      <c r="E448" s="884">
        <v>84</v>
      </c>
      <c r="F448" s="884"/>
      <c r="G448" s="884">
        <v>140</v>
      </c>
      <c r="H448" s="885">
        <v>179</v>
      </c>
      <c r="I448" s="885"/>
      <c r="J448" s="885"/>
      <c r="K448" s="885"/>
      <c r="L448" s="884"/>
      <c r="M448" s="884">
        <v>161</v>
      </c>
      <c r="N448" s="884">
        <v>93</v>
      </c>
      <c r="O448" s="884">
        <v>148</v>
      </c>
      <c r="P448" s="884">
        <v>120</v>
      </c>
      <c r="Q448" s="884"/>
      <c r="R448" s="884"/>
      <c r="S448" s="887"/>
      <c r="T448" s="887"/>
      <c r="U448" s="887"/>
      <c r="V448" s="887"/>
      <c r="W448" s="801">
        <f t="shared" si="117"/>
        <v>1125</v>
      </c>
      <c r="X448" s="798"/>
      <c r="Y448" s="798">
        <f t="shared" si="118"/>
        <v>1125</v>
      </c>
      <c r="Z448" s="798"/>
      <c r="AA448" s="823"/>
      <c r="AB448" s="823"/>
      <c r="AC448" s="823"/>
      <c r="AD448" s="823"/>
      <c r="AE448" s="824">
        <f t="shared" si="119"/>
        <v>495</v>
      </c>
      <c r="AF448" s="863">
        <f t="shared" si="136"/>
        <v>177</v>
      </c>
      <c r="AG448" s="831">
        <f t="shared" si="137"/>
        <v>288</v>
      </c>
      <c r="AH448" s="831">
        <f t="shared" si="138"/>
        <v>299</v>
      </c>
      <c r="AI448" s="864">
        <f t="shared" si="139"/>
        <v>361</v>
      </c>
      <c r="AJ448" s="802">
        <f t="shared" si="124"/>
        <v>1125</v>
      </c>
      <c r="AM448" s="12">
        <f t="shared" si="140"/>
        <v>764</v>
      </c>
      <c r="AN448" s="891">
        <f t="shared" si="141"/>
        <v>361</v>
      </c>
      <c r="AO448" s="796">
        <f t="shared" si="126"/>
        <v>1125</v>
      </c>
      <c r="AS448" s="871">
        <f t="shared" si="127"/>
        <v>336.16</v>
      </c>
      <c r="AT448" s="871">
        <f t="shared" si="128"/>
        <v>158.84</v>
      </c>
    </row>
    <row r="449" spans="1:46" s="796" customFormat="1" ht="19.95" customHeight="1">
      <c r="A449" s="882">
        <v>339</v>
      </c>
      <c r="B449" s="883">
        <v>8</v>
      </c>
      <c r="C449" s="884"/>
      <c r="D449" s="884">
        <v>202</v>
      </c>
      <c r="E449" s="884">
        <v>87</v>
      </c>
      <c r="F449" s="884"/>
      <c r="G449" s="884">
        <v>135</v>
      </c>
      <c r="H449" s="885">
        <v>171</v>
      </c>
      <c r="I449" s="885"/>
      <c r="J449" s="885"/>
      <c r="K449" s="885"/>
      <c r="L449" s="884"/>
      <c r="M449" s="884">
        <v>152</v>
      </c>
      <c r="N449" s="884">
        <v>78</v>
      </c>
      <c r="O449" s="884">
        <v>140</v>
      </c>
      <c r="P449" s="884">
        <v>159</v>
      </c>
      <c r="Q449" s="884"/>
      <c r="R449" s="884"/>
      <c r="S449" s="887"/>
      <c r="T449" s="887"/>
      <c r="U449" s="887"/>
      <c r="V449" s="887"/>
      <c r="W449" s="801">
        <f t="shared" si="117"/>
        <v>1124</v>
      </c>
      <c r="X449" s="798"/>
      <c r="Y449" s="798">
        <f t="shared" si="118"/>
        <v>1124</v>
      </c>
      <c r="Z449" s="798"/>
      <c r="AA449" s="823"/>
      <c r="AB449" s="823"/>
      <c r="AC449" s="823"/>
      <c r="AD449" s="823"/>
      <c r="AE449" s="824">
        <f t="shared" si="119"/>
        <v>494.56</v>
      </c>
      <c r="AF449" s="863">
        <f t="shared" si="136"/>
        <v>165</v>
      </c>
      <c r="AG449" s="831">
        <f t="shared" si="137"/>
        <v>275</v>
      </c>
      <c r="AH449" s="831">
        <f t="shared" si="138"/>
        <v>330</v>
      </c>
      <c r="AI449" s="864">
        <f t="shared" si="139"/>
        <v>354</v>
      </c>
      <c r="AJ449" s="802">
        <f t="shared" si="124"/>
        <v>1124</v>
      </c>
      <c r="AM449" s="12">
        <f t="shared" si="140"/>
        <v>770</v>
      </c>
      <c r="AN449" s="891">
        <f t="shared" si="141"/>
        <v>354</v>
      </c>
      <c r="AO449" s="796">
        <f t="shared" si="126"/>
        <v>1124</v>
      </c>
      <c r="AS449" s="871">
        <f t="shared" si="127"/>
        <v>338.8</v>
      </c>
      <c r="AT449" s="871">
        <f t="shared" si="128"/>
        <v>155.76</v>
      </c>
    </row>
    <row r="450" spans="1:46" s="796" customFormat="1" ht="19.95" customHeight="1">
      <c r="A450" s="882">
        <v>340</v>
      </c>
      <c r="B450" s="883">
        <v>8</v>
      </c>
      <c r="C450" s="884"/>
      <c r="D450" s="884">
        <v>273</v>
      </c>
      <c r="E450" s="884">
        <v>83</v>
      </c>
      <c r="F450" s="884"/>
      <c r="G450" s="884">
        <v>133</v>
      </c>
      <c r="H450" s="885">
        <v>125</v>
      </c>
      <c r="I450" s="885"/>
      <c r="J450" s="885"/>
      <c r="K450" s="885"/>
      <c r="L450" s="884"/>
      <c r="M450" s="884">
        <v>264</v>
      </c>
      <c r="N450" s="884">
        <v>179</v>
      </c>
      <c r="O450" s="884">
        <v>159</v>
      </c>
      <c r="P450" s="884">
        <v>153</v>
      </c>
      <c r="Q450" s="884"/>
      <c r="R450" s="884"/>
      <c r="S450" s="887"/>
      <c r="T450" s="887"/>
      <c r="U450" s="887"/>
      <c r="V450" s="887"/>
      <c r="W450" s="801">
        <f t="shared" si="117"/>
        <v>1369</v>
      </c>
      <c r="X450" s="798"/>
      <c r="Y450" s="798">
        <f t="shared" si="118"/>
        <v>1369</v>
      </c>
      <c r="Z450" s="798"/>
      <c r="AA450" s="823"/>
      <c r="AB450" s="823"/>
      <c r="AC450" s="823"/>
      <c r="AD450" s="823"/>
      <c r="AE450" s="824">
        <f t="shared" si="119"/>
        <v>602.36</v>
      </c>
      <c r="AF450" s="863">
        <f t="shared" si="136"/>
        <v>262</v>
      </c>
      <c r="AG450" s="831">
        <f t="shared" si="137"/>
        <v>292</v>
      </c>
      <c r="AH450" s="831">
        <f t="shared" si="138"/>
        <v>278</v>
      </c>
      <c r="AI450" s="864">
        <f t="shared" si="139"/>
        <v>537</v>
      </c>
      <c r="AJ450" s="802">
        <f t="shared" si="124"/>
        <v>1369</v>
      </c>
      <c r="AM450" s="12">
        <f t="shared" si="140"/>
        <v>832</v>
      </c>
      <c r="AN450" s="891">
        <f t="shared" si="141"/>
        <v>537</v>
      </c>
      <c r="AO450" s="796">
        <f t="shared" si="126"/>
        <v>1369</v>
      </c>
      <c r="AS450" s="871">
        <f t="shared" si="127"/>
        <v>366.08</v>
      </c>
      <c r="AT450" s="871">
        <f t="shared" si="128"/>
        <v>236.28</v>
      </c>
    </row>
    <row r="451" spans="1:46" s="796" customFormat="1" ht="19.95" customHeight="1">
      <c r="A451" s="882">
        <v>341</v>
      </c>
      <c r="B451" s="883">
        <v>8</v>
      </c>
      <c r="C451" s="884"/>
      <c r="D451" s="884">
        <v>108</v>
      </c>
      <c r="E451" s="884">
        <v>88</v>
      </c>
      <c r="F451" s="884"/>
      <c r="G451" s="884">
        <v>234</v>
      </c>
      <c r="H451" s="885">
        <v>162</v>
      </c>
      <c r="I451" s="885"/>
      <c r="J451" s="885"/>
      <c r="K451" s="885"/>
      <c r="L451" s="884"/>
      <c r="M451" s="884">
        <v>214</v>
      </c>
      <c r="N451" s="884">
        <v>120</v>
      </c>
      <c r="O451" s="884">
        <v>205</v>
      </c>
      <c r="P451" s="884">
        <v>125</v>
      </c>
      <c r="Q451" s="884"/>
      <c r="R451" s="884"/>
      <c r="S451" s="887"/>
      <c r="T451" s="887"/>
      <c r="U451" s="887"/>
      <c r="V451" s="887"/>
      <c r="W451" s="801">
        <f t="shared" si="117"/>
        <v>1256</v>
      </c>
      <c r="X451" s="798"/>
      <c r="Y451" s="798">
        <f t="shared" si="118"/>
        <v>1256</v>
      </c>
      <c r="Z451" s="798"/>
      <c r="AA451" s="823"/>
      <c r="AB451" s="823"/>
      <c r="AC451" s="823"/>
      <c r="AD451" s="823"/>
      <c r="AE451" s="824">
        <f t="shared" si="119"/>
        <v>552.64</v>
      </c>
      <c r="AF451" s="863">
        <f t="shared" si="136"/>
        <v>208</v>
      </c>
      <c r="AG451" s="831">
        <f t="shared" si="137"/>
        <v>439</v>
      </c>
      <c r="AH451" s="831">
        <f t="shared" si="138"/>
        <v>287</v>
      </c>
      <c r="AI451" s="864">
        <f t="shared" si="139"/>
        <v>322</v>
      </c>
      <c r="AJ451" s="802">
        <f t="shared" si="124"/>
        <v>1256</v>
      </c>
      <c r="AM451" s="12">
        <f t="shared" si="140"/>
        <v>934</v>
      </c>
      <c r="AN451" s="891">
        <f t="shared" si="141"/>
        <v>322</v>
      </c>
      <c r="AO451" s="796">
        <f t="shared" si="126"/>
        <v>1256</v>
      </c>
      <c r="AS451" s="871">
        <f t="shared" si="127"/>
        <v>410.96</v>
      </c>
      <c r="AT451" s="871">
        <f t="shared" si="128"/>
        <v>141.68</v>
      </c>
    </row>
    <row r="452" spans="1:46" s="796" customFormat="1" ht="19.95" customHeight="1">
      <c r="A452" s="882">
        <v>342</v>
      </c>
      <c r="B452" s="883">
        <v>8</v>
      </c>
      <c r="C452" s="884"/>
      <c r="D452" s="884">
        <v>170</v>
      </c>
      <c r="E452" s="884">
        <v>174</v>
      </c>
      <c r="F452" s="884"/>
      <c r="G452" s="884">
        <v>142</v>
      </c>
      <c r="H452" s="885">
        <v>189</v>
      </c>
      <c r="I452" s="885"/>
      <c r="J452" s="885"/>
      <c r="K452" s="885"/>
      <c r="L452" s="884"/>
      <c r="M452" s="884">
        <v>196</v>
      </c>
      <c r="N452" s="884">
        <v>181</v>
      </c>
      <c r="O452" s="884">
        <v>120</v>
      </c>
      <c r="P452" s="884">
        <v>137</v>
      </c>
      <c r="Q452" s="884"/>
      <c r="R452" s="884"/>
      <c r="S452" s="887"/>
      <c r="T452" s="887"/>
      <c r="U452" s="887"/>
      <c r="V452" s="887"/>
      <c r="W452" s="801">
        <f t="shared" si="117"/>
        <v>1309</v>
      </c>
      <c r="X452" s="798"/>
      <c r="Y452" s="798">
        <f t="shared" si="118"/>
        <v>1309</v>
      </c>
      <c r="Z452" s="798"/>
      <c r="AA452" s="823"/>
      <c r="AB452" s="823"/>
      <c r="AC452" s="823"/>
      <c r="AD452" s="823"/>
      <c r="AE452" s="824">
        <f t="shared" si="119"/>
        <v>575.96</v>
      </c>
      <c r="AF452" s="863">
        <f t="shared" si="136"/>
        <v>355</v>
      </c>
      <c r="AG452" s="831">
        <f t="shared" si="137"/>
        <v>262</v>
      </c>
      <c r="AH452" s="831">
        <f t="shared" si="138"/>
        <v>326</v>
      </c>
      <c r="AI452" s="864">
        <f t="shared" si="139"/>
        <v>366</v>
      </c>
      <c r="AJ452" s="802">
        <f t="shared" si="124"/>
        <v>1309</v>
      </c>
      <c r="AM452" s="12">
        <f t="shared" si="140"/>
        <v>943</v>
      </c>
      <c r="AN452" s="891">
        <f t="shared" si="141"/>
        <v>366</v>
      </c>
      <c r="AO452" s="796">
        <f t="shared" si="126"/>
        <v>1309</v>
      </c>
      <c r="AP452" s="933">
        <v>505</v>
      </c>
      <c r="AQ452" s="933">
        <v>455</v>
      </c>
      <c r="AR452" s="796" t="s">
        <v>1368</v>
      </c>
      <c r="AS452" s="871">
        <f t="shared" si="127"/>
        <v>414.92</v>
      </c>
      <c r="AT452" s="871">
        <f t="shared" si="128"/>
        <v>161.04</v>
      </c>
    </row>
    <row r="453" spans="1:46" s="796" customFormat="1" ht="19.95" customHeight="1">
      <c r="A453" s="882">
        <v>343</v>
      </c>
      <c r="B453" s="883">
        <v>8</v>
      </c>
      <c r="C453" s="884"/>
      <c r="D453" s="884">
        <v>237</v>
      </c>
      <c r="E453" s="884">
        <v>0</v>
      </c>
      <c r="F453" s="884"/>
      <c r="G453" s="884">
        <v>259</v>
      </c>
      <c r="H453" s="885">
        <v>107</v>
      </c>
      <c r="I453" s="885"/>
      <c r="J453" s="885"/>
      <c r="K453" s="885"/>
      <c r="L453" s="884"/>
      <c r="M453" s="884">
        <v>0</v>
      </c>
      <c r="N453" s="884">
        <v>0</v>
      </c>
      <c r="O453" s="884">
        <v>254</v>
      </c>
      <c r="P453" s="884">
        <v>258</v>
      </c>
      <c r="Q453" s="884"/>
      <c r="R453" s="884"/>
      <c r="S453" s="887"/>
      <c r="T453" s="887"/>
      <c r="U453" s="887"/>
      <c r="V453" s="887"/>
      <c r="W453" s="801">
        <f t="shared" si="117"/>
        <v>1115</v>
      </c>
      <c r="X453" s="798"/>
      <c r="Y453" s="798">
        <f t="shared" si="118"/>
        <v>1115</v>
      </c>
      <c r="Z453" s="798"/>
      <c r="AA453" s="823"/>
      <c r="AB453" s="823"/>
      <c r="AC453" s="823"/>
      <c r="AD453" s="823"/>
      <c r="AE453" s="824">
        <f t="shared" si="119"/>
        <v>490.6</v>
      </c>
      <c r="AF453" s="863">
        <f t="shared" si="136"/>
        <v>0</v>
      </c>
      <c r="AG453" s="831">
        <f t="shared" si="137"/>
        <v>513</v>
      </c>
      <c r="AH453" s="831">
        <f t="shared" si="138"/>
        <v>365</v>
      </c>
      <c r="AI453" s="864">
        <f t="shared" si="139"/>
        <v>237</v>
      </c>
      <c r="AJ453" s="802">
        <f t="shared" si="124"/>
        <v>1115</v>
      </c>
      <c r="AK453" s="790" t="s">
        <v>1373</v>
      </c>
      <c r="AM453" s="12">
        <f t="shared" si="140"/>
        <v>878</v>
      </c>
      <c r="AN453" s="891">
        <f t="shared" si="141"/>
        <v>237</v>
      </c>
      <c r="AO453" s="796">
        <f t="shared" si="126"/>
        <v>1115</v>
      </c>
      <c r="AP453" s="796">
        <f>SUM(AP454:AP498)</f>
        <v>25951</v>
      </c>
      <c r="AQ453" s="796">
        <f>SUM(AQ454:AQ498)</f>
        <v>47955</v>
      </c>
      <c r="AR453" s="796">
        <f>SUM(AR454:AR498)</f>
        <v>73906</v>
      </c>
      <c r="AS453" s="871">
        <f t="shared" si="127"/>
        <v>386.32</v>
      </c>
      <c r="AT453" s="871">
        <f t="shared" si="128"/>
        <v>104.28</v>
      </c>
    </row>
    <row r="454" spans="1:46" s="797" customFormat="1" ht="19.2" customHeight="1">
      <c r="A454" s="797">
        <v>428</v>
      </c>
      <c r="B454" s="895">
        <v>11</v>
      </c>
      <c r="C454" s="896"/>
      <c r="D454" s="897">
        <v>209</v>
      </c>
      <c r="E454" s="897">
        <v>0</v>
      </c>
      <c r="F454" s="897"/>
      <c r="G454" s="897">
        <v>202</v>
      </c>
      <c r="H454" s="896">
        <v>124</v>
      </c>
      <c r="I454" s="896"/>
      <c r="J454" s="896"/>
      <c r="K454" s="896"/>
      <c r="L454" s="897"/>
      <c r="M454" s="897">
        <v>107</v>
      </c>
      <c r="N454" s="897">
        <v>150</v>
      </c>
      <c r="O454" s="897">
        <v>177</v>
      </c>
      <c r="P454" s="897">
        <v>281</v>
      </c>
      <c r="Q454" s="897"/>
      <c r="R454" s="897"/>
      <c r="S454" s="904"/>
      <c r="T454" s="904"/>
      <c r="U454" s="904"/>
      <c r="V454" s="904"/>
      <c r="W454" s="905">
        <f t="shared" si="117"/>
        <v>1250</v>
      </c>
      <c r="Y454" s="797">
        <f t="shared" si="118"/>
        <v>1250</v>
      </c>
      <c r="AA454" s="908"/>
      <c r="AB454" s="908"/>
      <c r="AC454" s="908"/>
      <c r="AD454" s="908"/>
      <c r="AE454" s="909">
        <f t="shared" si="119"/>
        <v>550</v>
      </c>
      <c r="AF454" s="863">
        <f t="shared" si="136"/>
        <v>150</v>
      </c>
      <c r="AG454" s="831">
        <f t="shared" si="137"/>
        <v>379</v>
      </c>
      <c r="AH454" s="864">
        <f t="shared" si="138"/>
        <v>405</v>
      </c>
      <c r="AI454" s="864">
        <f t="shared" si="139"/>
        <v>316</v>
      </c>
      <c r="AJ454" s="914">
        <f t="shared" si="124"/>
        <v>1250</v>
      </c>
      <c r="AK454" s="915">
        <f>SUM(AJ454:AJ498)</f>
        <v>73906</v>
      </c>
      <c r="AL454" s="915"/>
      <c r="AP454" s="915">
        <f>AF454+AG454</f>
        <v>529</v>
      </c>
      <c r="AQ454" s="864">
        <f>AH454+AI454</f>
        <v>721</v>
      </c>
      <c r="AR454" s="915">
        <f>AP454+AQ454</f>
        <v>1250</v>
      </c>
      <c r="AS454" s="934">
        <f>ROUND(AP454*0.44,2)</f>
        <v>232.76</v>
      </c>
      <c r="AT454" s="934">
        <f>ROUND(AQ454*0.44,2)</f>
        <v>317.24</v>
      </c>
    </row>
    <row r="455" spans="1:46" ht="19.2" customHeight="1">
      <c r="A455" s="798">
        <v>429</v>
      </c>
      <c r="B455" s="857">
        <v>11</v>
      </c>
      <c r="C455" s="898"/>
      <c r="D455" s="899">
        <v>166</v>
      </c>
      <c r="E455" s="899">
        <v>165</v>
      </c>
      <c r="F455" s="899"/>
      <c r="G455" s="899">
        <v>191</v>
      </c>
      <c r="H455" s="898">
        <v>295</v>
      </c>
      <c r="I455" s="898"/>
      <c r="J455" s="898"/>
      <c r="K455" s="898"/>
      <c r="L455" s="899"/>
      <c r="M455" s="899">
        <v>173</v>
      </c>
      <c r="N455" s="899">
        <v>154</v>
      </c>
      <c r="O455" s="899">
        <v>137</v>
      </c>
      <c r="P455" s="899">
        <v>195</v>
      </c>
      <c r="Q455" s="899"/>
      <c r="R455" s="899"/>
      <c r="S455" s="811"/>
      <c r="T455" s="811"/>
      <c r="U455" s="811"/>
      <c r="V455" s="811"/>
      <c r="W455" s="801">
        <f t="shared" ref="W455:W486" si="142">SUM(C455:V455)</f>
        <v>1476</v>
      </c>
      <c r="Y455" s="798">
        <f t="shared" ref="Y455:Y486" si="143">W455</f>
        <v>1476</v>
      </c>
      <c r="AA455" s="823"/>
      <c r="AB455" s="823"/>
      <c r="AC455" s="823"/>
      <c r="AD455" s="823"/>
      <c r="AE455" s="824">
        <f t="shared" si="119"/>
        <v>649.44000000000005</v>
      </c>
      <c r="AF455" s="863">
        <f t="shared" ref="AF455:AF483" si="144">E455+N455</f>
        <v>319</v>
      </c>
      <c r="AG455" s="831">
        <f t="shared" ref="AG455:AG483" si="145">G455+O455</f>
        <v>328</v>
      </c>
      <c r="AH455" s="864">
        <f t="shared" ref="AH455:AH483" si="146">H455+P455</f>
        <v>490</v>
      </c>
      <c r="AI455" s="864">
        <f t="shared" ref="AI455:AI483" si="147">D455+M455</f>
        <v>339</v>
      </c>
      <c r="AJ455" s="802">
        <f t="shared" ref="AJ455:AJ498" si="148">SUM(AF455:AI455)</f>
        <v>1476</v>
      </c>
      <c r="AP455" s="831">
        <f>AF455+AG455</f>
        <v>647</v>
      </c>
      <c r="AQ455" s="864">
        <f>AH455+AI455</f>
        <v>829</v>
      </c>
      <c r="AR455" s="798">
        <f t="shared" ref="AR455:AR498" si="149">AP455+AQ455</f>
        <v>1476</v>
      </c>
      <c r="AS455" s="876">
        <f t="shared" ref="AS455:AS497" si="150">ROUND(AP455*0.44,2)</f>
        <v>284.68</v>
      </c>
      <c r="AT455" s="876">
        <f t="shared" ref="AT455:AT497" si="151">ROUND(AQ455*0.44,2)</f>
        <v>364.76</v>
      </c>
    </row>
    <row r="456" spans="1:46" ht="19.2" customHeight="1">
      <c r="A456" s="798">
        <v>430</v>
      </c>
      <c r="B456" s="857">
        <v>11</v>
      </c>
      <c r="C456" s="900"/>
      <c r="D456" s="811">
        <v>179</v>
      </c>
      <c r="E456" s="811">
        <v>119</v>
      </c>
      <c r="F456" s="811"/>
      <c r="G456" s="811">
        <v>183</v>
      </c>
      <c r="H456" s="901">
        <v>250</v>
      </c>
      <c r="I456" s="901"/>
      <c r="J456" s="901"/>
      <c r="K456" s="901"/>
      <c r="L456" s="811"/>
      <c r="M456" s="811">
        <v>189</v>
      </c>
      <c r="N456" s="811">
        <v>153</v>
      </c>
      <c r="O456" s="811">
        <v>141</v>
      </c>
      <c r="P456" s="811">
        <v>202</v>
      </c>
      <c r="Q456" s="819"/>
      <c r="R456" s="811"/>
      <c r="S456" s="811"/>
      <c r="T456" s="811"/>
      <c r="U456" s="811"/>
      <c r="V456" s="811"/>
      <c r="W456" s="801">
        <f t="shared" si="142"/>
        <v>1416</v>
      </c>
      <c r="Y456" s="798">
        <f t="shared" si="143"/>
        <v>1416</v>
      </c>
      <c r="AA456" s="823"/>
      <c r="AB456" s="823"/>
      <c r="AC456" s="823"/>
      <c r="AD456" s="823"/>
      <c r="AE456" s="824">
        <f t="shared" si="119"/>
        <v>623.04</v>
      </c>
      <c r="AF456" s="863">
        <f t="shared" si="144"/>
        <v>272</v>
      </c>
      <c r="AG456" s="831">
        <f t="shared" si="145"/>
        <v>324</v>
      </c>
      <c r="AH456" s="864">
        <f t="shared" si="146"/>
        <v>452</v>
      </c>
      <c r="AI456" s="864">
        <f t="shared" si="147"/>
        <v>368</v>
      </c>
      <c r="AJ456" s="802">
        <f t="shared" si="148"/>
        <v>1416</v>
      </c>
      <c r="AP456" s="831">
        <f t="shared" ref="AP456:AP482" si="152">AF456+AG456</f>
        <v>596</v>
      </c>
      <c r="AQ456" s="864">
        <f t="shared" ref="AQ456:AQ482" si="153">AH456+AI456</f>
        <v>820</v>
      </c>
      <c r="AR456" s="798">
        <f t="shared" si="149"/>
        <v>1416</v>
      </c>
      <c r="AS456" s="876">
        <f t="shared" si="150"/>
        <v>262.24</v>
      </c>
      <c r="AT456" s="876">
        <f t="shared" si="151"/>
        <v>360.8</v>
      </c>
    </row>
    <row r="457" spans="1:46" ht="19.2" customHeight="1">
      <c r="A457" s="798">
        <v>431</v>
      </c>
      <c r="B457" s="857">
        <v>11</v>
      </c>
      <c r="C457" s="900"/>
      <c r="D457" s="811">
        <v>173</v>
      </c>
      <c r="E457" s="811">
        <v>139</v>
      </c>
      <c r="F457" s="811"/>
      <c r="G457" s="811">
        <v>242</v>
      </c>
      <c r="H457" s="901">
        <v>244</v>
      </c>
      <c r="I457" s="901"/>
      <c r="J457" s="901"/>
      <c r="K457" s="901"/>
      <c r="L457" s="811"/>
      <c r="M457" s="811">
        <v>174</v>
      </c>
      <c r="N457" s="811">
        <v>213</v>
      </c>
      <c r="O457" s="811">
        <v>183</v>
      </c>
      <c r="P457" s="811">
        <v>175</v>
      </c>
      <c r="Q457" s="819"/>
      <c r="R457" s="811"/>
      <c r="S457" s="811"/>
      <c r="T457" s="811"/>
      <c r="U457" s="811"/>
      <c r="V457" s="811"/>
      <c r="W457" s="801">
        <f t="shared" si="142"/>
        <v>1543</v>
      </c>
      <c r="Y457" s="798">
        <f t="shared" si="143"/>
        <v>1543</v>
      </c>
      <c r="AA457" s="823"/>
      <c r="AB457" s="823"/>
      <c r="AC457" s="823"/>
      <c r="AD457" s="823"/>
      <c r="AE457" s="824">
        <f t="shared" si="119"/>
        <v>678.92</v>
      </c>
      <c r="AF457" s="863">
        <f t="shared" si="144"/>
        <v>352</v>
      </c>
      <c r="AG457" s="831">
        <f t="shared" si="145"/>
        <v>425</v>
      </c>
      <c r="AH457" s="864">
        <f t="shared" si="146"/>
        <v>419</v>
      </c>
      <c r="AI457" s="864">
        <f t="shared" si="147"/>
        <v>347</v>
      </c>
      <c r="AJ457" s="802">
        <f t="shared" si="148"/>
        <v>1543</v>
      </c>
      <c r="AP457" s="831">
        <f t="shared" si="152"/>
        <v>777</v>
      </c>
      <c r="AQ457" s="864">
        <f t="shared" si="153"/>
        <v>766</v>
      </c>
      <c r="AR457" s="798">
        <f t="shared" si="149"/>
        <v>1543</v>
      </c>
      <c r="AS457" s="876">
        <f t="shared" si="150"/>
        <v>341.88</v>
      </c>
      <c r="AT457" s="876">
        <f t="shared" si="151"/>
        <v>337.04</v>
      </c>
    </row>
    <row r="458" spans="1:46" ht="19.2" customHeight="1">
      <c r="A458" s="798">
        <v>432</v>
      </c>
      <c r="B458" s="857">
        <v>11</v>
      </c>
      <c r="C458" s="900"/>
      <c r="D458" s="811">
        <v>242</v>
      </c>
      <c r="E458" s="811">
        <v>92</v>
      </c>
      <c r="F458" s="811"/>
      <c r="G458" s="811">
        <v>313</v>
      </c>
      <c r="H458" s="901">
        <v>245</v>
      </c>
      <c r="I458" s="901"/>
      <c r="J458" s="901"/>
      <c r="K458" s="901"/>
      <c r="L458" s="811"/>
      <c r="M458" s="811">
        <v>243</v>
      </c>
      <c r="N458" s="811">
        <v>256</v>
      </c>
      <c r="O458" s="811">
        <v>336</v>
      </c>
      <c r="P458" s="811">
        <v>261</v>
      </c>
      <c r="Q458" s="819"/>
      <c r="R458" s="811"/>
      <c r="S458" s="811"/>
      <c r="T458" s="811"/>
      <c r="U458" s="811"/>
      <c r="V458" s="811"/>
      <c r="W458" s="801">
        <f t="shared" si="142"/>
        <v>1988</v>
      </c>
      <c r="Y458" s="798">
        <f t="shared" si="143"/>
        <v>1988</v>
      </c>
      <c r="AA458" s="823"/>
      <c r="AB458" s="823"/>
      <c r="AC458" s="823"/>
      <c r="AD458" s="823"/>
      <c r="AE458" s="824">
        <f t="shared" si="119"/>
        <v>874.72</v>
      </c>
      <c r="AF458" s="863">
        <f t="shared" si="144"/>
        <v>348</v>
      </c>
      <c r="AG458" s="831">
        <f t="shared" si="145"/>
        <v>649</v>
      </c>
      <c r="AH458" s="864">
        <f t="shared" si="146"/>
        <v>506</v>
      </c>
      <c r="AI458" s="864">
        <f t="shared" si="147"/>
        <v>485</v>
      </c>
      <c r="AJ458" s="802">
        <f t="shared" si="148"/>
        <v>1988</v>
      </c>
      <c r="AP458" s="831">
        <f t="shared" si="152"/>
        <v>997</v>
      </c>
      <c r="AQ458" s="864">
        <f t="shared" si="153"/>
        <v>991</v>
      </c>
      <c r="AR458" s="798">
        <f t="shared" si="149"/>
        <v>1988</v>
      </c>
      <c r="AS458" s="876">
        <f t="shared" si="150"/>
        <v>438.68</v>
      </c>
      <c r="AT458" s="876">
        <f t="shared" si="151"/>
        <v>436.04</v>
      </c>
    </row>
    <row r="459" spans="1:46" ht="19.2" customHeight="1">
      <c r="A459" s="798">
        <v>433</v>
      </c>
      <c r="B459" s="857">
        <v>11</v>
      </c>
      <c r="C459" s="900"/>
      <c r="D459" s="811">
        <v>235</v>
      </c>
      <c r="E459" s="811">
        <v>73</v>
      </c>
      <c r="F459" s="811"/>
      <c r="G459" s="811">
        <v>348</v>
      </c>
      <c r="H459" s="901">
        <v>189</v>
      </c>
      <c r="I459" s="901"/>
      <c r="J459" s="901"/>
      <c r="K459" s="901"/>
      <c r="L459" s="811"/>
      <c r="M459" s="811">
        <v>318</v>
      </c>
      <c r="N459" s="811">
        <v>240</v>
      </c>
      <c r="O459" s="811">
        <v>235</v>
      </c>
      <c r="P459" s="811">
        <v>306</v>
      </c>
      <c r="Q459" s="819"/>
      <c r="R459" s="811"/>
      <c r="S459" s="811"/>
      <c r="T459" s="811"/>
      <c r="U459" s="811"/>
      <c r="V459" s="811"/>
      <c r="W459" s="801">
        <f t="shared" si="142"/>
        <v>1944</v>
      </c>
      <c r="Y459" s="798">
        <f t="shared" si="143"/>
        <v>1944</v>
      </c>
      <c r="AA459" s="823"/>
      <c r="AB459" s="823"/>
      <c r="AC459" s="823"/>
      <c r="AD459" s="823"/>
      <c r="AE459" s="824">
        <f t="shared" si="119"/>
        <v>855.36</v>
      </c>
      <c r="AF459" s="863">
        <f t="shared" si="144"/>
        <v>313</v>
      </c>
      <c r="AG459" s="831">
        <f t="shared" si="145"/>
        <v>583</v>
      </c>
      <c r="AH459" s="864">
        <f t="shared" si="146"/>
        <v>495</v>
      </c>
      <c r="AI459" s="864">
        <f t="shared" si="147"/>
        <v>553</v>
      </c>
      <c r="AJ459" s="802">
        <f t="shared" si="148"/>
        <v>1944</v>
      </c>
      <c r="AP459" s="831">
        <f t="shared" si="152"/>
        <v>896</v>
      </c>
      <c r="AQ459" s="864">
        <f t="shared" si="153"/>
        <v>1048</v>
      </c>
      <c r="AR459" s="798">
        <f t="shared" si="149"/>
        <v>1944</v>
      </c>
      <c r="AS459" s="876">
        <f t="shared" si="150"/>
        <v>394.24</v>
      </c>
      <c r="AT459" s="876">
        <f t="shared" si="151"/>
        <v>461.12</v>
      </c>
    </row>
    <row r="460" spans="1:46" ht="19.2" customHeight="1">
      <c r="A460" s="798">
        <v>434</v>
      </c>
      <c r="B460" s="857">
        <v>11</v>
      </c>
      <c r="C460" s="900"/>
      <c r="D460" s="811">
        <v>165</v>
      </c>
      <c r="E460" s="811">
        <v>171</v>
      </c>
      <c r="F460" s="811"/>
      <c r="G460" s="811">
        <v>105</v>
      </c>
      <c r="H460" s="901">
        <v>294</v>
      </c>
      <c r="I460" s="901"/>
      <c r="J460" s="901"/>
      <c r="K460" s="901"/>
      <c r="L460" s="811"/>
      <c r="M460" s="811">
        <v>175</v>
      </c>
      <c r="N460" s="811">
        <v>109</v>
      </c>
      <c r="O460" s="811">
        <v>147</v>
      </c>
      <c r="P460" s="811">
        <v>183</v>
      </c>
      <c r="Q460" s="819"/>
      <c r="R460" s="811"/>
      <c r="S460" s="811"/>
      <c r="T460" s="811"/>
      <c r="U460" s="811"/>
      <c r="V460" s="811"/>
      <c r="W460" s="801">
        <f t="shared" si="142"/>
        <v>1349</v>
      </c>
      <c r="Y460" s="798">
        <f t="shared" si="143"/>
        <v>1349</v>
      </c>
      <c r="AA460" s="823"/>
      <c r="AB460" s="823"/>
      <c r="AC460" s="823"/>
      <c r="AD460" s="823"/>
      <c r="AE460" s="824">
        <f t="shared" si="119"/>
        <v>593.55999999999995</v>
      </c>
      <c r="AF460" s="863">
        <f t="shared" si="144"/>
        <v>280</v>
      </c>
      <c r="AG460" s="831">
        <f t="shared" si="145"/>
        <v>252</v>
      </c>
      <c r="AH460" s="864">
        <f t="shared" si="146"/>
        <v>477</v>
      </c>
      <c r="AI460" s="864">
        <f t="shared" si="147"/>
        <v>340</v>
      </c>
      <c r="AJ460" s="802">
        <f t="shared" si="148"/>
        <v>1349</v>
      </c>
      <c r="AP460" s="831">
        <f t="shared" si="152"/>
        <v>532</v>
      </c>
      <c r="AQ460" s="864">
        <f t="shared" si="153"/>
        <v>817</v>
      </c>
      <c r="AR460" s="798">
        <f t="shared" si="149"/>
        <v>1349</v>
      </c>
      <c r="AS460" s="876">
        <f t="shared" si="150"/>
        <v>234.08</v>
      </c>
      <c r="AT460" s="876">
        <f t="shared" si="151"/>
        <v>359.48</v>
      </c>
    </row>
    <row r="461" spans="1:46" ht="19.2" customHeight="1">
      <c r="A461" s="798">
        <v>435</v>
      </c>
      <c r="B461" s="857">
        <v>11</v>
      </c>
      <c r="C461" s="900"/>
      <c r="D461" s="811">
        <v>294</v>
      </c>
      <c r="E461" s="811">
        <v>142</v>
      </c>
      <c r="F461" s="811"/>
      <c r="G461" s="811">
        <v>78</v>
      </c>
      <c r="H461" s="901">
        <v>332</v>
      </c>
      <c r="I461" s="901"/>
      <c r="J461" s="901"/>
      <c r="K461" s="901"/>
      <c r="L461" s="811"/>
      <c r="M461" s="811">
        <v>293</v>
      </c>
      <c r="N461" s="811">
        <v>161</v>
      </c>
      <c r="O461" s="811">
        <v>95</v>
      </c>
      <c r="P461" s="811">
        <v>103</v>
      </c>
      <c r="Q461" s="819"/>
      <c r="R461" s="811"/>
      <c r="S461" s="811"/>
      <c r="T461" s="811"/>
      <c r="U461" s="811"/>
      <c r="V461" s="811"/>
      <c r="W461" s="801">
        <f t="shared" si="142"/>
        <v>1498</v>
      </c>
      <c r="Y461" s="798">
        <f t="shared" si="143"/>
        <v>1498</v>
      </c>
      <c r="AA461" s="823"/>
      <c r="AB461" s="823"/>
      <c r="AC461" s="823"/>
      <c r="AD461" s="823"/>
      <c r="AE461" s="824">
        <f t="shared" si="119"/>
        <v>659.12</v>
      </c>
      <c r="AF461" s="863">
        <f t="shared" si="144"/>
        <v>303</v>
      </c>
      <c r="AG461" s="831">
        <f t="shared" si="145"/>
        <v>173</v>
      </c>
      <c r="AH461" s="864">
        <f t="shared" si="146"/>
        <v>435</v>
      </c>
      <c r="AI461" s="864">
        <f t="shared" si="147"/>
        <v>587</v>
      </c>
      <c r="AJ461" s="802">
        <f t="shared" si="148"/>
        <v>1498</v>
      </c>
      <c r="AP461" s="831">
        <f t="shared" si="152"/>
        <v>476</v>
      </c>
      <c r="AQ461" s="864">
        <f t="shared" si="153"/>
        <v>1022</v>
      </c>
      <c r="AR461" s="798">
        <f t="shared" si="149"/>
        <v>1498</v>
      </c>
      <c r="AS461" s="876">
        <f t="shared" si="150"/>
        <v>209.44</v>
      </c>
      <c r="AT461" s="876">
        <f t="shared" si="151"/>
        <v>449.68</v>
      </c>
    </row>
    <row r="462" spans="1:46" ht="19.2" customHeight="1">
      <c r="A462" s="798">
        <v>436</v>
      </c>
      <c r="B462" s="857">
        <v>11</v>
      </c>
      <c r="C462" s="900"/>
      <c r="D462" s="811">
        <v>184</v>
      </c>
      <c r="E462" s="811">
        <v>75</v>
      </c>
      <c r="F462" s="811"/>
      <c r="G462" s="811">
        <v>121</v>
      </c>
      <c r="H462" s="901">
        <v>263</v>
      </c>
      <c r="I462" s="901"/>
      <c r="J462" s="901"/>
      <c r="K462" s="901"/>
      <c r="L462" s="811"/>
      <c r="M462" s="811">
        <v>198</v>
      </c>
      <c r="N462" s="811">
        <v>127</v>
      </c>
      <c r="O462" s="811">
        <v>131</v>
      </c>
      <c r="P462" s="811">
        <v>219</v>
      </c>
      <c r="Q462" s="819"/>
      <c r="R462" s="811"/>
      <c r="S462" s="811"/>
      <c r="T462" s="811"/>
      <c r="U462" s="811"/>
      <c r="V462" s="811"/>
      <c r="W462" s="801">
        <f t="shared" si="142"/>
        <v>1318</v>
      </c>
      <c r="Y462" s="798">
        <f t="shared" si="143"/>
        <v>1318</v>
      </c>
      <c r="AA462" s="823"/>
      <c r="AB462" s="823"/>
      <c r="AC462" s="823"/>
      <c r="AD462" s="823"/>
      <c r="AE462" s="824">
        <f t="shared" si="119"/>
        <v>579.91999999999996</v>
      </c>
      <c r="AF462" s="863">
        <f t="shared" si="144"/>
        <v>202</v>
      </c>
      <c r="AG462" s="831">
        <f t="shared" si="145"/>
        <v>252</v>
      </c>
      <c r="AH462" s="864">
        <f t="shared" si="146"/>
        <v>482</v>
      </c>
      <c r="AI462" s="864">
        <f t="shared" si="147"/>
        <v>382</v>
      </c>
      <c r="AJ462" s="802">
        <f t="shared" si="148"/>
        <v>1318</v>
      </c>
      <c r="AP462" s="831">
        <f t="shared" si="152"/>
        <v>454</v>
      </c>
      <c r="AQ462" s="864">
        <f t="shared" si="153"/>
        <v>864</v>
      </c>
      <c r="AR462" s="798">
        <f t="shared" si="149"/>
        <v>1318</v>
      </c>
      <c r="AS462" s="876">
        <f t="shared" si="150"/>
        <v>199.76</v>
      </c>
      <c r="AT462" s="876">
        <f t="shared" si="151"/>
        <v>380.16</v>
      </c>
    </row>
    <row r="463" spans="1:46" ht="19.2" customHeight="1">
      <c r="A463" s="798">
        <v>437</v>
      </c>
      <c r="B463" s="857">
        <v>11</v>
      </c>
      <c r="C463" s="900"/>
      <c r="D463" s="811">
        <v>192</v>
      </c>
      <c r="E463" s="811">
        <v>74</v>
      </c>
      <c r="F463" s="811"/>
      <c r="G463" s="811">
        <v>123</v>
      </c>
      <c r="H463" s="901">
        <v>257</v>
      </c>
      <c r="I463" s="901"/>
      <c r="J463" s="901"/>
      <c r="K463" s="901"/>
      <c r="L463" s="811"/>
      <c r="M463" s="811">
        <v>208</v>
      </c>
      <c r="N463" s="811">
        <v>131</v>
      </c>
      <c r="O463" s="811">
        <v>156</v>
      </c>
      <c r="P463" s="811">
        <v>215</v>
      </c>
      <c r="Q463" s="819"/>
      <c r="R463" s="811"/>
      <c r="S463" s="811"/>
      <c r="T463" s="811"/>
      <c r="U463" s="811"/>
      <c r="V463" s="811"/>
      <c r="W463" s="801">
        <f t="shared" si="142"/>
        <v>1356</v>
      </c>
      <c r="Y463" s="798">
        <f t="shared" si="143"/>
        <v>1356</v>
      </c>
      <c r="AA463" s="823"/>
      <c r="AB463" s="823"/>
      <c r="AC463" s="823"/>
      <c r="AD463" s="823"/>
      <c r="AE463" s="824">
        <f t="shared" si="119"/>
        <v>596.64</v>
      </c>
      <c r="AF463" s="863">
        <f t="shared" si="144"/>
        <v>205</v>
      </c>
      <c r="AG463" s="831">
        <f t="shared" si="145"/>
        <v>279</v>
      </c>
      <c r="AH463" s="864">
        <f t="shared" si="146"/>
        <v>472</v>
      </c>
      <c r="AI463" s="864">
        <f t="shared" si="147"/>
        <v>400</v>
      </c>
      <c r="AJ463" s="802">
        <f t="shared" si="148"/>
        <v>1356</v>
      </c>
      <c r="AP463" s="831">
        <f t="shared" si="152"/>
        <v>484</v>
      </c>
      <c r="AQ463" s="864">
        <f t="shared" si="153"/>
        <v>872</v>
      </c>
      <c r="AR463" s="798">
        <f t="shared" si="149"/>
        <v>1356</v>
      </c>
      <c r="AS463" s="876">
        <f t="shared" si="150"/>
        <v>212.96</v>
      </c>
      <c r="AT463" s="876">
        <f t="shared" si="151"/>
        <v>383.68</v>
      </c>
    </row>
    <row r="464" spans="1:46" ht="19.2" customHeight="1">
      <c r="A464" s="798">
        <v>438</v>
      </c>
      <c r="B464" s="857">
        <v>11</v>
      </c>
      <c r="C464" s="900"/>
      <c r="D464" s="811">
        <v>163</v>
      </c>
      <c r="E464" s="811">
        <v>165</v>
      </c>
      <c r="F464" s="811"/>
      <c r="G464" s="811">
        <v>182</v>
      </c>
      <c r="H464" s="901">
        <v>361</v>
      </c>
      <c r="I464" s="901"/>
      <c r="J464" s="901"/>
      <c r="K464" s="901"/>
      <c r="L464" s="811"/>
      <c r="M464" s="811">
        <v>187</v>
      </c>
      <c r="N464" s="811">
        <v>189</v>
      </c>
      <c r="O464" s="811">
        <v>227</v>
      </c>
      <c r="P464" s="811">
        <v>320</v>
      </c>
      <c r="Q464" s="819"/>
      <c r="R464" s="811"/>
      <c r="S464" s="811"/>
      <c r="T464" s="811"/>
      <c r="U464" s="811"/>
      <c r="V464" s="811"/>
      <c r="W464" s="801">
        <f t="shared" si="142"/>
        <v>1794</v>
      </c>
      <c r="Y464" s="798">
        <f t="shared" si="143"/>
        <v>1794</v>
      </c>
      <c r="AA464" s="823"/>
      <c r="AB464" s="823"/>
      <c r="AC464" s="823"/>
      <c r="AD464" s="823"/>
      <c r="AE464" s="824">
        <f t="shared" si="119"/>
        <v>789.36</v>
      </c>
      <c r="AF464" s="863">
        <f t="shared" si="144"/>
        <v>354</v>
      </c>
      <c r="AG464" s="831">
        <f t="shared" si="145"/>
        <v>409</v>
      </c>
      <c r="AH464" s="864">
        <f t="shared" si="146"/>
        <v>681</v>
      </c>
      <c r="AI464" s="864">
        <f t="shared" si="147"/>
        <v>350</v>
      </c>
      <c r="AJ464" s="802">
        <f t="shared" si="148"/>
        <v>1794</v>
      </c>
      <c r="AP464" s="831">
        <f t="shared" si="152"/>
        <v>763</v>
      </c>
      <c r="AQ464" s="864">
        <f t="shared" si="153"/>
        <v>1031</v>
      </c>
      <c r="AR464" s="798">
        <f t="shared" si="149"/>
        <v>1794</v>
      </c>
      <c r="AS464" s="876">
        <f t="shared" si="150"/>
        <v>335.72</v>
      </c>
      <c r="AT464" s="876">
        <f t="shared" si="151"/>
        <v>453.64</v>
      </c>
    </row>
    <row r="465" spans="1:46" ht="19.2" customHeight="1">
      <c r="A465" s="798">
        <v>439</v>
      </c>
      <c r="B465" s="857">
        <v>11</v>
      </c>
      <c r="C465" s="900"/>
      <c r="D465" s="811">
        <v>172</v>
      </c>
      <c r="E465" s="811">
        <v>123</v>
      </c>
      <c r="F465" s="811"/>
      <c r="G465" s="811">
        <v>113</v>
      </c>
      <c r="H465" s="901">
        <v>261</v>
      </c>
      <c r="I465" s="901"/>
      <c r="J465" s="901"/>
      <c r="K465" s="901"/>
      <c r="L465" s="811"/>
      <c r="M465" s="811">
        <v>163</v>
      </c>
      <c r="N465" s="811">
        <v>145</v>
      </c>
      <c r="O465" s="811">
        <v>128</v>
      </c>
      <c r="P465" s="811">
        <v>224</v>
      </c>
      <c r="Q465" s="819"/>
      <c r="R465" s="811"/>
      <c r="S465" s="811"/>
      <c r="T465" s="811"/>
      <c r="U465" s="811"/>
      <c r="V465" s="811"/>
      <c r="W465" s="801">
        <f t="shared" si="142"/>
        <v>1329</v>
      </c>
      <c r="Y465" s="798">
        <f t="shared" si="143"/>
        <v>1329</v>
      </c>
      <c r="AA465" s="823"/>
      <c r="AB465" s="823"/>
      <c r="AC465" s="823"/>
      <c r="AD465" s="823"/>
      <c r="AE465" s="824">
        <f t="shared" si="119"/>
        <v>584.76</v>
      </c>
      <c r="AF465" s="863">
        <f t="shared" si="144"/>
        <v>268</v>
      </c>
      <c r="AG465" s="831">
        <f t="shared" si="145"/>
        <v>241</v>
      </c>
      <c r="AH465" s="864">
        <f t="shared" si="146"/>
        <v>485</v>
      </c>
      <c r="AI465" s="864">
        <f t="shared" si="147"/>
        <v>335</v>
      </c>
      <c r="AJ465" s="802">
        <f t="shared" si="148"/>
        <v>1329</v>
      </c>
      <c r="AP465" s="831">
        <f t="shared" si="152"/>
        <v>509</v>
      </c>
      <c r="AQ465" s="864">
        <f t="shared" si="153"/>
        <v>820</v>
      </c>
      <c r="AR465" s="798">
        <f t="shared" si="149"/>
        <v>1329</v>
      </c>
      <c r="AS465" s="876">
        <f t="shared" si="150"/>
        <v>223.96</v>
      </c>
      <c r="AT465" s="876">
        <f t="shared" si="151"/>
        <v>360.8</v>
      </c>
    </row>
    <row r="466" spans="1:46" ht="19.2" customHeight="1">
      <c r="A466" s="798">
        <v>440</v>
      </c>
      <c r="B466" s="857">
        <v>11</v>
      </c>
      <c r="C466" s="900"/>
      <c r="D466" s="811">
        <v>170</v>
      </c>
      <c r="E466" s="811">
        <v>102</v>
      </c>
      <c r="F466" s="811"/>
      <c r="G466" s="811">
        <v>253</v>
      </c>
      <c r="H466" s="901">
        <v>301</v>
      </c>
      <c r="I466" s="901"/>
      <c r="J466" s="901"/>
      <c r="K466" s="901"/>
      <c r="L466" s="811"/>
      <c r="M466" s="811">
        <v>152</v>
      </c>
      <c r="N466" s="811">
        <v>98</v>
      </c>
      <c r="O466" s="811">
        <v>176</v>
      </c>
      <c r="P466" s="811">
        <v>211</v>
      </c>
      <c r="Q466" s="819"/>
      <c r="R466" s="811"/>
      <c r="S466" s="811"/>
      <c r="T466" s="811"/>
      <c r="U466" s="811"/>
      <c r="V466" s="811"/>
      <c r="W466" s="801">
        <f t="shared" si="142"/>
        <v>1463</v>
      </c>
      <c r="Y466" s="798">
        <f t="shared" si="143"/>
        <v>1463</v>
      </c>
      <c r="AA466" s="823"/>
      <c r="AB466" s="823"/>
      <c r="AC466" s="823"/>
      <c r="AD466" s="823"/>
      <c r="AE466" s="824">
        <f t="shared" si="119"/>
        <v>643.72</v>
      </c>
      <c r="AF466" s="863">
        <f t="shared" si="144"/>
        <v>200</v>
      </c>
      <c r="AG466" s="831">
        <f t="shared" si="145"/>
        <v>429</v>
      </c>
      <c r="AH466" s="864">
        <f t="shared" si="146"/>
        <v>512</v>
      </c>
      <c r="AI466" s="864">
        <f t="shared" si="147"/>
        <v>322</v>
      </c>
      <c r="AJ466" s="802">
        <f t="shared" si="148"/>
        <v>1463</v>
      </c>
      <c r="AP466" s="831">
        <f t="shared" si="152"/>
        <v>629</v>
      </c>
      <c r="AQ466" s="864">
        <f t="shared" si="153"/>
        <v>834</v>
      </c>
      <c r="AR466" s="798">
        <f t="shared" si="149"/>
        <v>1463</v>
      </c>
      <c r="AS466" s="876">
        <f t="shared" si="150"/>
        <v>276.76</v>
      </c>
      <c r="AT466" s="876">
        <f t="shared" si="151"/>
        <v>366.96</v>
      </c>
    </row>
    <row r="467" spans="1:46" ht="19.2" customHeight="1">
      <c r="A467" s="798">
        <v>441</v>
      </c>
      <c r="B467" s="857">
        <v>11</v>
      </c>
      <c r="C467" s="900"/>
      <c r="D467" s="811">
        <v>268</v>
      </c>
      <c r="E467" s="811">
        <v>124</v>
      </c>
      <c r="F467" s="811"/>
      <c r="G467" s="811">
        <v>216</v>
      </c>
      <c r="H467" s="901">
        <v>306</v>
      </c>
      <c r="I467" s="901"/>
      <c r="J467" s="901"/>
      <c r="K467" s="901"/>
      <c r="L467" s="811"/>
      <c r="M467" s="811">
        <v>236</v>
      </c>
      <c r="N467" s="811">
        <v>225</v>
      </c>
      <c r="O467" s="811">
        <v>253</v>
      </c>
      <c r="P467" s="811">
        <v>244</v>
      </c>
      <c r="Q467" s="819"/>
      <c r="R467" s="811"/>
      <c r="S467" s="811"/>
      <c r="T467" s="811"/>
      <c r="U467" s="811"/>
      <c r="V467" s="811"/>
      <c r="W467" s="801">
        <f t="shared" si="142"/>
        <v>1872</v>
      </c>
      <c r="Y467" s="798">
        <f t="shared" si="143"/>
        <v>1872</v>
      </c>
      <c r="AA467" s="823"/>
      <c r="AB467" s="823"/>
      <c r="AC467" s="823"/>
      <c r="AD467" s="823"/>
      <c r="AE467" s="824">
        <f t="shared" si="119"/>
        <v>823.68</v>
      </c>
      <c r="AF467" s="863">
        <f t="shared" si="144"/>
        <v>349</v>
      </c>
      <c r="AG467" s="831">
        <f t="shared" si="145"/>
        <v>469</v>
      </c>
      <c r="AH467" s="864">
        <f t="shared" si="146"/>
        <v>550</v>
      </c>
      <c r="AI467" s="864">
        <f t="shared" si="147"/>
        <v>504</v>
      </c>
      <c r="AJ467" s="802">
        <f t="shared" si="148"/>
        <v>1872</v>
      </c>
      <c r="AP467" s="831">
        <f t="shared" si="152"/>
        <v>818</v>
      </c>
      <c r="AQ467" s="864">
        <f t="shared" si="153"/>
        <v>1054</v>
      </c>
      <c r="AR467" s="798">
        <f t="shared" si="149"/>
        <v>1872</v>
      </c>
      <c r="AS467" s="876">
        <f t="shared" si="150"/>
        <v>359.92</v>
      </c>
      <c r="AT467" s="876">
        <f t="shared" si="151"/>
        <v>463.76</v>
      </c>
    </row>
    <row r="468" spans="1:46" ht="19.2" customHeight="1">
      <c r="A468" s="798">
        <v>442</v>
      </c>
      <c r="B468" s="857">
        <v>11</v>
      </c>
      <c r="C468" s="900"/>
      <c r="D468" s="811">
        <v>245</v>
      </c>
      <c r="E468" s="811">
        <v>182</v>
      </c>
      <c r="F468" s="811"/>
      <c r="G468" s="811">
        <v>209</v>
      </c>
      <c r="H468" s="901">
        <v>310</v>
      </c>
      <c r="I468" s="901"/>
      <c r="J468" s="901"/>
      <c r="K468" s="901"/>
      <c r="L468" s="811"/>
      <c r="M468" s="811">
        <v>237</v>
      </c>
      <c r="N468" s="811">
        <v>224</v>
      </c>
      <c r="O468" s="811">
        <v>271</v>
      </c>
      <c r="P468" s="811">
        <v>263</v>
      </c>
      <c r="Q468" s="819"/>
      <c r="R468" s="811"/>
      <c r="S468" s="811"/>
      <c r="T468" s="811"/>
      <c r="U468" s="811"/>
      <c r="V468" s="811"/>
      <c r="W468" s="801">
        <f t="shared" si="142"/>
        <v>1941</v>
      </c>
      <c r="Y468" s="798">
        <f t="shared" si="143"/>
        <v>1941</v>
      </c>
      <c r="AA468" s="823"/>
      <c r="AB468" s="823"/>
      <c r="AC468" s="823"/>
      <c r="AD468" s="823"/>
      <c r="AE468" s="824">
        <f t="shared" ref="AE468:AE498" si="154">ROUND(W468*0.44,2)</f>
        <v>854.04</v>
      </c>
      <c r="AF468" s="863">
        <f t="shared" si="144"/>
        <v>406</v>
      </c>
      <c r="AG468" s="831">
        <f t="shared" si="145"/>
        <v>480</v>
      </c>
      <c r="AH468" s="864">
        <f t="shared" si="146"/>
        <v>573</v>
      </c>
      <c r="AI468" s="864">
        <f t="shared" si="147"/>
        <v>482</v>
      </c>
      <c r="AJ468" s="802">
        <f t="shared" si="148"/>
        <v>1941</v>
      </c>
      <c r="AP468" s="831">
        <f t="shared" si="152"/>
        <v>886</v>
      </c>
      <c r="AQ468" s="864">
        <f t="shared" si="153"/>
        <v>1055</v>
      </c>
      <c r="AR468" s="798">
        <f t="shared" si="149"/>
        <v>1941</v>
      </c>
      <c r="AS468" s="876">
        <f t="shared" si="150"/>
        <v>389.84</v>
      </c>
      <c r="AT468" s="876">
        <f t="shared" si="151"/>
        <v>464.2</v>
      </c>
    </row>
    <row r="469" spans="1:46" ht="19.2" customHeight="1">
      <c r="A469" s="798">
        <v>443</v>
      </c>
      <c r="B469" s="857">
        <v>11</v>
      </c>
      <c r="C469" s="900"/>
      <c r="D469" s="811">
        <v>256</v>
      </c>
      <c r="E469" s="811">
        <v>0</v>
      </c>
      <c r="F469" s="811"/>
      <c r="G469" s="811">
        <v>304</v>
      </c>
      <c r="H469" s="901">
        <v>274</v>
      </c>
      <c r="I469" s="901"/>
      <c r="J469" s="901"/>
      <c r="K469" s="901"/>
      <c r="L469" s="811"/>
      <c r="M469" s="811">
        <v>223</v>
      </c>
      <c r="N469" s="811">
        <v>105</v>
      </c>
      <c r="O469" s="811">
        <v>215</v>
      </c>
      <c r="P469" s="811">
        <v>158</v>
      </c>
      <c r="Q469" s="819"/>
      <c r="R469" s="811"/>
      <c r="S469" s="811"/>
      <c r="T469" s="811"/>
      <c r="U469" s="811"/>
      <c r="V469" s="811"/>
      <c r="W469" s="801">
        <f t="shared" si="142"/>
        <v>1535</v>
      </c>
      <c r="Y469" s="798">
        <f t="shared" si="143"/>
        <v>1535</v>
      </c>
      <c r="AA469" s="823"/>
      <c r="AB469" s="823"/>
      <c r="AC469" s="823"/>
      <c r="AD469" s="823"/>
      <c r="AE469" s="824">
        <f t="shared" si="154"/>
        <v>675.4</v>
      </c>
      <c r="AF469" s="863">
        <f t="shared" si="144"/>
        <v>105</v>
      </c>
      <c r="AG469" s="831">
        <f t="shared" si="145"/>
        <v>519</v>
      </c>
      <c r="AH469" s="864">
        <f t="shared" si="146"/>
        <v>432</v>
      </c>
      <c r="AI469" s="864">
        <f t="shared" si="147"/>
        <v>479</v>
      </c>
      <c r="AJ469" s="802">
        <f t="shared" si="148"/>
        <v>1535</v>
      </c>
      <c r="AP469" s="831">
        <f t="shared" si="152"/>
        <v>624</v>
      </c>
      <c r="AQ469" s="864">
        <f t="shared" si="153"/>
        <v>911</v>
      </c>
      <c r="AR469" s="798">
        <f t="shared" si="149"/>
        <v>1535</v>
      </c>
      <c r="AS469" s="876">
        <f t="shared" si="150"/>
        <v>274.56</v>
      </c>
      <c r="AT469" s="876">
        <f t="shared" si="151"/>
        <v>400.84</v>
      </c>
    </row>
    <row r="470" spans="1:46" ht="19.2" customHeight="1">
      <c r="A470" s="798">
        <v>444</v>
      </c>
      <c r="B470" s="857">
        <v>11</v>
      </c>
      <c r="C470" s="900"/>
      <c r="D470" s="811">
        <v>174</v>
      </c>
      <c r="E470" s="811">
        <v>203</v>
      </c>
      <c r="F470" s="811"/>
      <c r="G470" s="811">
        <v>205</v>
      </c>
      <c r="H470" s="901">
        <v>209</v>
      </c>
      <c r="I470" s="901"/>
      <c r="J470" s="901"/>
      <c r="K470" s="901"/>
      <c r="L470" s="811"/>
      <c r="M470" s="811">
        <v>145</v>
      </c>
      <c r="N470" s="811">
        <v>246</v>
      </c>
      <c r="O470" s="811">
        <v>260</v>
      </c>
      <c r="P470" s="811">
        <v>157</v>
      </c>
      <c r="Q470" s="819"/>
      <c r="R470" s="811"/>
      <c r="S470" s="811"/>
      <c r="T470" s="811"/>
      <c r="U470" s="811"/>
      <c r="V470" s="811"/>
      <c r="W470" s="801">
        <f t="shared" si="142"/>
        <v>1599</v>
      </c>
      <c r="Y470" s="798">
        <f t="shared" si="143"/>
        <v>1599</v>
      </c>
      <c r="AA470" s="823"/>
      <c r="AB470" s="823"/>
      <c r="AC470" s="823"/>
      <c r="AD470" s="823"/>
      <c r="AE470" s="824">
        <f t="shared" si="154"/>
        <v>703.56</v>
      </c>
      <c r="AF470" s="863">
        <f t="shared" si="144"/>
        <v>449</v>
      </c>
      <c r="AG470" s="831">
        <f t="shared" si="145"/>
        <v>465</v>
      </c>
      <c r="AH470" s="864">
        <f t="shared" si="146"/>
        <v>366</v>
      </c>
      <c r="AI470" s="864">
        <f t="shared" si="147"/>
        <v>319</v>
      </c>
      <c r="AJ470" s="802">
        <f t="shared" si="148"/>
        <v>1599</v>
      </c>
      <c r="AP470" s="831">
        <f t="shared" si="152"/>
        <v>914</v>
      </c>
      <c r="AQ470" s="864">
        <f t="shared" si="153"/>
        <v>685</v>
      </c>
      <c r="AR470" s="798">
        <f t="shared" si="149"/>
        <v>1599</v>
      </c>
      <c r="AS470" s="876">
        <f t="shared" si="150"/>
        <v>402.16</v>
      </c>
      <c r="AT470" s="876">
        <f t="shared" si="151"/>
        <v>301.39999999999998</v>
      </c>
    </row>
    <row r="471" spans="1:46" ht="19.2" customHeight="1">
      <c r="A471" s="798">
        <v>445</v>
      </c>
      <c r="B471" s="857">
        <v>11</v>
      </c>
      <c r="C471" s="900"/>
      <c r="D471" s="811">
        <v>174</v>
      </c>
      <c r="E471" s="811">
        <v>169</v>
      </c>
      <c r="F471" s="811"/>
      <c r="G471" s="811">
        <v>220</v>
      </c>
      <c r="H471" s="901">
        <v>253</v>
      </c>
      <c r="I471" s="901"/>
      <c r="J471" s="901"/>
      <c r="K471" s="901"/>
      <c r="L471" s="811"/>
      <c r="M471" s="811">
        <v>201</v>
      </c>
      <c r="N471" s="811">
        <v>205</v>
      </c>
      <c r="O471" s="811">
        <v>208</v>
      </c>
      <c r="P471" s="811">
        <v>198</v>
      </c>
      <c r="Q471" s="819"/>
      <c r="R471" s="811"/>
      <c r="S471" s="811"/>
      <c r="T471" s="811"/>
      <c r="U471" s="811"/>
      <c r="V471" s="811"/>
      <c r="W471" s="801">
        <f t="shared" si="142"/>
        <v>1628</v>
      </c>
      <c r="Y471" s="798">
        <f t="shared" si="143"/>
        <v>1628</v>
      </c>
      <c r="AA471" s="823"/>
      <c r="AB471" s="823"/>
      <c r="AC471" s="823"/>
      <c r="AD471" s="823"/>
      <c r="AE471" s="824">
        <f t="shared" si="154"/>
        <v>716.32</v>
      </c>
      <c r="AF471" s="863">
        <f t="shared" si="144"/>
        <v>374</v>
      </c>
      <c r="AG471" s="831">
        <f t="shared" si="145"/>
        <v>428</v>
      </c>
      <c r="AH471" s="864">
        <f t="shared" si="146"/>
        <v>451</v>
      </c>
      <c r="AI471" s="864">
        <f t="shared" si="147"/>
        <v>375</v>
      </c>
      <c r="AJ471" s="802">
        <f t="shared" si="148"/>
        <v>1628</v>
      </c>
      <c r="AP471" s="831">
        <f t="shared" si="152"/>
        <v>802</v>
      </c>
      <c r="AQ471" s="864">
        <f t="shared" si="153"/>
        <v>826</v>
      </c>
      <c r="AR471" s="798">
        <f t="shared" si="149"/>
        <v>1628</v>
      </c>
      <c r="AS471" s="876">
        <f t="shared" si="150"/>
        <v>352.88</v>
      </c>
      <c r="AT471" s="876">
        <f t="shared" si="151"/>
        <v>363.44</v>
      </c>
    </row>
    <row r="472" spans="1:46" ht="19.2" customHeight="1">
      <c r="A472" s="798">
        <v>446</v>
      </c>
      <c r="B472" s="857">
        <v>11</v>
      </c>
      <c r="C472" s="900"/>
      <c r="D472" s="811">
        <v>185</v>
      </c>
      <c r="E472" s="811">
        <v>176</v>
      </c>
      <c r="F472" s="811"/>
      <c r="G472" s="811">
        <v>167</v>
      </c>
      <c r="H472" s="901">
        <v>295</v>
      </c>
      <c r="I472" s="901"/>
      <c r="J472" s="901"/>
      <c r="K472" s="901"/>
      <c r="L472" s="811"/>
      <c r="M472" s="811">
        <v>222</v>
      </c>
      <c r="N472" s="811">
        <v>195</v>
      </c>
      <c r="O472" s="811">
        <v>230</v>
      </c>
      <c r="P472" s="811">
        <v>200</v>
      </c>
      <c r="Q472" s="819"/>
      <c r="R472" s="811"/>
      <c r="S472" s="811"/>
      <c r="T472" s="811"/>
      <c r="U472" s="811"/>
      <c r="V472" s="811"/>
      <c r="W472" s="801">
        <f t="shared" si="142"/>
        <v>1670</v>
      </c>
      <c r="Y472" s="798">
        <f t="shared" si="143"/>
        <v>1670</v>
      </c>
      <c r="AA472" s="823"/>
      <c r="AB472" s="823"/>
      <c r="AC472" s="823"/>
      <c r="AD472" s="823"/>
      <c r="AE472" s="824">
        <f t="shared" si="154"/>
        <v>734.8</v>
      </c>
      <c r="AF472" s="863">
        <f t="shared" si="144"/>
        <v>371</v>
      </c>
      <c r="AG472" s="831">
        <f t="shared" si="145"/>
        <v>397</v>
      </c>
      <c r="AH472" s="864">
        <f t="shared" si="146"/>
        <v>495</v>
      </c>
      <c r="AI472" s="864">
        <f t="shared" si="147"/>
        <v>407</v>
      </c>
      <c r="AJ472" s="802">
        <f t="shared" si="148"/>
        <v>1670</v>
      </c>
      <c r="AP472" s="831">
        <f t="shared" si="152"/>
        <v>768</v>
      </c>
      <c r="AQ472" s="864">
        <f t="shared" si="153"/>
        <v>902</v>
      </c>
      <c r="AR472" s="798">
        <f t="shared" si="149"/>
        <v>1670</v>
      </c>
      <c r="AS472" s="876">
        <f t="shared" si="150"/>
        <v>337.92</v>
      </c>
      <c r="AT472" s="876">
        <f t="shared" si="151"/>
        <v>396.88</v>
      </c>
    </row>
    <row r="473" spans="1:46" ht="19.2" customHeight="1">
      <c r="A473" s="798">
        <v>447</v>
      </c>
      <c r="B473" s="857">
        <v>11</v>
      </c>
      <c r="C473" s="900"/>
      <c r="D473" s="811">
        <v>249</v>
      </c>
      <c r="E473" s="811">
        <v>0</v>
      </c>
      <c r="F473" s="811"/>
      <c r="G473" s="811">
        <v>125</v>
      </c>
      <c r="H473" s="901">
        <v>86</v>
      </c>
      <c r="I473" s="901"/>
      <c r="J473" s="901"/>
      <c r="K473" s="901"/>
      <c r="L473" s="811"/>
      <c r="M473" s="811">
        <v>127</v>
      </c>
      <c r="N473" s="811">
        <v>156</v>
      </c>
      <c r="O473" s="811">
        <v>132</v>
      </c>
      <c r="P473" s="811">
        <v>80</v>
      </c>
      <c r="Q473" s="819"/>
      <c r="R473" s="811"/>
      <c r="S473" s="811"/>
      <c r="T473" s="811"/>
      <c r="U473" s="811"/>
      <c r="V473" s="811"/>
      <c r="W473" s="801">
        <f t="shared" si="142"/>
        <v>955</v>
      </c>
      <c r="Y473" s="798">
        <f t="shared" si="143"/>
        <v>955</v>
      </c>
      <c r="AA473" s="823"/>
      <c r="AB473" s="823"/>
      <c r="AC473" s="823"/>
      <c r="AD473" s="823"/>
      <c r="AE473" s="824">
        <f t="shared" si="154"/>
        <v>420.2</v>
      </c>
      <c r="AF473" s="863">
        <f t="shared" si="144"/>
        <v>156</v>
      </c>
      <c r="AG473" s="831">
        <f t="shared" si="145"/>
        <v>257</v>
      </c>
      <c r="AH473" s="864">
        <f t="shared" si="146"/>
        <v>166</v>
      </c>
      <c r="AI473" s="864">
        <f t="shared" si="147"/>
        <v>376</v>
      </c>
      <c r="AJ473" s="802">
        <f t="shared" si="148"/>
        <v>955</v>
      </c>
      <c r="AP473" s="831">
        <f t="shared" si="152"/>
        <v>413</v>
      </c>
      <c r="AQ473" s="864">
        <f t="shared" si="153"/>
        <v>542</v>
      </c>
      <c r="AR473" s="798">
        <f t="shared" si="149"/>
        <v>955</v>
      </c>
      <c r="AS473" s="876">
        <f t="shared" si="150"/>
        <v>181.72</v>
      </c>
      <c r="AT473" s="876">
        <f t="shared" si="151"/>
        <v>238.48</v>
      </c>
    </row>
    <row r="474" spans="1:46" ht="19.2" customHeight="1">
      <c r="A474" s="798">
        <v>448</v>
      </c>
      <c r="B474" s="857">
        <v>11</v>
      </c>
      <c r="C474" s="900"/>
      <c r="D474" s="811">
        <v>171</v>
      </c>
      <c r="E474" s="811">
        <v>128</v>
      </c>
      <c r="F474" s="811"/>
      <c r="G474" s="811">
        <v>54</v>
      </c>
      <c r="H474" s="901">
        <v>206</v>
      </c>
      <c r="I474" s="901"/>
      <c r="J474" s="901"/>
      <c r="K474" s="901"/>
      <c r="L474" s="811"/>
      <c r="M474" s="811">
        <v>177</v>
      </c>
      <c r="N474" s="811">
        <v>151</v>
      </c>
      <c r="O474" s="811">
        <v>66</v>
      </c>
      <c r="P474" s="811">
        <v>179</v>
      </c>
      <c r="Q474" s="819"/>
      <c r="R474" s="811"/>
      <c r="S474" s="811"/>
      <c r="T474" s="811"/>
      <c r="U474" s="811"/>
      <c r="V474" s="811"/>
      <c r="W474" s="801">
        <f t="shared" si="142"/>
        <v>1132</v>
      </c>
      <c r="Y474" s="798">
        <f t="shared" si="143"/>
        <v>1132</v>
      </c>
      <c r="AA474" s="823"/>
      <c r="AB474" s="823"/>
      <c r="AC474" s="823"/>
      <c r="AD474" s="823"/>
      <c r="AE474" s="824">
        <f t="shared" si="154"/>
        <v>498.08</v>
      </c>
      <c r="AF474" s="863">
        <f t="shared" si="144"/>
        <v>279</v>
      </c>
      <c r="AG474" s="831">
        <f t="shared" si="145"/>
        <v>120</v>
      </c>
      <c r="AH474" s="864">
        <f t="shared" si="146"/>
        <v>385</v>
      </c>
      <c r="AI474" s="864">
        <f t="shared" si="147"/>
        <v>348</v>
      </c>
      <c r="AJ474" s="802">
        <f t="shared" si="148"/>
        <v>1132</v>
      </c>
      <c r="AP474" s="831">
        <f t="shared" si="152"/>
        <v>399</v>
      </c>
      <c r="AQ474" s="864">
        <f t="shared" si="153"/>
        <v>733</v>
      </c>
      <c r="AR474" s="798">
        <f t="shared" si="149"/>
        <v>1132</v>
      </c>
      <c r="AS474" s="876">
        <f t="shared" si="150"/>
        <v>175.56</v>
      </c>
      <c r="AT474" s="876">
        <f t="shared" si="151"/>
        <v>322.52</v>
      </c>
    </row>
    <row r="475" spans="1:46" ht="19.2" customHeight="1">
      <c r="A475" s="798">
        <v>449</v>
      </c>
      <c r="B475" s="857">
        <v>11</v>
      </c>
      <c r="C475" s="900"/>
      <c r="D475" s="811">
        <v>177</v>
      </c>
      <c r="E475" s="811">
        <v>195</v>
      </c>
      <c r="F475" s="811"/>
      <c r="G475" s="811">
        <v>241</v>
      </c>
      <c r="H475" s="901">
        <v>270</v>
      </c>
      <c r="I475" s="901"/>
      <c r="J475" s="901"/>
      <c r="K475" s="901"/>
      <c r="L475" s="811"/>
      <c r="M475" s="811">
        <v>143</v>
      </c>
      <c r="N475" s="811">
        <v>176</v>
      </c>
      <c r="O475" s="811">
        <v>197</v>
      </c>
      <c r="P475" s="811">
        <v>214</v>
      </c>
      <c r="Q475" s="819"/>
      <c r="R475" s="811"/>
      <c r="S475" s="811"/>
      <c r="T475" s="811"/>
      <c r="U475" s="811"/>
      <c r="V475" s="811"/>
      <c r="W475" s="801">
        <f t="shared" si="142"/>
        <v>1613</v>
      </c>
      <c r="Y475" s="798">
        <f t="shared" si="143"/>
        <v>1613</v>
      </c>
      <c r="AA475" s="823"/>
      <c r="AB475" s="823"/>
      <c r="AC475" s="823"/>
      <c r="AD475" s="823"/>
      <c r="AE475" s="824">
        <f t="shared" si="154"/>
        <v>709.72</v>
      </c>
      <c r="AF475" s="863">
        <f t="shared" si="144"/>
        <v>371</v>
      </c>
      <c r="AG475" s="831">
        <f t="shared" si="145"/>
        <v>438</v>
      </c>
      <c r="AH475" s="864">
        <f t="shared" si="146"/>
        <v>484</v>
      </c>
      <c r="AI475" s="864">
        <f t="shared" si="147"/>
        <v>320</v>
      </c>
      <c r="AJ475" s="802">
        <f t="shared" si="148"/>
        <v>1613</v>
      </c>
      <c r="AP475" s="831">
        <f t="shared" si="152"/>
        <v>809</v>
      </c>
      <c r="AQ475" s="864">
        <f t="shared" si="153"/>
        <v>804</v>
      </c>
      <c r="AR475" s="798">
        <f t="shared" si="149"/>
        <v>1613</v>
      </c>
      <c r="AS475" s="876">
        <f t="shared" si="150"/>
        <v>355.96</v>
      </c>
      <c r="AT475" s="876">
        <f t="shared" si="151"/>
        <v>353.76</v>
      </c>
    </row>
    <row r="476" spans="1:46" ht="19.2" customHeight="1">
      <c r="A476" s="798">
        <v>450</v>
      </c>
      <c r="B476" s="857">
        <v>11</v>
      </c>
      <c r="C476" s="900"/>
      <c r="D476" s="811">
        <v>179</v>
      </c>
      <c r="E476" s="811">
        <v>196</v>
      </c>
      <c r="F476" s="811"/>
      <c r="G476" s="811">
        <v>212</v>
      </c>
      <c r="H476" s="901">
        <v>248</v>
      </c>
      <c r="I476" s="901"/>
      <c r="J476" s="901"/>
      <c r="K476" s="901"/>
      <c r="L476" s="811"/>
      <c r="M476" s="811">
        <v>230</v>
      </c>
      <c r="N476" s="811">
        <v>227</v>
      </c>
      <c r="O476" s="811">
        <v>246</v>
      </c>
      <c r="P476" s="811">
        <v>177</v>
      </c>
      <c r="Q476" s="819"/>
      <c r="R476" s="811"/>
      <c r="S476" s="811"/>
      <c r="T476" s="811"/>
      <c r="U476" s="811"/>
      <c r="V476" s="811"/>
      <c r="W476" s="801">
        <f t="shared" si="142"/>
        <v>1715</v>
      </c>
      <c r="Y476" s="798">
        <f t="shared" si="143"/>
        <v>1715</v>
      </c>
      <c r="AA476" s="823"/>
      <c r="AB476" s="823"/>
      <c r="AC476" s="823"/>
      <c r="AD476" s="823"/>
      <c r="AE476" s="824">
        <f t="shared" si="154"/>
        <v>754.6</v>
      </c>
      <c r="AF476" s="863">
        <f t="shared" si="144"/>
        <v>423</v>
      </c>
      <c r="AG476" s="831">
        <f t="shared" si="145"/>
        <v>458</v>
      </c>
      <c r="AH476" s="864">
        <f t="shared" si="146"/>
        <v>425</v>
      </c>
      <c r="AI476" s="864">
        <f t="shared" si="147"/>
        <v>409</v>
      </c>
      <c r="AJ476" s="802">
        <f t="shared" si="148"/>
        <v>1715</v>
      </c>
      <c r="AP476" s="831">
        <f t="shared" si="152"/>
        <v>881</v>
      </c>
      <c r="AQ476" s="864">
        <f t="shared" si="153"/>
        <v>834</v>
      </c>
      <c r="AR476" s="798">
        <f t="shared" si="149"/>
        <v>1715</v>
      </c>
      <c r="AS476" s="876">
        <f t="shared" si="150"/>
        <v>387.64</v>
      </c>
      <c r="AT476" s="876">
        <f t="shared" si="151"/>
        <v>366.96</v>
      </c>
    </row>
    <row r="477" spans="1:46" ht="19.2" customHeight="1">
      <c r="A477" s="798">
        <v>451</v>
      </c>
      <c r="B477" s="857">
        <v>11</v>
      </c>
      <c r="C477" s="900"/>
      <c r="D477" s="811">
        <v>228</v>
      </c>
      <c r="E477" s="811">
        <v>131</v>
      </c>
      <c r="F477" s="811"/>
      <c r="G477" s="811">
        <v>314</v>
      </c>
      <c r="H477" s="901">
        <v>147</v>
      </c>
      <c r="I477" s="901"/>
      <c r="J477" s="901"/>
      <c r="K477" s="901"/>
      <c r="L477" s="811"/>
      <c r="M477" s="811">
        <v>221</v>
      </c>
      <c r="N477" s="811">
        <v>250</v>
      </c>
      <c r="O477" s="811">
        <v>271</v>
      </c>
      <c r="P477" s="811">
        <v>184</v>
      </c>
      <c r="Q477" s="819"/>
      <c r="R477" s="811"/>
      <c r="S477" s="811"/>
      <c r="T477" s="811"/>
      <c r="U477" s="811"/>
      <c r="V477" s="811"/>
      <c r="W477" s="801">
        <f t="shared" si="142"/>
        <v>1746</v>
      </c>
      <c r="Y477" s="798">
        <f t="shared" si="143"/>
        <v>1746</v>
      </c>
      <c r="AA477" s="823"/>
      <c r="AB477" s="823"/>
      <c r="AC477" s="823"/>
      <c r="AD477" s="823"/>
      <c r="AE477" s="824">
        <f t="shared" si="154"/>
        <v>768.24</v>
      </c>
      <c r="AF477" s="863">
        <f t="shared" si="144"/>
        <v>381</v>
      </c>
      <c r="AG477" s="831">
        <f t="shared" si="145"/>
        <v>585</v>
      </c>
      <c r="AH477" s="864">
        <f t="shared" si="146"/>
        <v>331</v>
      </c>
      <c r="AI477" s="864">
        <f t="shared" si="147"/>
        <v>449</v>
      </c>
      <c r="AJ477" s="802">
        <f t="shared" si="148"/>
        <v>1746</v>
      </c>
      <c r="AP477" s="831">
        <f t="shared" si="152"/>
        <v>966</v>
      </c>
      <c r="AQ477" s="864">
        <f t="shared" si="153"/>
        <v>780</v>
      </c>
      <c r="AR477" s="798">
        <f t="shared" si="149"/>
        <v>1746</v>
      </c>
      <c r="AS477" s="876">
        <f t="shared" si="150"/>
        <v>425.04</v>
      </c>
      <c r="AT477" s="876">
        <f t="shared" si="151"/>
        <v>343.2</v>
      </c>
    </row>
    <row r="478" spans="1:46" ht="19.2" customHeight="1">
      <c r="A478" s="798">
        <v>452</v>
      </c>
      <c r="B478" s="857">
        <v>11</v>
      </c>
      <c r="C478" s="900"/>
      <c r="D478" s="811">
        <v>168</v>
      </c>
      <c r="E478" s="811">
        <v>99</v>
      </c>
      <c r="F478" s="811"/>
      <c r="G478" s="811">
        <v>174</v>
      </c>
      <c r="H478" s="901">
        <v>125</v>
      </c>
      <c r="I478" s="901"/>
      <c r="J478" s="901"/>
      <c r="K478" s="901"/>
      <c r="L478" s="811"/>
      <c r="M478" s="811">
        <v>143</v>
      </c>
      <c r="N478" s="811">
        <v>90</v>
      </c>
      <c r="O478" s="811">
        <v>166</v>
      </c>
      <c r="P478" s="811">
        <v>86</v>
      </c>
      <c r="Q478" s="819"/>
      <c r="R478" s="811"/>
      <c r="S478" s="811"/>
      <c r="T478" s="811"/>
      <c r="U478" s="811"/>
      <c r="V478" s="811"/>
      <c r="W478" s="801">
        <f t="shared" si="142"/>
        <v>1051</v>
      </c>
      <c r="Y478" s="798">
        <f t="shared" si="143"/>
        <v>1051</v>
      </c>
      <c r="AA478" s="823"/>
      <c r="AB478" s="823"/>
      <c r="AC478" s="823"/>
      <c r="AD478" s="823"/>
      <c r="AE478" s="824">
        <f t="shared" si="154"/>
        <v>462.44</v>
      </c>
      <c r="AF478" s="863">
        <f t="shared" si="144"/>
        <v>189</v>
      </c>
      <c r="AG478" s="831">
        <f t="shared" si="145"/>
        <v>340</v>
      </c>
      <c r="AH478" s="864">
        <f t="shared" si="146"/>
        <v>211</v>
      </c>
      <c r="AI478" s="864">
        <f t="shared" si="147"/>
        <v>311</v>
      </c>
      <c r="AJ478" s="802">
        <f t="shared" si="148"/>
        <v>1051</v>
      </c>
      <c r="AP478" s="831">
        <f t="shared" si="152"/>
        <v>529</v>
      </c>
      <c r="AQ478" s="864">
        <f t="shared" si="153"/>
        <v>522</v>
      </c>
      <c r="AR478" s="798">
        <f t="shared" si="149"/>
        <v>1051</v>
      </c>
      <c r="AS478" s="876">
        <f t="shared" si="150"/>
        <v>232.76</v>
      </c>
      <c r="AT478" s="876">
        <f t="shared" si="151"/>
        <v>229.68</v>
      </c>
    </row>
    <row r="479" spans="1:46" ht="19.2" customHeight="1">
      <c r="A479" s="798">
        <v>453</v>
      </c>
      <c r="B479" s="857">
        <v>11</v>
      </c>
      <c r="C479" s="900"/>
      <c r="D479" s="811">
        <v>175</v>
      </c>
      <c r="E479" s="811">
        <v>92</v>
      </c>
      <c r="F479" s="811"/>
      <c r="G479" s="811">
        <v>172</v>
      </c>
      <c r="H479" s="901">
        <v>121</v>
      </c>
      <c r="I479" s="901"/>
      <c r="J479" s="901"/>
      <c r="K479" s="901"/>
      <c r="L479" s="811"/>
      <c r="M479" s="811">
        <v>201</v>
      </c>
      <c r="N479" s="811">
        <v>88</v>
      </c>
      <c r="O479" s="811">
        <v>164</v>
      </c>
      <c r="P479" s="811">
        <v>98</v>
      </c>
      <c r="Q479" s="819"/>
      <c r="R479" s="811"/>
      <c r="S479" s="811"/>
      <c r="T479" s="811"/>
      <c r="U479" s="811"/>
      <c r="V479" s="811"/>
      <c r="W479" s="801">
        <f t="shared" si="142"/>
        <v>1111</v>
      </c>
      <c r="Y479" s="798">
        <f t="shared" si="143"/>
        <v>1111</v>
      </c>
      <c r="AA479" s="823"/>
      <c r="AB479" s="823"/>
      <c r="AC479" s="823"/>
      <c r="AD479" s="823"/>
      <c r="AE479" s="824">
        <f t="shared" si="154"/>
        <v>488.84</v>
      </c>
      <c r="AF479" s="863">
        <f t="shared" si="144"/>
        <v>180</v>
      </c>
      <c r="AG479" s="831">
        <f t="shared" si="145"/>
        <v>336</v>
      </c>
      <c r="AH479" s="864">
        <f t="shared" si="146"/>
        <v>219</v>
      </c>
      <c r="AI479" s="864">
        <f t="shared" si="147"/>
        <v>376</v>
      </c>
      <c r="AJ479" s="802">
        <f t="shared" si="148"/>
        <v>1111</v>
      </c>
      <c r="AP479" s="831">
        <f t="shared" si="152"/>
        <v>516</v>
      </c>
      <c r="AQ479" s="864">
        <f t="shared" si="153"/>
        <v>595</v>
      </c>
      <c r="AR479" s="798">
        <f t="shared" si="149"/>
        <v>1111</v>
      </c>
      <c r="AS479" s="876">
        <f t="shared" si="150"/>
        <v>227.04</v>
      </c>
      <c r="AT479" s="876">
        <f t="shared" si="151"/>
        <v>261.8</v>
      </c>
    </row>
    <row r="480" spans="1:46" ht="19.2" customHeight="1">
      <c r="A480" s="798">
        <v>454</v>
      </c>
      <c r="B480" s="857">
        <v>11</v>
      </c>
      <c r="C480" s="900"/>
      <c r="D480" s="811">
        <v>232</v>
      </c>
      <c r="E480" s="811">
        <v>173</v>
      </c>
      <c r="F480" s="811"/>
      <c r="G480" s="811">
        <v>225</v>
      </c>
      <c r="H480" s="901">
        <v>271</v>
      </c>
      <c r="I480" s="901"/>
      <c r="J480" s="901"/>
      <c r="K480" s="901"/>
      <c r="L480" s="811"/>
      <c r="M480" s="811">
        <v>273</v>
      </c>
      <c r="N480" s="811">
        <v>121</v>
      </c>
      <c r="O480" s="811">
        <v>151</v>
      </c>
      <c r="P480" s="811">
        <v>221</v>
      </c>
      <c r="Q480" s="819"/>
      <c r="R480" s="811"/>
      <c r="S480" s="811"/>
      <c r="T480" s="811"/>
      <c r="U480" s="811"/>
      <c r="V480" s="811"/>
      <c r="W480" s="801">
        <f t="shared" si="142"/>
        <v>1667</v>
      </c>
      <c r="Y480" s="798">
        <f t="shared" si="143"/>
        <v>1667</v>
      </c>
      <c r="AA480" s="823"/>
      <c r="AB480" s="823"/>
      <c r="AC480" s="823"/>
      <c r="AD480" s="823"/>
      <c r="AE480" s="824">
        <f t="shared" si="154"/>
        <v>733.48</v>
      </c>
      <c r="AF480" s="863">
        <f t="shared" si="144"/>
        <v>294</v>
      </c>
      <c r="AG480" s="831">
        <f t="shared" si="145"/>
        <v>376</v>
      </c>
      <c r="AH480" s="864">
        <f t="shared" si="146"/>
        <v>492</v>
      </c>
      <c r="AI480" s="864">
        <f t="shared" si="147"/>
        <v>505</v>
      </c>
      <c r="AJ480" s="802">
        <f t="shared" si="148"/>
        <v>1667</v>
      </c>
      <c r="AP480" s="831">
        <f t="shared" si="152"/>
        <v>670</v>
      </c>
      <c r="AQ480" s="864">
        <f t="shared" si="153"/>
        <v>997</v>
      </c>
      <c r="AR480" s="798">
        <f t="shared" si="149"/>
        <v>1667</v>
      </c>
      <c r="AS480" s="876">
        <f t="shared" si="150"/>
        <v>294.8</v>
      </c>
      <c r="AT480" s="876">
        <f t="shared" si="151"/>
        <v>438.68</v>
      </c>
    </row>
    <row r="481" spans="1:46" ht="19.2" customHeight="1">
      <c r="A481" s="798">
        <v>455</v>
      </c>
      <c r="B481" s="857">
        <v>11</v>
      </c>
      <c r="C481" s="900"/>
      <c r="D481" s="811">
        <v>198</v>
      </c>
      <c r="E481" s="811">
        <v>0</v>
      </c>
      <c r="F481" s="811"/>
      <c r="G481" s="811">
        <v>315</v>
      </c>
      <c r="H481" s="901">
        <v>190</v>
      </c>
      <c r="I481" s="901"/>
      <c r="J481" s="901"/>
      <c r="K481" s="901"/>
      <c r="L481" s="811"/>
      <c r="M481" s="811">
        <v>203</v>
      </c>
      <c r="N481" s="811">
        <v>109</v>
      </c>
      <c r="O481" s="811">
        <v>163</v>
      </c>
      <c r="P481" s="811">
        <v>129</v>
      </c>
      <c r="Q481" s="819"/>
      <c r="R481" s="811"/>
      <c r="S481" s="811"/>
      <c r="T481" s="811"/>
      <c r="U481" s="811"/>
      <c r="V481" s="811"/>
      <c r="W481" s="801">
        <f t="shared" si="142"/>
        <v>1307</v>
      </c>
      <c r="Y481" s="798">
        <f t="shared" si="143"/>
        <v>1307</v>
      </c>
      <c r="AA481" s="823"/>
      <c r="AB481" s="823"/>
      <c r="AC481" s="823"/>
      <c r="AD481" s="823"/>
      <c r="AE481" s="824">
        <f t="shared" si="154"/>
        <v>575.08000000000004</v>
      </c>
      <c r="AF481" s="863">
        <f t="shared" si="144"/>
        <v>109</v>
      </c>
      <c r="AG481" s="831">
        <f t="shared" si="145"/>
        <v>478</v>
      </c>
      <c r="AH481" s="864">
        <f t="shared" si="146"/>
        <v>319</v>
      </c>
      <c r="AI481" s="864">
        <f t="shared" si="147"/>
        <v>401</v>
      </c>
      <c r="AJ481" s="802">
        <f t="shared" si="148"/>
        <v>1307</v>
      </c>
      <c r="AP481" s="831">
        <f t="shared" si="152"/>
        <v>587</v>
      </c>
      <c r="AQ481" s="864">
        <f t="shared" si="153"/>
        <v>720</v>
      </c>
      <c r="AR481" s="798">
        <f t="shared" si="149"/>
        <v>1307</v>
      </c>
      <c r="AS481" s="876">
        <f t="shared" si="150"/>
        <v>258.27999999999997</v>
      </c>
      <c r="AT481" s="876">
        <f t="shared" si="151"/>
        <v>316.8</v>
      </c>
    </row>
    <row r="482" spans="1:46" ht="19.2" customHeight="1">
      <c r="A482" s="798">
        <v>456</v>
      </c>
      <c r="B482" s="857">
        <v>11</v>
      </c>
      <c r="C482" s="900"/>
      <c r="D482" s="811">
        <v>261</v>
      </c>
      <c r="E482" s="811">
        <v>110</v>
      </c>
      <c r="F482" s="811"/>
      <c r="G482" s="811">
        <v>263</v>
      </c>
      <c r="H482" s="901">
        <v>240</v>
      </c>
      <c r="I482" s="901"/>
      <c r="J482" s="901"/>
      <c r="K482" s="901"/>
      <c r="L482" s="811"/>
      <c r="M482" s="811">
        <v>231</v>
      </c>
      <c r="N482" s="811">
        <v>255</v>
      </c>
      <c r="O482" s="811">
        <v>274</v>
      </c>
      <c r="P482" s="811">
        <v>165</v>
      </c>
      <c r="Q482" s="819"/>
      <c r="R482" s="811"/>
      <c r="S482" s="811"/>
      <c r="T482" s="811"/>
      <c r="U482" s="811"/>
      <c r="V482" s="811"/>
      <c r="W482" s="801">
        <f t="shared" si="142"/>
        <v>1799</v>
      </c>
      <c r="Y482" s="798">
        <f t="shared" si="143"/>
        <v>1799</v>
      </c>
      <c r="AA482" s="823"/>
      <c r="AB482" s="823"/>
      <c r="AC482" s="823"/>
      <c r="AD482" s="823"/>
      <c r="AE482" s="824">
        <f t="shared" si="154"/>
        <v>791.56</v>
      </c>
      <c r="AF482" s="863">
        <f t="shared" si="144"/>
        <v>365</v>
      </c>
      <c r="AG482" s="831">
        <f t="shared" si="145"/>
        <v>537</v>
      </c>
      <c r="AH482" s="864">
        <f t="shared" si="146"/>
        <v>405</v>
      </c>
      <c r="AI482" s="864">
        <f t="shared" si="147"/>
        <v>492</v>
      </c>
      <c r="AJ482" s="802">
        <f t="shared" si="148"/>
        <v>1799</v>
      </c>
      <c r="AP482" s="831">
        <f t="shared" si="152"/>
        <v>902</v>
      </c>
      <c r="AQ482" s="864">
        <f t="shared" si="153"/>
        <v>897</v>
      </c>
      <c r="AR482" s="798">
        <f t="shared" si="149"/>
        <v>1799</v>
      </c>
      <c r="AS482" s="876">
        <f t="shared" si="150"/>
        <v>396.88</v>
      </c>
      <c r="AT482" s="876">
        <f t="shared" si="151"/>
        <v>394.68</v>
      </c>
    </row>
    <row r="483" spans="1:46" ht="19.2" customHeight="1">
      <c r="A483" s="798">
        <v>457</v>
      </c>
      <c r="B483" s="857">
        <v>11</v>
      </c>
      <c r="C483" s="900"/>
      <c r="D483" s="811">
        <v>220</v>
      </c>
      <c r="E483" s="811">
        <v>93</v>
      </c>
      <c r="F483" s="811"/>
      <c r="G483" s="811">
        <v>395</v>
      </c>
      <c r="H483" s="901">
        <v>269</v>
      </c>
      <c r="I483" s="901"/>
      <c r="J483" s="901"/>
      <c r="K483" s="901"/>
      <c r="L483" s="811"/>
      <c r="M483" s="811">
        <v>222</v>
      </c>
      <c r="N483" s="811">
        <v>211</v>
      </c>
      <c r="O483" s="811">
        <v>304</v>
      </c>
      <c r="P483" s="811">
        <v>197</v>
      </c>
      <c r="Q483" s="819"/>
      <c r="R483" s="811"/>
      <c r="S483" s="811"/>
      <c r="T483" s="811"/>
      <c r="U483" s="811"/>
      <c r="V483" s="811"/>
      <c r="W483" s="801">
        <f t="shared" si="142"/>
        <v>1911</v>
      </c>
      <c r="Y483" s="798">
        <f t="shared" si="143"/>
        <v>1911</v>
      </c>
      <c r="AA483" s="823"/>
      <c r="AB483" s="823"/>
      <c r="AC483" s="823"/>
      <c r="AD483" s="823"/>
      <c r="AE483" s="824">
        <f t="shared" si="154"/>
        <v>840.84</v>
      </c>
      <c r="AF483" s="863">
        <f t="shared" si="144"/>
        <v>304</v>
      </c>
      <c r="AG483" s="864">
        <f t="shared" si="145"/>
        <v>699</v>
      </c>
      <c r="AH483" s="864">
        <f t="shared" si="146"/>
        <v>466</v>
      </c>
      <c r="AI483" s="864">
        <f t="shared" si="147"/>
        <v>442</v>
      </c>
      <c r="AJ483" s="802">
        <f t="shared" si="148"/>
        <v>1911</v>
      </c>
      <c r="AP483" s="831">
        <f>AF483</f>
        <v>304</v>
      </c>
      <c r="AQ483" s="864">
        <f>AH483+AI483+AG483</f>
        <v>1607</v>
      </c>
      <c r="AR483" s="798">
        <f t="shared" si="149"/>
        <v>1911</v>
      </c>
      <c r="AS483" s="876">
        <f t="shared" si="150"/>
        <v>133.76</v>
      </c>
      <c r="AT483" s="876">
        <f t="shared" si="151"/>
        <v>707.08</v>
      </c>
    </row>
    <row r="484" spans="1:46" ht="19.2" customHeight="1">
      <c r="A484" s="798">
        <v>458</v>
      </c>
      <c r="B484" s="857">
        <v>11</v>
      </c>
      <c r="C484" s="900"/>
      <c r="D484" s="811">
        <v>213</v>
      </c>
      <c r="E484" s="811">
        <v>84</v>
      </c>
      <c r="F484" s="811"/>
      <c r="G484" s="811">
        <v>386</v>
      </c>
      <c r="H484" s="901">
        <v>220</v>
      </c>
      <c r="I484" s="901"/>
      <c r="J484" s="901"/>
      <c r="K484" s="901"/>
      <c r="L484" s="811"/>
      <c r="M484" s="811">
        <v>216</v>
      </c>
      <c r="N484" s="811">
        <v>213</v>
      </c>
      <c r="O484" s="811">
        <v>297</v>
      </c>
      <c r="P484" s="811">
        <v>179</v>
      </c>
      <c r="Q484" s="819"/>
      <c r="R484" s="811"/>
      <c r="S484" s="811"/>
      <c r="T484" s="811"/>
      <c r="U484" s="811"/>
      <c r="V484" s="811"/>
      <c r="W484" s="801">
        <f t="shared" si="142"/>
        <v>1808</v>
      </c>
      <c r="Y484" s="798">
        <f t="shared" si="143"/>
        <v>1808</v>
      </c>
      <c r="AA484" s="823"/>
      <c r="AB484" s="823"/>
      <c r="AC484" s="823"/>
      <c r="AD484" s="823"/>
      <c r="AE484" s="824">
        <f t="shared" si="154"/>
        <v>795.52</v>
      </c>
      <c r="AF484" s="863">
        <f t="shared" ref="AF484:AF498" si="155">E484+N484</f>
        <v>297</v>
      </c>
      <c r="AG484" s="864">
        <f t="shared" ref="AG484:AG498" si="156">G484+O484</f>
        <v>683</v>
      </c>
      <c r="AH484" s="864">
        <f t="shared" ref="AH484:AH498" si="157">H484+P484</f>
        <v>399</v>
      </c>
      <c r="AI484" s="864">
        <f t="shared" ref="AI484:AI498" si="158">D484+M484</f>
        <v>429</v>
      </c>
      <c r="AJ484" s="802">
        <f t="shared" si="148"/>
        <v>1808</v>
      </c>
      <c r="AP484" s="831">
        <f t="shared" ref="AP484:AP498" si="159">AF484</f>
        <v>297</v>
      </c>
      <c r="AQ484" s="864">
        <f t="shared" ref="AQ484:AQ498" si="160">AH484+AI484+AG484</f>
        <v>1511</v>
      </c>
      <c r="AR484" s="798">
        <f t="shared" si="149"/>
        <v>1808</v>
      </c>
      <c r="AS484" s="876">
        <f t="shared" si="150"/>
        <v>130.68</v>
      </c>
      <c r="AT484" s="876">
        <f t="shared" si="151"/>
        <v>664.84</v>
      </c>
    </row>
    <row r="485" spans="1:46" ht="19.2" customHeight="1">
      <c r="A485" s="798">
        <v>459</v>
      </c>
      <c r="B485" s="857">
        <v>11</v>
      </c>
      <c r="C485" s="900"/>
      <c r="D485" s="811">
        <v>165</v>
      </c>
      <c r="E485" s="811">
        <v>141</v>
      </c>
      <c r="F485" s="811"/>
      <c r="G485" s="811">
        <v>245</v>
      </c>
      <c r="H485" s="901">
        <v>211</v>
      </c>
      <c r="I485" s="901"/>
      <c r="J485" s="901"/>
      <c r="K485" s="901"/>
      <c r="L485" s="811"/>
      <c r="M485" s="811">
        <v>180</v>
      </c>
      <c r="N485" s="811">
        <v>189</v>
      </c>
      <c r="O485" s="811">
        <v>199</v>
      </c>
      <c r="P485" s="811">
        <v>175</v>
      </c>
      <c r="Q485" s="819"/>
      <c r="R485" s="811"/>
      <c r="S485" s="811"/>
      <c r="T485" s="811"/>
      <c r="U485" s="811"/>
      <c r="V485" s="811"/>
      <c r="W485" s="801">
        <f t="shared" si="142"/>
        <v>1505</v>
      </c>
      <c r="Y485" s="798">
        <f t="shared" si="143"/>
        <v>1505</v>
      </c>
      <c r="AA485" s="823"/>
      <c r="AB485" s="823"/>
      <c r="AC485" s="823"/>
      <c r="AD485" s="823"/>
      <c r="AE485" s="824">
        <f t="shared" si="154"/>
        <v>662.2</v>
      </c>
      <c r="AF485" s="863">
        <f t="shared" si="155"/>
        <v>330</v>
      </c>
      <c r="AG485" s="864">
        <f t="shared" si="156"/>
        <v>444</v>
      </c>
      <c r="AH485" s="864">
        <f t="shared" si="157"/>
        <v>386</v>
      </c>
      <c r="AI485" s="864">
        <f t="shared" si="158"/>
        <v>345</v>
      </c>
      <c r="AJ485" s="802">
        <f t="shared" si="148"/>
        <v>1505</v>
      </c>
      <c r="AP485" s="831">
        <f t="shared" si="159"/>
        <v>330</v>
      </c>
      <c r="AQ485" s="864">
        <f t="shared" si="160"/>
        <v>1175</v>
      </c>
      <c r="AR485" s="798">
        <f t="shared" si="149"/>
        <v>1505</v>
      </c>
      <c r="AS485" s="876">
        <f t="shared" si="150"/>
        <v>145.19999999999999</v>
      </c>
      <c r="AT485" s="876">
        <f t="shared" si="151"/>
        <v>517</v>
      </c>
    </row>
    <row r="486" spans="1:46" ht="19.2" customHeight="1">
      <c r="A486" s="798">
        <v>460</v>
      </c>
      <c r="B486" s="857">
        <v>11</v>
      </c>
      <c r="C486" s="900"/>
      <c r="D486" s="811">
        <v>187</v>
      </c>
      <c r="E486" s="811">
        <v>130</v>
      </c>
      <c r="F486" s="811"/>
      <c r="G486" s="811">
        <v>164</v>
      </c>
      <c r="H486" s="901">
        <v>254</v>
      </c>
      <c r="I486" s="901"/>
      <c r="J486" s="901"/>
      <c r="K486" s="901"/>
      <c r="L486" s="811"/>
      <c r="M486" s="811">
        <v>179</v>
      </c>
      <c r="N486" s="811">
        <v>131</v>
      </c>
      <c r="O486" s="811">
        <v>188</v>
      </c>
      <c r="P486" s="811">
        <v>236</v>
      </c>
      <c r="Q486" s="819"/>
      <c r="R486" s="811"/>
      <c r="S486" s="811"/>
      <c r="T486" s="811"/>
      <c r="U486" s="811"/>
      <c r="V486" s="811"/>
      <c r="W486" s="801">
        <f t="shared" si="142"/>
        <v>1469</v>
      </c>
      <c r="Y486" s="798">
        <f t="shared" si="143"/>
        <v>1469</v>
      </c>
      <c r="AA486" s="823"/>
      <c r="AB486" s="823"/>
      <c r="AC486" s="823"/>
      <c r="AD486" s="823"/>
      <c r="AE486" s="824">
        <f t="shared" si="154"/>
        <v>646.36</v>
      </c>
      <c r="AF486" s="863">
        <f t="shared" si="155"/>
        <v>261</v>
      </c>
      <c r="AG486" s="864">
        <f t="shared" si="156"/>
        <v>352</v>
      </c>
      <c r="AH486" s="864">
        <f t="shared" si="157"/>
        <v>490</v>
      </c>
      <c r="AI486" s="864">
        <f t="shared" si="158"/>
        <v>366</v>
      </c>
      <c r="AJ486" s="802">
        <f t="shared" si="148"/>
        <v>1469</v>
      </c>
      <c r="AP486" s="831">
        <f t="shared" si="159"/>
        <v>261</v>
      </c>
      <c r="AQ486" s="864">
        <f t="shared" si="160"/>
        <v>1208</v>
      </c>
      <c r="AR486" s="798">
        <f t="shared" si="149"/>
        <v>1469</v>
      </c>
      <c r="AS486" s="876">
        <f t="shared" si="150"/>
        <v>114.84</v>
      </c>
      <c r="AT486" s="876">
        <f t="shared" si="151"/>
        <v>531.52</v>
      </c>
    </row>
    <row r="487" spans="1:46" ht="19.2" customHeight="1">
      <c r="A487" s="798">
        <v>461</v>
      </c>
      <c r="B487" s="857">
        <v>11</v>
      </c>
      <c r="C487" s="900"/>
      <c r="D487" s="811">
        <v>266</v>
      </c>
      <c r="E487" s="811">
        <v>107</v>
      </c>
      <c r="F487" s="811"/>
      <c r="G487" s="811">
        <v>446</v>
      </c>
      <c r="H487" s="901">
        <v>203</v>
      </c>
      <c r="I487" s="901"/>
      <c r="J487" s="901"/>
      <c r="K487" s="901"/>
      <c r="L487" s="811"/>
      <c r="M487" s="811">
        <v>275</v>
      </c>
      <c r="N487" s="811">
        <v>230</v>
      </c>
      <c r="O487" s="811">
        <v>336</v>
      </c>
      <c r="P487" s="811">
        <v>219</v>
      </c>
      <c r="Q487" s="819"/>
      <c r="R487" s="811"/>
      <c r="S487" s="811"/>
      <c r="T487" s="811"/>
      <c r="U487" s="811"/>
      <c r="V487" s="811"/>
      <c r="W487" s="801">
        <f t="shared" ref="W487:W498" si="161">SUM(C487:V487)</f>
        <v>2082</v>
      </c>
      <c r="Y487" s="798">
        <f t="shared" ref="Y487:Y498" si="162">W487</f>
        <v>2082</v>
      </c>
      <c r="AA487" s="823"/>
      <c r="AB487" s="823"/>
      <c r="AC487" s="823"/>
      <c r="AD487" s="823"/>
      <c r="AE487" s="824">
        <f t="shared" si="154"/>
        <v>916.08</v>
      </c>
      <c r="AF487" s="863">
        <f t="shared" si="155"/>
        <v>337</v>
      </c>
      <c r="AG487" s="864">
        <f t="shared" si="156"/>
        <v>782</v>
      </c>
      <c r="AH487" s="864">
        <f t="shared" si="157"/>
        <v>422</v>
      </c>
      <c r="AI487" s="864">
        <f t="shared" si="158"/>
        <v>541</v>
      </c>
      <c r="AJ487" s="802">
        <f t="shared" si="148"/>
        <v>2082</v>
      </c>
      <c r="AP487" s="831">
        <f t="shared" si="159"/>
        <v>337</v>
      </c>
      <c r="AQ487" s="864">
        <f t="shared" si="160"/>
        <v>1745</v>
      </c>
      <c r="AR487" s="798">
        <f t="shared" si="149"/>
        <v>2082</v>
      </c>
      <c r="AS487" s="876">
        <f t="shared" si="150"/>
        <v>148.28</v>
      </c>
      <c r="AT487" s="876">
        <f t="shared" si="151"/>
        <v>767.8</v>
      </c>
    </row>
    <row r="488" spans="1:46" ht="19.2" customHeight="1">
      <c r="A488" s="798">
        <v>462</v>
      </c>
      <c r="B488" s="857">
        <v>11</v>
      </c>
      <c r="C488" s="900"/>
      <c r="D488" s="811">
        <v>269</v>
      </c>
      <c r="E488" s="811">
        <v>219</v>
      </c>
      <c r="F488" s="811"/>
      <c r="G488" s="811">
        <v>263</v>
      </c>
      <c r="H488" s="901">
        <v>268</v>
      </c>
      <c r="I488" s="901"/>
      <c r="J488" s="901"/>
      <c r="K488" s="901"/>
      <c r="L488" s="811"/>
      <c r="M488" s="811">
        <v>236</v>
      </c>
      <c r="N488" s="811">
        <v>135</v>
      </c>
      <c r="O488" s="811">
        <v>281</v>
      </c>
      <c r="P488" s="811">
        <v>198</v>
      </c>
      <c r="Q488" s="819"/>
      <c r="R488" s="811"/>
      <c r="S488" s="811"/>
      <c r="T488" s="811"/>
      <c r="U488" s="811"/>
      <c r="V488" s="811"/>
      <c r="W488" s="801">
        <f t="shared" si="161"/>
        <v>1869</v>
      </c>
      <c r="Y488" s="798">
        <f t="shared" si="162"/>
        <v>1869</v>
      </c>
      <c r="AA488" s="823"/>
      <c r="AB488" s="823"/>
      <c r="AC488" s="823"/>
      <c r="AD488" s="823"/>
      <c r="AE488" s="824">
        <f t="shared" si="154"/>
        <v>822.36</v>
      </c>
      <c r="AF488" s="863">
        <f t="shared" si="155"/>
        <v>354</v>
      </c>
      <c r="AG488" s="864">
        <f t="shared" si="156"/>
        <v>544</v>
      </c>
      <c r="AH488" s="864">
        <f t="shared" si="157"/>
        <v>466</v>
      </c>
      <c r="AI488" s="864">
        <f t="shared" si="158"/>
        <v>505</v>
      </c>
      <c r="AJ488" s="802">
        <f t="shared" si="148"/>
        <v>1869</v>
      </c>
      <c r="AP488" s="831">
        <f t="shared" si="159"/>
        <v>354</v>
      </c>
      <c r="AQ488" s="864">
        <f t="shared" si="160"/>
        <v>1515</v>
      </c>
      <c r="AR488" s="798">
        <f t="shared" si="149"/>
        <v>1869</v>
      </c>
      <c r="AS488" s="876">
        <f t="shared" si="150"/>
        <v>155.76</v>
      </c>
      <c r="AT488" s="876">
        <f t="shared" si="151"/>
        <v>666.6</v>
      </c>
    </row>
    <row r="489" spans="1:46" ht="19.2" customHeight="1">
      <c r="A489" s="798">
        <v>463</v>
      </c>
      <c r="B489" s="857">
        <v>11</v>
      </c>
      <c r="C489" s="900"/>
      <c r="D489" s="811">
        <v>185</v>
      </c>
      <c r="E489" s="811">
        <v>103</v>
      </c>
      <c r="F489" s="811"/>
      <c r="G489" s="811">
        <v>303</v>
      </c>
      <c r="H489" s="901">
        <v>190</v>
      </c>
      <c r="I489" s="901"/>
      <c r="J489" s="901"/>
      <c r="K489" s="901"/>
      <c r="L489" s="811"/>
      <c r="M489" s="811">
        <v>110</v>
      </c>
      <c r="N489" s="811">
        <v>212</v>
      </c>
      <c r="O489" s="811">
        <v>227</v>
      </c>
      <c r="P489" s="811">
        <v>185</v>
      </c>
      <c r="Q489" s="819"/>
      <c r="R489" s="811"/>
      <c r="S489" s="811"/>
      <c r="T489" s="811"/>
      <c r="U489" s="811"/>
      <c r="V489" s="811"/>
      <c r="W489" s="801">
        <f t="shared" si="161"/>
        <v>1515</v>
      </c>
      <c r="Y489" s="798">
        <f t="shared" si="162"/>
        <v>1515</v>
      </c>
      <c r="AA489" s="823"/>
      <c r="AB489" s="823"/>
      <c r="AC489" s="823"/>
      <c r="AD489" s="823"/>
      <c r="AE489" s="824">
        <f t="shared" si="154"/>
        <v>666.6</v>
      </c>
      <c r="AF489" s="863">
        <f t="shared" si="155"/>
        <v>315</v>
      </c>
      <c r="AG489" s="864">
        <f t="shared" si="156"/>
        <v>530</v>
      </c>
      <c r="AH489" s="864">
        <f t="shared" si="157"/>
        <v>375</v>
      </c>
      <c r="AI489" s="864">
        <f t="shared" si="158"/>
        <v>295</v>
      </c>
      <c r="AJ489" s="802">
        <f t="shared" si="148"/>
        <v>1515</v>
      </c>
      <c r="AP489" s="831">
        <f t="shared" si="159"/>
        <v>315</v>
      </c>
      <c r="AQ489" s="864">
        <f t="shared" si="160"/>
        <v>1200</v>
      </c>
      <c r="AR489" s="798">
        <f t="shared" si="149"/>
        <v>1515</v>
      </c>
      <c r="AS489" s="876">
        <f t="shared" si="150"/>
        <v>138.6</v>
      </c>
      <c r="AT489" s="876">
        <f t="shared" si="151"/>
        <v>528</v>
      </c>
    </row>
    <row r="490" spans="1:46" ht="19.2" customHeight="1">
      <c r="A490" s="798">
        <v>464</v>
      </c>
      <c r="B490" s="857">
        <v>11</v>
      </c>
      <c r="C490" s="900"/>
      <c r="D490" s="811">
        <v>202</v>
      </c>
      <c r="E490" s="811">
        <v>240</v>
      </c>
      <c r="F490" s="811"/>
      <c r="G490" s="811">
        <v>263</v>
      </c>
      <c r="H490" s="901">
        <v>244</v>
      </c>
      <c r="I490" s="901"/>
      <c r="J490" s="901"/>
      <c r="K490" s="901"/>
      <c r="L490" s="811"/>
      <c r="M490" s="811">
        <v>229</v>
      </c>
      <c r="N490" s="811">
        <v>263</v>
      </c>
      <c r="O490" s="811">
        <v>207</v>
      </c>
      <c r="P490" s="811">
        <v>174</v>
      </c>
      <c r="Q490" s="819"/>
      <c r="R490" s="811"/>
      <c r="S490" s="811"/>
      <c r="T490" s="811"/>
      <c r="U490" s="811"/>
      <c r="V490" s="811"/>
      <c r="W490" s="801">
        <f t="shared" si="161"/>
        <v>1822</v>
      </c>
      <c r="Y490" s="798">
        <f t="shared" si="162"/>
        <v>1822</v>
      </c>
      <c r="AA490" s="823"/>
      <c r="AB490" s="823"/>
      <c r="AC490" s="823"/>
      <c r="AD490" s="823"/>
      <c r="AE490" s="824">
        <f t="shared" si="154"/>
        <v>801.68</v>
      </c>
      <c r="AF490" s="863">
        <f t="shared" si="155"/>
        <v>503</v>
      </c>
      <c r="AG490" s="864">
        <f t="shared" si="156"/>
        <v>470</v>
      </c>
      <c r="AH490" s="864">
        <f t="shared" si="157"/>
        <v>418</v>
      </c>
      <c r="AI490" s="864">
        <f t="shared" si="158"/>
        <v>431</v>
      </c>
      <c r="AJ490" s="802">
        <f t="shared" si="148"/>
        <v>1822</v>
      </c>
      <c r="AP490" s="831">
        <f t="shared" si="159"/>
        <v>503</v>
      </c>
      <c r="AQ490" s="864">
        <f t="shared" si="160"/>
        <v>1319</v>
      </c>
      <c r="AR490" s="798">
        <f t="shared" si="149"/>
        <v>1822</v>
      </c>
      <c r="AS490" s="876">
        <f t="shared" si="150"/>
        <v>221.32</v>
      </c>
      <c r="AT490" s="876">
        <f t="shared" si="151"/>
        <v>580.36</v>
      </c>
    </row>
    <row r="491" spans="1:46" ht="19.2" customHeight="1">
      <c r="A491" s="798">
        <v>465</v>
      </c>
      <c r="B491" s="857">
        <v>11</v>
      </c>
      <c r="C491" s="900"/>
      <c r="D491" s="811">
        <v>231</v>
      </c>
      <c r="E491" s="811">
        <v>248</v>
      </c>
      <c r="F491" s="811"/>
      <c r="G491" s="811">
        <v>289</v>
      </c>
      <c r="H491" s="901">
        <v>294</v>
      </c>
      <c r="I491" s="901"/>
      <c r="J491" s="901"/>
      <c r="K491" s="901"/>
      <c r="L491" s="811"/>
      <c r="M491" s="811">
        <v>270</v>
      </c>
      <c r="N491" s="811">
        <v>231</v>
      </c>
      <c r="O491" s="811">
        <v>252</v>
      </c>
      <c r="P491" s="811">
        <v>243</v>
      </c>
      <c r="Q491" s="819"/>
      <c r="R491" s="811"/>
      <c r="S491" s="811"/>
      <c r="T491" s="811"/>
      <c r="U491" s="811"/>
      <c r="V491" s="811"/>
      <c r="W491" s="801">
        <f t="shared" si="161"/>
        <v>2058</v>
      </c>
      <c r="Y491" s="798">
        <f t="shared" si="162"/>
        <v>2058</v>
      </c>
      <c r="AA491" s="823"/>
      <c r="AB491" s="823"/>
      <c r="AC491" s="823"/>
      <c r="AD491" s="823"/>
      <c r="AE491" s="824">
        <f t="shared" si="154"/>
        <v>905.52</v>
      </c>
      <c r="AF491" s="863">
        <f t="shared" si="155"/>
        <v>479</v>
      </c>
      <c r="AG491" s="864">
        <f t="shared" si="156"/>
        <v>541</v>
      </c>
      <c r="AH491" s="864">
        <f t="shared" si="157"/>
        <v>537</v>
      </c>
      <c r="AI491" s="864">
        <f t="shared" si="158"/>
        <v>501</v>
      </c>
      <c r="AJ491" s="802">
        <f t="shared" si="148"/>
        <v>2058</v>
      </c>
      <c r="AP491" s="831">
        <f t="shared" si="159"/>
        <v>479</v>
      </c>
      <c r="AQ491" s="864">
        <f t="shared" si="160"/>
        <v>1579</v>
      </c>
      <c r="AR491" s="798">
        <f t="shared" si="149"/>
        <v>2058</v>
      </c>
      <c r="AS491" s="876">
        <f t="shared" si="150"/>
        <v>210.76</v>
      </c>
      <c r="AT491" s="876">
        <f t="shared" si="151"/>
        <v>694.76</v>
      </c>
    </row>
    <row r="492" spans="1:46" ht="19.2" customHeight="1">
      <c r="A492" s="798">
        <v>466</v>
      </c>
      <c r="B492" s="857">
        <v>11</v>
      </c>
      <c r="C492" s="900"/>
      <c r="D492" s="811">
        <v>216</v>
      </c>
      <c r="E492" s="811">
        <v>159</v>
      </c>
      <c r="F492" s="811"/>
      <c r="G492" s="811">
        <v>283</v>
      </c>
      <c r="H492" s="901">
        <v>227</v>
      </c>
      <c r="I492" s="901"/>
      <c r="J492" s="901"/>
      <c r="K492" s="901"/>
      <c r="L492" s="811"/>
      <c r="M492" s="811">
        <v>118</v>
      </c>
      <c r="N492" s="811">
        <v>221</v>
      </c>
      <c r="O492" s="811">
        <v>209</v>
      </c>
      <c r="P492" s="811">
        <v>150</v>
      </c>
      <c r="Q492" s="819"/>
      <c r="R492" s="811"/>
      <c r="S492" s="811"/>
      <c r="T492" s="811"/>
      <c r="U492" s="811"/>
      <c r="V492" s="811"/>
      <c r="W492" s="801">
        <f t="shared" si="161"/>
        <v>1583</v>
      </c>
      <c r="Y492" s="798">
        <f t="shared" si="162"/>
        <v>1583</v>
      </c>
      <c r="AA492" s="823"/>
      <c r="AB492" s="823"/>
      <c r="AC492" s="823"/>
      <c r="AD492" s="823"/>
      <c r="AE492" s="824">
        <f t="shared" si="154"/>
        <v>696.52</v>
      </c>
      <c r="AF492" s="863">
        <f t="shared" si="155"/>
        <v>380</v>
      </c>
      <c r="AG492" s="864">
        <f t="shared" si="156"/>
        <v>492</v>
      </c>
      <c r="AH492" s="864">
        <f t="shared" si="157"/>
        <v>377</v>
      </c>
      <c r="AI492" s="864">
        <f t="shared" si="158"/>
        <v>334</v>
      </c>
      <c r="AJ492" s="802">
        <f t="shared" si="148"/>
        <v>1583</v>
      </c>
      <c r="AP492" s="831">
        <f t="shared" si="159"/>
        <v>380</v>
      </c>
      <c r="AQ492" s="864">
        <f t="shared" si="160"/>
        <v>1203</v>
      </c>
      <c r="AR492" s="798">
        <f t="shared" si="149"/>
        <v>1583</v>
      </c>
      <c r="AS492" s="876">
        <f t="shared" si="150"/>
        <v>167.2</v>
      </c>
      <c r="AT492" s="876">
        <f t="shared" si="151"/>
        <v>529.32000000000005</v>
      </c>
    </row>
    <row r="493" spans="1:46" ht="19.2" customHeight="1">
      <c r="A493" s="798">
        <v>467</v>
      </c>
      <c r="B493" s="857">
        <v>11</v>
      </c>
      <c r="C493" s="900"/>
      <c r="D493" s="811">
        <v>262</v>
      </c>
      <c r="E493" s="811">
        <v>263</v>
      </c>
      <c r="F493" s="811"/>
      <c r="G493" s="811">
        <v>331</v>
      </c>
      <c r="H493" s="901">
        <v>326</v>
      </c>
      <c r="I493" s="901"/>
      <c r="J493" s="901"/>
      <c r="K493" s="901"/>
      <c r="L493" s="811"/>
      <c r="M493" s="811">
        <v>282</v>
      </c>
      <c r="N493" s="811">
        <v>228</v>
      </c>
      <c r="O493" s="811">
        <v>243</v>
      </c>
      <c r="P493" s="811">
        <v>185</v>
      </c>
      <c r="Q493" s="819"/>
      <c r="R493" s="811"/>
      <c r="S493" s="811"/>
      <c r="T493" s="811"/>
      <c r="U493" s="811"/>
      <c r="V493" s="811"/>
      <c r="W493" s="801">
        <f t="shared" si="161"/>
        <v>2120</v>
      </c>
      <c r="Y493" s="798">
        <f t="shared" si="162"/>
        <v>2120</v>
      </c>
      <c r="AA493" s="823"/>
      <c r="AB493" s="823"/>
      <c r="AC493" s="823"/>
      <c r="AD493" s="823"/>
      <c r="AE493" s="824">
        <f t="shared" si="154"/>
        <v>932.8</v>
      </c>
      <c r="AF493" s="863">
        <f t="shared" si="155"/>
        <v>491</v>
      </c>
      <c r="AG493" s="864">
        <f t="shared" si="156"/>
        <v>574</v>
      </c>
      <c r="AH493" s="864">
        <f t="shared" si="157"/>
        <v>511</v>
      </c>
      <c r="AI493" s="864">
        <f t="shared" si="158"/>
        <v>544</v>
      </c>
      <c r="AJ493" s="802">
        <f t="shared" si="148"/>
        <v>2120</v>
      </c>
      <c r="AP493" s="831">
        <f t="shared" si="159"/>
        <v>491</v>
      </c>
      <c r="AQ493" s="864">
        <f t="shared" si="160"/>
        <v>1629</v>
      </c>
      <c r="AR493" s="798">
        <f t="shared" si="149"/>
        <v>2120</v>
      </c>
      <c r="AS493" s="876">
        <f t="shared" si="150"/>
        <v>216.04</v>
      </c>
      <c r="AT493" s="876">
        <f t="shared" si="151"/>
        <v>716.76</v>
      </c>
    </row>
    <row r="494" spans="1:46" ht="19.2" customHeight="1">
      <c r="A494" s="798">
        <v>468</v>
      </c>
      <c r="B494" s="857">
        <v>11</v>
      </c>
      <c r="C494" s="900"/>
      <c r="D494" s="811">
        <v>337</v>
      </c>
      <c r="E494" s="811">
        <v>268</v>
      </c>
      <c r="F494" s="811"/>
      <c r="G494" s="811">
        <v>348</v>
      </c>
      <c r="H494" s="901">
        <v>278</v>
      </c>
      <c r="I494" s="901"/>
      <c r="J494" s="901"/>
      <c r="K494" s="901"/>
      <c r="L494" s="811"/>
      <c r="M494" s="811">
        <v>319</v>
      </c>
      <c r="N494" s="811">
        <v>189</v>
      </c>
      <c r="O494" s="811">
        <v>255</v>
      </c>
      <c r="P494" s="811">
        <v>273</v>
      </c>
      <c r="Q494" s="819"/>
      <c r="R494" s="811"/>
      <c r="S494" s="811"/>
      <c r="T494" s="811"/>
      <c r="U494" s="811"/>
      <c r="V494" s="811"/>
      <c r="W494" s="801">
        <f t="shared" si="161"/>
        <v>2267</v>
      </c>
      <c r="Y494" s="798">
        <f t="shared" si="162"/>
        <v>2267</v>
      </c>
      <c r="AA494" s="823"/>
      <c r="AB494" s="823"/>
      <c r="AC494" s="823"/>
      <c r="AD494" s="823"/>
      <c r="AE494" s="824">
        <f t="shared" si="154"/>
        <v>997.48</v>
      </c>
      <c r="AF494" s="863">
        <f t="shared" si="155"/>
        <v>457</v>
      </c>
      <c r="AG494" s="864">
        <f t="shared" si="156"/>
        <v>603</v>
      </c>
      <c r="AH494" s="864">
        <f t="shared" si="157"/>
        <v>551</v>
      </c>
      <c r="AI494" s="864">
        <f t="shared" si="158"/>
        <v>656</v>
      </c>
      <c r="AJ494" s="802">
        <f t="shared" si="148"/>
        <v>2267</v>
      </c>
      <c r="AP494" s="831">
        <f t="shared" si="159"/>
        <v>457</v>
      </c>
      <c r="AQ494" s="864">
        <f t="shared" si="160"/>
        <v>1810</v>
      </c>
      <c r="AR494" s="798">
        <f t="shared" si="149"/>
        <v>2267</v>
      </c>
      <c r="AS494" s="876">
        <f t="shared" si="150"/>
        <v>201.08</v>
      </c>
      <c r="AT494" s="876">
        <f t="shared" si="151"/>
        <v>796.4</v>
      </c>
    </row>
    <row r="495" spans="1:46" ht="19.2" customHeight="1">
      <c r="A495" s="798">
        <v>469</v>
      </c>
      <c r="B495" s="857">
        <v>11</v>
      </c>
      <c r="C495" s="900"/>
      <c r="D495" s="811">
        <v>155</v>
      </c>
      <c r="E495" s="811">
        <v>234</v>
      </c>
      <c r="F495" s="811"/>
      <c r="G495" s="811">
        <v>394</v>
      </c>
      <c r="H495" s="901">
        <v>392</v>
      </c>
      <c r="I495" s="901"/>
      <c r="J495" s="901"/>
      <c r="K495" s="901"/>
      <c r="L495" s="811"/>
      <c r="M495" s="811">
        <v>295</v>
      </c>
      <c r="N495" s="811">
        <v>266</v>
      </c>
      <c r="O495" s="811">
        <v>319</v>
      </c>
      <c r="P495" s="811">
        <v>287</v>
      </c>
      <c r="Q495" s="819"/>
      <c r="R495" s="811"/>
      <c r="S495" s="811"/>
      <c r="T495" s="811"/>
      <c r="U495" s="811"/>
      <c r="V495" s="811"/>
      <c r="W495" s="801">
        <f t="shared" si="161"/>
        <v>2342</v>
      </c>
      <c r="Y495" s="798">
        <f t="shared" si="162"/>
        <v>2342</v>
      </c>
      <c r="AA495" s="823"/>
      <c r="AB495" s="823"/>
      <c r="AC495" s="823"/>
      <c r="AD495" s="823"/>
      <c r="AE495" s="824">
        <f t="shared" si="154"/>
        <v>1030.48</v>
      </c>
      <c r="AF495" s="863">
        <f t="shared" si="155"/>
        <v>500</v>
      </c>
      <c r="AG495" s="864">
        <f t="shared" si="156"/>
        <v>713</v>
      </c>
      <c r="AH495" s="864">
        <f t="shared" si="157"/>
        <v>679</v>
      </c>
      <c r="AI495" s="864">
        <f t="shared" si="158"/>
        <v>450</v>
      </c>
      <c r="AJ495" s="802">
        <f t="shared" si="148"/>
        <v>2342</v>
      </c>
      <c r="AP495" s="831">
        <f t="shared" si="159"/>
        <v>500</v>
      </c>
      <c r="AQ495" s="864">
        <f t="shared" si="160"/>
        <v>1842</v>
      </c>
      <c r="AR495" s="798">
        <f t="shared" si="149"/>
        <v>2342</v>
      </c>
      <c r="AS495" s="876">
        <f t="shared" si="150"/>
        <v>220</v>
      </c>
      <c r="AT495" s="876">
        <f t="shared" si="151"/>
        <v>810.48</v>
      </c>
    </row>
    <row r="496" spans="1:46" ht="19.2" customHeight="1">
      <c r="A496" s="798">
        <v>470</v>
      </c>
      <c r="B496" s="857">
        <v>11</v>
      </c>
      <c r="C496" s="900"/>
      <c r="D496" s="811">
        <v>161</v>
      </c>
      <c r="E496" s="811">
        <v>100</v>
      </c>
      <c r="F496" s="811"/>
      <c r="G496" s="811">
        <v>244</v>
      </c>
      <c r="H496" s="901">
        <v>285</v>
      </c>
      <c r="I496" s="901"/>
      <c r="J496" s="901"/>
      <c r="K496" s="901"/>
      <c r="L496" s="811"/>
      <c r="M496" s="811">
        <v>149</v>
      </c>
      <c r="N496" s="811">
        <v>96</v>
      </c>
      <c r="O496" s="811">
        <v>192</v>
      </c>
      <c r="P496" s="811">
        <v>223</v>
      </c>
      <c r="Q496" s="819"/>
      <c r="R496" s="811"/>
      <c r="S496" s="811"/>
      <c r="T496" s="811"/>
      <c r="U496" s="811"/>
      <c r="V496" s="811"/>
      <c r="W496" s="801">
        <f t="shared" si="161"/>
        <v>1450</v>
      </c>
      <c r="Y496" s="798">
        <f t="shared" si="162"/>
        <v>1450</v>
      </c>
      <c r="AA496" s="823"/>
      <c r="AB496" s="823"/>
      <c r="AC496" s="823"/>
      <c r="AD496" s="823"/>
      <c r="AE496" s="824">
        <f t="shared" si="154"/>
        <v>638</v>
      </c>
      <c r="AF496" s="863">
        <f t="shared" si="155"/>
        <v>196</v>
      </c>
      <c r="AG496" s="864">
        <f t="shared" si="156"/>
        <v>436</v>
      </c>
      <c r="AH496" s="864">
        <f t="shared" si="157"/>
        <v>508</v>
      </c>
      <c r="AI496" s="864">
        <f t="shared" si="158"/>
        <v>310</v>
      </c>
      <c r="AJ496" s="802">
        <f t="shared" si="148"/>
        <v>1450</v>
      </c>
      <c r="AP496" s="831">
        <f t="shared" si="159"/>
        <v>196</v>
      </c>
      <c r="AQ496" s="864">
        <f t="shared" si="160"/>
        <v>1254</v>
      </c>
      <c r="AR496" s="798">
        <f t="shared" si="149"/>
        <v>1450</v>
      </c>
      <c r="AS496" s="876">
        <f t="shared" si="150"/>
        <v>86.24</v>
      </c>
      <c r="AT496" s="876">
        <f t="shared" si="151"/>
        <v>551.76</v>
      </c>
    </row>
    <row r="497" spans="1:46" ht="19.2" customHeight="1">
      <c r="A497" s="798">
        <v>471</v>
      </c>
      <c r="B497" s="857">
        <v>11</v>
      </c>
      <c r="C497" s="900"/>
      <c r="D497" s="811">
        <v>255</v>
      </c>
      <c r="E497" s="811">
        <v>222</v>
      </c>
      <c r="F497" s="811"/>
      <c r="G497" s="811">
        <v>218</v>
      </c>
      <c r="H497" s="901">
        <v>383</v>
      </c>
      <c r="I497" s="901"/>
      <c r="J497" s="901"/>
      <c r="K497" s="901"/>
      <c r="L497" s="811"/>
      <c r="M497" s="811">
        <v>224</v>
      </c>
      <c r="N497" s="811">
        <v>259</v>
      </c>
      <c r="O497" s="811">
        <v>326</v>
      </c>
      <c r="P497" s="811">
        <v>241</v>
      </c>
      <c r="Q497" s="819"/>
      <c r="R497" s="811"/>
      <c r="S497" s="811"/>
      <c r="T497" s="811"/>
      <c r="U497" s="811"/>
      <c r="V497" s="811"/>
      <c r="W497" s="801">
        <f t="shared" si="161"/>
        <v>2128</v>
      </c>
      <c r="Y497" s="798">
        <f t="shared" si="162"/>
        <v>2128</v>
      </c>
      <c r="AA497" s="823"/>
      <c r="AB497" s="823"/>
      <c r="AC497" s="823"/>
      <c r="AD497" s="823"/>
      <c r="AE497" s="824">
        <f t="shared" si="154"/>
        <v>936.32</v>
      </c>
      <c r="AF497" s="863">
        <f t="shared" si="155"/>
        <v>481</v>
      </c>
      <c r="AG497" s="864">
        <f t="shared" si="156"/>
        <v>544</v>
      </c>
      <c r="AH497" s="864">
        <f t="shared" si="157"/>
        <v>624</v>
      </c>
      <c r="AI497" s="864">
        <f t="shared" si="158"/>
        <v>479</v>
      </c>
      <c r="AJ497" s="802">
        <f t="shared" si="148"/>
        <v>2128</v>
      </c>
      <c r="AP497" s="831">
        <f t="shared" si="159"/>
        <v>481</v>
      </c>
      <c r="AQ497" s="864">
        <f t="shared" si="160"/>
        <v>1647</v>
      </c>
      <c r="AR497" s="798">
        <f t="shared" si="149"/>
        <v>2128</v>
      </c>
      <c r="AS497" s="876">
        <f t="shared" si="150"/>
        <v>211.64</v>
      </c>
      <c r="AT497" s="876">
        <f t="shared" si="151"/>
        <v>724.68</v>
      </c>
    </row>
    <row r="498" spans="1:46" ht="19.2" customHeight="1">
      <c r="A498" s="798">
        <v>472</v>
      </c>
      <c r="B498" s="857">
        <v>11</v>
      </c>
      <c r="C498" s="900"/>
      <c r="D498" s="811">
        <v>181</v>
      </c>
      <c r="E498" s="811">
        <v>216</v>
      </c>
      <c r="F498" s="811"/>
      <c r="G498" s="811">
        <v>241</v>
      </c>
      <c r="H498" s="901">
        <v>342</v>
      </c>
      <c r="I498" s="901"/>
      <c r="J498" s="901"/>
      <c r="K498" s="901"/>
      <c r="L498" s="811"/>
      <c r="M498" s="811">
        <v>179</v>
      </c>
      <c r="N498" s="811">
        <v>277</v>
      </c>
      <c r="O498" s="811">
        <v>322</v>
      </c>
      <c r="P498" s="811">
        <v>154</v>
      </c>
      <c r="Q498" s="819"/>
      <c r="R498" s="811"/>
      <c r="S498" s="811"/>
      <c r="T498" s="811"/>
      <c r="U498" s="811"/>
      <c r="V498" s="811"/>
      <c r="W498" s="801">
        <f t="shared" si="161"/>
        <v>1912</v>
      </c>
      <c r="Y498" s="798">
        <f t="shared" si="162"/>
        <v>1912</v>
      </c>
      <c r="AA498" s="823"/>
      <c r="AB498" s="823"/>
      <c r="AC498" s="823"/>
      <c r="AD498" s="823"/>
      <c r="AE498" s="824">
        <f t="shared" si="154"/>
        <v>841.28</v>
      </c>
      <c r="AF498" s="863">
        <f t="shared" si="155"/>
        <v>493</v>
      </c>
      <c r="AG498" s="864">
        <f t="shared" si="156"/>
        <v>563</v>
      </c>
      <c r="AH498" s="864">
        <f t="shared" si="157"/>
        <v>496</v>
      </c>
      <c r="AI498" s="864">
        <f t="shared" si="158"/>
        <v>360</v>
      </c>
      <c r="AJ498" s="802">
        <f t="shared" si="148"/>
        <v>1912</v>
      </c>
      <c r="AP498" s="831">
        <f t="shared" si="159"/>
        <v>493</v>
      </c>
      <c r="AQ498" s="864">
        <f t="shared" si="160"/>
        <v>1419</v>
      </c>
      <c r="AR498" s="798">
        <f t="shared" si="149"/>
        <v>1912</v>
      </c>
      <c r="AS498" s="876">
        <f>ROUND(AP498*0.44,2)-0.08</f>
        <v>216.83999999999997</v>
      </c>
      <c r="AT498" s="876">
        <f>ROUND(AQ498*0.44,2)+0.28</f>
        <v>624.64</v>
      </c>
    </row>
    <row r="499" spans="1:46" s="790" customFormat="1" ht="28.2" customHeight="1">
      <c r="A499" s="792"/>
      <c r="B499" s="808"/>
      <c r="C499" s="809">
        <f>C402+C316+C177+C8</f>
        <v>0</v>
      </c>
      <c r="D499" s="809">
        <f t="shared" ref="D499:X499" si="163">D402+D316+D177+D8</f>
        <v>16821</v>
      </c>
      <c r="E499" s="809">
        <f t="shared" si="163"/>
        <v>12655</v>
      </c>
      <c r="F499" s="809">
        <f t="shared" si="163"/>
        <v>0</v>
      </c>
      <c r="G499" s="809">
        <f t="shared" si="163"/>
        <v>42495</v>
      </c>
      <c r="H499" s="809">
        <f t="shared" si="163"/>
        <v>93825</v>
      </c>
      <c r="I499" s="809">
        <f t="shared" si="163"/>
        <v>62596</v>
      </c>
      <c r="J499" s="809">
        <f t="shared" si="163"/>
        <v>42035</v>
      </c>
      <c r="K499" s="809">
        <f t="shared" si="163"/>
        <v>49095</v>
      </c>
      <c r="L499" s="809">
        <f t="shared" si="163"/>
        <v>0</v>
      </c>
      <c r="M499" s="809">
        <f t="shared" si="163"/>
        <v>48560</v>
      </c>
      <c r="N499" s="809">
        <f t="shared" si="163"/>
        <v>55097</v>
      </c>
      <c r="O499" s="809">
        <f t="shared" si="163"/>
        <v>56678</v>
      </c>
      <c r="P499" s="809">
        <f t="shared" si="163"/>
        <v>54273</v>
      </c>
      <c r="Q499" s="809">
        <f t="shared" si="163"/>
        <v>42851</v>
      </c>
      <c r="R499" s="809">
        <f t="shared" si="163"/>
        <v>0</v>
      </c>
      <c r="S499" s="809">
        <f t="shared" si="163"/>
        <v>0</v>
      </c>
      <c r="T499" s="809">
        <f t="shared" si="163"/>
        <v>0</v>
      </c>
      <c r="U499" s="809">
        <f t="shared" si="163"/>
        <v>0</v>
      </c>
      <c r="V499" s="809">
        <f t="shared" si="163"/>
        <v>0</v>
      </c>
      <c r="W499" s="809">
        <f t="shared" si="163"/>
        <v>576981</v>
      </c>
      <c r="X499" s="809">
        <f t="shared" si="163"/>
        <v>0</v>
      </c>
      <c r="Y499" s="809">
        <f t="shared" ref="Y499:AJ499" si="164">Y402+Y316+Y177+Y8</f>
        <v>576981</v>
      </c>
      <c r="Z499" s="809">
        <f t="shared" si="164"/>
        <v>0</v>
      </c>
      <c r="AA499" s="809" t="e">
        <f t="shared" si="164"/>
        <v>#N/A</v>
      </c>
      <c r="AB499" s="809" t="e">
        <f t="shared" si="164"/>
        <v>#N/A</v>
      </c>
      <c r="AC499" s="809" t="e">
        <f t="shared" si="164"/>
        <v>#N/A</v>
      </c>
      <c r="AD499" s="809" t="e">
        <f t="shared" si="164"/>
        <v>#N/A</v>
      </c>
      <c r="AE499" s="910">
        <f t="shared" si="164"/>
        <v>253871.64</v>
      </c>
      <c r="AF499" s="809">
        <f t="shared" si="164"/>
        <v>154226</v>
      </c>
      <c r="AG499" s="809">
        <f t="shared" si="164"/>
        <v>165403</v>
      </c>
      <c r="AH499" s="809">
        <f t="shared" si="164"/>
        <v>156581</v>
      </c>
      <c r="AI499" s="809">
        <f t="shared" si="164"/>
        <v>100771</v>
      </c>
      <c r="AJ499" s="809">
        <f t="shared" si="164"/>
        <v>576981</v>
      </c>
    </row>
    <row r="500" spans="1:46">
      <c r="Q500" s="800" t="s">
        <v>1374</v>
      </c>
      <c r="W500" s="906">
        <f>ROUND(SUM(C499:V499)*0.44,0)</f>
        <v>253872</v>
      </c>
      <c r="X500" s="802">
        <f>ROUND(X499*0.44,)</f>
        <v>0</v>
      </c>
      <c r="Y500" s="802">
        <f>ROUND(Y499*0.44,0)-1</f>
        <v>253871</v>
      </c>
    </row>
    <row r="501" spans="1:46">
      <c r="W501" s="893">
        <f>(W499*0.44)</f>
        <v>253871.64</v>
      </c>
      <c r="X501" s="876"/>
      <c r="Y501" s="876"/>
    </row>
    <row r="502" spans="1:46">
      <c r="AG502" s="916">
        <v>0.44</v>
      </c>
      <c r="AH502" s="916"/>
      <c r="AI502" s="917"/>
    </row>
    <row r="503" spans="1:46" ht="25.95" customHeight="1">
      <c r="D503" s="1334" t="s">
        <v>1375</v>
      </c>
      <c r="E503" s="1334"/>
      <c r="F503" s="902" t="e">
        <f>W8+W177+#REF!</f>
        <v>#REF!</v>
      </c>
      <c r="G503" s="802" t="e">
        <f>F503-F507</f>
        <v>#REF!</v>
      </c>
      <c r="H503" s="802"/>
      <c r="P503" s="867">
        <f>SUM(C499:Q499)</f>
        <v>576981</v>
      </c>
      <c r="W503" s="907">
        <f>W501*480</f>
        <v>121858387.2</v>
      </c>
      <c r="X503" s="831">
        <f>X500*100</f>
        <v>0</v>
      </c>
      <c r="AF503" s="862" t="s">
        <v>270</v>
      </c>
      <c r="AG503" s="918">
        <f>AH503*0.44</f>
        <v>80391.520000000004</v>
      </c>
      <c r="AH503" s="830">
        <f>AJ8</f>
        <v>182708</v>
      </c>
      <c r="AI503" s="830"/>
      <c r="AK503" s="830"/>
      <c r="AP503" s="798">
        <v>1</v>
      </c>
      <c r="AQ503" s="831">
        <f>AK9</f>
        <v>48462</v>
      </c>
    </row>
    <row r="504" spans="1:46" ht="25.95" customHeight="1">
      <c r="D504" s="1334" t="s">
        <v>1376</v>
      </c>
      <c r="E504" s="1334"/>
      <c r="F504" s="802" t="e">
        <f>#REF!+#REF!+#REF!</f>
        <v>#REF!</v>
      </c>
      <c r="G504" s="802"/>
      <c r="H504" s="802"/>
      <c r="W504" s="907"/>
      <c r="AF504" s="862" t="s">
        <v>619</v>
      </c>
      <c r="AG504" s="918">
        <f>AH504*0.44</f>
        <v>68137.52</v>
      </c>
      <c r="AH504" s="830">
        <f>AJ177</f>
        <v>154858</v>
      </c>
      <c r="AK504" s="830"/>
      <c r="AL504" s="916">
        <v>0.44</v>
      </c>
      <c r="AP504" s="798">
        <v>2</v>
      </c>
      <c r="AQ504" s="831">
        <f>AK177</f>
        <v>38996</v>
      </c>
    </row>
    <row r="505" spans="1:46" ht="25.95" customHeight="1">
      <c r="D505" s="1334" t="s">
        <v>1377</v>
      </c>
      <c r="E505" s="1334"/>
      <c r="F505" s="802" t="e">
        <f>#REF!+#REF!</f>
        <v>#REF!</v>
      </c>
      <c r="G505" s="802"/>
      <c r="H505" s="802"/>
      <c r="W505" s="907"/>
      <c r="AF505" s="862" t="s">
        <v>923</v>
      </c>
      <c r="AG505" s="918">
        <f>AH505*0.44</f>
        <v>45730.52</v>
      </c>
      <c r="AH505" s="830">
        <f>AJ316</f>
        <v>103933</v>
      </c>
      <c r="AI505" s="798" t="s">
        <v>1347</v>
      </c>
      <c r="AJ505" s="830" t="s">
        <v>1378</v>
      </c>
      <c r="AK505" s="919">
        <f>(AQ503+AQ504+AQ505+AG509)</f>
        <v>158470</v>
      </c>
      <c r="AL505" s="918">
        <f>ROUND(AK505*0.44,0)</f>
        <v>69727</v>
      </c>
      <c r="AP505" s="798">
        <v>3</v>
      </c>
      <c r="AQ505" s="831">
        <f>AK223</f>
        <v>46018</v>
      </c>
    </row>
    <row r="506" spans="1:46" ht="25.95" customHeight="1">
      <c r="D506" s="1334" t="s">
        <v>1379</v>
      </c>
      <c r="E506" s="1334"/>
      <c r="F506" s="902">
        <f>W316</f>
        <v>103933</v>
      </c>
      <c r="G506" s="802" t="e">
        <f>F506+F507</f>
        <v>#REF!</v>
      </c>
      <c r="H506" s="802"/>
      <c r="AF506" s="862" t="s">
        <v>1094</v>
      </c>
      <c r="AG506" s="918">
        <f>AH506*0.44</f>
        <v>59612.08</v>
      </c>
      <c r="AH506" s="830">
        <f>AJ402</f>
        <v>135482</v>
      </c>
      <c r="AI506" s="798" t="s">
        <v>1380</v>
      </c>
      <c r="AJ506" s="802" t="s">
        <v>1381</v>
      </c>
      <c r="AK506" s="830">
        <f>AI509+AK509+AM509+AO509</f>
        <v>112223</v>
      </c>
      <c r="AL506" s="918">
        <f>ROUND(AK506*0.44,0)</f>
        <v>49378</v>
      </c>
      <c r="AP506" s="798">
        <v>4</v>
      </c>
      <c r="AQ506" s="831">
        <f>AK56</f>
        <v>48749</v>
      </c>
    </row>
    <row r="507" spans="1:46" ht="24.6" customHeight="1">
      <c r="D507" s="1334" t="s">
        <v>1382</v>
      </c>
      <c r="E507" s="1334"/>
      <c r="F507" s="902" t="e">
        <f>F8+F177+#REF!</f>
        <v>#REF!</v>
      </c>
      <c r="G507" s="802"/>
      <c r="H507" s="802"/>
      <c r="J507" s="829"/>
      <c r="W507" s="801" t="s">
        <v>1383</v>
      </c>
      <c r="AE507" s="830"/>
      <c r="AF507" s="798" t="s">
        <v>1368</v>
      </c>
      <c r="AG507" s="871">
        <f>SUM(AG503:AG506)</f>
        <v>253871.64</v>
      </c>
      <c r="AH507" s="12">
        <f>SUM(AH503:AH506)</f>
        <v>576981</v>
      </c>
      <c r="AI507" s="798" t="s">
        <v>1350</v>
      </c>
      <c r="AJ507" s="830" t="s">
        <v>1384</v>
      </c>
      <c r="AK507" s="830">
        <f>AG510+AI510+AK510+AM510+AO510+AQ506+AQ507</f>
        <v>306288</v>
      </c>
      <c r="AL507" s="918">
        <f>ROUND(AK507*0.44,0)</f>
        <v>134767</v>
      </c>
      <c r="AP507" s="798">
        <v>5</v>
      </c>
      <c r="AQ507" s="831">
        <f>AK95</f>
        <v>53645</v>
      </c>
    </row>
    <row r="508" spans="1:46" ht="22.95" customHeight="1">
      <c r="E508" s="798" t="s">
        <v>1368</v>
      </c>
      <c r="F508" s="802" t="e">
        <f>G503+F504+F505+G506</f>
        <v>#REF!</v>
      </c>
      <c r="G508" s="802"/>
      <c r="H508" s="802"/>
      <c r="W508" s="801" t="s">
        <v>1385</v>
      </c>
      <c r="AE508" s="875"/>
      <c r="AF508" s="830"/>
      <c r="AH508" s="12"/>
      <c r="AI508" s="798" t="s">
        <v>1368</v>
      </c>
      <c r="AJ508" s="798" t="s">
        <v>1368</v>
      </c>
      <c r="AK508" s="891">
        <f>SUM(AK505:AK507)</f>
        <v>576981</v>
      </c>
      <c r="AL508" s="12">
        <f>SUM(AL505:AL507)</f>
        <v>253872</v>
      </c>
      <c r="AP508" s="798">
        <v>6</v>
      </c>
      <c r="AQ508" s="831">
        <f>AK267</f>
        <v>69844</v>
      </c>
    </row>
    <row r="509" spans="1:46" ht="51.6" customHeight="1">
      <c r="E509" s="798" t="s">
        <v>1386</v>
      </c>
      <c r="F509" s="802" t="e">
        <f>F508*0.44</f>
        <v>#REF!</v>
      </c>
      <c r="G509" s="1340" t="e">
        <f>ROUND(F509*480/30456,1)</f>
        <v>#REF!</v>
      </c>
      <c r="H509" s="1340"/>
      <c r="AF509" s="911" t="s">
        <v>1387</v>
      </c>
      <c r="AG509" s="920">
        <f>AN266</f>
        <v>24994</v>
      </c>
      <c r="AH509" s="911" t="s">
        <v>1388</v>
      </c>
      <c r="AI509" s="921">
        <f>AQ509</f>
        <v>31852</v>
      </c>
      <c r="AJ509" s="922" t="s">
        <v>1389</v>
      </c>
      <c r="AK509" s="921">
        <f>AM402</f>
        <v>48171</v>
      </c>
      <c r="AL509" s="923" t="s">
        <v>1390</v>
      </c>
      <c r="AM509" s="924">
        <f>AQ316</f>
        <v>6249</v>
      </c>
      <c r="AN509" s="923" t="s">
        <v>1391</v>
      </c>
      <c r="AO509" s="935">
        <f>AP453</f>
        <v>25951</v>
      </c>
      <c r="AP509" s="798">
        <v>7</v>
      </c>
      <c r="AQ509" s="831">
        <f>AK134</f>
        <v>31852</v>
      </c>
    </row>
    <row r="510" spans="1:46" ht="36" customHeight="1">
      <c r="G510" s="1341"/>
      <c r="H510" s="1334"/>
      <c r="P510" s="798" t="s">
        <v>1392</v>
      </c>
      <c r="AF510" s="911" t="s">
        <v>1393</v>
      </c>
      <c r="AG510" s="925">
        <f>AM266</f>
        <v>44850</v>
      </c>
      <c r="AH510" s="926" t="s">
        <v>1394</v>
      </c>
      <c r="AI510" s="925">
        <f>AQ512</f>
        <v>56534</v>
      </c>
      <c r="AJ510" s="927" t="s">
        <v>1395</v>
      </c>
      <c r="AK510" s="925">
        <f>AN402</f>
        <v>13405</v>
      </c>
      <c r="AL510" s="928" t="s">
        <v>1396</v>
      </c>
      <c r="AM510" s="925">
        <f>SUM(AP317:AP358)</f>
        <v>41150</v>
      </c>
      <c r="AN510" s="928" t="s">
        <v>1397</v>
      </c>
      <c r="AO510" s="935">
        <f>AQ453</f>
        <v>47955</v>
      </c>
      <c r="AP510" s="798">
        <v>8</v>
      </c>
      <c r="AQ510" s="832">
        <f>AK402</f>
        <v>61576</v>
      </c>
    </row>
    <row r="511" spans="1:46" ht="39" customHeight="1">
      <c r="AF511" s="912"/>
      <c r="AG511" s="929">
        <v>555</v>
      </c>
      <c r="AH511" s="930">
        <v>505</v>
      </c>
      <c r="AI511" s="930">
        <v>455</v>
      </c>
      <c r="AJ511" s="931" t="s">
        <v>1398</v>
      </c>
      <c r="AP511" s="798">
        <v>9</v>
      </c>
      <c r="AQ511" s="831">
        <f>AK316</f>
        <v>47399</v>
      </c>
    </row>
    <row r="512" spans="1:46" ht="22.2" customHeight="1">
      <c r="AF512" s="913" t="s">
        <v>270</v>
      </c>
      <c r="AG512" s="932">
        <f>AQ503</f>
        <v>48462</v>
      </c>
      <c r="AH512" s="930">
        <f>AI509</f>
        <v>31852</v>
      </c>
      <c r="AI512" s="930">
        <f>AQ506+AQ507</f>
        <v>102394</v>
      </c>
      <c r="AJ512" s="931">
        <f>SUM(AG512:AI512)</f>
        <v>182708</v>
      </c>
      <c r="AP512" s="798">
        <v>10</v>
      </c>
      <c r="AQ512" s="831">
        <f>AK359</f>
        <v>56534</v>
      </c>
    </row>
    <row r="513" spans="32:43" ht="22.2" customHeight="1">
      <c r="AF513" s="913" t="s">
        <v>619</v>
      </c>
      <c r="AG513" s="932">
        <f>AQ504+AQ505+AG509</f>
        <v>110008</v>
      </c>
      <c r="AH513" s="930"/>
      <c r="AI513" s="930">
        <f>AG510</f>
        <v>44850</v>
      </c>
      <c r="AJ513" s="931">
        <f>SUM(AG513:AI513)</f>
        <v>154858</v>
      </c>
      <c r="AP513" s="798">
        <v>11</v>
      </c>
      <c r="AQ513" s="831">
        <f>AK454</f>
        <v>73906</v>
      </c>
    </row>
    <row r="514" spans="32:43" ht="21.6" customHeight="1">
      <c r="AF514" s="936" t="s">
        <v>923</v>
      </c>
      <c r="AG514" s="929"/>
      <c r="AH514" s="930">
        <f>AM509</f>
        <v>6249</v>
      </c>
      <c r="AI514" s="937">
        <f>AI510+AM510</f>
        <v>97684</v>
      </c>
      <c r="AJ514" s="931">
        <f>SUM(AG514:AI514)</f>
        <v>103933</v>
      </c>
      <c r="AQ514" s="831">
        <f>SUM(AQ503:AQ513)</f>
        <v>576981</v>
      </c>
    </row>
    <row r="515" spans="32:43" ht="27.6" customHeight="1">
      <c r="AF515" s="936" t="s">
        <v>1094</v>
      </c>
      <c r="AG515" s="929"/>
      <c r="AH515" s="938">
        <f>AK509+AO509</f>
        <v>74122</v>
      </c>
      <c r="AI515" s="939">
        <f>AK510+AO510</f>
        <v>61360</v>
      </c>
      <c r="AJ515" s="931">
        <f>SUM(AG515:AI515)</f>
        <v>135482</v>
      </c>
    </row>
    <row r="516" spans="32:43" ht="28.2" customHeight="1">
      <c r="AF516" s="912"/>
      <c r="AG516" s="931">
        <f>SUM(AG512:AG515)</f>
        <v>158470</v>
      </c>
      <c r="AH516" s="931">
        <f>SUM(AH512:AH515)</f>
        <v>112223</v>
      </c>
      <c r="AI516" s="931">
        <f>SUM(AI512:AI515)</f>
        <v>306288</v>
      </c>
      <c r="AJ516" s="931">
        <f>SUM(AJ512:AJ515)</f>
        <v>576981</v>
      </c>
    </row>
    <row r="517" spans="32:43" ht="27.6" customHeight="1">
      <c r="AK517" s="1334" t="s">
        <v>1399</v>
      </c>
      <c r="AL517" s="1334"/>
      <c r="AM517" s="1334"/>
    </row>
    <row r="518" spans="32:43" ht="26.4" customHeight="1">
      <c r="AF518" s="912" t="s">
        <v>1400</v>
      </c>
      <c r="AG518" s="940">
        <v>555</v>
      </c>
      <c r="AH518" s="941">
        <v>505</v>
      </c>
      <c r="AI518" s="941">
        <v>455</v>
      </c>
      <c r="AJ518" s="942" t="s">
        <v>1398</v>
      </c>
      <c r="AK518" s="798">
        <v>555</v>
      </c>
      <c r="AL518" s="798">
        <v>505</v>
      </c>
      <c r="AM518" s="798">
        <v>455</v>
      </c>
    </row>
    <row r="519" spans="32:43" ht="26.4" customHeight="1">
      <c r="AF519" s="913" t="s">
        <v>270</v>
      </c>
      <c r="AG519" s="943">
        <f t="shared" ref="AG519:AH522" si="165">ROUND(AG512*0.44,2)</f>
        <v>21323.279999999999</v>
      </c>
      <c r="AH519" s="943">
        <f t="shared" si="165"/>
        <v>14014.88</v>
      </c>
      <c r="AI519" s="943">
        <f>ROUND(AI512*0.44,1)</f>
        <v>45053.4</v>
      </c>
      <c r="AJ519" s="943">
        <f>SUM(AG519:AI519)</f>
        <v>80391.56</v>
      </c>
      <c r="AK519" s="721">
        <f>ROUND(AG519*AK518,2)</f>
        <v>11834420.4</v>
      </c>
      <c r="AL519" s="721">
        <f>ROUND(AH519*AL518,2)</f>
        <v>7077514.4000000004</v>
      </c>
      <c r="AM519" s="721">
        <f>ROUND(AI519*AM518,2)</f>
        <v>20499297</v>
      </c>
    </row>
    <row r="520" spans="32:43" ht="26.4" customHeight="1">
      <c r="AF520" s="913" t="s">
        <v>619</v>
      </c>
      <c r="AG520" s="943">
        <f t="shared" si="165"/>
        <v>48403.519999999997</v>
      </c>
      <c r="AH520" s="943">
        <f t="shared" si="165"/>
        <v>0</v>
      </c>
      <c r="AI520" s="943">
        <f>ROUND(AI513*0.44,1)</f>
        <v>19734</v>
      </c>
      <c r="AJ520" s="943">
        <f>SUM(AG520:AI520)</f>
        <v>68137.51999999999</v>
      </c>
      <c r="AK520" s="721">
        <f>ROUND(AG520*AK518,2)</f>
        <v>26863953.600000001</v>
      </c>
      <c r="AL520" s="721">
        <f>ROUND(AH520*AL518,2)</f>
        <v>0</v>
      </c>
      <c r="AM520" s="721">
        <f>ROUND(AI520*AM518,2)</f>
        <v>8978970</v>
      </c>
    </row>
    <row r="521" spans="32:43" ht="26.4" customHeight="1">
      <c r="AF521" s="936" t="s">
        <v>923</v>
      </c>
      <c r="AG521" s="943">
        <f t="shared" si="165"/>
        <v>0</v>
      </c>
      <c r="AH521" s="943">
        <f t="shared" si="165"/>
        <v>2749.56</v>
      </c>
      <c r="AI521" s="943">
        <f>ROUND(AI514*0.44,1)</f>
        <v>42981</v>
      </c>
      <c r="AJ521" s="943">
        <f>SUM(AG521:AI521)</f>
        <v>45730.559999999998</v>
      </c>
      <c r="AK521" s="721">
        <f>ROUND(AG521*AK518,2)</f>
        <v>0</v>
      </c>
      <c r="AL521" s="721">
        <f>ROUND(AH521*AL518,2)</f>
        <v>1388527.8</v>
      </c>
      <c r="AM521" s="721">
        <f>ROUND(AI521*AM518,2)</f>
        <v>19556355</v>
      </c>
    </row>
    <row r="522" spans="32:43" ht="26.4" customHeight="1">
      <c r="AF522" s="936" t="s">
        <v>1094</v>
      </c>
      <c r="AG522" s="943">
        <f t="shared" si="165"/>
        <v>0</v>
      </c>
      <c r="AH522" s="943">
        <f t="shared" si="165"/>
        <v>32613.68</v>
      </c>
      <c r="AI522" s="943">
        <f>ROUND(AI515*0.44,1)</f>
        <v>26998.400000000001</v>
      </c>
      <c r="AJ522" s="943">
        <f>SUM(AG522:AI522)</f>
        <v>59612.08</v>
      </c>
      <c r="AK522" s="721">
        <f>ROUND(AG522*AK518,2)</f>
        <v>0</v>
      </c>
      <c r="AL522" s="721">
        <f>ROUND(AH522*AL518,2)</f>
        <v>16469908.4</v>
      </c>
      <c r="AM522" s="721">
        <f>ROUND(AI522*AM518,2)</f>
        <v>12284272</v>
      </c>
    </row>
    <row r="523" spans="32:43" ht="26.4" customHeight="1">
      <c r="AF523" s="912"/>
      <c r="AG523" s="943">
        <f>SUM(AG519:AG522)</f>
        <v>69726.799999999988</v>
      </c>
      <c r="AH523" s="943">
        <f t="shared" ref="AH523:AM523" si="166">SUM(AH519:AH522)</f>
        <v>49378.119999999995</v>
      </c>
      <c r="AI523" s="943">
        <f t="shared" si="166"/>
        <v>134766.79999999999</v>
      </c>
      <c r="AJ523" s="943">
        <f t="shared" si="166"/>
        <v>253871.71999999997</v>
      </c>
      <c r="AK523" s="944">
        <f t="shared" si="166"/>
        <v>38698374</v>
      </c>
      <c r="AL523" s="944">
        <f t="shared" si="166"/>
        <v>24935950.600000001</v>
      </c>
      <c r="AM523" s="944">
        <f t="shared" si="166"/>
        <v>61318894</v>
      </c>
    </row>
    <row r="525" spans="32:43" ht="38.4" customHeight="1">
      <c r="AF525" s="798" t="s">
        <v>1401</v>
      </c>
      <c r="AG525" s="876">
        <f>ROUND(AG523*AG518/31947,1)</f>
        <v>1211.3</v>
      </c>
      <c r="AH525" s="876">
        <f>ROUND(AH523*AH518/31947,1)</f>
        <v>780.5</v>
      </c>
      <c r="AI525" s="876">
        <f>ROUND(AI523*AI518/31947,1)</f>
        <v>1919.4</v>
      </c>
      <c r="AL525" s="1339">
        <f>AK523+AL523+AM523</f>
        <v>124953218.59999999</v>
      </c>
      <c r="AM525" s="1339"/>
    </row>
  </sheetData>
  <mergeCells count="21">
    <mergeCell ref="AL525:AM525"/>
    <mergeCell ref="X6:X7"/>
    <mergeCell ref="Y6:Y7"/>
    <mergeCell ref="D505:E505"/>
    <mergeCell ref="D506:E506"/>
    <mergeCell ref="D507:E507"/>
    <mergeCell ref="G509:H509"/>
    <mergeCell ref="G510:H510"/>
    <mergeCell ref="AK517:AM517"/>
    <mergeCell ref="AP263:AQ263"/>
    <mergeCell ref="AM265:AN265"/>
    <mergeCell ref="A316:B316"/>
    <mergeCell ref="A402:B402"/>
    <mergeCell ref="D503:E503"/>
    <mergeCell ref="D504:E504"/>
    <mergeCell ref="G3:I3"/>
    <mergeCell ref="P3:Q3"/>
    <mergeCell ref="A5:W5"/>
    <mergeCell ref="AA6:AD6"/>
    <mergeCell ref="AF6:AI6"/>
    <mergeCell ref="A177:B17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5E4F-A15D-4717-A7EA-2D517F6BE97A}">
  <sheetPr>
    <tabColor rgb="FFFFFF00"/>
  </sheetPr>
  <dimension ref="A1:HY195"/>
  <sheetViews>
    <sheetView view="pageBreakPreview" topLeftCell="B6" zoomScale="80" zoomScaleNormal="60" workbookViewId="0">
      <pane xSplit="5" ySplit="2" topLeftCell="AH146" activePane="bottomRight" state="frozen"/>
      <selection pane="topRight" activeCell="B6" sqref="B6"/>
      <selection pane="bottomLeft" activeCell="B6" sqref="B6"/>
      <selection pane="bottomRight" activeCell="D495" sqref="D495"/>
    </sheetView>
  </sheetViews>
  <sheetFormatPr defaultColWidth="8.69921875" defaultRowHeight="15.6"/>
  <cols>
    <col min="1" max="1" width="8.8984375" style="281" hidden="1" customWidth="1"/>
    <col min="2" max="2" width="5.8984375" style="281" customWidth="1"/>
    <col min="3" max="3" width="7" style="281" customWidth="1"/>
    <col min="4" max="5" width="17.59765625" style="281" hidden="1" customWidth="1"/>
    <col min="6" max="6" width="25.19921875" style="685" hidden="1" customWidth="1"/>
    <col min="7" max="7" width="13.8984375" style="485" customWidth="1"/>
    <col min="8" max="8" width="15.5" style="486" customWidth="1"/>
    <col min="9" max="12" width="5.09765625" style="281" customWidth="1"/>
    <col min="13" max="15" width="5.09765625" style="130" customWidth="1"/>
    <col min="16" max="23" width="5.09765625" style="281" customWidth="1"/>
    <col min="24" max="24" width="9.19921875" style="281" hidden="1" customWidth="1"/>
    <col min="25" max="25" width="4.09765625" style="281" hidden="1" customWidth="1"/>
    <col min="26" max="26" width="8.19921875" style="488" customWidth="1"/>
    <col min="27" max="27" width="8.8984375" style="488" hidden="1" customWidth="1"/>
    <col min="28" max="28" width="13.3984375" style="726" customWidth="1"/>
    <col min="29" max="31" width="5.3984375" style="726" customWidth="1"/>
    <col min="32" max="32" width="6.69921875" style="607" customWidth="1"/>
    <col min="33" max="33" width="12.3984375" style="726" customWidth="1"/>
    <col min="34" max="34" width="7.8984375" style="726" customWidth="1"/>
    <col min="35" max="35" width="13.19921875" style="607" customWidth="1"/>
    <col min="36" max="36" width="14.19921875" style="726" customWidth="1"/>
    <col min="37" max="37" width="8.19921875" style="490" customWidth="1"/>
    <col min="38" max="38" width="8.3984375" style="490" customWidth="1"/>
    <col min="39" max="39" width="8.59765625" style="490" customWidth="1"/>
    <col min="40" max="40" width="8.3984375" style="490" customWidth="1"/>
    <col min="41" max="41" width="12.19921875" style="727" customWidth="1"/>
    <col min="42" max="42" width="14.19921875" style="727" customWidth="1"/>
    <col min="43" max="43" width="11.69921875" style="727" customWidth="1"/>
    <col min="44" max="44" width="13.69921875" style="727" customWidth="1"/>
    <col min="45" max="45" width="11.59765625" style="727" customWidth="1"/>
    <col min="46" max="46" width="14.3984375" style="492" customWidth="1"/>
    <col min="47" max="48" width="9.5" style="490" hidden="1" customWidth="1"/>
    <col min="49" max="49" width="11.3984375" style="490" hidden="1" customWidth="1"/>
    <col min="50" max="50" width="14.5" style="492" customWidth="1"/>
    <col min="51" max="52" width="13.59765625" style="490" hidden="1" customWidth="1"/>
    <col min="53" max="53" width="11.3984375" style="490" hidden="1" customWidth="1"/>
    <col min="54" max="54" width="14.19921875" style="492" customWidth="1"/>
    <col min="55" max="55" width="16.69921875" style="281" customWidth="1"/>
    <col min="56" max="56" width="13.59765625" style="488" customWidth="1"/>
    <col min="57" max="57" width="15.19921875" style="281" bestFit="1" customWidth="1"/>
    <col min="58" max="58" width="15.59765625" style="281" bestFit="1" customWidth="1"/>
    <col min="59" max="16384" width="8.69921875" style="281"/>
  </cols>
  <sheetData>
    <row r="1" spans="1:233" ht="24.9" hidden="1" customHeight="1">
      <c r="A1" s="1342" t="s">
        <v>1402</v>
      </c>
      <c r="B1" s="1342"/>
      <c r="C1" s="1342"/>
      <c r="D1" s="1342"/>
      <c r="E1" s="1342"/>
      <c r="F1" s="1342"/>
      <c r="G1" s="1342"/>
      <c r="H1" s="1342"/>
      <c r="I1" s="1342"/>
      <c r="J1" s="1342"/>
      <c r="K1" s="1342"/>
      <c r="L1" s="1342"/>
      <c r="M1" s="1342"/>
      <c r="N1" s="1342"/>
      <c r="O1" s="1342"/>
      <c r="P1" s="1342"/>
      <c r="Q1" s="308"/>
      <c r="R1" s="308"/>
      <c r="S1" s="308"/>
      <c r="T1" s="308"/>
      <c r="U1" s="308"/>
      <c r="AK1" s="308"/>
      <c r="AL1" s="308"/>
      <c r="AM1" s="308"/>
      <c r="AN1" s="308"/>
      <c r="AO1" s="740"/>
      <c r="AP1" s="740"/>
      <c r="AQ1" s="740"/>
      <c r="AR1" s="740"/>
      <c r="AS1" s="740"/>
      <c r="AT1" s="543"/>
      <c r="AU1" s="308"/>
      <c r="AV1" s="308"/>
      <c r="AW1" s="308"/>
      <c r="AX1" s="543"/>
      <c r="AY1" s="308"/>
      <c r="AZ1" s="308"/>
      <c r="BA1" s="308"/>
      <c r="BB1" s="1342"/>
      <c r="BC1" s="1342"/>
      <c r="BD1" s="631"/>
    </row>
    <row r="2" spans="1:233" ht="24.9" customHeight="1">
      <c r="A2" s="1342" t="s">
        <v>1403</v>
      </c>
      <c r="B2" s="1342"/>
      <c r="C2" s="1342"/>
      <c r="D2" s="1342"/>
      <c r="E2" s="1342"/>
      <c r="F2" s="1342"/>
      <c r="G2" s="1342"/>
      <c r="H2" s="1342"/>
      <c r="I2" s="1342"/>
      <c r="J2" s="1342"/>
      <c r="K2" s="1342"/>
      <c r="L2" s="1342"/>
      <c r="M2" s="1342"/>
      <c r="N2" s="1342"/>
      <c r="O2" s="1342"/>
      <c r="P2" s="1342"/>
      <c r="Q2" s="520"/>
      <c r="R2" s="520"/>
      <c r="S2" s="520"/>
      <c r="T2" s="520"/>
      <c r="U2" s="520"/>
      <c r="AA2" s="281"/>
      <c r="AK2" s="538"/>
      <c r="AL2" s="538"/>
      <c r="AM2" s="538"/>
      <c r="AN2" s="538"/>
      <c r="AO2" s="741"/>
      <c r="AP2" s="741"/>
      <c r="AQ2" s="741"/>
      <c r="AR2" s="741"/>
      <c r="AS2" s="741"/>
      <c r="AT2" s="544"/>
      <c r="AU2" s="538"/>
      <c r="AV2" s="538"/>
      <c r="AW2" s="538"/>
      <c r="AX2" s="544"/>
      <c r="AY2" s="538"/>
      <c r="AZ2" s="538"/>
      <c r="BA2" s="538"/>
      <c r="BB2" s="1343"/>
      <c r="BC2" s="1343"/>
      <c r="BD2" s="632"/>
    </row>
    <row r="3" spans="1:233" ht="24.9" customHeight="1">
      <c r="A3" s="1344" t="s">
        <v>1404</v>
      </c>
      <c r="B3" s="1344"/>
      <c r="C3" s="1344"/>
      <c r="D3" s="1344"/>
      <c r="E3" s="1344"/>
      <c r="F3" s="1344"/>
      <c r="G3" s="1344"/>
      <c r="H3" s="1344"/>
      <c r="I3" s="1344"/>
      <c r="J3" s="1344"/>
      <c r="K3" s="1344"/>
      <c r="L3" s="1344"/>
      <c r="M3" s="1344"/>
      <c r="N3" s="1344"/>
      <c r="O3" s="1344"/>
      <c r="P3" s="1344"/>
      <c r="AK3" s="520"/>
      <c r="AL3" s="520"/>
      <c r="AM3" s="520"/>
      <c r="AN3" s="520"/>
      <c r="AO3" s="742"/>
      <c r="AP3" s="742"/>
      <c r="AQ3" s="742"/>
      <c r="AR3" s="742"/>
      <c r="AS3" s="742"/>
      <c r="AT3" s="545"/>
      <c r="AU3" s="520"/>
      <c r="AV3" s="520"/>
      <c r="AW3" s="520"/>
      <c r="AX3" s="545"/>
      <c r="AY3" s="520"/>
      <c r="AZ3" s="520"/>
      <c r="BA3" s="520"/>
      <c r="BB3" s="1344"/>
      <c r="BC3" s="1344"/>
      <c r="BD3" s="633"/>
    </row>
    <row r="4" spans="1:233" ht="24.9" customHeight="1">
      <c r="A4" s="1342" t="s">
        <v>1405</v>
      </c>
      <c r="B4" s="1342"/>
      <c r="C4" s="1342"/>
      <c r="D4" s="1342"/>
      <c r="E4" s="1342"/>
      <c r="F4" s="1342"/>
      <c r="G4" s="1342"/>
      <c r="H4" s="1342"/>
      <c r="I4" s="1342"/>
      <c r="J4" s="1342"/>
      <c r="K4" s="1342"/>
      <c r="L4" s="1342"/>
      <c r="M4" s="1342"/>
      <c r="N4" s="1342"/>
      <c r="O4" s="1342"/>
      <c r="P4" s="1342"/>
      <c r="Q4" s="1342"/>
      <c r="R4" s="1342"/>
      <c r="S4" s="1342"/>
      <c r="T4" s="1342"/>
      <c r="U4" s="1342"/>
      <c r="V4" s="1342"/>
      <c r="W4" s="1342"/>
      <c r="X4" s="1342"/>
      <c r="Y4" s="1342"/>
      <c r="Z4" s="1342"/>
      <c r="AA4" s="1342"/>
      <c r="AB4" s="1342"/>
      <c r="AC4" s="1342"/>
      <c r="AD4" s="1342"/>
      <c r="AE4" s="1342"/>
      <c r="AF4" s="1342"/>
      <c r="AG4" s="1342"/>
      <c r="AH4" s="1342"/>
      <c r="AI4" s="1342"/>
      <c r="AJ4" s="1342"/>
      <c r="AK4" s="1342"/>
      <c r="AL4" s="1342"/>
      <c r="AM4" s="1342"/>
      <c r="AN4" s="1342"/>
      <c r="AO4" s="1342"/>
      <c r="AP4" s="1342"/>
      <c r="AQ4" s="1342"/>
      <c r="AR4" s="1342"/>
      <c r="AS4" s="1342"/>
      <c r="AT4" s="1342"/>
      <c r="AU4" s="1342"/>
      <c r="AV4" s="1342"/>
      <c r="AW4" s="1342"/>
      <c r="AX4" s="1342"/>
      <c r="AY4" s="1342"/>
      <c r="AZ4" s="1342"/>
      <c r="BA4" s="1342"/>
      <c r="BB4" s="1342"/>
      <c r="BC4" s="1342"/>
      <c r="BD4" s="631"/>
      <c r="BE4" s="283"/>
      <c r="BF4" s="283"/>
      <c r="BG4" s="283"/>
      <c r="BH4" s="283"/>
      <c r="BI4" s="283"/>
      <c r="BJ4" s="283"/>
      <c r="BK4" s="283"/>
      <c r="BL4" s="283"/>
      <c r="BM4" s="283"/>
      <c r="BN4" s="283"/>
      <c r="BO4" s="283"/>
      <c r="BP4" s="283"/>
      <c r="BQ4" s="283"/>
      <c r="BR4" s="283"/>
      <c r="BS4" s="283"/>
      <c r="BT4" s="283"/>
      <c r="BU4" s="283"/>
      <c r="BV4" s="283"/>
      <c r="BW4" s="283"/>
      <c r="BX4" s="283"/>
      <c r="BY4" s="283"/>
      <c r="BZ4" s="283"/>
      <c r="CA4" s="283"/>
      <c r="CB4" s="283"/>
      <c r="CC4" s="283"/>
      <c r="CD4" s="283"/>
      <c r="CE4" s="283"/>
      <c r="CF4" s="283"/>
      <c r="CG4" s="283"/>
      <c r="CH4" s="283"/>
      <c r="CI4" s="283"/>
      <c r="CJ4" s="283"/>
      <c r="CK4" s="283"/>
      <c r="CL4" s="283"/>
      <c r="CM4" s="283"/>
      <c r="CN4" s="283"/>
      <c r="CO4" s="283"/>
      <c r="CP4" s="283"/>
      <c r="CQ4" s="283"/>
      <c r="CR4" s="283"/>
      <c r="CS4" s="283"/>
      <c r="CT4" s="283"/>
      <c r="CU4" s="283"/>
      <c r="CV4" s="283"/>
      <c r="CW4" s="283"/>
      <c r="CX4" s="283"/>
      <c r="CY4" s="283"/>
      <c r="CZ4" s="283"/>
      <c r="DA4" s="283"/>
      <c r="DB4" s="283"/>
      <c r="DC4" s="283"/>
      <c r="DD4" s="283"/>
      <c r="DE4" s="283"/>
      <c r="DF4" s="283"/>
      <c r="DG4" s="283"/>
      <c r="DH4" s="283"/>
      <c r="DI4" s="283"/>
      <c r="DJ4" s="283"/>
      <c r="DK4" s="283"/>
      <c r="DL4" s="283"/>
      <c r="DM4" s="283"/>
      <c r="DN4" s="283"/>
      <c r="DO4" s="283"/>
      <c r="DP4" s="283"/>
      <c r="DQ4" s="283"/>
      <c r="DR4" s="283"/>
      <c r="DS4" s="283"/>
      <c r="DT4" s="283"/>
      <c r="DU4" s="283"/>
      <c r="DV4" s="283"/>
      <c r="DW4" s="283"/>
      <c r="DX4" s="283"/>
      <c r="DY4" s="283"/>
      <c r="DZ4" s="283"/>
      <c r="EA4" s="283"/>
      <c r="EB4" s="283"/>
      <c r="EC4" s="283"/>
      <c r="ED4" s="283"/>
      <c r="EE4" s="283"/>
      <c r="EF4" s="283"/>
      <c r="EG4" s="283"/>
      <c r="EH4" s="283"/>
      <c r="EI4" s="283"/>
      <c r="EJ4" s="283"/>
      <c r="EK4" s="283"/>
      <c r="EL4" s="283"/>
      <c r="EM4" s="283"/>
      <c r="EN4" s="283"/>
      <c r="EO4" s="283"/>
      <c r="EP4" s="283"/>
      <c r="EQ4" s="283"/>
      <c r="ER4" s="283"/>
      <c r="ES4" s="283"/>
      <c r="ET4" s="283"/>
      <c r="EU4" s="283"/>
      <c r="EV4" s="283"/>
      <c r="EW4" s="283"/>
      <c r="EX4" s="283"/>
      <c r="EY4" s="283"/>
      <c r="EZ4" s="283"/>
      <c r="FA4" s="283"/>
      <c r="FB4" s="283"/>
      <c r="FC4" s="283"/>
      <c r="FD4" s="283"/>
      <c r="FE4" s="283"/>
      <c r="FF4" s="283"/>
      <c r="FG4" s="283"/>
      <c r="FH4" s="283"/>
      <c r="FI4" s="283"/>
      <c r="FJ4" s="283"/>
      <c r="FK4" s="283"/>
      <c r="FL4" s="283"/>
      <c r="FM4" s="283"/>
      <c r="FN4" s="283"/>
      <c r="FO4" s="283"/>
      <c r="FP4" s="283"/>
      <c r="FQ4" s="283"/>
      <c r="FR4" s="283"/>
      <c r="FS4" s="283"/>
      <c r="FT4" s="283"/>
      <c r="FU4" s="283"/>
      <c r="FV4" s="283"/>
      <c r="FW4" s="283"/>
      <c r="FX4" s="283"/>
      <c r="FY4" s="283"/>
      <c r="FZ4" s="283"/>
      <c r="GA4" s="283"/>
      <c r="GB4" s="283"/>
      <c r="GC4" s="283"/>
      <c r="GD4" s="283"/>
      <c r="GE4" s="283"/>
      <c r="GF4" s="283"/>
      <c r="GG4" s="283"/>
      <c r="GH4" s="283"/>
      <c r="GI4" s="283"/>
      <c r="GJ4" s="283"/>
      <c r="GK4" s="283"/>
      <c r="GL4" s="283"/>
      <c r="GM4" s="283"/>
      <c r="GN4" s="283"/>
      <c r="GO4" s="283"/>
      <c r="GP4" s="283"/>
      <c r="GQ4" s="283"/>
      <c r="GR4" s="283"/>
      <c r="GS4" s="283"/>
      <c r="GT4" s="283"/>
      <c r="GU4" s="283"/>
      <c r="GV4" s="283"/>
      <c r="GW4" s="283"/>
      <c r="GX4" s="283"/>
      <c r="GY4" s="283"/>
      <c r="GZ4" s="283"/>
      <c r="HA4" s="283"/>
      <c r="HB4" s="283"/>
      <c r="HC4" s="283"/>
      <c r="HD4" s="283"/>
      <c r="HE4" s="283"/>
      <c r="HF4" s="283"/>
      <c r="HG4" s="283"/>
      <c r="HH4" s="283"/>
      <c r="HI4" s="283"/>
      <c r="HJ4" s="283"/>
      <c r="HK4" s="283"/>
      <c r="HL4" s="283"/>
      <c r="HM4" s="283"/>
      <c r="HN4" s="283"/>
      <c r="HO4" s="283"/>
      <c r="HP4" s="283"/>
      <c r="HQ4" s="283"/>
      <c r="HR4" s="283"/>
      <c r="HS4" s="283"/>
      <c r="HT4" s="283"/>
      <c r="HU4" s="283"/>
      <c r="HV4" s="283"/>
    </row>
    <row r="5" spans="1:233" ht="24.9" customHeight="1">
      <c r="A5" s="1346" t="s">
        <v>1406</v>
      </c>
      <c r="B5" s="1346"/>
      <c r="C5" s="1346"/>
      <c r="D5" s="1346"/>
      <c r="E5" s="1346"/>
      <c r="F5" s="1346"/>
      <c r="G5" s="1346"/>
      <c r="H5" s="1346"/>
      <c r="I5" s="1346"/>
      <c r="J5" s="1346"/>
      <c r="K5" s="1346"/>
      <c r="L5" s="1346"/>
      <c r="M5" s="1346"/>
      <c r="N5" s="1346"/>
      <c r="O5" s="1346"/>
      <c r="P5" s="1346"/>
      <c r="Q5" s="1346"/>
      <c r="R5" s="1346"/>
      <c r="S5" s="1346"/>
      <c r="T5" s="1346"/>
      <c r="U5" s="1346"/>
      <c r="V5" s="1346"/>
      <c r="W5" s="1346"/>
      <c r="X5" s="1346"/>
      <c r="Y5" s="1346"/>
      <c r="Z5" s="1346"/>
      <c r="AA5" s="1346"/>
      <c r="AB5" s="1346"/>
      <c r="AC5" s="1346"/>
      <c r="AD5" s="1346"/>
      <c r="AE5" s="1346"/>
      <c r="AF5" s="1346"/>
      <c r="AG5" s="1346"/>
      <c r="AH5" s="1346"/>
      <c r="AI5" s="1346"/>
      <c r="AJ5" s="1346"/>
      <c r="AK5" s="1346"/>
      <c r="AL5" s="1346"/>
      <c r="AM5" s="1346"/>
      <c r="AN5" s="1346"/>
      <c r="AO5" s="1346"/>
      <c r="AP5" s="1346"/>
      <c r="AQ5" s="1346"/>
      <c r="AR5" s="1346"/>
      <c r="AS5" s="1346"/>
      <c r="AT5" s="1346"/>
      <c r="AU5" s="1346"/>
      <c r="AV5" s="1346"/>
      <c r="AW5" s="1346"/>
      <c r="AX5" s="1346"/>
      <c r="AY5" s="1346"/>
      <c r="AZ5" s="1346"/>
      <c r="BA5" s="1346"/>
      <c r="BB5" s="1346"/>
      <c r="BC5" s="1346"/>
      <c r="BD5" s="634"/>
    </row>
    <row r="6" spans="1:233" ht="66.599999999999994" customHeight="1">
      <c r="A6" s="1366" t="s">
        <v>1407</v>
      </c>
      <c r="B6" s="1368" t="s">
        <v>1408</v>
      </c>
      <c r="C6" s="1368" t="s">
        <v>1409</v>
      </c>
      <c r="D6" s="1368" t="s">
        <v>1410</v>
      </c>
      <c r="E6" s="1370" t="s">
        <v>1411</v>
      </c>
      <c r="F6" s="1372" t="s">
        <v>1412</v>
      </c>
      <c r="G6" s="1374" t="s">
        <v>1413</v>
      </c>
      <c r="H6" s="1359" t="s">
        <v>1414</v>
      </c>
      <c r="I6" s="617" t="s">
        <v>228</v>
      </c>
      <c r="J6" s="617" t="s">
        <v>186</v>
      </c>
      <c r="K6" s="617" t="s">
        <v>199</v>
      </c>
      <c r="L6" s="617" t="s">
        <v>228</v>
      </c>
      <c r="M6" s="617" t="s">
        <v>186</v>
      </c>
      <c r="N6" s="617" t="s">
        <v>199</v>
      </c>
      <c r="O6" s="617" t="s">
        <v>228</v>
      </c>
      <c r="P6" s="617" t="s">
        <v>186</v>
      </c>
      <c r="Q6" s="617" t="s">
        <v>199</v>
      </c>
      <c r="R6" s="617" t="s">
        <v>228</v>
      </c>
      <c r="S6" s="617" t="s">
        <v>186</v>
      </c>
      <c r="T6" s="617" t="s">
        <v>199</v>
      </c>
      <c r="U6" s="617" t="s">
        <v>228</v>
      </c>
      <c r="V6" s="617" t="s">
        <v>186</v>
      </c>
      <c r="W6" s="617" t="s">
        <v>199</v>
      </c>
      <c r="X6" s="521" t="s">
        <v>186</v>
      </c>
      <c r="Y6" s="521" t="s">
        <v>228</v>
      </c>
      <c r="Z6" s="1355" t="s">
        <v>1415</v>
      </c>
      <c r="AA6" s="526"/>
      <c r="AB6" s="1357" t="s">
        <v>1416</v>
      </c>
      <c r="AC6" s="733"/>
      <c r="AD6" s="733"/>
      <c r="AE6" s="733"/>
      <c r="AF6" s="1347" t="s">
        <v>1313</v>
      </c>
      <c r="AG6" s="1348"/>
      <c r="AH6" s="1349" t="s">
        <v>1417</v>
      </c>
      <c r="AI6" s="1350"/>
      <c r="AJ6" s="1357" t="s">
        <v>1418</v>
      </c>
      <c r="AK6" s="1349" t="s">
        <v>1419</v>
      </c>
      <c r="AL6" s="1351"/>
      <c r="AM6" s="1351"/>
      <c r="AN6" s="1352"/>
      <c r="AO6" s="1352"/>
      <c r="AP6" s="1352"/>
      <c r="AQ6" s="1352"/>
      <c r="AR6" s="1351"/>
      <c r="AS6" s="1351"/>
      <c r="AT6" s="1352"/>
      <c r="AU6" s="1349" t="s">
        <v>1420</v>
      </c>
      <c r="AV6" s="1351"/>
      <c r="AW6" s="1350"/>
      <c r="AX6" s="1357" t="s">
        <v>1418</v>
      </c>
      <c r="AY6" s="1353" t="s">
        <v>1421</v>
      </c>
      <c r="AZ6" s="1354"/>
      <c r="BA6" s="539"/>
      <c r="BB6" s="1357" t="s">
        <v>1422</v>
      </c>
      <c r="BC6" s="749" t="s">
        <v>1423</v>
      </c>
      <c r="BD6" s="636"/>
      <c r="BE6" s="283"/>
      <c r="BF6" s="283"/>
      <c r="BG6" s="283"/>
      <c r="BH6" s="283"/>
      <c r="BI6" s="283"/>
      <c r="BJ6" s="283"/>
      <c r="BK6" s="283"/>
      <c r="BL6" s="283"/>
      <c r="BM6" s="283"/>
      <c r="BN6" s="283"/>
      <c r="BO6" s="283"/>
      <c r="BP6" s="283"/>
      <c r="BQ6" s="283"/>
      <c r="BR6" s="283"/>
      <c r="BS6" s="283"/>
      <c r="BT6" s="283"/>
      <c r="BU6" s="283"/>
      <c r="BV6" s="283"/>
      <c r="BW6" s="283"/>
      <c r="BX6" s="283"/>
      <c r="BY6" s="283"/>
      <c r="BZ6" s="283"/>
      <c r="CA6" s="283"/>
      <c r="CB6" s="283"/>
      <c r="CC6" s="283"/>
      <c r="CD6" s="283"/>
      <c r="CE6" s="283"/>
      <c r="CF6" s="283"/>
      <c r="CG6" s="283"/>
      <c r="CH6" s="283"/>
      <c r="CI6" s="283"/>
      <c r="CJ6" s="283"/>
      <c r="CK6" s="283"/>
      <c r="CL6" s="283"/>
      <c r="CM6" s="283"/>
      <c r="CN6" s="283"/>
      <c r="CO6" s="283"/>
      <c r="CP6" s="283"/>
      <c r="CQ6" s="283"/>
      <c r="CR6" s="283"/>
      <c r="CS6" s="283"/>
      <c r="CT6" s="283"/>
      <c r="CU6" s="283"/>
      <c r="CV6" s="283"/>
      <c r="CW6" s="283"/>
      <c r="CX6" s="283"/>
      <c r="CY6" s="283"/>
      <c r="CZ6" s="283"/>
      <c r="DA6" s="283"/>
      <c r="DB6" s="283"/>
      <c r="DC6" s="283"/>
      <c r="DD6" s="283"/>
      <c r="DE6" s="283"/>
      <c r="DF6" s="283"/>
      <c r="DG6" s="283"/>
      <c r="DH6" s="283"/>
      <c r="DI6" s="283"/>
      <c r="DJ6" s="283"/>
      <c r="DK6" s="283"/>
      <c r="DL6" s="283"/>
      <c r="DM6" s="283"/>
      <c r="DN6" s="283"/>
      <c r="DO6" s="283"/>
      <c r="DP6" s="283"/>
      <c r="DQ6" s="283"/>
      <c r="DR6" s="283"/>
      <c r="DS6" s="283"/>
      <c r="DT6" s="283"/>
      <c r="DU6" s="283"/>
      <c r="DV6" s="283"/>
      <c r="DW6" s="283"/>
      <c r="DX6" s="283"/>
      <c r="DY6" s="283"/>
      <c r="DZ6" s="283"/>
      <c r="EA6" s="283"/>
      <c r="EB6" s="283"/>
      <c r="EC6" s="283"/>
      <c r="ED6" s="283"/>
      <c r="EE6" s="283"/>
      <c r="EF6" s="283"/>
      <c r="EG6" s="283"/>
      <c r="EH6" s="283"/>
      <c r="EI6" s="283"/>
      <c r="EJ6" s="283"/>
      <c r="EK6" s="283"/>
      <c r="EL6" s="283"/>
      <c r="EM6" s="283"/>
      <c r="EN6" s="283"/>
      <c r="EO6" s="283"/>
      <c r="EP6" s="283"/>
      <c r="EQ6" s="283"/>
      <c r="ER6" s="283"/>
      <c r="ES6" s="283"/>
      <c r="ET6" s="283"/>
      <c r="EU6" s="283"/>
      <c r="EV6" s="283"/>
      <c r="EW6" s="283"/>
      <c r="EX6" s="283"/>
      <c r="EY6" s="283"/>
      <c r="EZ6" s="283"/>
      <c r="FA6" s="283"/>
      <c r="FB6" s="283"/>
      <c r="FC6" s="283"/>
      <c r="FD6" s="283"/>
      <c r="FE6" s="283"/>
      <c r="FF6" s="283"/>
      <c r="FG6" s="283"/>
      <c r="FH6" s="283"/>
      <c r="FI6" s="283"/>
      <c r="FJ6" s="283"/>
      <c r="FK6" s="283"/>
      <c r="FL6" s="283"/>
      <c r="FM6" s="283"/>
      <c r="FN6" s="283"/>
      <c r="FO6" s="283"/>
      <c r="FP6" s="283"/>
      <c r="FQ6" s="283"/>
      <c r="FR6" s="283"/>
      <c r="FS6" s="283"/>
      <c r="FT6" s="283"/>
      <c r="FU6" s="283"/>
      <c r="FV6" s="283"/>
      <c r="FW6" s="283"/>
      <c r="FX6" s="283"/>
      <c r="FY6" s="283"/>
      <c r="FZ6" s="283"/>
      <c r="GA6" s="283"/>
      <c r="GB6" s="283"/>
      <c r="GC6" s="283"/>
      <c r="GD6" s="283"/>
      <c r="GE6" s="283"/>
      <c r="GF6" s="283"/>
      <c r="GG6" s="283"/>
      <c r="GH6" s="283"/>
      <c r="GI6" s="283"/>
      <c r="GJ6" s="283"/>
      <c r="GK6" s="283"/>
      <c r="GL6" s="283"/>
      <c r="GM6" s="283"/>
      <c r="GN6" s="283"/>
      <c r="GO6" s="283"/>
      <c r="GP6" s="283"/>
      <c r="GQ6" s="283"/>
      <c r="GR6" s="283"/>
      <c r="GS6" s="283"/>
      <c r="GT6" s="283"/>
      <c r="GU6" s="283"/>
      <c r="GV6" s="283"/>
      <c r="GW6" s="283"/>
      <c r="GX6" s="283"/>
      <c r="GY6" s="283"/>
      <c r="GZ6" s="283"/>
      <c r="HA6" s="283"/>
      <c r="HB6" s="283"/>
      <c r="HC6" s="283"/>
      <c r="HD6" s="283"/>
      <c r="HE6" s="283"/>
      <c r="HF6" s="283"/>
      <c r="HG6" s="283"/>
      <c r="HH6" s="283"/>
      <c r="HI6" s="283"/>
      <c r="HJ6" s="283"/>
      <c r="HK6" s="283"/>
      <c r="HL6" s="283"/>
      <c r="HM6" s="283"/>
      <c r="HN6" s="283"/>
      <c r="HO6" s="283"/>
      <c r="HP6" s="283"/>
      <c r="HQ6" s="283"/>
      <c r="HR6" s="283"/>
      <c r="HS6" s="283"/>
      <c r="HT6" s="283"/>
      <c r="HU6" s="283"/>
      <c r="HV6" s="283"/>
      <c r="HW6" s="283"/>
      <c r="HX6" s="283"/>
      <c r="HY6" s="283"/>
    </row>
    <row r="7" spans="1:233" ht="72" customHeight="1">
      <c r="A7" s="1367"/>
      <c r="B7" s="1369"/>
      <c r="C7" s="1369"/>
      <c r="D7" s="1369"/>
      <c r="E7" s="1371"/>
      <c r="F7" s="1373"/>
      <c r="G7" s="1375"/>
      <c r="H7" s="1360"/>
      <c r="I7" s="512">
        <v>1</v>
      </c>
      <c r="J7" s="512">
        <v>2</v>
      </c>
      <c r="K7" s="512">
        <v>3</v>
      </c>
      <c r="L7" s="512">
        <v>4</v>
      </c>
      <c r="M7" s="731">
        <v>5</v>
      </c>
      <c r="N7" s="731">
        <v>6</v>
      </c>
      <c r="O7" s="731">
        <v>7</v>
      </c>
      <c r="P7" s="512">
        <v>8</v>
      </c>
      <c r="Q7" s="512">
        <v>9</v>
      </c>
      <c r="R7" s="512">
        <v>10</v>
      </c>
      <c r="S7" s="512">
        <v>11</v>
      </c>
      <c r="T7" s="512">
        <v>12</v>
      </c>
      <c r="U7" s="512">
        <v>13</v>
      </c>
      <c r="V7" s="512">
        <v>14</v>
      </c>
      <c r="W7" s="512">
        <v>15</v>
      </c>
      <c r="X7" s="522">
        <v>7</v>
      </c>
      <c r="Y7" s="522">
        <v>8</v>
      </c>
      <c r="Z7" s="1356"/>
      <c r="AA7" s="347"/>
      <c r="AB7" s="1358"/>
      <c r="AC7" s="527">
        <v>2</v>
      </c>
      <c r="AD7" s="527">
        <v>3</v>
      </c>
      <c r="AE7" s="527">
        <v>14</v>
      </c>
      <c r="AF7" s="528" t="s">
        <v>1424</v>
      </c>
      <c r="AG7" s="529" t="s">
        <v>1425</v>
      </c>
      <c r="AH7" s="528" t="s">
        <v>1424</v>
      </c>
      <c r="AI7" s="529" t="s">
        <v>1425</v>
      </c>
      <c r="AJ7" s="1358"/>
      <c r="AK7" s="514" t="s">
        <v>186</v>
      </c>
      <c r="AL7" s="514" t="s">
        <v>199</v>
      </c>
      <c r="AM7" s="514" t="s">
        <v>228</v>
      </c>
      <c r="AN7" s="514" t="s">
        <v>1322</v>
      </c>
      <c r="AO7" s="528" t="s">
        <v>1426</v>
      </c>
      <c r="AP7" s="528" t="s">
        <v>1427</v>
      </c>
      <c r="AQ7" s="528" t="s">
        <v>1426</v>
      </c>
      <c r="AR7" s="528" t="s">
        <v>1427</v>
      </c>
      <c r="AS7" s="528" t="s">
        <v>1426</v>
      </c>
      <c r="AT7" s="528" t="s">
        <v>1427</v>
      </c>
      <c r="AU7" s="625" t="s">
        <v>1428</v>
      </c>
      <c r="AV7" s="625" t="s">
        <v>1429</v>
      </c>
      <c r="AW7" s="625" t="s">
        <v>1430</v>
      </c>
      <c r="AX7" s="1358"/>
      <c r="AY7" s="703" t="s">
        <v>1429</v>
      </c>
      <c r="AZ7" s="703" t="s">
        <v>1430</v>
      </c>
      <c r="BA7" s="625" t="s">
        <v>1431</v>
      </c>
      <c r="BB7" s="1358"/>
      <c r="BC7" s="750"/>
      <c r="BD7" s="636"/>
      <c r="BE7" s="283"/>
      <c r="BF7" s="283"/>
      <c r="BG7" s="283"/>
      <c r="BH7" s="283"/>
      <c r="BI7" s="283"/>
      <c r="BJ7" s="283"/>
      <c r="BK7" s="283"/>
      <c r="BL7" s="283"/>
      <c r="BM7" s="283"/>
      <c r="BN7" s="283"/>
      <c r="BO7" s="283"/>
      <c r="BP7" s="283"/>
      <c r="BQ7" s="283"/>
      <c r="BR7" s="283"/>
      <c r="BS7" s="283"/>
      <c r="BT7" s="283"/>
      <c r="BU7" s="283"/>
      <c r="BV7" s="283"/>
      <c r="BW7" s="283"/>
      <c r="BX7" s="283"/>
      <c r="BY7" s="283"/>
      <c r="BZ7" s="283"/>
      <c r="CA7" s="283"/>
      <c r="CB7" s="283"/>
      <c r="CC7" s="283"/>
      <c r="CD7" s="283"/>
      <c r="CE7" s="283"/>
      <c r="CF7" s="283"/>
      <c r="CG7" s="283"/>
      <c r="CH7" s="283"/>
      <c r="CI7" s="283"/>
      <c r="CJ7" s="283"/>
      <c r="CK7" s="283"/>
      <c r="CL7" s="283"/>
      <c r="CM7" s="283"/>
      <c r="CN7" s="283"/>
      <c r="CO7" s="283"/>
      <c r="CP7" s="283"/>
      <c r="CQ7" s="283"/>
      <c r="CR7" s="283"/>
      <c r="CS7" s="283"/>
      <c r="CT7" s="283"/>
      <c r="CU7" s="283"/>
      <c r="CV7" s="283"/>
      <c r="CW7" s="283"/>
      <c r="CX7" s="283"/>
      <c r="CY7" s="283"/>
      <c r="CZ7" s="283"/>
      <c r="DA7" s="283"/>
      <c r="DB7" s="283"/>
      <c r="DC7" s="283"/>
      <c r="DD7" s="283"/>
      <c r="DE7" s="283"/>
      <c r="DF7" s="283"/>
      <c r="DG7" s="283"/>
      <c r="DH7" s="283"/>
      <c r="DI7" s="283"/>
      <c r="DJ7" s="283"/>
      <c r="DK7" s="283"/>
      <c r="DL7" s="283"/>
      <c r="DM7" s="283"/>
      <c r="DN7" s="283"/>
      <c r="DO7" s="283"/>
      <c r="DP7" s="283"/>
      <c r="DQ7" s="283"/>
      <c r="DR7" s="283"/>
      <c r="DS7" s="283"/>
      <c r="DT7" s="283"/>
      <c r="DU7" s="283"/>
      <c r="DV7" s="283"/>
      <c r="DW7" s="283"/>
      <c r="DX7" s="283"/>
      <c r="DY7" s="283"/>
      <c r="DZ7" s="283"/>
      <c r="EA7" s="283"/>
      <c r="EB7" s="283"/>
      <c r="EC7" s="283"/>
      <c r="ED7" s="283"/>
      <c r="EE7" s="283"/>
      <c r="EF7" s="283"/>
      <c r="EG7" s="283"/>
      <c r="EH7" s="283"/>
      <c r="EI7" s="283"/>
      <c r="EJ7" s="283"/>
      <c r="EK7" s="283"/>
      <c r="EL7" s="283"/>
      <c r="EM7" s="283"/>
      <c r="EN7" s="283"/>
      <c r="EO7" s="283"/>
      <c r="EP7" s="283"/>
      <c r="EQ7" s="283"/>
      <c r="ER7" s="283"/>
      <c r="ES7" s="283"/>
      <c r="ET7" s="283"/>
      <c r="EU7" s="283"/>
      <c r="EV7" s="283"/>
      <c r="EW7" s="283"/>
      <c r="EX7" s="283"/>
      <c r="EY7" s="283"/>
      <c r="EZ7" s="283"/>
      <c r="FA7" s="283"/>
      <c r="FB7" s="283"/>
      <c r="FC7" s="283"/>
      <c r="FD7" s="283"/>
      <c r="FE7" s="283"/>
      <c r="FF7" s="283"/>
      <c r="FG7" s="283"/>
      <c r="FH7" s="283"/>
      <c r="FI7" s="283"/>
      <c r="FJ7" s="283"/>
      <c r="FK7" s="283"/>
      <c r="FL7" s="283"/>
      <c r="FM7" s="283"/>
      <c r="FN7" s="283"/>
      <c r="FO7" s="283"/>
      <c r="FP7" s="283"/>
      <c r="FQ7" s="283"/>
      <c r="FR7" s="283"/>
      <c r="FS7" s="283"/>
      <c r="FT7" s="283"/>
      <c r="FU7" s="283"/>
      <c r="FV7" s="283"/>
      <c r="FW7" s="283"/>
      <c r="FX7" s="283"/>
      <c r="FY7" s="283"/>
      <c r="FZ7" s="283"/>
      <c r="GA7" s="283"/>
      <c r="GB7" s="283"/>
      <c r="GC7" s="283"/>
      <c r="GD7" s="283"/>
      <c r="GE7" s="283"/>
      <c r="GF7" s="283"/>
      <c r="GG7" s="283"/>
      <c r="GH7" s="283"/>
      <c r="GI7" s="283"/>
      <c r="GJ7" s="283"/>
      <c r="GK7" s="283"/>
      <c r="GL7" s="283"/>
      <c r="GM7" s="283"/>
      <c r="GN7" s="283"/>
      <c r="GO7" s="283"/>
      <c r="GP7" s="283"/>
      <c r="GQ7" s="283"/>
      <c r="GR7" s="283"/>
      <c r="GS7" s="283"/>
      <c r="GT7" s="283"/>
      <c r="GU7" s="283"/>
      <c r="GV7" s="283"/>
      <c r="GW7" s="283"/>
      <c r="GX7" s="283"/>
      <c r="GY7" s="283"/>
      <c r="GZ7" s="283"/>
      <c r="HA7" s="283"/>
      <c r="HB7" s="283"/>
      <c r="HC7" s="283"/>
      <c r="HD7" s="283"/>
      <c r="HE7" s="283"/>
      <c r="HF7" s="283"/>
      <c r="HG7" s="283"/>
      <c r="HH7" s="283"/>
      <c r="HI7" s="283"/>
      <c r="HJ7" s="283"/>
      <c r="HK7" s="283"/>
      <c r="HL7" s="283"/>
      <c r="HM7" s="283"/>
      <c r="HN7" s="283"/>
      <c r="HO7" s="283"/>
      <c r="HP7" s="283"/>
      <c r="HQ7" s="283"/>
      <c r="HR7" s="283"/>
      <c r="HS7" s="283"/>
      <c r="HT7" s="283"/>
      <c r="HU7" s="283"/>
      <c r="HV7" s="283"/>
      <c r="HW7" s="283"/>
      <c r="HX7" s="283"/>
      <c r="HY7" s="283"/>
    </row>
    <row r="8" spans="1:233" ht="30" customHeight="1">
      <c r="A8" s="493" t="s">
        <v>186</v>
      </c>
      <c r="B8" s="494"/>
      <c r="C8" s="494"/>
      <c r="D8" s="494"/>
      <c r="E8" s="494"/>
      <c r="F8" s="686"/>
      <c r="G8" s="496"/>
      <c r="H8" s="497"/>
      <c r="I8" s="514"/>
      <c r="J8" s="514"/>
      <c r="K8" s="514"/>
      <c r="L8" s="514"/>
      <c r="M8" s="732"/>
      <c r="N8" s="732"/>
      <c r="O8" s="732"/>
      <c r="P8" s="514"/>
      <c r="Q8" s="514"/>
      <c r="R8" s="514"/>
      <c r="S8" s="514"/>
      <c r="T8" s="514"/>
      <c r="U8" s="514"/>
      <c r="V8" s="514"/>
      <c r="W8" s="514"/>
      <c r="X8" s="514"/>
      <c r="Y8" s="514"/>
      <c r="Z8" s="734"/>
      <c r="AA8" s="548"/>
      <c r="AB8" s="547">
        <v>16000</v>
      </c>
      <c r="AC8" s="547"/>
      <c r="AD8" s="547"/>
      <c r="AE8" s="547"/>
      <c r="AF8" s="512"/>
      <c r="AG8" s="547">
        <v>17000</v>
      </c>
      <c r="AH8" s="547"/>
      <c r="AI8" s="623">
        <v>1000</v>
      </c>
      <c r="AJ8" s="547"/>
      <c r="AK8" s="514" t="s">
        <v>186</v>
      </c>
      <c r="AL8" s="514" t="s">
        <v>199</v>
      </c>
      <c r="AM8" s="514" t="s">
        <v>228</v>
      </c>
      <c r="AN8" s="512" t="s">
        <v>1322</v>
      </c>
      <c r="AO8" s="550"/>
      <c r="AP8" s="550">
        <v>555</v>
      </c>
      <c r="AQ8" s="550"/>
      <c r="AR8" s="550">
        <v>505</v>
      </c>
      <c r="AS8" s="550"/>
      <c r="AT8" s="550">
        <v>455</v>
      </c>
      <c r="AU8" s="627"/>
      <c r="AV8" s="627"/>
      <c r="AW8" s="627"/>
      <c r="AX8" s="551"/>
      <c r="AY8" s="627"/>
      <c r="AZ8" s="627">
        <v>2000</v>
      </c>
      <c r="BA8" s="627"/>
      <c r="BB8" s="560"/>
      <c r="BC8" s="751"/>
      <c r="BD8" s="636"/>
      <c r="BE8" s="283"/>
      <c r="BF8" s="283"/>
      <c r="BG8" s="283"/>
      <c r="BH8" s="283"/>
      <c r="BI8" s="283"/>
      <c r="BJ8" s="283"/>
      <c r="BK8" s="283"/>
      <c r="BL8" s="283"/>
      <c r="BM8" s="283"/>
      <c r="BN8" s="283"/>
      <c r="BO8" s="283"/>
      <c r="BP8" s="283"/>
      <c r="BQ8" s="283"/>
      <c r="BR8" s="283"/>
      <c r="BS8" s="283"/>
      <c r="BT8" s="283"/>
      <c r="BU8" s="283"/>
      <c r="BV8" s="283"/>
      <c r="BW8" s="283"/>
      <c r="BX8" s="283"/>
      <c r="BY8" s="283"/>
      <c r="BZ8" s="283"/>
      <c r="CA8" s="283"/>
      <c r="CB8" s="283"/>
      <c r="CC8" s="283"/>
      <c r="CD8" s="283"/>
      <c r="CE8" s="283"/>
      <c r="CF8" s="283"/>
      <c r="CG8" s="283"/>
      <c r="CH8" s="283"/>
      <c r="CI8" s="283"/>
      <c r="CJ8" s="283"/>
      <c r="CK8" s="283"/>
      <c r="CL8" s="283"/>
      <c r="CM8" s="283"/>
      <c r="CN8" s="283"/>
      <c r="CO8" s="283"/>
      <c r="CP8" s="283"/>
      <c r="CQ8" s="283"/>
      <c r="CR8" s="283"/>
      <c r="CS8" s="283"/>
      <c r="CT8" s="283"/>
      <c r="CU8" s="283"/>
      <c r="CV8" s="283"/>
      <c r="CW8" s="283"/>
      <c r="CX8" s="283"/>
      <c r="CY8" s="283"/>
      <c r="CZ8" s="283"/>
      <c r="DA8" s="283"/>
      <c r="DB8" s="283"/>
      <c r="DC8" s="283"/>
      <c r="DD8" s="283"/>
      <c r="DE8" s="283"/>
      <c r="DF8" s="283"/>
      <c r="DG8" s="283"/>
      <c r="DH8" s="283"/>
      <c r="DI8" s="283"/>
      <c r="DJ8" s="283"/>
      <c r="DK8" s="283"/>
      <c r="DL8" s="283"/>
      <c r="DM8" s="283"/>
      <c r="DN8" s="283"/>
      <c r="DO8" s="283"/>
      <c r="DP8" s="283"/>
      <c r="DQ8" s="283"/>
      <c r="DR8" s="283"/>
      <c r="DS8" s="283"/>
      <c r="DT8" s="283"/>
      <c r="DU8" s="283"/>
      <c r="DV8" s="283"/>
      <c r="DW8" s="283"/>
      <c r="DX8" s="283"/>
      <c r="DY8" s="283"/>
      <c r="DZ8" s="283"/>
      <c r="EA8" s="283"/>
      <c r="EB8" s="283"/>
      <c r="EC8" s="283"/>
      <c r="ED8" s="283"/>
      <c r="EE8" s="283"/>
      <c r="EF8" s="283"/>
      <c r="EG8" s="283"/>
      <c r="EH8" s="283"/>
      <c r="EI8" s="283"/>
      <c r="EJ8" s="283"/>
      <c r="EK8" s="283"/>
      <c r="EL8" s="283"/>
      <c r="EM8" s="283"/>
      <c r="EN8" s="283"/>
      <c r="EO8" s="283"/>
      <c r="EP8" s="283"/>
      <c r="EQ8" s="283"/>
      <c r="ER8" s="283"/>
      <c r="ES8" s="283"/>
      <c r="ET8" s="283"/>
      <c r="EU8" s="283"/>
      <c r="EV8" s="283"/>
      <c r="EW8" s="283"/>
      <c r="EX8" s="283"/>
      <c r="EY8" s="283"/>
      <c r="EZ8" s="283"/>
      <c r="FA8" s="283"/>
      <c r="FB8" s="283"/>
      <c r="FC8" s="283"/>
      <c r="FD8" s="283"/>
      <c r="FE8" s="283"/>
      <c r="FF8" s="283"/>
      <c r="FG8" s="283"/>
      <c r="FH8" s="283"/>
      <c r="FI8" s="283"/>
      <c r="FJ8" s="283"/>
      <c r="FK8" s="283"/>
      <c r="FL8" s="283"/>
      <c r="FM8" s="283"/>
      <c r="FN8" s="283"/>
      <c r="FO8" s="283"/>
      <c r="FP8" s="283"/>
      <c r="FQ8" s="283"/>
      <c r="FR8" s="283"/>
      <c r="FS8" s="283"/>
      <c r="FT8" s="283"/>
      <c r="FU8" s="283"/>
      <c r="FV8" s="283"/>
      <c r="FW8" s="283"/>
      <c r="FX8" s="283"/>
      <c r="FY8" s="283"/>
      <c r="FZ8" s="283"/>
      <c r="GA8" s="283"/>
      <c r="GB8" s="283"/>
      <c r="GC8" s="283"/>
      <c r="GD8" s="283"/>
      <c r="GE8" s="283"/>
      <c r="GF8" s="283"/>
      <c r="GG8" s="283"/>
      <c r="GH8" s="283"/>
      <c r="GI8" s="283"/>
      <c r="GJ8" s="283"/>
      <c r="GK8" s="283"/>
      <c r="GL8" s="283"/>
      <c r="GM8" s="283"/>
      <c r="GN8" s="283"/>
      <c r="GO8" s="283"/>
      <c r="GP8" s="283"/>
      <c r="GQ8" s="283"/>
      <c r="GR8" s="283"/>
      <c r="GS8" s="283"/>
      <c r="GT8" s="283"/>
      <c r="GU8" s="283"/>
      <c r="GV8" s="283"/>
      <c r="GW8" s="283"/>
      <c r="GX8" s="283"/>
      <c r="GY8" s="283"/>
      <c r="GZ8" s="283"/>
      <c r="HA8" s="283"/>
      <c r="HB8" s="283"/>
      <c r="HC8" s="283"/>
      <c r="HD8" s="283"/>
      <c r="HE8" s="283"/>
      <c r="HF8" s="283"/>
      <c r="HG8" s="283"/>
      <c r="HH8" s="283"/>
      <c r="HI8" s="283"/>
      <c r="HJ8" s="283"/>
      <c r="HK8" s="283"/>
      <c r="HL8" s="283"/>
      <c r="HM8" s="283"/>
      <c r="HN8" s="283"/>
      <c r="HO8" s="283"/>
      <c r="HP8" s="283"/>
      <c r="HQ8" s="283"/>
      <c r="HR8" s="283"/>
      <c r="HS8" s="283"/>
      <c r="HT8" s="283"/>
      <c r="HU8" s="283"/>
      <c r="HV8" s="283"/>
      <c r="HW8" s="283"/>
      <c r="HX8" s="283"/>
      <c r="HY8" s="283"/>
    </row>
    <row r="9" spans="1:233" ht="30" customHeight="1">
      <c r="A9" s="493"/>
      <c r="B9" s="494"/>
      <c r="C9" s="494"/>
      <c r="D9" s="494"/>
      <c r="E9" s="494"/>
      <c r="F9" s="686"/>
      <c r="G9" s="496"/>
      <c r="H9" s="502"/>
      <c r="I9" s="516"/>
      <c r="J9" s="514"/>
      <c r="K9" s="514"/>
      <c r="L9" s="514"/>
      <c r="M9" s="732"/>
      <c r="N9" s="732"/>
      <c r="O9" s="732"/>
      <c r="P9" s="514"/>
      <c r="Q9" s="514"/>
      <c r="R9" s="514"/>
      <c r="S9" s="514"/>
      <c r="T9" s="514"/>
      <c r="U9" s="514"/>
      <c r="V9" s="514"/>
      <c r="W9" s="514"/>
      <c r="X9" s="514"/>
      <c r="Y9" s="514"/>
      <c r="Z9" s="735"/>
      <c r="AA9" s="735"/>
      <c r="AB9" s="736"/>
      <c r="AC9" s="736"/>
      <c r="AD9" s="736"/>
      <c r="AE9" s="736"/>
      <c r="AF9" s="737"/>
      <c r="AG9" s="736"/>
      <c r="AH9" s="736"/>
      <c r="AI9" s="737"/>
      <c r="AJ9" s="736"/>
      <c r="AK9" s="514"/>
      <c r="AL9" s="514"/>
      <c r="AM9" s="514"/>
      <c r="AN9" s="739"/>
      <c r="AO9" s="743"/>
      <c r="AP9" s="743"/>
      <c r="AQ9" s="743"/>
      <c r="AR9" s="743"/>
      <c r="AS9" s="743"/>
      <c r="AT9" s="743"/>
      <c r="AU9" s="744"/>
      <c r="AV9" s="745"/>
      <c r="AW9" s="752"/>
      <c r="AX9" s="753"/>
      <c r="AY9" s="754"/>
      <c r="AZ9" s="754"/>
      <c r="BA9" s="754"/>
      <c r="BB9" s="755">
        <f>AG9+AJ9</f>
        <v>0</v>
      </c>
      <c r="BC9" s="756"/>
      <c r="BD9" s="636"/>
      <c r="BE9" s="283"/>
      <c r="BF9" s="283"/>
      <c r="BG9" s="283"/>
      <c r="BH9" s="283"/>
      <c r="BI9" s="283"/>
      <c r="BJ9" s="283"/>
      <c r="BK9" s="283"/>
      <c r="BL9" s="283"/>
      <c r="BM9" s="283"/>
      <c r="BN9" s="283"/>
      <c r="BO9" s="283"/>
      <c r="BP9" s="283"/>
      <c r="BQ9" s="283"/>
      <c r="BR9" s="283"/>
      <c r="BS9" s="283"/>
      <c r="BT9" s="283"/>
      <c r="BU9" s="283"/>
      <c r="BV9" s="283"/>
      <c r="BW9" s="283"/>
      <c r="BX9" s="283"/>
      <c r="BY9" s="283"/>
      <c r="BZ9" s="283"/>
      <c r="CA9" s="283"/>
      <c r="CB9" s="283"/>
      <c r="CC9" s="283"/>
      <c r="CD9" s="283"/>
      <c r="CE9" s="283"/>
      <c r="CF9" s="283"/>
      <c r="CG9" s="283"/>
      <c r="CH9" s="283"/>
      <c r="CI9" s="283"/>
      <c r="CJ9" s="283"/>
      <c r="CK9" s="283"/>
      <c r="CL9" s="283"/>
      <c r="CM9" s="283"/>
      <c r="CN9" s="283"/>
      <c r="CO9" s="283"/>
      <c r="CP9" s="283"/>
      <c r="CQ9" s="283"/>
      <c r="CR9" s="283"/>
      <c r="CS9" s="283"/>
      <c r="CT9" s="283"/>
      <c r="CU9" s="283"/>
      <c r="CV9" s="283"/>
      <c r="CW9" s="283"/>
      <c r="CX9" s="283"/>
      <c r="CY9" s="283"/>
      <c r="CZ9" s="283"/>
      <c r="DA9" s="283"/>
      <c r="DB9" s="283"/>
      <c r="DC9" s="283"/>
      <c r="DD9" s="283"/>
      <c r="DE9" s="283"/>
      <c r="DF9" s="283"/>
      <c r="DG9" s="283"/>
      <c r="DH9" s="283"/>
      <c r="DI9" s="283"/>
      <c r="DJ9" s="283"/>
      <c r="DK9" s="283"/>
      <c r="DL9" s="283"/>
      <c r="DM9" s="283"/>
      <c r="DN9" s="283"/>
      <c r="DO9" s="283"/>
      <c r="DP9" s="283"/>
      <c r="DQ9" s="283"/>
      <c r="DR9" s="283"/>
      <c r="DS9" s="283"/>
      <c r="DT9" s="283"/>
      <c r="DU9" s="283"/>
      <c r="DV9" s="283"/>
      <c r="DW9" s="283"/>
      <c r="DX9" s="283"/>
      <c r="DY9" s="283"/>
      <c r="DZ9" s="283"/>
      <c r="EA9" s="283"/>
      <c r="EB9" s="283"/>
      <c r="EC9" s="283"/>
      <c r="ED9" s="283"/>
      <c r="EE9" s="283"/>
      <c r="EF9" s="283"/>
      <c r="EG9" s="283"/>
      <c r="EH9" s="283"/>
      <c r="EI9" s="283"/>
      <c r="EJ9" s="283"/>
      <c r="EK9" s="283"/>
      <c r="EL9" s="283"/>
      <c r="EM9" s="283"/>
      <c r="EN9" s="283"/>
      <c r="EO9" s="283"/>
      <c r="EP9" s="283"/>
      <c r="EQ9" s="283"/>
      <c r="ER9" s="283"/>
      <c r="ES9" s="283"/>
      <c r="ET9" s="283"/>
      <c r="EU9" s="283"/>
      <c r="EV9" s="283"/>
      <c r="EW9" s="283"/>
      <c r="EX9" s="283"/>
      <c r="EY9" s="283"/>
      <c r="EZ9" s="283"/>
      <c r="FA9" s="283"/>
      <c r="FB9" s="283"/>
      <c r="FC9" s="283"/>
      <c r="FD9" s="283"/>
      <c r="FE9" s="283"/>
      <c r="FF9" s="283"/>
      <c r="FG9" s="283"/>
      <c r="FH9" s="283"/>
      <c r="FI9" s="283"/>
      <c r="FJ9" s="283"/>
      <c r="FK9" s="283"/>
      <c r="FL9" s="283"/>
      <c r="FM9" s="283"/>
      <c r="FN9" s="283"/>
      <c r="FO9" s="283"/>
      <c r="FP9" s="283"/>
      <c r="FQ9" s="283"/>
      <c r="FR9" s="283"/>
      <c r="FS9" s="283"/>
      <c r="FT9" s="283"/>
      <c r="FU9" s="283"/>
      <c r="FV9" s="283"/>
      <c r="FW9" s="283"/>
      <c r="FX9" s="283"/>
      <c r="FY9" s="283"/>
      <c r="FZ9" s="283"/>
      <c r="GA9" s="283"/>
      <c r="GB9" s="283"/>
      <c r="GC9" s="283"/>
      <c r="GD9" s="283"/>
      <c r="GE9" s="283"/>
      <c r="GF9" s="283"/>
      <c r="GG9" s="283"/>
      <c r="GH9" s="283"/>
      <c r="GI9" s="283"/>
      <c r="GJ9" s="283"/>
      <c r="GK9" s="283"/>
      <c r="GL9" s="283"/>
      <c r="GM9" s="283"/>
      <c r="GN9" s="283"/>
      <c r="GO9" s="283"/>
      <c r="GP9" s="283"/>
      <c r="GQ9" s="283"/>
      <c r="GR9" s="283"/>
      <c r="GS9" s="283"/>
      <c r="GT9" s="283"/>
      <c r="GU9" s="283"/>
      <c r="GV9" s="283"/>
      <c r="GW9" s="283"/>
      <c r="GX9" s="283"/>
      <c r="GY9" s="283"/>
      <c r="GZ9" s="283"/>
      <c r="HA9" s="283"/>
      <c r="HB9" s="283"/>
      <c r="HC9" s="283"/>
      <c r="HD9" s="283"/>
      <c r="HE9" s="283"/>
      <c r="HF9" s="283"/>
      <c r="HG9" s="283"/>
      <c r="HH9" s="283"/>
      <c r="HI9" s="283"/>
      <c r="HJ9" s="283"/>
      <c r="HK9" s="283"/>
      <c r="HL9" s="283"/>
      <c r="HM9" s="283"/>
      <c r="HN9" s="283"/>
      <c r="HO9" s="283"/>
      <c r="HP9" s="283"/>
      <c r="HQ9" s="283"/>
      <c r="HR9" s="283"/>
      <c r="HS9" s="283"/>
      <c r="HT9" s="283"/>
      <c r="HU9" s="283"/>
      <c r="HV9" s="283"/>
      <c r="HW9" s="283"/>
      <c r="HX9" s="283"/>
      <c r="HY9" s="283"/>
    </row>
    <row r="10" spans="1:233" s="483" customFormat="1" ht="35.4" customHeight="1">
      <c r="A10" s="503">
        <v>1</v>
      </c>
      <c r="B10" s="504">
        <v>1</v>
      </c>
      <c r="C10" s="504">
        <v>1</v>
      </c>
      <c r="D10" s="728">
        <f>'Tên Tháng 1'!B4</f>
        <v>33030</v>
      </c>
      <c r="E10" s="728" t="str">
        <f>'Tên Tháng 1'!C4</f>
        <v>ស្រី</v>
      </c>
      <c r="F10" s="728">
        <f>'Tên Tháng 1'!D4</f>
        <v>150429518</v>
      </c>
      <c r="G10" s="728" t="str">
        <f>'Tên Tháng 1'!E4</f>
        <v>ឆែម ហុង</v>
      </c>
      <c r="H10" s="728" t="str">
        <f>'Tên Tháng 1'!F4</f>
        <v>CHHEM HONG</v>
      </c>
      <c r="I10" s="519">
        <f>'CHAM CONG'!G8</f>
        <v>0</v>
      </c>
      <c r="J10" s="519">
        <f>'CHAM CONG'!H8</f>
        <v>0</v>
      </c>
      <c r="K10" s="519" t="str">
        <f>'CHAM CONG'!I8</f>
        <v>x</v>
      </c>
      <c r="L10" s="519">
        <f>'CHAM CONG'!J8</f>
        <v>0</v>
      </c>
      <c r="M10" s="519">
        <f>'CHAM CONG'!K8</f>
        <v>0</v>
      </c>
      <c r="N10" s="519">
        <f>'CHAM CONG'!L8</f>
        <v>0</v>
      </c>
      <c r="O10" s="519" t="str">
        <f>'CHAM CONG'!M8</f>
        <v>x</v>
      </c>
      <c r="P10" s="519" t="str">
        <f>'CHAM CONG'!N8</f>
        <v>x</v>
      </c>
      <c r="Q10" s="519" t="str">
        <f>'CHAM CONG'!O8</f>
        <v>x</v>
      </c>
      <c r="R10" s="519" t="str">
        <f>'CHAM CONG'!P8</f>
        <v>x</v>
      </c>
      <c r="S10" s="519" t="str">
        <f>'CHAM CONG'!Q8</f>
        <v>x</v>
      </c>
      <c r="T10" s="519" t="str">
        <f>'CHAM CONG'!R8</f>
        <v>x</v>
      </c>
      <c r="U10" s="519" t="str">
        <f>'CHAM CONG'!S8</f>
        <v>x</v>
      </c>
      <c r="V10" s="519" t="str">
        <f>'CHAM CONG'!T8</f>
        <v>x</v>
      </c>
      <c r="W10" s="519" t="str">
        <f>'CHAM CONG'!U8</f>
        <v>x</v>
      </c>
      <c r="X10" s="519"/>
      <c r="Y10" s="519"/>
      <c r="Z10" s="738">
        <f>COUNTIF(I10:W10,"X")</f>
        <v>10</v>
      </c>
      <c r="AA10" s="580">
        <f>ROUND(Z10*$Z$8/30456,2)+$AA$2</f>
        <v>0</v>
      </c>
      <c r="AB10" s="580">
        <f>ROUND(Z10*$AB$8,0)</f>
        <v>160000</v>
      </c>
      <c r="AC10" s="580">
        <f>'CHAM CONG'!V8</f>
        <v>0</v>
      </c>
      <c r="AD10" s="580">
        <f>'CHAM CONG'!W8</f>
        <v>0</v>
      </c>
      <c r="AE10" s="580">
        <f>'CHAM CONG'!X8</f>
        <v>0</v>
      </c>
      <c r="AF10" s="738">
        <f>COUNTIF(AC10:AE10,"X")</f>
        <v>0</v>
      </c>
      <c r="AG10" s="580">
        <f>ROUND(AF10*$AG$8,0)</f>
        <v>0</v>
      </c>
      <c r="AH10" s="580">
        <f t="shared" ref="AH10:AH41" si="0">Z10</f>
        <v>10</v>
      </c>
      <c r="AI10" s="580">
        <f>ROUND(AH10*$AI$8,0)</f>
        <v>10000</v>
      </c>
      <c r="AJ10" s="580">
        <f>AB10+AI10+AG10</f>
        <v>170000</v>
      </c>
      <c r="AK10" s="429">
        <f>'SAN LUONG'!AF9</f>
        <v>67</v>
      </c>
      <c r="AL10" s="429">
        <f>'SAN LUONG'!AG9</f>
        <v>375</v>
      </c>
      <c r="AM10" s="429">
        <f>'SAN LUONG'!AH9</f>
        <v>275</v>
      </c>
      <c r="AN10" s="429">
        <f>'SAN LUONG'!AI9</f>
        <v>0</v>
      </c>
      <c r="AO10" s="746">
        <f>SUM(AK10:AN10)</f>
        <v>717</v>
      </c>
      <c r="AP10" s="746">
        <f>ROUND(AO10*0.44*$AP$8,0)</f>
        <v>175091</v>
      </c>
      <c r="AQ10" s="746"/>
      <c r="AR10" s="746">
        <f t="shared" ref="AR10:AR41" si="1">ROUND(AQ10*0.44*$AR$8,0)</f>
        <v>0</v>
      </c>
      <c r="AS10" s="746"/>
      <c r="AT10" s="746">
        <f t="shared" ref="AT10:AT41" si="2">ROUND(AS10*0.44*$AT$8,0)</f>
        <v>0</v>
      </c>
      <c r="AU10" s="747">
        <f>'SAN LUONG'!AU9</f>
        <v>0</v>
      </c>
      <c r="AV10" s="748">
        <f>ROUND((AU10*1000)/30456,2)</f>
        <v>0</v>
      </c>
      <c r="AW10" s="757">
        <f>AU10*1000</f>
        <v>0</v>
      </c>
      <c r="AX10" s="758">
        <f>AJ10+AT10+AR10+AP10</f>
        <v>345091</v>
      </c>
      <c r="AY10" s="759"/>
      <c r="AZ10" s="759"/>
      <c r="BA10" s="759"/>
      <c r="BB10" s="760">
        <f>AX10</f>
        <v>345091</v>
      </c>
      <c r="BC10" s="761"/>
      <c r="BD10" s="639">
        <f>ROUND(BB10/31947,2)</f>
        <v>10.8</v>
      </c>
      <c r="BE10" s="567"/>
      <c r="BF10" s="765"/>
    </row>
    <row r="11" spans="1:233" s="483" customFormat="1" ht="35.4" customHeight="1">
      <c r="A11" s="503">
        <v>2</v>
      </c>
      <c r="B11" s="504">
        <v>1</v>
      </c>
      <c r="C11" s="504">
        <v>2</v>
      </c>
      <c r="D11" s="728">
        <f>'Tên Tháng 1'!B5</f>
        <v>35982</v>
      </c>
      <c r="E11" s="728" t="str">
        <f>'Tên Tháng 1'!C5</f>
        <v>ប្រុស</v>
      </c>
      <c r="F11" s="728">
        <f>'Tên Tháng 1'!D5</f>
        <v>220140698</v>
      </c>
      <c r="G11" s="728" t="str">
        <f>'Tên Tháng 1'!E5</f>
        <v>សុទ្ធ សីថា</v>
      </c>
      <c r="H11" s="728" t="str">
        <f>'Tên Tháng 1'!F5</f>
        <v>SOT SEYTHA</v>
      </c>
      <c r="I11" s="519">
        <f>'CHAM CONG'!G9</f>
        <v>0</v>
      </c>
      <c r="J11" s="519" t="str">
        <f>'CHAM CONG'!H9</f>
        <v>x</v>
      </c>
      <c r="K11" s="519" t="str">
        <f>'CHAM CONG'!I9</f>
        <v>x</v>
      </c>
      <c r="L11" s="519">
        <f>'CHAM CONG'!J9</f>
        <v>0</v>
      </c>
      <c r="M11" s="519" t="str">
        <f>'CHAM CONG'!K9</f>
        <v>x</v>
      </c>
      <c r="N11" s="519" t="str">
        <f>'CHAM CONG'!L9</f>
        <v>x</v>
      </c>
      <c r="O11" s="519" t="str">
        <f>'CHAM CONG'!M9</f>
        <v>x</v>
      </c>
      <c r="P11" s="519" t="str">
        <f>'CHAM CONG'!N9</f>
        <v>x</v>
      </c>
      <c r="Q11" s="519" t="str">
        <f>'CHAM CONG'!O9</f>
        <v>x</v>
      </c>
      <c r="R11" s="519" t="str">
        <f>'CHAM CONG'!P9</f>
        <v>x</v>
      </c>
      <c r="S11" s="519" t="str">
        <f>'CHAM CONG'!Q9</f>
        <v>x</v>
      </c>
      <c r="T11" s="519" t="str">
        <f>'CHAM CONG'!R9</f>
        <v>x</v>
      </c>
      <c r="U11" s="519" t="str">
        <f>'CHAM CONG'!S9</f>
        <v>x</v>
      </c>
      <c r="V11" s="519" t="str">
        <f>'CHAM CONG'!T9</f>
        <v>x</v>
      </c>
      <c r="W11" s="519" t="str">
        <f>'CHAM CONG'!U9</f>
        <v>x</v>
      </c>
      <c r="X11" s="519"/>
      <c r="Y11" s="519"/>
      <c r="Z11" s="738">
        <f t="shared" ref="Z11:Z74" si="3">COUNTIF(I11:W11,"X")</f>
        <v>13</v>
      </c>
      <c r="AA11" s="580">
        <f t="shared" ref="AA11:AA74" si="4">ROUND(Z11*$Z$8/30456,2)+$AA$2</f>
        <v>0</v>
      </c>
      <c r="AB11" s="580">
        <f t="shared" ref="AB11:AB74" si="5">ROUND(Z11*$AB$8,0)</f>
        <v>208000</v>
      </c>
      <c r="AC11" s="580">
        <f>'CHAM CONG'!V9</f>
        <v>0</v>
      </c>
      <c r="AD11" s="580">
        <f>'CHAM CONG'!W9</f>
        <v>0</v>
      </c>
      <c r="AE11" s="580">
        <f>'CHAM CONG'!X9</f>
        <v>0</v>
      </c>
      <c r="AF11" s="738">
        <f t="shared" ref="AF11:AF74" si="6">COUNTIF(AC11:AE11,"X")</f>
        <v>0</v>
      </c>
      <c r="AG11" s="580">
        <f t="shared" ref="AG11:AG74" si="7">ROUND(AF11*$AG$8,0)</f>
        <v>0</v>
      </c>
      <c r="AH11" s="580">
        <f t="shared" si="0"/>
        <v>13</v>
      </c>
      <c r="AI11" s="580">
        <f t="shared" ref="AI11:AI74" si="8">ROUND(AH11*$AI$8,0)</f>
        <v>13000</v>
      </c>
      <c r="AJ11" s="580">
        <f t="shared" ref="AJ11:AJ74" si="9">AB11+AI11+AG11</f>
        <v>221000</v>
      </c>
      <c r="AK11" s="429">
        <f>'SAN LUONG'!AF10</f>
        <v>236</v>
      </c>
      <c r="AL11" s="429">
        <f>'SAN LUONG'!AG10</f>
        <v>435</v>
      </c>
      <c r="AM11" s="429">
        <f>'SAN LUONG'!AH10</f>
        <v>364</v>
      </c>
      <c r="AN11" s="429">
        <f>'SAN LUONG'!AI10</f>
        <v>0</v>
      </c>
      <c r="AO11" s="746">
        <f t="shared" ref="AO11:AO56" si="10">SUM(AK11:AN11)</f>
        <v>1035</v>
      </c>
      <c r="AP11" s="746">
        <f t="shared" ref="AP11:AP74" si="11">ROUND(AO11*0.44*$AP$8,0)</f>
        <v>252747</v>
      </c>
      <c r="AQ11" s="746"/>
      <c r="AR11" s="746">
        <f t="shared" si="1"/>
        <v>0</v>
      </c>
      <c r="AS11" s="746"/>
      <c r="AT11" s="746">
        <f t="shared" si="2"/>
        <v>0</v>
      </c>
      <c r="AU11" s="747">
        <f>'SAN LUONG'!AU10</f>
        <v>0</v>
      </c>
      <c r="AV11" s="748">
        <f t="shared" ref="AV11:AV74" si="12">ROUND((AU11*1000)/30456,2)</f>
        <v>0</v>
      </c>
      <c r="AW11" s="757">
        <f t="shared" ref="AW11:AW74" si="13">AU11*1000</f>
        <v>0</v>
      </c>
      <c r="AX11" s="758">
        <f t="shared" ref="AX11:AX74" si="14">AJ11+AT11+AR11+AP11</f>
        <v>473747</v>
      </c>
      <c r="AY11" s="759"/>
      <c r="AZ11" s="759"/>
      <c r="BA11" s="759"/>
      <c r="BB11" s="760">
        <f t="shared" ref="BB11:BB74" si="15">AX11</f>
        <v>473747</v>
      </c>
      <c r="BC11" s="761"/>
      <c r="BD11" s="639">
        <f t="shared" ref="BD11:BD74" si="16">ROUND(BB11/31947,2)</f>
        <v>14.83</v>
      </c>
      <c r="BE11" s="567"/>
      <c r="BF11" s="765"/>
    </row>
    <row r="12" spans="1:233" s="483" customFormat="1" ht="35.4" customHeight="1">
      <c r="A12" s="503">
        <v>3</v>
      </c>
      <c r="B12" s="504">
        <v>1</v>
      </c>
      <c r="C12" s="504">
        <v>3</v>
      </c>
      <c r="D12" s="728">
        <f>'Tên Tháng 1'!B6</f>
        <v>38457</v>
      </c>
      <c r="E12" s="728" t="str">
        <f>'Tên Tháng 1'!C6</f>
        <v>ប្រុស</v>
      </c>
      <c r="F12" s="728">
        <f>'Tên Tháng 1'!D6</f>
        <v>151027370</v>
      </c>
      <c r="G12" s="728" t="str">
        <f>'Tên Tháng 1'!E6</f>
        <v>រ៉ន ចាន់រាជ</v>
      </c>
      <c r="H12" s="728" t="str">
        <f>'Tên Tháng 1'!F6</f>
        <v>RORN CHANREACH</v>
      </c>
      <c r="I12" s="519" t="str">
        <f>'CHAM CONG'!G10</f>
        <v>x</v>
      </c>
      <c r="J12" s="519" t="str">
        <f>'CHAM CONG'!H10</f>
        <v>x</v>
      </c>
      <c r="K12" s="519" t="str">
        <f>'CHAM CONG'!I10</f>
        <v>x</v>
      </c>
      <c r="L12" s="519">
        <f>'CHAM CONG'!J10</f>
        <v>0</v>
      </c>
      <c r="M12" s="519" t="str">
        <f>'CHAM CONG'!K10</f>
        <v>x</v>
      </c>
      <c r="N12" s="519" t="str">
        <f>'CHAM CONG'!L10</f>
        <v>x</v>
      </c>
      <c r="O12" s="519" t="str">
        <f>'CHAM CONG'!M10</f>
        <v>x</v>
      </c>
      <c r="P12" s="519" t="str">
        <f>'CHAM CONG'!N10</f>
        <v>x</v>
      </c>
      <c r="Q12" s="519" t="str">
        <f>'CHAM CONG'!O10</f>
        <v>x</v>
      </c>
      <c r="R12" s="519" t="str">
        <f>'CHAM CONG'!P10</f>
        <v>x</v>
      </c>
      <c r="S12" s="519" t="str">
        <f>'CHAM CONG'!Q10</f>
        <v>x</v>
      </c>
      <c r="T12" s="519" t="str">
        <f>'CHAM CONG'!R10</f>
        <v>x</v>
      </c>
      <c r="U12" s="519" t="str">
        <f>'CHAM CONG'!S10</f>
        <v>x</v>
      </c>
      <c r="V12" s="519" t="str">
        <f>'CHAM CONG'!T10</f>
        <v>x</v>
      </c>
      <c r="W12" s="519" t="str">
        <f>'CHAM CONG'!U10</f>
        <v>x</v>
      </c>
      <c r="X12" s="519"/>
      <c r="Y12" s="519"/>
      <c r="Z12" s="738">
        <f t="shared" si="3"/>
        <v>14</v>
      </c>
      <c r="AA12" s="580">
        <f t="shared" si="4"/>
        <v>0</v>
      </c>
      <c r="AB12" s="580">
        <f t="shared" si="5"/>
        <v>224000</v>
      </c>
      <c r="AC12" s="580" t="str">
        <f>'CHAM CONG'!V10</f>
        <v>x</v>
      </c>
      <c r="AD12" s="580">
        <f>'CHAM CONG'!W10</f>
        <v>0</v>
      </c>
      <c r="AE12" s="580">
        <f>'CHAM CONG'!X10</f>
        <v>0</v>
      </c>
      <c r="AF12" s="738">
        <f t="shared" si="6"/>
        <v>1</v>
      </c>
      <c r="AG12" s="580">
        <f t="shared" si="7"/>
        <v>17000</v>
      </c>
      <c r="AH12" s="580">
        <f t="shared" si="0"/>
        <v>14</v>
      </c>
      <c r="AI12" s="580">
        <f t="shared" si="8"/>
        <v>14000</v>
      </c>
      <c r="AJ12" s="580">
        <f t="shared" si="9"/>
        <v>255000</v>
      </c>
      <c r="AK12" s="429">
        <f>'SAN LUONG'!AF11</f>
        <v>341</v>
      </c>
      <c r="AL12" s="429">
        <f>'SAN LUONG'!AG11</f>
        <v>463</v>
      </c>
      <c r="AM12" s="429">
        <f>'SAN LUONG'!AH11</f>
        <v>469</v>
      </c>
      <c r="AN12" s="429">
        <f>'SAN LUONG'!AI11</f>
        <v>0</v>
      </c>
      <c r="AO12" s="746">
        <f t="shared" si="10"/>
        <v>1273</v>
      </c>
      <c r="AP12" s="746">
        <f t="shared" si="11"/>
        <v>310867</v>
      </c>
      <c r="AQ12" s="746"/>
      <c r="AR12" s="746">
        <f t="shared" si="1"/>
        <v>0</v>
      </c>
      <c r="AS12" s="746"/>
      <c r="AT12" s="746">
        <f t="shared" si="2"/>
        <v>0</v>
      </c>
      <c r="AU12" s="747">
        <f>'SAN LUONG'!AU11</f>
        <v>0</v>
      </c>
      <c r="AV12" s="748">
        <f t="shared" si="12"/>
        <v>0</v>
      </c>
      <c r="AW12" s="757">
        <f t="shared" si="13"/>
        <v>0</v>
      </c>
      <c r="AX12" s="758">
        <f t="shared" si="14"/>
        <v>565867</v>
      </c>
      <c r="AY12" s="759"/>
      <c r="AZ12" s="759"/>
      <c r="BA12" s="759"/>
      <c r="BB12" s="760">
        <f t="shared" si="15"/>
        <v>565867</v>
      </c>
      <c r="BC12" s="761"/>
      <c r="BD12" s="639">
        <f t="shared" si="16"/>
        <v>17.71</v>
      </c>
      <c r="BE12" s="567"/>
      <c r="BF12" s="765"/>
    </row>
    <row r="13" spans="1:233" s="483" customFormat="1" ht="35.4" customHeight="1">
      <c r="A13" s="503">
        <v>4</v>
      </c>
      <c r="B13" s="504">
        <v>1</v>
      </c>
      <c r="C13" s="504">
        <v>4</v>
      </c>
      <c r="D13" s="728">
        <f>'Tên Tháng 1'!B7</f>
        <v>36175</v>
      </c>
      <c r="E13" s="728" t="str">
        <f>'Tên Tháng 1'!C7</f>
        <v>ស្រី</v>
      </c>
      <c r="F13" s="728" t="str">
        <f>'Tên Tháng 1'!D7</f>
        <v>150815265</v>
      </c>
      <c r="G13" s="728" t="str">
        <f>'Tên Tháng 1'!E7</f>
        <v>ណំ ធីងធីង</v>
      </c>
      <c r="H13" s="728" t="str">
        <f>'Tên Tháng 1'!F7</f>
        <v>NON THING THING</v>
      </c>
      <c r="I13" s="519">
        <f>'CHAM CONG'!G11</f>
        <v>0</v>
      </c>
      <c r="J13" s="519" t="str">
        <f>'CHAM CONG'!H11</f>
        <v>x</v>
      </c>
      <c r="K13" s="519" t="str">
        <f>'CHAM CONG'!I11</f>
        <v>x</v>
      </c>
      <c r="L13" s="519">
        <f>'CHAM CONG'!J11</f>
        <v>0</v>
      </c>
      <c r="M13" s="519" t="str">
        <f>'CHAM CONG'!K11</f>
        <v>x</v>
      </c>
      <c r="N13" s="519" t="str">
        <f>'CHAM CONG'!L11</f>
        <v>x</v>
      </c>
      <c r="O13" s="519" t="str">
        <f>'CHAM CONG'!M11</f>
        <v>x</v>
      </c>
      <c r="P13" s="519" t="str">
        <f>'CHAM CONG'!N11</f>
        <v>x</v>
      </c>
      <c r="Q13" s="519" t="str">
        <f>'CHAM CONG'!O11</f>
        <v>x</v>
      </c>
      <c r="R13" s="519" t="str">
        <f>'CHAM CONG'!P11</f>
        <v>x</v>
      </c>
      <c r="S13" s="519" t="str">
        <f>'CHAM CONG'!Q11</f>
        <v>x</v>
      </c>
      <c r="T13" s="519" t="str">
        <f>'CHAM CONG'!R11</f>
        <v>x</v>
      </c>
      <c r="U13" s="519" t="str">
        <f>'CHAM CONG'!S11</f>
        <v>x</v>
      </c>
      <c r="V13" s="519" t="str">
        <f>'CHAM CONG'!T11</f>
        <v>x</v>
      </c>
      <c r="W13" s="519" t="str">
        <f>'CHAM CONG'!U11</f>
        <v>x</v>
      </c>
      <c r="X13" s="519"/>
      <c r="Y13" s="519"/>
      <c r="Z13" s="738">
        <f t="shared" si="3"/>
        <v>13</v>
      </c>
      <c r="AA13" s="580">
        <f t="shared" si="4"/>
        <v>0</v>
      </c>
      <c r="AB13" s="580">
        <f t="shared" si="5"/>
        <v>208000</v>
      </c>
      <c r="AC13" s="580">
        <f>'CHAM CONG'!V11</f>
        <v>0</v>
      </c>
      <c r="AD13" s="580">
        <f>'CHAM CONG'!W11</f>
        <v>0</v>
      </c>
      <c r="AE13" s="580">
        <f>'CHAM CONG'!X11</f>
        <v>0</v>
      </c>
      <c r="AF13" s="738">
        <f t="shared" si="6"/>
        <v>0</v>
      </c>
      <c r="AG13" s="580">
        <f t="shared" si="7"/>
        <v>0</v>
      </c>
      <c r="AH13" s="580">
        <f t="shared" si="0"/>
        <v>13</v>
      </c>
      <c r="AI13" s="580">
        <f t="shared" si="8"/>
        <v>13000</v>
      </c>
      <c r="AJ13" s="580">
        <f t="shared" si="9"/>
        <v>221000</v>
      </c>
      <c r="AK13" s="429">
        <f>'SAN LUONG'!AF12</f>
        <v>239</v>
      </c>
      <c r="AL13" s="429">
        <f>'SAN LUONG'!AG12</f>
        <v>377</v>
      </c>
      <c r="AM13" s="429">
        <f>'SAN LUONG'!AH12</f>
        <v>354</v>
      </c>
      <c r="AN13" s="429">
        <f>'SAN LUONG'!AI12</f>
        <v>0</v>
      </c>
      <c r="AO13" s="746">
        <f t="shared" si="10"/>
        <v>970</v>
      </c>
      <c r="AP13" s="746">
        <f t="shared" si="11"/>
        <v>236874</v>
      </c>
      <c r="AQ13" s="746"/>
      <c r="AR13" s="746">
        <f t="shared" si="1"/>
        <v>0</v>
      </c>
      <c r="AS13" s="746"/>
      <c r="AT13" s="746">
        <f t="shared" si="2"/>
        <v>0</v>
      </c>
      <c r="AU13" s="747">
        <f>'SAN LUONG'!AU12</f>
        <v>0</v>
      </c>
      <c r="AV13" s="748">
        <f t="shared" si="12"/>
        <v>0</v>
      </c>
      <c r="AW13" s="757">
        <f t="shared" si="13"/>
        <v>0</v>
      </c>
      <c r="AX13" s="758">
        <f t="shared" si="14"/>
        <v>457874</v>
      </c>
      <c r="AY13" s="759"/>
      <c r="AZ13" s="759"/>
      <c r="BA13" s="759"/>
      <c r="BB13" s="760">
        <f t="shared" si="15"/>
        <v>457874</v>
      </c>
      <c r="BC13" s="761"/>
      <c r="BD13" s="639">
        <f t="shared" si="16"/>
        <v>14.33</v>
      </c>
      <c r="BE13" s="567"/>
      <c r="BF13" s="765"/>
    </row>
    <row r="14" spans="1:233" s="483" customFormat="1" ht="35.4" customHeight="1">
      <c r="A14" s="503">
        <v>5</v>
      </c>
      <c r="B14" s="504">
        <v>1</v>
      </c>
      <c r="C14" s="504">
        <v>5</v>
      </c>
      <c r="D14" s="728">
        <f>'Tên Tháng 1'!B9</f>
        <v>35986</v>
      </c>
      <c r="E14" s="728" t="str">
        <f>'Tên Tháng 1'!C9</f>
        <v>ប្រុស</v>
      </c>
      <c r="F14" s="728">
        <f>'Tên Tháng 1'!D9</f>
        <v>220152906</v>
      </c>
      <c r="G14" s="728" t="str">
        <f>'Tên Tháng 1'!E8</f>
        <v>វ៉ាន់ បូរ៉ុង</v>
      </c>
      <c r="H14" s="728" t="str">
        <f>'Tên Tháng 1'!F8</f>
        <v>VANN BORONG</v>
      </c>
      <c r="I14" s="519" t="str">
        <f>'CHAM CONG'!G12</f>
        <v>x</v>
      </c>
      <c r="J14" s="519" t="str">
        <f>'CHAM CONG'!H12</f>
        <v>x</v>
      </c>
      <c r="K14" s="519" t="str">
        <f>'CHAM CONG'!I12</f>
        <v>x</v>
      </c>
      <c r="L14" s="519">
        <f>'CHAM CONG'!J12</f>
        <v>0</v>
      </c>
      <c r="M14" s="519" t="str">
        <f>'CHAM CONG'!K12</f>
        <v>x</v>
      </c>
      <c r="N14" s="519" t="str">
        <f>'CHAM CONG'!L12</f>
        <v>x</v>
      </c>
      <c r="O14" s="519" t="str">
        <f>'CHAM CONG'!M12</f>
        <v>x</v>
      </c>
      <c r="P14" s="519" t="str">
        <f>'CHAM CONG'!N12</f>
        <v>x</v>
      </c>
      <c r="Q14" s="519" t="str">
        <f>'CHAM CONG'!O12</f>
        <v>x</v>
      </c>
      <c r="R14" s="519" t="str">
        <f>'CHAM CONG'!P12</f>
        <v>x</v>
      </c>
      <c r="S14" s="519" t="str">
        <f>'CHAM CONG'!Q12</f>
        <v>x</v>
      </c>
      <c r="T14" s="519" t="str">
        <f>'CHAM CONG'!R12</f>
        <v>x</v>
      </c>
      <c r="U14" s="519" t="str">
        <f>'CHAM CONG'!S12</f>
        <v>x</v>
      </c>
      <c r="V14" s="519" t="str">
        <f>'CHAM CONG'!T12</f>
        <v>x</v>
      </c>
      <c r="W14" s="519" t="str">
        <f>'CHAM CONG'!U12</f>
        <v>x</v>
      </c>
      <c r="X14" s="519"/>
      <c r="Y14" s="519"/>
      <c r="Z14" s="738">
        <f t="shared" si="3"/>
        <v>14</v>
      </c>
      <c r="AA14" s="580">
        <f t="shared" si="4"/>
        <v>0</v>
      </c>
      <c r="AB14" s="580">
        <f t="shared" si="5"/>
        <v>224000</v>
      </c>
      <c r="AC14" s="580">
        <f>'CHAM CONG'!V12</f>
        <v>0</v>
      </c>
      <c r="AD14" s="580">
        <f>'CHAM CONG'!W12</f>
        <v>0</v>
      </c>
      <c r="AE14" s="580" t="str">
        <f>'CHAM CONG'!X12</f>
        <v>x</v>
      </c>
      <c r="AF14" s="738">
        <f t="shared" si="6"/>
        <v>1</v>
      </c>
      <c r="AG14" s="580">
        <f t="shared" si="7"/>
        <v>17000</v>
      </c>
      <c r="AH14" s="580">
        <f t="shared" si="0"/>
        <v>14</v>
      </c>
      <c r="AI14" s="580">
        <f t="shared" si="8"/>
        <v>14000</v>
      </c>
      <c r="AJ14" s="580">
        <f t="shared" si="9"/>
        <v>255000</v>
      </c>
      <c r="AK14" s="429">
        <f>'SAN LUONG'!AF13</f>
        <v>353</v>
      </c>
      <c r="AL14" s="429">
        <f>'SAN LUONG'!AG13</f>
        <v>399</v>
      </c>
      <c r="AM14" s="429">
        <f>'SAN LUONG'!AH13</f>
        <v>433</v>
      </c>
      <c r="AN14" s="429">
        <f>'SAN LUONG'!AI13</f>
        <v>0</v>
      </c>
      <c r="AO14" s="746">
        <f t="shared" si="10"/>
        <v>1185</v>
      </c>
      <c r="AP14" s="746">
        <f t="shared" si="11"/>
        <v>289377</v>
      </c>
      <c r="AQ14" s="746"/>
      <c r="AR14" s="746">
        <f t="shared" si="1"/>
        <v>0</v>
      </c>
      <c r="AS14" s="746"/>
      <c r="AT14" s="746">
        <f t="shared" si="2"/>
        <v>0</v>
      </c>
      <c r="AU14" s="747">
        <f>'SAN LUONG'!AU13</f>
        <v>0</v>
      </c>
      <c r="AV14" s="748">
        <f t="shared" si="12"/>
        <v>0</v>
      </c>
      <c r="AW14" s="757">
        <f t="shared" si="13"/>
        <v>0</v>
      </c>
      <c r="AX14" s="758">
        <f t="shared" si="14"/>
        <v>544377</v>
      </c>
      <c r="AY14" s="759"/>
      <c r="AZ14" s="759"/>
      <c r="BA14" s="759"/>
      <c r="BB14" s="760">
        <f t="shared" si="15"/>
        <v>544377</v>
      </c>
      <c r="BC14" s="761"/>
      <c r="BD14" s="639">
        <f t="shared" si="16"/>
        <v>17.04</v>
      </c>
      <c r="BE14" s="567"/>
      <c r="BF14" s="765"/>
    </row>
    <row r="15" spans="1:233" s="483" customFormat="1" ht="35.4" customHeight="1">
      <c r="A15" s="503">
        <v>6</v>
      </c>
      <c r="B15" s="504">
        <v>1</v>
      </c>
      <c r="C15" s="504">
        <v>6</v>
      </c>
      <c r="D15" s="728">
        <f>'Tên Tháng 1'!B10</f>
        <v>36651</v>
      </c>
      <c r="E15" s="728" t="str">
        <f>'Tên Tháng 1'!C10</f>
        <v>ប្រុស</v>
      </c>
      <c r="F15" s="728">
        <f>'Tên Tháng 1'!D10</f>
        <v>220175364</v>
      </c>
      <c r="G15" s="728" t="str">
        <f>'Tên Tháng 1'!E9</f>
        <v>យឿង សុខជា</v>
      </c>
      <c r="H15" s="728" t="str">
        <f>'Tên Tháng 1'!F9</f>
        <v>YOEUNG SOKCHEA</v>
      </c>
      <c r="I15" s="519" t="str">
        <f>'CHAM CONG'!G13</f>
        <v>x</v>
      </c>
      <c r="J15" s="519" t="str">
        <f>'CHAM CONG'!H13</f>
        <v>x</v>
      </c>
      <c r="K15" s="519" t="str">
        <f>'CHAM CONG'!I13</f>
        <v>x</v>
      </c>
      <c r="L15" s="519">
        <f>'CHAM CONG'!J13</f>
        <v>0</v>
      </c>
      <c r="M15" s="519">
        <f>'CHAM CONG'!K13</f>
        <v>0</v>
      </c>
      <c r="N15" s="519" t="str">
        <f>'CHAM CONG'!L13</f>
        <v>x</v>
      </c>
      <c r="O15" s="519" t="str">
        <f>'CHAM CONG'!M13</f>
        <v>x</v>
      </c>
      <c r="P15" s="519" t="str">
        <f>'CHAM CONG'!N13</f>
        <v>x</v>
      </c>
      <c r="Q15" s="519" t="str">
        <f>'CHAM CONG'!O13</f>
        <v>x</v>
      </c>
      <c r="R15" s="519" t="str">
        <f>'CHAM CONG'!P13</f>
        <v>x</v>
      </c>
      <c r="S15" s="519" t="str">
        <f>'CHAM CONG'!Q13</f>
        <v>x</v>
      </c>
      <c r="T15" s="519" t="str">
        <f>'CHAM CONG'!R13</f>
        <v>x</v>
      </c>
      <c r="U15" s="519" t="str">
        <f>'CHAM CONG'!S13</f>
        <v>x</v>
      </c>
      <c r="V15" s="519" t="str">
        <f>'CHAM CONG'!T13</f>
        <v>x</v>
      </c>
      <c r="W15" s="519" t="str">
        <f>'CHAM CONG'!U13</f>
        <v>x</v>
      </c>
      <c r="X15" s="519"/>
      <c r="Y15" s="519"/>
      <c r="Z15" s="738">
        <f t="shared" si="3"/>
        <v>13</v>
      </c>
      <c r="AA15" s="580">
        <f t="shared" si="4"/>
        <v>0</v>
      </c>
      <c r="AB15" s="580">
        <f t="shared" si="5"/>
        <v>208000</v>
      </c>
      <c r="AC15" s="580">
        <f>'CHAM CONG'!V13</f>
        <v>0</v>
      </c>
      <c r="AD15" s="580">
        <f>'CHAM CONG'!W13</f>
        <v>0</v>
      </c>
      <c r="AE15" s="580">
        <f>'CHAM CONG'!X13</f>
        <v>0</v>
      </c>
      <c r="AF15" s="738">
        <f t="shared" si="6"/>
        <v>0</v>
      </c>
      <c r="AG15" s="580">
        <f t="shared" si="7"/>
        <v>0</v>
      </c>
      <c r="AH15" s="580">
        <f t="shared" si="0"/>
        <v>13</v>
      </c>
      <c r="AI15" s="580">
        <f t="shared" si="8"/>
        <v>13000</v>
      </c>
      <c r="AJ15" s="580">
        <f t="shared" si="9"/>
        <v>221000</v>
      </c>
      <c r="AK15" s="429">
        <f>'SAN LUONG'!AF14</f>
        <v>344</v>
      </c>
      <c r="AL15" s="429">
        <f>'SAN LUONG'!AG14</f>
        <v>474</v>
      </c>
      <c r="AM15" s="429">
        <f>'SAN LUONG'!AH14</f>
        <v>318</v>
      </c>
      <c r="AN15" s="429">
        <f>'SAN LUONG'!AI14</f>
        <v>0</v>
      </c>
      <c r="AO15" s="746">
        <f t="shared" si="10"/>
        <v>1136</v>
      </c>
      <c r="AP15" s="746">
        <f t="shared" si="11"/>
        <v>277411</v>
      </c>
      <c r="AQ15" s="746"/>
      <c r="AR15" s="746">
        <f t="shared" si="1"/>
        <v>0</v>
      </c>
      <c r="AS15" s="746"/>
      <c r="AT15" s="746">
        <f t="shared" si="2"/>
        <v>0</v>
      </c>
      <c r="AU15" s="747">
        <f>'SAN LUONG'!AU14</f>
        <v>0</v>
      </c>
      <c r="AV15" s="748">
        <f t="shared" si="12"/>
        <v>0</v>
      </c>
      <c r="AW15" s="757">
        <f t="shared" si="13"/>
        <v>0</v>
      </c>
      <c r="AX15" s="758">
        <f t="shared" si="14"/>
        <v>498411</v>
      </c>
      <c r="AY15" s="759"/>
      <c r="AZ15" s="759"/>
      <c r="BA15" s="759"/>
      <c r="BB15" s="760">
        <f t="shared" si="15"/>
        <v>498411</v>
      </c>
      <c r="BC15" s="761"/>
      <c r="BD15" s="639">
        <f t="shared" si="16"/>
        <v>15.6</v>
      </c>
      <c r="BE15" s="567"/>
      <c r="BF15" s="765"/>
    </row>
    <row r="16" spans="1:233" s="483" customFormat="1" ht="35.4" customHeight="1">
      <c r="A16" s="503">
        <v>7</v>
      </c>
      <c r="B16" s="504">
        <v>1</v>
      </c>
      <c r="C16" s="504">
        <v>7</v>
      </c>
      <c r="D16" s="728">
        <f>'Tên Tháng 1'!B11</f>
        <v>35950</v>
      </c>
      <c r="E16" s="728" t="str">
        <f>'Tên Tháng 1'!C11</f>
        <v>ប្រុស</v>
      </c>
      <c r="F16" s="728">
        <f>'Tên Tháng 1'!D11</f>
        <v>220209900</v>
      </c>
      <c r="G16" s="728" t="str">
        <f>'Tên Tháng 1'!E10</f>
        <v>អួន សុភាព</v>
      </c>
      <c r="H16" s="728" t="str">
        <f>'Tên Tháng 1'!F10</f>
        <v>OURN SOPHEAP</v>
      </c>
      <c r="I16" s="519">
        <f>'CHAM CONG'!G14</f>
        <v>0</v>
      </c>
      <c r="J16" s="519" t="str">
        <f>'CHAM CONG'!H14</f>
        <v>x</v>
      </c>
      <c r="K16" s="519" t="str">
        <f>'CHAM CONG'!I14</f>
        <v>x</v>
      </c>
      <c r="L16" s="519">
        <f>'CHAM CONG'!J14</f>
        <v>0</v>
      </c>
      <c r="M16" s="519" t="str">
        <f>'CHAM CONG'!K14</f>
        <v>x</v>
      </c>
      <c r="N16" s="519">
        <f>'CHAM CONG'!L14</f>
        <v>0</v>
      </c>
      <c r="O16" s="519" t="str">
        <f>'CHAM CONG'!M14</f>
        <v>x</v>
      </c>
      <c r="P16" s="519" t="str">
        <f>'CHAM CONG'!N14</f>
        <v>x</v>
      </c>
      <c r="Q16" s="519" t="str">
        <f>'CHAM CONG'!O14</f>
        <v>x</v>
      </c>
      <c r="R16" s="519" t="str">
        <f>'CHAM CONG'!P14</f>
        <v>x</v>
      </c>
      <c r="S16" s="519" t="str">
        <f>'CHAM CONG'!Q14</f>
        <v>x</v>
      </c>
      <c r="T16" s="519" t="str">
        <f>'CHAM CONG'!R14</f>
        <v>x</v>
      </c>
      <c r="U16" s="519" t="str">
        <f>'CHAM CONG'!S14</f>
        <v>x</v>
      </c>
      <c r="V16" s="519" t="str">
        <f>'CHAM CONG'!T14</f>
        <v>x</v>
      </c>
      <c r="W16" s="519" t="str">
        <f>'CHAM CONG'!U14</f>
        <v>x</v>
      </c>
      <c r="X16" s="519"/>
      <c r="Y16" s="519"/>
      <c r="Z16" s="738">
        <f t="shared" si="3"/>
        <v>12</v>
      </c>
      <c r="AA16" s="580">
        <f t="shared" si="4"/>
        <v>0</v>
      </c>
      <c r="AB16" s="580">
        <f t="shared" si="5"/>
        <v>192000</v>
      </c>
      <c r="AC16" s="580" t="str">
        <f>'CHAM CONG'!V14</f>
        <v>x</v>
      </c>
      <c r="AD16" s="580">
        <f>'CHAM CONG'!W14</f>
        <v>0</v>
      </c>
      <c r="AE16" s="580">
        <f>'CHAM CONG'!X14</f>
        <v>0</v>
      </c>
      <c r="AF16" s="738">
        <f t="shared" si="6"/>
        <v>1</v>
      </c>
      <c r="AG16" s="580">
        <f t="shared" si="7"/>
        <v>17000</v>
      </c>
      <c r="AH16" s="580">
        <f t="shared" si="0"/>
        <v>12</v>
      </c>
      <c r="AI16" s="580">
        <f t="shared" si="8"/>
        <v>12000</v>
      </c>
      <c r="AJ16" s="580">
        <f t="shared" si="9"/>
        <v>221000</v>
      </c>
      <c r="AK16" s="429">
        <f>'SAN LUONG'!AF15</f>
        <v>163</v>
      </c>
      <c r="AL16" s="429">
        <f>'SAN LUONG'!AG15</f>
        <v>388</v>
      </c>
      <c r="AM16" s="429">
        <f>'SAN LUONG'!AH15</f>
        <v>334</v>
      </c>
      <c r="AN16" s="429">
        <f>'SAN LUONG'!AI15</f>
        <v>0</v>
      </c>
      <c r="AO16" s="746">
        <f t="shared" si="10"/>
        <v>885</v>
      </c>
      <c r="AP16" s="746">
        <f t="shared" si="11"/>
        <v>216117</v>
      </c>
      <c r="AQ16" s="746"/>
      <c r="AR16" s="746">
        <f t="shared" si="1"/>
        <v>0</v>
      </c>
      <c r="AS16" s="746"/>
      <c r="AT16" s="746">
        <f t="shared" si="2"/>
        <v>0</v>
      </c>
      <c r="AU16" s="747">
        <f>'SAN LUONG'!AU15</f>
        <v>0</v>
      </c>
      <c r="AV16" s="748">
        <f t="shared" si="12"/>
        <v>0</v>
      </c>
      <c r="AW16" s="757">
        <f t="shared" si="13"/>
        <v>0</v>
      </c>
      <c r="AX16" s="758">
        <f t="shared" si="14"/>
        <v>437117</v>
      </c>
      <c r="AY16" s="759"/>
      <c r="AZ16" s="759"/>
      <c r="BA16" s="759"/>
      <c r="BB16" s="760">
        <f t="shared" si="15"/>
        <v>437117</v>
      </c>
      <c r="BC16" s="761"/>
      <c r="BD16" s="639">
        <f t="shared" si="16"/>
        <v>13.68</v>
      </c>
      <c r="BE16" s="567"/>
      <c r="BF16" s="765"/>
    </row>
    <row r="17" spans="1:58" s="483" customFormat="1" ht="35.4" customHeight="1">
      <c r="A17" s="503">
        <v>8</v>
      </c>
      <c r="B17" s="504">
        <v>1</v>
      </c>
      <c r="C17" s="504">
        <v>8</v>
      </c>
      <c r="D17" s="728">
        <f>'Tên Tháng 1'!B12</f>
        <v>36447</v>
      </c>
      <c r="E17" s="728" t="str">
        <f>'Tên Tháng 1'!C12</f>
        <v>ប្រុស</v>
      </c>
      <c r="F17" s="728">
        <f>'Tên Tháng 1'!D12</f>
        <v>150789799</v>
      </c>
      <c r="G17" s="728" t="str">
        <f>'Tên Tháng 1'!E11</f>
        <v>ភួន ភី</v>
      </c>
      <c r="H17" s="728" t="str">
        <f>'Tên Tháng 1'!F11</f>
        <v>PHUON PHY</v>
      </c>
      <c r="I17" s="519" t="str">
        <f>'CHAM CONG'!G15</f>
        <v>x</v>
      </c>
      <c r="J17" s="519" t="str">
        <f>'CHAM CONG'!H15</f>
        <v>x</v>
      </c>
      <c r="K17" s="519" t="str">
        <f>'CHAM CONG'!I15</f>
        <v>x</v>
      </c>
      <c r="L17" s="519">
        <f>'CHAM CONG'!J15</f>
        <v>0</v>
      </c>
      <c r="M17" s="519" t="str">
        <f>'CHAM CONG'!K15</f>
        <v>x</v>
      </c>
      <c r="N17" s="519" t="str">
        <f>'CHAM CONG'!L15</f>
        <v>x</v>
      </c>
      <c r="O17" s="519" t="str">
        <f>'CHAM CONG'!M15</f>
        <v>x</v>
      </c>
      <c r="P17" s="519" t="str">
        <f>'CHAM CONG'!N15</f>
        <v>x</v>
      </c>
      <c r="Q17" s="519" t="str">
        <f>'CHAM CONG'!O15</f>
        <v>x</v>
      </c>
      <c r="R17" s="519" t="str">
        <f>'CHAM CONG'!P15</f>
        <v>x</v>
      </c>
      <c r="S17" s="519" t="str">
        <f>'CHAM CONG'!Q15</f>
        <v>x</v>
      </c>
      <c r="T17" s="519" t="str">
        <f>'CHAM CONG'!R15</f>
        <v>x</v>
      </c>
      <c r="U17" s="519" t="str">
        <f>'CHAM CONG'!S15</f>
        <v>x</v>
      </c>
      <c r="V17" s="519">
        <f>'CHAM CONG'!T15</f>
        <v>0</v>
      </c>
      <c r="W17" s="519" t="str">
        <f>'CHAM CONG'!U15</f>
        <v>x</v>
      </c>
      <c r="X17" s="519"/>
      <c r="Y17" s="519"/>
      <c r="Z17" s="738">
        <f t="shared" si="3"/>
        <v>13</v>
      </c>
      <c r="AA17" s="580">
        <f t="shared" si="4"/>
        <v>0</v>
      </c>
      <c r="AB17" s="580">
        <f t="shared" si="5"/>
        <v>208000</v>
      </c>
      <c r="AC17" s="580">
        <f>'CHAM CONG'!V15</f>
        <v>0</v>
      </c>
      <c r="AD17" s="580">
        <f>'CHAM CONG'!W15</f>
        <v>0</v>
      </c>
      <c r="AE17" s="580">
        <f>'CHAM CONG'!X15</f>
        <v>0</v>
      </c>
      <c r="AF17" s="738">
        <f t="shared" si="6"/>
        <v>0</v>
      </c>
      <c r="AG17" s="580">
        <f t="shared" si="7"/>
        <v>0</v>
      </c>
      <c r="AH17" s="580">
        <f t="shared" si="0"/>
        <v>13</v>
      </c>
      <c r="AI17" s="580">
        <f t="shared" si="8"/>
        <v>13000</v>
      </c>
      <c r="AJ17" s="580">
        <f t="shared" si="9"/>
        <v>221000</v>
      </c>
      <c r="AK17" s="429">
        <f>'SAN LUONG'!AF16</f>
        <v>304</v>
      </c>
      <c r="AL17" s="429">
        <f>'SAN LUONG'!AG16</f>
        <v>401</v>
      </c>
      <c r="AM17" s="429">
        <f>'SAN LUONG'!AH16</f>
        <v>369</v>
      </c>
      <c r="AN17" s="429">
        <f>'SAN LUONG'!AI16</f>
        <v>0</v>
      </c>
      <c r="AO17" s="746">
        <f t="shared" si="10"/>
        <v>1074</v>
      </c>
      <c r="AP17" s="746">
        <f t="shared" si="11"/>
        <v>262271</v>
      </c>
      <c r="AQ17" s="746"/>
      <c r="AR17" s="746">
        <f t="shared" si="1"/>
        <v>0</v>
      </c>
      <c r="AS17" s="746"/>
      <c r="AT17" s="746">
        <f t="shared" si="2"/>
        <v>0</v>
      </c>
      <c r="AU17" s="747">
        <f>'SAN LUONG'!AU16</f>
        <v>0</v>
      </c>
      <c r="AV17" s="748">
        <f t="shared" si="12"/>
        <v>0</v>
      </c>
      <c r="AW17" s="757">
        <f t="shared" si="13"/>
        <v>0</v>
      </c>
      <c r="AX17" s="758">
        <f t="shared" si="14"/>
        <v>483271</v>
      </c>
      <c r="AY17" s="759"/>
      <c r="AZ17" s="759"/>
      <c r="BA17" s="759"/>
      <c r="BB17" s="760">
        <f t="shared" si="15"/>
        <v>483271</v>
      </c>
      <c r="BC17" s="761"/>
      <c r="BD17" s="639">
        <f t="shared" si="16"/>
        <v>15.13</v>
      </c>
      <c r="BE17" s="567"/>
      <c r="BF17" s="765"/>
    </row>
    <row r="18" spans="1:58" s="724" customFormat="1" ht="35.4" customHeight="1">
      <c r="A18" s="503">
        <v>9</v>
      </c>
      <c r="B18" s="504">
        <v>1</v>
      </c>
      <c r="C18" s="504">
        <v>9</v>
      </c>
      <c r="D18" s="728">
        <f>'Tên Tháng 1'!B13</f>
        <v>38244</v>
      </c>
      <c r="E18" s="728" t="str">
        <f>'Tên Tháng 1'!C13</f>
        <v>ស្រី</v>
      </c>
      <c r="F18" s="728">
        <f>'Tên Tháng 1'!D13</f>
        <v>150983095</v>
      </c>
      <c r="G18" s="728" t="str">
        <f>'Tên Tháng 1'!E12</f>
        <v>ទូ គុលា</v>
      </c>
      <c r="H18" s="728" t="str">
        <f>'Tên Tháng 1'!F12</f>
        <v>TO TOKLA</v>
      </c>
      <c r="I18" s="519" t="str">
        <f>'CHAM CONG'!G16</f>
        <v>x</v>
      </c>
      <c r="J18" s="519" t="str">
        <f>'CHAM CONG'!H16</f>
        <v>x</v>
      </c>
      <c r="K18" s="519" t="str">
        <f>'CHAM CONG'!I16</f>
        <v>x</v>
      </c>
      <c r="L18" s="519">
        <f>'CHAM CONG'!J16</f>
        <v>0</v>
      </c>
      <c r="M18" s="519" t="str">
        <f>'CHAM CONG'!K16</f>
        <v>x</v>
      </c>
      <c r="N18" s="519" t="str">
        <f>'CHAM CONG'!L16</f>
        <v>x</v>
      </c>
      <c r="O18" s="519" t="str">
        <f>'CHAM CONG'!M16</f>
        <v>x</v>
      </c>
      <c r="P18" s="519">
        <f>'CHAM CONG'!N16</f>
        <v>0</v>
      </c>
      <c r="Q18" s="519" t="str">
        <f>'CHAM CONG'!O16</f>
        <v>x</v>
      </c>
      <c r="R18" s="519" t="str">
        <f>'CHAM CONG'!P16</f>
        <v>x</v>
      </c>
      <c r="S18" s="519">
        <f>'CHAM CONG'!Q16</f>
        <v>0</v>
      </c>
      <c r="T18" s="519" t="str">
        <f>'CHAM CONG'!R16</f>
        <v>x</v>
      </c>
      <c r="U18" s="519" t="str">
        <f>'CHAM CONG'!S16</f>
        <v>x</v>
      </c>
      <c r="V18" s="519" t="str">
        <f>'CHAM CONG'!T16</f>
        <v>x</v>
      </c>
      <c r="W18" s="519" t="str">
        <f>'CHAM CONG'!U16</f>
        <v>x</v>
      </c>
      <c r="X18" s="519"/>
      <c r="Y18" s="519"/>
      <c r="Z18" s="738">
        <f t="shared" si="3"/>
        <v>12</v>
      </c>
      <c r="AA18" s="580">
        <f t="shared" si="4"/>
        <v>0</v>
      </c>
      <c r="AB18" s="580">
        <f t="shared" si="5"/>
        <v>192000</v>
      </c>
      <c r="AC18" s="580">
        <f>'CHAM CONG'!V16</f>
        <v>0</v>
      </c>
      <c r="AD18" s="580">
        <f>'CHAM CONG'!W16</f>
        <v>0</v>
      </c>
      <c r="AE18" s="580">
        <f>'CHAM CONG'!X16</f>
        <v>0</v>
      </c>
      <c r="AF18" s="738">
        <f t="shared" si="6"/>
        <v>0</v>
      </c>
      <c r="AG18" s="580">
        <f t="shared" si="7"/>
        <v>0</v>
      </c>
      <c r="AH18" s="580">
        <f t="shared" si="0"/>
        <v>12</v>
      </c>
      <c r="AI18" s="580">
        <f t="shared" si="8"/>
        <v>12000</v>
      </c>
      <c r="AJ18" s="580">
        <f t="shared" si="9"/>
        <v>204000</v>
      </c>
      <c r="AK18" s="429">
        <f>'SAN LUONG'!AF17</f>
        <v>120</v>
      </c>
      <c r="AL18" s="429">
        <f>'SAN LUONG'!AG17</f>
        <v>364</v>
      </c>
      <c r="AM18" s="429">
        <f>'SAN LUONG'!AH17</f>
        <v>78</v>
      </c>
      <c r="AN18" s="429">
        <f>'SAN LUONG'!AI17</f>
        <v>0</v>
      </c>
      <c r="AO18" s="746">
        <f t="shared" si="10"/>
        <v>562</v>
      </c>
      <c r="AP18" s="746">
        <f t="shared" si="11"/>
        <v>137240</v>
      </c>
      <c r="AQ18" s="746"/>
      <c r="AR18" s="746">
        <f t="shared" si="1"/>
        <v>0</v>
      </c>
      <c r="AS18" s="746"/>
      <c r="AT18" s="746">
        <f t="shared" si="2"/>
        <v>0</v>
      </c>
      <c r="AU18" s="747">
        <f>'SAN LUONG'!AU17</f>
        <v>0</v>
      </c>
      <c r="AV18" s="748">
        <f t="shared" si="12"/>
        <v>0</v>
      </c>
      <c r="AW18" s="757">
        <f t="shared" si="13"/>
        <v>0</v>
      </c>
      <c r="AX18" s="758">
        <f t="shared" si="14"/>
        <v>341240</v>
      </c>
      <c r="AY18" s="759"/>
      <c r="AZ18" s="759"/>
      <c r="BA18" s="759"/>
      <c r="BB18" s="760">
        <f t="shared" si="15"/>
        <v>341240</v>
      </c>
      <c r="BC18" s="762"/>
      <c r="BD18" s="639">
        <f t="shared" si="16"/>
        <v>10.68</v>
      </c>
      <c r="BE18" s="567"/>
      <c r="BF18" s="765"/>
    </row>
    <row r="19" spans="1:58" s="483" customFormat="1" ht="35.4" customHeight="1">
      <c r="A19" s="503">
        <v>10</v>
      </c>
      <c r="B19" s="504">
        <v>1</v>
      </c>
      <c r="C19" s="504">
        <v>10</v>
      </c>
      <c r="D19" s="728">
        <f>'Tên Tháng 1'!B14</f>
        <v>29073</v>
      </c>
      <c r="E19" s="728" t="str">
        <f>'Tên Tháng 1'!C14</f>
        <v>ស្រី</v>
      </c>
      <c r="F19" s="728">
        <f>'Tên Tháng 1'!D14</f>
        <v>150814730</v>
      </c>
      <c r="G19" s="728" t="str">
        <f>'Tên Tháng 1'!E13</f>
        <v>ណំ សិទ្ធិ</v>
      </c>
      <c r="H19" s="728" t="str">
        <f>'Tên Tháng 1'!F13</f>
        <v>NOM SITH</v>
      </c>
      <c r="I19" s="519" t="str">
        <f>'CHAM CONG'!G17</f>
        <v>x</v>
      </c>
      <c r="J19" s="519" t="str">
        <f>'CHAM CONG'!H17</f>
        <v>x</v>
      </c>
      <c r="K19" s="519" t="str">
        <f>'CHAM CONG'!I17</f>
        <v>x</v>
      </c>
      <c r="L19" s="519">
        <f>'CHAM CONG'!J17</f>
        <v>0</v>
      </c>
      <c r="M19" s="519">
        <f>'CHAM CONG'!K17</f>
        <v>0</v>
      </c>
      <c r="N19" s="519" t="str">
        <f>'CHAM CONG'!L17</f>
        <v>x</v>
      </c>
      <c r="O19" s="519" t="str">
        <f>'CHAM CONG'!M17</f>
        <v>x</v>
      </c>
      <c r="P19" s="519" t="str">
        <f>'CHAM CONG'!N17</f>
        <v>x</v>
      </c>
      <c r="Q19" s="519" t="str">
        <f>'CHAM CONG'!O17</f>
        <v>x</v>
      </c>
      <c r="R19" s="519" t="str">
        <f>'CHAM CONG'!P17</f>
        <v>x</v>
      </c>
      <c r="S19" s="519" t="str">
        <f>'CHAM CONG'!Q17</f>
        <v>x</v>
      </c>
      <c r="T19" s="519" t="str">
        <f>'CHAM CONG'!R17</f>
        <v>x</v>
      </c>
      <c r="U19" s="519" t="str">
        <f>'CHAM CONG'!S17</f>
        <v>x</v>
      </c>
      <c r="V19" s="519" t="str">
        <f>'CHAM CONG'!T17</f>
        <v>x</v>
      </c>
      <c r="W19" s="519" t="str">
        <f>'CHAM CONG'!U17</f>
        <v>x</v>
      </c>
      <c r="X19" s="519"/>
      <c r="Y19" s="519"/>
      <c r="Z19" s="738">
        <f t="shared" si="3"/>
        <v>13</v>
      </c>
      <c r="AA19" s="580">
        <f t="shared" si="4"/>
        <v>0</v>
      </c>
      <c r="AB19" s="580">
        <f t="shared" si="5"/>
        <v>208000</v>
      </c>
      <c r="AC19" s="580">
        <f>'CHAM CONG'!V17</f>
        <v>0</v>
      </c>
      <c r="AD19" s="580">
        <f>'CHAM CONG'!W17</f>
        <v>0</v>
      </c>
      <c r="AE19" s="580">
        <f>'CHAM CONG'!X17</f>
        <v>0</v>
      </c>
      <c r="AF19" s="738">
        <f t="shared" si="6"/>
        <v>0</v>
      </c>
      <c r="AG19" s="580">
        <f t="shared" si="7"/>
        <v>0</v>
      </c>
      <c r="AH19" s="580">
        <f t="shared" si="0"/>
        <v>13</v>
      </c>
      <c r="AI19" s="580">
        <f t="shared" si="8"/>
        <v>13000</v>
      </c>
      <c r="AJ19" s="580">
        <f t="shared" si="9"/>
        <v>221000</v>
      </c>
      <c r="AK19" s="429">
        <f>'SAN LUONG'!AF18</f>
        <v>205</v>
      </c>
      <c r="AL19" s="429">
        <f>'SAN LUONG'!AG18</f>
        <v>603</v>
      </c>
      <c r="AM19" s="429">
        <f>'SAN LUONG'!AH18</f>
        <v>368</v>
      </c>
      <c r="AN19" s="429">
        <f>'SAN LUONG'!AI18</f>
        <v>0</v>
      </c>
      <c r="AO19" s="746">
        <f t="shared" si="10"/>
        <v>1176</v>
      </c>
      <c r="AP19" s="746">
        <f t="shared" si="11"/>
        <v>287179</v>
      </c>
      <c r="AQ19" s="746"/>
      <c r="AR19" s="746">
        <f t="shared" si="1"/>
        <v>0</v>
      </c>
      <c r="AS19" s="746"/>
      <c r="AT19" s="746">
        <f t="shared" si="2"/>
        <v>0</v>
      </c>
      <c r="AU19" s="747">
        <f>'SAN LUONG'!AU18</f>
        <v>0</v>
      </c>
      <c r="AV19" s="748">
        <f t="shared" si="12"/>
        <v>0</v>
      </c>
      <c r="AW19" s="757">
        <f t="shared" si="13"/>
        <v>0</v>
      </c>
      <c r="AX19" s="758">
        <f t="shared" si="14"/>
        <v>508179</v>
      </c>
      <c r="AY19" s="759"/>
      <c r="AZ19" s="759"/>
      <c r="BA19" s="759"/>
      <c r="BB19" s="760">
        <f t="shared" si="15"/>
        <v>508179</v>
      </c>
      <c r="BC19" s="761"/>
      <c r="BD19" s="639">
        <f t="shared" si="16"/>
        <v>15.91</v>
      </c>
      <c r="BE19" s="567"/>
      <c r="BF19" s="765"/>
    </row>
    <row r="20" spans="1:58" s="483" customFormat="1" ht="35.4" customHeight="1">
      <c r="A20" s="503">
        <v>11</v>
      </c>
      <c r="B20" s="504">
        <v>1</v>
      </c>
      <c r="C20" s="504">
        <v>11</v>
      </c>
      <c r="D20" s="728">
        <f>'Tên Tháng 1'!B15</f>
        <v>29082</v>
      </c>
      <c r="E20" s="728" t="str">
        <f>'Tên Tháng 1'!C15</f>
        <v>ស្រី</v>
      </c>
      <c r="F20" s="728">
        <f>'Tên Tháng 1'!D15</f>
        <v>150427542</v>
      </c>
      <c r="G20" s="728" t="str">
        <f>'Tên Tháng 1'!E14</f>
        <v>ធ្លក រាន់</v>
      </c>
      <c r="H20" s="728" t="str">
        <f>'Tên Tháng 1'!F14</f>
        <v>THLOK ROIN</v>
      </c>
      <c r="I20" s="519" t="str">
        <f>'CHAM CONG'!G18</f>
        <v>x</v>
      </c>
      <c r="J20" s="519" t="str">
        <f>'CHAM CONG'!H18</f>
        <v>x</v>
      </c>
      <c r="K20" s="519">
        <f>'CHAM CONG'!I18</f>
        <v>0</v>
      </c>
      <c r="L20" s="519">
        <f>'CHAM CONG'!J18</f>
        <v>0</v>
      </c>
      <c r="M20" s="519">
        <f>'CHAM CONG'!K18</f>
        <v>0</v>
      </c>
      <c r="N20" s="519" t="str">
        <f>'CHAM CONG'!L18</f>
        <v>x</v>
      </c>
      <c r="O20" s="519" t="str">
        <f>'CHAM CONG'!M18</f>
        <v>x</v>
      </c>
      <c r="P20" s="519" t="str">
        <f>'CHAM CONG'!N18</f>
        <v>x</v>
      </c>
      <c r="Q20" s="519" t="str">
        <f>'CHAM CONG'!O18</f>
        <v>x</v>
      </c>
      <c r="R20" s="519" t="str">
        <f>'CHAM CONG'!P18</f>
        <v>x</v>
      </c>
      <c r="S20" s="519" t="str">
        <f>'CHAM CONG'!Q18</f>
        <v>x</v>
      </c>
      <c r="T20" s="519" t="str">
        <f>'CHAM CONG'!R18</f>
        <v>x</v>
      </c>
      <c r="U20" s="519" t="str">
        <f>'CHAM CONG'!S18</f>
        <v>x</v>
      </c>
      <c r="V20" s="519" t="str">
        <f>'CHAM CONG'!T18</f>
        <v>x</v>
      </c>
      <c r="W20" s="519" t="str">
        <f>'CHAM CONG'!U18</f>
        <v>x</v>
      </c>
      <c r="X20" s="519"/>
      <c r="Y20" s="519"/>
      <c r="Z20" s="738">
        <f t="shared" si="3"/>
        <v>12</v>
      </c>
      <c r="AA20" s="580">
        <f t="shared" si="4"/>
        <v>0</v>
      </c>
      <c r="AB20" s="580">
        <f t="shared" si="5"/>
        <v>192000</v>
      </c>
      <c r="AC20" s="580">
        <f>'CHAM CONG'!V18</f>
        <v>0</v>
      </c>
      <c r="AD20" s="580">
        <f>'CHAM CONG'!W18</f>
        <v>0</v>
      </c>
      <c r="AE20" s="580">
        <f>'CHAM CONG'!X18</f>
        <v>0</v>
      </c>
      <c r="AF20" s="738">
        <f t="shared" si="6"/>
        <v>0</v>
      </c>
      <c r="AG20" s="580">
        <f t="shared" si="7"/>
        <v>0</v>
      </c>
      <c r="AH20" s="580">
        <f t="shared" si="0"/>
        <v>12</v>
      </c>
      <c r="AI20" s="580">
        <f t="shared" si="8"/>
        <v>12000</v>
      </c>
      <c r="AJ20" s="580">
        <f t="shared" si="9"/>
        <v>204000</v>
      </c>
      <c r="AK20" s="429">
        <f>'SAN LUONG'!AF19</f>
        <v>124</v>
      </c>
      <c r="AL20" s="429">
        <f>'SAN LUONG'!AG19</f>
        <v>418</v>
      </c>
      <c r="AM20" s="429">
        <f>'SAN LUONG'!AH19</f>
        <v>188</v>
      </c>
      <c r="AN20" s="429">
        <f>'SAN LUONG'!AI19</f>
        <v>0</v>
      </c>
      <c r="AO20" s="746">
        <f t="shared" si="10"/>
        <v>730</v>
      </c>
      <c r="AP20" s="746">
        <f t="shared" si="11"/>
        <v>178266</v>
      </c>
      <c r="AQ20" s="746"/>
      <c r="AR20" s="746">
        <f t="shared" si="1"/>
        <v>0</v>
      </c>
      <c r="AS20" s="746"/>
      <c r="AT20" s="746">
        <f t="shared" si="2"/>
        <v>0</v>
      </c>
      <c r="AU20" s="747">
        <f>'SAN LUONG'!AU19</f>
        <v>0</v>
      </c>
      <c r="AV20" s="748">
        <f t="shared" si="12"/>
        <v>0</v>
      </c>
      <c r="AW20" s="757">
        <f t="shared" si="13"/>
        <v>0</v>
      </c>
      <c r="AX20" s="758">
        <f t="shared" si="14"/>
        <v>382266</v>
      </c>
      <c r="AY20" s="759"/>
      <c r="AZ20" s="759"/>
      <c r="BA20" s="759"/>
      <c r="BB20" s="760">
        <f t="shared" si="15"/>
        <v>382266</v>
      </c>
      <c r="BC20" s="761"/>
      <c r="BD20" s="639">
        <f t="shared" si="16"/>
        <v>11.97</v>
      </c>
      <c r="BE20" s="567"/>
      <c r="BF20" s="765"/>
    </row>
    <row r="21" spans="1:58" s="724" customFormat="1" ht="35.4" customHeight="1">
      <c r="A21" s="503">
        <v>12</v>
      </c>
      <c r="B21" s="504">
        <v>1</v>
      </c>
      <c r="C21" s="729">
        <v>12</v>
      </c>
      <c r="D21" s="730">
        <f>'Tên Tháng 1'!B16</f>
        <v>37848</v>
      </c>
      <c r="E21" s="730" t="str">
        <f>'Tên Tháng 1'!C16</f>
        <v>ប្រុស</v>
      </c>
      <c r="F21" s="730">
        <f>'Tên Tháng 1'!D16</f>
        <v>220234084</v>
      </c>
      <c r="G21" s="728" t="str">
        <f>'Tên Tháng 1'!E15</f>
        <v>យ៉ែម ឃឿន</v>
      </c>
      <c r="H21" s="728" t="str">
        <f>'Tên Tháng 1'!F15</f>
        <v>YEM KHOEUN</v>
      </c>
      <c r="I21" s="519" t="str">
        <f>'CHAM CONG'!G19</f>
        <v>x</v>
      </c>
      <c r="J21" s="519" t="str">
        <f>'CHAM CONG'!H19</f>
        <v>x</v>
      </c>
      <c r="K21" s="519" t="str">
        <f>'CHAM CONG'!I19</f>
        <v>x</v>
      </c>
      <c r="L21" s="519">
        <f>'CHAM CONG'!J19</f>
        <v>0</v>
      </c>
      <c r="M21" s="519" t="str">
        <f>'CHAM CONG'!K19</f>
        <v>x</v>
      </c>
      <c r="N21" s="519" t="str">
        <f>'CHAM CONG'!L19</f>
        <v>x</v>
      </c>
      <c r="O21" s="519">
        <f>'CHAM CONG'!M19</f>
        <v>0</v>
      </c>
      <c r="P21" s="519" t="str">
        <f>'CHAM CONG'!N19</f>
        <v>x</v>
      </c>
      <c r="Q21" s="519">
        <f>'CHAM CONG'!O19</f>
        <v>0</v>
      </c>
      <c r="R21" s="519" t="str">
        <f>'CHAM CONG'!P19</f>
        <v>x</v>
      </c>
      <c r="S21" s="519" t="str">
        <f>'CHAM CONG'!Q19</f>
        <v>x</v>
      </c>
      <c r="T21" s="519" t="str">
        <f>'CHAM CONG'!R19</f>
        <v>x</v>
      </c>
      <c r="U21" s="519" t="str">
        <f>'CHAM CONG'!S19</f>
        <v>x</v>
      </c>
      <c r="V21" s="519" t="str">
        <f>'CHAM CONG'!T19</f>
        <v>x</v>
      </c>
      <c r="W21" s="519" t="str">
        <f>'CHAM CONG'!U19</f>
        <v>x</v>
      </c>
      <c r="X21" s="519"/>
      <c r="Y21" s="519"/>
      <c r="Z21" s="738">
        <f t="shared" si="3"/>
        <v>12</v>
      </c>
      <c r="AA21" s="580">
        <f t="shared" si="4"/>
        <v>0</v>
      </c>
      <c r="AB21" s="580">
        <f t="shared" si="5"/>
        <v>192000</v>
      </c>
      <c r="AC21" s="580">
        <f>'CHAM CONG'!V19</f>
        <v>0</v>
      </c>
      <c r="AD21" s="580">
        <f>'CHAM CONG'!W19</f>
        <v>0</v>
      </c>
      <c r="AE21" s="580">
        <f>'CHAM CONG'!X19</f>
        <v>0</v>
      </c>
      <c r="AF21" s="738">
        <f t="shared" si="6"/>
        <v>0</v>
      </c>
      <c r="AG21" s="580">
        <f t="shared" si="7"/>
        <v>0</v>
      </c>
      <c r="AH21" s="580">
        <f t="shared" si="0"/>
        <v>12</v>
      </c>
      <c r="AI21" s="580">
        <f t="shared" si="8"/>
        <v>12000</v>
      </c>
      <c r="AJ21" s="580">
        <f t="shared" si="9"/>
        <v>204000</v>
      </c>
      <c r="AK21" s="429">
        <f>'SAN LUONG'!AF20</f>
        <v>150</v>
      </c>
      <c r="AL21" s="429">
        <f>'SAN LUONG'!AG20</f>
        <v>182</v>
      </c>
      <c r="AM21" s="429">
        <f>'SAN LUONG'!AH20</f>
        <v>211</v>
      </c>
      <c r="AN21" s="429">
        <f>'SAN LUONG'!AI20</f>
        <v>0</v>
      </c>
      <c r="AO21" s="746">
        <f t="shared" si="10"/>
        <v>543</v>
      </c>
      <c r="AP21" s="746">
        <f t="shared" si="11"/>
        <v>132601</v>
      </c>
      <c r="AQ21" s="746"/>
      <c r="AR21" s="746">
        <f t="shared" si="1"/>
        <v>0</v>
      </c>
      <c r="AS21" s="746"/>
      <c r="AT21" s="746">
        <f t="shared" si="2"/>
        <v>0</v>
      </c>
      <c r="AU21" s="747">
        <f>'SAN LUONG'!AU20</f>
        <v>0</v>
      </c>
      <c r="AV21" s="748">
        <f t="shared" si="12"/>
        <v>0</v>
      </c>
      <c r="AW21" s="757">
        <f t="shared" si="13"/>
        <v>0</v>
      </c>
      <c r="AX21" s="758">
        <f t="shared" si="14"/>
        <v>336601</v>
      </c>
      <c r="AY21" s="759"/>
      <c r="AZ21" s="759"/>
      <c r="BA21" s="759"/>
      <c r="BB21" s="760">
        <f t="shared" si="15"/>
        <v>336601</v>
      </c>
      <c r="BC21" s="762"/>
      <c r="BD21" s="639">
        <f t="shared" si="16"/>
        <v>10.54</v>
      </c>
      <c r="BE21" s="766"/>
      <c r="BF21" s="767"/>
    </row>
    <row r="22" spans="1:58" s="483" customFormat="1" ht="35.4" customHeight="1">
      <c r="A22" s="503">
        <v>13</v>
      </c>
      <c r="B22" s="504">
        <v>1</v>
      </c>
      <c r="C22" s="504">
        <v>13</v>
      </c>
      <c r="D22" s="728">
        <f>'Tên Tháng 1'!B17</f>
        <v>34127</v>
      </c>
      <c r="E22" s="728" t="str">
        <f>'Tên Tháng 1'!C17</f>
        <v>ប្រុស</v>
      </c>
      <c r="F22" s="728">
        <f>'Tên Tháng 1'!D17</f>
        <v>150468345</v>
      </c>
      <c r="G22" s="728" t="str">
        <f>'Tên Tháng 1'!E16</f>
        <v>យឿង រ៉ាឌី</v>
      </c>
      <c r="H22" s="728" t="str">
        <f>'Tên Tháng 1'!F16</f>
        <v>YOEUNG RADIN</v>
      </c>
      <c r="I22" s="519">
        <f>'CHAM CONG'!G20</f>
        <v>0</v>
      </c>
      <c r="J22" s="519" t="str">
        <f>'CHAM CONG'!H20</f>
        <v>x</v>
      </c>
      <c r="K22" s="519" t="str">
        <f>'CHAM CONG'!I20</f>
        <v>x</v>
      </c>
      <c r="L22" s="519">
        <f>'CHAM CONG'!J20</f>
        <v>0</v>
      </c>
      <c r="M22" s="519">
        <f>'CHAM CONG'!K20</f>
        <v>0</v>
      </c>
      <c r="N22" s="519" t="str">
        <f>'CHAM CONG'!L20</f>
        <v>x</v>
      </c>
      <c r="O22" s="519">
        <f>'CHAM CONG'!M20</f>
        <v>0</v>
      </c>
      <c r="P22" s="519" t="str">
        <f>'CHAM CONG'!N20</f>
        <v>x</v>
      </c>
      <c r="Q22" s="519" t="str">
        <f>'CHAM CONG'!O20</f>
        <v>x</v>
      </c>
      <c r="R22" s="519" t="str">
        <f>'CHAM CONG'!P20</f>
        <v>x</v>
      </c>
      <c r="S22" s="519" t="str">
        <f>'CHAM CONG'!Q20</f>
        <v>x</v>
      </c>
      <c r="T22" s="519" t="str">
        <f>'CHAM CONG'!R20</f>
        <v>x</v>
      </c>
      <c r="U22" s="519" t="str">
        <f>'CHAM CONG'!S20</f>
        <v>x</v>
      </c>
      <c r="V22" s="519" t="str">
        <f>'CHAM CONG'!T20</f>
        <v>x</v>
      </c>
      <c r="W22" s="519" t="str">
        <f>'CHAM CONG'!U20</f>
        <v>x</v>
      </c>
      <c r="X22" s="519"/>
      <c r="Y22" s="519"/>
      <c r="Z22" s="738">
        <f t="shared" si="3"/>
        <v>11</v>
      </c>
      <c r="AA22" s="580">
        <f t="shared" si="4"/>
        <v>0</v>
      </c>
      <c r="AB22" s="580">
        <f t="shared" si="5"/>
        <v>176000</v>
      </c>
      <c r="AC22" s="580">
        <f>'CHAM CONG'!V20</f>
        <v>0</v>
      </c>
      <c r="AD22" s="580">
        <f>'CHAM CONG'!W20</f>
        <v>0</v>
      </c>
      <c r="AE22" s="580">
        <f>'CHAM CONG'!X20</f>
        <v>0</v>
      </c>
      <c r="AF22" s="738">
        <f t="shared" si="6"/>
        <v>0</v>
      </c>
      <c r="AG22" s="580">
        <f t="shared" si="7"/>
        <v>0</v>
      </c>
      <c r="AH22" s="580">
        <f t="shared" si="0"/>
        <v>11</v>
      </c>
      <c r="AI22" s="580">
        <f t="shared" si="8"/>
        <v>11000</v>
      </c>
      <c r="AJ22" s="580">
        <f t="shared" si="9"/>
        <v>187000</v>
      </c>
      <c r="AK22" s="429">
        <f>'SAN LUONG'!AF21</f>
        <v>299</v>
      </c>
      <c r="AL22" s="429">
        <f>'SAN LUONG'!AG21</f>
        <v>355</v>
      </c>
      <c r="AM22" s="429">
        <f>'SAN LUONG'!AH21</f>
        <v>311</v>
      </c>
      <c r="AN22" s="429">
        <f>'SAN LUONG'!AI21</f>
        <v>0</v>
      </c>
      <c r="AO22" s="746">
        <f t="shared" si="10"/>
        <v>965</v>
      </c>
      <c r="AP22" s="746">
        <f t="shared" si="11"/>
        <v>235653</v>
      </c>
      <c r="AQ22" s="746"/>
      <c r="AR22" s="746">
        <f t="shared" si="1"/>
        <v>0</v>
      </c>
      <c r="AS22" s="746"/>
      <c r="AT22" s="746">
        <f t="shared" si="2"/>
        <v>0</v>
      </c>
      <c r="AU22" s="747">
        <f>'SAN LUONG'!AU21</f>
        <v>0</v>
      </c>
      <c r="AV22" s="748">
        <f t="shared" si="12"/>
        <v>0</v>
      </c>
      <c r="AW22" s="757">
        <f t="shared" si="13"/>
        <v>0</v>
      </c>
      <c r="AX22" s="758">
        <f t="shared" si="14"/>
        <v>422653</v>
      </c>
      <c r="AY22" s="759"/>
      <c r="AZ22" s="759"/>
      <c r="BA22" s="759"/>
      <c r="BB22" s="760">
        <f t="shared" si="15"/>
        <v>422653</v>
      </c>
      <c r="BC22" s="761"/>
      <c r="BD22" s="639">
        <f t="shared" si="16"/>
        <v>13.23</v>
      </c>
      <c r="BE22" s="567"/>
      <c r="BF22" s="765"/>
    </row>
    <row r="23" spans="1:58" s="483" customFormat="1" ht="35.4" customHeight="1">
      <c r="A23" s="503">
        <v>14</v>
      </c>
      <c r="B23" s="504">
        <v>1</v>
      </c>
      <c r="C23" s="504">
        <v>14</v>
      </c>
      <c r="D23" s="728">
        <f>'Tên Tháng 1'!B18</f>
        <v>30477</v>
      </c>
      <c r="E23" s="728" t="str">
        <f>'Tên Tháng 1'!C18</f>
        <v>ស្រី</v>
      </c>
      <c r="F23" s="728">
        <f>'Tên Tháng 1'!D18</f>
        <v>250230683</v>
      </c>
      <c r="G23" s="728" t="str">
        <f>'Tên Tháng 1'!E17</f>
        <v>វ៉ាន់ បូរិទ្ធ</v>
      </c>
      <c r="H23" s="728" t="str">
        <f>'Tên Tháng 1'!F17</f>
        <v>VANN BORITH</v>
      </c>
      <c r="I23" s="519">
        <f>'CHAM CONG'!G21</f>
        <v>0</v>
      </c>
      <c r="J23" s="519">
        <f>'CHAM CONG'!H21</f>
        <v>0</v>
      </c>
      <c r="K23" s="519" t="str">
        <f>'CHAM CONG'!I21</f>
        <v>x</v>
      </c>
      <c r="L23" s="519">
        <f>'CHAM CONG'!J21</f>
        <v>0</v>
      </c>
      <c r="M23" s="519">
        <f>'CHAM CONG'!K21</f>
        <v>0</v>
      </c>
      <c r="N23" s="519">
        <f>'CHAM CONG'!L21</f>
        <v>0</v>
      </c>
      <c r="O23" s="519" t="str">
        <f>'CHAM CONG'!M21</f>
        <v>x</v>
      </c>
      <c r="P23" s="519" t="str">
        <f>'CHAM CONG'!N21</f>
        <v>x</v>
      </c>
      <c r="Q23" s="519" t="str">
        <f>'CHAM CONG'!O21</f>
        <v>x</v>
      </c>
      <c r="R23" s="519" t="str">
        <f>'CHAM CONG'!P21</f>
        <v>x</v>
      </c>
      <c r="S23" s="519" t="str">
        <f>'CHAM CONG'!Q21</f>
        <v>x</v>
      </c>
      <c r="T23" s="519" t="str">
        <f>'CHAM CONG'!R21</f>
        <v>x</v>
      </c>
      <c r="U23" s="519" t="str">
        <f>'CHAM CONG'!S21</f>
        <v>x</v>
      </c>
      <c r="V23" s="519" t="str">
        <f>'CHAM CONG'!T21</f>
        <v>x</v>
      </c>
      <c r="W23" s="519" t="str">
        <f>'CHAM CONG'!U21</f>
        <v>x</v>
      </c>
      <c r="X23" s="519"/>
      <c r="Y23" s="519"/>
      <c r="Z23" s="738">
        <f t="shared" si="3"/>
        <v>10</v>
      </c>
      <c r="AA23" s="580">
        <f t="shared" si="4"/>
        <v>0</v>
      </c>
      <c r="AB23" s="580">
        <f t="shared" si="5"/>
        <v>160000</v>
      </c>
      <c r="AC23" s="580">
        <f>'CHAM CONG'!V21</f>
        <v>0</v>
      </c>
      <c r="AD23" s="580">
        <f>'CHAM CONG'!W21</f>
        <v>0</v>
      </c>
      <c r="AE23" s="580">
        <f>'CHAM CONG'!X21</f>
        <v>0</v>
      </c>
      <c r="AF23" s="738">
        <f t="shared" si="6"/>
        <v>0</v>
      </c>
      <c r="AG23" s="580">
        <f t="shared" si="7"/>
        <v>0</v>
      </c>
      <c r="AH23" s="580">
        <f t="shared" si="0"/>
        <v>10</v>
      </c>
      <c r="AI23" s="580">
        <f t="shared" si="8"/>
        <v>10000</v>
      </c>
      <c r="AJ23" s="580">
        <f t="shared" si="9"/>
        <v>170000</v>
      </c>
      <c r="AK23" s="429">
        <f>'SAN LUONG'!AF22</f>
        <v>77</v>
      </c>
      <c r="AL23" s="429">
        <f>'SAN LUONG'!AG22</f>
        <v>404</v>
      </c>
      <c r="AM23" s="429">
        <f>'SAN LUONG'!AH22</f>
        <v>285</v>
      </c>
      <c r="AN23" s="429">
        <f>'SAN LUONG'!AI22</f>
        <v>0</v>
      </c>
      <c r="AO23" s="746">
        <f t="shared" si="10"/>
        <v>766</v>
      </c>
      <c r="AP23" s="746">
        <f t="shared" si="11"/>
        <v>187057</v>
      </c>
      <c r="AQ23" s="746"/>
      <c r="AR23" s="746">
        <f t="shared" si="1"/>
        <v>0</v>
      </c>
      <c r="AS23" s="746"/>
      <c r="AT23" s="746">
        <f t="shared" si="2"/>
        <v>0</v>
      </c>
      <c r="AU23" s="747">
        <f>'SAN LUONG'!AU22</f>
        <v>0</v>
      </c>
      <c r="AV23" s="748">
        <f t="shared" si="12"/>
        <v>0</v>
      </c>
      <c r="AW23" s="757">
        <f t="shared" si="13"/>
        <v>0</v>
      </c>
      <c r="AX23" s="758">
        <f t="shared" si="14"/>
        <v>357057</v>
      </c>
      <c r="AY23" s="759"/>
      <c r="AZ23" s="759"/>
      <c r="BA23" s="759"/>
      <c r="BB23" s="760">
        <f t="shared" si="15"/>
        <v>357057</v>
      </c>
      <c r="BC23" s="761"/>
      <c r="BD23" s="639">
        <f t="shared" si="16"/>
        <v>11.18</v>
      </c>
      <c r="BE23" s="567"/>
      <c r="BF23" s="765"/>
    </row>
    <row r="24" spans="1:58" s="483" customFormat="1" ht="35.4" customHeight="1">
      <c r="A24" s="503">
        <v>15</v>
      </c>
      <c r="B24" s="504">
        <v>1</v>
      </c>
      <c r="C24" s="504">
        <v>15</v>
      </c>
      <c r="D24" s="728">
        <f>'Tên Tháng 1'!B19</f>
        <v>34095</v>
      </c>
      <c r="E24" s="728" t="str">
        <f>'Tên Tháng 1'!C19</f>
        <v>ប្រុស</v>
      </c>
      <c r="F24" s="728">
        <f>'Tên Tháng 1'!D19</f>
        <v>150523533</v>
      </c>
      <c r="G24" s="728" t="str">
        <f>'Tên Tháng 1'!E18</f>
        <v>ឆែម ហ៊ាច</v>
      </c>
      <c r="H24" s="728" t="str">
        <f>'Tên Tháng 1'!F18</f>
        <v>CHHEM HEACH</v>
      </c>
      <c r="I24" s="519">
        <f>'CHAM CONG'!G22</f>
        <v>0</v>
      </c>
      <c r="J24" s="519">
        <f>'CHAM CONG'!H22</f>
        <v>0</v>
      </c>
      <c r="K24" s="519" t="str">
        <f>'CHAM CONG'!I22</f>
        <v>x</v>
      </c>
      <c r="L24" s="519">
        <f>'CHAM CONG'!J22</f>
        <v>0</v>
      </c>
      <c r="M24" s="519" t="str">
        <f>'CHAM CONG'!K22</f>
        <v>x</v>
      </c>
      <c r="N24" s="519" t="str">
        <f>'CHAM CONG'!L22</f>
        <v>x</v>
      </c>
      <c r="O24" s="519" t="str">
        <f>'CHAM CONG'!M22</f>
        <v>x</v>
      </c>
      <c r="P24" s="519" t="str">
        <f>'CHAM CONG'!N22</f>
        <v>x</v>
      </c>
      <c r="Q24" s="519" t="str">
        <f>'CHAM CONG'!O22</f>
        <v>x</v>
      </c>
      <c r="R24" s="519" t="str">
        <f>'CHAM CONG'!P22</f>
        <v>x</v>
      </c>
      <c r="S24" s="519" t="str">
        <f>'CHAM CONG'!Q22</f>
        <v>x</v>
      </c>
      <c r="T24" s="519" t="str">
        <f>'CHAM CONG'!R22</f>
        <v>x</v>
      </c>
      <c r="U24" s="519" t="str">
        <f>'CHAM CONG'!S22</f>
        <v>x</v>
      </c>
      <c r="V24" s="519" t="str">
        <f>'CHAM CONG'!T22</f>
        <v>x</v>
      </c>
      <c r="W24" s="519" t="str">
        <f>'CHAM CONG'!U22</f>
        <v>x</v>
      </c>
      <c r="X24" s="519"/>
      <c r="Y24" s="519"/>
      <c r="Z24" s="738">
        <f t="shared" si="3"/>
        <v>12</v>
      </c>
      <c r="AA24" s="580">
        <f t="shared" si="4"/>
        <v>0</v>
      </c>
      <c r="AB24" s="580">
        <f t="shared" si="5"/>
        <v>192000</v>
      </c>
      <c r="AC24" s="580">
        <f>'CHAM CONG'!V22</f>
        <v>0</v>
      </c>
      <c r="AD24" s="580">
        <f>'CHAM CONG'!W22</f>
        <v>0</v>
      </c>
      <c r="AE24" s="580">
        <f>'CHAM CONG'!X22</f>
        <v>0</v>
      </c>
      <c r="AF24" s="738">
        <f t="shared" si="6"/>
        <v>0</v>
      </c>
      <c r="AG24" s="580">
        <f t="shared" si="7"/>
        <v>0</v>
      </c>
      <c r="AH24" s="580">
        <f t="shared" si="0"/>
        <v>12</v>
      </c>
      <c r="AI24" s="580">
        <f t="shared" si="8"/>
        <v>12000</v>
      </c>
      <c r="AJ24" s="580">
        <f t="shared" si="9"/>
        <v>204000</v>
      </c>
      <c r="AK24" s="429">
        <f>'SAN LUONG'!AF23</f>
        <v>285</v>
      </c>
      <c r="AL24" s="429">
        <f>'SAN LUONG'!AG23</f>
        <v>372</v>
      </c>
      <c r="AM24" s="429">
        <f>'SAN LUONG'!AH23</f>
        <v>464</v>
      </c>
      <c r="AN24" s="429">
        <f>'SAN LUONG'!AI23</f>
        <v>0</v>
      </c>
      <c r="AO24" s="746">
        <f t="shared" si="10"/>
        <v>1121</v>
      </c>
      <c r="AP24" s="746">
        <f t="shared" si="11"/>
        <v>273748</v>
      </c>
      <c r="AQ24" s="746"/>
      <c r="AR24" s="746">
        <f t="shared" si="1"/>
        <v>0</v>
      </c>
      <c r="AS24" s="746"/>
      <c r="AT24" s="746">
        <f t="shared" si="2"/>
        <v>0</v>
      </c>
      <c r="AU24" s="747">
        <f>'SAN LUONG'!AU23</f>
        <v>0</v>
      </c>
      <c r="AV24" s="748">
        <f t="shared" si="12"/>
        <v>0</v>
      </c>
      <c r="AW24" s="757">
        <f t="shared" si="13"/>
        <v>0</v>
      </c>
      <c r="AX24" s="758">
        <f t="shared" si="14"/>
        <v>477748</v>
      </c>
      <c r="AY24" s="759"/>
      <c r="AZ24" s="759"/>
      <c r="BA24" s="759"/>
      <c r="BB24" s="760">
        <f t="shared" si="15"/>
        <v>477748</v>
      </c>
      <c r="BC24" s="761"/>
      <c r="BD24" s="639">
        <f t="shared" si="16"/>
        <v>14.95</v>
      </c>
      <c r="BE24" s="567"/>
      <c r="BF24" s="765"/>
    </row>
    <row r="25" spans="1:58" s="483" customFormat="1" ht="35.4" customHeight="1">
      <c r="A25" s="503">
        <v>16</v>
      </c>
      <c r="B25" s="504">
        <v>1</v>
      </c>
      <c r="C25" s="504">
        <v>16</v>
      </c>
      <c r="D25" s="728">
        <f>'Tên Tháng 1'!B20</f>
        <v>34015</v>
      </c>
      <c r="E25" s="728" t="str">
        <f>'Tên Tháng 1'!C20</f>
        <v>ស្រី</v>
      </c>
      <c r="F25" s="728">
        <f>'Tên Tháng 1'!D20</f>
        <v>150483982</v>
      </c>
      <c r="G25" s="728" t="str">
        <f>'Tên Tháng 1'!E19</f>
        <v>ឆែម ឆុន</v>
      </c>
      <c r="H25" s="728" t="str">
        <f>'Tên Tháng 1'!F19</f>
        <v>CHHEN CHHON</v>
      </c>
      <c r="I25" s="519">
        <f>'CHAM CONG'!G23</f>
        <v>0</v>
      </c>
      <c r="J25" s="519">
        <f>'CHAM CONG'!H23</f>
        <v>0</v>
      </c>
      <c r="K25" s="519" t="str">
        <f>'CHAM CONG'!I23</f>
        <v>x</v>
      </c>
      <c r="L25" s="519">
        <f>'CHAM CONG'!J23</f>
        <v>0</v>
      </c>
      <c r="M25" s="519" t="str">
        <f>'CHAM CONG'!K23</f>
        <v>x</v>
      </c>
      <c r="N25" s="519" t="str">
        <f>'CHAM CONG'!L23</f>
        <v>x</v>
      </c>
      <c r="O25" s="519" t="str">
        <f>'CHAM CONG'!M23</f>
        <v>x</v>
      </c>
      <c r="P25" s="519" t="str">
        <f>'CHAM CONG'!N23</f>
        <v>x</v>
      </c>
      <c r="Q25" s="519" t="str">
        <f>'CHAM CONG'!O23</f>
        <v>x</v>
      </c>
      <c r="R25" s="519" t="str">
        <f>'CHAM CONG'!P23</f>
        <v>x</v>
      </c>
      <c r="S25" s="519" t="str">
        <f>'CHAM CONG'!Q23</f>
        <v>x</v>
      </c>
      <c r="T25" s="519" t="str">
        <f>'CHAM CONG'!R23</f>
        <v>x</v>
      </c>
      <c r="U25" s="519" t="str">
        <f>'CHAM CONG'!S23</f>
        <v>x</v>
      </c>
      <c r="V25" s="519" t="str">
        <f>'CHAM CONG'!T23</f>
        <v>x</v>
      </c>
      <c r="W25" s="519" t="str">
        <f>'CHAM CONG'!U23</f>
        <v>x</v>
      </c>
      <c r="X25" s="519"/>
      <c r="Y25" s="519"/>
      <c r="Z25" s="738">
        <f t="shared" si="3"/>
        <v>12</v>
      </c>
      <c r="AA25" s="580">
        <f t="shared" si="4"/>
        <v>0</v>
      </c>
      <c r="AB25" s="580">
        <f t="shared" si="5"/>
        <v>192000</v>
      </c>
      <c r="AC25" s="580">
        <f>'CHAM CONG'!V23</f>
        <v>0</v>
      </c>
      <c r="AD25" s="580">
        <f>'CHAM CONG'!W23</f>
        <v>0</v>
      </c>
      <c r="AE25" s="580" t="str">
        <f>'CHAM CONG'!X23</f>
        <v>x</v>
      </c>
      <c r="AF25" s="738">
        <f t="shared" si="6"/>
        <v>1</v>
      </c>
      <c r="AG25" s="580">
        <f t="shared" si="7"/>
        <v>17000</v>
      </c>
      <c r="AH25" s="580">
        <f t="shared" si="0"/>
        <v>12</v>
      </c>
      <c r="AI25" s="580">
        <f t="shared" si="8"/>
        <v>12000</v>
      </c>
      <c r="AJ25" s="580">
        <f t="shared" si="9"/>
        <v>221000</v>
      </c>
      <c r="AK25" s="429">
        <f>'SAN LUONG'!AF24</f>
        <v>314</v>
      </c>
      <c r="AL25" s="429">
        <f>'SAN LUONG'!AG24</f>
        <v>396</v>
      </c>
      <c r="AM25" s="429">
        <f>'SAN LUONG'!AH24</f>
        <v>365</v>
      </c>
      <c r="AN25" s="429">
        <f>'SAN LUONG'!AI24</f>
        <v>0</v>
      </c>
      <c r="AO25" s="746">
        <f t="shared" si="10"/>
        <v>1075</v>
      </c>
      <c r="AP25" s="746">
        <f t="shared" si="11"/>
        <v>262515</v>
      </c>
      <c r="AQ25" s="746"/>
      <c r="AR25" s="746">
        <f t="shared" si="1"/>
        <v>0</v>
      </c>
      <c r="AS25" s="746"/>
      <c r="AT25" s="746">
        <f t="shared" si="2"/>
        <v>0</v>
      </c>
      <c r="AU25" s="747">
        <f>'SAN LUONG'!AU24</f>
        <v>0</v>
      </c>
      <c r="AV25" s="748">
        <f t="shared" si="12"/>
        <v>0</v>
      </c>
      <c r="AW25" s="757">
        <f t="shared" si="13"/>
        <v>0</v>
      </c>
      <c r="AX25" s="758">
        <f t="shared" si="14"/>
        <v>483515</v>
      </c>
      <c r="AY25" s="759"/>
      <c r="AZ25" s="759"/>
      <c r="BA25" s="759"/>
      <c r="BB25" s="760">
        <f t="shared" si="15"/>
        <v>483515</v>
      </c>
      <c r="BC25" s="761"/>
      <c r="BD25" s="639">
        <f t="shared" si="16"/>
        <v>15.13</v>
      </c>
      <c r="BE25" s="567"/>
      <c r="BF25" s="765"/>
    </row>
    <row r="26" spans="1:58" s="483" customFormat="1" ht="35.4" customHeight="1">
      <c r="A26" s="503">
        <v>17</v>
      </c>
      <c r="B26" s="504">
        <v>1</v>
      </c>
      <c r="C26" s="504">
        <v>17</v>
      </c>
      <c r="D26" s="728">
        <f>'Tên Tháng 1'!B21</f>
        <v>34125</v>
      </c>
      <c r="E26" s="728" t="str">
        <f>'Tên Tháng 1'!C21</f>
        <v>ប្រុស</v>
      </c>
      <c r="F26" s="728">
        <f>'Tên Tháng 1'!D21</f>
        <v>220102090</v>
      </c>
      <c r="G26" s="728" t="str">
        <f>'Tên Tháng 1'!E20</f>
        <v>មាស សំឡូត</v>
      </c>
      <c r="H26" s="728" t="str">
        <f>'Tên Tháng 1'!F20</f>
        <v>MEAS SOMLOT</v>
      </c>
      <c r="I26" s="519">
        <f>'CHAM CONG'!G24</f>
        <v>0</v>
      </c>
      <c r="J26" s="519" t="str">
        <f>'CHAM CONG'!H24</f>
        <v>x</v>
      </c>
      <c r="K26" s="519" t="str">
        <f>'CHAM CONG'!I24</f>
        <v>x</v>
      </c>
      <c r="L26" s="519">
        <f>'CHAM CONG'!J24</f>
        <v>0</v>
      </c>
      <c r="M26" s="519" t="str">
        <f>'CHAM CONG'!K24</f>
        <v>x</v>
      </c>
      <c r="N26" s="519" t="str">
        <f>'CHAM CONG'!L24</f>
        <v>x</v>
      </c>
      <c r="O26" s="519">
        <f>'CHAM CONG'!M24</f>
        <v>0</v>
      </c>
      <c r="P26" s="519" t="str">
        <f>'CHAM CONG'!N24</f>
        <v>x</v>
      </c>
      <c r="Q26" s="519" t="str">
        <f>'CHAM CONG'!O24</f>
        <v>x</v>
      </c>
      <c r="R26" s="519" t="str">
        <f>'CHAM CONG'!P24</f>
        <v>x</v>
      </c>
      <c r="S26" s="519" t="str">
        <f>'CHAM CONG'!Q24</f>
        <v>x</v>
      </c>
      <c r="T26" s="519" t="str">
        <f>'CHAM CONG'!R24</f>
        <v>x</v>
      </c>
      <c r="U26" s="519" t="str">
        <f>'CHAM CONG'!S24</f>
        <v>x</v>
      </c>
      <c r="V26" s="519" t="str">
        <f>'CHAM CONG'!T24</f>
        <v>x</v>
      </c>
      <c r="W26" s="519">
        <f>'CHAM CONG'!U24</f>
        <v>0</v>
      </c>
      <c r="X26" s="519"/>
      <c r="Y26" s="519"/>
      <c r="Z26" s="738">
        <f t="shared" si="3"/>
        <v>11</v>
      </c>
      <c r="AA26" s="580">
        <f t="shared" si="4"/>
        <v>0</v>
      </c>
      <c r="AB26" s="580">
        <f t="shared" si="5"/>
        <v>176000</v>
      </c>
      <c r="AC26" s="580">
        <f>'CHAM CONG'!V24</f>
        <v>0</v>
      </c>
      <c r="AD26" s="580">
        <f>'CHAM CONG'!W24</f>
        <v>0</v>
      </c>
      <c r="AE26" s="580">
        <f>'CHAM CONG'!X24</f>
        <v>0</v>
      </c>
      <c r="AF26" s="738">
        <f t="shared" si="6"/>
        <v>0</v>
      </c>
      <c r="AG26" s="580">
        <f t="shared" si="7"/>
        <v>0</v>
      </c>
      <c r="AH26" s="580">
        <f t="shared" si="0"/>
        <v>11</v>
      </c>
      <c r="AI26" s="580">
        <f t="shared" si="8"/>
        <v>11000</v>
      </c>
      <c r="AJ26" s="580">
        <f t="shared" si="9"/>
        <v>187000</v>
      </c>
      <c r="AK26" s="429">
        <f>'SAN LUONG'!AF25</f>
        <v>273</v>
      </c>
      <c r="AL26" s="429">
        <f>'SAN LUONG'!AG25</f>
        <v>310</v>
      </c>
      <c r="AM26" s="429">
        <f>'SAN LUONG'!AH25</f>
        <v>357</v>
      </c>
      <c r="AN26" s="429">
        <f>'SAN LUONG'!AI25</f>
        <v>0</v>
      </c>
      <c r="AO26" s="746">
        <f t="shared" si="10"/>
        <v>940</v>
      </c>
      <c r="AP26" s="746">
        <f t="shared" si="11"/>
        <v>229548</v>
      </c>
      <c r="AQ26" s="746"/>
      <c r="AR26" s="746">
        <f t="shared" si="1"/>
        <v>0</v>
      </c>
      <c r="AS26" s="746"/>
      <c r="AT26" s="746">
        <f t="shared" si="2"/>
        <v>0</v>
      </c>
      <c r="AU26" s="747">
        <f>'SAN LUONG'!AU25</f>
        <v>0</v>
      </c>
      <c r="AV26" s="748">
        <f t="shared" si="12"/>
        <v>0</v>
      </c>
      <c r="AW26" s="757">
        <f t="shared" si="13"/>
        <v>0</v>
      </c>
      <c r="AX26" s="758">
        <f t="shared" si="14"/>
        <v>416548</v>
      </c>
      <c r="AY26" s="759"/>
      <c r="AZ26" s="759"/>
      <c r="BA26" s="759"/>
      <c r="BB26" s="760">
        <f t="shared" si="15"/>
        <v>416548</v>
      </c>
      <c r="BC26" s="761"/>
      <c r="BD26" s="639">
        <f t="shared" si="16"/>
        <v>13.04</v>
      </c>
      <c r="BE26" s="567"/>
      <c r="BF26" s="765"/>
    </row>
    <row r="27" spans="1:58" s="483" customFormat="1" ht="35.4" customHeight="1">
      <c r="A27" s="503">
        <v>18</v>
      </c>
      <c r="B27" s="504">
        <v>1</v>
      </c>
      <c r="C27" s="504">
        <v>18</v>
      </c>
      <c r="D27" s="728">
        <f>'Tên Tháng 1'!B22</f>
        <v>29474</v>
      </c>
      <c r="E27" s="728" t="str">
        <f>'Tên Tháng 1'!C22</f>
        <v>ប្រុស</v>
      </c>
      <c r="F27" s="728">
        <f>'Tên Tháng 1'!D22</f>
        <v>250230682</v>
      </c>
      <c r="G27" s="728" t="str">
        <f>'Tên Tháng 1'!E21</f>
        <v>ម៉ន វិចិត្រ</v>
      </c>
      <c r="H27" s="728" t="str">
        <f>'Tên Tháng 1'!F21</f>
        <v>MORN VICHET</v>
      </c>
      <c r="I27" s="519">
        <f>'CHAM CONG'!G25</f>
        <v>0</v>
      </c>
      <c r="J27" s="519" t="str">
        <f>'CHAM CONG'!H25</f>
        <v>x</v>
      </c>
      <c r="K27" s="519" t="str">
        <f>'CHAM CONG'!I25</f>
        <v>x</v>
      </c>
      <c r="L27" s="519">
        <f>'CHAM CONG'!J25</f>
        <v>0</v>
      </c>
      <c r="M27" s="519">
        <f>'CHAM CONG'!K25</f>
        <v>0</v>
      </c>
      <c r="N27" s="519" t="str">
        <f>'CHAM CONG'!L25</f>
        <v>x</v>
      </c>
      <c r="O27" s="519" t="str">
        <f>'CHAM CONG'!M25</f>
        <v>x</v>
      </c>
      <c r="P27" s="519">
        <f>'CHAM CONG'!N25</f>
        <v>0</v>
      </c>
      <c r="Q27" s="519" t="str">
        <f>'CHAM CONG'!O25</f>
        <v>x</v>
      </c>
      <c r="R27" s="519" t="str">
        <f>'CHAM CONG'!P25</f>
        <v>x</v>
      </c>
      <c r="S27" s="519" t="str">
        <f>'CHAM CONG'!Q25</f>
        <v>x</v>
      </c>
      <c r="T27" s="519" t="str">
        <f>'CHAM CONG'!R25</f>
        <v>x</v>
      </c>
      <c r="U27" s="519" t="str">
        <f>'CHAM CONG'!S25</f>
        <v>x</v>
      </c>
      <c r="V27" s="519" t="str">
        <f>'CHAM CONG'!T25</f>
        <v>x</v>
      </c>
      <c r="W27" s="519" t="str">
        <f>'CHAM CONG'!U25</f>
        <v>x</v>
      </c>
      <c r="X27" s="519"/>
      <c r="Y27" s="519"/>
      <c r="Z27" s="738">
        <f t="shared" si="3"/>
        <v>11</v>
      </c>
      <c r="AA27" s="580">
        <f t="shared" si="4"/>
        <v>0</v>
      </c>
      <c r="AB27" s="580">
        <f t="shared" si="5"/>
        <v>176000</v>
      </c>
      <c r="AC27" s="580">
        <f>'CHAM CONG'!V25</f>
        <v>0</v>
      </c>
      <c r="AD27" s="580">
        <f>'CHAM CONG'!W25</f>
        <v>0</v>
      </c>
      <c r="AE27" s="580">
        <f>'CHAM CONG'!X25</f>
        <v>0</v>
      </c>
      <c r="AF27" s="738">
        <f t="shared" si="6"/>
        <v>0</v>
      </c>
      <c r="AG27" s="580">
        <f t="shared" si="7"/>
        <v>0</v>
      </c>
      <c r="AH27" s="580">
        <f t="shared" si="0"/>
        <v>11</v>
      </c>
      <c r="AI27" s="580">
        <f t="shared" si="8"/>
        <v>11000</v>
      </c>
      <c r="AJ27" s="580">
        <f t="shared" si="9"/>
        <v>187000</v>
      </c>
      <c r="AK27" s="429">
        <f>'SAN LUONG'!AF26</f>
        <v>299</v>
      </c>
      <c r="AL27" s="429">
        <f>'SAN LUONG'!AG26</f>
        <v>408</v>
      </c>
      <c r="AM27" s="429">
        <f>'SAN LUONG'!AH26</f>
        <v>230</v>
      </c>
      <c r="AN27" s="429">
        <f>'SAN LUONG'!AI26</f>
        <v>0</v>
      </c>
      <c r="AO27" s="746">
        <f t="shared" si="10"/>
        <v>937</v>
      </c>
      <c r="AP27" s="746">
        <f t="shared" si="11"/>
        <v>228815</v>
      </c>
      <c r="AQ27" s="746"/>
      <c r="AR27" s="746">
        <f t="shared" si="1"/>
        <v>0</v>
      </c>
      <c r="AS27" s="746"/>
      <c r="AT27" s="746">
        <f t="shared" si="2"/>
        <v>0</v>
      </c>
      <c r="AU27" s="747">
        <f>'SAN LUONG'!AU26</f>
        <v>0</v>
      </c>
      <c r="AV27" s="748">
        <f t="shared" si="12"/>
        <v>0</v>
      </c>
      <c r="AW27" s="757">
        <f t="shared" si="13"/>
        <v>0</v>
      </c>
      <c r="AX27" s="758">
        <f t="shared" si="14"/>
        <v>415815</v>
      </c>
      <c r="AY27" s="759"/>
      <c r="AZ27" s="759"/>
      <c r="BA27" s="759"/>
      <c r="BB27" s="760">
        <f t="shared" si="15"/>
        <v>415815</v>
      </c>
      <c r="BC27" s="761"/>
      <c r="BD27" s="639">
        <f t="shared" si="16"/>
        <v>13.02</v>
      </c>
      <c r="BE27" s="567"/>
      <c r="BF27" s="765"/>
    </row>
    <row r="28" spans="1:58" s="483" customFormat="1" ht="35.4" customHeight="1">
      <c r="A28" s="503">
        <v>19</v>
      </c>
      <c r="B28" s="504">
        <v>1</v>
      </c>
      <c r="C28" s="504">
        <v>19</v>
      </c>
      <c r="D28" s="728">
        <f>'Tên Tháng 1'!B23</f>
        <v>34523</v>
      </c>
      <c r="E28" s="728" t="str">
        <f>'Tên Tháng 1'!C23</f>
        <v>ប្រុស</v>
      </c>
      <c r="F28" s="728">
        <f>'Tên Tháng 1'!D23</f>
        <v>220205841</v>
      </c>
      <c r="G28" s="728" t="str">
        <f>'Tên Tháng 1'!E22</f>
        <v>គ្រួច គ្រីន</v>
      </c>
      <c r="H28" s="728" t="str">
        <f>'Tên Tháng 1'!F22</f>
        <v>KRUOCH KRIN</v>
      </c>
      <c r="I28" s="519">
        <f>'CHAM CONG'!G26</f>
        <v>0</v>
      </c>
      <c r="J28" s="519">
        <f>'CHAM CONG'!H26</f>
        <v>0</v>
      </c>
      <c r="K28" s="519" t="str">
        <f>'CHAM CONG'!I26</f>
        <v>x</v>
      </c>
      <c r="L28" s="519">
        <f>'CHAM CONG'!J26</f>
        <v>0</v>
      </c>
      <c r="M28" s="519" t="str">
        <f>'CHAM CONG'!K26</f>
        <v>x</v>
      </c>
      <c r="N28" s="519" t="str">
        <f>'CHAM CONG'!L26</f>
        <v>x</v>
      </c>
      <c r="O28" s="519" t="str">
        <f>'CHAM CONG'!M26</f>
        <v>x</v>
      </c>
      <c r="P28" s="519" t="str">
        <f>'CHAM CONG'!N26</f>
        <v>x</v>
      </c>
      <c r="Q28" s="519" t="str">
        <f>'CHAM CONG'!O26</f>
        <v>x</v>
      </c>
      <c r="R28" s="519" t="str">
        <f>'CHAM CONG'!P26</f>
        <v>x</v>
      </c>
      <c r="S28" s="519" t="str">
        <f>'CHAM CONG'!Q26</f>
        <v>x</v>
      </c>
      <c r="T28" s="519" t="str">
        <f>'CHAM CONG'!R26</f>
        <v>x</v>
      </c>
      <c r="U28" s="519" t="str">
        <f>'CHAM CONG'!S26</f>
        <v>x</v>
      </c>
      <c r="V28" s="519" t="str">
        <f>'CHAM CONG'!T26</f>
        <v>x</v>
      </c>
      <c r="W28" s="519" t="str">
        <f>'CHAM CONG'!U26</f>
        <v>x</v>
      </c>
      <c r="X28" s="519"/>
      <c r="Y28" s="519"/>
      <c r="Z28" s="738">
        <f t="shared" si="3"/>
        <v>12</v>
      </c>
      <c r="AA28" s="580">
        <f t="shared" si="4"/>
        <v>0</v>
      </c>
      <c r="AB28" s="580">
        <f t="shared" si="5"/>
        <v>192000</v>
      </c>
      <c r="AC28" s="580">
        <f>'CHAM CONG'!V26</f>
        <v>0</v>
      </c>
      <c r="AD28" s="580">
        <f>'CHAM CONG'!W26</f>
        <v>0</v>
      </c>
      <c r="AE28" s="580">
        <f>'CHAM CONG'!X26</f>
        <v>0</v>
      </c>
      <c r="AF28" s="738">
        <f t="shared" si="6"/>
        <v>0</v>
      </c>
      <c r="AG28" s="580">
        <f t="shared" si="7"/>
        <v>0</v>
      </c>
      <c r="AH28" s="580">
        <f t="shared" si="0"/>
        <v>12</v>
      </c>
      <c r="AI28" s="580">
        <f t="shared" si="8"/>
        <v>12000</v>
      </c>
      <c r="AJ28" s="580">
        <f t="shared" si="9"/>
        <v>204000</v>
      </c>
      <c r="AK28" s="429">
        <f>'SAN LUONG'!AF27</f>
        <v>393</v>
      </c>
      <c r="AL28" s="429">
        <f>'SAN LUONG'!AG27</f>
        <v>318</v>
      </c>
      <c r="AM28" s="429">
        <f>'SAN LUONG'!AH27</f>
        <v>458</v>
      </c>
      <c r="AN28" s="429">
        <f>'SAN LUONG'!AI27</f>
        <v>0</v>
      </c>
      <c r="AO28" s="746">
        <f t="shared" si="10"/>
        <v>1169</v>
      </c>
      <c r="AP28" s="746">
        <f t="shared" si="11"/>
        <v>285470</v>
      </c>
      <c r="AQ28" s="746"/>
      <c r="AR28" s="746">
        <f t="shared" si="1"/>
        <v>0</v>
      </c>
      <c r="AS28" s="746"/>
      <c r="AT28" s="746">
        <f t="shared" si="2"/>
        <v>0</v>
      </c>
      <c r="AU28" s="747">
        <f>'SAN LUONG'!AU27</f>
        <v>0</v>
      </c>
      <c r="AV28" s="748">
        <f t="shared" si="12"/>
        <v>0</v>
      </c>
      <c r="AW28" s="757">
        <f t="shared" si="13"/>
        <v>0</v>
      </c>
      <c r="AX28" s="758">
        <f t="shared" si="14"/>
        <v>489470</v>
      </c>
      <c r="AY28" s="759"/>
      <c r="AZ28" s="759"/>
      <c r="BA28" s="759"/>
      <c r="BB28" s="760">
        <f t="shared" si="15"/>
        <v>489470</v>
      </c>
      <c r="BC28" s="761"/>
      <c r="BD28" s="639">
        <f t="shared" si="16"/>
        <v>15.32</v>
      </c>
      <c r="BE28" s="567"/>
      <c r="BF28" s="765"/>
    </row>
    <row r="29" spans="1:58" s="483" customFormat="1" ht="35.4" customHeight="1">
      <c r="A29" s="503">
        <v>20</v>
      </c>
      <c r="B29" s="504">
        <v>1</v>
      </c>
      <c r="C29" s="504">
        <v>20</v>
      </c>
      <c r="D29" s="728">
        <f>'Tên Tháng 1'!B24</f>
        <v>32936</v>
      </c>
      <c r="E29" s="728" t="str">
        <f>'Tên Tháng 1'!C24</f>
        <v>ប្រុស</v>
      </c>
      <c r="F29" s="728">
        <f>'Tên Tháng 1'!D24</f>
        <v>220175291</v>
      </c>
      <c r="G29" s="728" t="str">
        <f>'Tên Tháng 1'!E23</f>
        <v>ស្រេង សំណាង</v>
      </c>
      <c r="H29" s="728" t="str">
        <f>'Tên Tháng 1'!F23</f>
        <v>SRENG SAMNANG</v>
      </c>
      <c r="I29" s="519" t="str">
        <f>'CHAM CONG'!G27</f>
        <v>x</v>
      </c>
      <c r="J29" s="519" t="str">
        <f>'CHAM CONG'!H27</f>
        <v>x</v>
      </c>
      <c r="K29" s="519" t="str">
        <f>'CHAM CONG'!I27</f>
        <v>x</v>
      </c>
      <c r="L29" s="519" t="str">
        <f>'CHAM CONG'!J27</f>
        <v>x</v>
      </c>
      <c r="M29" s="519">
        <f>'CHAM CONG'!K27</f>
        <v>0</v>
      </c>
      <c r="N29" s="519" t="str">
        <f>'CHAM CONG'!L27</f>
        <v>x</v>
      </c>
      <c r="O29" s="519" t="str">
        <f>'CHAM CONG'!M27</f>
        <v>x</v>
      </c>
      <c r="P29" s="519" t="str">
        <f>'CHAM CONG'!N27</f>
        <v>x</v>
      </c>
      <c r="Q29" s="519" t="str">
        <f>'CHAM CONG'!O27</f>
        <v>x</v>
      </c>
      <c r="R29" s="519" t="str">
        <f>'CHAM CONG'!P27</f>
        <v>x</v>
      </c>
      <c r="S29" s="519" t="str">
        <f>'CHAM CONG'!Q27</f>
        <v>x</v>
      </c>
      <c r="T29" s="519" t="str">
        <f>'CHAM CONG'!R27</f>
        <v>x</v>
      </c>
      <c r="U29" s="519">
        <f>'CHAM CONG'!S27</f>
        <v>0</v>
      </c>
      <c r="V29" s="519" t="str">
        <f>'CHAM CONG'!T27</f>
        <v>x</v>
      </c>
      <c r="W29" s="519" t="str">
        <f>'CHAM CONG'!U27</f>
        <v>x</v>
      </c>
      <c r="X29" s="519"/>
      <c r="Y29" s="519"/>
      <c r="Z29" s="738">
        <f t="shared" si="3"/>
        <v>13</v>
      </c>
      <c r="AA29" s="580">
        <f t="shared" si="4"/>
        <v>0</v>
      </c>
      <c r="AB29" s="580">
        <f t="shared" si="5"/>
        <v>208000</v>
      </c>
      <c r="AC29" s="580">
        <f>'CHAM CONG'!V27</f>
        <v>0</v>
      </c>
      <c r="AD29" s="580">
        <f>'CHAM CONG'!W27</f>
        <v>0</v>
      </c>
      <c r="AE29" s="580">
        <f>'CHAM CONG'!X27</f>
        <v>0</v>
      </c>
      <c r="AF29" s="738">
        <f t="shared" si="6"/>
        <v>0</v>
      </c>
      <c r="AG29" s="580">
        <f t="shared" si="7"/>
        <v>0</v>
      </c>
      <c r="AH29" s="580">
        <f t="shared" si="0"/>
        <v>13</v>
      </c>
      <c r="AI29" s="580">
        <f t="shared" si="8"/>
        <v>13000</v>
      </c>
      <c r="AJ29" s="580">
        <f t="shared" si="9"/>
        <v>221000</v>
      </c>
      <c r="AK29" s="429">
        <f>'SAN LUONG'!AF28</f>
        <v>452</v>
      </c>
      <c r="AL29" s="429">
        <f>'SAN LUONG'!AG28</f>
        <v>409</v>
      </c>
      <c r="AM29" s="429">
        <f>'SAN LUONG'!AH28</f>
        <v>273</v>
      </c>
      <c r="AN29" s="429">
        <f>'SAN LUONG'!AI28</f>
        <v>0</v>
      </c>
      <c r="AO29" s="746">
        <f t="shared" si="10"/>
        <v>1134</v>
      </c>
      <c r="AP29" s="746">
        <f t="shared" si="11"/>
        <v>276923</v>
      </c>
      <c r="AQ29" s="746"/>
      <c r="AR29" s="746">
        <f t="shared" si="1"/>
        <v>0</v>
      </c>
      <c r="AS29" s="746"/>
      <c r="AT29" s="746">
        <f t="shared" si="2"/>
        <v>0</v>
      </c>
      <c r="AU29" s="747">
        <f>'SAN LUONG'!AU28</f>
        <v>0</v>
      </c>
      <c r="AV29" s="748">
        <f t="shared" si="12"/>
        <v>0</v>
      </c>
      <c r="AW29" s="757">
        <f t="shared" si="13"/>
        <v>0</v>
      </c>
      <c r="AX29" s="758">
        <f t="shared" si="14"/>
        <v>497923</v>
      </c>
      <c r="AY29" s="759"/>
      <c r="AZ29" s="759"/>
      <c r="BA29" s="759"/>
      <c r="BB29" s="760">
        <f t="shared" si="15"/>
        <v>497923</v>
      </c>
      <c r="BC29" s="761"/>
      <c r="BD29" s="639">
        <f t="shared" si="16"/>
        <v>15.59</v>
      </c>
      <c r="BE29" s="567"/>
      <c r="BF29" s="765"/>
    </row>
    <row r="30" spans="1:58" s="483" customFormat="1" ht="35.4" customHeight="1">
      <c r="A30" s="503">
        <v>21</v>
      </c>
      <c r="B30" s="504">
        <v>1</v>
      </c>
      <c r="C30" s="504">
        <v>21</v>
      </c>
      <c r="D30" s="728">
        <f>'Tên Tháng 1'!B25</f>
        <v>34552</v>
      </c>
      <c r="E30" s="728" t="str">
        <f>'Tên Tháng 1'!C25</f>
        <v>ប្រុស</v>
      </c>
      <c r="F30" s="728">
        <f>'Tên Tháng 1'!D25</f>
        <v>220234353</v>
      </c>
      <c r="G30" s="728" t="str">
        <f>'Tên Tháng 1'!E24</f>
        <v>ហ៊ិក ងួន</v>
      </c>
      <c r="H30" s="728" t="str">
        <f>'Tên Tháng 1'!F24</f>
        <v>HIK NGUON</v>
      </c>
      <c r="I30" s="519" t="str">
        <f>'CHAM CONG'!G28</f>
        <v>x</v>
      </c>
      <c r="J30" s="519">
        <f>'CHAM CONG'!H28</f>
        <v>0</v>
      </c>
      <c r="K30" s="519" t="str">
        <f>'CHAM CONG'!I28</f>
        <v>x</v>
      </c>
      <c r="L30" s="519">
        <f>'CHAM CONG'!J28</f>
        <v>0</v>
      </c>
      <c r="M30" s="519" t="str">
        <f>'CHAM CONG'!K28</f>
        <v>x</v>
      </c>
      <c r="N30" s="519" t="str">
        <f>'CHAM CONG'!L28</f>
        <v>x</v>
      </c>
      <c r="O30" s="519" t="str">
        <f>'CHAM CONG'!M28</f>
        <v>x</v>
      </c>
      <c r="P30" s="519" t="str">
        <f>'CHAM CONG'!N28</f>
        <v>x</v>
      </c>
      <c r="Q30" s="519" t="str">
        <f>'CHAM CONG'!O28</f>
        <v>x</v>
      </c>
      <c r="R30" s="519" t="str">
        <f>'CHAM CONG'!P28</f>
        <v>x</v>
      </c>
      <c r="S30" s="519" t="str">
        <f>'CHAM CONG'!Q28</f>
        <v>x</v>
      </c>
      <c r="T30" s="519" t="str">
        <f>'CHAM CONG'!R28</f>
        <v>x</v>
      </c>
      <c r="U30" s="519" t="str">
        <f>'CHAM CONG'!S28</f>
        <v>x</v>
      </c>
      <c r="V30" s="519" t="str">
        <f>'CHAM CONG'!T28</f>
        <v>x</v>
      </c>
      <c r="W30" s="519" t="str">
        <f>'CHAM CONG'!U28</f>
        <v>x</v>
      </c>
      <c r="X30" s="519"/>
      <c r="Y30" s="519"/>
      <c r="Z30" s="738">
        <f t="shared" si="3"/>
        <v>13</v>
      </c>
      <c r="AA30" s="580">
        <f t="shared" si="4"/>
        <v>0</v>
      </c>
      <c r="AB30" s="580">
        <f t="shared" si="5"/>
        <v>208000</v>
      </c>
      <c r="AC30" s="580">
        <f>'CHAM CONG'!V28</f>
        <v>0</v>
      </c>
      <c r="AD30" s="580">
        <f>'CHAM CONG'!W28</f>
        <v>0</v>
      </c>
      <c r="AE30" s="580">
        <f>'CHAM CONG'!X28</f>
        <v>0</v>
      </c>
      <c r="AF30" s="738">
        <f t="shared" si="6"/>
        <v>0</v>
      </c>
      <c r="AG30" s="580">
        <f t="shared" si="7"/>
        <v>0</v>
      </c>
      <c r="AH30" s="580">
        <f t="shared" si="0"/>
        <v>13</v>
      </c>
      <c r="AI30" s="580">
        <f t="shared" si="8"/>
        <v>13000</v>
      </c>
      <c r="AJ30" s="580">
        <f t="shared" si="9"/>
        <v>221000</v>
      </c>
      <c r="AK30" s="429">
        <f>'SAN LUONG'!AF29</f>
        <v>482</v>
      </c>
      <c r="AL30" s="429">
        <f>'SAN LUONG'!AG29</f>
        <v>425</v>
      </c>
      <c r="AM30" s="429">
        <f>'SAN LUONG'!AH29</f>
        <v>442</v>
      </c>
      <c r="AN30" s="429">
        <f>'SAN LUONG'!AI29</f>
        <v>0</v>
      </c>
      <c r="AO30" s="746">
        <f t="shared" si="10"/>
        <v>1349</v>
      </c>
      <c r="AP30" s="746">
        <f t="shared" si="11"/>
        <v>329426</v>
      </c>
      <c r="AQ30" s="746"/>
      <c r="AR30" s="746">
        <f t="shared" si="1"/>
        <v>0</v>
      </c>
      <c r="AS30" s="746"/>
      <c r="AT30" s="746">
        <f t="shared" si="2"/>
        <v>0</v>
      </c>
      <c r="AU30" s="747">
        <f>'SAN LUONG'!AU29</f>
        <v>0</v>
      </c>
      <c r="AV30" s="748">
        <f t="shared" si="12"/>
        <v>0</v>
      </c>
      <c r="AW30" s="757">
        <f t="shared" si="13"/>
        <v>0</v>
      </c>
      <c r="AX30" s="758">
        <f t="shared" si="14"/>
        <v>550426</v>
      </c>
      <c r="AY30" s="759"/>
      <c r="AZ30" s="759"/>
      <c r="BA30" s="759"/>
      <c r="BB30" s="760">
        <f t="shared" si="15"/>
        <v>550426</v>
      </c>
      <c r="BC30" s="761"/>
      <c r="BD30" s="639">
        <f t="shared" si="16"/>
        <v>17.23</v>
      </c>
      <c r="BE30" s="567"/>
      <c r="BF30" s="765"/>
    </row>
    <row r="31" spans="1:58" s="483" customFormat="1" ht="35.4" customHeight="1">
      <c r="A31" s="503">
        <v>22</v>
      </c>
      <c r="B31" s="504">
        <v>1</v>
      </c>
      <c r="C31" s="504">
        <v>22</v>
      </c>
      <c r="D31" s="728">
        <f>'Tên Tháng 1'!B26</f>
        <v>36692</v>
      </c>
      <c r="E31" s="728" t="str">
        <f>'Tên Tháng 1'!C26</f>
        <v>ប្រុស</v>
      </c>
      <c r="F31" s="728">
        <f>'Tên Tháng 1'!D26</f>
        <v>150836178</v>
      </c>
      <c r="G31" s="728" t="str">
        <f>'Tên Tháng 1'!E25</f>
        <v>សៀក សំ</v>
      </c>
      <c r="H31" s="728" t="str">
        <f>'Tên Tháng 1'!F25</f>
        <v>SIEK SAM</v>
      </c>
      <c r="I31" s="519">
        <f>'CHAM CONG'!G29</f>
        <v>0</v>
      </c>
      <c r="J31" s="519" t="str">
        <f>'CHAM CONG'!H29</f>
        <v>x</v>
      </c>
      <c r="K31" s="519" t="str">
        <f>'CHAM CONG'!I29</f>
        <v>x</v>
      </c>
      <c r="L31" s="519">
        <f>'CHAM CONG'!J29</f>
        <v>0</v>
      </c>
      <c r="M31" s="519" t="str">
        <f>'CHAM CONG'!K29</f>
        <v>x</v>
      </c>
      <c r="N31" s="519">
        <f>'CHAM CONG'!L29</f>
        <v>0</v>
      </c>
      <c r="O31" s="519" t="str">
        <f>'CHAM CONG'!M29</f>
        <v>x</v>
      </c>
      <c r="P31" s="519" t="str">
        <f>'CHAM CONG'!N29</f>
        <v>x</v>
      </c>
      <c r="Q31" s="519">
        <f>'CHAM CONG'!O29</f>
        <v>0</v>
      </c>
      <c r="R31" s="519">
        <f>'CHAM CONG'!P29</f>
        <v>0</v>
      </c>
      <c r="S31" s="519">
        <f>'CHAM CONG'!Q29</f>
        <v>0</v>
      </c>
      <c r="T31" s="519">
        <f>'CHAM CONG'!R29</f>
        <v>0</v>
      </c>
      <c r="U31" s="519">
        <f>'CHAM CONG'!S29</f>
        <v>0</v>
      </c>
      <c r="V31" s="519">
        <f>'CHAM CONG'!T29</f>
        <v>0</v>
      </c>
      <c r="W31" s="519">
        <f>'CHAM CONG'!U29</f>
        <v>0</v>
      </c>
      <c r="X31" s="519"/>
      <c r="Y31" s="519"/>
      <c r="Z31" s="738">
        <f t="shared" si="3"/>
        <v>5</v>
      </c>
      <c r="AA31" s="580">
        <f t="shared" si="4"/>
        <v>0</v>
      </c>
      <c r="AB31" s="580">
        <f t="shared" si="5"/>
        <v>80000</v>
      </c>
      <c r="AC31" s="580">
        <f>'CHAM CONG'!V29</f>
        <v>0</v>
      </c>
      <c r="AD31" s="580">
        <f>'CHAM CONG'!W29</f>
        <v>0</v>
      </c>
      <c r="AE31" s="580">
        <f>'CHAM CONG'!X29</f>
        <v>0</v>
      </c>
      <c r="AF31" s="738">
        <f t="shared" si="6"/>
        <v>0</v>
      </c>
      <c r="AG31" s="580">
        <f t="shared" si="7"/>
        <v>0</v>
      </c>
      <c r="AH31" s="580">
        <f t="shared" si="0"/>
        <v>5</v>
      </c>
      <c r="AI31" s="580">
        <f t="shared" si="8"/>
        <v>5000</v>
      </c>
      <c r="AJ31" s="580">
        <f t="shared" si="9"/>
        <v>85000</v>
      </c>
      <c r="AK31" s="429">
        <f>'SAN LUONG'!AF30</f>
        <v>120</v>
      </c>
      <c r="AL31" s="429">
        <f>'SAN LUONG'!AG30</f>
        <v>169</v>
      </c>
      <c r="AM31" s="429">
        <f>'SAN LUONG'!AH30</f>
        <v>140</v>
      </c>
      <c r="AN31" s="429">
        <f>'SAN LUONG'!AI30</f>
        <v>0</v>
      </c>
      <c r="AO31" s="746">
        <f t="shared" si="10"/>
        <v>429</v>
      </c>
      <c r="AP31" s="746">
        <f t="shared" si="11"/>
        <v>104762</v>
      </c>
      <c r="AQ31" s="746"/>
      <c r="AR31" s="746">
        <f t="shared" si="1"/>
        <v>0</v>
      </c>
      <c r="AS31" s="746"/>
      <c r="AT31" s="746">
        <f t="shared" si="2"/>
        <v>0</v>
      </c>
      <c r="AU31" s="747">
        <f>'SAN LUONG'!AU30</f>
        <v>0</v>
      </c>
      <c r="AV31" s="748">
        <f t="shared" si="12"/>
        <v>0</v>
      </c>
      <c r="AW31" s="757">
        <f t="shared" si="13"/>
        <v>0</v>
      </c>
      <c r="AX31" s="758">
        <f t="shared" si="14"/>
        <v>189762</v>
      </c>
      <c r="AY31" s="759"/>
      <c r="AZ31" s="759"/>
      <c r="BA31" s="759"/>
      <c r="BB31" s="760">
        <f t="shared" si="15"/>
        <v>189762</v>
      </c>
      <c r="BC31" s="761"/>
      <c r="BD31" s="639">
        <f t="shared" si="16"/>
        <v>5.94</v>
      </c>
      <c r="BE31" s="567"/>
      <c r="BF31" s="765"/>
    </row>
    <row r="32" spans="1:58" s="483" customFormat="1" ht="35.4" customHeight="1">
      <c r="A32" s="503">
        <v>23</v>
      </c>
      <c r="B32" s="504">
        <v>1</v>
      </c>
      <c r="C32" s="504">
        <v>23</v>
      </c>
      <c r="D32" s="728">
        <f>'Tên Tháng 1'!B28</f>
        <v>31200</v>
      </c>
      <c r="E32" s="728" t="str">
        <f>'Tên Tháng 1'!C28</f>
        <v>ស្រី</v>
      </c>
      <c r="F32" s="728" t="str">
        <f>'Tên Tháng 1'!D28</f>
        <v>060541171</v>
      </c>
      <c r="G32" s="728" t="str">
        <f>'Tên Tháng 1'!E26</f>
        <v>ឆែម ឆុំ</v>
      </c>
      <c r="H32" s="728" t="str">
        <f>'Tên Tháng 1'!F26</f>
        <v>CHHEIM CHHOM</v>
      </c>
      <c r="I32" s="519">
        <f>'CHAM CONG'!G30</f>
        <v>0</v>
      </c>
      <c r="J32" s="519" t="str">
        <f>'CHAM CONG'!H30</f>
        <v>x</v>
      </c>
      <c r="K32" s="519" t="str">
        <f>'CHAM CONG'!I30</f>
        <v>x</v>
      </c>
      <c r="L32" s="519">
        <f>'CHAM CONG'!J30</f>
        <v>0</v>
      </c>
      <c r="M32" s="519" t="str">
        <f>'CHAM CONG'!K30</f>
        <v>x</v>
      </c>
      <c r="N32" s="519" t="str">
        <f>'CHAM CONG'!L30</f>
        <v>x</v>
      </c>
      <c r="O32" s="519" t="str">
        <f>'CHAM CONG'!M30</f>
        <v>x</v>
      </c>
      <c r="P32" s="519" t="str">
        <f>'CHAM CONG'!N30</f>
        <v>x</v>
      </c>
      <c r="Q32" s="519" t="str">
        <f>'CHAM CONG'!O30</f>
        <v>x</v>
      </c>
      <c r="R32" s="519" t="str">
        <f>'CHAM CONG'!P30</f>
        <v>x</v>
      </c>
      <c r="S32" s="519" t="str">
        <f>'CHAM CONG'!Q30</f>
        <v>x</v>
      </c>
      <c r="T32" s="519" t="str">
        <f>'CHAM CONG'!R30</f>
        <v>x</v>
      </c>
      <c r="U32" s="519" t="str">
        <f>'CHAM CONG'!S30</f>
        <v>x</v>
      </c>
      <c r="V32" s="519" t="str">
        <f>'CHAM CONG'!T30</f>
        <v>x</v>
      </c>
      <c r="W32" s="519" t="str">
        <f>'CHAM CONG'!U30</f>
        <v>x</v>
      </c>
      <c r="X32" s="519"/>
      <c r="Y32" s="519"/>
      <c r="Z32" s="738">
        <f t="shared" si="3"/>
        <v>13</v>
      </c>
      <c r="AA32" s="580">
        <f t="shared" si="4"/>
        <v>0</v>
      </c>
      <c r="AB32" s="580">
        <f t="shared" si="5"/>
        <v>208000</v>
      </c>
      <c r="AC32" s="580">
        <f>'CHAM CONG'!V30</f>
        <v>0</v>
      </c>
      <c r="AD32" s="580">
        <f>'CHAM CONG'!W30</f>
        <v>0</v>
      </c>
      <c r="AE32" s="580">
        <f>'CHAM CONG'!X30</f>
        <v>0</v>
      </c>
      <c r="AF32" s="738">
        <f t="shared" si="6"/>
        <v>0</v>
      </c>
      <c r="AG32" s="580">
        <f t="shared" si="7"/>
        <v>0</v>
      </c>
      <c r="AH32" s="580">
        <f t="shared" si="0"/>
        <v>13</v>
      </c>
      <c r="AI32" s="580">
        <f t="shared" si="8"/>
        <v>13000</v>
      </c>
      <c r="AJ32" s="580">
        <f t="shared" si="9"/>
        <v>221000</v>
      </c>
      <c r="AK32" s="429">
        <f>'SAN LUONG'!AF31</f>
        <v>400</v>
      </c>
      <c r="AL32" s="429">
        <f>'SAN LUONG'!AG31</f>
        <v>338</v>
      </c>
      <c r="AM32" s="429">
        <f>'SAN LUONG'!AH31</f>
        <v>390</v>
      </c>
      <c r="AN32" s="429">
        <f>'SAN LUONG'!AI31</f>
        <v>0</v>
      </c>
      <c r="AO32" s="746">
        <f t="shared" si="10"/>
        <v>1128</v>
      </c>
      <c r="AP32" s="746">
        <f t="shared" si="11"/>
        <v>275458</v>
      </c>
      <c r="AQ32" s="746"/>
      <c r="AR32" s="746">
        <f t="shared" si="1"/>
        <v>0</v>
      </c>
      <c r="AS32" s="746"/>
      <c r="AT32" s="746">
        <f t="shared" si="2"/>
        <v>0</v>
      </c>
      <c r="AU32" s="747">
        <f>'SAN LUONG'!AU31</f>
        <v>0</v>
      </c>
      <c r="AV32" s="748">
        <f t="shared" si="12"/>
        <v>0</v>
      </c>
      <c r="AW32" s="757">
        <f t="shared" si="13"/>
        <v>0</v>
      </c>
      <c r="AX32" s="758">
        <f t="shared" si="14"/>
        <v>496458</v>
      </c>
      <c r="AY32" s="759"/>
      <c r="AZ32" s="759"/>
      <c r="BA32" s="759"/>
      <c r="BB32" s="760">
        <f t="shared" si="15"/>
        <v>496458</v>
      </c>
      <c r="BC32" s="761"/>
      <c r="BD32" s="639">
        <f t="shared" si="16"/>
        <v>15.54</v>
      </c>
      <c r="BE32" s="567"/>
      <c r="BF32" s="765"/>
    </row>
    <row r="33" spans="1:58" s="483" customFormat="1" ht="35.4" customHeight="1">
      <c r="A33" s="503">
        <v>24</v>
      </c>
      <c r="B33" s="504">
        <v>1</v>
      </c>
      <c r="C33" s="504">
        <v>24</v>
      </c>
      <c r="D33" s="728">
        <f>'Tên Tháng 1'!B29</f>
        <v>30904</v>
      </c>
      <c r="E33" s="728" t="str">
        <f>'Tên Tháng 1'!C29</f>
        <v>ប្រុស</v>
      </c>
      <c r="F33" s="728" t="str">
        <f>'Tên Tháng 1'!D29</f>
        <v>060540793</v>
      </c>
      <c r="G33" s="728" t="str">
        <f>'Tên Tháng 1'!E27</f>
        <v>សុទ្ធ សុខជា</v>
      </c>
      <c r="H33" s="728" t="str">
        <f>'Tên Tháng 1'!F27</f>
        <v>SOTH SOKCHEA</v>
      </c>
      <c r="I33" s="519" t="str">
        <f>'CHAM CONG'!G31</f>
        <v>x</v>
      </c>
      <c r="J33" s="519" t="str">
        <f>'CHAM CONG'!H31</f>
        <v>x</v>
      </c>
      <c r="K33" s="519" t="str">
        <f>'CHAM CONG'!I31</f>
        <v>x</v>
      </c>
      <c r="L33" s="519">
        <f>'CHAM CONG'!J31</f>
        <v>0</v>
      </c>
      <c r="M33" s="519" t="str">
        <f>'CHAM CONG'!K31</f>
        <v>x</v>
      </c>
      <c r="N33" s="519" t="str">
        <f>'CHAM CONG'!L31</f>
        <v>x</v>
      </c>
      <c r="O33" s="519" t="str">
        <f>'CHAM CONG'!M31</f>
        <v>x</v>
      </c>
      <c r="P33" s="519" t="str">
        <f>'CHAM CONG'!N31</f>
        <v>x</v>
      </c>
      <c r="Q33" s="519" t="str">
        <f>'CHAM CONG'!O31</f>
        <v>x</v>
      </c>
      <c r="R33" s="519" t="str">
        <f>'CHAM CONG'!P31</f>
        <v>x</v>
      </c>
      <c r="S33" s="519" t="str">
        <f>'CHAM CONG'!Q31</f>
        <v>x</v>
      </c>
      <c r="T33" s="519" t="str">
        <f>'CHAM CONG'!R31</f>
        <v>x</v>
      </c>
      <c r="U33" s="519" t="str">
        <f>'CHAM CONG'!S31</f>
        <v>x</v>
      </c>
      <c r="V33" s="519" t="str">
        <f>'CHAM CONG'!T31</f>
        <v>x</v>
      </c>
      <c r="W33" s="519" t="str">
        <f>'CHAM CONG'!U31</f>
        <v>x</v>
      </c>
      <c r="X33" s="519"/>
      <c r="Y33" s="519"/>
      <c r="Z33" s="738">
        <f t="shared" si="3"/>
        <v>14</v>
      </c>
      <c r="AA33" s="580">
        <f t="shared" si="4"/>
        <v>0</v>
      </c>
      <c r="AB33" s="580">
        <f t="shared" si="5"/>
        <v>224000</v>
      </c>
      <c r="AC33" s="580" t="str">
        <f>'CHAM CONG'!V31</f>
        <v>x</v>
      </c>
      <c r="AD33" s="580">
        <f>'CHAM CONG'!W31</f>
        <v>0</v>
      </c>
      <c r="AE33" s="580" t="str">
        <f>'CHAM CONG'!X31</f>
        <v>x</v>
      </c>
      <c r="AF33" s="738">
        <f t="shared" si="6"/>
        <v>2</v>
      </c>
      <c r="AG33" s="580">
        <f t="shared" si="7"/>
        <v>34000</v>
      </c>
      <c r="AH33" s="580">
        <f t="shared" si="0"/>
        <v>14</v>
      </c>
      <c r="AI33" s="580">
        <f t="shared" si="8"/>
        <v>14000</v>
      </c>
      <c r="AJ33" s="580">
        <f t="shared" si="9"/>
        <v>272000</v>
      </c>
      <c r="AK33" s="429">
        <f>'SAN LUONG'!AF32</f>
        <v>512</v>
      </c>
      <c r="AL33" s="429">
        <f>'SAN LUONG'!AG32</f>
        <v>372</v>
      </c>
      <c r="AM33" s="429">
        <f>'SAN LUONG'!AH32</f>
        <v>277</v>
      </c>
      <c r="AN33" s="429">
        <f>'SAN LUONG'!AI32</f>
        <v>0</v>
      </c>
      <c r="AO33" s="746">
        <f t="shared" si="10"/>
        <v>1161</v>
      </c>
      <c r="AP33" s="746">
        <f t="shared" si="11"/>
        <v>283516</v>
      </c>
      <c r="AQ33" s="746"/>
      <c r="AR33" s="746">
        <f t="shared" si="1"/>
        <v>0</v>
      </c>
      <c r="AS33" s="746"/>
      <c r="AT33" s="746">
        <f t="shared" si="2"/>
        <v>0</v>
      </c>
      <c r="AU33" s="747">
        <f>'SAN LUONG'!AU32</f>
        <v>0</v>
      </c>
      <c r="AV33" s="748">
        <f t="shared" si="12"/>
        <v>0</v>
      </c>
      <c r="AW33" s="757">
        <f t="shared" si="13"/>
        <v>0</v>
      </c>
      <c r="AX33" s="758">
        <f t="shared" si="14"/>
        <v>555516</v>
      </c>
      <c r="AY33" s="759"/>
      <c r="AZ33" s="759"/>
      <c r="BA33" s="759"/>
      <c r="BB33" s="760">
        <f t="shared" si="15"/>
        <v>555516</v>
      </c>
      <c r="BC33" s="761"/>
      <c r="BD33" s="639">
        <f t="shared" si="16"/>
        <v>17.39</v>
      </c>
      <c r="BE33" s="567"/>
      <c r="BF33" s="765"/>
    </row>
    <row r="34" spans="1:58" s="483" customFormat="1" ht="35.4" customHeight="1">
      <c r="A34" s="503">
        <v>25</v>
      </c>
      <c r="B34" s="504">
        <v>1</v>
      </c>
      <c r="C34" s="504">
        <v>25</v>
      </c>
      <c r="D34" s="728">
        <f>'Tên Tháng 1'!B30</f>
        <v>38861</v>
      </c>
      <c r="E34" s="728" t="str">
        <f>'Tên Tháng 1'!C30</f>
        <v>ប្រុស</v>
      </c>
      <c r="F34" s="728">
        <f>'Tên Tháng 1'!D30</f>
        <v>250373915</v>
      </c>
      <c r="G34" s="728" t="str">
        <f>'Tên Tháng 1'!E28</f>
        <v>ពិន ឆេន</v>
      </c>
      <c r="H34" s="728" t="str">
        <f>'Tên Tháng 1'!F28</f>
        <v>PIN CHHEN</v>
      </c>
      <c r="I34" s="519">
        <f>'CHAM CONG'!G32</f>
        <v>0</v>
      </c>
      <c r="J34" s="519" t="str">
        <f>'CHAM CONG'!H32</f>
        <v>x</v>
      </c>
      <c r="K34" s="519" t="str">
        <f>'CHAM CONG'!I32</f>
        <v>x</v>
      </c>
      <c r="L34" s="519">
        <f>'CHAM CONG'!J32</f>
        <v>0</v>
      </c>
      <c r="M34" s="519" t="str">
        <f>'CHAM CONG'!K32</f>
        <v>x</v>
      </c>
      <c r="N34" s="519" t="str">
        <f>'CHAM CONG'!L32</f>
        <v>x</v>
      </c>
      <c r="O34" s="519" t="str">
        <f>'CHAM CONG'!M32</f>
        <v>x</v>
      </c>
      <c r="P34" s="519" t="str">
        <f>'CHAM CONG'!N32</f>
        <v>x</v>
      </c>
      <c r="Q34" s="519" t="str">
        <f>'CHAM CONG'!O32</f>
        <v>x</v>
      </c>
      <c r="R34" s="519" t="str">
        <f>'CHAM CONG'!P32</f>
        <v>x</v>
      </c>
      <c r="S34" s="519" t="str">
        <f>'CHAM CONG'!Q32</f>
        <v>x</v>
      </c>
      <c r="T34" s="519" t="str">
        <f>'CHAM CONG'!R32</f>
        <v>x</v>
      </c>
      <c r="U34" s="519" t="str">
        <f>'CHAM CONG'!S32</f>
        <v>x</v>
      </c>
      <c r="V34" s="519" t="str">
        <f>'CHAM CONG'!T32</f>
        <v>x</v>
      </c>
      <c r="W34" s="519" t="str">
        <f>'CHAM CONG'!U32</f>
        <v>x</v>
      </c>
      <c r="X34" s="519"/>
      <c r="Y34" s="519"/>
      <c r="Z34" s="738">
        <f t="shared" si="3"/>
        <v>13</v>
      </c>
      <c r="AA34" s="580">
        <f t="shared" si="4"/>
        <v>0</v>
      </c>
      <c r="AB34" s="580">
        <f t="shared" si="5"/>
        <v>208000</v>
      </c>
      <c r="AC34" s="580" t="str">
        <f>'CHAM CONG'!V32</f>
        <v>x</v>
      </c>
      <c r="AD34" s="580">
        <f>'CHAM CONG'!W32</f>
        <v>0</v>
      </c>
      <c r="AE34" s="580">
        <f>'CHAM CONG'!X32</f>
        <v>0</v>
      </c>
      <c r="AF34" s="738">
        <f t="shared" si="6"/>
        <v>1</v>
      </c>
      <c r="AG34" s="580">
        <f t="shared" si="7"/>
        <v>17000</v>
      </c>
      <c r="AH34" s="580">
        <f t="shared" si="0"/>
        <v>13</v>
      </c>
      <c r="AI34" s="580">
        <f t="shared" si="8"/>
        <v>13000</v>
      </c>
      <c r="AJ34" s="580">
        <f t="shared" si="9"/>
        <v>238000</v>
      </c>
      <c r="AK34" s="429">
        <f>'SAN LUONG'!AF33</f>
        <v>414</v>
      </c>
      <c r="AL34" s="429">
        <f>'SAN LUONG'!AG33</f>
        <v>342</v>
      </c>
      <c r="AM34" s="429">
        <f>'SAN LUONG'!AH33</f>
        <v>379</v>
      </c>
      <c r="AN34" s="429">
        <f>'SAN LUONG'!AI33</f>
        <v>0</v>
      </c>
      <c r="AO34" s="746">
        <f t="shared" si="10"/>
        <v>1135</v>
      </c>
      <c r="AP34" s="746">
        <f t="shared" si="11"/>
        <v>277167</v>
      </c>
      <c r="AQ34" s="746"/>
      <c r="AR34" s="746">
        <f t="shared" si="1"/>
        <v>0</v>
      </c>
      <c r="AS34" s="746"/>
      <c r="AT34" s="746">
        <f t="shared" si="2"/>
        <v>0</v>
      </c>
      <c r="AU34" s="747">
        <f>'SAN LUONG'!AU33</f>
        <v>0</v>
      </c>
      <c r="AV34" s="748">
        <f t="shared" si="12"/>
        <v>0</v>
      </c>
      <c r="AW34" s="757">
        <f t="shared" si="13"/>
        <v>0</v>
      </c>
      <c r="AX34" s="758">
        <f t="shared" si="14"/>
        <v>515167</v>
      </c>
      <c r="AY34" s="759"/>
      <c r="AZ34" s="759"/>
      <c r="BA34" s="759"/>
      <c r="BB34" s="760">
        <f t="shared" si="15"/>
        <v>515167</v>
      </c>
      <c r="BC34" s="761"/>
      <c r="BD34" s="639">
        <f t="shared" si="16"/>
        <v>16.13</v>
      </c>
      <c r="BE34" s="567"/>
      <c r="BF34" s="765"/>
    </row>
    <row r="35" spans="1:58" s="483" customFormat="1" ht="35.4" customHeight="1">
      <c r="A35" s="503">
        <v>26</v>
      </c>
      <c r="B35" s="504">
        <v>1</v>
      </c>
      <c r="C35" s="504">
        <v>26</v>
      </c>
      <c r="D35" s="728">
        <f>'Tên Tháng 1'!B31</f>
        <v>39434</v>
      </c>
      <c r="E35" s="728" t="str">
        <f>'Tên Tháng 1'!C31</f>
        <v>ប្រុស</v>
      </c>
      <c r="F35" s="728">
        <f>'Tên Tháng 1'!D31</f>
        <v>151065238</v>
      </c>
      <c r="G35" s="728" t="str">
        <f>'Tên Tháng 1'!E29</f>
        <v>កេត នី</v>
      </c>
      <c r="H35" s="728" t="str">
        <f>'Tên Tháng 1'!F29</f>
        <v>KET NY</v>
      </c>
      <c r="I35" s="519">
        <f>'CHAM CONG'!G33</f>
        <v>0</v>
      </c>
      <c r="J35" s="519" t="str">
        <f>'CHAM CONG'!H33</f>
        <v>x</v>
      </c>
      <c r="K35" s="519" t="str">
        <f>'CHAM CONG'!I33</f>
        <v>x</v>
      </c>
      <c r="L35" s="519">
        <f>'CHAM CONG'!J33</f>
        <v>0</v>
      </c>
      <c r="M35" s="519" t="str">
        <f>'CHAM CONG'!K33</f>
        <v>x</v>
      </c>
      <c r="N35" s="519" t="str">
        <f>'CHAM CONG'!L33</f>
        <v>x</v>
      </c>
      <c r="O35" s="519" t="str">
        <f>'CHAM CONG'!M33</f>
        <v>x</v>
      </c>
      <c r="P35" s="519" t="str">
        <f>'CHAM CONG'!N33</f>
        <v>x</v>
      </c>
      <c r="Q35" s="519" t="str">
        <f>'CHAM CONG'!O33</f>
        <v>x</v>
      </c>
      <c r="R35" s="519" t="str">
        <f>'CHAM CONG'!P33</f>
        <v>x</v>
      </c>
      <c r="S35" s="519" t="str">
        <f>'CHAM CONG'!Q33</f>
        <v>x</v>
      </c>
      <c r="T35" s="519" t="str">
        <f>'CHAM CONG'!R33</f>
        <v>x</v>
      </c>
      <c r="U35" s="519" t="str">
        <f>'CHAM CONG'!S33</f>
        <v>x</v>
      </c>
      <c r="V35" s="519" t="str">
        <f>'CHAM CONG'!T33</f>
        <v>x</v>
      </c>
      <c r="W35" s="519" t="str">
        <f>'CHAM CONG'!U33</f>
        <v>x</v>
      </c>
      <c r="X35" s="519"/>
      <c r="Y35" s="519"/>
      <c r="Z35" s="738">
        <f t="shared" si="3"/>
        <v>13</v>
      </c>
      <c r="AA35" s="580">
        <f t="shared" si="4"/>
        <v>0</v>
      </c>
      <c r="AB35" s="580">
        <f t="shared" si="5"/>
        <v>208000</v>
      </c>
      <c r="AC35" s="580" t="str">
        <f>'CHAM CONG'!V33</f>
        <v>x</v>
      </c>
      <c r="AD35" s="580">
        <f>'CHAM CONG'!W33</f>
        <v>0</v>
      </c>
      <c r="AE35" s="580">
        <f>'CHAM CONG'!X33</f>
        <v>0</v>
      </c>
      <c r="AF35" s="738">
        <f t="shared" si="6"/>
        <v>1</v>
      </c>
      <c r="AG35" s="580">
        <f t="shared" si="7"/>
        <v>17000</v>
      </c>
      <c r="AH35" s="580">
        <f t="shared" si="0"/>
        <v>13</v>
      </c>
      <c r="AI35" s="580">
        <f t="shared" si="8"/>
        <v>13000</v>
      </c>
      <c r="AJ35" s="580">
        <f t="shared" si="9"/>
        <v>238000</v>
      </c>
      <c r="AK35" s="429">
        <f>'SAN LUONG'!AF34</f>
        <v>317</v>
      </c>
      <c r="AL35" s="429">
        <f>'SAN LUONG'!AG34</f>
        <v>362</v>
      </c>
      <c r="AM35" s="429">
        <f>'SAN LUONG'!AH34</f>
        <v>423</v>
      </c>
      <c r="AN35" s="429">
        <f>'SAN LUONG'!AI34</f>
        <v>0</v>
      </c>
      <c r="AO35" s="746">
        <f t="shared" si="10"/>
        <v>1102</v>
      </c>
      <c r="AP35" s="746">
        <f t="shared" si="11"/>
        <v>269108</v>
      </c>
      <c r="AQ35" s="746"/>
      <c r="AR35" s="746">
        <f t="shared" si="1"/>
        <v>0</v>
      </c>
      <c r="AS35" s="746"/>
      <c r="AT35" s="746">
        <f t="shared" si="2"/>
        <v>0</v>
      </c>
      <c r="AU35" s="747">
        <f>'SAN LUONG'!AU34</f>
        <v>0</v>
      </c>
      <c r="AV35" s="748">
        <f t="shared" si="12"/>
        <v>0</v>
      </c>
      <c r="AW35" s="757">
        <f t="shared" si="13"/>
        <v>0</v>
      </c>
      <c r="AX35" s="758">
        <f t="shared" si="14"/>
        <v>507108</v>
      </c>
      <c r="AY35" s="759"/>
      <c r="AZ35" s="759"/>
      <c r="BA35" s="759"/>
      <c r="BB35" s="760">
        <f t="shared" si="15"/>
        <v>507108</v>
      </c>
      <c r="BC35" s="761"/>
      <c r="BD35" s="639">
        <f t="shared" si="16"/>
        <v>15.87</v>
      </c>
      <c r="BE35" s="567"/>
      <c r="BF35" s="765"/>
    </row>
    <row r="36" spans="1:58" s="483" customFormat="1" ht="35.4" customHeight="1">
      <c r="A36" s="503">
        <v>27</v>
      </c>
      <c r="B36" s="504">
        <v>1</v>
      </c>
      <c r="C36" s="504">
        <v>27</v>
      </c>
      <c r="D36" s="728">
        <f>'Tên Tháng 1'!B32</f>
        <v>39615</v>
      </c>
      <c r="E36" s="728" t="str">
        <f>'Tên Tháng 1'!C32</f>
        <v>ស្រី</v>
      </c>
      <c r="F36" s="728">
        <f>'Tên Tháng 1'!D32</f>
        <v>151057212</v>
      </c>
      <c r="G36" s="728" t="str">
        <f>'Tên Tháng 1'!E30</f>
        <v>គៀវ និ</v>
      </c>
      <c r="H36" s="728" t="str">
        <f>'Tên Tháng 1'!F30</f>
        <v>KIEV NIK</v>
      </c>
      <c r="I36" s="519">
        <f>'CHAM CONG'!G34</f>
        <v>0</v>
      </c>
      <c r="J36" s="519" t="str">
        <f>'CHAM CONG'!H34</f>
        <v>x</v>
      </c>
      <c r="K36" s="519" t="str">
        <f>'CHAM CONG'!I34</f>
        <v>x</v>
      </c>
      <c r="L36" s="519">
        <f>'CHAM CONG'!J34</f>
        <v>0</v>
      </c>
      <c r="M36" s="519" t="str">
        <f>'CHAM CONG'!K34</f>
        <v>x</v>
      </c>
      <c r="N36" s="519" t="str">
        <f>'CHAM CONG'!L34</f>
        <v>x</v>
      </c>
      <c r="O36" s="519" t="str">
        <f>'CHAM CONG'!M34</f>
        <v>x</v>
      </c>
      <c r="P36" s="519">
        <f>'CHAM CONG'!N34</f>
        <v>0</v>
      </c>
      <c r="Q36" s="519" t="str">
        <f>'CHAM CONG'!O34</f>
        <v>x</v>
      </c>
      <c r="R36" s="519" t="str">
        <f>'CHAM CONG'!P34</f>
        <v>x</v>
      </c>
      <c r="S36" s="519" t="str">
        <f>'CHAM CONG'!Q34</f>
        <v>x</v>
      </c>
      <c r="T36" s="519" t="str">
        <f>'CHAM CONG'!R34</f>
        <v>x</v>
      </c>
      <c r="U36" s="519" t="str">
        <f>'CHAM CONG'!S34</f>
        <v>x</v>
      </c>
      <c r="V36" s="519" t="str">
        <f>'CHAM CONG'!T34</f>
        <v>x</v>
      </c>
      <c r="W36" s="519" t="str">
        <f>'CHAM CONG'!U34</f>
        <v>x</v>
      </c>
      <c r="X36" s="519"/>
      <c r="Y36" s="519"/>
      <c r="Z36" s="738">
        <f t="shared" si="3"/>
        <v>12</v>
      </c>
      <c r="AA36" s="580">
        <f t="shared" si="4"/>
        <v>0</v>
      </c>
      <c r="AB36" s="580">
        <f t="shared" si="5"/>
        <v>192000</v>
      </c>
      <c r="AC36" s="580" t="str">
        <f>'CHAM CONG'!V34</f>
        <v>x</v>
      </c>
      <c r="AD36" s="580">
        <f>'CHAM CONG'!W34</f>
        <v>0</v>
      </c>
      <c r="AE36" s="580">
        <f>'CHAM CONG'!X34</f>
        <v>0</v>
      </c>
      <c r="AF36" s="738">
        <f t="shared" si="6"/>
        <v>1</v>
      </c>
      <c r="AG36" s="580">
        <f t="shared" si="7"/>
        <v>17000</v>
      </c>
      <c r="AH36" s="580">
        <f t="shared" si="0"/>
        <v>12</v>
      </c>
      <c r="AI36" s="580">
        <f t="shared" si="8"/>
        <v>12000</v>
      </c>
      <c r="AJ36" s="580">
        <f t="shared" si="9"/>
        <v>221000</v>
      </c>
      <c r="AK36" s="429">
        <f>'SAN LUONG'!AF35</f>
        <v>330</v>
      </c>
      <c r="AL36" s="429">
        <f>'SAN LUONG'!AG35</f>
        <v>369</v>
      </c>
      <c r="AM36" s="429">
        <f>'SAN LUONG'!AH35</f>
        <v>426</v>
      </c>
      <c r="AN36" s="429">
        <f>'SAN LUONG'!AI35</f>
        <v>0</v>
      </c>
      <c r="AO36" s="746">
        <f t="shared" si="10"/>
        <v>1125</v>
      </c>
      <c r="AP36" s="746">
        <f t="shared" si="11"/>
        <v>274725</v>
      </c>
      <c r="AQ36" s="746"/>
      <c r="AR36" s="746">
        <f t="shared" si="1"/>
        <v>0</v>
      </c>
      <c r="AS36" s="746"/>
      <c r="AT36" s="746">
        <f t="shared" si="2"/>
        <v>0</v>
      </c>
      <c r="AU36" s="747">
        <f>'SAN LUONG'!AU35</f>
        <v>0</v>
      </c>
      <c r="AV36" s="748">
        <f t="shared" si="12"/>
        <v>0</v>
      </c>
      <c r="AW36" s="757">
        <f t="shared" si="13"/>
        <v>0</v>
      </c>
      <c r="AX36" s="758">
        <f t="shared" si="14"/>
        <v>495725</v>
      </c>
      <c r="AY36" s="759"/>
      <c r="AZ36" s="759"/>
      <c r="BA36" s="759"/>
      <c r="BB36" s="760">
        <f t="shared" si="15"/>
        <v>495725</v>
      </c>
      <c r="BC36" s="761"/>
      <c r="BD36" s="639">
        <f t="shared" si="16"/>
        <v>15.52</v>
      </c>
      <c r="BE36" s="567"/>
      <c r="BF36" s="765"/>
    </row>
    <row r="37" spans="1:58" s="483" customFormat="1" ht="35.4" customHeight="1">
      <c r="A37" s="503">
        <v>28</v>
      </c>
      <c r="B37" s="504">
        <v>1</v>
      </c>
      <c r="C37" s="504">
        <v>28</v>
      </c>
      <c r="D37" s="728">
        <f>'Tên Tháng 1'!B33</f>
        <v>28982</v>
      </c>
      <c r="E37" s="728" t="str">
        <f>'Tên Tháng 1'!C33</f>
        <v>ប្រុស</v>
      </c>
      <c r="F37" s="728">
        <f>'Tên Tháng 1'!D33</f>
        <v>150978869</v>
      </c>
      <c r="G37" s="728" t="str">
        <f>'Tên Tháng 1'!E31</f>
        <v>ដួត ដែន</v>
      </c>
      <c r="H37" s="728" t="str">
        <f>'Tên Tháng 1'!F31</f>
        <v>DOUT DEN</v>
      </c>
      <c r="I37" s="519" t="str">
        <f>'CHAM CONG'!G35</f>
        <v>x</v>
      </c>
      <c r="J37" s="519" t="str">
        <f>'CHAM CONG'!H35</f>
        <v>x</v>
      </c>
      <c r="K37" s="519" t="str">
        <f>'CHAM CONG'!I35</f>
        <v>x</v>
      </c>
      <c r="L37" s="519">
        <f>'CHAM CONG'!J35</f>
        <v>0</v>
      </c>
      <c r="M37" s="519" t="str">
        <f>'CHAM CONG'!K35</f>
        <v>x</v>
      </c>
      <c r="N37" s="519" t="str">
        <f>'CHAM CONG'!L35</f>
        <v>x</v>
      </c>
      <c r="O37" s="519">
        <f>'CHAM CONG'!M35</f>
        <v>0</v>
      </c>
      <c r="P37" s="519" t="str">
        <f>'CHAM CONG'!N35</f>
        <v>x</v>
      </c>
      <c r="Q37" s="519" t="str">
        <f>'CHAM CONG'!O35</f>
        <v>x</v>
      </c>
      <c r="R37" s="519" t="str">
        <f>'CHAM CONG'!P35</f>
        <v>x</v>
      </c>
      <c r="S37" s="519" t="str">
        <f>'CHAM CONG'!Q35</f>
        <v>x</v>
      </c>
      <c r="T37" s="519" t="str">
        <f>'CHAM CONG'!R35</f>
        <v>x</v>
      </c>
      <c r="U37" s="519" t="str">
        <f>'CHAM CONG'!S35</f>
        <v>x</v>
      </c>
      <c r="V37" s="519" t="str">
        <f>'CHAM CONG'!T35</f>
        <v>x</v>
      </c>
      <c r="W37" s="519" t="str">
        <f>'CHAM CONG'!U35</f>
        <v>x</v>
      </c>
      <c r="X37" s="519"/>
      <c r="Y37" s="519"/>
      <c r="Z37" s="738">
        <f t="shared" si="3"/>
        <v>13</v>
      </c>
      <c r="AA37" s="580">
        <f t="shared" si="4"/>
        <v>0</v>
      </c>
      <c r="AB37" s="580">
        <f t="shared" si="5"/>
        <v>208000</v>
      </c>
      <c r="AC37" s="580">
        <f>'CHAM CONG'!V35</f>
        <v>0</v>
      </c>
      <c r="AD37" s="580">
        <f>'CHAM CONG'!W35</f>
        <v>0</v>
      </c>
      <c r="AE37" s="580">
        <f>'CHAM CONG'!X35</f>
        <v>0</v>
      </c>
      <c r="AF37" s="738">
        <f t="shared" si="6"/>
        <v>0</v>
      </c>
      <c r="AG37" s="580">
        <f t="shared" si="7"/>
        <v>0</v>
      </c>
      <c r="AH37" s="580">
        <f t="shared" si="0"/>
        <v>13</v>
      </c>
      <c r="AI37" s="580">
        <f t="shared" si="8"/>
        <v>13000</v>
      </c>
      <c r="AJ37" s="580">
        <f t="shared" si="9"/>
        <v>221000</v>
      </c>
      <c r="AK37" s="429">
        <f>'SAN LUONG'!AF36</f>
        <v>356</v>
      </c>
      <c r="AL37" s="429">
        <f>'SAN LUONG'!AG36</f>
        <v>211</v>
      </c>
      <c r="AM37" s="429">
        <f>'SAN LUONG'!AH36</f>
        <v>299</v>
      </c>
      <c r="AN37" s="429">
        <f>'SAN LUONG'!AI36</f>
        <v>0</v>
      </c>
      <c r="AO37" s="746">
        <f t="shared" si="10"/>
        <v>866</v>
      </c>
      <c r="AP37" s="746">
        <f t="shared" si="11"/>
        <v>211477</v>
      </c>
      <c r="AQ37" s="746"/>
      <c r="AR37" s="746">
        <f t="shared" si="1"/>
        <v>0</v>
      </c>
      <c r="AS37" s="746"/>
      <c r="AT37" s="746">
        <f t="shared" si="2"/>
        <v>0</v>
      </c>
      <c r="AU37" s="747">
        <f>'SAN LUONG'!AU36</f>
        <v>0</v>
      </c>
      <c r="AV37" s="748">
        <f t="shared" si="12"/>
        <v>0</v>
      </c>
      <c r="AW37" s="757">
        <f t="shared" si="13"/>
        <v>0</v>
      </c>
      <c r="AX37" s="758">
        <f t="shared" si="14"/>
        <v>432477</v>
      </c>
      <c r="AY37" s="759"/>
      <c r="AZ37" s="759"/>
      <c r="BA37" s="759"/>
      <c r="BB37" s="760">
        <f t="shared" si="15"/>
        <v>432477</v>
      </c>
      <c r="BC37" s="761"/>
      <c r="BD37" s="639">
        <f t="shared" si="16"/>
        <v>13.54</v>
      </c>
      <c r="BE37" s="567"/>
      <c r="BF37" s="765"/>
    </row>
    <row r="38" spans="1:58" s="483" customFormat="1" ht="35.4" customHeight="1">
      <c r="A38" s="503">
        <v>29</v>
      </c>
      <c r="B38" s="504">
        <v>1</v>
      </c>
      <c r="C38" s="504">
        <v>29</v>
      </c>
      <c r="D38" s="728">
        <f>'Tên Tháng 1'!B34</f>
        <v>38595</v>
      </c>
      <c r="E38" s="728" t="str">
        <f>'Tên Tháng 1'!C34</f>
        <v>ស្រី</v>
      </c>
      <c r="F38" s="728">
        <f>'Tên Tháng 1'!D34</f>
        <v>150983094</v>
      </c>
      <c r="G38" s="728" t="str">
        <f>'Tên Tháng 1'!E32</f>
        <v>ចាយ ពន្លក</v>
      </c>
      <c r="H38" s="728" t="str">
        <f>'Tên Tháng 1'!F32</f>
        <v>CHAY PONLOK</v>
      </c>
      <c r="I38" s="519" t="str">
        <f>'CHAM CONG'!G36</f>
        <v>x</v>
      </c>
      <c r="J38" s="519" t="str">
        <f>'CHAM CONG'!H36</f>
        <v>x</v>
      </c>
      <c r="K38" s="519">
        <f>'CHAM CONG'!I36</f>
        <v>0</v>
      </c>
      <c r="L38" s="519">
        <f>'CHAM CONG'!J36</f>
        <v>0</v>
      </c>
      <c r="M38" s="519" t="str">
        <f>'CHAM CONG'!K36</f>
        <v>x</v>
      </c>
      <c r="N38" s="519">
        <f>'CHAM CONG'!L36</f>
        <v>0</v>
      </c>
      <c r="O38" s="519" t="str">
        <f>'CHAM CONG'!M36</f>
        <v>x</v>
      </c>
      <c r="P38" s="519" t="str">
        <f>'CHAM CONG'!N36</f>
        <v>x</v>
      </c>
      <c r="Q38" s="519" t="str">
        <f>'CHAM CONG'!O36</f>
        <v>x</v>
      </c>
      <c r="R38" s="519" t="str">
        <f>'CHAM CONG'!P36</f>
        <v>x</v>
      </c>
      <c r="S38" s="519" t="str">
        <f>'CHAM CONG'!Q36</f>
        <v>x</v>
      </c>
      <c r="T38" s="519" t="str">
        <f>'CHAM CONG'!R36</f>
        <v>x</v>
      </c>
      <c r="U38" s="519" t="str">
        <f>'CHAM CONG'!S36</f>
        <v>x</v>
      </c>
      <c r="V38" s="519">
        <f>'CHAM CONG'!T36</f>
        <v>0</v>
      </c>
      <c r="W38" s="519" t="str">
        <f>'CHAM CONG'!U36</f>
        <v>x</v>
      </c>
      <c r="X38" s="519"/>
      <c r="Y38" s="519"/>
      <c r="Z38" s="738">
        <f t="shared" si="3"/>
        <v>11</v>
      </c>
      <c r="AA38" s="580">
        <f t="shared" si="4"/>
        <v>0</v>
      </c>
      <c r="AB38" s="580">
        <f t="shared" si="5"/>
        <v>176000</v>
      </c>
      <c r="AC38" s="580">
        <f>'CHAM CONG'!V36</f>
        <v>0</v>
      </c>
      <c r="AD38" s="580">
        <f>'CHAM CONG'!W36</f>
        <v>0</v>
      </c>
      <c r="AE38" s="580">
        <f>'CHAM CONG'!X36</f>
        <v>0</v>
      </c>
      <c r="AF38" s="738">
        <f t="shared" si="6"/>
        <v>0</v>
      </c>
      <c r="AG38" s="580">
        <f t="shared" si="7"/>
        <v>0</v>
      </c>
      <c r="AH38" s="580">
        <f t="shared" si="0"/>
        <v>11</v>
      </c>
      <c r="AI38" s="580">
        <f t="shared" si="8"/>
        <v>11000</v>
      </c>
      <c r="AJ38" s="580">
        <f t="shared" si="9"/>
        <v>187000</v>
      </c>
      <c r="AK38" s="429">
        <f>'SAN LUONG'!AF37</f>
        <v>208</v>
      </c>
      <c r="AL38" s="429">
        <f>'SAN LUONG'!AG37</f>
        <v>276</v>
      </c>
      <c r="AM38" s="429">
        <f>'SAN LUONG'!AH37</f>
        <v>306</v>
      </c>
      <c r="AN38" s="429">
        <f>'SAN LUONG'!AI37</f>
        <v>0</v>
      </c>
      <c r="AO38" s="746">
        <f t="shared" si="10"/>
        <v>790</v>
      </c>
      <c r="AP38" s="746">
        <f t="shared" si="11"/>
        <v>192918</v>
      </c>
      <c r="AQ38" s="746"/>
      <c r="AR38" s="746">
        <f t="shared" si="1"/>
        <v>0</v>
      </c>
      <c r="AS38" s="746"/>
      <c r="AT38" s="746">
        <f t="shared" si="2"/>
        <v>0</v>
      </c>
      <c r="AU38" s="747">
        <f>'SAN LUONG'!AU37</f>
        <v>0</v>
      </c>
      <c r="AV38" s="748">
        <f t="shared" si="12"/>
        <v>0</v>
      </c>
      <c r="AW38" s="757">
        <f t="shared" si="13"/>
        <v>0</v>
      </c>
      <c r="AX38" s="758">
        <f t="shared" si="14"/>
        <v>379918</v>
      </c>
      <c r="AY38" s="759"/>
      <c r="AZ38" s="759"/>
      <c r="BA38" s="759"/>
      <c r="BB38" s="760">
        <f t="shared" si="15"/>
        <v>379918</v>
      </c>
      <c r="BC38" s="761"/>
      <c r="BD38" s="639">
        <f t="shared" si="16"/>
        <v>11.89</v>
      </c>
      <c r="BE38" s="567"/>
      <c r="BF38" s="765"/>
    </row>
    <row r="39" spans="1:58" s="483" customFormat="1" ht="35.4" customHeight="1">
      <c r="A39" s="503">
        <v>30</v>
      </c>
      <c r="B39" s="504">
        <v>1</v>
      </c>
      <c r="C39" s="504">
        <v>30</v>
      </c>
      <c r="D39" s="728">
        <f>'Tên Tháng 1'!B35</f>
        <v>30503</v>
      </c>
      <c r="E39" s="728" t="str">
        <f>'Tên Tháng 1'!C35</f>
        <v>ប្រុស</v>
      </c>
      <c r="F39" s="728">
        <f>'Tên Tháng 1'!D35</f>
        <v>220175216</v>
      </c>
      <c r="G39" s="728" t="str">
        <f>'Tên Tháng 1'!E33</f>
        <v>សំ ផុន</v>
      </c>
      <c r="H39" s="728" t="str">
        <f>'Tên Tháng 1'!F33</f>
        <v>SOM PHON</v>
      </c>
      <c r="I39" s="519" t="str">
        <f>'CHAM CONG'!G37</f>
        <v>x</v>
      </c>
      <c r="J39" s="519" t="str">
        <f>'CHAM CONG'!H37</f>
        <v>x</v>
      </c>
      <c r="K39" s="519" t="str">
        <f>'CHAM CONG'!I37</f>
        <v>x</v>
      </c>
      <c r="L39" s="519">
        <f>'CHAM CONG'!J37</f>
        <v>0</v>
      </c>
      <c r="M39" s="519" t="str">
        <f>'CHAM CONG'!K37</f>
        <v>x</v>
      </c>
      <c r="N39" s="519" t="str">
        <f>'CHAM CONG'!L37</f>
        <v>x</v>
      </c>
      <c r="O39" s="519" t="str">
        <f>'CHAM CONG'!M37</f>
        <v>x</v>
      </c>
      <c r="P39" s="519" t="str">
        <f>'CHAM CONG'!N37</f>
        <v>x</v>
      </c>
      <c r="Q39" s="519" t="str">
        <f>'CHAM CONG'!O37</f>
        <v>x</v>
      </c>
      <c r="R39" s="519" t="str">
        <f>'CHAM CONG'!P37</f>
        <v>x</v>
      </c>
      <c r="S39" s="519" t="str">
        <f>'CHAM CONG'!Q37</f>
        <v>x</v>
      </c>
      <c r="T39" s="519" t="str">
        <f>'CHAM CONG'!R37</f>
        <v>x</v>
      </c>
      <c r="U39" s="519" t="str">
        <f>'CHAM CONG'!S37</f>
        <v>x</v>
      </c>
      <c r="V39" s="519" t="str">
        <f>'CHAM CONG'!T37</f>
        <v>x</v>
      </c>
      <c r="W39" s="519" t="str">
        <f>'CHAM CONG'!U37</f>
        <v>x</v>
      </c>
      <c r="X39" s="519"/>
      <c r="Y39" s="519"/>
      <c r="Z39" s="738">
        <f t="shared" si="3"/>
        <v>14</v>
      </c>
      <c r="AA39" s="580">
        <f t="shared" si="4"/>
        <v>0</v>
      </c>
      <c r="AB39" s="580">
        <f t="shared" si="5"/>
        <v>224000</v>
      </c>
      <c r="AC39" s="580">
        <f>'CHAM CONG'!V37</f>
        <v>0</v>
      </c>
      <c r="AD39" s="580">
        <f>'CHAM CONG'!W37</f>
        <v>0</v>
      </c>
      <c r="AE39" s="580">
        <f>'CHAM CONG'!X37</f>
        <v>0</v>
      </c>
      <c r="AF39" s="738">
        <f t="shared" si="6"/>
        <v>0</v>
      </c>
      <c r="AG39" s="580">
        <f t="shared" si="7"/>
        <v>0</v>
      </c>
      <c r="AH39" s="580">
        <f t="shared" si="0"/>
        <v>14</v>
      </c>
      <c r="AI39" s="580">
        <f t="shared" si="8"/>
        <v>14000</v>
      </c>
      <c r="AJ39" s="580">
        <f t="shared" si="9"/>
        <v>238000</v>
      </c>
      <c r="AK39" s="429">
        <f>'SAN LUONG'!AF38</f>
        <v>554</v>
      </c>
      <c r="AL39" s="429">
        <f>'SAN LUONG'!AG38</f>
        <v>377</v>
      </c>
      <c r="AM39" s="429">
        <f>'SAN LUONG'!AH38</f>
        <v>434</v>
      </c>
      <c r="AN39" s="429">
        <f>'SAN LUONG'!AI38</f>
        <v>0</v>
      </c>
      <c r="AO39" s="746">
        <f t="shared" si="10"/>
        <v>1365</v>
      </c>
      <c r="AP39" s="746">
        <f t="shared" si="11"/>
        <v>333333</v>
      </c>
      <c r="AQ39" s="746"/>
      <c r="AR39" s="746">
        <f t="shared" si="1"/>
        <v>0</v>
      </c>
      <c r="AS39" s="746"/>
      <c r="AT39" s="746">
        <f t="shared" si="2"/>
        <v>0</v>
      </c>
      <c r="AU39" s="747">
        <f>'SAN LUONG'!AU38</f>
        <v>0</v>
      </c>
      <c r="AV39" s="748">
        <f t="shared" si="12"/>
        <v>0</v>
      </c>
      <c r="AW39" s="757">
        <f t="shared" si="13"/>
        <v>0</v>
      </c>
      <c r="AX39" s="758">
        <f t="shared" si="14"/>
        <v>571333</v>
      </c>
      <c r="AY39" s="759"/>
      <c r="AZ39" s="759"/>
      <c r="BA39" s="759"/>
      <c r="BB39" s="760">
        <f t="shared" si="15"/>
        <v>571333</v>
      </c>
      <c r="BC39" s="761"/>
      <c r="BD39" s="639">
        <f t="shared" si="16"/>
        <v>17.88</v>
      </c>
      <c r="BE39" s="567"/>
      <c r="BF39" s="765"/>
    </row>
    <row r="40" spans="1:58" s="483" customFormat="1" ht="35.4" customHeight="1">
      <c r="A40" s="503">
        <v>31</v>
      </c>
      <c r="B40" s="504">
        <v>1</v>
      </c>
      <c r="C40" s="504">
        <v>31</v>
      </c>
      <c r="D40" s="728">
        <f>'Tên Tháng 1'!B36</f>
        <v>31663</v>
      </c>
      <c r="E40" s="728" t="str">
        <f>'Tên Tháng 1'!C36</f>
        <v>ប្រុស</v>
      </c>
      <c r="F40" s="728">
        <f>'Tên Tháng 1'!D36</f>
        <v>220175443</v>
      </c>
      <c r="G40" s="728" t="str">
        <f>'Tên Tháng 1'!E34</f>
        <v>អ៊ុន ឆវ័ន</v>
      </c>
      <c r="H40" s="728" t="str">
        <f>'Tên Tháng 1'!F34</f>
        <v>UN CHORVON</v>
      </c>
      <c r="I40" s="519" t="str">
        <f>'CHAM CONG'!G38</f>
        <v>x</v>
      </c>
      <c r="J40" s="519">
        <f>'CHAM CONG'!H38</f>
        <v>0</v>
      </c>
      <c r="K40" s="519" t="str">
        <f>'CHAM CONG'!I38</f>
        <v>x</v>
      </c>
      <c r="L40" s="519">
        <f>'CHAM CONG'!J38</f>
        <v>0</v>
      </c>
      <c r="M40" s="519" t="str">
        <f>'CHAM CONG'!K38</f>
        <v>x</v>
      </c>
      <c r="N40" s="519" t="str">
        <f>'CHAM CONG'!L38</f>
        <v>x</v>
      </c>
      <c r="O40" s="519" t="str">
        <f>'CHAM CONG'!M38</f>
        <v>x</v>
      </c>
      <c r="P40" s="519" t="str">
        <f>'CHAM CONG'!N38</f>
        <v>x</v>
      </c>
      <c r="Q40" s="519" t="str">
        <f>'CHAM CONG'!O38</f>
        <v>x</v>
      </c>
      <c r="R40" s="519" t="str">
        <f>'CHAM CONG'!P38</f>
        <v>x</v>
      </c>
      <c r="S40" s="519" t="str">
        <f>'CHAM CONG'!Q38</f>
        <v>x</v>
      </c>
      <c r="T40" s="519" t="str">
        <f>'CHAM CONG'!R38</f>
        <v>x</v>
      </c>
      <c r="U40" s="519" t="str">
        <f>'CHAM CONG'!S38</f>
        <v>x</v>
      </c>
      <c r="V40" s="519" t="str">
        <f>'CHAM CONG'!T38</f>
        <v>x</v>
      </c>
      <c r="W40" s="519" t="str">
        <f>'CHAM CONG'!U38</f>
        <v>x</v>
      </c>
      <c r="X40" s="519"/>
      <c r="Y40" s="519"/>
      <c r="Z40" s="738">
        <f t="shared" si="3"/>
        <v>13</v>
      </c>
      <c r="AA40" s="580">
        <f t="shared" si="4"/>
        <v>0</v>
      </c>
      <c r="AB40" s="580">
        <f t="shared" si="5"/>
        <v>208000</v>
      </c>
      <c r="AC40" s="580">
        <f>'CHAM CONG'!V38</f>
        <v>0</v>
      </c>
      <c r="AD40" s="580">
        <f>'CHAM CONG'!W38</f>
        <v>0</v>
      </c>
      <c r="AE40" s="580">
        <f>'CHAM CONG'!X38</f>
        <v>0</v>
      </c>
      <c r="AF40" s="738">
        <f t="shared" si="6"/>
        <v>0</v>
      </c>
      <c r="AG40" s="580">
        <f t="shared" si="7"/>
        <v>0</v>
      </c>
      <c r="AH40" s="580">
        <f t="shared" si="0"/>
        <v>13</v>
      </c>
      <c r="AI40" s="580">
        <f t="shared" si="8"/>
        <v>13000</v>
      </c>
      <c r="AJ40" s="580">
        <f t="shared" si="9"/>
        <v>221000</v>
      </c>
      <c r="AK40" s="429">
        <f>'SAN LUONG'!AF39</f>
        <v>530</v>
      </c>
      <c r="AL40" s="429">
        <f>'SAN LUONG'!AG39</f>
        <v>284</v>
      </c>
      <c r="AM40" s="429">
        <f>'SAN LUONG'!AH39</f>
        <v>461</v>
      </c>
      <c r="AN40" s="429">
        <f>'SAN LUONG'!AI39</f>
        <v>0</v>
      </c>
      <c r="AO40" s="746">
        <f t="shared" si="10"/>
        <v>1275</v>
      </c>
      <c r="AP40" s="746">
        <f t="shared" si="11"/>
        <v>311355</v>
      </c>
      <c r="AQ40" s="746"/>
      <c r="AR40" s="746">
        <f t="shared" si="1"/>
        <v>0</v>
      </c>
      <c r="AS40" s="746"/>
      <c r="AT40" s="746">
        <f t="shared" si="2"/>
        <v>0</v>
      </c>
      <c r="AU40" s="747">
        <f>'SAN LUONG'!AU39</f>
        <v>0</v>
      </c>
      <c r="AV40" s="748">
        <f t="shared" si="12"/>
        <v>0</v>
      </c>
      <c r="AW40" s="757">
        <f t="shared" si="13"/>
        <v>0</v>
      </c>
      <c r="AX40" s="758">
        <f t="shared" si="14"/>
        <v>532355</v>
      </c>
      <c r="AY40" s="759"/>
      <c r="AZ40" s="759"/>
      <c r="BA40" s="759"/>
      <c r="BB40" s="760">
        <f t="shared" si="15"/>
        <v>532355</v>
      </c>
      <c r="BC40" s="761"/>
      <c r="BD40" s="639">
        <f t="shared" si="16"/>
        <v>16.66</v>
      </c>
      <c r="BE40" s="567"/>
      <c r="BF40" s="765"/>
    </row>
    <row r="41" spans="1:58" s="483" customFormat="1" ht="35.4" customHeight="1">
      <c r="A41" s="503">
        <v>32</v>
      </c>
      <c r="B41" s="504">
        <v>1</v>
      </c>
      <c r="C41" s="504">
        <v>32</v>
      </c>
      <c r="D41" s="728">
        <f>'Tên Tháng 1'!B37</f>
        <v>37412</v>
      </c>
      <c r="E41" s="728" t="str">
        <f>'Tên Tháng 1'!C37</f>
        <v>ប្រុស</v>
      </c>
      <c r="F41" s="728">
        <f>'Tên Tháng 1'!D37</f>
        <v>220208812</v>
      </c>
      <c r="G41" s="728" t="str">
        <f>'Tên Tháng 1'!E35</f>
        <v>ប៉ិល ថា</v>
      </c>
      <c r="H41" s="728" t="str">
        <f>'Tên Tháng 1'!F35</f>
        <v>PEL THA</v>
      </c>
      <c r="I41" s="519" t="str">
        <f>'CHAM CONG'!G39</f>
        <v>x</v>
      </c>
      <c r="J41" s="519" t="str">
        <f>'CHAM CONG'!H39</f>
        <v>x</v>
      </c>
      <c r="K41" s="519" t="str">
        <f>'CHAM CONG'!I39</f>
        <v>x</v>
      </c>
      <c r="L41" s="519">
        <f>'CHAM CONG'!J39</f>
        <v>0</v>
      </c>
      <c r="M41" s="519" t="str">
        <f>'CHAM CONG'!K39</f>
        <v>x</v>
      </c>
      <c r="N41" s="519" t="str">
        <f>'CHAM CONG'!L39</f>
        <v>x</v>
      </c>
      <c r="O41" s="519" t="str">
        <f>'CHAM CONG'!M39</f>
        <v>x</v>
      </c>
      <c r="P41" s="519" t="str">
        <f>'CHAM CONG'!N39</f>
        <v>x</v>
      </c>
      <c r="Q41" s="519" t="str">
        <f>'CHAM CONG'!O39</f>
        <v>x</v>
      </c>
      <c r="R41" s="519" t="str">
        <f>'CHAM CONG'!P39</f>
        <v>x</v>
      </c>
      <c r="S41" s="519" t="str">
        <f>'CHAM CONG'!Q39</f>
        <v>x</v>
      </c>
      <c r="T41" s="519" t="str">
        <f>'CHAM CONG'!R39</f>
        <v>x</v>
      </c>
      <c r="U41" s="519" t="str">
        <f>'CHAM CONG'!S39</f>
        <v>x</v>
      </c>
      <c r="V41" s="519" t="str">
        <f>'CHAM CONG'!T39</f>
        <v>x</v>
      </c>
      <c r="W41" s="519" t="str">
        <f>'CHAM CONG'!U39</f>
        <v>x</v>
      </c>
      <c r="X41" s="519"/>
      <c r="Y41" s="519"/>
      <c r="Z41" s="738">
        <f t="shared" si="3"/>
        <v>14</v>
      </c>
      <c r="AA41" s="580">
        <f t="shared" si="4"/>
        <v>0</v>
      </c>
      <c r="AB41" s="580">
        <f t="shared" si="5"/>
        <v>224000</v>
      </c>
      <c r="AC41" s="580">
        <f>'CHAM CONG'!V39</f>
        <v>0</v>
      </c>
      <c r="AD41" s="580">
        <f>'CHAM CONG'!W39</f>
        <v>0</v>
      </c>
      <c r="AE41" s="580">
        <f>'CHAM CONG'!X39</f>
        <v>0</v>
      </c>
      <c r="AF41" s="738">
        <f t="shared" si="6"/>
        <v>0</v>
      </c>
      <c r="AG41" s="580">
        <f t="shared" si="7"/>
        <v>0</v>
      </c>
      <c r="AH41" s="580">
        <f t="shared" si="0"/>
        <v>14</v>
      </c>
      <c r="AI41" s="580">
        <f t="shared" si="8"/>
        <v>14000</v>
      </c>
      <c r="AJ41" s="580">
        <f t="shared" si="9"/>
        <v>238000</v>
      </c>
      <c r="AK41" s="429">
        <f>'SAN LUONG'!AF40</f>
        <v>367</v>
      </c>
      <c r="AL41" s="429">
        <f>'SAN LUONG'!AG40</f>
        <v>377</v>
      </c>
      <c r="AM41" s="429">
        <f>'SAN LUONG'!AH40</f>
        <v>304</v>
      </c>
      <c r="AN41" s="429">
        <f>'SAN LUONG'!AI40</f>
        <v>0</v>
      </c>
      <c r="AO41" s="746">
        <f t="shared" si="10"/>
        <v>1048</v>
      </c>
      <c r="AP41" s="746">
        <f t="shared" si="11"/>
        <v>255922</v>
      </c>
      <c r="AQ41" s="746"/>
      <c r="AR41" s="746">
        <f t="shared" si="1"/>
        <v>0</v>
      </c>
      <c r="AS41" s="746"/>
      <c r="AT41" s="746">
        <f t="shared" si="2"/>
        <v>0</v>
      </c>
      <c r="AU41" s="747">
        <f>'SAN LUONG'!AU40</f>
        <v>0</v>
      </c>
      <c r="AV41" s="748">
        <f t="shared" si="12"/>
        <v>0</v>
      </c>
      <c r="AW41" s="757">
        <f t="shared" si="13"/>
        <v>0</v>
      </c>
      <c r="AX41" s="758">
        <f t="shared" si="14"/>
        <v>493922</v>
      </c>
      <c r="AY41" s="759"/>
      <c r="AZ41" s="759"/>
      <c r="BA41" s="759"/>
      <c r="BB41" s="760">
        <f t="shared" si="15"/>
        <v>493922</v>
      </c>
      <c r="BC41" s="761"/>
      <c r="BD41" s="639">
        <f t="shared" si="16"/>
        <v>15.46</v>
      </c>
      <c r="BE41" s="567"/>
      <c r="BF41" s="765"/>
    </row>
    <row r="42" spans="1:58" s="483" customFormat="1" ht="35.4" customHeight="1">
      <c r="A42" s="503">
        <v>33</v>
      </c>
      <c r="B42" s="504">
        <v>1</v>
      </c>
      <c r="C42" s="504">
        <v>33</v>
      </c>
      <c r="D42" s="728">
        <f>'Tên Tháng 1'!B39</f>
        <v>38777</v>
      </c>
      <c r="E42" s="728" t="str">
        <f>'Tên Tháng 1'!C39</f>
        <v>ស្រី</v>
      </c>
      <c r="F42" s="728">
        <f>'Tên Tháng 1'!D39</f>
        <v>220234356</v>
      </c>
      <c r="G42" s="728" t="str">
        <f>'Tên Tháng 1'!E36</f>
        <v>ប៉ិល ផល្លា</v>
      </c>
      <c r="H42" s="728" t="str">
        <f>'Tên Tháng 1'!F36</f>
        <v>PEL PHALLA</v>
      </c>
      <c r="I42" s="519" t="str">
        <f>'CHAM CONG'!G40</f>
        <v>x</v>
      </c>
      <c r="J42" s="519" t="str">
        <f>'CHAM CONG'!H40</f>
        <v>x</v>
      </c>
      <c r="K42" s="519" t="str">
        <f>'CHAM CONG'!I40</f>
        <v>x</v>
      </c>
      <c r="L42" s="519">
        <f>'CHAM CONG'!J40</f>
        <v>0</v>
      </c>
      <c r="M42" s="519" t="str">
        <f>'CHAM CONG'!K40</f>
        <v>x</v>
      </c>
      <c r="N42" s="519" t="str">
        <f>'CHAM CONG'!L40</f>
        <v>x</v>
      </c>
      <c r="O42" s="519" t="str">
        <f>'CHAM CONG'!M40</f>
        <v>x</v>
      </c>
      <c r="P42" s="519" t="str">
        <f>'CHAM CONG'!N40</f>
        <v>x</v>
      </c>
      <c r="Q42" s="519" t="str">
        <f>'CHAM CONG'!O40</f>
        <v>x</v>
      </c>
      <c r="R42" s="519" t="str">
        <f>'CHAM CONG'!P40</f>
        <v>x</v>
      </c>
      <c r="S42" s="519" t="str">
        <f>'CHAM CONG'!Q40</f>
        <v>x</v>
      </c>
      <c r="T42" s="519" t="str">
        <f>'CHAM CONG'!R40</f>
        <v>x</v>
      </c>
      <c r="U42" s="519" t="str">
        <f>'CHAM CONG'!S40</f>
        <v>x</v>
      </c>
      <c r="V42" s="519" t="str">
        <f>'CHAM CONG'!T40</f>
        <v>x</v>
      </c>
      <c r="W42" s="519" t="str">
        <f>'CHAM CONG'!U40</f>
        <v>x</v>
      </c>
      <c r="X42" s="519"/>
      <c r="Y42" s="519"/>
      <c r="Z42" s="738">
        <f t="shared" si="3"/>
        <v>14</v>
      </c>
      <c r="AA42" s="580">
        <f t="shared" si="4"/>
        <v>0</v>
      </c>
      <c r="AB42" s="580">
        <f t="shared" si="5"/>
        <v>224000</v>
      </c>
      <c r="AC42" s="580">
        <f>'CHAM CONG'!V40</f>
        <v>0</v>
      </c>
      <c r="AD42" s="580">
        <f>'CHAM CONG'!W40</f>
        <v>0</v>
      </c>
      <c r="AE42" s="580">
        <f>'CHAM CONG'!X40</f>
        <v>0</v>
      </c>
      <c r="AF42" s="738">
        <f t="shared" si="6"/>
        <v>0</v>
      </c>
      <c r="AG42" s="580">
        <f t="shared" si="7"/>
        <v>0</v>
      </c>
      <c r="AH42" s="580">
        <f t="shared" ref="AH42:AH73" si="17">Z42</f>
        <v>14</v>
      </c>
      <c r="AI42" s="580">
        <f t="shared" si="8"/>
        <v>14000</v>
      </c>
      <c r="AJ42" s="580">
        <f t="shared" si="9"/>
        <v>238000</v>
      </c>
      <c r="AK42" s="429">
        <f>'SAN LUONG'!AF41</f>
        <v>483</v>
      </c>
      <c r="AL42" s="429">
        <f>'SAN LUONG'!AG41</f>
        <v>480</v>
      </c>
      <c r="AM42" s="429">
        <f>'SAN LUONG'!AH41</f>
        <v>330</v>
      </c>
      <c r="AN42" s="429">
        <f>'SAN LUONG'!AI41</f>
        <v>0</v>
      </c>
      <c r="AO42" s="746">
        <f t="shared" si="10"/>
        <v>1293</v>
      </c>
      <c r="AP42" s="746">
        <f t="shared" si="11"/>
        <v>315751</v>
      </c>
      <c r="AQ42" s="746"/>
      <c r="AR42" s="746">
        <f t="shared" ref="AR42:AR73" si="18">ROUND(AQ42*0.44*$AR$8,0)</f>
        <v>0</v>
      </c>
      <c r="AS42" s="746"/>
      <c r="AT42" s="746">
        <f t="shared" ref="AT42:AT74" si="19">ROUND(AS42*0.44*$AT$8,0)</f>
        <v>0</v>
      </c>
      <c r="AU42" s="747">
        <f>'SAN LUONG'!AU41</f>
        <v>0</v>
      </c>
      <c r="AV42" s="748">
        <f t="shared" si="12"/>
        <v>0</v>
      </c>
      <c r="AW42" s="757">
        <f t="shared" si="13"/>
        <v>0</v>
      </c>
      <c r="AX42" s="758">
        <f t="shared" si="14"/>
        <v>553751</v>
      </c>
      <c r="AY42" s="759"/>
      <c r="AZ42" s="759"/>
      <c r="BA42" s="759"/>
      <c r="BB42" s="760">
        <f t="shared" si="15"/>
        <v>553751</v>
      </c>
      <c r="BC42" s="761"/>
      <c r="BD42" s="639">
        <f t="shared" si="16"/>
        <v>17.329999999999998</v>
      </c>
      <c r="BE42" s="567"/>
      <c r="BF42" s="765"/>
    </row>
    <row r="43" spans="1:58" s="483" customFormat="1" ht="35.4" customHeight="1">
      <c r="A43" s="503">
        <v>34</v>
      </c>
      <c r="B43" s="504">
        <v>1</v>
      </c>
      <c r="C43" s="504">
        <v>34</v>
      </c>
      <c r="D43" s="728">
        <f>'Tên Tháng 1'!B40</f>
        <v>30835</v>
      </c>
      <c r="E43" s="728" t="str">
        <f>'Tên Tháng 1'!C40</f>
        <v>ប្រុស</v>
      </c>
      <c r="F43" s="728">
        <f>'Tên Tháng 1'!D40</f>
        <v>160485580</v>
      </c>
      <c r="G43" s="728" t="str">
        <f>'Tên Tháng 1'!E37</f>
        <v>យៀត ឌី</v>
      </c>
      <c r="H43" s="728" t="str">
        <f>'Tên Tháng 1'!F37</f>
        <v>YIEN DY</v>
      </c>
      <c r="I43" s="519" t="str">
        <f>'CHAM CONG'!G41</f>
        <v>x</v>
      </c>
      <c r="J43" s="519" t="str">
        <f>'CHAM CONG'!H41</f>
        <v>x</v>
      </c>
      <c r="K43" s="519" t="str">
        <f>'CHAM CONG'!I41</f>
        <v>x</v>
      </c>
      <c r="L43" s="519">
        <f>'CHAM CONG'!J41</f>
        <v>0</v>
      </c>
      <c r="M43" s="519" t="str">
        <f>'CHAM CONG'!K41</f>
        <v>x</v>
      </c>
      <c r="N43" s="519" t="str">
        <f>'CHAM CONG'!L41</f>
        <v>x</v>
      </c>
      <c r="O43" s="519" t="str">
        <f>'CHAM CONG'!M41</f>
        <v>x</v>
      </c>
      <c r="P43" s="519" t="str">
        <f>'CHAM CONG'!N41</f>
        <v>x</v>
      </c>
      <c r="Q43" s="519" t="str">
        <f>'CHAM CONG'!O41</f>
        <v>x</v>
      </c>
      <c r="R43" s="519" t="str">
        <f>'CHAM CONG'!P41</f>
        <v>x</v>
      </c>
      <c r="S43" s="519" t="str">
        <f>'CHAM CONG'!Q41</f>
        <v>x</v>
      </c>
      <c r="T43" s="519" t="str">
        <f>'CHAM CONG'!R41</f>
        <v>x</v>
      </c>
      <c r="U43" s="519" t="str">
        <f>'CHAM CONG'!S41</f>
        <v>x</v>
      </c>
      <c r="V43" s="519" t="str">
        <f>'CHAM CONG'!T41</f>
        <v>x</v>
      </c>
      <c r="W43" s="519" t="str">
        <f>'CHAM CONG'!U41</f>
        <v>x</v>
      </c>
      <c r="X43" s="519"/>
      <c r="Y43" s="519"/>
      <c r="Z43" s="738">
        <f t="shared" si="3"/>
        <v>14</v>
      </c>
      <c r="AA43" s="580">
        <f t="shared" si="4"/>
        <v>0</v>
      </c>
      <c r="AB43" s="580">
        <f t="shared" si="5"/>
        <v>224000</v>
      </c>
      <c r="AC43" s="580">
        <f>'CHAM CONG'!V41</f>
        <v>0</v>
      </c>
      <c r="AD43" s="580">
        <f>'CHAM CONG'!W41</f>
        <v>0</v>
      </c>
      <c r="AE43" s="580">
        <f>'CHAM CONG'!X41</f>
        <v>0</v>
      </c>
      <c r="AF43" s="738">
        <f t="shared" si="6"/>
        <v>0</v>
      </c>
      <c r="AG43" s="580">
        <f t="shared" si="7"/>
        <v>0</v>
      </c>
      <c r="AH43" s="580">
        <f t="shared" si="17"/>
        <v>14</v>
      </c>
      <c r="AI43" s="580">
        <f t="shared" si="8"/>
        <v>14000</v>
      </c>
      <c r="AJ43" s="580">
        <f t="shared" si="9"/>
        <v>238000</v>
      </c>
      <c r="AK43" s="429">
        <f>'SAN LUONG'!AF42</f>
        <v>410</v>
      </c>
      <c r="AL43" s="429">
        <f>'SAN LUONG'!AG42</f>
        <v>385</v>
      </c>
      <c r="AM43" s="429">
        <f>'SAN LUONG'!AH42</f>
        <v>364</v>
      </c>
      <c r="AN43" s="429">
        <f>'SAN LUONG'!AI42</f>
        <v>0</v>
      </c>
      <c r="AO43" s="746">
        <f t="shared" si="10"/>
        <v>1159</v>
      </c>
      <c r="AP43" s="746">
        <f t="shared" si="11"/>
        <v>283028</v>
      </c>
      <c r="AQ43" s="746"/>
      <c r="AR43" s="746">
        <f t="shared" si="18"/>
        <v>0</v>
      </c>
      <c r="AS43" s="746"/>
      <c r="AT43" s="746">
        <f t="shared" si="19"/>
        <v>0</v>
      </c>
      <c r="AU43" s="747">
        <f>'SAN LUONG'!AU42</f>
        <v>0</v>
      </c>
      <c r="AV43" s="748">
        <f t="shared" si="12"/>
        <v>0</v>
      </c>
      <c r="AW43" s="757">
        <f t="shared" si="13"/>
        <v>0</v>
      </c>
      <c r="AX43" s="758">
        <f t="shared" si="14"/>
        <v>521028</v>
      </c>
      <c r="AY43" s="759"/>
      <c r="AZ43" s="759"/>
      <c r="BA43" s="759"/>
      <c r="BB43" s="760">
        <f t="shared" si="15"/>
        <v>521028</v>
      </c>
      <c r="BC43" s="761"/>
      <c r="BD43" s="639">
        <f t="shared" si="16"/>
        <v>16.309999999999999</v>
      </c>
      <c r="BE43" s="567"/>
      <c r="BF43" s="765"/>
    </row>
    <row r="44" spans="1:58" s="483" customFormat="1" ht="35.4" customHeight="1">
      <c r="A44" s="503">
        <v>35</v>
      </c>
      <c r="B44" s="504">
        <v>1</v>
      </c>
      <c r="C44" s="504">
        <v>35</v>
      </c>
      <c r="D44" s="728">
        <f>'Tên Tháng 1'!B41</f>
        <v>35066</v>
      </c>
      <c r="E44" s="728" t="str">
        <f>'Tên Tháng 1'!C41</f>
        <v>ស្រី</v>
      </c>
      <c r="F44" s="728">
        <f>'Tên Tháng 1'!D41</f>
        <v>150523513</v>
      </c>
      <c r="G44" s="728" t="str">
        <f>'Tên Tháng 1'!E38</f>
        <v>រឿន ចាន់រ៉ា</v>
      </c>
      <c r="H44" s="728" t="str">
        <f>'Tên Tháng 1'!F38</f>
        <v>ROEUN CHANRA</v>
      </c>
      <c r="I44" s="519" t="str">
        <f>'CHAM CONG'!G42</f>
        <v>x</v>
      </c>
      <c r="J44" s="519" t="str">
        <f>'CHAM CONG'!H42</f>
        <v>x</v>
      </c>
      <c r="K44" s="519" t="str">
        <f>'CHAM CONG'!I42</f>
        <v>x</v>
      </c>
      <c r="L44" s="519">
        <f>'CHAM CONG'!J42</f>
        <v>0</v>
      </c>
      <c r="M44" s="519" t="str">
        <f>'CHAM CONG'!K42</f>
        <v>x</v>
      </c>
      <c r="N44" s="519" t="str">
        <f>'CHAM CONG'!L42</f>
        <v>x</v>
      </c>
      <c r="O44" s="519" t="str">
        <f>'CHAM CONG'!M42</f>
        <v>x</v>
      </c>
      <c r="P44" s="519" t="str">
        <f>'CHAM CONG'!N42</f>
        <v>x</v>
      </c>
      <c r="Q44" s="519" t="str">
        <f>'CHAM CONG'!O42</f>
        <v>x</v>
      </c>
      <c r="R44" s="519" t="str">
        <f>'CHAM CONG'!P42</f>
        <v>x</v>
      </c>
      <c r="S44" s="519" t="str">
        <f>'CHAM CONG'!Q42</f>
        <v>x</v>
      </c>
      <c r="T44" s="519" t="str">
        <f>'CHAM CONG'!R42</f>
        <v>x</v>
      </c>
      <c r="U44" s="519" t="str">
        <f>'CHAM CONG'!S42</f>
        <v>x</v>
      </c>
      <c r="V44" s="519" t="str">
        <f>'CHAM CONG'!T42</f>
        <v>x</v>
      </c>
      <c r="W44" s="519" t="str">
        <f>'CHAM CONG'!U42</f>
        <v>x</v>
      </c>
      <c r="X44" s="519"/>
      <c r="Y44" s="519"/>
      <c r="Z44" s="738">
        <f t="shared" si="3"/>
        <v>14</v>
      </c>
      <c r="AA44" s="580">
        <f t="shared" si="4"/>
        <v>0</v>
      </c>
      <c r="AB44" s="580">
        <f t="shared" si="5"/>
        <v>224000</v>
      </c>
      <c r="AC44" s="580">
        <f>'CHAM CONG'!V42</f>
        <v>0</v>
      </c>
      <c r="AD44" s="580">
        <f>'CHAM CONG'!W42</f>
        <v>0</v>
      </c>
      <c r="AE44" s="580">
        <f>'CHAM CONG'!X42</f>
        <v>0</v>
      </c>
      <c r="AF44" s="738">
        <f t="shared" si="6"/>
        <v>0</v>
      </c>
      <c r="AG44" s="580">
        <f t="shared" si="7"/>
        <v>0</v>
      </c>
      <c r="AH44" s="580">
        <f t="shared" si="17"/>
        <v>14</v>
      </c>
      <c r="AI44" s="580">
        <f t="shared" si="8"/>
        <v>14000</v>
      </c>
      <c r="AJ44" s="580">
        <f t="shared" si="9"/>
        <v>238000</v>
      </c>
      <c r="AK44" s="429">
        <f>'SAN LUONG'!AF43</f>
        <v>386</v>
      </c>
      <c r="AL44" s="429">
        <f>'SAN LUONG'!AG43</f>
        <v>347</v>
      </c>
      <c r="AM44" s="429">
        <f>'SAN LUONG'!AH43</f>
        <v>225</v>
      </c>
      <c r="AN44" s="429">
        <f>'SAN LUONG'!AI43</f>
        <v>0</v>
      </c>
      <c r="AO44" s="746">
        <f t="shared" si="10"/>
        <v>958</v>
      </c>
      <c r="AP44" s="746">
        <f t="shared" si="11"/>
        <v>233944</v>
      </c>
      <c r="AQ44" s="746"/>
      <c r="AR44" s="746">
        <f t="shared" si="18"/>
        <v>0</v>
      </c>
      <c r="AS44" s="746"/>
      <c r="AT44" s="746">
        <f t="shared" si="19"/>
        <v>0</v>
      </c>
      <c r="AU44" s="747">
        <f>'SAN LUONG'!AU43</f>
        <v>0</v>
      </c>
      <c r="AV44" s="748">
        <f t="shared" si="12"/>
        <v>0</v>
      </c>
      <c r="AW44" s="757">
        <f t="shared" si="13"/>
        <v>0</v>
      </c>
      <c r="AX44" s="758">
        <f t="shared" si="14"/>
        <v>471944</v>
      </c>
      <c r="AY44" s="759"/>
      <c r="AZ44" s="759"/>
      <c r="BA44" s="759"/>
      <c r="BB44" s="760">
        <f t="shared" si="15"/>
        <v>471944</v>
      </c>
      <c r="BC44" s="761"/>
      <c r="BD44" s="639">
        <f t="shared" si="16"/>
        <v>14.77</v>
      </c>
      <c r="BE44" s="567"/>
      <c r="BF44" s="765"/>
    </row>
    <row r="45" spans="1:58" s="724" customFormat="1" ht="35.4" customHeight="1">
      <c r="A45" s="503">
        <v>36</v>
      </c>
      <c r="B45" s="504">
        <v>1</v>
      </c>
      <c r="C45" s="729">
        <v>36</v>
      </c>
      <c r="D45" s="730">
        <f>'Tên Tháng 1'!B42</f>
        <v>33401</v>
      </c>
      <c r="E45" s="730" t="str">
        <f>'Tên Tháng 1'!C42</f>
        <v>ប្រុស</v>
      </c>
      <c r="F45" s="730">
        <f>'Tên Tháng 1'!D42</f>
        <v>150648033</v>
      </c>
      <c r="G45" s="728" t="str">
        <f>'Tên Tháng 1'!E39</f>
        <v>អៀវ សុភ័ណ្ឌ</v>
      </c>
      <c r="H45" s="728" t="str">
        <f>'Tên Tháng 1'!F39</f>
        <v>IEV SOPHORN</v>
      </c>
      <c r="I45" s="519" t="str">
        <f>'CHAM CONG'!G43</f>
        <v>x</v>
      </c>
      <c r="J45" s="519" t="str">
        <f>'CHAM CONG'!H43</f>
        <v>x</v>
      </c>
      <c r="K45" s="519" t="str">
        <f>'CHAM CONG'!I43</f>
        <v>x</v>
      </c>
      <c r="L45" s="519">
        <f>'CHAM CONG'!J43</f>
        <v>0</v>
      </c>
      <c r="M45" s="519" t="str">
        <f>'CHAM CONG'!K43</f>
        <v>x</v>
      </c>
      <c r="N45" s="519" t="str">
        <f>'CHAM CONG'!L43</f>
        <v>x</v>
      </c>
      <c r="O45" s="519" t="str">
        <f>'CHAM CONG'!M43</f>
        <v>x</v>
      </c>
      <c r="P45" s="519" t="str">
        <f>'CHAM CONG'!N43</f>
        <v>x</v>
      </c>
      <c r="Q45" s="519" t="str">
        <f>'CHAM CONG'!O43</f>
        <v>x</v>
      </c>
      <c r="R45" s="519" t="str">
        <f>'CHAM CONG'!P43</f>
        <v>x</v>
      </c>
      <c r="S45" s="519" t="str">
        <f>'CHAM CONG'!Q43</f>
        <v>x</v>
      </c>
      <c r="T45" s="519" t="str">
        <f>'CHAM CONG'!R43</f>
        <v>x</v>
      </c>
      <c r="U45" s="519" t="str">
        <f>'CHAM CONG'!S43</f>
        <v>x</v>
      </c>
      <c r="V45" s="519" t="str">
        <f>'CHAM CONG'!T43</f>
        <v>x</v>
      </c>
      <c r="W45" s="519" t="str">
        <f>'CHAM CONG'!U43</f>
        <v>x</v>
      </c>
      <c r="X45" s="519"/>
      <c r="Y45" s="519"/>
      <c r="Z45" s="738">
        <f t="shared" si="3"/>
        <v>14</v>
      </c>
      <c r="AA45" s="580">
        <f t="shared" si="4"/>
        <v>0</v>
      </c>
      <c r="AB45" s="580">
        <f t="shared" si="5"/>
        <v>224000</v>
      </c>
      <c r="AC45" s="580">
        <f>'CHAM CONG'!V43</f>
        <v>0</v>
      </c>
      <c r="AD45" s="580">
        <f>'CHAM CONG'!W43</f>
        <v>0</v>
      </c>
      <c r="AE45" s="580">
        <f>'CHAM CONG'!X43</f>
        <v>0</v>
      </c>
      <c r="AF45" s="738">
        <f t="shared" si="6"/>
        <v>0</v>
      </c>
      <c r="AG45" s="580">
        <f t="shared" si="7"/>
        <v>0</v>
      </c>
      <c r="AH45" s="580">
        <f t="shared" si="17"/>
        <v>14</v>
      </c>
      <c r="AI45" s="580">
        <f t="shared" si="8"/>
        <v>14000</v>
      </c>
      <c r="AJ45" s="580">
        <f t="shared" si="9"/>
        <v>238000</v>
      </c>
      <c r="AK45" s="429">
        <f>'SAN LUONG'!AF44</f>
        <v>466</v>
      </c>
      <c r="AL45" s="429">
        <f>'SAN LUONG'!AG44</f>
        <v>379</v>
      </c>
      <c r="AM45" s="429">
        <f>'SAN LUONG'!AH44</f>
        <v>358</v>
      </c>
      <c r="AN45" s="429">
        <f>'SAN LUONG'!AI44</f>
        <v>0</v>
      </c>
      <c r="AO45" s="746">
        <f t="shared" si="10"/>
        <v>1203</v>
      </c>
      <c r="AP45" s="746">
        <f t="shared" si="11"/>
        <v>293773</v>
      </c>
      <c r="AQ45" s="746"/>
      <c r="AR45" s="746">
        <f t="shared" si="18"/>
        <v>0</v>
      </c>
      <c r="AS45" s="746"/>
      <c r="AT45" s="746">
        <f t="shared" si="19"/>
        <v>0</v>
      </c>
      <c r="AU45" s="747">
        <f>'SAN LUONG'!AU44</f>
        <v>0</v>
      </c>
      <c r="AV45" s="748">
        <f t="shared" si="12"/>
        <v>0</v>
      </c>
      <c r="AW45" s="757">
        <f t="shared" si="13"/>
        <v>0</v>
      </c>
      <c r="AX45" s="758">
        <f t="shared" si="14"/>
        <v>531773</v>
      </c>
      <c r="AY45" s="759"/>
      <c r="AZ45" s="759"/>
      <c r="BA45" s="759"/>
      <c r="BB45" s="760">
        <f t="shared" si="15"/>
        <v>531773</v>
      </c>
      <c r="BC45" s="762"/>
      <c r="BD45" s="639">
        <f t="shared" si="16"/>
        <v>16.649999999999999</v>
      </c>
      <c r="BE45" s="766"/>
      <c r="BF45" s="767"/>
    </row>
    <row r="46" spans="1:58" s="483" customFormat="1" ht="35.4" customHeight="1">
      <c r="A46" s="503">
        <v>37</v>
      </c>
      <c r="B46" s="504">
        <v>1</v>
      </c>
      <c r="C46" s="504">
        <v>37</v>
      </c>
      <c r="D46" s="728">
        <f>'Tên Tháng 1'!B43</f>
        <v>38363</v>
      </c>
      <c r="E46" s="728" t="str">
        <f>'Tên Tháng 1'!C43</f>
        <v>ស្រី</v>
      </c>
      <c r="F46" s="728">
        <f>'Tên Tháng 1'!D43</f>
        <v>220220033</v>
      </c>
      <c r="G46" s="728" t="str">
        <f>'Tên Tháng 1'!E40</f>
        <v>គុយ សឿន</v>
      </c>
      <c r="H46" s="728" t="str">
        <f>'Tên Tháng 1'!F40</f>
        <v>KUY SOEUN</v>
      </c>
      <c r="I46" s="519" t="str">
        <f>'CHAM CONG'!G44</f>
        <v>x</v>
      </c>
      <c r="J46" s="519" t="str">
        <f>'CHAM CONG'!H44</f>
        <v>x</v>
      </c>
      <c r="K46" s="519" t="str">
        <f>'CHAM CONG'!I44</f>
        <v>x</v>
      </c>
      <c r="L46" s="519">
        <f>'CHAM CONG'!J44</f>
        <v>0</v>
      </c>
      <c r="M46" s="519" t="str">
        <f>'CHAM CONG'!K44</f>
        <v>x</v>
      </c>
      <c r="N46" s="519" t="str">
        <f>'CHAM CONG'!L44</f>
        <v>x</v>
      </c>
      <c r="O46" s="519" t="str">
        <f>'CHAM CONG'!M44</f>
        <v>x</v>
      </c>
      <c r="P46" s="519" t="str">
        <f>'CHAM CONG'!N44</f>
        <v>x</v>
      </c>
      <c r="Q46" s="519" t="str">
        <f>'CHAM CONG'!O44</f>
        <v>x</v>
      </c>
      <c r="R46" s="519" t="str">
        <f>'CHAM CONG'!P44</f>
        <v>x</v>
      </c>
      <c r="S46" s="519" t="str">
        <f>'CHAM CONG'!Q44</f>
        <v>x</v>
      </c>
      <c r="T46" s="519" t="str">
        <f>'CHAM CONG'!R44</f>
        <v>x</v>
      </c>
      <c r="U46" s="519" t="str">
        <f>'CHAM CONG'!S44</f>
        <v>x</v>
      </c>
      <c r="V46" s="519" t="str">
        <f>'CHAM CONG'!T44</f>
        <v>x</v>
      </c>
      <c r="W46" s="519" t="str">
        <f>'CHAM CONG'!U44</f>
        <v>x</v>
      </c>
      <c r="X46" s="519"/>
      <c r="Y46" s="519"/>
      <c r="Z46" s="738">
        <f t="shared" si="3"/>
        <v>14</v>
      </c>
      <c r="AA46" s="580">
        <f t="shared" si="4"/>
        <v>0</v>
      </c>
      <c r="AB46" s="580">
        <f t="shared" si="5"/>
        <v>224000</v>
      </c>
      <c r="AC46" s="580">
        <f>'CHAM CONG'!V44</f>
        <v>0</v>
      </c>
      <c r="AD46" s="580">
        <f>'CHAM CONG'!W44</f>
        <v>0</v>
      </c>
      <c r="AE46" s="580">
        <f>'CHAM CONG'!X44</f>
        <v>0</v>
      </c>
      <c r="AF46" s="738">
        <f t="shared" si="6"/>
        <v>0</v>
      </c>
      <c r="AG46" s="580">
        <f t="shared" si="7"/>
        <v>0</v>
      </c>
      <c r="AH46" s="580">
        <f t="shared" si="17"/>
        <v>14</v>
      </c>
      <c r="AI46" s="580">
        <f t="shared" si="8"/>
        <v>14000</v>
      </c>
      <c r="AJ46" s="580">
        <f t="shared" si="9"/>
        <v>238000</v>
      </c>
      <c r="AK46" s="429">
        <f>'SAN LUONG'!AF45</f>
        <v>434</v>
      </c>
      <c r="AL46" s="429">
        <f>'SAN LUONG'!AG45</f>
        <v>356</v>
      </c>
      <c r="AM46" s="429">
        <f>'SAN LUONG'!AH45</f>
        <v>339</v>
      </c>
      <c r="AN46" s="429">
        <f>'SAN LUONG'!AI45</f>
        <v>0</v>
      </c>
      <c r="AO46" s="746">
        <f t="shared" si="10"/>
        <v>1129</v>
      </c>
      <c r="AP46" s="746">
        <f t="shared" si="11"/>
        <v>275702</v>
      </c>
      <c r="AQ46" s="746"/>
      <c r="AR46" s="746">
        <f t="shared" si="18"/>
        <v>0</v>
      </c>
      <c r="AS46" s="746"/>
      <c r="AT46" s="746">
        <f t="shared" si="19"/>
        <v>0</v>
      </c>
      <c r="AU46" s="747">
        <f>'SAN LUONG'!AU45</f>
        <v>0</v>
      </c>
      <c r="AV46" s="748">
        <f t="shared" si="12"/>
        <v>0</v>
      </c>
      <c r="AW46" s="757">
        <f t="shared" si="13"/>
        <v>0</v>
      </c>
      <c r="AX46" s="758">
        <f t="shared" si="14"/>
        <v>513702</v>
      </c>
      <c r="AY46" s="759"/>
      <c r="AZ46" s="759"/>
      <c r="BA46" s="759"/>
      <c r="BB46" s="760">
        <f t="shared" si="15"/>
        <v>513702</v>
      </c>
      <c r="BC46" s="761"/>
      <c r="BD46" s="639">
        <f t="shared" si="16"/>
        <v>16.079999999999998</v>
      </c>
      <c r="BE46" s="567"/>
      <c r="BF46" s="765"/>
    </row>
    <row r="47" spans="1:58" s="483" customFormat="1" ht="35.4" customHeight="1">
      <c r="A47" s="503">
        <v>38</v>
      </c>
      <c r="B47" s="504">
        <v>1</v>
      </c>
      <c r="C47" s="504">
        <v>38</v>
      </c>
      <c r="D47" s="728">
        <f>'Tên Tháng 1'!B44</f>
        <v>37441</v>
      </c>
      <c r="E47" s="728" t="str">
        <f>'Tên Tháng 1'!C44</f>
        <v>ប្រុស</v>
      </c>
      <c r="F47" s="728">
        <f>'Tên Tháng 1'!D44</f>
        <v>150935343</v>
      </c>
      <c r="G47" s="728" t="str">
        <f>'Tên Tháng 1'!E41</f>
        <v>សាំ សុរីសា</v>
      </c>
      <c r="H47" s="728" t="str">
        <f>'Tên Tháng 1'!F41</f>
        <v>SAM SORYSA</v>
      </c>
      <c r="I47" s="519" t="str">
        <f>'CHAM CONG'!G45</f>
        <v>x</v>
      </c>
      <c r="J47" s="519" t="str">
        <f>'CHAM CONG'!H45</f>
        <v>x</v>
      </c>
      <c r="K47" s="519" t="str">
        <f>'CHAM CONG'!I45</f>
        <v>x</v>
      </c>
      <c r="L47" s="519">
        <f>'CHAM CONG'!J45</f>
        <v>0</v>
      </c>
      <c r="M47" s="519" t="str">
        <f>'CHAM CONG'!K45</f>
        <v>x</v>
      </c>
      <c r="N47" s="519" t="str">
        <f>'CHAM CONG'!L45</f>
        <v>x</v>
      </c>
      <c r="O47" s="519" t="str">
        <f>'CHAM CONG'!M45</f>
        <v>x</v>
      </c>
      <c r="P47" s="519" t="str">
        <f>'CHAM CONG'!N45</f>
        <v>x</v>
      </c>
      <c r="Q47" s="519" t="str">
        <f>'CHAM CONG'!O45</f>
        <v>x</v>
      </c>
      <c r="R47" s="519" t="str">
        <f>'CHAM CONG'!P45</f>
        <v>x</v>
      </c>
      <c r="S47" s="519" t="str">
        <f>'CHAM CONG'!Q45</f>
        <v>x</v>
      </c>
      <c r="T47" s="519" t="str">
        <f>'CHAM CONG'!R45</f>
        <v>x</v>
      </c>
      <c r="U47" s="519" t="str">
        <f>'CHAM CONG'!S45</f>
        <v>x</v>
      </c>
      <c r="V47" s="519" t="str">
        <f>'CHAM CONG'!T45</f>
        <v>x</v>
      </c>
      <c r="W47" s="519" t="str">
        <f>'CHAM CONG'!U45</f>
        <v>x</v>
      </c>
      <c r="X47" s="519"/>
      <c r="Y47" s="519"/>
      <c r="Z47" s="738">
        <f t="shared" si="3"/>
        <v>14</v>
      </c>
      <c r="AA47" s="580">
        <f t="shared" si="4"/>
        <v>0</v>
      </c>
      <c r="AB47" s="580">
        <f t="shared" si="5"/>
        <v>224000</v>
      </c>
      <c r="AC47" s="580">
        <f>'CHAM CONG'!V45</f>
        <v>0</v>
      </c>
      <c r="AD47" s="580">
        <f>'CHAM CONG'!W45</f>
        <v>0</v>
      </c>
      <c r="AE47" s="580">
        <f>'CHAM CONG'!X45</f>
        <v>0</v>
      </c>
      <c r="AF47" s="738">
        <f t="shared" si="6"/>
        <v>0</v>
      </c>
      <c r="AG47" s="580">
        <f t="shared" si="7"/>
        <v>0</v>
      </c>
      <c r="AH47" s="580">
        <f t="shared" si="17"/>
        <v>14</v>
      </c>
      <c r="AI47" s="580">
        <f t="shared" si="8"/>
        <v>14000</v>
      </c>
      <c r="AJ47" s="580">
        <f t="shared" si="9"/>
        <v>238000</v>
      </c>
      <c r="AK47" s="429">
        <f>'SAN LUONG'!AF46</f>
        <v>440</v>
      </c>
      <c r="AL47" s="429">
        <f>'SAN LUONG'!AG46</f>
        <v>383</v>
      </c>
      <c r="AM47" s="429">
        <f>'SAN LUONG'!AH46</f>
        <v>340</v>
      </c>
      <c r="AN47" s="429">
        <f>'SAN LUONG'!AI46</f>
        <v>0</v>
      </c>
      <c r="AO47" s="746">
        <f t="shared" si="10"/>
        <v>1163</v>
      </c>
      <c r="AP47" s="746">
        <f t="shared" si="11"/>
        <v>284005</v>
      </c>
      <c r="AQ47" s="746"/>
      <c r="AR47" s="746">
        <f t="shared" si="18"/>
        <v>0</v>
      </c>
      <c r="AS47" s="746"/>
      <c r="AT47" s="746">
        <f t="shared" si="19"/>
        <v>0</v>
      </c>
      <c r="AU47" s="747">
        <f>'SAN LUONG'!AU46</f>
        <v>0</v>
      </c>
      <c r="AV47" s="748">
        <f t="shared" si="12"/>
        <v>0</v>
      </c>
      <c r="AW47" s="757">
        <f t="shared" si="13"/>
        <v>0</v>
      </c>
      <c r="AX47" s="758">
        <f t="shared" si="14"/>
        <v>522005</v>
      </c>
      <c r="AY47" s="759"/>
      <c r="AZ47" s="759"/>
      <c r="BA47" s="759"/>
      <c r="BB47" s="760">
        <f t="shared" si="15"/>
        <v>522005</v>
      </c>
      <c r="BC47" s="761"/>
      <c r="BD47" s="639">
        <f t="shared" si="16"/>
        <v>16.34</v>
      </c>
      <c r="BE47" s="567"/>
      <c r="BF47" s="765"/>
    </row>
    <row r="48" spans="1:58" s="724" customFormat="1" ht="47.4" customHeight="1">
      <c r="A48" s="503">
        <v>39</v>
      </c>
      <c r="B48" s="504">
        <v>1</v>
      </c>
      <c r="C48" s="729">
        <v>39</v>
      </c>
      <c r="D48" s="730">
        <f>'Tên Tháng 1'!B45</f>
        <v>33796</v>
      </c>
      <c r="E48" s="730" t="str">
        <f>'Tên Tháng 1'!C45</f>
        <v>ប្រុស</v>
      </c>
      <c r="F48" s="730">
        <f>'Tên Tháng 1'!D45</f>
        <v>150468460</v>
      </c>
      <c r="G48" s="728" t="str">
        <f>'Tên Tháng 1'!E42</f>
        <v>មាស សំបាន</v>
      </c>
      <c r="H48" s="728" t="str">
        <f>'Tên Tháng 1'!F42</f>
        <v>MEAS SOM BAN</v>
      </c>
      <c r="I48" s="519" t="str">
        <f>'CHAM CONG'!G46</f>
        <v>x</v>
      </c>
      <c r="J48" s="519" t="str">
        <f>'CHAM CONG'!H46</f>
        <v>x</v>
      </c>
      <c r="K48" s="519" t="str">
        <f>'CHAM CONG'!I46</f>
        <v>x</v>
      </c>
      <c r="L48" s="519">
        <f>'CHAM CONG'!J46</f>
        <v>0</v>
      </c>
      <c r="M48" s="519" t="str">
        <f>'CHAM CONG'!K46</f>
        <v>x</v>
      </c>
      <c r="N48" s="519" t="str">
        <f>'CHAM CONG'!L46</f>
        <v>x</v>
      </c>
      <c r="O48" s="519">
        <f>'CHAM CONG'!M46</f>
        <v>0</v>
      </c>
      <c r="P48" s="519" t="str">
        <f>'CHAM CONG'!N46</f>
        <v>x</v>
      </c>
      <c r="Q48" s="519" t="str">
        <f>'CHAM CONG'!O46</f>
        <v>x</v>
      </c>
      <c r="R48" s="519" t="str">
        <f>'CHAM CONG'!P46</f>
        <v>x</v>
      </c>
      <c r="S48" s="519" t="str">
        <f>'CHAM CONG'!Q46</f>
        <v>x</v>
      </c>
      <c r="T48" s="519" t="str">
        <f>'CHAM CONG'!R46</f>
        <v>x</v>
      </c>
      <c r="U48" s="519" t="str">
        <f>'CHAM CONG'!S46</f>
        <v>x</v>
      </c>
      <c r="V48" s="519" t="str">
        <f>'CHAM CONG'!T46</f>
        <v>x</v>
      </c>
      <c r="W48" s="519" t="str">
        <f>'CHAM CONG'!U46</f>
        <v>x</v>
      </c>
      <c r="X48" s="519"/>
      <c r="Y48" s="519"/>
      <c r="Z48" s="738">
        <f t="shared" si="3"/>
        <v>13</v>
      </c>
      <c r="AA48" s="580">
        <f t="shared" si="4"/>
        <v>0</v>
      </c>
      <c r="AB48" s="580">
        <f t="shared" si="5"/>
        <v>208000</v>
      </c>
      <c r="AC48" s="580">
        <f>'CHAM CONG'!V46</f>
        <v>0</v>
      </c>
      <c r="AD48" s="580">
        <f>'CHAM CONG'!W46</f>
        <v>0</v>
      </c>
      <c r="AE48" s="580">
        <f>'CHAM CONG'!X46</f>
        <v>0</v>
      </c>
      <c r="AF48" s="738">
        <f t="shared" si="6"/>
        <v>0</v>
      </c>
      <c r="AG48" s="580">
        <f t="shared" si="7"/>
        <v>0</v>
      </c>
      <c r="AH48" s="580">
        <f t="shared" si="17"/>
        <v>13</v>
      </c>
      <c r="AI48" s="580">
        <f t="shared" si="8"/>
        <v>13000</v>
      </c>
      <c r="AJ48" s="580">
        <f t="shared" si="9"/>
        <v>221000</v>
      </c>
      <c r="AK48" s="429">
        <f>'SAN LUONG'!AF47</f>
        <v>406</v>
      </c>
      <c r="AL48" s="429">
        <f>'SAN LUONG'!AG47</f>
        <v>345</v>
      </c>
      <c r="AM48" s="429">
        <f>'SAN LUONG'!AH47</f>
        <v>372</v>
      </c>
      <c r="AN48" s="429">
        <f>'SAN LUONG'!AI47</f>
        <v>0</v>
      </c>
      <c r="AO48" s="746">
        <f t="shared" si="10"/>
        <v>1123</v>
      </c>
      <c r="AP48" s="746">
        <f t="shared" si="11"/>
        <v>274237</v>
      </c>
      <c r="AQ48" s="746"/>
      <c r="AR48" s="746">
        <f t="shared" si="18"/>
        <v>0</v>
      </c>
      <c r="AS48" s="746"/>
      <c r="AT48" s="746">
        <f t="shared" si="19"/>
        <v>0</v>
      </c>
      <c r="AU48" s="747">
        <f>'SAN LUONG'!AU47</f>
        <v>0</v>
      </c>
      <c r="AV48" s="748">
        <f t="shared" si="12"/>
        <v>0</v>
      </c>
      <c r="AW48" s="757">
        <f t="shared" si="13"/>
        <v>0</v>
      </c>
      <c r="AX48" s="758">
        <f t="shared" si="14"/>
        <v>495237</v>
      </c>
      <c r="AY48" s="759"/>
      <c r="AZ48" s="759"/>
      <c r="BA48" s="759"/>
      <c r="BB48" s="760">
        <f t="shared" si="15"/>
        <v>495237</v>
      </c>
      <c r="BC48" s="762"/>
      <c r="BD48" s="639">
        <f t="shared" si="16"/>
        <v>15.5</v>
      </c>
      <c r="BE48" s="766"/>
      <c r="BF48" s="767"/>
    </row>
    <row r="49" spans="1:58" s="483" customFormat="1" ht="47.4" customHeight="1">
      <c r="A49" s="503">
        <v>40</v>
      </c>
      <c r="B49" s="504">
        <v>1</v>
      </c>
      <c r="C49" s="504">
        <v>40</v>
      </c>
      <c r="D49" s="728">
        <f>'Tên Tháng 1'!B46</f>
        <v>32968</v>
      </c>
      <c r="E49" s="728" t="str">
        <f>'Tên Tháng 1'!C46</f>
        <v>ប្រុស</v>
      </c>
      <c r="F49" s="728">
        <f>'Tên Tháng 1'!D46</f>
        <v>220175299</v>
      </c>
      <c r="G49" s="728" t="str">
        <f>'Tên Tháng 1'!E43</f>
        <v>សុទ្ធ ឡៃហ័ន</v>
      </c>
      <c r="H49" s="728" t="str">
        <f>'Tên Tháng 1'!F43</f>
        <v>SOT LAYHORN</v>
      </c>
      <c r="I49" s="519" t="str">
        <f>'CHAM CONG'!G47</f>
        <v>x</v>
      </c>
      <c r="J49" s="519" t="str">
        <f>'CHAM CONG'!H47</f>
        <v>x</v>
      </c>
      <c r="K49" s="519" t="str">
        <f>'CHAM CONG'!I47</f>
        <v>x</v>
      </c>
      <c r="L49" s="519">
        <f>'CHAM CONG'!J47</f>
        <v>0</v>
      </c>
      <c r="M49" s="519" t="str">
        <f>'CHAM CONG'!K47</f>
        <v>x</v>
      </c>
      <c r="N49" s="519" t="str">
        <f>'CHAM CONG'!L47</f>
        <v>x</v>
      </c>
      <c r="O49" s="519" t="str">
        <f>'CHAM CONG'!M47</f>
        <v>x</v>
      </c>
      <c r="P49" s="519">
        <f>'CHAM CONG'!N47</f>
        <v>0</v>
      </c>
      <c r="Q49" s="519" t="str">
        <f>'CHAM CONG'!O47</f>
        <v>x</v>
      </c>
      <c r="R49" s="519" t="str">
        <f>'CHAM CONG'!P47</f>
        <v>x</v>
      </c>
      <c r="S49" s="519" t="str">
        <f>'CHAM CONG'!Q47</f>
        <v>x</v>
      </c>
      <c r="T49" s="519" t="str">
        <f>'CHAM CONG'!R47</f>
        <v>x</v>
      </c>
      <c r="U49" s="519" t="str">
        <f>'CHAM CONG'!S47</f>
        <v>x</v>
      </c>
      <c r="V49" s="519" t="str">
        <f>'CHAM CONG'!T47</f>
        <v>x</v>
      </c>
      <c r="W49" s="519" t="str">
        <f>'CHAM CONG'!U47</f>
        <v>x</v>
      </c>
      <c r="X49" s="519"/>
      <c r="Y49" s="519"/>
      <c r="Z49" s="738">
        <f t="shared" si="3"/>
        <v>13</v>
      </c>
      <c r="AA49" s="580">
        <f t="shared" si="4"/>
        <v>0</v>
      </c>
      <c r="AB49" s="580">
        <f t="shared" si="5"/>
        <v>208000</v>
      </c>
      <c r="AC49" s="580">
        <f>'CHAM CONG'!V47</f>
        <v>0</v>
      </c>
      <c r="AD49" s="580">
        <f>'CHAM CONG'!W47</f>
        <v>0</v>
      </c>
      <c r="AE49" s="580" t="str">
        <f>'CHAM CONG'!X47</f>
        <v>x</v>
      </c>
      <c r="AF49" s="738">
        <f t="shared" si="6"/>
        <v>1</v>
      </c>
      <c r="AG49" s="580">
        <f t="shared" si="7"/>
        <v>17000</v>
      </c>
      <c r="AH49" s="580">
        <f t="shared" si="17"/>
        <v>13</v>
      </c>
      <c r="AI49" s="580">
        <f t="shared" si="8"/>
        <v>13000</v>
      </c>
      <c r="AJ49" s="580">
        <f t="shared" si="9"/>
        <v>238000</v>
      </c>
      <c r="AK49" s="429">
        <f>'SAN LUONG'!AF48</f>
        <v>403</v>
      </c>
      <c r="AL49" s="429">
        <f>'SAN LUONG'!AG48</f>
        <v>386</v>
      </c>
      <c r="AM49" s="429">
        <f>'SAN LUONG'!AH48</f>
        <v>261</v>
      </c>
      <c r="AN49" s="429">
        <f>'SAN LUONG'!AI48</f>
        <v>0</v>
      </c>
      <c r="AO49" s="746">
        <f t="shared" si="10"/>
        <v>1050</v>
      </c>
      <c r="AP49" s="746">
        <f t="shared" si="11"/>
        <v>256410</v>
      </c>
      <c r="AQ49" s="746"/>
      <c r="AR49" s="746">
        <f t="shared" si="18"/>
        <v>0</v>
      </c>
      <c r="AS49" s="746"/>
      <c r="AT49" s="746">
        <f t="shared" si="19"/>
        <v>0</v>
      </c>
      <c r="AU49" s="747">
        <f>'SAN LUONG'!AU48</f>
        <v>0</v>
      </c>
      <c r="AV49" s="748">
        <f t="shared" si="12"/>
        <v>0</v>
      </c>
      <c r="AW49" s="757">
        <f t="shared" si="13"/>
        <v>0</v>
      </c>
      <c r="AX49" s="758">
        <f t="shared" si="14"/>
        <v>494410</v>
      </c>
      <c r="AY49" s="759"/>
      <c r="AZ49" s="759"/>
      <c r="BA49" s="759"/>
      <c r="BB49" s="760">
        <f t="shared" si="15"/>
        <v>494410</v>
      </c>
      <c r="BC49" s="761"/>
      <c r="BD49" s="639">
        <f t="shared" si="16"/>
        <v>15.48</v>
      </c>
      <c r="BE49" s="567"/>
      <c r="BF49" s="765"/>
    </row>
    <row r="50" spans="1:58" s="725" customFormat="1" ht="47.4" customHeight="1">
      <c r="A50" s="503">
        <v>41</v>
      </c>
      <c r="B50" s="504">
        <v>1</v>
      </c>
      <c r="C50" s="504">
        <v>41</v>
      </c>
      <c r="D50" s="728">
        <f>'Tên Tháng 1'!B47</f>
        <v>36783</v>
      </c>
      <c r="E50" s="728" t="str">
        <f>'Tên Tháng 1'!C47</f>
        <v>ស្រី</v>
      </c>
      <c r="F50" s="728">
        <f>'Tên Tháng 1'!D47</f>
        <v>150982919</v>
      </c>
      <c r="G50" s="728" t="str">
        <f>'Tên Tháng 1'!E44</f>
        <v>អឿង សំអុល</v>
      </c>
      <c r="H50" s="728" t="str">
        <f>'Tên Tháng 1'!F44</f>
        <v>OENG SAMOL</v>
      </c>
      <c r="I50" s="519" t="str">
        <f>'CHAM CONG'!G48</f>
        <v>x</v>
      </c>
      <c r="J50" s="519" t="str">
        <f>'CHAM CONG'!H48</f>
        <v>x</v>
      </c>
      <c r="K50" s="519" t="str">
        <f>'CHAM CONG'!I48</f>
        <v>x</v>
      </c>
      <c r="L50" s="519">
        <f>'CHAM CONG'!J48</f>
        <v>0</v>
      </c>
      <c r="M50" s="519" t="str">
        <f>'CHAM CONG'!K48</f>
        <v>x</v>
      </c>
      <c r="N50" s="519" t="str">
        <f>'CHAM CONG'!L48</f>
        <v>x</v>
      </c>
      <c r="O50" s="519" t="str">
        <f>'CHAM CONG'!M48</f>
        <v>x</v>
      </c>
      <c r="P50" s="519">
        <f>'CHAM CONG'!N48</f>
        <v>0</v>
      </c>
      <c r="Q50" s="519" t="str">
        <f>'CHAM CONG'!O48</f>
        <v>x</v>
      </c>
      <c r="R50" s="519" t="str">
        <f>'CHAM CONG'!P48</f>
        <v>x</v>
      </c>
      <c r="S50" s="519" t="str">
        <f>'CHAM CONG'!Q48</f>
        <v>x</v>
      </c>
      <c r="T50" s="519" t="str">
        <f>'CHAM CONG'!R48</f>
        <v>x</v>
      </c>
      <c r="U50" s="519" t="str">
        <f>'CHAM CONG'!S48</f>
        <v>x</v>
      </c>
      <c r="V50" s="519" t="str">
        <f>'CHAM CONG'!T48</f>
        <v>x</v>
      </c>
      <c r="W50" s="519" t="str">
        <f>'CHAM CONG'!U48</f>
        <v>x</v>
      </c>
      <c r="X50" s="519"/>
      <c r="Y50" s="519"/>
      <c r="Z50" s="738">
        <f t="shared" si="3"/>
        <v>13</v>
      </c>
      <c r="AA50" s="580">
        <f t="shared" si="4"/>
        <v>0</v>
      </c>
      <c r="AB50" s="580">
        <f t="shared" si="5"/>
        <v>208000</v>
      </c>
      <c r="AC50" s="580">
        <f>'CHAM CONG'!V48</f>
        <v>0</v>
      </c>
      <c r="AD50" s="580">
        <f>'CHAM CONG'!W48</f>
        <v>0</v>
      </c>
      <c r="AE50" s="580" t="str">
        <f>'CHAM CONG'!X48</f>
        <v>x</v>
      </c>
      <c r="AF50" s="738">
        <f t="shared" si="6"/>
        <v>1</v>
      </c>
      <c r="AG50" s="580">
        <f t="shared" si="7"/>
        <v>17000</v>
      </c>
      <c r="AH50" s="580">
        <f t="shared" si="17"/>
        <v>13</v>
      </c>
      <c r="AI50" s="580">
        <f t="shared" si="8"/>
        <v>13000</v>
      </c>
      <c r="AJ50" s="580">
        <f t="shared" si="9"/>
        <v>238000</v>
      </c>
      <c r="AK50" s="429">
        <f>'SAN LUONG'!AF49</f>
        <v>302</v>
      </c>
      <c r="AL50" s="429">
        <f>'SAN LUONG'!AG49</f>
        <v>403</v>
      </c>
      <c r="AM50" s="429">
        <f>'SAN LUONG'!AH49</f>
        <v>182</v>
      </c>
      <c r="AN50" s="429">
        <f>'SAN LUONG'!AI49</f>
        <v>0</v>
      </c>
      <c r="AO50" s="746">
        <f t="shared" si="10"/>
        <v>887</v>
      </c>
      <c r="AP50" s="746">
        <f t="shared" si="11"/>
        <v>216605</v>
      </c>
      <c r="AQ50" s="746"/>
      <c r="AR50" s="746">
        <f t="shared" si="18"/>
        <v>0</v>
      </c>
      <c r="AS50" s="746"/>
      <c r="AT50" s="746">
        <f t="shared" si="19"/>
        <v>0</v>
      </c>
      <c r="AU50" s="747">
        <f>'SAN LUONG'!AU49</f>
        <v>0</v>
      </c>
      <c r="AV50" s="748">
        <f t="shared" si="12"/>
        <v>0</v>
      </c>
      <c r="AW50" s="757">
        <f t="shared" si="13"/>
        <v>0</v>
      </c>
      <c r="AX50" s="758">
        <f t="shared" si="14"/>
        <v>454605</v>
      </c>
      <c r="AY50" s="759"/>
      <c r="AZ50" s="759"/>
      <c r="BA50" s="759"/>
      <c r="BB50" s="760">
        <f t="shared" si="15"/>
        <v>454605</v>
      </c>
      <c r="BC50" s="763"/>
      <c r="BD50" s="639">
        <f t="shared" si="16"/>
        <v>14.23</v>
      </c>
      <c r="BE50" s="768"/>
      <c r="BF50" s="769"/>
    </row>
    <row r="51" spans="1:58" s="725" customFormat="1" ht="47.4" customHeight="1">
      <c r="A51" s="503">
        <v>42</v>
      </c>
      <c r="B51" s="504">
        <v>1</v>
      </c>
      <c r="C51" s="504">
        <v>42</v>
      </c>
      <c r="D51" s="728">
        <f>'Tên Tháng 1'!B48</f>
        <v>36670</v>
      </c>
      <c r="E51" s="728" t="str">
        <f>'Tên Tháng 1'!C48</f>
        <v>ប្រុស</v>
      </c>
      <c r="F51" s="728">
        <f>'Tên Tháng 1'!D48</f>
        <v>150865342</v>
      </c>
      <c r="G51" s="728" t="str">
        <f>'Tên Tháng 1'!E45</f>
        <v>ឡា​ឡច</v>
      </c>
      <c r="H51" s="728" t="str">
        <f>'Tên Tháng 1'!F45</f>
        <v>LA LOCH</v>
      </c>
      <c r="I51" s="519">
        <f>'CHAM CONG'!G49</f>
        <v>0</v>
      </c>
      <c r="J51" s="519" t="str">
        <f>'CHAM CONG'!H49</f>
        <v>x</v>
      </c>
      <c r="K51" s="519" t="str">
        <f>'CHAM CONG'!I49</f>
        <v>x</v>
      </c>
      <c r="L51" s="519">
        <f>'CHAM CONG'!J49</f>
        <v>0</v>
      </c>
      <c r="M51" s="519" t="str">
        <f>'CHAM CONG'!K49</f>
        <v>x</v>
      </c>
      <c r="N51" s="519" t="str">
        <f>'CHAM CONG'!L49</f>
        <v>x</v>
      </c>
      <c r="O51" s="519" t="str">
        <f>'CHAM CONG'!M49</f>
        <v>x</v>
      </c>
      <c r="P51" s="519" t="str">
        <f>'CHAM CONG'!N49</f>
        <v>x</v>
      </c>
      <c r="Q51" s="519" t="str">
        <f>'CHAM CONG'!O49</f>
        <v>x</v>
      </c>
      <c r="R51" s="519" t="str">
        <f>'CHAM CONG'!P49</f>
        <v>x</v>
      </c>
      <c r="S51" s="519" t="str">
        <f>'CHAM CONG'!Q49</f>
        <v>x</v>
      </c>
      <c r="T51" s="519" t="str">
        <f>'CHAM CONG'!R49</f>
        <v>x</v>
      </c>
      <c r="U51" s="519" t="str">
        <f>'CHAM CONG'!S49</f>
        <v>x</v>
      </c>
      <c r="V51" s="519" t="str">
        <f>'CHAM CONG'!T49</f>
        <v>x</v>
      </c>
      <c r="W51" s="519" t="str">
        <f>'CHAM CONG'!U49</f>
        <v>x</v>
      </c>
      <c r="X51" s="519"/>
      <c r="Y51" s="519"/>
      <c r="Z51" s="738">
        <f t="shared" si="3"/>
        <v>13</v>
      </c>
      <c r="AA51" s="580">
        <f t="shared" si="4"/>
        <v>0</v>
      </c>
      <c r="AB51" s="580">
        <f t="shared" si="5"/>
        <v>208000</v>
      </c>
      <c r="AC51" s="580" t="str">
        <f>'CHAM CONG'!V49</f>
        <v>x</v>
      </c>
      <c r="AD51" s="580">
        <f>'CHAM CONG'!W49</f>
        <v>0</v>
      </c>
      <c r="AE51" s="580" t="str">
        <f>'CHAM CONG'!X49</f>
        <v>x</v>
      </c>
      <c r="AF51" s="738">
        <f t="shared" si="6"/>
        <v>2</v>
      </c>
      <c r="AG51" s="580">
        <f t="shared" si="7"/>
        <v>34000</v>
      </c>
      <c r="AH51" s="580">
        <f t="shared" si="17"/>
        <v>13</v>
      </c>
      <c r="AI51" s="580">
        <f t="shared" si="8"/>
        <v>13000</v>
      </c>
      <c r="AJ51" s="580">
        <f t="shared" si="9"/>
        <v>255000</v>
      </c>
      <c r="AK51" s="429">
        <f>'SAN LUONG'!AF50</f>
        <v>367</v>
      </c>
      <c r="AL51" s="429">
        <f>'SAN LUONG'!AG50</f>
        <v>451</v>
      </c>
      <c r="AM51" s="429">
        <f>'SAN LUONG'!AH50</f>
        <v>497</v>
      </c>
      <c r="AN51" s="429">
        <f>'SAN LUONG'!AI50</f>
        <v>0</v>
      </c>
      <c r="AO51" s="746">
        <f t="shared" si="10"/>
        <v>1315</v>
      </c>
      <c r="AP51" s="746">
        <f t="shared" si="11"/>
        <v>321123</v>
      </c>
      <c r="AQ51" s="746"/>
      <c r="AR51" s="746">
        <f t="shared" si="18"/>
        <v>0</v>
      </c>
      <c r="AS51" s="746"/>
      <c r="AT51" s="746">
        <f t="shared" si="19"/>
        <v>0</v>
      </c>
      <c r="AU51" s="747">
        <f>'SAN LUONG'!AU50</f>
        <v>0</v>
      </c>
      <c r="AV51" s="748">
        <f t="shared" si="12"/>
        <v>0</v>
      </c>
      <c r="AW51" s="757">
        <f t="shared" si="13"/>
        <v>0</v>
      </c>
      <c r="AX51" s="758">
        <f t="shared" si="14"/>
        <v>576123</v>
      </c>
      <c r="AY51" s="759"/>
      <c r="AZ51" s="759"/>
      <c r="BA51" s="759"/>
      <c r="BB51" s="760">
        <f t="shared" si="15"/>
        <v>576123</v>
      </c>
      <c r="BC51" s="763"/>
      <c r="BD51" s="639">
        <f t="shared" si="16"/>
        <v>18.03</v>
      </c>
      <c r="BE51" s="768"/>
      <c r="BF51" s="769"/>
    </row>
    <row r="52" spans="1:58" s="725" customFormat="1" ht="47.4" customHeight="1">
      <c r="A52" s="503">
        <v>43</v>
      </c>
      <c r="B52" s="504">
        <v>1</v>
      </c>
      <c r="C52" s="504">
        <v>43</v>
      </c>
      <c r="D52" s="728">
        <f>'Tên Tháng 1'!B49</f>
        <v>37842</v>
      </c>
      <c r="E52" s="728" t="str">
        <f>'Tên Tháng 1'!C49</f>
        <v>ប្រុស</v>
      </c>
      <c r="F52" s="728">
        <f>'Tên Tháng 1'!D49</f>
        <v>151016972</v>
      </c>
      <c r="G52" s="728" t="str">
        <f>'Tên Tháng 1'!E46</f>
        <v>សៀក សំ</v>
      </c>
      <c r="H52" s="728" t="str">
        <f>'Tên Tháng 1'!F46</f>
        <v>SIEK SOM</v>
      </c>
      <c r="I52" s="519">
        <f>'CHAM CONG'!G50</f>
        <v>0</v>
      </c>
      <c r="J52" s="519" t="str">
        <f>'CHAM CONG'!H50</f>
        <v>x</v>
      </c>
      <c r="K52" s="519" t="str">
        <f>'CHAM CONG'!I50</f>
        <v>x</v>
      </c>
      <c r="L52" s="519">
        <f>'CHAM CONG'!J50</f>
        <v>0</v>
      </c>
      <c r="M52" s="519">
        <f>'CHAM CONG'!K50</f>
        <v>0</v>
      </c>
      <c r="N52" s="519" t="str">
        <f>'CHAM CONG'!L50</f>
        <v>x</v>
      </c>
      <c r="O52" s="519" t="str">
        <f>'CHAM CONG'!M50</f>
        <v>x</v>
      </c>
      <c r="P52" s="519" t="str">
        <f>'CHAM CONG'!N50</f>
        <v>x</v>
      </c>
      <c r="Q52" s="519" t="str">
        <f>'CHAM CONG'!O50</f>
        <v>x</v>
      </c>
      <c r="R52" s="519" t="str">
        <f>'CHAM CONG'!P50</f>
        <v>x</v>
      </c>
      <c r="S52" s="519" t="str">
        <f>'CHAM CONG'!Q50</f>
        <v>x</v>
      </c>
      <c r="T52" s="519" t="str">
        <f>'CHAM CONG'!R50</f>
        <v>x</v>
      </c>
      <c r="U52" s="519" t="str">
        <f>'CHAM CONG'!S50</f>
        <v>x</v>
      </c>
      <c r="V52" s="519">
        <f>'CHAM CONG'!T50</f>
        <v>0</v>
      </c>
      <c r="W52" s="519" t="str">
        <f>'CHAM CONG'!U50</f>
        <v>x</v>
      </c>
      <c r="X52" s="519"/>
      <c r="Y52" s="519"/>
      <c r="Z52" s="738">
        <f t="shared" si="3"/>
        <v>11</v>
      </c>
      <c r="AA52" s="580">
        <f t="shared" si="4"/>
        <v>0</v>
      </c>
      <c r="AB52" s="580">
        <f t="shared" si="5"/>
        <v>176000</v>
      </c>
      <c r="AC52" s="580">
        <f>'CHAM CONG'!V50</f>
        <v>0</v>
      </c>
      <c r="AD52" s="580">
        <f>'CHAM CONG'!W50</f>
        <v>0</v>
      </c>
      <c r="AE52" s="580">
        <f>'CHAM CONG'!X50</f>
        <v>0</v>
      </c>
      <c r="AF52" s="738">
        <f t="shared" si="6"/>
        <v>0</v>
      </c>
      <c r="AG52" s="580">
        <f t="shared" si="7"/>
        <v>0</v>
      </c>
      <c r="AH52" s="580">
        <f t="shared" si="17"/>
        <v>11</v>
      </c>
      <c r="AI52" s="580">
        <f t="shared" si="8"/>
        <v>11000</v>
      </c>
      <c r="AJ52" s="580">
        <f t="shared" si="9"/>
        <v>187000</v>
      </c>
      <c r="AK52" s="429">
        <f>'SAN LUONG'!AF51</f>
        <v>296</v>
      </c>
      <c r="AL52" s="429">
        <f>'SAN LUONG'!AG51</f>
        <v>445</v>
      </c>
      <c r="AM52" s="429">
        <f>'SAN LUONG'!AH51</f>
        <v>335</v>
      </c>
      <c r="AN52" s="429">
        <f>'SAN LUONG'!AI51</f>
        <v>0</v>
      </c>
      <c r="AO52" s="746">
        <f t="shared" si="10"/>
        <v>1076</v>
      </c>
      <c r="AP52" s="746">
        <f t="shared" si="11"/>
        <v>262759</v>
      </c>
      <c r="AQ52" s="746"/>
      <c r="AR52" s="746">
        <f t="shared" si="18"/>
        <v>0</v>
      </c>
      <c r="AS52" s="746"/>
      <c r="AT52" s="746">
        <f t="shared" si="19"/>
        <v>0</v>
      </c>
      <c r="AU52" s="747">
        <f>'SAN LUONG'!AU51</f>
        <v>0</v>
      </c>
      <c r="AV52" s="748">
        <f t="shared" si="12"/>
        <v>0</v>
      </c>
      <c r="AW52" s="757">
        <f t="shared" si="13"/>
        <v>0</v>
      </c>
      <c r="AX52" s="758">
        <f t="shared" si="14"/>
        <v>449759</v>
      </c>
      <c r="AY52" s="759"/>
      <c r="AZ52" s="759"/>
      <c r="BA52" s="759"/>
      <c r="BB52" s="760">
        <f t="shared" si="15"/>
        <v>449759</v>
      </c>
      <c r="BC52" s="763"/>
      <c r="BD52" s="639">
        <f t="shared" si="16"/>
        <v>14.08</v>
      </c>
      <c r="BE52" s="768"/>
      <c r="BF52" s="769"/>
    </row>
    <row r="53" spans="1:58" s="725" customFormat="1" ht="47.4" customHeight="1">
      <c r="A53" s="503">
        <v>44</v>
      </c>
      <c r="B53" s="504">
        <v>1</v>
      </c>
      <c r="C53" s="504">
        <v>44</v>
      </c>
      <c r="D53" s="728"/>
      <c r="E53" s="728"/>
      <c r="F53" s="728"/>
      <c r="G53" s="728" t="str">
        <f>'Tên Tháng 1'!E47</f>
        <v>អ៊ីម សារ៉ាន</v>
      </c>
      <c r="H53" s="728" t="str">
        <f>'Tên Tháng 1'!F47</f>
        <v>IM SARAN</v>
      </c>
      <c r="I53" s="519" t="str">
        <f>'CHAM CONG'!G51</f>
        <v>x</v>
      </c>
      <c r="J53" s="519">
        <f>'CHAM CONG'!H51</f>
        <v>0</v>
      </c>
      <c r="K53" s="519" t="str">
        <f>'CHAM CONG'!I51</f>
        <v>x</v>
      </c>
      <c r="L53" s="519">
        <f>'CHAM CONG'!J51</f>
        <v>0</v>
      </c>
      <c r="M53" s="519" t="str">
        <f>'CHAM CONG'!K51</f>
        <v>x</v>
      </c>
      <c r="N53" s="519" t="str">
        <f>'CHAM CONG'!L51</f>
        <v>x</v>
      </c>
      <c r="O53" s="519" t="str">
        <f>'CHAM CONG'!M51</f>
        <v>x</v>
      </c>
      <c r="P53" s="519" t="str">
        <f>'CHAM CONG'!N51</f>
        <v>x</v>
      </c>
      <c r="Q53" s="519" t="str">
        <f>'CHAM CONG'!O51</f>
        <v>x</v>
      </c>
      <c r="R53" s="519" t="str">
        <f>'CHAM CONG'!P51</f>
        <v>x</v>
      </c>
      <c r="S53" s="519" t="str">
        <f>'CHAM CONG'!Q51</f>
        <v>x</v>
      </c>
      <c r="T53" s="519" t="str">
        <f>'CHAM CONG'!R51</f>
        <v>x</v>
      </c>
      <c r="U53" s="519" t="str">
        <f>'CHAM CONG'!S51</f>
        <v>x</v>
      </c>
      <c r="V53" s="519" t="str">
        <f>'CHAM CONG'!T51</f>
        <v>x</v>
      </c>
      <c r="W53" s="519" t="str">
        <f>'CHAM CONG'!U51</f>
        <v>x</v>
      </c>
      <c r="X53" s="519"/>
      <c r="Y53" s="519"/>
      <c r="Z53" s="738">
        <f t="shared" si="3"/>
        <v>13</v>
      </c>
      <c r="AA53" s="580">
        <f t="shared" si="4"/>
        <v>0</v>
      </c>
      <c r="AB53" s="580">
        <f t="shared" si="5"/>
        <v>208000</v>
      </c>
      <c r="AC53" s="580">
        <f>'CHAM CONG'!V51</f>
        <v>0</v>
      </c>
      <c r="AD53" s="580">
        <f>'CHAM CONG'!W51</f>
        <v>0</v>
      </c>
      <c r="AE53" s="580">
        <f>'CHAM CONG'!X51</f>
        <v>0</v>
      </c>
      <c r="AF53" s="738">
        <f t="shared" si="6"/>
        <v>0</v>
      </c>
      <c r="AG53" s="580">
        <f t="shared" si="7"/>
        <v>0</v>
      </c>
      <c r="AH53" s="580">
        <f t="shared" si="17"/>
        <v>13</v>
      </c>
      <c r="AI53" s="580">
        <f t="shared" si="8"/>
        <v>13000</v>
      </c>
      <c r="AJ53" s="580">
        <f t="shared" si="9"/>
        <v>221000</v>
      </c>
      <c r="AK53" s="429">
        <f>'SAN LUONG'!AF52</f>
        <v>414</v>
      </c>
      <c r="AL53" s="429">
        <f>'SAN LUONG'!AG52</f>
        <v>269</v>
      </c>
      <c r="AM53" s="429">
        <f>'SAN LUONG'!AH52</f>
        <v>323</v>
      </c>
      <c r="AN53" s="429">
        <f>'SAN LUONG'!AI52</f>
        <v>0</v>
      </c>
      <c r="AO53" s="746">
        <f t="shared" si="10"/>
        <v>1006</v>
      </c>
      <c r="AP53" s="746">
        <f t="shared" si="11"/>
        <v>245665</v>
      </c>
      <c r="AQ53" s="746"/>
      <c r="AR53" s="746">
        <f t="shared" si="18"/>
        <v>0</v>
      </c>
      <c r="AS53" s="746"/>
      <c r="AT53" s="746">
        <f t="shared" si="19"/>
        <v>0</v>
      </c>
      <c r="AU53" s="747">
        <f>'SAN LUONG'!AU52</f>
        <v>0</v>
      </c>
      <c r="AV53" s="748">
        <f t="shared" si="12"/>
        <v>0</v>
      </c>
      <c r="AW53" s="757">
        <f t="shared" si="13"/>
        <v>0</v>
      </c>
      <c r="AX53" s="758">
        <f t="shared" si="14"/>
        <v>466665</v>
      </c>
      <c r="AY53" s="759"/>
      <c r="AZ53" s="759"/>
      <c r="BA53" s="759"/>
      <c r="BB53" s="760">
        <f t="shared" si="15"/>
        <v>466665</v>
      </c>
      <c r="BC53" s="763"/>
      <c r="BD53" s="639">
        <f t="shared" si="16"/>
        <v>14.61</v>
      </c>
      <c r="BE53" s="768"/>
      <c r="BF53" s="769"/>
    </row>
    <row r="54" spans="1:58" s="725" customFormat="1" ht="47.4" customHeight="1">
      <c r="A54" s="503">
        <v>45</v>
      </c>
      <c r="B54" s="504">
        <v>1</v>
      </c>
      <c r="C54" s="504">
        <v>45</v>
      </c>
      <c r="D54" s="728"/>
      <c r="E54" s="728"/>
      <c r="F54" s="728"/>
      <c r="G54" s="728" t="str">
        <f>'Tên Tháng 1'!E48</f>
        <v>គាន ខេន</v>
      </c>
      <c r="H54" s="728" t="str">
        <f>'Tên Tháng 1'!F48</f>
        <v>KEAN KHEN</v>
      </c>
      <c r="I54" s="519">
        <f>'CHAM CONG'!G52</f>
        <v>0</v>
      </c>
      <c r="J54" s="519" t="str">
        <f>'CHAM CONG'!H52</f>
        <v>x</v>
      </c>
      <c r="K54" s="519" t="str">
        <f>'CHAM CONG'!I52</f>
        <v>x</v>
      </c>
      <c r="L54" s="519">
        <f>'CHAM CONG'!J52</f>
        <v>0</v>
      </c>
      <c r="M54" s="519" t="str">
        <f>'CHAM CONG'!K52</f>
        <v>x</v>
      </c>
      <c r="N54" s="519" t="str">
        <f>'CHAM CONG'!L52</f>
        <v>x</v>
      </c>
      <c r="O54" s="519">
        <f>'CHAM CONG'!M52</f>
        <v>0</v>
      </c>
      <c r="P54" s="519" t="str">
        <f>'CHAM CONG'!N52</f>
        <v>x</v>
      </c>
      <c r="Q54" s="519" t="str">
        <f>'CHAM CONG'!O52</f>
        <v>x</v>
      </c>
      <c r="R54" s="519" t="str">
        <f>'CHAM CONG'!P52</f>
        <v>x</v>
      </c>
      <c r="S54" s="519" t="str">
        <f>'CHAM CONG'!Q52</f>
        <v>x</v>
      </c>
      <c r="T54" s="519" t="str">
        <f>'CHAM CONG'!R52</f>
        <v>x</v>
      </c>
      <c r="U54" s="519" t="str">
        <f>'CHAM CONG'!S52</f>
        <v>x</v>
      </c>
      <c r="V54" s="519">
        <f>'CHAM CONG'!T52</f>
        <v>0</v>
      </c>
      <c r="W54" s="519" t="str">
        <f>'CHAM CONG'!U52</f>
        <v>x</v>
      </c>
      <c r="X54" s="519"/>
      <c r="Y54" s="519"/>
      <c r="Z54" s="738">
        <f t="shared" si="3"/>
        <v>11</v>
      </c>
      <c r="AA54" s="580">
        <f t="shared" si="4"/>
        <v>0</v>
      </c>
      <c r="AB54" s="580">
        <f t="shared" si="5"/>
        <v>176000</v>
      </c>
      <c r="AC54" s="580">
        <f>'CHAM CONG'!V52</f>
        <v>0</v>
      </c>
      <c r="AD54" s="580">
        <f>'CHAM CONG'!W52</f>
        <v>0</v>
      </c>
      <c r="AE54" s="580">
        <f>'CHAM CONG'!X52</f>
        <v>0</v>
      </c>
      <c r="AF54" s="738">
        <f t="shared" si="6"/>
        <v>0</v>
      </c>
      <c r="AG54" s="580">
        <f t="shared" si="7"/>
        <v>0</v>
      </c>
      <c r="AH54" s="580">
        <f t="shared" si="17"/>
        <v>11</v>
      </c>
      <c r="AI54" s="580">
        <f t="shared" si="8"/>
        <v>11000</v>
      </c>
      <c r="AJ54" s="580">
        <f t="shared" si="9"/>
        <v>187000</v>
      </c>
      <c r="AK54" s="429">
        <f>'SAN LUONG'!AF53</f>
        <v>424</v>
      </c>
      <c r="AL54" s="429">
        <f>'SAN LUONG'!AG53</f>
        <v>285</v>
      </c>
      <c r="AM54" s="429">
        <f>'SAN LUONG'!AH53</f>
        <v>361</v>
      </c>
      <c r="AN54" s="429">
        <f>'SAN LUONG'!AI53</f>
        <v>0</v>
      </c>
      <c r="AO54" s="746">
        <f t="shared" si="10"/>
        <v>1070</v>
      </c>
      <c r="AP54" s="746">
        <f t="shared" si="11"/>
        <v>261294</v>
      </c>
      <c r="AQ54" s="746"/>
      <c r="AR54" s="746">
        <f t="shared" si="18"/>
        <v>0</v>
      </c>
      <c r="AS54" s="746"/>
      <c r="AT54" s="746">
        <f t="shared" si="19"/>
        <v>0</v>
      </c>
      <c r="AU54" s="747">
        <f>'SAN LUONG'!AU53</f>
        <v>0</v>
      </c>
      <c r="AV54" s="748">
        <f t="shared" si="12"/>
        <v>0</v>
      </c>
      <c r="AW54" s="757">
        <f t="shared" si="13"/>
        <v>0</v>
      </c>
      <c r="AX54" s="758">
        <f t="shared" si="14"/>
        <v>448294</v>
      </c>
      <c r="AY54" s="759"/>
      <c r="AZ54" s="759"/>
      <c r="BA54" s="759"/>
      <c r="BB54" s="760">
        <f t="shared" si="15"/>
        <v>448294</v>
      </c>
      <c r="BC54" s="763"/>
      <c r="BD54" s="639">
        <f t="shared" si="16"/>
        <v>14.03</v>
      </c>
      <c r="BE54" s="768"/>
      <c r="BF54" s="769"/>
    </row>
    <row r="55" spans="1:58" s="725" customFormat="1" ht="47.4" customHeight="1">
      <c r="A55" s="503">
        <v>46</v>
      </c>
      <c r="B55" s="504">
        <v>1</v>
      </c>
      <c r="C55" s="504">
        <v>46</v>
      </c>
      <c r="D55" s="728"/>
      <c r="E55" s="728"/>
      <c r="F55" s="728"/>
      <c r="G55" s="728" t="str">
        <f>'Tên Tháng 1'!E49</f>
        <v>ទួច សុភាន់</v>
      </c>
      <c r="H55" s="728" t="str">
        <f>'Tên Tháng 1'!F49</f>
        <v>TUOCH SOPHOIN</v>
      </c>
      <c r="I55" s="519">
        <f>'CHAM CONG'!G53</f>
        <v>0</v>
      </c>
      <c r="J55" s="519" t="str">
        <f>'CHAM CONG'!H53</f>
        <v>x</v>
      </c>
      <c r="K55" s="519" t="str">
        <f>'CHAM CONG'!I53</f>
        <v>x</v>
      </c>
      <c r="L55" s="519">
        <f>'CHAM CONG'!J53</f>
        <v>0</v>
      </c>
      <c r="M55" s="519" t="str">
        <f>'CHAM CONG'!K53</f>
        <v>x</v>
      </c>
      <c r="N55" s="519" t="str">
        <f>'CHAM CONG'!L53</f>
        <v>x</v>
      </c>
      <c r="O55" s="519" t="str">
        <f>'CHAM CONG'!M53</f>
        <v>x</v>
      </c>
      <c r="P55" s="519">
        <f>'CHAM CONG'!N53</f>
        <v>0</v>
      </c>
      <c r="Q55" s="519" t="str">
        <f>'CHAM CONG'!O53</f>
        <v>x</v>
      </c>
      <c r="R55" s="519" t="str">
        <f>'CHAM CONG'!P53</f>
        <v>x</v>
      </c>
      <c r="S55" s="519" t="str">
        <f>'CHAM CONG'!Q53</f>
        <v>x</v>
      </c>
      <c r="T55" s="519" t="str">
        <f>'CHAM CONG'!R53</f>
        <v>x</v>
      </c>
      <c r="U55" s="519" t="str">
        <f>'CHAM CONG'!S53</f>
        <v>x</v>
      </c>
      <c r="V55" s="519" t="str">
        <f>'CHAM CONG'!T53</f>
        <v>x</v>
      </c>
      <c r="W55" s="519" t="str">
        <f>'CHAM CONG'!U53</f>
        <v>x</v>
      </c>
      <c r="X55" s="519"/>
      <c r="Y55" s="519"/>
      <c r="Z55" s="738">
        <f t="shared" si="3"/>
        <v>12</v>
      </c>
      <c r="AA55" s="580">
        <f t="shared" si="4"/>
        <v>0</v>
      </c>
      <c r="AB55" s="580">
        <f t="shared" si="5"/>
        <v>192000</v>
      </c>
      <c r="AC55" s="580" t="str">
        <f>'CHAM CONG'!V53</f>
        <v>x</v>
      </c>
      <c r="AD55" s="580">
        <f>'CHAM CONG'!W53</f>
        <v>0</v>
      </c>
      <c r="AE55" s="580">
        <f>'CHAM CONG'!X53</f>
        <v>0</v>
      </c>
      <c r="AF55" s="738">
        <f t="shared" si="6"/>
        <v>1</v>
      </c>
      <c r="AG55" s="580">
        <f t="shared" si="7"/>
        <v>17000</v>
      </c>
      <c r="AH55" s="580">
        <f t="shared" si="17"/>
        <v>12</v>
      </c>
      <c r="AI55" s="580">
        <f t="shared" si="8"/>
        <v>12000</v>
      </c>
      <c r="AJ55" s="580">
        <f t="shared" si="9"/>
        <v>221000</v>
      </c>
      <c r="AK55" s="429">
        <f>'SAN LUONG'!AF54</f>
        <v>357</v>
      </c>
      <c r="AL55" s="429">
        <f>'SAN LUONG'!AG54</f>
        <v>441</v>
      </c>
      <c r="AM55" s="429">
        <f>'SAN LUONG'!AH54</f>
        <v>473</v>
      </c>
      <c r="AN55" s="429">
        <f>'SAN LUONG'!AI54</f>
        <v>0</v>
      </c>
      <c r="AO55" s="746">
        <f t="shared" si="10"/>
        <v>1271</v>
      </c>
      <c r="AP55" s="746">
        <f t="shared" si="11"/>
        <v>310378</v>
      </c>
      <c r="AQ55" s="746"/>
      <c r="AR55" s="746">
        <f t="shared" si="18"/>
        <v>0</v>
      </c>
      <c r="AS55" s="746"/>
      <c r="AT55" s="746">
        <f t="shared" si="19"/>
        <v>0</v>
      </c>
      <c r="AU55" s="747">
        <f>'SAN LUONG'!AU54</f>
        <v>0</v>
      </c>
      <c r="AV55" s="748">
        <f t="shared" si="12"/>
        <v>0</v>
      </c>
      <c r="AW55" s="757">
        <f t="shared" si="13"/>
        <v>0</v>
      </c>
      <c r="AX55" s="758">
        <f t="shared" si="14"/>
        <v>531378</v>
      </c>
      <c r="AY55" s="759"/>
      <c r="AZ55" s="759"/>
      <c r="BA55" s="759"/>
      <c r="BB55" s="760">
        <f t="shared" si="15"/>
        <v>531378</v>
      </c>
      <c r="BC55" s="763"/>
      <c r="BD55" s="639">
        <f t="shared" si="16"/>
        <v>16.63</v>
      </c>
      <c r="BE55" s="768"/>
      <c r="BF55" s="769"/>
    </row>
    <row r="56" spans="1:58" s="725" customFormat="1" ht="47.4" customHeight="1">
      <c r="A56" s="503">
        <v>47</v>
      </c>
      <c r="B56" s="504">
        <v>1</v>
      </c>
      <c r="C56" s="504">
        <v>47</v>
      </c>
      <c r="D56" s="728"/>
      <c r="E56" s="728"/>
      <c r="F56" s="728"/>
      <c r="G56" s="728" t="str">
        <f>'Tên Tháng 1'!E50</f>
        <v>ឆេង យីន</v>
      </c>
      <c r="H56" s="728" t="str">
        <f>'Tên Tháng 1'!F50</f>
        <v>CHHENG YIN</v>
      </c>
      <c r="I56" s="519" t="str">
        <f>'CHAM CONG'!G54</f>
        <v>x</v>
      </c>
      <c r="J56" s="519" t="str">
        <f>'CHAM CONG'!H54</f>
        <v>x</v>
      </c>
      <c r="K56" s="519" t="str">
        <f>'CHAM CONG'!I54</f>
        <v>x</v>
      </c>
      <c r="L56" s="519">
        <f>'CHAM CONG'!J54</f>
        <v>0</v>
      </c>
      <c r="M56" s="519" t="str">
        <f>'CHAM CONG'!K54</f>
        <v>x</v>
      </c>
      <c r="N56" s="519" t="str">
        <f>'CHAM CONG'!L54</f>
        <v>x</v>
      </c>
      <c r="O56" s="519">
        <f>'CHAM CONG'!M54</f>
        <v>0</v>
      </c>
      <c r="P56" s="519" t="str">
        <f>'CHAM CONG'!N54</f>
        <v>x</v>
      </c>
      <c r="Q56" s="519" t="str">
        <f>'CHAM CONG'!O54</f>
        <v>x</v>
      </c>
      <c r="R56" s="519" t="str">
        <f>'CHAM CONG'!P54</f>
        <v>x</v>
      </c>
      <c r="S56" s="519" t="str">
        <f>'CHAM CONG'!Q54</f>
        <v>x</v>
      </c>
      <c r="T56" s="519" t="str">
        <f>'CHAM CONG'!R54</f>
        <v>x</v>
      </c>
      <c r="U56" s="519">
        <f>'CHAM CONG'!S54</f>
        <v>0</v>
      </c>
      <c r="V56" s="519" t="str">
        <f>'CHAM CONG'!T54</f>
        <v>x</v>
      </c>
      <c r="W56" s="519" t="str">
        <f>'CHAM CONG'!U54</f>
        <v>x</v>
      </c>
      <c r="X56" s="519"/>
      <c r="Y56" s="519"/>
      <c r="Z56" s="738">
        <f t="shared" si="3"/>
        <v>12</v>
      </c>
      <c r="AA56" s="580">
        <f t="shared" si="4"/>
        <v>0</v>
      </c>
      <c r="AB56" s="580">
        <f t="shared" si="5"/>
        <v>192000</v>
      </c>
      <c r="AC56" s="580">
        <f>'CHAM CONG'!V54</f>
        <v>0</v>
      </c>
      <c r="AD56" s="580">
        <f>'CHAM CONG'!W54</f>
        <v>0</v>
      </c>
      <c r="AE56" s="580">
        <f>'CHAM CONG'!X54</f>
        <v>0</v>
      </c>
      <c r="AF56" s="738">
        <f t="shared" si="6"/>
        <v>0</v>
      </c>
      <c r="AG56" s="580">
        <f t="shared" si="7"/>
        <v>0</v>
      </c>
      <c r="AH56" s="580">
        <f t="shared" si="17"/>
        <v>12</v>
      </c>
      <c r="AI56" s="580">
        <f t="shared" si="8"/>
        <v>12000</v>
      </c>
      <c r="AJ56" s="580">
        <f t="shared" si="9"/>
        <v>204000</v>
      </c>
      <c r="AK56" s="429">
        <f>'SAN LUONG'!AF55</f>
        <v>219</v>
      </c>
      <c r="AL56" s="429">
        <f>'SAN LUONG'!AG55</f>
        <v>229</v>
      </c>
      <c r="AM56" s="429">
        <f>'SAN LUONG'!AH55</f>
        <v>145</v>
      </c>
      <c r="AN56" s="429">
        <f>'SAN LUONG'!AI55</f>
        <v>0</v>
      </c>
      <c r="AO56" s="746">
        <f t="shared" si="10"/>
        <v>593</v>
      </c>
      <c r="AP56" s="746">
        <f>ROUND(AO56*0.44*$AP$8,0)-2</f>
        <v>144809</v>
      </c>
      <c r="AQ56" s="746"/>
      <c r="AR56" s="746">
        <f t="shared" si="18"/>
        <v>0</v>
      </c>
      <c r="AS56" s="746"/>
      <c r="AT56" s="746">
        <f t="shared" si="19"/>
        <v>0</v>
      </c>
      <c r="AU56" s="747">
        <f>'SAN LUONG'!AU55</f>
        <v>0</v>
      </c>
      <c r="AV56" s="748">
        <f t="shared" si="12"/>
        <v>0</v>
      </c>
      <c r="AW56" s="757">
        <f t="shared" si="13"/>
        <v>0</v>
      </c>
      <c r="AX56" s="758">
        <f t="shared" si="14"/>
        <v>348809</v>
      </c>
      <c r="AY56" s="759"/>
      <c r="AZ56" s="759"/>
      <c r="BA56" s="759"/>
      <c r="BB56" s="760">
        <f t="shared" si="15"/>
        <v>348809</v>
      </c>
      <c r="BC56" s="764">
        <f>SUM(BB10:BB56)</f>
        <v>22034420</v>
      </c>
      <c r="BD56" s="639">
        <f t="shared" si="16"/>
        <v>10.92</v>
      </c>
      <c r="BE56" s="768"/>
      <c r="BF56" s="769"/>
    </row>
    <row r="57" spans="1:58" s="725" customFormat="1" ht="35.4" customHeight="1">
      <c r="A57" s="503">
        <v>48</v>
      </c>
      <c r="B57" s="504">
        <v>4</v>
      </c>
      <c r="C57" s="504">
        <v>137</v>
      </c>
      <c r="D57" s="728"/>
      <c r="E57" s="728"/>
      <c r="F57" s="728"/>
      <c r="G57" s="728" t="str">
        <f>'Tên Tháng 1'!E51</f>
        <v>ឆែម អ៊ិន</v>
      </c>
      <c r="H57" s="728" t="str">
        <f>'Tên Tháng 1'!F51</f>
        <v>CHHEM IN</v>
      </c>
      <c r="I57" s="519" t="str">
        <f>'CHAM CONG'!G55</f>
        <v>x</v>
      </c>
      <c r="J57" s="519" t="str">
        <f>'CHAM CONG'!H55</f>
        <v>x</v>
      </c>
      <c r="K57" s="519" t="str">
        <f>'CHAM CONG'!I55</f>
        <v>x</v>
      </c>
      <c r="L57" s="519" t="str">
        <f>'CHAM CONG'!J55</f>
        <v>x</v>
      </c>
      <c r="M57" s="519" t="str">
        <f>'CHAM CONG'!K55</f>
        <v>x</v>
      </c>
      <c r="N57" s="519" t="str">
        <f>'CHAM CONG'!L55</f>
        <v>x</v>
      </c>
      <c r="O57" s="519" t="str">
        <f>'CHAM CONG'!M55</f>
        <v>x</v>
      </c>
      <c r="P57" s="519" t="str">
        <f>'CHAM CONG'!N55</f>
        <v>x</v>
      </c>
      <c r="Q57" s="519" t="str">
        <f>'CHAM CONG'!O55</f>
        <v>x</v>
      </c>
      <c r="R57" s="519" t="str">
        <f>'CHAM CONG'!P55</f>
        <v>x</v>
      </c>
      <c r="S57" s="519" t="str">
        <f>'CHAM CONG'!Q55</f>
        <v>x</v>
      </c>
      <c r="T57" s="519" t="str">
        <f>'CHAM CONG'!R55</f>
        <v>x</v>
      </c>
      <c r="U57" s="519" t="str">
        <f>'CHAM CONG'!S55</f>
        <v>x</v>
      </c>
      <c r="V57" s="519" t="str">
        <f>'CHAM CONG'!T55</f>
        <v>x</v>
      </c>
      <c r="W57" s="519" t="str">
        <f>'CHAM CONG'!U55</f>
        <v>x</v>
      </c>
      <c r="X57" s="519"/>
      <c r="Y57" s="519"/>
      <c r="Z57" s="738">
        <f t="shared" si="3"/>
        <v>15</v>
      </c>
      <c r="AA57" s="580">
        <f t="shared" si="4"/>
        <v>0</v>
      </c>
      <c r="AB57" s="580">
        <f t="shared" si="5"/>
        <v>240000</v>
      </c>
      <c r="AC57" s="580">
        <f>'CHAM CONG'!V55</f>
        <v>0</v>
      </c>
      <c r="AD57" s="580" t="str">
        <f>'CHAM CONG'!W55</f>
        <v>x</v>
      </c>
      <c r="AE57" s="580">
        <f>'CHAM CONG'!X55</f>
        <v>0</v>
      </c>
      <c r="AF57" s="738">
        <f t="shared" si="6"/>
        <v>1</v>
      </c>
      <c r="AG57" s="580">
        <f t="shared" si="7"/>
        <v>17000</v>
      </c>
      <c r="AH57" s="580">
        <f t="shared" si="17"/>
        <v>15</v>
      </c>
      <c r="AI57" s="580">
        <f t="shared" si="8"/>
        <v>15000</v>
      </c>
      <c r="AJ57" s="580">
        <f t="shared" si="9"/>
        <v>272000</v>
      </c>
      <c r="AK57" s="429">
        <f>'SAN LUONG'!AF56</f>
        <v>200</v>
      </c>
      <c r="AL57" s="429">
        <f>'SAN LUONG'!AG56</f>
        <v>368</v>
      </c>
      <c r="AM57" s="429">
        <f>'SAN LUONG'!AH56</f>
        <v>357</v>
      </c>
      <c r="AN57" s="429">
        <f>'SAN LUONG'!AI56</f>
        <v>206</v>
      </c>
      <c r="AO57" s="746"/>
      <c r="AP57" s="746">
        <f t="shared" si="11"/>
        <v>0</v>
      </c>
      <c r="AQ57" s="746"/>
      <c r="AR57" s="746">
        <f t="shared" si="18"/>
        <v>0</v>
      </c>
      <c r="AS57" s="746">
        <f>SUM(AK57:AN57)</f>
        <v>1131</v>
      </c>
      <c r="AT57" s="746">
        <f t="shared" si="19"/>
        <v>226426</v>
      </c>
      <c r="AU57" s="747">
        <f>'SAN LUONG'!AU56</f>
        <v>0</v>
      </c>
      <c r="AV57" s="748">
        <f t="shared" si="12"/>
        <v>0</v>
      </c>
      <c r="AW57" s="757">
        <f t="shared" si="13"/>
        <v>0</v>
      </c>
      <c r="AX57" s="758">
        <f t="shared" si="14"/>
        <v>498426</v>
      </c>
      <c r="AY57" s="759"/>
      <c r="AZ57" s="759"/>
      <c r="BA57" s="759"/>
      <c r="BB57" s="760">
        <f t="shared" si="15"/>
        <v>498426</v>
      </c>
      <c r="BC57" s="763"/>
      <c r="BD57" s="639">
        <f t="shared" si="16"/>
        <v>15.6</v>
      </c>
      <c r="BE57" s="768"/>
      <c r="BF57" s="769"/>
    </row>
    <row r="58" spans="1:58" s="725" customFormat="1" ht="35.4" customHeight="1">
      <c r="A58" s="503">
        <v>49</v>
      </c>
      <c r="B58" s="504">
        <v>4</v>
      </c>
      <c r="C58" s="504">
        <v>138</v>
      </c>
      <c r="D58" s="728"/>
      <c r="E58" s="728"/>
      <c r="F58" s="728"/>
      <c r="G58" s="728" t="str">
        <f>'Tên Tháng 1'!E52</f>
        <v>វឿន លីម</v>
      </c>
      <c r="H58" s="728" t="str">
        <f>'Tên Tháng 1'!F52</f>
        <v>VOEUN LIM</v>
      </c>
      <c r="I58" s="519" t="str">
        <f>'CHAM CONG'!G56</f>
        <v>x</v>
      </c>
      <c r="J58" s="519" t="str">
        <f>'CHAM CONG'!H56</f>
        <v>x</v>
      </c>
      <c r="K58" s="519" t="str">
        <f>'CHAM CONG'!I56</f>
        <v>x</v>
      </c>
      <c r="L58" s="519" t="str">
        <f>'CHAM CONG'!J56</f>
        <v>x</v>
      </c>
      <c r="M58" s="519" t="str">
        <f>'CHAM CONG'!K56</f>
        <v>x</v>
      </c>
      <c r="N58" s="519" t="str">
        <f>'CHAM CONG'!L56</f>
        <v>x</v>
      </c>
      <c r="O58" s="519" t="str">
        <f>'CHAM CONG'!M56</f>
        <v>x</v>
      </c>
      <c r="P58" s="519" t="str">
        <f>'CHAM CONG'!N56</f>
        <v>x</v>
      </c>
      <c r="Q58" s="519" t="str">
        <f>'CHAM CONG'!O56</f>
        <v>x</v>
      </c>
      <c r="R58" s="519" t="str">
        <f>'CHAM CONG'!P56</f>
        <v>x</v>
      </c>
      <c r="S58" s="519" t="str">
        <f>'CHAM CONG'!Q56</f>
        <v>x</v>
      </c>
      <c r="T58" s="519" t="str">
        <f>'CHAM CONG'!R56</f>
        <v>x</v>
      </c>
      <c r="U58" s="519" t="str">
        <f>'CHAM CONG'!S56</f>
        <v>x</v>
      </c>
      <c r="V58" s="519" t="str">
        <f>'CHAM CONG'!T56</f>
        <v>x</v>
      </c>
      <c r="W58" s="519" t="str">
        <f>'CHAM CONG'!U56</f>
        <v>x</v>
      </c>
      <c r="X58" s="519"/>
      <c r="Y58" s="519"/>
      <c r="Z58" s="738">
        <f t="shared" si="3"/>
        <v>15</v>
      </c>
      <c r="AA58" s="580">
        <f t="shared" si="4"/>
        <v>0</v>
      </c>
      <c r="AB58" s="580">
        <f t="shared" si="5"/>
        <v>240000</v>
      </c>
      <c r="AC58" s="580">
        <f>'CHAM CONG'!V56</f>
        <v>0</v>
      </c>
      <c r="AD58" s="580" t="str">
        <f>'CHAM CONG'!W56</f>
        <v>x</v>
      </c>
      <c r="AE58" s="580">
        <f>'CHAM CONG'!X56</f>
        <v>0</v>
      </c>
      <c r="AF58" s="738">
        <f t="shared" si="6"/>
        <v>1</v>
      </c>
      <c r="AG58" s="580">
        <f t="shared" si="7"/>
        <v>17000</v>
      </c>
      <c r="AH58" s="580">
        <f t="shared" si="17"/>
        <v>15</v>
      </c>
      <c r="AI58" s="580">
        <f t="shared" si="8"/>
        <v>15000</v>
      </c>
      <c r="AJ58" s="580">
        <f t="shared" si="9"/>
        <v>272000</v>
      </c>
      <c r="AK58" s="429">
        <f>'SAN LUONG'!AF57</f>
        <v>292</v>
      </c>
      <c r="AL58" s="429">
        <f>'SAN LUONG'!AG57</f>
        <v>338</v>
      </c>
      <c r="AM58" s="429">
        <f>'SAN LUONG'!AH57</f>
        <v>341</v>
      </c>
      <c r="AN58" s="429">
        <f>'SAN LUONG'!AI57</f>
        <v>394</v>
      </c>
      <c r="AO58" s="746"/>
      <c r="AP58" s="746">
        <f t="shared" si="11"/>
        <v>0</v>
      </c>
      <c r="AQ58" s="746"/>
      <c r="AR58" s="746">
        <f t="shared" si="18"/>
        <v>0</v>
      </c>
      <c r="AS58" s="746">
        <f t="shared" ref="AS58:AS64" si="20">SUM(AK58:AN58)</f>
        <v>1365</v>
      </c>
      <c r="AT58" s="746">
        <f t="shared" si="19"/>
        <v>273273</v>
      </c>
      <c r="AU58" s="747">
        <f>'SAN LUONG'!AU57</f>
        <v>0</v>
      </c>
      <c r="AV58" s="748">
        <f t="shared" si="12"/>
        <v>0</v>
      </c>
      <c r="AW58" s="757">
        <f t="shared" si="13"/>
        <v>0</v>
      </c>
      <c r="AX58" s="758">
        <f t="shared" si="14"/>
        <v>545273</v>
      </c>
      <c r="AY58" s="759"/>
      <c r="AZ58" s="759"/>
      <c r="BA58" s="759"/>
      <c r="BB58" s="760">
        <f t="shared" si="15"/>
        <v>545273</v>
      </c>
      <c r="BC58" s="763"/>
      <c r="BD58" s="639">
        <f t="shared" si="16"/>
        <v>17.07</v>
      </c>
      <c r="BE58" s="768"/>
      <c r="BF58" s="769"/>
    </row>
    <row r="59" spans="1:58" s="725" customFormat="1" ht="33" customHeight="1">
      <c r="A59" s="503">
        <v>50</v>
      </c>
      <c r="B59" s="504">
        <v>4</v>
      </c>
      <c r="C59" s="504">
        <v>139</v>
      </c>
      <c r="D59" s="728"/>
      <c r="E59" s="728"/>
      <c r="F59" s="728"/>
      <c r="G59" s="728" t="str">
        <f>'Tên Tháng 1'!E53</f>
        <v>ហោ យ៉ាន</v>
      </c>
      <c r="H59" s="728" t="str">
        <f>'Tên Tháng 1'!F53</f>
        <v>HO YAN</v>
      </c>
      <c r="I59" s="519" t="str">
        <f>'CHAM CONG'!G57</f>
        <v>x</v>
      </c>
      <c r="J59" s="519" t="str">
        <f>'CHAM CONG'!H57</f>
        <v>x</v>
      </c>
      <c r="K59" s="519" t="str">
        <f>'CHAM CONG'!I57</f>
        <v>x</v>
      </c>
      <c r="L59" s="519" t="str">
        <f>'CHAM CONG'!J57</f>
        <v>x</v>
      </c>
      <c r="M59" s="519" t="str">
        <f>'CHAM CONG'!K57</f>
        <v>x</v>
      </c>
      <c r="N59" s="519" t="str">
        <f>'CHAM CONG'!L57</f>
        <v>x</v>
      </c>
      <c r="O59" s="519" t="str">
        <f>'CHAM CONG'!M57</f>
        <v>x</v>
      </c>
      <c r="P59" s="519" t="str">
        <f>'CHAM CONG'!N57</f>
        <v>x</v>
      </c>
      <c r="Q59" s="519" t="str">
        <f>'CHAM CONG'!O57</f>
        <v>x</v>
      </c>
      <c r="R59" s="519" t="str">
        <f>'CHAM CONG'!P57</f>
        <v>x</v>
      </c>
      <c r="S59" s="519" t="str">
        <f>'CHAM CONG'!Q57</f>
        <v>x</v>
      </c>
      <c r="T59" s="519" t="str">
        <f>'CHAM CONG'!R57</f>
        <v>x</v>
      </c>
      <c r="U59" s="519" t="str">
        <f>'CHAM CONG'!S57</f>
        <v>x</v>
      </c>
      <c r="V59" s="519" t="str">
        <f>'CHAM CONG'!T57</f>
        <v>x</v>
      </c>
      <c r="W59" s="519" t="str">
        <f>'CHAM CONG'!U57</f>
        <v>x</v>
      </c>
      <c r="X59" s="519"/>
      <c r="Y59" s="519"/>
      <c r="Z59" s="738">
        <f t="shared" si="3"/>
        <v>15</v>
      </c>
      <c r="AA59" s="580">
        <f t="shared" si="4"/>
        <v>0</v>
      </c>
      <c r="AB59" s="580">
        <f t="shared" si="5"/>
        <v>240000</v>
      </c>
      <c r="AC59" s="580">
        <f>'CHAM CONG'!V57</f>
        <v>0</v>
      </c>
      <c r="AD59" s="580" t="str">
        <f>'CHAM CONG'!W57</f>
        <v>x</v>
      </c>
      <c r="AE59" s="580">
        <f>'CHAM CONG'!X57</f>
        <v>0</v>
      </c>
      <c r="AF59" s="738">
        <f t="shared" si="6"/>
        <v>1</v>
      </c>
      <c r="AG59" s="580">
        <f t="shared" si="7"/>
        <v>17000</v>
      </c>
      <c r="AH59" s="580">
        <f t="shared" si="17"/>
        <v>15</v>
      </c>
      <c r="AI59" s="580">
        <f t="shared" si="8"/>
        <v>15000</v>
      </c>
      <c r="AJ59" s="580">
        <f t="shared" si="9"/>
        <v>272000</v>
      </c>
      <c r="AK59" s="429">
        <f>'SAN LUONG'!AF58</f>
        <v>216</v>
      </c>
      <c r="AL59" s="429">
        <f>'SAN LUONG'!AG58</f>
        <v>465</v>
      </c>
      <c r="AM59" s="429">
        <f>'SAN LUONG'!AH58</f>
        <v>326</v>
      </c>
      <c r="AN59" s="429">
        <f>'SAN LUONG'!AI58</f>
        <v>388</v>
      </c>
      <c r="AO59" s="746"/>
      <c r="AP59" s="746">
        <f t="shared" si="11"/>
        <v>0</v>
      </c>
      <c r="AQ59" s="746"/>
      <c r="AR59" s="746">
        <f t="shared" si="18"/>
        <v>0</v>
      </c>
      <c r="AS59" s="746">
        <f t="shared" si="20"/>
        <v>1395</v>
      </c>
      <c r="AT59" s="746">
        <f t="shared" si="19"/>
        <v>279279</v>
      </c>
      <c r="AU59" s="747">
        <f>'SAN LUONG'!AU58</f>
        <v>0</v>
      </c>
      <c r="AV59" s="748">
        <f t="shared" si="12"/>
        <v>0</v>
      </c>
      <c r="AW59" s="757">
        <f t="shared" si="13"/>
        <v>0</v>
      </c>
      <c r="AX59" s="758">
        <f t="shared" si="14"/>
        <v>551279</v>
      </c>
      <c r="AY59" s="759"/>
      <c r="AZ59" s="759"/>
      <c r="BA59" s="759"/>
      <c r="BB59" s="760">
        <f t="shared" si="15"/>
        <v>551279</v>
      </c>
      <c r="BC59" s="763"/>
      <c r="BD59" s="639">
        <f t="shared" si="16"/>
        <v>17.260000000000002</v>
      </c>
      <c r="BE59" s="768"/>
      <c r="BF59" s="769"/>
    </row>
    <row r="60" spans="1:58" s="725" customFormat="1" ht="33" customHeight="1">
      <c r="A60" s="503">
        <v>51</v>
      </c>
      <c r="B60" s="504">
        <v>4</v>
      </c>
      <c r="C60" s="504">
        <v>140</v>
      </c>
      <c r="D60" s="728"/>
      <c r="E60" s="728"/>
      <c r="F60" s="728"/>
      <c r="G60" s="728" t="str">
        <f>'Tên Tháng 1'!E54</f>
        <v>តោ ទឿន</v>
      </c>
      <c r="H60" s="728" t="str">
        <f>'Tên Tháng 1'!F54</f>
        <v>TOR TOEUN</v>
      </c>
      <c r="I60" s="519">
        <f>'CHAM CONG'!G58</f>
        <v>0</v>
      </c>
      <c r="J60" s="519" t="str">
        <f>'CHAM CONG'!H58</f>
        <v>x</v>
      </c>
      <c r="K60" s="519" t="str">
        <f>'CHAM CONG'!I58</f>
        <v>x</v>
      </c>
      <c r="L60" s="519" t="str">
        <f>'CHAM CONG'!J58</f>
        <v>x</v>
      </c>
      <c r="M60" s="519" t="str">
        <f>'CHAM CONG'!K58</f>
        <v>x</v>
      </c>
      <c r="N60" s="519" t="str">
        <f>'CHAM CONG'!L58</f>
        <v>x</v>
      </c>
      <c r="O60" s="519">
        <f>'CHAM CONG'!M58</f>
        <v>0</v>
      </c>
      <c r="P60" s="519" t="str">
        <f>'CHAM CONG'!N58</f>
        <v>x</v>
      </c>
      <c r="Q60" s="519" t="str">
        <f>'CHAM CONG'!O58</f>
        <v>x</v>
      </c>
      <c r="R60" s="519" t="str">
        <f>'CHAM CONG'!P58</f>
        <v>x</v>
      </c>
      <c r="S60" s="519" t="str">
        <f>'CHAM CONG'!Q58</f>
        <v>x</v>
      </c>
      <c r="T60" s="519" t="str">
        <f>'CHAM CONG'!R58</f>
        <v>x</v>
      </c>
      <c r="U60" s="519" t="str">
        <f>'CHAM CONG'!S58</f>
        <v>x</v>
      </c>
      <c r="V60" s="519" t="str">
        <f>'CHAM CONG'!T58</f>
        <v>x</v>
      </c>
      <c r="W60" s="519" t="str">
        <f>'CHAM CONG'!U58</f>
        <v>x</v>
      </c>
      <c r="X60" s="519"/>
      <c r="Y60" s="519"/>
      <c r="Z60" s="738">
        <f t="shared" si="3"/>
        <v>13</v>
      </c>
      <c r="AA60" s="580">
        <f t="shared" si="4"/>
        <v>0</v>
      </c>
      <c r="AB60" s="580">
        <f t="shared" si="5"/>
        <v>208000</v>
      </c>
      <c r="AC60" s="580">
        <f>'CHAM CONG'!V58</f>
        <v>0</v>
      </c>
      <c r="AD60" s="580" t="str">
        <f>'CHAM CONG'!W58</f>
        <v>x</v>
      </c>
      <c r="AE60" s="580">
        <f>'CHAM CONG'!X58</f>
        <v>0</v>
      </c>
      <c r="AF60" s="738">
        <f t="shared" si="6"/>
        <v>1</v>
      </c>
      <c r="AG60" s="580">
        <f t="shared" si="7"/>
        <v>17000</v>
      </c>
      <c r="AH60" s="580">
        <f t="shared" si="17"/>
        <v>13</v>
      </c>
      <c r="AI60" s="580">
        <f t="shared" si="8"/>
        <v>13000</v>
      </c>
      <c r="AJ60" s="580">
        <f t="shared" si="9"/>
        <v>238000</v>
      </c>
      <c r="AK60" s="429">
        <f>'SAN LUONG'!AF59</f>
        <v>194</v>
      </c>
      <c r="AL60" s="429">
        <f>'SAN LUONG'!AG59</f>
        <v>258</v>
      </c>
      <c r="AM60" s="429">
        <f>'SAN LUONG'!AH59</f>
        <v>222</v>
      </c>
      <c r="AN60" s="429">
        <f>'SAN LUONG'!AI59</f>
        <v>351</v>
      </c>
      <c r="AO60" s="746"/>
      <c r="AP60" s="746">
        <f t="shared" si="11"/>
        <v>0</v>
      </c>
      <c r="AQ60" s="746"/>
      <c r="AR60" s="746">
        <f t="shared" si="18"/>
        <v>0</v>
      </c>
      <c r="AS60" s="746">
        <f t="shared" si="20"/>
        <v>1025</v>
      </c>
      <c r="AT60" s="746">
        <f t="shared" si="19"/>
        <v>205205</v>
      </c>
      <c r="AU60" s="747">
        <f>'SAN LUONG'!AU59</f>
        <v>0</v>
      </c>
      <c r="AV60" s="748">
        <f t="shared" si="12"/>
        <v>0</v>
      </c>
      <c r="AW60" s="757">
        <f t="shared" si="13"/>
        <v>0</v>
      </c>
      <c r="AX60" s="758">
        <f t="shared" si="14"/>
        <v>443205</v>
      </c>
      <c r="AY60" s="759"/>
      <c r="AZ60" s="759"/>
      <c r="BA60" s="759"/>
      <c r="BB60" s="760">
        <f t="shared" si="15"/>
        <v>443205</v>
      </c>
      <c r="BC60" s="763"/>
      <c r="BD60" s="639">
        <f t="shared" si="16"/>
        <v>13.87</v>
      </c>
      <c r="BE60" s="768"/>
      <c r="BF60" s="769"/>
    </row>
    <row r="61" spans="1:58" s="725" customFormat="1" ht="33" customHeight="1">
      <c r="A61" s="503">
        <v>52</v>
      </c>
      <c r="B61" s="504">
        <v>4</v>
      </c>
      <c r="C61" s="504">
        <v>141</v>
      </c>
      <c r="D61" s="728"/>
      <c r="E61" s="728"/>
      <c r="F61" s="728"/>
      <c r="G61" s="728" t="str">
        <f>'Tên Tháng 1'!E55</f>
        <v>ញ៉ុវ ញឹម</v>
      </c>
      <c r="H61" s="728" t="str">
        <f>'Tên Tháng 1'!F55</f>
        <v>NHOV NHIM</v>
      </c>
      <c r="I61" s="519" t="str">
        <f>'CHAM CONG'!G59</f>
        <v>x</v>
      </c>
      <c r="J61" s="519" t="str">
        <f>'CHAM CONG'!H59</f>
        <v>x</v>
      </c>
      <c r="K61" s="519" t="str">
        <f>'CHAM CONG'!I59</f>
        <v>x</v>
      </c>
      <c r="L61" s="519" t="str">
        <f>'CHAM CONG'!J59</f>
        <v>x</v>
      </c>
      <c r="M61" s="519" t="str">
        <f>'CHAM CONG'!K59</f>
        <v>x</v>
      </c>
      <c r="N61" s="519" t="str">
        <f>'CHAM CONG'!L59</f>
        <v>x</v>
      </c>
      <c r="O61" s="519" t="str">
        <f>'CHAM CONG'!M59</f>
        <v>x</v>
      </c>
      <c r="P61" s="519" t="str">
        <f>'CHAM CONG'!N59</f>
        <v>x</v>
      </c>
      <c r="Q61" s="519" t="str">
        <f>'CHAM CONG'!O59</f>
        <v>x</v>
      </c>
      <c r="R61" s="519" t="str">
        <f>'CHAM CONG'!P59</f>
        <v>x</v>
      </c>
      <c r="S61" s="519" t="str">
        <f>'CHAM CONG'!Q59</f>
        <v>x</v>
      </c>
      <c r="T61" s="519" t="str">
        <f>'CHAM CONG'!R59</f>
        <v>x</v>
      </c>
      <c r="U61" s="519" t="str">
        <f>'CHAM CONG'!S59</f>
        <v>x</v>
      </c>
      <c r="V61" s="519" t="str">
        <f>'CHAM CONG'!T59</f>
        <v>x</v>
      </c>
      <c r="W61" s="519" t="str">
        <f>'CHAM CONG'!U59</f>
        <v>x</v>
      </c>
      <c r="X61" s="519"/>
      <c r="Y61" s="519"/>
      <c r="Z61" s="738">
        <f t="shared" si="3"/>
        <v>15</v>
      </c>
      <c r="AA61" s="580">
        <f t="shared" si="4"/>
        <v>0</v>
      </c>
      <c r="AB61" s="580">
        <f t="shared" si="5"/>
        <v>240000</v>
      </c>
      <c r="AC61" s="580">
        <f>'CHAM CONG'!V59</f>
        <v>0</v>
      </c>
      <c r="AD61" s="580" t="str">
        <f>'CHAM CONG'!W59</f>
        <v>x</v>
      </c>
      <c r="AE61" s="580">
        <f>'CHAM CONG'!X59</f>
        <v>0</v>
      </c>
      <c r="AF61" s="738">
        <f t="shared" si="6"/>
        <v>1</v>
      </c>
      <c r="AG61" s="580">
        <f t="shared" si="7"/>
        <v>17000</v>
      </c>
      <c r="AH61" s="580">
        <f t="shared" si="17"/>
        <v>15</v>
      </c>
      <c r="AI61" s="580">
        <f t="shared" si="8"/>
        <v>15000</v>
      </c>
      <c r="AJ61" s="580">
        <f t="shared" si="9"/>
        <v>272000</v>
      </c>
      <c r="AK61" s="429">
        <f>'SAN LUONG'!AF60</f>
        <v>210</v>
      </c>
      <c r="AL61" s="429">
        <f>'SAN LUONG'!AG60</f>
        <v>263</v>
      </c>
      <c r="AM61" s="429">
        <f>'SAN LUONG'!AH60</f>
        <v>130</v>
      </c>
      <c r="AN61" s="429">
        <f>'SAN LUONG'!AI60</f>
        <v>362</v>
      </c>
      <c r="AO61" s="746"/>
      <c r="AP61" s="746">
        <f t="shared" si="11"/>
        <v>0</v>
      </c>
      <c r="AQ61" s="746"/>
      <c r="AR61" s="746">
        <f t="shared" si="18"/>
        <v>0</v>
      </c>
      <c r="AS61" s="746">
        <f t="shared" si="20"/>
        <v>965</v>
      </c>
      <c r="AT61" s="746">
        <f t="shared" si="19"/>
        <v>193193</v>
      </c>
      <c r="AU61" s="747">
        <f>'SAN LUONG'!AU60</f>
        <v>0</v>
      </c>
      <c r="AV61" s="748">
        <f t="shared" si="12"/>
        <v>0</v>
      </c>
      <c r="AW61" s="757">
        <f t="shared" si="13"/>
        <v>0</v>
      </c>
      <c r="AX61" s="758">
        <f t="shared" si="14"/>
        <v>465193</v>
      </c>
      <c r="AY61" s="759"/>
      <c r="AZ61" s="759"/>
      <c r="BA61" s="759"/>
      <c r="BB61" s="760">
        <f t="shared" si="15"/>
        <v>465193</v>
      </c>
      <c r="BC61" s="763"/>
      <c r="BD61" s="639">
        <f t="shared" si="16"/>
        <v>14.56</v>
      </c>
      <c r="BE61" s="768"/>
      <c r="BF61" s="769"/>
    </row>
    <row r="62" spans="1:58" s="725" customFormat="1" ht="33" customHeight="1">
      <c r="A62" s="503">
        <v>53</v>
      </c>
      <c r="B62" s="504">
        <v>4</v>
      </c>
      <c r="C62" s="504">
        <v>142</v>
      </c>
      <c r="D62" s="728"/>
      <c r="E62" s="728"/>
      <c r="F62" s="728"/>
      <c r="G62" s="728" t="str">
        <f>'Tên Tháng 1'!E56</f>
        <v>តូច ចាន់លី</v>
      </c>
      <c r="H62" s="728" t="str">
        <f>'Tên Tháng 1'!F56</f>
        <v>TOUCH CHANLY</v>
      </c>
      <c r="I62" s="519" t="str">
        <f>'CHAM CONG'!G60</f>
        <v>x</v>
      </c>
      <c r="J62" s="519" t="str">
        <f>'CHAM CONG'!H60</f>
        <v>x</v>
      </c>
      <c r="K62" s="519" t="str">
        <f>'CHAM CONG'!I60</f>
        <v>x</v>
      </c>
      <c r="L62" s="519">
        <f>'CHAM CONG'!J60</f>
        <v>0</v>
      </c>
      <c r="M62" s="519" t="str">
        <f>'CHAM CONG'!K60</f>
        <v>x</v>
      </c>
      <c r="N62" s="519" t="str">
        <f>'CHAM CONG'!L60</f>
        <v>x</v>
      </c>
      <c r="O62" s="519" t="str">
        <f>'CHAM CONG'!M60</f>
        <v>x</v>
      </c>
      <c r="P62" s="519" t="str">
        <f>'CHAM CONG'!N60</f>
        <v>x</v>
      </c>
      <c r="Q62" s="519" t="str">
        <f>'CHAM CONG'!O60</f>
        <v>x</v>
      </c>
      <c r="R62" s="519" t="str">
        <f>'CHAM CONG'!P60</f>
        <v>x</v>
      </c>
      <c r="S62" s="519" t="str">
        <f>'CHAM CONG'!Q60</f>
        <v>x</v>
      </c>
      <c r="T62" s="519" t="str">
        <f>'CHAM CONG'!R60</f>
        <v>x</v>
      </c>
      <c r="U62" s="519" t="str">
        <f>'CHAM CONG'!S60</f>
        <v>x</v>
      </c>
      <c r="V62" s="519" t="str">
        <f>'CHAM CONG'!T60</f>
        <v>x</v>
      </c>
      <c r="W62" s="519" t="str">
        <f>'CHAM CONG'!U60</f>
        <v>x</v>
      </c>
      <c r="X62" s="519"/>
      <c r="Y62" s="519"/>
      <c r="Z62" s="738">
        <f t="shared" si="3"/>
        <v>14</v>
      </c>
      <c r="AA62" s="580">
        <f t="shared" si="4"/>
        <v>0</v>
      </c>
      <c r="AB62" s="580">
        <f t="shared" si="5"/>
        <v>224000</v>
      </c>
      <c r="AC62" s="580">
        <f>'CHAM CONG'!V60</f>
        <v>0</v>
      </c>
      <c r="AD62" s="580" t="str">
        <f>'CHAM CONG'!W60</f>
        <v>x</v>
      </c>
      <c r="AE62" s="580">
        <f>'CHAM CONG'!X60</f>
        <v>0</v>
      </c>
      <c r="AF62" s="738">
        <f t="shared" si="6"/>
        <v>1</v>
      </c>
      <c r="AG62" s="580">
        <f t="shared" si="7"/>
        <v>17000</v>
      </c>
      <c r="AH62" s="580">
        <f t="shared" si="17"/>
        <v>14</v>
      </c>
      <c r="AI62" s="580">
        <f t="shared" si="8"/>
        <v>14000</v>
      </c>
      <c r="AJ62" s="580">
        <f t="shared" si="9"/>
        <v>255000</v>
      </c>
      <c r="AK62" s="429">
        <f>'SAN LUONG'!AF61</f>
        <v>229</v>
      </c>
      <c r="AL62" s="429">
        <f>'SAN LUONG'!AG61</f>
        <v>353</v>
      </c>
      <c r="AM62" s="429">
        <f>'SAN LUONG'!AH61</f>
        <v>165</v>
      </c>
      <c r="AN62" s="429">
        <f>'SAN LUONG'!AI61</f>
        <v>381</v>
      </c>
      <c r="AO62" s="746"/>
      <c r="AP62" s="746">
        <f t="shared" si="11"/>
        <v>0</v>
      </c>
      <c r="AQ62" s="746"/>
      <c r="AR62" s="746">
        <f t="shared" si="18"/>
        <v>0</v>
      </c>
      <c r="AS62" s="746">
        <f t="shared" si="20"/>
        <v>1128</v>
      </c>
      <c r="AT62" s="746">
        <f t="shared" si="19"/>
        <v>225826</v>
      </c>
      <c r="AU62" s="747">
        <f>'SAN LUONG'!AU61</f>
        <v>0</v>
      </c>
      <c r="AV62" s="748">
        <f t="shared" si="12"/>
        <v>0</v>
      </c>
      <c r="AW62" s="757">
        <f t="shared" si="13"/>
        <v>0</v>
      </c>
      <c r="AX62" s="758">
        <f t="shared" si="14"/>
        <v>480826</v>
      </c>
      <c r="AY62" s="759"/>
      <c r="AZ62" s="759"/>
      <c r="BA62" s="759"/>
      <c r="BB62" s="760">
        <f t="shared" si="15"/>
        <v>480826</v>
      </c>
      <c r="BC62" s="763"/>
      <c r="BD62" s="639">
        <f t="shared" si="16"/>
        <v>15.05</v>
      </c>
      <c r="BE62" s="768"/>
      <c r="BF62" s="769"/>
    </row>
    <row r="63" spans="1:58" s="725" customFormat="1" ht="33" customHeight="1">
      <c r="A63" s="503">
        <v>54</v>
      </c>
      <c r="B63" s="504">
        <v>4</v>
      </c>
      <c r="C63" s="504">
        <v>143</v>
      </c>
      <c r="D63" s="728"/>
      <c r="E63" s="728"/>
      <c r="F63" s="728"/>
      <c r="G63" s="728" t="str">
        <f>'Tên Tháng 1'!E57</f>
        <v>ឡោ ហ៊ុន</v>
      </c>
      <c r="H63" s="728" t="str">
        <f>'Tên Tháng 1'!F57</f>
        <v>LAO HUN</v>
      </c>
      <c r="I63" s="519" t="str">
        <f>'CHAM CONG'!G61</f>
        <v>x</v>
      </c>
      <c r="J63" s="519" t="str">
        <f>'CHAM CONG'!H61</f>
        <v>x</v>
      </c>
      <c r="K63" s="519" t="str">
        <f>'CHAM CONG'!I61</f>
        <v>x</v>
      </c>
      <c r="L63" s="519" t="str">
        <f>'CHAM CONG'!J61</f>
        <v>x</v>
      </c>
      <c r="M63" s="519" t="str">
        <f>'CHAM CONG'!K61</f>
        <v>x</v>
      </c>
      <c r="N63" s="519" t="str">
        <f>'CHAM CONG'!L61</f>
        <v>x</v>
      </c>
      <c r="O63" s="519" t="str">
        <f>'CHAM CONG'!M61</f>
        <v>x</v>
      </c>
      <c r="P63" s="519" t="str">
        <f>'CHAM CONG'!N61</f>
        <v>x</v>
      </c>
      <c r="Q63" s="519" t="str">
        <f>'CHAM CONG'!O61</f>
        <v>x</v>
      </c>
      <c r="R63" s="519" t="str">
        <f>'CHAM CONG'!P61</f>
        <v>x</v>
      </c>
      <c r="S63" s="519" t="str">
        <f>'CHAM CONG'!Q61</f>
        <v>x</v>
      </c>
      <c r="T63" s="519" t="str">
        <f>'CHAM CONG'!R61</f>
        <v>x</v>
      </c>
      <c r="U63" s="519" t="str">
        <f>'CHAM CONG'!S61</f>
        <v>x</v>
      </c>
      <c r="V63" s="519" t="str">
        <f>'CHAM CONG'!T61</f>
        <v>x</v>
      </c>
      <c r="W63" s="519" t="str">
        <f>'CHAM CONG'!U61</f>
        <v>x</v>
      </c>
      <c r="X63" s="519"/>
      <c r="Y63" s="519"/>
      <c r="Z63" s="738">
        <f t="shared" si="3"/>
        <v>15</v>
      </c>
      <c r="AA63" s="580">
        <f t="shared" si="4"/>
        <v>0</v>
      </c>
      <c r="AB63" s="580">
        <f t="shared" si="5"/>
        <v>240000</v>
      </c>
      <c r="AC63" s="580">
        <f>'CHAM CONG'!V61</f>
        <v>0</v>
      </c>
      <c r="AD63" s="580" t="str">
        <f>'CHAM CONG'!W61</f>
        <v>x</v>
      </c>
      <c r="AE63" s="580">
        <f>'CHAM CONG'!X61</f>
        <v>0</v>
      </c>
      <c r="AF63" s="738">
        <f t="shared" si="6"/>
        <v>1</v>
      </c>
      <c r="AG63" s="580">
        <f t="shared" si="7"/>
        <v>17000</v>
      </c>
      <c r="AH63" s="580">
        <f t="shared" si="17"/>
        <v>15</v>
      </c>
      <c r="AI63" s="580">
        <f t="shared" si="8"/>
        <v>15000</v>
      </c>
      <c r="AJ63" s="580">
        <f t="shared" si="9"/>
        <v>272000</v>
      </c>
      <c r="AK63" s="429">
        <f>'SAN LUONG'!AF62</f>
        <v>164</v>
      </c>
      <c r="AL63" s="429">
        <f>'SAN LUONG'!AG62</f>
        <v>309</v>
      </c>
      <c r="AM63" s="429">
        <f>'SAN LUONG'!AH62</f>
        <v>288</v>
      </c>
      <c r="AN63" s="429">
        <f>'SAN LUONG'!AI62</f>
        <v>279</v>
      </c>
      <c r="AO63" s="746"/>
      <c r="AP63" s="746">
        <f t="shared" si="11"/>
        <v>0</v>
      </c>
      <c r="AQ63" s="746"/>
      <c r="AR63" s="746">
        <f t="shared" si="18"/>
        <v>0</v>
      </c>
      <c r="AS63" s="746">
        <f t="shared" si="20"/>
        <v>1040</v>
      </c>
      <c r="AT63" s="746">
        <f t="shared" si="19"/>
        <v>208208</v>
      </c>
      <c r="AU63" s="747">
        <f>'SAN LUONG'!AU62</f>
        <v>0</v>
      </c>
      <c r="AV63" s="748">
        <f t="shared" si="12"/>
        <v>0</v>
      </c>
      <c r="AW63" s="757">
        <f t="shared" si="13"/>
        <v>0</v>
      </c>
      <c r="AX63" s="758">
        <f t="shared" si="14"/>
        <v>480208</v>
      </c>
      <c r="AY63" s="759"/>
      <c r="AZ63" s="759"/>
      <c r="BA63" s="759"/>
      <c r="BB63" s="760">
        <f t="shared" si="15"/>
        <v>480208</v>
      </c>
      <c r="BC63" s="763"/>
      <c r="BD63" s="639">
        <f t="shared" si="16"/>
        <v>15.03</v>
      </c>
      <c r="BE63" s="768"/>
      <c r="BF63" s="769"/>
    </row>
    <row r="64" spans="1:58" s="725" customFormat="1" ht="33" customHeight="1">
      <c r="A64" s="503">
        <v>55</v>
      </c>
      <c r="B64" s="504">
        <v>4</v>
      </c>
      <c r="C64" s="504">
        <v>144</v>
      </c>
      <c r="D64" s="728"/>
      <c r="E64" s="728"/>
      <c r="F64" s="728"/>
      <c r="G64" s="728" t="str">
        <f>'Tên Tháng 1'!E58</f>
        <v>ឈាន អន</v>
      </c>
      <c r="H64" s="728" t="str">
        <f>'Tên Tháng 1'!F58</f>
        <v>CHHEAN ORN</v>
      </c>
      <c r="I64" s="519" t="str">
        <f>'CHAM CONG'!G62</f>
        <v>x</v>
      </c>
      <c r="J64" s="519" t="str">
        <f>'CHAM CONG'!H62</f>
        <v>x</v>
      </c>
      <c r="K64" s="519" t="str">
        <f>'CHAM CONG'!I62</f>
        <v>x</v>
      </c>
      <c r="L64" s="519">
        <f>'CHAM CONG'!J62</f>
        <v>0</v>
      </c>
      <c r="M64" s="519" t="str">
        <f>'CHAM CONG'!K62</f>
        <v>x</v>
      </c>
      <c r="N64" s="519" t="str">
        <f>'CHAM CONG'!L62</f>
        <v>x</v>
      </c>
      <c r="O64" s="519" t="str">
        <f>'CHAM CONG'!M62</f>
        <v>x</v>
      </c>
      <c r="P64" s="519" t="str">
        <f>'CHAM CONG'!N62</f>
        <v>x</v>
      </c>
      <c r="Q64" s="519" t="str">
        <f>'CHAM CONG'!O62</f>
        <v>x</v>
      </c>
      <c r="R64" s="519" t="str">
        <f>'CHAM CONG'!P62</f>
        <v>x</v>
      </c>
      <c r="S64" s="519" t="str">
        <f>'CHAM CONG'!Q62</f>
        <v>x</v>
      </c>
      <c r="T64" s="519" t="str">
        <f>'CHAM CONG'!R62</f>
        <v>x</v>
      </c>
      <c r="U64" s="519" t="str">
        <f>'CHAM CONG'!S62</f>
        <v>x</v>
      </c>
      <c r="V64" s="519" t="str">
        <f>'CHAM CONG'!T62</f>
        <v>x</v>
      </c>
      <c r="W64" s="519" t="str">
        <f>'CHAM CONG'!U62</f>
        <v>x</v>
      </c>
      <c r="X64" s="519"/>
      <c r="Y64" s="519"/>
      <c r="Z64" s="738">
        <f t="shared" si="3"/>
        <v>14</v>
      </c>
      <c r="AA64" s="580">
        <f t="shared" si="4"/>
        <v>0</v>
      </c>
      <c r="AB64" s="580">
        <f t="shared" si="5"/>
        <v>224000</v>
      </c>
      <c r="AC64" s="580">
        <f>'CHAM CONG'!V62</f>
        <v>0</v>
      </c>
      <c r="AD64" s="580" t="str">
        <f>'CHAM CONG'!W62</f>
        <v>x</v>
      </c>
      <c r="AE64" s="580">
        <f>'CHAM CONG'!X62</f>
        <v>0</v>
      </c>
      <c r="AF64" s="738">
        <f t="shared" si="6"/>
        <v>1</v>
      </c>
      <c r="AG64" s="580">
        <f t="shared" si="7"/>
        <v>17000</v>
      </c>
      <c r="AH64" s="580">
        <f t="shared" si="17"/>
        <v>14</v>
      </c>
      <c r="AI64" s="580">
        <f t="shared" si="8"/>
        <v>14000</v>
      </c>
      <c r="AJ64" s="580">
        <f t="shared" si="9"/>
        <v>255000</v>
      </c>
      <c r="AK64" s="429">
        <f>'SAN LUONG'!AF63</f>
        <v>293</v>
      </c>
      <c r="AL64" s="429">
        <f>'SAN LUONG'!AG63</f>
        <v>408</v>
      </c>
      <c r="AM64" s="429">
        <f>'SAN LUONG'!AH63</f>
        <v>329</v>
      </c>
      <c r="AN64" s="429">
        <f>'SAN LUONG'!AI63</f>
        <v>309</v>
      </c>
      <c r="AO64" s="746"/>
      <c r="AP64" s="746">
        <f t="shared" si="11"/>
        <v>0</v>
      </c>
      <c r="AQ64" s="746"/>
      <c r="AR64" s="746">
        <f t="shared" si="18"/>
        <v>0</v>
      </c>
      <c r="AS64" s="746">
        <f t="shared" si="20"/>
        <v>1339</v>
      </c>
      <c r="AT64" s="746">
        <f t="shared" si="19"/>
        <v>268068</v>
      </c>
      <c r="AU64" s="747">
        <f>'SAN LUONG'!AU63</f>
        <v>0</v>
      </c>
      <c r="AV64" s="748">
        <f t="shared" si="12"/>
        <v>0</v>
      </c>
      <c r="AW64" s="757">
        <f t="shared" si="13"/>
        <v>0</v>
      </c>
      <c r="AX64" s="758">
        <f t="shared" si="14"/>
        <v>523068</v>
      </c>
      <c r="AY64" s="759"/>
      <c r="AZ64" s="759"/>
      <c r="BA64" s="759"/>
      <c r="BB64" s="760">
        <f t="shared" si="15"/>
        <v>523068</v>
      </c>
      <c r="BC64" s="763"/>
      <c r="BD64" s="639">
        <f t="shared" si="16"/>
        <v>16.37</v>
      </c>
      <c r="BE64" s="768"/>
      <c r="BF64" s="769"/>
    </row>
    <row r="65" spans="1:58" s="725" customFormat="1" ht="33" customHeight="1">
      <c r="A65" s="503">
        <v>56</v>
      </c>
      <c r="B65" s="504">
        <v>4</v>
      </c>
      <c r="C65" s="504">
        <v>145</v>
      </c>
      <c r="D65" s="728"/>
      <c r="E65" s="728"/>
      <c r="F65" s="728"/>
      <c r="G65" s="728" t="str">
        <f>'Tên Tháng 1'!E59</f>
        <v>មាស ណាលីន</v>
      </c>
      <c r="H65" s="728" t="str">
        <f>'Tên Tháng 1'!F59</f>
        <v>MEAS NALIN</v>
      </c>
      <c r="I65" s="519" t="str">
        <f>'CHAM CONG'!G63</f>
        <v>x</v>
      </c>
      <c r="J65" s="519" t="str">
        <f>'CHAM CONG'!H63</f>
        <v>x</v>
      </c>
      <c r="K65" s="519" t="str">
        <f>'CHAM CONG'!I63</f>
        <v>x</v>
      </c>
      <c r="L65" s="519" t="str">
        <f>'CHAM CONG'!J63</f>
        <v>x</v>
      </c>
      <c r="M65" s="519" t="str">
        <f>'CHAM CONG'!K63</f>
        <v>x</v>
      </c>
      <c r="N65" s="519" t="str">
        <f>'CHAM CONG'!L63</f>
        <v>x</v>
      </c>
      <c r="O65" s="519" t="str">
        <f>'CHAM CONG'!M63</f>
        <v>x</v>
      </c>
      <c r="P65" s="519" t="str">
        <f>'CHAM CONG'!N63</f>
        <v>x</v>
      </c>
      <c r="Q65" s="519" t="str">
        <f>'CHAM CONG'!O63</f>
        <v>x</v>
      </c>
      <c r="R65" s="519" t="str">
        <f>'CHAM CONG'!P63</f>
        <v>x</v>
      </c>
      <c r="S65" s="519" t="str">
        <f>'CHAM CONG'!Q63</f>
        <v>x</v>
      </c>
      <c r="T65" s="519" t="str">
        <f>'CHAM CONG'!R63</f>
        <v>x</v>
      </c>
      <c r="U65" s="519" t="str">
        <f>'CHAM CONG'!S63</f>
        <v>x</v>
      </c>
      <c r="V65" s="519" t="str">
        <f>'CHAM CONG'!T63</f>
        <v>x</v>
      </c>
      <c r="W65" s="519" t="str">
        <f>'CHAM CONG'!U63</f>
        <v>x</v>
      </c>
      <c r="X65" s="519"/>
      <c r="Y65" s="519"/>
      <c r="Z65" s="738">
        <f t="shared" si="3"/>
        <v>15</v>
      </c>
      <c r="AA65" s="580">
        <f t="shared" si="4"/>
        <v>0</v>
      </c>
      <c r="AB65" s="580">
        <f t="shared" si="5"/>
        <v>240000</v>
      </c>
      <c r="AC65" s="580">
        <f>'CHAM CONG'!V63</f>
        <v>0</v>
      </c>
      <c r="AD65" s="580" t="str">
        <f>'CHAM CONG'!W63</f>
        <v>x</v>
      </c>
      <c r="AE65" s="580">
        <f>'CHAM CONG'!X63</f>
        <v>0</v>
      </c>
      <c r="AF65" s="738">
        <f t="shared" si="6"/>
        <v>1</v>
      </c>
      <c r="AG65" s="580">
        <f t="shared" si="7"/>
        <v>17000</v>
      </c>
      <c r="AH65" s="580">
        <f t="shared" si="17"/>
        <v>15</v>
      </c>
      <c r="AI65" s="580">
        <f t="shared" si="8"/>
        <v>15000</v>
      </c>
      <c r="AJ65" s="580">
        <f t="shared" si="9"/>
        <v>272000</v>
      </c>
      <c r="AK65" s="429">
        <f>'SAN LUONG'!AF64</f>
        <v>290</v>
      </c>
      <c r="AL65" s="429">
        <f>'SAN LUONG'!AG64</f>
        <v>290</v>
      </c>
      <c r="AM65" s="429">
        <f>'SAN LUONG'!AH64</f>
        <v>248</v>
      </c>
      <c r="AN65" s="429">
        <f>'SAN LUONG'!AI64</f>
        <v>255</v>
      </c>
      <c r="AO65" s="746"/>
      <c r="AP65" s="746">
        <f t="shared" si="11"/>
        <v>0</v>
      </c>
      <c r="AQ65" s="746"/>
      <c r="AR65" s="746">
        <f t="shared" si="18"/>
        <v>0</v>
      </c>
      <c r="AS65" s="746">
        <f t="shared" ref="AS65:AS128" si="21">SUM(AK65:AN65)</f>
        <v>1083</v>
      </c>
      <c r="AT65" s="746">
        <f t="shared" si="19"/>
        <v>216817</v>
      </c>
      <c r="AU65" s="747">
        <f>'SAN LUONG'!AU64</f>
        <v>0</v>
      </c>
      <c r="AV65" s="748">
        <f t="shared" si="12"/>
        <v>0</v>
      </c>
      <c r="AW65" s="757">
        <f t="shared" si="13"/>
        <v>0</v>
      </c>
      <c r="AX65" s="758">
        <f t="shared" si="14"/>
        <v>488817</v>
      </c>
      <c r="AY65" s="759"/>
      <c r="AZ65" s="759"/>
      <c r="BA65" s="759"/>
      <c r="BB65" s="760">
        <f t="shared" si="15"/>
        <v>488817</v>
      </c>
      <c r="BC65" s="763"/>
      <c r="BD65" s="639">
        <f t="shared" si="16"/>
        <v>15.3</v>
      </c>
      <c r="BE65" s="768"/>
      <c r="BF65" s="769"/>
    </row>
    <row r="66" spans="1:58" s="725" customFormat="1" ht="33" customHeight="1">
      <c r="A66" s="503">
        <v>57</v>
      </c>
      <c r="B66" s="504">
        <v>4</v>
      </c>
      <c r="C66" s="504">
        <v>146</v>
      </c>
      <c r="D66" s="728"/>
      <c r="E66" s="728"/>
      <c r="F66" s="728"/>
      <c r="G66" s="728" t="str">
        <f>'Tên Tháng 1'!E60</f>
        <v>ម៉ួន ហ៊ាង</v>
      </c>
      <c r="H66" s="728" t="str">
        <f>'Tên Tháng 1'!F60</f>
        <v>MUON HEANG</v>
      </c>
      <c r="I66" s="519" t="str">
        <f>'CHAM CONG'!G64</f>
        <v>x</v>
      </c>
      <c r="J66" s="519" t="str">
        <f>'CHAM CONG'!H64</f>
        <v>x</v>
      </c>
      <c r="K66" s="519" t="str">
        <f>'CHAM CONG'!I64</f>
        <v>x</v>
      </c>
      <c r="L66" s="519">
        <f>'CHAM CONG'!J64</f>
        <v>0</v>
      </c>
      <c r="M66" s="519" t="str">
        <f>'CHAM CONG'!K64</f>
        <v>x</v>
      </c>
      <c r="N66" s="519" t="str">
        <f>'CHAM CONG'!L64</f>
        <v>x</v>
      </c>
      <c r="O66" s="519" t="str">
        <f>'CHAM CONG'!M64</f>
        <v>x</v>
      </c>
      <c r="P66" s="519" t="str">
        <f>'CHAM CONG'!N64</f>
        <v>x</v>
      </c>
      <c r="Q66" s="519" t="str">
        <f>'CHAM CONG'!O64</f>
        <v>x</v>
      </c>
      <c r="R66" s="519" t="str">
        <f>'CHAM CONG'!P64</f>
        <v>x</v>
      </c>
      <c r="S66" s="519" t="str">
        <f>'CHAM CONG'!Q64</f>
        <v>x</v>
      </c>
      <c r="T66" s="519" t="str">
        <f>'CHAM CONG'!R64</f>
        <v>x</v>
      </c>
      <c r="U66" s="519" t="str">
        <f>'CHAM CONG'!S64</f>
        <v>x</v>
      </c>
      <c r="V66" s="519" t="str">
        <f>'CHAM CONG'!T64</f>
        <v>x</v>
      </c>
      <c r="W66" s="519" t="str">
        <f>'CHAM CONG'!U64</f>
        <v>x</v>
      </c>
      <c r="X66" s="519"/>
      <c r="Y66" s="519"/>
      <c r="Z66" s="738">
        <f t="shared" si="3"/>
        <v>14</v>
      </c>
      <c r="AA66" s="580">
        <f t="shared" si="4"/>
        <v>0</v>
      </c>
      <c r="AB66" s="580">
        <f t="shared" si="5"/>
        <v>224000</v>
      </c>
      <c r="AC66" s="580">
        <f>'CHAM CONG'!V64</f>
        <v>0</v>
      </c>
      <c r="AD66" s="580" t="str">
        <f>'CHAM CONG'!W64</f>
        <v>x</v>
      </c>
      <c r="AE66" s="580">
        <f>'CHAM CONG'!X64</f>
        <v>0</v>
      </c>
      <c r="AF66" s="738">
        <f t="shared" si="6"/>
        <v>1</v>
      </c>
      <c r="AG66" s="580">
        <f t="shared" si="7"/>
        <v>17000</v>
      </c>
      <c r="AH66" s="580">
        <f t="shared" si="17"/>
        <v>14</v>
      </c>
      <c r="AI66" s="580">
        <f t="shared" si="8"/>
        <v>14000</v>
      </c>
      <c r="AJ66" s="580">
        <f t="shared" si="9"/>
        <v>255000</v>
      </c>
      <c r="AK66" s="429">
        <f>'SAN LUONG'!AF65</f>
        <v>265</v>
      </c>
      <c r="AL66" s="429">
        <f>'SAN LUONG'!AG65</f>
        <v>329</v>
      </c>
      <c r="AM66" s="429">
        <f>'SAN LUONG'!AH65</f>
        <v>333</v>
      </c>
      <c r="AN66" s="429">
        <f>'SAN LUONG'!AI65</f>
        <v>349</v>
      </c>
      <c r="AO66" s="746"/>
      <c r="AP66" s="746">
        <f t="shared" si="11"/>
        <v>0</v>
      </c>
      <c r="AQ66" s="746"/>
      <c r="AR66" s="746">
        <f t="shared" si="18"/>
        <v>0</v>
      </c>
      <c r="AS66" s="746">
        <f t="shared" si="21"/>
        <v>1276</v>
      </c>
      <c r="AT66" s="746">
        <f t="shared" si="19"/>
        <v>255455</v>
      </c>
      <c r="AU66" s="747">
        <f>'SAN LUONG'!AU65</f>
        <v>0</v>
      </c>
      <c r="AV66" s="748">
        <f t="shared" si="12"/>
        <v>0</v>
      </c>
      <c r="AW66" s="757">
        <f t="shared" si="13"/>
        <v>0</v>
      </c>
      <c r="AX66" s="758">
        <f t="shared" si="14"/>
        <v>510455</v>
      </c>
      <c r="AY66" s="759"/>
      <c r="AZ66" s="759"/>
      <c r="BA66" s="759"/>
      <c r="BB66" s="760">
        <f t="shared" si="15"/>
        <v>510455</v>
      </c>
      <c r="BC66" s="763"/>
      <c r="BD66" s="639">
        <f t="shared" si="16"/>
        <v>15.98</v>
      </c>
      <c r="BE66" s="768"/>
      <c r="BF66" s="769"/>
    </row>
    <row r="67" spans="1:58" s="725" customFormat="1" ht="33" customHeight="1">
      <c r="A67" s="503">
        <v>58</v>
      </c>
      <c r="B67" s="504">
        <v>4</v>
      </c>
      <c r="C67" s="504">
        <v>147</v>
      </c>
      <c r="D67" s="728"/>
      <c r="E67" s="728"/>
      <c r="F67" s="728"/>
      <c r="G67" s="728" t="str">
        <f>'Tên Tháng 1'!E61</f>
        <v>យ៉េន ហៃ</v>
      </c>
      <c r="H67" s="728" t="str">
        <f>'Tên Tháng 1'!F61</f>
        <v>YEN HAI</v>
      </c>
      <c r="I67" s="519" t="str">
        <f>'CHAM CONG'!G65</f>
        <v>x</v>
      </c>
      <c r="J67" s="519" t="str">
        <f>'CHAM CONG'!H65</f>
        <v>x</v>
      </c>
      <c r="K67" s="519" t="str">
        <f>'CHAM CONG'!I65</f>
        <v>x</v>
      </c>
      <c r="L67" s="519">
        <f>'CHAM CONG'!J65</f>
        <v>0</v>
      </c>
      <c r="M67" s="519" t="str">
        <f>'CHAM CONG'!K65</f>
        <v>x</v>
      </c>
      <c r="N67" s="519" t="str">
        <f>'CHAM CONG'!L65</f>
        <v>x</v>
      </c>
      <c r="O67" s="519" t="str">
        <f>'CHAM CONG'!M65</f>
        <v>x</v>
      </c>
      <c r="P67" s="519" t="str">
        <f>'CHAM CONG'!N65</f>
        <v>x</v>
      </c>
      <c r="Q67" s="519" t="str">
        <f>'CHAM CONG'!O65</f>
        <v>x</v>
      </c>
      <c r="R67" s="519" t="str">
        <f>'CHAM CONG'!P65</f>
        <v>x</v>
      </c>
      <c r="S67" s="519" t="str">
        <f>'CHAM CONG'!Q65</f>
        <v>x</v>
      </c>
      <c r="T67" s="519" t="str">
        <f>'CHAM CONG'!R65</f>
        <v>x</v>
      </c>
      <c r="U67" s="519" t="str">
        <f>'CHAM CONG'!S65</f>
        <v>x</v>
      </c>
      <c r="V67" s="519" t="str">
        <f>'CHAM CONG'!T65</f>
        <v>x</v>
      </c>
      <c r="W67" s="519" t="str">
        <f>'CHAM CONG'!U65</f>
        <v>x</v>
      </c>
      <c r="X67" s="519"/>
      <c r="Y67" s="519"/>
      <c r="Z67" s="738">
        <f t="shared" si="3"/>
        <v>14</v>
      </c>
      <c r="AA67" s="580">
        <f t="shared" si="4"/>
        <v>0</v>
      </c>
      <c r="AB67" s="580">
        <f t="shared" si="5"/>
        <v>224000</v>
      </c>
      <c r="AC67" s="580">
        <f>'CHAM CONG'!V65</f>
        <v>0</v>
      </c>
      <c r="AD67" s="580" t="str">
        <f>'CHAM CONG'!W65</f>
        <v>x</v>
      </c>
      <c r="AE67" s="580">
        <f>'CHAM CONG'!X65</f>
        <v>0</v>
      </c>
      <c r="AF67" s="738">
        <f t="shared" si="6"/>
        <v>1</v>
      </c>
      <c r="AG67" s="580">
        <f t="shared" si="7"/>
        <v>17000</v>
      </c>
      <c r="AH67" s="580">
        <f t="shared" si="17"/>
        <v>14</v>
      </c>
      <c r="AI67" s="580">
        <f t="shared" si="8"/>
        <v>14000</v>
      </c>
      <c r="AJ67" s="580">
        <f t="shared" si="9"/>
        <v>255000</v>
      </c>
      <c r="AK67" s="429">
        <f>'SAN LUONG'!AF66</f>
        <v>246</v>
      </c>
      <c r="AL67" s="429">
        <f>'SAN LUONG'!AG66</f>
        <v>499</v>
      </c>
      <c r="AM67" s="429">
        <f>'SAN LUONG'!AH66</f>
        <v>339</v>
      </c>
      <c r="AN67" s="429">
        <f>'SAN LUONG'!AI66</f>
        <v>374</v>
      </c>
      <c r="AO67" s="746"/>
      <c r="AP67" s="746">
        <f t="shared" si="11"/>
        <v>0</v>
      </c>
      <c r="AQ67" s="746"/>
      <c r="AR67" s="746">
        <f t="shared" si="18"/>
        <v>0</v>
      </c>
      <c r="AS67" s="746">
        <f t="shared" si="21"/>
        <v>1458</v>
      </c>
      <c r="AT67" s="746">
        <f t="shared" si="19"/>
        <v>291892</v>
      </c>
      <c r="AU67" s="747">
        <f>'SAN LUONG'!AU66</f>
        <v>0</v>
      </c>
      <c r="AV67" s="748">
        <f t="shared" si="12"/>
        <v>0</v>
      </c>
      <c r="AW67" s="757">
        <f t="shared" si="13"/>
        <v>0</v>
      </c>
      <c r="AX67" s="758">
        <f t="shared" si="14"/>
        <v>546892</v>
      </c>
      <c r="AY67" s="759"/>
      <c r="AZ67" s="759"/>
      <c r="BA67" s="759"/>
      <c r="BB67" s="760">
        <f t="shared" si="15"/>
        <v>546892</v>
      </c>
      <c r="BC67" s="763"/>
      <c r="BD67" s="639">
        <f t="shared" si="16"/>
        <v>17.12</v>
      </c>
      <c r="BE67" s="768"/>
      <c r="BF67" s="769"/>
    </row>
    <row r="68" spans="1:58" s="725" customFormat="1" ht="33" customHeight="1">
      <c r="A68" s="503">
        <v>59</v>
      </c>
      <c r="B68" s="504">
        <v>4</v>
      </c>
      <c r="C68" s="504">
        <v>148</v>
      </c>
      <c r="D68" s="728"/>
      <c r="E68" s="728"/>
      <c r="F68" s="728"/>
      <c r="G68" s="728" t="str">
        <f>'Tên Tháng 1'!E62</f>
        <v>ស្រី អ៊ឹម</v>
      </c>
      <c r="H68" s="728" t="str">
        <f>'Tên Tháng 1'!F62</f>
        <v>SREY OEM</v>
      </c>
      <c r="I68" s="519" t="str">
        <f>'CHAM CONG'!G66</f>
        <v>x</v>
      </c>
      <c r="J68" s="519" t="str">
        <f>'CHAM CONG'!H66</f>
        <v>x</v>
      </c>
      <c r="K68" s="519" t="str">
        <f>'CHAM CONG'!I66</f>
        <v>x</v>
      </c>
      <c r="L68" s="519" t="str">
        <f>'CHAM CONG'!J66</f>
        <v>x</v>
      </c>
      <c r="M68" s="519" t="str">
        <f>'CHAM CONG'!K66</f>
        <v>x</v>
      </c>
      <c r="N68" s="519" t="str">
        <f>'CHAM CONG'!L66</f>
        <v>x</v>
      </c>
      <c r="O68" s="519" t="str">
        <f>'CHAM CONG'!M66</f>
        <v>x</v>
      </c>
      <c r="P68" s="519" t="str">
        <f>'CHAM CONG'!N66</f>
        <v>x</v>
      </c>
      <c r="Q68" s="519" t="str">
        <f>'CHAM CONG'!O66</f>
        <v>x</v>
      </c>
      <c r="R68" s="519" t="str">
        <f>'CHAM CONG'!P66</f>
        <v>x</v>
      </c>
      <c r="S68" s="519" t="str">
        <f>'CHAM CONG'!Q66</f>
        <v>x</v>
      </c>
      <c r="T68" s="519" t="str">
        <f>'CHAM CONG'!R66</f>
        <v>x</v>
      </c>
      <c r="U68" s="519" t="str">
        <f>'CHAM CONG'!S66</f>
        <v>x</v>
      </c>
      <c r="V68" s="519" t="str">
        <f>'CHAM CONG'!T66</f>
        <v>x</v>
      </c>
      <c r="W68" s="519" t="str">
        <f>'CHAM CONG'!U66</f>
        <v>x</v>
      </c>
      <c r="X68" s="519"/>
      <c r="Y68" s="519"/>
      <c r="Z68" s="738">
        <f t="shared" si="3"/>
        <v>15</v>
      </c>
      <c r="AA68" s="580">
        <f t="shared" si="4"/>
        <v>0</v>
      </c>
      <c r="AB68" s="580">
        <f t="shared" si="5"/>
        <v>240000</v>
      </c>
      <c r="AC68" s="580">
        <f>'CHAM CONG'!V66</f>
        <v>0</v>
      </c>
      <c r="AD68" s="580" t="str">
        <f>'CHAM CONG'!W66</f>
        <v>x</v>
      </c>
      <c r="AE68" s="580">
        <f>'CHAM CONG'!X66</f>
        <v>0</v>
      </c>
      <c r="AF68" s="738">
        <f t="shared" si="6"/>
        <v>1</v>
      </c>
      <c r="AG68" s="580">
        <f t="shared" si="7"/>
        <v>17000</v>
      </c>
      <c r="AH68" s="580">
        <f t="shared" si="17"/>
        <v>15</v>
      </c>
      <c r="AI68" s="580">
        <f t="shared" si="8"/>
        <v>15000</v>
      </c>
      <c r="AJ68" s="580">
        <f t="shared" si="9"/>
        <v>272000</v>
      </c>
      <c r="AK68" s="429">
        <f>'SAN LUONG'!AF67</f>
        <v>229</v>
      </c>
      <c r="AL68" s="429">
        <f>'SAN LUONG'!AG67</f>
        <v>470</v>
      </c>
      <c r="AM68" s="429">
        <f>'SAN LUONG'!AH67</f>
        <v>471</v>
      </c>
      <c r="AN68" s="429">
        <f>'SAN LUONG'!AI67</f>
        <v>342</v>
      </c>
      <c r="AO68" s="746"/>
      <c r="AP68" s="746">
        <f t="shared" si="11"/>
        <v>0</v>
      </c>
      <c r="AQ68" s="746"/>
      <c r="AR68" s="746">
        <f t="shared" si="18"/>
        <v>0</v>
      </c>
      <c r="AS68" s="746">
        <f t="shared" si="21"/>
        <v>1512</v>
      </c>
      <c r="AT68" s="746">
        <f t="shared" si="19"/>
        <v>302702</v>
      </c>
      <c r="AU68" s="747">
        <f>'SAN LUONG'!AU67</f>
        <v>0</v>
      </c>
      <c r="AV68" s="748">
        <f t="shared" si="12"/>
        <v>0</v>
      </c>
      <c r="AW68" s="757">
        <f t="shared" si="13"/>
        <v>0</v>
      </c>
      <c r="AX68" s="758">
        <f t="shared" si="14"/>
        <v>574702</v>
      </c>
      <c r="AY68" s="759"/>
      <c r="AZ68" s="759"/>
      <c r="BA68" s="759"/>
      <c r="BB68" s="760">
        <f t="shared" si="15"/>
        <v>574702</v>
      </c>
      <c r="BC68" s="763"/>
      <c r="BD68" s="639">
        <f t="shared" si="16"/>
        <v>17.989999999999998</v>
      </c>
      <c r="BE68" s="768"/>
      <c r="BF68" s="769"/>
    </row>
    <row r="69" spans="1:58" s="725" customFormat="1" ht="33" customHeight="1">
      <c r="A69" s="503">
        <v>60</v>
      </c>
      <c r="B69" s="504">
        <v>4</v>
      </c>
      <c r="C69" s="504">
        <v>149</v>
      </c>
      <c r="D69" s="728"/>
      <c r="E69" s="728"/>
      <c r="F69" s="728"/>
      <c r="G69" s="728" t="str">
        <f>'Tên Tháng 1'!E63</f>
        <v>ណេ សារ៉ាត់</v>
      </c>
      <c r="H69" s="728" t="str">
        <f>'Tên Tháng 1'!F63</f>
        <v>NE SARATH</v>
      </c>
      <c r="I69" s="519" t="str">
        <f>'CHAM CONG'!G67</f>
        <v>x</v>
      </c>
      <c r="J69" s="519" t="str">
        <f>'CHAM CONG'!H67</f>
        <v>x</v>
      </c>
      <c r="K69" s="519" t="str">
        <f>'CHAM CONG'!I67</f>
        <v>x</v>
      </c>
      <c r="L69" s="519">
        <f>'CHAM CONG'!J67</f>
        <v>0</v>
      </c>
      <c r="M69" s="519" t="str">
        <f>'CHAM CONG'!K67</f>
        <v>x</v>
      </c>
      <c r="N69" s="519" t="str">
        <f>'CHAM CONG'!L67</f>
        <v>x</v>
      </c>
      <c r="O69" s="519" t="str">
        <f>'CHAM CONG'!M67</f>
        <v>x</v>
      </c>
      <c r="P69" s="519">
        <f>'CHAM CONG'!N67</f>
        <v>0</v>
      </c>
      <c r="Q69" s="519" t="str">
        <f>'CHAM CONG'!O67</f>
        <v>x</v>
      </c>
      <c r="R69" s="519" t="str">
        <f>'CHAM CONG'!P67</f>
        <v>x</v>
      </c>
      <c r="S69" s="519" t="str">
        <f>'CHAM CONG'!Q67</f>
        <v>x</v>
      </c>
      <c r="T69" s="519" t="str">
        <f>'CHAM CONG'!R67</f>
        <v>x</v>
      </c>
      <c r="U69" s="519" t="str">
        <f>'CHAM CONG'!S67</f>
        <v>x</v>
      </c>
      <c r="V69" s="519" t="str">
        <f>'CHAM CONG'!T67</f>
        <v>x</v>
      </c>
      <c r="W69" s="519" t="str">
        <f>'CHAM CONG'!U67</f>
        <v>x</v>
      </c>
      <c r="X69" s="519"/>
      <c r="Y69" s="519"/>
      <c r="Z69" s="738">
        <f t="shared" si="3"/>
        <v>13</v>
      </c>
      <c r="AA69" s="580">
        <f t="shared" si="4"/>
        <v>0</v>
      </c>
      <c r="AB69" s="580">
        <f t="shared" si="5"/>
        <v>208000</v>
      </c>
      <c r="AC69" s="580">
        <f>'CHAM CONG'!V67</f>
        <v>0</v>
      </c>
      <c r="AD69" s="580" t="str">
        <f>'CHAM CONG'!W67</f>
        <v>x</v>
      </c>
      <c r="AE69" s="580">
        <f>'CHAM CONG'!X67</f>
        <v>0</v>
      </c>
      <c r="AF69" s="738">
        <f t="shared" si="6"/>
        <v>1</v>
      </c>
      <c r="AG69" s="580">
        <f t="shared" si="7"/>
        <v>17000</v>
      </c>
      <c r="AH69" s="580">
        <f t="shared" si="17"/>
        <v>13</v>
      </c>
      <c r="AI69" s="580">
        <f t="shared" si="8"/>
        <v>13000</v>
      </c>
      <c r="AJ69" s="580">
        <f t="shared" si="9"/>
        <v>238000</v>
      </c>
      <c r="AK69" s="429">
        <f>'SAN LUONG'!AF68</f>
        <v>171</v>
      </c>
      <c r="AL69" s="429">
        <f>'SAN LUONG'!AG68</f>
        <v>402</v>
      </c>
      <c r="AM69" s="429">
        <f>'SAN LUONG'!AH68</f>
        <v>284</v>
      </c>
      <c r="AN69" s="429">
        <f>'SAN LUONG'!AI68</f>
        <v>369</v>
      </c>
      <c r="AO69" s="746"/>
      <c r="AP69" s="746">
        <f t="shared" si="11"/>
        <v>0</v>
      </c>
      <c r="AQ69" s="746"/>
      <c r="AR69" s="746">
        <f t="shared" si="18"/>
        <v>0</v>
      </c>
      <c r="AS69" s="746">
        <f t="shared" si="21"/>
        <v>1226</v>
      </c>
      <c r="AT69" s="746">
        <f t="shared" si="19"/>
        <v>245445</v>
      </c>
      <c r="AU69" s="747">
        <f>'SAN LUONG'!AU68</f>
        <v>0</v>
      </c>
      <c r="AV69" s="748">
        <f t="shared" si="12"/>
        <v>0</v>
      </c>
      <c r="AW69" s="757">
        <f t="shared" si="13"/>
        <v>0</v>
      </c>
      <c r="AX69" s="758">
        <f t="shared" si="14"/>
        <v>483445</v>
      </c>
      <c r="AY69" s="759"/>
      <c r="AZ69" s="759"/>
      <c r="BA69" s="759"/>
      <c r="BB69" s="760">
        <f t="shared" si="15"/>
        <v>483445</v>
      </c>
      <c r="BC69" s="763"/>
      <c r="BD69" s="639">
        <f t="shared" si="16"/>
        <v>15.13</v>
      </c>
      <c r="BE69" s="768"/>
      <c r="BF69" s="769"/>
    </row>
    <row r="70" spans="1:58" s="725" customFormat="1" ht="33" customHeight="1">
      <c r="A70" s="503">
        <v>61</v>
      </c>
      <c r="B70" s="504">
        <v>4</v>
      </c>
      <c r="C70" s="504">
        <v>150</v>
      </c>
      <c r="D70" s="728"/>
      <c r="E70" s="728"/>
      <c r="F70" s="728"/>
      <c r="G70" s="728" t="str">
        <f>'Tên Tháng 1'!E64</f>
        <v>សន ធីន</v>
      </c>
      <c r="H70" s="728" t="str">
        <f>'Tên Tháng 1'!F64</f>
        <v>SORN THIN</v>
      </c>
      <c r="I70" s="519" t="str">
        <f>'CHAM CONG'!G68</f>
        <v>x</v>
      </c>
      <c r="J70" s="519">
        <f>'CHAM CONG'!H68</f>
        <v>0</v>
      </c>
      <c r="K70" s="519" t="str">
        <f>'CHAM CONG'!I68</f>
        <v>x</v>
      </c>
      <c r="L70" s="519">
        <f>'CHAM CONG'!J68</f>
        <v>0</v>
      </c>
      <c r="M70" s="519" t="str">
        <f>'CHAM CONG'!K68</f>
        <v>x</v>
      </c>
      <c r="N70" s="519" t="str">
        <f>'CHAM CONG'!L68</f>
        <v>x</v>
      </c>
      <c r="O70" s="519" t="str">
        <f>'CHAM CONG'!M68</f>
        <v>x</v>
      </c>
      <c r="P70" s="519" t="str">
        <f>'CHAM CONG'!N68</f>
        <v>x</v>
      </c>
      <c r="Q70" s="519" t="str">
        <f>'CHAM CONG'!O68</f>
        <v>x</v>
      </c>
      <c r="R70" s="519" t="str">
        <f>'CHAM CONG'!P68</f>
        <v>x</v>
      </c>
      <c r="S70" s="519" t="str">
        <f>'CHAM CONG'!Q68</f>
        <v>x</v>
      </c>
      <c r="T70" s="519" t="str">
        <f>'CHAM CONG'!R68</f>
        <v>x</v>
      </c>
      <c r="U70" s="519" t="str">
        <f>'CHAM CONG'!S68</f>
        <v>x</v>
      </c>
      <c r="V70" s="519" t="str">
        <f>'CHAM CONG'!T68</f>
        <v>x</v>
      </c>
      <c r="W70" s="519" t="str">
        <f>'CHAM CONG'!U68</f>
        <v>x</v>
      </c>
      <c r="X70" s="519"/>
      <c r="Y70" s="519"/>
      <c r="Z70" s="738">
        <f t="shared" si="3"/>
        <v>13</v>
      </c>
      <c r="AA70" s="580">
        <f t="shared" si="4"/>
        <v>0</v>
      </c>
      <c r="AB70" s="580">
        <f t="shared" si="5"/>
        <v>208000</v>
      </c>
      <c r="AC70" s="580">
        <f>'CHAM CONG'!V68</f>
        <v>0</v>
      </c>
      <c r="AD70" s="580" t="str">
        <f>'CHAM CONG'!W68</f>
        <v>x</v>
      </c>
      <c r="AE70" s="580">
        <f>'CHAM CONG'!X68</f>
        <v>0</v>
      </c>
      <c r="AF70" s="738">
        <f t="shared" si="6"/>
        <v>1</v>
      </c>
      <c r="AG70" s="580">
        <f t="shared" si="7"/>
        <v>17000</v>
      </c>
      <c r="AH70" s="580">
        <f t="shared" si="17"/>
        <v>13</v>
      </c>
      <c r="AI70" s="580">
        <f t="shared" si="8"/>
        <v>13000</v>
      </c>
      <c r="AJ70" s="580">
        <f t="shared" si="9"/>
        <v>238000</v>
      </c>
      <c r="AK70" s="429">
        <f>'SAN LUONG'!AF69</f>
        <v>294</v>
      </c>
      <c r="AL70" s="429">
        <f>'SAN LUONG'!AG69</f>
        <v>425</v>
      </c>
      <c r="AM70" s="429">
        <f>'SAN LUONG'!AH69</f>
        <v>285</v>
      </c>
      <c r="AN70" s="429">
        <f>'SAN LUONG'!AI69</f>
        <v>183</v>
      </c>
      <c r="AO70" s="746"/>
      <c r="AP70" s="746">
        <f t="shared" si="11"/>
        <v>0</v>
      </c>
      <c r="AQ70" s="746"/>
      <c r="AR70" s="746">
        <f t="shared" si="18"/>
        <v>0</v>
      </c>
      <c r="AS70" s="746">
        <f t="shared" si="21"/>
        <v>1187</v>
      </c>
      <c r="AT70" s="746">
        <f t="shared" si="19"/>
        <v>237637</v>
      </c>
      <c r="AU70" s="747">
        <f>'SAN LUONG'!AU69</f>
        <v>0</v>
      </c>
      <c r="AV70" s="748">
        <f t="shared" si="12"/>
        <v>0</v>
      </c>
      <c r="AW70" s="757">
        <f t="shared" si="13"/>
        <v>0</v>
      </c>
      <c r="AX70" s="758">
        <f t="shared" si="14"/>
        <v>475637</v>
      </c>
      <c r="AY70" s="759"/>
      <c r="AZ70" s="759"/>
      <c r="BA70" s="759"/>
      <c r="BB70" s="760">
        <f t="shared" si="15"/>
        <v>475637</v>
      </c>
      <c r="BC70" s="763"/>
      <c r="BD70" s="639">
        <f t="shared" si="16"/>
        <v>14.89</v>
      </c>
      <c r="BE70" s="768"/>
      <c r="BF70" s="769"/>
    </row>
    <row r="71" spans="1:58" s="725" customFormat="1" ht="33" customHeight="1">
      <c r="A71" s="503">
        <v>62</v>
      </c>
      <c r="B71" s="504">
        <v>4</v>
      </c>
      <c r="C71" s="504">
        <v>151</v>
      </c>
      <c r="D71" s="728"/>
      <c r="E71" s="728"/>
      <c r="F71" s="728"/>
      <c r="G71" s="728" t="str">
        <f>'Tên Tháng 1'!E65</f>
        <v>ម៉ន ម៉ៃ</v>
      </c>
      <c r="H71" s="728" t="str">
        <f>'Tên Tháng 1'!F65</f>
        <v>MORN MAY</v>
      </c>
      <c r="I71" s="519" t="str">
        <f>'CHAM CONG'!G69</f>
        <v>x</v>
      </c>
      <c r="J71" s="519" t="str">
        <f>'CHAM CONG'!H69</f>
        <v>x</v>
      </c>
      <c r="K71" s="519" t="str">
        <f>'CHAM CONG'!I69</f>
        <v>x</v>
      </c>
      <c r="L71" s="519">
        <f>'CHAM CONG'!J69</f>
        <v>0</v>
      </c>
      <c r="M71" s="519" t="str">
        <f>'CHAM CONG'!K69</f>
        <v>x</v>
      </c>
      <c r="N71" s="519" t="str">
        <f>'CHAM CONG'!L69</f>
        <v>x</v>
      </c>
      <c r="O71" s="519" t="str">
        <f>'CHAM CONG'!M69</f>
        <v>x</v>
      </c>
      <c r="P71" s="519" t="str">
        <f>'CHAM CONG'!N69</f>
        <v>x</v>
      </c>
      <c r="Q71" s="519" t="str">
        <f>'CHAM CONG'!O69</f>
        <v>x</v>
      </c>
      <c r="R71" s="519" t="str">
        <f>'CHAM CONG'!P69</f>
        <v>x</v>
      </c>
      <c r="S71" s="519">
        <f>'CHAM CONG'!Q69</f>
        <v>0</v>
      </c>
      <c r="T71" s="519" t="str">
        <f>'CHAM CONG'!R69</f>
        <v>x</v>
      </c>
      <c r="U71" s="519" t="str">
        <f>'CHAM CONG'!S69</f>
        <v>x</v>
      </c>
      <c r="V71" s="519" t="str">
        <f>'CHAM CONG'!T69</f>
        <v>x</v>
      </c>
      <c r="W71" s="519" t="str">
        <f>'CHAM CONG'!U69</f>
        <v>x</v>
      </c>
      <c r="X71" s="519"/>
      <c r="Y71" s="519"/>
      <c r="Z71" s="738">
        <f t="shared" si="3"/>
        <v>13</v>
      </c>
      <c r="AA71" s="580">
        <f t="shared" si="4"/>
        <v>0</v>
      </c>
      <c r="AB71" s="580">
        <f t="shared" si="5"/>
        <v>208000</v>
      </c>
      <c r="AC71" s="580">
        <f>'CHAM CONG'!V69</f>
        <v>0</v>
      </c>
      <c r="AD71" s="580" t="str">
        <f>'CHAM CONG'!W69</f>
        <v>x</v>
      </c>
      <c r="AE71" s="580">
        <f>'CHAM CONG'!X69</f>
        <v>0</v>
      </c>
      <c r="AF71" s="738">
        <f t="shared" si="6"/>
        <v>1</v>
      </c>
      <c r="AG71" s="580">
        <f t="shared" si="7"/>
        <v>17000</v>
      </c>
      <c r="AH71" s="580">
        <f t="shared" si="17"/>
        <v>13</v>
      </c>
      <c r="AI71" s="580">
        <f t="shared" si="8"/>
        <v>13000</v>
      </c>
      <c r="AJ71" s="580">
        <f t="shared" si="9"/>
        <v>238000</v>
      </c>
      <c r="AK71" s="429">
        <f>'SAN LUONG'!AF70</f>
        <v>185</v>
      </c>
      <c r="AL71" s="429">
        <f>'SAN LUONG'!AG70</f>
        <v>296</v>
      </c>
      <c r="AM71" s="429">
        <f>'SAN LUONG'!AH70</f>
        <v>436</v>
      </c>
      <c r="AN71" s="429">
        <f>'SAN LUONG'!AI70</f>
        <v>152</v>
      </c>
      <c r="AO71" s="746"/>
      <c r="AP71" s="746">
        <f t="shared" si="11"/>
        <v>0</v>
      </c>
      <c r="AQ71" s="746"/>
      <c r="AR71" s="746">
        <f t="shared" si="18"/>
        <v>0</v>
      </c>
      <c r="AS71" s="746">
        <f t="shared" si="21"/>
        <v>1069</v>
      </c>
      <c r="AT71" s="746">
        <f t="shared" si="19"/>
        <v>214014</v>
      </c>
      <c r="AU71" s="747">
        <f>'SAN LUONG'!AU70</f>
        <v>0</v>
      </c>
      <c r="AV71" s="748">
        <f t="shared" si="12"/>
        <v>0</v>
      </c>
      <c r="AW71" s="757">
        <f t="shared" si="13"/>
        <v>0</v>
      </c>
      <c r="AX71" s="758">
        <f t="shared" si="14"/>
        <v>452014</v>
      </c>
      <c r="AY71" s="759"/>
      <c r="AZ71" s="759"/>
      <c r="BA71" s="759"/>
      <c r="BB71" s="760">
        <f t="shared" si="15"/>
        <v>452014</v>
      </c>
      <c r="BC71" s="763"/>
      <c r="BD71" s="639">
        <f t="shared" si="16"/>
        <v>14.15</v>
      </c>
      <c r="BE71" s="768"/>
      <c r="BF71" s="769"/>
    </row>
    <row r="72" spans="1:58" s="725" customFormat="1" ht="33" customHeight="1">
      <c r="A72" s="503">
        <v>63</v>
      </c>
      <c r="B72" s="504">
        <v>4</v>
      </c>
      <c r="C72" s="504">
        <v>152</v>
      </c>
      <c r="D72" s="728"/>
      <c r="E72" s="728"/>
      <c r="F72" s="728"/>
      <c r="G72" s="728" t="str">
        <f>'Tên Tháng 1'!E66</f>
        <v>ជន សាមាក់</v>
      </c>
      <c r="H72" s="728" t="str">
        <f>'Tên Tháng 1'!F66</f>
        <v>CHORN SAMAK</v>
      </c>
      <c r="I72" s="519" t="str">
        <f>'CHAM CONG'!G70</f>
        <v>x</v>
      </c>
      <c r="J72" s="519" t="str">
        <f>'CHAM CONG'!H70</f>
        <v>x</v>
      </c>
      <c r="K72" s="519" t="str">
        <f>'CHAM CONG'!I70</f>
        <v>x</v>
      </c>
      <c r="L72" s="519" t="str">
        <f>'CHAM CONG'!J70</f>
        <v>x</v>
      </c>
      <c r="M72" s="519" t="str">
        <f>'CHAM CONG'!K70</f>
        <v>x</v>
      </c>
      <c r="N72" s="519" t="str">
        <f>'CHAM CONG'!L70</f>
        <v>x</v>
      </c>
      <c r="O72" s="519" t="str">
        <f>'CHAM CONG'!M70</f>
        <v>x</v>
      </c>
      <c r="P72" s="519" t="str">
        <f>'CHAM CONG'!N70</f>
        <v>x</v>
      </c>
      <c r="Q72" s="519" t="str">
        <f>'CHAM CONG'!O70</f>
        <v>x</v>
      </c>
      <c r="R72" s="519" t="str">
        <f>'CHAM CONG'!P70</f>
        <v>x</v>
      </c>
      <c r="S72" s="519">
        <f>'CHAM CONG'!Q70</f>
        <v>0</v>
      </c>
      <c r="T72" s="519" t="str">
        <f>'CHAM CONG'!R70</f>
        <v>x</v>
      </c>
      <c r="U72" s="519" t="str">
        <f>'CHAM CONG'!S70</f>
        <v>x</v>
      </c>
      <c r="V72" s="519" t="str">
        <f>'CHAM CONG'!T70</f>
        <v>x</v>
      </c>
      <c r="W72" s="519" t="str">
        <f>'CHAM CONG'!U70</f>
        <v>x</v>
      </c>
      <c r="X72" s="519"/>
      <c r="Y72" s="519"/>
      <c r="Z72" s="738">
        <f t="shared" si="3"/>
        <v>14</v>
      </c>
      <c r="AA72" s="580">
        <f t="shared" si="4"/>
        <v>0</v>
      </c>
      <c r="AB72" s="580">
        <f t="shared" si="5"/>
        <v>224000</v>
      </c>
      <c r="AC72" s="580">
        <f>'CHAM CONG'!V70</f>
        <v>0</v>
      </c>
      <c r="AD72" s="580" t="str">
        <f>'CHAM CONG'!W70</f>
        <v>x</v>
      </c>
      <c r="AE72" s="580">
        <f>'CHAM CONG'!X70</f>
        <v>0</v>
      </c>
      <c r="AF72" s="738">
        <f t="shared" si="6"/>
        <v>1</v>
      </c>
      <c r="AG72" s="580">
        <f t="shared" si="7"/>
        <v>17000</v>
      </c>
      <c r="AH72" s="580">
        <f t="shared" si="17"/>
        <v>14</v>
      </c>
      <c r="AI72" s="580">
        <f t="shared" si="8"/>
        <v>14000</v>
      </c>
      <c r="AJ72" s="580">
        <f t="shared" si="9"/>
        <v>255000</v>
      </c>
      <c r="AK72" s="429">
        <f>'SAN LUONG'!AF71</f>
        <v>214</v>
      </c>
      <c r="AL72" s="429">
        <f>'SAN LUONG'!AG71</f>
        <v>320</v>
      </c>
      <c r="AM72" s="429">
        <f>'SAN LUONG'!AH71</f>
        <v>422</v>
      </c>
      <c r="AN72" s="429">
        <f>'SAN LUONG'!AI71</f>
        <v>164</v>
      </c>
      <c r="AO72" s="746"/>
      <c r="AP72" s="746">
        <f t="shared" si="11"/>
        <v>0</v>
      </c>
      <c r="AQ72" s="746"/>
      <c r="AR72" s="746">
        <f t="shared" si="18"/>
        <v>0</v>
      </c>
      <c r="AS72" s="746">
        <f t="shared" si="21"/>
        <v>1120</v>
      </c>
      <c r="AT72" s="746">
        <f t="shared" si="19"/>
        <v>224224</v>
      </c>
      <c r="AU72" s="747">
        <f>'SAN LUONG'!AU71</f>
        <v>0</v>
      </c>
      <c r="AV72" s="748">
        <f t="shared" si="12"/>
        <v>0</v>
      </c>
      <c r="AW72" s="757">
        <f t="shared" si="13"/>
        <v>0</v>
      </c>
      <c r="AX72" s="758">
        <f t="shared" si="14"/>
        <v>479224</v>
      </c>
      <c r="AY72" s="759"/>
      <c r="AZ72" s="759"/>
      <c r="BA72" s="759"/>
      <c r="BB72" s="760">
        <f t="shared" si="15"/>
        <v>479224</v>
      </c>
      <c r="BC72" s="763"/>
      <c r="BD72" s="639">
        <f t="shared" si="16"/>
        <v>15</v>
      </c>
      <c r="BE72" s="768"/>
      <c r="BF72" s="769"/>
    </row>
    <row r="73" spans="1:58" s="725" customFormat="1" ht="33" customHeight="1">
      <c r="A73" s="503">
        <v>64</v>
      </c>
      <c r="B73" s="504">
        <v>4</v>
      </c>
      <c r="C73" s="504">
        <v>153</v>
      </c>
      <c r="D73" s="728"/>
      <c r="E73" s="728"/>
      <c r="F73" s="728"/>
      <c r="G73" s="728" t="str">
        <f>'Tên Tháng 1'!E67</f>
        <v>សេង មករា</v>
      </c>
      <c r="H73" s="728" t="str">
        <f>'Tên Tháng 1'!F67</f>
        <v>SENG MEAKARA</v>
      </c>
      <c r="I73" s="519" t="str">
        <f>'CHAM CONG'!G71</f>
        <v>x</v>
      </c>
      <c r="J73" s="519" t="str">
        <f>'CHAM CONG'!H71</f>
        <v>x</v>
      </c>
      <c r="K73" s="519" t="str">
        <f>'CHAM CONG'!I71</f>
        <v>x</v>
      </c>
      <c r="L73" s="519">
        <f>'CHAM CONG'!J71</f>
        <v>0</v>
      </c>
      <c r="M73" s="519" t="str">
        <f>'CHAM CONG'!K71</f>
        <v>x</v>
      </c>
      <c r="N73" s="519" t="str">
        <f>'CHAM CONG'!L71</f>
        <v>x</v>
      </c>
      <c r="O73" s="519" t="str">
        <f>'CHAM CONG'!M71</f>
        <v>x</v>
      </c>
      <c r="P73" s="519" t="str">
        <f>'CHAM CONG'!N71</f>
        <v>x</v>
      </c>
      <c r="Q73" s="519" t="str">
        <f>'CHAM CONG'!O71</f>
        <v>x</v>
      </c>
      <c r="R73" s="519" t="str">
        <f>'CHAM CONG'!P71</f>
        <v>x</v>
      </c>
      <c r="S73" s="519" t="str">
        <f>'CHAM CONG'!Q71</f>
        <v>x</v>
      </c>
      <c r="T73" s="519" t="str">
        <f>'CHAM CONG'!R71</f>
        <v>x</v>
      </c>
      <c r="U73" s="519" t="str">
        <f>'CHAM CONG'!S71</f>
        <v>x</v>
      </c>
      <c r="V73" s="519" t="str">
        <f>'CHAM CONG'!T71</f>
        <v>x</v>
      </c>
      <c r="W73" s="519" t="str">
        <f>'CHAM CONG'!U71</f>
        <v>x</v>
      </c>
      <c r="X73" s="519"/>
      <c r="Y73" s="519"/>
      <c r="Z73" s="738">
        <f t="shared" si="3"/>
        <v>14</v>
      </c>
      <c r="AA73" s="580">
        <f t="shared" si="4"/>
        <v>0</v>
      </c>
      <c r="AB73" s="580">
        <f t="shared" si="5"/>
        <v>224000</v>
      </c>
      <c r="AC73" s="580">
        <f>'CHAM CONG'!V71</f>
        <v>0</v>
      </c>
      <c r="AD73" s="580" t="str">
        <f>'CHAM CONG'!W71</f>
        <v>x</v>
      </c>
      <c r="AE73" s="580">
        <f>'CHAM CONG'!X71</f>
        <v>0</v>
      </c>
      <c r="AF73" s="738">
        <f t="shared" si="6"/>
        <v>1</v>
      </c>
      <c r="AG73" s="580">
        <f t="shared" si="7"/>
        <v>17000</v>
      </c>
      <c r="AH73" s="580">
        <f t="shared" si="17"/>
        <v>14</v>
      </c>
      <c r="AI73" s="580">
        <f t="shared" si="8"/>
        <v>14000</v>
      </c>
      <c r="AJ73" s="580">
        <f t="shared" si="9"/>
        <v>255000</v>
      </c>
      <c r="AK73" s="429">
        <f>'SAN LUONG'!AF72</f>
        <v>220</v>
      </c>
      <c r="AL73" s="429">
        <f>'SAN LUONG'!AG72</f>
        <v>399</v>
      </c>
      <c r="AM73" s="429">
        <f>'SAN LUONG'!AH72</f>
        <v>331</v>
      </c>
      <c r="AN73" s="429">
        <f>'SAN LUONG'!AI72</f>
        <v>266</v>
      </c>
      <c r="AO73" s="746"/>
      <c r="AP73" s="746">
        <f t="shared" si="11"/>
        <v>0</v>
      </c>
      <c r="AQ73" s="746"/>
      <c r="AR73" s="746">
        <f t="shared" si="18"/>
        <v>0</v>
      </c>
      <c r="AS73" s="746">
        <f t="shared" si="21"/>
        <v>1216</v>
      </c>
      <c r="AT73" s="746">
        <f t="shared" si="19"/>
        <v>243443</v>
      </c>
      <c r="AU73" s="747">
        <f>'SAN LUONG'!AU72</f>
        <v>0</v>
      </c>
      <c r="AV73" s="748">
        <f t="shared" si="12"/>
        <v>0</v>
      </c>
      <c r="AW73" s="757">
        <f t="shared" si="13"/>
        <v>0</v>
      </c>
      <c r="AX73" s="758">
        <f t="shared" si="14"/>
        <v>498443</v>
      </c>
      <c r="AY73" s="759"/>
      <c r="AZ73" s="759"/>
      <c r="BA73" s="759"/>
      <c r="BB73" s="760">
        <f t="shared" si="15"/>
        <v>498443</v>
      </c>
      <c r="BC73" s="763"/>
      <c r="BD73" s="639">
        <f t="shared" si="16"/>
        <v>15.6</v>
      </c>
      <c r="BE73" s="768"/>
      <c r="BF73" s="769"/>
    </row>
    <row r="74" spans="1:58" s="725" customFormat="1" ht="33" customHeight="1">
      <c r="A74" s="503">
        <v>65</v>
      </c>
      <c r="B74" s="504">
        <v>4</v>
      </c>
      <c r="C74" s="504">
        <v>154</v>
      </c>
      <c r="D74" s="728"/>
      <c r="E74" s="728"/>
      <c r="F74" s="728"/>
      <c r="G74" s="728" t="str">
        <f>'Tên Tháng 1'!E68</f>
        <v>ហ៊ាវ ហៃ</v>
      </c>
      <c r="H74" s="728" t="str">
        <f>'Tên Tháng 1'!F68</f>
        <v>HEAV HAI</v>
      </c>
      <c r="I74" s="519" t="str">
        <f>'CHAM CONG'!G72</f>
        <v>x</v>
      </c>
      <c r="J74" s="519" t="str">
        <f>'CHAM CONG'!H72</f>
        <v>x</v>
      </c>
      <c r="K74" s="519" t="str">
        <f>'CHAM CONG'!I72</f>
        <v>x</v>
      </c>
      <c r="L74" s="519" t="str">
        <f>'CHAM CONG'!J72</f>
        <v>x</v>
      </c>
      <c r="M74" s="519" t="str">
        <f>'CHAM CONG'!K72</f>
        <v>x</v>
      </c>
      <c r="N74" s="519" t="str">
        <f>'CHAM CONG'!L72</f>
        <v>x</v>
      </c>
      <c r="O74" s="519" t="str">
        <f>'CHAM CONG'!M72</f>
        <v>x</v>
      </c>
      <c r="P74" s="519" t="str">
        <f>'CHAM CONG'!N72</f>
        <v>x</v>
      </c>
      <c r="Q74" s="519" t="str">
        <f>'CHAM CONG'!O72</f>
        <v>x</v>
      </c>
      <c r="R74" s="519" t="str">
        <f>'CHAM CONG'!P72</f>
        <v>x</v>
      </c>
      <c r="S74" s="519" t="str">
        <f>'CHAM CONG'!Q72</f>
        <v>x</v>
      </c>
      <c r="T74" s="519" t="str">
        <f>'CHAM CONG'!R72</f>
        <v>x</v>
      </c>
      <c r="U74" s="519" t="str">
        <f>'CHAM CONG'!S72</f>
        <v>x</v>
      </c>
      <c r="V74" s="519" t="str">
        <f>'CHAM CONG'!T72</f>
        <v>x</v>
      </c>
      <c r="W74" s="519" t="str">
        <f>'CHAM CONG'!U72</f>
        <v>x</v>
      </c>
      <c r="X74" s="519"/>
      <c r="Y74" s="519"/>
      <c r="Z74" s="738">
        <f t="shared" si="3"/>
        <v>15</v>
      </c>
      <c r="AA74" s="580">
        <f t="shared" si="4"/>
        <v>0</v>
      </c>
      <c r="AB74" s="580">
        <f t="shared" si="5"/>
        <v>240000</v>
      </c>
      <c r="AC74" s="580">
        <f>'CHAM CONG'!V72</f>
        <v>0</v>
      </c>
      <c r="AD74" s="580" t="str">
        <f>'CHAM CONG'!W72</f>
        <v>x</v>
      </c>
      <c r="AE74" s="580">
        <f>'CHAM CONG'!X72</f>
        <v>0</v>
      </c>
      <c r="AF74" s="738">
        <f t="shared" si="6"/>
        <v>1</v>
      </c>
      <c r="AG74" s="580">
        <f t="shared" si="7"/>
        <v>17000</v>
      </c>
      <c r="AH74" s="580">
        <f t="shared" ref="AH74:AH105" si="22">Z74</f>
        <v>15</v>
      </c>
      <c r="AI74" s="580">
        <f t="shared" si="8"/>
        <v>15000</v>
      </c>
      <c r="AJ74" s="580">
        <f t="shared" si="9"/>
        <v>272000</v>
      </c>
      <c r="AK74" s="429">
        <f>'SAN LUONG'!AF73</f>
        <v>268</v>
      </c>
      <c r="AL74" s="429">
        <f>'SAN LUONG'!AG73</f>
        <v>484</v>
      </c>
      <c r="AM74" s="429">
        <f>'SAN LUONG'!AH73</f>
        <v>447</v>
      </c>
      <c r="AN74" s="429">
        <f>'SAN LUONG'!AI73</f>
        <v>268</v>
      </c>
      <c r="AO74" s="746"/>
      <c r="AP74" s="746">
        <f t="shared" si="11"/>
        <v>0</v>
      </c>
      <c r="AQ74" s="746"/>
      <c r="AR74" s="746">
        <f t="shared" ref="AR74:AR105" si="23">ROUND(AQ74*0.44*$AR$8,0)</f>
        <v>0</v>
      </c>
      <c r="AS74" s="746">
        <f t="shared" si="21"/>
        <v>1467</v>
      </c>
      <c r="AT74" s="746">
        <f t="shared" si="19"/>
        <v>293693</v>
      </c>
      <c r="AU74" s="747">
        <f>'SAN LUONG'!AU73</f>
        <v>0</v>
      </c>
      <c r="AV74" s="748">
        <f t="shared" si="12"/>
        <v>0</v>
      </c>
      <c r="AW74" s="757">
        <f t="shared" si="13"/>
        <v>0</v>
      </c>
      <c r="AX74" s="758">
        <f t="shared" si="14"/>
        <v>565693</v>
      </c>
      <c r="AY74" s="759"/>
      <c r="AZ74" s="759"/>
      <c r="BA74" s="759"/>
      <c r="BB74" s="760">
        <f t="shared" si="15"/>
        <v>565693</v>
      </c>
      <c r="BC74" s="763"/>
      <c r="BD74" s="639">
        <f t="shared" si="16"/>
        <v>17.71</v>
      </c>
      <c r="BE74" s="768"/>
      <c r="BF74" s="769"/>
    </row>
    <row r="75" spans="1:58" s="725" customFormat="1" ht="33" customHeight="1">
      <c r="A75" s="503">
        <v>66</v>
      </c>
      <c r="B75" s="504">
        <v>4</v>
      </c>
      <c r="C75" s="504">
        <v>155</v>
      </c>
      <c r="D75" s="728"/>
      <c r="E75" s="728"/>
      <c r="F75" s="728"/>
      <c r="G75" s="728" t="str">
        <f>'Tên Tháng 1'!E69</f>
        <v>មឿន សាវន</v>
      </c>
      <c r="H75" s="728" t="str">
        <f>'Tên Tháng 1'!F69</f>
        <v>MOEUN SAVON</v>
      </c>
      <c r="I75" s="519" t="str">
        <f>'CHAM CONG'!G73</f>
        <v>x</v>
      </c>
      <c r="J75" s="519" t="str">
        <f>'CHAM CONG'!H73</f>
        <v>x</v>
      </c>
      <c r="K75" s="519" t="str">
        <f>'CHAM CONG'!I73</f>
        <v>x</v>
      </c>
      <c r="L75" s="519" t="str">
        <f>'CHAM CONG'!J73</f>
        <v>x</v>
      </c>
      <c r="M75" s="519" t="str">
        <f>'CHAM CONG'!K73</f>
        <v>x</v>
      </c>
      <c r="N75" s="519">
        <f>'CHAM CONG'!L73</f>
        <v>0</v>
      </c>
      <c r="O75" s="519" t="str">
        <f>'CHAM CONG'!M73</f>
        <v>x</v>
      </c>
      <c r="P75" s="519" t="str">
        <f>'CHAM CONG'!N73</f>
        <v>x</v>
      </c>
      <c r="Q75" s="519" t="str">
        <f>'CHAM CONG'!O73</f>
        <v>x</v>
      </c>
      <c r="R75" s="519" t="str">
        <f>'CHAM CONG'!P73</f>
        <v>x</v>
      </c>
      <c r="S75" s="519" t="str">
        <f>'CHAM CONG'!Q73</f>
        <v>x</v>
      </c>
      <c r="T75" s="519" t="str">
        <f>'CHAM CONG'!R73</f>
        <v>x</v>
      </c>
      <c r="U75" s="519" t="str">
        <f>'CHAM CONG'!S73</f>
        <v>x</v>
      </c>
      <c r="V75" s="519" t="str">
        <f>'CHAM CONG'!T73</f>
        <v>x</v>
      </c>
      <c r="W75" s="519" t="str">
        <f>'CHAM CONG'!U73</f>
        <v>x</v>
      </c>
      <c r="X75" s="519"/>
      <c r="Y75" s="519"/>
      <c r="Z75" s="738">
        <f t="shared" ref="Z75:Z138" si="24">COUNTIF(I75:W75,"X")</f>
        <v>14</v>
      </c>
      <c r="AA75" s="580">
        <f t="shared" ref="AA75:AA138" si="25">ROUND(Z75*$Z$8/30456,2)+$AA$2</f>
        <v>0</v>
      </c>
      <c r="AB75" s="580">
        <f t="shared" ref="AB75:AB138" si="26">ROUND(Z75*$AB$8,0)</f>
        <v>224000</v>
      </c>
      <c r="AC75" s="580">
        <f>'CHAM CONG'!V73</f>
        <v>0</v>
      </c>
      <c r="AD75" s="580" t="str">
        <f>'CHAM CONG'!W73</f>
        <v>x</v>
      </c>
      <c r="AE75" s="580">
        <f>'CHAM CONG'!X73</f>
        <v>0</v>
      </c>
      <c r="AF75" s="738">
        <f t="shared" ref="AF75:AF138" si="27">COUNTIF(AC75:AE75,"X")</f>
        <v>1</v>
      </c>
      <c r="AG75" s="580">
        <f t="shared" ref="AG75:AG138" si="28">ROUND(AF75*$AG$8,0)</f>
        <v>17000</v>
      </c>
      <c r="AH75" s="580">
        <f t="shared" si="22"/>
        <v>14</v>
      </c>
      <c r="AI75" s="580">
        <f t="shared" ref="AI75:AI138" si="29">ROUND(AH75*$AI$8,0)</f>
        <v>14000</v>
      </c>
      <c r="AJ75" s="580">
        <f t="shared" ref="AJ75:AJ138" si="30">AB75+AI75+AG75</f>
        <v>255000</v>
      </c>
      <c r="AK75" s="429">
        <f>'SAN LUONG'!AF74</f>
        <v>177</v>
      </c>
      <c r="AL75" s="429">
        <f>'SAN LUONG'!AG74</f>
        <v>439</v>
      </c>
      <c r="AM75" s="429">
        <f>'SAN LUONG'!AH74</f>
        <v>433</v>
      </c>
      <c r="AN75" s="429">
        <f>'SAN LUONG'!AI74</f>
        <v>178</v>
      </c>
      <c r="AO75" s="746"/>
      <c r="AP75" s="746">
        <f t="shared" ref="AP75:AP138" si="31">ROUND(AO75*0.44*$AP$8,0)</f>
        <v>0</v>
      </c>
      <c r="AQ75" s="746"/>
      <c r="AR75" s="746">
        <f t="shared" si="23"/>
        <v>0</v>
      </c>
      <c r="AS75" s="746">
        <f t="shared" si="21"/>
        <v>1227</v>
      </c>
      <c r="AT75" s="746">
        <f t="shared" ref="AT75:AT138" si="32">ROUND(AS75*0.44*$AT$8,0)</f>
        <v>245645</v>
      </c>
      <c r="AU75" s="747">
        <f>'SAN LUONG'!AU74</f>
        <v>0</v>
      </c>
      <c r="AV75" s="748">
        <f t="shared" ref="AV75:AV138" si="33">ROUND((AU75*1000)/30456,2)</f>
        <v>0</v>
      </c>
      <c r="AW75" s="757">
        <f t="shared" ref="AW75:AW138" si="34">AU75*1000</f>
        <v>0</v>
      </c>
      <c r="AX75" s="758">
        <f t="shared" ref="AX75:AX138" si="35">AJ75+AT75+AR75+AP75</f>
        <v>500645</v>
      </c>
      <c r="AY75" s="759"/>
      <c r="AZ75" s="759"/>
      <c r="BA75" s="759"/>
      <c r="BB75" s="760">
        <f t="shared" ref="BB75:BB138" si="36">AX75</f>
        <v>500645</v>
      </c>
      <c r="BC75" s="763"/>
      <c r="BD75" s="639">
        <f t="shared" ref="BD75:BD138" si="37">ROUND(BB75/31947,2)</f>
        <v>15.67</v>
      </c>
      <c r="BE75" s="768"/>
      <c r="BF75" s="769"/>
    </row>
    <row r="76" spans="1:58" s="725" customFormat="1" ht="33" customHeight="1">
      <c r="A76" s="503">
        <v>67</v>
      </c>
      <c r="B76" s="504">
        <v>4</v>
      </c>
      <c r="C76" s="504">
        <v>156</v>
      </c>
      <c r="D76" s="728"/>
      <c r="E76" s="728"/>
      <c r="F76" s="728"/>
      <c r="G76" s="728" t="str">
        <f>'Tên Tháng 1'!E70</f>
        <v>មឿន សុខា</v>
      </c>
      <c r="H76" s="728" t="str">
        <f>'Tên Tháng 1'!F70</f>
        <v>MAEUN SOKHA</v>
      </c>
      <c r="I76" s="519">
        <f>'CHAM CONG'!G74</f>
        <v>0</v>
      </c>
      <c r="J76" s="519" t="str">
        <f>'CHAM CONG'!H74</f>
        <v>x</v>
      </c>
      <c r="K76" s="519" t="str">
        <f>'CHAM CONG'!I74</f>
        <v>x</v>
      </c>
      <c r="L76" s="519" t="str">
        <f>'CHAM CONG'!J74</f>
        <v>x</v>
      </c>
      <c r="M76" s="519" t="str">
        <f>'CHAM CONG'!K74</f>
        <v>x</v>
      </c>
      <c r="N76" s="519" t="str">
        <f>'CHAM CONG'!L74</f>
        <v>x</v>
      </c>
      <c r="O76" s="519">
        <f>'CHAM CONG'!M74</f>
        <v>0</v>
      </c>
      <c r="P76" s="519" t="str">
        <f>'CHAM CONG'!N74</f>
        <v>x</v>
      </c>
      <c r="Q76" s="519" t="str">
        <f>'CHAM CONG'!O74</f>
        <v>x</v>
      </c>
      <c r="R76" s="519" t="str">
        <f>'CHAM CONG'!P74</f>
        <v>x</v>
      </c>
      <c r="S76" s="519" t="str">
        <f>'CHAM CONG'!Q74</f>
        <v>x</v>
      </c>
      <c r="T76" s="519" t="str">
        <f>'CHAM CONG'!R74</f>
        <v>x</v>
      </c>
      <c r="U76" s="519" t="str">
        <f>'CHAM CONG'!S74</f>
        <v>x</v>
      </c>
      <c r="V76" s="519" t="str">
        <f>'CHAM CONG'!T74</f>
        <v>x</v>
      </c>
      <c r="W76" s="519" t="str">
        <f>'CHAM CONG'!U74</f>
        <v>x</v>
      </c>
      <c r="X76" s="519"/>
      <c r="Y76" s="519"/>
      <c r="Z76" s="738">
        <f t="shared" si="24"/>
        <v>13</v>
      </c>
      <c r="AA76" s="580">
        <f t="shared" si="25"/>
        <v>0</v>
      </c>
      <c r="AB76" s="580">
        <f t="shared" si="26"/>
        <v>208000</v>
      </c>
      <c r="AC76" s="580">
        <f>'CHAM CONG'!V74</f>
        <v>0</v>
      </c>
      <c r="AD76" s="580" t="str">
        <f>'CHAM CONG'!W74</f>
        <v>x</v>
      </c>
      <c r="AE76" s="580">
        <f>'CHAM CONG'!X74</f>
        <v>0</v>
      </c>
      <c r="AF76" s="738">
        <f t="shared" si="27"/>
        <v>1</v>
      </c>
      <c r="AG76" s="580">
        <f t="shared" si="28"/>
        <v>17000</v>
      </c>
      <c r="AH76" s="580">
        <f t="shared" si="22"/>
        <v>13</v>
      </c>
      <c r="AI76" s="580">
        <f t="shared" si="29"/>
        <v>13000</v>
      </c>
      <c r="AJ76" s="580">
        <f t="shared" si="30"/>
        <v>238000</v>
      </c>
      <c r="AK76" s="429">
        <f>'SAN LUONG'!AF75</f>
        <v>261</v>
      </c>
      <c r="AL76" s="429">
        <f>'SAN LUONG'!AG75</f>
        <v>344</v>
      </c>
      <c r="AM76" s="429">
        <f>'SAN LUONG'!AH75</f>
        <v>352</v>
      </c>
      <c r="AN76" s="429">
        <f>'SAN LUONG'!AI75</f>
        <v>252</v>
      </c>
      <c r="AO76" s="746"/>
      <c r="AP76" s="746">
        <f t="shared" si="31"/>
        <v>0</v>
      </c>
      <c r="AQ76" s="746"/>
      <c r="AR76" s="746">
        <f t="shared" si="23"/>
        <v>0</v>
      </c>
      <c r="AS76" s="746">
        <f t="shared" si="21"/>
        <v>1209</v>
      </c>
      <c r="AT76" s="746">
        <f t="shared" si="32"/>
        <v>242042</v>
      </c>
      <c r="AU76" s="747">
        <f>'SAN LUONG'!AU75</f>
        <v>0</v>
      </c>
      <c r="AV76" s="748">
        <f t="shared" si="33"/>
        <v>0</v>
      </c>
      <c r="AW76" s="757">
        <f t="shared" si="34"/>
        <v>0</v>
      </c>
      <c r="AX76" s="758">
        <f t="shared" si="35"/>
        <v>480042</v>
      </c>
      <c r="AY76" s="759"/>
      <c r="AZ76" s="759"/>
      <c r="BA76" s="759"/>
      <c r="BB76" s="760">
        <f t="shared" si="36"/>
        <v>480042</v>
      </c>
      <c r="BC76" s="763"/>
      <c r="BD76" s="639">
        <f t="shared" si="37"/>
        <v>15.03</v>
      </c>
      <c r="BE76" s="768"/>
      <c r="BF76" s="769"/>
    </row>
    <row r="77" spans="1:58" s="725" customFormat="1" ht="33" customHeight="1">
      <c r="A77" s="503">
        <v>68</v>
      </c>
      <c r="B77" s="504">
        <v>4</v>
      </c>
      <c r="C77" s="504">
        <v>157</v>
      </c>
      <c r="D77" s="728"/>
      <c r="E77" s="728"/>
      <c r="F77" s="728"/>
      <c r="G77" s="728" t="str">
        <f>'Tên Tháng 1'!E71</f>
        <v>ម៉ិក ស្រីលាក់</v>
      </c>
      <c r="H77" s="728" t="str">
        <f>'Tên Tháng 1'!F71</f>
        <v>MIK SREYLEAK</v>
      </c>
      <c r="I77" s="519">
        <f>'CHAM CONG'!G75</f>
        <v>0</v>
      </c>
      <c r="J77" s="519" t="str">
        <f>'CHAM CONG'!H75</f>
        <v>x</v>
      </c>
      <c r="K77" s="519" t="str">
        <f>'CHAM CONG'!I75</f>
        <v>x</v>
      </c>
      <c r="L77" s="519" t="str">
        <f>'CHAM CONG'!J75</f>
        <v>x</v>
      </c>
      <c r="M77" s="519" t="str">
        <f>'CHAM CONG'!K75</f>
        <v>x</v>
      </c>
      <c r="N77" s="519" t="str">
        <f>'CHAM CONG'!L75</f>
        <v>x</v>
      </c>
      <c r="O77" s="519">
        <f>'CHAM CONG'!M75</f>
        <v>0</v>
      </c>
      <c r="P77" s="519" t="str">
        <f>'CHAM CONG'!N75</f>
        <v>x</v>
      </c>
      <c r="Q77" s="519" t="str">
        <f>'CHAM CONG'!O75</f>
        <v>x</v>
      </c>
      <c r="R77" s="519" t="str">
        <f>'CHAM CONG'!P75</f>
        <v>x</v>
      </c>
      <c r="S77" s="519" t="str">
        <f>'CHAM CONG'!Q75</f>
        <v>x</v>
      </c>
      <c r="T77" s="519" t="str">
        <f>'CHAM CONG'!R75</f>
        <v>x</v>
      </c>
      <c r="U77" s="519" t="str">
        <f>'CHAM CONG'!S75</f>
        <v>x</v>
      </c>
      <c r="V77" s="519" t="str">
        <f>'CHAM CONG'!T75</f>
        <v>x</v>
      </c>
      <c r="W77" s="519" t="str">
        <f>'CHAM CONG'!U75</f>
        <v>x</v>
      </c>
      <c r="X77" s="519"/>
      <c r="Y77" s="519"/>
      <c r="Z77" s="738">
        <f t="shared" si="24"/>
        <v>13</v>
      </c>
      <c r="AA77" s="580">
        <f t="shared" si="25"/>
        <v>0</v>
      </c>
      <c r="AB77" s="580">
        <f t="shared" si="26"/>
        <v>208000</v>
      </c>
      <c r="AC77" s="580">
        <f>'CHAM CONG'!V75</f>
        <v>0</v>
      </c>
      <c r="AD77" s="580" t="str">
        <f>'CHAM CONG'!W75</f>
        <v>x</v>
      </c>
      <c r="AE77" s="580">
        <f>'CHAM CONG'!X75</f>
        <v>0</v>
      </c>
      <c r="AF77" s="738">
        <f t="shared" si="27"/>
        <v>1</v>
      </c>
      <c r="AG77" s="580">
        <f t="shared" si="28"/>
        <v>17000</v>
      </c>
      <c r="AH77" s="580">
        <f t="shared" si="22"/>
        <v>13</v>
      </c>
      <c r="AI77" s="580">
        <f t="shared" si="29"/>
        <v>13000</v>
      </c>
      <c r="AJ77" s="580">
        <f t="shared" si="30"/>
        <v>238000</v>
      </c>
      <c r="AK77" s="429">
        <f>'SAN LUONG'!AF76</f>
        <v>250</v>
      </c>
      <c r="AL77" s="429">
        <f>'SAN LUONG'!AG76</f>
        <v>349</v>
      </c>
      <c r="AM77" s="429">
        <f>'SAN LUONG'!AH76</f>
        <v>348</v>
      </c>
      <c r="AN77" s="429">
        <f>'SAN LUONG'!AI76</f>
        <v>250</v>
      </c>
      <c r="AO77" s="746"/>
      <c r="AP77" s="746">
        <f t="shared" si="31"/>
        <v>0</v>
      </c>
      <c r="AQ77" s="746"/>
      <c r="AR77" s="746">
        <f t="shared" si="23"/>
        <v>0</v>
      </c>
      <c r="AS77" s="746">
        <f t="shared" si="21"/>
        <v>1197</v>
      </c>
      <c r="AT77" s="746">
        <f t="shared" si="32"/>
        <v>239639</v>
      </c>
      <c r="AU77" s="747">
        <f>'SAN LUONG'!AU76</f>
        <v>0</v>
      </c>
      <c r="AV77" s="748">
        <f t="shared" si="33"/>
        <v>0</v>
      </c>
      <c r="AW77" s="757">
        <f t="shared" si="34"/>
        <v>0</v>
      </c>
      <c r="AX77" s="758">
        <f t="shared" si="35"/>
        <v>477639</v>
      </c>
      <c r="AY77" s="759"/>
      <c r="AZ77" s="759"/>
      <c r="BA77" s="759"/>
      <c r="BB77" s="760">
        <f t="shared" si="36"/>
        <v>477639</v>
      </c>
      <c r="BC77" s="763"/>
      <c r="BD77" s="639">
        <f t="shared" si="37"/>
        <v>14.95</v>
      </c>
      <c r="BE77" s="768"/>
      <c r="BF77" s="769"/>
    </row>
    <row r="78" spans="1:58" s="725" customFormat="1" ht="33" customHeight="1">
      <c r="A78" s="503">
        <v>69</v>
      </c>
      <c r="B78" s="504">
        <v>4</v>
      </c>
      <c r="C78" s="504">
        <v>158</v>
      </c>
      <c r="D78" s="728"/>
      <c r="E78" s="728"/>
      <c r="F78" s="728"/>
      <c r="G78" s="728" t="str">
        <f>'Tên Tháng 1'!E72</f>
        <v>គង់ ពន្លឺ</v>
      </c>
      <c r="H78" s="728" t="str">
        <f>'Tên Tháng 1'!F72</f>
        <v>KONG PUNLEU</v>
      </c>
      <c r="I78" s="519" t="str">
        <f>'CHAM CONG'!G76</f>
        <v>x</v>
      </c>
      <c r="J78" s="519" t="str">
        <f>'CHAM CONG'!H76</f>
        <v>x</v>
      </c>
      <c r="K78" s="519" t="str">
        <f>'CHAM CONG'!I76</f>
        <v>x</v>
      </c>
      <c r="L78" s="519">
        <f>'CHAM CONG'!J76</f>
        <v>0</v>
      </c>
      <c r="M78" s="519" t="str">
        <f>'CHAM CONG'!K76</f>
        <v>x</v>
      </c>
      <c r="N78" s="519" t="str">
        <f>'CHAM CONG'!L76</f>
        <v>x</v>
      </c>
      <c r="O78" s="519">
        <f>'CHAM CONG'!M76</f>
        <v>0</v>
      </c>
      <c r="P78" s="519" t="str">
        <f>'CHAM CONG'!N76</f>
        <v>x</v>
      </c>
      <c r="Q78" s="519" t="str">
        <f>'CHAM CONG'!O76</f>
        <v>x</v>
      </c>
      <c r="R78" s="519" t="str">
        <f>'CHAM CONG'!P76</f>
        <v>x</v>
      </c>
      <c r="S78" s="519" t="str">
        <f>'CHAM CONG'!Q76</f>
        <v>x</v>
      </c>
      <c r="T78" s="519" t="str">
        <f>'CHAM CONG'!R76</f>
        <v>x</v>
      </c>
      <c r="U78" s="519" t="str">
        <f>'CHAM CONG'!S76</f>
        <v>x</v>
      </c>
      <c r="V78" s="519" t="str">
        <f>'CHAM CONG'!T76</f>
        <v>x</v>
      </c>
      <c r="W78" s="519" t="str">
        <f>'CHAM CONG'!U76</f>
        <v>x</v>
      </c>
      <c r="X78" s="519"/>
      <c r="Y78" s="519"/>
      <c r="Z78" s="738">
        <f t="shared" si="24"/>
        <v>13</v>
      </c>
      <c r="AA78" s="580">
        <f t="shared" si="25"/>
        <v>0</v>
      </c>
      <c r="AB78" s="580">
        <f t="shared" si="26"/>
        <v>208000</v>
      </c>
      <c r="AC78" s="580">
        <f>'CHAM CONG'!V76</f>
        <v>0</v>
      </c>
      <c r="AD78" s="580">
        <f>'CHAM CONG'!W76</f>
        <v>0</v>
      </c>
      <c r="AE78" s="580">
        <f>'CHAM CONG'!X76</f>
        <v>0</v>
      </c>
      <c r="AF78" s="738">
        <f t="shared" si="27"/>
        <v>0</v>
      </c>
      <c r="AG78" s="580">
        <f t="shared" si="28"/>
        <v>0</v>
      </c>
      <c r="AH78" s="580">
        <f t="shared" si="22"/>
        <v>13</v>
      </c>
      <c r="AI78" s="580">
        <f t="shared" si="29"/>
        <v>13000</v>
      </c>
      <c r="AJ78" s="580">
        <f t="shared" si="30"/>
        <v>221000</v>
      </c>
      <c r="AK78" s="429">
        <f>'SAN LUONG'!AF77</f>
        <v>349</v>
      </c>
      <c r="AL78" s="429">
        <f>'SAN LUONG'!AG77</f>
        <v>277</v>
      </c>
      <c r="AM78" s="429">
        <f>'SAN LUONG'!AH77</f>
        <v>370</v>
      </c>
      <c r="AN78" s="429">
        <f>'SAN LUONG'!AI77</f>
        <v>263</v>
      </c>
      <c r="AO78" s="746"/>
      <c r="AP78" s="746">
        <f t="shared" si="31"/>
        <v>0</v>
      </c>
      <c r="AQ78" s="746"/>
      <c r="AR78" s="746">
        <f t="shared" si="23"/>
        <v>0</v>
      </c>
      <c r="AS78" s="746">
        <f t="shared" si="21"/>
        <v>1259</v>
      </c>
      <c r="AT78" s="746">
        <f t="shared" si="32"/>
        <v>252052</v>
      </c>
      <c r="AU78" s="747">
        <f>'SAN LUONG'!AU77</f>
        <v>0</v>
      </c>
      <c r="AV78" s="748">
        <f t="shared" si="33"/>
        <v>0</v>
      </c>
      <c r="AW78" s="757">
        <f t="shared" si="34"/>
        <v>0</v>
      </c>
      <c r="AX78" s="758">
        <f t="shared" si="35"/>
        <v>473052</v>
      </c>
      <c r="AY78" s="759"/>
      <c r="AZ78" s="759"/>
      <c r="BA78" s="759"/>
      <c r="BB78" s="760">
        <f t="shared" si="36"/>
        <v>473052</v>
      </c>
      <c r="BC78" s="763"/>
      <c r="BD78" s="639">
        <f t="shared" si="37"/>
        <v>14.81</v>
      </c>
      <c r="BE78" s="768"/>
      <c r="BF78" s="769"/>
    </row>
    <row r="79" spans="1:58" s="725" customFormat="1" ht="33" customHeight="1">
      <c r="A79" s="503">
        <v>70</v>
      </c>
      <c r="B79" s="504">
        <v>4</v>
      </c>
      <c r="C79" s="504">
        <v>159</v>
      </c>
      <c r="D79" s="728"/>
      <c r="E79" s="728"/>
      <c r="F79" s="728"/>
      <c r="G79" s="728" t="str">
        <f>'Tên Tháng 1'!E73</f>
        <v>បាន សុខឿន</v>
      </c>
      <c r="H79" s="728" t="str">
        <f>'Tên Tháng 1'!F73</f>
        <v>BAN SOKHOEUN</v>
      </c>
      <c r="I79" s="519" t="str">
        <f>'CHAM CONG'!G77</f>
        <v>x</v>
      </c>
      <c r="J79" s="519" t="str">
        <f>'CHAM CONG'!H77</f>
        <v>x</v>
      </c>
      <c r="K79" s="519" t="str">
        <f>'CHAM CONG'!I77</f>
        <v>x</v>
      </c>
      <c r="L79" s="519" t="str">
        <f>'CHAM CONG'!J77</f>
        <v>x</v>
      </c>
      <c r="M79" s="519" t="str">
        <f>'CHAM CONG'!K77</f>
        <v>x</v>
      </c>
      <c r="N79" s="519" t="str">
        <f>'CHAM CONG'!L77</f>
        <v>x</v>
      </c>
      <c r="O79" s="519" t="str">
        <f>'CHAM CONG'!M77</f>
        <v>x</v>
      </c>
      <c r="P79" s="519" t="str">
        <f>'CHAM CONG'!N77</f>
        <v>x</v>
      </c>
      <c r="Q79" s="519" t="str">
        <f>'CHAM CONG'!O77</f>
        <v>x</v>
      </c>
      <c r="R79" s="519" t="str">
        <f>'CHAM CONG'!P77</f>
        <v>x</v>
      </c>
      <c r="S79" s="519" t="str">
        <f>'CHAM CONG'!Q77</f>
        <v>x</v>
      </c>
      <c r="T79" s="519" t="str">
        <f>'CHAM CONG'!R77</f>
        <v>x</v>
      </c>
      <c r="U79" s="519" t="str">
        <f>'CHAM CONG'!S77</f>
        <v>x</v>
      </c>
      <c r="V79" s="519" t="str">
        <f>'CHAM CONG'!T77</f>
        <v>x</v>
      </c>
      <c r="W79" s="519" t="str">
        <f>'CHAM CONG'!U77</f>
        <v>x</v>
      </c>
      <c r="X79" s="519"/>
      <c r="Y79" s="519"/>
      <c r="Z79" s="738">
        <f t="shared" si="24"/>
        <v>15</v>
      </c>
      <c r="AA79" s="580">
        <f t="shared" si="25"/>
        <v>0</v>
      </c>
      <c r="AB79" s="580">
        <f t="shared" si="26"/>
        <v>240000</v>
      </c>
      <c r="AC79" s="580">
        <f>'CHAM CONG'!V77</f>
        <v>0</v>
      </c>
      <c r="AD79" s="580" t="str">
        <f>'CHAM CONG'!W77</f>
        <v>x</v>
      </c>
      <c r="AE79" s="580">
        <f>'CHAM CONG'!X77</f>
        <v>0</v>
      </c>
      <c r="AF79" s="738">
        <f t="shared" si="27"/>
        <v>1</v>
      </c>
      <c r="AG79" s="580">
        <f t="shared" si="28"/>
        <v>17000</v>
      </c>
      <c r="AH79" s="580">
        <f t="shared" si="22"/>
        <v>15</v>
      </c>
      <c r="AI79" s="580">
        <f t="shared" si="29"/>
        <v>15000</v>
      </c>
      <c r="AJ79" s="580">
        <f t="shared" si="30"/>
        <v>272000</v>
      </c>
      <c r="AK79" s="429">
        <f>'SAN LUONG'!AF78</f>
        <v>354</v>
      </c>
      <c r="AL79" s="429">
        <f>'SAN LUONG'!AG78</f>
        <v>412</v>
      </c>
      <c r="AM79" s="429">
        <f>'SAN LUONG'!AH78</f>
        <v>415</v>
      </c>
      <c r="AN79" s="429">
        <f>'SAN LUONG'!AI78</f>
        <v>272</v>
      </c>
      <c r="AO79" s="746"/>
      <c r="AP79" s="746">
        <f t="shared" si="31"/>
        <v>0</v>
      </c>
      <c r="AQ79" s="746"/>
      <c r="AR79" s="746">
        <f t="shared" si="23"/>
        <v>0</v>
      </c>
      <c r="AS79" s="746">
        <f t="shared" si="21"/>
        <v>1453</v>
      </c>
      <c r="AT79" s="746">
        <f t="shared" si="32"/>
        <v>290891</v>
      </c>
      <c r="AU79" s="747">
        <f>'SAN LUONG'!AU78</f>
        <v>0</v>
      </c>
      <c r="AV79" s="748">
        <f t="shared" si="33"/>
        <v>0</v>
      </c>
      <c r="AW79" s="757">
        <f t="shared" si="34"/>
        <v>0</v>
      </c>
      <c r="AX79" s="758">
        <f t="shared" si="35"/>
        <v>562891</v>
      </c>
      <c r="AY79" s="759"/>
      <c r="AZ79" s="759"/>
      <c r="BA79" s="759"/>
      <c r="BB79" s="760">
        <f t="shared" si="36"/>
        <v>562891</v>
      </c>
      <c r="BC79" s="763"/>
      <c r="BD79" s="639">
        <f t="shared" si="37"/>
        <v>17.62</v>
      </c>
      <c r="BE79" s="768"/>
      <c r="BF79" s="769"/>
    </row>
    <row r="80" spans="1:58" s="725" customFormat="1" ht="33" customHeight="1">
      <c r="A80" s="503">
        <v>71</v>
      </c>
      <c r="B80" s="504">
        <v>4</v>
      </c>
      <c r="C80" s="504">
        <v>160</v>
      </c>
      <c r="D80" s="728"/>
      <c r="E80" s="728"/>
      <c r="F80" s="728"/>
      <c r="G80" s="728" t="str">
        <f>'Tên Tháng 1'!E74</f>
        <v>ខុន ស្រីនាង</v>
      </c>
      <c r="H80" s="728" t="str">
        <f>'Tên Tháng 1'!F74</f>
        <v>KHON SREYNEANG</v>
      </c>
      <c r="I80" s="519" t="str">
        <f>'CHAM CONG'!G78</f>
        <v>x</v>
      </c>
      <c r="J80" s="519" t="str">
        <f>'CHAM CONG'!H78</f>
        <v>x</v>
      </c>
      <c r="K80" s="519" t="str">
        <f>'CHAM CONG'!I78</f>
        <v>x</v>
      </c>
      <c r="L80" s="519" t="str">
        <f>'CHAM CONG'!J78</f>
        <v>x</v>
      </c>
      <c r="M80" s="519" t="str">
        <f>'CHAM CONG'!K78</f>
        <v>x</v>
      </c>
      <c r="N80" s="519" t="str">
        <f>'CHAM CONG'!L78</f>
        <v>x</v>
      </c>
      <c r="O80" s="519" t="str">
        <f>'CHAM CONG'!M78</f>
        <v>x</v>
      </c>
      <c r="P80" s="519" t="str">
        <f>'CHAM CONG'!N78</f>
        <v>x</v>
      </c>
      <c r="Q80" s="519" t="str">
        <f>'CHAM CONG'!O78</f>
        <v>x</v>
      </c>
      <c r="R80" s="519" t="str">
        <f>'CHAM CONG'!P78</f>
        <v>x</v>
      </c>
      <c r="S80" s="519" t="str">
        <f>'CHAM CONG'!Q78</f>
        <v>x</v>
      </c>
      <c r="T80" s="519" t="str">
        <f>'CHAM CONG'!R78</f>
        <v>x</v>
      </c>
      <c r="U80" s="519" t="str">
        <f>'CHAM CONG'!S78</f>
        <v>x</v>
      </c>
      <c r="V80" s="519" t="str">
        <f>'CHAM CONG'!T78</f>
        <v>x</v>
      </c>
      <c r="W80" s="519" t="str">
        <f>'CHAM CONG'!U78</f>
        <v>x</v>
      </c>
      <c r="X80" s="519"/>
      <c r="Y80" s="519"/>
      <c r="Z80" s="738">
        <f t="shared" si="24"/>
        <v>15</v>
      </c>
      <c r="AA80" s="580">
        <f t="shared" si="25"/>
        <v>0</v>
      </c>
      <c r="AB80" s="580">
        <f t="shared" si="26"/>
        <v>240000</v>
      </c>
      <c r="AC80" s="580">
        <f>'CHAM CONG'!V78</f>
        <v>0</v>
      </c>
      <c r="AD80" s="580" t="str">
        <f>'CHAM CONG'!W78</f>
        <v>x</v>
      </c>
      <c r="AE80" s="580">
        <f>'CHAM CONG'!X78</f>
        <v>0</v>
      </c>
      <c r="AF80" s="738">
        <f t="shared" si="27"/>
        <v>1</v>
      </c>
      <c r="AG80" s="580">
        <f t="shared" si="28"/>
        <v>17000</v>
      </c>
      <c r="AH80" s="580">
        <f t="shared" si="22"/>
        <v>15</v>
      </c>
      <c r="AI80" s="580">
        <f t="shared" si="29"/>
        <v>15000</v>
      </c>
      <c r="AJ80" s="580">
        <f t="shared" si="30"/>
        <v>272000</v>
      </c>
      <c r="AK80" s="429">
        <f>'SAN LUONG'!AF79</f>
        <v>249</v>
      </c>
      <c r="AL80" s="429">
        <f>'SAN LUONG'!AG79</f>
        <v>382</v>
      </c>
      <c r="AM80" s="429">
        <f>'SAN LUONG'!AH79</f>
        <v>445</v>
      </c>
      <c r="AN80" s="429">
        <f>'SAN LUONG'!AI79</f>
        <v>284</v>
      </c>
      <c r="AO80" s="746"/>
      <c r="AP80" s="746">
        <f t="shared" si="31"/>
        <v>0</v>
      </c>
      <c r="AQ80" s="746"/>
      <c r="AR80" s="746">
        <f t="shared" si="23"/>
        <v>0</v>
      </c>
      <c r="AS80" s="746">
        <f t="shared" si="21"/>
        <v>1360</v>
      </c>
      <c r="AT80" s="746">
        <f t="shared" si="32"/>
        <v>272272</v>
      </c>
      <c r="AU80" s="747">
        <f>'SAN LUONG'!AU79</f>
        <v>0</v>
      </c>
      <c r="AV80" s="748">
        <f t="shared" si="33"/>
        <v>0</v>
      </c>
      <c r="AW80" s="757">
        <f t="shared" si="34"/>
        <v>0</v>
      </c>
      <c r="AX80" s="758">
        <f t="shared" si="35"/>
        <v>544272</v>
      </c>
      <c r="AY80" s="759"/>
      <c r="AZ80" s="759"/>
      <c r="BA80" s="759"/>
      <c r="BB80" s="760">
        <f t="shared" si="36"/>
        <v>544272</v>
      </c>
      <c r="BC80" s="763"/>
      <c r="BD80" s="639">
        <f t="shared" si="37"/>
        <v>17.04</v>
      </c>
      <c r="BE80" s="768"/>
      <c r="BF80" s="769"/>
    </row>
    <row r="81" spans="1:58" s="725" customFormat="1" ht="33" customHeight="1">
      <c r="A81" s="503">
        <v>72</v>
      </c>
      <c r="B81" s="504">
        <v>4</v>
      </c>
      <c r="C81" s="504">
        <v>161</v>
      </c>
      <c r="D81" s="728"/>
      <c r="E81" s="728"/>
      <c r="F81" s="728"/>
      <c r="G81" s="728" t="str">
        <f>'Tên Tháng 1'!E75</f>
        <v>ត្រុចធីតា</v>
      </c>
      <c r="H81" s="728" t="str">
        <f>'Tên Tháng 1'!F75</f>
        <v>TROCH THYDA</v>
      </c>
      <c r="I81" s="519" t="str">
        <f>'CHAM CONG'!G79</f>
        <v>x</v>
      </c>
      <c r="J81" s="519" t="str">
        <f>'CHAM CONG'!H79</f>
        <v>x</v>
      </c>
      <c r="K81" s="519" t="str">
        <f>'CHAM CONG'!I79</f>
        <v>x</v>
      </c>
      <c r="L81" s="519">
        <f>'CHAM CONG'!J79</f>
        <v>0</v>
      </c>
      <c r="M81" s="519" t="str">
        <f>'CHAM CONG'!K79</f>
        <v>x</v>
      </c>
      <c r="N81" s="519" t="str">
        <f>'CHAM CONG'!L79</f>
        <v>x</v>
      </c>
      <c r="O81" s="519" t="str">
        <f>'CHAM CONG'!M79</f>
        <v>x</v>
      </c>
      <c r="P81" s="519" t="str">
        <f>'CHAM CONG'!N79</f>
        <v>x</v>
      </c>
      <c r="Q81" s="519" t="str">
        <f>'CHAM CONG'!O79</f>
        <v>x</v>
      </c>
      <c r="R81" s="519" t="str">
        <f>'CHAM CONG'!P79</f>
        <v>x</v>
      </c>
      <c r="S81" s="519" t="str">
        <f>'CHAM CONG'!Q79</f>
        <v>x</v>
      </c>
      <c r="T81" s="519" t="str">
        <f>'CHAM CONG'!R79</f>
        <v>x</v>
      </c>
      <c r="U81" s="519" t="str">
        <f>'CHAM CONG'!S79</f>
        <v>x</v>
      </c>
      <c r="V81" s="519" t="str">
        <f>'CHAM CONG'!T79</f>
        <v>x</v>
      </c>
      <c r="W81" s="519" t="str">
        <f>'CHAM CONG'!U79</f>
        <v>x</v>
      </c>
      <c r="X81" s="519"/>
      <c r="Y81" s="519"/>
      <c r="Z81" s="738">
        <f t="shared" si="24"/>
        <v>14</v>
      </c>
      <c r="AA81" s="580">
        <f t="shared" si="25"/>
        <v>0</v>
      </c>
      <c r="AB81" s="580">
        <f t="shared" si="26"/>
        <v>224000</v>
      </c>
      <c r="AC81" s="580">
        <f>'CHAM CONG'!V79</f>
        <v>0</v>
      </c>
      <c r="AD81" s="580" t="str">
        <f>'CHAM CONG'!W79</f>
        <v>x</v>
      </c>
      <c r="AE81" s="580">
        <f>'CHAM CONG'!X79</f>
        <v>0</v>
      </c>
      <c r="AF81" s="738">
        <f t="shared" si="27"/>
        <v>1</v>
      </c>
      <c r="AG81" s="580">
        <f t="shared" si="28"/>
        <v>17000</v>
      </c>
      <c r="AH81" s="580">
        <f t="shared" si="22"/>
        <v>14</v>
      </c>
      <c r="AI81" s="580">
        <f t="shared" si="29"/>
        <v>14000</v>
      </c>
      <c r="AJ81" s="580">
        <f t="shared" si="30"/>
        <v>255000</v>
      </c>
      <c r="AK81" s="429">
        <f>'SAN LUONG'!AF80</f>
        <v>223</v>
      </c>
      <c r="AL81" s="429">
        <f>'SAN LUONG'!AG80</f>
        <v>355</v>
      </c>
      <c r="AM81" s="429">
        <f>'SAN LUONG'!AH80</f>
        <v>352</v>
      </c>
      <c r="AN81" s="429">
        <f>'SAN LUONG'!AI80</f>
        <v>307</v>
      </c>
      <c r="AO81" s="746"/>
      <c r="AP81" s="746">
        <f t="shared" si="31"/>
        <v>0</v>
      </c>
      <c r="AQ81" s="746"/>
      <c r="AR81" s="746">
        <f t="shared" si="23"/>
        <v>0</v>
      </c>
      <c r="AS81" s="746">
        <f t="shared" si="21"/>
        <v>1237</v>
      </c>
      <c r="AT81" s="746">
        <f t="shared" si="32"/>
        <v>247647</v>
      </c>
      <c r="AU81" s="747">
        <f>'SAN LUONG'!AU80</f>
        <v>0</v>
      </c>
      <c r="AV81" s="748">
        <f t="shared" si="33"/>
        <v>0</v>
      </c>
      <c r="AW81" s="757">
        <f t="shared" si="34"/>
        <v>0</v>
      </c>
      <c r="AX81" s="758">
        <f t="shared" si="35"/>
        <v>502647</v>
      </c>
      <c r="AY81" s="759"/>
      <c r="AZ81" s="759"/>
      <c r="BA81" s="759"/>
      <c r="BB81" s="760">
        <f t="shared" si="36"/>
        <v>502647</v>
      </c>
      <c r="BC81" s="763"/>
      <c r="BD81" s="639">
        <f t="shared" si="37"/>
        <v>15.73</v>
      </c>
      <c r="BE81" s="768"/>
      <c r="BF81" s="769"/>
    </row>
    <row r="82" spans="1:58" s="725" customFormat="1" ht="33" customHeight="1">
      <c r="A82" s="503">
        <v>73</v>
      </c>
      <c r="B82" s="504">
        <v>4</v>
      </c>
      <c r="C82" s="504">
        <v>162</v>
      </c>
      <c r="D82" s="728"/>
      <c r="E82" s="728"/>
      <c r="F82" s="728"/>
      <c r="G82" s="728" t="str">
        <f>'Tên Tháng 1'!E76</f>
        <v>ផល់ ណាត</v>
      </c>
      <c r="H82" s="728" t="str">
        <f>'Tên Tháng 1'!F76</f>
        <v>PHOL NAT</v>
      </c>
      <c r="I82" s="519" t="str">
        <f>'CHAM CONG'!G80</f>
        <v>x</v>
      </c>
      <c r="J82" s="519" t="str">
        <f>'CHAM CONG'!H80</f>
        <v>x</v>
      </c>
      <c r="K82" s="519" t="str">
        <f>'CHAM CONG'!I80</f>
        <v>x</v>
      </c>
      <c r="L82" s="519" t="str">
        <f>'CHAM CONG'!J80</f>
        <v>x</v>
      </c>
      <c r="M82" s="519" t="str">
        <f>'CHAM CONG'!K80</f>
        <v>x</v>
      </c>
      <c r="N82" s="519" t="str">
        <f>'CHAM CONG'!L80</f>
        <v>x</v>
      </c>
      <c r="O82" s="519">
        <f>'CHAM CONG'!M80</f>
        <v>0</v>
      </c>
      <c r="P82" s="519" t="str">
        <f>'CHAM CONG'!N80</f>
        <v>x</v>
      </c>
      <c r="Q82" s="519" t="str">
        <f>'CHAM CONG'!O80</f>
        <v>x</v>
      </c>
      <c r="R82" s="519" t="str">
        <f>'CHAM CONG'!P80</f>
        <v>x</v>
      </c>
      <c r="S82" s="519" t="str">
        <f>'CHAM CONG'!Q80</f>
        <v>x</v>
      </c>
      <c r="T82" s="519" t="str">
        <f>'CHAM CONG'!R80</f>
        <v>x</v>
      </c>
      <c r="U82" s="519" t="str">
        <f>'CHAM CONG'!S80</f>
        <v>x</v>
      </c>
      <c r="V82" s="519" t="str">
        <f>'CHAM CONG'!T80</f>
        <v>x</v>
      </c>
      <c r="W82" s="519" t="str">
        <f>'CHAM CONG'!U80</f>
        <v>x</v>
      </c>
      <c r="X82" s="519"/>
      <c r="Y82" s="519"/>
      <c r="Z82" s="738">
        <f t="shared" si="24"/>
        <v>14</v>
      </c>
      <c r="AA82" s="580">
        <f t="shared" si="25"/>
        <v>0</v>
      </c>
      <c r="AB82" s="580">
        <f t="shared" si="26"/>
        <v>224000</v>
      </c>
      <c r="AC82" s="580">
        <f>'CHAM CONG'!V80</f>
        <v>0</v>
      </c>
      <c r="AD82" s="580" t="str">
        <f>'CHAM CONG'!W80</f>
        <v>x</v>
      </c>
      <c r="AE82" s="580">
        <f>'CHAM CONG'!X80</f>
        <v>0</v>
      </c>
      <c r="AF82" s="738">
        <f t="shared" si="27"/>
        <v>1</v>
      </c>
      <c r="AG82" s="580">
        <f t="shared" si="28"/>
        <v>17000</v>
      </c>
      <c r="AH82" s="580">
        <f t="shared" si="22"/>
        <v>14</v>
      </c>
      <c r="AI82" s="580">
        <f t="shared" si="29"/>
        <v>14000</v>
      </c>
      <c r="AJ82" s="580">
        <f t="shared" si="30"/>
        <v>255000</v>
      </c>
      <c r="AK82" s="429">
        <f>'SAN LUONG'!AF81</f>
        <v>280</v>
      </c>
      <c r="AL82" s="429">
        <f>'SAN LUONG'!AG81</f>
        <v>286</v>
      </c>
      <c r="AM82" s="429">
        <f>'SAN LUONG'!AH81</f>
        <v>498</v>
      </c>
      <c r="AN82" s="429">
        <f>'SAN LUONG'!AI81</f>
        <v>185</v>
      </c>
      <c r="AO82" s="746"/>
      <c r="AP82" s="746">
        <f t="shared" si="31"/>
        <v>0</v>
      </c>
      <c r="AQ82" s="746"/>
      <c r="AR82" s="746">
        <f t="shared" si="23"/>
        <v>0</v>
      </c>
      <c r="AS82" s="746">
        <f t="shared" si="21"/>
        <v>1249</v>
      </c>
      <c r="AT82" s="746">
        <f t="shared" si="32"/>
        <v>250050</v>
      </c>
      <c r="AU82" s="747">
        <f>'SAN LUONG'!AU81</f>
        <v>0</v>
      </c>
      <c r="AV82" s="748">
        <f t="shared" si="33"/>
        <v>0</v>
      </c>
      <c r="AW82" s="757">
        <f t="shared" si="34"/>
        <v>0</v>
      </c>
      <c r="AX82" s="758">
        <f t="shared" si="35"/>
        <v>505050</v>
      </c>
      <c r="AY82" s="759"/>
      <c r="AZ82" s="759"/>
      <c r="BA82" s="759"/>
      <c r="BB82" s="760">
        <f t="shared" si="36"/>
        <v>505050</v>
      </c>
      <c r="BC82" s="763"/>
      <c r="BD82" s="639">
        <f t="shared" si="37"/>
        <v>15.81</v>
      </c>
      <c r="BE82" s="768"/>
      <c r="BF82" s="769"/>
    </row>
    <row r="83" spans="1:58" s="725" customFormat="1" ht="33" customHeight="1">
      <c r="A83" s="503">
        <v>74</v>
      </c>
      <c r="B83" s="504">
        <v>4</v>
      </c>
      <c r="C83" s="504">
        <v>163</v>
      </c>
      <c r="D83" s="728"/>
      <c r="E83" s="728"/>
      <c r="F83" s="728"/>
      <c r="G83" s="728" t="str">
        <f>'Tên Tháng 1'!E77</f>
        <v>ពិន ចាន់នី</v>
      </c>
      <c r="H83" s="728" t="str">
        <f>'Tên Tháng 1'!F77</f>
        <v>PIN CHANNY</v>
      </c>
      <c r="I83" s="519" t="str">
        <f>'CHAM CONG'!G81</f>
        <v>x</v>
      </c>
      <c r="J83" s="519" t="str">
        <f>'CHAM CONG'!H81</f>
        <v>x</v>
      </c>
      <c r="K83" s="519" t="str">
        <f>'CHAM CONG'!I81</f>
        <v>x</v>
      </c>
      <c r="L83" s="519" t="str">
        <f>'CHAM CONG'!J81</f>
        <v>x</v>
      </c>
      <c r="M83" s="519" t="str">
        <f>'CHAM CONG'!K81</f>
        <v>x</v>
      </c>
      <c r="N83" s="519" t="str">
        <f>'CHAM CONG'!L81</f>
        <v>x</v>
      </c>
      <c r="O83" s="519" t="str">
        <f>'CHAM CONG'!M81</f>
        <v>x</v>
      </c>
      <c r="P83" s="519" t="str">
        <f>'CHAM CONG'!N81</f>
        <v>x</v>
      </c>
      <c r="Q83" s="519" t="str">
        <f>'CHAM CONG'!O81</f>
        <v>x</v>
      </c>
      <c r="R83" s="519" t="str">
        <f>'CHAM CONG'!P81</f>
        <v>x</v>
      </c>
      <c r="S83" s="519" t="str">
        <f>'CHAM CONG'!Q81</f>
        <v>x</v>
      </c>
      <c r="T83" s="519" t="str">
        <f>'CHAM CONG'!R81</f>
        <v>x</v>
      </c>
      <c r="U83" s="519" t="str">
        <f>'CHAM CONG'!S81</f>
        <v>x</v>
      </c>
      <c r="V83" s="519" t="str">
        <f>'CHAM CONG'!T81</f>
        <v>x</v>
      </c>
      <c r="W83" s="519" t="str">
        <f>'CHAM CONG'!U81</f>
        <v>x</v>
      </c>
      <c r="X83" s="519"/>
      <c r="Y83" s="519"/>
      <c r="Z83" s="738">
        <f t="shared" si="24"/>
        <v>15</v>
      </c>
      <c r="AA83" s="580">
        <f t="shared" si="25"/>
        <v>0</v>
      </c>
      <c r="AB83" s="580">
        <f t="shared" si="26"/>
        <v>240000</v>
      </c>
      <c r="AC83" s="580">
        <f>'CHAM CONG'!V81</f>
        <v>0</v>
      </c>
      <c r="AD83" s="580" t="str">
        <f>'CHAM CONG'!W81</f>
        <v>x</v>
      </c>
      <c r="AE83" s="580">
        <f>'CHAM CONG'!X81</f>
        <v>0</v>
      </c>
      <c r="AF83" s="738">
        <f t="shared" si="27"/>
        <v>1</v>
      </c>
      <c r="AG83" s="580">
        <f t="shared" si="28"/>
        <v>17000</v>
      </c>
      <c r="AH83" s="580">
        <f t="shared" si="22"/>
        <v>15</v>
      </c>
      <c r="AI83" s="580">
        <f t="shared" si="29"/>
        <v>15000</v>
      </c>
      <c r="AJ83" s="580">
        <f t="shared" si="30"/>
        <v>272000</v>
      </c>
      <c r="AK83" s="429">
        <f>'SAN LUONG'!AF82</f>
        <v>215</v>
      </c>
      <c r="AL83" s="429">
        <f>'SAN LUONG'!AG82</f>
        <v>351</v>
      </c>
      <c r="AM83" s="429">
        <f>'SAN LUONG'!AH82</f>
        <v>516</v>
      </c>
      <c r="AN83" s="429">
        <f>'SAN LUONG'!AI82</f>
        <v>259</v>
      </c>
      <c r="AO83" s="746"/>
      <c r="AP83" s="746">
        <f t="shared" si="31"/>
        <v>0</v>
      </c>
      <c r="AQ83" s="746"/>
      <c r="AR83" s="746">
        <f t="shared" si="23"/>
        <v>0</v>
      </c>
      <c r="AS83" s="746">
        <f t="shared" si="21"/>
        <v>1341</v>
      </c>
      <c r="AT83" s="746">
        <f t="shared" si="32"/>
        <v>268468</v>
      </c>
      <c r="AU83" s="747">
        <f>'SAN LUONG'!AU82</f>
        <v>0</v>
      </c>
      <c r="AV83" s="748">
        <f t="shared" si="33"/>
        <v>0</v>
      </c>
      <c r="AW83" s="757">
        <f t="shared" si="34"/>
        <v>0</v>
      </c>
      <c r="AX83" s="758">
        <f t="shared" si="35"/>
        <v>540468</v>
      </c>
      <c r="AY83" s="759"/>
      <c r="AZ83" s="759"/>
      <c r="BA83" s="759"/>
      <c r="BB83" s="760">
        <f t="shared" si="36"/>
        <v>540468</v>
      </c>
      <c r="BC83" s="763"/>
      <c r="BD83" s="639">
        <f t="shared" si="37"/>
        <v>16.920000000000002</v>
      </c>
      <c r="BE83" s="768"/>
      <c r="BF83" s="769"/>
    </row>
    <row r="84" spans="1:58" s="725" customFormat="1" ht="33" customHeight="1">
      <c r="A84" s="503">
        <v>75</v>
      </c>
      <c r="B84" s="504">
        <v>4</v>
      </c>
      <c r="C84" s="504">
        <v>164</v>
      </c>
      <c r="D84" s="728"/>
      <c r="E84" s="728"/>
      <c r="F84" s="728"/>
      <c r="G84" s="728" t="str">
        <f>'Tên Tháng 1'!E78</f>
        <v>ផា សុផុន</v>
      </c>
      <c r="H84" s="728" t="str">
        <f>'Tên Tháng 1'!F78</f>
        <v>PHA SOPHON</v>
      </c>
      <c r="I84" s="519">
        <f>'CHAM CONG'!G82</f>
        <v>0</v>
      </c>
      <c r="J84" s="519" t="str">
        <f>'CHAM CONG'!H82</f>
        <v>x</v>
      </c>
      <c r="K84" s="519" t="str">
        <f>'CHAM CONG'!I82</f>
        <v>x</v>
      </c>
      <c r="L84" s="519">
        <f>'CHAM CONG'!J82</f>
        <v>0</v>
      </c>
      <c r="M84" s="519" t="str">
        <f>'CHAM CONG'!K82</f>
        <v>x</v>
      </c>
      <c r="N84" s="519" t="str">
        <f>'CHAM CONG'!L82</f>
        <v>x</v>
      </c>
      <c r="O84" s="519" t="str">
        <f>'CHAM CONG'!M82</f>
        <v>x</v>
      </c>
      <c r="P84" s="519" t="str">
        <f>'CHAM CONG'!N82</f>
        <v>x</v>
      </c>
      <c r="Q84" s="519" t="str">
        <f>'CHAM CONG'!O82</f>
        <v>x</v>
      </c>
      <c r="R84" s="519" t="str">
        <f>'CHAM CONG'!P82</f>
        <v>x</v>
      </c>
      <c r="S84" s="519" t="str">
        <f>'CHAM CONG'!Q82</f>
        <v>x</v>
      </c>
      <c r="T84" s="519" t="str">
        <f>'CHAM CONG'!R82</f>
        <v>x</v>
      </c>
      <c r="U84" s="519" t="str">
        <f>'CHAM CONG'!S82</f>
        <v>x</v>
      </c>
      <c r="V84" s="519" t="str">
        <f>'CHAM CONG'!T82</f>
        <v>x</v>
      </c>
      <c r="W84" s="519" t="str">
        <f>'CHAM CONG'!U82</f>
        <v>x</v>
      </c>
      <c r="X84" s="519"/>
      <c r="Y84" s="519"/>
      <c r="Z84" s="738">
        <f t="shared" si="24"/>
        <v>13</v>
      </c>
      <c r="AA84" s="580">
        <f t="shared" si="25"/>
        <v>0</v>
      </c>
      <c r="AB84" s="580">
        <f t="shared" si="26"/>
        <v>208000</v>
      </c>
      <c r="AC84" s="580">
        <f>'CHAM CONG'!V82</f>
        <v>0</v>
      </c>
      <c r="AD84" s="580" t="str">
        <f>'CHAM CONG'!W82</f>
        <v>x</v>
      </c>
      <c r="AE84" s="580">
        <f>'CHAM CONG'!X82</f>
        <v>0</v>
      </c>
      <c r="AF84" s="738">
        <f t="shared" si="27"/>
        <v>1</v>
      </c>
      <c r="AG84" s="580">
        <f t="shared" si="28"/>
        <v>17000</v>
      </c>
      <c r="AH84" s="580">
        <f t="shared" si="22"/>
        <v>13</v>
      </c>
      <c r="AI84" s="580">
        <f t="shared" si="29"/>
        <v>13000</v>
      </c>
      <c r="AJ84" s="580">
        <f t="shared" si="30"/>
        <v>238000</v>
      </c>
      <c r="AK84" s="429">
        <f>'SAN LUONG'!AF83</f>
        <v>246</v>
      </c>
      <c r="AL84" s="429">
        <f>'SAN LUONG'!AG83</f>
        <v>405</v>
      </c>
      <c r="AM84" s="429">
        <f>'SAN LUONG'!AH83</f>
        <v>208</v>
      </c>
      <c r="AN84" s="429">
        <f>'SAN LUONG'!AI83</f>
        <v>279</v>
      </c>
      <c r="AO84" s="746"/>
      <c r="AP84" s="746">
        <f t="shared" si="31"/>
        <v>0</v>
      </c>
      <c r="AQ84" s="746"/>
      <c r="AR84" s="746">
        <f t="shared" si="23"/>
        <v>0</v>
      </c>
      <c r="AS84" s="746">
        <f t="shared" si="21"/>
        <v>1138</v>
      </c>
      <c r="AT84" s="746">
        <f t="shared" si="32"/>
        <v>227828</v>
      </c>
      <c r="AU84" s="747">
        <f>'SAN LUONG'!AU83</f>
        <v>0</v>
      </c>
      <c r="AV84" s="748">
        <f t="shared" si="33"/>
        <v>0</v>
      </c>
      <c r="AW84" s="757">
        <f t="shared" si="34"/>
        <v>0</v>
      </c>
      <c r="AX84" s="758">
        <f t="shared" si="35"/>
        <v>465828</v>
      </c>
      <c r="AY84" s="759"/>
      <c r="AZ84" s="759"/>
      <c r="BA84" s="759"/>
      <c r="BB84" s="760">
        <f t="shared" si="36"/>
        <v>465828</v>
      </c>
      <c r="BC84" s="763"/>
      <c r="BD84" s="639">
        <f t="shared" si="37"/>
        <v>14.58</v>
      </c>
      <c r="BE84" s="768"/>
      <c r="BF84" s="769"/>
    </row>
    <row r="85" spans="1:58" s="725" customFormat="1" ht="33" customHeight="1">
      <c r="A85" s="503">
        <v>76</v>
      </c>
      <c r="B85" s="504">
        <v>4</v>
      </c>
      <c r="C85" s="504">
        <v>165</v>
      </c>
      <c r="D85" s="728"/>
      <c r="E85" s="728"/>
      <c r="F85" s="728"/>
      <c r="G85" s="728" t="str">
        <f>'Tên Tháng 1'!E79</f>
        <v>វ៉ា វាសនា</v>
      </c>
      <c r="H85" s="728" t="str">
        <f>'Tên Tháng 1'!F79</f>
        <v>VA VEASNA</v>
      </c>
      <c r="I85" s="519">
        <f>'CHAM CONG'!G83</f>
        <v>0</v>
      </c>
      <c r="J85" s="519" t="str">
        <f>'CHAM CONG'!H83</f>
        <v>x</v>
      </c>
      <c r="K85" s="519" t="str">
        <f>'CHAM CONG'!I83</f>
        <v>x</v>
      </c>
      <c r="L85" s="519" t="str">
        <f>'CHAM CONG'!J83</f>
        <v>x</v>
      </c>
      <c r="M85" s="519" t="str">
        <f>'CHAM CONG'!K83</f>
        <v>x</v>
      </c>
      <c r="N85" s="519" t="str">
        <f>'CHAM CONG'!L83</f>
        <v>x</v>
      </c>
      <c r="O85" s="519" t="str">
        <f>'CHAM CONG'!M83</f>
        <v>x</v>
      </c>
      <c r="P85" s="519" t="str">
        <f>'CHAM CONG'!N83</f>
        <v>x</v>
      </c>
      <c r="Q85" s="519" t="str">
        <f>'CHAM CONG'!O83</f>
        <v>x</v>
      </c>
      <c r="R85" s="519" t="str">
        <f>'CHAM CONG'!P83</f>
        <v>x</v>
      </c>
      <c r="S85" s="519" t="str">
        <f>'CHAM CONG'!Q83</f>
        <v>x</v>
      </c>
      <c r="T85" s="519" t="str">
        <f>'CHAM CONG'!R83</f>
        <v>x</v>
      </c>
      <c r="U85" s="519" t="str">
        <f>'CHAM CONG'!S83</f>
        <v>x</v>
      </c>
      <c r="V85" s="519" t="str">
        <f>'CHAM CONG'!T83</f>
        <v>x</v>
      </c>
      <c r="W85" s="519" t="str">
        <f>'CHAM CONG'!U83</f>
        <v>x</v>
      </c>
      <c r="X85" s="519"/>
      <c r="Y85" s="519"/>
      <c r="Z85" s="738">
        <f t="shared" si="24"/>
        <v>14</v>
      </c>
      <c r="AA85" s="580">
        <f t="shared" si="25"/>
        <v>0</v>
      </c>
      <c r="AB85" s="580">
        <f t="shared" si="26"/>
        <v>224000</v>
      </c>
      <c r="AC85" s="580">
        <f>'CHAM CONG'!V83</f>
        <v>0</v>
      </c>
      <c r="AD85" s="580" t="str">
        <f>'CHAM CONG'!W83</f>
        <v>x</v>
      </c>
      <c r="AE85" s="580">
        <f>'CHAM CONG'!X83</f>
        <v>0</v>
      </c>
      <c r="AF85" s="738">
        <f t="shared" si="27"/>
        <v>1</v>
      </c>
      <c r="AG85" s="580">
        <f t="shared" si="28"/>
        <v>17000</v>
      </c>
      <c r="AH85" s="580">
        <f t="shared" si="22"/>
        <v>14</v>
      </c>
      <c r="AI85" s="580">
        <f t="shared" si="29"/>
        <v>14000</v>
      </c>
      <c r="AJ85" s="580">
        <f t="shared" si="30"/>
        <v>255000</v>
      </c>
      <c r="AK85" s="429">
        <f>'SAN LUONG'!AF84</f>
        <v>235</v>
      </c>
      <c r="AL85" s="429">
        <f>'SAN LUONG'!AG84</f>
        <v>408</v>
      </c>
      <c r="AM85" s="429">
        <f>'SAN LUONG'!AH84</f>
        <v>442</v>
      </c>
      <c r="AN85" s="429">
        <f>'SAN LUONG'!AI84</f>
        <v>279</v>
      </c>
      <c r="AO85" s="746"/>
      <c r="AP85" s="746">
        <f t="shared" si="31"/>
        <v>0</v>
      </c>
      <c r="AQ85" s="746"/>
      <c r="AR85" s="746">
        <f t="shared" si="23"/>
        <v>0</v>
      </c>
      <c r="AS85" s="746">
        <f t="shared" si="21"/>
        <v>1364</v>
      </c>
      <c r="AT85" s="746">
        <f t="shared" si="32"/>
        <v>273073</v>
      </c>
      <c r="AU85" s="747">
        <f>'SAN LUONG'!AU84</f>
        <v>0</v>
      </c>
      <c r="AV85" s="748">
        <f t="shared" si="33"/>
        <v>0</v>
      </c>
      <c r="AW85" s="757">
        <f t="shared" si="34"/>
        <v>0</v>
      </c>
      <c r="AX85" s="758">
        <f t="shared" si="35"/>
        <v>528073</v>
      </c>
      <c r="AY85" s="759"/>
      <c r="AZ85" s="759"/>
      <c r="BA85" s="759"/>
      <c r="BB85" s="760">
        <f t="shared" si="36"/>
        <v>528073</v>
      </c>
      <c r="BC85" s="763"/>
      <c r="BD85" s="639">
        <f t="shared" si="37"/>
        <v>16.53</v>
      </c>
      <c r="BE85" s="768"/>
      <c r="BF85" s="769"/>
    </row>
    <row r="86" spans="1:58" s="725" customFormat="1" ht="33" customHeight="1">
      <c r="A86" s="503">
        <v>77</v>
      </c>
      <c r="B86" s="504">
        <v>4</v>
      </c>
      <c r="C86" s="504">
        <v>166</v>
      </c>
      <c r="D86" s="728"/>
      <c r="E86" s="728"/>
      <c r="F86" s="728"/>
      <c r="G86" s="728" t="str">
        <f>'Tên Tháng 1'!E80</f>
        <v>សុត តក់</v>
      </c>
      <c r="H86" s="728" t="str">
        <f>'Tên Tháng 1'!F80</f>
        <v>SOT TORK</v>
      </c>
      <c r="I86" s="519" t="str">
        <f>'CHAM CONG'!G84</f>
        <v>x</v>
      </c>
      <c r="J86" s="519" t="str">
        <f>'CHAM CONG'!H84</f>
        <v>x</v>
      </c>
      <c r="K86" s="519" t="str">
        <f>'CHAM CONG'!I84</f>
        <v>x</v>
      </c>
      <c r="L86" s="519" t="str">
        <f>'CHAM CONG'!J84</f>
        <v>x</v>
      </c>
      <c r="M86" s="519" t="str">
        <f>'CHAM CONG'!K84</f>
        <v>x</v>
      </c>
      <c r="N86" s="519" t="str">
        <f>'CHAM CONG'!L84</f>
        <v>x</v>
      </c>
      <c r="O86" s="519" t="str">
        <f>'CHAM CONG'!M84</f>
        <v>x</v>
      </c>
      <c r="P86" s="519" t="str">
        <f>'CHAM CONG'!N84</f>
        <v>x</v>
      </c>
      <c r="Q86" s="519" t="str">
        <f>'CHAM CONG'!O84</f>
        <v>x</v>
      </c>
      <c r="R86" s="519" t="str">
        <f>'CHAM CONG'!P84</f>
        <v>x</v>
      </c>
      <c r="S86" s="519" t="str">
        <f>'CHAM CONG'!Q84</f>
        <v>x</v>
      </c>
      <c r="T86" s="519" t="str">
        <f>'CHAM CONG'!R84</f>
        <v>x</v>
      </c>
      <c r="U86" s="519" t="str">
        <f>'CHAM CONG'!S84</f>
        <v>x</v>
      </c>
      <c r="V86" s="519" t="str">
        <f>'CHAM CONG'!T84</f>
        <v>x</v>
      </c>
      <c r="W86" s="519" t="str">
        <f>'CHAM CONG'!U84</f>
        <v>x</v>
      </c>
      <c r="X86" s="519"/>
      <c r="Y86" s="519"/>
      <c r="Z86" s="738">
        <f t="shared" si="24"/>
        <v>15</v>
      </c>
      <c r="AA86" s="580">
        <f t="shared" si="25"/>
        <v>0</v>
      </c>
      <c r="AB86" s="580">
        <f t="shared" si="26"/>
        <v>240000</v>
      </c>
      <c r="AC86" s="580">
        <f>'CHAM CONG'!V84</f>
        <v>0</v>
      </c>
      <c r="AD86" s="580" t="str">
        <f>'CHAM CONG'!W84</f>
        <v>x</v>
      </c>
      <c r="AE86" s="580">
        <f>'CHAM CONG'!X84</f>
        <v>0</v>
      </c>
      <c r="AF86" s="738">
        <f t="shared" si="27"/>
        <v>1</v>
      </c>
      <c r="AG86" s="580">
        <f t="shared" si="28"/>
        <v>17000</v>
      </c>
      <c r="AH86" s="580">
        <f t="shared" si="22"/>
        <v>15</v>
      </c>
      <c r="AI86" s="580">
        <f t="shared" si="29"/>
        <v>15000</v>
      </c>
      <c r="AJ86" s="580">
        <f t="shared" si="30"/>
        <v>272000</v>
      </c>
      <c r="AK86" s="429">
        <f>'SAN LUONG'!AF85</f>
        <v>235</v>
      </c>
      <c r="AL86" s="429">
        <f>'SAN LUONG'!AG85</f>
        <v>318</v>
      </c>
      <c r="AM86" s="429">
        <f>'SAN LUONG'!AH85</f>
        <v>547</v>
      </c>
      <c r="AN86" s="429">
        <f>'SAN LUONG'!AI85</f>
        <v>284</v>
      </c>
      <c r="AO86" s="746"/>
      <c r="AP86" s="746">
        <f t="shared" si="31"/>
        <v>0</v>
      </c>
      <c r="AQ86" s="746"/>
      <c r="AR86" s="746">
        <f t="shared" si="23"/>
        <v>0</v>
      </c>
      <c r="AS86" s="746">
        <f t="shared" si="21"/>
        <v>1384</v>
      </c>
      <c r="AT86" s="746">
        <f t="shared" si="32"/>
        <v>277077</v>
      </c>
      <c r="AU86" s="747">
        <f>'SAN LUONG'!AU85</f>
        <v>0</v>
      </c>
      <c r="AV86" s="748">
        <f t="shared" si="33"/>
        <v>0</v>
      </c>
      <c r="AW86" s="757">
        <f t="shared" si="34"/>
        <v>0</v>
      </c>
      <c r="AX86" s="758">
        <f t="shared" si="35"/>
        <v>549077</v>
      </c>
      <c r="AY86" s="759"/>
      <c r="AZ86" s="759"/>
      <c r="BA86" s="759"/>
      <c r="BB86" s="760">
        <f t="shared" si="36"/>
        <v>549077</v>
      </c>
      <c r="BC86" s="763"/>
      <c r="BD86" s="639">
        <f t="shared" si="37"/>
        <v>17.190000000000001</v>
      </c>
      <c r="BE86" s="768"/>
      <c r="BF86" s="769"/>
    </row>
    <row r="87" spans="1:58" s="725" customFormat="1" ht="32.4" customHeight="1">
      <c r="A87" s="503">
        <v>78</v>
      </c>
      <c r="B87" s="504">
        <v>4</v>
      </c>
      <c r="C87" s="504">
        <v>167</v>
      </c>
      <c r="D87" s="728"/>
      <c r="E87" s="728"/>
      <c r="F87" s="728"/>
      <c r="G87" s="728" t="str">
        <f>'Tên Tháng 1'!E81</f>
        <v>បាន ល្អិត</v>
      </c>
      <c r="H87" s="728" t="str">
        <f>'Tên Tháng 1'!F81</f>
        <v>BAN LOITH</v>
      </c>
      <c r="I87" s="519" t="str">
        <f>'CHAM CONG'!G85</f>
        <v>x</v>
      </c>
      <c r="J87" s="519" t="str">
        <f>'CHAM CONG'!H85</f>
        <v>x</v>
      </c>
      <c r="K87" s="519" t="str">
        <f>'CHAM CONG'!I85</f>
        <v>x</v>
      </c>
      <c r="L87" s="519" t="str">
        <f>'CHAM CONG'!J85</f>
        <v>x</v>
      </c>
      <c r="M87" s="519" t="str">
        <f>'CHAM CONG'!K85</f>
        <v>x</v>
      </c>
      <c r="N87" s="519" t="str">
        <f>'CHAM CONG'!L85</f>
        <v>x</v>
      </c>
      <c r="O87" s="519" t="str">
        <f>'CHAM CONG'!M85</f>
        <v>x</v>
      </c>
      <c r="P87" s="519" t="str">
        <f>'CHAM CONG'!N85</f>
        <v>x</v>
      </c>
      <c r="Q87" s="519" t="str">
        <f>'CHAM CONG'!O85</f>
        <v>x</v>
      </c>
      <c r="R87" s="519" t="str">
        <f>'CHAM CONG'!P85</f>
        <v>x</v>
      </c>
      <c r="S87" s="519" t="str">
        <f>'CHAM CONG'!Q85</f>
        <v>x</v>
      </c>
      <c r="T87" s="519" t="str">
        <f>'CHAM CONG'!R85</f>
        <v>x</v>
      </c>
      <c r="U87" s="519" t="str">
        <f>'CHAM CONG'!S85</f>
        <v>x</v>
      </c>
      <c r="V87" s="519" t="str">
        <f>'CHAM CONG'!T85</f>
        <v>x</v>
      </c>
      <c r="W87" s="519" t="str">
        <f>'CHAM CONG'!U85</f>
        <v>x</v>
      </c>
      <c r="X87" s="519"/>
      <c r="Y87" s="519"/>
      <c r="Z87" s="738">
        <f t="shared" si="24"/>
        <v>15</v>
      </c>
      <c r="AA87" s="580">
        <f t="shared" si="25"/>
        <v>0</v>
      </c>
      <c r="AB87" s="580">
        <f t="shared" si="26"/>
        <v>240000</v>
      </c>
      <c r="AC87" s="580">
        <f>'CHAM CONG'!V85</f>
        <v>0</v>
      </c>
      <c r="AD87" s="580" t="str">
        <f>'CHAM CONG'!W85</f>
        <v>x</v>
      </c>
      <c r="AE87" s="580">
        <f>'CHAM CONG'!X85</f>
        <v>0</v>
      </c>
      <c r="AF87" s="738">
        <f t="shared" si="27"/>
        <v>1</v>
      </c>
      <c r="AG87" s="580">
        <f t="shared" si="28"/>
        <v>17000</v>
      </c>
      <c r="AH87" s="580">
        <f t="shared" si="22"/>
        <v>15</v>
      </c>
      <c r="AI87" s="580">
        <f t="shared" si="29"/>
        <v>15000</v>
      </c>
      <c r="AJ87" s="580">
        <f t="shared" si="30"/>
        <v>272000</v>
      </c>
      <c r="AK87" s="429">
        <f>'SAN LUONG'!AF86</f>
        <v>240</v>
      </c>
      <c r="AL87" s="429">
        <f>'SAN LUONG'!AG86</f>
        <v>525</v>
      </c>
      <c r="AM87" s="429">
        <f>'SAN LUONG'!AH86</f>
        <v>571</v>
      </c>
      <c r="AN87" s="429">
        <f>'SAN LUONG'!AI86</f>
        <v>243</v>
      </c>
      <c r="AO87" s="746"/>
      <c r="AP87" s="746">
        <f t="shared" si="31"/>
        <v>0</v>
      </c>
      <c r="AQ87" s="746"/>
      <c r="AR87" s="746">
        <f t="shared" si="23"/>
        <v>0</v>
      </c>
      <c r="AS87" s="746">
        <f t="shared" si="21"/>
        <v>1579</v>
      </c>
      <c r="AT87" s="746">
        <f t="shared" si="32"/>
        <v>316116</v>
      </c>
      <c r="AU87" s="747">
        <f>'SAN LUONG'!AU86</f>
        <v>0</v>
      </c>
      <c r="AV87" s="748">
        <f t="shared" si="33"/>
        <v>0</v>
      </c>
      <c r="AW87" s="757">
        <f t="shared" si="34"/>
        <v>0</v>
      </c>
      <c r="AX87" s="758">
        <f t="shared" si="35"/>
        <v>588116</v>
      </c>
      <c r="AY87" s="759"/>
      <c r="AZ87" s="759"/>
      <c r="BA87" s="759"/>
      <c r="BB87" s="760">
        <f t="shared" si="36"/>
        <v>588116</v>
      </c>
      <c r="BC87" s="763"/>
      <c r="BD87" s="639">
        <f t="shared" si="37"/>
        <v>18.41</v>
      </c>
      <c r="BE87" s="768"/>
      <c r="BF87" s="769"/>
    </row>
    <row r="88" spans="1:58" s="725" customFormat="1" ht="32.4" customHeight="1">
      <c r="A88" s="503">
        <v>79</v>
      </c>
      <c r="B88" s="504">
        <v>4</v>
      </c>
      <c r="C88" s="504">
        <v>168</v>
      </c>
      <c r="D88" s="728"/>
      <c r="E88" s="728"/>
      <c r="F88" s="728"/>
      <c r="G88" s="728" t="str">
        <f>'Tên Tháng 1'!E82</f>
        <v>ដា វ៉ាន់ណា</v>
      </c>
      <c r="H88" s="728" t="str">
        <f>'Tên Tháng 1'!F82</f>
        <v>DA VANNA</v>
      </c>
      <c r="I88" s="519" t="str">
        <f>'CHAM CONG'!G86</f>
        <v>x</v>
      </c>
      <c r="J88" s="519" t="str">
        <f>'CHAM CONG'!H86</f>
        <v>x</v>
      </c>
      <c r="K88" s="519" t="str">
        <f>'CHAM CONG'!I86</f>
        <v>x</v>
      </c>
      <c r="L88" s="519" t="str">
        <f>'CHAM CONG'!J86</f>
        <v>x</v>
      </c>
      <c r="M88" s="519" t="str">
        <f>'CHAM CONG'!K86</f>
        <v>x</v>
      </c>
      <c r="N88" s="519" t="str">
        <f>'CHAM CONG'!L86</f>
        <v>x</v>
      </c>
      <c r="O88" s="519" t="str">
        <f>'CHAM CONG'!M86</f>
        <v>x</v>
      </c>
      <c r="P88" s="519" t="str">
        <f>'CHAM CONG'!N86</f>
        <v>x</v>
      </c>
      <c r="Q88" s="519" t="str">
        <f>'CHAM CONG'!O86</f>
        <v>x</v>
      </c>
      <c r="R88" s="519" t="str">
        <f>'CHAM CONG'!P86</f>
        <v>x</v>
      </c>
      <c r="S88" s="519" t="str">
        <f>'CHAM CONG'!Q86</f>
        <v>x</v>
      </c>
      <c r="T88" s="519" t="str">
        <f>'CHAM CONG'!R86</f>
        <v>x</v>
      </c>
      <c r="U88" s="519" t="str">
        <f>'CHAM CONG'!S86</f>
        <v>x</v>
      </c>
      <c r="V88" s="519" t="str">
        <f>'CHAM CONG'!T86</f>
        <v>x</v>
      </c>
      <c r="W88" s="519" t="str">
        <f>'CHAM CONG'!U86</f>
        <v>x</v>
      </c>
      <c r="X88" s="519"/>
      <c r="Y88" s="519"/>
      <c r="Z88" s="738">
        <f t="shared" si="24"/>
        <v>15</v>
      </c>
      <c r="AA88" s="580">
        <f t="shared" si="25"/>
        <v>0</v>
      </c>
      <c r="AB88" s="580">
        <f t="shared" si="26"/>
        <v>240000</v>
      </c>
      <c r="AC88" s="580">
        <f>'CHAM CONG'!V86</f>
        <v>0</v>
      </c>
      <c r="AD88" s="580" t="str">
        <f>'CHAM CONG'!W86</f>
        <v>x</v>
      </c>
      <c r="AE88" s="580">
        <f>'CHAM CONG'!X86</f>
        <v>0</v>
      </c>
      <c r="AF88" s="738">
        <f t="shared" si="27"/>
        <v>1</v>
      </c>
      <c r="AG88" s="580">
        <f t="shared" si="28"/>
        <v>17000</v>
      </c>
      <c r="AH88" s="580">
        <f t="shared" si="22"/>
        <v>15</v>
      </c>
      <c r="AI88" s="580">
        <f t="shared" si="29"/>
        <v>15000</v>
      </c>
      <c r="AJ88" s="580">
        <f t="shared" si="30"/>
        <v>272000</v>
      </c>
      <c r="AK88" s="429">
        <f>'SAN LUONG'!AF87</f>
        <v>290</v>
      </c>
      <c r="AL88" s="429">
        <f>'SAN LUONG'!AG87</f>
        <v>443</v>
      </c>
      <c r="AM88" s="429">
        <f>'SAN LUONG'!AH87</f>
        <v>469</v>
      </c>
      <c r="AN88" s="429">
        <f>'SAN LUONG'!AI87</f>
        <v>275</v>
      </c>
      <c r="AO88" s="746"/>
      <c r="AP88" s="746">
        <f t="shared" si="31"/>
        <v>0</v>
      </c>
      <c r="AQ88" s="746"/>
      <c r="AR88" s="746">
        <f t="shared" si="23"/>
        <v>0</v>
      </c>
      <c r="AS88" s="746">
        <f t="shared" si="21"/>
        <v>1477</v>
      </c>
      <c r="AT88" s="746">
        <f t="shared" si="32"/>
        <v>295695</v>
      </c>
      <c r="AU88" s="747">
        <f>'SAN LUONG'!AU87</f>
        <v>0</v>
      </c>
      <c r="AV88" s="748">
        <f t="shared" si="33"/>
        <v>0</v>
      </c>
      <c r="AW88" s="757">
        <f t="shared" si="34"/>
        <v>0</v>
      </c>
      <c r="AX88" s="758">
        <f t="shared" si="35"/>
        <v>567695</v>
      </c>
      <c r="AY88" s="759"/>
      <c r="AZ88" s="759"/>
      <c r="BA88" s="759"/>
      <c r="BB88" s="760">
        <f t="shared" si="36"/>
        <v>567695</v>
      </c>
      <c r="BC88" s="763"/>
      <c r="BD88" s="639">
        <f t="shared" si="37"/>
        <v>17.77</v>
      </c>
      <c r="BE88" s="768"/>
      <c r="BF88" s="769"/>
    </row>
    <row r="89" spans="1:58" s="725" customFormat="1" ht="32.4" customHeight="1">
      <c r="A89" s="503">
        <v>80</v>
      </c>
      <c r="B89" s="504">
        <v>4</v>
      </c>
      <c r="C89" s="504">
        <v>169</v>
      </c>
      <c r="D89" s="728"/>
      <c r="E89" s="728"/>
      <c r="F89" s="728"/>
      <c r="G89" s="728" t="str">
        <f>'Tên Tháng 1'!E83</f>
        <v>ទៀន ចែម</v>
      </c>
      <c r="H89" s="728" t="str">
        <f>'Tên Tháng 1'!F83</f>
        <v>TEAN CHEM</v>
      </c>
      <c r="I89" s="519" t="str">
        <f>'CHAM CONG'!G87</f>
        <v>x</v>
      </c>
      <c r="J89" s="519" t="str">
        <f>'CHAM CONG'!H87</f>
        <v>x</v>
      </c>
      <c r="K89" s="519" t="str">
        <f>'CHAM CONG'!I87</f>
        <v>x</v>
      </c>
      <c r="L89" s="519" t="str">
        <f>'CHAM CONG'!J87</f>
        <v>x</v>
      </c>
      <c r="M89" s="519" t="str">
        <f>'CHAM CONG'!K87</f>
        <v>x</v>
      </c>
      <c r="N89" s="519" t="str">
        <f>'CHAM CONG'!L87</f>
        <v>x</v>
      </c>
      <c r="O89" s="519" t="str">
        <f>'CHAM CONG'!M87</f>
        <v>x</v>
      </c>
      <c r="P89" s="519" t="str">
        <f>'CHAM CONG'!N87</f>
        <v>x</v>
      </c>
      <c r="Q89" s="519" t="str">
        <f>'CHAM CONG'!O87</f>
        <v>x</v>
      </c>
      <c r="R89" s="519" t="str">
        <f>'CHAM CONG'!P87</f>
        <v>x</v>
      </c>
      <c r="S89" s="519" t="str">
        <f>'CHAM CONG'!Q87</f>
        <v>x</v>
      </c>
      <c r="T89" s="519" t="str">
        <f>'CHAM CONG'!R87</f>
        <v>x</v>
      </c>
      <c r="U89" s="519" t="str">
        <f>'CHAM CONG'!S87</f>
        <v>x</v>
      </c>
      <c r="V89" s="519" t="str">
        <f>'CHAM CONG'!T87</f>
        <v>x</v>
      </c>
      <c r="W89" s="519" t="str">
        <f>'CHAM CONG'!U87</f>
        <v>x</v>
      </c>
      <c r="X89" s="519"/>
      <c r="Y89" s="519"/>
      <c r="Z89" s="738">
        <f t="shared" si="24"/>
        <v>15</v>
      </c>
      <c r="AA89" s="580">
        <f t="shared" si="25"/>
        <v>0</v>
      </c>
      <c r="AB89" s="580">
        <f t="shared" si="26"/>
        <v>240000</v>
      </c>
      <c r="AC89" s="580">
        <f>'CHAM CONG'!V87</f>
        <v>0</v>
      </c>
      <c r="AD89" s="580" t="str">
        <f>'CHAM CONG'!W87</f>
        <v>x</v>
      </c>
      <c r="AE89" s="580">
        <f>'CHAM CONG'!X87</f>
        <v>0</v>
      </c>
      <c r="AF89" s="738">
        <f t="shared" si="27"/>
        <v>1</v>
      </c>
      <c r="AG89" s="580">
        <f t="shared" si="28"/>
        <v>17000</v>
      </c>
      <c r="AH89" s="580">
        <f t="shared" si="22"/>
        <v>15</v>
      </c>
      <c r="AI89" s="580">
        <f t="shared" si="29"/>
        <v>15000</v>
      </c>
      <c r="AJ89" s="580">
        <f t="shared" si="30"/>
        <v>272000</v>
      </c>
      <c r="AK89" s="429">
        <f>'SAN LUONG'!AF88</f>
        <v>280</v>
      </c>
      <c r="AL89" s="429">
        <f>'SAN LUONG'!AG88</f>
        <v>472</v>
      </c>
      <c r="AM89" s="429">
        <f>'SAN LUONG'!AH88</f>
        <v>528</v>
      </c>
      <c r="AN89" s="429">
        <f>'SAN LUONG'!AI88</f>
        <v>274</v>
      </c>
      <c r="AO89" s="746"/>
      <c r="AP89" s="746">
        <f t="shared" si="31"/>
        <v>0</v>
      </c>
      <c r="AQ89" s="746"/>
      <c r="AR89" s="746">
        <f t="shared" si="23"/>
        <v>0</v>
      </c>
      <c r="AS89" s="746">
        <f t="shared" si="21"/>
        <v>1554</v>
      </c>
      <c r="AT89" s="746">
        <f t="shared" si="32"/>
        <v>311111</v>
      </c>
      <c r="AU89" s="747">
        <f>'SAN LUONG'!AU88</f>
        <v>0</v>
      </c>
      <c r="AV89" s="748">
        <f t="shared" si="33"/>
        <v>0</v>
      </c>
      <c r="AW89" s="757">
        <f t="shared" si="34"/>
        <v>0</v>
      </c>
      <c r="AX89" s="758">
        <f t="shared" si="35"/>
        <v>583111</v>
      </c>
      <c r="AY89" s="759"/>
      <c r="AZ89" s="759"/>
      <c r="BA89" s="759"/>
      <c r="BB89" s="760">
        <f t="shared" si="36"/>
        <v>583111</v>
      </c>
      <c r="BC89" s="763"/>
      <c r="BD89" s="639">
        <f t="shared" si="37"/>
        <v>18.25</v>
      </c>
      <c r="BE89" s="768"/>
      <c r="BF89" s="769"/>
    </row>
    <row r="90" spans="1:58" s="725" customFormat="1" ht="32.4" customHeight="1">
      <c r="A90" s="503">
        <v>81</v>
      </c>
      <c r="B90" s="504">
        <v>4</v>
      </c>
      <c r="C90" s="504">
        <v>170</v>
      </c>
      <c r="D90" s="728"/>
      <c r="E90" s="728"/>
      <c r="F90" s="728"/>
      <c r="G90" s="728" t="str">
        <f>'Tên Tháng 1'!E84</f>
        <v>លី ឡាត់</v>
      </c>
      <c r="H90" s="728" t="str">
        <f>'Tên Tháng 1'!F84</f>
        <v>LY LAYH</v>
      </c>
      <c r="I90" s="519" t="str">
        <f>'CHAM CONG'!G88</f>
        <v>x</v>
      </c>
      <c r="J90" s="519" t="str">
        <f>'CHAM CONG'!H88</f>
        <v>x</v>
      </c>
      <c r="K90" s="519" t="str">
        <f>'CHAM CONG'!I88</f>
        <v>x</v>
      </c>
      <c r="L90" s="519" t="str">
        <f>'CHAM CONG'!J88</f>
        <v>x</v>
      </c>
      <c r="M90" s="519" t="str">
        <f>'CHAM CONG'!K88</f>
        <v>x</v>
      </c>
      <c r="N90" s="519" t="str">
        <f>'CHAM CONG'!L88</f>
        <v>x</v>
      </c>
      <c r="O90" s="519" t="str">
        <f>'CHAM CONG'!M88</f>
        <v>x</v>
      </c>
      <c r="P90" s="519" t="str">
        <f>'CHAM CONG'!N88</f>
        <v>x</v>
      </c>
      <c r="Q90" s="519" t="str">
        <f>'CHAM CONG'!O88</f>
        <v>x</v>
      </c>
      <c r="R90" s="519" t="str">
        <f>'CHAM CONG'!P88</f>
        <v>x</v>
      </c>
      <c r="S90" s="519" t="str">
        <f>'CHAM CONG'!Q88</f>
        <v>x</v>
      </c>
      <c r="T90" s="519" t="str">
        <f>'CHAM CONG'!R88</f>
        <v>x</v>
      </c>
      <c r="U90" s="519" t="str">
        <f>'CHAM CONG'!S88</f>
        <v>x</v>
      </c>
      <c r="V90" s="519" t="str">
        <f>'CHAM CONG'!T88</f>
        <v>x</v>
      </c>
      <c r="W90" s="519" t="str">
        <f>'CHAM CONG'!U88</f>
        <v>x</v>
      </c>
      <c r="X90" s="519"/>
      <c r="Y90" s="519"/>
      <c r="Z90" s="738">
        <f t="shared" si="24"/>
        <v>15</v>
      </c>
      <c r="AA90" s="580">
        <f t="shared" si="25"/>
        <v>0</v>
      </c>
      <c r="AB90" s="580">
        <f t="shared" si="26"/>
        <v>240000</v>
      </c>
      <c r="AC90" s="580">
        <f>'CHAM CONG'!V88</f>
        <v>0</v>
      </c>
      <c r="AD90" s="580" t="str">
        <f>'CHAM CONG'!W88</f>
        <v>x</v>
      </c>
      <c r="AE90" s="580">
        <f>'CHAM CONG'!X88</f>
        <v>0</v>
      </c>
      <c r="AF90" s="738">
        <f t="shared" si="27"/>
        <v>1</v>
      </c>
      <c r="AG90" s="580">
        <f t="shared" si="28"/>
        <v>17000</v>
      </c>
      <c r="AH90" s="580">
        <f t="shared" si="22"/>
        <v>15</v>
      </c>
      <c r="AI90" s="580">
        <f t="shared" si="29"/>
        <v>15000</v>
      </c>
      <c r="AJ90" s="580">
        <f t="shared" si="30"/>
        <v>272000</v>
      </c>
      <c r="AK90" s="429">
        <f>'SAN LUONG'!AF89</f>
        <v>273</v>
      </c>
      <c r="AL90" s="429">
        <f>'SAN LUONG'!AG89</f>
        <v>457</v>
      </c>
      <c r="AM90" s="429">
        <f>'SAN LUONG'!AH89</f>
        <v>486</v>
      </c>
      <c r="AN90" s="429">
        <f>'SAN LUONG'!AI89</f>
        <v>256</v>
      </c>
      <c r="AO90" s="746"/>
      <c r="AP90" s="746">
        <f t="shared" si="31"/>
        <v>0</v>
      </c>
      <c r="AQ90" s="746"/>
      <c r="AR90" s="746">
        <f t="shared" si="23"/>
        <v>0</v>
      </c>
      <c r="AS90" s="746">
        <f t="shared" si="21"/>
        <v>1472</v>
      </c>
      <c r="AT90" s="746">
        <f t="shared" si="32"/>
        <v>294694</v>
      </c>
      <c r="AU90" s="747">
        <f>'SAN LUONG'!AU89</f>
        <v>0</v>
      </c>
      <c r="AV90" s="748">
        <f t="shared" si="33"/>
        <v>0</v>
      </c>
      <c r="AW90" s="757">
        <f t="shared" si="34"/>
        <v>0</v>
      </c>
      <c r="AX90" s="758">
        <f t="shared" si="35"/>
        <v>566694</v>
      </c>
      <c r="AY90" s="759"/>
      <c r="AZ90" s="759"/>
      <c r="BA90" s="759"/>
      <c r="BB90" s="760">
        <f t="shared" si="36"/>
        <v>566694</v>
      </c>
      <c r="BC90" s="763"/>
      <c r="BD90" s="639">
        <f t="shared" si="37"/>
        <v>17.739999999999998</v>
      </c>
      <c r="BE90" s="768"/>
      <c r="BF90" s="769"/>
    </row>
    <row r="91" spans="1:58" s="725" customFormat="1" ht="32.4" customHeight="1">
      <c r="A91" s="503">
        <v>82</v>
      </c>
      <c r="B91" s="504">
        <v>4</v>
      </c>
      <c r="C91" s="504">
        <v>171</v>
      </c>
      <c r="D91" s="728"/>
      <c r="E91" s="728"/>
      <c r="F91" s="728"/>
      <c r="G91" s="728" t="str">
        <f>'Tên Tháng 1'!E85</f>
        <v>ទូច ណាង</v>
      </c>
      <c r="H91" s="728" t="str">
        <f>'Tên Tháng 1'!F85</f>
        <v>TOUCH NANG</v>
      </c>
      <c r="I91" s="519" t="str">
        <f>'CHAM CONG'!G89</f>
        <v>x</v>
      </c>
      <c r="J91" s="519" t="str">
        <f>'CHAM CONG'!H89</f>
        <v>x</v>
      </c>
      <c r="K91" s="519" t="str">
        <f>'CHAM CONG'!I89</f>
        <v>x</v>
      </c>
      <c r="L91" s="519" t="str">
        <f>'CHAM CONG'!J89</f>
        <v>x</v>
      </c>
      <c r="M91" s="519" t="str">
        <f>'CHAM CONG'!K89</f>
        <v>x</v>
      </c>
      <c r="N91" s="519" t="str">
        <f>'CHAM CONG'!L89</f>
        <v>x</v>
      </c>
      <c r="O91" s="519" t="str">
        <f>'CHAM CONG'!M89</f>
        <v>x</v>
      </c>
      <c r="P91" s="519" t="str">
        <f>'CHAM CONG'!N89</f>
        <v>x</v>
      </c>
      <c r="Q91" s="519" t="str">
        <f>'CHAM CONG'!O89</f>
        <v>x</v>
      </c>
      <c r="R91" s="519" t="str">
        <f>'CHAM CONG'!P89</f>
        <v>x</v>
      </c>
      <c r="S91" s="519" t="str">
        <f>'CHAM CONG'!Q89</f>
        <v>x</v>
      </c>
      <c r="T91" s="519" t="str">
        <f>'CHAM CONG'!R89</f>
        <v>x</v>
      </c>
      <c r="U91" s="519" t="str">
        <f>'CHAM CONG'!S89</f>
        <v>x</v>
      </c>
      <c r="V91" s="519" t="str">
        <f>'CHAM CONG'!T89</f>
        <v>x</v>
      </c>
      <c r="W91" s="519" t="str">
        <f>'CHAM CONG'!U89</f>
        <v>x</v>
      </c>
      <c r="X91" s="519"/>
      <c r="Y91" s="519"/>
      <c r="Z91" s="738">
        <f t="shared" si="24"/>
        <v>15</v>
      </c>
      <c r="AA91" s="580">
        <f t="shared" si="25"/>
        <v>0</v>
      </c>
      <c r="AB91" s="580">
        <f t="shared" si="26"/>
        <v>240000</v>
      </c>
      <c r="AC91" s="580">
        <f>'CHAM CONG'!V89</f>
        <v>0</v>
      </c>
      <c r="AD91" s="580" t="str">
        <f>'CHAM CONG'!W89</f>
        <v>x</v>
      </c>
      <c r="AE91" s="580">
        <f>'CHAM CONG'!X89</f>
        <v>0</v>
      </c>
      <c r="AF91" s="738">
        <f t="shared" si="27"/>
        <v>1</v>
      </c>
      <c r="AG91" s="580">
        <f t="shared" si="28"/>
        <v>17000</v>
      </c>
      <c r="AH91" s="580">
        <f t="shared" si="22"/>
        <v>15</v>
      </c>
      <c r="AI91" s="580">
        <f t="shared" si="29"/>
        <v>15000</v>
      </c>
      <c r="AJ91" s="580">
        <f t="shared" si="30"/>
        <v>272000</v>
      </c>
      <c r="AK91" s="429">
        <f>'SAN LUONG'!AF90</f>
        <v>286</v>
      </c>
      <c r="AL91" s="429">
        <f>'SAN LUONG'!AG90</f>
        <v>387</v>
      </c>
      <c r="AM91" s="429">
        <f>'SAN LUONG'!AH90</f>
        <v>465</v>
      </c>
      <c r="AN91" s="429">
        <f>'SAN LUONG'!AI90</f>
        <v>225</v>
      </c>
      <c r="AO91" s="746"/>
      <c r="AP91" s="746">
        <f t="shared" si="31"/>
        <v>0</v>
      </c>
      <c r="AQ91" s="746"/>
      <c r="AR91" s="746">
        <f t="shared" si="23"/>
        <v>0</v>
      </c>
      <c r="AS91" s="746">
        <f t="shared" si="21"/>
        <v>1363</v>
      </c>
      <c r="AT91" s="746">
        <f t="shared" si="32"/>
        <v>272873</v>
      </c>
      <c r="AU91" s="747">
        <f>'SAN LUONG'!AU90</f>
        <v>0</v>
      </c>
      <c r="AV91" s="748">
        <f t="shared" si="33"/>
        <v>0</v>
      </c>
      <c r="AW91" s="757">
        <f t="shared" si="34"/>
        <v>0</v>
      </c>
      <c r="AX91" s="758">
        <f t="shared" si="35"/>
        <v>544873</v>
      </c>
      <c r="AY91" s="759"/>
      <c r="AZ91" s="759"/>
      <c r="BA91" s="759"/>
      <c r="BB91" s="760">
        <f t="shared" si="36"/>
        <v>544873</v>
      </c>
      <c r="BC91" s="763"/>
      <c r="BD91" s="639">
        <f t="shared" si="37"/>
        <v>17.059999999999999</v>
      </c>
      <c r="BE91" s="768"/>
      <c r="BF91" s="769"/>
    </row>
    <row r="92" spans="1:58" s="725" customFormat="1" ht="32.4" customHeight="1">
      <c r="A92" s="503">
        <v>83</v>
      </c>
      <c r="B92" s="504">
        <v>4</v>
      </c>
      <c r="C92" s="504">
        <v>172</v>
      </c>
      <c r="D92" s="728"/>
      <c r="E92" s="728"/>
      <c r="F92" s="728"/>
      <c r="G92" s="728" t="str">
        <f>'Tên Tháng 1'!E86</f>
        <v>មាំង ម៉ែន</v>
      </c>
      <c r="H92" s="728" t="str">
        <f>'Tên Tháng 1'!F86</f>
        <v>MANG MAN</v>
      </c>
      <c r="I92" s="519" t="str">
        <f>'CHAM CONG'!G90</f>
        <v>x</v>
      </c>
      <c r="J92" s="519" t="str">
        <f>'CHAM CONG'!H90</f>
        <v>x</v>
      </c>
      <c r="K92" s="519" t="str">
        <f>'CHAM CONG'!I90</f>
        <v>x</v>
      </c>
      <c r="L92" s="519">
        <f>'CHAM CONG'!J90</f>
        <v>0</v>
      </c>
      <c r="M92" s="519" t="str">
        <f>'CHAM CONG'!K90</f>
        <v>x</v>
      </c>
      <c r="N92" s="519" t="str">
        <f>'CHAM CONG'!L90</f>
        <v>x</v>
      </c>
      <c r="O92" s="519" t="str">
        <f>'CHAM CONG'!M90</f>
        <v>x</v>
      </c>
      <c r="P92" s="519" t="str">
        <f>'CHAM CONG'!N90</f>
        <v>x</v>
      </c>
      <c r="Q92" s="519" t="str">
        <f>'CHAM CONG'!O90</f>
        <v>x</v>
      </c>
      <c r="R92" s="519" t="str">
        <f>'CHAM CONG'!P90</f>
        <v>x</v>
      </c>
      <c r="S92" s="519" t="str">
        <f>'CHAM CONG'!Q90</f>
        <v>x</v>
      </c>
      <c r="T92" s="519" t="str">
        <f>'CHAM CONG'!R90</f>
        <v>x</v>
      </c>
      <c r="U92" s="519" t="str">
        <f>'CHAM CONG'!S90</f>
        <v>x</v>
      </c>
      <c r="V92" s="519" t="str">
        <f>'CHAM CONG'!T90</f>
        <v>x</v>
      </c>
      <c r="W92" s="519" t="str">
        <f>'CHAM CONG'!U90</f>
        <v>x</v>
      </c>
      <c r="X92" s="519"/>
      <c r="Y92" s="519"/>
      <c r="Z92" s="738">
        <f t="shared" si="24"/>
        <v>14</v>
      </c>
      <c r="AA92" s="580">
        <f t="shared" si="25"/>
        <v>0</v>
      </c>
      <c r="AB92" s="580">
        <f t="shared" si="26"/>
        <v>224000</v>
      </c>
      <c r="AC92" s="580">
        <f>'CHAM CONG'!V90</f>
        <v>0</v>
      </c>
      <c r="AD92" s="580" t="str">
        <f>'CHAM CONG'!W90</f>
        <v>x</v>
      </c>
      <c r="AE92" s="580">
        <f>'CHAM CONG'!X90</f>
        <v>0</v>
      </c>
      <c r="AF92" s="738">
        <f t="shared" si="27"/>
        <v>1</v>
      </c>
      <c r="AG92" s="580">
        <f t="shared" si="28"/>
        <v>17000</v>
      </c>
      <c r="AH92" s="580">
        <f t="shared" si="22"/>
        <v>14</v>
      </c>
      <c r="AI92" s="580">
        <f t="shared" si="29"/>
        <v>14000</v>
      </c>
      <c r="AJ92" s="580">
        <f t="shared" si="30"/>
        <v>255000</v>
      </c>
      <c r="AK92" s="429">
        <f>'SAN LUONG'!AF91</f>
        <v>187</v>
      </c>
      <c r="AL92" s="429">
        <f>'SAN LUONG'!AG91</f>
        <v>310</v>
      </c>
      <c r="AM92" s="429">
        <f>'SAN LUONG'!AH91</f>
        <v>201</v>
      </c>
      <c r="AN92" s="429">
        <f>'SAN LUONG'!AI91</f>
        <v>195</v>
      </c>
      <c r="AO92" s="746"/>
      <c r="AP92" s="746">
        <f t="shared" si="31"/>
        <v>0</v>
      </c>
      <c r="AQ92" s="746"/>
      <c r="AR92" s="746">
        <f t="shared" si="23"/>
        <v>0</v>
      </c>
      <c r="AS92" s="746">
        <f t="shared" si="21"/>
        <v>893</v>
      </c>
      <c r="AT92" s="746">
        <f t="shared" si="32"/>
        <v>178779</v>
      </c>
      <c r="AU92" s="747">
        <f>'SAN LUONG'!AU91</f>
        <v>0</v>
      </c>
      <c r="AV92" s="748">
        <f t="shared" si="33"/>
        <v>0</v>
      </c>
      <c r="AW92" s="757">
        <f t="shared" si="34"/>
        <v>0</v>
      </c>
      <c r="AX92" s="758">
        <f t="shared" si="35"/>
        <v>433779</v>
      </c>
      <c r="AY92" s="759"/>
      <c r="AZ92" s="759"/>
      <c r="BA92" s="759"/>
      <c r="BB92" s="760">
        <f t="shared" si="36"/>
        <v>433779</v>
      </c>
      <c r="BC92" s="763"/>
      <c r="BD92" s="639">
        <f t="shared" si="37"/>
        <v>13.58</v>
      </c>
      <c r="BE92" s="768"/>
      <c r="BF92" s="769"/>
    </row>
    <row r="93" spans="1:58" s="725" customFormat="1" ht="32.4" customHeight="1">
      <c r="A93" s="503">
        <v>84</v>
      </c>
      <c r="B93" s="504">
        <v>4</v>
      </c>
      <c r="C93" s="504">
        <v>173</v>
      </c>
      <c r="D93" s="728"/>
      <c r="E93" s="728"/>
      <c r="F93" s="728"/>
      <c r="G93" s="728" t="str">
        <f>'Tên Tháng 1'!E87</f>
        <v>សាត សុខណេង</v>
      </c>
      <c r="H93" s="728" t="str">
        <f>'Tên Tháng 1'!F87</f>
        <v>SAT SOKNENG</v>
      </c>
      <c r="I93" s="519">
        <f>'CHAM CONG'!G91</f>
        <v>0</v>
      </c>
      <c r="J93" s="519" t="str">
        <f>'CHAM CONG'!H91</f>
        <v>x</v>
      </c>
      <c r="K93" s="519" t="str">
        <f>'CHAM CONG'!I91</f>
        <v>x</v>
      </c>
      <c r="L93" s="519">
        <f>'CHAM CONG'!J91</f>
        <v>0</v>
      </c>
      <c r="M93" s="519" t="str">
        <f>'CHAM CONG'!K91</f>
        <v>x</v>
      </c>
      <c r="N93" s="519" t="str">
        <f>'CHAM CONG'!L91</f>
        <v>x</v>
      </c>
      <c r="O93" s="519" t="str">
        <f>'CHAM CONG'!M91</f>
        <v>x</v>
      </c>
      <c r="P93" s="519" t="str">
        <f>'CHAM CONG'!N91</f>
        <v>x</v>
      </c>
      <c r="Q93" s="519" t="str">
        <f>'CHAM CONG'!O91</f>
        <v>x</v>
      </c>
      <c r="R93" s="519" t="str">
        <f>'CHAM CONG'!P91</f>
        <v>x</v>
      </c>
      <c r="S93" s="519" t="str">
        <f>'CHAM CONG'!Q91</f>
        <v>x</v>
      </c>
      <c r="T93" s="519" t="str">
        <f>'CHAM CONG'!R91</f>
        <v>x</v>
      </c>
      <c r="U93" s="519" t="str">
        <f>'CHAM CONG'!S91</f>
        <v>x</v>
      </c>
      <c r="V93" s="519" t="str">
        <f>'CHAM CONG'!T91</f>
        <v>x</v>
      </c>
      <c r="W93" s="519" t="str">
        <f>'CHAM CONG'!U91</f>
        <v>x</v>
      </c>
      <c r="X93" s="519"/>
      <c r="Y93" s="519"/>
      <c r="Z93" s="738">
        <f t="shared" si="24"/>
        <v>13</v>
      </c>
      <c r="AA93" s="580">
        <f t="shared" si="25"/>
        <v>0</v>
      </c>
      <c r="AB93" s="580">
        <f t="shared" si="26"/>
        <v>208000</v>
      </c>
      <c r="AC93" s="580">
        <f>'CHAM CONG'!V91</f>
        <v>0</v>
      </c>
      <c r="AD93" s="580" t="str">
        <f>'CHAM CONG'!W91</f>
        <v>x</v>
      </c>
      <c r="AE93" s="580">
        <f>'CHAM CONG'!X91</f>
        <v>0</v>
      </c>
      <c r="AF93" s="738">
        <f t="shared" si="27"/>
        <v>1</v>
      </c>
      <c r="AG93" s="580">
        <f t="shared" si="28"/>
        <v>17000</v>
      </c>
      <c r="AH93" s="580">
        <f t="shared" si="22"/>
        <v>13</v>
      </c>
      <c r="AI93" s="580">
        <f t="shared" si="29"/>
        <v>13000</v>
      </c>
      <c r="AJ93" s="580">
        <f t="shared" si="30"/>
        <v>238000</v>
      </c>
      <c r="AK93" s="429">
        <f>'SAN LUONG'!AF92</f>
        <v>203</v>
      </c>
      <c r="AL93" s="429">
        <f>'SAN LUONG'!AG92</f>
        <v>405</v>
      </c>
      <c r="AM93" s="429">
        <f>'SAN LUONG'!AH92</f>
        <v>217</v>
      </c>
      <c r="AN93" s="429">
        <f>'SAN LUONG'!AI92</f>
        <v>206</v>
      </c>
      <c r="AO93" s="746"/>
      <c r="AP93" s="746">
        <f t="shared" si="31"/>
        <v>0</v>
      </c>
      <c r="AQ93" s="746"/>
      <c r="AR93" s="746">
        <f t="shared" si="23"/>
        <v>0</v>
      </c>
      <c r="AS93" s="746">
        <f t="shared" si="21"/>
        <v>1031</v>
      </c>
      <c r="AT93" s="746">
        <f t="shared" si="32"/>
        <v>206406</v>
      </c>
      <c r="AU93" s="747">
        <f>'SAN LUONG'!AU92</f>
        <v>0</v>
      </c>
      <c r="AV93" s="748">
        <f t="shared" si="33"/>
        <v>0</v>
      </c>
      <c r="AW93" s="757">
        <f t="shared" si="34"/>
        <v>0</v>
      </c>
      <c r="AX93" s="758">
        <f t="shared" si="35"/>
        <v>444406</v>
      </c>
      <c r="AY93" s="759"/>
      <c r="AZ93" s="759"/>
      <c r="BA93" s="759"/>
      <c r="BB93" s="760">
        <f t="shared" si="36"/>
        <v>444406</v>
      </c>
      <c r="BC93" s="763"/>
      <c r="BD93" s="639">
        <f t="shared" si="37"/>
        <v>13.91</v>
      </c>
      <c r="BE93" s="768"/>
      <c r="BF93" s="769"/>
    </row>
    <row r="94" spans="1:58" s="725" customFormat="1" ht="27.6" customHeight="1">
      <c r="A94" s="503">
        <v>85</v>
      </c>
      <c r="B94" s="504">
        <v>4</v>
      </c>
      <c r="C94" s="504">
        <v>174</v>
      </c>
      <c r="D94" s="728"/>
      <c r="E94" s="728"/>
      <c r="F94" s="728"/>
      <c r="G94" s="728" t="str">
        <f>'Tên Tháng 1'!E88</f>
        <v>ស៊ុយ ចាន់នី</v>
      </c>
      <c r="H94" s="728" t="str">
        <f>'Tên Tháng 1'!F88</f>
        <v>SUY CHANNY</v>
      </c>
      <c r="I94" s="519">
        <f>'CHAM CONG'!G92</f>
        <v>0</v>
      </c>
      <c r="J94" s="519" t="str">
        <f>'CHAM CONG'!H92</f>
        <v>x</v>
      </c>
      <c r="K94" s="519" t="str">
        <f>'CHAM CONG'!I92</f>
        <v>x</v>
      </c>
      <c r="L94" s="519">
        <f>'CHAM CONG'!J92</f>
        <v>0</v>
      </c>
      <c r="M94" s="519" t="str">
        <f>'CHAM CONG'!K92</f>
        <v>x</v>
      </c>
      <c r="N94" s="519" t="str">
        <f>'CHAM CONG'!L92</f>
        <v>x</v>
      </c>
      <c r="O94" s="519" t="str">
        <f>'CHAM CONG'!M92</f>
        <v>x</v>
      </c>
      <c r="P94" s="519" t="str">
        <f>'CHAM CONG'!N92</f>
        <v>x</v>
      </c>
      <c r="Q94" s="519" t="str">
        <f>'CHAM CONG'!O92</f>
        <v>x</v>
      </c>
      <c r="R94" s="519">
        <f>'CHAM CONG'!P92</f>
        <v>0</v>
      </c>
      <c r="S94" s="519" t="str">
        <f>'CHAM CONG'!Q92</f>
        <v>x</v>
      </c>
      <c r="T94" s="519" t="str">
        <f>'CHAM CONG'!R92</f>
        <v>x</v>
      </c>
      <c r="U94" s="519" t="str">
        <f>'CHAM CONG'!S92</f>
        <v>x</v>
      </c>
      <c r="V94" s="519" t="str">
        <f>'CHAM CONG'!T92</f>
        <v>x</v>
      </c>
      <c r="W94" s="519" t="str">
        <f>'CHAM CONG'!U92</f>
        <v>x</v>
      </c>
      <c r="X94" s="519"/>
      <c r="Y94" s="519"/>
      <c r="Z94" s="738">
        <f t="shared" si="24"/>
        <v>12</v>
      </c>
      <c r="AA94" s="580">
        <f t="shared" si="25"/>
        <v>0</v>
      </c>
      <c r="AB94" s="580">
        <f t="shared" si="26"/>
        <v>192000</v>
      </c>
      <c r="AC94" s="580">
        <f>'CHAM CONG'!V92</f>
        <v>0</v>
      </c>
      <c r="AD94" s="580" t="str">
        <f>'CHAM CONG'!W92</f>
        <v>x</v>
      </c>
      <c r="AE94" s="580">
        <f>'CHAM CONG'!X92</f>
        <v>0</v>
      </c>
      <c r="AF94" s="738">
        <f t="shared" si="27"/>
        <v>1</v>
      </c>
      <c r="AG94" s="580">
        <f t="shared" si="28"/>
        <v>17000</v>
      </c>
      <c r="AH94" s="580">
        <f t="shared" si="22"/>
        <v>12</v>
      </c>
      <c r="AI94" s="580">
        <f t="shared" si="29"/>
        <v>12000</v>
      </c>
      <c r="AJ94" s="580">
        <f t="shared" si="30"/>
        <v>221000</v>
      </c>
      <c r="AK94" s="429">
        <f>'SAN LUONG'!AF93</f>
        <v>199</v>
      </c>
      <c r="AL94" s="429">
        <f>'SAN LUONG'!AG93</f>
        <v>359</v>
      </c>
      <c r="AM94" s="429">
        <f>'SAN LUONG'!AH93</f>
        <v>161</v>
      </c>
      <c r="AN94" s="429">
        <f>'SAN LUONG'!AI93</f>
        <v>131</v>
      </c>
      <c r="AO94" s="746"/>
      <c r="AP94" s="746">
        <f t="shared" si="31"/>
        <v>0</v>
      </c>
      <c r="AQ94" s="746"/>
      <c r="AR94" s="746">
        <f t="shared" si="23"/>
        <v>0</v>
      </c>
      <c r="AS94" s="746">
        <f t="shared" si="21"/>
        <v>850</v>
      </c>
      <c r="AT94" s="746">
        <f t="shared" si="32"/>
        <v>170170</v>
      </c>
      <c r="AU94" s="747">
        <f>'SAN LUONG'!AU93</f>
        <v>0</v>
      </c>
      <c r="AV94" s="748">
        <f t="shared" si="33"/>
        <v>0</v>
      </c>
      <c r="AW94" s="757">
        <f t="shared" si="34"/>
        <v>0</v>
      </c>
      <c r="AX94" s="758">
        <f t="shared" si="35"/>
        <v>391170</v>
      </c>
      <c r="AY94" s="759"/>
      <c r="AZ94" s="759"/>
      <c r="BA94" s="759"/>
      <c r="BB94" s="760">
        <f t="shared" si="36"/>
        <v>391170</v>
      </c>
      <c r="BC94" s="763"/>
      <c r="BD94" s="639">
        <f t="shared" si="37"/>
        <v>12.24</v>
      </c>
      <c r="BE94" s="768"/>
      <c r="BF94" s="769"/>
    </row>
    <row r="95" spans="1:58" s="725" customFormat="1" ht="30.6" customHeight="1">
      <c r="A95" s="503">
        <v>86</v>
      </c>
      <c r="B95" s="504">
        <v>4</v>
      </c>
      <c r="C95" s="504">
        <v>175</v>
      </c>
      <c r="D95" s="728"/>
      <c r="E95" s="728"/>
      <c r="F95" s="728"/>
      <c r="G95" s="728" t="str">
        <f>'Tên Tháng 1'!E89</f>
        <v>ហង់ ហើយ</v>
      </c>
      <c r="H95" s="728" t="str">
        <f>'Tên Tháng 1'!F89</f>
        <v>HANG HAEUY</v>
      </c>
      <c r="I95" s="519">
        <f>'CHAM CONG'!G93</f>
        <v>0</v>
      </c>
      <c r="J95" s="519" t="str">
        <f>'CHAM CONG'!H93</f>
        <v>x</v>
      </c>
      <c r="K95" s="519" t="str">
        <f>'CHAM CONG'!I93</f>
        <v>x</v>
      </c>
      <c r="L95" s="519">
        <f>'CHAM CONG'!J93</f>
        <v>0</v>
      </c>
      <c r="M95" s="519" t="str">
        <f>'CHAM CONG'!K93</f>
        <v>x</v>
      </c>
      <c r="N95" s="519" t="str">
        <f>'CHAM CONG'!L93</f>
        <v>x</v>
      </c>
      <c r="O95" s="519" t="str">
        <f>'CHAM CONG'!M93</f>
        <v>x</v>
      </c>
      <c r="P95" s="519" t="str">
        <f>'CHAM CONG'!N93</f>
        <v>x</v>
      </c>
      <c r="Q95" s="519" t="str">
        <f>'CHAM CONG'!O93</f>
        <v>x</v>
      </c>
      <c r="R95" s="519" t="str">
        <f>'CHAM CONG'!P93</f>
        <v>x</v>
      </c>
      <c r="S95" s="519" t="str">
        <f>'CHAM CONG'!Q93</f>
        <v>x</v>
      </c>
      <c r="T95" s="519" t="str">
        <f>'CHAM CONG'!R93</f>
        <v>x</v>
      </c>
      <c r="U95" s="519" t="str">
        <f>'CHAM CONG'!S93</f>
        <v>x</v>
      </c>
      <c r="V95" s="519" t="str">
        <f>'CHAM CONG'!T93</f>
        <v>x</v>
      </c>
      <c r="W95" s="519" t="str">
        <f>'CHAM CONG'!U93</f>
        <v>x</v>
      </c>
      <c r="X95" s="519"/>
      <c r="Y95" s="519"/>
      <c r="Z95" s="738">
        <f t="shared" si="24"/>
        <v>13</v>
      </c>
      <c r="AA95" s="580">
        <f t="shared" si="25"/>
        <v>0</v>
      </c>
      <c r="AB95" s="580">
        <f t="shared" si="26"/>
        <v>208000</v>
      </c>
      <c r="AC95" s="580">
        <f>'CHAM CONG'!V93</f>
        <v>0</v>
      </c>
      <c r="AD95" s="580" t="str">
        <f>'CHAM CONG'!W93</f>
        <v>x</v>
      </c>
      <c r="AE95" s="580">
        <f>'CHAM CONG'!X93</f>
        <v>0</v>
      </c>
      <c r="AF95" s="738">
        <f t="shared" si="27"/>
        <v>1</v>
      </c>
      <c r="AG95" s="580">
        <f t="shared" si="28"/>
        <v>17000</v>
      </c>
      <c r="AH95" s="580">
        <f t="shared" si="22"/>
        <v>13</v>
      </c>
      <c r="AI95" s="580">
        <f t="shared" si="29"/>
        <v>13000</v>
      </c>
      <c r="AJ95" s="580">
        <f t="shared" si="30"/>
        <v>238000</v>
      </c>
      <c r="AK95" s="429">
        <f>'SAN LUONG'!AF94</f>
        <v>307</v>
      </c>
      <c r="AL95" s="429">
        <f>'SAN LUONG'!AG94</f>
        <v>323</v>
      </c>
      <c r="AM95" s="429">
        <f>'SAN LUONG'!AH94</f>
        <v>240</v>
      </c>
      <c r="AN95" s="429">
        <f>'SAN LUONG'!AI94</f>
        <v>240</v>
      </c>
      <c r="AO95" s="746"/>
      <c r="AP95" s="746">
        <f t="shared" si="31"/>
        <v>0</v>
      </c>
      <c r="AQ95" s="746"/>
      <c r="AR95" s="746">
        <f t="shared" si="23"/>
        <v>0</v>
      </c>
      <c r="AS95" s="746">
        <f t="shared" si="21"/>
        <v>1110</v>
      </c>
      <c r="AT95" s="746">
        <f t="shared" si="32"/>
        <v>222222</v>
      </c>
      <c r="AU95" s="747">
        <f>'SAN LUONG'!AU94</f>
        <v>0</v>
      </c>
      <c r="AV95" s="748">
        <f t="shared" si="33"/>
        <v>0</v>
      </c>
      <c r="AW95" s="757">
        <f t="shared" si="34"/>
        <v>0</v>
      </c>
      <c r="AX95" s="758">
        <f t="shared" si="35"/>
        <v>460222</v>
      </c>
      <c r="AY95" s="759"/>
      <c r="AZ95" s="759"/>
      <c r="BA95" s="759"/>
      <c r="BB95" s="760">
        <f t="shared" si="36"/>
        <v>460222</v>
      </c>
      <c r="BC95" s="764">
        <f>SUM(BB57:BB95)</f>
        <v>19772550</v>
      </c>
      <c r="BD95" s="639">
        <f t="shared" si="37"/>
        <v>14.41</v>
      </c>
      <c r="BE95" s="768"/>
      <c r="BF95" s="769"/>
    </row>
    <row r="96" spans="1:58" s="725" customFormat="1" ht="35.4" customHeight="1">
      <c r="A96" s="503">
        <v>87</v>
      </c>
      <c r="B96" s="504">
        <v>5</v>
      </c>
      <c r="C96" s="504">
        <v>176</v>
      </c>
      <c r="D96" s="728"/>
      <c r="E96" s="728"/>
      <c r="F96" s="728"/>
      <c r="G96" s="728" t="str">
        <f>'Tên Tháng 1'!E90</f>
        <v>ឡៃ គុណ</v>
      </c>
      <c r="H96" s="728" t="str">
        <f>'Tên Tháng 1'!F90</f>
        <v>LAY KUN</v>
      </c>
      <c r="I96" s="519" t="str">
        <f>'CHAM CONG'!G94</f>
        <v>x</v>
      </c>
      <c r="J96" s="519" t="str">
        <f>'CHAM CONG'!H94</f>
        <v>x</v>
      </c>
      <c r="K96" s="519" t="str">
        <f>'CHAM CONG'!I94</f>
        <v>x</v>
      </c>
      <c r="L96" s="519" t="str">
        <f>'CHAM CONG'!J94</f>
        <v>x</v>
      </c>
      <c r="M96" s="519" t="str">
        <f>'CHAM CONG'!K94</f>
        <v>x</v>
      </c>
      <c r="N96" s="519" t="str">
        <f>'CHAM CONG'!L94</f>
        <v>x</v>
      </c>
      <c r="O96" s="519" t="str">
        <f>'CHAM CONG'!M94</f>
        <v>x</v>
      </c>
      <c r="P96" s="519" t="str">
        <f>'CHAM CONG'!N94</f>
        <v>x</v>
      </c>
      <c r="Q96" s="519" t="str">
        <f>'CHAM CONG'!O94</f>
        <v>x</v>
      </c>
      <c r="R96" s="519" t="str">
        <f>'CHAM CONG'!P94</f>
        <v>x</v>
      </c>
      <c r="S96" s="519" t="str">
        <f>'CHAM CONG'!Q94</f>
        <v>x</v>
      </c>
      <c r="T96" s="519" t="str">
        <f>'CHAM CONG'!R94</f>
        <v>x</v>
      </c>
      <c r="U96" s="519" t="str">
        <f>'CHAM CONG'!S94</f>
        <v>x</v>
      </c>
      <c r="V96" s="519" t="str">
        <f>'CHAM CONG'!T94</f>
        <v>x</v>
      </c>
      <c r="W96" s="519" t="str">
        <f>'CHAM CONG'!U94</f>
        <v>x</v>
      </c>
      <c r="X96" s="519"/>
      <c r="Y96" s="519"/>
      <c r="Z96" s="738">
        <f t="shared" si="24"/>
        <v>15</v>
      </c>
      <c r="AA96" s="580">
        <f t="shared" si="25"/>
        <v>0</v>
      </c>
      <c r="AB96" s="580">
        <f t="shared" si="26"/>
        <v>240000</v>
      </c>
      <c r="AC96" s="580">
        <f>'CHAM CONG'!V94</f>
        <v>0</v>
      </c>
      <c r="AD96" s="580" t="str">
        <f>'CHAM CONG'!W94</f>
        <v>x</v>
      </c>
      <c r="AE96" s="580">
        <f>'CHAM CONG'!X94</f>
        <v>0</v>
      </c>
      <c r="AF96" s="738">
        <f t="shared" si="27"/>
        <v>1</v>
      </c>
      <c r="AG96" s="580">
        <f t="shared" si="28"/>
        <v>17000</v>
      </c>
      <c r="AH96" s="580">
        <f t="shared" si="22"/>
        <v>15</v>
      </c>
      <c r="AI96" s="580">
        <f t="shared" si="29"/>
        <v>15000</v>
      </c>
      <c r="AJ96" s="580">
        <f t="shared" si="30"/>
        <v>272000</v>
      </c>
      <c r="AK96" s="429">
        <f>'SAN LUONG'!AF95</f>
        <v>390</v>
      </c>
      <c r="AL96" s="429">
        <f>'SAN LUONG'!AG95</f>
        <v>440</v>
      </c>
      <c r="AM96" s="429">
        <f>'SAN LUONG'!AH95</f>
        <v>399</v>
      </c>
      <c r="AN96" s="429">
        <f>'SAN LUONG'!AI95</f>
        <v>220</v>
      </c>
      <c r="AO96" s="746"/>
      <c r="AP96" s="746">
        <f t="shared" si="31"/>
        <v>0</v>
      </c>
      <c r="AQ96" s="746"/>
      <c r="AR96" s="746">
        <f t="shared" si="23"/>
        <v>0</v>
      </c>
      <c r="AS96" s="746">
        <f t="shared" si="21"/>
        <v>1449</v>
      </c>
      <c r="AT96" s="746">
        <f t="shared" si="32"/>
        <v>290090</v>
      </c>
      <c r="AU96" s="747">
        <f>'SAN LUONG'!AU95</f>
        <v>0</v>
      </c>
      <c r="AV96" s="748">
        <f t="shared" si="33"/>
        <v>0</v>
      </c>
      <c r="AW96" s="757">
        <f t="shared" si="34"/>
        <v>0</v>
      </c>
      <c r="AX96" s="758">
        <f t="shared" si="35"/>
        <v>562090</v>
      </c>
      <c r="AY96" s="759"/>
      <c r="AZ96" s="759"/>
      <c r="BA96" s="759"/>
      <c r="BB96" s="760">
        <f t="shared" si="36"/>
        <v>562090</v>
      </c>
      <c r="BC96" s="763"/>
      <c r="BD96" s="639">
        <f t="shared" si="37"/>
        <v>17.59</v>
      </c>
      <c r="BE96" s="768"/>
      <c r="BF96" s="769"/>
    </row>
    <row r="97" spans="1:58" s="725" customFormat="1" ht="35.4" customHeight="1">
      <c r="A97" s="503">
        <v>88</v>
      </c>
      <c r="B97" s="504">
        <v>5</v>
      </c>
      <c r="C97" s="504">
        <v>177</v>
      </c>
      <c r="D97" s="728"/>
      <c r="E97" s="728"/>
      <c r="F97" s="728"/>
      <c r="G97" s="728" t="str">
        <f>'Tên Tháng 1'!E91</f>
        <v>ភា ស្រីភិច</v>
      </c>
      <c r="H97" s="728" t="str">
        <f>'Tên Tháng 1'!F91</f>
        <v>PHEA SREYPHICH</v>
      </c>
      <c r="I97" s="519" t="str">
        <f>'CHAM CONG'!G95</f>
        <v>x</v>
      </c>
      <c r="J97" s="519" t="str">
        <f>'CHAM CONG'!H95</f>
        <v>x</v>
      </c>
      <c r="K97" s="519" t="str">
        <f>'CHAM CONG'!I95</f>
        <v>x</v>
      </c>
      <c r="L97" s="519" t="str">
        <f>'CHAM CONG'!J95</f>
        <v>x</v>
      </c>
      <c r="M97" s="519" t="str">
        <f>'CHAM CONG'!K95</f>
        <v>x</v>
      </c>
      <c r="N97" s="519" t="str">
        <f>'CHAM CONG'!L95</f>
        <v>x</v>
      </c>
      <c r="O97" s="519" t="str">
        <f>'CHAM CONG'!M95</f>
        <v>x</v>
      </c>
      <c r="P97" s="519" t="str">
        <f>'CHAM CONG'!N95</f>
        <v>x</v>
      </c>
      <c r="Q97" s="519" t="str">
        <f>'CHAM CONG'!O95</f>
        <v>x</v>
      </c>
      <c r="R97" s="519" t="str">
        <f>'CHAM CONG'!P95</f>
        <v>x</v>
      </c>
      <c r="S97" s="519" t="str">
        <f>'CHAM CONG'!Q95</f>
        <v>x</v>
      </c>
      <c r="T97" s="519" t="str">
        <f>'CHAM CONG'!R95</f>
        <v>x</v>
      </c>
      <c r="U97" s="519" t="str">
        <f>'CHAM CONG'!S95</f>
        <v>x</v>
      </c>
      <c r="V97" s="519" t="str">
        <f>'CHAM CONG'!T95</f>
        <v>x</v>
      </c>
      <c r="W97" s="519" t="str">
        <f>'CHAM CONG'!U95</f>
        <v>x</v>
      </c>
      <c r="X97" s="519"/>
      <c r="Y97" s="519"/>
      <c r="Z97" s="738">
        <f t="shared" si="24"/>
        <v>15</v>
      </c>
      <c r="AA97" s="580">
        <f t="shared" si="25"/>
        <v>0</v>
      </c>
      <c r="AB97" s="580">
        <f t="shared" si="26"/>
        <v>240000</v>
      </c>
      <c r="AC97" s="580">
        <f>'CHAM CONG'!V95</f>
        <v>0</v>
      </c>
      <c r="AD97" s="580" t="str">
        <f>'CHAM CONG'!W95</f>
        <v>x</v>
      </c>
      <c r="AE97" s="580">
        <f>'CHAM CONG'!X95</f>
        <v>0</v>
      </c>
      <c r="AF97" s="738">
        <f t="shared" si="27"/>
        <v>1</v>
      </c>
      <c r="AG97" s="580">
        <f t="shared" si="28"/>
        <v>17000</v>
      </c>
      <c r="AH97" s="580">
        <f t="shared" si="22"/>
        <v>15</v>
      </c>
      <c r="AI97" s="580">
        <f t="shared" si="29"/>
        <v>15000</v>
      </c>
      <c r="AJ97" s="580">
        <f t="shared" si="30"/>
        <v>272000</v>
      </c>
      <c r="AK97" s="429">
        <f>'SAN LUONG'!AF96</f>
        <v>311</v>
      </c>
      <c r="AL97" s="429">
        <f>'SAN LUONG'!AG96</f>
        <v>356</v>
      </c>
      <c r="AM97" s="429">
        <f>'SAN LUONG'!AH96</f>
        <v>352</v>
      </c>
      <c r="AN97" s="429">
        <f>'SAN LUONG'!AI96</f>
        <v>235</v>
      </c>
      <c r="AO97" s="746"/>
      <c r="AP97" s="746">
        <f t="shared" si="31"/>
        <v>0</v>
      </c>
      <c r="AQ97" s="746"/>
      <c r="AR97" s="746">
        <f t="shared" si="23"/>
        <v>0</v>
      </c>
      <c r="AS97" s="746">
        <f t="shared" si="21"/>
        <v>1254</v>
      </c>
      <c r="AT97" s="746">
        <f t="shared" si="32"/>
        <v>251051</v>
      </c>
      <c r="AU97" s="747">
        <f>'SAN LUONG'!AU96</f>
        <v>0</v>
      </c>
      <c r="AV97" s="748">
        <f t="shared" si="33"/>
        <v>0</v>
      </c>
      <c r="AW97" s="757">
        <f t="shared" si="34"/>
        <v>0</v>
      </c>
      <c r="AX97" s="758">
        <f t="shared" si="35"/>
        <v>523051</v>
      </c>
      <c r="AY97" s="759"/>
      <c r="AZ97" s="759"/>
      <c r="BA97" s="759"/>
      <c r="BB97" s="760">
        <f t="shared" si="36"/>
        <v>523051</v>
      </c>
      <c r="BC97" s="763"/>
      <c r="BD97" s="639">
        <f t="shared" si="37"/>
        <v>16.37</v>
      </c>
      <c r="BE97" s="768"/>
      <c r="BF97" s="769"/>
    </row>
    <row r="98" spans="1:58" s="725" customFormat="1" ht="35.4" customHeight="1">
      <c r="A98" s="503">
        <v>89</v>
      </c>
      <c r="B98" s="504">
        <v>5</v>
      </c>
      <c r="C98" s="504">
        <v>178</v>
      </c>
      <c r="D98" s="728"/>
      <c r="E98" s="728"/>
      <c r="F98" s="728"/>
      <c r="G98" s="728" t="str">
        <f>'Tên Tháng 1'!E92</f>
        <v>ពិន ចាន់ណា</v>
      </c>
      <c r="H98" s="728" t="str">
        <f>'Tên Tháng 1'!F92</f>
        <v>PIN CHANNA</v>
      </c>
      <c r="I98" s="519" t="str">
        <f>'CHAM CONG'!G96</f>
        <v>x</v>
      </c>
      <c r="J98" s="519" t="str">
        <f>'CHAM CONG'!H96</f>
        <v>x</v>
      </c>
      <c r="K98" s="519" t="str">
        <f>'CHAM CONG'!I96</f>
        <v>x</v>
      </c>
      <c r="L98" s="519" t="str">
        <f>'CHAM CONG'!J96</f>
        <v>x</v>
      </c>
      <c r="M98" s="519" t="str">
        <f>'CHAM CONG'!K96</f>
        <v>x</v>
      </c>
      <c r="N98" s="519" t="str">
        <f>'CHAM CONG'!L96</f>
        <v>x</v>
      </c>
      <c r="O98" s="519" t="str">
        <f>'CHAM CONG'!M96</f>
        <v>x</v>
      </c>
      <c r="P98" s="519" t="str">
        <f>'CHAM CONG'!N96</f>
        <v>x</v>
      </c>
      <c r="Q98" s="519" t="str">
        <f>'CHAM CONG'!O96</f>
        <v>x</v>
      </c>
      <c r="R98" s="519" t="str">
        <f>'CHAM CONG'!P96</f>
        <v>x</v>
      </c>
      <c r="S98" s="519" t="str">
        <f>'CHAM CONG'!Q96</f>
        <v>x</v>
      </c>
      <c r="T98" s="519" t="str">
        <f>'CHAM CONG'!R96</f>
        <v>x</v>
      </c>
      <c r="U98" s="519" t="str">
        <f>'CHAM CONG'!S96</f>
        <v>x</v>
      </c>
      <c r="V98" s="519" t="str">
        <f>'CHAM CONG'!T96</f>
        <v>x</v>
      </c>
      <c r="W98" s="519" t="str">
        <f>'CHAM CONG'!U96</f>
        <v>x</v>
      </c>
      <c r="X98" s="519"/>
      <c r="Y98" s="519"/>
      <c r="Z98" s="738">
        <f t="shared" si="24"/>
        <v>15</v>
      </c>
      <c r="AA98" s="580">
        <f t="shared" si="25"/>
        <v>0</v>
      </c>
      <c r="AB98" s="580">
        <f t="shared" si="26"/>
        <v>240000</v>
      </c>
      <c r="AC98" s="580">
        <f>'CHAM CONG'!V96</f>
        <v>0</v>
      </c>
      <c r="AD98" s="580" t="str">
        <f>'CHAM CONG'!W96</f>
        <v>x</v>
      </c>
      <c r="AE98" s="580">
        <f>'CHAM CONG'!X96</f>
        <v>0</v>
      </c>
      <c r="AF98" s="738">
        <f t="shared" si="27"/>
        <v>1</v>
      </c>
      <c r="AG98" s="580">
        <f t="shared" si="28"/>
        <v>17000</v>
      </c>
      <c r="AH98" s="580">
        <f t="shared" si="22"/>
        <v>15</v>
      </c>
      <c r="AI98" s="580">
        <f t="shared" si="29"/>
        <v>15000</v>
      </c>
      <c r="AJ98" s="580">
        <f t="shared" si="30"/>
        <v>272000</v>
      </c>
      <c r="AK98" s="429">
        <f>'SAN LUONG'!AF97</f>
        <v>379</v>
      </c>
      <c r="AL98" s="429">
        <f>'SAN LUONG'!AG97</f>
        <v>504</v>
      </c>
      <c r="AM98" s="429">
        <f>'SAN LUONG'!AH97</f>
        <v>415</v>
      </c>
      <c r="AN98" s="429">
        <f>'SAN LUONG'!AI97</f>
        <v>167</v>
      </c>
      <c r="AO98" s="746"/>
      <c r="AP98" s="746">
        <f t="shared" si="31"/>
        <v>0</v>
      </c>
      <c r="AQ98" s="746"/>
      <c r="AR98" s="746">
        <f t="shared" si="23"/>
        <v>0</v>
      </c>
      <c r="AS98" s="746">
        <f t="shared" si="21"/>
        <v>1465</v>
      </c>
      <c r="AT98" s="746">
        <f t="shared" si="32"/>
        <v>293293</v>
      </c>
      <c r="AU98" s="747">
        <f>'SAN LUONG'!AU97</f>
        <v>0</v>
      </c>
      <c r="AV98" s="748">
        <f t="shared" si="33"/>
        <v>0</v>
      </c>
      <c r="AW98" s="757">
        <f t="shared" si="34"/>
        <v>0</v>
      </c>
      <c r="AX98" s="758">
        <f t="shared" si="35"/>
        <v>565293</v>
      </c>
      <c r="AY98" s="759"/>
      <c r="AZ98" s="759"/>
      <c r="BA98" s="759"/>
      <c r="BB98" s="760">
        <f t="shared" si="36"/>
        <v>565293</v>
      </c>
      <c r="BC98" s="763"/>
      <c r="BD98" s="639">
        <f t="shared" si="37"/>
        <v>17.690000000000001</v>
      </c>
      <c r="BE98" s="768"/>
      <c r="BF98" s="769"/>
    </row>
    <row r="99" spans="1:58" s="725" customFormat="1" ht="35.4" customHeight="1">
      <c r="A99" s="503">
        <v>90</v>
      </c>
      <c r="B99" s="504">
        <v>5</v>
      </c>
      <c r="C99" s="504">
        <v>179</v>
      </c>
      <c r="D99" s="728"/>
      <c r="E99" s="728"/>
      <c r="F99" s="728"/>
      <c r="G99" s="728" t="str">
        <f>'Tên Tháng 1'!E93</f>
        <v>ប៊ូ បៀន</v>
      </c>
      <c r="H99" s="728" t="str">
        <f>'Tên Tháng 1'!F93</f>
        <v>BO BEAN</v>
      </c>
      <c r="I99" s="519">
        <f>'CHAM CONG'!G97</f>
        <v>0</v>
      </c>
      <c r="J99" s="519" t="str">
        <f>'CHAM CONG'!H97</f>
        <v>x</v>
      </c>
      <c r="K99" s="519" t="str">
        <f>'CHAM CONG'!I97</f>
        <v>x</v>
      </c>
      <c r="L99" s="519" t="str">
        <f>'CHAM CONG'!J97</f>
        <v>x</v>
      </c>
      <c r="M99" s="519" t="str">
        <f>'CHAM CONG'!K97</f>
        <v>x</v>
      </c>
      <c r="N99" s="519" t="str">
        <f>'CHAM CONG'!L97</f>
        <v>x</v>
      </c>
      <c r="O99" s="519" t="str">
        <f>'CHAM CONG'!M97</f>
        <v>x</v>
      </c>
      <c r="P99" s="519">
        <f>'CHAM CONG'!N97</f>
        <v>0</v>
      </c>
      <c r="Q99" s="519" t="str">
        <f>'CHAM CONG'!O97</f>
        <v>x</v>
      </c>
      <c r="R99" s="519" t="str">
        <f>'CHAM CONG'!P97</f>
        <v>x</v>
      </c>
      <c r="S99" s="519" t="str">
        <f>'CHAM CONG'!Q97</f>
        <v>x</v>
      </c>
      <c r="T99" s="519" t="str">
        <f>'CHAM CONG'!R97</f>
        <v>x</v>
      </c>
      <c r="U99" s="519" t="str">
        <f>'CHAM CONG'!S97</f>
        <v>x</v>
      </c>
      <c r="V99" s="519" t="str">
        <f>'CHAM CONG'!T97</f>
        <v>x</v>
      </c>
      <c r="W99" s="519" t="str">
        <f>'CHAM CONG'!U97</f>
        <v>x</v>
      </c>
      <c r="X99" s="519"/>
      <c r="Y99" s="519"/>
      <c r="Z99" s="738">
        <f t="shared" si="24"/>
        <v>13</v>
      </c>
      <c r="AA99" s="580">
        <f t="shared" si="25"/>
        <v>0</v>
      </c>
      <c r="AB99" s="580">
        <f t="shared" si="26"/>
        <v>208000</v>
      </c>
      <c r="AC99" s="580">
        <f>'CHAM CONG'!V97</f>
        <v>0</v>
      </c>
      <c r="AD99" s="580" t="str">
        <f>'CHAM CONG'!W97</f>
        <v>x</v>
      </c>
      <c r="AE99" s="580">
        <f>'CHAM CONG'!X97</f>
        <v>0</v>
      </c>
      <c r="AF99" s="738">
        <f t="shared" si="27"/>
        <v>1</v>
      </c>
      <c r="AG99" s="580">
        <f t="shared" si="28"/>
        <v>17000</v>
      </c>
      <c r="AH99" s="580">
        <f t="shared" si="22"/>
        <v>13</v>
      </c>
      <c r="AI99" s="580">
        <f t="shared" si="29"/>
        <v>13000</v>
      </c>
      <c r="AJ99" s="580">
        <f t="shared" si="30"/>
        <v>238000</v>
      </c>
      <c r="AK99" s="429">
        <f>'SAN LUONG'!AF98</f>
        <v>417</v>
      </c>
      <c r="AL99" s="429">
        <f>'SAN LUONG'!AG98</f>
        <v>503</v>
      </c>
      <c r="AM99" s="429">
        <f>'SAN LUONG'!AH98</f>
        <v>323</v>
      </c>
      <c r="AN99" s="429">
        <f>'SAN LUONG'!AI98</f>
        <v>167</v>
      </c>
      <c r="AO99" s="746"/>
      <c r="AP99" s="746">
        <f t="shared" si="31"/>
        <v>0</v>
      </c>
      <c r="AQ99" s="746"/>
      <c r="AR99" s="746">
        <f t="shared" si="23"/>
        <v>0</v>
      </c>
      <c r="AS99" s="746">
        <f t="shared" si="21"/>
        <v>1410</v>
      </c>
      <c r="AT99" s="746">
        <f t="shared" si="32"/>
        <v>282282</v>
      </c>
      <c r="AU99" s="747">
        <f>'SAN LUONG'!AU98</f>
        <v>0</v>
      </c>
      <c r="AV99" s="748">
        <f t="shared" si="33"/>
        <v>0</v>
      </c>
      <c r="AW99" s="757">
        <f t="shared" si="34"/>
        <v>0</v>
      </c>
      <c r="AX99" s="758">
        <f t="shared" si="35"/>
        <v>520282</v>
      </c>
      <c r="AY99" s="759"/>
      <c r="AZ99" s="759"/>
      <c r="BA99" s="759"/>
      <c r="BB99" s="760">
        <f t="shared" si="36"/>
        <v>520282</v>
      </c>
      <c r="BC99" s="763"/>
      <c r="BD99" s="639">
        <f t="shared" si="37"/>
        <v>16.29</v>
      </c>
      <c r="BE99" s="768"/>
      <c r="BF99" s="769"/>
    </row>
    <row r="100" spans="1:58" s="725" customFormat="1" ht="35.4" customHeight="1">
      <c r="A100" s="503">
        <v>91</v>
      </c>
      <c r="B100" s="504">
        <v>5</v>
      </c>
      <c r="C100" s="504">
        <v>180</v>
      </c>
      <c r="D100" s="728"/>
      <c r="E100" s="728"/>
      <c r="F100" s="728"/>
      <c r="G100" s="728" t="str">
        <f>'Tên Tháng 1'!E94</f>
        <v>មឿន ម៉ាក់</v>
      </c>
      <c r="H100" s="728" t="str">
        <f>'Tên Tháng 1'!F94</f>
        <v>MOEUN MAK</v>
      </c>
      <c r="I100" s="519" t="str">
        <f>'CHAM CONG'!G98</f>
        <v>x</v>
      </c>
      <c r="J100" s="519" t="str">
        <f>'CHAM CONG'!H98</f>
        <v>x</v>
      </c>
      <c r="K100" s="519" t="str">
        <f>'CHAM CONG'!I98</f>
        <v>x</v>
      </c>
      <c r="L100" s="519" t="str">
        <f>'CHAM CONG'!J98</f>
        <v>x</v>
      </c>
      <c r="M100" s="519" t="str">
        <f>'CHAM CONG'!K98</f>
        <v>x</v>
      </c>
      <c r="N100" s="519" t="str">
        <f>'CHAM CONG'!L98</f>
        <v>x</v>
      </c>
      <c r="O100" s="519" t="str">
        <f>'CHAM CONG'!M98</f>
        <v>x</v>
      </c>
      <c r="P100" s="519" t="str">
        <f>'CHAM CONG'!N98</f>
        <v>x</v>
      </c>
      <c r="Q100" s="519" t="str">
        <f>'CHAM CONG'!O98</f>
        <v>x</v>
      </c>
      <c r="R100" s="519" t="str">
        <f>'CHAM CONG'!P98</f>
        <v>x</v>
      </c>
      <c r="S100" s="519" t="str">
        <f>'CHAM CONG'!Q98</f>
        <v>x</v>
      </c>
      <c r="T100" s="519" t="str">
        <f>'CHAM CONG'!R98</f>
        <v>x</v>
      </c>
      <c r="U100" s="519" t="str">
        <f>'CHAM CONG'!S98</f>
        <v>x</v>
      </c>
      <c r="V100" s="519" t="str">
        <f>'CHAM CONG'!T98</f>
        <v>x</v>
      </c>
      <c r="W100" s="519" t="str">
        <f>'CHAM CONG'!U98</f>
        <v>x</v>
      </c>
      <c r="X100" s="519"/>
      <c r="Y100" s="519"/>
      <c r="Z100" s="738">
        <f t="shared" si="24"/>
        <v>15</v>
      </c>
      <c r="AA100" s="580">
        <f t="shared" si="25"/>
        <v>0</v>
      </c>
      <c r="AB100" s="580">
        <f t="shared" si="26"/>
        <v>240000</v>
      </c>
      <c r="AC100" s="580">
        <f>'CHAM CONG'!V98</f>
        <v>0</v>
      </c>
      <c r="AD100" s="580" t="str">
        <f>'CHAM CONG'!W98</f>
        <v>x</v>
      </c>
      <c r="AE100" s="580">
        <f>'CHAM CONG'!X98</f>
        <v>0</v>
      </c>
      <c r="AF100" s="738">
        <f t="shared" si="27"/>
        <v>1</v>
      </c>
      <c r="AG100" s="580">
        <f t="shared" si="28"/>
        <v>17000</v>
      </c>
      <c r="AH100" s="580">
        <f t="shared" si="22"/>
        <v>15</v>
      </c>
      <c r="AI100" s="580">
        <f t="shared" si="29"/>
        <v>15000</v>
      </c>
      <c r="AJ100" s="580">
        <f t="shared" si="30"/>
        <v>272000</v>
      </c>
      <c r="AK100" s="429">
        <f>'SAN LUONG'!AF99</f>
        <v>326</v>
      </c>
      <c r="AL100" s="429">
        <f>'SAN LUONG'!AG99</f>
        <v>478</v>
      </c>
      <c r="AM100" s="429">
        <f>'SAN LUONG'!AH99</f>
        <v>439</v>
      </c>
      <c r="AN100" s="429">
        <f>'SAN LUONG'!AI99</f>
        <v>187</v>
      </c>
      <c r="AO100" s="746"/>
      <c r="AP100" s="746">
        <f t="shared" si="31"/>
        <v>0</v>
      </c>
      <c r="AQ100" s="746"/>
      <c r="AR100" s="746">
        <f t="shared" si="23"/>
        <v>0</v>
      </c>
      <c r="AS100" s="746">
        <f t="shared" si="21"/>
        <v>1430</v>
      </c>
      <c r="AT100" s="746">
        <f t="shared" si="32"/>
        <v>286286</v>
      </c>
      <c r="AU100" s="747">
        <f>'SAN LUONG'!AU99</f>
        <v>0</v>
      </c>
      <c r="AV100" s="748">
        <f t="shared" si="33"/>
        <v>0</v>
      </c>
      <c r="AW100" s="757">
        <f t="shared" si="34"/>
        <v>0</v>
      </c>
      <c r="AX100" s="758">
        <f t="shared" si="35"/>
        <v>558286</v>
      </c>
      <c r="AY100" s="759"/>
      <c r="AZ100" s="759"/>
      <c r="BA100" s="759"/>
      <c r="BB100" s="760">
        <f t="shared" si="36"/>
        <v>558286</v>
      </c>
      <c r="BC100" s="763"/>
      <c r="BD100" s="639">
        <f t="shared" si="37"/>
        <v>17.48</v>
      </c>
      <c r="BE100" s="768"/>
      <c r="BF100" s="769"/>
    </row>
    <row r="101" spans="1:58" s="725" customFormat="1" ht="35.4" customHeight="1">
      <c r="A101" s="503">
        <v>92</v>
      </c>
      <c r="B101" s="504">
        <v>5</v>
      </c>
      <c r="C101" s="504">
        <v>181</v>
      </c>
      <c r="D101" s="728"/>
      <c r="E101" s="728"/>
      <c r="F101" s="728"/>
      <c r="G101" s="728" t="str">
        <f>'Tên Tháng 1'!E95</f>
        <v>ស សឿ</v>
      </c>
      <c r="H101" s="728" t="str">
        <f>'Tên Tháng 1'!F95</f>
        <v>SOR SOEU</v>
      </c>
      <c r="I101" s="519" t="str">
        <f>'CHAM CONG'!G99</f>
        <v>x</v>
      </c>
      <c r="J101" s="519" t="str">
        <f>'CHAM CONG'!H99</f>
        <v>x</v>
      </c>
      <c r="K101" s="519" t="str">
        <f>'CHAM CONG'!I99</f>
        <v>x</v>
      </c>
      <c r="L101" s="519" t="str">
        <f>'CHAM CONG'!J99</f>
        <v>x</v>
      </c>
      <c r="M101" s="519" t="str">
        <f>'CHAM CONG'!K99</f>
        <v>x</v>
      </c>
      <c r="N101" s="519" t="str">
        <f>'CHAM CONG'!L99</f>
        <v>x</v>
      </c>
      <c r="O101" s="519" t="str">
        <f>'CHAM CONG'!M99</f>
        <v>x</v>
      </c>
      <c r="P101" s="519" t="str">
        <f>'CHAM CONG'!N99</f>
        <v>x</v>
      </c>
      <c r="Q101" s="519" t="str">
        <f>'CHAM CONG'!O99</f>
        <v>x</v>
      </c>
      <c r="R101" s="519" t="str">
        <f>'CHAM CONG'!P99</f>
        <v>x</v>
      </c>
      <c r="S101" s="519" t="str">
        <f>'CHAM CONG'!Q99</f>
        <v>x</v>
      </c>
      <c r="T101" s="519" t="str">
        <f>'CHAM CONG'!R99</f>
        <v>x</v>
      </c>
      <c r="U101" s="519" t="str">
        <f>'CHAM CONG'!S99</f>
        <v>x</v>
      </c>
      <c r="V101" s="519" t="str">
        <f>'CHAM CONG'!T99</f>
        <v>x</v>
      </c>
      <c r="W101" s="519" t="str">
        <f>'CHAM CONG'!U99</f>
        <v>x</v>
      </c>
      <c r="X101" s="519"/>
      <c r="Y101" s="519"/>
      <c r="Z101" s="738">
        <f t="shared" si="24"/>
        <v>15</v>
      </c>
      <c r="AA101" s="580">
        <f t="shared" si="25"/>
        <v>0</v>
      </c>
      <c r="AB101" s="580">
        <f t="shared" si="26"/>
        <v>240000</v>
      </c>
      <c r="AC101" s="580">
        <f>'CHAM CONG'!V99</f>
        <v>0</v>
      </c>
      <c r="AD101" s="580" t="str">
        <f>'CHAM CONG'!W99</f>
        <v>x</v>
      </c>
      <c r="AE101" s="580">
        <f>'CHAM CONG'!X99</f>
        <v>0</v>
      </c>
      <c r="AF101" s="738">
        <f t="shared" si="27"/>
        <v>1</v>
      </c>
      <c r="AG101" s="580">
        <f t="shared" si="28"/>
        <v>17000</v>
      </c>
      <c r="AH101" s="580">
        <f t="shared" si="22"/>
        <v>15</v>
      </c>
      <c r="AI101" s="580">
        <f t="shared" si="29"/>
        <v>15000</v>
      </c>
      <c r="AJ101" s="580">
        <f t="shared" si="30"/>
        <v>272000</v>
      </c>
      <c r="AK101" s="429">
        <f>'SAN LUONG'!AF100</f>
        <v>358</v>
      </c>
      <c r="AL101" s="429">
        <f>'SAN LUONG'!AG100</f>
        <v>390</v>
      </c>
      <c r="AM101" s="429">
        <f>'SAN LUONG'!AH100</f>
        <v>358</v>
      </c>
      <c r="AN101" s="429">
        <f>'SAN LUONG'!AI100</f>
        <v>120</v>
      </c>
      <c r="AO101" s="746"/>
      <c r="AP101" s="746">
        <f t="shared" si="31"/>
        <v>0</v>
      </c>
      <c r="AQ101" s="746"/>
      <c r="AR101" s="746">
        <f t="shared" si="23"/>
        <v>0</v>
      </c>
      <c r="AS101" s="746">
        <f t="shared" si="21"/>
        <v>1226</v>
      </c>
      <c r="AT101" s="746">
        <f t="shared" si="32"/>
        <v>245445</v>
      </c>
      <c r="AU101" s="747">
        <f>'SAN LUONG'!AU100</f>
        <v>0</v>
      </c>
      <c r="AV101" s="748">
        <f t="shared" si="33"/>
        <v>0</v>
      </c>
      <c r="AW101" s="757">
        <f t="shared" si="34"/>
        <v>0</v>
      </c>
      <c r="AX101" s="758">
        <f t="shared" si="35"/>
        <v>517445</v>
      </c>
      <c r="AY101" s="759"/>
      <c r="AZ101" s="759"/>
      <c r="BA101" s="759"/>
      <c r="BB101" s="760">
        <f t="shared" si="36"/>
        <v>517445</v>
      </c>
      <c r="BC101" s="763"/>
      <c r="BD101" s="639">
        <f t="shared" si="37"/>
        <v>16.2</v>
      </c>
      <c r="BE101" s="768"/>
      <c r="BF101" s="769"/>
    </row>
    <row r="102" spans="1:58" s="725" customFormat="1" ht="35.4" customHeight="1">
      <c r="A102" s="503">
        <v>93</v>
      </c>
      <c r="B102" s="504">
        <v>5</v>
      </c>
      <c r="C102" s="504">
        <v>182</v>
      </c>
      <c r="D102" s="728"/>
      <c r="E102" s="728"/>
      <c r="F102" s="728"/>
      <c r="G102" s="728" t="str">
        <f>'Tên Tháng 1'!E96</f>
        <v>ស៊ន សី</v>
      </c>
      <c r="H102" s="728" t="str">
        <f>'Tên Tháng 1'!F96</f>
        <v>SORN SEY</v>
      </c>
      <c r="I102" s="519" t="str">
        <f>'CHAM CONG'!G100</f>
        <v>x</v>
      </c>
      <c r="J102" s="519" t="str">
        <f>'CHAM CONG'!H100</f>
        <v>x</v>
      </c>
      <c r="K102" s="519" t="str">
        <f>'CHAM CONG'!I100</f>
        <v>x</v>
      </c>
      <c r="L102" s="519" t="str">
        <f>'CHAM CONG'!J100</f>
        <v>x</v>
      </c>
      <c r="M102" s="519" t="str">
        <f>'CHAM CONG'!K100</f>
        <v>x</v>
      </c>
      <c r="N102" s="519" t="str">
        <f>'CHAM CONG'!L100</f>
        <v>x</v>
      </c>
      <c r="O102" s="519" t="str">
        <f>'CHAM CONG'!M100</f>
        <v>x</v>
      </c>
      <c r="P102" s="519" t="str">
        <f>'CHAM CONG'!N100</f>
        <v>x</v>
      </c>
      <c r="Q102" s="519" t="str">
        <f>'CHAM CONG'!O100</f>
        <v>x</v>
      </c>
      <c r="R102" s="519" t="str">
        <f>'CHAM CONG'!P100</f>
        <v>x</v>
      </c>
      <c r="S102" s="519" t="str">
        <f>'CHAM CONG'!Q100</f>
        <v>x</v>
      </c>
      <c r="T102" s="519" t="str">
        <f>'CHAM CONG'!R100</f>
        <v>x</v>
      </c>
      <c r="U102" s="519" t="str">
        <f>'CHAM CONG'!S100</f>
        <v>x</v>
      </c>
      <c r="V102" s="519" t="str">
        <f>'CHAM CONG'!T100</f>
        <v>x</v>
      </c>
      <c r="W102" s="519" t="str">
        <f>'CHAM CONG'!U100</f>
        <v>x</v>
      </c>
      <c r="X102" s="519"/>
      <c r="Y102" s="519"/>
      <c r="Z102" s="738">
        <f t="shared" si="24"/>
        <v>15</v>
      </c>
      <c r="AA102" s="580">
        <f t="shared" si="25"/>
        <v>0</v>
      </c>
      <c r="AB102" s="580">
        <f t="shared" si="26"/>
        <v>240000</v>
      </c>
      <c r="AC102" s="580">
        <f>'CHAM CONG'!V100</f>
        <v>0</v>
      </c>
      <c r="AD102" s="580" t="str">
        <f>'CHAM CONG'!W100</f>
        <v>x</v>
      </c>
      <c r="AE102" s="580">
        <f>'CHAM CONG'!X100</f>
        <v>0</v>
      </c>
      <c r="AF102" s="738">
        <f t="shared" si="27"/>
        <v>1</v>
      </c>
      <c r="AG102" s="580">
        <f t="shared" si="28"/>
        <v>17000</v>
      </c>
      <c r="AH102" s="580">
        <f t="shared" si="22"/>
        <v>15</v>
      </c>
      <c r="AI102" s="580">
        <f t="shared" si="29"/>
        <v>15000</v>
      </c>
      <c r="AJ102" s="580">
        <f t="shared" si="30"/>
        <v>272000</v>
      </c>
      <c r="AK102" s="429">
        <f>'SAN LUONG'!AF101</f>
        <v>321</v>
      </c>
      <c r="AL102" s="429">
        <f>'SAN LUONG'!AG101</f>
        <v>553</v>
      </c>
      <c r="AM102" s="429">
        <f>'SAN LUONG'!AH101</f>
        <v>465</v>
      </c>
      <c r="AN102" s="429">
        <f>'SAN LUONG'!AI101</f>
        <v>195</v>
      </c>
      <c r="AO102" s="746"/>
      <c r="AP102" s="746">
        <f t="shared" si="31"/>
        <v>0</v>
      </c>
      <c r="AQ102" s="746"/>
      <c r="AR102" s="746">
        <f t="shared" si="23"/>
        <v>0</v>
      </c>
      <c r="AS102" s="746">
        <f t="shared" si="21"/>
        <v>1534</v>
      </c>
      <c r="AT102" s="746">
        <f t="shared" si="32"/>
        <v>307107</v>
      </c>
      <c r="AU102" s="747">
        <f>'SAN LUONG'!AU101</f>
        <v>0</v>
      </c>
      <c r="AV102" s="748">
        <f t="shared" si="33"/>
        <v>0</v>
      </c>
      <c r="AW102" s="757">
        <f t="shared" si="34"/>
        <v>0</v>
      </c>
      <c r="AX102" s="758">
        <f t="shared" si="35"/>
        <v>579107</v>
      </c>
      <c r="AY102" s="759"/>
      <c r="AZ102" s="759"/>
      <c r="BA102" s="759"/>
      <c r="BB102" s="760">
        <f t="shared" si="36"/>
        <v>579107</v>
      </c>
      <c r="BC102" s="763"/>
      <c r="BD102" s="639">
        <f t="shared" si="37"/>
        <v>18.13</v>
      </c>
      <c r="BE102" s="768"/>
      <c r="BF102" s="769"/>
    </row>
    <row r="103" spans="1:58" s="725" customFormat="1" ht="35.4" customHeight="1">
      <c r="A103" s="503">
        <v>94</v>
      </c>
      <c r="B103" s="504">
        <v>5</v>
      </c>
      <c r="C103" s="504">
        <v>183</v>
      </c>
      <c r="D103" s="728"/>
      <c r="E103" s="728"/>
      <c r="F103" s="728"/>
      <c r="G103" s="728" t="str">
        <f>'Tên Tháng 1'!E97</f>
        <v>ឡុន លាង</v>
      </c>
      <c r="H103" s="728" t="str">
        <f>'Tên Tháng 1'!F97</f>
        <v>LAUN LENG</v>
      </c>
      <c r="I103" s="519" t="str">
        <f>'CHAM CONG'!G101</f>
        <v>x</v>
      </c>
      <c r="J103" s="519" t="str">
        <f>'CHAM CONG'!H101</f>
        <v>x</v>
      </c>
      <c r="K103" s="519" t="str">
        <f>'CHAM CONG'!I101</f>
        <v>x</v>
      </c>
      <c r="L103" s="519" t="str">
        <f>'CHAM CONG'!J101</f>
        <v>x</v>
      </c>
      <c r="M103" s="519" t="str">
        <f>'CHAM CONG'!K101</f>
        <v>x</v>
      </c>
      <c r="N103" s="519" t="str">
        <f>'CHAM CONG'!L101</f>
        <v>x</v>
      </c>
      <c r="O103" s="519" t="str">
        <f>'CHAM CONG'!M101</f>
        <v>x</v>
      </c>
      <c r="P103" s="519" t="str">
        <f>'CHAM CONG'!N101</f>
        <v>x</v>
      </c>
      <c r="Q103" s="519" t="str">
        <f>'CHAM CONG'!O101</f>
        <v>x</v>
      </c>
      <c r="R103" s="519" t="str">
        <f>'CHAM CONG'!P101</f>
        <v>x</v>
      </c>
      <c r="S103" s="519" t="str">
        <f>'CHAM CONG'!Q101</f>
        <v>x</v>
      </c>
      <c r="T103" s="519" t="str">
        <f>'CHAM CONG'!R101</f>
        <v>x</v>
      </c>
      <c r="U103" s="519" t="str">
        <f>'CHAM CONG'!S101</f>
        <v>x</v>
      </c>
      <c r="V103" s="519" t="str">
        <f>'CHAM CONG'!T101</f>
        <v>x</v>
      </c>
      <c r="W103" s="519" t="str">
        <f>'CHAM CONG'!U101</f>
        <v>x</v>
      </c>
      <c r="X103" s="519"/>
      <c r="Y103" s="519"/>
      <c r="Z103" s="738">
        <f t="shared" si="24"/>
        <v>15</v>
      </c>
      <c r="AA103" s="580">
        <f t="shared" si="25"/>
        <v>0</v>
      </c>
      <c r="AB103" s="580">
        <f t="shared" si="26"/>
        <v>240000</v>
      </c>
      <c r="AC103" s="580">
        <f>'CHAM CONG'!V101</f>
        <v>0</v>
      </c>
      <c r="AD103" s="580" t="str">
        <f>'CHAM CONG'!W101</f>
        <v>x</v>
      </c>
      <c r="AE103" s="580">
        <f>'CHAM CONG'!X101</f>
        <v>0</v>
      </c>
      <c r="AF103" s="738">
        <f t="shared" si="27"/>
        <v>1</v>
      </c>
      <c r="AG103" s="580">
        <f t="shared" si="28"/>
        <v>17000</v>
      </c>
      <c r="AH103" s="580">
        <f t="shared" si="22"/>
        <v>15</v>
      </c>
      <c r="AI103" s="580">
        <f t="shared" si="29"/>
        <v>15000</v>
      </c>
      <c r="AJ103" s="580">
        <f t="shared" si="30"/>
        <v>272000</v>
      </c>
      <c r="AK103" s="429">
        <f>'SAN LUONG'!AF102</f>
        <v>321</v>
      </c>
      <c r="AL103" s="429">
        <f>'SAN LUONG'!AG102</f>
        <v>451</v>
      </c>
      <c r="AM103" s="429">
        <f>'SAN LUONG'!AH102</f>
        <v>367</v>
      </c>
      <c r="AN103" s="429">
        <f>'SAN LUONG'!AI102</f>
        <v>164</v>
      </c>
      <c r="AO103" s="746"/>
      <c r="AP103" s="746">
        <f t="shared" si="31"/>
        <v>0</v>
      </c>
      <c r="AQ103" s="746"/>
      <c r="AR103" s="746">
        <f t="shared" si="23"/>
        <v>0</v>
      </c>
      <c r="AS103" s="746">
        <f t="shared" si="21"/>
        <v>1303</v>
      </c>
      <c r="AT103" s="746">
        <f t="shared" si="32"/>
        <v>260861</v>
      </c>
      <c r="AU103" s="747">
        <f>'SAN LUONG'!AU102</f>
        <v>0</v>
      </c>
      <c r="AV103" s="748">
        <f t="shared" si="33"/>
        <v>0</v>
      </c>
      <c r="AW103" s="757">
        <f t="shared" si="34"/>
        <v>0</v>
      </c>
      <c r="AX103" s="758">
        <f t="shared" si="35"/>
        <v>532861</v>
      </c>
      <c r="AY103" s="759"/>
      <c r="AZ103" s="759"/>
      <c r="BA103" s="759"/>
      <c r="BB103" s="760">
        <f t="shared" si="36"/>
        <v>532861</v>
      </c>
      <c r="BC103" s="763"/>
      <c r="BD103" s="639">
        <f t="shared" si="37"/>
        <v>16.68</v>
      </c>
      <c r="BE103" s="768"/>
      <c r="BF103" s="769"/>
    </row>
    <row r="104" spans="1:58" s="725" customFormat="1" ht="35.4" customHeight="1">
      <c r="A104" s="503">
        <v>95</v>
      </c>
      <c r="B104" s="504">
        <v>5</v>
      </c>
      <c r="C104" s="504">
        <v>184</v>
      </c>
      <c r="D104" s="728"/>
      <c r="E104" s="728"/>
      <c r="F104" s="728"/>
      <c r="G104" s="728" t="str">
        <f>'Tên Tháng 1'!E98</f>
        <v>ស៊ាន ពិន</v>
      </c>
      <c r="H104" s="728" t="str">
        <f>'Tên Tháng 1'!F98</f>
        <v>SEAN PIN</v>
      </c>
      <c r="I104" s="519" t="str">
        <f>'CHAM CONG'!G102</f>
        <v>x</v>
      </c>
      <c r="J104" s="519" t="str">
        <f>'CHAM CONG'!H102</f>
        <v>x</v>
      </c>
      <c r="K104" s="519" t="str">
        <f>'CHAM CONG'!I102</f>
        <v>x</v>
      </c>
      <c r="L104" s="519">
        <f>'CHAM CONG'!J102</f>
        <v>0</v>
      </c>
      <c r="M104" s="519" t="str">
        <f>'CHAM CONG'!K102</f>
        <v>x</v>
      </c>
      <c r="N104" s="519" t="str">
        <f>'CHAM CONG'!L102</f>
        <v>x</v>
      </c>
      <c r="O104" s="519" t="str">
        <f>'CHAM CONG'!M102</f>
        <v>x</v>
      </c>
      <c r="P104" s="519" t="str">
        <f>'CHAM CONG'!N102</f>
        <v>x</v>
      </c>
      <c r="Q104" s="519" t="str">
        <f>'CHAM CONG'!O102</f>
        <v>x</v>
      </c>
      <c r="R104" s="519" t="str">
        <f>'CHAM CONG'!P102</f>
        <v>x</v>
      </c>
      <c r="S104" s="519" t="str">
        <f>'CHAM CONG'!Q102</f>
        <v>x</v>
      </c>
      <c r="T104" s="519" t="str">
        <f>'CHAM CONG'!R102</f>
        <v>x</v>
      </c>
      <c r="U104" s="519" t="str">
        <f>'CHAM CONG'!S102</f>
        <v>x</v>
      </c>
      <c r="V104" s="519" t="str">
        <f>'CHAM CONG'!T102</f>
        <v>x</v>
      </c>
      <c r="W104" s="519" t="str">
        <f>'CHAM CONG'!U102</f>
        <v>x</v>
      </c>
      <c r="X104" s="519"/>
      <c r="Y104" s="519"/>
      <c r="Z104" s="738">
        <f t="shared" si="24"/>
        <v>14</v>
      </c>
      <c r="AA104" s="580">
        <f t="shared" si="25"/>
        <v>0</v>
      </c>
      <c r="AB104" s="580">
        <f t="shared" si="26"/>
        <v>224000</v>
      </c>
      <c r="AC104" s="580">
        <f>'CHAM CONG'!V102</f>
        <v>0</v>
      </c>
      <c r="AD104" s="580" t="str">
        <f>'CHAM CONG'!W102</f>
        <v>x</v>
      </c>
      <c r="AE104" s="580">
        <f>'CHAM CONG'!X102</f>
        <v>0</v>
      </c>
      <c r="AF104" s="738">
        <f t="shared" si="27"/>
        <v>1</v>
      </c>
      <c r="AG104" s="580">
        <f t="shared" si="28"/>
        <v>17000</v>
      </c>
      <c r="AH104" s="580">
        <f t="shared" si="22"/>
        <v>14</v>
      </c>
      <c r="AI104" s="580">
        <f t="shared" si="29"/>
        <v>14000</v>
      </c>
      <c r="AJ104" s="580">
        <f t="shared" si="30"/>
        <v>255000</v>
      </c>
      <c r="AK104" s="429">
        <f>'SAN LUONG'!AF103</f>
        <v>323</v>
      </c>
      <c r="AL104" s="429">
        <f>'SAN LUONG'!AG103</f>
        <v>400</v>
      </c>
      <c r="AM104" s="429">
        <f>'SAN LUONG'!AH103</f>
        <v>251</v>
      </c>
      <c r="AN104" s="429">
        <f>'SAN LUONG'!AI103</f>
        <v>117</v>
      </c>
      <c r="AO104" s="746"/>
      <c r="AP104" s="746">
        <f t="shared" si="31"/>
        <v>0</v>
      </c>
      <c r="AQ104" s="746"/>
      <c r="AR104" s="746">
        <f t="shared" si="23"/>
        <v>0</v>
      </c>
      <c r="AS104" s="746">
        <f t="shared" si="21"/>
        <v>1091</v>
      </c>
      <c r="AT104" s="746">
        <f t="shared" si="32"/>
        <v>218418</v>
      </c>
      <c r="AU104" s="747">
        <f>'SAN LUONG'!AU103</f>
        <v>0</v>
      </c>
      <c r="AV104" s="748">
        <f t="shared" si="33"/>
        <v>0</v>
      </c>
      <c r="AW104" s="757">
        <f t="shared" si="34"/>
        <v>0</v>
      </c>
      <c r="AX104" s="758">
        <f t="shared" si="35"/>
        <v>473418</v>
      </c>
      <c r="AY104" s="759"/>
      <c r="AZ104" s="759"/>
      <c r="BA104" s="759"/>
      <c r="BB104" s="760">
        <f t="shared" si="36"/>
        <v>473418</v>
      </c>
      <c r="BC104" s="763"/>
      <c r="BD104" s="639">
        <f t="shared" si="37"/>
        <v>14.82</v>
      </c>
      <c r="BE104" s="768"/>
      <c r="BF104" s="769"/>
    </row>
    <row r="105" spans="1:58" s="725" customFormat="1" ht="35.4" customHeight="1">
      <c r="A105" s="503">
        <v>96</v>
      </c>
      <c r="B105" s="504">
        <v>5</v>
      </c>
      <c r="C105" s="504">
        <v>185</v>
      </c>
      <c r="D105" s="728"/>
      <c r="E105" s="728"/>
      <c r="F105" s="728"/>
      <c r="G105" s="728" t="str">
        <f>'Tên Tháng 1'!E99</f>
        <v>ប៊ូ ផៃ</v>
      </c>
      <c r="H105" s="728" t="str">
        <f>'Tên Tháng 1'!F99</f>
        <v>BOU PHAY</v>
      </c>
      <c r="I105" s="519" t="str">
        <f>'CHAM CONG'!G103</f>
        <v>x</v>
      </c>
      <c r="J105" s="519" t="str">
        <f>'CHAM CONG'!H103</f>
        <v>x</v>
      </c>
      <c r="K105" s="519" t="str">
        <f>'CHAM CONG'!I103</f>
        <v>x</v>
      </c>
      <c r="L105" s="519">
        <f>'CHAM CONG'!J103</f>
        <v>0</v>
      </c>
      <c r="M105" s="519" t="str">
        <f>'CHAM CONG'!K103</f>
        <v>x</v>
      </c>
      <c r="N105" s="519" t="str">
        <f>'CHAM CONG'!L103</f>
        <v>x</v>
      </c>
      <c r="O105" s="519" t="str">
        <f>'CHAM CONG'!M103</f>
        <v>x</v>
      </c>
      <c r="P105" s="519" t="str">
        <f>'CHAM CONG'!N103</f>
        <v>x</v>
      </c>
      <c r="Q105" s="519" t="str">
        <f>'CHAM CONG'!O103</f>
        <v>x</v>
      </c>
      <c r="R105" s="519" t="str">
        <f>'CHAM CONG'!P103</f>
        <v>x</v>
      </c>
      <c r="S105" s="519" t="str">
        <f>'CHAM CONG'!Q103</f>
        <v>x</v>
      </c>
      <c r="T105" s="519" t="str">
        <f>'CHAM CONG'!R103</f>
        <v>x</v>
      </c>
      <c r="U105" s="519" t="str">
        <f>'CHAM CONG'!S103</f>
        <v>x</v>
      </c>
      <c r="V105" s="519" t="str">
        <f>'CHAM CONG'!T103</f>
        <v>x</v>
      </c>
      <c r="W105" s="519" t="str">
        <f>'CHAM CONG'!U103</f>
        <v>x</v>
      </c>
      <c r="X105" s="519"/>
      <c r="Y105" s="519"/>
      <c r="Z105" s="738">
        <f t="shared" si="24"/>
        <v>14</v>
      </c>
      <c r="AA105" s="580">
        <f t="shared" si="25"/>
        <v>0</v>
      </c>
      <c r="AB105" s="580">
        <f t="shared" si="26"/>
        <v>224000</v>
      </c>
      <c r="AC105" s="580">
        <f>'CHAM CONG'!V103</f>
        <v>0</v>
      </c>
      <c r="AD105" s="580" t="str">
        <f>'CHAM CONG'!W103</f>
        <v>x</v>
      </c>
      <c r="AE105" s="580">
        <f>'CHAM CONG'!X103</f>
        <v>0</v>
      </c>
      <c r="AF105" s="738">
        <f t="shared" si="27"/>
        <v>1</v>
      </c>
      <c r="AG105" s="580">
        <f t="shared" si="28"/>
        <v>17000</v>
      </c>
      <c r="AH105" s="580">
        <f t="shared" si="22"/>
        <v>14</v>
      </c>
      <c r="AI105" s="580">
        <f t="shared" si="29"/>
        <v>14000</v>
      </c>
      <c r="AJ105" s="580">
        <f t="shared" si="30"/>
        <v>255000</v>
      </c>
      <c r="AK105" s="429">
        <f>'SAN LUONG'!AF104</f>
        <v>264</v>
      </c>
      <c r="AL105" s="429">
        <f>'SAN LUONG'!AG104</f>
        <v>382</v>
      </c>
      <c r="AM105" s="429">
        <f>'SAN LUONG'!AH104</f>
        <v>288</v>
      </c>
      <c r="AN105" s="429">
        <f>'SAN LUONG'!AI104</f>
        <v>140</v>
      </c>
      <c r="AO105" s="746"/>
      <c r="AP105" s="746">
        <f t="shared" si="31"/>
        <v>0</v>
      </c>
      <c r="AQ105" s="746"/>
      <c r="AR105" s="746">
        <f t="shared" si="23"/>
        <v>0</v>
      </c>
      <c r="AS105" s="746">
        <f t="shared" si="21"/>
        <v>1074</v>
      </c>
      <c r="AT105" s="746">
        <f t="shared" si="32"/>
        <v>215015</v>
      </c>
      <c r="AU105" s="747">
        <f>'SAN LUONG'!AU104</f>
        <v>0</v>
      </c>
      <c r="AV105" s="748">
        <f t="shared" si="33"/>
        <v>0</v>
      </c>
      <c r="AW105" s="757">
        <f t="shared" si="34"/>
        <v>0</v>
      </c>
      <c r="AX105" s="758">
        <f t="shared" si="35"/>
        <v>470015</v>
      </c>
      <c r="AY105" s="759"/>
      <c r="AZ105" s="759"/>
      <c r="BA105" s="759"/>
      <c r="BB105" s="760">
        <f t="shared" si="36"/>
        <v>470015</v>
      </c>
      <c r="BC105" s="763"/>
      <c r="BD105" s="639">
        <f t="shared" si="37"/>
        <v>14.71</v>
      </c>
      <c r="BE105" s="768"/>
      <c r="BF105" s="769"/>
    </row>
    <row r="106" spans="1:58" s="725" customFormat="1" ht="35.4" customHeight="1">
      <c r="A106" s="503">
        <v>97</v>
      </c>
      <c r="B106" s="504">
        <v>5</v>
      </c>
      <c r="C106" s="504">
        <v>186</v>
      </c>
      <c r="D106" s="728"/>
      <c r="E106" s="728"/>
      <c r="F106" s="728"/>
      <c r="G106" s="728" t="str">
        <f>'Tên Tháng 1'!E100</f>
        <v>ហួន​ ហ៊ាន</v>
      </c>
      <c r="H106" s="728" t="str">
        <f>'Tên Tháng 1'!F100</f>
        <v>HOURN HEAN</v>
      </c>
      <c r="I106" s="519" t="str">
        <f>'CHAM CONG'!G104</f>
        <v>x</v>
      </c>
      <c r="J106" s="519" t="str">
        <f>'CHAM CONG'!H104</f>
        <v>x</v>
      </c>
      <c r="K106" s="519" t="str">
        <f>'CHAM CONG'!I104</f>
        <v>x</v>
      </c>
      <c r="L106" s="519">
        <f>'CHAM CONG'!J104</f>
        <v>0</v>
      </c>
      <c r="M106" s="519" t="str">
        <f>'CHAM CONG'!K104</f>
        <v>x</v>
      </c>
      <c r="N106" s="519" t="str">
        <f>'CHAM CONG'!L104</f>
        <v>x</v>
      </c>
      <c r="O106" s="519" t="str">
        <f>'CHAM CONG'!M104</f>
        <v>x</v>
      </c>
      <c r="P106" s="519" t="str">
        <f>'CHAM CONG'!N104</f>
        <v>x</v>
      </c>
      <c r="Q106" s="519" t="str">
        <f>'CHAM CONG'!O104</f>
        <v>x</v>
      </c>
      <c r="R106" s="519" t="str">
        <f>'CHAM CONG'!P104</f>
        <v>x</v>
      </c>
      <c r="S106" s="519" t="str">
        <f>'CHAM CONG'!Q104</f>
        <v>x</v>
      </c>
      <c r="T106" s="519" t="str">
        <f>'CHAM CONG'!R104</f>
        <v>x</v>
      </c>
      <c r="U106" s="519" t="str">
        <f>'CHAM CONG'!S104</f>
        <v>x</v>
      </c>
      <c r="V106" s="519" t="str">
        <f>'CHAM CONG'!T104</f>
        <v>x</v>
      </c>
      <c r="W106" s="519" t="str">
        <f>'CHAM CONG'!U104</f>
        <v>x</v>
      </c>
      <c r="X106" s="519"/>
      <c r="Y106" s="519"/>
      <c r="Z106" s="738">
        <f t="shared" si="24"/>
        <v>14</v>
      </c>
      <c r="AA106" s="580">
        <f t="shared" si="25"/>
        <v>0</v>
      </c>
      <c r="AB106" s="580">
        <f t="shared" si="26"/>
        <v>224000</v>
      </c>
      <c r="AC106" s="580">
        <f>'CHAM CONG'!V104</f>
        <v>0</v>
      </c>
      <c r="AD106" s="580" t="str">
        <f>'CHAM CONG'!W104</f>
        <v>x</v>
      </c>
      <c r="AE106" s="580">
        <f>'CHAM CONG'!X104</f>
        <v>0</v>
      </c>
      <c r="AF106" s="738">
        <f t="shared" si="27"/>
        <v>1</v>
      </c>
      <c r="AG106" s="580">
        <f t="shared" si="28"/>
        <v>17000</v>
      </c>
      <c r="AH106" s="580">
        <f t="shared" ref="AH106:AH137" si="38">Z106</f>
        <v>14</v>
      </c>
      <c r="AI106" s="580">
        <f t="shared" si="29"/>
        <v>14000</v>
      </c>
      <c r="AJ106" s="580">
        <f t="shared" si="30"/>
        <v>255000</v>
      </c>
      <c r="AK106" s="429">
        <f>'SAN LUONG'!AF105</f>
        <v>316</v>
      </c>
      <c r="AL106" s="429">
        <f>'SAN LUONG'!AG105</f>
        <v>643</v>
      </c>
      <c r="AM106" s="429">
        <f>'SAN LUONG'!AH105</f>
        <v>446</v>
      </c>
      <c r="AN106" s="429">
        <f>'SAN LUONG'!AI105</f>
        <v>325</v>
      </c>
      <c r="AO106" s="746"/>
      <c r="AP106" s="746">
        <f t="shared" si="31"/>
        <v>0</v>
      </c>
      <c r="AQ106" s="746"/>
      <c r="AR106" s="746">
        <f t="shared" ref="AR106:AR138" si="39">ROUND(AQ106*0.44*$AR$8,0)</f>
        <v>0</v>
      </c>
      <c r="AS106" s="746">
        <f t="shared" si="21"/>
        <v>1730</v>
      </c>
      <c r="AT106" s="746">
        <f t="shared" si="32"/>
        <v>346346</v>
      </c>
      <c r="AU106" s="747">
        <f>'SAN LUONG'!AU105</f>
        <v>0</v>
      </c>
      <c r="AV106" s="748">
        <f t="shared" si="33"/>
        <v>0</v>
      </c>
      <c r="AW106" s="757">
        <f t="shared" si="34"/>
        <v>0</v>
      </c>
      <c r="AX106" s="758">
        <f t="shared" si="35"/>
        <v>601346</v>
      </c>
      <c r="AY106" s="759"/>
      <c r="AZ106" s="759"/>
      <c r="BA106" s="759"/>
      <c r="BB106" s="760">
        <f t="shared" si="36"/>
        <v>601346</v>
      </c>
      <c r="BC106" s="763"/>
      <c r="BD106" s="639">
        <f t="shared" si="37"/>
        <v>18.82</v>
      </c>
      <c r="BE106" s="768"/>
      <c r="BF106" s="769"/>
    </row>
    <row r="107" spans="1:58" s="725" customFormat="1" ht="35.4" customHeight="1">
      <c r="A107" s="503">
        <v>98</v>
      </c>
      <c r="B107" s="504">
        <v>5</v>
      </c>
      <c r="C107" s="504">
        <v>187</v>
      </c>
      <c r="D107" s="728"/>
      <c r="E107" s="728"/>
      <c r="F107" s="728"/>
      <c r="G107" s="728" t="str">
        <f>'Tên Tháng 1'!E101</f>
        <v>ហ៊ាន តុលា</v>
      </c>
      <c r="H107" s="728" t="str">
        <f>'Tên Tháng 1'!F101</f>
        <v>HAN TOLA</v>
      </c>
      <c r="I107" s="519" t="str">
        <f>'CHAM CONG'!G105</f>
        <v>x</v>
      </c>
      <c r="J107" s="519" t="str">
        <f>'CHAM CONG'!H105</f>
        <v>x</v>
      </c>
      <c r="K107" s="519" t="str">
        <f>'CHAM CONG'!I105</f>
        <v>x</v>
      </c>
      <c r="L107" s="519">
        <f>'CHAM CONG'!J105</f>
        <v>0</v>
      </c>
      <c r="M107" s="519" t="str">
        <f>'CHAM CONG'!K105</f>
        <v>x</v>
      </c>
      <c r="N107" s="519" t="str">
        <f>'CHAM CONG'!L105</f>
        <v>x</v>
      </c>
      <c r="O107" s="519" t="str">
        <f>'CHAM CONG'!M105</f>
        <v>x</v>
      </c>
      <c r="P107" s="519" t="str">
        <f>'CHAM CONG'!N105</f>
        <v>x</v>
      </c>
      <c r="Q107" s="519" t="str">
        <f>'CHAM CONG'!O105</f>
        <v>x</v>
      </c>
      <c r="R107" s="519" t="str">
        <f>'CHAM CONG'!P105</f>
        <v>x</v>
      </c>
      <c r="S107" s="519" t="str">
        <f>'CHAM CONG'!Q105</f>
        <v>x</v>
      </c>
      <c r="T107" s="519" t="str">
        <f>'CHAM CONG'!R105</f>
        <v>x</v>
      </c>
      <c r="U107" s="519" t="str">
        <f>'CHAM CONG'!S105</f>
        <v>x</v>
      </c>
      <c r="V107" s="519" t="str">
        <f>'CHAM CONG'!T105</f>
        <v>x</v>
      </c>
      <c r="W107" s="519" t="str">
        <f>'CHAM CONG'!U105</f>
        <v>x</v>
      </c>
      <c r="X107" s="519"/>
      <c r="Y107" s="519"/>
      <c r="Z107" s="738">
        <f t="shared" si="24"/>
        <v>14</v>
      </c>
      <c r="AA107" s="580">
        <f t="shared" si="25"/>
        <v>0</v>
      </c>
      <c r="AB107" s="580">
        <f t="shared" si="26"/>
        <v>224000</v>
      </c>
      <c r="AC107" s="580">
        <f>'CHAM CONG'!V105</f>
        <v>0</v>
      </c>
      <c r="AD107" s="580" t="str">
        <f>'CHAM CONG'!W105</f>
        <v>x</v>
      </c>
      <c r="AE107" s="580">
        <f>'CHAM CONG'!X105</f>
        <v>0</v>
      </c>
      <c r="AF107" s="738">
        <f t="shared" si="27"/>
        <v>1</v>
      </c>
      <c r="AG107" s="580">
        <f t="shared" si="28"/>
        <v>17000</v>
      </c>
      <c r="AH107" s="580">
        <f t="shared" si="38"/>
        <v>14</v>
      </c>
      <c r="AI107" s="580">
        <f t="shared" si="29"/>
        <v>14000</v>
      </c>
      <c r="AJ107" s="580">
        <f t="shared" si="30"/>
        <v>255000</v>
      </c>
      <c r="AK107" s="429">
        <f>'SAN LUONG'!AF106</f>
        <v>294</v>
      </c>
      <c r="AL107" s="429">
        <f>'SAN LUONG'!AG106</f>
        <v>679</v>
      </c>
      <c r="AM107" s="429">
        <f>'SAN LUONG'!AH106</f>
        <v>353</v>
      </c>
      <c r="AN107" s="429">
        <f>'SAN LUONG'!AI106</f>
        <v>280</v>
      </c>
      <c r="AO107" s="746"/>
      <c r="AP107" s="746">
        <f t="shared" si="31"/>
        <v>0</v>
      </c>
      <c r="AQ107" s="746"/>
      <c r="AR107" s="746">
        <f t="shared" si="39"/>
        <v>0</v>
      </c>
      <c r="AS107" s="746">
        <f t="shared" si="21"/>
        <v>1606</v>
      </c>
      <c r="AT107" s="746">
        <f t="shared" si="32"/>
        <v>321521</v>
      </c>
      <c r="AU107" s="747">
        <f>'SAN LUONG'!AU106</f>
        <v>0</v>
      </c>
      <c r="AV107" s="748">
        <f t="shared" si="33"/>
        <v>0</v>
      </c>
      <c r="AW107" s="757">
        <f t="shared" si="34"/>
        <v>0</v>
      </c>
      <c r="AX107" s="758">
        <f t="shared" si="35"/>
        <v>576521</v>
      </c>
      <c r="AY107" s="759"/>
      <c r="AZ107" s="759"/>
      <c r="BA107" s="759"/>
      <c r="BB107" s="760">
        <f t="shared" si="36"/>
        <v>576521</v>
      </c>
      <c r="BC107" s="763"/>
      <c r="BD107" s="639">
        <f t="shared" si="37"/>
        <v>18.05</v>
      </c>
      <c r="BE107" s="768"/>
      <c r="BF107" s="769"/>
    </row>
    <row r="108" spans="1:58" s="725" customFormat="1" ht="35.4" customHeight="1">
      <c r="A108" s="503">
        <v>99</v>
      </c>
      <c r="B108" s="504">
        <v>5</v>
      </c>
      <c r="C108" s="504">
        <v>188</v>
      </c>
      <c r="D108" s="728"/>
      <c r="E108" s="728"/>
      <c r="F108" s="728"/>
      <c r="G108" s="728" t="str">
        <f>'Tên Tháng 1'!E102</f>
        <v>ទេព មឿន</v>
      </c>
      <c r="H108" s="728" t="str">
        <f>'Tên Tháng 1'!F102</f>
        <v>TEP MOEUN</v>
      </c>
      <c r="I108" s="519" t="str">
        <f>'CHAM CONG'!G106</f>
        <v>x</v>
      </c>
      <c r="J108" s="519" t="str">
        <f>'CHAM CONG'!H106</f>
        <v>x</v>
      </c>
      <c r="K108" s="519" t="str">
        <f>'CHAM CONG'!I106</f>
        <v>x</v>
      </c>
      <c r="L108" s="519" t="str">
        <f>'CHAM CONG'!J106</f>
        <v>x</v>
      </c>
      <c r="M108" s="519" t="str">
        <f>'CHAM CONG'!K106</f>
        <v>x</v>
      </c>
      <c r="N108" s="519">
        <f>'CHAM CONG'!L106</f>
        <v>0</v>
      </c>
      <c r="O108" s="519" t="str">
        <f>'CHAM CONG'!M106</f>
        <v>x</v>
      </c>
      <c r="P108" s="519" t="str">
        <f>'CHAM CONG'!N106</f>
        <v>x</v>
      </c>
      <c r="Q108" s="519" t="str">
        <f>'CHAM CONG'!O106</f>
        <v>x</v>
      </c>
      <c r="R108" s="519" t="str">
        <f>'CHAM CONG'!P106</f>
        <v>x</v>
      </c>
      <c r="S108" s="519" t="str">
        <f>'CHAM CONG'!Q106</f>
        <v>x</v>
      </c>
      <c r="T108" s="519" t="str">
        <f>'CHAM CONG'!R106</f>
        <v>x</v>
      </c>
      <c r="U108" s="519" t="str">
        <f>'CHAM CONG'!S106</f>
        <v>x</v>
      </c>
      <c r="V108" s="519" t="str">
        <f>'CHAM CONG'!T106</f>
        <v>x</v>
      </c>
      <c r="W108" s="519" t="str">
        <f>'CHAM CONG'!U106</f>
        <v>x</v>
      </c>
      <c r="X108" s="519"/>
      <c r="Y108" s="519"/>
      <c r="Z108" s="738">
        <f t="shared" si="24"/>
        <v>14</v>
      </c>
      <c r="AA108" s="580">
        <f t="shared" si="25"/>
        <v>0</v>
      </c>
      <c r="AB108" s="580">
        <f t="shared" si="26"/>
        <v>224000</v>
      </c>
      <c r="AC108" s="580">
        <f>'CHAM CONG'!V106</f>
        <v>0</v>
      </c>
      <c r="AD108" s="580" t="str">
        <f>'CHAM CONG'!W106</f>
        <v>x</v>
      </c>
      <c r="AE108" s="580">
        <f>'CHAM CONG'!X106</f>
        <v>0</v>
      </c>
      <c r="AF108" s="738">
        <f t="shared" si="27"/>
        <v>1</v>
      </c>
      <c r="AG108" s="580">
        <f t="shared" si="28"/>
        <v>17000</v>
      </c>
      <c r="AH108" s="580">
        <f t="shared" si="38"/>
        <v>14</v>
      </c>
      <c r="AI108" s="580">
        <f t="shared" si="29"/>
        <v>14000</v>
      </c>
      <c r="AJ108" s="580">
        <f t="shared" si="30"/>
        <v>255000</v>
      </c>
      <c r="AK108" s="429">
        <f>'SAN LUONG'!AF107</f>
        <v>176</v>
      </c>
      <c r="AL108" s="429">
        <f>'SAN LUONG'!AG107</f>
        <v>376</v>
      </c>
      <c r="AM108" s="429">
        <f>'SAN LUONG'!AH107</f>
        <v>537</v>
      </c>
      <c r="AN108" s="429">
        <f>'SAN LUONG'!AI107</f>
        <v>309</v>
      </c>
      <c r="AO108" s="746"/>
      <c r="AP108" s="746">
        <f t="shared" si="31"/>
        <v>0</v>
      </c>
      <c r="AQ108" s="746"/>
      <c r="AR108" s="746">
        <f t="shared" si="39"/>
        <v>0</v>
      </c>
      <c r="AS108" s="746">
        <f t="shared" si="21"/>
        <v>1398</v>
      </c>
      <c r="AT108" s="746">
        <f t="shared" si="32"/>
        <v>279880</v>
      </c>
      <c r="AU108" s="747">
        <f>'SAN LUONG'!AU107</f>
        <v>0</v>
      </c>
      <c r="AV108" s="748">
        <f t="shared" si="33"/>
        <v>0</v>
      </c>
      <c r="AW108" s="757">
        <f t="shared" si="34"/>
        <v>0</v>
      </c>
      <c r="AX108" s="758">
        <f t="shared" si="35"/>
        <v>534880</v>
      </c>
      <c r="AY108" s="759"/>
      <c r="AZ108" s="759"/>
      <c r="BA108" s="759"/>
      <c r="BB108" s="760">
        <f t="shared" si="36"/>
        <v>534880</v>
      </c>
      <c r="BC108" s="763"/>
      <c r="BD108" s="639">
        <f t="shared" si="37"/>
        <v>16.739999999999998</v>
      </c>
      <c r="BE108" s="768"/>
      <c r="BF108" s="769"/>
    </row>
    <row r="109" spans="1:58" s="725" customFormat="1" ht="32.4" customHeight="1">
      <c r="A109" s="503">
        <v>100</v>
      </c>
      <c r="B109" s="504">
        <v>5</v>
      </c>
      <c r="C109" s="504">
        <v>189</v>
      </c>
      <c r="D109" s="728"/>
      <c r="E109" s="728"/>
      <c r="F109" s="728"/>
      <c r="G109" s="728" t="str">
        <f>'Tên Tháng 1'!E103</f>
        <v>ប៊ូ បឿន</v>
      </c>
      <c r="H109" s="728" t="str">
        <f>'Tên Tháng 1'!F103</f>
        <v>BOU BOEUN</v>
      </c>
      <c r="I109" s="519" t="str">
        <f>'CHAM CONG'!G107</f>
        <v>x</v>
      </c>
      <c r="J109" s="519" t="str">
        <f>'CHAM CONG'!H107</f>
        <v>x</v>
      </c>
      <c r="K109" s="519" t="str">
        <f>'CHAM CONG'!I107</f>
        <v>x</v>
      </c>
      <c r="L109" s="519">
        <f>'CHAM CONG'!J107</f>
        <v>0</v>
      </c>
      <c r="M109" s="519" t="str">
        <f>'CHAM CONG'!K107</f>
        <v>x</v>
      </c>
      <c r="N109" s="519" t="str">
        <f>'CHAM CONG'!L107</f>
        <v>x</v>
      </c>
      <c r="O109" s="519" t="str">
        <f>'CHAM CONG'!M107</f>
        <v>x</v>
      </c>
      <c r="P109" s="519" t="str">
        <f>'CHAM CONG'!N107</f>
        <v>x</v>
      </c>
      <c r="Q109" s="519" t="str">
        <f>'CHAM CONG'!O107</f>
        <v>x</v>
      </c>
      <c r="R109" s="519" t="str">
        <f>'CHAM CONG'!P107</f>
        <v>x</v>
      </c>
      <c r="S109" s="519" t="str">
        <f>'CHAM CONG'!Q107</f>
        <v>x</v>
      </c>
      <c r="T109" s="519" t="str">
        <f>'CHAM CONG'!R107</f>
        <v>x</v>
      </c>
      <c r="U109" s="519" t="str">
        <f>'CHAM CONG'!S107</f>
        <v>x</v>
      </c>
      <c r="V109" s="519" t="str">
        <f>'CHAM CONG'!T107</f>
        <v>x</v>
      </c>
      <c r="W109" s="519" t="str">
        <f>'CHAM CONG'!U107</f>
        <v>x</v>
      </c>
      <c r="X109" s="519"/>
      <c r="Y109" s="519"/>
      <c r="Z109" s="738">
        <f t="shared" si="24"/>
        <v>14</v>
      </c>
      <c r="AA109" s="580">
        <f t="shared" si="25"/>
        <v>0</v>
      </c>
      <c r="AB109" s="580">
        <f t="shared" si="26"/>
        <v>224000</v>
      </c>
      <c r="AC109" s="580">
        <f>'CHAM CONG'!V107</f>
        <v>0</v>
      </c>
      <c r="AD109" s="580" t="str">
        <f>'CHAM CONG'!W107</f>
        <v>x</v>
      </c>
      <c r="AE109" s="580">
        <f>'CHAM CONG'!X107</f>
        <v>0</v>
      </c>
      <c r="AF109" s="738">
        <f t="shared" si="27"/>
        <v>1</v>
      </c>
      <c r="AG109" s="580">
        <f t="shared" si="28"/>
        <v>17000</v>
      </c>
      <c r="AH109" s="580">
        <f t="shared" si="38"/>
        <v>14</v>
      </c>
      <c r="AI109" s="580">
        <f t="shared" si="29"/>
        <v>14000</v>
      </c>
      <c r="AJ109" s="580">
        <f t="shared" si="30"/>
        <v>255000</v>
      </c>
      <c r="AK109" s="429">
        <f>'SAN LUONG'!AF108</f>
        <v>201</v>
      </c>
      <c r="AL109" s="429">
        <f>'SAN LUONG'!AG108</f>
        <v>384</v>
      </c>
      <c r="AM109" s="429">
        <f>'SAN LUONG'!AH108</f>
        <v>188</v>
      </c>
      <c r="AN109" s="429">
        <f>'SAN LUONG'!AI108</f>
        <v>251</v>
      </c>
      <c r="AO109" s="746"/>
      <c r="AP109" s="746">
        <f t="shared" si="31"/>
        <v>0</v>
      </c>
      <c r="AQ109" s="746"/>
      <c r="AR109" s="746">
        <f t="shared" si="39"/>
        <v>0</v>
      </c>
      <c r="AS109" s="746">
        <f t="shared" si="21"/>
        <v>1024</v>
      </c>
      <c r="AT109" s="746">
        <f t="shared" si="32"/>
        <v>205005</v>
      </c>
      <c r="AU109" s="747">
        <f>'SAN LUONG'!AU108</f>
        <v>0</v>
      </c>
      <c r="AV109" s="748">
        <f t="shared" si="33"/>
        <v>0</v>
      </c>
      <c r="AW109" s="757">
        <f t="shared" si="34"/>
        <v>0</v>
      </c>
      <c r="AX109" s="758">
        <f t="shared" si="35"/>
        <v>460005</v>
      </c>
      <c r="AY109" s="759"/>
      <c r="AZ109" s="759"/>
      <c r="BA109" s="759"/>
      <c r="BB109" s="760">
        <f t="shared" si="36"/>
        <v>460005</v>
      </c>
      <c r="BC109" s="763"/>
      <c r="BD109" s="639">
        <f t="shared" si="37"/>
        <v>14.4</v>
      </c>
      <c r="BE109" s="768"/>
      <c r="BF109" s="769"/>
    </row>
    <row r="110" spans="1:58" s="725" customFormat="1" ht="32.4" customHeight="1">
      <c r="A110" s="503">
        <v>101</v>
      </c>
      <c r="B110" s="504">
        <v>5</v>
      </c>
      <c r="C110" s="504">
        <v>190</v>
      </c>
      <c r="D110" s="728"/>
      <c r="E110" s="728"/>
      <c r="F110" s="728"/>
      <c r="G110" s="728" t="str">
        <f>'Tên Tháng 1'!E104</f>
        <v>ញ៉ីវ ហាន</v>
      </c>
      <c r="H110" s="728" t="str">
        <f>'Tên Tháng 1'!F104</f>
        <v>NHIV HAN</v>
      </c>
      <c r="I110" s="519" t="str">
        <f>'CHAM CONG'!G108</f>
        <v>x</v>
      </c>
      <c r="J110" s="519" t="str">
        <f>'CHAM CONG'!H108</f>
        <v>x</v>
      </c>
      <c r="K110" s="519" t="str">
        <f>'CHAM CONG'!I108</f>
        <v>x</v>
      </c>
      <c r="L110" s="519">
        <f>'CHAM CONG'!J108</f>
        <v>0</v>
      </c>
      <c r="M110" s="519" t="str">
        <f>'CHAM CONG'!K108</f>
        <v>x</v>
      </c>
      <c r="N110" s="519" t="str">
        <f>'CHAM CONG'!L108</f>
        <v>x</v>
      </c>
      <c r="O110" s="519" t="str">
        <f>'CHAM CONG'!M108</f>
        <v>x</v>
      </c>
      <c r="P110" s="519" t="str">
        <f>'CHAM CONG'!N108</f>
        <v>x</v>
      </c>
      <c r="Q110" s="519" t="str">
        <f>'CHAM CONG'!O108</f>
        <v>x</v>
      </c>
      <c r="R110" s="519" t="str">
        <f>'CHAM CONG'!P108</f>
        <v>x</v>
      </c>
      <c r="S110" s="519" t="str">
        <f>'CHAM CONG'!Q108</f>
        <v>x</v>
      </c>
      <c r="T110" s="519" t="str">
        <f>'CHAM CONG'!R108</f>
        <v>x</v>
      </c>
      <c r="U110" s="519" t="str">
        <f>'CHAM CONG'!S108</f>
        <v>x</v>
      </c>
      <c r="V110" s="519" t="str">
        <f>'CHAM CONG'!T108</f>
        <v>x</v>
      </c>
      <c r="W110" s="519" t="str">
        <f>'CHAM CONG'!U108</f>
        <v>x</v>
      </c>
      <c r="X110" s="519"/>
      <c r="Y110" s="519"/>
      <c r="Z110" s="738">
        <f t="shared" si="24"/>
        <v>14</v>
      </c>
      <c r="AA110" s="580">
        <f t="shared" si="25"/>
        <v>0</v>
      </c>
      <c r="AB110" s="580">
        <f t="shared" si="26"/>
        <v>224000</v>
      </c>
      <c r="AC110" s="580">
        <f>'CHAM CONG'!V108</f>
        <v>0</v>
      </c>
      <c r="AD110" s="580" t="str">
        <f>'CHAM CONG'!W108</f>
        <v>x</v>
      </c>
      <c r="AE110" s="580">
        <f>'CHAM CONG'!X108</f>
        <v>0</v>
      </c>
      <c r="AF110" s="738">
        <f t="shared" si="27"/>
        <v>1</v>
      </c>
      <c r="AG110" s="580">
        <f t="shared" si="28"/>
        <v>17000</v>
      </c>
      <c r="AH110" s="580">
        <f t="shared" si="38"/>
        <v>14</v>
      </c>
      <c r="AI110" s="580">
        <f t="shared" si="29"/>
        <v>14000</v>
      </c>
      <c r="AJ110" s="580">
        <f t="shared" si="30"/>
        <v>255000</v>
      </c>
      <c r="AK110" s="429">
        <f>'SAN LUONG'!AF109</f>
        <v>334</v>
      </c>
      <c r="AL110" s="429">
        <f>'SAN LUONG'!AG109</f>
        <v>563</v>
      </c>
      <c r="AM110" s="429">
        <f>'SAN LUONG'!AH109</f>
        <v>281</v>
      </c>
      <c r="AN110" s="429">
        <f>'SAN LUONG'!AI109</f>
        <v>294</v>
      </c>
      <c r="AO110" s="746"/>
      <c r="AP110" s="746">
        <f t="shared" si="31"/>
        <v>0</v>
      </c>
      <c r="AQ110" s="746"/>
      <c r="AR110" s="746">
        <f t="shared" si="39"/>
        <v>0</v>
      </c>
      <c r="AS110" s="746">
        <f t="shared" si="21"/>
        <v>1472</v>
      </c>
      <c r="AT110" s="746">
        <f t="shared" si="32"/>
        <v>294694</v>
      </c>
      <c r="AU110" s="747">
        <f>'SAN LUONG'!AU109</f>
        <v>0</v>
      </c>
      <c r="AV110" s="748">
        <f t="shared" si="33"/>
        <v>0</v>
      </c>
      <c r="AW110" s="757">
        <f t="shared" si="34"/>
        <v>0</v>
      </c>
      <c r="AX110" s="758">
        <f t="shared" si="35"/>
        <v>549694</v>
      </c>
      <c r="AY110" s="759"/>
      <c r="AZ110" s="759"/>
      <c r="BA110" s="759"/>
      <c r="BB110" s="760">
        <f t="shared" si="36"/>
        <v>549694</v>
      </c>
      <c r="BC110" s="763"/>
      <c r="BD110" s="639">
        <f t="shared" si="37"/>
        <v>17.21</v>
      </c>
      <c r="BE110" s="768"/>
      <c r="BF110" s="769"/>
    </row>
    <row r="111" spans="1:58" s="725" customFormat="1" ht="32.4" customHeight="1">
      <c r="A111" s="503">
        <v>102</v>
      </c>
      <c r="B111" s="504">
        <v>5</v>
      </c>
      <c r="C111" s="504">
        <v>191</v>
      </c>
      <c r="D111" s="728"/>
      <c r="E111" s="728"/>
      <c r="F111" s="728"/>
      <c r="G111" s="728" t="str">
        <f>'Tên Tháng 1'!E105</f>
        <v>ម៉ៅ អ៊ីម</v>
      </c>
      <c r="H111" s="728" t="str">
        <f>'Tên Tháng 1'!F105</f>
        <v>MAO IM</v>
      </c>
      <c r="I111" s="519" t="str">
        <f>'CHAM CONG'!G109</f>
        <v>x</v>
      </c>
      <c r="J111" s="519" t="str">
        <f>'CHAM CONG'!H109</f>
        <v>x</v>
      </c>
      <c r="K111" s="519" t="str">
        <f>'CHAM CONG'!I109</f>
        <v>x</v>
      </c>
      <c r="L111" s="519">
        <f>'CHAM CONG'!J109</f>
        <v>0</v>
      </c>
      <c r="M111" s="519" t="str">
        <f>'CHAM CONG'!K109</f>
        <v>x</v>
      </c>
      <c r="N111" s="519" t="str">
        <f>'CHAM CONG'!L109</f>
        <v>x</v>
      </c>
      <c r="O111" s="519" t="str">
        <f>'CHAM CONG'!M109</f>
        <v>x</v>
      </c>
      <c r="P111" s="519" t="str">
        <f>'CHAM CONG'!N109</f>
        <v>x</v>
      </c>
      <c r="Q111" s="519" t="str">
        <f>'CHAM CONG'!O109</f>
        <v>x</v>
      </c>
      <c r="R111" s="519" t="str">
        <f>'CHAM CONG'!P109</f>
        <v>x</v>
      </c>
      <c r="S111" s="519" t="str">
        <f>'CHAM CONG'!Q109</f>
        <v>x</v>
      </c>
      <c r="T111" s="519" t="str">
        <f>'CHAM CONG'!R109</f>
        <v>x</v>
      </c>
      <c r="U111" s="519" t="str">
        <f>'CHAM CONG'!S109</f>
        <v>x</v>
      </c>
      <c r="V111" s="519" t="str">
        <f>'CHAM CONG'!T109</f>
        <v>x</v>
      </c>
      <c r="W111" s="519" t="str">
        <f>'CHAM CONG'!U109</f>
        <v>x</v>
      </c>
      <c r="X111" s="519"/>
      <c r="Y111" s="519"/>
      <c r="Z111" s="738">
        <f t="shared" si="24"/>
        <v>14</v>
      </c>
      <c r="AA111" s="580">
        <f t="shared" si="25"/>
        <v>0</v>
      </c>
      <c r="AB111" s="580">
        <f t="shared" si="26"/>
        <v>224000</v>
      </c>
      <c r="AC111" s="580">
        <f>'CHAM CONG'!V109</f>
        <v>0</v>
      </c>
      <c r="AD111" s="580" t="str">
        <f>'CHAM CONG'!W109</f>
        <v>x</v>
      </c>
      <c r="AE111" s="580">
        <f>'CHAM CONG'!X109</f>
        <v>0</v>
      </c>
      <c r="AF111" s="738">
        <f t="shared" si="27"/>
        <v>1</v>
      </c>
      <c r="AG111" s="580">
        <f t="shared" si="28"/>
        <v>17000</v>
      </c>
      <c r="AH111" s="580">
        <f t="shared" si="38"/>
        <v>14</v>
      </c>
      <c r="AI111" s="580">
        <f t="shared" si="29"/>
        <v>14000</v>
      </c>
      <c r="AJ111" s="580">
        <f t="shared" si="30"/>
        <v>255000</v>
      </c>
      <c r="AK111" s="429">
        <f>'SAN LUONG'!AF110</f>
        <v>327</v>
      </c>
      <c r="AL111" s="429">
        <f>'SAN LUONG'!AG110</f>
        <v>540</v>
      </c>
      <c r="AM111" s="429">
        <f>'SAN LUONG'!AH110</f>
        <v>290</v>
      </c>
      <c r="AN111" s="429">
        <f>'SAN LUONG'!AI110</f>
        <v>275</v>
      </c>
      <c r="AO111" s="746"/>
      <c r="AP111" s="746">
        <f t="shared" si="31"/>
        <v>0</v>
      </c>
      <c r="AQ111" s="746"/>
      <c r="AR111" s="746">
        <f t="shared" si="39"/>
        <v>0</v>
      </c>
      <c r="AS111" s="746">
        <f t="shared" si="21"/>
        <v>1432</v>
      </c>
      <c r="AT111" s="746">
        <f t="shared" si="32"/>
        <v>286686</v>
      </c>
      <c r="AU111" s="747">
        <f>'SAN LUONG'!AU110</f>
        <v>0</v>
      </c>
      <c r="AV111" s="748">
        <f t="shared" si="33"/>
        <v>0</v>
      </c>
      <c r="AW111" s="757">
        <f t="shared" si="34"/>
        <v>0</v>
      </c>
      <c r="AX111" s="758">
        <f t="shared" si="35"/>
        <v>541686</v>
      </c>
      <c r="AY111" s="759"/>
      <c r="AZ111" s="759"/>
      <c r="BA111" s="759"/>
      <c r="BB111" s="760">
        <f t="shared" si="36"/>
        <v>541686</v>
      </c>
      <c r="BC111" s="763"/>
      <c r="BD111" s="639">
        <f t="shared" si="37"/>
        <v>16.96</v>
      </c>
      <c r="BE111" s="768"/>
      <c r="BF111" s="769"/>
    </row>
    <row r="112" spans="1:58" s="725" customFormat="1" ht="32.4" customHeight="1">
      <c r="A112" s="503">
        <v>103</v>
      </c>
      <c r="B112" s="504">
        <v>5</v>
      </c>
      <c r="C112" s="504">
        <v>192</v>
      </c>
      <c r="D112" s="728"/>
      <c r="E112" s="728"/>
      <c r="F112" s="728"/>
      <c r="G112" s="728" t="str">
        <f>'Tên Tháng 1'!E106</f>
        <v>អ៊ុង សុភ័ក្រ</v>
      </c>
      <c r="H112" s="728" t="str">
        <f>'Tên Tháng 1'!F106</f>
        <v>UNG SOPHEAK</v>
      </c>
      <c r="I112" s="519">
        <f>'CHAM CONG'!G110</f>
        <v>0</v>
      </c>
      <c r="J112" s="519" t="str">
        <f>'CHAM CONG'!H110</f>
        <v>x</v>
      </c>
      <c r="K112" s="519" t="str">
        <f>'CHAM CONG'!I110</f>
        <v>x</v>
      </c>
      <c r="L112" s="519" t="str">
        <f>'CHAM CONG'!J110</f>
        <v>x</v>
      </c>
      <c r="M112" s="519" t="str">
        <f>'CHAM CONG'!K110</f>
        <v>x</v>
      </c>
      <c r="N112" s="519" t="str">
        <f>'CHAM CONG'!L110</f>
        <v>x</v>
      </c>
      <c r="O112" s="519" t="str">
        <f>'CHAM CONG'!M110</f>
        <v>x</v>
      </c>
      <c r="P112" s="519" t="str">
        <f>'CHAM CONG'!N110</f>
        <v>x</v>
      </c>
      <c r="Q112" s="519" t="str">
        <f>'CHAM CONG'!O110</f>
        <v>x</v>
      </c>
      <c r="R112" s="519" t="str">
        <f>'CHAM CONG'!P110</f>
        <v>x</v>
      </c>
      <c r="S112" s="519" t="str">
        <f>'CHAM CONG'!Q110</f>
        <v>x</v>
      </c>
      <c r="T112" s="519" t="str">
        <f>'CHAM CONG'!R110</f>
        <v>x</v>
      </c>
      <c r="U112" s="519" t="str">
        <f>'CHAM CONG'!S110</f>
        <v>x</v>
      </c>
      <c r="V112" s="519" t="str">
        <f>'CHAM CONG'!T110</f>
        <v>x</v>
      </c>
      <c r="W112" s="519" t="str">
        <f>'CHAM CONG'!U110</f>
        <v>x</v>
      </c>
      <c r="X112" s="519"/>
      <c r="Y112" s="519"/>
      <c r="Z112" s="738">
        <f t="shared" si="24"/>
        <v>14</v>
      </c>
      <c r="AA112" s="580">
        <f t="shared" si="25"/>
        <v>0</v>
      </c>
      <c r="AB112" s="580">
        <f t="shared" si="26"/>
        <v>224000</v>
      </c>
      <c r="AC112" s="580">
        <f>'CHAM CONG'!V110</f>
        <v>0</v>
      </c>
      <c r="AD112" s="580" t="str">
        <f>'CHAM CONG'!W110</f>
        <v>x</v>
      </c>
      <c r="AE112" s="580">
        <f>'CHAM CONG'!X110</f>
        <v>0</v>
      </c>
      <c r="AF112" s="738">
        <f t="shared" si="27"/>
        <v>1</v>
      </c>
      <c r="AG112" s="580">
        <f t="shared" si="28"/>
        <v>17000</v>
      </c>
      <c r="AH112" s="580">
        <f t="shared" si="38"/>
        <v>14</v>
      </c>
      <c r="AI112" s="580">
        <f t="shared" si="29"/>
        <v>14000</v>
      </c>
      <c r="AJ112" s="580">
        <f t="shared" si="30"/>
        <v>255000</v>
      </c>
      <c r="AK112" s="429">
        <f>'SAN LUONG'!AF111</f>
        <v>329</v>
      </c>
      <c r="AL112" s="429">
        <f>'SAN LUONG'!AG111</f>
        <v>433</v>
      </c>
      <c r="AM112" s="429">
        <f>'SAN LUONG'!AH111</f>
        <v>425</v>
      </c>
      <c r="AN112" s="429">
        <f>'SAN LUONG'!AI111</f>
        <v>292</v>
      </c>
      <c r="AO112" s="746"/>
      <c r="AP112" s="746">
        <f t="shared" si="31"/>
        <v>0</v>
      </c>
      <c r="AQ112" s="746"/>
      <c r="AR112" s="746">
        <f t="shared" si="39"/>
        <v>0</v>
      </c>
      <c r="AS112" s="746">
        <f t="shared" si="21"/>
        <v>1479</v>
      </c>
      <c r="AT112" s="746">
        <f t="shared" si="32"/>
        <v>296096</v>
      </c>
      <c r="AU112" s="747">
        <f>'SAN LUONG'!AU111</f>
        <v>0</v>
      </c>
      <c r="AV112" s="748">
        <f t="shared" si="33"/>
        <v>0</v>
      </c>
      <c r="AW112" s="757">
        <f t="shared" si="34"/>
        <v>0</v>
      </c>
      <c r="AX112" s="758">
        <f t="shared" si="35"/>
        <v>551096</v>
      </c>
      <c r="AY112" s="759"/>
      <c r="AZ112" s="759"/>
      <c r="BA112" s="759"/>
      <c r="BB112" s="760">
        <f t="shared" si="36"/>
        <v>551096</v>
      </c>
      <c r="BC112" s="763"/>
      <c r="BD112" s="639">
        <f t="shared" si="37"/>
        <v>17.25</v>
      </c>
      <c r="BE112" s="768"/>
      <c r="BF112" s="769"/>
    </row>
    <row r="113" spans="1:58" s="725" customFormat="1" ht="32.4" customHeight="1">
      <c r="A113" s="503">
        <v>104</v>
      </c>
      <c r="B113" s="504">
        <v>5</v>
      </c>
      <c r="C113" s="504">
        <v>193</v>
      </c>
      <c r="D113" s="728"/>
      <c r="E113" s="728"/>
      <c r="F113" s="728"/>
      <c r="G113" s="728" t="str">
        <f>'Tên Tháng 1'!E107</f>
        <v>លាង ចន្ធី</v>
      </c>
      <c r="H113" s="728" t="str">
        <f>'Tên Tháng 1'!F107</f>
        <v>LEANG CHATHY</v>
      </c>
      <c r="I113" s="519">
        <f>'CHAM CONG'!G111</f>
        <v>0</v>
      </c>
      <c r="J113" s="519" t="str">
        <f>'CHAM CONG'!H111</f>
        <v>x</v>
      </c>
      <c r="K113" s="519" t="str">
        <f>'CHAM CONG'!I111</f>
        <v>x</v>
      </c>
      <c r="L113" s="519" t="str">
        <f>'CHAM CONG'!J111</f>
        <v>x</v>
      </c>
      <c r="M113" s="519" t="str">
        <f>'CHAM CONG'!K111</f>
        <v>x</v>
      </c>
      <c r="N113" s="519" t="str">
        <f>'CHAM CONG'!L111</f>
        <v>x</v>
      </c>
      <c r="O113" s="519" t="str">
        <f>'CHAM CONG'!M111</f>
        <v>x</v>
      </c>
      <c r="P113" s="519" t="str">
        <f>'CHAM CONG'!N111</f>
        <v>x</v>
      </c>
      <c r="Q113" s="519" t="str">
        <f>'CHAM CONG'!O111</f>
        <v>x</v>
      </c>
      <c r="R113" s="519" t="str">
        <f>'CHAM CONG'!P111</f>
        <v>x</v>
      </c>
      <c r="S113" s="519" t="str">
        <f>'CHAM CONG'!Q111</f>
        <v>x</v>
      </c>
      <c r="T113" s="519" t="str">
        <f>'CHAM CONG'!R111</f>
        <v>x</v>
      </c>
      <c r="U113" s="519" t="str">
        <f>'CHAM CONG'!S111</f>
        <v>x</v>
      </c>
      <c r="V113" s="519" t="str">
        <f>'CHAM CONG'!T111</f>
        <v>x</v>
      </c>
      <c r="W113" s="519" t="str">
        <f>'CHAM CONG'!U111</f>
        <v>x</v>
      </c>
      <c r="X113" s="519"/>
      <c r="Y113" s="519"/>
      <c r="Z113" s="738">
        <f t="shared" si="24"/>
        <v>14</v>
      </c>
      <c r="AA113" s="580">
        <f t="shared" si="25"/>
        <v>0</v>
      </c>
      <c r="AB113" s="580">
        <f t="shared" si="26"/>
        <v>224000</v>
      </c>
      <c r="AC113" s="580">
        <f>'CHAM CONG'!V111</f>
        <v>0</v>
      </c>
      <c r="AD113" s="580" t="str">
        <f>'CHAM CONG'!W111</f>
        <v>x</v>
      </c>
      <c r="AE113" s="580">
        <f>'CHAM CONG'!X111</f>
        <v>0</v>
      </c>
      <c r="AF113" s="738">
        <f t="shared" si="27"/>
        <v>1</v>
      </c>
      <c r="AG113" s="580">
        <f t="shared" si="28"/>
        <v>17000</v>
      </c>
      <c r="AH113" s="580">
        <f t="shared" si="38"/>
        <v>14</v>
      </c>
      <c r="AI113" s="580">
        <f t="shared" si="29"/>
        <v>14000</v>
      </c>
      <c r="AJ113" s="580">
        <f t="shared" si="30"/>
        <v>255000</v>
      </c>
      <c r="AK113" s="429">
        <f>'SAN LUONG'!AF112</f>
        <v>315</v>
      </c>
      <c r="AL113" s="429">
        <f>'SAN LUONG'!AG112</f>
        <v>439</v>
      </c>
      <c r="AM113" s="429">
        <f>'SAN LUONG'!AH112</f>
        <v>353</v>
      </c>
      <c r="AN113" s="429">
        <f>'SAN LUONG'!AI112</f>
        <v>326</v>
      </c>
      <c r="AO113" s="746"/>
      <c r="AP113" s="746">
        <f t="shared" si="31"/>
        <v>0</v>
      </c>
      <c r="AQ113" s="746"/>
      <c r="AR113" s="746">
        <f t="shared" si="39"/>
        <v>0</v>
      </c>
      <c r="AS113" s="746">
        <f t="shared" si="21"/>
        <v>1433</v>
      </c>
      <c r="AT113" s="746">
        <f t="shared" si="32"/>
        <v>286887</v>
      </c>
      <c r="AU113" s="747">
        <f>'SAN LUONG'!AU112</f>
        <v>0</v>
      </c>
      <c r="AV113" s="748">
        <f t="shared" si="33"/>
        <v>0</v>
      </c>
      <c r="AW113" s="757">
        <f t="shared" si="34"/>
        <v>0</v>
      </c>
      <c r="AX113" s="758">
        <f t="shared" si="35"/>
        <v>541887</v>
      </c>
      <c r="AY113" s="759"/>
      <c r="AZ113" s="759"/>
      <c r="BA113" s="759"/>
      <c r="BB113" s="760">
        <f t="shared" si="36"/>
        <v>541887</v>
      </c>
      <c r="BC113" s="763"/>
      <c r="BD113" s="639">
        <f t="shared" si="37"/>
        <v>16.96</v>
      </c>
      <c r="BE113" s="768"/>
      <c r="BF113" s="769"/>
    </row>
    <row r="114" spans="1:58" s="725" customFormat="1" ht="32.4" customHeight="1">
      <c r="A114" s="503">
        <v>105</v>
      </c>
      <c r="B114" s="504">
        <v>5</v>
      </c>
      <c r="C114" s="504">
        <v>194</v>
      </c>
      <c r="D114" s="728"/>
      <c r="E114" s="728"/>
      <c r="F114" s="728"/>
      <c r="G114" s="728" t="str">
        <f>'Tên Tháng 1'!E108</f>
        <v>ភូន ខេត</v>
      </c>
      <c r="H114" s="728" t="str">
        <f>'Tên Tháng 1'!F108</f>
        <v>PHOUN KHET</v>
      </c>
      <c r="I114" s="519" t="str">
        <f>'CHAM CONG'!G112</f>
        <v>x</v>
      </c>
      <c r="J114" s="519" t="str">
        <f>'CHAM CONG'!H112</f>
        <v>x</v>
      </c>
      <c r="K114" s="519" t="str">
        <f>'CHAM CONG'!I112</f>
        <v>x</v>
      </c>
      <c r="L114" s="519" t="str">
        <f>'CHAM CONG'!J112</f>
        <v>x</v>
      </c>
      <c r="M114" s="519" t="str">
        <f>'CHAM CONG'!K112</f>
        <v>x</v>
      </c>
      <c r="N114" s="519" t="str">
        <f>'CHAM CONG'!L112</f>
        <v>x</v>
      </c>
      <c r="O114" s="519" t="str">
        <f>'CHAM CONG'!M112</f>
        <v>x</v>
      </c>
      <c r="P114" s="519" t="str">
        <f>'CHAM CONG'!N112</f>
        <v>x</v>
      </c>
      <c r="Q114" s="519" t="str">
        <f>'CHAM CONG'!O112</f>
        <v>x</v>
      </c>
      <c r="R114" s="519" t="str">
        <f>'CHAM CONG'!P112</f>
        <v>x</v>
      </c>
      <c r="S114" s="519" t="str">
        <f>'CHAM CONG'!Q112</f>
        <v>x</v>
      </c>
      <c r="T114" s="519" t="str">
        <f>'CHAM CONG'!R112</f>
        <v>x</v>
      </c>
      <c r="U114" s="519" t="str">
        <f>'CHAM CONG'!S112</f>
        <v>x</v>
      </c>
      <c r="V114" s="519" t="str">
        <f>'CHAM CONG'!T112</f>
        <v>x</v>
      </c>
      <c r="W114" s="519" t="str">
        <f>'CHAM CONG'!U112</f>
        <v>x</v>
      </c>
      <c r="X114" s="519"/>
      <c r="Y114" s="519"/>
      <c r="Z114" s="738">
        <f t="shared" si="24"/>
        <v>15</v>
      </c>
      <c r="AA114" s="580">
        <f t="shared" si="25"/>
        <v>0</v>
      </c>
      <c r="AB114" s="580">
        <f t="shared" si="26"/>
        <v>240000</v>
      </c>
      <c r="AC114" s="580">
        <f>'CHAM CONG'!V112</f>
        <v>0</v>
      </c>
      <c r="AD114" s="580" t="str">
        <f>'CHAM CONG'!W112</f>
        <v>x</v>
      </c>
      <c r="AE114" s="580">
        <f>'CHAM CONG'!X112</f>
        <v>0</v>
      </c>
      <c r="AF114" s="738">
        <f t="shared" si="27"/>
        <v>1</v>
      </c>
      <c r="AG114" s="580">
        <f t="shared" si="28"/>
        <v>17000</v>
      </c>
      <c r="AH114" s="580">
        <f t="shared" si="38"/>
        <v>15</v>
      </c>
      <c r="AI114" s="580">
        <f t="shared" si="29"/>
        <v>15000</v>
      </c>
      <c r="AJ114" s="580">
        <f t="shared" si="30"/>
        <v>272000</v>
      </c>
      <c r="AK114" s="429">
        <f>'SAN LUONG'!AF113</f>
        <v>373</v>
      </c>
      <c r="AL114" s="429">
        <f>'SAN LUONG'!AG113</f>
        <v>477</v>
      </c>
      <c r="AM114" s="429">
        <f>'SAN LUONG'!AH113</f>
        <v>603</v>
      </c>
      <c r="AN114" s="429">
        <f>'SAN LUONG'!AI113</f>
        <v>401</v>
      </c>
      <c r="AO114" s="746"/>
      <c r="AP114" s="746">
        <f t="shared" si="31"/>
        <v>0</v>
      </c>
      <c r="AQ114" s="746"/>
      <c r="AR114" s="746">
        <f t="shared" si="39"/>
        <v>0</v>
      </c>
      <c r="AS114" s="746">
        <f t="shared" si="21"/>
        <v>1854</v>
      </c>
      <c r="AT114" s="746">
        <f t="shared" si="32"/>
        <v>371171</v>
      </c>
      <c r="AU114" s="747">
        <f>'SAN LUONG'!AU113</f>
        <v>0</v>
      </c>
      <c r="AV114" s="748">
        <f t="shared" si="33"/>
        <v>0</v>
      </c>
      <c r="AW114" s="757">
        <f t="shared" si="34"/>
        <v>0</v>
      </c>
      <c r="AX114" s="758">
        <f t="shared" si="35"/>
        <v>643171</v>
      </c>
      <c r="AY114" s="759"/>
      <c r="AZ114" s="759"/>
      <c r="BA114" s="759"/>
      <c r="BB114" s="760">
        <f t="shared" si="36"/>
        <v>643171</v>
      </c>
      <c r="BC114" s="763"/>
      <c r="BD114" s="639">
        <f t="shared" si="37"/>
        <v>20.13</v>
      </c>
      <c r="BE114" s="768"/>
      <c r="BF114" s="769"/>
    </row>
    <row r="115" spans="1:58" s="725" customFormat="1" ht="32.4" customHeight="1">
      <c r="A115" s="503">
        <v>106</v>
      </c>
      <c r="B115" s="504">
        <v>5</v>
      </c>
      <c r="C115" s="504">
        <v>195</v>
      </c>
      <c r="D115" s="728"/>
      <c r="E115" s="728"/>
      <c r="F115" s="728"/>
      <c r="G115" s="728" t="str">
        <f>'Tên Tháng 1'!E109</f>
        <v>ហ៊ាន់ គី</v>
      </c>
      <c r="H115" s="728" t="str">
        <f>'Tên Tháng 1'!F109</f>
        <v>HOINN KY</v>
      </c>
      <c r="I115" s="519" t="str">
        <f>'CHAM CONG'!G113</f>
        <v>x</v>
      </c>
      <c r="J115" s="519" t="str">
        <f>'CHAM CONG'!H113</f>
        <v>x</v>
      </c>
      <c r="K115" s="519" t="str">
        <f>'CHAM CONG'!I113</f>
        <v>x</v>
      </c>
      <c r="L115" s="519" t="str">
        <f>'CHAM CONG'!J113</f>
        <v>x</v>
      </c>
      <c r="M115" s="519" t="str">
        <f>'CHAM CONG'!K113</f>
        <v>x</v>
      </c>
      <c r="N115" s="519" t="str">
        <f>'CHAM CONG'!L113</f>
        <v>x</v>
      </c>
      <c r="O115" s="519" t="str">
        <f>'CHAM CONG'!M113</f>
        <v>x</v>
      </c>
      <c r="P115" s="519" t="str">
        <f>'CHAM CONG'!N113</f>
        <v>x</v>
      </c>
      <c r="Q115" s="519" t="str">
        <f>'CHAM CONG'!O113</f>
        <v>x</v>
      </c>
      <c r="R115" s="519" t="str">
        <f>'CHAM CONG'!P113</f>
        <v>x</v>
      </c>
      <c r="S115" s="519" t="str">
        <f>'CHAM CONG'!Q113</f>
        <v>x</v>
      </c>
      <c r="T115" s="519" t="str">
        <f>'CHAM CONG'!R113</f>
        <v>x</v>
      </c>
      <c r="U115" s="519" t="str">
        <f>'CHAM CONG'!S113</f>
        <v>x</v>
      </c>
      <c r="V115" s="519" t="str">
        <f>'CHAM CONG'!T113</f>
        <v>x</v>
      </c>
      <c r="W115" s="519" t="str">
        <f>'CHAM CONG'!U113</f>
        <v>x</v>
      </c>
      <c r="X115" s="519"/>
      <c r="Y115" s="519"/>
      <c r="Z115" s="738">
        <f t="shared" si="24"/>
        <v>15</v>
      </c>
      <c r="AA115" s="580">
        <f t="shared" si="25"/>
        <v>0</v>
      </c>
      <c r="AB115" s="580">
        <f t="shared" si="26"/>
        <v>240000</v>
      </c>
      <c r="AC115" s="580">
        <f>'CHAM CONG'!V113</f>
        <v>0</v>
      </c>
      <c r="AD115" s="580" t="str">
        <f>'CHAM CONG'!W113</f>
        <v>x</v>
      </c>
      <c r="AE115" s="580">
        <f>'CHAM CONG'!X113</f>
        <v>0</v>
      </c>
      <c r="AF115" s="738">
        <f t="shared" si="27"/>
        <v>1</v>
      </c>
      <c r="AG115" s="580">
        <f t="shared" si="28"/>
        <v>17000</v>
      </c>
      <c r="AH115" s="580">
        <f t="shared" si="38"/>
        <v>15</v>
      </c>
      <c r="AI115" s="580">
        <f t="shared" si="29"/>
        <v>15000</v>
      </c>
      <c r="AJ115" s="580">
        <f t="shared" si="30"/>
        <v>272000</v>
      </c>
      <c r="AK115" s="429">
        <f>'SAN LUONG'!AF114</f>
        <v>346</v>
      </c>
      <c r="AL115" s="429">
        <f>'SAN LUONG'!AG114</f>
        <v>544</v>
      </c>
      <c r="AM115" s="429">
        <f>'SAN LUONG'!AH114</f>
        <v>484</v>
      </c>
      <c r="AN115" s="429">
        <f>'SAN LUONG'!AI114</f>
        <v>366</v>
      </c>
      <c r="AO115" s="746"/>
      <c r="AP115" s="746">
        <f t="shared" si="31"/>
        <v>0</v>
      </c>
      <c r="AQ115" s="746"/>
      <c r="AR115" s="746">
        <f t="shared" si="39"/>
        <v>0</v>
      </c>
      <c r="AS115" s="746">
        <f t="shared" si="21"/>
        <v>1740</v>
      </c>
      <c r="AT115" s="746">
        <f t="shared" si="32"/>
        <v>348348</v>
      </c>
      <c r="AU115" s="747">
        <f>'SAN LUONG'!AU114</f>
        <v>0</v>
      </c>
      <c r="AV115" s="748">
        <f t="shared" si="33"/>
        <v>0</v>
      </c>
      <c r="AW115" s="757">
        <f t="shared" si="34"/>
        <v>0</v>
      </c>
      <c r="AX115" s="758">
        <f t="shared" si="35"/>
        <v>620348</v>
      </c>
      <c r="AY115" s="759"/>
      <c r="AZ115" s="759"/>
      <c r="BA115" s="759"/>
      <c r="BB115" s="760">
        <f t="shared" si="36"/>
        <v>620348</v>
      </c>
      <c r="BC115" s="763"/>
      <c r="BD115" s="639">
        <f t="shared" si="37"/>
        <v>19.420000000000002</v>
      </c>
      <c r="BE115" s="768"/>
      <c r="BF115" s="769"/>
    </row>
    <row r="116" spans="1:58" s="725" customFormat="1" ht="32.4" customHeight="1">
      <c r="A116" s="503">
        <v>107</v>
      </c>
      <c r="B116" s="504">
        <v>5</v>
      </c>
      <c r="C116" s="504">
        <v>196</v>
      </c>
      <c r="D116" s="728"/>
      <c r="E116" s="728"/>
      <c r="F116" s="728"/>
      <c r="G116" s="728" t="str">
        <f>'Tên Tháng 1'!E110</f>
        <v>ឃាន អំ</v>
      </c>
      <c r="H116" s="728" t="str">
        <f>'Tên Tháng 1'!F110</f>
        <v>KHEAN AM</v>
      </c>
      <c r="I116" s="519">
        <f>'CHAM CONG'!G114</f>
        <v>0</v>
      </c>
      <c r="J116" s="519" t="str">
        <f>'CHAM CONG'!H114</f>
        <v>x</v>
      </c>
      <c r="K116" s="519" t="str">
        <f>'CHAM CONG'!I114</f>
        <v>x</v>
      </c>
      <c r="L116" s="519" t="str">
        <f>'CHAM CONG'!J114</f>
        <v>x</v>
      </c>
      <c r="M116" s="519" t="str">
        <f>'CHAM CONG'!K114</f>
        <v>x</v>
      </c>
      <c r="N116" s="519" t="str">
        <f>'CHAM CONG'!L114</f>
        <v>x</v>
      </c>
      <c r="O116" s="519" t="str">
        <f>'CHAM CONG'!M114</f>
        <v>x</v>
      </c>
      <c r="P116" s="519" t="str">
        <f>'CHAM CONG'!N114</f>
        <v>x</v>
      </c>
      <c r="Q116" s="519" t="str">
        <f>'CHAM CONG'!O114</f>
        <v>x</v>
      </c>
      <c r="R116" s="519" t="str">
        <f>'CHAM CONG'!P114</f>
        <v>x</v>
      </c>
      <c r="S116" s="519" t="str">
        <f>'CHAM CONG'!Q114</f>
        <v>x</v>
      </c>
      <c r="T116" s="519" t="str">
        <f>'CHAM CONG'!R114</f>
        <v>x</v>
      </c>
      <c r="U116" s="519" t="str">
        <f>'CHAM CONG'!S114</f>
        <v>x</v>
      </c>
      <c r="V116" s="519" t="str">
        <f>'CHAM CONG'!T114</f>
        <v>x</v>
      </c>
      <c r="W116" s="519" t="str">
        <f>'CHAM CONG'!U114</f>
        <v>x</v>
      </c>
      <c r="X116" s="519"/>
      <c r="Y116" s="519"/>
      <c r="Z116" s="738">
        <f t="shared" si="24"/>
        <v>14</v>
      </c>
      <c r="AA116" s="580">
        <f t="shared" si="25"/>
        <v>0</v>
      </c>
      <c r="AB116" s="580">
        <f t="shared" si="26"/>
        <v>224000</v>
      </c>
      <c r="AC116" s="580">
        <f>'CHAM CONG'!V114</f>
        <v>0</v>
      </c>
      <c r="AD116" s="580" t="str">
        <f>'CHAM CONG'!W114</f>
        <v>x</v>
      </c>
      <c r="AE116" s="580">
        <f>'CHAM CONG'!X114</f>
        <v>0</v>
      </c>
      <c r="AF116" s="738">
        <f t="shared" si="27"/>
        <v>1</v>
      </c>
      <c r="AG116" s="580">
        <f t="shared" si="28"/>
        <v>17000</v>
      </c>
      <c r="AH116" s="580">
        <f t="shared" si="38"/>
        <v>14</v>
      </c>
      <c r="AI116" s="580">
        <f t="shared" si="29"/>
        <v>14000</v>
      </c>
      <c r="AJ116" s="580">
        <f t="shared" si="30"/>
        <v>255000</v>
      </c>
      <c r="AK116" s="429">
        <f>'SAN LUONG'!AF115</f>
        <v>331</v>
      </c>
      <c r="AL116" s="429">
        <f>'SAN LUONG'!AG115</f>
        <v>260</v>
      </c>
      <c r="AM116" s="429">
        <f>'SAN LUONG'!AH115</f>
        <v>307</v>
      </c>
      <c r="AN116" s="429">
        <f>'SAN LUONG'!AI115</f>
        <v>222</v>
      </c>
      <c r="AO116" s="746"/>
      <c r="AP116" s="746">
        <f t="shared" si="31"/>
        <v>0</v>
      </c>
      <c r="AQ116" s="746"/>
      <c r="AR116" s="746">
        <f t="shared" si="39"/>
        <v>0</v>
      </c>
      <c r="AS116" s="746">
        <f t="shared" si="21"/>
        <v>1120</v>
      </c>
      <c r="AT116" s="746">
        <f t="shared" si="32"/>
        <v>224224</v>
      </c>
      <c r="AU116" s="747">
        <f>'SAN LUONG'!AU115</f>
        <v>0</v>
      </c>
      <c r="AV116" s="748">
        <f t="shared" si="33"/>
        <v>0</v>
      </c>
      <c r="AW116" s="757">
        <f t="shared" si="34"/>
        <v>0</v>
      </c>
      <c r="AX116" s="758">
        <f t="shared" si="35"/>
        <v>479224</v>
      </c>
      <c r="AY116" s="759"/>
      <c r="AZ116" s="759"/>
      <c r="BA116" s="759"/>
      <c r="BB116" s="760">
        <f t="shared" si="36"/>
        <v>479224</v>
      </c>
      <c r="BC116" s="763"/>
      <c r="BD116" s="639">
        <f t="shared" si="37"/>
        <v>15</v>
      </c>
      <c r="BE116" s="768"/>
      <c r="BF116" s="769"/>
    </row>
    <row r="117" spans="1:58" s="725" customFormat="1" ht="32.4" customHeight="1">
      <c r="A117" s="503">
        <v>108</v>
      </c>
      <c r="B117" s="504">
        <v>5</v>
      </c>
      <c r="C117" s="504">
        <v>197</v>
      </c>
      <c r="D117" s="728"/>
      <c r="E117" s="728"/>
      <c r="F117" s="728"/>
      <c r="G117" s="728" t="str">
        <f>'Tên Tháng 1'!E111</f>
        <v>សុខ ទ្រី</v>
      </c>
      <c r="H117" s="728" t="str">
        <f>'Tên Tháng 1'!F111</f>
        <v>SOK TRY</v>
      </c>
      <c r="I117" s="519">
        <f>'CHAM CONG'!G115</f>
        <v>0</v>
      </c>
      <c r="J117" s="519" t="str">
        <f>'CHAM CONG'!H115</f>
        <v>x</v>
      </c>
      <c r="K117" s="519" t="str">
        <f>'CHAM CONG'!I115</f>
        <v>x</v>
      </c>
      <c r="L117" s="519" t="str">
        <f>'CHAM CONG'!J115</f>
        <v>x</v>
      </c>
      <c r="M117" s="519" t="str">
        <f>'CHAM CONG'!K115</f>
        <v>x</v>
      </c>
      <c r="N117" s="519" t="str">
        <f>'CHAM CONG'!L115</f>
        <v>x</v>
      </c>
      <c r="O117" s="519" t="str">
        <f>'CHAM CONG'!M115</f>
        <v>x</v>
      </c>
      <c r="P117" s="519">
        <f>'CHAM CONG'!N115</f>
        <v>0</v>
      </c>
      <c r="Q117" s="519" t="str">
        <f>'CHAM CONG'!O115</f>
        <v>x</v>
      </c>
      <c r="R117" s="519" t="str">
        <f>'CHAM CONG'!P115</f>
        <v>x</v>
      </c>
      <c r="S117" s="519" t="str">
        <f>'CHAM CONG'!Q115</f>
        <v>x</v>
      </c>
      <c r="T117" s="519" t="str">
        <f>'CHAM CONG'!R115</f>
        <v>x</v>
      </c>
      <c r="U117" s="519" t="str">
        <f>'CHAM CONG'!S115</f>
        <v>x</v>
      </c>
      <c r="V117" s="519" t="str">
        <f>'CHAM CONG'!T115</f>
        <v>x</v>
      </c>
      <c r="W117" s="519" t="str">
        <f>'CHAM CONG'!U115</f>
        <v>x</v>
      </c>
      <c r="X117" s="519"/>
      <c r="Y117" s="519"/>
      <c r="Z117" s="738">
        <f t="shared" si="24"/>
        <v>13</v>
      </c>
      <c r="AA117" s="580">
        <f t="shared" si="25"/>
        <v>0</v>
      </c>
      <c r="AB117" s="580">
        <f t="shared" si="26"/>
        <v>208000</v>
      </c>
      <c r="AC117" s="580">
        <f>'CHAM CONG'!V115</f>
        <v>0</v>
      </c>
      <c r="AD117" s="580" t="str">
        <f>'CHAM CONG'!W115</f>
        <v>x</v>
      </c>
      <c r="AE117" s="580">
        <f>'CHAM CONG'!X115</f>
        <v>0</v>
      </c>
      <c r="AF117" s="738">
        <f t="shared" si="27"/>
        <v>1</v>
      </c>
      <c r="AG117" s="580">
        <f t="shared" si="28"/>
        <v>17000</v>
      </c>
      <c r="AH117" s="580">
        <f t="shared" si="38"/>
        <v>13</v>
      </c>
      <c r="AI117" s="580">
        <f t="shared" si="29"/>
        <v>13000</v>
      </c>
      <c r="AJ117" s="580">
        <f t="shared" si="30"/>
        <v>238000</v>
      </c>
      <c r="AK117" s="429">
        <f>'SAN LUONG'!AF116</f>
        <v>270</v>
      </c>
      <c r="AL117" s="429">
        <f>'SAN LUONG'!AG116</f>
        <v>262</v>
      </c>
      <c r="AM117" s="429">
        <f>'SAN LUONG'!AH116</f>
        <v>220</v>
      </c>
      <c r="AN117" s="429">
        <f>'SAN LUONG'!AI116</f>
        <v>126</v>
      </c>
      <c r="AO117" s="746"/>
      <c r="AP117" s="746">
        <f t="shared" si="31"/>
        <v>0</v>
      </c>
      <c r="AQ117" s="746"/>
      <c r="AR117" s="746">
        <f t="shared" si="39"/>
        <v>0</v>
      </c>
      <c r="AS117" s="746">
        <f t="shared" si="21"/>
        <v>878</v>
      </c>
      <c r="AT117" s="746">
        <f t="shared" si="32"/>
        <v>175776</v>
      </c>
      <c r="AU117" s="747">
        <f>'SAN LUONG'!AU116</f>
        <v>0</v>
      </c>
      <c r="AV117" s="748">
        <f t="shared" si="33"/>
        <v>0</v>
      </c>
      <c r="AW117" s="757">
        <f t="shared" si="34"/>
        <v>0</v>
      </c>
      <c r="AX117" s="758">
        <f t="shared" si="35"/>
        <v>413776</v>
      </c>
      <c r="AY117" s="759"/>
      <c r="AZ117" s="759"/>
      <c r="BA117" s="759"/>
      <c r="BB117" s="760">
        <f t="shared" si="36"/>
        <v>413776</v>
      </c>
      <c r="BC117" s="763"/>
      <c r="BD117" s="639">
        <f t="shared" si="37"/>
        <v>12.95</v>
      </c>
      <c r="BE117" s="768"/>
      <c r="BF117" s="769"/>
    </row>
    <row r="118" spans="1:58" s="725" customFormat="1" ht="32.4" customHeight="1">
      <c r="A118" s="503">
        <v>109</v>
      </c>
      <c r="B118" s="504">
        <v>5</v>
      </c>
      <c r="C118" s="504">
        <v>198</v>
      </c>
      <c r="D118" s="728"/>
      <c r="E118" s="728"/>
      <c r="F118" s="728"/>
      <c r="G118" s="728" t="str">
        <f>'Tên Tháng 1'!E112</f>
        <v>ហួន​ ហេត</v>
      </c>
      <c r="H118" s="728" t="str">
        <f>'Tên Tháng 1'!F112</f>
        <v>HOUN HET</v>
      </c>
      <c r="I118" s="519" t="str">
        <f>'CHAM CONG'!G116</f>
        <v>x</v>
      </c>
      <c r="J118" s="519" t="str">
        <f>'CHAM CONG'!H116</f>
        <v>x</v>
      </c>
      <c r="K118" s="519" t="str">
        <f>'CHAM CONG'!I116</f>
        <v>x</v>
      </c>
      <c r="L118" s="519">
        <f>'CHAM CONG'!J116</f>
        <v>0</v>
      </c>
      <c r="M118" s="519" t="str">
        <f>'CHAM CONG'!K116</f>
        <v>x</v>
      </c>
      <c r="N118" s="519" t="str">
        <f>'CHAM CONG'!L116</f>
        <v>x</v>
      </c>
      <c r="O118" s="519" t="str">
        <f>'CHAM CONG'!M116</f>
        <v>x</v>
      </c>
      <c r="P118" s="519" t="str">
        <f>'CHAM CONG'!N116</f>
        <v>x</v>
      </c>
      <c r="Q118" s="519" t="str">
        <f>'CHAM CONG'!O116</f>
        <v>x</v>
      </c>
      <c r="R118" s="519" t="str">
        <f>'CHAM CONG'!P116</f>
        <v>x</v>
      </c>
      <c r="S118" s="519" t="str">
        <f>'CHAM CONG'!Q116</f>
        <v>x</v>
      </c>
      <c r="T118" s="519" t="str">
        <f>'CHAM CONG'!R116</f>
        <v>x</v>
      </c>
      <c r="U118" s="519" t="str">
        <f>'CHAM CONG'!S116</f>
        <v>x</v>
      </c>
      <c r="V118" s="519" t="str">
        <f>'CHAM CONG'!T116</f>
        <v>x</v>
      </c>
      <c r="W118" s="519" t="str">
        <f>'CHAM CONG'!U116</f>
        <v>x</v>
      </c>
      <c r="X118" s="519"/>
      <c r="Y118" s="519"/>
      <c r="Z118" s="738">
        <f t="shared" si="24"/>
        <v>14</v>
      </c>
      <c r="AA118" s="580">
        <f t="shared" si="25"/>
        <v>0</v>
      </c>
      <c r="AB118" s="580">
        <f t="shared" si="26"/>
        <v>224000</v>
      </c>
      <c r="AC118" s="580">
        <f>'CHAM CONG'!V116</f>
        <v>0</v>
      </c>
      <c r="AD118" s="580" t="str">
        <f>'CHAM CONG'!W116</f>
        <v>x</v>
      </c>
      <c r="AE118" s="580">
        <f>'CHAM CONG'!X116</f>
        <v>0</v>
      </c>
      <c r="AF118" s="738">
        <f t="shared" si="27"/>
        <v>1</v>
      </c>
      <c r="AG118" s="580">
        <f t="shared" si="28"/>
        <v>17000</v>
      </c>
      <c r="AH118" s="580">
        <f t="shared" si="38"/>
        <v>14</v>
      </c>
      <c r="AI118" s="580">
        <f t="shared" si="29"/>
        <v>14000</v>
      </c>
      <c r="AJ118" s="580">
        <f t="shared" si="30"/>
        <v>255000</v>
      </c>
      <c r="AK118" s="429">
        <f>'SAN LUONG'!AF117</f>
        <v>297</v>
      </c>
      <c r="AL118" s="429">
        <f>'SAN LUONG'!AG117</f>
        <v>412</v>
      </c>
      <c r="AM118" s="429">
        <f>'SAN LUONG'!AH117</f>
        <v>323</v>
      </c>
      <c r="AN118" s="429">
        <f>'SAN LUONG'!AI117</f>
        <v>266</v>
      </c>
      <c r="AO118" s="746"/>
      <c r="AP118" s="746">
        <f t="shared" si="31"/>
        <v>0</v>
      </c>
      <c r="AQ118" s="746"/>
      <c r="AR118" s="746">
        <f t="shared" si="39"/>
        <v>0</v>
      </c>
      <c r="AS118" s="746">
        <f t="shared" si="21"/>
        <v>1298</v>
      </c>
      <c r="AT118" s="746">
        <f t="shared" si="32"/>
        <v>259860</v>
      </c>
      <c r="AU118" s="747">
        <f>'SAN LUONG'!AU117</f>
        <v>0</v>
      </c>
      <c r="AV118" s="748">
        <f t="shared" si="33"/>
        <v>0</v>
      </c>
      <c r="AW118" s="757">
        <f t="shared" si="34"/>
        <v>0</v>
      </c>
      <c r="AX118" s="758">
        <f t="shared" si="35"/>
        <v>514860</v>
      </c>
      <c r="AY118" s="759"/>
      <c r="AZ118" s="759"/>
      <c r="BA118" s="759"/>
      <c r="BB118" s="760">
        <f t="shared" si="36"/>
        <v>514860</v>
      </c>
      <c r="BC118" s="763"/>
      <c r="BD118" s="639">
        <f t="shared" si="37"/>
        <v>16.12</v>
      </c>
      <c r="BE118" s="768"/>
      <c r="BF118" s="769"/>
    </row>
    <row r="119" spans="1:58" s="725" customFormat="1" ht="32.4" customHeight="1">
      <c r="A119" s="503">
        <v>110</v>
      </c>
      <c r="B119" s="504">
        <v>5</v>
      </c>
      <c r="C119" s="504">
        <v>199</v>
      </c>
      <c r="D119" s="728"/>
      <c r="E119" s="728"/>
      <c r="F119" s="728"/>
      <c r="G119" s="728" t="str">
        <f>'Tên Tháng 1'!E113</f>
        <v>សុក ចិន</v>
      </c>
      <c r="H119" s="728" t="str">
        <f>'Tên Tháng 1'!F113</f>
        <v>SOK CHIN</v>
      </c>
      <c r="I119" s="519" t="str">
        <f>'CHAM CONG'!G117</f>
        <v>x</v>
      </c>
      <c r="J119" s="519" t="str">
        <f>'CHAM CONG'!H117</f>
        <v>x</v>
      </c>
      <c r="K119" s="519" t="str">
        <f>'CHAM CONG'!I117</f>
        <v>x</v>
      </c>
      <c r="L119" s="519">
        <f>'CHAM CONG'!J117</f>
        <v>0</v>
      </c>
      <c r="M119" s="519" t="str">
        <f>'CHAM CONG'!K117</f>
        <v>x</v>
      </c>
      <c r="N119" s="519" t="str">
        <f>'CHAM CONG'!L117</f>
        <v>x</v>
      </c>
      <c r="O119" s="519" t="str">
        <f>'CHAM CONG'!M117</f>
        <v>x</v>
      </c>
      <c r="P119" s="519" t="str">
        <f>'CHAM CONG'!N117</f>
        <v>x</v>
      </c>
      <c r="Q119" s="519" t="str">
        <f>'CHAM CONG'!O117</f>
        <v>x</v>
      </c>
      <c r="R119" s="519">
        <f>'CHAM CONG'!P117</f>
        <v>0</v>
      </c>
      <c r="S119" s="519" t="str">
        <f>'CHAM CONG'!Q117</f>
        <v>x</v>
      </c>
      <c r="T119" s="519" t="str">
        <f>'CHAM CONG'!R117</f>
        <v>x</v>
      </c>
      <c r="U119" s="519" t="str">
        <f>'CHAM CONG'!S117</f>
        <v>x</v>
      </c>
      <c r="V119" s="519" t="str">
        <f>'CHAM CONG'!T117</f>
        <v>x</v>
      </c>
      <c r="W119" s="519" t="str">
        <f>'CHAM CONG'!U117</f>
        <v>x</v>
      </c>
      <c r="X119" s="519"/>
      <c r="Y119" s="519"/>
      <c r="Z119" s="738">
        <f t="shared" si="24"/>
        <v>13</v>
      </c>
      <c r="AA119" s="580">
        <f t="shared" si="25"/>
        <v>0</v>
      </c>
      <c r="AB119" s="580">
        <f t="shared" si="26"/>
        <v>208000</v>
      </c>
      <c r="AC119" s="580">
        <f>'CHAM CONG'!V117</f>
        <v>0</v>
      </c>
      <c r="AD119" s="580" t="str">
        <f>'CHAM CONG'!W117</f>
        <v>x</v>
      </c>
      <c r="AE119" s="580">
        <f>'CHAM CONG'!X117</f>
        <v>0</v>
      </c>
      <c r="AF119" s="738">
        <f t="shared" si="27"/>
        <v>1</v>
      </c>
      <c r="AG119" s="580">
        <f t="shared" si="28"/>
        <v>17000</v>
      </c>
      <c r="AH119" s="580">
        <f t="shared" si="38"/>
        <v>13</v>
      </c>
      <c r="AI119" s="580">
        <f t="shared" si="29"/>
        <v>13000</v>
      </c>
      <c r="AJ119" s="580">
        <f t="shared" si="30"/>
        <v>238000</v>
      </c>
      <c r="AK119" s="429">
        <f>'SAN LUONG'!AF118</f>
        <v>379</v>
      </c>
      <c r="AL119" s="429">
        <f>'SAN LUONG'!AG118</f>
        <v>402</v>
      </c>
      <c r="AM119" s="429">
        <f>'SAN LUONG'!AH118</f>
        <v>296</v>
      </c>
      <c r="AN119" s="429">
        <f>'SAN LUONG'!AI118</f>
        <v>234</v>
      </c>
      <c r="AO119" s="746"/>
      <c r="AP119" s="746">
        <f t="shared" si="31"/>
        <v>0</v>
      </c>
      <c r="AQ119" s="746"/>
      <c r="AR119" s="746">
        <f t="shared" si="39"/>
        <v>0</v>
      </c>
      <c r="AS119" s="746">
        <f t="shared" si="21"/>
        <v>1311</v>
      </c>
      <c r="AT119" s="746">
        <f t="shared" si="32"/>
        <v>262462</v>
      </c>
      <c r="AU119" s="747">
        <f>'SAN LUONG'!AU118</f>
        <v>0</v>
      </c>
      <c r="AV119" s="748">
        <f t="shared" si="33"/>
        <v>0</v>
      </c>
      <c r="AW119" s="757">
        <f t="shared" si="34"/>
        <v>0</v>
      </c>
      <c r="AX119" s="758">
        <f t="shared" si="35"/>
        <v>500462</v>
      </c>
      <c r="AY119" s="759"/>
      <c r="AZ119" s="759"/>
      <c r="BA119" s="759"/>
      <c r="BB119" s="760">
        <f t="shared" si="36"/>
        <v>500462</v>
      </c>
      <c r="BC119" s="763"/>
      <c r="BD119" s="639">
        <f t="shared" si="37"/>
        <v>15.67</v>
      </c>
      <c r="BE119" s="768"/>
      <c r="BF119" s="769"/>
    </row>
    <row r="120" spans="1:58" s="725" customFormat="1" ht="32.4" customHeight="1">
      <c r="A120" s="503">
        <v>111</v>
      </c>
      <c r="B120" s="504">
        <v>5</v>
      </c>
      <c r="C120" s="504">
        <v>200</v>
      </c>
      <c r="D120" s="728"/>
      <c r="E120" s="728"/>
      <c r="F120" s="728"/>
      <c r="G120" s="728" t="str">
        <f>'Tên Tháng 1'!E114</f>
        <v>ផាន់ ភឿន</v>
      </c>
      <c r="H120" s="728" t="str">
        <f>'Tên Tháng 1'!F114</f>
        <v>PHANN PHOEUN</v>
      </c>
      <c r="I120" s="519" t="str">
        <f>'CHAM CONG'!G118</f>
        <v>x</v>
      </c>
      <c r="J120" s="519" t="str">
        <f>'CHAM CONG'!H118</f>
        <v>x</v>
      </c>
      <c r="K120" s="519" t="str">
        <f>'CHAM CONG'!I118</f>
        <v>x</v>
      </c>
      <c r="L120" s="519">
        <f>'CHAM CONG'!J118</f>
        <v>0</v>
      </c>
      <c r="M120" s="519" t="str">
        <f>'CHAM CONG'!K118</f>
        <v>x</v>
      </c>
      <c r="N120" s="519" t="str">
        <f>'CHAM CONG'!L118</f>
        <v>x</v>
      </c>
      <c r="O120" s="519" t="str">
        <f>'CHAM CONG'!M118</f>
        <v>x</v>
      </c>
      <c r="P120" s="519" t="str">
        <f>'CHAM CONG'!N118</f>
        <v>x</v>
      </c>
      <c r="Q120" s="519" t="str">
        <f>'CHAM CONG'!O118</f>
        <v>x</v>
      </c>
      <c r="R120" s="519" t="str">
        <f>'CHAM CONG'!P118</f>
        <v>x</v>
      </c>
      <c r="S120" s="519" t="str">
        <f>'CHAM CONG'!Q118</f>
        <v>x</v>
      </c>
      <c r="T120" s="519" t="str">
        <f>'CHAM CONG'!R118</f>
        <v>x</v>
      </c>
      <c r="U120" s="519" t="str">
        <f>'CHAM CONG'!S118</f>
        <v>x</v>
      </c>
      <c r="V120" s="519" t="str">
        <f>'CHAM CONG'!T118</f>
        <v>x</v>
      </c>
      <c r="W120" s="519" t="str">
        <f>'CHAM CONG'!U118</f>
        <v>x</v>
      </c>
      <c r="X120" s="519"/>
      <c r="Y120" s="519"/>
      <c r="Z120" s="738">
        <f t="shared" si="24"/>
        <v>14</v>
      </c>
      <c r="AA120" s="580">
        <f t="shared" si="25"/>
        <v>0</v>
      </c>
      <c r="AB120" s="580">
        <f t="shared" si="26"/>
        <v>224000</v>
      </c>
      <c r="AC120" s="580">
        <f>'CHAM CONG'!V118</f>
        <v>0</v>
      </c>
      <c r="AD120" s="580" t="str">
        <f>'CHAM CONG'!W118</f>
        <v>x</v>
      </c>
      <c r="AE120" s="580">
        <f>'CHAM CONG'!X118</f>
        <v>0</v>
      </c>
      <c r="AF120" s="738">
        <f t="shared" si="27"/>
        <v>1</v>
      </c>
      <c r="AG120" s="580">
        <f t="shared" si="28"/>
        <v>17000</v>
      </c>
      <c r="AH120" s="580">
        <f t="shared" si="38"/>
        <v>14</v>
      </c>
      <c r="AI120" s="580">
        <f t="shared" si="29"/>
        <v>14000</v>
      </c>
      <c r="AJ120" s="580">
        <f t="shared" si="30"/>
        <v>255000</v>
      </c>
      <c r="AK120" s="429">
        <f>'SAN LUONG'!AF119</f>
        <v>371</v>
      </c>
      <c r="AL120" s="429">
        <f>'SAN LUONG'!AG119</f>
        <v>431</v>
      </c>
      <c r="AM120" s="429">
        <f>'SAN LUONG'!AH119</f>
        <v>287</v>
      </c>
      <c r="AN120" s="429">
        <f>'SAN LUONG'!AI119</f>
        <v>372</v>
      </c>
      <c r="AO120" s="746"/>
      <c r="AP120" s="746">
        <f t="shared" si="31"/>
        <v>0</v>
      </c>
      <c r="AQ120" s="746"/>
      <c r="AR120" s="746">
        <f t="shared" si="39"/>
        <v>0</v>
      </c>
      <c r="AS120" s="746">
        <f t="shared" si="21"/>
        <v>1461</v>
      </c>
      <c r="AT120" s="746">
        <f t="shared" si="32"/>
        <v>292492</v>
      </c>
      <c r="AU120" s="747">
        <f>'SAN LUONG'!AU119</f>
        <v>0</v>
      </c>
      <c r="AV120" s="748">
        <f t="shared" si="33"/>
        <v>0</v>
      </c>
      <c r="AW120" s="757">
        <f t="shared" si="34"/>
        <v>0</v>
      </c>
      <c r="AX120" s="758">
        <f t="shared" si="35"/>
        <v>547492</v>
      </c>
      <c r="AY120" s="759"/>
      <c r="AZ120" s="759"/>
      <c r="BA120" s="759"/>
      <c r="BB120" s="760">
        <f t="shared" si="36"/>
        <v>547492</v>
      </c>
      <c r="BC120" s="763"/>
      <c r="BD120" s="639">
        <f t="shared" si="37"/>
        <v>17.14</v>
      </c>
      <c r="BE120" s="768"/>
      <c r="BF120" s="769"/>
    </row>
    <row r="121" spans="1:58" s="725" customFormat="1" ht="32.4" customHeight="1">
      <c r="A121" s="503">
        <v>112</v>
      </c>
      <c r="B121" s="504">
        <v>5</v>
      </c>
      <c r="C121" s="504">
        <v>201</v>
      </c>
      <c r="D121" s="728"/>
      <c r="E121" s="728"/>
      <c r="F121" s="728"/>
      <c r="G121" s="728" t="str">
        <f>'Tên Tháng 1'!E115</f>
        <v>ផន នាន</v>
      </c>
      <c r="H121" s="728" t="str">
        <f>'Tên Tháng 1'!F115</f>
        <v>PHON NEAN</v>
      </c>
      <c r="I121" s="519" t="str">
        <f>'CHAM CONG'!G119</f>
        <v>x</v>
      </c>
      <c r="J121" s="519" t="str">
        <f>'CHAM CONG'!H119</f>
        <v>x</v>
      </c>
      <c r="K121" s="519" t="str">
        <f>'CHAM CONG'!I119</f>
        <v>x</v>
      </c>
      <c r="L121" s="519">
        <f>'CHAM CONG'!J119</f>
        <v>0</v>
      </c>
      <c r="M121" s="519" t="str">
        <f>'CHAM CONG'!K119</f>
        <v>x</v>
      </c>
      <c r="N121" s="519" t="str">
        <f>'CHAM CONG'!L119</f>
        <v>x</v>
      </c>
      <c r="O121" s="519" t="str">
        <f>'CHAM CONG'!M119</f>
        <v>x</v>
      </c>
      <c r="P121" s="519" t="str">
        <f>'CHAM CONG'!N119</f>
        <v>x</v>
      </c>
      <c r="Q121" s="519" t="str">
        <f>'CHAM CONG'!O119</f>
        <v>x</v>
      </c>
      <c r="R121" s="519" t="str">
        <f>'CHAM CONG'!P119</f>
        <v>x</v>
      </c>
      <c r="S121" s="519" t="str">
        <f>'CHAM CONG'!Q119</f>
        <v>x</v>
      </c>
      <c r="T121" s="519" t="str">
        <f>'CHAM CONG'!R119</f>
        <v>x</v>
      </c>
      <c r="U121" s="519" t="str">
        <f>'CHAM CONG'!S119</f>
        <v>x</v>
      </c>
      <c r="V121" s="519" t="str">
        <f>'CHAM CONG'!T119</f>
        <v>x</v>
      </c>
      <c r="W121" s="519" t="str">
        <f>'CHAM CONG'!U119</f>
        <v>x</v>
      </c>
      <c r="X121" s="519"/>
      <c r="Y121" s="519"/>
      <c r="Z121" s="738">
        <f t="shared" si="24"/>
        <v>14</v>
      </c>
      <c r="AA121" s="580">
        <f t="shared" si="25"/>
        <v>0</v>
      </c>
      <c r="AB121" s="580">
        <f t="shared" si="26"/>
        <v>224000</v>
      </c>
      <c r="AC121" s="580">
        <f>'CHAM CONG'!V119</f>
        <v>0</v>
      </c>
      <c r="AD121" s="580" t="str">
        <f>'CHAM CONG'!W119</f>
        <v>x</v>
      </c>
      <c r="AE121" s="580">
        <f>'CHAM CONG'!X119</f>
        <v>0</v>
      </c>
      <c r="AF121" s="738">
        <f t="shared" si="27"/>
        <v>1</v>
      </c>
      <c r="AG121" s="580">
        <f t="shared" si="28"/>
        <v>17000</v>
      </c>
      <c r="AH121" s="580">
        <f t="shared" si="38"/>
        <v>14</v>
      </c>
      <c r="AI121" s="580">
        <f t="shared" si="29"/>
        <v>14000</v>
      </c>
      <c r="AJ121" s="580">
        <f t="shared" si="30"/>
        <v>255000</v>
      </c>
      <c r="AK121" s="429">
        <f>'SAN LUONG'!AF120</f>
        <v>361</v>
      </c>
      <c r="AL121" s="429">
        <f>'SAN LUONG'!AG120</f>
        <v>499</v>
      </c>
      <c r="AM121" s="429">
        <f>'SAN LUONG'!AH120</f>
        <v>316</v>
      </c>
      <c r="AN121" s="429">
        <f>'SAN LUONG'!AI120</f>
        <v>379</v>
      </c>
      <c r="AO121" s="746"/>
      <c r="AP121" s="746">
        <f t="shared" si="31"/>
        <v>0</v>
      </c>
      <c r="AQ121" s="746"/>
      <c r="AR121" s="746">
        <f t="shared" si="39"/>
        <v>0</v>
      </c>
      <c r="AS121" s="746">
        <f t="shared" si="21"/>
        <v>1555</v>
      </c>
      <c r="AT121" s="746">
        <f t="shared" si="32"/>
        <v>311311</v>
      </c>
      <c r="AU121" s="747">
        <f>'SAN LUONG'!AU120</f>
        <v>0</v>
      </c>
      <c r="AV121" s="748">
        <f t="shared" si="33"/>
        <v>0</v>
      </c>
      <c r="AW121" s="757">
        <f t="shared" si="34"/>
        <v>0</v>
      </c>
      <c r="AX121" s="758">
        <f t="shared" si="35"/>
        <v>566311</v>
      </c>
      <c r="AY121" s="759"/>
      <c r="AZ121" s="759"/>
      <c r="BA121" s="759"/>
      <c r="BB121" s="760">
        <f t="shared" si="36"/>
        <v>566311</v>
      </c>
      <c r="BC121" s="763"/>
      <c r="BD121" s="639">
        <f t="shared" si="37"/>
        <v>17.73</v>
      </c>
      <c r="BE121" s="768"/>
      <c r="BF121" s="769"/>
    </row>
    <row r="122" spans="1:58" s="725" customFormat="1" ht="32.4" customHeight="1">
      <c r="A122" s="503">
        <v>113</v>
      </c>
      <c r="B122" s="504">
        <v>5</v>
      </c>
      <c r="C122" s="504">
        <v>202</v>
      </c>
      <c r="D122" s="728"/>
      <c r="E122" s="728"/>
      <c r="F122" s="728"/>
      <c r="G122" s="728" t="str">
        <f>'Tên Tháng 1'!E116</f>
        <v>ផាន់ សុភា</v>
      </c>
      <c r="H122" s="728" t="str">
        <f>'Tên Tháng 1'!F116</f>
        <v>PHANN SOPHEA</v>
      </c>
      <c r="I122" s="519" t="str">
        <f>'CHAM CONG'!G120</f>
        <v>x</v>
      </c>
      <c r="J122" s="519">
        <f>'CHAM CONG'!H120</f>
        <v>0</v>
      </c>
      <c r="K122" s="519" t="str">
        <f>'CHAM CONG'!I120</f>
        <v>x</v>
      </c>
      <c r="L122" s="519">
        <f>'CHAM CONG'!J120</f>
        <v>0</v>
      </c>
      <c r="M122" s="519" t="str">
        <f>'CHAM CONG'!K120</f>
        <v>x</v>
      </c>
      <c r="N122" s="519" t="str">
        <f>'CHAM CONG'!L120</f>
        <v>x</v>
      </c>
      <c r="O122" s="519" t="str">
        <f>'CHAM CONG'!M120</f>
        <v>x</v>
      </c>
      <c r="P122" s="519" t="str">
        <f>'CHAM CONG'!N120</f>
        <v>x</v>
      </c>
      <c r="Q122" s="519" t="str">
        <f>'CHAM CONG'!O120</f>
        <v>x</v>
      </c>
      <c r="R122" s="519" t="str">
        <f>'CHAM CONG'!P120</f>
        <v>x</v>
      </c>
      <c r="S122" s="519" t="str">
        <f>'CHAM CONG'!Q120</f>
        <v>x</v>
      </c>
      <c r="T122" s="519" t="str">
        <f>'CHAM CONG'!R120</f>
        <v>x</v>
      </c>
      <c r="U122" s="519" t="str">
        <f>'CHAM CONG'!S120</f>
        <v>x</v>
      </c>
      <c r="V122" s="519" t="str">
        <f>'CHAM CONG'!T120</f>
        <v>x</v>
      </c>
      <c r="W122" s="519" t="str">
        <f>'CHAM CONG'!U120</f>
        <v>x</v>
      </c>
      <c r="X122" s="519"/>
      <c r="Y122" s="519"/>
      <c r="Z122" s="738">
        <f t="shared" si="24"/>
        <v>13</v>
      </c>
      <c r="AA122" s="580">
        <f t="shared" si="25"/>
        <v>0</v>
      </c>
      <c r="AB122" s="580">
        <f t="shared" si="26"/>
        <v>208000</v>
      </c>
      <c r="AC122" s="580">
        <f>'CHAM CONG'!V120</f>
        <v>0</v>
      </c>
      <c r="AD122" s="580" t="str">
        <f>'CHAM CONG'!W120</f>
        <v>x</v>
      </c>
      <c r="AE122" s="580">
        <f>'CHAM CONG'!X120</f>
        <v>0</v>
      </c>
      <c r="AF122" s="738">
        <f t="shared" si="27"/>
        <v>1</v>
      </c>
      <c r="AG122" s="580">
        <f t="shared" si="28"/>
        <v>17000</v>
      </c>
      <c r="AH122" s="580">
        <f t="shared" si="38"/>
        <v>13</v>
      </c>
      <c r="AI122" s="580">
        <f t="shared" si="29"/>
        <v>13000</v>
      </c>
      <c r="AJ122" s="580">
        <f t="shared" si="30"/>
        <v>238000</v>
      </c>
      <c r="AK122" s="429">
        <f>'SAN LUONG'!AF121</f>
        <v>418</v>
      </c>
      <c r="AL122" s="429">
        <f>'SAN LUONG'!AG121</f>
        <v>428</v>
      </c>
      <c r="AM122" s="429">
        <f>'SAN LUONG'!AH121</f>
        <v>324</v>
      </c>
      <c r="AN122" s="429">
        <f>'SAN LUONG'!AI121</f>
        <v>199</v>
      </c>
      <c r="AO122" s="746"/>
      <c r="AP122" s="746">
        <f t="shared" si="31"/>
        <v>0</v>
      </c>
      <c r="AQ122" s="746"/>
      <c r="AR122" s="746">
        <f t="shared" si="39"/>
        <v>0</v>
      </c>
      <c r="AS122" s="746">
        <f t="shared" si="21"/>
        <v>1369</v>
      </c>
      <c r="AT122" s="746">
        <f t="shared" si="32"/>
        <v>274074</v>
      </c>
      <c r="AU122" s="747">
        <f>'SAN LUONG'!AU121</f>
        <v>0</v>
      </c>
      <c r="AV122" s="748">
        <f t="shared" si="33"/>
        <v>0</v>
      </c>
      <c r="AW122" s="757">
        <f t="shared" si="34"/>
        <v>0</v>
      </c>
      <c r="AX122" s="758">
        <f t="shared" si="35"/>
        <v>512074</v>
      </c>
      <c r="AY122" s="759"/>
      <c r="AZ122" s="759"/>
      <c r="BA122" s="759"/>
      <c r="BB122" s="760">
        <f t="shared" si="36"/>
        <v>512074</v>
      </c>
      <c r="BC122" s="763"/>
      <c r="BD122" s="639">
        <f t="shared" si="37"/>
        <v>16.03</v>
      </c>
      <c r="BE122" s="768"/>
      <c r="BF122" s="769"/>
    </row>
    <row r="123" spans="1:58" s="725" customFormat="1" ht="32.4" customHeight="1">
      <c r="A123" s="503">
        <v>114</v>
      </c>
      <c r="B123" s="504">
        <v>5</v>
      </c>
      <c r="C123" s="504">
        <v>203</v>
      </c>
      <c r="D123" s="728"/>
      <c r="E123" s="728"/>
      <c r="F123" s="728"/>
      <c r="G123" s="728" t="str">
        <f>'Tên Tháng 1'!E117</f>
        <v>សៀន អេម</v>
      </c>
      <c r="H123" s="728" t="str">
        <f>'Tên Tháng 1'!F117</f>
        <v>SEAN EM</v>
      </c>
      <c r="I123" s="519" t="str">
        <f>'CHAM CONG'!G121</f>
        <v>x</v>
      </c>
      <c r="J123" s="519">
        <f>'CHAM CONG'!H121</f>
        <v>0</v>
      </c>
      <c r="K123" s="519" t="str">
        <f>'CHAM CONG'!I121</f>
        <v>x</v>
      </c>
      <c r="L123" s="519">
        <f>'CHAM CONG'!J121</f>
        <v>0</v>
      </c>
      <c r="M123" s="519" t="str">
        <f>'CHAM CONG'!K121</f>
        <v>x</v>
      </c>
      <c r="N123" s="519" t="str">
        <f>'CHAM CONG'!L121</f>
        <v>x</v>
      </c>
      <c r="O123" s="519" t="str">
        <f>'CHAM CONG'!M121</f>
        <v>x</v>
      </c>
      <c r="P123" s="519" t="str">
        <f>'CHAM CONG'!N121</f>
        <v>x</v>
      </c>
      <c r="Q123" s="519" t="str">
        <f>'CHAM CONG'!O121</f>
        <v>x</v>
      </c>
      <c r="R123" s="519" t="str">
        <f>'CHAM CONG'!P121</f>
        <v>x</v>
      </c>
      <c r="S123" s="519" t="str">
        <f>'CHAM CONG'!Q121</f>
        <v>x</v>
      </c>
      <c r="T123" s="519" t="str">
        <f>'CHAM CONG'!R121</f>
        <v>x</v>
      </c>
      <c r="U123" s="519" t="str">
        <f>'CHAM CONG'!S121</f>
        <v>x</v>
      </c>
      <c r="V123" s="519" t="str">
        <f>'CHAM CONG'!T121</f>
        <v>x</v>
      </c>
      <c r="W123" s="519" t="str">
        <f>'CHAM CONG'!U121</f>
        <v>x</v>
      </c>
      <c r="X123" s="519"/>
      <c r="Y123" s="519"/>
      <c r="Z123" s="738">
        <f t="shared" si="24"/>
        <v>13</v>
      </c>
      <c r="AA123" s="580">
        <f t="shared" si="25"/>
        <v>0</v>
      </c>
      <c r="AB123" s="580">
        <f t="shared" si="26"/>
        <v>208000</v>
      </c>
      <c r="AC123" s="580">
        <f>'CHAM CONG'!V121</f>
        <v>0</v>
      </c>
      <c r="AD123" s="580" t="str">
        <f>'CHAM CONG'!W121</f>
        <v>x</v>
      </c>
      <c r="AE123" s="580">
        <f>'CHAM CONG'!X121</f>
        <v>0</v>
      </c>
      <c r="AF123" s="738">
        <f t="shared" si="27"/>
        <v>1</v>
      </c>
      <c r="AG123" s="580">
        <f t="shared" si="28"/>
        <v>17000</v>
      </c>
      <c r="AH123" s="580">
        <f t="shared" si="38"/>
        <v>13</v>
      </c>
      <c r="AI123" s="580">
        <f t="shared" si="29"/>
        <v>13000</v>
      </c>
      <c r="AJ123" s="580">
        <f t="shared" si="30"/>
        <v>238000</v>
      </c>
      <c r="AK123" s="429">
        <f>'SAN LUONG'!AF122</f>
        <v>368</v>
      </c>
      <c r="AL123" s="429">
        <f>'SAN LUONG'!AG122</f>
        <v>423</v>
      </c>
      <c r="AM123" s="429">
        <f>'SAN LUONG'!AH122</f>
        <v>344</v>
      </c>
      <c r="AN123" s="429">
        <f>'SAN LUONG'!AI122</f>
        <v>192</v>
      </c>
      <c r="AO123" s="746"/>
      <c r="AP123" s="746">
        <f t="shared" si="31"/>
        <v>0</v>
      </c>
      <c r="AQ123" s="746"/>
      <c r="AR123" s="746">
        <f t="shared" si="39"/>
        <v>0</v>
      </c>
      <c r="AS123" s="746">
        <f t="shared" si="21"/>
        <v>1327</v>
      </c>
      <c r="AT123" s="746">
        <f t="shared" si="32"/>
        <v>265665</v>
      </c>
      <c r="AU123" s="747">
        <f>'SAN LUONG'!AU122</f>
        <v>0</v>
      </c>
      <c r="AV123" s="748">
        <f t="shared" si="33"/>
        <v>0</v>
      </c>
      <c r="AW123" s="757">
        <f t="shared" si="34"/>
        <v>0</v>
      </c>
      <c r="AX123" s="758">
        <f t="shared" si="35"/>
        <v>503665</v>
      </c>
      <c r="AY123" s="759"/>
      <c r="AZ123" s="759"/>
      <c r="BA123" s="759"/>
      <c r="BB123" s="760">
        <f t="shared" si="36"/>
        <v>503665</v>
      </c>
      <c r="BC123" s="763"/>
      <c r="BD123" s="639">
        <f t="shared" si="37"/>
        <v>15.77</v>
      </c>
      <c r="BE123" s="768"/>
      <c r="BF123" s="769"/>
    </row>
    <row r="124" spans="1:58" s="725" customFormat="1" ht="32.4" customHeight="1">
      <c r="A124" s="503">
        <v>115</v>
      </c>
      <c r="B124" s="504">
        <v>5</v>
      </c>
      <c r="C124" s="504">
        <v>204</v>
      </c>
      <c r="D124" s="728"/>
      <c r="E124" s="728"/>
      <c r="F124" s="728"/>
      <c r="G124" s="728" t="str">
        <f>'Tên Tháng 1'!E118</f>
        <v>គឿន គា</v>
      </c>
      <c r="H124" s="728" t="str">
        <f>'Tên Tháng 1'!F118</f>
        <v>KOEURN KEA</v>
      </c>
      <c r="I124" s="519">
        <f>'CHAM CONG'!G122</f>
        <v>0</v>
      </c>
      <c r="J124" s="519" t="str">
        <f>'CHAM CONG'!H122</f>
        <v>x</v>
      </c>
      <c r="K124" s="519" t="str">
        <f>'CHAM CONG'!I122</f>
        <v>x</v>
      </c>
      <c r="L124" s="519" t="str">
        <f>'CHAM CONG'!J122</f>
        <v>x</v>
      </c>
      <c r="M124" s="519" t="str">
        <f>'CHAM CONG'!K122</f>
        <v>x</v>
      </c>
      <c r="N124" s="519" t="str">
        <f>'CHAM CONG'!L122</f>
        <v>x</v>
      </c>
      <c r="O124" s="519" t="str">
        <f>'CHAM CONG'!M122</f>
        <v>x</v>
      </c>
      <c r="P124" s="519" t="str">
        <f>'CHAM CONG'!N122</f>
        <v>x</v>
      </c>
      <c r="Q124" s="519" t="str">
        <f>'CHAM CONG'!O122</f>
        <v>x</v>
      </c>
      <c r="R124" s="519" t="str">
        <f>'CHAM CONG'!P122</f>
        <v>x</v>
      </c>
      <c r="S124" s="519" t="str">
        <f>'CHAM CONG'!Q122</f>
        <v>x</v>
      </c>
      <c r="T124" s="519" t="str">
        <f>'CHAM CONG'!R122</f>
        <v>x</v>
      </c>
      <c r="U124" s="519" t="str">
        <f>'CHAM CONG'!S122</f>
        <v>x</v>
      </c>
      <c r="V124" s="519" t="str">
        <f>'CHAM CONG'!T122</f>
        <v>x</v>
      </c>
      <c r="W124" s="519" t="str">
        <f>'CHAM CONG'!U122</f>
        <v>x</v>
      </c>
      <c r="X124" s="519"/>
      <c r="Y124" s="519"/>
      <c r="Z124" s="738">
        <f t="shared" si="24"/>
        <v>14</v>
      </c>
      <c r="AA124" s="580">
        <f t="shared" si="25"/>
        <v>0</v>
      </c>
      <c r="AB124" s="580">
        <f t="shared" si="26"/>
        <v>224000</v>
      </c>
      <c r="AC124" s="580">
        <f>'CHAM CONG'!V122</f>
        <v>0</v>
      </c>
      <c r="AD124" s="580" t="str">
        <f>'CHAM CONG'!W122</f>
        <v>x</v>
      </c>
      <c r="AE124" s="580">
        <f>'CHAM CONG'!X122</f>
        <v>0</v>
      </c>
      <c r="AF124" s="738">
        <f t="shared" si="27"/>
        <v>1</v>
      </c>
      <c r="AG124" s="580">
        <f t="shared" si="28"/>
        <v>17000</v>
      </c>
      <c r="AH124" s="580">
        <f t="shared" si="38"/>
        <v>14</v>
      </c>
      <c r="AI124" s="580">
        <f t="shared" si="29"/>
        <v>14000</v>
      </c>
      <c r="AJ124" s="580">
        <f t="shared" si="30"/>
        <v>255000</v>
      </c>
      <c r="AK124" s="429">
        <f>'SAN LUONG'!AF123</f>
        <v>401</v>
      </c>
      <c r="AL124" s="429">
        <f>'SAN LUONG'!AG123</f>
        <v>416</v>
      </c>
      <c r="AM124" s="429">
        <f>'SAN LUONG'!AH123</f>
        <v>427</v>
      </c>
      <c r="AN124" s="429">
        <f>'SAN LUONG'!AI123</f>
        <v>241</v>
      </c>
      <c r="AO124" s="746"/>
      <c r="AP124" s="746">
        <f t="shared" si="31"/>
        <v>0</v>
      </c>
      <c r="AQ124" s="746"/>
      <c r="AR124" s="746">
        <f t="shared" si="39"/>
        <v>0</v>
      </c>
      <c r="AS124" s="746">
        <f t="shared" si="21"/>
        <v>1485</v>
      </c>
      <c r="AT124" s="746">
        <f t="shared" si="32"/>
        <v>297297</v>
      </c>
      <c r="AU124" s="747">
        <f>'SAN LUONG'!AU123</f>
        <v>0</v>
      </c>
      <c r="AV124" s="748">
        <f t="shared" si="33"/>
        <v>0</v>
      </c>
      <c r="AW124" s="757">
        <f t="shared" si="34"/>
        <v>0</v>
      </c>
      <c r="AX124" s="758">
        <f t="shared" si="35"/>
        <v>552297</v>
      </c>
      <c r="AY124" s="759"/>
      <c r="AZ124" s="759"/>
      <c r="BA124" s="759"/>
      <c r="BB124" s="760">
        <f t="shared" si="36"/>
        <v>552297</v>
      </c>
      <c r="BC124" s="763"/>
      <c r="BD124" s="639">
        <f t="shared" si="37"/>
        <v>17.29</v>
      </c>
      <c r="BE124" s="768"/>
      <c r="BF124" s="769"/>
    </row>
    <row r="125" spans="1:58" s="725" customFormat="1" ht="32.4" customHeight="1">
      <c r="A125" s="503">
        <v>116</v>
      </c>
      <c r="B125" s="504">
        <v>5</v>
      </c>
      <c r="C125" s="504">
        <v>205</v>
      </c>
      <c r="D125" s="728"/>
      <c r="E125" s="728"/>
      <c r="F125" s="728"/>
      <c r="G125" s="728" t="str">
        <f>'Tên Tháng 1'!E119</f>
        <v>ផុន អឿន</v>
      </c>
      <c r="H125" s="728" t="str">
        <f>'Tên Tháng 1'!F119</f>
        <v>PON OEUN</v>
      </c>
      <c r="I125" s="519" t="str">
        <f>'CHAM CONG'!G123</f>
        <v>x</v>
      </c>
      <c r="J125" s="519" t="str">
        <f>'CHAM CONG'!H123</f>
        <v>x</v>
      </c>
      <c r="K125" s="519" t="str">
        <f>'CHAM CONG'!I123</f>
        <v>x</v>
      </c>
      <c r="L125" s="519">
        <f>'CHAM CONG'!J123</f>
        <v>0</v>
      </c>
      <c r="M125" s="519" t="str">
        <f>'CHAM CONG'!K123</f>
        <v>x</v>
      </c>
      <c r="N125" s="519" t="str">
        <f>'CHAM CONG'!L123</f>
        <v>x</v>
      </c>
      <c r="O125" s="519" t="str">
        <f>'CHAM CONG'!M123</f>
        <v>x</v>
      </c>
      <c r="P125" s="519" t="str">
        <f>'CHAM CONG'!N123</f>
        <v>x</v>
      </c>
      <c r="Q125" s="519" t="str">
        <f>'CHAM CONG'!O123</f>
        <v>x</v>
      </c>
      <c r="R125" s="519" t="str">
        <f>'CHAM CONG'!P123</f>
        <v>x</v>
      </c>
      <c r="S125" s="519" t="str">
        <f>'CHAM CONG'!Q123</f>
        <v>x</v>
      </c>
      <c r="T125" s="519" t="str">
        <f>'CHAM CONG'!R123</f>
        <v>x</v>
      </c>
      <c r="U125" s="519" t="str">
        <f>'CHAM CONG'!S123</f>
        <v>x</v>
      </c>
      <c r="V125" s="519" t="str">
        <f>'CHAM CONG'!T123</f>
        <v>x</v>
      </c>
      <c r="W125" s="519" t="str">
        <f>'CHAM CONG'!U123</f>
        <v>x</v>
      </c>
      <c r="X125" s="519"/>
      <c r="Y125" s="519"/>
      <c r="Z125" s="738">
        <f t="shared" si="24"/>
        <v>14</v>
      </c>
      <c r="AA125" s="580">
        <f t="shared" si="25"/>
        <v>0</v>
      </c>
      <c r="AB125" s="580">
        <f t="shared" si="26"/>
        <v>224000</v>
      </c>
      <c r="AC125" s="580">
        <f>'CHAM CONG'!V123</f>
        <v>0</v>
      </c>
      <c r="AD125" s="580" t="str">
        <f>'CHAM CONG'!W123</f>
        <v>x</v>
      </c>
      <c r="AE125" s="580">
        <f>'CHAM CONG'!X123</f>
        <v>0</v>
      </c>
      <c r="AF125" s="738">
        <f t="shared" si="27"/>
        <v>1</v>
      </c>
      <c r="AG125" s="580">
        <f t="shared" si="28"/>
        <v>17000</v>
      </c>
      <c r="AH125" s="580">
        <f t="shared" si="38"/>
        <v>14</v>
      </c>
      <c r="AI125" s="580">
        <f t="shared" si="29"/>
        <v>14000</v>
      </c>
      <c r="AJ125" s="580">
        <f t="shared" si="30"/>
        <v>255000</v>
      </c>
      <c r="AK125" s="429">
        <f>'SAN LUONG'!AF124</f>
        <v>261</v>
      </c>
      <c r="AL125" s="429">
        <f>'SAN LUONG'!AG124</f>
        <v>282</v>
      </c>
      <c r="AM125" s="429">
        <f>'SAN LUONG'!AH124</f>
        <v>332</v>
      </c>
      <c r="AN125" s="429">
        <f>'SAN LUONG'!AI124</f>
        <v>125</v>
      </c>
      <c r="AO125" s="746"/>
      <c r="AP125" s="746">
        <f t="shared" si="31"/>
        <v>0</v>
      </c>
      <c r="AQ125" s="746"/>
      <c r="AR125" s="746">
        <f t="shared" si="39"/>
        <v>0</v>
      </c>
      <c r="AS125" s="746">
        <f t="shared" si="21"/>
        <v>1000</v>
      </c>
      <c r="AT125" s="746">
        <f t="shared" si="32"/>
        <v>200200</v>
      </c>
      <c r="AU125" s="747">
        <f>'SAN LUONG'!AU124</f>
        <v>0</v>
      </c>
      <c r="AV125" s="748">
        <f t="shared" si="33"/>
        <v>0</v>
      </c>
      <c r="AW125" s="757">
        <f t="shared" si="34"/>
        <v>0</v>
      </c>
      <c r="AX125" s="758">
        <f t="shared" si="35"/>
        <v>455200</v>
      </c>
      <c r="AY125" s="759"/>
      <c r="AZ125" s="759"/>
      <c r="BA125" s="759"/>
      <c r="BB125" s="760">
        <f t="shared" si="36"/>
        <v>455200</v>
      </c>
      <c r="BC125" s="763"/>
      <c r="BD125" s="639">
        <f t="shared" si="37"/>
        <v>14.25</v>
      </c>
      <c r="BE125" s="768"/>
      <c r="BF125" s="769"/>
    </row>
    <row r="126" spans="1:58" s="725" customFormat="1" ht="32.4" customHeight="1">
      <c r="A126" s="503">
        <v>117</v>
      </c>
      <c r="B126" s="504">
        <v>5</v>
      </c>
      <c r="C126" s="504">
        <v>206</v>
      </c>
      <c r="D126" s="728"/>
      <c r="E126" s="728"/>
      <c r="F126" s="728"/>
      <c r="G126" s="728" t="str">
        <f>'Tên Tháng 1'!E120</f>
        <v>ខា​ សុឃីម</v>
      </c>
      <c r="H126" s="728" t="str">
        <f>'Tên Tháng 1'!F120</f>
        <v>KHA SOKHIM</v>
      </c>
      <c r="I126" s="519" t="str">
        <f>'CHAM CONG'!G124</f>
        <v>x</v>
      </c>
      <c r="J126" s="519" t="str">
        <f>'CHAM CONG'!H124</f>
        <v>x</v>
      </c>
      <c r="K126" s="519" t="str">
        <f>'CHAM CONG'!I124</f>
        <v>x</v>
      </c>
      <c r="L126" s="519">
        <f>'CHAM CONG'!J124</f>
        <v>0</v>
      </c>
      <c r="M126" s="519" t="str">
        <f>'CHAM CONG'!K124</f>
        <v>x</v>
      </c>
      <c r="N126" s="519" t="str">
        <f>'CHAM CONG'!L124</f>
        <v>x</v>
      </c>
      <c r="O126" s="519" t="str">
        <f>'CHAM CONG'!M124</f>
        <v>x</v>
      </c>
      <c r="P126" s="519" t="str">
        <f>'CHAM CONG'!N124</f>
        <v>x</v>
      </c>
      <c r="Q126" s="519" t="str">
        <f>'CHAM CONG'!O124</f>
        <v>x</v>
      </c>
      <c r="R126" s="519" t="str">
        <f>'CHAM CONG'!P124</f>
        <v>x</v>
      </c>
      <c r="S126" s="519" t="str">
        <f>'CHAM CONG'!Q124</f>
        <v>x</v>
      </c>
      <c r="T126" s="519" t="str">
        <f>'CHAM CONG'!R124</f>
        <v>x</v>
      </c>
      <c r="U126" s="519" t="str">
        <f>'CHAM CONG'!S124</f>
        <v>x</v>
      </c>
      <c r="V126" s="519" t="str">
        <f>'CHAM CONG'!T124</f>
        <v>x</v>
      </c>
      <c r="W126" s="519" t="str">
        <f>'CHAM CONG'!U124</f>
        <v>x</v>
      </c>
      <c r="X126" s="519"/>
      <c r="Y126" s="519"/>
      <c r="Z126" s="738">
        <f t="shared" si="24"/>
        <v>14</v>
      </c>
      <c r="AA126" s="580">
        <f t="shared" si="25"/>
        <v>0</v>
      </c>
      <c r="AB126" s="580">
        <f t="shared" si="26"/>
        <v>224000</v>
      </c>
      <c r="AC126" s="580">
        <f>'CHAM CONG'!V124</f>
        <v>0</v>
      </c>
      <c r="AD126" s="580" t="str">
        <f>'CHAM CONG'!W124</f>
        <v>x</v>
      </c>
      <c r="AE126" s="580">
        <f>'CHAM CONG'!X124</f>
        <v>0</v>
      </c>
      <c r="AF126" s="738">
        <f t="shared" si="27"/>
        <v>1</v>
      </c>
      <c r="AG126" s="580">
        <f t="shared" si="28"/>
        <v>17000</v>
      </c>
      <c r="AH126" s="580">
        <f t="shared" si="38"/>
        <v>14</v>
      </c>
      <c r="AI126" s="580">
        <f t="shared" si="29"/>
        <v>14000</v>
      </c>
      <c r="AJ126" s="580">
        <f t="shared" si="30"/>
        <v>255000</v>
      </c>
      <c r="AK126" s="429">
        <f>'SAN LUONG'!AF125</f>
        <v>430</v>
      </c>
      <c r="AL126" s="429">
        <f>'SAN LUONG'!AG125</f>
        <v>438</v>
      </c>
      <c r="AM126" s="429">
        <f>'SAN LUONG'!AH125</f>
        <v>364</v>
      </c>
      <c r="AN126" s="429">
        <f>'SAN LUONG'!AI125</f>
        <v>223</v>
      </c>
      <c r="AO126" s="746"/>
      <c r="AP126" s="746">
        <f t="shared" si="31"/>
        <v>0</v>
      </c>
      <c r="AQ126" s="746"/>
      <c r="AR126" s="746">
        <f t="shared" si="39"/>
        <v>0</v>
      </c>
      <c r="AS126" s="746">
        <f t="shared" si="21"/>
        <v>1455</v>
      </c>
      <c r="AT126" s="746">
        <f t="shared" si="32"/>
        <v>291291</v>
      </c>
      <c r="AU126" s="747">
        <f>'SAN LUONG'!AU125</f>
        <v>0</v>
      </c>
      <c r="AV126" s="748">
        <f t="shared" si="33"/>
        <v>0</v>
      </c>
      <c r="AW126" s="757">
        <f t="shared" si="34"/>
        <v>0</v>
      </c>
      <c r="AX126" s="758">
        <f t="shared" si="35"/>
        <v>546291</v>
      </c>
      <c r="AY126" s="759"/>
      <c r="AZ126" s="759"/>
      <c r="BA126" s="759"/>
      <c r="BB126" s="760">
        <f t="shared" si="36"/>
        <v>546291</v>
      </c>
      <c r="BC126" s="763"/>
      <c r="BD126" s="639">
        <f t="shared" si="37"/>
        <v>17.100000000000001</v>
      </c>
      <c r="BE126" s="768"/>
      <c r="BF126" s="769"/>
    </row>
    <row r="127" spans="1:58" s="725" customFormat="1" ht="32.4" customHeight="1">
      <c r="A127" s="503">
        <v>118</v>
      </c>
      <c r="B127" s="504">
        <v>5</v>
      </c>
      <c r="C127" s="504">
        <v>207</v>
      </c>
      <c r="D127" s="728"/>
      <c r="E127" s="728"/>
      <c r="F127" s="728"/>
      <c r="G127" s="728" t="str">
        <f>'Tên Tháng 1'!E121</f>
        <v>ភា សុផាត</v>
      </c>
      <c r="H127" s="728" t="str">
        <f>'Tên Tháng 1'!F121</f>
        <v>PHEA SOPHAT</v>
      </c>
      <c r="I127" s="519" t="str">
        <f>'CHAM CONG'!G125</f>
        <v>x</v>
      </c>
      <c r="J127" s="519">
        <f>'CHAM CONG'!H125</f>
        <v>0</v>
      </c>
      <c r="K127" s="519" t="str">
        <f>'CHAM CONG'!I125</f>
        <v>x</v>
      </c>
      <c r="L127" s="519">
        <f>'CHAM CONG'!J125</f>
        <v>0</v>
      </c>
      <c r="M127" s="519" t="str">
        <f>'CHAM CONG'!K125</f>
        <v>x</v>
      </c>
      <c r="N127" s="519">
        <f>'CHAM CONG'!L125</f>
        <v>0</v>
      </c>
      <c r="O127" s="519" t="str">
        <f>'CHAM CONG'!M125</f>
        <v>x</v>
      </c>
      <c r="P127" s="519" t="str">
        <f>'CHAM CONG'!N125</f>
        <v>x</v>
      </c>
      <c r="Q127" s="519" t="str">
        <f>'CHAM CONG'!O125</f>
        <v>x</v>
      </c>
      <c r="R127" s="519" t="str">
        <f>'CHAM CONG'!P125</f>
        <v>x</v>
      </c>
      <c r="S127" s="519" t="str">
        <f>'CHAM CONG'!Q125</f>
        <v>x</v>
      </c>
      <c r="T127" s="519" t="str">
        <f>'CHAM CONG'!R125</f>
        <v>x</v>
      </c>
      <c r="U127" s="519" t="str">
        <f>'CHAM CONG'!S125</f>
        <v>x</v>
      </c>
      <c r="V127" s="519" t="str">
        <f>'CHAM CONG'!T125</f>
        <v>x</v>
      </c>
      <c r="W127" s="519" t="str">
        <f>'CHAM CONG'!U125</f>
        <v>x</v>
      </c>
      <c r="X127" s="519"/>
      <c r="Y127" s="519"/>
      <c r="Z127" s="738">
        <f t="shared" si="24"/>
        <v>12</v>
      </c>
      <c r="AA127" s="580">
        <f t="shared" si="25"/>
        <v>0</v>
      </c>
      <c r="AB127" s="580">
        <f t="shared" si="26"/>
        <v>192000</v>
      </c>
      <c r="AC127" s="580">
        <f>'CHAM CONG'!V125</f>
        <v>0</v>
      </c>
      <c r="AD127" s="580" t="str">
        <f>'CHAM CONG'!W125</f>
        <v>x</v>
      </c>
      <c r="AE127" s="580">
        <f>'CHAM CONG'!X125</f>
        <v>0</v>
      </c>
      <c r="AF127" s="738">
        <f t="shared" si="27"/>
        <v>1</v>
      </c>
      <c r="AG127" s="580">
        <f t="shared" si="28"/>
        <v>17000</v>
      </c>
      <c r="AH127" s="580">
        <f t="shared" si="38"/>
        <v>12</v>
      </c>
      <c r="AI127" s="580">
        <f t="shared" si="29"/>
        <v>12000</v>
      </c>
      <c r="AJ127" s="580">
        <f t="shared" si="30"/>
        <v>221000</v>
      </c>
      <c r="AK127" s="429">
        <f>'SAN LUONG'!AF126</f>
        <v>376</v>
      </c>
      <c r="AL127" s="429">
        <f>'SAN LUONG'!AG126</f>
        <v>537</v>
      </c>
      <c r="AM127" s="429">
        <f>'SAN LUONG'!AH126</f>
        <v>373</v>
      </c>
      <c r="AN127" s="429">
        <f>'SAN LUONG'!AI126</f>
        <v>164</v>
      </c>
      <c r="AO127" s="746"/>
      <c r="AP127" s="746">
        <f t="shared" si="31"/>
        <v>0</v>
      </c>
      <c r="AQ127" s="746"/>
      <c r="AR127" s="746">
        <f t="shared" si="39"/>
        <v>0</v>
      </c>
      <c r="AS127" s="746">
        <f t="shared" si="21"/>
        <v>1450</v>
      </c>
      <c r="AT127" s="746">
        <f t="shared" si="32"/>
        <v>290290</v>
      </c>
      <c r="AU127" s="747">
        <f>'SAN LUONG'!AU126</f>
        <v>0</v>
      </c>
      <c r="AV127" s="748">
        <f t="shared" si="33"/>
        <v>0</v>
      </c>
      <c r="AW127" s="757">
        <f t="shared" si="34"/>
        <v>0</v>
      </c>
      <c r="AX127" s="758">
        <f t="shared" si="35"/>
        <v>511290</v>
      </c>
      <c r="AY127" s="759"/>
      <c r="AZ127" s="759"/>
      <c r="BA127" s="759"/>
      <c r="BB127" s="760">
        <f t="shared" si="36"/>
        <v>511290</v>
      </c>
      <c r="BC127" s="763"/>
      <c r="BD127" s="639">
        <f t="shared" si="37"/>
        <v>16</v>
      </c>
      <c r="BE127" s="768"/>
      <c r="BF127" s="769"/>
    </row>
    <row r="128" spans="1:58" s="725" customFormat="1" ht="29.4" customHeight="1">
      <c r="A128" s="503">
        <v>119</v>
      </c>
      <c r="B128" s="504">
        <v>5</v>
      </c>
      <c r="C128" s="504">
        <v>208</v>
      </c>
      <c r="D128" s="728"/>
      <c r="E128" s="728"/>
      <c r="F128" s="728"/>
      <c r="G128" s="728" t="str">
        <f>'Tên Tháng 1'!E122</f>
        <v>វឿត សុខនីន</v>
      </c>
      <c r="H128" s="728" t="str">
        <f>'Tên Tháng 1'!F122</f>
        <v>VOEUT SOKNIN</v>
      </c>
      <c r="I128" s="519" t="str">
        <f>'CHAM CONG'!G126</f>
        <v>x</v>
      </c>
      <c r="J128" s="519">
        <f>'CHAM CONG'!H126</f>
        <v>0</v>
      </c>
      <c r="K128" s="519" t="str">
        <f>'CHAM CONG'!I126</f>
        <v>x</v>
      </c>
      <c r="L128" s="519">
        <f>'CHAM CONG'!J126</f>
        <v>0</v>
      </c>
      <c r="M128" s="519" t="str">
        <f>'CHAM CONG'!K126</f>
        <v>x</v>
      </c>
      <c r="N128" s="519" t="str">
        <f>'CHAM CONG'!L126</f>
        <v>x</v>
      </c>
      <c r="O128" s="519" t="str">
        <f>'CHAM CONG'!M126</f>
        <v>x</v>
      </c>
      <c r="P128" s="519" t="str">
        <f>'CHAM CONG'!N126</f>
        <v>x</v>
      </c>
      <c r="Q128" s="519" t="str">
        <f>'CHAM CONG'!O126</f>
        <v>x</v>
      </c>
      <c r="R128" s="519" t="str">
        <f>'CHAM CONG'!P126</f>
        <v>x</v>
      </c>
      <c r="S128" s="519" t="str">
        <f>'CHAM CONG'!Q126</f>
        <v>x</v>
      </c>
      <c r="T128" s="519" t="str">
        <f>'CHAM CONG'!R126</f>
        <v>x</v>
      </c>
      <c r="U128" s="519" t="str">
        <f>'CHAM CONG'!S126</f>
        <v>x</v>
      </c>
      <c r="V128" s="519" t="str">
        <f>'CHAM CONG'!T126</f>
        <v>x</v>
      </c>
      <c r="W128" s="519" t="str">
        <f>'CHAM CONG'!U126</f>
        <v>x</v>
      </c>
      <c r="X128" s="519"/>
      <c r="Y128" s="519"/>
      <c r="Z128" s="738">
        <f t="shared" si="24"/>
        <v>13</v>
      </c>
      <c r="AA128" s="580">
        <f t="shared" si="25"/>
        <v>0</v>
      </c>
      <c r="AB128" s="580">
        <f t="shared" si="26"/>
        <v>208000</v>
      </c>
      <c r="AC128" s="580">
        <f>'CHAM CONG'!V126</f>
        <v>0</v>
      </c>
      <c r="AD128" s="580" t="str">
        <f>'CHAM CONG'!W126</f>
        <v>x</v>
      </c>
      <c r="AE128" s="580">
        <f>'CHAM CONG'!X126</f>
        <v>0</v>
      </c>
      <c r="AF128" s="738">
        <f t="shared" si="27"/>
        <v>1</v>
      </c>
      <c r="AG128" s="580">
        <f t="shared" si="28"/>
        <v>17000</v>
      </c>
      <c r="AH128" s="580">
        <f t="shared" si="38"/>
        <v>13</v>
      </c>
      <c r="AI128" s="580">
        <f t="shared" si="29"/>
        <v>13000</v>
      </c>
      <c r="AJ128" s="580">
        <f t="shared" si="30"/>
        <v>238000</v>
      </c>
      <c r="AK128" s="429">
        <f>'SAN LUONG'!AF127</f>
        <v>295</v>
      </c>
      <c r="AL128" s="429">
        <f>'SAN LUONG'!AG127</f>
        <v>463</v>
      </c>
      <c r="AM128" s="429">
        <f>'SAN LUONG'!AH127</f>
        <v>383</v>
      </c>
      <c r="AN128" s="429">
        <f>'SAN LUONG'!AI127</f>
        <v>135</v>
      </c>
      <c r="AO128" s="746"/>
      <c r="AP128" s="746">
        <f t="shared" si="31"/>
        <v>0</v>
      </c>
      <c r="AQ128" s="746"/>
      <c r="AR128" s="746">
        <f t="shared" si="39"/>
        <v>0</v>
      </c>
      <c r="AS128" s="746">
        <f t="shared" si="21"/>
        <v>1276</v>
      </c>
      <c r="AT128" s="746">
        <f t="shared" si="32"/>
        <v>255455</v>
      </c>
      <c r="AU128" s="747">
        <f>'SAN LUONG'!AU127</f>
        <v>0</v>
      </c>
      <c r="AV128" s="748">
        <f t="shared" si="33"/>
        <v>0</v>
      </c>
      <c r="AW128" s="757">
        <f t="shared" si="34"/>
        <v>0</v>
      </c>
      <c r="AX128" s="758">
        <f t="shared" si="35"/>
        <v>493455</v>
      </c>
      <c r="AY128" s="759"/>
      <c r="AZ128" s="759"/>
      <c r="BA128" s="759"/>
      <c r="BB128" s="760">
        <f t="shared" si="36"/>
        <v>493455</v>
      </c>
      <c r="BC128" s="763"/>
      <c r="BD128" s="639">
        <f t="shared" si="37"/>
        <v>15.45</v>
      </c>
      <c r="BE128" s="768"/>
      <c r="BF128" s="769"/>
    </row>
    <row r="129" spans="1:58" s="725" customFormat="1" ht="29.4" customHeight="1">
      <c r="A129" s="503">
        <v>120</v>
      </c>
      <c r="B129" s="504">
        <v>5</v>
      </c>
      <c r="C129" s="504">
        <v>209</v>
      </c>
      <c r="D129" s="728"/>
      <c r="E129" s="728"/>
      <c r="F129" s="728"/>
      <c r="G129" s="728" t="str">
        <f>'Tên Tháng 1'!E123</f>
        <v>អឿ វឿត</v>
      </c>
      <c r="H129" s="728" t="str">
        <f>'Tên Tháng 1'!F123</f>
        <v>OEUR VOEURTH</v>
      </c>
      <c r="I129" s="519" t="str">
        <f>'CHAM CONG'!G127</f>
        <v>x</v>
      </c>
      <c r="J129" s="519">
        <f>'CHAM CONG'!H127</f>
        <v>0</v>
      </c>
      <c r="K129" s="519" t="str">
        <f>'CHAM CONG'!I127</f>
        <v>x</v>
      </c>
      <c r="L129" s="519">
        <f>'CHAM CONG'!J127</f>
        <v>0</v>
      </c>
      <c r="M129" s="519" t="str">
        <f>'CHAM CONG'!K127</f>
        <v>x</v>
      </c>
      <c r="N129" s="519" t="str">
        <f>'CHAM CONG'!L127</f>
        <v>x</v>
      </c>
      <c r="O129" s="519" t="str">
        <f>'CHAM CONG'!M127</f>
        <v>x</v>
      </c>
      <c r="P129" s="519" t="str">
        <f>'CHAM CONG'!N127</f>
        <v>x</v>
      </c>
      <c r="Q129" s="519" t="str">
        <f>'CHAM CONG'!O127</f>
        <v>x</v>
      </c>
      <c r="R129" s="519" t="str">
        <f>'CHAM CONG'!P127</f>
        <v>x</v>
      </c>
      <c r="S129" s="519" t="str">
        <f>'CHAM CONG'!Q127</f>
        <v>x</v>
      </c>
      <c r="T129" s="519" t="str">
        <f>'CHAM CONG'!R127</f>
        <v>x</v>
      </c>
      <c r="U129" s="519" t="str">
        <f>'CHAM CONG'!S127</f>
        <v>x</v>
      </c>
      <c r="V129" s="519" t="str">
        <f>'CHAM CONG'!T127</f>
        <v>x</v>
      </c>
      <c r="W129" s="519" t="str">
        <f>'CHAM CONG'!U127</f>
        <v>x</v>
      </c>
      <c r="X129" s="519"/>
      <c r="Y129" s="519"/>
      <c r="Z129" s="738">
        <f t="shared" si="24"/>
        <v>13</v>
      </c>
      <c r="AA129" s="580">
        <f t="shared" si="25"/>
        <v>0</v>
      </c>
      <c r="AB129" s="580">
        <f t="shared" si="26"/>
        <v>208000</v>
      </c>
      <c r="AC129" s="580">
        <f>'CHAM CONG'!V127</f>
        <v>0</v>
      </c>
      <c r="AD129" s="580" t="str">
        <f>'CHAM CONG'!W127</f>
        <v>x</v>
      </c>
      <c r="AE129" s="580">
        <f>'CHAM CONG'!X127</f>
        <v>0</v>
      </c>
      <c r="AF129" s="738">
        <f t="shared" si="27"/>
        <v>1</v>
      </c>
      <c r="AG129" s="580">
        <f t="shared" si="28"/>
        <v>17000</v>
      </c>
      <c r="AH129" s="580">
        <f t="shared" si="38"/>
        <v>13</v>
      </c>
      <c r="AI129" s="580">
        <f t="shared" si="29"/>
        <v>13000</v>
      </c>
      <c r="AJ129" s="580">
        <f t="shared" si="30"/>
        <v>238000</v>
      </c>
      <c r="AK129" s="429">
        <f>'SAN LUONG'!AF128</f>
        <v>391</v>
      </c>
      <c r="AL129" s="429">
        <f>'SAN LUONG'!AG128</f>
        <v>518</v>
      </c>
      <c r="AM129" s="429">
        <f>'SAN LUONG'!AH128</f>
        <v>341</v>
      </c>
      <c r="AN129" s="429">
        <f>'SAN LUONG'!AI128</f>
        <v>188</v>
      </c>
      <c r="AO129" s="746"/>
      <c r="AP129" s="746">
        <f t="shared" si="31"/>
        <v>0</v>
      </c>
      <c r="AQ129" s="746"/>
      <c r="AR129" s="746">
        <f t="shared" si="39"/>
        <v>0</v>
      </c>
      <c r="AS129" s="746">
        <f t="shared" ref="AS129:AS134" si="40">SUM(AK129:AN129)</f>
        <v>1438</v>
      </c>
      <c r="AT129" s="746">
        <f t="shared" si="32"/>
        <v>287888</v>
      </c>
      <c r="AU129" s="747">
        <f>'SAN LUONG'!AU128</f>
        <v>0</v>
      </c>
      <c r="AV129" s="748">
        <f t="shared" si="33"/>
        <v>0</v>
      </c>
      <c r="AW129" s="757">
        <f t="shared" si="34"/>
        <v>0</v>
      </c>
      <c r="AX129" s="758">
        <f t="shared" si="35"/>
        <v>525888</v>
      </c>
      <c r="AY129" s="759"/>
      <c r="AZ129" s="759"/>
      <c r="BA129" s="759"/>
      <c r="BB129" s="760">
        <f t="shared" si="36"/>
        <v>525888</v>
      </c>
      <c r="BC129" s="763"/>
      <c r="BD129" s="639">
        <f t="shared" si="37"/>
        <v>16.46</v>
      </c>
      <c r="BE129" s="768"/>
      <c r="BF129" s="769"/>
    </row>
    <row r="130" spans="1:58" s="725" customFormat="1" ht="29.4" customHeight="1">
      <c r="A130" s="503">
        <v>121</v>
      </c>
      <c r="B130" s="504">
        <v>5</v>
      </c>
      <c r="C130" s="504">
        <v>210</v>
      </c>
      <c r="D130" s="728"/>
      <c r="E130" s="728"/>
      <c r="F130" s="728"/>
      <c r="G130" s="728" t="str">
        <f>'Tên Tháng 1'!E124</f>
        <v>លាង លីម</v>
      </c>
      <c r="H130" s="728" t="str">
        <f>'Tên Tháng 1'!F124</f>
        <v>LEANG LIM</v>
      </c>
      <c r="I130" s="519" t="str">
        <f>'CHAM CONG'!G128</f>
        <v>x</v>
      </c>
      <c r="J130" s="519" t="str">
        <f>'CHAM CONG'!H128</f>
        <v>x</v>
      </c>
      <c r="K130" s="519" t="str">
        <f>'CHAM CONG'!I128</f>
        <v>x</v>
      </c>
      <c r="L130" s="519" t="str">
        <f>'CHAM CONG'!J128</f>
        <v>x</v>
      </c>
      <c r="M130" s="519" t="str">
        <f>'CHAM CONG'!K128</f>
        <v>x</v>
      </c>
      <c r="N130" s="519" t="str">
        <f>'CHAM CONG'!L128</f>
        <v>x</v>
      </c>
      <c r="O130" s="519" t="str">
        <f>'CHAM CONG'!M128</f>
        <v>x</v>
      </c>
      <c r="P130" s="519" t="str">
        <f>'CHAM CONG'!N128</f>
        <v>x</v>
      </c>
      <c r="Q130" s="519" t="str">
        <f>'CHAM CONG'!O128</f>
        <v>x</v>
      </c>
      <c r="R130" s="519" t="str">
        <f>'CHAM CONG'!P128</f>
        <v>x</v>
      </c>
      <c r="S130" s="519" t="str">
        <f>'CHAM CONG'!Q128</f>
        <v>x</v>
      </c>
      <c r="T130" s="519" t="str">
        <f>'CHAM CONG'!R128</f>
        <v>x</v>
      </c>
      <c r="U130" s="519" t="str">
        <f>'CHAM CONG'!S128</f>
        <v>x</v>
      </c>
      <c r="V130" s="519" t="str">
        <f>'CHAM CONG'!T128</f>
        <v>x</v>
      </c>
      <c r="W130" s="519" t="str">
        <f>'CHAM CONG'!U128</f>
        <v>x</v>
      </c>
      <c r="X130" s="519"/>
      <c r="Y130" s="519"/>
      <c r="Z130" s="738">
        <f t="shared" si="24"/>
        <v>15</v>
      </c>
      <c r="AA130" s="580">
        <f t="shared" si="25"/>
        <v>0</v>
      </c>
      <c r="AB130" s="580">
        <f t="shared" si="26"/>
        <v>240000</v>
      </c>
      <c r="AC130" s="580">
        <f>'CHAM CONG'!V128</f>
        <v>0</v>
      </c>
      <c r="AD130" s="580" t="str">
        <f>'CHAM CONG'!W128</f>
        <v>x</v>
      </c>
      <c r="AE130" s="580">
        <f>'CHAM CONG'!X128</f>
        <v>0</v>
      </c>
      <c r="AF130" s="738">
        <f t="shared" si="27"/>
        <v>1</v>
      </c>
      <c r="AG130" s="580">
        <f t="shared" si="28"/>
        <v>17000</v>
      </c>
      <c r="AH130" s="580">
        <f t="shared" si="38"/>
        <v>15</v>
      </c>
      <c r="AI130" s="580">
        <f t="shared" si="29"/>
        <v>15000</v>
      </c>
      <c r="AJ130" s="580">
        <f t="shared" si="30"/>
        <v>272000</v>
      </c>
      <c r="AK130" s="429">
        <f>'SAN LUONG'!AF129</f>
        <v>281</v>
      </c>
      <c r="AL130" s="429">
        <f>'SAN LUONG'!AG129</f>
        <v>456</v>
      </c>
      <c r="AM130" s="429">
        <f>'SAN LUONG'!AH129</f>
        <v>474</v>
      </c>
      <c r="AN130" s="429">
        <f>'SAN LUONG'!AI129</f>
        <v>317</v>
      </c>
      <c r="AO130" s="746"/>
      <c r="AP130" s="746">
        <f t="shared" si="31"/>
        <v>0</v>
      </c>
      <c r="AQ130" s="746"/>
      <c r="AR130" s="746">
        <f t="shared" si="39"/>
        <v>0</v>
      </c>
      <c r="AS130" s="746">
        <f t="shared" si="40"/>
        <v>1528</v>
      </c>
      <c r="AT130" s="746">
        <f t="shared" si="32"/>
        <v>305906</v>
      </c>
      <c r="AU130" s="747">
        <f>'SAN LUONG'!AU129</f>
        <v>0</v>
      </c>
      <c r="AV130" s="748">
        <f t="shared" si="33"/>
        <v>0</v>
      </c>
      <c r="AW130" s="757">
        <f t="shared" si="34"/>
        <v>0</v>
      </c>
      <c r="AX130" s="758">
        <f t="shared" si="35"/>
        <v>577906</v>
      </c>
      <c r="AY130" s="759"/>
      <c r="AZ130" s="759"/>
      <c r="BA130" s="759"/>
      <c r="BB130" s="760">
        <f t="shared" si="36"/>
        <v>577906</v>
      </c>
      <c r="BC130" s="763"/>
      <c r="BD130" s="639">
        <f t="shared" si="37"/>
        <v>18.09</v>
      </c>
      <c r="BE130" s="768"/>
      <c r="BF130" s="769"/>
    </row>
    <row r="131" spans="1:58" s="725" customFormat="1" ht="29.4" customHeight="1">
      <c r="A131" s="503">
        <v>122</v>
      </c>
      <c r="B131" s="504">
        <v>5</v>
      </c>
      <c r="C131" s="504">
        <v>211</v>
      </c>
      <c r="D131" s="728"/>
      <c r="E131" s="728"/>
      <c r="F131" s="728"/>
      <c r="G131" s="728" t="str">
        <f>'Tên Tháng 1'!E125</f>
        <v>ឃឹម ឡន</v>
      </c>
      <c r="H131" s="728" t="str">
        <f>'Tên Tháng 1'!F125</f>
        <v>KHOEM LAN</v>
      </c>
      <c r="I131" s="519">
        <f>'CHAM CONG'!G129</f>
        <v>0</v>
      </c>
      <c r="J131" s="519" t="str">
        <f>'CHAM CONG'!H129</f>
        <v>x</v>
      </c>
      <c r="K131" s="519" t="str">
        <f>'CHAM CONG'!I129</f>
        <v>x</v>
      </c>
      <c r="L131" s="519">
        <f>'CHAM CONG'!J129</f>
        <v>0</v>
      </c>
      <c r="M131" s="519" t="str">
        <f>'CHAM CONG'!K129</f>
        <v>x</v>
      </c>
      <c r="N131" s="519" t="str">
        <f>'CHAM CONG'!L129</f>
        <v>x</v>
      </c>
      <c r="O131" s="519" t="str">
        <f>'CHAM CONG'!M129</f>
        <v>x</v>
      </c>
      <c r="P131" s="519" t="str">
        <f>'CHAM CONG'!N129</f>
        <v>x</v>
      </c>
      <c r="Q131" s="519" t="str">
        <f>'CHAM CONG'!O129</f>
        <v>x</v>
      </c>
      <c r="R131" s="519" t="str">
        <f>'CHAM CONG'!P129</f>
        <v>x</v>
      </c>
      <c r="S131" s="519" t="str">
        <f>'CHAM CONG'!Q129</f>
        <v>x</v>
      </c>
      <c r="T131" s="519" t="str">
        <f>'CHAM CONG'!R129</f>
        <v>x</v>
      </c>
      <c r="U131" s="519" t="str">
        <f>'CHAM CONG'!S129</f>
        <v>x</v>
      </c>
      <c r="V131" s="519" t="str">
        <f>'CHAM CONG'!T129</f>
        <v>x</v>
      </c>
      <c r="W131" s="519" t="str">
        <f>'CHAM CONG'!U129</f>
        <v>x</v>
      </c>
      <c r="X131" s="519"/>
      <c r="Y131" s="519"/>
      <c r="Z131" s="738">
        <f t="shared" si="24"/>
        <v>13</v>
      </c>
      <c r="AA131" s="580">
        <f t="shared" si="25"/>
        <v>0</v>
      </c>
      <c r="AB131" s="580">
        <f t="shared" si="26"/>
        <v>208000</v>
      </c>
      <c r="AC131" s="580">
        <f>'CHAM CONG'!V129</f>
        <v>0</v>
      </c>
      <c r="AD131" s="580" t="str">
        <f>'CHAM CONG'!W129</f>
        <v>x</v>
      </c>
      <c r="AE131" s="580">
        <f>'CHAM CONG'!X129</f>
        <v>0</v>
      </c>
      <c r="AF131" s="738">
        <f t="shared" si="27"/>
        <v>1</v>
      </c>
      <c r="AG131" s="580">
        <f t="shared" si="28"/>
        <v>17000</v>
      </c>
      <c r="AH131" s="580">
        <f t="shared" si="38"/>
        <v>13</v>
      </c>
      <c r="AI131" s="580">
        <f t="shared" si="29"/>
        <v>13000</v>
      </c>
      <c r="AJ131" s="580">
        <f t="shared" si="30"/>
        <v>238000</v>
      </c>
      <c r="AK131" s="429">
        <f>'SAN LUONG'!AF130</f>
        <v>262</v>
      </c>
      <c r="AL131" s="429">
        <f>'SAN LUONG'!AG130</f>
        <v>442</v>
      </c>
      <c r="AM131" s="429">
        <f>'SAN LUONG'!AH130</f>
        <v>440</v>
      </c>
      <c r="AN131" s="429">
        <f>'SAN LUONG'!AI130</f>
        <v>237</v>
      </c>
      <c r="AO131" s="746"/>
      <c r="AP131" s="746">
        <f t="shared" si="31"/>
        <v>0</v>
      </c>
      <c r="AQ131" s="746"/>
      <c r="AR131" s="746">
        <f t="shared" si="39"/>
        <v>0</v>
      </c>
      <c r="AS131" s="746">
        <f t="shared" si="40"/>
        <v>1381</v>
      </c>
      <c r="AT131" s="746">
        <f t="shared" si="32"/>
        <v>276476</v>
      </c>
      <c r="AU131" s="747">
        <f>'SAN LUONG'!AU130</f>
        <v>0</v>
      </c>
      <c r="AV131" s="748">
        <f t="shared" si="33"/>
        <v>0</v>
      </c>
      <c r="AW131" s="757">
        <f t="shared" si="34"/>
        <v>0</v>
      </c>
      <c r="AX131" s="758">
        <f t="shared" si="35"/>
        <v>514476</v>
      </c>
      <c r="AY131" s="759"/>
      <c r="AZ131" s="759"/>
      <c r="BA131" s="759"/>
      <c r="BB131" s="760">
        <f t="shared" si="36"/>
        <v>514476</v>
      </c>
      <c r="BC131" s="763"/>
      <c r="BD131" s="639">
        <f t="shared" si="37"/>
        <v>16.100000000000001</v>
      </c>
      <c r="BE131" s="768"/>
      <c r="BF131" s="769"/>
    </row>
    <row r="132" spans="1:58" s="725" customFormat="1" ht="29.4" customHeight="1">
      <c r="A132" s="503">
        <v>123</v>
      </c>
      <c r="B132" s="504">
        <v>5</v>
      </c>
      <c r="C132" s="504">
        <v>212</v>
      </c>
      <c r="D132" s="728"/>
      <c r="E132" s="728"/>
      <c r="F132" s="728"/>
      <c r="G132" s="728" t="str">
        <f>'Tên Tháng 1'!E126</f>
        <v>ឈឿន សារិន</v>
      </c>
      <c r="H132" s="728" t="str">
        <f>'Tên Tháng 1'!F126</f>
        <v>CHHOEUN SARIN</v>
      </c>
      <c r="I132" s="519">
        <f>'CHAM CONG'!G130</f>
        <v>0</v>
      </c>
      <c r="J132" s="519" t="str">
        <f>'CHAM CONG'!H130</f>
        <v>x</v>
      </c>
      <c r="K132" s="519" t="str">
        <f>'CHAM CONG'!I130</f>
        <v>x</v>
      </c>
      <c r="L132" s="519">
        <f>'CHAM CONG'!J130</f>
        <v>0</v>
      </c>
      <c r="M132" s="519" t="str">
        <f>'CHAM CONG'!K130</f>
        <v>x</v>
      </c>
      <c r="N132" s="519" t="str">
        <f>'CHAM CONG'!L130</f>
        <v>x</v>
      </c>
      <c r="O132" s="519" t="str">
        <f>'CHAM CONG'!M130</f>
        <v>x</v>
      </c>
      <c r="P132" s="519" t="str">
        <f>'CHAM CONG'!N130</f>
        <v>x</v>
      </c>
      <c r="Q132" s="519" t="str">
        <f>'CHAM CONG'!O130</f>
        <v>x</v>
      </c>
      <c r="R132" s="519" t="str">
        <f>'CHAM CONG'!P130</f>
        <v>x</v>
      </c>
      <c r="S132" s="519" t="str">
        <f>'CHAM CONG'!Q130</f>
        <v>x</v>
      </c>
      <c r="T132" s="519" t="str">
        <f>'CHAM CONG'!R130</f>
        <v>x</v>
      </c>
      <c r="U132" s="519" t="str">
        <f>'CHAM CONG'!S130</f>
        <v>x</v>
      </c>
      <c r="V132" s="519" t="str">
        <f>'CHAM CONG'!T130</f>
        <v>x</v>
      </c>
      <c r="W132" s="519" t="str">
        <f>'CHAM CONG'!U130</f>
        <v>x</v>
      </c>
      <c r="X132" s="519"/>
      <c r="Y132" s="519"/>
      <c r="Z132" s="738">
        <f t="shared" si="24"/>
        <v>13</v>
      </c>
      <c r="AA132" s="580">
        <f t="shared" si="25"/>
        <v>0</v>
      </c>
      <c r="AB132" s="580">
        <f t="shared" si="26"/>
        <v>208000</v>
      </c>
      <c r="AC132" s="580">
        <f>'CHAM CONG'!V130</f>
        <v>0</v>
      </c>
      <c r="AD132" s="580" t="str">
        <f>'CHAM CONG'!W130</f>
        <v>x</v>
      </c>
      <c r="AE132" s="580">
        <f>'CHAM CONG'!X130</f>
        <v>0</v>
      </c>
      <c r="AF132" s="738">
        <f t="shared" si="27"/>
        <v>1</v>
      </c>
      <c r="AG132" s="580">
        <f t="shared" si="28"/>
        <v>17000</v>
      </c>
      <c r="AH132" s="580">
        <f t="shared" si="38"/>
        <v>13</v>
      </c>
      <c r="AI132" s="580">
        <f t="shared" si="29"/>
        <v>13000</v>
      </c>
      <c r="AJ132" s="580">
        <f t="shared" si="30"/>
        <v>238000</v>
      </c>
      <c r="AK132" s="429">
        <f>'SAN LUONG'!AF131</f>
        <v>261</v>
      </c>
      <c r="AL132" s="429">
        <f>'SAN LUONG'!AG131</f>
        <v>265</v>
      </c>
      <c r="AM132" s="429">
        <f>'SAN LUONG'!AH131</f>
        <v>452</v>
      </c>
      <c r="AN132" s="429">
        <f>'SAN LUONG'!AI131</f>
        <v>202</v>
      </c>
      <c r="AO132" s="746"/>
      <c r="AP132" s="746">
        <f t="shared" si="31"/>
        <v>0</v>
      </c>
      <c r="AQ132" s="746"/>
      <c r="AR132" s="746">
        <f t="shared" si="39"/>
        <v>0</v>
      </c>
      <c r="AS132" s="746">
        <f t="shared" si="40"/>
        <v>1180</v>
      </c>
      <c r="AT132" s="746">
        <f t="shared" si="32"/>
        <v>236236</v>
      </c>
      <c r="AU132" s="747">
        <f>'SAN LUONG'!AU131</f>
        <v>0</v>
      </c>
      <c r="AV132" s="748">
        <f t="shared" si="33"/>
        <v>0</v>
      </c>
      <c r="AW132" s="757">
        <f t="shared" si="34"/>
        <v>0</v>
      </c>
      <c r="AX132" s="758">
        <f t="shared" si="35"/>
        <v>474236</v>
      </c>
      <c r="AY132" s="759"/>
      <c r="AZ132" s="759"/>
      <c r="BA132" s="759"/>
      <c r="BB132" s="760">
        <f t="shared" si="36"/>
        <v>474236</v>
      </c>
      <c r="BC132" s="763"/>
      <c r="BD132" s="639">
        <f t="shared" si="37"/>
        <v>14.84</v>
      </c>
      <c r="BE132" s="768"/>
      <c r="BF132" s="769"/>
    </row>
    <row r="133" spans="1:58" s="725" customFormat="1" ht="29.4" customHeight="1">
      <c r="A133" s="503">
        <v>124</v>
      </c>
      <c r="B133" s="504">
        <v>5</v>
      </c>
      <c r="C133" s="504">
        <v>213</v>
      </c>
      <c r="D133" s="728"/>
      <c r="E133" s="728"/>
      <c r="F133" s="728"/>
      <c r="G133" s="728" t="str">
        <f>'Tên Tháng 1'!E127</f>
        <v>លាង ឡៃហេង</v>
      </c>
      <c r="H133" s="728" t="str">
        <f>'Tên Tháng 1'!F127</f>
        <v>LEANG LAIHENG</v>
      </c>
      <c r="I133" s="519" t="str">
        <f>'CHAM CONG'!G131</f>
        <v>x</v>
      </c>
      <c r="J133" s="519">
        <f>'CHAM CONG'!H131</f>
        <v>0</v>
      </c>
      <c r="K133" s="519" t="str">
        <f>'CHAM CONG'!I131</f>
        <v>x</v>
      </c>
      <c r="L133" s="519" t="str">
        <f>'CHAM CONG'!J131</f>
        <v>x</v>
      </c>
      <c r="M133" s="519" t="str">
        <f>'CHAM CONG'!K131</f>
        <v>x</v>
      </c>
      <c r="N133" s="519">
        <f>'CHAM CONG'!L131</f>
        <v>0</v>
      </c>
      <c r="O133" s="519" t="str">
        <f>'CHAM CONG'!M131</f>
        <v>x</v>
      </c>
      <c r="P133" s="519" t="str">
        <f>'CHAM CONG'!N131</f>
        <v>x</v>
      </c>
      <c r="Q133" s="519" t="str">
        <f>'CHAM CONG'!O131</f>
        <v>x</v>
      </c>
      <c r="R133" s="519" t="str">
        <f>'CHAM CONG'!P131</f>
        <v>x</v>
      </c>
      <c r="S133" s="519" t="str">
        <f>'CHAM CONG'!Q131</f>
        <v>x</v>
      </c>
      <c r="T133" s="519" t="str">
        <f>'CHAM CONG'!R131</f>
        <v>x</v>
      </c>
      <c r="U133" s="519" t="str">
        <f>'CHAM CONG'!S131</f>
        <v>x</v>
      </c>
      <c r="V133" s="519" t="str">
        <f>'CHAM CONG'!T131</f>
        <v>x</v>
      </c>
      <c r="W133" s="519" t="str">
        <f>'CHAM CONG'!U131</f>
        <v>x</v>
      </c>
      <c r="X133" s="519"/>
      <c r="Y133" s="519"/>
      <c r="Z133" s="738">
        <f t="shared" si="24"/>
        <v>13</v>
      </c>
      <c r="AA133" s="580">
        <f t="shared" si="25"/>
        <v>0</v>
      </c>
      <c r="AB133" s="580">
        <f t="shared" si="26"/>
        <v>208000</v>
      </c>
      <c r="AC133" s="580">
        <f>'CHAM CONG'!V131</f>
        <v>0</v>
      </c>
      <c r="AD133" s="580" t="str">
        <f>'CHAM CONG'!W131</f>
        <v>x</v>
      </c>
      <c r="AE133" s="580">
        <f>'CHAM CONG'!X131</f>
        <v>0</v>
      </c>
      <c r="AF133" s="738">
        <f t="shared" si="27"/>
        <v>1</v>
      </c>
      <c r="AG133" s="580">
        <f t="shared" si="28"/>
        <v>17000</v>
      </c>
      <c r="AH133" s="580">
        <f t="shared" si="38"/>
        <v>13</v>
      </c>
      <c r="AI133" s="580">
        <f t="shared" si="29"/>
        <v>13000</v>
      </c>
      <c r="AJ133" s="580">
        <f t="shared" si="30"/>
        <v>238000</v>
      </c>
      <c r="AK133" s="429">
        <f>'SAN LUONG'!AF132</f>
        <v>241</v>
      </c>
      <c r="AL133" s="429">
        <f>'SAN LUONG'!AG132</f>
        <v>333</v>
      </c>
      <c r="AM133" s="429">
        <f>'SAN LUONG'!AH132</f>
        <v>494</v>
      </c>
      <c r="AN133" s="429">
        <f>'SAN LUONG'!AI132</f>
        <v>177</v>
      </c>
      <c r="AO133" s="746"/>
      <c r="AP133" s="746">
        <f t="shared" si="31"/>
        <v>0</v>
      </c>
      <c r="AQ133" s="746"/>
      <c r="AR133" s="746">
        <f t="shared" si="39"/>
        <v>0</v>
      </c>
      <c r="AS133" s="746">
        <f t="shared" si="40"/>
        <v>1245</v>
      </c>
      <c r="AT133" s="746">
        <f t="shared" si="32"/>
        <v>249249</v>
      </c>
      <c r="AU133" s="747">
        <f>'SAN LUONG'!AU132</f>
        <v>0</v>
      </c>
      <c r="AV133" s="748">
        <f t="shared" si="33"/>
        <v>0</v>
      </c>
      <c r="AW133" s="757">
        <f t="shared" si="34"/>
        <v>0</v>
      </c>
      <c r="AX133" s="758">
        <f t="shared" si="35"/>
        <v>487249</v>
      </c>
      <c r="AY133" s="759"/>
      <c r="AZ133" s="759"/>
      <c r="BA133" s="759"/>
      <c r="BB133" s="760">
        <f t="shared" si="36"/>
        <v>487249</v>
      </c>
      <c r="BC133" s="763"/>
      <c r="BD133" s="639">
        <f t="shared" si="37"/>
        <v>15.25</v>
      </c>
      <c r="BE133" s="768"/>
      <c r="BF133" s="769"/>
    </row>
    <row r="134" spans="1:58" s="725" customFormat="1" ht="43.95" customHeight="1">
      <c r="A134" s="503">
        <v>125</v>
      </c>
      <c r="B134" s="504">
        <v>5</v>
      </c>
      <c r="C134" s="504">
        <v>214</v>
      </c>
      <c r="D134" s="728"/>
      <c r="E134" s="728"/>
      <c r="F134" s="728"/>
      <c r="G134" s="728" t="str">
        <f>'Tên Tháng 1'!E128</f>
        <v>ហួយ ភើក</v>
      </c>
      <c r="H134" s="728" t="str">
        <f>'Tên Tháng 1'!F128</f>
        <v>HOURY PHEAK</v>
      </c>
      <c r="I134" s="519" t="str">
        <f>'CHAM CONG'!G132</f>
        <v>x</v>
      </c>
      <c r="J134" s="519" t="str">
        <f>'CHAM CONG'!H132</f>
        <v>x</v>
      </c>
      <c r="K134" s="519" t="str">
        <f>'CHAM CONG'!I132</f>
        <v>x</v>
      </c>
      <c r="L134" s="519" t="str">
        <f>'CHAM CONG'!J132</f>
        <v>x</v>
      </c>
      <c r="M134" s="519" t="str">
        <f>'CHAM CONG'!K132</f>
        <v>x</v>
      </c>
      <c r="N134" s="519" t="str">
        <f>'CHAM CONG'!L132</f>
        <v>x</v>
      </c>
      <c r="O134" s="519" t="str">
        <f>'CHAM CONG'!M132</f>
        <v>x</v>
      </c>
      <c r="P134" s="519" t="str">
        <f>'CHAM CONG'!N132</f>
        <v>x</v>
      </c>
      <c r="Q134" s="519" t="str">
        <f>'CHAM CONG'!O132</f>
        <v>x</v>
      </c>
      <c r="R134" s="519" t="str">
        <f>'CHAM CONG'!P132</f>
        <v>x</v>
      </c>
      <c r="S134" s="519" t="str">
        <f>'CHAM CONG'!Q132</f>
        <v>x</v>
      </c>
      <c r="T134" s="519" t="str">
        <f>'CHAM CONG'!R132</f>
        <v>x</v>
      </c>
      <c r="U134" s="519" t="str">
        <f>'CHAM CONG'!S132</f>
        <v>x</v>
      </c>
      <c r="V134" s="519" t="str">
        <f>'CHAM CONG'!T132</f>
        <v>x</v>
      </c>
      <c r="W134" s="519" t="str">
        <f>'CHAM CONG'!U132</f>
        <v>x</v>
      </c>
      <c r="X134" s="519"/>
      <c r="Y134" s="519"/>
      <c r="Z134" s="738">
        <f t="shared" si="24"/>
        <v>15</v>
      </c>
      <c r="AA134" s="580">
        <f t="shared" si="25"/>
        <v>0</v>
      </c>
      <c r="AB134" s="580">
        <f t="shared" si="26"/>
        <v>240000</v>
      </c>
      <c r="AC134" s="580">
        <f>'CHAM CONG'!V132</f>
        <v>0</v>
      </c>
      <c r="AD134" s="580" t="str">
        <f>'CHAM CONG'!W132</f>
        <v>x</v>
      </c>
      <c r="AE134" s="580">
        <f>'CHAM CONG'!X132</f>
        <v>0</v>
      </c>
      <c r="AF134" s="738">
        <f t="shared" si="27"/>
        <v>1</v>
      </c>
      <c r="AG134" s="580">
        <f t="shared" si="28"/>
        <v>17000</v>
      </c>
      <c r="AH134" s="580">
        <f t="shared" si="38"/>
        <v>15</v>
      </c>
      <c r="AI134" s="580">
        <f t="shared" si="29"/>
        <v>15000</v>
      </c>
      <c r="AJ134" s="580">
        <f t="shared" si="30"/>
        <v>272000</v>
      </c>
      <c r="AK134" s="429">
        <f>'SAN LUONG'!AF133</f>
        <v>214</v>
      </c>
      <c r="AL134" s="429">
        <f>'SAN LUONG'!AG133</f>
        <v>444</v>
      </c>
      <c r="AM134" s="429">
        <f>'SAN LUONG'!AH133</f>
        <v>539</v>
      </c>
      <c r="AN134" s="429">
        <f>'SAN LUONG'!AI133</f>
        <v>287</v>
      </c>
      <c r="AO134" s="746"/>
      <c r="AP134" s="746">
        <f t="shared" si="31"/>
        <v>0</v>
      </c>
      <c r="AQ134" s="746"/>
      <c r="AR134" s="746">
        <f t="shared" si="39"/>
        <v>0</v>
      </c>
      <c r="AS134" s="746">
        <f t="shared" si="40"/>
        <v>1484</v>
      </c>
      <c r="AT134" s="746">
        <f>ROUND(AS134*0.44*$AT$8,0)-2</f>
        <v>297095</v>
      </c>
      <c r="AU134" s="747">
        <f>'SAN LUONG'!AU133</f>
        <v>0</v>
      </c>
      <c r="AV134" s="748">
        <f t="shared" si="33"/>
        <v>0</v>
      </c>
      <c r="AW134" s="757">
        <f t="shared" si="34"/>
        <v>0</v>
      </c>
      <c r="AX134" s="758">
        <f t="shared" si="35"/>
        <v>569095</v>
      </c>
      <c r="AY134" s="759"/>
      <c r="AZ134" s="759"/>
      <c r="BA134" s="759"/>
      <c r="BB134" s="760">
        <f t="shared" si="36"/>
        <v>569095</v>
      </c>
      <c r="BC134" s="764">
        <f>SUM(BB96:BB134)</f>
        <v>20667729</v>
      </c>
      <c r="BD134" s="639">
        <f t="shared" si="37"/>
        <v>17.809999999999999</v>
      </c>
      <c r="BE134" s="768"/>
      <c r="BF134" s="769"/>
    </row>
    <row r="135" spans="1:58" s="725" customFormat="1" ht="30" customHeight="1">
      <c r="A135" s="503">
        <v>126</v>
      </c>
      <c r="B135" s="504">
        <v>7</v>
      </c>
      <c r="C135" s="504">
        <v>251</v>
      </c>
      <c r="D135" s="728"/>
      <c r="E135" s="728"/>
      <c r="F135" s="728"/>
      <c r="G135" s="728" t="str">
        <f>'Tên Tháng 1'!E129</f>
        <v>ធឿន ​ធា</v>
      </c>
      <c r="H135" s="728" t="str">
        <f>'Tên Tháng 1'!F129</f>
        <v>THOEURN THEA</v>
      </c>
      <c r="I135" s="519" t="str">
        <f>'CHAM CONG'!G133</f>
        <v>x</v>
      </c>
      <c r="J135" s="519" t="str">
        <f>'CHAM CONG'!H133</f>
        <v>x</v>
      </c>
      <c r="K135" s="519" t="str">
        <f>'CHAM CONG'!I133</f>
        <v>x</v>
      </c>
      <c r="L135" s="519" t="str">
        <f>'CHAM CONG'!J133</f>
        <v>x</v>
      </c>
      <c r="M135" s="519">
        <f>'CHAM CONG'!K133</f>
        <v>0</v>
      </c>
      <c r="N135" s="519">
        <f>'CHAM CONG'!L133</f>
        <v>0</v>
      </c>
      <c r="O135" s="519">
        <f>'CHAM CONG'!M133</f>
        <v>0</v>
      </c>
      <c r="P135" s="519">
        <f>'CHAM CONG'!N133</f>
        <v>0</v>
      </c>
      <c r="Q135" s="519">
        <f>'CHAM CONG'!O133</f>
        <v>0</v>
      </c>
      <c r="R135" s="519">
        <f>'CHAM CONG'!P133</f>
        <v>0</v>
      </c>
      <c r="S135" s="519">
        <f>'CHAM CONG'!Q133</f>
        <v>0</v>
      </c>
      <c r="T135" s="519">
        <f>'CHAM CONG'!R133</f>
        <v>0</v>
      </c>
      <c r="U135" s="519">
        <f>'CHAM CONG'!S133</f>
        <v>0</v>
      </c>
      <c r="V135" s="519" t="str">
        <f>'CHAM CONG'!T133</f>
        <v>x</v>
      </c>
      <c r="W135" s="519" t="str">
        <f>'CHAM CONG'!U133</f>
        <v>x</v>
      </c>
      <c r="X135" s="519"/>
      <c r="Y135" s="519"/>
      <c r="Z135" s="738">
        <f t="shared" si="24"/>
        <v>6</v>
      </c>
      <c r="AA135" s="580">
        <f t="shared" si="25"/>
        <v>0</v>
      </c>
      <c r="AB135" s="580">
        <f t="shared" si="26"/>
        <v>96000</v>
      </c>
      <c r="AC135" s="580">
        <f>'CHAM CONG'!V133</f>
        <v>0</v>
      </c>
      <c r="AD135" s="580">
        <f>'CHAM CONG'!W133</f>
        <v>0</v>
      </c>
      <c r="AE135" s="580">
        <f>'CHAM CONG'!X133</f>
        <v>0</v>
      </c>
      <c r="AF135" s="738">
        <f t="shared" si="27"/>
        <v>0</v>
      </c>
      <c r="AG135" s="580">
        <f t="shared" si="28"/>
        <v>0</v>
      </c>
      <c r="AH135" s="580">
        <f t="shared" si="38"/>
        <v>6</v>
      </c>
      <c r="AI135" s="580">
        <f t="shared" si="29"/>
        <v>6000</v>
      </c>
      <c r="AJ135" s="580">
        <f t="shared" si="30"/>
        <v>102000</v>
      </c>
      <c r="AK135" s="429">
        <f>'SAN LUONG'!AF134</f>
        <v>157</v>
      </c>
      <c r="AL135" s="429">
        <f>'SAN LUONG'!AG134</f>
        <v>0</v>
      </c>
      <c r="AM135" s="429">
        <f>'SAN LUONG'!AH134</f>
        <v>0</v>
      </c>
      <c r="AN135" s="429">
        <f>'SAN LUONG'!AI134</f>
        <v>163</v>
      </c>
      <c r="AO135" s="746"/>
      <c r="AP135" s="746">
        <f t="shared" si="31"/>
        <v>0</v>
      </c>
      <c r="AQ135" s="746">
        <f>SUM(AK135:AN135)</f>
        <v>320</v>
      </c>
      <c r="AR135" s="746">
        <f t="shared" si="39"/>
        <v>71104</v>
      </c>
      <c r="AS135" s="746"/>
      <c r="AT135" s="746">
        <f t="shared" si="32"/>
        <v>0</v>
      </c>
      <c r="AU135" s="747">
        <f>'SAN LUONG'!AU134</f>
        <v>0</v>
      </c>
      <c r="AV135" s="748">
        <f t="shared" si="33"/>
        <v>0</v>
      </c>
      <c r="AW135" s="757">
        <f t="shared" si="34"/>
        <v>0</v>
      </c>
      <c r="AX135" s="758">
        <f t="shared" si="35"/>
        <v>173104</v>
      </c>
      <c r="AY135" s="759"/>
      <c r="AZ135" s="759"/>
      <c r="BA135" s="759"/>
      <c r="BB135" s="760">
        <f t="shared" si="36"/>
        <v>173104</v>
      </c>
      <c r="BC135" s="763"/>
      <c r="BD135" s="639">
        <f t="shared" si="37"/>
        <v>5.42</v>
      </c>
      <c r="BE135" s="768"/>
      <c r="BF135" s="769"/>
    </row>
    <row r="136" spans="1:58" s="725" customFormat="1" ht="30" customHeight="1">
      <c r="A136" s="503">
        <v>127</v>
      </c>
      <c r="B136" s="504">
        <v>7</v>
      </c>
      <c r="C136" s="504">
        <v>252</v>
      </c>
      <c r="D136" s="728"/>
      <c r="E136" s="728"/>
      <c r="F136" s="728"/>
      <c r="G136" s="728" t="str">
        <f>'Tên Tháng 1'!E130</f>
        <v>យី ប៉ាង</v>
      </c>
      <c r="H136" s="728" t="str">
        <f>'Tên Tháng 1'!F130</f>
        <v>YI PANG</v>
      </c>
      <c r="I136" s="519">
        <f>'CHAM CONG'!G134</f>
        <v>0</v>
      </c>
      <c r="J136" s="519" t="str">
        <f>'CHAM CONG'!H134</f>
        <v>x</v>
      </c>
      <c r="K136" s="519" t="str">
        <f>'CHAM CONG'!I134</f>
        <v>x</v>
      </c>
      <c r="L136" s="519" t="str">
        <f>'CHAM CONG'!J134</f>
        <v>x</v>
      </c>
      <c r="M136" s="519">
        <f>'CHAM CONG'!K134</f>
        <v>0</v>
      </c>
      <c r="N136" s="519">
        <f>'CHAM CONG'!L134</f>
        <v>0</v>
      </c>
      <c r="O136" s="519">
        <f>'CHAM CONG'!M134</f>
        <v>0</v>
      </c>
      <c r="P136" s="519">
        <f>'CHAM CONG'!N134</f>
        <v>0</v>
      </c>
      <c r="Q136" s="519">
        <f>'CHAM CONG'!O134</f>
        <v>0</v>
      </c>
      <c r="R136" s="519">
        <f>'CHAM CONG'!P134</f>
        <v>0</v>
      </c>
      <c r="S136" s="519">
        <f>'CHAM CONG'!Q134</f>
        <v>0</v>
      </c>
      <c r="T136" s="519">
        <f>'CHAM CONG'!R134</f>
        <v>0</v>
      </c>
      <c r="U136" s="519">
        <f>'CHAM CONG'!S134</f>
        <v>0</v>
      </c>
      <c r="V136" s="519" t="str">
        <f>'CHAM CONG'!T134</f>
        <v>x</v>
      </c>
      <c r="W136" s="519" t="str">
        <f>'CHAM CONG'!U134</f>
        <v>x</v>
      </c>
      <c r="X136" s="519"/>
      <c r="Y136" s="519"/>
      <c r="Z136" s="738">
        <f t="shared" si="24"/>
        <v>5</v>
      </c>
      <c r="AA136" s="580">
        <f t="shared" si="25"/>
        <v>0</v>
      </c>
      <c r="AB136" s="580">
        <f t="shared" si="26"/>
        <v>80000</v>
      </c>
      <c r="AC136" s="580">
        <f>'CHAM CONG'!V134</f>
        <v>0</v>
      </c>
      <c r="AD136" s="580">
        <f>'CHAM CONG'!W134</f>
        <v>0</v>
      </c>
      <c r="AE136" s="580">
        <f>'CHAM CONG'!X134</f>
        <v>0</v>
      </c>
      <c r="AF136" s="738">
        <f t="shared" si="27"/>
        <v>0</v>
      </c>
      <c r="AG136" s="580">
        <f t="shared" si="28"/>
        <v>0</v>
      </c>
      <c r="AH136" s="580">
        <f t="shared" si="38"/>
        <v>5</v>
      </c>
      <c r="AI136" s="580">
        <f t="shared" si="29"/>
        <v>5000</v>
      </c>
      <c r="AJ136" s="580">
        <f t="shared" si="30"/>
        <v>85000</v>
      </c>
      <c r="AK136" s="429">
        <f>'SAN LUONG'!AF135</f>
        <v>146</v>
      </c>
      <c r="AL136" s="429">
        <f>'SAN LUONG'!AG135</f>
        <v>0</v>
      </c>
      <c r="AM136" s="429">
        <f>'SAN LUONG'!AH135</f>
        <v>0</v>
      </c>
      <c r="AN136" s="429">
        <f>'SAN LUONG'!AI135</f>
        <v>173</v>
      </c>
      <c r="AO136" s="746"/>
      <c r="AP136" s="746">
        <f t="shared" si="31"/>
        <v>0</v>
      </c>
      <c r="AQ136" s="746">
        <f t="shared" ref="AQ136:AQ176" si="41">SUM(AK136:AN136)</f>
        <v>319</v>
      </c>
      <c r="AR136" s="746">
        <f t="shared" si="39"/>
        <v>70882</v>
      </c>
      <c r="AS136" s="746"/>
      <c r="AT136" s="746">
        <f t="shared" si="32"/>
        <v>0</v>
      </c>
      <c r="AU136" s="747">
        <f>'SAN LUONG'!AU135</f>
        <v>0</v>
      </c>
      <c r="AV136" s="748">
        <f t="shared" si="33"/>
        <v>0</v>
      </c>
      <c r="AW136" s="757">
        <f t="shared" si="34"/>
        <v>0</v>
      </c>
      <c r="AX136" s="758">
        <f t="shared" si="35"/>
        <v>155882</v>
      </c>
      <c r="AY136" s="759"/>
      <c r="AZ136" s="759"/>
      <c r="BA136" s="759"/>
      <c r="BB136" s="760">
        <f t="shared" si="36"/>
        <v>155882</v>
      </c>
      <c r="BC136" s="763"/>
      <c r="BD136" s="639">
        <f t="shared" si="37"/>
        <v>4.88</v>
      </c>
      <c r="BE136" s="768"/>
      <c r="BF136" s="769"/>
    </row>
    <row r="137" spans="1:58" s="725" customFormat="1" ht="30" customHeight="1">
      <c r="A137" s="503">
        <v>128</v>
      </c>
      <c r="B137" s="504">
        <v>7</v>
      </c>
      <c r="C137" s="504">
        <v>253</v>
      </c>
      <c r="D137" s="728"/>
      <c r="E137" s="728"/>
      <c r="F137" s="728"/>
      <c r="G137" s="728" t="str">
        <f>'Tên Tháng 1'!E131</f>
        <v>វ៉ិត មីត</v>
      </c>
      <c r="H137" s="728" t="str">
        <f>'Tên Tháng 1'!F131</f>
        <v>VET MIT</v>
      </c>
      <c r="I137" s="519">
        <f>'CHAM CONG'!G135</f>
        <v>0</v>
      </c>
      <c r="J137" s="519" t="str">
        <f>'CHAM CONG'!H135</f>
        <v>x</v>
      </c>
      <c r="K137" s="519" t="str">
        <f>'CHAM CONG'!I135</f>
        <v>x</v>
      </c>
      <c r="L137" s="519" t="str">
        <f>'CHAM CONG'!J135</f>
        <v>x</v>
      </c>
      <c r="M137" s="519">
        <f>'CHAM CONG'!K135</f>
        <v>0</v>
      </c>
      <c r="N137" s="519">
        <f>'CHAM CONG'!L135</f>
        <v>0</v>
      </c>
      <c r="O137" s="519">
        <f>'CHAM CONG'!M135</f>
        <v>0</v>
      </c>
      <c r="P137" s="519">
        <f>'CHAM CONG'!N135</f>
        <v>0</v>
      </c>
      <c r="Q137" s="519">
        <f>'CHAM CONG'!O135</f>
        <v>0</v>
      </c>
      <c r="R137" s="519">
        <f>'CHAM CONG'!P135</f>
        <v>0</v>
      </c>
      <c r="S137" s="519">
        <f>'CHAM CONG'!Q135</f>
        <v>0</v>
      </c>
      <c r="T137" s="519">
        <f>'CHAM CONG'!R135</f>
        <v>0</v>
      </c>
      <c r="U137" s="519">
        <f>'CHAM CONG'!S135</f>
        <v>0</v>
      </c>
      <c r="V137" s="519" t="str">
        <f>'CHAM CONG'!T135</f>
        <v>x</v>
      </c>
      <c r="W137" s="519" t="str">
        <f>'CHAM CONG'!U135</f>
        <v>x</v>
      </c>
      <c r="X137" s="519"/>
      <c r="Y137" s="519"/>
      <c r="Z137" s="738">
        <f t="shared" si="24"/>
        <v>5</v>
      </c>
      <c r="AA137" s="580">
        <f t="shared" si="25"/>
        <v>0</v>
      </c>
      <c r="AB137" s="580">
        <f t="shared" si="26"/>
        <v>80000</v>
      </c>
      <c r="AC137" s="580">
        <f>'CHAM CONG'!V135</f>
        <v>0</v>
      </c>
      <c r="AD137" s="580">
        <f>'CHAM CONG'!W135</f>
        <v>0</v>
      </c>
      <c r="AE137" s="580">
        <f>'CHAM CONG'!X135</f>
        <v>0</v>
      </c>
      <c r="AF137" s="738">
        <f t="shared" si="27"/>
        <v>0</v>
      </c>
      <c r="AG137" s="580">
        <f t="shared" si="28"/>
        <v>0</v>
      </c>
      <c r="AH137" s="580">
        <f t="shared" si="38"/>
        <v>5</v>
      </c>
      <c r="AI137" s="580">
        <f t="shared" si="29"/>
        <v>5000</v>
      </c>
      <c r="AJ137" s="580">
        <f t="shared" si="30"/>
        <v>85000</v>
      </c>
      <c r="AK137" s="429">
        <f>'SAN LUONG'!AF136</f>
        <v>140</v>
      </c>
      <c r="AL137" s="429">
        <f>'SAN LUONG'!AG136</f>
        <v>0</v>
      </c>
      <c r="AM137" s="429">
        <f>'SAN LUONG'!AH136</f>
        <v>0</v>
      </c>
      <c r="AN137" s="429">
        <f>'SAN LUONG'!AI136</f>
        <v>166</v>
      </c>
      <c r="AO137" s="746"/>
      <c r="AP137" s="746">
        <f t="shared" si="31"/>
        <v>0</v>
      </c>
      <c r="AQ137" s="746">
        <f t="shared" si="41"/>
        <v>306</v>
      </c>
      <c r="AR137" s="746">
        <f t="shared" si="39"/>
        <v>67993</v>
      </c>
      <c r="AS137" s="746"/>
      <c r="AT137" s="746">
        <f t="shared" si="32"/>
        <v>0</v>
      </c>
      <c r="AU137" s="747">
        <f>'SAN LUONG'!AU136</f>
        <v>0</v>
      </c>
      <c r="AV137" s="748">
        <f t="shared" si="33"/>
        <v>0</v>
      </c>
      <c r="AW137" s="757">
        <f t="shared" si="34"/>
        <v>0</v>
      </c>
      <c r="AX137" s="758">
        <f t="shared" si="35"/>
        <v>152993</v>
      </c>
      <c r="AY137" s="759"/>
      <c r="AZ137" s="759"/>
      <c r="BA137" s="759"/>
      <c r="BB137" s="760">
        <f t="shared" si="36"/>
        <v>152993</v>
      </c>
      <c r="BC137" s="763"/>
      <c r="BD137" s="639">
        <f t="shared" si="37"/>
        <v>4.79</v>
      </c>
      <c r="BE137" s="768"/>
      <c r="BF137" s="769"/>
    </row>
    <row r="138" spans="1:58" s="725" customFormat="1" ht="30" customHeight="1">
      <c r="A138" s="503">
        <v>129</v>
      </c>
      <c r="B138" s="504">
        <v>7</v>
      </c>
      <c r="C138" s="504">
        <v>254</v>
      </c>
      <c r="D138" s="728"/>
      <c r="E138" s="728"/>
      <c r="F138" s="728"/>
      <c r="G138" s="728" t="str">
        <f>'Tên Tháng 1'!E132</f>
        <v>ប៉ែន វណ្ណា</v>
      </c>
      <c r="H138" s="728" t="str">
        <f>'Tên Tháng 1'!F132</f>
        <v>BEN VANNA</v>
      </c>
      <c r="I138" s="519" t="str">
        <f>'CHAM CONG'!G136</f>
        <v>x</v>
      </c>
      <c r="J138" s="519" t="str">
        <f>'CHAM CONG'!H136</f>
        <v>x</v>
      </c>
      <c r="K138" s="519" t="str">
        <f>'CHAM CONG'!I136</f>
        <v>x</v>
      </c>
      <c r="L138" s="519">
        <f>'CHAM CONG'!J136</f>
        <v>0</v>
      </c>
      <c r="M138" s="519" t="str">
        <f>'CHAM CONG'!K136</f>
        <v>x</v>
      </c>
      <c r="N138" s="519" t="str">
        <f>'CHAM CONG'!L136</f>
        <v>x</v>
      </c>
      <c r="O138" s="519" t="str">
        <f>'CHAM CONG'!M136</f>
        <v>x</v>
      </c>
      <c r="P138" s="519">
        <f>'CHAM CONG'!N136</f>
        <v>0</v>
      </c>
      <c r="Q138" s="519" t="str">
        <f>'CHAM CONG'!O136</f>
        <v>x</v>
      </c>
      <c r="R138" s="519" t="str">
        <f>'CHAM CONG'!P136</f>
        <v>x</v>
      </c>
      <c r="S138" s="519" t="str">
        <f>'CHAM CONG'!Q136</f>
        <v>x</v>
      </c>
      <c r="T138" s="519" t="str">
        <f>'CHAM CONG'!R136</f>
        <v>x</v>
      </c>
      <c r="U138" s="519">
        <f>'CHAM CONG'!S136</f>
        <v>0</v>
      </c>
      <c r="V138" s="519">
        <f>'CHAM CONG'!T136</f>
        <v>0</v>
      </c>
      <c r="W138" s="519">
        <f>'CHAM CONG'!U136</f>
        <v>0</v>
      </c>
      <c r="X138" s="519"/>
      <c r="Y138" s="519"/>
      <c r="Z138" s="738">
        <f t="shared" si="24"/>
        <v>10</v>
      </c>
      <c r="AA138" s="580">
        <f t="shared" si="25"/>
        <v>0</v>
      </c>
      <c r="AB138" s="580">
        <f t="shared" si="26"/>
        <v>160000</v>
      </c>
      <c r="AC138" s="580">
        <f>'CHAM CONG'!V136</f>
        <v>0</v>
      </c>
      <c r="AD138" s="580">
        <f>'CHAM CONG'!W136</f>
        <v>0</v>
      </c>
      <c r="AE138" s="580">
        <f>'CHAM CONG'!X136</f>
        <v>0</v>
      </c>
      <c r="AF138" s="738">
        <f t="shared" si="27"/>
        <v>0</v>
      </c>
      <c r="AG138" s="580">
        <f t="shared" si="28"/>
        <v>0</v>
      </c>
      <c r="AH138" s="580">
        <f t="shared" ref="AH138:AH169" si="42">Z138</f>
        <v>10</v>
      </c>
      <c r="AI138" s="580">
        <f t="shared" si="29"/>
        <v>10000</v>
      </c>
      <c r="AJ138" s="580">
        <f t="shared" si="30"/>
        <v>170000</v>
      </c>
      <c r="AK138" s="429">
        <f>'SAN LUONG'!AF137</f>
        <v>93</v>
      </c>
      <c r="AL138" s="429">
        <f>'SAN LUONG'!AG137</f>
        <v>97</v>
      </c>
      <c r="AM138" s="429">
        <f>'SAN LUONG'!AH137</f>
        <v>142</v>
      </c>
      <c r="AN138" s="429">
        <f>'SAN LUONG'!AI137</f>
        <v>107</v>
      </c>
      <c r="AO138" s="746"/>
      <c r="AP138" s="746">
        <f t="shared" si="31"/>
        <v>0</v>
      </c>
      <c r="AQ138" s="746">
        <f t="shared" si="41"/>
        <v>439</v>
      </c>
      <c r="AR138" s="746">
        <f t="shared" si="39"/>
        <v>97546</v>
      </c>
      <c r="AS138" s="746"/>
      <c r="AT138" s="746">
        <f t="shared" si="32"/>
        <v>0</v>
      </c>
      <c r="AU138" s="747">
        <f>'SAN LUONG'!AU137</f>
        <v>0</v>
      </c>
      <c r="AV138" s="748">
        <f t="shared" si="33"/>
        <v>0</v>
      </c>
      <c r="AW138" s="757">
        <f t="shared" si="34"/>
        <v>0</v>
      </c>
      <c r="AX138" s="758">
        <f t="shared" si="35"/>
        <v>267546</v>
      </c>
      <c r="AY138" s="759"/>
      <c r="AZ138" s="759"/>
      <c r="BA138" s="759"/>
      <c r="BB138" s="760">
        <f t="shared" si="36"/>
        <v>267546</v>
      </c>
      <c r="BC138" s="763"/>
      <c r="BD138" s="639">
        <f t="shared" si="37"/>
        <v>8.3699999999999992</v>
      </c>
      <c r="BE138" s="768"/>
      <c r="BF138" s="769"/>
    </row>
    <row r="139" spans="1:58" s="725" customFormat="1" ht="30" customHeight="1">
      <c r="A139" s="503">
        <v>130</v>
      </c>
      <c r="B139" s="504">
        <v>7</v>
      </c>
      <c r="C139" s="504">
        <v>255</v>
      </c>
      <c r="D139" s="728"/>
      <c r="E139" s="728"/>
      <c r="F139" s="728"/>
      <c r="G139" s="728" t="str">
        <f>'Tên Tháng 1'!E133</f>
        <v>លឿន ម៉ៅ</v>
      </c>
      <c r="H139" s="728" t="str">
        <f>'Tên Tháng 1'!F133</f>
        <v>LOEURN MAO</v>
      </c>
      <c r="I139" s="519" t="str">
        <f>'CHAM CONG'!G137</f>
        <v>x</v>
      </c>
      <c r="J139" s="519" t="str">
        <f>'CHAM CONG'!H137</f>
        <v>x</v>
      </c>
      <c r="K139" s="519" t="str">
        <f>'CHAM CONG'!I137</f>
        <v>x</v>
      </c>
      <c r="L139" s="519" t="str">
        <f>'CHAM CONG'!J137</f>
        <v>x</v>
      </c>
      <c r="M139" s="519" t="str">
        <f>'CHAM CONG'!K137</f>
        <v>x</v>
      </c>
      <c r="N139" s="519" t="str">
        <f>'CHAM CONG'!L137</f>
        <v>x</v>
      </c>
      <c r="O139" s="519" t="str">
        <f>'CHAM CONG'!M137</f>
        <v>x</v>
      </c>
      <c r="P139" s="519">
        <f>'CHAM CONG'!N137</f>
        <v>0</v>
      </c>
      <c r="Q139" s="519" t="str">
        <f>'CHAM CONG'!O137</f>
        <v>x</v>
      </c>
      <c r="R139" s="519" t="str">
        <f>'CHAM CONG'!P137</f>
        <v>x</v>
      </c>
      <c r="S139" s="519" t="str">
        <f>'CHAM CONG'!Q137</f>
        <v>x</v>
      </c>
      <c r="T139" s="519" t="str">
        <f>'CHAM CONG'!R137</f>
        <v>x</v>
      </c>
      <c r="U139" s="519" t="str">
        <f>'CHAM CONG'!S137</f>
        <v>x</v>
      </c>
      <c r="V139" s="519" t="str">
        <f>'CHAM CONG'!T137</f>
        <v>x</v>
      </c>
      <c r="W139" s="519" t="str">
        <f>'CHAM CONG'!U137</f>
        <v>x</v>
      </c>
      <c r="X139" s="519"/>
      <c r="Y139" s="519"/>
      <c r="Z139" s="738">
        <f t="shared" ref="Z139:Z176" si="43">COUNTIF(I139:W139,"X")</f>
        <v>14</v>
      </c>
      <c r="AA139" s="580">
        <f t="shared" ref="AA139:AA176" si="44">ROUND(Z139*$Z$8/30456,2)+$AA$2</f>
        <v>0</v>
      </c>
      <c r="AB139" s="580">
        <f t="shared" ref="AB139:AB176" si="45">ROUND(Z139*$AB$8,0)</f>
        <v>224000</v>
      </c>
      <c r="AC139" s="580">
        <f>'CHAM CONG'!V137</f>
        <v>0</v>
      </c>
      <c r="AD139" s="580">
        <f>'CHAM CONG'!W137</f>
        <v>0</v>
      </c>
      <c r="AE139" s="580">
        <f>'CHAM CONG'!X137</f>
        <v>0</v>
      </c>
      <c r="AF139" s="738">
        <f t="shared" ref="AF139:AF176" si="46">COUNTIF(AC139:AE139,"X")</f>
        <v>0</v>
      </c>
      <c r="AG139" s="580">
        <f t="shared" ref="AG139:AG176" si="47">ROUND(AF139*$AG$8,0)</f>
        <v>0</v>
      </c>
      <c r="AH139" s="580">
        <f t="shared" si="42"/>
        <v>14</v>
      </c>
      <c r="AI139" s="580">
        <f t="shared" ref="AI139:AI176" si="48">ROUND(AH139*$AI$8,0)</f>
        <v>14000</v>
      </c>
      <c r="AJ139" s="580">
        <f t="shared" ref="AJ139:AJ176" si="49">AB139+AI139+AG139</f>
        <v>238000</v>
      </c>
      <c r="AK139" s="429">
        <f>'SAN LUONG'!AF138</f>
        <v>222</v>
      </c>
      <c r="AL139" s="429">
        <f>'SAN LUONG'!AG138</f>
        <v>75</v>
      </c>
      <c r="AM139" s="429">
        <f>'SAN LUONG'!AH138</f>
        <v>90</v>
      </c>
      <c r="AN139" s="429">
        <f>'SAN LUONG'!AI138</f>
        <v>240</v>
      </c>
      <c r="AO139" s="746"/>
      <c r="AP139" s="746">
        <f t="shared" ref="AP139:AP176" si="50">ROUND(AO139*0.44*$AP$8,0)</f>
        <v>0</v>
      </c>
      <c r="AQ139" s="746">
        <f t="shared" si="41"/>
        <v>627</v>
      </c>
      <c r="AR139" s="746">
        <f t="shared" ref="AR139:AR176" si="51">ROUND(AQ139*0.44*$AR$8,0)</f>
        <v>139319</v>
      </c>
      <c r="AS139" s="746"/>
      <c r="AT139" s="746">
        <f t="shared" ref="AT139:AT176" si="52">ROUND(AS139*0.44*$AT$8,0)</f>
        <v>0</v>
      </c>
      <c r="AU139" s="747">
        <f>'SAN LUONG'!AU138</f>
        <v>0</v>
      </c>
      <c r="AV139" s="748">
        <f t="shared" ref="AV139:AV176" si="53">ROUND((AU139*1000)/30456,2)</f>
        <v>0</v>
      </c>
      <c r="AW139" s="757">
        <f t="shared" ref="AW139:AW176" si="54">AU139*1000</f>
        <v>0</v>
      </c>
      <c r="AX139" s="758">
        <f t="shared" ref="AX139:AX176" si="55">AJ139+AT139+AR139+AP139</f>
        <v>377319</v>
      </c>
      <c r="AY139" s="759"/>
      <c r="AZ139" s="759"/>
      <c r="BA139" s="759"/>
      <c r="BB139" s="760">
        <f t="shared" ref="BB139:BB176" si="56">AX139</f>
        <v>377319</v>
      </c>
      <c r="BC139" s="763"/>
      <c r="BD139" s="639">
        <f t="shared" ref="BD139:BD176" si="57">ROUND(BB139/31947,2)</f>
        <v>11.81</v>
      </c>
      <c r="BE139" s="768"/>
      <c r="BF139" s="769"/>
    </row>
    <row r="140" spans="1:58" s="725" customFormat="1" ht="30" customHeight="1">
      <c r="A140" s="503">
        <v>131</v>
      </c>
      <c r="B140" s="504">
        <v>7</v>
      </c>
      <c r="C140" s="504">
        <v>256</v>
      </c>
      <c r="D140" s="728"/>
      <c r="E140" s="728"/>
      <c r="F140" s="728"/>
      <c r="G140" s="728" t="str">
        <f>'Tên Tháng 1'!E134</f>
        <v>សុក ចូក</v>
      </c>
      <c r="H140" s="728" t="str">
        <f>'Tên Tháng 1'!F134</f>
        <v>SOK CHOUK</v>
      </c>
      <c r="I140" s="519" t="str">
        <f>'CHAM CONG'!G138</f>
        <v>x</v>
      </c>
      <c r="J140" s="519" t="str">
        <f>'CHAM CONG'!H138</f>
        <v>x</v>
      </c>
      <c r="K140" s="519" t="str">
        <f>'CHAM CONG'!I138</f>
        <v>x</v>
      </c>
      <c r="L140" s="519">
        <f>'CHAM CONG'!J138</f>
        <v>0</v>
      </c>
      <c r="M140" s="519" t="str">
        <f>'CHAM CONG'!K138</f>
        <v>x</v>
      </c>
      <c r="N140" s="519" t="str">
        <f>'CHAM CONG'!L138</f>
        <v>x</v>
      </c>
      <c r="O140" s="519" t="str">
        <f>'CHAM CONG'!M138</f>
        <v>x</v>
      </c>
      <c r="P140" s="519" t="str">
        <f>'CHAM CONG'!N138</f>
        <v>x</v>
      </c>
      <c r="Q140" s="519" t="str">
        <f>'CHAM CONG'!O138</f>
        <v>x</v>
      </c>
      <c r="R140" s="519" t="str">
        <f>'CHAM CONG'!P138</f>
        <v>x</v>
      </c>
      <c r="S140" s="519" t="str">
        <f>'CHAM CONG'!Q138</f>
        <v>x</v>
      </c>
      <c r="T140" s="519" t="str">
        <f>'CHAM CONG'!R138</f>
        <v>x</v>
      </c>
      <c r="U140" s="519" t="str">
        <f>'CHAM CONG'!S138</f>
        <v>x</v>
      </c>
      <c r="V140" s="519" t="str">
        <f>'CHAM CONG'!T138</f>
        <v>x</v>
      </c>
      <c r="W140" s="519" t="str">
        <f>'CHAM CONG'!U138</f>
        <v>x</v>
      </c>
      <c r="X140" s="519"/>
      <c r="Y140" s="519"/>
      <c r="Z140" s="738">
        <f t="shared" si="43"/>
        <v>14</v>
      </c>
      <c r="AA140" s="580">
        <f t="shared" si="44"/>
        <v>0</v>
      </c>
      <c r="AB140" s="580">
        <f t="shared" si="45"/>
        <v>224000</v>
      </c>
      <c r="AC140" s="580">
        <f>'CHAM CONG'!V138</f>
        <v>0</v>
      </c>
      <c r="AD140" s="580">
        <f>'CHAM CONG'!W138</f>
        <v>0</v>
      </c>
      <c r="AE140" s="580">
        <f>'CHAM CONG'!X138</f>
        <v>0</v>
      </c>
      <c r="AF140" s="738">
        <f t="shared" si="46"/>
        <v>0</v>
      </c>
      <c r="AG140" s="580">
        <f t="shared" si="47"/>
        <v>0</v>
      </c>
      <c r="AH140" s="580">
        <f t="shared" si="42"/>
        <v>14</v>
      </c>
      <c r="AI140" s="580">
        <f t="shared" si="48"/>
        <v>14000</v>
      </c>
      <c r="AJ140" s="580">
        <f t="shared" si="49"/>
        <v>238000</v>
      </c>
      <c r="AK140" s="429">
        <f>'SAN LUONG'!AF139</f>
        <v>190</v>
      </c>
      <c r="AL140" s="429">
        <f>'SAN LUONG'!AG139</f>
        <v>48</v>
      </c>
      <c r="AM140" s="429">
        <f>'SAN LUONG'!AH139</f>
        <v>148</v>
      </c>
      <c r="AN140" s="429">
        <f>'SAN LUONG'!AI139</f>
        <v>202</v>
      </c>
      <c r="AO140" s="746"/>
      <c r="AP140" s="746">
        <f t="shared" si="50"/>
        <v>0</v>
      </c>
      <c r="AQ140" s="746">
        <f t="shared" si="41"/>
        <v>588</v>
      </c>
      <c r="AR140" s="746">
        <f t="shared" si="51"/>
        <v>130654</v>
      </c>
      <c r="AS140" s="746"/>
      <c r="AT140" s="746">
        <f t="shared" si="52"/>
        <v>0</v>
      </c>
      <c r="AU140" s="747">
        <f>'SAN LUONG'!AU139</f>
        <v>0</v>
      </c>
      <c r="AV140" s="748">
        <f t="shared" si="53"/>
        <v>0</v>
      </c>
      <c r="AW140" s="757">
        <f t="shared" si="54"/>
        <v>0</v>
      </c>
      <c r="AX140" s="758">
        <f t="shared" si="55"/>
        <v>368654</v>
      </c>
      <c r="AY140" s="759"/>
      <c r="AZ140" s="759"/>
      <c r="BA140" s="759"/>
      <c r="BB140" s="760">
        <f t="shared" si="56"/>
        <v>368654</v>
      </c>
      <c r="BC140" s="763"/>
      <c r="BD140" s="639">
        <f t="shared" si="57"/>
        <v>11.54</v>
      </c>
      <c r="BE140" s="768"/>
      <c r="BF140" s="769"/>
    </row>
    <row r="141" spans="1:58" s="725" customFormat="1" ht="30" customHeight="1">
      <c r="A141" s="503">
        <v>132</v>
      </c>
      <c r="B141" s="504">
        <v>7</v>
      </c>
      <c r="C141" s="504">
        <v>257</v>
      </c>
      <c r="D141" s="728"/>
      <c r="E141" s="728"/>
      <c r="F141" s="728"/>
      <c r="G141" s="728" t="str">
        <f>'Tên Tháng 1'!E135</f>
        <v>រី ឆេង</v>
      </c>
      <c r="H141" s="728" t="str">
        <f>'Tên Tháng 1'!F135</f>
        <v>RY CHHENG</v>
      </c>
      <c r="I141" s="519" t="str">
        <f>'CHAM CONG'!G139</f>
        <v>x</v>
      </c>
      <c r="J141" s="519" t="str">
        <f>'CHAM CONG'!H139</f>
        <v>x</v>
      </c>
      <c r="K141" s="519" t="str">
        <f>'CHAM CONG'!I139</f>
        <v>x</v>
      </c>
      <c r="L141" s="519">
        <f>'CHAM CONG'!J139</f>
        <v>0</v>
      </c>
      <c r="M141" s="519" t="str">
        <f>'CHAM CONG'!K139</f>
        <v>x</v>
      </c>
      <c r="N141" s="519" t="str">
        <f>'CHAM CONG'!L139</f>
        <v>x</v>
      </c>
      <c r="O141" s="519">
        <f>'CHAM CONG'!M139</f>
        <v>0</v>
      </c>
      <c r="P141" s="519" t="str">
        <f>'CHAM CONG'!N139</f>
        <v>x</v>
      </c>
      <c r="Q141" s="519" t="str">
        <f>'CHAM CONG'!O139</f>
        <v>x</v>
      </c>
      <c r="R141" s="519" t="str">
        <f>'CHAM CONG'!P139</f>
        <v>x</v>
      </c>
      <c r="S141" s="519" t="str">
        <f>'CHAM CONG'!Q139</f>
        <v>x</v>
      </c>
      <c r="T141" s="519" t="str">
        <f>'CHAM CONG'!R139</f>
        <v>x</v>
      </c>
      <c r="U141" s="519" t="str">
        <f>'CHAM CONG'!S139</f>
        <v>x</v>
      </c>
      <c r="V141" s="519" t="str">
        <f>'CHAM CONG'!T139</f>
        <v>x</v>
      </c>
      <c r="W141" s="519" t="str">
        <f>'CHAM CONG'!U139</f>
        <v>x</v>
      </c>
      <c r="X141" s="519"/>
      <c r="Y141" s="519"/>
      <c r="Z141" s="738">
        <f t="shared" si="43"/>
        <v>13</v>
      </c>
      <c r="AA141" s="580">
        <f t="shared" si="44"/>
        <v>0</v>
      </c>
      <c r="AB141" s="580">
        <f t="shared" si="45"/>
        <v>208000</v>
      </c>
      <c r="AC141" s="580">
        <f>'CHAM CONG'!V139</f>
        <v>0</v>
      </c>
      <c r="AD141" s="580">
        <f>'CHAM CONG'!W139</f>
        <v>0</v>
      </c>
      <c r="AE141" s="580">
        <f>'CHAM CONG'!X139</f>
        <v>0</v>
      </c>
      <c r="AF141" s="738">
        <f t="shared" si="46"/>
        <v>0</v>
      </c>
      <c r="AG141" s="580">
        <f t="shared" si="47"/>
        <v>0</v>
      </c>
      <c r="AH141" s="580">
        <f t="shared" si="42"/>
        <v>13</v>
      </c>
      <c r="AI141" s="580">
        <f t="shared" si="48"/>
        <v>13000</v>
      </c>
      <c r="AJ141" s="580">
        <f t="shared" si="49"/>
        <v>221000</v>
      </c>
      <c r="AK141" s="429">
        <f>'SAN LUONG'!AF140</f>
        <v>211</v>
      </c>
      <c r="AL141" s="429">
        <f>'SAN LUONG'!AG140</f>
        <v>52</v>
      </c>
      <c r="AM141" s="429">
        <f>'SAN LUONG'!AH140</f>
        <v>154</v>
      </c>
      <c r="AN141" s="429">
        <f>'SAN LUONG'!AI140</f>
        <v>236</v>
      </c>
      <c r="AO141" s="746"/>
      <c r="AP141" s="746">
        <f t="shared" si="50"/>
        <v>0</v>
      </c>
      <c r="AQ141" s="746">
        <f t="shared" si="41"/>
        <v>653</v>
      </c>
      <c r="AR141" s="746">
        <f t="shared" si="51"/>
        <v>145097</v>
      </c>
      <c r="AS141" s="746"/>
      <c r="AT141" s="746">
        <f t="shared" si="52"/>
        <v>0</v>
      </c>
      <c r="AU141" s="747">
        <f>'SAN LUONG'!AU140</f>
        <v>0</v>
      </c>
      <c r="AV141" s="748">
        <f t="shared" si="53"/>
        <v>0</v>
      </c>
      <c r="AW141" s="757">
        <f t="shared" si="54"/>
        <v>0</v>
      </c>
      <c r="AX141" s="758">
        <f t="shared" si="55"/>
        <v>366097</v>
      </c>
      <c r="AY141" s="759"/>
      <c r="AZ141" s="759"/>
      <c r="BA141" s="759"/>
      <c r="BB141" s="760">
        <f t="shared" si="56"/>
        <v>366097</v>
      </c>
      <c r="BC141" s="763"/>
      <c r="BD141" s="639">
        <f t="shared" si="57"/>
        <v>11.46</v>
      </c>
      <c r="BE141" s="768"/>
      <c r="BF141" s="769"/>
    </row>
    <row r="142" spans="1:58" s="725" customFormat="1" ht="30" customHeight="1">
      <c r="A142" s="503">
        <v>133</v>
      </c>
      <c r="B142" s="504">
        <v>7</v>
      </c>
      <c r="C142" s="504">
        <v>258</v>
      </c>
      <c r="D142" s="728"/>
      <c r="E142" s="728"/>
      <c r="F142" s="728"/>
      <c r="G142" s="728" t="str">
        <f>'Tên Tháng 1'!E136</f>
        <v>ហឿង រីន</v>
      </c>
      <c r="H142" s="728" t="str">
        <f>'Tên Tháng 1'!F136</f>
        <v>HOEUNG RIN</v>
      </c>
      <c r="I142" s="519" t="str">
        <f>'CHAM CONG'!G140</f>
        <v>x</v>
      </c>
      <c r="J142" s="519">
        <f>'CHAM CONG'!H140</f>
        <v>0</v>
      </c>
      <c r="K142" s="519" t="str">
        <f>'CHAM CONG'!I140</f>
        <v>x</v>
      </c>
      <c r="L142" s="519" t="str">
        <f>'CHAM CONG'!J140</f>
        <v>x</v>
      </c>
      <c r="M142" s="519">
        <f>'CHAM CONG'!K140</f>
        <v>0</v>
      </c>
      <c r="N142" s="519">
        <f>'CHAM CONG'!L140</f>
        <v>0</v>
      </c>
      <c r="O142" s="519">
        <f>'CHAM CONG'!M140</f>
        <v>0</v>
      </c>
      <c r="P142" s="519">
        <f>'CHAM CONG'!N140</f>
        <v>0</v>
      </c>
      <c r="Q142" s="519">
        <f>'CHAM CONG'!O140</f>
        <v>0</v>
      </c>
      <c r="R142" s="519">
        <f>'CHAM CONG'!P140</f>
        <v>0</v>
      </c>
      <c r="S142" s="519">
        <f>'CHAM CONG'!Q140</f>
        <v>0</v>
      </c>
      <c r="T142" s="519">
        <f>'CHAM CONG'!R140</f>
        <v>0</v>
      </c>
      <c r="U142" s="519">
        <f>'CHAM CONG'!S140</f>
        <v>0</v>
      </c>
      <c r="V142" s="519" t="str">
        <f>'CHAM CONG'!T140</f>
        <v>x</v>
      </c>
      <c r="W142" s="519" t="str">
        <f>'CHAM CONG'!U140</f>
        <v>x</v>
      </c>
      <c r="X142" s="519"/>
      <c r="Y142" s="519"/>
      <c r="Z142" s="738">
        <f t="shared" si="43"/>
        <v>5</v>
      </c>
      <c r="AA142" s="580">
        <f t="shared" si="44"/>
        <v>0</v>
      </c>
      <c r="AB142" s="580">
        <f t="shared" si="45"/>
        <v>80000</v>
      </c>
      <c r="AC142" s="580">
        <f>'CHAM CONG'!V140</f>
        <v>0</v>
      </c>
      <c r="AD142" s="580">
        <f>'CHAM CONG'!W140</f>
        <v>0</v>
      </c>
      <c r="AE142" s="580">
        <f>'CHAM CONG'!X140</f>
        <v>0</v>
      </c>
      <c r="AF142" s="738">
        <f t="shared" si="46"/>
        <v>0</v>
      </c>
      <c r="AG142" s="580">
        <f t="shared" si="47"/>
        <v>0</v>
      </c>
      <c r="AH142" s="580">
        <f t="shared" si="42"/>
        <v>5</v>
      </c>
      <c r="AI142" s="580">
        <f t="shared" si="48"/>
        <v>5000</v>
      </c>
      <c r="AJ142" s="580">
        <f t="shared" si="49"/>
        <v>85000</v>
      </c>
      <c r="AK142" s="429">
        <f>'SAN LUONG'!AF141</f>
        <v>148</v>
      </c>
      <c r="AL142" s="429">
        <f>'SAN LUONG'!AG141</f>
        <v>0</v>
      </c>
      <c r="AM142" s="429">
        <f>'SAN LUONG'!AH141</f>
        <v>0</v>
      </c>
      <c r="AN142" s="429">
        <f>'SAN LUONG'!AI141</f>
        <v>171</v>
      </c>
      <c r="AO142" s="746"/>
      <c r="AP142" s="746">
        <f t="shared" si="50"/>
        <v>0</v>
      </c>
      <c r="AQ142" s="746">
        <f t="shared" si="41"/>
        <v>319</v>
      </c>
      <c r="AR142" s="746">
        <f t="shared" si="51"/>
        <v>70882</v>
      </c>
      <c r="AS142" s="746"/>
      <c r="AT142" s="746">
        <f t="shared" si="52"/>
        <v>0</v>
      </c>
      <c r="AU142" s="747">
        <f>'SAN LUONG'!AU141</f>
        <v>0</v>
      </c>
      <c r="AV142" s="748">
        <f t="shared" si="53"/>
        <v>0</v>
      </c>
      <c r="AW142" s="757">
        <f t="shared" si="54"/>
        <v>0</v>
      </c>
      <c r="AX142" s="758">
        <f t="shared" si="55"/>
        <v>155882</v>
      </c>
      <c r="AY142" s="759"/>
      <c r="AZ142" s="759"/>
      <c r="BA142" s="759"/>
      <c r="BB142" s="760">
        <f t="shared" si="56"/>
        <v>155882</v>
      </c>
      <c r="BC142" s="763"/>
      <c r="BD142" s="639">
        <f t="shared" si="57"/>
        <v>4.88</v>
      </c>
      <c r="BE142" s="768"/>
      <c r="BF142" s="769"/>
    </row>
    <row r="143" spans="1:58" s="725" customFormat="1" ht="30" customHeight="1">
      <c r="A143" s="503">
        <v>134</v>
      </c>
      <c r="B143" s="504">
        <v>7</v>
      </c>
      <c r="C143" s="504">
        <v>259</v>
      </c>
      <c r="D143" s="728"/>
      <c r="E143" s="728"/>
      <c r="F143" s="728"/>
      <c r="G143" s="728" t="str">
        <f>'Tên Tháng 1'!E137</f>
        <v>ធី សុខខៃ</v>
      </c>
      <c r="H143" s="728" t="str">
        <f>'Tên Tháng 1'!F137</f>
        <v>THY SOKKHAI</v>
      </c>
      <c r="I143" s="519" t="str">
        <f>'CHAM CONG'!G141</f>
        <v>x</v>
      </c>
      <c r="J143" s="519" t="str">
        <f>'CHAM CONG'!H141</f>
        <v>x</v>
      </c>
      <c r="K143" s="519">
        <f>'CHAM CONG'!I141</f>
        <v>0</v>
      </c>
      <c r="L143" s="519">
        <f>'CHAM CONG'!J141</f>
        <v>0</v>
      </c>
      <c r="M143" s="519" t="str">
        <f>'CHAM CONG'!K141</f>
        <v>x</v>
      </c>
      <c r="N143" s="519" t="str">
        <f>'CHAM CONG'!L141</f>
        <v>x</v>
      </c>
      <c r="O143" s="519" t="str">
        <f>'CHAM CONG'!M141</f>
        <v>x</v>
      </c>
      <c r="P143" s="519" t="str">
        <f>'CHAM CONG'!N141</f>
        <v>x</v>
      </c>
      <c r="Q143" s="519" t="str">
        <f>'CHAM CONG'!O141</f>
        <v>x</v>
      </c>
      <c r="R143" s="519" t="str">
        <f>'CHAM CONG'!P141</f>
        <v>x</v>
      </c>
      <c r="S143" s="519" t="str">
        <f>'CHAM CONG'!Q141</f>
        <v>x</v>
      </c>
      <c r="T143" s="519" t="str">
        <f>'CHAM CONG'!R141</f>
        <v>x</v>
      </c>
      <c r="U143" s="519" t="str">
        <f>'CHAM CONG'!S141</f>
        <v>x</v>
      </c>
      <c r="V143" s="519" t="str">
        <f>'CHAM CONG'!T141</f>
        <v>x</v>
      </c>
      <c r="W143" s="519" t="str">
        <f>'CHAM CONG'!U141</f>
        <v>x</v>
      </c>
      <c r="X143" s="519"/>
      <c r="Y143" s="519"/>
      <c r="Z143" s="738">
        <f t="shared" si="43"/>
        <v>13</v>
      </c>
      <c r="AA143" s="580">
        <f t="shared" si="44"/>
        <v>0</v>
      </c>
      <c r="AB143" s="580">
        <f t="shared" si="45"/>
        <v>208000</v>
      </c>
      <c r="AC143" s="580">
        <f>'CHAM CONG'!V141</f>
        <v>0</v>
      </c>
      <c r="AD143" s="580">
        <f>'CHAM CONG'!W141</f>
        <v>0</v>
      </c>
      <c r="AE143" s="580">
        <f>'CHAM CONG'!X141</f>
        <v>0</v>
      </c>
      <c r="AF143" s="738">
        <f t="shared" si="46"/>
        <v>0</v>
      </c>
      <c r="AG143" s="580">
        <f t="shared" si="47"/>
        <v>0</v>
      </c>
      <c r="AH143" s="580">
        <f t="shared" si="42"/>
        <v>13</v>
      </c>
      <c r="AI143" s="580">
        <f t="shared" si="48"/>
        <v>13000</v>
      </c>
      <c r="AJ143" s="580">
        <f t="shared" si="49"/>
        <v>221000</v>
      </c>
      <c r="AK143" s="429">
        <f>'SAN LUONG'!AF142</f>
        <v>225</v>
      </c>
      <c r="AL143" s="429">
        <f>'SAN LUONG'!AG142</f>
        <v>124</v>
      </c>
      <c r="AM143" s="429">
        <f>'SAN LUONG'!AH142</f>
        <v>256</v>
      </c>
      <c r="AN143" s="429">
        <f>'SAN LUONG'!AI142</f>
        <v>278</v>
      </c>
      <c r="AO143" s="746"/>
      <c r="AP143" s="746">
        <f t="shared" si="50"/>
        <v>0</v>
      </c>
      <c r="AQ143" s="746">
        <f t="shared" si="41"/>
        <v>883</v>
      </c>
      <c r="AR143" s="746">
        <f t="shared" si="51"/>
        <v>196203</v>
      </c>
      <c r="AS143" s="746"/>
      <c r="AT143" s="746">
        <f t="shared" si="52"/>
        <v>0</v>
      </c>
      <c r="AU143" s="747">
        <f>'SAN LUONG'!AU142</f>
        <v>0</v>
      </c>
      <c r="AV143" s="748">
        <f t="shared" si="53"/>
        <v>0</v>
      </c>
      <c r="AW143" s="757">
        <f t="shared" si="54"/>
        <v>0</v>
      </c>
      <c r="AX143" s="758">
        <f t="shared" si="55"/>
        <v>417203</v>
      </c>
      <c r="AY143" s="759"/>
      <c r="AZ143" s="759"/>
      <c r="BA143" s="759"/>
      <c r="BB143" s="760">
        <f t="shared" si="56"/>
        <v>417203</v>
      </c>
      <c r="BC143" s="763"/>
      <c r="BD143" s="639">
        <f t="shared" si="57"/>
        <v>13.06</v>
      </c>
      <c r="BE143" s="768"/>
      <c r="BF143" s="769"/>
    </row>
    <row r="144" spans="1:58" s="725" customFormat="1" ht="30" customHeight="1">
      <c r="A144" s="503">
        <v>135</v>
      </c>
      <c r="B144" s="504">
        <v>7</v>
      </c>
      <c r="C144" s="504">
        <v>260</v>
      </c>
      <c r="D144" s="728"/>
      <c r="E144" s="728"/>
      <c r="F144" s="728"/>
      <c r="G144" s="728" t="str">
        <f>'Tên Tháng 1'!E138</f>
        <v>កើត អាត</v>
      </c>
      <c r="H144" s="728" t="str">
        <f>'Tên Tháng 1'!F138</f>
        <v>KOEUT AT</v>
      </c>
      <c r="I144" s="519" t="str">
        <f>'CHAM CONG'!G142</f>
        <v>x</v>
      </c>
      <c r="J144" s="519" t="str">
        <f>'CHAM CONG'!H142</f>
        <v>x</v>
      </c>
      <c r="K144" s="519">
        <f>'CHAM CONG'!I142</f>
        <v>0</v>
      </c>
      <c r="L144" s="519">
        <f>'CHAM CONG'!J142</f>
        <v>0</v>
      </c>
      <c r="M144" s="519" t="str">
        <f>'CHAM CONG'!K142</f>
        <v>x</v>
      </c>
      <c r="N144" s="519" t="str">
        <f>'CHAM CONG'!L142</f>
        <v>x</v>
      </c>
      <c r="O144" s="519" t="str">
        <f>'CHAM CONG'!M142</f>
        <v>x</v>
      </c>
      <c r="P144" s="519" t="str">
        <f>'CHAM CONG'!N142</f>
        <v>x</v>
      </c>
      <c r="Q144" s="519" t="str">
        <f>'CHAM CONG'!O142</f>
        <v>x</v>
      </c>
      <c r="R144" s="519" t="str">
        <f>'CHAM CONG'!P142</f>
        <v>x</v>
      </c>
      <c r="S144" s="519" t="str">
        <f>'CHAM CONG'!Q142</f>
        <v>x</v>
      </c>
      <c r="T144" s="519" t="str">
        <f>'CHAM CONG'!R142</f>
        <v>x</v>
      </c>
      <c r="U144" s="519" t="str">
        <f>'CHAM CONG'!S142</f>
        <v>x</v>
      </c>
      <c r="V144" s="519" t="str">
        <f>'CHAM CONG'!T142</f>
        <v>x</v>
      </c>
      <c r="W144" s="519" t="str">
        <f>'CHAM CONG'!U142</f>
        <v>x</v>
      </c>
      <c r="X144" s="519"/>
      <c r="Y144" s="519"/>
      <c r="Z144" s="738">
        <f t="shared" si="43"/>
        <v>13</v>
      </c>
      <c r="AA144" s="580">
        <f t="shared" si="44"/>
        <v>0</v>
      </c>
      <c r="AB144" s="580">
        <f t="shared" si="45"/>
        <v>208000</v>
      </c>
      <c r="AC144" s="580">
        <f>'CHAM CONG'!V142</f>
        <v>0</v>
      </c>
      <c r="AD144" s="580">
        <f>'CHAM CONG'!W142</f>
        <v>0</v>
      </c>
      <c r="AE144" s="580">
        <f>'CHAM CONG'!X142</f>
        <v>0</v>
      </c>
      <c r="AF144" s="738">
        <f t="shared" si="46"/>
        <v>0</v>
      </c>
      <c r="AG144" s="580">
        <f t="shared" si="47"/>
        <v>0</v>
      </c>
      <c r="AH144" s="580">
        <f t="shared" si="42"/>
        <v>13</v>
      </c>
      <c r="AI144" s="580">
        <f t="shared" si="48"/>
        <v>13000</v>
      </c>
      <c r="AJ144" s="580">
        <f t="shared" si="49"/>
        <v>221000</v>
      </c>
      <c r="AK144" s="429">
        <f>'SAN LUONG'!AF143</f>
        <v>227</v>
      </c>
      <c r="AL144" s="429">
        <f>'SAN LUONG'!AG143</f>
        <v>60</v>
      </c>
      <c r="AM144" s="429">
        <f>'SAN LUONG'!AH143</f>
        <v>262</v>
      </c>
      <c r="AN144" s="429">
        <f>'SAN LUONG'!AI143</f>
        <v>281</v>
      </c>
      <c r="AO144" s="746"/>
      <c r="AP144" s="746">
        <f t="shared" si="50"/>
        <v>0</v>
      </c>
      <c r="AQ144" s="746">
        <f t="shared" si="41"/>
        <v>830</v>
      </c>
      <c r="AR144" s="746">
        <f t="shared" si="51"/>
        <v>184426</v>
      </c>
      <c r="AS144" s="746"/>
      <c r="AT144" s="746">
        <f t="shared" si="52"/>
        <v>0</v>
      </c>
      <c r="AU144" s="747">
        <f>'SAN LUONG'!AU143</f>
        <v>0</v>
      </c>
      <c r="AV144" s="748">
        <f t="shared" si="53"/>
        <v>0</v>
      </c>
      <c r="AW144" s="757">
        <f t="shared" si="54"/>
        <v>0</v>
      </c>
      <c r="AX144" s="758">
        <f t="shared" si="55"/>
        <v>405426</v>
      </c>
      <c r="AY144" s="759"/>
      <c r="AZ144" s="759"/>
      <c r="BA144" s="759"/>
      <c r="BB144" s="760">
        <f t="shared" si="56"/>
        <v>405426</v>
      </c>
      <c r="BC144" s="763"/>
      <c r="BD144" s="639">
        <f t="shared" si="57"/>
        <v>12.69</v>
      </c>
      <c r="BE144" s="768"/>
      <c r="BF144" s="769"/>
    </row>
    <row r="145" spans="1:58" s="725" customFormat="1" ht="30" customHeight="1">
      <c r="A145" s="503">
        <v>136</v>
      </c>
      <c r="B145" s="504">
        <v>7</v>
      </c>
      <c r="C145" s="504">
        <v>261</v>
      </c>
      <c r="D145" s="728"/>
      <c r="E145" s="728"/>
      <c r="F145" s="728"/>
      <c r="G145" s="728" t="str">
        <f>'Tên Tháng 1'!E139</f>
        <v>ឆ្លាម ឆ្លាត</v>
      </c>
      <c r="H145" s="728" t="str">
        <f>'Tên Tháng 1'!F139</f>
        <v>CHLAM CHLAT</v>
      </c>
      <c r="I145" s="519" t="str">
        <f>'CHAM CONG'!G143</f>
        <v>x</v>
      </c>
      <c r="J145" s="519" t="str">
        <f>'CHAM CONG'!H143</f>
        <v>x</v>
      </c>
      <c r="K145" s="519" t="str">
        <f>'CHAM CONG'!I143</f>
        <v>x</v>
      </c>
      <c r="L145" s="519">
        <f>'CHAM CONG'!J143</f>
        <v>0</v>
      </c>
      <c r="M145" s="519" t="str">
        <f>'CHAM CONG'!K143</f>
        <v>x</v>
      </c>
      <c r="N145" s="519" t="str">
        <f>'CHAM CONG'!L143</f>
        <v>x</v>
      </c>
      <c r="O145" s="519" t="str">
        <f>'CHAM CONG'!M143</f>
        <v>x</v>
      </c>
      <c r="P145" s="519" t="str">
        <f>'CHAM CONG'!N143</f>
        <v>x</v>
      </c>
      <c r="Q145" s="519" t="str">
        <f>'CHAM CONG'!O143</f>
        <v>x</v>
      </c>
      <c r="R145" s="519" t="str">
        <f>'CHAM CONG'!P143</f>
        <v>x</v>
      </c>
      <c r="S145" s="519" t="str">
        <f>'CHAM CONG'!Q143</f>
        <v>x</v>
      </c>
      <c r="T145" s="519" t="str">
        <f>'CHAM CONG'!R143</f>
        <v>x</v>
      </c>
      <c r="U145" s="519" t="str">
        <f>'CHAM CONG'!S143</f>
        <v>x</v>
      </c>
      <c r="V145" s="519" t="str">
        <f>'CHAM CONG'!T143</f>
        <v>x</v>
      </c>
      <c r="W145" s="519" t="str">
        <f>'CHAM CONG'!U143</f>
        <v>x</v>
      </c>
      <c r="X145" s="519"/>
      <c r="Y145" s="519"/>
      <c r="Z145" s="738">
        <f t="shared" si="43"/>
        <v>14</v>
      </c>
      <c r="AA145" s="580">
        <f t="shared" si="44"/>
        <v>0</v>
      </c>
      <c r="AB145" s="580">
        <f t="shared" si="45"/>
        <v>224000</v>
      </c>
      <c r="AC145" s="580">
        <f>'CHAM CONG'!V143</f>
        <v>0</v>
      </c>
      <c r="AD145" s="580">
        <f>'CHAM CONG'!W143</f>
        <v>0</v>
      </c>
      <c r="AE145" s="580">
        <f>'CHAM CONG'!X143</f>
        <v>0</v>
      </c>
      <c r="AF145" s="738">
        <f t="shared" si="46"/>
        <v>0</v>
      </c>
      <c r="AG145" s="580">
        <f t="shared" si="47"/>
        <v>0</v>
      </c>
      <c r="AH145" s="580">
        <f t="shared" si="42"/>
        <v>14</v>
      </c>
      <c r="AI145" s="580">
        <f t="shared" si="48"/>
        <v>14000</v>
      </c>
      <c r="AJ145" s="580">
        <f t="shared" si="49"/>
        <v>238000</v>
      </c>
      <c r="AK145" s="429">
        <f>'SAN LUONG'!AF144</f>
        <v>175</v>
      </c>
      <c r="AL145" s="429">
        <f>'SAN LUONG'!AG144</f>
        <v>63</v>
      </c>
      <c r="AM145" s="429">
        <f>'SAN LUONG'!AH144</f>
        <v>77</v>
      </c>
      <c r="AN145" s="429">
        <f>'SAN LUONG'!AI144</f>
        <v>258</v>
      </c>
      <c r="AO145" s="746"/>
      <c r="AP145" s="746">
        <f t="shared" si="50"/>
        <v>0</v>
      </c>
      <c r="AQ145" s="746">
        <f t="shared" si="41"/>
        <v>573</v>
      </c>
      <c r="AR145" s="746">
        <f t="shared" si="51"/>
        <v>127321</v>
      </c>
      <c r="AS145" s="746"/>
      <c r="AT145" s="746">
        <f t="shared" si="52"/>
        <v>0</v>
      </c>
      <c r="AU145" s="747">
        <f>'SAN LUONG'!AU144</f>
        <v>0</v>
      </c>
      <c r="AV145" s="748">
        <f t="shared" si="53"/>
        <v>0</v>
      </c>
      <c r="AW145" s="757">
        <f t="shared" si="54"/>
        <v>0</v>
      </c>
      <c r="AX145" s="758">
        <f t="shared" si="55"/>
        <v>365321</v>
      </c>
      <c r="AY145" s="759"/>
      <c r="AZ145" s="759"/>
      <c r="BA145" s="759"/>
      <c r="BB145" s="760">
        <f t="shared" si="56"/>
        <v>365321</v>
      </c>
      <c r="BC145" s="763"/>
      <c r="BD145" s="639">
        <f t="shared" si="57"/>
        <v>11.44</v>
      </c>
      <c r="BE145" s="768"/>
      <c r="BF145" s="769"/>
    </row>
    <row r="146" spans="1:58" s="725" customFormat="1" ht="30" customHeight="1">
      <c r="A146" s="503">
        <v>137</v>
      </c>
      <c r="B146" s="504">
        <v>7</v>
      </c>
      <c r="C146" s="504">
        <v>262</v>
      </c>
      <c r="D146" s="728"/>
      <c r="E146" s="728"/>
      <c r="F146" s="728"/>
      <c r="G146" s="728" t="str">
        <f>'Tên Tháng 1'!E140</f>
        <v>សៅ​ ធី</v>
      </c>
      <c r="H146" s="728" t="str">
        <f>'Tên Tháng 1'!F140</f>
        <v>SOA THY</v>
      </c>
      <c r="I146" s="519" t="str">
        <f>'CHAM CONG'!G144</f>
        <v>x</v>
      </c>
      <c r="J146" s="519" t="str">
        <f>'CHAM CONG'!H144</f>
        <v>x</v>
      </c>
      <c r="K146" s="519" t="str">
        <f>'CHAM CONG'!I144</f>
        <v>x</v>
      </c>
      <c r="L146" s="519" t="str">
        <f>'CHAM CONG'!J144</f>
        <v>x</v>
      </c>
      <c r="M146" s="519" t="str">
        <f>'CHAM CONG'!K144</f>
        <v>x</v>
      </c>
      <c r="N146" s="519" t="str">
        <f>'CHAM CONG'!L144</f>
        <v>x</v>
      </c>
      <c r="O146" s="519" t="str">
        <f>'CHAM CONG'!M144</f>
        <v>x</v>
      </c>
      <c r="P146" s="519" t="str">
        <f>'CHAM CONG'!N144</f>
        <v>x</v>
      </c>
      <c r="Q146" s="519" t="str">
        <f>'CHAM CONG'!O144</f>
        <v>x</v>
      </c>
      <c r="R146" s="519" t="str">
        <f>'CHAM CONG'!P144</f>
        <v>x</v>
      </c>
      <c r="S146" s="519" t="str">
        <f>'CHAM CONG'!Q144</f>
        <v>x</v>
      </c>
      <c r="T146" s="519" t="str">
        <f>'CHAM CONG'!R144</f>
        <v>x</v>
      </c>
      <c r="U146" s="519" t="str">
        <f>'CHAM CONG'!S144</f>
        <v>x</v>
      </c>
      <c r="V146" s="519" t="str">
        <f>'CHAM CONG'!T144</f>
        <v>x</v>
      </c>
      <c r="W146" s="519" t="str">
        <f>'CHAM CONG'!U144</f>
        <v>x</v>
      </c>
      <c r="X146" s="519"/>
      <c r="Y146" s="519"/>
      <c r="Z146" s="738">
        <f t="shared" si="43"/>
        <v>15</v>
      </c>
      <c r="AA146" s="580">
        <f t="shared" si="44"/>
        <v>0</v>
      </c>
      <c r="AB146" s="580">
        <f t="shared" si="45"/>
        <v>240000</v>
      </c>
      <c r="AC146" s="580">
        <f>'CHAM CONG'!V144</f>
        <v>0</v>
      </c>
      <c r="AD146" s="580">
        <f>'CHAM CONG'!W144</f>
        <v>0</v>
      </c>
      <c r="AE146" s="580">
        <f>'CHAM CONG'!X144</f>
        <v>0</v>
      </c>
      <c r="AF146" s="738">
        <f t="shared" si="46"/>
        <v>0</v>
      </c>
      <c r="AG146" s="580">
        <f t="shared" si="47"/>
        <v>0</v>
      </c>
      <c r="AH146" s="580">
        <f t="shared" si="42"/>
        <v>15</v>
      </c>
      <c r="AI146" s="580">
        <f t="shared" si="48"/>
        <v>15000</v>
      </c>
      <c r="AJ146" s="580">
        <f t="shared" si="49"/>
        <v>255000</v>
      </c>
      <c r="AK146" s="429">
        <f>'SAN LUONG'!AF145</f>
        <v>227</v>
      </c>
      <c r="AL146" s="429">
        <f>'SAN LUONG'!AG145</f>
        <v>45</v>
      </c>
      <c r="AM146" s="429">
        <f>'SAN LUONG'!AH145</f>
        <v>81</v>
      </c>
      <c r="AN146" s="429">
        <f>'SAN LUONG'!AI145</f>
        <v>262</v>
      </c>
      <c r="AO146" s="746"/>
      <c r="AP146" s="746">
        <f t="shared" si="50"/>
        <v>0</v>
      </c>
      <c r="AQ146" s="746">
        <f t="shared" si="41"/>
        <v>615</v>
      </c>
      <c r="AR146" s="746">
        <f t="shared" si="51"/>
        <v>136653</v>
      </c>
      <c r="AS146" s="746"/>
      <c r="AT146" s="746">
        <f t="shared" si="52"/>
        <v>0</v>
      </c>
      <c r="AU146" s="747">
        <f>'SAN LUONG'!AU145</f>
        <v>0</v>
      </c>
      <c r="AV146" s="748">
        <f t="shared" si="53"/>
        <v>0</v>
      </c>
      <c r="AW146" s="757">
        <f t="shared" si="54"/>
        <v>0</v>
      </c>
      <c r="AX146" s="758">
        <f t="shared" si="55"/>
        <v>391653</v>
      </c>
      <c r="AY146" s="759"/>
      <c r="AZ146" s="759"/>
      <c r="BA146" s="759"/>
      <c r="BB146" s="760">
        <f t="shared" si="56"/>
        <v>391653</v>
      </c>
      <c r="BC146" s="763"/>
      <c r="BD146" s="639">
        <f t="shared" si="57"/>
        <v>12.26</v>
      </c>
      <c r="BE146" s="768"/>
      <c r="BF146" s="769"/>
    </row>
    <row r="147" spans="1:58" s="725" customFormat="1" ht="30" customHeight="1">
      <c r="A147" s="503">
        <v>138</v>
      </c>
      <c r="B147" s="504">
        <v>7</v>
      </c>
      <c r="C147" s="504">
        <v>263</v>
      </c>
      <c r="D147" s="728"/>
      <c r="E147" s="728"/>
      <c r="F147" s="728"/>
      <c r="G147" s="728" t="str">
        <f>'Tên Tháng 1'!E141</f>
        <v>រី អឿន</v>
      </c>
      <c r="H147" s="728" t="str">
        <f>'Tên Tháng 1'!F141</f>
        <v>RY OEUN</v>
      </c>
      <c r="I147" s="519" t="str">
        <f>'CHAM CONG'!G145</f>
        <v>x</v>
      </c>
      <c r="J147" s="519" t="str">
        <f>'CHAM CONG'!H145</f>
        <v>x</v>
      </c>
      <c r="K147" s="519" t="str">
        <f>'CHAM CONG'!I145</f>
        <v>x</v>
      </c>
      <c r="L147" s="519">
        <f>'CHAM CONG'!J145</f>
        <v>0</v>
      </c>
      <c r="M147" s="519" t="str">
        <f>'CHAM CONG'!K145</f>
        <v>x</v>
      </c>
      <c r="N147" s="519" t="str">
        <f>'CHAM CONG'!L145</f>
        <v>x</v>
      </c>
      <c r="O147" s="519" t="str">
        <f>'CHAM CONG'!M145</f>
        <v>x</v>
      </c>
      <c r="P147" s="519" t="str">
        <f>'CHAM CONG'!N145</f>
        <v>x</v>
      </c>
      <c r="Q147" s="519">
        <f>'CHAM CONG'!O145</f>
        <v>0</v>
      </c>
      <c r="R147" s="519" t="str">
        <f>'CHAM CONG'!P145</f>
        <v>x</v>
      </c>
      <c r="S147" s="519" t="str">
        <f>'CHAM CONG'!Q145</f>
        <v>x</v>
      </c>
      <c r="T147" s="519" t="str">
        <f>'CHAM CONG'!R145</f>
        <v>x</v>
      </c>
      <c r="U147" s="519" t="str">
        <f>'CHAM CONG'!S145</f>
        <v>x</v>
      </c>
      <c r="V147" s="519" t="str">
        <f>'CHAM CONG'!T145</f>
        <v>x</v>
      </c>
      <c r="W147" s="519" t="str">
        <f>'CHAM CONG'!U145</f>
        <v>x</v>
      </c>
      <c r="X147" s="519"/>
      <c r="Y147" s="519"/>
      <c r="Z147" s="738">
        <f t="shared" si="43"/>
        <v>13</v>
      </c>
      <c r="AA147" s="580">
        <f t="shared" si="44"/>
        <v>0</v>
      </c>
      <c r="AB147" s="580">
        <f t="shared" si="45"/>
        <v>208000</v>
      </c>
      <c r="AC147" s="580">
        <f>'CHAM CONG'!V145</f>
        <v>0</v>
      </c>
      <c r="AD147" s="580">
        <f>'CHAM CONG'!W145</f>
        <v>0</v>
      </c>
      <c r="AE147" s="580">
        <f>'CHAM CONG'!X145</f>
        <v>0</v>
      </c>
      <c r="AF147" s="738">
        <f t="shared" si="46"/>
        <v>0</v>
      </c>
      <c r="AG147" s="580">
        <f t="shared" si="47"/>
        <v>0</v>
      </c>
      <c r="AH147" s="580">
        <f t="shared" si="42"/>
        <v>13</v>
      </c>
      <c r="AI147" s="580">
        <f t="shared" si="48"/>
        <v>13000</v>
      </c>
      <c r="AJ147" s="580">
        <f t="shared" si="49"/>
        <v>221000</v>
      </c>
      <c r="AK147" s="429">
        <f>'SAN LUONG'!AF146</f>
        <v>208</v>
      </c>
      <c r="AL147" s="429">
        <f>'SAN LUONG'!AG146</f>
        <v>48</v>
      </c>
      <c r="AM147" s="429">
        <f>'SAN LUONG'!AH146</f>
        <v>136</v>
      </c>
      <c r="AN147" s="429">
        <f>'SAN LUONG'!AI146</f>
        <v>258</v>
      </c>
      <c r="AO147" s="746"/>
      <c r="AP147" s="746">
        <f t="shared" si="50"/>
        <v>0</v>
      </c>
      <c r="AQ147" s="746">
        <f t="shared" si="41"/>
        <v>650</v>
      </c>
      <c r="AR147" s="746">
        <f t="shared" si="51"/>
        <v>144430</v>
      </c>
      <c r="AS147" s="746"/>
      <c r="AT147" s="746">
        <f t="shared" si="52"/>
        <v>0</v>
      </c>
      <c r="AU147" s="747">
        <f>'SAN LUONG'!AU146</f>
        <v>0</v>
      </c>
      <c r="AV147" s="748">
        <f t="shared" si="53"/>
        <v>0</v>
      </c>
      <c r="AW147" s="757">
        <f t="shared" si="54"/>
        <v>0</v>
      </c>
      <c r="AX147" s="758">
        <f t="shared" si="55"/>
        <v>365430</v>
      </c>
      <c r="AY147" s="759"/>
      <c r="AZ147" s="759"/>
      <c r="BA147" s="759"/>
      <c r="BB147" s="760">
        <f t="shared" si="56"/>
        <v>365430</v>
      </c>
      <c r="BC147" s="763"/>
      <c r="BD147" s="639">
        <f t="shared" si="57"/>
        <v>11.44</v>
      </c>
      <c r="BE147" s="768"/>
      <c r="BF147" s="769"/>
    </row>
    <row r="148" spans="1:58" s="725" customFormat="1" ht="30" customHeight="1">
      <c r="A148" s="503">
        <v>139</v>
      </c>
      <c r="B148" s="504">
        <v>7</v>
      </c>
      <c r="C148" s="504">
        <v>264</v>
      </c>
      <c r="D148" s="728"/>
      <c r="E148" s="728"/>
      <c r="F148" s="728"/>
      <c r="G148" s="728" t="str">
        <f>'Tên Tháng 1'!E142</f>
        <v>ប៊ុត សុគង់</v>
      </c>
      <c r="H148" s="728" t="str">
        <f>'Tên Tháng 1'!F142</f>
        <v>BUT SOKONG</v>
      </c>
      <c r="I148" s="519" t="str">
        <f>'CHAM CONG'!G146</f>
        <v>x</v>
      </c>
      <c r="J148" s="519" t="str">
        <f>'CHAM CONG'!H146</f>
        <v>x</v>
      </c>
      <c r="K148" s="519" t="str">
        <f>'CHAM CONG'!I146</f>
        <v>x</v>
      </c>
      <c r="L148" s="519" t="str">
        <f>'CHAM CONG'!J146</f>
        <v>x</v>
      </c>
      <c r="M148" s="519" t="str">
        <f>'CHAM CONG'!K146</f>
        <v>x</v>
      </c>
      <c r="N148" s="519" t="str">
        <f>'CHAM CONG'!L146</f>
        <v>x</v>
      </c>
      <c r="O148" s="519">
        <f>'CHAM CONG'!M146</f>
        <v>0</v>
      </c>
      <c r="P148" s="519" t="str">
        <f>'CHAM CONG'!N146</f>
        <v>x</v>
      </c>
      <c r="Q148" s="519" t="str">
        <f>'CHAM CONG'!O146</f>
        <v>x</v>
      </c>
      <c r="R148" s="519" t="str">
        <f>'CHAM CONG'!P146</f>
        <v>x</v>
      </c>
      <c r="S148" s="519" t="str">
        <f>'CHAM CONG'!Q146</f>
        <v>x</v>
      </c>
      <c r="T148" s="519" t="str">
        <f>'CHAM CONG'!R146</f>
        <v>x</v>
      </c>
      <c r="U148" s="519" t="str">
        <f>'CHAM CONG'!S146</f>
        <v>x</v>
      </c>
      <c r="V148" s="519" t="str">
        <f>'CHAM CONG'!T146</f>
        <v>x</v>
      </c>
      <c r="W148" s="519" t="str">
        <f>'CHAM CONG'!U146</f>
        <v>x</v>
      </c>
      <c r="X148" s="519"/>
      <c r="Y148" s="519"/>
      <c r="Z148" s="738">
        <f t="shared" si="43"/>
        <v>14</v>
      </c>
      <c r="AA148" s="580">
        <f t="shared" si="44"/>
        <v>0</v>
      </c>
      <c r="AB148" s="580">
        <f t="shared" si="45"/>
        <v>224000</v>
      </c>
      <c r="AC148" s="580">
        <f>'CHAM CONG'!V146</f>
        <v>0</v>
      </c>
      <c r="AD148" s="580">
        <f>'CHAM CONG'!W146</f>
        <v>0</v>
      </c>
      <c r="AE148" s="580">
        <f>'CHAM CONG'!X146</f>
        <v>0</v>
      </c>
      <c r="AF148" s="738">
        <f t="shared" si="46"/>
        <v>0</v>
      </c>
      <c r="AG148" s="580">
        <f t="shared" si="47"/>
        <v>0</v>
      </c>
      <c r="AH148" s="580">
        <f t="shared" si="42"/>
        <v>14</v>
      </c>
      <c r="AI148" s="580">
        <f t="shared" si="48"/>
        <v>14000</v>
      </c>
      <c r="AJ148" s="580">
        <f t="shared" si="49"/>
        <v>238000</v>
      </c>
      <c r="AK148" s="429">
        <f>'SAN LUONG'!AF147</f>
        <v>158</v>
      </c>
      <c r="AL148" s="429">
        <f>'SAN LUONG'!AG147</f>
        <v>46</v>
      </c>
      <c r="AM148" s="429">
        <f>'SAN LUONG'!AH147</f>
        <v>111</v>
      </c>
      <c r="AN148" s="429">
        <f>'SAN LUONG'!AI147</f>
        <v>172</v>
      </c>
      <c r="AO148" s="746"/>
      <c r="AP148" s="746">
        <f t="shared" si="50"/>
        <v>0</v>
      </c>
      <c r="AQ148" s="746">
        <f t="shared" si="41"/>
        <v>487</v>
      </c>
      <c r="AR148" s="746">
        <f t="shared" si="51"/>
        <v>108211</v>
      </c>
      <c r="AS148" s="746"/>
      <c r="AT148" s="746">
        <f t="shared" si="52"/>
        <v>0</v>
      </c>
      <c r="AU148" s="747">
        <f>'SAN LUONG'!AU147</f>
        <v>0</v>
      </c>
      <c r="AV148" s="748">
        <f t="shared" si="53"/>
        <v>0</v>
      </c>
      <c r="AW148" s="757">
        <f t="shared" si="54"/>
        <v>0</v>
      </c>
      <c r="AX148" s="758">
        <f t="shared" si="55"/>
        <v>346211</v>
      </c>
      <c r="AY148" s="759"/>
      <c r="AZ148" s="759"/>
      <c r="BA148" s="759"/>
      <c r="BB148" s="760">
        <f t="shared" si="56"/>
        <v>346211</v>
      </c>
      <c r="BC148" s="763"/>
      <c r="BD148" s="639">
        <f t="shared" si="57"/>
        <v>10.84</v>
      </c>
      <c r="BE148" s="768"/>
      <c r="BF148" s="769"/>
    </row>
    <row r="149" spans="1:58" s="725" customFormat="1" ht="30" customHeight="1">
      <c r="A149" s="503">
        <v>140</v>
      </c>
      <c r="B149" s="504">
        <v>7</v>
      </c>
      <c r="C149" s="504">
        <v>265</v>
      </c>
      <c r="D149" s="728"/>
      <c r="E149" s="728"/>
      <c r="F149" s="728"/>
      <c r="G149" s="728" t="str">
        <f>'Tên Tháng 1'!E143</f>
        <v>ឡាម វង្ស</v>
      </c>
      <c r="H149" s="728" t="str">
        <f>'Tên Tháng 1'!F143</f>
        <v>LAM VONG</v>
      </c>
      <c r="I149" s="519">
        <f>'CHAM CONG'!G147</f>
        <v>0</v>
      </c>
      <c r="J149" s="519" t="str">
        <f>'CHAM CONG'!H147</f>
        <v>x</v>
      </c>
      <c r="K149" s="519" t="str">
        <f>'CHAM CONG'!I147</f>
        <v>x</v>
      </c>
      <c r="L149" s="519">
        <f>'CHAM CONG'!J147</f>
        <v>0</v>
      </c>
      <c r="M149" s="519" t="str">
        <f>'CHAM CONG'!K147</f>
        <v>x</v>
      </c>
      <c r="N149" s="519">
        <f>'CHAM CONG'!L147</f>
        <v>0</v>
      </c>
      <c r="O149" s="519" t="str">
        <f>'CHAM CONG'!M147</f>
        <v>x</v>
      </c>
      <c r="P149" s="519" t="str">
        <f>'CHAM CONG'!N147</f>
        <v>x</v>
      </c>
      <c r="Q149" s="519" t="str">
        <f>'CHAM CONG'!O147</f>
        <v>x</v>
      </c>
      <c r="R149" s="519">
        <f>'CHAM CONG'!P147</f>
        <v>0</v>
      </c>
      <c r="S149" s="519" t="str">
        <f>'CHAM CONG'!Q147</f>
        <v>x</v>
      </c>
      <c r="T149" s="519" t="str">
        <f>'CHAM CONG'!R147</f>
        <v>x</v>
      </c>
      <c r="U149" s="519" t="str">
        <f>'CHAM CONG'!S147</f>
        <v>x</v>
      </c>
      <c r="V149" s="519" t="str">
        <f>'CHAM CONG'!T147</f>
        <v>x</v>
      </c>
      <c r="W149" s="519" t="str">
        <f>'CHAM CONG'!U147</f>
        <v>x</v>
      </c>
      <c r="X149" s="519"/>
      <c r="Y149" s="519"/>
      <c r="Z149" s="738">
        <f t="shared" si="43"/>
        <v>11</v>
      </c>
      <c r="AA149" s="580">
        <f t="shared" si="44"/>
        <v>0</v>
      </c>
      <c r="AB149" s="580">
        <f t="shared" si="45"/>
        <v>176000</v>
      </c>
      <c r="AC149" s="580">
        <f>'CHAM CONG'!V147</f>
        <v>0</v>
      </c>
      <c r="AD149" s="580">
        <f>'CHAM CONG'!W147</f>
        <v>0</v>
      </c>
      <c r="AE149" s="580">
        <f>'CHAM CONG'!X147</f>
        <v>0</v>
      </c>
      <c r="AF149" s="738">
        <f t="shared" si="46"/>
        <v>0</v>
      </c>
      <c r="AG149" s="580">
        <f t="shared" si="47"/>
        <v>0</v>
      </c>
      <c r="AH149" s="580">
        <f t="shared" si="42"/>
        <v>11</v>
      </c>
      <c r="AI149" s="580">
        <f t="shared" si="48"/>
        <v>11000</v>
      </c>
      <c r="AJ149" s="580">
        <f t="shared" si="49"/>
        <v>187000</v>
      </c>
      <c r="AK149" s="429">
        <f>'SAN LUONG'!AF148</f>
        <v>236</v>
      </c>
      <c r="AL149" s="429">
        <f>'SAN LUONG'!AG148</f>
        <v>51</v>
      </c>
      <c r="AM149" s="429">
        <f>'SAN LUONG'!AH148</f>
        <v>97</v>
      </c>
      <c r="AN149" s="429">
        <f>'SAN LUONG'!AI148</f>
        <v>439</v>
      </c>
      <c r="AO149" s="746"/>
      <c r="AP149" s="746">
        <f t="shared" si="50"/>
        <v>0</v>
      </c>
      <c r="AQ149" s="746">
        <f t="shared" si="41"/>
        <v>823</v>
      </c>
      <c r="AR149" s="746">
        <f t="shared" si="51"/>
        <v>182871</v>
      </c>
      <c r="AS149" s="746"/>
      <c r="AT149" s="746">
        <f t="shared" si="52"/>
        <v>0</v>
      </c>
      <c r="AU149" s="747">
        <f>'SAN LUONG'!AU148</f>
        <v>0</v>
      </c>
      <c r="AV149" s="748">
        <f t="shared" si="53"/>
        <v>0</v>
      </c>
      <c r="AW149" s="757">
        <f t="shared" si="54"/>
        <v>0</v>
      </c>
      <c r="AX149" s="758">
        <f t="shared" si="55"/>
        <v>369871</v>
      </c>
      <c r="AY149" s="759"/>
      <c r="AZ149" s="759"/>
      <c r="BA149" s="759"/>
      <c r="BB149" s="760">
        <f t="shared" si="56"/>
        <v>369871</v>
      </c>
      <c r="BC149" s="763"/>
      <c r="BD149" s="639">
        <f t="shared" si="57"/>
        <v>11.58</v>
      </c>
      <c r="BE149" s="768"/>
      <c r="BF149" s="769"/>
    </row>
    <row r="150" spans="1:58" s="725" customFormat="1" ht="30" customHeight="1">
      <c r="A150" s="503">
        <v>141</v>
      </c>
      <c r="B150" s="504">
        <v>7</v>
      </c>
      <c r="C150" s="504">
        <v>266</v>
      </c>
      <c r="D150" s="728"/>
      <c r="E150" s="728"/>
      <c r="F150" s="728"/>
      <c r="G150" s="728" t="str">
        <f>'Tên Tháng 1'!E144</f>
        <v>លីម ធា</v>
      </c>
      <c r="H150" s="728" t="str">
        <f>'Tên Tháng 1'!F144</f>
        <v>LIM THEA</v>
      </c>
      <c r="I150" s="519">
        <f>'CHAM CONG'!G148</f>
        <v>0</v>
      </c>
      <c r="J150" s="519" t="str">
        <f>'CHAM CONG'!H148</f>
        <v>x</v>
      </c>
      <c r="K150" s="519" t="str">
        <f>'CHAM CONG'!I148</f>
        <v>x</v>
      </c>
      <c r="L150" s="519" t="str">
        <f>'CHAM CONG'!J148</f>
        <v>x</v>
      </c>
      <c r="M150" s="519" t="str">
        <f>'CHAM CONG'!K148</f>
        <v>x</v>
      </c>
      <c r="N150" s="519">
        <f>'CHAM CONG'!L148</f>
        <v>0</v>
      </c>
      <c r="O150" s="519" t="str">
        <f>'CHAM CONG'!M148</f>
        <v>x</v>
      </c>
      <c r="P150" s="519" t="str">
        <f>'CHAM CONG'!N148</f>
        <v>x</v>
      </c>
      <c r="Q150" s="519" t="str">
        <f>'CHAM CONG'!O148</f>
        <v>x</v>
      </c>
      <c r="R150" s="519">
        <f>'CHAM CONG'!P148</f>
        <v>0</v>
      </c>
      <c r="S150" s="519" t="str">
        <f>'CHAM CONG'!Q148</f>
        <v>x</v>
      </c>
      <c r="T150" s="519" t="str">
        <f>'CHAM CONG'!R148</f>
        <v>x</v>
      </c>
      <c r="U150" s="519" t="str">
        <f>'CHAM CONG'!S148</f>
        <v>x</v>
      </c>
      <c r="V150" s="519" t="str">
        <f>'CHAM CONG'!T148</f>
        <v>x</v>
      </c>
      <c r="W150" s="519" t="str">
        <f>'CHAM CONG'!U148</f>
        <v>x</v>
      </c>
      <c r="X150" s="519"/>
      <c r="Y150" s="519"/>
      <c r="Z150" s="738">
        <f t="shared" si="43"/>
        <v>12</v>
      </c>
      <c r="AA150" s="580">
        <f t="shared" si="44"/>
        <v>0</v>
      </c>
      <c r="AB150" s="580">
        <f t="shared" si="45"/>
        <v>192000</v>
      </c>
      <c r="AC150" s="580">
        <f>'CHAM CONG'!V148</f>
        <v>0</v>
      </c>
      <c r="AD150" s="580">
        <f>'CHAM CONG'!W148</f>
        <v>0</v>
      </c>
      <c r="AE150" s="580">
        <f>'CHAM CONG'!X148</f>
        <v>0</v>
      </c>
      <c r="AF150" s="738">
        <f t="shared" si="46"/>
        <v>0</v>
      </c>
      <c r="AG150" s="580">
        <f t="shared" si="47"/>
        <v>0</v>
      </c>
      <c r="AH150" s="580">
        <f t="shared" si="42"/>
        <v>12</v>
      </c>
      <c r="AI150" s="580">
        <f t="shared" si="48"/>
        <v>12000</v>
      </c>
      <c r="AJ150" s="580">
        <f t="shared" si="49"/>
        <v>204000</v>
      </c>
      <c r="AK150" s="429">
        <f>'SAN LUONG'!AF149</f>
        <v>229</v>
      </c>
      <c r="AL150" s="429">
        <f>'SAN LUONG'!AG149</f>
        <v>54</v>
      </c>
      <c r="AM150" s="429">
        <f>'SAN LUONG'!AH149</f>
        <v>116</v>
      </c>
      <c r="AN150" s="429">
        <f>'SAN LUONG'!AI149</f>
        <v>443</v>
      </c>
      <c r="AO150" s="746"/>
      <c r="AP150" s="746">
        <f t="shared" si="50"/>
        <v>0</v>
      </c>
      <c r="AQ150" s="746">
        <f t="shared" si="41"/>
        <v>842</v>
      </c>
      <c r="AR150" s="746">
        <f t="shared" si="51"/>
        <v>187092</v>
      </c>
      <c r="AS150" s="746"/>
      <c r="AT150" s="746">
        <f t="shared" si="52"/>
        <v>0</v>
      </c>
      <c r="AU150" s="747">
        <f>'SAN LUONG'!AU149</f>
        <v>0</v>
      </c>
      <c r="AV150" s="748">
        <f t="shared" si="53"/>
        <v>0</v>
      </c>
      <c r="AW150" s="757">
        <f t="shared" si="54"/>
        <v>0</v>
      </c>
      <c r="AX150" s="758">
        <f t="shared" si="55"/>
        <v>391092</v>
      </c>
      <c r="AY150" s="759"/>
      <c r="AZ150" s="759"/>
      <c r="BA150" s="759"/>
      <c r="BB150" s="760">
        <f t="shared" si="56"/>
        <v>391092</v>
      </c>
      <c r="BC150" s="763"/>
      <c r="BD150" s="639">
        <f t="shared" si="57"/>
        <v>12.24</v>
      </c>
      <c r="BE150" s="768"/>
      <c r="BF150" s="769"/>
    </row>
    <row r="151" spans="1:58" s="725" customFormat="1" ht="30" customHeight="1">
      <c r="A151" s="503">
        <v>142</v>
      </c>
      <c r="B151" s="504">
        <v>7</v>
      </c>
      <c r="C151" s="504">
        <v>267</v>
      </c>
      <c r="D151" s="728"/>
      <c r="E151" s="728"/>
      <c r="F151" s="728"/>
      <c r="G151" s="728" t="str">
        <f>'Tên Tháng 1'!E145</f>
        <v>យ៉ុន ឆាយ</v>
      </c>
      <c r="H151" s="728" t="str">
        <f>'Tên Tháng 1'!F145</f>
        <v>YON CHHAY</v>
      </c>
      <c r="I151" s="519" t="str">
        <f>'CHAM CONG'!G149</f>
        <v>x</v>
      </c>
      <c r="J151" s="519" t="str">
        <f>'CHAM CONG'!H149</f>
        <v>x</v>
      </c>
      <c r="K151" s="519" t="str">
        <f>'CHAM CONG'!I149</f>
        <v>x</v>
      </c>
      <c r="L151" s="519" t="str">
        <f>'CHAM CONG'!J149</f>
        <v>x</v>
      </c>
      <c r="M151" s="519" t="str">
        <f>'CHAM CONG'!K149</f>
        <v>x</v>
      </c>
      <c r="N151" s="519" t="str">
        <f>'CHAM CONG'!L149</f>
        <v>x</v>
      </c>
      <c r="O151" s="519" t="str">
        <f>'CHAM CONG'!M149</f>
        <v>x</v>
      </c>
      <c r="P151" s="519" t="str">
        <f>'CHAM CONG'!N149</f>
        <v>x</v>
      </c>
      <c r="Q151" s="519" t="str">
        <f>'CHAM CONG'!O149</f>
        <v>x</v>
      </c>
      <c r="R151" s="519" t="str">
        <f>'CHAM CONG'!P149</f>
        <v>x</v>
      </c>
      <c r="S151" s="519" t="str">
        <f>'CHAM CONG'!Q149</f>
        <v>x</v>
      </c>
      <c r="T151" s="519" t="str">
        <f>'CHAM CONG'!R149</f>
        <v>x</v>
      </c>
      <c r="U151" s="519" t="str">
        <f>'CHAM CONG'!S149</f>
        <v>x</v>
      </c>
      <c r="V151" s="519" t="str">
        <f>'CHAM CONG'!T149</f>
        <v>x</v>
      </c>
      <c r="W151" s="519" t="str">
        <f>'CHAM CONG'!U149</f>
        <v>x</v>
      </c>
      <c r="X151" s="519"/>
      <c r="Y151" s="519"/>
      <c r="Z151" s="738">
        <f t="shared" si="43"/>
        <v>15</v>
      </c>
      <c r="AA151" s="580">
        <f t="shared" si="44"/>
        <v>0</v>
      </c>
      <c r="AB151" s="580">
        <f t="shared" si="45"/>
        <v>240000</v>
      </c>
      <c r="AC151" s="580">
        <f>'CHAM CONG'!V149</f>
        <v>0</v>
      </c>
      <c r="AD151" s="580">
        <f>'CHAM CONG'!W149</f>
        <v>0</v>
      </c>
      <c r="AE151" s="580">
        <f>'CHAM CONG'!X149</f>
        <v>0</v>
      </c>
      <c r="AF151" s="738">
        <f t="shared" si="46"/>
        <v>0</v>
      </c>
      <c r="AG151" s="580">
        <f t="shared" si="47"/>
        <v>0</v>
      </c>
      <c r="AH151" s="580">
        <f t="shared" si="42"/>
        <v>15</v>
      </c>
      <c r="AI151" s="580">
        <f t="shared" si="48"/>
        <v>15000</v>
      </c>
      <c r="AJ151" s="580">
        <f t="shared" si="49"/>
        <v>255000</v>
      </c>
      <c r="AK151" s="429">
        <f>'SAN LUONG'!AF150</f>
        <v>294</v>
      </c>
      <c r="AL151" s="429">
        <f>'SAN LUONG'!AG150</f>
        <v>87</v>
      </c>
      <c r="AM151" s="429">
        <f>'SAN LUONG'!AH150</f>
        <v>125</v>
      </c>
      <c r="AN151" s="429">
        <f>'SAN LUONG'!AI150</f>
        <v>337</v>
      </c>
      <c r="AO151" s="746"/>
      <c r="AP151" s="746">
        <f t="shared" si="50"/>
        <v>0</v>
      </c>
      <c r="AQ151" s="746">
        <f t="shared" si="41"/>
        <v>843</v>
      </c>
      <c r="AR151" s="746">
        <f t="shared" si="51"/>
        <v>187315</v>
      </c>
      <c r="AS151" s="746"/>
      <c r="AT151" s="746">
        <f t="shared" si="52"/>
        <v>0</v>
      </c>
      <c r="AU151" s="747">
        <f>'SAN LUONG'!AU150</f>
        <v>0</v>
      </c>
      <c r="AV151" s="748">
        <f t="shared" si="53"/>
        <v>0</v>
      </c>
      <c r="AW151" s="757">
        <f t="shared" si="54"/>
        <v>0</v>
      </c>
      <c r="AX151" s="758">
        <f t="shared" si="55"/>
        <v>442315</v>
      </c>
      <c r="AY151" s="759"/>
      <c r="AZ151" s="759"/>
      <c r="BA151" s="759"/>
      <c r="BB151" s="760">
        <f t="shared" si="56"/>
        <v>442315</v>
      </c>
      <c r="BC151" s="763"/>
      <c r="BD151" s="639">
        <f t="shared" si="57"/>
        <v>13.85</v>
      </c>
      <c r="BE151" s="768"/>
      <c r="BF151" s="769"/>
    </row>
    <row r="152" spans="1:58" s="725" customFormat="1" ht="30" customHeight="1">
      <c r="A152" s="503">
        <v>143</v>
      </c>
      <c r="B152" s="504">
        <v>7</v>
      </c>
      <c r="C152" s="504">
        <v>268</v>
      </c>
      <c r="D152" s="728"/>
      <c r="E152" s="728"/>
      <c r="F152" s="728"/>
      <c r="G152" s="728" t="str">
        <f>'Tên Tháng 1'!E146</f>
        <v>យ៉ាត សុឃីម</v>
      </c>
      <c r="H152" s="728" t="str">
        <f>'Tên Tháng 1'!F146</f>
        <v>YAT SOKHIM</v>
      </c>
      <c r="I152" s="519" t="str">
        <f>'CHAM CONG'!G150</f>
        <v>x</v>
      </c>
      <c r="J152" s="519">
        <f>'CHAM CONG'!H150</f>
        <v>0</v>
      </c>
      <c r="K152" s="519" t="str">
        <f>'CHAM CONG'!I150</f>
        <v>x</v>
      </c>
      <c r="L152" s="519">
        <f>'CHAM CONG'!J150</f>
        <v>0</v>
      </c>
      <c r="M152" s="519" t="str">
        <f>'CHAM CONG'!K150</f>
        <v>x</v>
      </c>
      <c r="N152" s="519">
        <f>'CHAM CONG'!L150</f>
        <v>0</v>
      </c>
      <c r="O152" s="519" t="str">
        <f>'CHAM CONG'!M150</f>
        <v>x</v>
      </c>
      <c r="P152" s="519" t="str">
        <f>'CHAM CONG'!N150</f>
        <v>x</v>
      </c>
      <c r="Q152" s="519" t="str">
        <f>'CHAM CONG'!O150</f>
        <v>x</v>
      </c>
      <c r="R152" s="519" t="str">
        <f>'CHAM CONG'!P150</f>
        <v>x</v>
      </c>
      <c r="S152" s="519" t="str">
        <f>'CHAM CONG'!Q150</f>
        <v>x</v>
      </c>
      <c r="T152" s="519" t="str">
        <f>'CHAM CONG'!R150</f>
        <v>x</v>
      </c>
      <c r="U152" s="519" t="str">
        <f>'CHAM CONG'!S150</f>
        <v>x</v>
      </c>
      <c r="V152" s="519" t="str">
        <f>'CHAM CONG'!T150</f>
        <v>x</v>
      </c>
      <c r="W152" s="519" t="str">
        <f>'CHAM CONG'!U150</f>
        <v>x</v>
      </c>
      <c r="X152" s="519"/>
      <c r="Y152" s="519"/>
      <c r="Z152" s="738">
        <f t="shared" si="43"/>
        <v>12</v>
      </c>
      <c r="AA152" s="580">
        <f t="shared" si="44"/>
        <v>0</v>
      </c>
      <c r="AB152" s="580">
        <f t="shared" si="45"/>
        <v>192000</v>
      </c>
      <c r="AC152" s="580">
        <f>'CHAM CONG'!V150</f>
        <v>0</v>
      </c>
      <c r="AD152" s="580">
        <f>'CHAM CONG'!W150</f>
        <v>0</v>
      </c>
      <c r="AE152" s="580">
        <f>'CHAM CONG'!X150</f>
        <v>0</v>
      </c>
      <c r="AF152" s="738">
        <f t="shared" si="46"/>
        <v>0</v>
      </c>
      <c r="AG152" s="580">
        <f t="shared" si="47"/>
        <v>0</v>
      </c>
      <c r="AH152" s="580">
        <f t="shared" si="42"/>
        <v>12</v>
      </c>
      <c r="AI152" s="580">
        <f t="shared" si="48"/>
        <v>12000</v>
      </c>
      <c r="AJ152" s="580">
        <f t="shared" si="49"/>
        <v>204000</v>
      </c>
      <c r="AK152" s="429">
        <f>'SAN LUONG'!AF151</f>
        <v>153</v>
      </c>
      <c r="AL152" s="429">
        <f>'SAN LUONG'!AG151</f>
        <v>69</v>
      </c>
      <c r="AM152" s="429">
        <f>'SAN LUONG'!AH151</f>
        <v>42</v>
      </c>
      <c r="AN152" s="429">
        <f>'SAN LUONG'!AI151</f>
        <v>265</v>
      </c>
      <c r="AO152" s="746"/>
      <c r="AP152" s="746">
        <f t="shared" si="50"/>
        <v>0</v>
      </c>
      <c r="AQ152" s="746">
        <f t="shared" si="41"/>
        <v>529</v>
      </c>
      <c r="AR152" s="746">
        <f t="shared" si="51"/>
        <v>117544</v>
      </c>
      <c r="AS152" s="746"/>
      <c r="AT152" s="746">
        <f t="shared" si="52"/>
        <v>0</v>
      </c>
      <c r="AU152" s="747">
        <f>'SAN LUONG'!AU151</f>
        <v>0</v>
      </c>
      <c r="AV152" s="748">
        <f t="shared" si="53"/>
        <v>0</v>
      </c>
      <c r="AW152" s="757">
        <f t="shared" si="54"/>
        <v>0</v>
      </c>
      <c r="AX152" s="758">
        <f t="shared" si="55"/>
        <v>321544</v>
      </c>
      <c r="AY152" s="759"/>
      <c r="AZ152" s="759"/>
      <c r="BA152" s="759"/>
      <c r="BB152" s="760">
        <f t="shared" si="56"/>
        <v>321544</v>
      </c>
      <c r="BC152" s="763"/>
      <c r="BD152" s="639">
        <f t="shared" si="57"/>
        <v>10.06</v>
      </c>
      <c r="BE152" s="768"/>
      <c r="BF152" s="769"/>
    </row>
    <row r="153" spans="1:58" s="725" customFormat="1" ht="30" customHeight="1">
      <c r="A153" s="503">
        <v>144</v>
      </c>
      <c r="B153" s="504">
        <v>7</v>
      </c>
      <c r="C153" s="504">
        <v>269</v>
      </c>
      <c r="D153" s="728"/>
      <c r="E153" s="728"/>
      <c r="F153" s="728"/>
      <c r="G153" s="728" t="str">
        <f>'Tên Tháng 1'!E147</f>
        <v>ឈន ប៊ន</v>
      </c>
      <c r="H153" s="728" t="str">
        <f>'Tên Tháng 1'!F147</f>
        <v>CHHON BORN</v>
      </c>
      <c r="I153" s="519" t="str">
        <f>'CHAM CONG'!G151</f>
        <v>x</v>
      </c>
      <c r="J153" s="519" t="str">
        <f>'CHAM CONG'!H151</f>
        <v>x</v>
      </c>
      <c r="K153" s="519" t="str">
        <f>'CHAM CONG'!I151</f>
        <v>x</v>
      </c>
      <c r="L153" s="519">
        <f>'CHAM CONG'!J151</f>
        <v>0</v>
      </c>
      <c r="M153" s="519" t="str">
        <f>'CHAM CONG'!K151</f>
        <v>x</v>
      </c>
      <c r="N153" s="519" t="str">
        <f>'CHAM CONG'!L151</f>
        <v>x</v>
      </c>
      <c r="O153" s="519" t="str">
        <f>'CHAM CONG'!M151</f>
        <v>x</v>
      </c>
      <c r="P153" s="519" t="str">
        <f>'CHAM CONG'!N151</f>
        <v>x</v>
      </c>
      <c r="Q153" s="519" t="str">
        <f>'CHAM CONG'!O151</f>
        <v>x</v>
      </c>
      <c r="R153" s="519" t="str">
        <f>'CHAM CONG'!P151</f>
        <v>x</v>
      </c>
      <c r="S153" s="519" t="str">
        <f>'CHAM CONG'!Q151</f>
        <v>x</v>
      </c>
      <c r="T153" s="519" t="str">
        <f>'CHAM CONG'!R151</f>
        <v>x</v>
      </c>
      <c r="U153" s="519" t="str">
        <f>'CHAM CONG'!S151</f>
        <v>x</v>
      </c>
      <c r="V153" s="519" t="str">
        <f>'CHAM CONG'!T151</f>
        <v>x</v>
      </c>
      <c r="W153" s="519" t="str">
        <f>'CHAM CONG'!U151</f>
        <v>x</v>
      </c>
      <c r="X153" s="519"/>
      <c r="Y153" s="519"/>
      <c r="Z153" s="738">
        <f t="shared" si="43"/>
        <v>14</v>
      </c>
      <c r="AA153" s="580">
        <f t="shared" si="44"/>
        <v>0</v>
      </c>
      <c r="AB153" s="580">
        <f t="shared" si="45"/>
        <v>224000</v>
      </c>
      <c r="AC153" s="580">
        <f>'CHAM CONG'!V151</f>
        <v>0</v>
      </c>
      <c r="AD153" s="580">
        <f>'CHAM CONG'!W151</f>
        <v>0</v>
      </c>
      <c r="AE153" s="580">
        <f>'CHAM CONG'!X151</f>
        <v>0</v>
      </c>
      <c r="AF153" s="738">
        <f t="shared" si="46"/>
        <v>0</v>
      </c>
      <c r="AG153" s="580">
        <f t="shared" si="47"/>
        <v>0</v>
      </c>
      <c r="AH153" s="580">
        <f t="shared" si="42"/>
        <v>14</v>
      </c>
      <c r="AI153" s="580">
        <f t="shared" si="48"/>
        <v>14000</v>
      </c>
      <c r="AJ153" s="580">
        <f t="shared" si="49"/>
        <v>238000</v>
      </c>
      <c r="AK153" s="429">
        <f>'SAN LUONG'!AF152</f>
        <v>326</v>
      </c>
      <c r="AL153" s="429">
        <f>'SAN LUONG'!AG152</f>
        <v>144</v>
      </c>
      <c r="AM153" s="429">
        <f>'SAN LUONG'!AH152</f>
        <v>255</v>
      </c>
      <c r="AN153" s="429">
        <f>'SAN LUONG'!AI152</f>
        <v>360</v>
      </c>
      <c r="AO153" s="746"/>
      <c r="AP153" s="746">
        <f t="shared" si="50"/>
        <v>0</v>
      </c>
      <c r="AQ153" s="746">
        <f t="shared" si="41"/>
        <v>1085</v>
      </c>
      <c r="AR153" s="746">
        <f t="shared" si="51"/>
        <v>241087</v>
      </c>
      <c r="AS153" s="746"/>
      <c r="AT153" s="746">
        <f t="shared" si="52"/>
        <v>0</v>
      </c>
      <c r="AU153" s="747">
        <f>'SAN LUONG'!AU152</f>
        <v>0</v>
      </c>
      <c r="AV153" s="748">
        <f t="shared" si="53"/>
        <v>0</v>
      </c>
      <c r="AW153" s="757">
        <f t="shared" si="54"/>
        <v>0</v>
      </c>
      <c r="AX153" s="758">
        <f t="shared" si="55"/>
        <v>479087</v>
      </c>
      <c r="AY153" s="759"/>
      <c r="AZ153" s="759"/>
      <c r="BA153" s="759"/>
      <c r="BB153" s="760">
        <f t="shared" si="56"/>
        <v>479087</v>
      </c>
      <c r="BC153" s="763"/>
      <c r="BD153" s="639">
        <f t="shared" si="57"/>
        <v>15</v>
      </c>
      <c r="BE153" s="768"/>
      <c r="BF153" s="769"/>
    </row>
    <row r="154" spans="1:58" s="725" customFormat="1" ht="30" customHeight="1">
      <c r="A154" s="503">
        <v>145</v>
      </c>
      <c r="B154" s="504">
        <v>7</v>
      </c>
      <c r="C154" s="504">
        <v>270</v>
      </c>
      <c r="D154" s="728"/>
      <c r="E154" s="728"/>
      <c r="F154" s="728"/>
      <c r="G154" s="728" t="str">
        <f>'Tên Tháng 1'!E148</f>
        <v>ចន អ៊ន់</v>
      </c>
      <c r="H154" s="728" t="str">
        <f>'Tên Tháng 1'!F148</f>
        <v>CHAN ON</v>
      </c>
      <c r="I154" s="519">
        <f>'CHAM CONG'!G152</f>
        <v>0</v>
      </c>
      <c r="J154" s="519" t="str">
        <f>'CHAM CONG'!H152</f>
        <v>x</v>
      </c>
      <c r="K154" s="519" t="str">
        <f>'CHAM CONG'!I152</f>
        <v>x</v>
      </c>
      <c r="L154" s="519">
        <f>'CHAM CONG'!J152</f>
        <v>0</v>
      </c>
      <c r="M154" s="519" t="str">
        <f>'CHAM CONG'!K152</f>
        <v>x</v>
      </c>
      <c r="N154" s="519" t="str">
        <f>'CHAM CONG'!L152</f>
        <v>x</v>
      </c>
      <c r="O154" s="519" t="str">
        <f>'CHAM CONG'!M152</f>
        <v>x</v>
      </c>
      <c r="P154" s="519" t="str">
        <f>'CHAM CONG'!N152</f>
        <v>x</v>
      </c>
      <c r="Q154" s="519" t="str">
        <f>'CHAM CONG'!O152</f>
        <v>x</v>
      </c>
      <c r="R154" s="519" t="str">
        <f>'CHAM CONG'!P152</f>
        <v>x</v>
      </c>
      <c r="S154" s="519" t="str">
        <f>'CHAM CONG'!Q152</f>
        <v>x</v>
      </c>
      <c r="T154" s="519" t="str">
        <f>'CHAM CONG'!R152</f>
        <v>x</v>
      </c>
      <c r="U154" s="519" t="str">
        <f>'CHAM CONG'!S152</f>
        <v>x</v>
      </c>
      <c r="V154" s="519" t="str">
        <f>'CHAM CONG'!T152</f>
        <v>x</v>
      </c>
      <c r="W154" s="519" t="str">
        <f>'CHAM CONG'!U152</f>
        <v>x</v>
      </c>
      <c r="X154" s="519"/>
      <c r="Y154" s="519"/>
      <c r="Z154" s="738">
        <f t="shared" si="43"/>
        <v>13</v>
      </c>
      <c r="AA154" s="580">
        <f t="shared" si="44"/>
        <v>0</v>
      </c>
      <c r="AB154" s="580">
        <f t="shared" si="45"/>
        <v>208000</v>
      </c>
      <c r="AC154" s="580">
        <f>'CHAM CONG'!V152</f>
        <v>0</v>
      </c>
      <c r="AD154" s="580">
        <f>'CHAM CONG'!W152</f>
        <v>0</v>
      </c>
      <c r="AE154" s="580">
        <f>'CHAM CONG'!X152</f>
        <v>0</v>
      </c>
      <c r="AF154" s="738">
        <f t="shared" si="46"/>
        <v>0</v>
      </c>
      <c r="AG154" s="580">
        <f t="shared" si="47"/>
        <v>0</v>
      </c>
      <c r="AH154" s="580">
        <f t="shared" si="42"/>
        <v>13</v>
      </c>
      <c r="AI154" s="580">
        <f t="shared" si="48"/>
        <v>13000</v>
      </c>
      <c r="AJ154" s="580">
        <f t="shared" si="49"/>
        <v>221000</v>
      </c>
      <c r="AK154" s="429">
        <f>'SAN LUONG'!AF153</f>
        <v>307</v>
      </c>
      <c r="AL154" s="429">
        <f>'SAN LUONG'!AG153</f>
        <v>93</v>
      </c>
      <c r="AM154" s="429">
        <f>'SAN LUONG'!AH153</f>
        <v>272</v>
      </c>
      <c r="AN154" s="429">
        <f>'SAN LUONG'!AI153</f>
        <v>450</v>
      </c>
      <c r="AO154" s="746"/>
      <c r="AP154" s="746">
        <f t="shared" si="50"/>
        <v>0</v>
      </c>
      <c r="AQ154" s="746">
        <f t="shared" si="41"/>
        <v>1122</v>
      </c>
      <c r="AR154" s="746">
        <f t="shared" si="51"/>
        <v>249308</v>
      </c>
      <c r="AS154" s="746"/>
      <c r="AT154" s="746">
        <f t="shared" si="52"/>
        <v>0</v>
      </c>
      <c r="AU154" s="747">
        <f>'SAN LUONG'!AU153</f>
        <v>0</v>
      </c>
      <c r="AV154" s="748">
        <f t="shared" si="53"/>
        <v>0</v>
      </c>
      <c r="AW154" s="757">
        <f t="shared" si="54"/>
        <v>0</v>
      </c>
      <c r="AX154" s="758">
        <f t="shared" si="55"/>
        <v>470308</v>
      </c>
      <c r="AY154" s="759"/>
      <c r="AZ154" s="759"/>
      <c r="BA154" s="759"/>
      <c r="BB154" s="760">
        <f t="shared" si="56"/>
        <v>470308</v>
      </c>
      <c r="BC154" s="763"/>
      <c r="BD154" s="639">
        <f t="shared" si="57"/>
        <v>14.72</v>
      </c>
      <c r="BE154" s="768"/>
      <c r="BF154" s="769"/>
    </row>
    <row r="155" spans="1:58" s="725" customFormat="1" ht="30" customHeight="1">
      <c r="A155" s="503">
        <v>146</v>
      </c>
      <c r="B155" s="504">
        <v>7</v>
      </c>
      <c r="C155" s="504">
        <v>271</v>
      </c>
      <c r="D155" s="728"/>
      <c r="E155" s="728"/>
      <c r="F155" s="728"/>
      <c r="G155" s="728" t="str">
        <f>'Tên Tháng 1'!E149</f>
        <v>សែម ធឿន</v>
      </c>
      <c r="H155" s="728" t="str">
        <f>'Tên Tháng 1'!F149</f>
        <v>SEM THOEURN</v>
      </c>
      <c r="I155" s="519">
        <f>'CHAM CONG'!G153</f>
        <v>0</v>
      </c>
      <c r="J155" s="519" t="str">
        <f>'CHAM CONG'!H153</f>
        <v>x</v>
      </c>
      <c r="K155" s="519" t="str">
        <f>'CHAM CONG'!I153</f>
        <v>x</v>
      </c>
      <c r="L155" s="519">
        <f>'CHAM CONG'!J153</f>
        <v>0</v>
      </c>
      <c r="M155" s="519" t="str">
        <f>'CHAM CONG'!K153</f>
        <v>x</v>
      </c>
      <c r="N155" s="519" t="str">
        <f>'CHAM CONG'!L153</f>
        <v>x</v>
      </c>
      <c r="O155" s="519" t="str">
        <f>'CHAM CONG'!M153</f>
        <v>x</v>
      </c>
      <c r="P155" s="519" t="str">
        <f>'CHAM CONG'!N153</f>
        <v>x</v>
      </c>
      <c r="Q155" s="519" t="str">
        <f>'CHAM CONG'!O153</f>
        <v>x</v>
      </c>
      <c r="R155" s="519" t="str">
        <f>'CHAM CONG'!P153</f>
        <v>x</v>
      </c>
      <c r="S155" s="519" t="str">
        <f>'CHAM CONG'!Q153</f>
        <v>x</v>
      </c>
      <c r="T155" s="519" t="str">
        <f>'CHAM CONG'!R153</f>
        <v>x</v>
      </c>
      <c r="U155" s="519" t="str">
        <f>'CHAM CONG'!S153</f>
        <v>x</v>
      </c>
      <c r="V155" s="519" t="str">
        <f>'CHAM CONG'!T153</f>
        <v>x</v>
      </c>
      <c r="W155" s="519" t="str">
        <f>'CHAM CONG'!U153</f>
        <v>x</v>
      </c>
      <c r="X155" s="519"/>
      <c r="Y155" s="519"/>
      <c r="Z155" s="738">
        <f t="shared" si="43"/>
        <v>13</v>
      </c>
      <c r="AA155" s="580">
        <f t="shared" si="44"/>
        <v>0</v>
      </c>
      <c r="AB155" s="580">
        <f t="shared" si="45"/>
        <v>208000</v>
      </c>
      <c r="AC155" s="580">
        <f>'CHAM CONG'!V153</f>
        <v>0</v>
      </c>
      <c r="AD155" s="580">
        <f>'CHAM CONG'!W153</f>
        <v>0</v>
      </c>
      <c r="AE155" s="580">
        <f>'CHAM CONG'!X153</f>
        <v>0</v>
      </c>
      <c r="AF155" s="738">
        <f t="shared" si="46"/>
        <v>0</v>
      </c>
      <c r="AG155" s="580">
        <f t="shared" si="47"/>
        <v>0</v>
      </c>
      <c r="AH155" s="580">
        <f t="shared" si="42"/>
        <v>13</v>
      </c>
      <c r="AI155" s="580">
        <f t="shared" si="48"/>
        <v>13000</v>
      </c>
      <c r="AJ155" s="580">
        <f t="shared" si="49"/>
        <v>221000</v>
      </c>
      <c r="AK155" s="429">
        <f>'SAN LUONG'!AF154</f>
        <v>248</v>
      </c>
      <c r="AL155" s="429">
        <f>'SAN LUONG'!AG154</f>
        <v>43</v>
      </c>
      <c r="AM155" s="429">
        <f>'SAN LUONG'!AH154</f>
        <v>199</v>
      </c>
      <c r="AN155" s="429">
        <f>'SAN LUONG'!AI154</f>
        <v>346</v>
      </c>
      <c r="AO155" s="746"/>
      <c r="AP155" s="746">
        <f t="shared" si="50"/>
        <v>0</v>
      </c>
      <c r="AQ155" s="746">
        <f t="shared" si="41"/>
        <v>836</v>
      </c>
      <c r="AR155" s="746">
        <f t="shared" si="51"/>
        <v>185759</v>
      </c>
      <c r="AS155" s="746"/>
      <c r="AT155" s="746">
        <f t="shared" si="52"/>
        <v>0</v>
      </c>
      <c r="AU155" s="747">
        <f>'SAN LUONG'!AU154</f>
        <v>0</v>
      </c>
      <c r="AV155" s="748">
        <f t="shared" si="53"/>
        <v>0</v>
      </c>
      <c r="AW155" s="757">
        <f t="shared" si="54"/>
        <v>0</v>
      </c>
      <c r="AX155" s="758">
        <f t="shared" si="55"/>
        <v>406759</v>
      </c>
      <c r="AY155" s="759"/>
      <c r="AZ155" s="759"/>
      <c r="BA155" s="759"/>
      <c r="BB155" s="760">
        <f t="shared" si="56"/>
        <v>406759</v>
      </c>
      <c r="BC155" s="763"/>
      <c r="BD155" s="639">
        <f t="shared" si="57"/>
        <v>12.73</v>
      </c>
      <c r="BE155" s="768"/>
      <c r="BF155" s="769"/>
    </row>
    <row r="156" spans="1:58" s="725" customFormat="1" ht="30" customHeight="1">
      <c r="A156" s="503">
        <v>147</v>
      </c>
      <c r="B156" s="504">
        <v>7</v>
      </c>
      <c r="C156" s="504">
        <v>272</v>
      </c>
      <c r="D156" s="728"/>
      <c r="E156" s="728"/>
      <c r="F156" s="728"/>
      <c r="G156" s="728" t="str">
        <f>'Tên Tháng 1'!E150</f>
        <v>ហ៊ាន ភ័ក្រ</v>
      </c>
      <c r="H156" s="728" t="str">
        <f>'Tên Tháng 1'!F150</f>
        <v>HEAN PHEAK</v>
      </c>
      <c r="I156" s="519">
        <f>'CHAM CONG'!G154</f>
        <v>0</v>
      </c>
      <c r="J156" s="519">
        <f>'CHAM CONG'!H154</f>
        <v>0</v>
      </c>
      <c r="K156" s="519" t="str">
        <f>'CHAM CONG'!I154</f>
        <v>x</v>
      </c>
      <c r="L156" s="519" t="str">
        <f>'CHAM CONG'!J154</f>
        <v>x</v>
      </c>
      <c r="M156" s="519" t="str">
        <f>'CHAM CONG'!K154</f>
        <v>x</v>
      </c>
      <c r="N156" s="519" t="str">
        <f>'CHAM CONG'!L154</f>
        <v>x</v>
      </c>
      <c r="O156" s="519" t="str">
        <f>'CHAM CONG'!M154</f>
        <v>x</v>
      </c>
      <c r="P156" s="519" t="str">
        <f>'CHAM CONG'!N154</f>
        <v>x</v>
      </c>
      <c r="Q156" s="519" t="str">
        <f>'CHAM CONG'!O154</f>
        <v>x</v>
      </c>
      <c r="R156" s="519" t="str">
        <f>'CHAM CONG'!P154</f>
        <v>x</v>
      </c>
      <c r="S156" s="519">
        <f>'CHAM CONG'!Q154</f>
        <v>0</v>
      </c>
      <c r="T156" s="519" t="str">
        <f>'CHAM CONG'!R154</f>
        <v>x</v>
      </c>
      <c r="U156" s="519" t="str">
        <f>'CHAM CONG'!S154</f>
        <v>x</v>
      </c>
      <c r="V156" s="519" t="str">
        <f>'CHAM CONG'!T154</f>
        <v>x</v>
      </c>
      <c r="W156" s="519" t="str">
        <f>'CHAM CONG'!U154</f>
        <v>x</v>
      </c>
      <c r="X156" s="519"/>
      <c r="Y156" s="519"/>
      <c r="Z156" s="738">
        <f t="shared" si="43"/>
        <v>12</v>
      </c>
      <c r="AA156" s="580">
        <f t="shared" si="44"/>
        <v>0</v>
      </c>
      <c r="AB156" s="580">
        <f t="shared" si="45"/>
        <v>192000</v>
      </c>
      <c r="AC156" s="580">
        <f>'CHAM CONG'!V154</f>
        <v>0</v>
      </c>
      <c r="AD156" s="580">
        <f>'CHAM CONG'!W154</f>
        <v>0</v>
      </c>
      <c r="AE156" s="580">
        <f>'CHAM CONG'!X154</f>
        <v>0</v>
      </c>
      <c r="AF156" s="738">
        <f t="shared" si="46"/>
        <v>0</v>
      </c>
      <c r="AG156" s="580">
        <f t="shared" si="47"/>
        <v>0</v>
      </c>
      <c r="AH156" s="580">
        <f t="shared" si="42"/>
        <v>12</v>
      </c>
      <c r="AI156" s="580">
        <f t="shared" si="48"/>
        <v>12000</v>
      </c>
      <c r="AJ156" s="580">
        <f t="shared" si="49"/>
        <v>204000</v>
      </c>
      <c r="AK156" s="429">
        <f>'SAN LUONG'!AF155</f>
        <v>500</v>
      </c>
      <c r="AL156" s="429">
        <f>'SAN LUONG'!AG155</f>
        <v>82</v>
      </c>
      <c r="AM156" s="429">
        <f>'SAN LUONG'!AH155</f>
        <v>147</v>
      </c>
      <c r="AN156" s="429">
        <f>'SAN LUONG'!AI155</f>
        <v>338</v>
      </c>
      <c r="AO156" s="746"/>
      <c r="AP156" s="746">
        <f t="shared" si="50"/>
        <v>0</v>
      </c>
      <c r="AQ156" s="746">
        <f t="shared" si="41"/>
        <v>1067</v>
      </c>
      <c r="AR156" s="746">
        <f t="shared" si="51"/>
        <v>237087</v>
      </c>
      <c r="AS156" s="746"/>
      <c r="AT156" s="746">
        <f t="shared" si="52"/>
        <v>0</v>
      </c>
      <c r="AU156" s="747">
        <f>'SAN LUONG'!AU155</f>
        <v>0</v>
      </c>
      <c r="AV156" s="748">
        <f t="shared" si="53"/>
        <v>0</v>
      </c>
      <c r="AW156" s="757">
        <f t="shared" si="54"/>
        <v>0</v>
      </c>
      <c r="AX156" s="758">
        <f t="shared" si="55"/>
        <v>441087</v>
      </c>
      <c r="AY156" s="759"/>
      <c r="AZ156" s="759"/>
      <c r="BA156" s="759"/>
      <c r="BB156" s="760">
        <f t="shared" si="56"/>
        <v>441087</v>
      </c>
      <c r="BC156" s="763"/>
      <c r="BD156" s="639">
        <f t="shared" si="57"/>
        <v>13.81</v>
      </c>
      <c r="BE156" s="768"/>
      <c r="BF156" s="769"/>
    </row>
    <row r="157" spans="1:58" s="725" customFormat="1" ht="30" customHeight="1">
      <c r="A157" s="503">
        <v>148</v>
      </c>
      <c r="B157" s="504">
        <v>7</v>
      </c>
      <c r="C157" s="504">
        <v>273</v>
      </c>
      <c r="D157" s="728"/>
      <c r="E157" s="728"/>
      <c r="F157" s="728"/>
      <c r="G157" s="728" t="str">
        <f>'Tên Tháng 1'!E151</f>
        <v>ឆ្លាមឆ្លាត សុខេន</v>
      </c>
      <c r="H157" s="728" t="str">
        <f>'Tên Tháng 1'!F151</f>
        <v>CHHLAMCHHAT SOKHEN</v>
      </c>
      <c r="I157" s="519" t="str">
        <f>'CHAM CONG'!G155</f>
        <v>x</v>
      </c>
      <c r="J157" s="519" t="str">
        <f>'CHAM CONG'!H155</f>
        <v>x</v>
      </c>
      <c r="K157" s="519" t="str">
        <f>'CHAM CONG'!I155</f>
        <v>x</v>
      </c>
      <c r="L157" s="519">
        <f>'CHAM CONG'!J155</f>
        <v>0</v>
      </c>
      <c r="M157" s="519" t="str">
        <f>'CHAM CONG'!K155</f>
        <v>x</v>
      </c>
      <c r="N157" s="519" t="str">
        <f>'CHAM CONG'!L155</f>
        <v>x</v>
      </c>
      <c r="O157" s="519" t="str">
        <f>'CHAM CONG'!M155</f>
        <v>x</v>
      </c>
      <c r="P157" s="519" t="str">
        <f>'CHAM CONG'!N155</f>
        <v>x</v>
      </c>
      <c r="Q157" s="519" t="str">
        <f>'CHAM CONG'!O155</f>
        <v>x</v>
      </c>
      <c r="R157" s="519">
        <f>'CHAM CONG'!P155</f>
        <v>0</v>
      </c>
      <c r="S157" s="519" t="str">
        <f>'CHAM CONG'!Q155</f>
        <v>x</v>
      </c>
      <c r="T157" s="519" t="str">
        <f>'CHAM CONG'!R155</f>
        <v>x</v>
      </c>
      <c r="U157" s="519" t="str">
        <f>'CHAM CONG'!S155</f>
        <v>x</v>
      </c>
      <c r="V157" s="519" t="str">
        <f>'CHAM CONG'!T155</f>
        <v>x</v>
      </c>
      <c r="W157" s="519" t="str">
        <f>'CHAM CONG'!U155</f>
        <v>x</v>
      </c>
      <c r="X157" s="519"/>
      <c r="Y157" s="519"/>
      <c r="Z157" s="738">
        <f t="shared" si="43"/>
        <v>13</v>
      </c>
      <c r="AA157" s="580">
        <f t="shared" si="44"/>
        <v>0</v>
      </c>
      <c r="AB157" s="580">
        <f t="shared" si="45"/>
        <v>208000</v>
      </c>
      <c r="AC157" s="580">
        <f>'CHAM CONG'!V155</f>
        <v>0</v>
      </c>
      <c r="AD157" s="580">
        <f>'CHAM CONG'!W155</f>
        <v>0</v>
      </c>
      <c r="AE157" s="580">
        <f>'CHAM CONG'!X155</f>
        <v>0</v>
      </c>
      <c r="AF157" s="738">
        <f t="shared" si="46"/>
        <v>0</v>
      </c>
      <c r="AG157" s="580">
        <f t="shared" si="47"/>
        <v>0</v>
      </c>
      <c r="AH157" s="580">
        <f t="shared" si="42"/>
        <v>13</v>
      </c>
      <c r="AI157" s="580">
        <f t="shared" si="48"/>
        <v>13000</v>
      </c>
      <c r="AJ157" s="580">
        <f t="shared" si="49"/>
        <v>221000</v>
      </c>
      <c r="AK157" s="429">
        <f>'SAN LUONG'!AF156</f>
        <v>256</v>
      </c>
      <c r="AL157" s="429">
        <f>'SAN LUONG'!AG156</f>
        <v>93</v>
      </c>
      <c r="AM157" s="429">
        <f>'SAN LUONG'!AH156</f>
        <v>108</v>
      </c>
      <c r="AN157" s="429">
        <f>'SAN LUONG'!AI156</f>
        <v>354</v>
      </c>
      <c r="AO157" s="746"/>
      <c r="AP157" s="746">
        <f t="shared" si="50"/>
        <v>0</v>
      </c>
      <c r="AQ157" s="746">
        <f t="shared" si="41"/>
        <v>811</v>
      </c>
      <c r="AR157" s="746">
        <f t="shared" si="51"/>
        <v>180204</v>
      </c>
      <c r="AS157" s="746"/>
      <c r="AT157" s="746">
        <f t="shared" si="52"/>
        <v>0</v>
      </c>
      <c r="AU157" s="747">
        <f>'SAN LUONG'!AU156</f>
        <v>0</v>
      </c>
      <c r="AV157" s="748">
        <f t="shared" si="53"/>
        <v>0</v>
      </c>
      <c r="AW157" s="757">
        <f t="shared" si="54"/>
        <v>0</v>
      </c>
      <c r="AX157" s="758">
        <f t="shared" si="55"/>
        <v>401204</v>
      </c>
      <c r="AY157" s="759"/>
      <c r="AZ157" s="759"/>
      <c r="BA157" s="759"/>
      <c r="BB157" s="760">
        <f t="shared" si="56"/>
        <v>401204</v>
      </c>
      <c r="BC157" s="763"/>
      <c r="BD157" s="639">
        <f t="shared" si="57"/>
        <v>12.56</v>
      </c>
      <c r="BE157" s="768"/>
      <c r="BF157" s="769"/>
    </row>
    <row r="158" spans="1:58" s="725" customFormat="1" ht="30" customHeight="1">
      <c r="A158" s="503">
        <v>149</v>
      </c>
      <c r="B158" s="504">
        <v>7</v>
      </c>
      <c r="C158" s="504">
        <v>274</v>
      </c>
      <c r="D158" s="728"/>
      <c r="E158" s="728"/>
      <c r="F158" s="728"/>
      <c r="G158" s="728" t="str">
        <f>'Tên Tháng 1'!E152</f>
        <v>ប៊ូ ស្រីណយ</v>
      </c>
      <c r="H158" s="728" t="str">
        <f>'Tên Tháng 1'!F152</f>
        <v>BOU SREYNOY</v>
      </c>
      <c r="I158" s="519" t="str">
        <f>'CHAM CONG'!G156</f>
        <v>x</v>
      </c>
      <c r="J158" s="519" t="str">
        <f>'CHAM CONG'!H156</f>
        <v>x</v>
      </c>
      <c r="K158" s="519" t="str">
        <f>'CHAM CONG'!I156</f>
        <v>x</v>
      </c>
      <c r="L158" s="519">
        <f>'CHAM CONG'!J156</f>
        <v>0</v>
      </c>
      <c r="M158" s="519" t="str">
        <f>'CHAM CONG'!K156</f>
        <v>x</v>
      </c>
      <c r="N158" s="519" t="str">
        <f>'CHAM CONG'!L156</f>
        <v>x</v>
      </c>
      <c r="O158" s="519" t="str">
        <f>'CHAM CONG'!M156</f>
        <v>x</v>
      </c>
      <c r="P158" s="519" t="str">
        <f>'CHAM CONG'!N156</f>
        <v>x</v>
      </c>
      <c r="Q158" s="519" t="str">
        <f>'CHAM CONG'!O156</f>
        <v>x</v>
      </c>
      <c r="R158" s="519" t="str">
        <f>'CHAM CONG'!P156</f>
        <v>x</v>
      </c>
      <c r="S158" s="519" t="str">
        <f>'CHAM CONG'!Q156</f>
        <v>x</v>
      </c>
      <c r="T158" s="519" t="str">
        <f>'CHAM CONG'!R156</f>
        <v>x</v>
      </c>
      <c r="U158" s="519" t="str">
        <f>'CHAM CONG'!S156</f>
        <v>x</v>
      </c>
      <c r="V158" s="519" t="str">
        <f>'CHAM CONG'!T156</f>
        <v>x</v>
      </c>
      <c r="W158" s="519" t="str">
        <f>'CHAM CONG'!U156</f>
        <v>x</v>
      </c>
      <c r="X158" s="519"/>
      <c r="Y158" s="519"/>
      <c r="Z158" s="738">
        <f t="shared" si="43"/>
        <v>14</v>
      </c>
      <c r="AA158" s="580">
        <f t="shared" si="44"/>
        <v>0</v>
      </c>
      <c r="AB158" s="580">
        <f t="shared" si="45"/>
        <v>224000</v>
      </c>
      <c r="AC158" s="580">
        <f>'CHAM CONG'!V156</f>
        <v>0</v>
      </c>
      <c r="AD158" s="580">
        <f>'CHAM CONG'!W156</f>
        <v>0</v>
      </c>
      <c r="AE158" s="580">
        <f>'CHAM CONG'!X156</f>
        <v>0</v>
      </c>
      <c r="AF158" s="738">
        <f t="shared" si="46"/>
        <v>0</v>
      </c>
      <c r="AG158" s="580">
        <f t="shared" si="47"/>
        <v>0</v>
      </c>
      <c r="AH158" s="580">
        <f t="shared" si="42"/>
        <v>14</v>
      </c>
      <c r="AI158" s="580">
        <f t="shared" si="48"/>
        <v>14000</v>
      </c>
      <c r="AJ158" s="580">
        <f t="shared" si="49"/>
        <v>238000</v>
      </c>
      <c r="AK158" s="429">
        <f>'SAN LUONG'!AF157</f>
        <v>207</v>
      </c>
      <c r="AL158" s="429">
        <f>'SAN LUONG'!AG157</f>
        <v>147</v>
      </c>
      <c r="AM158" s="429">
        <f>'SAN LUONG'!AH157</f>
        <v>189</v>
      </c>
      <c r="AN158" s="429">
        <f>'SAN LUONG'!AI157</f>
        <v>344</v>
      </c>
      <c r="AO158" s="746"/>
      <c r="AP158" s="746">
        <f t="shared" si="50"/>
        <v>0</v>
      </c>
      <c r="AQ158" s="746">
        <f t="shared" si="41"/>
        <v>887</v>
      </c>
      <c r="AR158" s="746">
        <f t="shared" si="51"/>
        <v>197091</v>
      </c>
      <c r="AS158" s="746"/>
      <c r="AT158" s="746">
        <f t="shared" si="52"/>
        <v>0</v>
      </c>
      <c r="AU158" s="747">
        <f>'SAN LUONG'!AU157</f>
        <v>0</v>
      </c>
      <c r="AV158" s="748">
        <f t="shared" si="53"/>
        <v>0</v>
      </c>
      <c r="AW158" s="757">
        <f t="shared" si="54"/>
        <v>0</v>
      </c>
      <c r="AX158" s="758">
        <f t="shared" si="55"/>
        <v>435091</v>
      </c>
      <c r="AY158" s="759"/>
      <c r="AZ158" s="759"/>
      <c r="BA158" s="759"/>
      <c r="BB158" s="760">
        <f t="shared" si="56"/>
        <v>435091</v>
      </c>
      <c r="BC158" s="763"/>
      <c r="BD158" s="639">
        <f t="shared" si="57"/>
        <v>13.62</v>
      </c>
      <c r="BE158" s="768"/>
      <c r="BF158" s="769"/>
    </row>
    <row r="159" spans="1:58" s="725" customFormat="1" ht="30" customHeight="1">
      <c r="A159" s="503">
        <v>150</v>
      </c>
      <c r="B159" s="504">
        <v>7</v>
      </c>
      <c r="C159" s="504">
        <v>275</v>
      </c>
      <c r="D159" s="728"/>
      <c r="E159" s="728"/>
      <c r="F159" s="728"/>
      <c r="G159" s="728" t="str">
        <f>'Tên Tháng 1'!E153</f>
        <v>អ៊ីវ សាវុន</v>
      </c>
      <c r="H159" s="728" t="str">
        <f>'Tên Tháng 1'!F153</f>
        <v>IV SAVUN</v>
      </c>
      <c r="I159" s="519">
        <f>'CHAM CONG'!G157</f>
        <v>0</v>
      </c>
      <c r="J159" s="519" t="str">
        <f>'CHAM CONG'!H157</f>
        <v>x</v>
      </c>
      <c r="K159" s="519" t="str">
        <f>'CHAM CONG'!I157</f>
        <v>x</v>
      </c>
      <c r="L159" s="519" t="str">
        <f>'CHAM CONG'!J157</f>
        <v>x</v>
      </c>
      <c r="M159" s="519" t="str">
        <f>'CHAM CONG'!K157</f>
        <v>x</v>
      </c>
      <c r="N159" s="519" t="str">
        <f>'CHAM CONG'!L157</f>
        <v>x</v>
      </c>
      <c r="O159" s="519">
        <f>'CHAM CONG'!M157</f>
        <v>0</v>
      </c>
      <c r="P159" s="519" t="str">
        <f>'CHAM CONG'!N157</f>
        <v>x</v>
      </c>
      <c r="Q159" s="519" t="str">
        <f>'CHAM CONG'!O157</f>
        <v>x</v>
      </c>
      <c r="R159" s="519" t="str">
        <f>'CHAM CONG'!P157</f>
        <v>x</v>
      </c>
      <c r="S159" s="519" t="str">
        <f>'CHAM CONG'!Q157</f>
        <v>x</v>
      </c>
      <c r="T159" s="519" t="str">
        <f>'CHAM CONG'!R157</f>
        <v>x</v>
      </c>
      <c r="U159" s="519" t="str">
        <f>'CHAM CONG'!S157</f>
        <v>x</v>
      </c>
      <c r="V159" s="519" t="str">
        <f>'CHAM CONG'!T157</f>
        <v>x</v>
      </c>
      <c r="W159" s="519" t="str">
        <f>'CHAM CONG'!U157</f>
        <v>x</v>
      </c>
      <c r="X159" s="519"/>
      <c r="Y159" s="519"/>
      <c r="Z159" s="738">
        <f t="shared" si="43"/>
        <v>13</v>
      </c>
      <c r="AA159" s="580">
        <f t="shared" si="44"/>
        <v>0</v>
      </c>
      <c r="AB159" s="580">
        <f t="shared" si="45"/>
        <v>208000</v>
      </c>
      <c r="AC159" s="580">
        <f>'CHAM CONG'!V157</f>
        <v>0</v>
      </c>
      <c r="AD159" s="580">
        <f>'CHAM CONG'!W157</f>
        <v>0</v>
      </c>
      <c r="AE159" s="580">
        <f>'CHAM CONG'!X157</f>
        <v>0</v>
      </c>
      <c r="AF159" s="738">
        <f t="shared" si="46"/>
        <v>0</v>
      </c>
      <c r="AG159" s="580">
        <f t="shared" si="47"/>
        <v>0</v>
      </c>
      <c r="AH159" s="580">
        <f t="shared" si="42"/>
        <v>13</v>
      </c>
      <c r="AI159" s="580">
        <f t="shared" si="48"/>
        <v>13000</v>
      </c>
      <c r="AJ159" s="580">
        <f t="shared" si="49"/>
        <v>221000</v>
      </c>
      <c r="AK159" s="429">
        <f>'SAN LUONG'!AF158</f>
        <v>329</v>
      </c>
      <c r="AL159" s="429">
        <f>'SAN LUONG'!AG158</f>
        <v>76</v>
      </c>
      <c r="AM159" s="429">
        <f>'SAN LUONG'!AH158</f>
        <v>183</v>
      </c>
      <c r="AN159" s="429">
        <f>'SAN LUONG'!AI158</f>
        <v>312</v>
      </c>
      <c r="AO159" s="746"/>
      <c r="AP159" s="746">
        <f t="shared" si="50"/>
        <v>0</v>
      </c>
      <c r="AQ159" s="746">
        <f t="shared" si="41"/>
        <v>900</v>
      </c>
      <c r="AR159" s="746">
        <f t="shared" si="51"/>
        <v>199980</v>
      </c>
      <c r="AS159" s="746"/>
      <c r="AT159" s="746">
        <f t="shared" si="52"/>
        <v>0</v>
      </c>
      <c r="AU159" s="747">
        <f>'SAN LUONG'!AU158</f>
        <v>0</v>
      </c>
      <c r="AV159" s="748">
        <f t="shared" si="53"/>
        <v>0</v>
      </c>
      <c r="AW159" s="757">
        <f t="shared" si="54"/>
        <v>0</v>
      </c>
      <c r="AX159" s="758">
        <f t="shared" si="55"/>
        <v>420980</v>
      </c>
      <c r="AY159" s="759"/>
      <c r="AZ159" s="759"/>
      <c r="BA159" s="759"/>
      <c r="BB159" s="760">
        <f t="shared" si="56"/>
        <v>420980</v>
      </c>
      <c r="BC159" s="763"/>
      <c r="BD159" s="639">
        <f t="shared" si="57"/>
        <v>13.18</v>
      </c>
      <c r="BE159" s="768"/>
      <c r="BF159" s="769"/>
    </row>
    <row r="160" spans="1:58" s="725" customFormat="1" ht="30" customHeight="1">
      <c r="A160" s="503">
        <v>151</v>
      </c>
      <c r="B160" s="504">
        <v>7</v>
      </c>
      <c r="C160" s="504">
        <v>276</v>
      </c>
      <c r="D160" s="728"/>
      <c r="E160" s="728"/>
      <c r="F160" s="728"/>
      <c r="G160" s="728" t="str">
        <f>'Tên Tháng 1'!E154</f>
        <v>សាត គឹមសេង</v>
      </c>
      <c r="H160" s="728" t="str">
        <f>'Tên Tháng 1'!F154</f>
        <v>SAT KIMSENG</v>
      </c>
      <c r="I160" s="519" t="str">
        <f>'CHAM CONG'!G158</f>
        <v>x</v>
      </c>
      <c r="J160" s="519">
        <f>'CHAM CONG'!H158</f>
        <v>0</v>
      </c>
      <c r="K160" s="519" t="str">
        <f>'CHAM CONG'!I158</f>
        <v>x</v>
      </c>
      <c r="L160" s="519">
        <f>'CHAM CONG'!J158</f>
        <v>0</v>
      </c>
      <c r="M160" s="519" t="str">
        <f>'CHAM CONG'!K158</f>
        <v>x</v>
      </c>
      <c r="N160" s="519" t="str">
        <f>'CHAM CONG'!L158</f>
        <v>x</v>
      </c>
      <c r="O160" s="519" t="str">
        <f>'CHAM CONG'!M158</f>
        <v>x</v>
      </c>
      <c r="P160" s="519" t="str">
        <f>'CHAM CONG'!N158</f>
        <v>x</v>
      </c>
      <c r="Q160" s="519" t="str">
        <f>'CHAM CONG'!O158</f>
        <v>x</v>
      </c>
      <c r="R160" s="519" t="str">
        <f>'CHAM CONG'!P158</f>
        <v>x</v>
      </c>
      <c r="S160" s="519" t="str">
        <f>'CHAM CONG'!Q158</f>
        <v>x</v>
      </c>
      <c r="T160" s="519" t="str">
        <f>'CHAM CONG'!R158</f>
        <v>x</v>
      </c>
      <c r="U160" s="519" t="str">
        <f>'CHAM CONG'!S158</f>
        <v>x</v>
      </c>
      <c r="V160" s="519" t="str">
        <f>'CHAM CONG'!T158</f>
        <v>x</v>
      </c>
      <c r="W160" s="519" t="str">
        <f>'CHAM CONG'!U158</f>
        <v>x</v>
      </c>
      <c r="X160" s="519"/>
      <c r="Y160" s="519"/>
      <c r="Z160" s="738">
        <f t="shared" si="43"/>
        <v>13</v>
      </c>
      <c r="AA160" s="580">
        <f t="shared" si="44"/>
        <v>0</v>
      </c>
      <c r="AB160" s="580">
        <f t="shared" si="45"/>
        <v>208000</v>
      </c>
      <c r="AC160" s="580">
        <f>'CHAM CONG'!V158</f>
        <v>0</v>
      </c>
      <c r="AD160" s="580">
        <f>'CHAM CONG'!W158</f>
        <v>0</v>
      </c>
      <c r="AE160" s="580">
        <f>'CHAM CONG'!X158</f>
        <v>0</v>
      </c>
      <c r="AF160" s="738">
        <f t="shared" si="46"/>
        <v>0</v>
      </c>
      <c r="AG160" s="580">
        <f t="shared" si="47"/>
        <v>0</v>
      </c>
      <c r="AH160" s="580">
        <f t="shared" si="42"/>
        <v>13</v>
      </c>
      <c r="AI160" s="580">
        <f t="shared" si="48"/>
        <v>13000</v>
      </c>
      <c r="AJ160" s="580">
        <f t="shared" si="49"/>
        <v>221000</v>
      </c>
      <c r="AK160" s="429">
        <f>'SAN LUONG'!AF159</f>
        <v>152</v>
      </c>
      <c r="AL160" s="429">
        <f>'SAN LUONG'!AG159</f>
        <v>112</v>
      </c>
      <c r="AM160" s="429">
        <f>'SAN LUONG'!AH159</f>
        <v>145</v>
      </c>
      <c r="AN160" s="429">
        <f>'SAN LUONG'!AI159</f>
        <v>356</v>
      </c>
      <c r="AO160" s="746"/>
      <c r="AP160" s="746">
        <f t="shared" si="50"/>
        <v>0</v>
      </c>
      <c r="AQ160" s="746">
        <f t="shared" si="41"/>
        <v>765</v>
      </c>
      <c r="AR160" s="746">
        <f t="shared" si="51"/>
        <v>169983</v>
      </c>
      <c r="AS160" s="746"/>
      <c r="AT160" s="746">
        <f t="shared" si="52"/>
        <v>0</v>
      </c>
      <c r="AU160" s="747">
        <f>'SAN LUONG'!AU159</f>
        <v>0</v>
      </c>
      <c r="AV160" s="748">
        <f t="shared" si="53"/>
        <v>0</v>
      </c>
      <c r="AW160" s="757">
        <f t="shared" si="54"/>
        <v>0</v>
      </c>
      <c r="AX160" s="758">
        <f t="shared" si="55"/>
        <v>390983</v>
      </c>
      <c r="AY160" s="759"/>
      <c r="AZ160" s="759"/>
      <c r="BA160" s="759"/>
      <c r="BB160" s="760">
        <f t="shared" si="56"/>
        <v>390983</v>
      </c>
      <c r="BC160" s="763"/>
      <c r="BD160" s="639">
        <f t="shared" si="57"/>
        <v>12.24</v>
      </c>
      <c r="BE160" s="768"/>
      <c r="BF160" s="769"/>
    </row>
    <row r="161" spans="1:58" s="725" customFormat="1" ht="30" customHeight="1">
      <c r="A161" s="503">
        <v>152</v>
      </c>
      <c r="B161" s="504">
        <v>7</v>
      </c>
      <c r="C161" s="504">
        <v>277</v>
      </c>
      <c r="D161" s="728"/>
      <c r="E161" s="728"/>
      <c r="F161" s="728"/>
      <c r="G161" s="728" t="str">
        <f>'Tên Tháng 1'!E155</f>
        <v>ធី សៀងហេង</v>
      </c>
      <c r="H161" s="728" t="str">
        <f>'Tên Tháng 1'!F155</f>
        <v>THY SEANG HENG</v>
      </c>
      <c r="I161" s="519" t="str">
        <f>'CHAM CONG'!G159</f>
        <v>x</v>
      </c>
      <c r="J161" s="519">
        <f>'CHAM CONG'!H159</f>
        <v>0</v>
      </c>
      <c r="K161" s="519" t="str">
        <f>'CHAM CONG'!I159</f>
        <v>x</v>
      </c>
      <c r="L161" s="519">
        <f>'CHAM CONG'!J159</f>
        <v>0</v>
      </c>
      <c r="M161" s="519" t="str">
        <f>'CHAM CONG'!K159</f>
        <v>x</v>
      </c>
      <c r="N161" s="519" t="str">
        <f>'CHAM CONG'!L159</f>
        <v>x</v>
      </c>
      <c r="O161" s="519" t="str">
        <f>'CHAM CONG'!M159</f>
        <v>x</v>
      </c>
      <c r="P161" s="519" t="str">
        <f>'CHAM CONG'!N159</f>
        <v>x</v>
      </c>
      <c r="Q161" s="519" t="str">
        <f>'CHAM CONG'!O159</f>
        <v>x</v>
      </c>
      <c r="R161" s="519" t="str">
        <f>'CHAM CONG'!P159</f>
        <v>x</v>
      </c>
      <c r="S161" s="519" t="str">
        <f>'CHAM CONG'!Q159</f>
        <v>x</v>
      </c>
      <c r="T161" s="519" t="str">
        <f>'CHAM CONG'!R159</f>
        <v>x</v>
      </c>
      <c r="U161" s="519" t="str">
        <f>'CHAM CONG'!S159</f>
        <v>x</v>
      </c>
      <c r="V161" s="519" t="str">
        <f>'CHAM CONG'!T159</f>
        <v>x</v>
      </c>
      <c r="W161" s="519" t="str">
        <f>'CHAM CONG'!U159</f>
        <v>x</v>
      </c>
      <c r="X161" s="519"/>
      <c r="Y161" s="519"/>
      <c r="Z161" s="738">
        <f t="shared" si="43"/>
        <v>13</v>
      </c>
      <c r="AA161" s="580">
        <f t="shared" si="44"/>
        <v>0</v>
      </c>
      <c r="AB161" s="580">
        <f t="shared" si="45"/>
        <v>208000</v>
      </c>
      <c r="AC161" s="580">
        <f>'CHAM CONG'!V159</f>
        <v>0</v>
      </c>
      <c r="AD161" s="580">
        <f>'CHAM CONG'!W159</f>
        <v>0</v>
      </c>
      <c r="AE161" s="580">
        <f>'CHAM CONG'!X159</f>
        <v>0</v>
      </c>
      <c r="AF161" s="738">
        <f t="shared" si="46"/>
        <v>0</v>
      </c>
      <c r="AG161" s="580">
        <f t="shared" si="47"/>
        <v>0</v>
      </c>
      <c r="AH161" s="580">
        <f t="shared" si="42"/>
        <v>13</v>
      </c>
      <c r="AI161" s="580">
        <f t="shared" si="48"/>
        <v>13000</v>
      </c>
      <c r="AJ161" s="580">
        <f t="shared" si="49"/>
        <v>221000</v>
      </c>
      <c r="AK161" s="429">
        <f>'SAN LUONG'!AF160</f>
        <v>162</v>
      </c>
      <c r="AL161" s="429">
        <f>'SAN LUONG'!AG160</f>
        <v>138</v>
      </c>
      <c r="AM161" s="429">
        <f>'SAN LUONG'!AH160</f>
        <v>116</v>
      </c>
      <c r="AN161" s="429">
        <f>'SAN LUONG'!AI160</f>
        <v>343</v>
      </c>
      <c r="AO161" s="746"/>
      <c r="AP161" s="746">
        <f t="shared" si="50"/>
        <v>0</v>
      </c>
      <c r="AQ161" s="746">
        <f t="shared" si="41"/>
        <v>759</v>
      </c>
      <c r="AR161" s="746">
        <f t="shared" si="51"/>
        <v>168650</v>
      </c>
      <c r="AS161" s="746"/>
      <c r="AT161" s="746">
        <f t="shared" si="52"/>
        <v>0</v>
      </c>
      <c r="AU161" s="747">
        <f>'SAN LUONG'!AU160</f>
        <v>0</v>
      </c>
      <c r="AV161" s="748">
        <f t="shared" si="53"/>
        <v>0</v>
      </c>
      <c r="AW161" s="757">
        <f t="shared" si="54"/>
        <v>0</v>
      </c>
      <c r="AX161" s="758">
        <f t="shared" si="55"/>
        <v>389650</v>
      </c>
      <c r="AY161" s="759"/>
      <c r="AZ161" s="759"/>
      <c r="BA161" s="759"/>
      <c r="BB161" s="760">
        <f t="shared" si="56"/>
        <v>389650</v>
      </c>
      <c r="BC161" s="763"/>
      <c r="BD161" s="639">
        <f t="shared" si="57"/>
        <v>12.2</v>
      </c>
      <c r="BE161" s="768"/>
      <c r="BF161" s="769"/>
    </row>
    <row r="162" spans="1:58" s="725" customFormat="1" ht="30" customHeight="1">
      <c r="A162" s="503">
        <v>153</v>
      </c>
      <c r="B162" s="504">
        <v>7</v>
      </c>
      <c r="C162" s="504">
        <v>278</v>
      </c>
      <c r="D162" s="728"/>
      <c r="E162" s="728"/>
      <c r="F162" s="728"/>
      <c r="G162" s="728" t="str">
        <f>'Tên Tháng 1'!E156</f>
        <v>វ៉ាត ចន្ធី</v>
      </c>
      <c r="H162" s="728" t="str">
        <f>'Tên Tháng 1'!F156</f>
        <v>VAT CHANTHY</v>
      </c>
      <c r="I162" s="519" t="str">
        <f>'CHAM CONG'!G160</f>
        <v>x</v>
      </c>
      <c r="J162" s="519" t="str">
        <f>'CHAM CONG'!H160</f>
        <v>x</v>
      </c>
      <c r="K162" s="519" t="str">
        <f>'CHAM CONG'!I160</f>
        <v>x</v>
      </c>
      <c r="L162" s="519" t="str">
        <f>'CHAM CONG'!J160</f>
        <v>x</v>
      </c>
      <c r="M162" s="519" t="str">
        <f>'CHAM CONG'!K160</f>
        <v>x</v>
      </c>
      <c r="N162" s="519" t="str">
        <f>'CHAM CONG'!L160</f>
        <v>x</v>
      </c>
      <c r="O162" s="519" t="str">
        <f>'CHAM CONG'!M160</f>
        <v>x</v>
      </c>
      <c r="P162" s="519" t="str">
        <f>'CHAM CONG'!N160</f>
        <v>x</v>
      </c>
      <c r="Q162" s="519">
        <f>'CHAM CONG'!O160</f>
        <v>0</v>
      </c>
      <c r="R162" s="519" t="str">
        <f>'CHAM CONG'!P160</f>
        <v>x</v>
      </c>
      <c r="S162" s="519" t="str">
        <f>'CHAM CONG'!Q160</f>
        <v>x</v>
      </c>
      <c r="T162" s="519" t="str">
        <f>'CHAM CONG'!R160</f>
        <v>x</v>
      </c>
      <c r="U162" s="519" t="str">
        <f>'CHAM CONG'!S160</f>
        <v>x</v>
      </c>
      <c r="V162" s="519" t="str">
        <f>'CHAM CONG'!T160</f>
        <v>x</v>
      </c>
      <c r="W162" s="519" t="str">
        <f>'CHAM CONG'!U160</f>
        <v>x</v>
      </c>
      <c r="X162" s="519"/>
      <c r="Y162" s="519"/>
      <c r="Z162" s="738">
        <f t="shared" si="43"/>
        <v>14</v>
      </c>
      <c r="AA162" s="580">
        <f t="shared" si="44"/>
        <v>0</v>
      </c>
      <c r="AB162" s="580">
        <f t="shared" si="45"/>
        <v>224000</v>
      </c>
      <c r="AC162" s="580">
        <f>'CHAM CONG'!V160</f>
        <v>0</v>
      </c>
      <c r="AD162" s="580">
        <f>'CHAM CONG'!W160</f>
        <v>0</v>
      </c>
      <c r="AE162" s="580">
        <f>'CHAM CONG'!X160</f>
        <v>0</v>
      </c>
      <c r="AF162" s="738">
        <f t="shared" si="46"/>
        <v>0</v>
      </c>
      <c r="AG162" s="580">
        <f t="shared" si="47"/>
        <v>0</v>
      </c>
      <c r="AH162" s="580">
        <f t="shared" si="42"/>
        <v>14</v>
      </c>
      <c r="AI162" s="580">
        <f t="shared" si="48"/>
        <v>14000</v>
      </c>
      <c r="AJ162" s="580">
        <f t="shared" si="49"/>
        <v>238000</v>
      </c>
      <c r="AK162" s="429">
        <f>'SAN LUONG'!AF161</f>
        <v>262</v>
      </c>
      <c r="AL162" s="429">
        <f>'SAN LUONG'!AG161</f>
        <v>172</v>
      </c>
      <c r="AM162" s="429">
        <f>'SAN LUONG'!AH161</f>
        <v>188</v>
      </c>
      <c r="AN162" s="429">
        <f>'SAN LUONG'!AI161</f>
        <v>420</v>
      </c>
      <c r="AO162" s="746"/>
      <c r="AP162" s="746">
        <f t="shared" si="50"/>
        <v>0</v>
      </c>
      <c r="AQ162" s="746">
        <f t="shared" si="41"/>
        <v>1042</v>
      </c>
      <c r="AR162" s="746">
        <f t="shared" si="51"/>
        <v>231532</v>
      </c>
      <c r="AS162" s="746"/>
      <c r="AT162" s="746">
        <f t="shared" si="52"/>
        <v>0</v>
      </c>
      <c r="AU162" s="747">
        <f>'SAN LUONG'!AU161</f>
        <v>0</v>
      </c>
      <c r="AV162" s="748">
        <f t="shared" si="53"/>
        <v>0</v>
      </c>
      <c r="AW162" s="757">
        <f t="shared" si="54"/>
        <v>0</v>
      </c>
      <c r="AX162" s="758">
        <f t="shared" si="55"/>
        <v>469532</v>
      </c>
      <c r="AY162" s="759"/>
      <c r="AZ162" s="759"/>
      <c r="BA162" s="759"/>
      <c r="BB162" s="760">
        <f t="shared" si="56"/>
        <v>469532</v>
      </c>
      <c r="BC162" s="763"/>
      <c r="BD162" s="639">
        <f t="shared" si="57"/>
        <v>14.7</v>
      </c>
      <c r="BE162" s="768"/>
      <c r="BF162" s="769"/>
    </row>
    <row r="163" spans="1:58" s="725" customFormat="1" ht="30" customHeight="1">
      <c r="A163" s="503">
        <v>154</v>
      </c>
      <c r="B163" s="504">
        <v>7</v>
      </c>
      <c r="C163" s="504">
        <v>279</v>
      </c>
      <c r="D163" s="728"/>
      <c r="E163" s="728"/>
      <c r="F163" s="728"/>
      <c r="G163" s="728" t="str">
        <f>'Tên Tháng 1'!E157</f>
        <v>តែ សុនាង</v>
      </c>
      <c r="H163" s="728" t="str">
        <f>'Tên Tháng 1'!F157</f>
        <v>TOE AONANG</v>
      </c>
      <c r="I163" s="519" t="str">
        <f>'CHAM CONG'!G161</f>
        <v>x</v>
      </c>
      <c r="J163" s="519" t="str">
        <f>'CHAM CONG'!H161</f>
        <v>x</v>
      </c>
      <c r="K163" s="519" t="str">
        <f>'CHAM CONG'!I161</f>
        <v>x</v>
      </c>
      <c r="L163" s="519" t="str">
        <f>'CHAM CONG'!J161</f>
        <v>x</v>
      </c>
      <c r="M163" s="519">
        <f>'CHAM CONG'!K161</f>
        <v>0</v>
      </c>
      <c r="N163" s="519" t="str">
        <f>'CHAM CONG'!L161</f>
        <v>x</v>
      </c>
      <c r="O163" s="519" t="str">
        <f>'CHAM CONG'!M161</f>
        <v>x</v>
      </c>
      <c r="P163" s="519" t="str">
        <f>'CHAM CONG'!N161</f>
        <v>x</v>
      </c>
      <c r="Q163" s="519" t="str">
        <f>'CHAM CONG'!O161</f>
        <v>x</v>
      </c>
      <c r="R163" s="519" t="str">
        <f>'CHAM CONG'!P161</f>
        <v>x</v>
      </c>
      <c r="S163" s="519" t="str">
        <f>'CHAM CONG'!Q161</f>
        <v>x</v>
      </c>
      <c r="T163" s="519" t="str">
        <f>'CHAM CONG'!R161</f>
        <v>x</v>
      </c>
      <c r="U163" s="519" t="str">
        <f>'CHAM CONG'!S161</f>
        <v>x</v>
      </c>
      <c r="V163" s="519" t="str">
        <f>'CHAM CONG'!T161</f>
        <v>x</v>
      </c>
      <c r="W163" s="519" t="str">
        <f>'CHAM CONG'!U161</f>
        <v>x</v>
      </c>
      <c r="X163" s="519"/>
      <c r="Y163" s="519"/>
      <c r="Z163" s="738">
        <f t="shared" si="43"/>
        <v>14</v>
      </c>
      <c r="AA163" s="580">
        <f t="shared" si="44"/>
        <v>0</v>
      </c>
      <c r="AB163" s="580">
        <f t="shared" si="45"/>
        <v>224000</v>
      </c>
      <c r="AC163" s="580">
        <f>'CHAM CONG'!V161</f>
        <v>0</v>
      </c>
      <c r="AD163" s="580">
        <f>'CHAM CONG'!W161</f>
        <v>0</v>
      </c>
      <c r="AE163" s="580">
        <f>'CHAM CONG'!X161</f>
        <v>0</v>
      </c>
      <c r="AF163" s="738">
        <f t="shared" si="46"/>
        <v>0</v>
      </c>
      <c r="AG163" s="580">
        <f t="shared" si="47"/>
        <v>0</v>
      </c>
      <c r="AH163" s="580">
        <f t="shared" si="42"/>
        <v>14</v>
      </c>
      <c r="AI163" s="580">
        <f t="shared" si="48"/>
        <v>14000</v>
      </c>
      <c r="AJ163" s="580">
        <f t="shared" si="49"/>
        <v>238000</v>
      </c>
      <c r="AK163" s="429">
        <f>'SAN LUONG'!AF162</f>
        <v>394</v>
      </c>
      <c r="AL163" s="429">
        <f>'SAN LUONG'!AG162</f>
        <v>82</v>
      </c>
      <c r="AM163" s="429">
        <f>'SAN LUONG'!AH162</f>
        <v>169</v>
      </c>
      <c r="AN163" s="429">
        <f>'SAN LUONG'!AI162</f>
        <v>362</v>
      </c>
      <c r="AO163" s="746"/>
      <c r="AP163" s="746">
        <f t="shared" si="50"/>
        <v>0</v>
      </c>
      <c r="AQ163" s="746">
        <f t="shared" si="41"/>
        <v>1007</v>
      </c>
      <c r="AR163" s="746">
        <f t="shared" si="51"/>
        <v>223755</v>
      </c>
      <c r="AS163" s="746"/>
      <c r="AT163" s="746">
        <f t="shared" si="52"/>
        <v>0</v>
      </c>
      <c r="AU163" s="747">
        <f>'SAN LUONG'!AU162</f>
        <v>0</v>
      </c>
      <c r="AV163" s="748">
        <f t="shared" si="53"/>
        <v>0</v>
      </c>
      <c r="AW163" s="757">
        <f t="shared" si="54"/>
        <v>0</v>
      </c>
      <c r="AX163" s="758">
        <f t="shared" si="55"/>
        <v>461755</v>
      </c>
      <c r="AY163" s="759"/>
      <c r="AZ163" s="759"/>
      <c r="BA163" s="759"/>
      <c r="BB163" s="760">
        <f t="shared" si="56"/>
        <v>461755</v>
      </c>
      <c r="BC163" s="763"/>
      <c r="BD163" s="639">
        <f t="shared" si="57"/>
        <v>14.45</v>
      </c>
      <c r="BE163" s="768"/>
      <c r="BF163" s="769"/>
    </row>
    <row r="164" spans="1:58" s="725" customFormat="1" ht="30" customHeight="1">
      <c r="A164" s="503">
        <v>155</v>
      </c>
      <c r="B164" s="504">
        <v>7</v>
      </c>
      <c r="C164" s="504">
        <v>280</v>
      </c>
      <c r="D164" s="728"/>
      <c r="E164" s="728"/>
      <c r="F164" s="728"/>
      <c r="G164" s="728" t="str">
        <f>'Tên Tháng 1'!E158</f>
        <v>យ៉ុន ឈីន</v>
      </c>
      <c r="H164" s="728" t="str">
        <f>'Tên Tháng 1'!F158</f>
        <v>YON CHHIN</v>
      </c>
      <c r="I164" s="519" t="str">
        <f>'CHAM CONG'!G162</f>
        <v>x</v>
      </c>
      <c r="J164" s="519">
        <f>'CHAM CONG'!H162</f>
        <v>0</v>
      </c>
      <c r="K164" s="519" t="str">
        <f>'CHAM CONG'!I162</f>
        <v>x</v>
      </c>
      <c r="L164" s="519">
        <f>'CHAM CONG'!J162</f>
        <v>0</v>
      </c>
      <c r="M164" s="519" t="str">
        <f>'CHAM CONG'!K162</f>
        <v>x</v>
      </c>
      <c r="N164" s="519" t="str">
        <f>'CHAM CONG'!L162</f>
        <v>x</v>
      </c>
      <c r="O164" s="519" t="str">
        <f>'CHAM CONG'!M162</f>
        <v>x</v>
      </c>
      <c r="P164" s="519" t="str">
        <f>'CHAM CONG'!N162</f>
        <v>x</v>
      </c>
      <c r="Q164" s="519" t="str">
        <f>'CHAM CONG'!O162</f>
        <v>x</v>
      </c>
      <c r="R164" s="519" t="str">
        <f>'CHAM CONG'!P162</f>
        <v>x</v>
      </c>
      <c r="S164" s="519" t="str">
        <f>'CHAM CONG'!Q162</f>
        <v>x</v>
      </c>
      <c r="T164" s="519" t="str">
        <f>'CHAM CONG'!R162</f>
        <v>x</v>
      </c>
      <c r="U164" s="519">
        <f>'CHAM CONG'!S162</f>
        <v>0</v>
      </c>
      <c r="V164" s="519" t="str">
        <f>'CHAM CONG'!T162</f>
        <v>x</v>
      </c>
      <c r="W164" s="519" t="str">
        <f>'CHAM CONG'!U162</f>
        <v>x</v>
      </c>
      <c r="X164" s="519"/>
      <c r="Y164" s="519"/>
      <c r="Z164" s="738">
        <f t="shared" si="43"/>
        <v>12</v>
      </c>
      <c r="AA164" s="580">
        <f t="shared" si="44"/>
        <v>0</v>
      </c>
      <c r="AB164" s="580">
        <f t="shared" si="45"/>
        <v>192000</v>
      </c>
      <c r="AC164" s="580">
        <f>'CHAM CONG'!V162</f>
        <v>0</v>
      </c>
      <c r="AD164" s="580">
        <f>'CHAM CONG'!W162</f>
        <v>0</v>
      </c>
      <c r="AE164" s="580">
        <f>'CHAM CONG'!X162</f>
        <v>0</v>
      </c>
      <c r="AF164" s="738">
        <f t="shared" si="46"/>
        <v>0</v>
      </c>
      <c r="AG164" s="580">
        <f t="shared" si="47"/>
        <v>0</v>
      </c>
      <c r="AH164" s="580">
        <f t="shared" si="42"/>
        <v>12</v>
      </c>
      <c r="AI164" s="580">
        <f t="shared" si="48"/>
        <v>12000</v>
      </c>
      <c r="AJ164" s="580">
        <f t="shared" si="49"/>
        <v>204000</v>
      </c>
      <c r="AK164" s="429">
        <f>'SAN LUONG'!AF163</f>
        <v>274</v>
      </c>
      <c r="AL164" s="429">
        <f>'SAN LUONG'!AG163</f>
        <v>204</v>
      </c>
      <c r="AM164" s="429">
        <f>'SAN LUONG'!AH163</f>
        <v>113</v>
      </c>
      <c r="AN164" s="429">
        <f>'SAN LUONG'!AI163</f>
        <v>451</v>
      </c>
      <c r="AO164" s="746"/>
      <c r="AP164" s="746">
        <f t="shared" si="50"/>
        <v>0</v>
      </c>
      <c r="AQ164" s="746">
        <f t="shared" si="41"/>
        <v>1042</v>
      </c>
      <c r="AR164" s="746">
        <f t="shared" si="51"/>
        <v>231532</v>
      </c>
      <c r="AS164" s="746"/>
      <c r="AT164" s="746">
        <f t="shared" si="52"/>
        <v>0</v>
      </c>
      <c r="AU164" s="747">
        <f>'SAN LUONG'!AU163</f>
        <v>0</v>
      </c>
      <c r="AV164" s="748">
        <f t="shared" si="53"/>
        <v>0</v>
      </c>
      <c r="AW164" s="757">
        <f t="shared" si="54"/>
        <v>0</v>
      </c>
      <c r="AX164" s="758">
        <f t="shared" si="55"/>
        <v>435532</v>
      </c>
      <c r="AY164" s="759"/>
      <c r="AZ164" s="759"/>
      <c r="BA164" s="759"/>
      <c r="BB164" s="760">
        <f t="shared" si="56"/>
        <v>435532</v>
      </c>
      <c r="BC164" s="763"/>
      <c r="BD164" s="639">
        <f t="shared" si="57"/>
        <v>13.63</v>
      </c>
      <c r="BE164" s="768"/>
      <c r="BF164" s="769"/>
    </row>
    <row r="165" spans="1:58" s="725" customFormat="1" ht="30" customHeight="1">
      <c r="A165" s="503">
        <v>156</v>
      </c>
      <c r="B165" s="504">
        <v>7</v>
      </c>
      <c r="C165" s="504">
        <v>281</v>
      </c>
      <c r="D165" s="728"/>
      <c r="E165" s="728"/>
      <c r="F165" s="728"/>
      <c r="G165" s="728" t="str">
        <f>'Tên Tháng 1'!E159</f>
        <v>ហេង សុខ​</v>
      </c>
      <c r="H165" s="728" t="str">
        <f>'Tên Tháng 1'!F159</f>
        <v>HENG SOK</v>
      </c>
      <c r="I165" s="519">
        <f>'CHAM CONG'!G163</f>
        <v>0</v>
      </c>
      <c r="J165" s="519" t="str">
        <f>'CHAM CONG'!H163</f>
        <v>x</v>
      </c>
      <c r="K165" s="519" t="str">
        <f>'CHAM CONG'!I163</f>
        <v>x</v>
      </c>
      <c r="L165" s="519">
        <f>'CHAM CONG'!J163</f>
        <v>0</v>
      </c>
      <c r="M165" s="519" t="str">
        <f>'CHAM CONG'!K163</f>
        <v>x</v>
      </c>
      <c r="N165" s="519" t="str">
        <f>'CHAM CONG'!L163</f>
        <v>x</v>
      </c>
      <c r="O165" s="519" t="str">
        <f>'CHAM CONG'!M163</f>
        <v>x</v>
      </c>
      <c r="P165" s="519" t="str">
        <f>'CHAM CONG'!N163</f>
        <v>x</v>
      </c>
      <c r="Q165" s="519">
        <f>'CHAM CONG'!O163</f>
        <v>0</v>
      </c>
      <c r="R165" s="519" t="str">
        <f>'CHAM CONG'!P163</f>
        <v>x</v>
      </c>
      <c r="S165" s="519" t="str">
        <f>'CHAM CONG'!Q163</f>
        <v>x</v>
      </c>
      <c r="T165" s="519" t="str">
        <f>'CHAM CONG'!R163</f>
        <v>x</v>
      </c>
      <c r="U165" s="519" t="str">
        <f>'CHAM CONG'!S163</f>
        <v>x</v>
      </c>
      <c r="V165" s="519" t="str">
        <f>'CHAM CONG'!T163</f>
        <v>x</v>
      </c>
      <c r="W165" s="519" t="str">
        <f>'CHAM CONG'!U163</f>
        <v>x</v>
      </c>
      <c r="X165" s="519"/>
      <c r="Y165" s="519"/>
      <c r="Z165" s="738">
        <f t="shared" si="43"/>
        <v>12</v>
      </c>
      <c r="AA165" s="580">
        <f t="shared" si="44"/>
        <v>0</v>
      </c>
      <c r="AB165" s="580">
        <f t="shared" si="45"/>
        <v>192000</v>
      </c>
      <c r="AC165" s="580">
        <f>'CHAM CONG'!V163</f>
        <v>0</v>
      </c>
      <c r="AD165" s="580">
        <f>'CHAM CONG'!W163</f>
        <v>0</v>
      </c>
      <c r="AE165" s="580">
        <f>'CHAM CONG'!X163</f>
        <v>0</v>
      </c>
      <c r="AF165" s="738">
        <f t="shared" si="46"/>
        <v>0</v>
      </c>
      <c r="AG165" s="580">
        <f t="shared" si="47"/>
        <v>0</v>
      </c>
      <c r="AH165" s="580">
        <f t="shared" si="42"/>
        <v>12</v>
      </c>
      <c r="AI165" s="580">
        <f t="shared" si="48"/>
        <v>12000</v>
      </c>
      <c r="AJ165" s="580">
        <f t="shared" si="49"/>
        <v>204000</v>
      </c>
      <c r="AK165" s="429">
        <f>'SAN LUONG'!AF164</f>
        <v>255</v>
      </c>
      <c r="AL165" s="429">
        <f>'SAN LUONG'!AG164</f>
        <v>65</v>
      </c>
      <c r="AM165" s="429">
        <f>'SAN LUONG'!AH164</f>
        <v>194</v>
      </c>
      <c r="AN165" s="429">
        <f>'SAN LUONG'!AI164</f>
        <v>310</v>
      </c>
      <c r="AO165" s="746"/>
      <c r="AP165" s="746">
        <f t="shared" si="50"/>
        <v>0</v>
      </c>
      <c r="AQ165" s="746">
        <f t="shared" si="41"/>
        <v>824</v>
      </c>
      <c r="AR165" s="746">
        <f t="shared" si="51"/>
        <v>183093</v>
      </c>
      <c r="AS165" s="746"/>
      <c r="AT165" s="746">
        <f t="shared" si="52"/>
        <v>0</v>
      </c>
      <c r="AU165" s="747">
        <f>'SAN LUONG'!AU164</f>
        <v>0</v>
      </c>
      <c r="AV165" s="748">
        <f t="shared" si="53"/>
        <v>0</v>
      </c>
      <c r="AW165" s="757">
        <f t="shared" si="54"/>
        <v>0</v>
      </c>
      <c r="AX165" s="758">
        <f t="shared" si="55"/>
        <v>387093</v>
      </c>
      <c r="AY165" s="759"/>
      <c r="AZ165" s="759"/>
      <c r="BA165" s="759"/>
      <c r="BB165" s="760">
        <f t="shared" si="56"/>
        <v>387093</v>
      </c>
      <c r="BC165" s="763"/>
      <c r="BD165" s="639">
        <f t="shared" si="57"/>
        <v>12.12</v>
      </c>
      <c r="BE165" s="768"/>
      <c r="BF165" s="769"/>
    </row>
    <row r="166" spans="1:58" s="725" customFormat="1" ht="30" customHeight="1">
      <c r="A166" s="503">
        <v>157</v>
      </c>
      <c r="B166" s="504">
        <v>7</v>
      </c>
      <c r="C166" s="504">
        <v>282</v>
      </c>
      <c r="D166" s="728"/>
      <c r="E166" s="728"/>
      <c r="F166" s="728"/>
      <c r="G166" s="728" t="str">
        <f>'Tên Tháng 1'!E160</f>
        <v>មឿន រម្យ</v>
      </c>
      <c r="H166" s="728" t="str">
        <f>'Tên Tháng 1'!F160</f>
        <v>MOEUN RUM</v>
      </c>
      <c r="I166" s="519">
        <f>'CHAM CONG'!G164</f>
        <v>0</v>
      </c>
      <c r="J166" s="519" t="str">
        <f>'CHAM CONG'!H164</f>
        <v>x</v>
      </c>
      <c r="K166" s="519" t="str">
        <f>'CHAM CONG'!I164</f>
        <v>x</v>
      </c>
      <c r="L166" s="519">
        <f>'CHAM CONG'!J164</f>
        <v>0</v>
      </c>
      <c r="M166" s="519" t="str">
        <f>'CHAM CONG'!K164</f>
        <v>x</v>
      </c>
      <c r="N166" s="519" t="str">
        <f>'CHAM CONG'!L164</f>
        <v>x</v>
      </c>
      <c r="O166" s="519" t="str">
        <f>'CHAM CONG'!M164</f>
        <v>x</v>
      </c>
      <c r="P166" s="519" t="str">
        <f>'CHAM CONG'!N164</f>
        <v>x</v>
      </c>
      <c r="Q166" s="519">
        <f>'CHAM CONG'!O164</f>
        <v>0</v>
      </c>
      <c r="R166" s="519" t="str">
        <f>'CHAM CONG'!P164</f>
        <v>x</v>
      </c>
      <c r="S166" s="519" t="str">
        <f>'CHAM CONG'!Q164</f>
        <v>x</v>
      </c>
      <c r="T166" s="519" t="str">
        <f>'CHAM CONG'!R164</f>
        <v>x</v>
      </c>
      <c r="U166" s="519" t="str">
        <f>'CHAM CONG'!S164</f>
        <v>x</v>
      </c>
      <c r="V166" s="519" t="str">
        <f>'CHAM CONG'!T164</f>
        <v>x</v>
      </c>
      <c r="W166" s="519" t="str">
        <f>'CHAM CONG'!U164</f>
        <v>x</v>
      </c>
      <c r="X166" s="519"/>
      <c r="Y166" s="519"/>
      <c r="Z166" s="738">
        <f t="shared" si="43"/>
        <v>12</v>
      </c>
      <c r="AA166" s="580">
        <f t="shared" si="44"/>
        <v>0</v>
      </c>
      <c r="AB166" s="580">
        <f t="shared" si="45"/>
        <v>192000</v>
      </c>
      <c r="AC166" s="580">
        <f>'CHAM CONG'!V164</f>
        <v>0</v>
      </c>
      <c r="AD166" s="580">
        <f>'CHAM CONG'!W164</f>
        <v>0</v>
      </c>
      <c r="AE166" s="580">
        <f>'CHAM CONG'!X164</f>
        <v>0</v>
      </c>
      <c r="AF166" s="738">
        <f t="shared" si="46"/>
        <v>0</v>
      </c>
      <c r="AG166" s="580">
        <f t="shared" si="47"/>
        <v>0</v>
      </c>
      <c r="AH166" s="580">
        <f t="shared" si="42"/>
        <v>12</v>
      </c>
      <c r="AI166" s="580">
        <f t="shared" si="48"/>
        <v>12000</v>
      </c>
      <c r="AJ166" s="580">
        <f t="shared" si="49"/>
        <v>204000</v>
      </c>
      <c r="AK166" s="429">
        <f>'SAN LUONG'!AF165</f>
        <v>239</v>
      </c>
      <c r="AL166" s="429">
        <f>'SAN LUONG'!AG165</f>
        <v>63</v>
      </c>
      <c r="AM166" s="429">
        <f>'SAN LUONG'!AH165</f>
        <v>200</v>
      </c>
      <c r="AN166" s="429">
        <f>'SAN LUONG'!AI165</f>
        <v>230</v>
      </c>
      <c r="AO166" s="746"/>
      <c r="AP166" s="746">
        <f t="shared" si="50"/>
        <v>0</v>
      </c>
      <c r="AQ166" s="746">
        <f t="shared" si="41"/>
        <v>732</v>
      </c>
      <c r="AR166" s="746">
        <f t="shared" si="51"/>
        <v>162650</v>
      </c>
      <c r="AS166" s="746"/>
      <c r="AT166" s="746">
        <f t="shared" si="52"/>
        <v>0</v>
      </c>
      <c r="AU166" s="747">
        <f>'SAN LUONG'!AU165</f>
        <v>0</v>
      </c>
      <c r="AV166" s="748">
        <f t="shared" si="53"/>
        <v>0</v>
      </c>
      <c r="AW166" s="757">
        <f t="shared" si="54"/>
        <v>0</v>
      </c>
      <c r="AX166" s="758">
        <f t="shared" si="55"/>
        <v>366650</v>
      </c>
      <c r="AY166" s="759"/>
      <c r="AZ166" s="759"/>
      <c r="BA166" s="759"/>
      <c r="BB166" s="760">
        <f t="shared" si="56"/>
        <v>366650</v>
      </c>
      <c r="BC166" s="763"/>
      <c r="BD166" s="639">
        <f t="shared" si="57"/>
        <v>11.48</v>
      </c>
      <c r="BE166" s="768"/>
      <c r="BF166" s="769"/>
    </row>
    <row r="167" spans="1:58" s="725" customFormat="1" ht="30" customHeight="1">
      <c r="A167" s="503">
        <v>158</v>
      </c>
      <c r="B167" s="504">
        <v>7</v>
      </c>
      <c r="C167" s="504">
        <v>283</v>
      </c>
      <c r="D167" s="728"/>
      <c r="E167" s="728"/>
      <c r="F167" s="728"/>
      <c r="G167" s="728" t="str">
        <f>'Tên Tháng 1'!E161</f>
        <v>សំ វិជ្ជា</v>
      </c>
      <c r="H167" s="728" t="str">
        <f>'Tên Tháng 1'!F161</f>
        <v>SAM VICHEA</v>
      </c>
      <c r="I167" s="519" t="str">
        <f>'CHAM CONG'!G165</f>
        <v>x</v>
      </c>
      <c r="J167" s="519" t="str">
        <f>'CHAM CONG'!H165</f>
        <v>x</v>
      </c>
      <c r="K167" s="519" t="str">
        <f>'CHAM CONG'!I165</f>
        <v>x</v>
      </c>
      <c r="L167" s="519">
        <f>'CHAM CONG'!J165</f>
        <v>0</v>
      </c>
      <c r="M167" s="519" t="str">
        <f>'CHAM CONG'!K165</f>
        <v>x</v>
      </c>
      <c r="N167" s="519" t="str">
        <f>'CHAM CONG'!L165</f>
        <v>x</v>
      </c>
      <c r="O167" s="519" t="str">
        <f>'CHAM CONG'!M165</f>
        <v>x</v>
      </c>
      <c r="P167" s="519" t="str">
        <f>'CHAM CONG'!N165</f>
        <v>x</v>
      </c>
      <c r="Q167" s="519" t="str">
        <f>'CHAM CONG'!O165</f>
        <v>x</v>
      </c>
      <c r="R167" s="519" t="str">
        <f>'CHAM CONG'!P165</f>
        <v>x</v>
      </c>
      <c r="S167" s="519" t="str">
        <f>'CHAM CONG'!Q165</f>
        <v>x</v>
      </c>
      <c r="T167" s="519" t="str">
        <f>'CHAM CONG'!R165</f>
        <v>x</v>
      </c>
      <c r="U167" s="519" t="str">
        <f>'CHAM CONG'!S165</f>
        <v>x</v>
      </c>
      <c r="V167" s="519" t="str">
        <f>'CHAM CONG'!T165</f>
        <v>x</v>
      </c>
      <c r="W167" s="519" t="str">
        <f>'CHAM CONG'!U165</f>
        <v>x</v>
      </c>
      <c r="X167" s="519"/>
      <c r="Y167" s="519"/>
      <c r="Z167" s="738">
        <f t="shared" si="43"/>
        <v>14</v>
      </c>
      <c r="AA167" s="580">
        <f t="shared" si="44"/>
        <v>0</v>
      </c>
      <c r="AB167" s="580">
        <f t="shared" si="45"/>
        <v>224000</v>
      </c>
      <c r="AC167" s="580">
        <f>'CHAM CONG'!V165</f>
        <v>0</v>
      </c>
      <c r="AD167" s="580">
        <f>'CHAM CONG'!W165</f>
        <v>0</v>
      </c>
      <c r="AE167" s="580">
        <f>'CHAM CONG'!X165</f>
        <v>0</v>
      </c>
      <c r="AF167" s="738">
        <f t="shared" si="46"/>
        <v>0</v>
      </c>
      <c r="AG167" s="580">
        <f t="shared" si="47"/>
        <v>0</v>
      </c>
      <c r="AH167" s="580">
        <f t="shared" si="42"/>
        <v>14</v>
      </c>
      <c r="AI167" s="580">
        <f t="shared" si="48"/>
        <v>14000</v>
      </c>
      <c r="AJ167" s="580">
        <f t="shared" si="49"/>
        <v>238000</v>
      </c>
      <c r="AK167" s="429">
        <f>'SAN LUONG'!AF166</f>
        <v>346</v>
      </c>
      <c r="AL167" s="429">
        <f>'SAN LUONG'!AG166</f>
        <v>152</v>
      </c>
      <c r="AM167" s="429">
        <f>'SAN LUONG'!AH166</f>
        <v>137</v>
      </c>
      <c r="AN167" s="429">
        <f>'SAN LUONG'!AI166</f>
        <v>254</v>
      </c>
      <c r="AO167" s="746"/>
      <c r="AP167" s="746">
        <f t="shared" si="50"/>
        <v>0</v>
      </c>
      <c r="AQ167" s="746">
        <f t="shared" si="41"/>
        <v>889</v>
      </c>
      <c r="AR167" s="746">
        <f t="shared" si="51"/>
        <v>197536</v>
      </c>
      <c r="AS167" s="746"/>
      <c r="AT167" s="746">
        <f t="shared" si="52"/>
        <v>0</v>
      </c>
      <c r="AU167" s="747">
        <f>'SAN LUONG'!AU166</f>
        <v>0</v>
      </c>
      <c r="AV167" s="748">
        <f t="shared" si="53"/>
        <v>0</v>
      </c>
      <c r="AW167" s="757">
        <f t="shared" si="54"/>
        <v>0</v>
      </c>
      <c r="AX167" s="758">
        <f t="shared" si="55"/>
        <v>435536</v>
      </c>
      <c r="AY167" s="759"/>
      <c r="AZ167" s="759"/>
      <c r="BA167" s="759"/>
      <c r="BB167" s="760">
        <f t="shared" si="56"/>
        <v>435536</v>
      </c>
      <c r="BC167" s="763"/>
      <c r="BD167" s="639">
        <f t="shared" si="57"/>
        <v>13.63</v>
      </c>
      <c r="BE167" s="768"/>
      <c r="BF167" s="769"/>
    </row>
    <row r="168" spans="1:58" s="725" customFormat="1" ht="30" customHeight="1">
      <c r="A168" s="503">
        <v>159</v>
      </c>
      <c r="B168" s="504">
        <v>7</v>
      </c>
      <c r="C168" s="504">
        <v>284</v>
      </c>
      <c r="D168" s="728"/>
      <c r="E168" s="728"/>
      <c r="F168" s="728"/>
      <c r="G168" s="728" t="str">
        <f>'Tên Tháng 1'!E162</f>
        <v>គង់ កៀន</v>
      </c>
      <c r="H168" s="728" t="str">
        <f>'Tên Tháng 1'!F162</f>
        <v>KONG KIEN</v>
      </c>
      <c r="I168" s="519">
        <f>'CHAM CONG'!G166</f>
        <v>0</v>
      </c>
      <c r="J168" s="519" t="str">
        <f>'CHAM CONG'!H166</f>
        <v>x</v>
      </c>
      <c r="K168" s="519" t="str">
        <f>'CHAM CONG'!I166</f>
        <v>x</v>
      </c>
      <c r="L168" s="519">
        <f>'CHAM CONG'!J166</f>
        <v>0</v>
      </c>
      <c r="M168" s="519" t="str">
        <f>'CHAM CONG'!K166</f>
        <v>x</v>
      </c>
      <c r="N168" s="519" t="str">
        <f>'CHAM CONG'!L166</f>
        <v>x</v>
      </c>
      <c r="O168" s="519" t="str">
        <f>'CHAM CONG'!M166</f>
        <v>x</v>
      </c>
      <c r="P168" s="519">
        <f>'CHAM CONG'!N166</f>
        <v>0</v>
      </c>
      <c r="Q168" s="519" t="str">
        <f>'CHAM CONG'!O166</f>
        <v>x</v>
      </c>
      <c r="R168" s="519" t="str">
        <f>'CHAM CONG'!P166</f>
        <v>x</v>
      </c>
      <c r="S168" s="519" t="str">
        <f>'CHAM CONG'!Q166</f>
        <v>x</v>
      </c>
      <c r="T168" s="519" t="str">
        <f>'CHAM CONG'!R166</f>
        <v>x</v>
      </c>
      <c r="U168" s="519" t="str">
        <f>'CHAM CONG'!S166</f>
        <v>x</v>
      </c>
      <c r="V168" s="519" t="str">
        <f>'CHAM CONG'!T166</f>
        <v>x</v>
      </c>
      <c r="W168" s="519" t="str">
        <f>'CHAM CONG'!U166</f>
        <v>x</v>
      </c>
      <c r="X168" s="519"/>
      <c r="Y168" s="519"/>
      <c r="Z168" s="738">
        <f t="shared" si="43"/>
        <v>12</v>
      </c>
      <c r="AA168" s="580">
        <f t="shared" si="44"/>
        <v>0</v>
      </c>
      <c r="AB168" s="580">
        <f t="shared" si="45"/>
        <v>192000</v>
      </c>
      <c r="AC168" s="580">
        <f>'CHAM CONG'!V166</f>
        <v>0</v>
      </c>
      <c r="AD168" s="580">
        <f>'CHAM CONG'!W166</f>
        <v>0</v>
      </c>
      <c r="AE168" s="580">
        <f>'CHAM CONG'!X166</f>
        <v>0</v>
      </c>
      <c r="AF168" s="738">
        <f t="shared" si="46"/>
        <v>0</v>
      </c>
      <c r="AG168" s="580">
        <f t="shared" si="47"/>
        <v>0</v>
      </c>
      <c r="AH168" s="580">
        <f t="shared" si="42"/>
        <v>12</v>
      </c>
      <c r="AI168" s="580">
        <f t="shared" si="48"/>
        <v>12000</v>
      </c>
      <c r="AJ168" s="580">
        <f t="shared" si="49"/>
        <v>204000</v>
      </c>
      <c r="AK168" s="429">
        <f>'SAN LUONG'!AF167</f>
        <v>240</v>
      </c>
      <c r="AL168" s="429">
        <f>'SAN LUONG'!AG167</f>
        <v>84</v>
      </c>
      <c r="AM168" s="429">
        <f>'SAN LUONG'!AH167</f>
        <v>256</v>
      </c>
      <c r="AN168" s="429">
        <f>'SAN LUONG'!AI167</f>
        <v>323</v>
      </c>
      <c r="AO168" s="746"/>
      <c r="AP168" s="746">
        <f t="shared" si="50"/>
        <v>0</v>
      </c>
      <c r="AQ168" s="746">
        <f t="shared" si="41"/>
        <v>903</v>
      </c>
      <c r="AR168" s="746">
        <f t="shared" si="51"/>
        <v>200647</v>
      </c>
      <c r="AS168" s="746"/>
      <c r="AT168" s="746">
        <f t="shared" si="52"/>
        <v>0</v>
      </c>
      <c r="AU168" s="747">
        <f>'SAN LUONG'!AU167</f>
        <v>0</v>
      </c>
      <c r="AV168" s="748">
        <f t="shared" si="53"/>
        <v>0</v>
      </c>
      <c r="AW168" s="757">
        <f t="shared" si="54"/>
        <v>0</v>
      </c>
      <c r="AX168" s="758">
        <f t="shared" si="55"/>
        <v>404647</v>
      </c>
      <c r="AY168" s="759"/>
      <c r="AZ168" s="759"/>
      <c r="BA168" s="759"/>
      <c r="BB168" s="760">
        <f t="shared" si="56"/>
        <v>404647</v>
      </c>
      <c r="BC168" s="763"/>
      <c r="BD168" s="639">
        <f t="shared" si="57"/>
        <v>12.67</v>
      </c>
      <c r="BE168" s="768"/>
      <c r="BF168" s="769"/>
    </row>
    <row r="169" spans="1:58" s="725" customFormat="1" ht="30" customHeight="1">
      <c r="A169" s="503">
        <v>160</v>
      </c>
      <c r="B169" s="504">
        <v>7</v>
      </c>
      <c r="C169" s="504">
        <v>285</v>
      </c>
      <c r="D169" s="728"/>
      <c r="E169" s="728"/>
      <c r="F169" s="728"/>
      <c r="G169" s="728" t="str">
        <f>'Tên Tháng 1'!E163</f>
        <v>បាវ ប៊ន</v>
      </c>
      <c r="H169" s="728" t="str">
        <f>'Tên Tháng 1'!F163</f>
        <v>BAV BORN</v>
      </c>
      <c r="I169" s="519" t="str">
        <f>'CHAM CONG'!G167</f>
        <v>x</v>
      </c>
      <c r="J169" s="519" t="str">
        <f>'CHAM CONG'!H167</f>
        <v>x</v>
      </c>
      <c r="K169" s="519" t="str">
        <f>'CHAM CONG'!I167</f>
        <v>x</v>
      </c>
      <c r="L169" s="519">
        <f>'CHAM CONG'!J167</f>
        <v>0</v>
      </c>
      <c r="M169" s="519" t="str">
        <f>'CHAM CONG'!K167</f>
        <v>x</v>
      </c>
      <c r="N169" s="519" t="str">
        <f>'CHAM CONG'!L167</f>
        <v>x</v>
      </c>
      <c r="O169" s="519" t="str">
        <f>'CHAM CONG'!M167</f>
        <v>x</v>
      </c>
      <c r="P169" s="519">
        <f>'CHAM CONG'!N167</f>
        <v>0</v>
      </c>
      <c r="Q169" s="519">
        <f>'CHAM CONG'!O167</f>
        <v>0</v>
      </c>
      <c r="R169" s="519" t="str">
        <f>'CHAM CONG'!P167</f>
        <v>x</v>
      </c>
      <c r="S169" s="519" t="str">
        <f>'CHAM CONG'!Q167</f>
        <v>x</v>
      </c>
      <c r="T169" s="519" t="str">
        <f>'CHAM CONG'!R167</f>
        <v>x</v>
      </c>
      <c r="U169" s="519" t="str">
        <f>'CHAM CONG'!S167</f>
        <v>x</v>
      </c>
      <c r="V169" s="519" t="str">
        <f>'CHAM CONG'!T167</f>
        <v>x</v>
      </c>
      <c r="W169" s="519" t="str">
        <f>'CHAM CONG'!U167</f>
        <v>x</v>
      </c>
      <c r="X169" s="519"/>
      <c r="Y169" s="519"/>
      <c r="Z169" s="738">
        <f t="shared" si="43"/>
        <v>12</v>
      </c>
      <c r="AA169" s="580">
        <f t="shared" si="44"/>
        <v>0</v>
      </c>
      <c r="AB169" s="580">
        <f t="shared" si="45"/>
        <v>192000</v>
      </c>
      <c r="AC169" s="580">
        <f>'CHAM CONG'!V167</f>
        <v>0</v>
      </c>
      <c r="AD169" s="580">
        <f>'CHAM CONG'!W167</f>
        <v>0</v>
      </c>
      <c r="AE169" s="580">
        <f>'CHAM CONG'!X167</f>
        <v>0</v>
      </c>
      <c r="AF169" s="738">
        <f t="shared" si="46"/>
        <v>0</v>
      </c>
      <c r="AG169" s="580">
        <f t="shared" si="47"/>
        <v>0</v>
      </c>
      <c r="AH169" s="580">
        <f t="shared" si="42"/>
        <v>12</v>
      </c>
      <c r="AI169" s="580">
        <f t="shared" si="48"/>
        <v>12000</v>
      </c>
      <c r="AJ169" s="580">
        <f t="shared" si="49"/>
        <v>204000</v>
      </c>
      <c r="AK169" s="429">
        <f>'SAN LUONG'!AF168</f>
        <v>226</v>
      </c>
      <c r="AL169" s="429">
        <f>'SAN LUONG'!AG168</f>
        <v>162</v>
      </c>
      <c r="AM169" s="429">
        <f>'SAN LUONG'!AH168</f>
        <v>175</v>
      </c>
      <c r="AN169" s="429">
        <f>'SAN LUONG'!AI168</f>
        <v>247</v>
      </c>
      <c r="AO169" s="746"/>
      <c r="AP169" s="746">
        <f t="shared" si="50"/>
        <v>0</v>
      </c>
      <c r="AQ169" s="746">
        <f t="shared" si="41"/>
        <v>810</v>
      </c>
      <c r="AR169" s="746">
        <f t="shared" si="51"/>
        <v>179982</v>
      </c>
      <c r="AS169" s="746"/>
      <c r="AT169" s="746">
        <f t="shared" si="52"/>
        <v>0</v>
      </c>
      <c r="AU169" s="747">
        <f>'SAN LUONG'!AU168</f>
        <v>0</v>
      </c>
      <c r="AV169" s="748">
        <f t="shared" si="53"/>
        <v>0</v>
      </c>
      <c r="AW169" s="757">
        <f t="shared" si="54"/>
        <v>0</v>
      </c>
      <c r="AX169" s="758">
        <f t="shared" si="55"/>
        <v>383982</v>
      </c>
      <c r="AY169" s="759"/>
      <c r="AZ169" s="759"/>
      <c r="BA169" s="759"/>
      <c r="BB169" s="760">
        <f t="shared" si="56"/>
        <v>383982</v>
      </c>
      <c r="BC169" s="763"/>
      <c r="BD169" s="639">
        <f t="shared" si="57"/>
        <v>12.02</v>
      </c>
      <c r="BE169" s="768"/>
      <c r="BF169" s="769"/>
    </row>
    <row r="170" spans="1:58" s="725" customFormat="1" ht="30" customHeight="1">
      <c r="A170" s="503">
        <v>161</v>
      </c>
      <c r="B170" s="504">
        <v>7</v>
      </c>
      <c r="C170" s="504">
        <v>286</v>
      </c>
      <c r="D170" s="728"/>
      <c r="E170" s="728"/>
      <c r="F170" s="728"/>
      <c r="G170" s="728" t="str">
        <f>'Tên Tháng 1'!E164</f>
        <v>ខុន ចំរ៉ុង</v>
      </c>
      <c r="H170" s="728" t="str">
        <f>'Tên Tháng 1'!F164</f>
        <v>KHUN CHAMRONG</v>
      </c>
      <c r="I170" s="519" t="str">
        <f>'CHAM CONG'!G168</f>
        <v>x</v>
      </c>
      <c r="J170" s="519" t="str">
        <f>'CHAM CONG'!H168</f>
        <v>x</v>
      </c>
      <c r="K170" s="519" t="str">
        <f>'CHAM CONG'!I168</f>
        <v>x</v>
      </c>
      <c r="L170" s="519">
        <f>'CHAM CONG'!J168</f>
        <v>0</v>
      </c>
      <c r="M170" s="519" t="str">
        <f>'CHAM CONG'!K168</f>
        <v>x</v>
      </c>
      <c r="N170" s="519" t="str">
        <f>'CHAM CONG'!L168</f>
        <v>x</v>
      </c>
      <c r="O170" s="519" t="str">
        <f>'CHAM CONG'!M168</f>
        <v>x</v>
      </c>
      <c r="P170" s="519" t="str">
        <f>'CHAM CONG'!N168</f>
        <v>x</v>
      </c>
      <c r="Q170" s="519" t="str">
        <f>'CHAM CONG'!O168</f>
        <v>x</v>
      </c>
      <c r="R170" s="519" t="str">
        <f>'CHAM CONG'!P168</f>
        <v>x</v>
      </c>
      <c r="S170" s="519" t="str">
        <f>'CHAM CONG'!Q168</f>
        <v>x</v>
      </c>
      <c r="T170" s="519" t="str">
        <f>'CHAM CONG'!R168</f>
        <v>x</v>
      </c>
      <c r="U170" s="519" t="str">
        <f>'CHAM CONG'!S168</f>
        <v>x</v>
      </c>
      <c r="V170" s="519" t="str">
        <f>'CHAM CONG'!T168</f>
        <v>x</v>
      </c>
      <c r="W170" s="519" t="str">
        <f>'CHAM CONG'!U168</f>
        <v>x</v>
      </c>
      <c r="X170" s="519"/>
      <c r="Y170" s="519"/>
      <c r="Z170" s="738">
        <f t="shared" si="43"/>
        <v>14</v>
      </c>
      <c r="AA170" s="580">
        <f t="shared" si="44"/>
        <v>0</v>
      </c>
      <c r="AB170" s="580">
        <f t="shared" si="45"/>
        <v>224000</v>
      </c>
      <c r="AC170" s="580">
        <f>'CHAM CONG'!V168</f>
        <v>0</v>
      </c>
      <c r="AD170" s="580">
        <f>'CHAM CONG'!W168</f>
        <v>0</v>
      </c>
      <c r="AE170" s="580">
        <f>'CHAM CONG'!X168</f>
        <v>0</v>
      </c>
      <c r="AF170" s="738">
        <f t="shared" si="46"/>
        <v>0</v>
      </c>
      <c r="AG170" s="580">
        <f t="shared" si="47"/>
        <v>0</v>
      </c>
      <c r="AH170" s="580">
        <f t="shared" ref="AH170:AH176" si="58">Z170</f>
        <v>14</v>
      </c>
      <c r="AI170" s="580">
        <f t="shared" si="48"/>
        <v>14000</v>
      </c>
      <c r="AJ170" s="580">
        <f t="shared" si="49"/>
        <v>238000</v>
      </c>
      <c r="AK170" s="429">
        <f>'SAN LUONG'!AF169</f>
        <v>216</v>
      </c>
      <c r="AL170" s="429">
        <f>'SAN LUONG'!AG169</f>
        <v>81</v>
      </c>
      <c r="AM170" s="429">
        <f>'SAN LUONG'!AH169</f>
        <v>193</v>
      </c>
      <c r="AN170" s="429">
        <f>'SAN LUONG'!AI169</f>
        <v>216</v>
      </c>
      <c r="AO170" s="746"/>
      <c r="AP170" s="746">
        <f t="shared" si="50"/>
        <v>0</v>
      </c>
      <c r="AQ170" s="746">
        <f t="shared" si="41"/>
        <v>706</v>
      </c>
      <c r="AR170" s="746">
        <f t="shared" si="51"/>
        <v>156873</v>
      </c>
      <c r="AS170" s="746"/>
      <c r="AT170" s="746">
        <f t="shared" si="52"/>
        <v>0</v>
      </c>
      <c r="AU170" s="747">
        <f>'SAN LUONG'!AU169</f>
        <v>0</v>
      </c>
      <c r="AV170" s="748">
        <f t="shared" si="53"/>
        <v>0</v>
      </c>
      <c r="AW170" s="757">
        <f t="shared" si="54"/>
        <v>0</v>
      </c>
      <c r="AX170" s="758">
        <f t="shared" si="55"/>
        <v>394873</v>
      </c>
      <c r="AY170" s="759"/>
      <c r="AZ170" s="759"/>
      <c r="BA170" s="759"/>
      <c r="BB170" s="760">
        <f t="shared" si="56"/>
        <v>394873</v>
      </c>
      <c r="BC170" s="763"/>
      <c r="BD170" s="639">
        <f t="shared" si="57"/>
        <v>12.36</v>
      </c>
      <c r="BE170" s="768"/>
      <c r="BF170" s="769"/>
    </row>
    <row r="171" spans="1:58" s="725" customFormat="1" ht="30" customHeight="1">
      <c r="A171" s="503">
        <v>162</v>
      </c>
      <c r="B171" s="504">
        <v>7</v>
      </c>
      <c r="C171" s="504">
        <v>287</v>
      </c>
      <c r="D171" s="728"/>
      <c r="E171" s="728"/>
      <c r="F171" s="728"/>
      <c r="G171" s="728" t="str">
        <f>'Tên Tháng 1'!E165</f>
        <v>សែម មុំ</v>
      </c>
      <c r="H171" s="728" t="str">
        <f>'Tên Tháng 1'!F165</f>
        <v>SEM MOM</v>
      </c>
      <c r="I171" s="519" t="str">
        <f>'CHAM CONG'!G169</f>
        <v>x</v>
      </c>
      <c r="J171" s="519" t="str">
        <f>'CHAM CONG'!H169</f>
        <v>x</v>
      </c>
      <c r="K171" s="519" t="str">
        <f>'CHAM CONG'!I169</f>
        <v>x</v>
      </c>
      <c r="L171" s="519" t="str">
        <f>'CHAM CONG'!J169</f>
        <v>x</v>
      </c>
      <c r="M171" s="519" t="str">
        <f>'CHAM CONG'!K169</f>
        <v>x</v>
      </c>
      <c r="N171" s="519" t="str">
        <f>'CHAM CONG'!L169</f>
        <v>x</v>
      </c>
      <c r="O171" s="519" t="str">
        <f>'CHAM CONG'!M169</f>
        <v>x</v>
      </c>
      <c r="P171" s="519" t="str">
        <f>'CHAM CONG'!N169</f>
        <v>x</v>
      </c>
      <c r="Q171" s="519" t="str">
        <f>'CHAM CONG'!O169</f>
        <v>x</v>
      </c>
      <c r="R171" s="519" t="str">
        <f>'CHAM CONG'!P169</f>
        <v>x</v>
      </c>
      <c r="S171" s="519" t="str">
        <f>'CHAM CONG'!Q169</f>
        <v>x</v>
      </c>
      <c r="T171" s="519" t="str">
        <f>'CHAM CONG'!R169</f>
        <v>x</v>
      </c>
      <c r="U171" s="519" t="str">
        <f>'CHAM CONG'!S169</f>
        <v>x</v>
      </c>
      <c r="V171" s="519" t="str">
        <f>'CHAM CONG'!T169</f>
        <v>x</v>
      </c>
      <c r="W171" s="519" t="str">
        <f>'CHAM CONG'!U169</f>
        <v>x</v>
      </c>
      <c r="X171" s="519"/>
      <c r="Y171" s="519"/>
      <c r="Z171" s="738">
        <f t="shared" si="43"/>
        <v>15</v>
      </c>
      <c r="AA171" s="580">
        <f t="shared" si="44"/>
        <v>0</v>
      </c>
      <c r="AB171" s="580">
        <f t="shared" si="45"/>
        <v>240000</v>
      </c>
      <c r="AC171" s="580">
        <f>'CHAM CONG'!V169</f>
        <v>0</v>
      </c>
      <c r="AD171" s="580">
        <f>'CHAM CONG'!W169</f>
        <v>0</v>
      </c>
      <c r="AE171" s="580">
        <f>'CHAM CONG'!X169</f>
        <v>0</v>
      </c>
      <c r="AF171" s="738">
        <f t="shared" si="46"/>
        <v>0</v>
      </c>
      <c r="AG171" s="580">
        <f t="shared" si="47"/>
        <v>0</v>
      </c>
      <c r="AH171" s="580">
        <f t="shared" si="58"/>
        <v>15</v>
      </c>
      <c r="AI171" s="580">
        <f t="shared" si="48"/>
        <v>15000</v>
      </c>
      <c r="AJ171" s="580">
        <f t="shared" si="49"/>
        <v>255000</v>
      </c>
      <c r="AK171" s="429">
        <f>'SAN LUONG'!AF170</f>
        <v>365</v>
      </c>
      <c r="AL171" s="429">
        <f>'SAN LUONG'!AG170</f>
        <v>270</v>
      </c>
      <c r="AM171" s="429">
        <f>'SAN LUONG'!AH170</f>
        <v>290</v>
      </c>
      <c r="AN171" s="429">
        <f>'SAN LUONG'!AI170</f>
        <v>263</v>
      </c>
      <c r="AO171" s="746"/>
      <c r="AP171" s="746">
        <f t="shared" si="50"/>
        <v>0</v>
      </c>
      <c r="AQ171" s="746">
        <f t="shared" si="41"/>
        <v>1188</v>
      </c>
      <c r="AR171" s="746">
        <f t="shared" si="51"/>
        <v>263974</v>
      </c>
      <c r="AS171" s="746"/>
      <c r="AT171" s="746">
        <f t="shared" si="52"/>
        <v>0</v>
      </c>
      <c r="AU171" s="747">
        <f>'SAN LUONG'!AU170</f>
        <v>0</v>
      </c>
      <c r="AV171" s="748">
        <f t="shared" si="53"/>
        <v>0</v>
      </c>
      <c r="AW171" s="757">
        <f t="shared" si="54"/>
        <v>0</v>
      </c>
      <c r="AX171" s="758">
        <f t="shared" si="55"/>
        <v>518974</v>
      </c>
      <c r="AY171" s="759"/>
      <c r="AZ171" s="759"/>
      <c r="BA171" s="759"/>
      <c r="BB171" s="760">
        <f t="shared" si="56"/>
        <v>518974</v>
      </c>
      <c r="BC171" s="763"/>
      <c r="BD171" s="639">
        <f t="shared" si="57"/>
        <v>16.239999999999998</v>
      </c>
      <c r="BE171" s="768"/>
      <c r="BF171" s="769"/>
    </row>
    <row r="172" spans="1:58" s="725" customFormat="1" ht="30" customHeight="1">
      <c r="A172" s="503">
        <v>163</v>
      </c>
      <c r="B172" s="504">
        <v>7</v>
      </c>
      <c r="C172" s="504">
        <v>288</v>
      </c>
      <c r="D172" s="728"/>
      <c r="E172" s="728"/>
      <c r="F172" s="728"/>
      <c r="G172" s="728" t="str">
        <f>'Tên Tháng 1'!E166</f>
        <v>ឈិត លាង</v>
      </c>
      <c r="H172" s="728" t="str">
        <f>'Tên Tháng 1'!F166</f>
        <v>CHHET LEANG</v>
      </c>
      <c r="I172" s="519">
        <f>'CHAM CONG'!G170</f>
        <v>0</v>
      </c>
      <c r="J172" s="519" t="str">
        <f>'CHAM CONG'!H170</f>
        <v>x</v>
      </c>
      <c r="K172" s="519" t="str">
        <f>'CHAM CONG'!I170</f>
        <v>x</v>
      </c>
      <c r="L172" s="519">
        <f>'CHAM CONG'!J170</f>
        <v>0</v>
      </c>
      <c r="M172" s="519" t="str">
        <f>'CHAM CONG'!K170</f>
        <v>x</v>
      </c>
      <c r="N172" s="519" t="str">
        <f>'CHAM CONG'!L170</f>
        <v>x</v>
      </c>
      <c r="O172" s="519">
        <f>'CHAM CONG'!M170</f>
        <v>0</v>
      </c>
      <c r="P172" s="519" t="str">
        <f>'CHAM CONG'!N170</f>
        <v>x</v>
      </c>
      <c r="Q172" s="519" t="str">
        <f>'CHAM CONG'!O170</f>
        <v>x</v>
      </c>
      <c r="R172" s="519" t="str">
        <f>'CHAM CONG'!P170</f>
        <v>x</v>
      </c>
      <c r="S172" s="519" t="str">
        <f>'CHAM CONG'!Q170</f>
        <v>x</v>
      </c>
      <c r="T172" s="519" t="str">
        <f>'CHAM CONG'!R170</f>
        <v>x</v>
      </c>
      <c r="U172" s="519" t="str">
        <f>'CHAM CONG'!S170</f>
        <v>x</v>
      </c>
      <c r="V172" s="519" t="str">
        <f>'CHAM CONG'!T170</f>
        <v>x</v>
      </c>
      <c r="W172" s="519" t="str">
        <f>'CHAM CONG'!U170</f>
        <v>x</v>
      </c>
      <c r="X172" s="519"/>
      <c r="Y172" s="519"/>
      <c r="Z172" s="738">
        <f t="shared" si="43"/>
        <v>12</v>
      </c>
      <c r="AA172" s="580">
        <f t="shared" si="44"/>
        <v>0</v>
      </c>
      <c r="AB172" s="580">
        <f t="shared" si="45"/>
        <v>192000</v>
      </c>
      <c r="AC172" s="580">
        <f>'CHAM CONG'!V170</f>
        <v>0</v>
      </c>
      <c r="AD172" s="580">
        <f>'CHAM CONG'!W170</f>
        <v>0</v>
      </c>
      <c r="AE172" s="580">
        <f>'CHAM CONG'!X170</f>
        <v>0</v>
      </c>
      <c r="AF172" s="738">
        <f t="shared" si="46"/>
        <v>0</v>
      </c>
      <c r="AG172" s="580">
        <f t="shared" si="47"/>
        <v>0</v>
      </c>
      <c r="AH172" s="580">
        <f t="shared" si="58"/>
        <v>12</v>
      </c>
      <c r="AI172" s="580">
        <f t="shared" si="48"/>
        <v>12000</v>
      </c>
      <c r="AJ172" s="580">
        <f t="shared" si="49"/>
        <v>204000</v>
      </c>
      <c r="AK172" s="429">
        <f>'SAN LUONG'!AF171</f>
        <v>272</v>
      </c>
      <c r="AL172" s="429">
        <f>'SAN LUONG'!AG171</f>
        <v>99</v>
      </c>
      <c r="AM172" s="429">
        <f>'SAN LUONG'!AH171</f>
        <v>219</v>
      </c>
      <c r="AN172" s="429">
        <f>'SAN LUONG'!AI171</f>
        <v>159</v>
      </c>
      <c r="AO172" s="746"/>
      <c r="AP172" s="746">
        <f t="shared" si="50"/>
        <v>0</v>
      </c>
      <c r="AQ172" s="746">
        <f t="shared" si="41"/>
        <v>749</v>
      </c>
      <c r="AR172" s="746">
        <f t="shared" si="51"/>
        <v>166428</v>
      </c>
      <c r="AS172" s="746"/>
      <c r="AT172" s="746">
        <f t="shared" si="52"/>
        <v>0</v>
      </c>
      <c r="AU172" s="747">
        <f>'SAN LUONG'!AU171</f>
        <v>0</v>
      </c>
      <c r="AV172" s="748">
        <f t="shared" si="53"/>
        <v>0</v>
      </c>
      <c r="AW172" s="757">
        <f t="shared" si="54"/>
        <v>0</v>
      </c>
      <c r="AX172" s="758">
        <f t="shared" si="55"/>
        <v>370428</v>
      </c>
      <c r="AY172" s="759"/>
      <c r="AZ172" s="759"/>
      <c r="BA172" s="759"/>
      <c r="BB172" s="760">
        <f t="shared" si="56"/>
        <v>370428</v>
      </c>
      <c r="BC172" s="763"/>
      <c r="BD172" s="639">
        <f t="shared" si="57"/>
        <v>11.6</v>
      </c>
      <c r="BE172" s="768"/>
      <c r="BF172" s="769"/>
    </row>
    <row r="173" spans="1:58" s="725" customFormat="1" ht="30" customHeight="1">
      <c r="A173" s="503">
        <v>164</v>
      </c>
      <c r="B173" s="504">
        <v>7</v>
      </c>
      <c r="C173" s="504">
        <v>289</v>
      </c>
      <c r="D173" s="728"/>
      <c r="E173" s="728"/>
      <c r="F173" s="728"/>
      <c r="G173" s="728" t="str">
        <f>'Tên Tháng 1'!E167</f>
        <v>ឡាម ពុំ</v>
      </c>
      <c r="H173" s="728" t="str">
        <f>'Tên Tháng 1'!F167</f>
        <v>LAM PUM</v>
      </c>
      <c r="I173" s="519">
        <f>'CHAM CONG'!G171</f>
        <v>0</v>
      </c>
      <c r="J173" s="519" t="str">
        <f>'CHAM CONG'!H171</f>
        <v>x</v>
      </c>
      <c r="K173" s="519" t="str">
        <f>'CHAM CONG'!I171</f>
        <v>x</v>
      </c>
      <c r="L173" s="519">
        <f>'CHAM CONG'!J171</f>
        <v>0</v>
      </c>
      <c r="M173" s="519" t="str">
        <f>'CHAM CONG'!K171</f>
        <v>x</v>
      </c>
      <c r="N173" s="519" t="str">
        <f>'CHAM CONG'!L171</f>
        <v>x</v>
      </c>
      <c r="O173" s="519">
        <f>'CHAM CONG'!M171</f>
        <v>0</v>
      </c>
      <c r="P173" s="519" t="str">
        <f>'CHAM CONG'!N171</f>
        <v>x</v>
      </c>
      <c r="Q173" s="519" t="str">
        <f>'CHAM CONG'!O171</f>
        <v>x</v>
      </c>
      <c r="R173" s="519" t="str">
        <f>'CHAM CONG'!P171</f>
        <v>x</v>
      </c>
      <c r="S173" s="519" t="str">
        <f>'CHAM CONG'!Q171</f>
        <v>x</v>
      </c>
      <c r="T173" s="519" t="str">
        <f>'CHAM CONG'!R171</f>
        <v>x</v>
      </c>
      <c r="U173" s="519" t="str">
        <f>'CHAM CONG'!S171</f>
        <v>x</v>
      </c>
      <c r="V173" s="519" t="str">
        <f>'CHAM CONG'!T171</f>
        <v>x</v>
      </c>
      <c r="W173" s="519" t="str">
        <f>'CHAM CONG'!U171</f>
        <v>x</v>
      </c>
      <c r="X173" s="519"/>
      <c r="Y173" s="519"/>
      <c r="Z173" s="738">
        <f t="shared" si="43"/>
        <v>12</v>
      </c>
      <c r="AA173" s="580">
        <f t="shared" si="44"/>
        <v>0</v>
      </c>
      <c r="AB173" s="580">
        <f t="shared" si="45"/>
        <v>192000</v>
      </c>
      <c r="AC173" s="580">
        <f>'CHAM CONG'!V171</f>
        <v>0</v>
      </c>
      <c r="AD173" s="580">
        <f>'CHAM CONG'!W171</f>
        <v>0</v>
      </c>
      <c r="AE173" s="580">
        <f>'CHAM CONG'!X171</f>
        <v>0</v>
      </c>
      <c r="AF173" s="738">
        <f t="shared" si="46"/>
        <v>0</v>
      </c>
      <c r="AG173" s="580">
        <f t="shared" si="47"/>
        <v>0</v>
      </c>
      <c r="AH173" s="580">
        <f t="shared" si="58"/>
        <v>12</v>
      </c>
      <c r="AI173" s="580">
        <f t="shared" si="48"/>
        <v>12000</v>
      </c>
      <c r="AJ173" s="580">
        <f t="shared" si="49"/>
        <v>204000</v>
      </c>
      <c r="AK173" s="429">
        <f>'SAN LUONG'!AF172</f>
        <v>265</v>
      </c>
      <c r="AL173" s="429">
        <f>'SAN LUONG'!AG172</f>
        <v>102</v>
      </c>
      <c r="AM173" s="429">
        <f>'SAN LUONG'!AH172</f>
        <v>221</v>
      </c>
      <c r="AN173" s="429">
        <f>'SAN LUONG'!AI172</f>
        <v>169</v>
      </c>
      <c r="AO173" s="746"/>
      <c r="AP173" s="746">
        <f t="shared" si="50"/>
        <v>0</v>
      </c>
      <c r="AQ173" s="746">
        <f t="shared" si="41"/>
        <v>757</v>
      </c>
      <c r="AR173" s="746">
        <f t="shared" si="51"/>
        <v>168205</v>
      </c>
      <c r="AS173" s="746"/>
      <c r="AT173" s="746">
        <f t="shared" si="52"/>
        <v>0</v>
      </c>
      <c r="AU173" s="747">
        <f>'SAN LUONG'!AU172</f>
        <v>0</v>
      </c>
      <c r="AV173" s="748">
        <f t="shared" si="53"/>
        <v>0</v>
      </c>
      <c r="AW173" s="757">
        <f t="shared" si="54"/>
        <v>0</v>
      </c>
      <c r="AX173" s="758">
        <f t="shared" si="55"/>
        <v>372205</v>
      </c>
      <c r="AY173" s="759"/>
      <c r="AZ173" s="759"/>
      <c r="BA173" s="759"/>
      <c r="BB173" s="760">
        <f t="shared" si="56"/>
        <v>372205</v>
      </c>
      <c r="BC173" s="763"/>
      <c r="BD173" s="639">
        <f t="shared" si="57"/>
        <v>11.65</v>
      </c>
      <c r="BE173" s="768"/>
      <c r="BF173" s="769"/>
    </row>
    <row r="174" spans="1:58" s="725" customFormat="1" ht="30" customHeight="1">
      <c r="A174" s="503">
        <v>165</v>
      </c>
      <c r="B174" s="504">
        <v>7</v>
      </c>
      <c r="C174" s="504">
        <v>290</v>
      </c>
      <c r="D174" s="728"/>
      <c r="E174" s="728"/>
      <c r="F174" s="728"/>
      <c r="G174" s="728" t="str">
        <f>'Tên Tháng 1'!E168</f>
        <v>ភ័ក្រ ធិ</v>
      </c>
      <c r="H174" s="728" t="str">
        <f>'Tên Tháng 1'!F168</f>
        <v>PHEAK THIK</v>
      </c>
      <c r="I174" s="519" t="str">
        <f>'CHAM CONG'!G172</f>
        <v>x</v>
      </c>
      <c r="J174" s="519">
        <f>'CHAM CONG'!H172</f>
        <v>0</v>
      </c>
      <c r="K174" s="519" t="str">
        <f>'CHAM CONG'!I172</f>
        <v>x</v>
      </c>
      <c r="L174" s="519">
        <f>'CHAM CONG'!J172</f>
        <v>0</v>
      </c>
      <c r="M174" s="519" t="str">
        <f>'CHAM CONG'!K172</f>
        <v>x</v>
      </c>
      <c r="N174" s="519" t="str">
        <f>'CHAM CONG'!L172</f>
        <v>x</v>
      </c>
      <c r="O174" s="519" t="str">
        <f>'CHAM CONG'!M172</f>
        <v>x</v>
      </c>
      <c r="P174" s="519" t="str">
        <f>'CHAM CONG'!N172</f>
        <v>x</v>
      </c>
      <c r="Q174" s="519">
        <f>'CHAM CONG'!O172</f>
        <v>0</v>
      </c>
      <c r="R174" s="519">
        <f>'CHAM CONG'!P172</f>
        <v>0</v>
      </c>
      <c r="S174" s="519" t="str">
        <f>'CHAM CONG'!Q172</f>
        <v>x</v>
      </c>
      <c r="T174" s="519" t="str">
        <f>'CHAM CONG'!R172</f>
        <v>x</v>
      </c>
      <c r="U174" s="519" t="str">
        <f>'CHAM CONG'!S172</f>
        <v>x</v>
      </c>
      <c r="V174" s="519" t="str">
        <f>'CHAM CONG'!T172</f>
        <v>x</v>
      </c>
      <c r="W174" s="519" t="str">
        <f>'CHAM CONG'!U172</f>
        <v>x</v>
      </c>
      <c r="X174" s="519"/>
      <c r="Y174" s="519"/>
      <c r="Z174" s="738">
        <f t="shared" si="43"/>
        <v>11</v>
      </c>
      <c r="AA174" s="580">
        <f t="shared" si="44"/>
        <v>0</v>
      </c>
      <c r="AB174" s="580">
        <f t="shared" si="45"/>
        <v>176000</v>
      </c>
      <c r="AC174" s="580">
        <f>'CHAM CONG'!V172</f>
        <v>0</v>
      </c>
      <c r="AD174" s="580">
        <f>'CHAM CONG'!W172</f>
        <v>0</v>
      </c>
      <c r="AE174" s="580">
        <f>'CHAM CONG'!X172</f>
        <v>0</v>
      </c>
      <c r="AF174" s="738">
        <f t="shared" si="46"/>
        <v>0</v>
      </c>
      <c r="AG174" s="580">
        <f t="shared" si="47"/>
        <v>0</v>
      </c>
      <c r="AH174" s="580">
        <f t="shared" si="58"/>
        <v>11</v>
      </c>
      <c r="AI174" s="580">
        <f t="shared" si="48"/>
        <v>11000</v>
      </c>
      <c r="AJ174" s="580">
        <f t="shared" si="49"/>
        <v>187000</v>
      </c>
      <c r="AK174" s="429">
        <f>'SAN LUONG'!AF173</f>
        <v>236</v>
      </c>
      <c r="AL174" s="429">
        <f>'SAN LUONG'!AG173</f>
        <v>304</v>
      </c>
      <c r="AM174" s="429">
        <f>'SAN LUONG'!AH173</f>
        <v>175</v>
      </c>
      <c r="AN174" s="429">
        <f>'SAN LUONG'!AI173</f>
        <v>291</v>
      </c>
      <c r="AO174" s="746"/>
      <c r="AP174" s="746">
        <f t="shared" si="50"/>
        <v>0</v>
      </c>
      <c r="AQ174" s="746">
        <f t="shared" si="41"/>
        <v>1006</v>
      </c>
      <c r="AR174" s="746">
        <f t="shared" si="51"/>
        <v>223533</v>
      </c>
      <c r="AS174" s="746"/>
      <c r="AT174" s="746">
        <f t="shared" si="52"/>
        <v>0</v>
      </c>
      <c r="AU174" s="747">
        <f>'SAN LUONG'!AU173</f>
        <v>0</v>
      </c>
      <c r="AV174" s="748">
        <f t="shared" si="53"/>
        <v>0</v>
      </c>
      <c r="AW174" s="757">
        <f t="shared" si="54"/>
        <v>0</v>
      </c>
      <c r="AX174" s="758">
        <f t="shared" si="55"/>
        <v>410533</v>
      </c>
      <c r="AY174" s="759"/>
      <c r="AZ174" s="759"/>
      <c r="BA174" s="759"/>
      <c r="BB174" s="760">
        <f t="shared" si="56"/>
        <v>410533</v>
      </c>
      <c r="BC174" s="763"/>
      <c r="BD174" s="639">
        <f t="shared" si="57"/>
        <v>12.85</v>
      </c>
      <c r="BE174" s="768"/>
      <c r="BF174" s="769"/>
    </row>
    <row r="175" spans="1:58" s="725" customFormat="1" ht="30" customHeight="1">
      <c r="A175" s="503">
        <v>166</v>
      </c>
      <c r="B175" s="504">
        <v>7</v>
      </c>
      <c r="C175" s="504">
        <v>291</v>
      </c>
      <c r="D175" s="728"/>
      <c r="E175" s="728"/>
      <c r="F175" s="728"/>
      <c r="G175" s="728" t="str">
        <f>'Tên Tháng 1'!E169</f>
        <v>ជុំ មី</v>
      </c>
      <c r="H175" s="728" t="str">
        <f>'Tên Tháng 1'!F169</f>
        <v>CHUM ME</v>
      </c>
      <c r="I175" s="519" t="str">
        <f>'CHAM CONG'!G173</f>
        <v>x</v>
      </c>
      <c r="J175" s="519" t="str">
        <f>'CHAM CONG'!H173</f>
        <v>x</v>
      </c>
      <c r="K175" s="519" t="str">
        <f>'CHAM CONG'!I173</f>
        <v>x</v>
      </c>
      <c r="L175" s="519">
        <f>'CHAM CONG'!J173</f>
        <v>0</v>
      </c>
      <c r="M175" s="519" t="str">
        <f>'CHAM CONG'!K173</f>
        <v>x</v>
      </c>
      <c r="N175" s="519">
        <f>'CHAM CONG'!L173</f>
        <v>0</v>
      </c>
      <c r="O175" s="519" t="str">
        <f>'CHAM CONG'!M173</f>
        <v>x</v>
      </c>
      <c r="P175" s="519" t="str">
        <f>'CHAM CONG'!N173</f>
        <v>x</v>
      </c>
      <c r="Q175" s="519" t="str">
        <f>'CHAM CONG'!O173</f>
        <v>x</v>
      </c>
      <c r="R175" s="519" t="str">
        <f>'CHAM CONG'!P173</f>
        <v>x</v>
      </c>
      <c r="S175" s="519" t="str">
        <f>'CHAM CONG'!Q173</f>
        <v>x</v>
      </c>
      <c r="T175" s="519" t="str">
        <f>'CHAM CONG'!R173</f>
        <v>x</v>
      </c>
      <c r="U175" s="519" t="str">
        <f>'CHAM CONG'!S173</f>
        <v>x</v>
      </c>
      <c r="V175" s="519" t="str">
        <f>'CHAM CONG'!T173</f>
        <v>x</v>
      </c>
      <c r="W175" s="519" t="str">
        <f>'CHAM CONG'!U173</f>
        <v>x</v>
      </c>
      <c r="X175" s="519"/>
      <c r="Y175" s="519"/>
      <c r="Z175" s="738">
        <f t="shared" si="43"/>
        <v>13</v>
      </c>
      <c r="AA175" s="580">
        <f t="shared" si="44"/>
        <v>0</v>
      </c>
      <c r="AB175" s="580">
        <f t="shared" si="45"/>
        <v>208000</v>
      </c>
      <c r="AC175" s="580">
        <f>'CHAM CONG'!V173</f>
        <v>0</v>
      </c>
      <c r="AD175" s="580">
        <f>'CHAM CONG'!W173</f>
        <v>0</v>
      </c>
      <c r="AE175" s="580">
        <f>'CHAM CONG'!X173</f>
        <v>0</v>
      </c>
      <c r="AF175" s="738">
        <f t="shared" si="46"/>
        <v>0</v>
      </c>
      <c r="AG175" s="580">
        <f t="shared" si="47"/>
        <v>0</v>
      </c>
      <c r="AH175" s="580">
        <f t="shared" si="58"/>
        <v>13</v>
      </c>
      <c r="AI175" s="580">
        <f t="shared" si="48"/>
        <v>13000</v>
      </c>
      <c r="AJ175" s="580">
        <f t="shared" si="49"/>
        <v>221000</v>
      </c>
      <c r="AK175" s="429">
        <f>'SAN LUONG'!AF174</f>
        <v>138</v>
      </c>
      <c r="AL175" s="429">
        <f>'SAN LUONG'!AG174</f>
        <v>188</v>
      </c>
      <c r="AM175" s="429">
        <f>'SAN LUONG'!AH174</f>
        <v>107</v>
      </c>
      <c r="AN175" s="429">
        <f>'SAN LUONG'!AI174</f>
        <v>216</v>
      </c>
      <c r="AO175" s="746"/>
      <c r="AP175" s="746">
        <f t="shared" si="50"/>
        <v>0</v>
      </c>
      <c r="AQ175" s="746">
        <f t="shared" si="41"/>
        <v>649</v>
      </c>
      <c r="AR175" s="746">
        <f t="shared" si="51"/>
        <v>144208</v>
      </c>
      <c r="AS175" s="746"/>
      <c r="AT175" s="746">
        <f t="shared" si="52"/>
        <v>0</v>
      </c>
      <c r="AU175" s="747">
        <f>'SAN LUONG'!AU174</f>
        <v>0</v>
      </c>
      <c r="AV175" s="748">
        <f t="shared" si="53"/>
        <v>0</v>
      </c>
      <c r="AW175" s="757">
        <f t="shared" si="54"/>
        <v>0</v>
      </c>
      <c r="AX175" s="758">
        <f t="shared" si="55"/>
        <v>365208</v>
      </c>
      <c r="AY175" s="759"/>
      <c r="AZ175" s="759"/>
      <c r="BA175" s="759"/>
      <c r="BB175" s="760">
        <f t="shared" si="56"/>
        <v>365208</v>
      </c>
      <c r="BC175" s="763"/>
      <c r="BD175" s="639">
        <f t="shared" si="57"/>
        <v>11.43</v>
      </c>
      <c r="BE175" s="768"/>
      <c r="BF175" s="769"/>
    </row>
    <row r="176" spans="1:58" s="725" customFormat="1" ht="30" customHeight="1">
      <c r="A176" s="503">
        <v>167</v>
      </c>
      <c r="B176" s="504">
        <v>7</v>
      </c>
      <c r="C176" s="504">
        <v>292</v>
      </c>
      <c r="D176" s="728"/>
      <c r="E176" s="728"/>
      <c r="F176" s="728"/>
      <c r="G176" s="728" t="str">
        <f>'Tên Tháng 1'!E170</f>
        <v>សៀក សិទ្ធ</v>
      </c>
      <c r="H176" s="728" t="str">
        <f>'Tên Tháng 1'!F170</f>
        <v>SIEK SITH</v>
      </c>
      <c r="I176" s="519">
        <f>'CHAM CONG'!G174</f>
        <v>0</v>
      </c>
      <c r="J176" s="519" t="str">
        <f>'CHAM CONG'!H174</f>
        <v>x</v>
      </c>
      <c r="K176" s="519" t="str">
        <f>'CHAM CONG'!I174</f>
        <v>x</v>
      </c>
      <c r="L176" s="519">
        <f>'CHAM CONG'!J174</f>
        <v>0</v>
      </c>
      <c r="M176" s="519" t="str">
        <f>'CHAM CONG'!K174</f>
        <v>x</v>
      </c>
      <c r="N176" s="519" t="str">
        <f>'CHAM CONG'!L174</f>
        <v>x</v>
      </c>
      <c r="O176" s="519" t="str">
        <f>'CHAM CONG'!M174</f>
        <v>x</v>
      </c>
      <c r="P176" s="519" t="str">
        <f>'CHAM CONG'!N174</f>
        <v>x</v>
      </c>
      <c r="Q176" s="519">
        <f>'CHAM CONG'!O174</f>
        <v>0</v>
      </c>
      <c r="R176" s="519" t="str">
        <f>'CHAM CONG'!P174</f>
        <v>x</v>
      </c>
      <c r="S176" s="519" t="str">
        <f>'CHAM CONG'!Q174</f>
        <v>x</v>
      </c>
      <c r="T176" s="519" t="str">
        <f>'CHAM CONG'!R174</f>
        <v>x</v>
      </c>
      <c r="U176" s="519" t="str">
        <f>'CHAM CONG'!S174</f>
        <v>x</v>
      </c>
      <c r="V176" s="519" t="str">
        <f>'CHAM CONG'!T174</f>
        <v>x</v>
      </c>
      <c r="W176" s="519" t="str">
        <f>'CHAM CONG'!U174</f>
        <v>x</v>
      </c>
      <c r="X176" s="519"/>
      <c r="Y176" s="519"/>
      <c r="Z176" s="738">
        <f t="shared" si="43"/>
        <v>12</v>
      </c>
      <c r="AA176" s="580">
        <f t="shared" si="44"/>
        <v>0</v>
      </c>
      <c r="AB176" s="580">
        <f t="shared" si="45"/>
        <v>192000</v>
      </c>
      <c r="AC176" s="580">
        <f>'CHAM CONG'!V174</f>
        <v>0</v>
      </c>
      <c r="AD176" s="580">
        <f>'CHAM CONG'!W174</f>
        <v>0</v>
      </c>
      <c r="AE176" s="580">
        <f>'CHAM CONG'!X174</f>
        <v>0</v>
      </c>
      <c r="AF176" s="738">
        <f t="shared" si="46"/>
        <v>0</v>
      </c>
      <c r="AG176" s="580">
        <f t="shared" si="47"/>
        <v>0</v>
      </c>
      <c r="AH176" s="580">
        <f t="shared" si="58"/>
        <v>12</v>
      </c>
      <c r="AI176" s="580">
        <f t="shared" si="48"/>
        <v>12000</v>
      </c>
      <c r="AJ176" s="580">
        <f t="shared" si="49"/>
        <v>204000</v>
      </c>
      <c r="AK176" s="429">
        <f>'SAN LUONG'!AF175</f>
        <v>169</v>
      </c>
      <c r="AL176" s="429">
        <f>'SAN LUONG'!AG175</f>
        <v>115</v>
      </c>
      <c r="AM176" s="429">
        <f>'SAN LUONG'!AH175</f>
        <v>211</v>
      </c>
      <c r="AN176" s="429">
        <f>'SAN LUONG'!AI175</f>
        <v>175</v>
      </c>
      <c r="AO176" s="746"/>
      <c r="AP176" s="746">
        <f t="shared" si="50"/>
        <v>0</v>
      </c>
      <c r="AQ176" s="746">
        <f t="shared" si="41"/>
        <v>670</v>
      </c>
      <c r="AR176" s="746">
        <f t="shared" si="51"/>
        <v>148874</v>
      </c>
      <c r="AS176" s="746"/>
      <c r="AT176" s="746">
        <f t="shared" si="52"/>
        <v>0</v>
      </c>
      <c r="AU176" s="747">
        <f>'SAN LUONG'!AU175</f>
        <v>0</v>
      </c>
      <c r="AV176" s="748">
        <f t="shared" si="53"/>
        <v>0</v>
      </c>
      <c r="AW176" s="757">
        <f t="shared" si="54"/>
        <v>0</v>
      </c>
      <c r="AX176" s="758">
        <f t="shared" si="55"/>
        <v>352874</v>
      </c>
      <c r="AY176" s="759"/>
      <c r="AZ176" s="759"/>
      <c r="BA176" s="759"/>
      <c r="BB176" s="760">
        <f t="shared" si="56"/>
        <v>352874</v>
      </c>
      <c r="BC176" s="764">
        <f>SUM(BB135:BB176)</f>
        <v>15798514</v>
      </c>
      <c r="BD176" s="639">
        <f t="shared" si="57"/>
        <v>11.05</v>
      </c>
      <c r="BE176" s="768"/>
      <c r="BF176" s="769"/>
    </row>
    <row r="177" spans="1:58" s="608" customFormat="1" ht="15.75" customHeight="1">
      <c r="A177" s="640"/>
      <c r="B177" s="641"/>
      <c r="C177" s="641"/>
      <c r="D177" s="641"/>
      <c r="E177" s="641"/>
      <c r="F177" s="712"/>
      <c r="G177" s="770"/>
      <c r="H177" s="771"/>
      <c r="I177" s="652"/>
      <c r="J177" s="652"/>
      <c r="K177" s="652"/>
      <c r="L177" s="652"/>
      <c r="M177" s="653"/>
      <c r="N177" s="653"/>
      <c r="O177" s="653"/>
      <c r="P177" s="652"/>
      <c r="Q177" s="652"/>
      <c r="R177" s="652"/>
      <c r="S177" s="652"/>
      <c r="T177" s="652"/>
      <c r="U177" s="652"/>
      <c r="V177" s="652"/>
      <c r="W177" s="652"/>
      <c r="X177" s="652"/>
      <c r="Y177" s="652"/>
      <c r="Z177" s="774"/>
      <c r="AA177" s="775"/>
      <c r="AB177" s="776"/>
      <c r="AC177" s="776"/>
      <c r="AD177" s="776"/>
      <c r="AE177" s="776"/>
      <c r="AF177" s="776"/>
      <c r="AG177" s="776"/>
      <c r="AH177" s="776"/>
      <c r="AI177" s="776"/>
      <c r="AJ177" s="776"/>
      <c r="AK177" s="661"/>
      <c r="AL177" s="661"/>
      <c r="AM177" s="661"/>
      <c r="AN177" s="661"/>
      <c r="AO177" s="781"/>
      <c r="AP177" s="781"/>
      <c r="AQ177" s="781"/>
      <c r="AR177" s="781"/>
      <c r="AS177" s="781"/>
      <c r="AT177" s="662"/>
      <c r="AU177" s="668"/>
      <c r="AV177" s="668"/>
      <c r="AW177" s="668"/>
      <c r="AX177" s="669"/>
      <c r="AY177" s="668"/>
      <c r="AZ177" s="668"/>
      <c r="BA177" s="668"/>
      <c r="BB177" s="662"/>
      <c r="BC177" s="784"/>
      <c r="BD177" s="677"/>
    </row>
    <row r="178" spans="1:58" s="384" customFormat="1" ht="39.6" customHeight="1">
      <c r="A178" s="1361" t="s">
        <v>1432</v>
      </c>
      <c r="B178" s="1362"/>
      <c r="C178" s="1362"/>
      <c r="D178" s="1362"/>
      <c r="E178" s="1362"/>
      <c r="F178" s="1362"/>
      <c r="G178" s="1362"/>
      <c r="H178" s="1363"/>
      <c r="I178" s="772">
        <f t="shared" ref="I178:Y178" si="59">COUNTIF(I10:I176,"x")</f>
        <v>117</v>
      </c>
      <c r="J178" s="772">
        <f t="shared" si="59"/>
        <v>145</v>
      </c>
      <c r="K178" s="772">
        <f t="shared" si="59"/>
        <v>163</v>
      </c>
      <c r="L178" s="772">
        <f t="shared" si="59"/>
        <v>58</v>
      </c>
      <c r="M178" s="773">
        <f t="shared" si="59"/>
        <v>153</v>
      </c>
      <c r="N178" s="773">
        <f t="shared" si="59"/>
        <v>150</v>
      </c>
      <c r="O178" s="773">
        <f t="shared" si="59"/>
        <v>146</v>
      </c>
      <c r="P178" s="772">
        <f t="shared" si="59"/>
        <v>150</v>
      </c>
      <c r="Q178" s="772">
        <f t="shared" si="59"/>
        <v>154</v>
      </c>
      <c r="R178" s="772">
        <f t="shared" si="59"/>
        <v>156</v>
      </c>
      <c r="S178" s="772">
        <f t="shared" si="59"/>
        <v>158</v>
      </c>
      <c r="T178" s="772">
        <f t="shared" si="59"/>
        <v>162</v>
      </c>
      <c r="U178" s="772">
        <f t="shared" si="59"/>
        <v>158</v>
      </c>
      <c r="V178" s="772">
        <f t="shared" si="59"/>
        <v>161</v>
      </c>
      <c r="W178" s="772">
        <f t="shared" si="59"/>
        <v>164</v>
      </c>
      <c r="X178" s="772">
        <f t="shared" si="59"/>
        <v>0</v>
      </c>
      <c r="Y178" s="772">
        <f t="shared" si="59"/>
        <v>0</v>
      </c>
      <c r="Z178" s="777">
        <f>SUM(Z10:Z176)</f>
        <v>2195</v>
      </c>
      <c r="AA178" s="778">
        <f t="shared" ref="AA178:AT178" si="60">SUM(AA10:AA176)</f>
        <v>0</v>
      </c>
      <c r="AB178" s="777">
        <f t="shared" si="60"/>
        <v>35120000</v>
      </c>
      <c r="AC178" s="779">
        <f>COUNTIF(AC10:AC176,"x")</f>
        <v>8</v>
      </c>
      <c r="AD178" s="779">
        <f>COUNTIF(AD10:AD176,"x")</f>
        <v>77</v>
      </c>
      <c r="AE178" s="779">
        <f>COUNTIF(AE10:AE176,"x")</f>
        <v>6</v>
      </c>
      <c r="AF178" s="777">
        <f t="shared" si="60"/>
        <v>91</v>
      </c>
      <c r="AG178" s="777">
        <f t="shared" si="60"/>
        <v>1547000</v>
      </c>
      <c r="AH178" s="777">
        <f t="shared" si="60"/>
        <v>2195</v>
      </c>
      <c r="AI178" s="777">
        <f t="shared" si="60"/>
        <v>2195000</v>
      </c>
      <c r="AJ178" s="777">
        <f t="shared" si="60"/>
        <v>38862000</v>
      </c>
      <c r="AK178" s="778">
        <f t="shared" si="60"/>
        <v>47406</v>
      </c>
      <c r="AL178" s="778">
        <f t="shared" si="60"/>
        <v>53256</v>
      </c>
      <c r="AM178" s="778">
        <f t="shared" si="60"/>
        <v>50660</v>
      </c>
      <c r="AN178" s="778">
        <f t="shared" si="60"/>
        <v>31386</v>
      </c>
      <c r="AO178" s="782">
        <f t="shared" si="60"/>
        <v>48462</v>
      </c>
      <c r="AP178" s="782">
        <f t="shared" si="60"/>
        <v>11834420</v>
      </c>
      <c r="AQ178" s="782">
        <f t="shared" si="60"/>
        <v>31852</v>
      </c>
      <c r="AR178" s="782">
        <f t="shared" si="60"/>
        <v>7077514</v>
      </c>
      <c r="AS178" s="782">
        <f t="shared" si="60"/>
        <v>102394</v>
      </c>
      <c r="AT178" s="782">
        <f t="shared" si="60"/>
        <v>20499279</v>
      </c>
      <c r="AU178" s="783">
        <f t="shared" ref="AU178:BB178" si="61">SUM(AU10:AU176)</f>
        <v>0</v>
      </c>
      <c r="AV178" s="783">
        <f t="shared" si="61"/>
        <v>0</v>
      </c>
      <c r="AW178" s="778">
        <f t="shared" si="61"/>
        <v>0</v>
      </c>
      <c r="AX178" s="782">
        <f t="shared" si="61"/>
        <v>78273213</v>
      </c>
      <c r="AY178" s="778">
        <f t="shared" si="61"/>
        <v>0</v>
      </c>
      <c r="AZ178" s="778">
        <f t="shared" si="61"/>
        <v>0</v>
      </c>
      <c r="BA178" s="778">
        <f t="shared" si="61"/>
        <v>0</v>
      </c>
      <c r="BB178" s="785">
        <f t="shared" si="61"/>
        <v>78273213</v>
      </c>
      <c r="BC178" s="786">
        <f>BC176+BC134+BC95+BC56</f>
        <v>78273213</v>
      </c>
      <c r="BD178" s="787">
        <f>SUM(BD10:BD176)</f>
        <v>2450.1499999999987</v>
      </c>
      <c r="BE178" s="788">
        <f>SUM(BE10:BE176)</f>
        <v>0</v>
      </c>
      <c r="BF178" s="789"/>
    </row>
    <row r="179" spans="1:58" ht="18.75" customHeight="1"/>
    <row r="180" spans="1:58" ht="22.2" customHeight="1">
      <c r="AU180" s="308"/>
      <c r="AV180" s="308"/>
      <c r="AW180" s="308"/>
      <c r="AX180" s="543"/>
      <c r="AY180" s="308"/>
      <c r="AZ180" s="308"/>
      <c r="BA180" s="308"/>
      <c r="BB180" s="1343"/>
      <c r="BC180" s="1343"/>
      <c r="BD180" s="723">
        <f>BB178/31947</f>
        <v>2450.0958775471877</v>
      </c>
    </row>
    <row r="181" spans="1:58">
      <c r="AU181" s="308"/>
      <c r="AV181" s="308"/>
      <c r="AW181" s="308"/>
      <c r="AX181" s="543"/>
      <c r="AY181" s="308"/>
      <c r="AZ181" s="308"/>
      <c r="BA181" s="308"/>
      <c r="BB181" s="1342"/>
      <c r="BC181" s="1342"/>
      <c r="BD181" s="631"/>
    </row>
    <row r="182" spans="1:58">
      <c r="H182" s="573"/>
      <c r="I182" s="308"/>
      <c r="J182" s="308"/>
      <c r="K182" s="308"/>
      <c r="L182" s="308"/>
      <c r="M182" s="127"/>
      <c r="N182" s="127"/>
      <c r="O182" s="127"/>
      <c r="P182" s="308"/>
      <c r="Q182" s="308"/>
      <c r="R182" s="308"/>
      <c r="S182" s="308"/>
      <c r="T182" s="308"/>
      <c r="U182" s="308"/>
      <c r="V182" s="308"/>
      <c r="W182" s="308"/>
      <c r="X182" s="308"/>
      <c r="Y182" s="308"/>
      <c r="Z182" s="586"/>
      <c r="AA182" s="586"/>
      <c r="AB182" s="780"/>
      <c r="AC182" s="780"/>
      <c r="AD182" s="780"/>
      <c r="AE182" s="780"/>
      <c r="AF182" s="637"/>
      <c r="AG182" s="780"/>
      <c r="AH182" s="780"/>
      <c r="AI182" s="637"/>
      <c r="AJ182" s="780"/>
      <c r="AU182" s="308"/>
      <c r="AV182" s="308"/>
      <c r="AW182" s="308"/>
      <c r="AX182" s="543"/>
      <c r="AY182" s="308"/>
      <c r="AZ182" s="308"/>
      <c r="BA182" s="308"/>
      <c r="BB182" s="543"/>
      <c r="BC182" s="308"/>
      <c r="BD182" s="586"/>
    </row>
    <row r="187" spans="1:58">
      <c r="BB187" s="543"/>
      <c r="BC187" s="308"/>
      <c r="BD187" s="586"/>
    </row>
    <row r="188" spans="1:58"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BB188" s="1342"/>
      <c r="BC188" s="1342"/>
      <c r="BD188" s="631"/>
    </row>
    <row r="189" spans="1:58"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</row>
    <row r="190" spans="1:58">
      <c r="L190" s="1345"/>
      <c r="M190" s="1345"/>
    </row>
    <row r="191" spans="1:58">
      <c r="L191" s="1345"/>
      <c r="M191" s="1343"/>
    </row>
    <row r="192" spans="1:58">
      <c r="L192" s="1364"/>
      <c r="M192" s="1365"/>
    </row>
    <row r="195" ht="15" customHeight="1"/>
  </sheetData>
  <mergeCells count="33">
    <mergeCell ref="L192:M192"/>
    <mergeCell ref="A6:A7"/>
    <mergeCell ref="B6:B7"/>
    <mergeCell ref="C6:C7"/>
    <mergeCell ref="D6:D7"/>
    <mergeCell ref="E6:E7"/>
    <mergeCell ref="F6:F7"/>
    <mergeCell ref="G6:G7"/>
    <mergeCell ref="H6:H7"/>
    <mergeCell ref="A178:H178"/>
    <mergeCell ref="BB180:BC180"/>
    <mergeCell ref="BB181:BC181"/>
    <mergeCell ref="BB188:BC188"/>
    <mergeCell ref="L190:M190"/>
    <mergeCell ref="AJ6:AJ7"/>
    <mergeCell ref="AX6:AX7"/>
    <mergeCell ref="BB6:BB7"/>
    <mergeCell ref="L191:M191"/>
    <mergeCell ref="A4:BC4"/>
    <mergeCell ref="A5:BC5"/>
    <mergeCell ref="AF6:AG6"/>
    <mergeCell ref="AH6:AI6"/>
    <mergeCell ref="AK6:AT6"/>
    <mergeCell ref="AU6:AW6"/>
    <mergeCell ref="AY6:AZ6"/>
    <mergeCell ref="Z6:Z7"/>
    <mergeCell ref="AB6:AB7"/>
    <mergeCell ref="A1:P1"/>
    <mergeCell ref="BB1:BC1"/>
    <mergeCell ref="A2:P2"/>
    <mergeCell ref="BB2:BC2"/>
    <mergeCell ref="A3:P3"/>
    <mergeCell ref="BB3:BC3"/>
  </mergeCells>
  <conditionalFormatting sqref="G6:G7">
    <cfRule type="duplicateValues" dxfId="88" priority="3" stopIfTrue="1"/>
    <cfRule type="duplicateValues" dxfId="87" priority="4" stopIfTrue="1"/>
    <cfRule type="duplicateValues" dxfId="86" priority="5" stopIfTrue="1"/>
    <cfRule type="duplicateValues" dxfId="80" priority="6" stopIfTrue="1"/>
    <cfRule type="duplicateValues" dxfId="79" priority="7" stopIfTrue="1"/>
  </conditionalFormatting>
  <conditionalFormatting sqref="H1:H1048576">
    <cfRule type="duplicateValues" dxfId="85" priority="1" stopIfTrue="1"/>
  </conditionalFormatting>
  <conditionalFormatting sqref="H6:H7">
    <cfRule type="duplicateValues" dxfId="84" priority="8" stopIfTrue="1"/>
    <cfRule type="duplicateValues" dxfId="83" priority="9" stopIfTrue="1"/>
    <cfRule type="duplicateValues" dxfId="82" priority="10" stopIfTrue="1"/>
    <cfRule type="duplicateValues" dxfId="78" priority="11" stopIfTrue="1"/>
    <cfRule type="duplicateValues" dxfId="77" priority="12" stopIfTrue="1"/>
  </conditionalFormatting>
  <conditionalFormatting sqref="D10:H176">
    <cfRule type="duplicateValues" dxfId="81" priority="49335" stopIfTrue="1"/>
  </conditionalFormatting>
  <printOptions horizontalCentered="1"/>
  <pageMargins left="0.23999999999999996" right="0.23999999999999996" top="0.31" bottom="0.23999999999999996" header="0" footer="0"/>
  <pageSetup paperSize="9" scale="70" orientation="landscape" r:id="rId1"/>
  <headerFooter>
    <oddFooter>Page &amp;P of &amp;N</oddFooter>
  </headerFooter>
  <colBreaks count="1" manualBreakCount="1">
    <brk id="55" max="58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4002-1193-40B3-BDA7-40A70C1DE19F}">
  <sheetPr>
    <tabColor rgb="FFFFFF00"/>
  </sheetPr>
  <dimension ref="A1:BA158"/>
  <sheetViews>
    <sheetView view="pageBreakPreview" topLeftCell="B5" zoomScale="70" zoomScaleNormal="60" workbookViewId="0">
      <pane xSplit="5" ySplit="4" topLeftCell="AH105" activePane="bottomRight" state="frozen"/>
      <selection pane="topRight" activeCell="B5" sqref="B5"/>
      <selection pane="bottomLeft" activeCell="B5" sqref="B5"/>
      <selection pane="bottomRight" activeCell="D495" sqref="D495"/>
    </sheetView>
  </sheetViews>
  <sheetFormatPr defaultColWidth="8.69921875" defaultRowHeight="15.6"/>
  <cols>
    <col min="1" max="1" width="7.69921875" style="281" hidden="1" customWidth="1"/>
    <col min="2" max="2" width="7" style="281" customWidth="1"/>
    <col min="3" max="3" width="8.5" style="281" customWidth="1"/>
    <col min="4" max="5" width="18" style="281" hidden="1" customWidth="1"/>
    <col min="6" max="6" width="18" style="685" hidden="1" customWidth="1"/>
    <col min="7" max="7" width="16.69921875" style="485" customWidth="1"/>
    <col min="8" max="8" width="19.69921875" style="486" customWidth="1"/>
    <col min="9" max="12" width="5.8984375" style="281" customWidth="1"/>
    <col min="13" max="15" width="5.8984375" style="130" customWidth="1"/>
    <col min="16" max="23" width="5.8984375" style="281" customWidth="1"/>
    <col min="24" max="25" width="4.3984375" style="281" hidden="1" customWidth="1"/>
    <col min="26" max="26" width="10.5" style="488" customWidth="1"/>
    <col min="27" max="27" width="9.5" style="488" hidden="1" customWidth="1"/>
    <col min="28" max="28" width="16.19921875" style="489" customWidth="1"/>
    <col min="29" max="30" width="8.59765625" style="489" customWidth="1"/>
    <col min="31" max="31" width="9.8984375" style="281" customWidth="1"/>
    <col min="32" max="32" width="14.5" style="489" customWidth="1"/>
    <col min="33" max="33" width="12" style="489" customWidth="1"/>
    <col min="34" max="34" width="15.59765625" style="281" customWidth="1"/>
    <col min="35" max="35" width="16.19921875" style="489" customWidth="1"/>
    <col min="36" max="38" width="11.5" style="490" customWidth="1"/>
    <col min="39" max="39" width="13.5" style="492" customWidth="1"/>
    <col min="40" max="40" width="16" style="492" hidden="1" customWidth="1"/>
    <col min="41" max="41" width="21.69921875" style="492" hidden="1" customWidth="1"/>
    <col min="42" max="42" width="17.19921875" style="492" customWidth="1"/>
    <col min="43" max="43" width="15.3984375" style="492" customWidth="1"/>
    <col min="44" max="44" width="17.8984375" style="490" customWidth="1"/>
    <col min="45" max="45" width="21.59765625" style="490" customWidth="1"/>
    <col min="46" max="46" width="10.59765625" style="490" hidden="1" customWidth="1"/>
    <col min="47" max="48" width="16.59765625" style="490" hidden="1" customWidth="1"/>
    <col min="49" max="49" width="20.3984375" style="490" hidden="1" customWidth="1"/>
    <col min="50" max="50" width="22.5" style="492" customWidth="1"/>
    <col min="51" max="51" width="26.8984375" style="489" customWidth="1"/>
    <col min="52" max="52" width="11.19921875" style="488" bestFit="1" customWidth="1"/>
    <col min="53" max="53" width="20.3984375" style="281" bestFit="1" customWidth="1"/>
    <col min="54" max="16384" width="8.69921875" style="281"/>
  </cols>
  <sheetData>
    <row r="1" spans="1:53" ht="24.9" customHeight="1">
      <c r="A1" s="1342" t="s">
        <v>1402</v>
      </c>
      <c r="B1" s="1342"/>
      <c r="C1" s="1342"/>
      <c r="D1" s="1342"/>
      <c r="E1" s="1342"/>
      <c r="F1" s="1342"/>
      <c r="G1" s="1342"/>
      <c r="H1" s="1342"/>
      <c r="I1" s="1342"/>
      <c r="J1" s="1342"/>
      <c r="K1" s="1342"/>
      <c r="L1" s="1342"/>
      <c r="M1" s="1342"/>
      <c r="N1" s="1342"/>
      <c r="O1" s="1342"/>
      <c r="P1" s="1342"/>
      <c r="Q1" s="308"/>
      <c r="R1" s="308"/>
      <c r="S1" s="308"/>
      <c r="T1" s="308"/>
      <c r="U1" s="308"/>
      <c r="AJ1" s="308"/>
      <c r="AK1" s="308"/>
      <c r="AL1" s="308"/>
      <c r="AM1" s="543"/>
      <c r="AN1" s="543"/>
      <c r="AO1" s="543"/>
      <c r="AP1" s="543"/>
      <c r="AQ1" s="543"/>
      <c r="AR1" s="308"/>
      <c r="AS1" s="308"/>
      <c r="AT1" s="308"/>
      <c r="AU1" s="308"/>
      <c r="AV1" s="308"/>
      <c r="AW1" s="308"/>
      <c r="AX1" s="1342"/>
      <c r="AY1" s="1342"/>
      <c r="AZ1" s="631"/>
    </row>
    <row r="2" spans="1:53" ht="24.9" customHeight="1">
      <c r="A2" s="1342" t="s">
        <v>1403</v>
      </c>
      <c r="B2" s="1342"/>
      <c r="C2" s="1342"/>
      <c r="D2" s="1342"/>
      <c r="E2" s="1342"/>
      <c r="F2" s="1342"/>
      <c r="G2" s="1342"/>
      <c r="H2" s="1342"/>
      <c r="I2" s="1342"/>
      <c r="J2" s="1342"/>
      <c r="K2" s="1342"/>
      <c r="L2" s="1342"/>
      <c r="M2" s="1342"/>
      <c r="N2" s="1342"/>
      <c r="O2" s="1342"/>
      <c r="P2" s="1342"/>
      <c r="Q2" s="520"/>
      <c r="R2" s="520"/>
      <c r="S2" s="520"/>
      <c r="T2" s="520"/>
      <c r="U2" s="520"/>
      <c r="AA2" s="132"/>
      <c r="AJ2" s="538"/>
      <c r="AK2" s="538"/>
      <c r="AL2" s="538"/>
      <c r="AM2" s="544"/>
      <c r="AN2" s="544"/>
      <c r="AO2" s="544"/>
      <c r="AP2" s="544"/>
      <c r="AQ2" s="544"/>
      <c r="AR2" s="538"/>
      <c r="AS2" s="538"/>
      <c r="AT2" s="538"/>
      <c r="AU2" s="538"/>
      <c r="AV2" s="538"/>
      <c r="AW2" s="538"/>
      <c r="AX2" s="1343"/>
      <c r="AY2" s="1343"/>
      <c r="AZ2" s="632"/>
    </row>
    <row r="3" spans="1:53" ht="24.9" customHeight="1">
      <c r="A3" s="1344" t="s">
        <v>1404</v>
      </c>
      <c r="B3" s="1344"/>
      <c r="C3" s="1344"/>
      <c r="D3" s="1344"/>
      <c r="E3" s="1344"/>
      <c r="F3" s="1344"/>
      <c r="G3" s="1344"/>
      <c r="H3" s="1344"/>
      <c r="I3" s="1344"/>
      <c r="J3" s="1344"/>
      <c r="K3" s="1344"/>
      <c r="L3" s="1344"/>
      <c r="M3" s="1344"/>
      <c r="N3" s="1344"/>
      <c r="O3" s="1344"/>
      <c r="P3" s="1344"/>
      <c r="AJ3" s="520"/>
      <c r="AK3" s="701"/>
      <c r="AL3" s="520"/>
      <c r="AM3" s="545"/>
      <c r="AN3" s="545"/>
      <c r="AO3" s="545"/>
      <c r="AP3" s="545"/>
      <c r="AQ3" s="545"/>
      <c r="AR3" s="520"/>
      <c r="AS3" s="520"/>
      <c r="AT3" s="520"/>
      <c r="AU3" s="520"/>
      <c r="AV3" s="520"/>
      <c r="AW3" s="520"/>
      <c r="AX3" s="1344"/>
      <c r="AY3" s="1344"/>
      <c r="AZ3" s="633"/>
    </row>
    <row r="4" spans="1:53" ht="24.9" customHeight="1">
      <c r="A4" s="1342" t="s">
        <v>1405</v>
      </c>
      <c r="B4" s="1342"/>
      <c r="C4" s="1342"/>
      <c r="D4" s="1342"/>
      <c r="E4" s="1342"/>
      <c r="F4" s="1342"/>
      <c r="G4" s="1342"/>
      <c r="H4" s="1342"/>
      <c r="I4" s="1342"/>
      <c r="J4" s="1342"/>
      <c r="K4" s="1342"/>
      <c r="L4" s="1342"/>
      <c r="M4" s="1342"/>
      <c r="N4" s="1342"/>
      <c r="O4" s="1342"/>
      <c r="P4" s="1342"/>
      <c r="Q4" s="1342"/>
      <c r="R4" s="1342"/>
      <c r="S4" s="1342"/>
      <c r="T4" s="1342"/>
      <c r="U4" s="1342"/>
      <c r="V4" s="1342"/>
      <c r="W4" s="1342"/>
      <c r="X4" s="1342"/>
      <c r="Y4" s="1342"/>
      <c r="Z4" s="1342"/>
      <c r="AA4" s="1342"/>
      <c r="AB4" s="1342"/>
      <c r="AC4" s="1342"/>
      <c r="AD4" s="1342"/>
      <c r="AE4" s="1342"/>
      <c r="AF4" s="1342"/>
      <c r="AG4" s="1342"/>
      <c r="AH4" s="1342"/>
      <c r="AI4" s="1342"/>
      <c r="AJ4" s="1342"/>
      <c r="AK4" s="1342"/>
      <c r="AL4" s="1342"/>
      <c r="AM4" s="1342"/>
      <c r="AN4" s="1342"/>
      <c r="AO4" s="1342"/>
      <c r="AP4" s="1342"/>
      <c r="AQ4" s="1342"/>
      <c r="AR4" s="1342"/>
      <c r="AS4" s="1342"/>
      <c r="AT4" s="1342"/>
      <c r="AU4" s="1342"/>
      <c r="AV4" s="1342"/>
      <c r="AW4" s="1342"/>
      <c r="AX4" s="1342"/>
      <c r="AY4" s="1342"/>
      <c r="AZ4" s="631"/>
      <c r="BA4" s="283"/>
    </row>
    <row r="5" spans="1:53" ht="24.9" customHeight="1">
      <c r="A5" s="1346" t="s">
        <v>1406</v>
      </c>
      <c r="B5" s="1346"/>
      <c r="C5" s="1346"/>
      <c r="D5" s="1346"/>
      <c r="E5" s="1346"/>
      <c r="F5" s="1346"/>
      <c r="G5" s="1346"/>
      <c r="H5" s="1346"/>
      <c r="I5" s="1346"/>
      <c r="J5" s="1346"/>
      <c r="K5" s="1346"/>
      <c r="L5" s="1346"/>
      <c r="M5" s="1346"/>
      <c r="N5" s="1346"/>
      <c r="O5" s="1346"/>
      <c r="P5" s="1346"/>
      <c r="Q5" s="1346"/>
      <c r="R5" s="1346"/>
      <c r="S5" s="1346"/>
      <c r="T5" s="1346"/>
      <c r="U5" s="1346"/>
      <c r="V5" s="1346"/>
      <c r="W5" s="1346"/>
      <c r="X5" s="1346"/>
      <c r="Y5" s="1346"/>
      <c r="Z5" s="1346"/>
      <c r="AA5" s="1346"/>
      <c r="AB5" s="1346"/>
      <c r="AC5" s="1346"/>
      <c r="AD5" s="1346"/>
      <c r="AE5" s="1346"/>
      <c r="AF5" s="1346"/>
      <c r="AG5" s="1346"/>
      <c r="AH5" s="1346"/>
      <c r="AI5" s="1346"/>
      <c r="AJ5" s="1346"/>
      <c r="AK5" s="1346"/>
      <c r="AL5" s="1346"/>
      <c r="AM5" s="1346"/>
      <c r="AN5" s="1346"/>
      <c r="AO5" s="1346"/>
      <c r="AP5" s="1346"/>
      <c r="AQ5" s="1346"/>
      <c r="AR5" s="1346"/>
      <c r="AS5" s="1346"/>
      <c r="AT5" s="1346"/>
      <c r="AU5" s="1346"/>
      <c r="AV5" s="1346"/>
      <c r="AW5" s="1346"/>
      <c r="AX5" s="1346"/>
      <c r="AY5" s="1346"/>
      <c r="AZ5" s="634"/>
    </row>
    <row r="6" spans="1:53" ht="74.400000000000006" customHeight="1">
      <c r="A6" s="1366" t="s">
        <v>1407</v>
      </c>
      <c r="B6" s="1368" t="s">
        <v>1408</v>
      </c>
      <c r="C6" s="1383" t="s">
        <v>1409</v>
      </c>
      <c r="D6" s="1368" t="s">
        <v>1410</v>
      </c>
      <c r="E6" s="1370" t="s">
        <v>1411</v>
      </c>
      <c r="F6" s="1372" t="s">
        <v>1412</v>
      </c>
      <c r="G6" s="1357" t="s">
        <v>1433</v>
      </c>
      <c r="H6" s="1357" t="s">
        <v>1433</v>
      </c>
      <c r="I6" s="617" t="s">
        <v>228</v>
      </c>
      <c r="J6" s="617" t="s">
        <v>186</v>
      </c>
      <c r="K6" s="617" t="s">
        <v>199</v>
      </c>
      <c r="L6" s="617" t="s">
        <v>228</v>
      </c>
      <c r="M6" s="617" t="s">
        <v>186</v>
      </c>
      <c r="N6" s="617" t="s">
        <v>199</v>
      </c>
      <c r="O6" s="617" t="s">
        <v>228</v>
      </c>
      <c r="P6" s="617" t="s">
        <v>186</v>
      </c>
      <c r="Q6" s="617" t="s">
        <v>199</v>
      </c>
      <c r="R6" s="617" t="s">
        <v>228</v>
      </c>
      <c r="S6" s="617" t="s">
        <v>186</v>
      </c>
      <c r="T6" s="617" t="s">
        <v>199</v>
      </c>
      <c r="U6" s="617" t="s">
        <v>228</v>
      </c>
      <c r="V6" s="617" t="s">
        <v>186</v>
      </c>
      <c r="W6" s="617" t="s">
        <v>199</v>
      </c>
      <c r="X6" s="521" t="s">
        <v>186</v>
      </c>
      <c r="Y6" s="521" t="s">
        <v>228</v>
      </c>
      <c r="Z6" s="1355" t="s">
        <v>1415</v>
      </c>
      <c r="AA6" s="526"/>
      <c r="AB6" s="1357" t="s">
        <v>1416</v>
      </c>
      <c r="AC6" s="1376" t="s">
        <v>1313</v>
      </c>
      <c r="AD6" s="1377"/>
      <c r="AE6" s="1377"/>
      <c r="AF6" s="1378"/>
      <c r="AG6" s="1349" t="s">
        <v>1417</v>
      </c>
      <c r="AH6" s="1350"/>
      <c r="AI6" s="1357" t="s">
        <v>1418</v>
      </c>
      <c r="AJ6" s="1349" t="s">
        <v>1419</v>
      </c>
      <c r="AK6" s="1351"/>
      <c r="AL6" s="1351"/>
      <c r="AM6" s="1351"/>
      <c r="AN6" s="1351"/>
      <c r="AO6" s="1351"/>
      <c r="AP6" s="1351"/>
      <c r="AQ6" s="1351"/>
      <c r="AR6" s="1350"/>
      <c r="AS6" s="1357" t="s">
        <v>1418</v>
      </c>
      <c r="AT6" s="1353" t="s">
        <v>1421</v>
      </c>
      <c r="AU6" s="1354"/>
      <c r="AV6" s="1385" t="s">
        <v>1323</v>
      </c>
      <c r="AW6" s="1355" t="s">
        <v>1434</v>
      </c>
      <c r="AX6" s="1357" t="s">
        <v>1422</v>
      </c>
      <c r="AY6" s="558" t="s">
        <v>1423</v>
      </c>
      <c r="AZ6" s="636"/>
      <c r="BA6" s="283"/>
    </row>
    <row r="7" spans="1:53" ht="62.4" customHeight="1">
      <c r="A7" s="1367"/>
      <c r="B7" s="1369"/>
      <c r="C7" s="1384"/>
      <c r="D7" s="1369"/>
      <c r="E7" s="1371"/>
      <c r="F7" s="1373"/>
      <c r="G7" s="1358"/>
      <c r="H7" s="1358"/>
      <c r="I7" s="512">
        <v>1</v>
      </c>
      <c r="J7" s="512">
        <v>2</v>
      </c>
      <c r="K7" s="512">
        <v>3</v>
      </c>
      <c r="L7" s="512">
        <v>4</v>
      </c>
      <c r="M7" s="513">
        <v>5</v>
      </c>
      <c r="N7" s="513">
        <v>6</v>
      </c>
      <c r="O7" s="513">
        <v>7</v>
      </c>
      <c r="P7" s="512">
        <v>8</v>
      </c>
      <c r="Q7" s="512">
        <v>9</v>
      </c>
      <c r="R7" s="512">
        <v>10</v>
      </c>
      <c r="S7" s="512">
        <v>11</v>
      </c>
      <c r="T7" s="512">
        <v>12</v>
      </c>
      <c r="U7" s="512">
        <v>13</v>
      </c>
      <c r="V7" s="512">
        <v>14</v>
      </c>
      <c r="W7" s="512">
        <v>15</v>
      </c>
      <c r="X7" s="522">
        <v>7</v>
      </c>
      <c r="Y7" s="522">
        <v>8</v>
      </c>
      <c r="Z7" s="1356"/>
      <c r="AA7" s="347"/>
      <c r="AB7" s="1358"/>
      <c r="AC7" s="527">
        <v>2</v>
      </c>
      <c r="AD7" s="527">
        <v>14</v>
      </c>
      <c r="AE7" s="528" t="s">
        <v>1424</v>
      </c>
      <c r="AF7" s="529" t="s">
        <v>1425</v>
      </c>
      <c r="AG7" s="528" t="s">
        <v>1424</v>
      </c>
      <c r="AH7" s="529" t="s">
        <v>1425</v>
      </c>
      <c r="AI7" s="1358"/>
      <c r="AJ7" s="512"/>
      <c r="AK7" s="512"/>
      <c r="AL7" s="512"/>
      <c r="AM7" s="529" t="s">
        <v>1426</v>
      </c>
      <c r="AN7" s="625" t="s">
        <v>1430</v>
      </c>
      <c r="AO7" s="550" t="s">
        <v>199</v>
      </c>
      <c r="AP7" s="528" t="s">
        <v>1427</v>
      </c>
      <c r="AQ7" s="529" t="s">
        <v>1426</v>
      </c>
      <c r="AR7" s="528" t="s">
        <v>1427</v>
      </c>
      <c r="AS7" s="1358"/>
      <c r="AT7" s="703" t="s">
        <v>1429</v>
      </c>
      <c r="AU7" s="703" t="s">
        <v>1430</v>
      </c>
      <c r="AV7" s="1386"/>
      <c r="AW7" s="1356"/>
      <c r="AX7" s="1358"/>
      <c r="AY7" s="559"/>
      <c r="AZ7" s="636"/>
      <c r="BA7" s="283"/>
    </row>
    <row r="8" spans="1:53" ht="30" customHeight="1">
      <c r="A8" s="493" t="s">
        <v>186</v>
      </c>
      <c r="B8" s="494"/>
      <c r="C8" s="494"/>
      <c r="D8" s="494"/>
      <c r="E8" s="494"/>
      <c r="F8" s="686"/>
      <c r="G8" s="613"/>
      <c r="H8" s="614" t="s">
        <v>1435</v>
      </c>
      <c r="I8" s="514"/>
      <c r="J8" s="514"/>
      <c r="K8" s="514"/>
      <c r="L8" s="514"/>
      <c r="M8" s="515"/>
      <c r="N8" s="515"/>
      <c r="O8" s="515"/>
      <c r="P8" s="514"/>
      <c r="Q8" s="514"/>
      <c r="R8" s="514"/>
      <c r="S8" s="514"/>
      <c r="T8" s="514"/>
      <c r="U8" s="514"/>
      <c r="V8" s="514"/>
      <c r="W8" s="514"/>
      <c r="X8" s="514"/>
      <c r="Y8" s="514"/>
      <c r="Z8" s="548"/>
      <c r="AA8" s="548"/>
      <c r="AB8" s="547">
        <v>16000</v>
      </c>
      <c r="AC8" s="547"/>
      <c r="AD8" s="547"/>
      <c r="AE8" s="512"/>
      <c r="AF8" s="547">
        <v>17000</v>
      </c>
      <c r="AG8" s="547"/>
      <c r="AH8" s="623">
        <v>1000</v>
      </c>
      <c r="AI8" s="547"/>
      <c r="AJ8" s="514" t="s">
        <v>186</v>
      </c>
      <c r="AK8" s="514" t="s">
        <v>199</v>
      </c>
      <c r="AL8" s="512" t="s">
        <v>228</v>
      </c>
      <c r="AM8" s="624"/>
      <c r="AN8" s="626"/>
      <c r="AO8" s="626"/>
      <c r="AP8" s="550">
        <v>555</v>
      </c>
      <c r="AQ8" s="704"/>
      <c r="AR8" s="627">
        <v>455</v>
      </c>
      <c r="AS8" s="627"/>
      <c r="AT8" s="627"/>
      <c r="AU8" s="627"/>
      <c r="AV8" s="627"/>
      <c r="AW8" s="627"/>
      <c r="AX8" s="560"/>
      <c r="AY8" s="561"/>
      <c r="AZ8" s="636"/>
      <c r="BA8" s="283"/>
    </row>
    <row r="9" spans="1:53" ht="30" customHeight="1">
      <c r="A9" s="498"/>
      <c r="B9" s="499"/>
      <c r="C9" s="499"/>
      <c r="D9" s="499"/>
      <c r="E9" s="499"/>
      <c r="F9" s="687"/>
      <c r="G9" s="502"/>
      <c r="H9" s="516"/>
      <c r="I9" s="517"/>
      <c r="J9" s="517"/>
      <c r="K9" s="517"/>
      <c r="L9" s="517"/>
      <c r="M9" s="518"/>
      <c r="N9" s="518"/>
      <c r="O9" s="518"/>
      <c r="P9" s="517"/>
      <c r="Q9" s="517"/>
      <c r="R9" s="517"/>
      <c r="S9" s="517"/>
      <c r="T9" s="517"/>
      <c r="U9" s="517"/>
      <c r="V9" s="517"/>
      <c r="W9" s="517"/>
      <c r="X9" s="517"/>
      <c r="Y9" s="517"/>
      <c r="Z9" s="695"/>
      <c r="AA9" s="552"/>
      <c r="AB9" s="696" t="e">
        <f>Z9*16000+#REF!*16000</f>
        <v>#REF!</v>
      </c>
      <c r="AC9" s="696"/>
      <c r="AD9" s="696"/>
      <c r="AE9" s="697"/>
      <c r="AF9" s="696"/>
      <c r="AG9" s="696"/>
      <c r="AH9" s="697"/>
      <c r="AI9" s="696"/>
      <c r="AJ9" s="517"/>
      <c r="AK9" s="517"/>
      <c r="AL9" s="517"/>
      <c r="AM9" s="534"/>
      <c r="AN9" s="534"/>
      <c r="AO9" s="534"/>
      <c r="AP9" s="534"/>
      <c r="AQ9" s="705"/>
      <c r="AR9" s="554"/>
      <c r="AS9" s="554"/>
      <c r="AT9" s="554"/>
      <c r="AU9" s="554">
        <v>2000</v>
      </c>
      <c r="AV9" s="554"/>
      <c r="AW9" s="554"/>
      <c r="AX9" s="638"/>
      <c r="AY9" s="563"/>
      <c r="AZ9" s="636"/>
      <c r="BA9" s="283"/>
    </row>
    <row r="10" spans="1:53" s="683" customFormat="1" ht="43.95" customHeight="1">
      <c r="A10" s="688">
        <v>1</v>
      </c>
      <c r="B10" s="689">
        <v>2</v>
      </c>
      <c r="C10" s="689">
        <v>48</v>
      </c>
      <c r="D10" s="690">
        <f>'Tên Tháng 1'!B171</f>
        <v>33868</v>
      </c>
      <c r="E10" s="690" t="str">
        <f>'Tên Tháng 1'!C171</f>
        <v>ស្រី</v>
      </c>
      <c r="F10" s="690">
        <f>'Tên Tháng 1'!D171</f>
        <v>150468418</v>
      </c>
      <c r="G10" s="690" t="str">
        <f>'Tên Tháng 1'!E171</f>
        <v>ណាក់ ស៊ាក</v>
      </c>
      <c r="H10" s="690" t="str">
        <f>'Tên Tháng 1'!F171</f>
        <v>NAK SEAK</v>
      </c>
      <c r="I10" s="693">
        <f>'CHAM CONG'!G177</f>
        <v>0</v>
      </c>
      <c r="J10" s="693" t="str">
        <f>'CHAM CONG'!H177</f>
        <v>x</v>
      </c>
      <c r="K10" s="693" t="str">
        <f>'CHAM CONG'!I177</f>
        <v>x</v>
      </c>
      <c r="L10" s="693">
        <f>'CHAM CONG'!J177</f>
        <v>0</v>
      </c>
      <c r="M10" s="693">
        <f>'CHAM CONG'!K177</f>
        <v>0</v>
      </c>
      <c r="N10" s="693">
        <f>'CHAM CONG'!L177</f>
        <v>0</v>
      </c>
      <c r="O10" s="693" t="str">
        <f>'CHAM CONG'!M177</f>
        <v>x</v>
      </c>
      <c r="P10" s="693" t="str">
        <f>'CHAM CONG'!N177</f>
        <v>x</v>
      </c>
      <c r="Q10" s="693" t="str">
        <f>'CHAM CONG'!O177</f>
        <v>x</v>
      </c>
      <c r="R10" s="693" t="str">
        <f>'CHAM CONG'!P177</f>
        <v>x</v>
      </c>
      <c r="S10" s="693" t="str">
        <f>'CHAM CONG'!Q177</f>
        <v>x</v>
      </c>
      <c r="T10" s="693" t="str">
        <f>'CHAM CONG'!R177</f>
        <v>x</v>
      </c>
      <c r="U10" s="693" t="str">
        <f>'CHAM CONG'!S177</f>
        <v>x</v>
      </c>
      <c r="V10" s="693" t="str">
        <f>'CHAM CONG'!T177</f>
        <v>x</v>
      </c>
      <c r="W10" s="693" t="str">
        <f>'CHAM CONG'!U177</f>
        <v>x</v>
      </c>
      <c r="X10" s="693"/>
      <c r="Y10" s="693"/>
      <c r="Z10" s="698">
        <f>COUNTIF(I10:W10,"X")</f>
        <v>11</v>
      </c>
      <c r="AA10" s="699">
        <f t="shared" ref="AA10:AA20" si="0">ROUND(Z10*$Z$9/30456,2)</f>
        <v>0</v>
      </c>
      <c r="AB10" s="700">
        <f>ROUND(Z10*$AB$8,0)</f>
        <v>176000</v>
      </c>
      <c r="AC10" s="700">
        <f>'CHAM CONG'!V177</f>
        <v>0</v>
      </c>
      <c r="AD10" s="700">
        <f>'CHAM CONG'!X177</f>
        <v>0</v>
      </c>
      <c r="AE10" s="698">
        <f>COUNTIF(AC10:AD10,"X")</f>
        <v>0</v>
      </c>
      <c r="AF10" s="700">
        <f>AE10*$AF$8</f>
        <v>0</v>
      </c>
      <c r="AG10" s="700">
        <f>Z10</f>
        <v>11</v>
      </c>
      <c r="AH10" s="537">
        <f>ROUND(AG10*$AH$8,0)</f>
        <v>11000</v>
      </c>
      <c r="AI10" s="700">
        <f>AB10+AH10+AF10</f>
        <v>187000</v>
      </c>
      <c r="AJ10" s="693">
        <f>'SAN LUONG'!AF178</f>
        <v>357</v>
      </c>
      <c r="AK10" s="693">
        <f>'SAN LUONG'!AG178</f>
        <v>267</v>
      </c>
      <c r="AL10" s="693">
        <f>'SAN LUONG'!AH178</f>
        <v>61</v>
      </c>
      <c r="AM10" s="702">
        <f>SUM(AJ10:AL10)</f>
        <v>685</v>
      </c>
      <c r="AN10" s="702">
        <f t="shared" ref="AN10:AN20" si="1">AM10*$AN$8</f>
        <v>0</v>
      </c>
      <c r="AO10" s="702"/>
      <c r="AP10" s="702">
        <f>ROUND(AM10*0.44*$AP$8,0)</f>
        <v>167277</v>
      </c>
      <c r="AQ10" s="555"/>
      <c r="AR10" s="702">
        <f>ROUND(AQ10*0.44*$AR$8,0)</f>
        <v>0</v>
      </c>
      <c r="AS10" s="555">
        <f>AI10+AP10+AR10</f>
        <v>354277</v>
      </c>
      <c r="AT10" s="706"/>
      <c r="AU10" s="706"/>
      <c r="AV10" s="706">
        <f>'CHAM CONG'!AZ177</f>
        <v>0</v>
      </c>
      <c r="AW10" s="706"/>
      <c r="AX10" s="562">
        <f t="shared" ref="AX10:AX20" si="2">AS10-AW10</f>
        <v>354277</v>
      </c>
      <c r="AY10" s="707"/>
      <c r="AZ10" s="708">
        <f>ROUND(AS10/31947,2)</f>
        <v>11.09</v>
      </c>
      <c r="BA10" s="709"/>
    </row>
    <row r="11" spans="1:53" s="683" customFormat="1" ht="43.95" customHeight="1">
      <c r="A11" s="688">
        <v>2</v>
      </c>
      <c r="B11" s="689">
        <v>2</v>
      </c>
      <c r="C11" s="689">
        <v>49</v>
      </c>
      <c r="D11" s="690">
        <f>'Tên Tháng 1'!B172</f>
        <v>32060</v>
      </c>
      <c r="E11" s="690" t="str">
        <f>'Tên Tháng 1'!C172</f>
        <v>ប្រុស</v>
      </c>
      <c r="F11" s="690">
        <f>'Tên Tháng 1'!D172</f>
        <v>150523352</v>
      </c>
      <c r="G11" s="690" t="str">
        <f>'Tên Tháng 1'!E172</f>
        <v>ឈុន សុខឃឿន</v>
      </c>
      <c r="H11" s="690" t="str">
        <f>'Tên Tháng 1'!F172</f>
        <v>CHHUN SOKHOEUN</v>
      </c>
      <c r="I11" s="693">
        <f>'CHAM CONG'!G178</f>
        <v>0</v>
      </c>
      <c r="J11" s="693" t="str">
        <f>'CHAM CONG'!H178</f>
        <v>x</v>
      </c>
      <c r="K11" s="693" t="str">
        <f>'CHAM CONG'!I178</f>
        <v>x</v>
      </c>
      <c r="L11" s="693">
        <f>'CHAM CONG'!J178</f>
        <v>0</v>
      </c>
      <c r="M11" s="693">
        <f>'CHAM CONG'!K178</f>
        <v>0</v>
      </c>
      <c r="N11" s="693">
        <f>'CHAM CONG'!L178</f>
        <v>0</v>
      </c>
      <c r="O11" s="693" t="str">
        <f>'CHAM CONG'!M178</f>
        <v>x</v>
      </c>
      <c r="P11" s="693" t="str">
        <f>'CHAM CONG'!N178</f>
        <v>x</v>
      </c>
      <c r="Q11" s="693" t="str">
        <f>'CHAM CONG'!O178</f>
        <v>x</v>
      </c>
      <c r="R11" s="693" t="str">
        <f>'CHAM CONG'!P178</f>
        <v>x</v>
      </c>
      <c r="S11" s="693" t="str">
        <f>'CHAM CONG'!Q178</f>
        <v>x</v>
      </c>
      <c r="T11" s="693" t="str">
        <f>'CHAM CONG'!R178</f>
        <v>x</v>
      </c>
      <c r="U11" s="693" t="str">
        <f>'CHAM CONG'!S178</f>
        <v>x</v>
      </c>
      <c r="V11" s="693" t="str">
        <f>'CHAM CONG'!T178</f>
        <v>x</v>
      </c>
      <c r="W11" s="693" t="str">
        <f>'CHAM CONG'!U178</f>
        <v>x</v>
      </c>
      <c r="X11" s="693"/>
      <c r="Y11" s="693"/>
      <c r="Z11" s="698">
        <f t="shared" ref="Z11:Z74" si="3">COUNTIF(I11:W11,"X")</f>
        <v>11</v>
      </c>
      <c r="AA11" s="699">
        <f t="shared" si="0"/>
        <v>0</v>
      </c>
      <c r="AB11" s="700">
        <f t="shared" ref="AB11:AB74" si="4">ROUND(Z11*$AB$8,0)</f>
        <v>176000</v>
      </c>
      <c r="AC11" s="700">
        <f>'CHAM CONG'!V178</f>
        <v>0</v>
      </c>
      <c r="AD11" s="700">
        <f>'CHAM CONG'!X178</f>
        <v>0</v>
      </c>
      <c r="AE11" s="698">
        <f t="shared" ref="AE11:AE74" si="5">COUNTIF(AC11:AD11,"X")</f>
        <v>0</v>
      </c>
      <c r="AF11" s="700">
        <f t="shared" ref="AF11:AF74" si="6">AE11*$AF$8</f>
        <v>0</v>
      </c>
      <c r="AG11" s="700">
        <f t="shared" ref="AG11:AG74" si="7">Z11</f>
        <v>11</v>
      </c>
      <c r="AH11" s="537">
        <f t="shared" ref="AH11:AH74" si="8">ROUND(AG11*$AH$8,0)</f>
        <v>11000</v>
      </c>
      <c r="AI11" s="700">
        <f t="shared" ref="AI11:AI74" si="9">AB11+AH11+AF11</f>
        <v>187000</v>
      </c>
      <c r="AJ11" s="693">
        <f>'SAN LUONG'!AF179</f>
        <v>336</v>
      </c>
      <c r="AK11" s="693">
        <f>'SAN LUONG'!AG179</f>
        <v>260</v>
      </c>
      <c r="AL11" s="693">
        <f>'SAN LUONG'!AH179</f>
        <v>63</v>
      </c>
      <c r="AM11" s="702">
        <f t="shared" ref="AM11:AM20" si="10">SUM(AJ11:AL11)</f>
        <v>659</v>
      </c>
      <c r="AN11" s="702">
        <f t="shared" si="1"/>
        <v>0</v>
      </c>
      <c r="AO11" s="702"/>
      <c r="AP11" s="702">
        <f t="shared" ref="AP11:AP74" si="11">ROUND(AM11*0.44*$AP$8,0)</f>
        <v>160928</v>
      </c>
      <c r="AQ11" s="555"/>
      <c r="AR11" s="702">
        <f t="shared" ref="AR11:AR74" si="12">ROUND(AQ11*0.44*$AR$8,0)</f>
        <v>0</v>
      </c>
      <c r="AS11" s="555">
        <f t="shared" ref="AS11:AS74" si="13">AI11+AP11+AR11</f>
        <v>347928</v>
      </c>
      <c r="AT11" s="706"/>
      <c r="AU11" s="706"/>
      <c r="AV11" s="706">
        <f>'CHAM CONG'!AZ178</f>
        <v>0</v>
      </c>
      <c r="AW11" s="706"/>
      <c r="AX11" s="562">
        <f t="shared" si="2"/>
        <v>347928</v>
      </c>
      <c r="AY11" s="707"/>
      <c r="AZ11" s="708">
        <f t="shared" ref="AZ11:AZ74" si="14">ROUND(AS11/31947,2)</f>
        <v>10.89</v>
      </c>
      <c r="BA11" s="709"/>
    </row>
    <row r="12" spans="1:53" s="683" customFormat="1" ht="43.95" customHeight="1">
      <c r="A12" s="688">
        <v>3</v>
      </c>
      <c r="B12" s="689">
        <v>2</v>
      </c>
      <c r="C12" s="689">
        <v>50</v>
      </c>
      <c r="D12" s="690">
        <f>'Tên Tháng 1'!B173</f>
        <v>34156</v>
      </c>
      <c r="E12" s="690" t="str">
        <f>'Tên Tháng 1'!C173</f>
        <v>ប្រុស</v>
      </c>
      <c r="F12" s="690">
        <f>'Tên Tháng 1'!D173</f>
        <v>220234410</v>
      </c>
      <c r="G12" s="690" t="str">
        <f>'Tên Tháng 1'!E173</f>
        <v>កោ លីណា</v>
      </c>
      <c r="H12" s="690" t="str">
        <f>'Tên Tháng 1'!F173</f>
        <v>KOA LYNA</v>
      </c>
      <c r="I12" s="693" t="str">
        <f>'CHAM CONG'!G179</f>
        <v>x</v>
      </c>
      <c r="J12" s="693" t="str">
        <f>'CHAM CONG'!H179</f>
        <v>x</v>
      </c>
      <c r="K12" s="693" t="str">
        <f>'CHAM CONG'!I179</f>
        <v>x</v>
      </c>
      <c r="L12" s="693">
        <f>'CHAM CONG'!J179</f>
        <v>0</v>
      </c>
      <c r="M12" s="693">
        <f>'CHAM CONG'!K179</f>
        <v>0</v>
      </c>
      <c r="N12" s="693" t="str">
        <f>'CHAM CONG'!L179</f>
        <v>x</v>
      </c>
      <c r="O12" s="693" t="str">
        <f>'CHAM CONG'!M179</f>
        <v>x</v>
      </c>
      <c r="P12" s="693" t="str">
        <f>'CHAM CONG'!N179</f>
        <v>x</v>
      </c>
      <c r="Q12" s="693" t="str">
        <f>'CHAM CONG'!O179</f>
        <v>x</v>
      </c>
      <c r="R12" s="693" t="str">
        <f>'CHAM CONG'!P179</f>
        <v>x</v>
      </c>
      <c r="S12" s="693" t="str">
        <f>'CHAM CONG'!Q179</f>
        <v>x</v>
      </c>
      <c r="T12" s="693" t="str">
        <f>'CHAM CONG'!R179</f>
        <v>x</v>
      </c>
      <c r="U12" s="693" t="str">
        <f>'CHAM CONG'!S179</f>
        <v>x</v>
      </c>
      <c r="V12" s="693" t="str">
        <f>'CHAM CONG'!T179</f>
        <v>x</v>
      </c>
      <c r="W12" s="693" t="str">
        <f>'CHAM CONG'!U179</f>
        <v>x</v>
      </c>
      <c r="X12" s="693"/>
      <c r="Y12" s="693"/>
      <c r="Z12" s="698">
        <f t="shared" si="3"/>
        <v>13</v>
      </c>
      <c r="AA12" s="699">
        <f t="shared" si="0"/>
        <v>0</v>
      </c>
      <c r="AB12" s="700">
        <f t="shared" si="4"/>
        <v>208000</v>
      </c>
      <c r="AC12" s="700">
        <f>'CHAM CONG'!V179</f>
        <v>0</v>
      </c>
      <c r="AD12" s="700">
        <f>'CHAM CONG'!X179</f>
        <v>0</v>
      </c>
      <c r="AE12" s="698">
        <f t="shared" si="5"/>
        <v>0</v>
      </c>
      <c r="AF12" s="700">
        <f t="shared" si="6"/>
        <v>0</v>
      </c>
      <c r="AG12" s="700">
        <f t="shared" si="7"/>
        <v>13</v>
      </c>
      <c r="AH12" s="537">
        <f t="shared" si="8"/>
        <v>13000</v>
      </c>
      <c r="AI12" s="700">
        <f t="shared" si="9"/>
        <v>221000</v>
      </c>
      <c r="AJ12" s="693">
        <f>'SAN LUONG'!AF180</f>
        <v>482</v>
      </c>
      <c r="AK12" s="693">
        <f>'SAN LUONG'!AG180</f>
        <v>324</v>
      </c>
      <c r="AL12" s="693">
        <f>'SAN LUONG'!AH180</f>
        <v>143</v>
      </c>
      <c r="AM12" s="702">
        <f t="shared" si="10"/>
        <v>949</v>
      </c>
      <c r="AN12" s="702">
        <f t="shared" si="1"/>
        <v>0</v>
      </c>
      <c r="AO12" s="702"/>
      <c r="AP12" s="702">
        <f t="shared" si="11"/>
        <v>231746</v>
      </c>
      <c r="AQ12" s="555"/>
      <c r="AR12" s="702">
        <f t="shared" si="12"/>
        <v>0</v>
      </c>
      <c r="AS12" s="555">
        <f t="shared" si="13"/>
        <v>452746</v>
      </c>
      <c r="AT12" s="706"/>
      <c r="AU12" s="706"/>
      <c r="AV12" s="706">
        <f>'CHAM CONG'!AZ179</f>
        <v>0</v>
      </c>
      <c r="AW12" s="706"/>
      <c r="AX12" s="562">
        <f t="shared" si="2"/>
        <v>452746</v>
      </c>
      <c r="AY12" s="707"/>
      <c r="AZ12" s="708">
        <f t="shared" si="14"/>
        <v>14.17</v>
      </c>
      <c r="BA12" s="709"/>
    </row>
    <row r="13" spans="1:53" s="683" customFormat="1" ht="43.95" customHeight="1">
      <c r="A13" s="688">
        <v>4</v>
      </c>
      <c r="B13" s="689">
        <v>2</v>
      </c>
      <c r="C13" s="689">
        <v>51</v>
      </c>
      <c r="D13" s="690">
        <f>'Tên Tháng 1'!B174</f>
        <v>33284</v>
      </c>
      <c r="E13" s="690" t="str">
        <f>'Tên Tháng 1'!C174</f>
        <v>ស្រី</v>
      </c>
      <c r="F13" s="690">
        <f>'Tên Tháng 1'!D174</f>
        <v>220123636</v>
      </c>
      <c r="G13" s="690" t="str">
        <f>'Tên Tháng 1'!E174</f>
        <v>ទ្រី ចាន់ធូ</v>
      </c>
      <c r="H13" s="690" t="str">
        <f>'Tên Tháng 1'!F174</f>
        <v>TRY CHANTHOU</v>
      </c>
      <c r="I13" s="693" t="str">
        <f>'CHAM CONG'!G180</f>
        <v>x</v>
      </c>
      <c r="J13" s="693" t="str">
        <f>'CHAM CONG'!H180</f>
        <v>x</v>
      </c>
      <c r="K13" s="693" t="str">
        <f>'CHAM CONG'!I180</f>
        <v>x</v>
      </c>
      <c r="L13" s="693">
        <f>'CHAM CONG'!J180</f>
        <v>0</v>
      </c>
      <c r="M13" s="693">
        <f>'CHAM CONG'!K180</f>
        <v>0</v>
      </c>
      <c r="N13" s="693" t="str">
        <f>'CHAM CONG'!L180</f>
        <v>x</v>
      </c>
      <c r="O13" s="693" t="str">
        <f>'CHAM CONG'!M180</f>
        <v>x</v>
      </c>
      <c r="P13" s="693" t="str">
        <f>'CHAM CONG'!N180</f>
        <v>x</v>
      </c>
      <c r="Q13" s="693" t="str">
        <f>'CHAM CONG'!O180</f>
        <v>x</v>
      </c>
      <c r="R13" s="693" t="str">
        <f>'CHAM CONG'!P180</f>
        <v>x</v>
      </c>
      <c r="S13" s="693" t="str">
        <f>'CHAM CONG'!Q180</f>
        <v>x</v>
      </c>
      <c r="T13" s="693" t="str">
        <f>'CHAM CONG'!R180</f>
        <v>x</v>
      </c>
      <c r="U13" s="693" t="str">
        <f>'CHAM CONG'!S180</f>
        <v>x</v>
      </c>
      <c r="V13" s="693" t="str">
        <f>'CHAM CONG'!T180</f>
        <v>x</v>
      </c>
      <c r="W13" s="693" t="str">
        <f>'CHAM CONG'!U180</f>
        <v>x</v>
      </c>
      <c r="X13" s="693"/>
      <c r="Y13" s="693"/>
      <c r="Z13" s="698">
        <f t="shared" si="3"/>
        <v>13</v>
      </c>
      <c r="AA13" s="699">
        <f t="shared" si="0"/>
        <v>0</v>
      </c>
      <c r="AB13" s="700">
        <f t="shared" si="4"/>
        <v>208000</v>
      </c>
      <c r="AC13" s="700">
        <f>'CHAM CONG'!V180</f>
        <v>0</v>
      </c>
      <c r="AD13" s="700">
        <f>'CHAM CONG'!X180</f>
        <v>0</v>
      </c>
      <c r="AE13" s="698">
        <f t="shared" si="5"/>
        <v>0</v>
      </c>
      <c r="AF13" s="700">
        <f t="shared" si="6"/>
        <v>0</v>
      </c>
      <c r="AG13" s="700">
        <f t="shared" si="7"/>
        <v>13</v>
      </c>
      <c r="AH13" s="537">
        <f t="shared" si="8"/>
        <v>13000</v>
      </c>
      <c r="AI13" s="700">
        <f t="shared" si="9"/>
        <v>221000</v>
      </c>
      <c r="AJ13" s="693">
        <f>'SAN LUONG'!AF181</f>
        <v>432</v>
      </c>
      <c r="AK13" s="693">
        <f>'SAN LUONG'!AG181</f>
        <v>324</v>
      </c>
      <c r="AL13" s="693">
        <f>'SAN LUONG'!AH181</f>
        <v>140</v>
      </c>
      <c r="AM13" s="702">
        <f t="shared" si="10"/>
        <v>896</v>
      </c>
      <c r="AN13" s="702">
        <f t="shared" si="1"/>
        <v>0</v>
      </c>
      <c r="AO13" s="702"/>
      <c r="AP13" s="702">
        <f t="shared" si="11"/>
        <v>218803</v>
      </c>
      <c r="AQ13" s="555"/>
      <c r="AR13" s="702">
        <f t="shared" si="12"/>
        <v>0</v>
      </c>
      <c r="AS13" s="555">
        <f t="shared" si="13"/>
        <v>439803</v>
      </c>
      <c r="AT13" s="706"/>
      <c r="AU13" s="706"/>
      <c r="AV13" s="706">
        <f>'CHAM CONG'!AZ180</f>
        <v>0</v>
      </c>
      <c r="AW13" s="706"/>
      <c r="AX13" s="562">
        <f t="shared" si="2"/>
        <v>439803</v>
      </c>
      <c r="AY13" s="707"/>
      <c r="AZ13" s="708">
        <f t="shared" si="14"/>
        <v>13.77</v>
      </c>
      <c r="BA13" s="709"/>
    </row>
    <row r="14" spans="1:53" s="683" customFormat="1" ht="43.95" customHeight="1">
      <c r="A14" s="688">
        <v>5</v>
      </c>
      <c r="B14" s="689">
        <v>2</v>
      </c>
      <c r="C14" s="689">
        <v>52</v>
      </c>
      <c r="D14" s="690">
        <f>'Tên Tháng 1'!B175</f>
        <v>37809</v>
      </c>
      <c r="E14" s="690" t="str">
        <f>'Tên Tháng 1'!C175</f>
        <v>ស្រី</v>
      </c>
      <c r="F14" s="690">
        <f>'Tên Tháng 1'!D175</f>
        <v>220217185</v>
      </c>
      <c r="G14" s="690" t="str">
        <f>'Tên Tháng 1'!E175</f>
        <v>កេរ្ត៍​ ថ្លម</v>
      </c>
      <c r="H14" s="690" t="str">
        <f>'Tên Tháng 1'!F175</f>
        <v>KE THNORM</v>
      </c>
      <c r="I14" s="693" t="str">
        <f>'CHAM CONG'!G181</f>
        <v>x</v>
      </c>
      <c r="J14" s="693" t="str">
        <f>'CHAM CONG'!H181</f>
        <v>x</v>
      </c>
      <c r="K14" s="693" t="str">
        <f>'CHAM CONG'!I181</f>
        <v>x</v>
      </c>
      <c r="L14" s="693">
        <f>'CHAM CONG'!J181</f>
        <v>0</v>
      </c>
      <c r="M14" s="693">
        <f>'CHAM CONG'!K181</f>
        <v>0</v>
      </c>
      <c r="N14" s="693">
        <f>'CHAM CONG'!L181</f>
        <v>0</v>
      </c>
      <c r="O14" s="693" t="str">
        <f>'CHAM CONG'!M181</f>
        <v>x</v>
      </c>
      <c r="P14" s="693" t="str">
        <f>'CHAM CONG'!N181</f>
        <v>x</v>
      </c>
      <c r="Q14" s="693" t="str">
        <f>'CHAM CONG'!O181</f>
        <v>x</v>
      </c>
      <c r="R14" s="693">
        <f>'CHAM CONG'!P181</f>
        <v>0</v>
      </c>
      <c r="S14" s="693" t="str">
        <f>'CHAM CONG'!Q181</f>
        <v>x</v>
      </c>
      <c r="T14" s="693" t="str">
        <f>'CHAM CONG'!R181</f>
        <v>x</v>
      </c>
      <c r="U14" s="693" t="str">
        <f>'CHAM CONG'!S181</f>
        <v>x</v>
      </c>
      <c r="V14" s="693" t="str">
        <f>'CHAM CONG'!T181</f>
        <v>x</v>
      </c>
      <c r="W14" s="693" t="str">
        <f>'CHAM CONG'!U181</f>
        <v>x</v>
      </c>
      <c r="X14" s="693"/>
      <c r="Y14" s="693"/>
      <c r="Z14" s="698">
        <f t="shared" si="3"/>
        <v>11</v>
      </c>
      <c r="AA14" s="699">
        <f t="shared" si="0"/>
        <v>0</v>
      </c>
      <c r="AB14" s="700">
        <f t="shared" si="4"/>
        <v>176000</v>
      </c>
      <c r="AC14" s="700">
        <f>'CHAM CONG'!V181</f>
        <v>0</v>
      </c>
      <c r="AD14" s="700">
        <f>'CHAM CONG'!X181</f>
        <v>0</v>
      </c>
      <c r="AE14" s="698">
        <f t="shared" si="5"/>
        <v>0</v>
      </c>
      <c r="AF14" s="700">
        <f t="shared" si="6"/>
        <v>0</v>
      </c>
      <c r="AG14" s="700">
        <f t="shared" si="7"/>
        <v>11</v>
      </c>
      <c r="AH14" s="537">
        <f t="shared" si="8"/>
        <v>11000</v>
      </c>
      <c r="AI14" s="700">
        <f t="shared" si="9"/>
        <v>187000</v>
      </c>
      <c r="AJ14" s="693">
        <f>'SAN LUONG'!AF182</f>
        <v>229</v>
      </c>
      <c r="AK14" s="693">
        <f>'SAN LUONG'!AG182</f>
        <v>192</v>
      </c>
      <c r="AL14" s="693">
        <f>'SAN LUONG'!AH182</f>
        <v>32</v>
      </c>
      <c r="AM14" s="702">
        <f t="shared" si="10"/>
        <v>453</v>
      </c>
      <c r="AN14" s="702">
        <f t="shared" si="1"/>
        <v>0</v>
      </c>
      <c r="AO14" s="702"/>
      <c r="AP14" s="702">
        <f t="shared" si="11"/>
        <v>110623</v>
      </c>
      <c r="AQ14" s="555"/>
      <c r="AR14" s="702">
        <f t="shared" si="12"/>
        <v>0</v>
      </c>
      <c r="AS14" s="555">
        <f t="shared" si="13"/>
        <v>297623</v>
      </c>
      <c r="AT14" s="706"/>
      <c r="AU14" s="706"/>
      <c r="AV14" s="706">
        <f>'CHAM CONG'!AZ181</f>
        <v>0</v>
      </c>
      <c r="AW14" s="706"/>
      <c r="AX14" s="562">
        <f t="shared" si="2"/>
        <v>297623</v>
      </c>
      <c r="AY14" s="707"/>
      <c r="AZ14" s="708">
        <f t="shared" si="14"/>
        <v>9.32</v>
      </c>
      <c r="BA14" s="709"/>
    </row>
    <row r="15" spans="1:53" s="683" customFormat="1" ht="43.95" customHeight="1">
      <c r="A15" s="688">
        <v>6</v>
      </c>
      <c r="B15" s="689">
        <v>2</v>
      </c>
      <c r="C15" s="689">
        <v>53</v>
      </c>
      <c r="D15" s="690">
        <f>'Tên Tháng 1'!B176</f>
        <v>34787</v>
      </c>
      <c r="E15" s="690" t="str">
        <f>'Tên Tháng 1'!C176</f>
        <v>ប្រុស</v>
      </c>
      <c r="F15" s="690">
        <f>'Tên Tháng 1'!D176</f>
        <v>220097689</v>
      </c>
      <c r="G15" s="690" t="str">
        <f>'Tên Tháng 1'!E176</f>
        <v>សាយ សេង</v>
      </c>
      <c r="H15" s="690" t="str">
        <f>'Tên Tháng 1'!F176</f>
        <v>SAY SENG</v>
      </c>
      <c r="I15" s="693" t="str">
        <f>'CHAM CONG'!G182</f>
        <v>x</v>
      </c>
      <c r="J15" s="693" t="str">
        <f>'CHAM CONG'!H182</f>
        <v>x</v>
      </c>
      <c r="K15" s="693" t="str">
        <f>'CHAM CONG'!I182</f>
        <v>x</v>
      </c>
      <c r="L15" s="693">
        <f>'CHAM CONG'!J182</f>
        <v>0</v>
      </c>
      <c r="M15" s="693">
        <f>'CHAM CONG'!K182</f>
        <v>0</v>
      </c>
      <c r="N15" s="693">
        <f>'CHAM CONG'!L182</f>
        <v>0</v>
      </c>
      <c r="O15" s="693" t="str">
        <f>'CHAM CONG'!M182</f>
        <v>x</v>
      </c>
      <c r="P15" s="693" t="str">
        <f>'CHAM CONG'!N182</f>
        <v>x</v>
      </c>
      <c r="Q15" s="693" t="str">
        <f>'CHAM CONG'!O182</f>
        <v>x</v>
      </c>
      <c r="R15" s="693" t="str">
        <f>'CHAM CONG'!P182</f>
        <v>x</v>
      </c>
      <c r="S15" s="693" t="str">
        <f>'CHAM CONG'!Q182</f>
        <v>x</v>
      </c>
      <c r="T15" s="693" t="str">
        <f>'CHAM CONG'!R182</f>
        <v>x</v>
      </c>
      <c r="U15" s="693" t="str">
        <f>'CHAM CONG'!S182</f>
        <v>x</v>
      </c>
      <c r="V15" s="693" t="str">
        <f>'CHAM CONG'!T182</f>
        <v>x</v>
      </c>
      <c r="W15" s="693" t="str">
        <f>'CHAM CONG'!U182</f>
        <v>x</v>
      </c>
      <c r="X15" s="693"/>
      <c r="Y15" s="693"/>
      <c r="Z15" s="698">
        <f t="shared" si="3"/>
        <v>12</v>
      </c>
      <c r="AA15" s="699">
        <f t="shared" si="0"/>
        <v>0</v>
      </c>
      <c r="AB15" s="700">
        <f t="shared" si="4"/>
        <v>192000</v>
      </c>
      <c r="AC15" s="700">
        <f>'CHAM CONG'!V182</f>
        <v>0</v>
      </c>
      <c r="AD15" s="700">
        <f>'CHAM CONG'!X182</f>
        <v>0</v>
      </c>
      <c r="AE15" s="698">
        <f t="shared" si="5"/>
        <v>0</v>
      </c>
      <c r="AF15" s="700">
        <f t="shared" si="6"/>
        <v>0</v>
      </c>
      <c r="AG15" s="700">
        <f t="shared" si="7"/>
        <v>12</v>
      </c>
      <c r="AH15" s="537">
        <f t="shared" si="8"/>
        <v>12000</v>
      </c>
      <c r="AI15" s="700">
        <f t="shared" si="9"/>
        <v>204000</v>
      </c>
      <c r="AJ15" s="693">
        <f>'SAN LUONG'!AF183</f>
        <v>544</v>
      </c>
      <c r="AK15" s="693">
        <f>'SAN LUONG'!AG183</f>
        <v>383</v>
      </c>
      <c r="AL15" s="693">
        <f>'SAN LUONG'!AH183</f>
        <v>66</v>
      </c>
      <c r="AM15" s="702">
        <f t="shared" si="10"/>
        <v>993</v>
      </c>
      <c r="AN15" s="702">
        <f t="shared" si="1"/>
        <v>0</v>
      </c>
      <c r="AO15" s="702"/>
      <c r="AP15" s="702">
        <f t="shared" si="11"/>
        <v>242491</v>
      </c>
      <c r="AQ15" s="555"/>
      <c r="AR15" s="702">
        <f t="shared" si="12"/>
        <v>0</v>
      </c>
      <c r="AS15" s="555">
        <f t="shared" si="13"/>
        <v>446491</v>
      </c>
      <c r="AT15" s="706"/>
      <c r="AU15" s="706"/>
      <c r="AV15" s="706">
        <f>'CHAM CONG'!AZ182</f>
        <v>0</v>
      </c>
      <c r="AW15" s="706"/>
      <c r="AX15" s="562">
        <f t="shared" si="2"/>
        <v>446491</v>
      </c>
      <c r="AY15" s="707"/>
      <c r="AZ15" s="708">
        <f t="shared" si="14"/>
        <v>13.98</v>
      </c>
      <c r="BA15" s="709"/>
    </row>
    <row r="16" spans="1:53" s="683" customFormat="1" ht="43.95" customHeight="1">
      <c r="A16" s="688">
        <v>7</v>
      </c>
      <c r="B16" s="689">
        <v>2</v>
      </c>
      <c r="C16" s="689">
        <v>54</v>
      </c>
      <c r="D16" s="690">
        <f>'Tên Tháng 1'!B177</f>
        <v>33776</v>
      </c>
      <c r="E16" s="690" t="str">
        <f>'Tên Tháng 1'!C177</f>
        <v>ស្រី</v>
      </c>
      <c r="F16" s="690">
        <f>'Tên Tháng 1'!D177</f>
        <v>150483966</v>
      </c>
      <c r="G16" s="690" t="str">
        <f>'Tên Tháng 1'!E177</f>
        <v>ឃឿន ហែ</v>
      </c>
      <c r="H16" s="690" t="str">
        <f>'Tên Tháng 1'!F177</f>
        <v>KHOEUN HE</v>
      </c>
      <c r="I16" s="693">
        <f>'CHAM CONG'!G183</f>
        <v>0</v>
      </c>
      <c r="J16" s="693">
        <f>'CHAM CONG'!H183</f>
        <v>0</v>
      </c>
      <c r="K16" s="693" t="str">
        <f>'CHAM CONG'!I183</f>
        <v>x</v>
      </c>
      <c r="L16" s="693">
        <f>'CHAM CONG'!J183</f>
        <v>0</v>
      </c>
      <c r="M16" s="693">
        <f>'CHAM CONG'!K183</f>
        <v>0</v>
      </c>
      <c r="N16" s="693">
        <f>'CHAM CONG'!L183</f>
        <v>0</v>
      </c>
      <c r="O16" s="693" t="str">
        <f>'CHAM CONG'!M183</f>
        <v>x</v>
      </c>
      <c r="P16" s="693" t="str">
        <f>'CHAM CONG'!N183</f>
        <v>x</v>
      </c>
      <c r="Q16" s="693" t="str">
        <f>'CHAM CONG'!O183</f>
        <v>x</v>
      </c>
      <c r="R16" s="693" t="str">
        <f>'CHAM CONG'!P183</f>
        <v>x</v>
      </c>
      <c r="S16" s="693" t="str">
        <f>'CHAM CONG'!Q183</f>
        <v>x</v>
      </c>
      <c r="T16" s="693" t="str">
        <f>'CHAM CONG'!R183</f>
        <v>x</v>
      </c>
      <c r="U16" s="693" t="str">
        <f>'CHAM CONG'!S183</f>
        <v>x</v>
      </c>
      <c r="V16" s="693" t="str">
        <f>'CHAM CONG'!T183</f>
        <v>x</v>
      </c>
      <c r="W16" s="693" t="str">
        <f>'CHAM CONG'!U183</f>
        <v>x</v>
      </c>
      <c r="X16" s="693"/>
      <c r="Y16" s="693"/>
      <c r="Z16" s="698">
        <f t="shared" si="3"/>
        <v>10</v>
      </c>
      <c r="AA16" s="699">
        <f t="shared" si="0"/>
        <v>0</v>
      </c>
      <c r="AB16" s="700">
        <f t="shared" si="4"/>
        <v>160000</v>
      </c>
      <c r="AC16" s="700">
        <f>'CHAM CONG'!V183</f>
        <v>0</v>
      </c>
      <c r="AD16" s="700">
        <f>'CHAM CONG'!X183</f>
        <v>0</v>
      </c>
      <c r="AE16" s="698">
        <f t="shared" si="5"/>
        <v>0</v>
      </c>
      <c r="AF16" s="700">
        <f t="shared" si="6"/>
        <v>0</v>
      </c>
      <c r="AG16" s="700">
        <f t="shared" si="7"/>
        <v>10</v>
      </c>
      <c r="AH16" s="537">
        <f t="shared" si="8"/>
        <v>10000</v>
      </c>
      <c r="AI16" s="700">
        <f t="shared" si="9"/>
        <v>170000</v>
      </c>
      <c r="AJ16" s="693">
        <f>'SAN LUONG'!AF184</f>
        <v>411</v>
      </c>
      <c r="AK16" s="693">
        <f>'SAN LUONG'!AG184</f>
        <v>263</v>
      </c>
      <c r="AL16" s="693">
        <f>'SAN LUONG'!AH184</f>
        <v>101</v>
      </c>
      <c r="AM16" s="702">
        <f t="shared" si="10"/>
        <v>775</v>
      </c>
      <c r="AN16" s="702">
        <f t="shared" si="1"/>
        <v>0</v>
      </c>
      <c r="AO16" s="702"/>
      <c r="AP16" s="702">
        <f t="shared" si="11"/>
        <v>189255</v>
      </c>
      <c r="AQ16" s="555"/>
      <c r="AR16" s="702">
        <f t="shared" si="12"/>
        <v>0</v>
      </c>
      <c r="AS16" s="555">
        <f t="shared" si="13"/>
        <v>359255</v>
      </c>
      <c r="AT16" s="706"/>
      <c r="AU16" s="706"/>
      <c r="AV16" s="706">
        <f>'CHAM CONG'!AZ183</f>
        <v>0</v>
      </c>
      <c r="AW16" s="706"/>
      <c r="AX16" s="562">
        <f t="shared" si="2"/>
        <v>359255</v>
      </c>
      <c r="AY16" s="707"/>
      <c r="AZ16" s="708">
        <f t="shared" si="14"/>
        <v>11.25</v>
      </c>
      <c r="BA16" s="709"/>
    </row>
    <row r="17" spans="1:53" s="683" customFormat="1" ht="43.95" customHeight="1">
      <c r="A17" s="688">
        <v>8</v>
      </c>
      <c r="B17" s="689">
        <v>2</v>
      </c>
      <c r="C17" s="689">
        <v>55</v>
      </c>
      <c r="D17" s="690">
        <f>'Tên Tháng 1'!B178</f>
        <v>31550</v>
      </c>
      <c r="E17" s="690" t="str">
        <f>'Tên Tháng 1'!C178</f>
        <v>ប្រុស</v>
      </c>
      <c r="F17" s="690">
        <f>'Tên Tháng 1'!D178</f>
        <v>220071768</v>
      </c>
      <c r="G17" s="690" t="str">
        <f>'Tên Tháng 1'!E178</f>
        <v>ប៉ឹង ថា</v>
      </c>
      <c r="H17" s="690" t="str">
        <f>'Tên Tháng 1'!F178</f>
        <v>POENG THA</v>
      </c>
      <c r="I17" s="693" t="str">
        <f>'CHAM CONG'!G184</f>
        <v>x</v>
      </c>
      <c r="J17" s="693" t="str">
        <f>'CHAM CONG'!H184</f>
        <v>x</v>
      </c>
      <c r="K17" s="693" t="str">
        <f>'CHAM CONG'!I184</f>
        <v>x</v>
      </c>
      <c r="L17" s="693">
        <f>'CHAM CONG'!J184</f>
        <v>0</v>
      </c>
      <c r="M17" s="693">
        <f>'CHAM CONG'!K184</f>
        <v>0</v>
      </c>
      <c r="N17" s="693" t="str">
        <f>'CHAM CONG'!L184</f>
        <v>x</v>
      </c>
      <c r="O17" s="693">
        <f>'CHAM CONG'!M184</f>
        <v>0</v>
      </c>
      <c r="P17" s="693" t="str">
        <f>'CHAM CONG'!N184</f>
        <v>x</v>
      </c>
      <c r="Q17" s="693" t="str">
        <f>'CHAM CONG'!O184</f>
        <v>x</v>
      </c>
      <c r="R17" s="693" t="str">
        <f>'CHAM CONG'!P184</f>
        <v>x</v>
      </c>
      <c r="S17" s="693" t="str">
        <f>'CHAM CONG'!Q184</f>
        <v>x</v>
      </c>
      <c r="T17" s="693" t="str">
        <f>'CHAM CONG'!R184</f>
        <v>x</v>
      </c>
      <c r="U17" s="693" t="str">
        <f>'CHAM CONG'!S184</f>
        <v>x</v>
      </c>
      <c r="V17" s="693" t="str">
        <f>'CHAM CONG'!T184</f>
        <v>x</v>
      </c>
      <c r="W17" s="693" t="str">
        <f>'CHAM CONG'!U184</f>
        <v>x</v>
      </c>
      <c r="X17" s="693"/>
      <c r="Y17" s="693"/>
      <c r="Z17" s="698">
        <f t="shared" si="3"/>
        <v>12</v>
      </c>
      <c r="AA17" s="699">
        <f t="shared" si="0"/>
        <v>0</v>
      </c>
      <c r="AB17" s="700">
        <f t="shared" si="4"/>
        <v>192000</v>
      </c>
      <c r="AC17" s="700">
        <f>'CHAM CONG'!V184</f>
        <v>0</v>
      </c>
      <c r="AD17" s="700" t="str">
        <f>'CHAM CONG'!X184</f>
        <v>x</v>
      </c>
      <c r="AE17" s="698">
        <f t="shared" si="5"/>
        <v>1</v>
      </c>
      <c r="AF17" s="700">
        <f t="shared" si="6"/>
        <v>17000</v>
      </c>
      <c r="AG17" s="700">
        <f t="shared" si="7"/>
        <v>12</v>
      </c>
      <c r="AH17" s="537">
        <f t="shared" si="8"/>
        <v>12000</v>
      </c>
      <c r="AI17" s="700">
        <f t="shared" si="9"/>
        <v>221000</v>
      </c>
      <c r="AJ17" s="693">
        <f>'SAN LUONG'!AF185</f>
        <v>263</v>
      </c>
      <c r="AK17" s="693">
        <f>'SAN LUONG'!AG185</f>
        <v>332</v>
      </c>
      <c r="AL17" s="693">
        <f>'SAN LUONG'!AH185</f>
        <v>385</v>
      </c>
      <c r="AM17" s="702">
        <f t="shared" si="10"/>
        <v>980</v>
      </c>
      <c r="AN17" s="702">
        <f t="shared" si="1"/>
        <v>0</v>
      </c>
      <c r="AO17" s="702"/>
      <c r="AP17" s="702">
        <f t="shared" si="11"/>
        <v>239316</v>
      </c>
      <c r="AQ17" s="555"/>
      <c r="AR17" s="702">
        <f t="shared" si="12"/>
        <v>0</v>
      </c>
      <c r="AS17" s="555">
        <f t="shared" si="13"/>
        <v>460316</v>
      </c>
      <c r="AT17" s="706"/>
      <c r="AU17" s="706"/>
      <c r="AV17" s="706">
        <f>'CHAM CONG'!AZ184</f>
        <v>0</v>
      </c>
      <c r="AW17" s="706"/>
      <c r="AX17" s="562">
        <f t="shared" si="2"/>
        <v>460316</v>
      </c>
      <c r="AY17" s="707"/>
      <c r="AZ17" s="708">
        <f t="shared" si="14"/>
        <v>14.41</v>
      </c>
      <c r="BA17" s="709"/>
    </row>
    <row r="18" spans="1:53" s="683" customFormat="1" ht="43.95" customHeight="1">
      <c r="A18" s="688">
        <v>9</v>
      </c>
      <c r="B18" s="689">
        <v>2</v>
      </c>
      <c r="C18" s="689">
        <v>56</v>
      </c>
      <c r="D18" s="690">
        <f>'Tên Tháng 1'!B179</f>
        <v>36411</v>
      </c>
      <c r="E18" s="690" t="str">
        <f>'Tên Tháng 1'!C179</f>
        <v>ប្រុស</v>
      </c>
      <c r="F18" s="690">
        <f>'Tên Tháng 1'!D179</f>
        <v>220137755</v>
      </c>
      <c r="G18" s="690" t="str">
        <f>'Tên Tháng 1'!E179</f>
        <v>កោ គង្គា</v>
      </c>
      <c r="H18" s="690" t="str">
        <f>'Tên Tháng 1'!F179</f>
        <v>KOR KONGKEA</v>
      </c>
      <c r="I18" s="693" t="str">
        <f>'CHAM CONG'!G185</f>
        <v>x</v>
      </c>
      <c r="J18" s="693" t="str">
        <f>'CHAM CONG'!H185</f>
        <v>x</v>
      </c>
      <c r="K18" s="693" t="str">
        <f>'CHAM CONG'!I185</f>
        <v>x</v>
      </c>
      <c r="L18" s="693">
        <f>'CHAM CONG'!J185</f>
        <v>0</v>
      </c>
      <c r="M18" s="693">
        <f>'CHAM CONG'!K185</f>
        <v>0</v>
      </c>
      <c r="N18" s="693" t="str">
        <f>'CHAM CONG'!L185</f>
        <v>x</v>
      </c>
      <c r="O18" s="693" t="str">
        <f>'CHAM CONG'!M185</f>
        <v>x</v>
      </c>
      <c r="P18" s="693" t="str">
        <f>'CHAM CONG'!N185</f>
        <v>x</v>
      </c>
      <c r="Q18" s="693" t="str">
        <f>'CHAM CONG'!O185</f>
        <v>x</v>
      </c>
      <c r="R18" s="693" t="str">
        <f>'CHAM CONG'!P185</f>
        <v>x</v>
      </c>
      <c r="S18" s="693" t="str">
        <f>'CHAM CONG'!Q185</f>
        <v>x</v>
      </c>
      <c r="T18" s="693" t="str">
        <f>'CHAM CONG'!R185</f>
        <v>x</v>
      </c>
      <c r="U18" s="693" t="str">
        <f>'CHAM CONG'!S185</f>
        <v>x</v>
      </c>
      <c r="V18" s="693" t="str">
        <f>'CHAM CONG'!T185</f>
        <v>x</v>
      </c>
      <c r="W18" s="693" t="str">
        <f>'CHAM CONG'!U185</f>
        <v>x</v>
      </c>
      <c r="X18" s="693"/>
      <c r="Y18" s="693"/>
      <c r="Z18" s="698">
        <f t="shared" si="3"/>
        <v>13</v>
      </c>
      <c r="AA18" s="699">
        <f t="shared" si="0"/>
        <v>0</v>
      </c>
      <c r="AB18" s="700">
        <f t="shared" si="4"/>
        <v>208000</v>
      </c>
      <c r="AC18" s="700">
        <f>'CHAM CONG'!V185</f>
        <v>0</v>
      </c>
      <c r="AD18" s="700" t="str">
        <f>'CHAM CONG'!X185</f>
        <v>x</v>
      </c>
      <c r="AE18" s="698">
        <f t="shared" si="5"/>
        <v>1</v>
      </c>
      <c r="AF18" s="700">
        <f t="shared" si="6"/>
        <v>17000</v>
      </c>
      <c r="AG18" s="700">
        <f t="shared" si="7"/>
        <v>13</v>
      </c>
      <c r="AH18" s="537">
        <f t="shared" si="8"/>
        <v>13000</v>
      </c>
      <c r="AI18" s="700">
        <f t="shared" si="9"/>
        <v>238000</v>
      </c>
      <c r="AJ18" s="693">
        <f>'SAN LUONG'!AF186</f>
        <v>476</v>
      </c>
      <c r="AK18" s="693">
        <f>'SAN LUONG'!AG186</f>
        <v>240</v>
      </c>
      <c r="AL18" s="693">
        <f>'SAN LUONG'!AH186</f>
        <v>126</v>
      </c>
      <c r="AM18" s="702">
        <f t="shared" si="10"/>
        <v>842</v>
      </c>
      <c r="AN18" s="702">
        <f t="shared" si="1"/>
        <v>0</v>
      </c>
      <c r="AO18" s="702"/>
      <c r="AP18" s="702">
        <f t="shared" si="11"/>
        <v>205616</v>
      </c>
      <c r="AQ18" s="555"/>
      <c r="AR18" s="702">
        <f t="shared" si="12"/>
        <v>0</v>
      </c>
      <c r="AS18" s="555">
        <f t="shared" si="13"/>
        <v>443616</v>
      </c>
      <c r="AT18" s="706"/>
      <c r="AU18" s="706"/>
      <c r="AV18" s="706">
        <f>'CHAM CONG'!AZ185</f>
        <v>0</v>
      </c>
      <c r="AW18" s="706"/>
      <c r="AX18" s="562">
        <f t="shared" si="2"/>
        <v>443616</v>
      </c>
      <c r="AY18" s="707"/>
      <c r="AZ18" s="708">
        <f t="shared" si="14"/>
        <v>13.89</v>
      </c>
      <c r="BA18" s="709"/>
    </row>
    <row r="19" spans="1:53" s="683" customFormat="1" ht="43.95" customHeight="1">
      <c r="A19" s="688">
        <v>10</v>
      </c>
      <c r="B19" s="689">
        <v>2</v>
      </c>
      <c r="C19" s="689">
        <v>57</v>
      </c>
      <c r="D19" s="690">
        <f>'Tên Tháng 1'!B180</f>
        <v>36012</v>
      </c>
      <c r="E19" s="690" t="str">
        <f>'Tên Tháng 1'!C180</f>
        <v>ប្រុស</v>
      </c>
      <c r="F19" s="690">
        <f>'Tên Tháng 1'!D180</f>
        <v>150889479</v>
      </c>
      <c r="G19" s="690" t="str">
        <f>'Tên Tháng 1'!E180</f>
        <v>សេង សីហា</v>
      </c>
      <c r="H19" s="690" t="str">
        <f>'Tên Tháng 1'!F180</f>
        <v>SENG SEYHA</v>
      </c>
      <c r="I19" s="693" t="str">
        <f>'CHAM CONG'!G186</f>
        <v>x</v>
      </c>
      <c r="J19" s="693" t="str">
        <f>'CHAM CONG'!H186</f>
        <v>x</v>
      </c>
      <c r="K19" s="693" t="str">
        <f>'CHAM CONG'!I186</f>
        <v>x</v>
      </c>
      <c r="L19" s="693">
        <f>'CHAM CONG'!J186</f>
        <v>0</v>
      </c>
      <c r="M19" s="693" t="str">
        <f>'CHAM CONG'!K186</f>
        <v>x</v>
      </c>
      <c r="N19" s="693" t="str">
        <f>'CHAM CONG'!L186</f>
        <v>x</v>
      </c>
      <c r="O19" s="693">
        <f>'CHAM CONG'!M186</f>
        <v>0</v>
      </c>
      <c r="P19" s="693" t="str">
        <f>'CHAM CONG'!N186</f>
        <v>x</v>
      </c>
      <c r="Q19" s="693" t="str">
        <f>'CHAM CONG'!O186</f>
        <v>x</v>
      </c>
      <c r="R19" s="693" t="str">
        <f>'CHAM CONG'!P186</f>
        <v>x</v>
      </c>
      <c r="S19" s="693" t="str">
        <f>'CHAM CONG'!Q186</f>
        <v>x</v>
      </c>
      <c r="T19" s="693" t="str">
        <f>'CHAM CONG'!R186</f>
        <v>x</v>
      </c>
      <c r="U19" s="693" t="str">
        <f>'CHAM CONG'!S186</f>
        <v>x</v>
      </c>
      <c r="V19" s="693" t="str">
        <f>'CHAM CONG'!T186</f>
        <v>x</v>
      </c>
      <c r="W19" s="693">
        <f>'CHAM CONG'!U186</f>
        <v>0</v>
      </c>
      <c r="X19" s="693"/>
      <c r="Y19" s="693"/>
      <c r="Z19" s="698">
        <f t="shared" si="3"/>
        <v>12</v>
      </c>
      <c r="AA19" s="699">
        <f t="shared" si="0"/>
        <v>0</v>
      </c>
      <c r="AB19" s="700">
        <f t="shared" si="4"/>
        <v>192000</v>
      </c>
      <c r="AC19" s="700">
        <f>'CHAM CONG'!V186</f>
        <v>0</v>
      </c>
      <c r="AD19" s="700">
        <f>'CHAM CONG'!X186</f>
        <v>0</v>
      </c>
      <c r="AE19" s="698">
        <f t="shared" si="5"/>
        <v>0</v>
      </c>
      <c r="AF19" s="700">
        <f t="shared" si="6"/>
        <v>0</v>
      </c>
      <c r="AG19" s="700">
        <f t="shared" si="7"/>
        <v>12</v>
      </c>
      <c r="AH19" s="537">
        <f t="shared" si="8"/>
        <v>12000</v>
      </c>
      <c r="AI19" s="700">
        <f t="shared" si="9"/>
        <v>204000</v>
      </c>
      <c r="AJ19" s="693">
        <f>'SAN LUONG'!AF187</f>
        <v>403</v>
      </c>
      <c r="AK19" s="693">
        <f>'SAN LUONG'!AG187</f>
        <v>378</v>
      </c>
      <c r="AL19" s="693">
        <f>'SAN LUONG'!AH187</f>
        <v>328</v>
      </c>
      <c r="AM19" s="702">
        <f t="shared" si="10"/>
        <v>1109</v>
      </c>
      <c r="AN19" s="702">
        <f t="shared" si="1"/>
        <v>0</v>
      </c>
      <c r="AO19" s="702"/>
      <c r="AP19" s="702">
        <f t="shared" si="11"/>
        <v>270818</v>
      </c>
      <c r="AQ19" s="555"/>
      <c r="AR19" s="702">
        <f t="shared" si="12"/>
        <v>0</v>
      </c>
      <c r="AS19" s="555">
        <f t="shared" si="13"/>
        <v>474818</v>
      </c>
      <c r="AT19" s="706"/>
      <c r="AU19" s="706"/>
      <c r="AV19" s="706">
        <f>'CHAM CONG'!AZ186</f>
        <v>0</v>
      </c>
      <c r="AW19" s="706"/>
      <c r="AX19" s="562">
        <f t="shared" si="2"/>
        <v>474818</v>
      </c>
      <c r="AY19" s="707"/>
      <c r="AZ19" s="708">
        <f t="shared" si="14"/>
        <v>14.86</v>
      </c>
      <c r="BA19" s="709"/>
    </row>
    <row r="20" spans="1:53" s="684" customFormat="1" ht="43.95" customHeight="1">
      <c r="A20" s="688">
        <v>11</v>
      </c>
      <c r="B20" s="689">
        <v>2</v>
      </c>
      <c r="C20" s="691">
        <v>58</v>
      </c>
      <c r="D20" s="692">
        <f>'Tên Tháng 1'!B181</f>
        <v>34202</v>
      </c>
      <c r="E20" s="692" t="str">
        <f>'Tên Tháng 1'!C181</f>
        <v>ស្រី</v>
      </c>
      <c r="F20" s="692">
        <f>'Tên Tháng 1'!D181</f>
        <v>150468220</v>
      </c>
      <c r="G20" s="690" t="str">
        <f>'Tên Tháng 1'!E181</f>
        <v>ថៃ លក្ខិណា</v>
      </c>
      <c r="H20" s="690" t="str">
        <f>'Tên Tháng 1'!F181</f>
        <v>THAI LEAKANA</v>
      </c>
      <c r="I20" s="693" t="str">
        <f>'CHAM CONG'!G187</f>
        <v>x</v>
      </c>
      <c r="J20" s="693" t="str">
        <f>'CHAM CONG'!H187</f>
        <v>x</v>
      </c>
      <c r="K20" s="693" t="str">
        <f>'CHAM CONG'!I187</f>
        <v>x</v>
      </c>
      <c r="L20" s="693">
        <f>'CHAM CONG'!J187</f>
        <v>0</v>
      </c>
      <c r="M20" s="693" t="str">
        <f>'CHAM CONG'!K187</f>
        <v>x</v>
      </c>
      <c r="N20" s="693" t="str">
        <f>'CHAM CONG'!L187</f>
        <v>x</v>
      </c>
      <c r="O20" s="693" t="str">
        <f>'CHAM CONG'!M187</f>
        <v>x</v>
      </c>
      <c r="P20" s="693" t="str">
        <f>'CHAM CONG'!N187</f>
        <v>x</v>
      </c>
      <c r="Q20" s="693" t="str">
        <f>'CHAM CONG'!O187</f>
        <v>x</v>
      </c>
      <c r="R20" s="693" t="str">
        <f>'CHAM CONG'!P187</f>
        <v>x</v>
      </c>
      <c r="S20" s="693" t="str">
        <f>'CHAM CONG'!Q187</f>
        <v>x</v>
      </c>
      <c r="T20" s="693" t="str">
        <f>'CHAM CONG'!R187</f>
        <v>x</v>
      </c>
      <c r="U20" s="693" t="str">
        <f>'CHAM CONG'!S187</f>
        <v>x</v>
      </c>
      <c r="V20" s="693" t="str">
        <f>'CHAM CONG'!T187</f>
        <v>x</v>
      </c>
      <c r="W20" s="693" t="str">
        <f>'CHAM CONG'!U187</f>
        <v>x</v>
      </c>
      <c r="X20" s="694"/>
      <c r="Y20" s="694"/>
      <c r="Z20" s="698">
        <f t="shared" si="3"/>
        <v>14</v>
      </c>
      <c r="AA20" s="699">
        <f t="shared" si="0"/>
        <v>0</v>
      </c>
      <c r="AB20" s="700">
        <f t="shared" si="4"/>
        <v>224000</v>
      </c>
      <c r="AC20" s="700">
        <f>'CHAM CONG'!V187</f>
        <v>0</v>
      </c>
      <c r="AD20" s="700">
        <f>'CHAM CONG'!X187</f>
        <v>0</v>
      </c>
      <c r="AE20" s="698">
        <f t="shared" si="5"/>
        <v>0</v>
      </c>
      <c r="AF20" s="700">
        <f t="shared" si="6"/>
        <v>0</v>
      </c>
      <c r="AG20" s="700">
        <f t="shared" si="7"/>
        <v>14</v>
      </c>
      <c r="AH20" s="537">
        <f t="shared" si="8"/>
        <v>14000</v>
      </c>
      <c r="AI20" s="700">
        <f t="shared" si="9"/>
        <v>238000</v>
      </c>
      <c r="AJ20" s="693">
        <f>'SAN LUONG'!AF188</f>
        <v>417</v>
      </c>
      <c r="AK20" s="693">
        <f>'SAN LUONG'!AG188</f>
        <v>338</v>
      </c>
      <c r="AL20" s="693">
        <f>'SAN LUONG'!AH188</f>
        <v>361</v>
      </c>
      <c r="AM20" s="702">
        <f t="shared" si="10"/>
        <v>1116</v>
      </c>
      <c r="AN20" s="702">
        <f t="shared" si="1"/>
        <v>0</v>
      </c>
      <c r="AO20" s="702"/>
      <c r="AP20" s="702">
        <f t="shared" si="11"/>
        <v>272527</v>
      </c>
      <c r="AQ20" s="555"/>
      <c r="AR20" s="702">
        <f t="shared" si="12"/>
        <v>0</v>
      </c>
      <c r="AS20" s="555">
        <f t="shared" si="13"/>
        <v>510527</v>
      </c>
      <c r="AT20" s="706"/>
      <c r="AU20" s="706"/>
      <c r="AV20" s="706">
        <f>'CHAM CONG'!AZ187</f>
        <v>0</v>
      </c>
      <c r="AW20" s="706"/>
      <c r="AX20" s="562">
        <f t="shared" si="2"/>
        <v>510527</v>
      </c>
      <c r="AY20" s="710"/>
      <c r="AZ20" s="708">
        <f t="shared" si="14"/>
        <v>15.98</v>
      </c>
      <c r="BA20" s="711"/>
    </row>
    <row r="21" spans="1:53" s="683" customFormat="1" ht="43.95" customHeight="1">
      <c r="A21" s="688">
        <v>12</v>
      </c>
      <c r="B21" s="689">
        <v>2</v>
      </c>
      <c r="C21" s="689">
        <v>59</v>
      </c>
      <c r="D21" s="690">
        <f>'Tên Tháng 1'!B183</f>
        <v>36992</v>
      </c>
      <c r="E21" s="690" t="str">
        <f>'Tên Tháng 1'!C183</f>
        <v>ប្រុស</v>
      </c>
      <c r="F21" s="690">
        <f>'Tên Tháng 1'!D183</f>
        <v>220208779</v>
      </c>
      <c r="G21" s="690" t="str">
        <f>'Tên Tháng 1'!E182</f>
        <v>ឈឿន សុខច័ន្ទ</v>
      </c>
      <c r="H21" s="690" t="str">
        <f>'Tên Tháng 1'!F182</f>
        <v>CHHOEUN SOKCHAN</v>
      </c>
      <c r="I21" s="693">
        <f>'CHAM CONG'!G188</f>
        <v>0</v>
      </c>
      <c r="J21" s="693">
        <f>'CHAM CONG'!H188</f>
        <v>0</v>
      </c>
      <c r="K21" s="693" t="str">
        <f>'CHAM CONG'!I188</f>
        <v>x</v>
      </c>
      <c r="L21" s="693">
        <f>'CHAM CONG'!J188</f>
        <v>0</v>
      </c>
      <c r="M21" s="693">
        <f>'CHAM CONG'!K188</f>
        <v>0</v>
      </c>
      <c r="N21" s="693">
        <f>'CHAM CONG'!L188</f>
        <v>0</v>
      </c>
      <c r="O21" s="693">
        <f>'CHAM CONG'!M188</f>
        <v>0</v>
      </c>
      <c r="P21" s="693">
        <f>'CHAM CONG'!N188</f>
        <v>0</v>
      </c>
      <c r="Q21" s="693">
        <f>'CHAM CONG'!O188</f>
        <v>0</v>
      </c>
      <c r="R21" s="693">
        <f>'CHAM CONG'!P188</f>
        <v>0</v>
      </c>
      <c r="S21" s="693">
        <f>'CHAM CONG'!Q188</f>
        <v>0</v>
      </c>
      <c r="T21" s="693">
        <f>'CHAM CONG'!R188</f>
        <v>0</v>
      </c>
      <c r="U21" s="693">
        <f>'CHAM CONG'!S188</f>
        <v>0</v>
      </c>
      <c r="V21" s="693">
        <f>'CHAM CONG'!T188</f>
        <v>0</v>
      </c>
      <c r="W21" s="693">
        <f>'CHAM CONG'!U188</f>
        <v>0</v>
      </c>
      <c r="X21" s="693"/>
      <c r="Y21" s="693"/>
      <c r="Z21" s="698">
        <f t="shared" si="3"/>
        <v>1</v>
      </c>
      <c r="AA21" s="699">
        <f t="shared" ref="AA21:AA48" si="15">ROUND(Z21*$Z$9/30456,2)</f>
        <v>0</v>
      </c>
      <c r="AB21" s="700">
        <f t="shared" si="4"/>
        <v>16000</v>
      </c>
      <c r="AC21" s="700">
        <f>'CHAM CONG'!V188</f>
        <v>0</v>
      </c>
      <c r="AD21" s="700">
        <f>'CHAM CONG'!X188</f>
        <v>0</v>
      </c>
      <c r="AE21" s="698">
        <f t="shared" si="5"/>
        <v>0</v>
      </c>
      <c r="AF21" s="700">
        <f t="shared" si="6"/>
        <v>0</v>
      </c>
      <c r="AG21" s="700">
        <f t="shared" si="7"/>
        <v>1</v>
      </c>
      <c r="AH21" s="537">
        <f t="shared" si="8"/>
        <v>1000</v>
      </c>
      <c r="AI21" s="700">
        <f t="shared" si="9"/>
        <v>17000</v>
      </c>
      <c r="AJ21" s="693">
        <f>'SAN LUONG'!AF189</f>
        <v>0</v>
      </c>
      <c r="AK21" s="693">
        <f>'SAN LUONG'!AG189</f>
        <v>161</v>
      </c>
      <c r="AL21" s="693">
        <f>'SAN LUONG'!AH189</f>
        <v>0</v>
      </c>
      <c r="AM21" s="702">
        <f t="shared" ref="AM21:AM48" si="16">SUM(AJ21:AL21)</f>
        <v>161</v>
      </c>
      <c r="AN21" s="702">
        <f t="shared" ref="AN21:AN48" si="17">AM21*$AN$8</f>
        <v>0</v>
      </c>
      <c r="AO21" s="702"/>
      <c r="AP21" s="702">
        <f t="shared" si="11"/>
        <v>39316</v>
      </c>
      <c r="AQ21" s="555"/>
      <c r="AR21" s="702">
        <f t="shared" si="12"/>
        <v>0</v>
      </c>
      <c r="AS21" s="555">
        <f t="shared" si="13"/>
        <v>56316</v>
      </c>
      <c r="AT21" s="706"/>
      <c r="AU21" s="706"/>
      <c r="AV21" s="706">
        <f>'CHAM CONG'!AZ189</f>
        <v>0</v>
      </c>
      <c r="AW21" s="706"/>
      <c r="AX21" s="562">
        <f t="shared" ref="AX21:AX48" si="18">AS21-AW21</f>
        <v>56316</v>
      </c>
      <c r="AY21" s="707"/>
      <c r="AZ21" s="708">
        <f t="shared" si="14"/>
        <v>1.76</v>
      </c>
      <c r="BA21" s="709"/>
    </row>
    <row r="22" spans="1:53" s="683" customFormat="1" ht="43.95" customHeight="1">
      <c r="A22" s="688">
        <v>13</v>
      </c>
      <c r="B22" s="689">
        <v>2</v>
      </c>
      <c r="C22" s="689">
        <v>60</v>
      </c>
      <c r="D22" s="690">
        <f>'Tên Tháng 1'!B184</f>
        <v>36595</v>
      </c>
      <c r="E22" s="690" t="str">
        <f>'Tên Tháng 1'!C184</f>
        <v>ប្រុស</v>
      </c>
      <c r="F22" s="690" t="str">
        <f>'Tên Tháng 1'!D184</f>
        <v>22211461</v>
      </c>
      <c r="G22" s="690" t="str">
        <f>'Tên Tháng 1'!E183</f>
        <v>សុទ្ធ សានី</v>
      </c>
      <c r="H22" s="690" t="str">
        <f>'Tên Tháng 1'!F183</f>
        <v>SOTH SANY</v>
      </c>
      <c r="I22" s="693">
        <f>'CHAM CONG'!G189</f>
        <v>0</v>
      </c>
      <c r="J22" s="693" t="str">
        <f>'CHAM CONG'!H189</f>
        <v>x</v>
      </c>
      <c r="K22" s="693">
        <f>'CHAM CONG'!I189</f>
        <v>0</v>
      </c>
      <c r="L22" s="693">
        <f>'CHAM CONG'!J189</f>
        <v>0</v>
      </c>
      <c r="M22" s="693">
        <f>'CHAM CONG'!K189</f>
        <v>0</v>
      </c>
      <c r="N22" s="693">
        <f>'CHAM CONG'!L189</f>
        <v>0</v>
      </c>
      <c r="O22" s="693">
        <f>'CHAM CONG'!M189</f>
        <v>0</v>
      </c>
      <c r="P22" s="693" t="str">
        <f>'CHAM CONG'!N189</f>
        <v>x</v>
      </c>
      <c r="Q22" s="693" t="str">
        <f>'CHAM CONG'!O189</f>
        <v>x</v>
      </c>
      <c r="R22" s="693" t="str">
        <f>'CHAM CONG'!P189</f>
        <v>x</v>
      </c>
      <c r="S22" s="693" t="str">
        <f>'CHAM CONG'!Q189</f>
        <v>x</v>
      </c>
      <c r="T22" s="693" t="str">
        <f>'CHAM CONG'!R189</f>
        <v>x</v>
      </c>
      <c r="U22" s="693" t="str">
        <f>'CHAM CONG'!S189</f>
        <v>x</v>
      </c>
      <c r="V22" s="693" t="str">
        <f>'CHAM CONG'!T189</f>
        <v>x</v>
      </c>
      <c r="W22" s="693" t="str">
        <f>'CHAM CONG'!U189</f>
        <v>x</v>
      </c>
      <c r="X22" s="693"/>
      <c r="Y22" s="693"/>
      <c r="Z22" s="698">
        <f t="shared" si="3"/>
        <v>9</v>
      </c>
      <c r="AA22" s="699">
        <f t="shared" si="15"/>
        <v>0</v>
      </c>
      <c r="AB22" s="700">
        <f t="shared" si="4"/>
        <v>144000</v>
      </c>
      <c r="AC22" s="700">
        <f>'CHAM CONG'!V189</f>
        <v>0</v>
      </c>
      <c r="AD22" s="700">
        <f>'CHAM CONG'!X189</f>
        <v>0</v>
      </c>
      <c r="AE22" s="698">
        <f t="shared" si="5"/>
        <v>0</v>
      </c>
      <c r="AF22" s="700">
        <f t="shared" si="6"/>
        <v>0</v>
      </c>
      <c r="AG22" s="700">
        <f t="shared" si="7"/>
        <v>9</v>
      </c>
      <c r="AH22" s="537">
        <f t="shared" si="8"/>
        <v>9000</v>
      </c>
      <c r="AI22" s="700">
        <f t="shared" si="9"/>
        <v>153000</v>
      </c>
      <c r="AJ22" s="693">
        <f>'SAN LUONG'!AF190</f>
        <v>146</v>
      </c>
      <c r="AK22" s="693">
        <f>'SAN LUONG'!AG190</f>
        <v>470</v>
      </c>
      <c r="AL22" s="693">
        <f>'SAN LUONG'!AH190</f>
        <v>100</v>
      </c>
      <c r="AM22" s="702">
        <f t="shared" si="16"/>
        <v>716</v>
      </c>
      <c r="AN22" s="702">
        <f t="shared" si="17"/>
        <v>0</v>
      </c>
      <c r="AO22" s="702"/>
      <c r="AP22" s="702">
        <f t="shared" si="11"/>
        <v>174847</v>
      </c>
      <c r="AQ22" s="555"/>
      <c r="AR22" s="702">
        <f t="shared" si="12"/>
        <v>0</v>
      </c>
      <c r="AS22" s="555">
        <f t="shared" si="13"/>
        <v>327847</v>
      </c>
      <c r="AT22" s="706"/>
      <c r="AU22" s="706"/>
      <c r="AV22" s="706">
        <f>'CHAM CONG'!AZ190</f>
        <v>0</v>
      </c>
      <c r="AW22" s="706"/>
      <c r="AX22" s="562">
        <f t="shared" si="18"/>
        <v>327847</v>
      </c>
      <c r="AY22" s="707"/>
      <c r="AZ22" s="708">
        <f t="shared" si="14"/>
        <v>10.26</v>
      </c>
      <c r="BA22" s="709"/>
    </row>
    <row r="23" spans="1:53" s="683" customFormat="1" ht="43.95" customHeight="1">
      <c r="A23" s="688">
        <v>14</v>
      </c>
      <c r="B23" s="689">
        <v>2</v>
      </c>
      <c r="C23" s="689">
        <v>61</v>
      </c>
      <c r="D23" s="690">
        <f>'Tên Tháng 1'!B185</f>
        <v>31234</v>
      </c>
      <c r="E23" s="690" t="str">
        <f>'Tên Tháng 1'!C185</f>
        <v>ប្រុស</v>
      </c>
      <c r="F23" s="690">
        <f>'Tên Tháng 1'!D185</f>
        <v>220175460</v>
      </c>
      <c r="G23" s="690" t="str">
        <f>'Tên Tháng 1'!E184</f>
        <v>យឿង សុខជាតិ</v>
      </c>
      <c r="H23" s="690" t="str">
        <f>'Tên Tháng 1'!F184</f>
        <v>YOEUNG SOCHEAT</v>
      </c>
      <c r="I23" s="693" t="str">
        <f>'CHAM CONG'!G190</f>
        <v>x</v>
      </c>
      <c r="J23" s="693" t="str">
        <f>'CHAM CONG'!H190</f>
        <v>x</v>
      </c>
      <c r="K23" s="693" t="str">
        <f>'CHAM CONG'!I190</f>
        <v>x</v>
      </c>
      <c r="L23" s="693">
        <f>'CHAM CONG'!J190</f>
        <v>0</v>
      </c>
      <c r="M23" s="693">
        <f>'CHAM CONG'!K190</f>
        <v>0</v>
      </c>
      <c r="N23" s="693" t="str">
        <f>'CHAM CONG'!L190</f>
        <v>x</v>
      </c>
      <c r="O23" s="693" t="str">
        <f>'CHAM CONG'!M190</f>
        <v>x</v>
      </c>
      <c r="P23" s="693" t="str">
        <f>'CHAM CONG'!N190</f>
        <v>x</v>
      </c>
      <c r="Q23" s="693" t="str">
        <f>'CHAM CONG'!O190</f>
        <v>x</v>
      </c>
      <c r="R23" s="693" t="str">
        <f>'CHAM CONG'!P190</f>
        <v>x</v>
      </c>
      <c r="S23" s="693" t="str">
        <f>'CHAM CONG'!Q190</f>
        <v>x</v>
      </c>
      <c r="T23" s="693" t="str">
        <f>'CHAM CONG'!R190</f>
        <v>x</v>
      </c>
      <c r="U23" s="693" t="str">
        <f>'CHAM CONG'!S190</f>
        <v>x</v>
      </c>
      <c r="V23" s="693" t="str">
        <f>'CHAM CONG'!T190</f>
        <v>x</v>
      </c>
      <c r="W23" s="693" t="str">
        <f>'CHAM CONG'!U190</f>
        <v>x</v>
      </c>
      <c r="X23" s="693"/>
      <c r="Y23" s="693"/>
      <c r="Z23" s="698">
        <f t="shared" si="3"/>
        <v>13</v>
      </c>
      <c r="AA23" s="699">
        <f t="shared" si="15"/>
        <v>0</v>
      </c>
      <c r="AB23" s="700">
        <f t="shared" si="4"/>
        <v>208000</v>
      </c>
      <c r="AC23" s="700" t="str">
        <f>'CHAM CONG'!V190</f>
        <v>x</v>
      </c>
      <c r="AD23" s="700">
        <f>'CHAM CONG'!X190</f>
        <v>0</v>
      </c>
      <c r="AE23" s="698">
        <f t="shared" si="5"/>
        <v>1</v>
      </c>
      <c r="AF23" s="700">
        <f t="shared" si="6"/>
        <v>17000</v>
      </c>
      <c r="AG23" s="700">
        <f t="shared" si="7"/>
        <v>13</v>
      </c>
      <c r="AH23" s="537">
        <f t="shared" si="8"/>
        <v>13000</v>
      </c>
      <c r="AI23" s="700">
        <f t="shared" si="9"/>
        <v>238000</v>
      </c>
      <c r="AJ23" s="693">
        <f>'SAN LUONG'!AF191</f>
        <v>437</v>
      </c>
      <c r="AK23" s="693">
        <f>'SAN LUONG'!AG191</f>
        <v>348</v>
      </c>
      <c r="AL23" s="693">
        <f>'SAN LUONG'!AH191</f>
        <v>318</v>
      </c>
      <c r="AM23" s="702">
        <f t="shared" si="16"/>
        <v>1103</v>
      </c>
      <c r="AN23" s="702">
        <f t="shared" si="17"/>
        <v>0</v>
      </c>
      <c r="AO23" s="702"/>
      <c r="AP23" s="702">
        <f t="shared" si="11"/>
        <v>269353</v>
      </c>
      <c r="AQ23" s="555"/>
      <c r="AR23" s="702">
        <f t="shared" si="12"/>
        <v>0</v>
      </c>
      <c r="AS23" s="555">
        <f t="shared" si="13"/>
        <v>507353</v>
      </c>
      <c r="AT23" s="706"/>
      <c r="AU23" s="706"/>
      <c r="AV23" s="706">
        <f>'CHAM CONG'!AZ191</f>
        <v>0</v>
      </c>
      <c r="AW23" s="706"/>
      <c r="AX23" s="562">
        <f t="shared" si="18"/>
        <v>507353</v>
      </c>
      <c r="AY23" s="707"/>
      <c r="AZ23" s="708">
        <f t="shared" si="14"/>
        <v>15.88</v>
      </c>
      <c r="BA23" s="709"/>
    </row>
    <row r="24" spans="1:53" s="683" customFormat="1" ht="43.95" customHeight="1">
      <c r="A24" s="688">
        <v>15</v>
      </c>
      <c r="B24" s="689">
        <v>2</v>
      </c>
      <c r="C24" s="689">
        <v>62</v>
      </c>
      <c r="D24" s="690">
        <f>'Tên Tháng 1'!B186</f>
        <v>35345</v>
      </c>
      <c r="E24" s="690" t="str">
        <f>'Tên Tháng 1'!C186</f>
        <v>ស្រី</v>
      </c>
      <c r="F24" s="690" t="str">
        <f>'Tên Tháng 1'!D186</f>
        <v>220140659</v>
      </c>
      <c r="G24" s="690" t="str">
        <f>'Tên Tháng 1'!E185</f>
        <v>ម៉ែន មឿន</v>
      </c>
      <c r="H24" s="690" t="str">
        <f>'Tên Tháng 1'!F185</f>
        <v>MEN MOEUN</v>
      </c>
      <c r="I24" s="693" t="str">
        <f>'CHAM CONG'!G191</f>
        <v>x</v>
      </c>
      <c r="J24" s="693" t="str">
        <f>'CHAM CONG'!H191</f>
        <v>x</v>
      </c>
      <c r="K24" s="693" t="str">
        <f>'CHAM CONG'!I191</f>
        <v>x</v>
      </c>
      <c r="L24" s="693">
        <f>'CHAM CONG'!J191</f>
        <v>0</v>
      </c>
      <c r="M24" s="693">
        <f>'CHAM CONG'!K191</f>
        <v>0</v>
      </c>
      <c r="N24" s="693" t="str">
        <f>'CHAM CONG'!L191</f>
        <v>x</v>
      </c>
      <c r="O24" s="693" t="str">
        <f>'CHAM CONG'!M191</f>
        <v>x</v>
      </c>
      <c r="P24" s="693" t="str">
        <f>'CHAM CONG'!N191</f>
        <v>x</v>
      </c>
      <c r="Q24" s="693" t="str">
        <f>'CHAM CONG'!O191</f>
        <v>x</v>
      </c>
      <c r="R24" s="693" t="str">
        <f>'CHAM CONG'!P191</f>
        <v>x</v>
      </c>
      <c r="S24" s="693" t="str">
        <f>'CHAM CONG'!Q191</f>
        <v>x</v>
      </c>
      <c r="T24" s="693" t="str">
        <f>'CHAM CONG'!R191</f>
        <v>x</v>
      </c>
      <c r="U24" s="693" t="str">
        <f>'CHAM CONG'!S191</f>
        <v>x</v>
      </c>
      <c r="V24" s="693" t="str">
        <f>'CHAM CONG'!T191</f>
        <v>x</v>
      </c>
      <c r="W24" s="693" t="str">
        <f>'CHAM CONG'!U191</f>
        <v>x</v>
      </c>
      <c r="X24" s="693"/>
      <c r="Y24" s="693"/>
      <c r="Z24" s="698">
        <f t="shared" si="3"/>
        <v>13</v>
      </c>
      <c r="AA24" s="699">
        <f t="shared" si="15"/>
        <v>0</v>
      </c>
      <c r="AB24" s="700">
        <f t="shared" si="4"/>
        <v>208000</v>
      </c>
      <c r="AC24" s="700">
        <f>'CHAM CONG'!V191</f>
        <v>0</v>
      </c>
      <c r="AD24" s="700">
        <f>'CHAM CONG'!X191</f>
        <v>0</v>
      </c>
      <c r="AE24" s="698">
        <f t="shared" si="5"/>
        <v>0</v>
      </c>
      <c r="AF24" s="700">
        <f t="shared" si="6"/>
        <v>0</v>
      </c>
      <c r="AG24" s="700">
        <f t="shared" si="7"/>
        <v>13</v>
      </c>
      <c r="AH24" s="537">
        <f t="shared" si="8"/>
        <v>13000</v>
      </c>
      <c r="AI24" s="700">
        <f t="shared" si="9"/>
        <v>221000</v>
      </c>
      <c r="AJ24" s="693">
        <f>'SAN LUONG'!AF192</f>
        <v>436</v>
      </c>
      <c r="AK24" s="693">
        <f>'SAN LUONG'!AG192</f>
        <v>255</v>
      </c>
      <c r="AL24" s="693">
        <f>'SAN LUONG'!AH192</f>
        <v>430</v>
      </c>
      <c r="AM24" s="702">
        <f t="shared" si="16"/>
        <v>1121</v>
      </c>
      <c r="AN24" s="702">
        <f t="shared" si="17"/>
        <v>0</v>
      </c>
      <c r="AO24" s="702"/>
      <c r="AP24" s="702">
        <f t="shared" si="11"/>
        <v>273748</v>
      </c>
      <c r="AQ24" s="555"/>
      <c r="AR24" s="702">
        <f t="shared" si="12"/>
        <v>0</v>
      </c>
      <c r="AS24" s="555">
        <f t="shared" si="13"/>
        <v>494748</v>
      </c>
      <c r="AT24" s="706"/>
      <c r="AU24" s="706"/>
      <c r="AV24" s="706">
        <f>'CHAM CONG'!AZ192</f>
        <v>0</v>
      </c>
      <c r="AW24" s="706"/>
      <c r="AX24" s="562">
        <f t="shared" si="18"/>
        <v>494748</v>
      </c>
      <c r="AY24" s="707"/>
      <c r="AZ24" s="708">
        <f t="shared" si="14"/>
        <v>15.49</v>
      </c>
      <c r="BA24" s="709"/>
    </row>
    <row r="25" spans="1:53" s="683" customFormat="1" ht="43.95" customHeight="1">
      <c r="A25" s="688">
        <v>16</v>
      </c>
      <c r="B25" s="689">
        <v>2</v>
      </c>
      <c r="C25" s="689">
        <v>63</v>
      </c>
      <c r="D25" s="690">
        <f>'Tên Tháng 1'!B187</f>
        <v>33154</v>
      </c>
      <c r="E25" s="690" t="str">
        <f>'Tên Tháng 1'!C187</f>
        <v>ស្រី</v>
      </c>
      <c r="F25" s="690">
        <f>'Tên Tháng 1'!D187</f>
        <v>150468201</v>
      </c>
      <c r="G25" s="690" t="str">
        <f>'Tên Tháng 1'!E186</f>
        <v>យ៉ុង រី</v>
      </c>
      <c r="H25" s="690" t="str">
        <f>'Tên Tháng 1'!F186</f>
        <v>YONG RY</v>
      </c>
      <c r="I25" s="693">
        <f>'CHAM CONG'!G192</f>
        <v>0</v>
      </c>
      <c r="J25" s="693" t="str">
        <f>'CHAM CONG'!H192</f>
        <v>x</v>
      </c>
      <c r="K25" s="693" t="str">
        <f>'CHAM CONG'!I192</f>
        <v>x</v>
      </c>
      <c r="L25" s="693">
        <f>'CHAM CONG'!J192</f>
        <v>0</v>
      </c>
      <c r="M25" s="693" t="str">
        <f>'CHAM CONG'!K192</f>
        <v>x</v>
      </c>
      <c r="N25" s="693" t="str">
        <f>'CHAM CONG'!L192</f>
        <v>x</v>
      </c>
      <c r="O25" s="693" t="str">
        <f>'CHAM CONG'!M192</f>
        <v>x</v>
      </c>
      <c r="P25" s="693" t="str">
        <f>'CHAM CONG'!N192</f>
        <v>x</v>
      </c>
      <c r="Q25" s="693" t="str">
        <f>'CHAM CONG'!O192</f>
        <v>x</v>
      </c>
      <c r="R25" s="693" t="str">
        <f>'CHAM CONG'!P192</f>
        <v>x</v>
      </c>
      <c r="S25" s="693" t="str">
        <f>'CHAM CONG'!Q192</f>
        <v>x</v>
      </c>
      <c r="T25" s="693">
        <f>'CHAM CONG'!R192</f>
        <v>0</v>
      </c>
      <c r="U25" s="693" t="str">
        <f>'CHAM CONG'!S192</f>
        <v>x</v>
      </c>
      <c r="V25" s="693" t="str">
        <f>'CHAM CONG'!T192</f>
        <v>x</v>
      </c>
      <c r="W25" s="693" t="str">
        <f>'CHAM CONG'!U192</f>
        <v>x</v>
      </c>
      <c r="X25" s="693"/>
      <c r="Y25" s="693"/>
      <c r="Z25" s="698">
        <f t="shared" si="3"/>
        <v>12</v>
      </c>
      <c r="AA25" s="699">
        <f t="shared" si="15"/>
        <v>0</v>
      </c>
      <c r="AB25" s="700">
        <f t="shared" si="4"/>
        <v>192000</v>
      </c>
      <c r="AC25" s="700">
        <f>'CHAM CONG'!V192</f>
        <v>0</v>
      </c>
      <c r="AD25" s="700">
        <f>'CHAM CONG'!X192</f>
        <v>0</v>
      </c>
      <c r="AE25" s="698">
        <f t="shared" si="5"/>
        <v>0</v>
      </c>
      <c r="AF25" s="700">
        <f t="shared" si="6"/>
        <v>0</v>
      </c>
      <c r="AG25" s="700">
        <f t="shared" si="7"/>
        <v>12</v>
      </c>
      <c r="AH25" s="537">
        <f t="shared" si="8"/>
        <v>12000</v>
      </c>
      <c r="AI25" s="700">
        <f t="shared" si="9"/>
        <v>204000</v>
      </c>
      <c r="AJ25" s="693">
        <f>'SAN LUONG'!AF193</f>
        <v>72</v>
      </c>
      <c r="AK25" s="693">
        <f>'SAN LUONG'!AG193</f>
        <v>547</v>
      </c>
      <c r="AL25" s="693">
        <f>'SAN LUONG'!AH193</f>
        <v>243</v>
      </c>
      <c r="AM25" s="702">
        <f t="shared" si="16"/>
        <v>862</v>
      </c>
      <c r="AN25" s="702">
        <f t="shared" si="17"/>
        <v>0</v>
      </c>
      <c r="AO25" s="702"/>
      <c r="AP25" s="702">
        <f t="shared" si="11"/>
        <v>210500</v>
      </c>
      <c r="AQ25" s="555"/>
      <c r="AR25" s="702">
        <f t="shared" si="12"/>
        <v>0</v>
      </c>
      <c r="AS25" s="555">
        <f t="shared" si="13"/>
        <v>414500</v>
      </c>
      <c r="AT25" s="706"/>
      <c r="AU25" s="706"/>
      <c r="AV25" s="706">
        <f>'CHAM CONG'!AZ193</f>
        <v>0</v>
      </c>
      <c r="AW25" s="706"/>
      <c r="AX25" s="562">
        <f t="shared" si="18"/>
        <v>414500</v>
      </c>
      <c r="AY25" s="707"/>
      <c r="AZ25" s="708">
        <f t="shared" si="14"/>
        <v>12.97</v>
      </c>
      <c r="BA25" s="709"/>
    </row>
    <row r="26" spans="1:53" s="684" customFormat="1" ht="43.95" customHeight="1">
      <c r="A26" s="688">
        <v>17</v>
      </c>
      <c r="B26" s="689">
        <v>2</v>
      </c>
      <c r="C26" s="689">
        <v>64</v>
      </c>
      <c r="D26" s="690">
        <f>'Tên Tháng 1'!B188</f>
        <v>32637</v>
      </c>
      <c r="E26" s="690" t="str">
        <f>'Tên Tháng 1'!C188</f>
        <v>ប្រុស</v>
      </c>
      <c r="F26" s="690">
        <f>'Tên Tháng 1'!D188</f>
        <v>150811807</v>
      </c>
      <c r="G26" s="690" t="str">
        <f>'Tên Tháng 1'!E187</f>
        <v>ហៃ អូន</v>
      </c>
      <c r="H26" s="690" t="str">
        <f>'Tên Tháng 1'!F187</f>
        <v>HAI ON</v>
      </c>
      <c r="I26" s="693">
        <f>'CHAM CONG'!G193</f>
        <v>0</v>
      </c>
      <c r="J26" s="693" t="str">
        <f>'CHAM CONG'!H193</f>
        <v>x</v>
      </c>
      <c r="K26" s="693">
        <f>'CHAM CONG'!I193</f>
        <v>0</v>
      </c>
      <c r="L26" s="693">
        <f>'CHAM CONG'!J193</f>
        <v>0</v>
      </c>
      <c r="M26" s="693" t="str">
        <f>'CHAM CONG'!K193</f>
        <v>x</v>
      </c>
      <c r="N26" s="693" t="str">
        <f>'CHAM CONG'!L193</f>
        <v>x</v>
      </c>
      <c r="O26" s="693" t="str">
        <f>'CHAM CONG'!M193</f>
        <v>x</v>
      </c>
      <c r="P26" s="693" t="str">
        <f>'CHAM CONG'!N193</f>
        <v>x</v>
      </c>
      <c r="Q26" s="693" t="str">
        <f>'CHAM CONG'!O193</f>
        <v>x</v>
      </c>
      <c r="R26" s="693" t="str">
        <f>'CHAM CONG'!P193</f>
        <v>x</v>
      </c>
      <c r="S26" s="693" t="str">
        <f>'CHAM CONG'!Q193</f>
        <v>x</v>
      </c>
      <c r="T26" s="693" t="str">
        <f>'CHAM CONG'!R193</f>
        <v>x</v>
      </c>
      <c r="U26" s="693" t="str">
        <f>'CHAM CONG'!S193</f>
        <v>x</v>
      </c>
      <c r="V26" s="693" t="str">
        <f>'CHAM CONG'!T193</f>
        <v>x</v>
      </c>
      <c r="W26" s="693" t="str">
        <f>'CHAM CONG'!U193</f>
        <v>x</v>
      </c>
      <c r="X26" s="693"/>
      <c r="Y26" s="693"/>
      <c r="Z26" s="698">
        <f t="shared" si="3"/>
        <v>12</v>
      </c>
      <c r="AA26" s="699">
        <f t="shared" si="15"/>
        <v>0</v>
      </c>
      <c r="AB26" s="700">
        <f t="shared" si="4"/>
        <v>192000</v>
      </c>
      <c r="AC26" s="700">
        <f>'CHAM CONG'!V193</f>
        <v>0</v>
      </c>
      <c r="AD26" s="700">
        <f>'CHAM CONG'!X193</f>
        <v>0</v>
      </c>
      <c r="AE26" s="698">
        <f t="shared" si="5"/>
        <v>0</v>
      </c>
      <c r="AF26" s="700">
        <f t="shared" si="6"/>
        <v>0</v>
      </c>
      <c r="AG26" s="700">
        <f t="shared" si="7"/>
        <v>12</v>
      </c>
      <c r="AH26" s="537">
        <f t="shared" si="8"/>
        <v>12000</v>
      </c>
      <c r="AI26" s="700">
        <f t="shared" si="9"/>
        <v>204000</v>
      </c>
      <c r="AJ26" s="693">
        <f>'SAN LUONG'!AF194</f>
        <v>331</v>
      </c>
      <c r="AK26" s="693">
        <f>'SAN LUONG'!AG194</f>
        <v>443</v>
      </c>
      <c r="AL26" s="693">
        <f>'SAN LUONG'!AH194</f>
        <v>175</v>
      </c>
      <c r="AM26" s="702">
        <f t="shared" si="16"/>
        <v>949</v>
      </c>
      <c r="AN26" s="702">
        <f t="shared" si="17"/>
        <v>0</v>
      </c>
      <c r="AO26" s="702"/>
      <c r="AP26" s="702">
        <f t="shared" si="11"/>
        <v>231746</v>
      </c>
      <c r="AQ26" s="555"/>
      <c r="AR26" s="702">
        <f t="shared" si="12"/>
        <v>0</v>
      </c>
      <c r="AS26" s="555">
        <f t="shared" si="13"/>
        <v>435746</v>
      </c>
      <c r="AT26" s="706"/>
      <c r="AU26" s="706"/>
      <c r="AV26" s="706">
        <f>'CHAM CONG'!AZ194</f>
        <v>0</v>
      </c>
      <c r="AW26" s="706"/>
      <c r="AX26" s="562">
        <f t="shared" si="18"/>
        <v>435746</v>
      </c>
      <c r="AY26" s="710"/>
      <c r="AZ26" s="708">
        <f t="shared" si="14"/>
        <v>13.64</v>
      </c>
      <c r="BA26" s="709"/>
    </row>
    <row r="27" spans="1:53" s="683" customFormat="1" ht="43.95" customHeight="1">
      <c r="A27" s="688">
        <v>18</v>
      </c>
      <c r="B27" s="689">
        <v>2</v>
      </c>
      <c r="C27" s="689">
        <v>65</v>
      </c>
      <c r="D27" s="690">
        <f>'Tên Tháng 1'!B189</f>
        <v>34976</v>
      </c>
      <c r="E27" s="690" t="str">
        <f>'Tên Tháng 1'!C189</f>
        <v>ស្រី</v>
      </c>
      <c r="F27" s="690">
        <f>'Tên Tháng 1'!D189</f>
        <v>150648038</v>
      </c>
      <c r="G27" s="690" t="str">
        <f>'Tên Tháng 1'!E188</f>
        <v>វ៉ាន់ គាត</v>
      </c>
      <c r="H27" s="690" t="str">
        <f>'Tên Tháng 1'!F188</f>
        <v>VANN KEAT</v>
      </c>
      <c r="I27" s="693" t="str">
        <f>'CHAM CONG'!G194</f>
        <v>x</v>
      </c>
      <c r="J27" s="693" t="str">
        <f>'CHAM CONG'!H194</f>
        <v>x</v>
      </c>
      <c r="K27" s="693">
        <f>'CHAM CONG'!I194</f>
        <v>0</v>
      </c>
      <c r="L27" s="693">
        <f>'CHAM CONG'!J194</f>
        <v>0</v>
      </c>
      <c r="M27" s="693">
        <f>'CHAM CONG'!K194</f>
        <v>0</v>
      </c>
      <c r="N27" s="693">
        <f>'CHAM CONG'!L194</f>
        <v>0</v>
      </c>
      <c r="O27" s="693" t="str">
        <f>'CHAM CONG'!M194</f>
        <v>x</v>
      </c>
      <c r="P27" s="693" t="str">
        <f>'CHAM CONG'!N194</f>
        <v>x</v>
      </c>
      <c r="Q27" s="693" t="str">
        <f>'CHAM CONG'!O194</f>
        <v>x</v>
      </c>
      <c r="R27" s="693" t="str">
        <f>'CHAM CONG'!P194</f>
        <v>x</v>
      </c>
      <c r="S27" s="693" t="str">
        <f>'CHAM CONG'!Q194</f>
        <v>x</v>
      </c>
      <c r="T27" s="693" t="str">
        <f>'CHAM CONG'!R194</f>
        <v>x</v>
      </c>
      <c r="U27" s="693" t="str">
        <f>'CHAM CONG'!S194</f>
        <v>x</v>
      </c>
      <c r="V27" s="693" t="str">
        <f>'CHAM CONG'!T194</f>
        <v>x</v>
      </c>
      <c r="W27" s="693" t="str">
        <f>'CHAM CONG'!U194</f>
        <v>x</v>
      </c>
      <c r="X27" s="693"/>
      <c r="Y27" s="693"/>
      <c r="Z27" s="698">
        <f t="shared" si="3"/>
        <v>11</v>
      </c>
      <c r="AA27" s="699">
        <f t="shared" si="15"/>
        <v>0</v>
      </c>
      <c r="AB27" s="700">
        <f t="shared" si="4"/>
        <v>176000</v>
      </c>
      <c r="AC27" s="700">
        <f>'CHAM CONG'!V194</f>
        <v>0</v>
      </c>
      <c r="AD27" s="700">
        <f>'CHAM CONG'!X194</f>
        <v>0</v>
      </c>
      <c r="AE27" s="698">
        <f t="shared" si="5"/>
        <v>0</v>
      </c>
      <c r="AF27" s="700">
        <f t="shared" si="6"/>
        <v>0</v>
      </c>
      <c r="AG27" s="700">
        <f t="shared" si="7"/>
        <v>11</v>
      </c>
      <c r="AH27" s="537">
        <f t="shared" si="8"/>
        <v>11000</v>
      </c>
      <c r="AI27" s="700">
        <f t="shared" si="9"/>
        <v>187000</v>
      </c>
      <c r="AJ27" s="693">
        <f>'SAN LUONG'!AF195</f>
        <v>525</v>
      </c>
      <c r="AK27" s="693">
        <f>'SAN LUONG'!AG195</f>
        <v>245</v>
      </c>
      <c r="AL27" s="693">
        <f>'SAN LUONG'!AH195</f>
        <v>100</v>
      </c>
      <c r="AM27" s="702">
        <f t="shared" si="16"/>
        <v>870</v>
      </c>
      <c r="AN27" s="702">
        <f t="shared" si="17"/>
        <v>0</v>
      </c>
      <c r="AO27" s="702"/>
      <c r="AP27" s="702">
        <f t="shared" si="11"/>
        <v>212454</v>
      </c>
      <c r="AQ27" s="555"/>
      <c r="AR27" s="702">
        <f t="shared" si="12"/>
        <v>0</v>
      </c>
      <c r="AS27" s="555">
        <f t="shared" si="13"/>
        <v>399454</v>
      </c>
      <c r="AT27" s="706"/>
      <c r="AU27" s="706"/>
      <c r="AV27" s="706">
        <f>'CHAM CONG'!AZ195</f>
        <v>0</v>
      </c>
      <c r="AW27" s="706"/>
      <c r="AX27" s="562">
        <f t="shared" si="18"/>
        <v>399454</v>
      </c>
      <c r="AY27" s="707"/>
      <c r="AZ27" s="708">
        <f t="shared" si="14"/>
        <v>12.5</v>
      </c>
      <c r="BA27" s="709"/>
    </row>
    <row r="28" spans="1:53" s="683" customFormat="1" ht="43.95" customHeight="1">
      <c r="A28" s="688">
        <v>19</v>
      </c>
      <c r="B28" s="689">
        <v>2</v>
      </c>
      <c r="C28" s="689">
        <v>66</v>
      </c>
      <c r="D28" s="690">
        <f>'Tên Tháng 1'!B190</f>
        <v>31103</v>
      </c>
      <c r="E28" s="690" t="str">
        <f>'Tên Tháng 1'!C190</f>
        <v>ប្រុស</v>
      </c>
      <c r="F28" s="690">
        <f>'Tên Tháng 1'!D190</f>
        <v>150306508</v>
      </c>
      <c r="G28" s="690" t="str">
        <f>'Tên Tháng 1'!E189</f>
        <v>សេង សោភា</v>
      </c>
      <c r="H28" s="690" t="str">
        <f>'Tên Tháng 1'!F189</f>
        <v>SENG SOPHEA</v>
      </c>
      <c r="I28" s="693" t="str">
        <f>'CHAM CONG'!G195</f>
        <v>x</v>
      </c>
      <c r="J28" s="693" t="str">
        <f>'CHAM CONG'!H195</f>
        <v>x</v>
      </c>
      <c r="K28" s="693" t="str">
        <f>'CHAM CONG'!I195</f>
        <v>x</v>
      </c>
      <c r="L28" s="693">
        <f>'CHAM CONG'!J195</f>
        <v>0</v>
      </c>
      <c r="M28" s="693" t="str">
        <f>'CHAM CONG'!K195</f>
        <v>x</v>
      </c>
      <c r="N28" s="693" t="str">
        <f>'CHAM CONG'!L195</f>
        <v>x</v>
      </c>
      <c r="O28" s="693" t="str">
        <f>'CHAM CONG'!M195</f>
        <v>x</v>
      </c>
      <c r="P28" s="693">
        <f>'CHAM CONG'!N195</f>
        <v>0</v>
      </c>
      <c r="Q28" s="693" t="str">
        <f>'CHAM CONG'!O195</f>
        <v>x</v>
      </c>
      <c r="R28" s="693" t="str">
        <f>'CHAM CONG'!P195</f>
        <v>x</v>
      </c>
      <c r="S28" s="693" t="str">
        <f>'CHAM CONG'!Q195</f>
        <v>x</v>
      </c>
      <c r="T28" s="693" t="str">
        <f>'CHAM CONG'!R195</f>
        <v>x</v>
      </c>
      <c r="U28" s="693">
        <f>'CHAM CONG'!S195</f>
        <v>0</v>
      </c>
      <c r="V28" s="693">
        <f>'CHAM CONG'!T195</f>
        <v>0</v>
      </c>
      <c r="W28" s="693">
        <f>'CHAM CONG'!U195</f>
        <v>0</v>
      </c>
      <c r="X28" s="693"/>
      <c r="Y28" s="693"/>
      <c r="Z28" s="698">
        <f t="shared" si="3"/>
        <v>10</v>
      </c>
      <c r="AA28" s="699">
        <f t="shared" si="15"/>
        <v>0</v>
      </c>
      <c r="AB28" s="700">
        <f t="shared" si="4"/>
        <v>160000</v>
      </c>
      <c r="AC28" s="700">
        <f>'CHAM CONG'!V195</f>
        <v>0</v>
      </c>
      <c r="AD28" s="700">
        <f>'CHAM CONG'!X195</f>
        <v>0</v>
      </c>
      <c r="AE28" s="698">
        <f t="shared" si="5"/>
        <v>0</v>
      </c>
      <c r="AF28" s="700">
        <f t="shared" si="6"/>
        <v>0</v>
      </c>
      <c r="AG28" s="700">
        <f t="shared" si="7"/>
        <v>10</v>
      </c>
      <c r="AH28" s="537">
        <f t="shared" si="8"/>
        <v>10000</v>
      </c>
      <c r="AI28" s="700">
        <f t="shared" si="9"/>
        <v>170000</v>
      </c>
      <c r="AJ28" s="693">
        <f>'SAN LUONG'!AF196</f>
        <v>63</v>
      </c>
      <c r="AK28" s="693">
        <f>'SAN LUONG'!AG196</f>
        <v>413</v>
      </c>
      <c r="AL28" s="693">
        <f>'SAN LUONG'!AH196</f>
        <v>388</v>
      </c>
      <c r="AM28" s="702">
        <f t="shared" si="16"/>
        <v>864</v>
      </c>
      <c r="AN28" s="702">
        <f t="shared" si="17"/>
        <v>0</v>
      </c>
      <c r="AO28" s="702"/>
      <c r="AP28" s="702">
        <f t="shared" si="11"/>
        <v>210989</v>
      </c>
      <c r="AQ28" s="555"/>
      <c r="AR28" s="702">
        <f t="shared" si="12"/>
        <v>0</v>
      </c>
      <c r="AS28" s="555">
        <f t="shared" si="13"/>
        <v>380989</v>
      </c>
      <c r="AT28" s="706"/>
      <c r="AU28" s="706"/>
      <c r="AV28" s="706">
        <f>'CHAM CONG'!AZ196</f>
        <v>0</v>
      </c>
      <c r="AW28" s="706"/>
      <c r="AX28" s="562">
        <f t="shared" si="18"/>
        <v>380989</v>
      </c>
      <c r="AY28" s="707"/>
      <c r="AZ28" s="708">
        <f t="shared" si="14"/>
        <v>11.93</v>
      </c>
      <c r="BA28" s="709"/>
    </row>
    <row r="29" spans="1:53" s="683" customFormat="1" ht="43.95" customHeight="1">
      <c r="A29" s="688">
        <v>20</v>
      </c>
      <c r="B29" s="689">
        <v>2</v>
      </c>
      <c r="C29" s="689">
        <v>67</v>
      </c>
      <c r="D29" s="690">
        <f>'Tên Tháng 1'!B191</f>
        <v>37309</v>
      </c>
      <c r="E29" s="690" t="str">
        <f>'Tên Tháng 1'!C191</f>
        <v>ប្រុស</v>
      </c>
      <c r="F29" s="690">
        <f>'Tên Tháng 1'!D191</f>
        <v>150935164</v>
      </c>
      <c r="G29" s="690" t="str">
        <f>'Tên Tháng 1'!E190</f>
        <v>ឃឿន សុក</v>
      </c>
      <c r="H29" s="690" t="str">
        <f>'Tên Tháng 1'!F190</f>
        <v>KHOEUN SOK</v>
      </c>
      <c r="I29" s="693">
        <f>'CHAM CONG'!G196</f>
        <v>0</v>
      </c>
      <c r="J29" s="693">
        <f>'CHAM CONG'!H196</f>
        <v>0</v>
      </c>
      <c r="K29" s="693">
        <f>'CHAM CONG'!I196</f>
        <v>0</v>
      </c>
      <c r="L29" s="693">
        <f>'CHAM CONG'!J196</f>
        <v>0</v>
      </c>
      <c r="M29" s="693" t="str">
        <f>'CHAM CONG'!K196</f>
        <v>x</v>
      </c>
      <c r="N29" s="693" t="str">
        <f>'CHAM CONG'!L196</f>
        <v>x</v>
      </c>
      <c r="O29" s="693" t="str">
        <f>'CHAM CONG'!M196</f>
        <v>x</v>
      </c>
      <c r="P29" s="693" t="str">
        <f>'CHAM CONG'!N196</f>
        <v>x</v>
      </c>
      <c r="Q29" s="693" t="str">
        <f>'CHAM CONG'!O196</f>
        <v>x</v>
      </c>
      <c r="R29" s="693" t="str">
        <f>'CHAM CONG'!P196</f>
        <v>x</v>
      </c>
      <c r="S29" s="693" t="str">
        <f>'CHAM CONG'!Q196</f>
        <v>x</v>
      </c>
      <c r="T29" s="693" t="str">
        <f>'CHAM CONG'!R196</f>
        <v>x</v>
      </c>
      <c r="U29" s="693" t="str">
        <f>'CHAM CONG'!S196</f>
        <v>x</v>
      </c>
      <c r="V29" s="693" t="str">
        <f>'CHAM CONG'!T196</f>
        <v>x</v>
      </c>
      <c r="W29" s="693" t="str">
        <f>'CHAM CONG'!U196</f>
        <v>x</v>
      </c>
      <c r="X29" s="693"/>
      <c r="Y29" s="693"/>
      <c r="Z29" s="698">
        <f t="shared" si="3"/>
        <v>11</v>
      </c>
      <c r="AA29" s="699">
        <f t="shared" si="15"/>
        <v>0</v>
      </c>
      <c r="AB29" s="700">
        <f t="shared" si="4"/>
        <v>176000</v>
      </c>
      <c r="AC29" s="700">
        <f>'CHAM CONG'!V196</f>
        <v>0</v>
      </c>
      <c r="AD29" s="700">
        <f>'CHAM CONG'!X196</f>
        <v>0</v>
      </c>
      <c r="AE29" s="698">
        <f t="shared" si="5"/>
        <v>0</v>
      </c>
      <c r="AF29" s="700">
        <f t="shared" si="6"/>
        <v>0</v>
      </c>
      <c r="AG29" s="700">
        <f t="shared" si="7"/>
        <v>11</v>
      </c>
      <c r="AH29" s="537">
        <f t="shared" si="8"/>
        <v>11000</v>
      </c>
      <c r="AI29" s="700">
        <f t="shared" si="9"/>
        <v>187000</v>
      </c>
      <c r="AJ29" s="693">
        <f>'SAN LUONG'!AF197</f>
        <v>274</v>
      </c>
      <c r="AK29" s="693">
        <f>'SAN LUONG'!AG197</f>
        <v>390</v>
      </c>
      <c r="AL29" s="693">
        <f>'SAN LUONG'!AH197</f>
        <v>150</v>
      </c>
      <c r="AM29" s="702">
        <f t="shared" si="16"/>
        <v>814</v>
      </c>
      <c r="AN29" s="702">
        <f t="shared" si="17"/>
        <v>0</v>
      </c>
      <c r="AO29" s="702"/>
      <c r="AP29" s="702">
        <f t="shared" si="11"/>
        <v>198779</v>
      </c>
      <c r="AQ29" s="555"/>
      <c r="AR29" s="702">
        <f t="shared" si="12"/>
        <v>0</v>
      </c>
      <c r="AS29" s="555">
        <f t="shared" si="13"/>
        <v>385779</v>
      </c>
      <c r="AT29" s="706"/>
      <c r="AU29" s="706"/>
      <c r="AV29" s="706">
        <f>'CHAM CONG'!AZ197</f>
        <v>0</v>
      </c>
      <c r="AW29" s="706"/>
      <c r="AX29" s="562">
        <f t="shared" si="18"/>
        <v>385779</v>
      </c>
      <c r="AY29" s="707"/>
      <c r="AZ29" s="708">
        <f t="shared" si="14"/>
        <v>12.08</v>
      </c>
      <c r="BA29" s="709"/>
    </row>
    <row r="30" spans="1:53" s="683" customFormat="1" ht="43.95" customHeight="1">
      <c r="A30" s="688">
        <v>21</v>
      </c>
      <c r="B30" s="689">
        <v>2</v>
      </c>
      <c r="C30" s="689">
        <v>68</v>
      </c>
      <c r="D30" s="690">
        <f>'Tên Tháng 1'!B192</f>
        <v>34155</v>
      </c>
      <c r="E30" s="690" t="str">
        <f>'Tên Tháng 1'!C192</f>
        <v>ស្រី</v>
      </c>
      <c r="F30" s="690">
        <f>'Tên Tháng 1'!D192</f>
        <v>220234390</v>
      </c>
      <c r="G30" s="690" t="str">
        <f>'Tên Tháng 1'!E191</f>
        <v>ណំ វ៉ាន់​ស៊ីង</v>
      </c>
      <c r="H30" s="690" t="str">
        <f>'Tên Tháng 1'!F191</f>
        <v>NOM VANSING</v>
      </c>
      <c r="I30" s="693" t="str">
        <f>'CHAM CONG'!G197</f>
        <v>x</v>
      </c>
      <c r="J30" s="693" t="str">
        <f>'CHAM CONG'!H197</f>
        <v>x</v>
      </c>
      <c r="K30" s="693" t="str">
        <f>'CHAM CONG'!I197</f>
        <v>x</v>
      </c>
      <c r="L30" s="693">
        <f>'CHAM CONG'!J197</f>
        <v>0</v>
      </c>
      <c r="M30" s="693">
        <f>'CHAM CONG'!K197</f>
        <v>0</v>
      </c>
      <c r="N30" s="693" t="str">
        <f>'CHAM CONG'!L197</f>
        <v>x</v>
      </c>
      <c r="O30" s="693" t="str">
        <f>'CHAM CONG'!M197</f>
        <v>x</v>
      </c>
      <c r="P30" s="693" t="str">
        <f>'CHAM CONG'!N197</f>
        <v>x</v>
      </c>
      <c r="Q30" s="693" t="str">
        <f>'CHAM CONG'!O197</f>
        <v>x</v>
      </c>
      <c r="R30" s="693" t="str">
        <f>'CHAM CONG'!P197</f>
        <v>x</v>
      </c>
      <c r="S30" s="693" t="str">
        <f>'CHAM CONG'!Q197</f>
        <v>x</v>
      </c>
      <c r="T30" s="693" t="str">
        <f>'CHAM CONG'!R197</f>
        <v>x</v>
      </c>
      <c r="U30" s="693" t="str">
        <f>'CHAM CONG'!S197</f>
        <v>x</v>
      </c>
      <c r="V30" s="693" t="str">
        <f>'CHAM CONG'!T197</f>
        <v>x</v>
      </c>
      <c r="W30" s="693" t="str">
        <f>'CHAM CONG'!U197</f>
        <v>x</v>
      </c>
      <c r="X30" s="693"/>
      <c r="Y30" s="693"/>
      <c r="Z30" s="698">
        <f t="shared" si="3"/>
        <v>13</v>
      </c>
      <c r="AA30" s="699">
        <f t="shared" si="15"/>
        <v>0</v>
      </c>
      <c r="AB30" s="700">
        <f t="shared" si="4"/>
        <v>208000</v>
      </c>
      <c r="AC30" s="700">
        <f>'CHAM CONG'!V197</f>
        <v>0</v>
      </c>
      <c r="AD30" s="700">
        <f>'CHAM CONG'!X197</f>
        <v>0</v>
      </c>
      <c r="AE30" s="698">
        <f t="shared" si="5"/>
        <v>0</v>
      </c>
      <c r="AF30" s="700">
        <f t="shared" si="6"/>
        <v>0</v>
      </c>
      <c r="AG30" s="700">
        <f t="shared" si="7"/>
        <v>13</v>
      </c>
      <c r="AH30" s="537">
        <f t="shared" si="8"/>
        <v>13000</v>
      </c>
      <c r="AI30" s="700">
        <f t="shared" si="9"/>
        <v>221000</v>
      </c>
      <c r="AJ30" s="693">
        <f>'SAN LUONG'!AF198</f>
        <v>77</v>
      </c>
      <c r="AK30" s="693">
        <f>'SAN LUONG'!AG198</f>
        <v>408</v>
      </c>
      <c r="AL30" s="693">
        <f>'SAN LUONG'!AH198</f>
        <v>311</v>
      </c>
      <c r="AM30" s="702">
        <f t="shared" si="16"/>
        <v>796</v>
      </c>
      <c r="AN30" s="702">
        <f t="shared" si="17"/>
        <v>0</v>
      </c>
      <c r="AO30" s="702"/>
      <c r="AP30" s="702">
        <f t="shared" si="11"/>
        <v>194383</v>
      </c>
      <c r="AQ30" s="555"/>
      <c r="AR30" s="702">
        <f t="shared" si="12"/>
        <v>0</v>
      </c>
      <c r="AS30" s="555">
        <f t="shared" si="13"/>
        <v>415383</v>
      </c>
      <c r="AT30" s="706"/>
      <c r="AU30" s="706"/>
      <c r="AV30" s="706">
        <f>'CHAM CONG'!AZ198</f>
        <v>0</v>
      </c>
      <c r="AW30" s="706"/>
      <c r="AX30" s="562">
        <f t="shared" si="18"/>
        <v>415383</v>
      </c>
      <c r="AY30" s="707"/>
      <c r="AZ30" s="708">
        <f t="shared" si="14"/>
        <v>13</v>
      </c>
      <c r="BA30" s="709"/>
    </row>
    <row r="31" spans="1:53" s="683" customFormat="1" ht="43.95" customHeight="1">
      <c r="A31" s="688">
        <v>22</v>
      </c>
      <c r="B31" s="689">
        <v>2</v>
      </c>
      <c r="C31" s="689">
        <v>69</v>
      </c>
      <c r="D31" s="690">
        <f>'Tên Tháng 1'!B193</f>
        <v>35130</v>
      </c>
      <c r="E31" s="690" t="str">
        <f>'Tên Tháng 1'!C193</f>
        <v>ប្រុស</v>
      </c>
      <c r="F31" s="690">
        <f>'Tên Tháng 1'!D193</f>
        <v>150523488</v>
      </c>
      <c r="G31" s="690" t="str">
        <f>'Tên Tháng 1'!E192</f>
        <v>ដៀប ចាន់ណា</v>
      </c>
      <c r="H31" s="690" t="str">
        <f>'Tên Tháng 1'!F192</f>
        <v>DIEB CHANNA</v>
      </c>
      <c r="I31" s="693">
        <f>'CHAM CONG'!G198</f>
        <v>0</v>
      </c>
      <c r="J31" s="693" t="str">
        <f>'CHAM CONG'!H198</f>
        <v>x</v>
      </c>
      <c r="K31" s="693" t="str">
        <f>'CHAM CONG'!I198</f>
        <v>x</v>
      </c>
      <c r="L31" s="693">
        <f>'CHAM CONG'!J198</f>
        <v>0</v>
      </c>
      <c r="M31" s="693">
        <f>'CHAM CONG'!K198</f>
        <v>0</v>
      </c>
      <c r="N31" s="693" t="str">
        <f>'CHAM CONG'!L198</f>
        <v>x</v>
      </c>
      <c r="O31" s="693" t="str">
        <f>'CHAM CONG'!M198</f>
        <v>x</v>
      </c>
      <c r="P31" s="693" t="str">
        <f>'CHAM CONG'!N198</f>
        <v>x</v>
      </c>
      <c r="Q31" s="693" t="str">
        <f>'CHAM CONG'!O198</f>
        <v>x</v>
      </c>
      <c r="R31" s="693" t="str">
        <f>'CHAM CONG'!P198</f>
        <v>x</v>
      </c>
      <c r="S31" s="693" t="str">
        <f>'CHAM CONG'!Q198</f>
        <v>x</v>
      </c>
      <c r="T31" s="693" t="str">
        <f>'CHAM CONG'!R198</f>
        <v>x</v>
      </c>
      <c r="U31" s="693" t="str">
        <f>'CHAM CONG'!S198</f>
        <v>x</v>
      </c>
      <c r="V31" s="693" t="str">
        <f>'CHAM CONG'!T198</f>
        <v>x</v>
      </c>
      <c r="W31" s="693" t="str">
        <f>'CHAM CONG'!U198</f>
        <v>x</v>
      </c>
      <c r="X31" s="693"/>
      <c r="Y31" s="693"/>
      <c r="Z31" s="698">
        <f t="shared" si="3"/>
        <v>12</v>
      </c>
      <c r="AA31" s="699">
        <f t="shared" si="15"/>
        <v>0</v>
      </c>
      <c r="AB31" s="700">
        <f t="shared" si="4"/>
        <v>192000</v>
      </c>
      <c r="AC31" s="700">
        <f>'CHAM CONG'!V198</f>
        <v>0</v>
      </c>
      <c r="AD31" s="700">
        <f>'CHAM CONG'!X198</f>
        <v>0</v>
      </c>
      <c r="AE31" s="698">
        <f t="shared" si="5"/>
        <v>0</v>
      </c>
      <c r="AF31" s="700">
        <f t="shared" si="6"/>
        <v>0</v>
      </c>
      <c r="AG31" s="700">
        <f t="shared" si="7"/>
        <v>12</v>
      </c>
      <c r="AH31" s="537">
        <f t="shared" si="8"/>
        <v>12000</v>
      </c>
      <c r="AI31" s="700">
        <f t="shared" si="9"/>
        <v>204000</v>
      </c>
      <c r="AJ31" s="693">
        <f>'SAN LUONG'!AF199</f>
        <v>276</v>
      </c>
      <c r="AK31" s="693">
        <f>'SAN LUONG'!AG199</f>
        <v>240</v>
      </c>
      <c r="AL31" s="693">
        <f>'SAN LUONG'!AH199</f>
        <v>223</v>
      </c>
      <c r="AM31" s="702">
        <f t="shared" si="16"/>
        <v>739</v>
      </c>
      <c r="AN31" s="702">
        <f t="shared" si="17"/>
        <v>0</v>
      </c>
      <c r="AO31" s="702"/>
      <c r="AP31" s="702">
        <f t="shared" si="11"/>
        <v>180464</v>
      </c>
      <c r="AQ31" s="555"/>
      <c r="AR31" s="702">
        <f t="shared" si="12"/>
        <v>0</v>
      </c>
      <c r="AS31" s="555">
        <f t="shared" si="13"/>
        <v>384464</v>
      </c>
      <c r="AT31" s="706"/>
      <c r="AU31" s="706"/>
      <c r="AV31" s="706">
        <f>'CHAM CONG'!AZ199</f>
        <v>0</v>
      </c>
      <c r="AW31" s="706"/>
      <c r="AX31" s="562">
        <f t="shared" si="18"/>
        <v>384464</v>
      </c>
      <c r="AY31" s="707"/>
      <c r="AZ31" s="708">
        <f t="shared" si="14"/>
        <v>12.03</v>
      </c>
      <c r="BA31" s="709"/>
    </row>
    <row r="32" spans="1:53" s="683" customFormat="1" ht="43.95" customHeight="1">
      <c r="A32" s="688">
        <v>23</v>
      </c>
      <c r="B32" s="689">
        <v>2</v>
      </c>
      <c r="C32" s="689">
        <v>70</v>
      </c>
      <c r="D32" s="690">
        <f>'Tên Tháng 1'!B194</f>
        <v>35470</v>
      </c>
      <c r="E32" s="690" t="str">
        <f>'Tên Tháng 1'!C194</f>
        <v>ស្រី</v>
      </c>
      <c r="F32" s="690">
        <f>'Tên Tháng 1'!D194</f>
        <v>150522955</v>
      </c>
      <c r="G32" s="690" t="str">
        <f>'Tên Tháng 1'!E193</f>
        <v>ឆែម ឆាន</v>
      </c>
      <c r="H32" s="690" t="str">
        <f>'Tên Tháng 1'!F193</f>
        <v>CHHEM CHHAN</v>
      </c>
      <c r="I32" s="693">
        <f>'CHAM CONG'!G199</f>
        <v>0</v>
      </c>
      <c r="J32" s="693">
        <f>'CHAM CONG'!H199</f>
        <v>0</v>
      </c>
      <c r="K32" s="693">
        <f>'CHAM CONG'!I199</f>
        <v>0</v>
      </c>
      <c r="L32" s="693">
        <f>'CHAM CONG'!J199</f>
        <v>0</v>
      </c>
      <c r="M32" s="693">
        <f>'CHAM CONG'!K199</f>
        <v>0</v>
      </c>
      <c r="N32" s="693" t="str">
        <f>'CHAM CONG'!L199</f>
        <v>x</v>
      </c>
      <c r="O32" s="693" t="str">
        <f>'CHAM CONG'!M199</f>
        <v>x</v>
      </c>
      <c r="P32" s="693" t="str">
        <f>'CHAM CONG'!N199</f>
        <v>x</v>
      </c>
      <c r="Q32" s="693" t="str">
        <f>'CHAM CONG'!O199</f>
        <v>x</v>
      </c>
      <c r="R32" s="693" t="str">
        <f>'CHAM CONG'!P199</f>
        <v>x</v>
      </c>
      <c r="S32" s="693" t="str">
        <f>'CHAM CONG'!Q199</f>
        <v>x</v>
      </c>
      <c r="T32" s="693" t="str">
        <f>'CHAM CONG'!R199</f>
        <v>x</v>
      </c>
      <c r="U32" s="693" t="str">
        <f>'CHAM CONG'!S199</f>
        <v>x</v>
      </c>
      <c r="V32" s="693" t="str">
        <f>'CHAM CONG'!T199</f>
        <v>x</v>
      </c>
      <c r="W32" s="693" t="str">
        <f>'CHAM CONG'!U199</f>
        <v>x</v>
      </c>
      <c r="X32" s="693"/>
      <c r="Y32" s="693"/>
      <c r="Z32" s="698">
        <f t="shared" si="3"/>
        <v>10</v>
      </c>
      <c r="AA32" s="699">
        <f t="shared" si="15"/>
        <v>0</v>
      </c>
      <c r="AB32" s="700">
        <f t="shared" si="4"/>
        <v>160000</v>
      </c>
      <c r="AC32" s="700">
        <f>'CHAM CONG'!V199</f>
        <v>0</v>
      </c>
      <c r="AD32" s="700">
        <f>'CHAM CONG'!X199</f>
        <v>0</v>
      </c>
      <c r="AE32" s="698">
        <f t="shared" si="5"/>
        <v>0</v>
      </c>
      <c r="AF32" s="700">
        <f t="shared" si="6"/>
        <v>0</v>
      </c>
      <c r="AG32" s="700">
        <f t="shared" si="7"/>
        <v>10</v>
      </c>
      <c r="AH32" s="537">
        <f t="shared" si="8"/>
        <v>10000</v>
      </c>
      <c r="AI32" s="700">
        <f t="shared" si="9"/>
        <v>170000</v>
      </c>
      <c r="AJ32" s="693">
        <f>'SAN LUONG'!AF200</f>
        <v>239</v>
      </c>
      <c r="AK32" s="693">
        <f>'SAN LUONG'!AG200</f>
        <v>316</v>
      </c>
      <c r="AL32" s="693">
        <f>'SAN LUONG'!AH200</f>
        <v>126</v>
      </c>
      <c r="AM32" s="702">
        <f t="shared" si="16"/>
        <v>681</v>
      </c>
      <c r="AN32" s="702">
        <f t="shared" si="17"/>
        <v>0</v>
      </c>
      <c r="AO32" s="702"/>
      <c r="AP32" s="702">
        <f t="shared" si="11"/>
        <v>166300</v>
      </c>
      <c r="AQ32" s="555"/>
      <c r="AR32" s="702">
        <f t="shared" si="12"/>
        <v>0</v>
      </c>
      <c r="AS32" s="555">
        <f t="shared" si="13"/>
        <v>336300</v>
      </c>
      <c r="AT32" s="706"/>
      <c r="AU32" s="706"/>
      <c r="AV32" s="706">
        <f>'CHAM CONG'!AZ200</f>
        <v>0</v>
      </c>
      <c r="AW32" s="706"/>
      <c r="AX32" s="562">
        <f t="shared" si="18"/>
        <v>336300</v>
      </c>
      <c r="AY32" s="707"/>
      <c r="AZ32" s="708">
        <f t="shared" si="14"/>
        <v>10.53</v>
      </c>
      <c r="BA32" s="709"/>
    </row>
    <row r="33" spans="1:53" s="683" customFormat="1" ht="43.95" customHeight="1">
      <c r="A33" s="688">
        <v>24</v>
      </c>
      <c r="B33" s="689">
        <v>2</v>
      </c>
      <c r="C33" s="689">
        <v>71</v>
      </c>
      <c r="D33" s="690">
        <f>'Tên Tháng 1'!B195</f>
        <v>35079</v>
      </c>
      <c r="E33" s="690" t="str">
        <f>'Tên Tháng 1'!C195</f>
        <v>ប្រុស</v>
      </c>
      <c r="F33" s="690">
        <f>'Tên Tháng 1'!D195</f>
        <v>150574688</v>
      </c>
      <c r="G33" s="690" t="str">
        <f>'Tên Tháng 1'!E194</f>
        <v>ហៃ សុខវី</v>
      </c>
      <c r="H33" s="690" t="str">
        <f>'Tên Tháng 1'!F194</f>
        <v>HAY SOK VY</v>
      </c>
      <c r="I33" s="693" t="str">
        <f>'CHAM CONG'!G200</f>
        <v>x</v>
      </c>
      <c r="J33" s="693" t="str">
        <f>'CHAM CONG'!H200</f>
        <v>x</v>
      </c>
      <c r="K33" s="693">
        <f>'CHAM CONG'!I200</f>
        <v>0</v>
      </c>
      <c r="L33" s="693">
        <f>'CHAM CONG'!J200</f>
        <v>0</v>
      </c>
      <c r="M33" s="693">
        <f>'CHAM CONG'!K200</f>
        <v>0</v>
      </c>
      <c r="N33" s="693" t="str">
        <f>'CHAM CONG'!L200</f>
        <v>x</v>
      </c>
      <c r="O33" s="693" t="str">
        <f>'CHAM CONG'!M200</f>
        <v>x</v>
      </c>
      <c r="P33" s="693">
        <f>'CHAM CONG'!N200</f>
        <v>0</v>
      </c>
      <c r="Q33" s="693" t="str">
        <f>'CHAM CONG'!O200</f>
        <v>x</v>
      </c>
      <c r="R33" s="693" t="str">
        <f>'CHAM CONG'!P200</f>
        <v>x</v>
      </c>
      <c r="S33" s="693" t="str">
        <f>'CHAM CONG'!Q200</f>
        <v>x</v>
      </c>
      <c r="T33" s="693" t="str">
        <f>'CHAM CONG'!R200</f>
        <v>x</v>
      </c>
      <c r="U33" s="693" t="str">
        <f>'CHAM CONG'!S200</f>
        <v>x</v>
      </c>
      <c r="V33" s="693" t="str">
        <f>'CHAM CONG'!T200</f>
        <v>x</v>
      </c>
      <c r="W33" s="693" t="str">
        <f>'CHAM CONG'!U200</f>
        <v>x</v>
      </c>
      <c r="X33" s="693"/>
      <c r="Y33" s="693"/>
      <c r="Z33" s="698">
        <f t="shared" si="3"/>
        <v>11</v>
      </c>
      <c r="AA33" s="699">
        <f t="shared" si="15"/>
        <v>0</v>
      </c>
      <c r="AB33" s="700">
        <f t="shared" si="4"/>
        <v>176000</v>
      </c>
      <c r="AC33" s="700">
        <f>'CHAM CONG'!V200</f>
        <v>0</v>
      </c>
      <c r="AD33" s="700">
        <f>'CHAM CONG'!X200</f>
        <v>0</v>
      </c>
      <c r="AE33" s="698">
        <f t="shared" si="5"/>
        <v>0</v>
      </c>
      <c r="AF33" s="700">
        <f t="shared" si="6"/>
        <v>0</v>
      </c>
      <c r="AG33" s="700">
        <f t="shared" si="7"/>
        <v>11</v>
      </c>
      <c r="AH33" s="537">
        <f t="shared" si="8"/>
        <v>11000</v>
      </c>
      <c r="AI33" s="700">
        <f t="shared" si="9"/>
        <v>187000</v>
      </c>
      <c r="AJ33" s="693">
        <f>'SAN LUONG'!AF201</f>
        <v>461</v>
      </c>
      <c r="AK33" s="693">
        <f>'SAN LUONG'!AG201</f>
        <v>347</v>
      </c>
      <c r="AL33" s="693">
        <f>'SAN LUONG'!AH201</f>
        <v>160</v>
      </c>
      <c r="AM33" s="702">
        <f t="shared" si="16"/>
        <v>968</v>
      </c>
      <c r="AN33" s="702">
        <f t="shared" si="17"/>
        <v>0</v>
      </c>
      <c r="AO33" s="702"/>
      <c r="AP33" s="702">
        <f t="shared" si="11"/>
        <v>236386</v>
      </c>
      <c r="AQ33" s="555"/>
      <c r="AR33" s="702">
        <f t="shared" si="12"/>
        <v>0</v>
      </c>
      <c r="AS33" s="555">
        <f t="shared" si="13"/>
        <v>423386</v>
      </c>
      <c r="AT33" s="706"/>
      <c r="AU33" s="706"/>
      <c r="AV33" s="706">
        <f>'CHAM CONG'!AZ201</f>
        <v>0</v>
      </c>
      <c r="AW33" s="706"/>
      <c r="AX33" s="562">
        <f t="shared" si="18"/>
        <v>423386</v>
      </c>
      <c r="AY33" s="707"/>
      <c r="AZ33" s="708">
        <f t="shared" si="14"/>
        <v>13.25</v>
      </c>
      <c r="BA33" s="709"/>
    </row>
    <row r="34" spans="1:53" s="683" customFormat="1" ht="43.95" customHeight="1">
      <c r="A34" s="688">
        <v>25</v>
      </c>
      <c r="B34" s="689">
        <v>2</v>
      </c>
      <c r="C34" s="689">
        <v>72</v>
      </c>
      <c r="D34" s="690">
        <f>'Tên Tháng 1'!B196</f>
        <v>33127</v>
      </c>
      <c r="E34" s="690" t="str">
        <f>'Tên Tháng 1'!C196</f>
        <v>ប្រុស</v>
      </c>
      <c r="F34" s="690">
        <f>'Tên Tháng 1'!D196</f>
        <v>150427586</v>
      </c>
      <c r="G34" s="690" t="str">
        <f>'Tên Tháng 1'!E195</f>
        <v>ចយ សុខណា</v>
      </c>
      <c r="H34" s="690" t="str">
        <f>'Tên Tháng 1'!F195</f>
        <v>JOY SOKNA</v>
      </c>
      <c r="I34" s="693" t="str">
        <f>'CHAM CONG'!G201</f>
        <v>x</v>
      </c>
      <c r="J34" s="693" t="str">
        <f>'CHAM CONG'!H201</f>
        <v>x</v>
      </c>
      <c r="K34" s="693">
        <f>'CHAM CONG'!I201</f>
        <v>0</v>
      </c>
      <c r="L34" s="693">
        <f>'CHAM CONG'!J201</f>
        <v>0</v>
      </c>
      <c r="M34" s="693">
        <f>'CHAM CONG'!K201</f>
        <v>0</v>
      </c>
      <c r="N34" s="693" t="str">
        <f>'CHAM CONG'!L201</f>
        <v>x</v>
      </c>
      <c r="O34" s="693" t="str">
        <f>'CHAM CONG'!M201</f>
        <v>x</v>
      </c>
      <c r="P34" s="693">
        <f>'CHAM CONG'!N201</f>
        <v>0</v>
      </c>
      <c r="Q34" s="693" t="str">
        <f>'CHAM CONG'!O201</f>
        <v>x</v>
      </c>
      <c r="R34" s="693" t="str">
        <f>'CHAM CONG'!P201</f>
        <v>x</v>
      </c>
      <c r="S34" s="693" t="str">
        <f>'CHAM CONG'!Q201</f>
        <v>x</v>
      </c>
      <c r="T34" s="693" t="str">
        <f>'CHAM CONG'!R201</f>
        <v>x</v>
      </c>
      <c r="U34" s="693" t="str">
        <f>'CHAM CONG'!S201</f>
        <v>x</v>
      </c>
      <c r="V34" s="693" t="str">
        <f>'CHAM CONG'!T201</f>
        <v>x</v>
      </c>
      <c r="W34" s="693" t="str">
        <f>'CHAM CONG'!U201</f>
        <v>x</v>
      </c>
      <c r="X34" s="693"/>
      <c r="Y34" s="693"/>
      <c r="Z34" s="698">
        <f t="shared" si="3"/>
        <v>11</v>
      </c>
      <c r="AA34" s="699">
        <f t="shared" si="15"/>
        <v>0</v>
      </c>
      <c r="AB34" s="700">
        <f t="shared" si="4"/>
        <v>176000</v>
      </c>
      <c r="AC34" s="700">
        <f>'CHAM CONG'!V201</f>
        <v>0</v>
      </c>
      <c r="AD34" s="700">
        <f>'CHAM CONG'!X201</f>
        <v>0</v>
      </c>
      <c r="AE34" s="698">
        <f t="shared" si="5"/>
        <v>0</v>
      </c>
      <c r="AF34" s="700">
        <f t="shared" si="6"/>
        <v>0</v>
      </c>
      <c r="AG34" s="700">
        <f t="shared" si="7"/>
        <v>11</v>
      </c>
      <c r="AH34" s="537">
        <f t="shared" si="8"/>
        <v>11000</v>
      </c>
      <c r="AI34" s="700">
        <f t="shared" si="9"/>
        <v>187000</v>
      </c>
      <c r="AJ34" s="693">
        <f>'SAN LUONG'!AF202</f>
        <v>386</v>
      </c>
      <c r="AK34" s="693">
        <f>'SAN LUONG'!AG202</f>
        <v>319</v>
      </c>
      <c r="AL34" s="693">
        <f>'SAN LUONG'!AH202</f>
        <v>164</v>
      </c>
      <c r="AM34" s="702">
        <f t="shared" si="16"/>
        <v>869</v>
      </c>
      <c r="AN34" s="702">
        <f t="shared" si="17"/>
        <v>0</v>
      </c>
      <c r="AO34" s="702"/>
      <c r="AP34" s="702">
        <f t="shared" si="11"/>
        <v>212210</v>
      </c>
      <c r="AQ34" s="555"/>
      <c r="AR34" s="702">
        <f t="shared" si="12"/>
        <v>0</v>
      </c>
      <c r="AS34" s="555">
        <f t="shared" si="13"/>
        <v>399210</v>
      </c>
      <c r="AT34" s="706"/>
      <c r="AU34" s="706"/>
      <c r="AV34" s="706">
        <f>'CHAM CONG'!AZ202</f>
        <v>0</v>
      </c>
      <c r="AW34" s="706"/>
      <c r="AX34" s="562">
        <f t="shared" si="18"/>
        <v>399210</v>
      </c>
      <c r="AY34" s="707"/>
      <c r="AZ34" s="708">
        <f t="shared" si="14"/>
        <v>12.5</v>
      </c>
      <c r="BA34" s="709"/>
    </row>
    <row r="35" spans="1:53" s="683" customFormat="1" ht="43.95" customHeight="1">
      <c r="A35" s="688">
        <v>26</v>
      </c>
      <c r="B35" s="689">
        <v>2</v>
      </c>
      <c r="C35" s="689">
        <v>73</v>
      </c>
      <c r="D35" s="690">
        <f>'Tên Tháng 1'!B197</f>
        <v>33612</v>
      </c>
      <c r="E35" s="690" t="str">
        <f>'Tên Tháng 1'!C197</f>
        <v>ប្រុស</v>
      </c>
      <c r="F35" s="690">
        <f>'Tên Tháng 1'!D197</f>
        <v>150470017</v>
      </c>
      <c r="G35" s="690" t="str">
        <f>'Tên Tháng 1'!E196</f>
        <v>តុប តង</v>
      </c>
      <c r="H35" s="690" t="str">
        <f>'Tên Tháng 1'!F196</f>
        <v>TOB TORNG</v>
      </c>
      <c r="I35" s="693" t="str">
        <f>'CHAM CONG'!G202</f>
        <v>x</v>
      </c>
      <c r="J35" s="693" t="str">
        <f>'CHAM CONG'!H202</f>
        <v>x</v>
      </c>
      <c r="K35" s="693" t="str">
        <f>'CHAM CONG'!I202</f>
        <v>x</v>
      </c>
      <c r="L35" s="693">
        <f>'CHAM CONG'!J202</f>
        <v>0</v>
      </c>
      <c r="M35" s="693">
        <f>'CHAM CONG'!K202</f>
        <v>0</v>
      </c>
      <c r="N35" s="693">
        <f>'CHAM CONG'!L202</f>
        <v>0</v>
      </c>
      <c r="O35" s="693" t="str">
        <f>'CHAM CONG'!M202</f>
        <v>x</v>
      </c>
      <c r="P35" s="693" t="str">
        <f>'CHAM CONG'!N202</f>
        <v>x</v>
      </c>
      <c r="Q35" s="693" t="str">
        <f>'CHAM CONG'!O202</f>
        <v>x</v>
      </c>
      <c r="R35" s="693" t="str">
        <f>'CHAM CONG'!P202</f>
        <v>x</v>
      </c>
      <c r="S35" s="693" t="str">
        <f>'CHAM CONG'!Q202</f>
        <v>x</v>
      </c>
      <c r="T35" s="693" t="str">
        <f>'CHAM CONG'!R202</f>
        <v>x</v>
      </c>
      <c r="U35" s="693" t="str">
        <f>'CHAM CONG'!S202</f>
        <v>x</v>
      </c>
      <c r="V35" s="693" t="str">
        <f>'CHAM CONG'!T202</f>
        <v>x</v>
      </c>
      <c r="W35" s="693" t="str">
        <f>'CHAM CONG'!U202</f>
        <v>x</v>
      </c>
      <c r="X35" s="693"/>
      <c r="Y35" s="693"/>
      <c r="Z35" s="698">
        <f t="shared" si="3"/>
        <v>12</v>
      </c>
      <c r="AA35" s="699">
        <f t="shared" si="15"/>
        <v>0</v>
      </c>
      <c r="AB35" s="700">
        <f t="shared" si="4"/>
        <v>192000</v>
      </c>
      <c r="AC35" s="700">
        <f>'CHAM CONG'!V202</f>
        <v>0</v>
      </c>
      <c r="AD35" s="700">
        <f>'CHAM CONG'!X202</f>
        <v>0</v>
      </c>
      <c r="AE35" s="698">
        <f t="shared" si="5"/>
        <v>0</v>
      </c>
      <c r="AF35" s="700">
        <f t="shared" si="6"/>
        <v>0</v>
      </c>
      <c r="AG35" s="700">
        <f t="shared" si="7"/>
        <v>12</v>
      </c>
      <c r="AH35" s="537">
        <f t="shared" si="8"/>
        <v>12000</v>
      </c>
      <c r="AI35" s="700">
        <f t="shared" si="9"/>
        <v>204000</v>
      </c>
      <c r="AJ35" s="693">
        <f>'SAN LUONG'!AF203</f>
        <v>402</v>
      </c>
      <c r="AK35" s="693">
        <f>'SAN LUONG'!AG203</f>
        <v>379</v>
      </c>
      <c r="AL35" s="693">
        <f>'SAN LUONG'!AH203</f>
        <v>65</v>
      </c>
      <c r="AM35" s="702">
        <f t="shared" si="16"/>
        <v>846</v>
      </c>
      <c r="AN35" s="702">
        <f t="shared" si="17"/>
        <v>0</v>
      </c>
      <c r="AO35" s="702"/>
      <c r="AP35" s="702">
        <f t="shared" si="11"/>
        <v>206593</v>
      </c>
      <c r="AQ35" s="555"/>
      <c r="AR35" s="702">
        <f t="shared" si="12"/>
        <v>0</v>
      </c>
      <c r="AS35" s="555">
        <f t="shared" si="13"/>
        <v>410593</v>
      </c>
      <c r="AT35" s="706"/>
      <c r="AU35" s="706"/>
      <c r="AV35" s="706">
        <f>'CHAM CONG'!AZ203</f>
        <v>0</v>
      </c>
      <c r="AW35" s="706"/>
      <c r="AX35" s="562">
        <f t="shared" si="18"/>
        <v>410593</v>
      </c>
      <c r="AY35" s="707"/>
      <c r="AZ35" s="708">
        <f t="shared" si="14"/>
        <v>12.85</v>
      </c>
      <c r="BA35" s="709"/>
    </row>
    <row r="36" spans="1:53" s="683" customFormat="1" ht="43.95" customHeight="1">
      <c r="A36" s="688">
        <v>27</v>
      </c>
      <c r="B36" s="689">
        <v>2</v>
      </c>
      <c r="C36" s="689">
        <v>74</v>
      </c>
      <c r="D36" s="690">
        <f>'Tên Tháng 1'!B198</f>
        <v>34141</v>
      </c>
      <c r="E36" s="690" t="str">
        <f>'Tên Tháng 1'!C198</f>
        <v>ស្រី</v>
      </c>
      <c r="F36" s="690">
        <f>'Tên Tháng 1'!D198</f>
        <v>150468211</v>
      </c>
      <c r="G36" s="690" t="str">
        <f>'Tên Tháng 1'!E197</f>
        <v>រ៉ែម រ៉ុម</v>
      </c>
      <c r="H36" s="690" t="str">
        <f>'Tên Tháng 1'!F197</f>
        <v>REM ROM</v>
      </c>
      <c r="I36" s="693" t="str">
        <f>'CHAM CONG'!G203</f>
        <v>x</v>
      </c>
      <c r="J36" s="693">
        <f>'CHAM CONG'!H203</f>
        <v>0</v>
      </c>
      <c r="K36" s="693" t="str">
        <f>'CHAM CONG'!I203</f>
        <v>x</v>
      </c>
      <c r="L36" s="693">
        <f>'CHAM CONG'!J203</f>
        <v>0</v>
      </c>
      <c r="M36" s="693">
        <f>'CHAM CONG'!K203</f>
        <v>0</v>
      </c>
      <c r="N36" s="693">
        <f>'CHAM CONG'!L203</f>
        <v>0</v>
      </c>
      <c r="O36" s="693" t="str">
        <f>'CHAM CONG'!M203</f>
        <v>x</v>
      </c>
      <c r="P36" s="693" t="str">
        <f>'CHAM CONG'!N203</f>
        <v>x</v>
      </c>
      <c r="Q36" s="693" t="str">
        <f>'CHAM CONG'!O203</f>
        <v>x</v>
      </c>
      <c r="R36" s="693" t="str">
        <f>'CHAM CONG'!P203</f>
        <v>x</v>
      </c>
      <c r="S36" s="693" t="str">
        <f>'CHAM CONG'!Q203</f>
        <v>x</v>
      </c>
      <c r="T36" s="693" t="str">
        <f>'CHAM CONG'!R203</f>
        <v>x</v>
      </c>
      <c r="U36" s="693">
        <f>'CHAM CONG'!S203</f>
        <v>0</v>
      </c>
      <c r="V36" s="693" t="str">
        <f>'CHAM CONG'!T203</f>
        <v>x</v>
      </c>
      <c r="W36" s="693" t="str">
        <f>'CHAM CONG'!U203</f>
        <v>x</v>
      </c>
      <c r="X36" s="693"/>
      <c r="Y36" s="693"/>
      <c r="Z36" s="698">
        <f t="shared" si="3"/>
        <v>10</v>
      </c>
      <c r="AA36" s="699">
        <f t="shared" si="15"/>
        <v>0</v>
      </c>
      <c r="AB36" s="700">
        <f t="shared" si="4"/>
        <v>160000</v>
      </c>
      <c r="AC36" s="700">
        <f>'CHAM CONG'!V203</f>
        <v>0</v>
      </c>
      <c r="AD36" s="700">
        <f>'CHAM CONG'!X203</f>
        <v>0</v>
      </c>
      <c r="AE36" s="698">
        <f t="shared" si="5"/>
        <v>0</v>
      </c>
      <c r="AF36" s="700">
        <f t="shared" si="6"/>
        <v>0</v>
      </c>
      <c r="AG36" s="700">
        <f t="shared" si="7"/>
        <v>10</v>
      </c>
      <c r="AH36" s="537">
        <f t="shared" si="8"/>
        <v>10000</v>
      </c>
      <c r="AI36" s="700">
        <f t="shared" si="9"/>
        <v>170000</v>
      </c>
      <c r="AJ36" s="693">
        <f>'SAN LUONG'!AF204</f>
        <v>491</v>
      </c>
      <c r="AK36" s="693">
        <f>'SAN LUONG'!AG204</f>
        <v>409</v>
      </c>
      <c r="AL36" s="693">
        <f>'SAN LUONG'!AH204</f>
        <v>90</v>
      </c>
      <c r="AM36" s="702">
        <f t="shared" si="16"/>
        <v>990</v>
      </c>
      <c r="AN36" s="702">
        <f t="shared" si="17"/>
        <v>0</v>
      </c>
      <c r="AO36" s="702"/>
      <c r="AP36" s="702">
        <f t="shared" si="11"/>
        <v>241758</v>
      </c>
      <c r="AQ36" s="555"/>
      <c r="AR36" s="702">
        <f t="shared" si="12"/>
        <v>0</v>
      </c>
      <c r="AS36" s="555">
        <f t="shared" si="13"/>
        <v>411758</v>
      </c>
      <c r="AT36" s="706"/>
      <c r="AU36" s="706"/>
      <c r="AV36" s="706">
        <f>'CHAM CONG'!AZ204</f>
        <v>0</v>
      </c>
      <c r="AW36" s="706"/>
      <c r="AX36" s="562">
        <f t="shared" si="18"/>
        <v>411758</v>
      </c>
      <c r="AY36" s="707"/>
      <c r="AZ36" s="708">
        <f t="shared" si="14"/>
        <v>12.89</v>
      </c>
      <c r="BA36" s="709"/>
    </row>
    <row r="37" spans="1:53" s="683" customFormat="1" ht="45.6" customHeight="1">
      <c r="A37" s="688">
        <v>28</v>
      </c>
      <c r="B37" s="689">
        <v>2</v>
      </c>
      <c r="C37" s="689">
        <v>75</v>
      </c>
      <c r="D37" s="690">
        <f>'Tên Tháng 1'!B199</f>
        <v>36262</v>
      </c>
      <c r="E37" s="690" t="str">
        <f>'Tên Tháng 1'!C199</f>
        <v>ប្រុស</v>
      </c>
      <c r="F37" s="690">
        <f>'Tên Tháng 1'!D199</f>
        <v>150981378</v>
      </c>
      <c r="G37" s="690" t="str">
        <f>'Tên Tháng 1'!E198</f>
        <v>ចយ សុខា</v>
      </c>
      <c r="H37" s="690" t="str">
        <f>'Tên Tháng 1'!F198</f>
        <v>CHORY SOKHA</v>
      </c>
      <c r="I37" s="693" t="str">
        <f>'CHAM CONG'!G204</f>
        <v>x</v>
      </c>
      <c r="J37" s="693">
        <f>'CHAM CONG'!H204</f>
        <v>0</v>
      </c>
      <c r="K37" s="693" t="str">
        <f>'CHAM CONG'!I204</f>
        <v>x</v>
      </c>
      <c r="L37" s="693">
        <f>'CHAM CONG'!J204</f>
        <v>0</v>
      </c>
      <c r="M37" s="693">
        <f>'CHAM CONG'!K204</f>
        <v>0</v>
      </c>
      <c r="N37" s="693">
        <f>'CHAM CONG'!L204</f>
        <v>0</v>
      </c>
      <c r="O37" s="693" t="str">
        <f>'CHAM CONG'!M204</f>
        <v>x</v>
      </c>
      <c r="P37" s="693" t="str">
        <f>'CHAM CONG'!N204</f>
        <v>x</v>
      </c>
      <c r="Q37" s="693" t="str">
        <f>'CHAM CONG'!O204</f>
        <v>x</v>
      </c>
      <c r="R37" s="693" t="str">
        <f>'CHAM CONG'!P204</f>
        <v>x</v>
      </c>
      <c r="S37" s="693" t="str">
        <f>'CHAM CONG'!Q204</f>
        <v>x</v>
      </c>
      <c r="T37" s="693" t="str">
        <f>'CHAM CONG'!R204</f>
        <v>x</v>
      </c>
      <c r="U37" s="693">
        <f>'CHAM CONG'!S204</f>
        <v>0</v>
      </c>
      <c r="V37" s="693" t="str">
        <f>'CHAM CONG'!T204</f>
        <v>x</v>
      </c>
      <c r="W37" s="693" t="str">
        <f>'CHAM CONG'!U204</f>
        <v>x</v>
      </c>
      <c r="X37" s="693"/>
      <c r="Y37" s="693"/>
      <c r="Z37" s="698">
        <f t="shared" si="3"/>
        <v>10</v>
      </c>
      <c r="AA37" s="699">
        <f t="shared" si="15"/>
        <v>0</v>
      </c>
      <c r="AB37" s="700">
        <f t="shared" si="4"/>
        <v>160000</v>
      </c>
      <c r="AC37" s="700">
        <f>'CHAM CONG'!V204</f>
        <v>0</v>
      </c>
      <c r="AD37" s="700">
        <f>'CHAM CONG'!X204</f>
        <v>0</v>
      </c>
      <c r="AE37" s="698">
        <f t="shared" si="5"/>
        <v>0</v>
      </c>
      <c r="AF37" s="700">
        <f t="shared" si="6"/>
        <v>0</v>
      </c>
      <c r="AG37" s="700">
        <f t="shared" si="7"/>
        <v>10</v>
      </c>
      <c r="AH37" s="537">
        <f t="shared" si="8"/>
        <v>10000</v>
      </c>
      <c r="AI37" s="700">
        <f t="shared" si="9"/>
        <v>170000</v>
      </c>
      <c r="AJ37" s="693">
        <f>'SAN LUONG'!AF205</f>
        <v>485</v>
      </c>
      <c r="AK37" s="693">
        <f>'SAN LUONG'!AG205</f>
        <v>428</v>
      </c>
      <c r="AL37" s="693">
        <f>'SAN LUONG'!AH205</f>
        <v>83</v>
      </c>
      <c r="AM37" s="702">
        <f t="shared" si="16"/>
        <v>996</v>
      </c>
      <c r="AN37" s="702">
        <f t="shared" si="17"/>
        <v>0</v>
      </c>
      <c r="AO37" s="702"/>
      <c r="AP37" s="702">
        <f t="shared" si="11"/>
        <v>243223</v>
      </c>
      <c r="AQ37" s="555"/>
      <c r="AR37" s="702">
        <f t="shared" si="12"/>
        <v>0</v>
      </c>
      <c r="AS37" s="555">
        <f t="shared" si="13"/>
        <v>413223</v>
      </c>
      <c r="AT37" s="706"/>
      <c r="AU37" s="706"/>
      <c r="AV37" s="706">
        <f>'CHAM CONG'!AZ205</f>
        <v>0</v>
      </c>
      <c r="AW37" s="706"/>
      <c r="AX37" s="562">
        <f t="shared" si="18"/>
        <v>413223</v>
      </c>
      <c r="AY37" s="707"/>
      <c r="AZ37" s="708">
        <f t="shared" si="14"/>
        <v>12.93</v>
      </c>
      <c r="BA37" s="709"/>
    </row>
    <row r="38" spans="1:53" s="683" customFormat="1" ht="45.6" customHeight="1">
      <c r="A38" s="688">
        <v>29</v>
      </c>
      <c r="B38" s="689">
        <v>2</v>
      </c>
      <c r="C38" s="689">
        <v>76</v>
      </c>
      <c r="D38" s="690">
        <f>'Tên Tháng 1'!B200</f>
        <v>30932</v>
      </c>
      <c r="E38" s="690" t="str">
        <f>'Tên Tháng 1'!C200</f>
        <v>ស្រី</v>
      </c>
      <c r="F38" s="690">
        <f>'Tên Tháng 1'!D200</f>
        <v>220175459</v>
      </c>
      <c r="G38" s="690" t="str">
        <f>'Tên Tháng 1'!E199</f>
        <v>ងិន ភា</v>
      </c>
      <c r="H38" s="690" t="str">
        <f>'Tên Tháng 1'!F199</f>
        <v>NGIN PHEA</v>
      </c>
      <c r="I38" s="693" t="str">
        <f>'CHAM CONG'!G205</f>
        <v>x</v>
      </c>
      <c r="J38" s="693" t="str">
        <f>'CHAM CONG'!H205</f>
        <v>x</v>
      </c>
      <c r="K38" s="693" t="str">
        <f>'CHAM CONG'!I205</f>
        <v>x</v>
      </c>
      <c r="L38" s="693">
        <f>'CHAM CONG'!J205</f>
        <v>0</v>
      </c>
      <c r="M38" s="693" t="str">
        <f>'CHAM CONG'!K205</f>
        <v>x</v>
      </c>
      <c r="N38" s="693" t="str">
        <f>'CHAM CONG'!L205</f>
        <v>x</v>
      </c>
      <c r="O38" s="693" t="str">
        <f>'CHAM CONG'!M205</f>
        <v>x</v>
      </c>
      <c r="P38" s="693" t="str">
        <f>'CHAM CONG'!N205</f>
        <v>x</v>
      </c>
      <c r="Q38" s="693" t="str">
        <f>'CHAM CONG'!O205</f>
        <v>x</v>
      </c>
      <c r="R38" s="693" t="str">
        <f>'CHAM CONG'!P205</f>
        <v>x</v>
      </c>
      <c r="S38" s="693">
        <f>'CHAM CONG'!Q205</f>
        <v>0</v>
      </c>
      <c r="T38" s="693" t="str">
        <f>'CHAM CONG'!R205</f>
        <v>x</v>
      </c>
      <c r="U38" s="693" t="str">
        <f>'CHAM CONG'!S205</f>
        <v>x</v>
      </c>
      <c r="V38" s="693" t="str">
        <f>'CHAM CONG'!T205</f>
        <v>x</v>
      </c>
      <c r="W38" s="693" t="str">
        <f>'CHAM CONG'!U205</f>
        <v>x</v>
      </c>
      <c r="X38" s="693"/>
      <c r="Y38" s="693"/>
      <c r="Z38" s="698">
        <f t="shared" si="3"/>
        <v>13</v>
      </c>
      <c r="AA38" s="699">
        <f t="shared" si="15"/>
        <v>0</v>
      </c>
      <c r="AB38" s="700">
        <f t="shared" si="4"/>
        <v>208000</v>
      </c>
      <c r="AC38" s="700">
        <f>'CHAM CONG'!V205</f>
        <v>0</v>
      </c>
      <c r="AD38" s="700">
        <f>'CHAM CONG'!X205</f>
        <v>0</v>
      </c>
      <c r="AE38" s="698">
        <f t="shared" si="5"/>
        <v>0</v>
      </c>
      <c r="AF38" s="700">
        <f t="shared" si="6"/>
        <v>0</v>
      </c>
      <c r="AG38" s="700">
        <f t="shared" si="7"/>
        <v>13</v>
      </c>
      <c r="AH38" s="537">
        <f t="shared" si="8"/>
        <v>13000</v>
      </c>
      <c r="AI38" s="700">
        <f t="shared" si="9"/>
        <v>221000</v>
      </c>
      <c r="AJ38" s="693">
        <f>'SAN LUONG'!AF206</f>
        <v>313</v>
      </c>
      <c r="AK38" s="693">
        <f>'SAN LUONG'!AG206</f>
        <v>220</v>
      </c>
      <c r="AL38" s="693">
        <f>'SAN LUONG'!AH206</f>
        <v>137</v>
      </c>
      <c r="AM38" s="702">
        <f t="shared" si="16"/>
        <v>670</v>
      </c>
      <c r="AN38" s="702">
        <f t="shared" si="17"/>
        <v>0</v>
      </c>
      <c r="AO38" s="702"/>
      <c r="AP38" s="702">
        <f t="shared" si="11"/>
        <v>163614</v>
      </c>
      <c r="AQ38" s="555"/>
      <c r="AR38" s="702">
        <f t="shared" si="12"/>
        <v>0</v>
      </c>
      <c r="AS38" s="555">
        <f t="shared" si="13"/>
        <v>384614</v>
      </c>
      <c r="AT38" s="706"/>
      <c r="AU38" s="706"/>
      <c r="AV38" s="706">
        <f>'CHAM CONG'!AZ206</f>
        <v>0</v>
      </c>
      <c r="AW38" s="706"/>
      <c r="AX38" s="562">
        <f t="shared" si="18"/>
        <v>384614</v>
      </c>
      <c r="AY38" s="707"/>
      <c r="AZ38" s="708">
        <f t="shared" si="14"/>
        <v>12.04</v>
      </c>
      <c r="BA38" s="709"/>
    </row>
    <row r="39" spans="1:53" s="683" customFormat="1" ht="45.6" customHeight="1">
      <c r="A39" s="688">
        <v>30</v>
      </c>
      <c r="B39" s="689">
        <v>2</v>
      </c>
      <c r="C39" s="689">
        <v>77</v>
      </c>
      <c r="D39" s="690">
        <f>'Tên Tháng 1'!B201</f>
        <v>36574</v>
      </c>
      <c r="E39" s="690" t="str">
        <f>'Tên Tháng 1'!C201</f>
        <v>ស្រី</v>
      </c>
      <c r="F39" s="690">
        <f>'Tên Tháng 1'!D201</f>
        <v>220140665</v>
      </c>
      <c r="G39" s="690" t="str">
        <f>'Tên Tháng 1'!E200</f>
        <v>ប៉ិល សុដា</v>
      </c>
      <c r="H39" s="690" t="str">
        <f>'Tên Tháng 1'!F200</f>
        <v>PEL SODA</v>
      </c>
      <c r="I39" s="693" t="str">
        <f>'CHAM CONG'!G206</f>
        <v>x</v>
      </c>
      <c r="J39" s="693" t="str">
        <f>'CHAM CONG'!H206</f>
        <v>x</v>
      </c>
      <c r="K39" s="693" t="str">
        <f>'CHAM CONG'!I206</f>
        <v>x</v>
      </c>
      <c r="L39" s="693">
        <f>'CHAM CONG'!J206</f>
        <v>0</v>
      </c>
      <c r="M39" s="693">
        <f>'CHAM CONG'!K206</f>
        <v>0</v>
      </c>
      <c r="N39" s="693" t="str">
        <f>'CHAM CONG'!L206</f>
        <v>x</v>
      </c>
      <c r="O39" s="693" t="str">
        <f>'CHAM CONG'!M206</f>
        <v>x</v>
      </c>
      <c r="P39" s="693" t="str">
        <f>'CHAM CONG'!N206</f>
        <v>x</v>
      </c>
      <c r="Q39" s="693" t="str">
        <f>'CHAM CONG'!O206</f>
        <v>x</v>
      </c>
      <c r="R39" s="693" t="str">
        <f>'CHAM CONG'!P206</f>
        <v>x</v>
      </c>
      <c r="S39" s="693" t="str">
        <f>'CHAM CONG'!Q206</f>
        <v>x</v>
      </c>
      <c r="T39" s="693" t="str">
        <f>'CHAM CONG'!R206</f>
        <v>x</v>
      </c>
      <c r="U39" s="693" t="str">
        <f>'CHAM CONG'!S206</f>
        <v>x</v>
      </c>
      <c r="V39" s="693" t="str">
        <f>'CHAM CONG'!T206</f>
        <v>x</v>
      </c>
      <c r="W39" s="693" t="str">
        <f>'CHAM CONG'!U206</f>
        <v>x</v>
      </c>
      <c r="X39" s="693"/>
      <c r="Y39" s="693"/>
      <c r="Z39" s="698">
        <f t="shared" si="3"/>
        <v>13</v>
      </c>
      <c r="AA39" s="699">
        <f t="shared" si="15"/>
        <v>0</v>
      </c>
      <c r="AB39" s="700">
        <f t="shared" si="4"/>
        <v>208000</v>
      </c>
      <c r="AC39" s="700">
        <f>'CHAM CONG'!V206</f>
        <v>0</v>
      </c>
      <c r="AD39" s="700">
        <f>'CHAM CONG'!X206</f>
        <v>0</v>
      </c>
      <c r="AE39" s="698">
        <f t="shared" si="5"/>
        <v>0</v>
      </c>
      <c r="AF39" s="700">
        <f t="shared" si="6"/>
        <v>0</v>
      </c>
      <c r="AG39" s="700">
        <f t="shared" si="7"/>
        <v>13</v>
      </c>
      <c r="AH39" s="537">
        <f t="shared" si="8"/>
        <v>13000</v>
      </c>
      <c r="AI39" s="700">
        <f t="shared" si="9"/>
        <v>221000</v>
      </c>
      <c r="AJ39" s="693">
        <f>'SAN LUONG'!AF207</f>
        <v>429</v>
      </c>
      <c r="AK39" s="693">
        <f>'SAN LUONG'!AG207</f>
        <v>236</v>
      </c>
      <c r="AL39" s="693">
        <f>'SAN LUONG'!AH207</f>
        <v>295</v>
      </c>
      <c r="AM39" s="702">
        <f t="shared" si="16"/>
        <v>960</v>
      </c>
      <c r="AN39" s="702">
        <f t="shared" si="17"/>
        <v>0</v>
      </c>
      <c r="AO39" s="702"/>
      <c r="AP39" s="702">
        <f t="shared" si="11"/>
        <v>234432</v>
      </c>
      <c r="AQ39" s="555"/>
      <c r="AR39" s="702">
        <f t="shared" si="12"/>
        <v>0</v>
      </c>
      <c r="AS39" s="555">
        <f t="shared" si="13"/>
        <v>455432</v>
      </c>
      <c r="AT39" s="706"/>
      <c r="AU39" s="706"/>
      <c r="AV39" s="706">
        <f>'CHAM CONG'!AZ207</f>
        <v>0</v>
      </c>
      <c r="AW39" s="706"/>
      <c r="AX39" s="562">
        <f t="shared" si="18"/>
        <v>455432</v>
      </c>
      <c r="AY39" s="707"/>
      <c r="AZ39" s="708">
        <f t="shared" si="14"/>
        <v>14.26</v>
      </c>
      <c r="BA39" s="709"/>
    </row>
    <row r="40" spans="1:53" s="683" customFormat="1" ht="45.6" customHeight="1">
      <c r="A40" s="688">
        <v>31</v>
      </c>
      <c r="B40" s="689">
        <v>2</v>
      </c>
      <c r="C40" s="689">
        <v>78</v>
      </c>
      <c r="D40" s="690">
        <f>'Tên Tháng 1'!B202</f>
        <v>30786</v>
      </c>
      <c r="E40" s="690" t="str">
        <f>'Tên Tháng 1'!C202</f>
        <v>ស្រី</v>
      </c>
      <c r="F40" s="690">
        <f>'Tên Tháng 1'!D202</f>
        <v>220175435</v>
      </c>
      <c r="G40" s="690" t="str">
        <f>'Tên Tháng 1'!E201</f>
        <v>ទ្រី​ សុខខី</v>
      </c>
      <c r="H40" s="690" t="str">
        <f>'Tên Tháng 1'!F201</f>
        <v>TRY SOKKHEY</v>
      </c>
      <c r="I40" s="693">
        <f>'CHAM CONG'!G207</f>
        <v>0</v>
      </c>
      <c r="J40" s="693" t="str">
        <f>'CHAM CONG'!H207</f>
        <v>x</v>
      </c>
      <c r="K40" s="693">
        <f>'CHAM CONG'!I207</f>
        <v>0</v>
      </c>
      <c r="L40" s="693">
        <f>'CHAM CONG'!J207</f>
        <v>0</v>
      </c>
      <c r="M40" s="693">
        <f>'CHAM CONG'!K207</f>
        <v>0</v>
      </c>
      <c r="N40" s="693" t="str">
        <f>'CHAM CONG'!L207</f>
        <v>x</v>
      </c>
      <c r="O40" s="693" t="str">
        <f>'CHAM CONG'!M207</f>
        <v>x</v>
      </c>
      <c r="P40" s="693" t="str">
        <f>'CHAM CONG'!N207</f>
        <v>x</v>
      </c>
      <c r="Q40" s="693" t="str">
        <f>'CHAM CONG'!O207</f>
        <v>x</v>
      </c>
      <c r="R40" s="693" t="str">
        <f>'CHAM CONG'!P207</f>
        <v>x</v>
      </c>
      <c r="S40" s="693" t="str">
        <f>'CHAM CONG'!Q207</f>
        <v>x</v>
      </c>
      <c r="T40" s="693" t="str">
        <f>'CHAM CONG'!R207</f>
        <v>x</v>
      </c>
      <c r="U40" s="693" t="str">
        <f>'CHAM CONG'!S207</f>
        <v>x</v>
      </c>
      <c r="V40" s="693" t="str">
        <f>'CHAM CONG'!T207</f>
        <v>x</v>
      </c>
      <c r="W40" s="693" t="str">
        <f>'CHAM CONG'!U207</f>
        <v>x</v>
      </c>
      <c r="X40" s="693"/>
      <c r="Y40" s="693"/>
      <c r="Z40" s="698">
        <f t="shared" si="3"/>
        <v>11</v>
      </c>
      <c r="AA40" s="699">
        <f t="shared" si="15"/>
        <v>0</v>
      </c>
      <c r="AB40" s="700">
        <f t="shared" si="4"/>
        <v>176000</v>
      </c>
      <c r="AC40" s="700" t="str">
        <f>'CHAM CONG'!V207</f>
        <v>x</v>
      </c>
      <c r="AD40" s="700">
        <f>'CHAM CONG'!X207</f>
        <v>0</v>
      </c>
      <c r="AE40" s="698">
        <f t="shared" si="5"/>
        <v>1</v>
      </c>
      <c r="AF40" s="700">
        <f t="shared" si="6"/>
        <v>17000</v>
      </c>
      <c r="AG40" s="700">
        <f t="shared" si="7"/>
        <v>11</v>
      </c>
      <c r="AH40" s="537">
        <f t="shared" si="8"/>
        <v>11000</v>
      </c>
      <c r="AI40" s="700">
        <f t="shared" si="9"/>
        <v>204000</v>
      </c>
      <c r="AJ40" s="693">
        <f>'SAN LUONG'!AF208</f>
        <v>336</v>
      </c>
      <c r="AK40" s="693">
        <f>'SAN LUONG'!AG208</f>
        <v>266</v>
      </c>
      <c r="AL40" s="693">
        <f>'SAN LUONG'!AH208</f>
        <v>49</v>
      </c>
      <c r="AM40" s="702">
        <f t="shared" si="16"/>
        <v>651</v>
      </c>
      <c r="AN40" s="702">
        <f t="shared" si="17"/>
        <v>0</v>
      </c>
      <c r="AO40" s="702"/>
      <c r="AP40" s="702">
        <f t="shared" si="11"/>
        <v>158974</v>
      </c>
      <c r="AQ40" s="555"/>
      <c r="AR40" s="702">
        <f t="shared" si="12"/>
        <v>0</v>
      </c>
      <c r="AS40" s="555">
        <f t="shared" si="13"/>
        <v>362974</v>
      </c>
      <c r="AT40" s="706"/>
      <c r="AU40" s="706"/>
      <c r="AV40" s="706">
        <f>'CHAM CONG'!AZ208</f>
        <v>0</v>
      </c>
      <c r="AW40" s="706"/>
      <c r="AX40" s="562">
        <f t="shared" si="18"/>
        <v>362974</v>
      </c>
      <c r="AY40" s="707"/>
      <c r="AZ40" s="708">
        <f t="shared" si="14"/>
        <v>11.36</v>
      </c>
      <c r="BA40" s="709"/>
    </row>
    <row r="41" spans="1:53" s="683" customFormat="1" ht="45.6" customHeight="1">
      <c r="A41" s="688">
        <v>32</v>
      </c>
      <c r="B41" s="689">
        <v>2</v>
      </c>
      <c r="C41" s="689">
        <v>79</v>
      </c>
      <c r="D41" s="690">
        <f>'Tên Tháng 1'!B203</f>
        <v>34073</v>
      </c>
      <c r="E41" s="690" t="str">
        <f>'Tên Tháng 1'!C203</f>
        <v>ប្រុស</v>
      </c>
      <c r="F41" s="690">
        <f>'Tên Tháng 1'!D203</f>
        <v>220234391</v>
      </c>
      <c r="G41" s="690" t="str">
        <f>'Tên Tháng 1'!E202</f>
        <v>ដែង ស</v>
      </c>
      <c r="H41" s="690" t="str">
        <f>'Tên Tháng 1'!F202</f>
        <v>DENG SOR</v>
      </c>
      <c r="I41" s="693">
        <f>'CHAM CONG'!G208</f>
        <v>0</v>
      </c>
      <c r="J41" s="693" t="str">
        <f>'CHAM CONG'!H208</f>
        <v>x</v>
      </c>
      <c r="K41" s="693" t="str">
        <f>'CHAM CONG'!I208</f>
        <v>x</v>
      </c>
      <c r="L41" s="693">
        <f>'CHAM CONG'!J208</f>
        <v>0</v>
      </c>
      <c r="M41" s="693">
        <f>'CHAM CONG'!K208</f>
        <v>0</v>
      </c>
      <c r="N41" s="693" t="str">
        <f>'CHAM CONG'!L208</f>
        <v>x</v>
      </c>
      <c r="O41" s="693" t="str">
        <f>'CHAM CONG'!M208</f>
        <v>x</v>
      </c>
      <c r="P41" s="693" t="str">
        <f>'CHAM CONG'!N208</f>
        <v>x</v>
      </c>
      <c r="Q41" s="693" t="str">
        <f>'CHAM CONG'!O208</f>
        <v>x</v>
      </c>
      <c r="R41" s="693" t="str">
        <f>'CHAM CONG'!P208</f>
        <v>x</v>
      </c>
      <c r="S41" s="693">
        <f>'CHAM CONG'!Q208</f>
        <v>0</v>
      </c>
      <c r="T41" s="693" t="str">
        <f>'CHAM CONG'!R208</f>
        <v>x</v>
      </c>
      <c r="U41" s="693" t="str">
        <f>'CHAM CONG'!S208</f>
        <v>x</v>
      </c>
      <c r="V41" s="693" t="str">
        <f>'CHAM CONG'!T208</f>
        <v>x</v>
      </c>
      <c r="W41" s="693" t="str">
        <f>'CHAM CONG'!U208</f>
        <v>x</v>
      </c>
      <c r="X41" s="693"/>
      <c r="Y41" s="693"/>
      <c r="Z41" s="698">
        <f t="shared" si="3"/>
        <v>11</v>
      </c>
      <c r="AA41" s="699">
        <f t="shared" si="15"/>
        <v>0</v>
      </c>
      <c r="AB41" s="700">
        <f t="shared" si="4"/>
        <v>176000</v>
      </c>
      <c r="AC41" s="700">
        <f>'CHAM CONG'!V208</f>
        <v>0</v>
      </c>
      <c r="AD41" s="700">
        <f>'CHAM CONG'!X208</f>
        <v>0</v>
      </c>
      <c r="AE41" s="698">
        <f t="shared" si="5"/>
        <v>0</v>
      </c>
      <c r="AF41" s="700">
        <f t="shared" si="6"/>
        <v>0</v>
      </c>
      <c r="AG41" s="700">
        <f t="shared" si="7"/>
        <v>11</v>
      </c>
      <c r="AH41" s="537">
        <f t="shared" si="8"/>
        <v>11000</v>
      </c>
      <c r="AI41" s="700">
        <f t="shared" si="9"/>
        <v>187000</v>
      </c>
      <c r="AJ41" s="693">
        <f>'SAN LUONG'!AF209</f>
        <v>392</v>
      </c>
      <c r="AK41" s="693">
        <f>'SAN LUONG'!AG209</f>
        <v>212</v>
      </c>
      <c r="AL41" s="693">
        <f>'SAN LUONG'!AH209</f>
        <v>139</v>
      </c>
      <c r="AM41" s="702">
        <f t="shared" si="16"/>
        <v>743</v>
      </c>
      <c r="AN41" s="702">
        <f t="shared" si="17"/>
        <v>0</v>
      </c>
      <c r="AO41" s="702"/>
      <c r="AP41" s="702">
        <f t="shared" si="11"/>
        <v>181441</v>
      </c>
      <c r="AQ41" s="555"/>
      <c r="AR41" s="702">
        <f t="shared" si="12"/>
        <v>0</v>
      </c>
      <c r="AS41" s="555">
        <f t="shared" si="13"/>
        <v>368441</v>
      </c>
      <c r="AT41" s="706"/>
      <c r="AU41" s="706"/>
      <c r="AV41" s="706">
        <f>'CHAM CONG'!AZ209</f>
        <v>0</v>
      </c>
      <c r="AW41" s="706"/>
      <c r="AX41" s="562">
        <f t="shared" si="18"/>
        <v>368441</v>
      </c>
      <c r="AY41" s="707"/>
      <c r="AZ41" s="708">
        <f t="shared" si="14"/>
        <v>11.53</v>
      </c>
      <c r="BA41" s="709"/>
    </row>
    <row r="42" spans="1:53" s="683" customFormat="1" ht="45.6" customHeight="1">
      <c r="A42" s="688">
        <v>33</v>
      </c>
      <c r="B42" s="689">
        <v>2</v>
      </c>
      <c r="C42" s="689">
        <v>80</v>
      </c>
      <c r="D42" s="690">
        <f>'Tên Tháng 1'!B204</f>
        <v>35051</v>
      </c>
      <c r="E42" s="690" t="str">
        <f>'Tên Tháng 1'!C204</f>
        <v>ស្រី</v>
      </c>
      <c r="F42" s="690" t="str">
        <f>'Tên Tháng 1'!D204</f>
        <v>220140656</v>
      </c>
      <c r="G42" s="690" t="str">
        <f>'Tên Tháng 1'!E203</f>
        <v>អ៊ុក រដ្ឋ</v>
      </c>
      <c r="H42" s="690" t="str">
        <f>'Tên Tháng 1'!F203</f>
        <v>UK ROTH</v>
      </c>
      <c r="I42" s="693" t="str">
        <f>'CHAM CONG'!G209</f>
        <v>x</v>
      </c>
      <c r="J42" s="693" t="str">
        <f>'CHAM CONG'!H209</f>
        <v>x</v>
      </c>
      <c r="K42" s="693">
        <f>'CHAM CONG'!I209</f>
        <v>0</v>
      </c>
      <c r="L42" s="693">
        <f>'CHAM CONG'!J209</f>
        <v>0</v>
      </c>
      <c r="M42" s="693">
        <f>'CHAM CONG'!K209</f>
        <v>0</v>
      </c>
      <c r="N42" s="693" t="str">
        <f>'CHAM CONG'!L209</f>
        <v>x</v>
      </c>
      <c r="O42" s="693" t="str">
        <f>'CHAM CONG'!M209</f>
        <v>x</v>
      </c>
      <c r="P42" s="693" t="str">
        <f>'CHAM CONG'!N209</f>
        <v>x</v>
      </c>
      <c r="Q42" s="693">
        <f>'CHAM CONG'!O209</f>
        <v>0</v>
      </c>
      <c r="R42" s="693" t="str">
        <f>'CHAM CONG'!P209</f>
        <v>x</v>
      </c>
      <c r="S42" s="693" t="str">
        <f>'CHAM CONG'!Q209</f>
        <v>x</v>
      </c>
      <c r="T42" s="693" t="str">
        <f>'CHAM CONG'!R209</f>
        <v>x</v>
      </c>
      <c r="U42" s="693" t="str">
        <f>'CHAM CONG'!S209</f>
        <v>x</v>
      </c>
      <c r="V42" s="693" t="str">
        <f>'CHAM CONG'!T209</f>
        <v>x</v>
      </c>
      <c r="W42" s="693" t="str">
        <f>'CHAM CONG'!U209</f>
        <v>x</v>
      </c>
      <c r="X42" s="693"/>
      <c r="Y42" s="693"/>
      <c r="Z42" s="698">
        <f t="shared" si="3"/>
        <v>11</v>
      </c>
      <c r="AA42" s="699">
        <f t="shared" si="15"/>
        <v>0</v>
      </c>
      <c r="AB42" s="700">
        <f t="shared" si="4"/>
        <v>176000</v>
      </c>
      <c r="AC42" s="700" t="str">
        <f>'CHAM CONG'!V209</f>
        <v>x</v>
      </c>
      <c r="AD42" s="700" t="str">
        <f>'CHAM CONG'!X209</f>
        <v>x</v>
      </c>
      <c r="AE42" s="698">
        <f t="shared" si="5"/>
        <v>2</v>
      </c>
      <c r="AF42" s="700">
        <f t="shared" si="6"/>
        <v>34000</v>
      </c>
      <c r="AG42" s="700">
        <f t="shared" si="7"/>
        <v>11</v>
      </c>
      <c r="AH42" s="537">
        <f t="shared" si="8"/>
        <v>11000</v>
      </c>
      <c r="AI42" s="700">
        <f t="shared" si="9"/>
        <v>221000</v>
      </c>
      <c r="AJ42" s="693">
        <f>'SAN LUONG'!AF210</f>
        <v>489</v>
      </c>
      <c r="AK42" s="693">
        <f>'SAN LUONG'!AG210</f>
        <v>311</v>
      </c>
      <c r="AL42" s="693">
        <f>'SAN LUONG'!AH210</f>
        <v>95</v>
      </c>
      <c r="AM42" s="702">
        <f t="shared" si="16"/>
        <v>895</v>
      </c>
      <c r="AN42" s="702">
        <f t="shared" si="17"/>
        <v>0</v>
      </c>
      <c r="AO42" s="702"/>
      <c r="AP42" s="702">
        <f t="shared" si="11"/>
        <v>218559</v>
      </c>
      <c r="AQ42" s="555"/>
      <c r="AR42" s="702">
        <f t="shared" si="12"/>
        <v>0</v>
      </c>
      <c r="AS42" s="555">
        <f t="shared" si="13"/>
        <v>439559</v>
      </c>
      <c r="AT42" s="706"/>
      <c r="AU42" s="706"/>
      <c r="AV42" s="706">
        <f>'CHAM CONG'!AZ210</f>
        <v>0</v>
      </c>
      <c r="AW42" s="706"/>
      <c r="AX42" s="562">
        <f t="shared" si="18"/>
        <v>439559</v>
      </c>
      <c r="AY42" s="707"/>
      <c r="AZ42" s="708">
        <f t="shared" si="14"/>
        <v>13.76</v>
      </c>
      <c r="BA42" s="709"/>
    </row>
    <row r="43" spans="1:53" s="684" customFormat="1" ht="45.6" customHeight="1">
      <c r="A43" s="688">
        <v>34</v>
      </c>
      <c r="B43" s="689">
        <v>2</v>
      </c>
      <c r="C43" s="689">
        <v>81</v>
      </c>
      <c r="D43" s="690">
        <f>'Tên Tháng 1'!B205</f>
        <v>37652</v>
      </c>
      <c r="E43" s="690" t="str">
        <f>'Tên Tháng 1'!C205</f>
        <v>ស្រី</v>
      </c>
      <c r="F43" s="690" t="str">
        <f>'Tên Tháng 1'!D205</f>
        <v>150947762</v>
      </c>
      <c r="G43" s="690" t="str">
        <f>'Tên Tháng 1'!E204</f>
        <v>ដែង សន</v>
      </c>
      <c r="H43" s="690" t="str">
        <f>'Tên Tháng 1'!F204</f>
        <v>DENG SAN</v>
      </c>
      <c r="I43" s="693" t="str">
        <f>'CHAM CONG'!G210</f>
        <v>x</v>
      </c>
      <c r="J43" s="693" t="str">
        <f>'CHAM CONG'!H210</f>
        <v>x</v>
      </c>
      <c r="K43" s="693">
        <f>'CHAM CONG'!I210</f>
        <v>0</v>
      </c>
      <c r="L43" s="693">
        <f>'CHAM CONG'!J210</f>
        <v>0</v>
      </c>
      <c r="M43" s="693">
        <f>'CHAM CONG'!K210</f>
        <v>0</v>
      </c>
      <c r="N43" s="693" t="str">
        <f>'CHAM CONG'!L210</f>
        <v>x</v>
      </c>
      <c r="O43" s="693" t="str">
        <f>'CHAM CONG'!M210</f>
        <v>x</v>
      </c>
      <c r="P43" s="693" t="str">
        <f>'CHAM CONG'!N210</f>
        <v>x</v>
      </c>
      <c r="Q43" s="693">
        <f>'CHAM CONG'!O210</f>
        <v>0</v>
      </c>
      <c r="R43" s="693" t="str">
        <f>'CHAM CONG'!P210</f>
        <v>x</v>
      </c>
      <c r="S43" s="693" t="str">
        <f>'CHAM CONG'!Q210</f>
        <v>x</v>
      </c>
      <c r="T43" s="693" t="str">
        <f>'CHAM CONG'!R210</f>
        <v>x</v>
      </c>
      <c r="U43" s="693" t="str">
        <f>'CHAM CONG'!S210</f>
        <v>x</v>
      </c>
      <c r="V43" s="693" t="str">
        <f>'CHAM CONG'!T210</f>
        <v>x</v>
      </c>
      <c r="W43" s="693" t="str">
        <f>'CHAM CONG'!U210</f>
        <v>x</v>
      </c>
      <c r="X43" s="693"/>
      <c r="Y43" s="693"/>
      <c r="Z43" s="698">
        <f t="shared" si="3"/>
        <v>11</v>
      </c>
      <c r="AA43" s="699">
        <f t="shared" si="15"/>
        <v>0</v>
      </c>
      <c r="AB43" s="700">
        <f t="shared" si="4"/>
        <v>176000</v>
      </c>
      <c r="AC43" s="700" t="str">
        <f>'CHAM CONG'!V210</f>
        <v>x</v>
      </c>
      <c r="AD43" s="700" t="str">
        <f>'CHAM CONG'!X210</f>
        <v>x</v>
      </c>
      <c r="AE43" s="698">
        <f t="shared" si="5"/>
        <v>2</v>
      </c>
      <c r="AF43" s="700">
        <f t="shared" si="6"/>
        <v>34000</v>
      </c>
      <c r="AG43" s="700">
        <f t="shared" si="7"/>
        <v>11</v>
      </c>
      <c r="AH43" s="537">
        <f t="shared" si="8"/>
        <v>11000</v>
      </c>
      <c r="AI43" s="700">
        <f t="shared" si="9"/>
        <v>221000</v>
      </c>
      <c r="AJ43" s="693">
        <f>'SAN LUONG'!AF211</f>
        <v>473</v>
      </c>
      <c r="AK43" s="693">
        <f>'SAN LUONG'!AG211</f>
        <v>373</v>
      </c>
      <c r="AL43" s="693">
        <f>'SAN LUONG'!AH211</f>
        <v>95</v>
      </c>
      <c r="AM43" s="702">
        <f t="shared" si="16"/>
        <v>941</v>
      </c>
      <c r="AN43" s="702">
        <f t="shared" si="17"/>
        <v>0</v>
      </c>
      <c r="AO43" s="702"/>
      <c r="AP43" s="702">
        <f t="shared" si="11"/>
        <v>229792</v>
      </c>
      <c r="AQ43" s="555"/>
      <c r="AR43" s="702">
        <f t="shared" si="12"/>
        <v>0</v>
      </c>
      <c r="AS43" s="555">
        <f t="shared" si="13"/>
        <v>450792</v>
      </c>
      <c r="AT43" s="706"/>
      <c r="AU43" s="706"/>
      <c r="AV43" s="706">
        <f>'CHAM CONG'!AZ211</f>
        <v>0</v>
      </c>
      <c r="AW43" s="706"/>
      <c r="AX43" s="562">
        <f t="shared" si="18"/>
        <v>450792</v>
      </c>
      <c r="AY43" s="710"/>
      <c r="AZ43" s="708">
        <f t="shared" si="14"/>
        <v>14.11</v>
      </c>
      <c r="BA43" s="709"/>
    </row>
    <row r="44" spans="1:53" s="683" customFormat="1" ht="45.6" customHeight="1">
      <c r="A44" s="688">
        <v>35</v>
      </c>
      <c r="B44" s="689">
        <v>2</v>
      </c>
      <c r="C44" s="691">
        <v>82</v>
      </c>
      <c r="D44" s="690">
        <f>'Tên Tháng 1'!B207</f>
        <v>35071</v>
      </c>
      <c r="E44" s="690" t="str">
        <f>'Tên Tháng 1'!C207</f>
        <v>ស្រី</v>
      </c>
      <c r="F44" s="690">
        <f>'Tên Tháng 1'!D207</f>
        <v>220208916</v>
      </c>
      <c r="G44" s="690" t="str">
        <f>'Tên Tháng 1'!E205</f>
        <v>ញូន ស្រីខួច</v>
      </c>
      <c r="H44" s="690" t="str">
        <f>'Tên Tháng 1'!F205</f>
        <v>NHOUN SREYKHOUCH</v>
      </c>
      <c r="I44" s="693">
        <f>'CHAM CONG'!G211</f>
        <v>0</v>
      </c>
      <c r="J44" s="693" t="str">
        <f>'CHAM CONG'!H211</f>
        <v>x</v>
      </c>
      <c r="K44" s="693" t="str">
        <f>'CHAM CONG'!I211</f>
        <v>x</v>
      </c>
      <c r="L44" s="693">
        <f>'CHAM CONG'!J211</f>
        <v>0</v>
      </c>
      <c r="M44" s="693">
        <f>'CHAM CONG'!K211</f>
        <v>0</v>
      </c>
      <c r="N44" s="693" t="str">
        <f>'CHAM CONG'!L211</f>
        <v>x</v>
      </c>
      <c r="O44" s="693" t="str">
        <f>'CHAM CONG'!M211</f>
        <v>x</v>
      </c>
      <c r="P44" s="693" t="str">
        <f>'CHAM CONG'!N211</f>
        <v>x</v>
      </c>
      <c r="Q44" s="693" t="str">
        <f>'CHAM CONG'!O211</f>
        <v>x</v>
      </c>
      <c r="R44" s="693">
        <f>'CHAM CONG'!P211</f>
        <v>0</v>
      </c>
      <c r="S44" s="693" t="str">
        <f>'CHAM CONG'!Q211</f>
        <v>x</v>
      </c>
      <c r="T44" s="693" t="str">
        <f>'CHAM CONG'!R211</f>
        <v>x</v>
      </c>
      <c r="U44" s="693" t="str">
        <f>'CHAM CONG'!S211</f>
        <v>x</v>
      </c>
      <c r="V44" s="693" t="str">
        <f>'CHAM CONG'!T211</f>
        <v>x</v>
      </c>
      <c r="W44" s="693" t="str">
        <f>'CHAM CONG'!U211</f>
        <v>x</v>
      </c>
      <c r="X44" s="693"/>
      <c r="Y44" s="693"/>
      <c r="Z44" s="698">
        <f t="shared" si="3"/>
        <v>11</v>
      </c>
      <c r="AA44" s="699">
        <f t="shared" si="15"/>
        <v>0</v>
      </c>
      <c r="AB44" s="700">
        <f t="shared" si="4"/>
        <v>176000</v>
      </c>
      <c r="AC44" s="700">
        <f>'CHAM CONG'!V211</f>
        <v>0</v>
      </c>
      <c r="AD44" s="700">
        <f>'CHAM CONG'!X211</f>
        <v>0</v>
      </c>
      <c r="AE44" s="698">
        <f t="shared" si="5"/>
        <v>0</v>
      </c>
      <c r="AF44" s="700">
        <f t="shared" si="6"/>
        <v>0</v>
      </c>
      <c r="AG44" s="700">
        <f t="shared" si="7"/>
        <v>11</v>
      </c>
      <c r="AH44" s="537">
        <f t="shared" si="8"/>
        <v>11000</v>
      </c>
      <c r="AI44" s="700">
        <f t="shared" si="9"/>
        <v>187000</v>
      </c>
      <c r="AJ44" s="693">
        <f>'SAN LUONG'!AF212</f>
        <v>234</v>
      </c>
      <c r="AK44" s="693">
        <f>'SAN LUONG'!AG212</f>
        <v>309</v>
      </c>
      <c r="AL44" s="693">
        <f>'SAN LUONG'!AH212</f>
        <v>108</v>
      </c>
      <c r="AM44" s="702">
        <f t="shared" si="16"/>
        <v>651</v>
      </c>
      <c r="AN44" s="702">
        <f t="shared" si="17"/>
        <v>0</v>
      </c>
      <c r="AO44" s="702"/>
      <c r="AP44" s="702">
        <f t="shared" si="11"/>
        <v>158974</v>
      </c>
      <c r="AQ44" s="555"/>
      <c r="AR44" s="702">
        <f t="shared" si="12"/>
        <v>0</v>
      </c>
      <c r="AS44" s="555">
        <f t="shared" si="13"/>
        <v>345974</v>
      </c>
      <c r="AT44" s="706"/>
      <c r="AU44" s="706"/>
      <c r="AV44" s="706">
        <f>'CHAM CONG'!AZ213</f>
        <v>0</v>
      </c>
      <c r="AW44" s="706"/>
      <c r="AX44" s="562">
        <f t="shared" si="18"/>
        <v>345974</v>
      </c>
      <c r="AY44" s="707"/>
      <c r="AZ44" s="708">
        <f t="shared" si="14"/>
        <v>10.83</v>
      </c>
      <c r="BA44" s="709"/>
    </row>
    <row r="45" spans="1:53" s="683" customFormat="1" ht="45.6" customHeight="1">
      <c r="A45" s="688">
        <v>36</v>
      </c>
      <c r="B45" s="689">
        <v>2</v>
      </c>
      <c r="C45" s="691">
        <v>83</v>
      </c>
      <c r="D45" s="690">
        <f>'Tên Tháng 1'!B208</f>
        <v>33063</v>
      </c>
      <c r="E45" s="690" t="str">
        <f>'Tên Tháng 1'!C208</f>
        <v>ប្រុស</v>
      </c>
      <c r="F45" s="690" t="str">
        <f>'Tên Tháng 1'!D208</f>
        <v>150612299</v>
      </c>
      <c r="G45" s="690" t="str">
        <f>'Tên Tháng 1'!E206</f>
        <v>សេក សាមន់</v>
      </c>
      <c r="H45" s="690" t="str">
        <f>'Tên Tháng 1'!F206</f>
        <v>SEK SAMON</v>
      </c>
      <c r="I45" s="693">
        <f>'CHAM CONG'!G212</f>
        <v>0</v>
      </c>
      <c r="J45" s="693" t="str">
        <f>'CHAM CONG'!H212</f>
        <v>x</v>
      </c>
      <c r="K45" s="693" t="str">
        <f>'CHAM CONG'!I212</f>
        <v>x</v>
      </c>
      <c r="L45" s="693">
        <f>'CHAM CONG'!J212</f>
        <v>0</v>
      </c>
      <c r="M45" s="693">
        <f>'CHAM CONG'!K212</f>
        <v>0</v>
      </c>
      <c r="N45" s="693" t="str">
        <f>'CHAM CONG'!L212</f>
        <v>x</v>
      </c>
      <c r="O45" s="693">
        <f>'CHAM CONG'!M212</f>
        <v>0</v>
      </c>
      <c r="P45" s="693" t="str">
        <f>'CHAM CONG'!N212</f>
        <v>x</v>
      </c>
      <c r="Q45" s="693" t="str">
        <f>'CHAM CONG'!O212</f>
        <v>x</v>
      </c>
      <c r="R45" s="693" t="str">
        <f>'CHAM CONG'!P212</f>
        <v>x</v>
      </c>
      <c r="S45" s="693" t="str">
        <f>'CHAM CONG'!Q212</f>
        <v>x</v>
      </c>
      <c r="T45" s="693" t="str">
        <f>'CHAM CONG'!R212</f>
        <v>x</v>
      </c>
      <c r="U45" s="693" t="str">
        <f>'CHAM CONG'!S212</f>
        <v>x</v>
      </c>
      <c r="V45" s="693" t="str">
        <f>'CHAM CONG'!T212</f>
        <v>x</v>
      </c>
      <c r="W45" s="693" t="str">
        <f>'CHAM CONG'!U212</f>
        <v>x</v>
      </c>
      <c r="X45" s="693"/>
      <c r="Y45" s="693"/>
      <c r="Z45" s="698">
        <f t="shared" si="3"/>
        <v>11</v>
      </c>
      <c r="AA45" s="699">
        <f t="shared" si="15"/>
        <v>0</v>
      </c>
      <c r="AB45" s="700">
        <f t="shared" si="4"/>
        <v>176000</v>
      </c>
      <c r="AC45" s="700" t="str">
        <f>'CHAM CONG'!V212</f>
        <v>x</v>
      </c>
      <c r="AD45" s="700">
        <f>'CHAM CONG'!X212</f>
        <v>0</v>
      </c>
      <c r="AE45" s="698">
        <f t="shared" si="5"/>
        <v>1</v>
      </c>
      <c r="AF45" s="700">
        <f t="shared" si="6"/>
        <v>17000</v>
      </c>
      <c r="AG45" s="700">
        <f t="shared" si="7"/>
        <v>11</v>
      </c>
      <c r="AH45" s="537">
        <f t="shared" si="8"/>
        <v>11000</v>
      </c>
      <c r="AI45" s="700">
        <f t="shared" si="9"/>
        <v>204000</v>
      </c>
      <c r="AJ45" s="693">
        <f>'SAN LUONG'!AF213</f>
        <v>380</v>
      </c>
      <c r="AK45" s="693">
        <f>'SAN LUONG'!AG213</f>
        <v>346</v>
      </c>
      <c r="AL45" s="693">
        <f>'SAN LUONG'!AH213</f>
        <v>153</v>
      </c>
      <c r="AM45" s="702">
        <f t="shared" si="16"/>
        <v>879</v>
      </c>
      <c r="AN45" s="702">
        <f t="shared" si="17"/>
        <v>0</v>
      </c>
      <c r="AO45" s="702"/>
      <c r="AP45" s="702">
        <f t="shared" si="11"/>
        <v>214652</v>
      </c>
      <c r="AQ45" s="555"/>
      <c r="AR45" s="702">
        <f t="shared" si="12"/>
        <v>0</v>
      </c>
      <c r="AS45" s="555">
        <f t="shared" si="13"/>
        <v>418652</v>
      </c>
      <c r="AT45" s="706"/>
      <c r="AU45" s="706"/>
      <c r="AV45" s="706">
        <f>'CHAM CONG'!AZ214</f>
        <v>0</v>
      </c>
      <c r="AW45" s="706"/>
      <c r="AX45" s="562">
        <f t="shared" si="18"/>
        <v>418652</v>
      </c>
      <c r="AY45" s="707"/>
      <c r="AZ45" s="708">
        <f t="shared" si="14"/>
        <v>13.1</v>
      </c>
      <c r="BA45" s="709"/>
    </row>
    <row r="46" spans="1:53" s="683" customFormat="1" ht="53.4" customHeight="1">
      <c r="A46" s="688">
        <v>37</v>
      </c>
      <c r="B46" s="689">
        <v>2</v>
      </c>
      <c r="C46" s="689">
        <v>84</v>
      </c>
      <c r="D46" s="690">
        <f>'Tên Tháng 1'!B210</f>
        <v>34132</v>
      </c>
      <c r="E46" s="690" t="str">
        <f>'Tên Tháng 1'!C210</f>
        <v>ប្រុស</v>
      </c>
      <c r="F46" s="690">
        <f>'Tên Tháng 1'!D210</f>
        <v>150759229</v>
      </c>
      <c r="G46" s="690" t="str">
        <f>'Tên Tháng 1'!E207</f>
        <v>សាត ម៉េងហួង</v>
      </c>
      <c r="H46" s="690" t="str">
        <f>'Tên Tháng 1'!F207</f>
        <v>SAT MENGHOUR</v>
      </c>
      <c r="I46" s="693">
        <f>'CHAM CONG'!G213</f>
        <v>0</v>
      </c>
      <c r="J46" s="693" t="str">
        <f>'CHAM CONG'!H213</f>
        <v>x</v>
      </c>
      <c r="K46" s="693" t="str">
        <f>'CHAM CONG'!I213</f>
        <v>x</v>
      </c>
      <c r="L46" s="693">
        <f>'CHAM CONG'!J213</f>
        <v>0</v>
      </c>
      <c r="M46" s="693">
        <f>'CHAM CONG'!K213</f>
        <v>0</v>
      </c>
      <c r="N46" s="693" t="str">
        <f>'CHAM CONG'!L213</f>
        <v>x</v>
      </c>
      <c r="O46" s="693" t="str">
        <f>'CHAM CONG'!M213</f>
        <v>x</v>
      </c>
      <c r="P46" s="693">
        <f>'CHAM CONG'!N213</f>
        <v>0</v>
      </c>
      <c r="Q46" s="693" t="str">
        <f>'CHAM CONG'!O213</f>
        <v>x</v>
      </c>
      <c r="R46" s="693" t="str">
        <f>'CHAM CONG'!P213</f>
        <v>x</v>
      </c>
      <c r="S46" s="693" t="str">
        <f>'CHAM CONG'!Q213</f>
        <v>x</v>
      </c>
      <c r="T46" s="693" t="str">
        <f>'CHAM CONG'!R213</f>
        <v>x</v>
      </c>
      <c r="U46" s="693" t="str">
        <f>'CHAM CONG'!S213</f>
        <v>x</v>
      </c>
      <c r="V46" s="693" t="str">
        <f>'CHAM CONG'!T213</f>
        <v>x</v>
      </c>
      <c r="W46" s="693">
        <f>'CHAM CONG'!U213</f>
        <v>0</v>
      </c>
      <c r="X46" s="693"/>
      <c r="Y46" s="693"/>
      <c r="Z46" s="698">
        <f t="shared" si="3"/>
        <v>10</v>
      </c>
      <c r="AA46" s="699">
        <f t="shared" si="15"/>
        <v>0</v>
      </c>
      <c r="AB46" s="700">
        <f t="shared" si="4"/>
        <v>160000</v>
      </c>
      <c r="AC46" s="700" t="str">
        <f>'CHAM CONG'!V213</f>
        <v>x</v>
      </c>
      <c r="AD46" s="700">
        <f>'CHAM CONG'!X213</f>
        <v>0</v>
      </c>
      <c r="AE46" s="698">
        <f t="shared" si="5"/>
        <v>1</v>
      </c>
      <c r="AF46" s="700">
        <f t="shared" si="6"/>
        <v>17000</v>
      </c>
      <c r="AG46" s="700">
        <f t="shared" si="7"/>
        <v>10</v>
      </c>
      <c r="AH46" s="537">
        <f t="shared" si="8"/>
        <v>10000</v>
      </c>
      <c r="AI46" s="700">
        <f t="shared" si="9"/>
        <v>187000</v>
      </c>
      <c r="AJ46" s="693">
        <f>'SAN LUONG'!AF214</f>
        <v>327</v>
      </c>
      <c r="AK46" s="693">
        <f>'SAN LUONG'!AG214</f>
        <v>309</v>
      </c>
      <c r="AL46" s="693">
        <f>'SAN LUONG'!AH214</f>
        <v>230</v>
      </c>
      <c r="AM46" s="702">
        <f t="shared" si="16"/>
        <v>866</v>
      </c>
      <c r="AN46" s="702">
        <f t="shared" si="17"/>
        <v>0</v>
      </c>
      <c r="AO46" s="702"/>
      <c r="AP46" s="702">
        <f t="shared" si="11"/>
        <v>211477</v>
      </c>
      <c r="AQ46" s="555"/>
      <c r="AR46" s="702">
        <f t="shared" si="12"/>
        <v>0</v>
      </c>
      <c r="AS46" s="555">
        <f t="shared" si="13"/>
        <v>398477</v>
      </c>
      <c r="AT46" s="706"/>
      <c r="AU46" s="706"/>
      <c r="AV46" s="706">
        <f>'CHAM CONG'!AZ216</f>
        <v>0</v>
      </c>
      <c r="AW46" s="706"/>
      <c r="AX46" s="562">
        <f t="shared" si="18"/>
        <v>398477</v>
      </c>
      <c r="AY46" s="707"/>
      <c r="AZ46" s="708">
        <f t="shared" si="14"/>
        <v>12.47</v>
      </c>
      <c r="BA46" s="709"/>
    </row>
    <row r="47" spans="1:53" s="683" customFormat="1" ht="53.4" customHeight="1">
      <c r="A47" s="688">
        <v>38</v>
      </c>
      <c r="B47" s="689">
        <v>2</v>
      </c>
      <c r="C47" s="689">
        <v>85</v>
      </c>
      <c r="D47" s="690">
        <f>'Tên Tháng 1'!B211</f>
        <v>36202</v>
      </c>
      <c r="E47" s="690" t="str">
        <f>'Tên Tháng 1'!C211</f>
        <v>ស្រី</v>
      </c>
      <c r="F47" s="690">
        <f>'Tên Tháng 1'!D211</f>
        <v>150836140</v>
      </c>
      <c r="G47" s="690" t="str">
        <f>'Tên Tháng 1'!E208</f>
        <v>ខ្វាន់ ណាក់</v>
      </c>
      <c r="H47" s="690" t="str">
        <f>'Tên Tháng 1'!F208</f>
        <v>KHVANN NAK</v>
      </c>
      <c r="I47" s="693" t="str">
        <f>'CHAM CONG'!G214</f>
        <v>x</v>
      </c>
      <c r="J47" s="693" t="str">
        <f>'CHAM CONG'!H214</f>
        <v>x</v>
      </c>
      <c r="K47" s="693">
        <f>'CHAM CONG'!I214</f>
        <v>0</v>
      </c>
      <c r="L47" s="693">
        <f>'CHAM CONG'!J214</f>
        <v>0</v>
      </c>
      <c r="M47" s="693" t="str">
        <f>'CHAM CONG'!K214</f>
        <v>x</v>
      </c>
      <c r="N47" s="693" t="str">
        <f>'CHAM CONG'!L214</f>
        <v>x</v>
      </c>
      <c r="O47" s="693" t="str">
        <f>'CHAM CONG'!M214</f>
        <v>x</v>
      </c>
      <c r="P47" s="693" t="str">
        <f>'CHAM CONG'!N214</f>
        <v>x</v>
      </c>
      <c r="Q47" s="693" t="str">
        <f>'CHAM CONG'!O214</f>
        <v>x</v>
      </c>
      <c r="R47" s="693">
        <f>'CHAM CONG'!P214</f>
        <v>0</v>
      </c>
      <c r="S47" s="693" t="str">
        <f>'CHAM CONG'!Q214</f>
        <v>x</v>
      </c>
      <c r="T47" s="693" t="str">
        <f>'CHAM CONG'!R214</f>
        <v>x</v>
      </c>
      <c r="U47" s="693" t="str">
        <f>'CHAM CONG'!S214</f>
        <v>x</v>
      </c>
      <c r="V47" s="693" t="str">
        <f>'CHAM CONG'!T214</f>
        <v>x</v>
      </c>
      <c r="W47" s="693" t="str">
        <f>'CHAM CONG'!U214</f>
        <v>x</v>
      </c>
      <c r="X47" s="693"/>
      <c r="Y47" s="693"/>
      <c r="Z47" s="698">
        <f t="shared" si="3"/>
        <v>12</v>
      </c>
      <c r="AA47" s="699">
        <f t="shared" si="15"/>
        <v>0</v>
      </c>
      <c r="AB47" s="700">
        <f t="shared" si="4"/>
        <v>192000</v>
      </c>
      <c r="AC47" s="700">
        <f>'CHAM CONG'!V214</f>
        <v>0</v>
      </c>
      <c r="AD47" s="700">
        <f>'CHAM CONG'!X214</f>
        <v>0</v>
      </c>
      <c r="AE47" s="698">
        <f t="shared" si="5"/>
        <v>0</v>
      </c>
      <c r="AF47" s="700">
        <f t="shared" si="6"/>
        <v>0</v>
      </c>
      <c r="AG47" s="700">
        <f t="shared" si="7"/>
        <v>12</v>
      </c>
      <c r="AH47" s="537">
        <f t="shared" si="8"/>
        <v>12000</v>
      </c>
      <c r="AI47" s="700">
        <f t="shared" si="9"/>
        <v>204000</v>
      </c>
      <c r="AJ47" s="693">
        <f>'SAN LUONG'!AF215</f>
        <v>279</v>
      </c>
      <c r="AK47" s="693">
        <f>'SAN LUONG'!AG215</f>
        <v>417</v>
      </c>
      <c r="AL47" s="693">
        <f>'SAN LUONG'!AH215</f>
        <v>148</v>
      </c>
      <c r="AM47" s="702">
        <f t="shared" si="16"/>
        <v>844</v>
      </c>
      <c r="AN47" s="702">
        <f t="shared" si="17"/>
        <v>0</v>
      </c>
      <c r="AO47" s="702"/>
      <c r="AP47" s="702">
        <f t="shared" si="11"/>
        <v>206105</v>
      </c>
      <c r="AQ47" s="555"/>
      <c r="AR47" s="702">
        <f t="shared" si="12"/>
        <v>0</v>
      </c>
      <c r="AS47" s="555">
        <f t="shared" si="13"/>
        <v>410105</v>
      </c>
      <c r="AT47" s="706"/>
      <c r="AU47" s="706"/>
      <c r="AV47" s="706">
        <f>'CHAM CONG'!AZ217</f>
        <v>0</v>
      </c>
      <c r="AW47" s="706"/>
      <c r="AX47" s="562">
        <f t="shared" si="18"/>
        <v>410105</v>
      </c>
      <c r="AY47" s="707"/>
      <c r="AZ47" s="708">
        <f t="shared" si="14"/>
        <v>12.84</v>
      </c>
      <c r="BA47" s="709"/>
    </row>
    <row r="48" spans="1:53" s="683" customFormat="1" ht="53.4" customHeight="1">
      <c r="A48" s="688">
        <v>39</v>
      </c>
      <c r="B48" s="689">
        <v>2</v>
      </c>
      <c r="C48" s="689">
        <v>86</v>
      </c>
      <c r="D48" s="690">
        <f>'Tên Tháng 1'!B213</f>
        <v>31119</v>
      </c>
      <c r="E48" s="690" t="str">
        <f>'Tên Tháng 1'!C213</f>
        <v>ស្រី</v>
      </c>
      <c r="F48" s="690">
        <f>'Tên Tháng 1'!D213</f>
        <v>150836155</v>
      </c>
      <c r="G48" s="690" t="str">
        <f>'Tên Tháng 1'!E209</f>
        <v>ខា សឿន</v>
      </c>
      <c r="H48" s="690" t="str">
        <f>'Tên Tháng 1'!F209</f>
        <v>KHA SOEUN</v>
      </c>
      <c r="I48" s="693">
        <f>'CHAM CONG'!G215</f>
        <v>0</v>
      </c>
      <c r="J48" s="693">
        <f>'CHAM CONG'!H215</f>
        <v>0</v>
      </c>
      <c r="K48" s="693">
        <f>'CHAM CONG'!I215</f>
        <v>0</v>
      </c>
      <c r="L48" s="693">
        <f>'CHAM CONG'!J215</f>
        <v>0</v>
      </c>
      <c r="M48" s="693">
        <f>'CHAM CONG'!K215</f>
        <v>0</v>
      </c>
      <c r="N48" s="693" t="str">
        <f>'CHAM CONG'!L215</f>
        <v>x</v>
      </c>
      <c r="O48" s="693" t="str">
        <f>'CHAM CONG'!M215</f>
        <v>x</v>
      </c>
      <c r="P48" s="693" t="str">
        <f>'CHAM CONG'!N215</f>
        <v>x</v>
      </c>
      <c r="Q48" s="693" t="str">
        <f>'CHAM CONG'!O215</f>
        <v>x</v>
      </c>
      <c r="R48" s="693" t="str">
        <f>'CHAM CONG'!P215</f>
        <v>x</v>
      </c>
      <c r="S48" s="693" t="str">
        <f>'CHAM CONG'!Q215</f>
        <v>x</v>
      </c>
      <c r="T48" s="693" t="str">
        <f>'CHAM CONG'!R215</f>
        <v>x</v>
      </c>
      <c r="U48" s="693" t="str">
        <f>'CHAM CONG'!S215</f>
        <v>x</v>
      </c>
      <c r="V48" s="693" t="str">
        <f>'CHAM CONG'!T215</f>
        <v>x</v>
      </c>
      <c r="W48" s="693" t="str">
        <f>'CHAM CONG'!U215</f>
        <v>x</v>
      </c>
      <c r="X48" s="693"/>
      <c r="Y48" s="693"/>
      <c r="Z48" s="698">
        <f t="shared" si="3"/>
        <v>10</v>
      </c>
      <c r="AA48" s="699">
        <f t="shared" si="15"/>
        <v>0</v>
      </c>
      <c r="AB48" s="700">
        <f t="shared" si="4"/>
        <v>160000</v>
      </c>
      <c r="AC48" s="700">
        <f>'CHAM CONG'!V215</f>
        <v>0</v>
      </c>
      <c r="AD48" s="700">
        <f>'CHAM CONG'!X215</f>
        <v>0</v>
      </c>
      <c r="AE48" s="698">
        <f t="shared" si="5"/>
        <v>0</v>
      </c>
      <c r="AF48" s="700">
        <f t="shared" si="6"/>
        <v>0</v>
      </c>
      <c r="AG48" s="700">
        <f t="shared" si="7"/>
        <v>10</v>
      </c>
      <c r="AH48" s="537">
        <f t="shared" si="8"/>
        <v>10000</v>
      </c>
      <c r="AI48" s="700">
        <f t="shared" si="9"/>
        <v>170000</v>
      </c>
      <c r="AJ48" s="693">
        <f>'SAN LUONG'!AF216</f>
        <v>367</v>
      </c>
      <c r="AK48" s="693">
        <f>'SAN LUONG'!AG216</f>
        <v>350</v>
      </c>
      <c r="AL48" s="693">
        <f>'SAN LUONG'!AH216</f>
        <v>146</v>
      </c>
      <c r="AM48" s="702">
        <f t="shared" si="16"/>
        <v>863</v>
      </c>
      <c r="AN48" s="702">
        <f t="shared" si="17"/>
        <v>0</v>
      </c>
      <c r="AO48" s="702"/>
      <c r="AP48" s="702">
        <f t="shared" si="11"/>
        <v>210745</v>
      </c>
      <c r="AQ48" s="555"/>
      <c r="AR48" s="702">
        <f t="shared" si="12"/>
        <v>0</v>
      </c>
      <c r="AS48" s="555">
        <f t="shared" si="13"/>
        <v>380745</v>
      </c>
      <c r="AT48" s="706"/>
      <c r="AU48" s="706"/>
      <c r="AV48" s="706">
        <f>'CHAM CONG'!AZ219</f>
        <v>0</v>
      </c>
      <c r="AW48" s="706"/>
      <c r="AX48" s="562">
        <f t="shared" si="18"/>
        <v>380745</v>
      </c>
      <c r="AY48" s="707"/>
      <c r="AZ48" s="708">
        <f t="shared" si="14"/>
        <v>11.92</v>
      </c>
      <c r="BA48" s="709"/>
    </row>
    <row r="49" spans="1:53" s="683" customFormat="1" ht="53.4" customHeight="1">
      <c r="A49" s="688">
        <v>40</v>
      </c>
      <c r="B49" s="689">
        <v>2</v>
      </c>
      <c r="C49" s="689">
        <v>87</v>
      </c>
      <c r="D49" s="690"/>
      <c r="E49" s="690"/>
      <c r="F49" s="690"/>
      <c r="G49" s="690" t="str">
        <f>'Tên Tháng 1'!E210</f>
        <v>ឈូក ឆោម</v>
      </c>
      <c r="H49" s="690" t="str">
        <f>'Tên Tháng 1'!F210</f>
        <v>CHHOUK CHHAOM</v>
      </c>
      <c r="I49" s="693" t="str">
        <f>'CHAM CONG'!G216</f>
        <v>x</v>
      </c>
      <c r="J49" s="693" t="str">
        <f>'CHAM CONG'!H216</f>
        <v>x</v>
      </c>
      <c r="K49" s="693" t="str">
        <f>'CHAM CONG'!I216</f>
        <v>x</v>
      </c>
      <c r="L49" s="693">
        <f>'CHAM CONG'!J216</f>
        <v>0</v>
      </c>
      <c r="M49" s="693" t="str">
        <f>'CHAM CONG'!K216</f>
        <v>x</v>
      </c>
      <c r="N49" s="693" t="str">
        <f>'CHAM CONG'!L216</f>
        <v>x</v>
      </c>
      <c r="O49" s="693" t="str">
        <f>'CHAM CONG'!M216</f>
        <v>x</v>
      </c>
      <c r="P49" s="693" t="str">
        <f>'CHAM CONG'!N216</f>
        <v>x</v>
      </c>
      <c r="Q49" s="693" t="str">
        <f>'CHAM CONG'!O216</f>
        <v>x</v>
      </c>
      <c r="R49" s="693" t="str">
        <f>'CHAM CONG'!P216</f>
        <v>x</v>
      </c>
      <c r="S49" s="693" t="str">
        <f>'CHAM CONG'!Q216</f>
        <v>x</v>
      </c>
      <c r="T49" s="693" t="str">
        <f>'CHAM CONG'!R216</f>
        <v>x</v>
      </c>
      <c r="U49" s="693" t="str">
        <f>'CHAM CONG'!S216</f>
        <v>x</v>
      </c>
      <c r="V49" s="693" t="str">
        <f>'CHAM CONG'!T216</f>
        <v>x</v>
      </c>
      <c r="W49" s="693" t="str">
        <f>'CHAM CONG'!U216</f>
        <v>x</v>
      </c>
      <c r="X49" s="693"/>
      <c r="Y49" s="693"/>
      <c r="Z49" s="698">
        <f t="shared" si="3"/>
        <v>14</v>
      </c>
      <c r="AA49" s="699">
        <f t="shared" ref="AA49:AA112" si="19">ROUND(Z49*$Z$9/30456,2)</f>
        <v>0</v>
      </c>
      <c r="AB49" s="700">
        <f t="shared" si="4"/>
        <v>224000</v>
      </c>
      <c r="AC49" s="700">
        <f>'CHAM CONG'!V216</f>
        <v>0</v>
      </c>
      <c r="AD49" s="700">
        <f>'CHAM CONG'!X216</f>
        <v>0</v>
      </c>
      <c r="AE49" s="698">
        <f t="shared" si="5"/>
        <v>0</v>
      </c>
      <c r="AF49" s="700">
        <f t="shared" si="6"/>
        <v>0</v>
      </c>
      <c r="AG49" s="700">
        <f t="shared" si="7"/>
        <v>14</v>
      </c>
      <c r="AH49" s="537">
        <f t="shared" si="8"/>
        <v>14000</v>
      </c>
      <c r="AI49" s="700">
        <f t="shared" si="9"/>
        <v>238000</v>
      </c>
      <c r="AJ49" s="693">
        <f>'SAN LUONG'!AF217</f>
        <v>404</v>
      </c>
      <c r="AK49" s="693">
        <f>'SAN LUONG'!AG217</f>
        <v>348</v>
      </c>
      <c r="AL49" s="693">
        <f>'SAN LUONG'!AH217</f>
        <v>166</v>
      </c>
      <c r="AM49" s="702">
        <f t="shared" ref="AM49:AM98" si="20">SUM(AJ49:AL49)</f>
        <v>918</v>
      </c>
      <c r="AN49" s="702">
        <f t="shared" ref="AN49:AN112" si="21">AM49*$AN$8</f>
        <v>0</v>
      </c>
      <c r="AO49" s="702"/>
      <c r="AP49" s="702">
        <f t="shared" si="11"/>
        <v>224176</v>
      </c>
      <c r="AQ49" s="555"/>
      <c r="AR49" s="702">
        <f t="shared" si="12"/>
        <v>0</v>
      </c>
      <c r="AS49" s="555">
        <f t="shared" si="13"/>
        <v>462176</v>
      </c>
      <c r="AT49" s="706"/>
      <c r="AU49" s="706"/>
      <c r="AV49" s="706">
        <f>'CHAM CONG'!AZ220</f>
        <v>0</v>
      </c>
      <c r="AW49" s="706"/>
      <c r="AX49" s="562">
        <f t="shared" ref="AX49:AX112" si="22">AS49-AW49</f>
        <v>462176</v>
      </c>
      <c r="AY49" s="707"/>
      <c r="AZ49" s="708">
        <f t="shared" si="14"/>
        <v>14.47</v>
      </c>
      <c r="BA49" s="709"/>
    </row>
    <row r="50" spans="1:53" s="683" customFormat="1" ht="43.95" customHeight="1">
      <c r="A50" s="688">
        <v>41</v>
      </c>
      <c r="B50" s="689">
        <v>2</v>
      </c>
      <c r="C50" s="689">
        <v>88</v>
      </c>
      <c r="D50" s="690"/>
      <c r="E50" s="690"/>
      <c r="F50" s="690"/>
      <c r="G50" s="690" t="str">
        <f>'Tên Tháng 1'!E211</f>
        <v>ឡា រ៉ាសែន</v>
      </c>
      <c r="H50" s="690" t="str">
        <f>'Tên Tháng 1'!F211</f>
        <v>LA RASAEN</v>
      </c>
      <c r="I50" s="693" t="str">
        <f>'CHAM CONG'!G217</f>
        <v>x</v>
      </c>
      <c r="J50" s="693">
        <f>'CHAM CONG'!H217</f>
        <v>0</v>
      </c>
      <c r="K50" s="693" t="str">
        <f>'CHAM CONG'!I217</f>
        <v>x</v>
      </c>
      <c r="L50" s="693">
        <f>'CHAM CONG'!J217</f>
        <v>0</v>
      </c>
      <c r="M50" s="693">
        <f>'CHAM CONG'!K217</f>
        <v>0</v>
      </c>
      <c r="N50" s="693" t="str">
        <f>'CHAM CONG'!L217</f>
        <v>x</v>
      </c>
      <c r="O50" s="693" t="str">
        <f>'CHAM CONG'!M217</f>
        <v>x</v>
      </c>
      <c r="P50" s="693" t="str">
        <f>'CHAM CONG'!N217</f>
        <v>x</v>
      </c>
      <c r="Q50" s="693" t="str">
        <f>'CHAM CONG'!O217</f>
        <v>x</v>
      </c>
      <c r="R50" s="693" t="str">
        <f>'CHAM CONG'!P217</f>
        <v>x</v>
      </c>
      <c r="S50" s="693" t="str">
        <f>'CHAM CONG'!Q217</f>
        <v>x</v>
      </c>
      <c r="T50" s="693">
        <f>'CHAM CONG'!R217</f>
        <v>0</v>
      </c>
      <c r="U50" s="693" t="str">
        <f>'CHAM CONG'!S217</f>
        <v>x</v>
      </c>
      <c r="V50" s="693" t="str">
        <f>'CHAM CONG'!T217</f>
        <v>x</v>
      </c>
      <c r="W50" s="693" t="str">
        <f>'CHAM CONG'!U217</f>
        <v>x</v>
      </c>
      <c r="X50" s="693"/>
      <c r="Y50" s="693"/>
      <c r="Z50" s="698">
        <f t="shared" si="3"/>
        <v>11</v>
      </c>
      <c r="AA50" s="699">
        <f t="shared" si="19"/>
        <v>0</v>
      </c>
      <c r="AB50" s="700">
        <f t="shared" si="4"/>
        <v>176000</v>
      </c>
      <c r="AC50" s="700">
        <f>'CHAM CONG'!V217</f>
        <v>0</v>
      </c>
      <c r="AD50" s="700" t="str">
        <f>'CHAM CONG'!X217</f>
        <v>x</v>
      </c>
      <c r="AE50" s="698">
        <f t="shared" si="5"/>
        <v>1</v>
      </c>
      <c r="AF50" s="700">
        <f t="shared" si="6"/>
        <v>17000</v>
      </c>
      <c r="AG50" s="700">
        <f t="shared" si="7"/>
        <v>11</v>
      </c>
      <c r="AH50" s="537">
        <f t="shared" si="8"/>
        <v>11000</v>
      </c>
      <c r="AI50" s="700">
        <f t="shared" si="9"/>
        <v>204000</v>
      </c>
      <c r="AJ50" s="693">
        <f>'SAN LUONG'!AF218</f>
        <v>479</v>
      </c>
      <c r="AK50" s="693">
        <f>'SAN LUONG'!AG218</f>
        <v>372</v>
      </c>
      <c r="AL50" s="693">
        <f>'SAN LUONG'!AH218</f>
        <v>98</v>
      </c>
      <c r="AM50" s="702">
        <f t="shared" si="20"/>
        <v>949</v>
      </c>
      <c r="AN50" s="702">
        <f t="shared" si="21"/>
        <v>0</v>
      </c>
      <c r="AO50" s="702"/>
      <c r="AP50" s="702">
        <f t="shared" si="11"/>
        <v>231746</v>
      </c>
      <c r="AQ50" s="555"/>
      <c r="AR50" s="702">
        <f t="shared" si="12"/>
        <v>0</v>
      </c>
      <c r="AS50" s="555">
        <f t="shared" si="13"/>
        <v>435746</v>
      </c>
      <c r="AT50" s="706"/>
      <c r="AU50" s="706"/>
      <c r="AV50" s="706">
        <f>'CHAM CONG'!AZ221</f>
        <v>0</v>
      </c>
      <c r="AW50" s="706"/>
      <c r="AX50" s="562">
        <f t="shared" si="22"/>
        <v>435746</v>
      </c>
      <c r="AY50" s="707"/>
      <c r="AZ50" s="708">
        <f t="shared" si="14"/>
        <v>13.64</v>
      </c>
      <c r="BA50" s="709"/>
    </row>
    <row r="51" spans="1:53" s="683" customFormat="1" ht="48.6" customHeight="1">
      <c r="A51" s="688">
        <v>42</v>
      </c>
      <c r="B51" s="689">
        <v>2</v>
      </c>
      <c r="C51" s="689">
        <v>89</v>
      </c>
      <c r="D51" s="690"/>
      <c r="E51" s="690"/>
      <c r="F51" s="690"/>
      <c r="G51" s="690" t="str">
        <f>'Tên Tháng 1'!E212</f>
        <v>អ៊ី សុខួច</v>
      </c>
      <c r="H51" s="690" t="str">
        <f>'Tên Tháng 1'!F212</f>
        <v>Y SOKHOUCH</v>
      </c>
      <c r="I51" s="693" t="str">
        <f>'CHAM CONG'!G218</f>
        <v>x</v>
      </c>
      <c r="J51" s="693" t="str">
        <f>'CHAM CONG'!H218</f>
        <v>x</v>
      </c>
      <c r="K51" s="693">
        <f>'CHAM CONG'!I218</f>
        <v>0</v>
      </c>
      <c r="L51" s="693">
        <f>'CHAM CONG'!J218</f>
        <v>0</v>
      </c>
      <c r="M51" s="693" t="str">
        <f>'CHAM CONG'!K218</f>
        <v>x</v>
      </c>
      <c r="N51" s="693">
        <f>'CHAM CONG'!L218</f>
        <v>0</v>
      </c>
      <c r="O51" s="693" t="str">
        <f>'CHAM CONG'!M218</f>
        <v>x</v>
      </c>
      <c r="P51" s="693" t="str">
        <f>'CHAM CONG'!N218</f>
        <v>x</v>
      </c>
      <c r="Q51" s="693" t="str">
        <f>'CHAM CONG'!O218</f>
        <v>x</v>
      </c>
      <c r="R51" s="693" t="str">
        <f>'CHAM CONG'!P218</f>
        <v>x</v>
      </c>
      <c r="S51" s="693" t="str">
        <f>'CHAM CONG'!Q218</f>
        <v>x</v>
      </c>
      <c r="T51" s="693" t="str">
        <f>'CHAM CONG'!R218</f>
        <v>x</v>
      </c>
      <c r="U51" s="693" t="str">
        <f>'CHAM CONG'!S218</f>
        <v>x</v>
      </c>
      <c r="V51" s="693" t="str">
        <f>'CHAM CONG'!T218</f>
        <v>x</v>
      </c>
      <c r="W51" s="693">
        <f>'CHAM CONG'!U218</f>
        <v>0</v>
      </c>
      <c r="X51" s="693"/>
      <c r="Y51" s="693"/>
      <c r="Z51" s="698">
        <f t="shared" si="3"/>
        <v>11</v>
      </c>
      <c r="AA51" s="699">
        <f t="shared" si="19"/>
        <v>0</v>
      </c>
      <c r="AB51" s="700">
        <f t="shared" si="4"/>
        <v>176000</v>
      </c>
      <c r="AC51" s="700">
        <f>'CHAM CONG'!V218</f>
        <v>0</v>
      </c>
      <c r="AD51" s="700">
        <f>'CHAM CONG'!X218</f>
        <v>0</v>
      </c>
      <c r="AE51" s="698">
        <f t="shared" si="5"/>
        <v>0</v>
      </c>
      <c r="AF51" s="700">
        <f t="shared" si="6"/>
        <v>0</v>
      </c>
      <c r="AG51" s="700">
        <f t="shared" si="7"/>
        <v>11</v>
      </c>
      <c r="AH51" s="537">
        <f t="shared" si="8"/>
        <v>11000</v>
      </c>
      <c r="AI51" s="700">
        <f t="shared" si="9"/>
        <v>187000</v>
      </c>
      <c r="AJ51" s="693">
        <f>'SAN LUONG'!AF219</f>
        <v>196</v>
      </c>
      <c r="AK51" s="693">
        <f>'SAN LUONG'!AG219</f>
        <v>543</v>
      </c>
      <c r="AL51" s="693">
        <f>'SAN LUONG'!AH219</f>
        <v>106</v>
      </c>
      <c r="AM51" s="702">
        <f t="shared" si="20"/>
        <v>845</v>
      </c>
      <c r="AN51" s="702">
        <f t="shared" si="21"/>
        <v>0</v>
      </c>
      <c r="AO51" s="702"/>
      <c r="AP51" s="702">
        <f t="shared" si="11"/>
        <v>206349</v>
      </c>
      <c r="AQ51" s="555"/>
      <c r="AR51" s="702">
        <f t="shared" si="12"/>
        <v>0</v>
      </c>
      <c r="AS51" s="555">
        <f t="shared" si="13"/>
        <v>393349</v>
      </c>
      <c r="AT51" s="706"/>
      <c r="AU51" s="706"/>
      <c r="AV51" s="706">
        <f>'CHAM CONG'!AZ222</f>
        <v>0</v>
      </c>
      <c r="AW51" s="706"/>
      <c r="AX51" s="562">
        <f t="shared" si="22"/>
        <v>393349</v>
      </c>
      <c r="AY51" s="707"/>
      <c r="AZ51" s="708">
        <f t="shared" si="14"/>
        <v>12.31</v>
      </c>
      <c r="BA51" s="709"/>
    </row>
    <row r="52" spans="1:53" s="683" customFormat="1" ht="48.6" customHeight="1">
      <c r="A52" s="688">
        <v>43</v>
      </c>
      <c r="B52" s="689">
        <v>2</v>
      </c>
      <c r="C52" s="689">
        <v>90</v>
      </c>
      <c r="D52" s="690"/>
      <c r="E52" s="690"/>
      <c r="F52" s="690"/>
      <c r="G52" s="690" t="str">
        <f>'Tên Tháng 1'!E213</f>
        <v>សាំ សាន</v>
      </c>
      <c r="H52" s="690" t="str">
        <f>'Tên Tháng 1'!F213</f>
        <v>SOM SAN</v>
      </c>
      <c r="I52" s="693" t="str">
        <f>'CHAM CONG'!G219</f>
        <v>x</v>
      </c>
      <c r="J52" s="693" t="str">
        <f>'CHAM CONG'!H219</f>
        <v>x</v>
      </c>
      <c r="K52" s="693" t="str">
        <f>'CHAM CONG'!I219</f>
        <v>x</v>
      </c>
      <c r="L52" s="693">
        <f>'CHAM CONG'!J219</f>
        <v>0</v>
      </c>
      <c r="M52" s="693" t="str">
        <f>'CHAM CONG'!K219</f>
        <v>x</v>
      </c>
      <c r="N52" s="693" t="str">
        <f>'CHAM CONG'!L219</f>
        <v>x</v>
      </c>
      <c r="O52" s="693" t="str">
        <f>'CHAM CONG'!M219</f>
        <v>x</v>
      </c>
      <c r="P52" s="693" t="str">
        <f>'CHAM CONG'!N219</f>
        <v>x</v>
      </c>
      <c r="Q52" s="693" t="str">
        <f>'CHAM CONG'!O219</f>
        <v>x</v>
      </c>
      <c r="R52" s="693" t="str">
        <f>'CHAM CONG'!P219</f>
        <v>x</v>
      </c>
      <c r="S52" s="693" t="str">
        <f>'CHAM CONG'!Q219</f>
        <v>x</v>
      </c>
      <c r="T52" s="693" t="str">
        <f>'CHAM CONG'!R219</f>
        <v>x</v>
      </c>
      <c r="U52" s="693" t="str">
        <f>'CHAM CONG'!S219</f>
        <v>x</v>
      </c>
      <c r="V52" s="693" t="str">
        <f>'CHAM CONG'!T219</f>
        <v>x</v>
      </c>
      <c r="W52" s="693" t="str">
        <f>'CHAM CONG'!U219</f>
        <v>x</v>
      </c>
      <c r="X52" s="693"/>
      <c r="Y52" s="693"/>
      <c r="Z52" s="698">
        <f t="shared" si="3"/>
        <v>14</v>
      </c>
      <c r="AA52" s="699">
        <f t="shared" si="19"/>
        <v>0</v>
      </c>
      <c r="AB52" s="700">
        <f t="shared" si="4"/>
        <v>224000</v>
      </c>
      <c r="AC52" s="700">
        <f>'CHAM CONG'!V219</f>
        <v>0</v>
      </c>
      <c r="AD52" s="700">
        <f>'CHAM CONG'!X219</f>
        <v>0</v>
      </c>
      <c r="AE52" s="698">
        <f t="shared" si="5"/>
        <v>0</v>
      </c>
      <c r="AF52" s="700">
        <f t="shared" si="6"/>
        <v>0</v>
      </c>
      <c r="AG52" s="700">
        <f t="shared" si="7"/>
        <v>14</v>
      </c>
      <c r="AH52" s="537">
        <f t="shared" si="8"/>
        <v>14000</v>
      </c>
      <c r="AI52" s="700">
        <f t="shared" si="9"/>
        <v>238000</v>
      </c>
      <c r="AJ52" s="693">
        <f>'SAN LUONG'!AF220</f>
        <v>446</v>
      </c>
      <c r="AK52" s="693">
        <f>'SAN LUONG'!AG220</f>
        <v>473</v>
      </c>
      <c r="AL52" s="693">
        <f>'SAN LUONG'!AH220</f>
        <v>280</v>
      </c>
      <c r="AM52" s="702">
        <f t="shared" si="20"/>
        <v>1199</v>
      </c>
      <c r="AN52" s="702">
        <f t="shared" si="21"/>
        <v>0</v>
      </c>
      <c r="AO52" s="702"/>
      <c r="AP52" s="702">
        <f t="shared" si="11"/>
        <v>292796</v>
      </c>
      <c r="AQ52" s="555"/>
      <c r="AR52" s="702">
        <f t="shared" si="12"/>
        <v>0</v>
      </c>
      <c r="AS52" s="555">
        <f t="shared" si="13"/>
        <v>530796</v>
      </c>
      <c r="AT52" s="706"/>
      <c r="AU52" s="706"/>
      <c r="AV52" s="706">
        <f>'CHAM CONG'!AZ223</f>
        <v>0</v>
      </c>
      <c r="AW52" s="706"/>
      <c r="AX52" s="562">
        <f t="shared" si="22"/>
        <v>530796</v>
      </c>
      <c r="AY52" s="707"/>
      <c r="AZ52" s="708">
        <f t="shared" si="14"/>
        <v>16.61</v>
      </c>
      <c r="BA52" s="709"/>
    </row>
    <row r="53" spans="1:53" s="683" customFormat="1" ht="49.95" customHeight="1">
      <c r="A53" s="688">
        <v>44</v>
      </c>
      <c r="B53" s="689">
        <v>2</v>
      </c>
      <c r="C53" s="689">
        <v>91</v>
      </c>
      <c r="D53" s="690"/>
      <c r="E53" s="690"/>
      <c r="F53" s="690"/>
      <c r="G53" s="690" t="str">
        <f>'Tên Tháng 1'!E214</f>
        <v>សំអុន កាសេន</v>
      </c>
      <c r="H53" s="690" t="str">
        <f>'Tên Tháng 1'!F214</f>
        <v>SAMUN KASEN</v>
      </c>
      <c r="I53" s="693" t="str">
        <f>'CHAM CONG'!G220</f>
        <v>x</v>
      </c>
      <c r="J53" s="693" t="str">
        <f>'CHAM CONG'!H220</f>
        <v>x</v>
      </c>
      <c r="K53" s="693" t="str">
        <f>'CHAM CONG'!I220</f>
        <v>x</v>
      </c>
      <c r="L53" s="693">
        <f>'CHAM CONG'!J220</f>
        <v>0</v>
      </c>
      <c r="M53" s="693" t="str">
        <f>'CHAM CONG'!K220</f>
        <v>x</v>
      </c>
      <c r="N53" s="693" t="str">
        <f>'CHAM CONG'!L220</f>
        <v>x</v>
      </c>
      <c r="O53" s="693" t="str">
        <f>'CHAM CONG'!M220</f>
        <v>x</v>
      </c>
      <c r="P53" s="693" t="str">
        <f>'CHAM CONG'!N220</f>
        <v>x</v>
      </c>
      <c r="Q53" s="693" t="str">
        <f>'CHAM CONG'!O220</f>
        <v>x</v>
      </c>
      <c r="R53" s="693" t="str">
        <f>'CHAM CONG'!P220</f>
        <v>x</v>
      </c>
      <c r="S53" s="693" t="str">
        <f>'CHAM CONG'!Q220</f>
        <v>x</v>
      </c>
      <c r="T53" s="693" t="str">
        <f>'CHAM CONG'!R220</f>
        <v>x</v>
      </c>
      <c r="U53" s="693" t="str">
        <f>'CHAM CONG'!S220</f>
        <v>x</v>
      </c>
      <c r="V53" s="693" t="str">
        <f>'CHAM CONG'!T220</f>
        <v>x</v>
      </c>
      <c r="W53" s="693" t="str">
        <f>'CHAM CONG'!U220</f>
        <v>x</v>
      </c>
      <c r="X53" s="693"/>
      <c r="Y53" s="693"/>
      <c r="Z53" s="698">
        <f t="shared" si="3"/>
        <v>14</v>
      </c>
      <c r="AA53" s="699">
        <f t="shared" si="19"/>
        <v>0</v>
      </c>
      <c r="AB53" s="700">
        <f t="shared" si="4"/>
        <v>224000</v>
      </c>
      <c r="AC53" s="700">
        <f>'CHAM CONG'!V220</f>
        <v>0</v>
      </c>
      <c r="AD53" s="700">
        <f>'CHAM CONG'!X220</f>
        <v>0</v>
      </c>
      <c r="AE53" s="698">
        <f t="shared" si="5"/>
        <v>0</v>
      </c>
      <c r="AF53" s="700">
        <f t="shared" si="6"/>
        <v>0</v>
      </c>
      <c r="AG53" s="700">
        <f t="shared" si="7"/>
        <v>14</v>
      </c>
      <c r="AH53" s="537">
        <f t="shared" si="8"/>
        <v>14000</v>
      </c>
      <c r="AI53" s="700">
        <f t="shared" si="9"/>
        <v>238000</v>
      </c>
      <c r="AJ53" s="693">
        <f>'SAN LUONG'!AF221</f>
        <v>415</v>
      </c>
      <c r="AK53" s="693">
        <f>'SAN LUONG'!AG221</f>
        <v>432</v>
      </c>
      <c r="AL53" s="693">
        <f>'SAN LUONG'!AH221</f>
        <v>319</v>
      </c>
      <c r="AM53" s="702">
        <f t="shared" si="20"/>
        <v>1166</v>
      </c>
      <c r="AN53" s="702">
        <f t="shared" si="21"/>
        <v>0</v>
      </c>
      <c r="AO53" s="702"/>
      <c r="AP53" s="702">
        <f t="shared" si="11"/>
        <v>284737</v>
      </c>
      <c r="AQ53" s="555"/>
      <c r="AR53" s="702">
        <f t="shared" si="12"/>
        <v>0</v>
      </c>
      <c r="AS53" s="555">
        <f t="shared" si="13"/>
        <v>522737</v>
      </c>
      <c r="AT53" s="706"/>
      <c r="AU53" s="706"/>
      <c r="AV53" s="706">
        <f>'CHAM CONG'!AZ224</f>
        <v>0</v>
      </c>
      <c r="AW53" s="706"/>
      <c r="AX53" s="562">
        <f t="shared" si="22"/>
        <v>522737</v>
      </c>
      <c r="AY53" s="707"/>
      <c r="AZ53" s="708">
        <f t="shared" si="14"/>
        <v>16.36</v>
      </c>
      <c r="BA53" s="709"/>
    </row>
    <row r="54" spans="1:53" s="683" customFormat="1" ht="49.95" customHeight="1">
      <c r="A54" s="688">
        <v>45</v>
      </c>
      <c r="B54" s="689">
        <v>2</v>
      </c>
      <c r="C54" s="689">
        <v>92</v>
      </c>
      <c r="D54" s="690"/>
      <c r="E54" s="690"/>
      <c r="F54" s="690"/>
      <c r="G54" s="690" t="str">
        <f>'Tên Tháng 1'!E215</f>
        <v>ប៉ែន វី</v>
      </c>
      <c r="H54" s="690" t="str">
        <f>'Tên Tháng 1'!F215</f>
        <v>PEN VY</v>
      </c>
      <c r="I54" s="693">
        <f>'CHAM CONG'!G221</f>
        <v>0</v>
      </c>
      <c r="J54" s="693" t="str">
        <f>'CHAM CONG'!H221</f>
        <v>x</v>
      </c>
      <c r="K54" s="693" t="str">
        <f>'CHAM CONG'!I221</f>
        <v>x</v>
      </c>
      <c r="L54" s="693">
        <f>'CHAM CONG'!J221</f>
        <v>0</v>
      </c>
      <c r="M54" s="693">
        <f>'CHAM CONG'!K221</f>
        <v>0</v>
      </c>
      <c r="N54" s="693" t="str">
        <f>'CHAM CONG'!L221</f>
        <v>x</v>
      </c>
      <c r="O54" s="693" t="str">
        <f>'CHAM CONG'!M221</f>
        <v>x</v>
      </c>
      <c r="P54" s="693" t="str">
        <f>'CHAM CONG'!N221</f>
        <v>x</v>
      </c>
      <c r="Q54" s="693" t="str">
        <f>'CHAM CONG'!O221</f>
        <v>x</v>
      </c>
      <c r="R54" s="693" t="str">
        <f>'CHAM CONG'!P221</f>
        <v>x</v>
      </c>
      <c r="S54" s="693" t="str">
        <f>'CHAM CONG'!Q221</f>
        <v>x</v>
      </c>
      <c r="T54" s="693" t="str">
        <f>'CHAM CONG'!R221</f>
        <v>x</v>
      </c>
      <c r="U54" s="693" t="str">
        <f>'CHAM CONG'!S221</f>
        <v>x</v>
      </c>
      <c r="V54" s="693" t="str">
        <f>'CHAM CONG'!T221</f>
        <v>x</v>
      </c>
      <c r="W54" s="693" t="str">
        <f>'CHAM CONG'!U221</f>
        <v>x</v>
      </c>
      <c r="X54" s="693"/>
      <c r="Y54" s="693"/>
      <c r="Z54" s="698">
        <f t="shared" si="3"/>
        <v>12</v>
      </c>
      <c r="AA54" s="699">
        <f t="shared" si="19"/>
        <v>0</v>
      </c>
      <c r="AB54" s="700">
        <f t="shared" si="4"/>
        <v>192000</v>
      </c>
      <c r="AC54" s="700">
        <f>'CHAM CONG'!V221</f>
        <v>0</v>
      </c>
      <c r="AD54" s="700">
        <f>'CHAM CONG'!X221</f>
        <v>0</v>
      </c>
      <c r="AE54" s="698">
        <f t="shared" si="5"/>
        <v>0</v>
      </c>
      <c r="AF54" s="700">
        <f t="shared" si="6"/>
        <v>0</v>
      </c>
      <c r="AG54" s="700">
        <f t="shared" si="7"/>
        <v>12</v>
      </c>
      <c r="AH54" s="537">
        <f t="shared" si="8"/>
        <v>12000</v>
      </c>
      <c r="AI54" s="700">
        <f t="shared" si="9"/>
        <v>204000</v>
      </c>
      <c r="AJ54" s="693">
        <f>'SAN LUONG'!AF222</f>
        <v>305</v>
      </c>
      <c r="AK54" s="693">
        <f>'SAN LUONG'!AG222</f>
        <v>449</v>
      </c>
      <c r="AL54" s="693">
        <f>'SAN LUONG'!AH222</f>
        <v>400</v>
      </c>
      <c r="AM54" s="702">
        <f t="shared" si="20"/>
        <v>1154</v>
      </c>
      <c r="AN54" s="702">
        <f t="shared" si="21"/>
        <v>0</v>
      </c>
      <c r="AO54" s="702"/>
      <c r="AP54" s="702">
        <f t="shared" si="11"/>
        <v>281807</v>
      </c>
      <c r="AQ54" s="555"/>
      <c r="AR54" s="702">
        <f t="shared" si="12"/>
        <v>0</v>
      </c>
      <c r="AS54" s="555">
        <f t="shared" si="13"/>
        <v>485807</v>
      </c>
      <c r="AT54" s="706"/>
      <c r="AU54" s="706"/>
      <c r="AV54" s="706">
        <f>'CHAM CONG'!AZ225</f>
        <v>0</v>
      </c>
      <c r="AW54" s="706"/>
      <c r="AX54" s="562">
        <f t="shared" si="22"/>
        <v>485807</v>
      </c>
      <c r="AY54" s="707">
        <f>SUM(AX10:AX54)</f>
        <v>18430825</v>
      </c>
      <c r="AZ54" s="708">
        <f t="shared" si="14"/>
        <v>15.21</v>
      </c>
      <c r="BA54" s="709"/>
    </row>
    <row r="55" spans="1:53" s="683" customFormat="1" ht="48.6" customHeight="1">
      <c r="A55" s="688">
        <v>46</v>
      </c>
      <c r="B55" s="689">
        <v>3</v>
      </c>
      <c r="C55" s="689">
        <v>93</v>
      </c>
      <c r="D55" s="690"/>
      <c r="E55" s="690"/>
      <c r="F55" s="690"/>
      <c r="G55" s="690" t="str">
        <f>'Tên Tháng 1'!E216</f>
        <v>លី​ ភៀត</v>
      </c>
      <c r="H55" s="690" t="str">
        <f>'Tên Tháng 1'!F216</f>
        <v>LY PHIET</v>
      </c>
      <c r="I55" s="693" t="str">
        <f>'CHAM CONG'!G222</f>
        <v>x</v>
      </c>
      <c r="J55" s="693" t="str">
        <f>'CHAM CONG'!H222</f>
        <v>x</v>
      </c>
      <c r="K55" s="693" t="str">
        <f>'CHAM CONG'!I222</f>
        <v>x</v>
      </c>
      <c r="L55" s="693">
        <f>'CHAM CONG'!J222</f>
        <v>0</v>
      </c>
      <c r="M55" s="693">
        <f>'CHAM CONG'!K222</f>
        <v>0</v>
      </c>
      <c r="N55" s="693">
        <f>'CHAM CONG'!L222</f>
        <v>0</v>
      </c>
      <c r="O55" s="693" t="str">
        <f>'CHAM CONG'!M222</f>
        <v>x</v>
      </c>
      <c r="P55" s="693" t="str">
        <f>'CHAM CONG'!N222</f>
        <v>x</v>
      </c>
      <c r="Q55" s="693" t="str">
        <f>'CHAM CONG'!O222</f>
        <v>x</v>
      </c>
      <c r="R55" s="693" t="str">
        <f>'CHAM CONG'!P222</f>
        <v>x</v>
      </c>
      <c r="S55" s="693" t="str">
        <f>'CHAM CONG'!Q222</f>
        <v>x</v>
      </c>
      <c r="T55" s="693" t="str">
        <f>'CHAM CONG'!R222</f>
        <v>x</v>
      </c>
      <c r="U55" s="693" t="str">
        <f>'CHAM CONG'!S222</f>
        <v>x</v>
      </c>
      <c r="V55" s="693" t="str">
        <f>'CHAM CONG'!T222</f>
        <v>x</v>
      </c>
      <c r="W55" s="693" t="str">
        <f>'CHAM CONG'!U222</f>
        <v>x</v>
      </c>
      <c r="X55" s="693"/>
      <c r="Y55" s="693"/>
      <c r="Z55" s="698">
        <f t="shared" si="3"/>
        <v>12</v>
      </c>
      <c r="AA55" s="699">
        <f t="shared" si="19"/>
        <v>0</v>
      </c>
      <c r="AB55" s="700">
        <f t="shared" si="4"/>
        <v>192000</v>
      </c>
      <c r="AC55" s="700" t="str">
        <f>'CHAM CONG'!V222</f>
        <v>x</v>
      </c>
      <c r="AD55" s="700" t="str">
        <f>'CHAM CONG'!X222</f>
        <v>x</v>
      </c>
      <c r="AE55" s="698">
        <f t="shared" si="5"/>
        <v>2</v>
      </c>
      <c r="AF55" s="700">
        <f t="shared" si="6"/>
        <v>34000</v>
      </c>
      <c r="AG55" s="700">
        <f t="shared" si="7"/>
        <v>12</v>
      </c>
      <c r="AH55" s="537">
        <f t="shared" si="8"/>
        <v>12000</v>
      </c>
      <c r="AI55" s="700">
        <f t="shared" si="9"/>
        <v>238000</v>
      </c>
      <c r="AJ55" s="693">
        <f>'SAN LUONG'!AF223</f>
        <v>367</v>
      </c>
      <c r="AK55" s="693">
        <f>'SAN LUONG'!AG223</f>
        <v>406</v>
      </c>
      <c r="AL55" s="693">
        <f>'SAN LUONG'!AH223</f>
        <v>325</v>
      </c>
      <c r="AM55" s="702">
        <f t="shared" si="20"/>
        <v>1098</v>
      </c>
      <c r="AN55" s="702">
        <f t="shared" si="21"/>
        <v>0</v>
      </c>
      <c r="AO55" s="702"/>
      <c r="AP55" s="702">
        <f t="shared" si="11"/>
        <v>268132</v>
      </c>
      <c r="AQ55" s="555"/>
      <c r="AR55" s="702">
        <f t="shared" si="12"/>
        <v>0</v>
      </c>
      <c r="AS55" s="555">
        <f t="shared" si="13"/>
        <v>506132</v>
      </c>
      <c r="AT55" s="706"/>
      <c r="AU55" s="706"/>
      <c r="AV55" s="706">
        <f>'CHAM CONG'!AZ226</f>
        <v>0</v>
      </c>
      <c r="AW55" s="706"/>
      <c r="AX55" s="562">
        <f t="shared" si="22"/>
        <v>506132</v>
      </c>
      <c r="AY55" s="707"/>
      <c r="AZ55" s="708">
        <f t="shared" si="14"/>
        <v>15.84</v>
      </c>
      <c r="BA55" s="709"/>
    </row>
    <row r="56" spans="1:53" s="683" customFormat="1" ht="48.6" customHeight="1">
      <c r="A56" s="688">
        <v>47</v>
      </c>
      <c r="B56" s="689">
        <v>3</v>
      </c>
      <c r="C56" s="689">
        <v>94</v>
      </c>
      <c r="D56" s="690"/>
      <c r="E56" s="690"/>
      <c r="F56" s="690"/>
      <c r="G56" s="690" t="str">
        <f>'Tên Tháng 1'!E217</f>
        <v>ហ៊ុយ ចយ</v>
      </c>
      <c r="H56" s="690" t="str">
        <f>'Tên Tháng 1'!F217</f>
        <v>HUY CHOY</v>
      </c>
      <c r="I56" s="693" t="str">
        <f>'CHAM CONG'!G223</f>
        <v>x</v>
      </c>
      <c r="J56" s="693" t="str">
        <f>'CHAM CONG'!H223</f>
        <v>x</v>
      </c>
      <c r="K56" s="693">
        <f>'CHAM CONG'!I223</f>
        <v>0</v>
      </c>
      <c r="L56" s="693">
        <f>'CHAM CONG'!J223</f>
        <v>0</v>
      </c>
      <c r="M56" s="693">
        <f>'CHAM CONG'!K223</f>
        <v>0</v>
      </c>
      <c r="N56" s="693" t="str">
        <f>'CHAM CONG'!L223</f>
        <v>x</v>
      </c>
      <c r="O56" s="693" t="str">
        <f>'CHAM CONG'!M223</f>
        <v>x</v>
      </c>
      <c r="P56" s="693">
        <f>'CHAM CONG'!N223</f>
        <v>0</v>
      </c>
      <c r="Q56" s="693" t="str">
        <f>'CHAM CONG'!O223</f>
        <v>x</v>
      </c>
      <c r="R56" s="693" t="str">
        <f>'CHAM CONG'!P223</f>
        <v>x</v>
      </c>
      <c r="S56" s="693" t="str">
        <f>'CHAM CONG'!Q223</f>
        <v>x</v>
      </c>
      <c r="T56" s="693" t="str">
        <f>'CHAM CONG'!R223</f>
        <v>x</v>
      </c>
      <c r="U56" s="693" t="str">
        <f>'CHAM CONG'!S223</f>
        <v>x</v>
      </c>
      <c r="V56" s="693" t="str">
        <f>'CHAM CONG'!T223</f>
        <v>x</v>
      </c>
      <c r="W56" s="693">
        <f>'CHAM CONG'!U223</f>
        <v>0</v>
      </c>
      <c r="X56" s="693"/>
      <c r="Y56" s="693"/>
      <c r="Z56" s="698">
        <f t="shared" si="3"/>
        <v>10</v>
      </c>
      <c r="AA56" s="699">
        <f t="shared" si="19"/>
        <v>0</v>
      </c>
      <c r="AB56" s="700">
        <f t="shared" si="4"/>
        <v>160000</v>
      </c>
      <c r="AC56" s="700">
        <f>'CHAM CONG'!V223</f>
        <v>0</v>
      </c>
      <c r="AD56" s="700">
        <f>'CHAM CONG'!X223</f>
        <v>0</v>
      </c>
      <c r="AE56" s="698">
        <f t="shared" si="5"/>
        <v>0</v>
      </c>
      <c r="AF56" s="700">
        <f t="shared" si="6"/>
        <v>0</v>
      </c>
      <c r="AG56" s="700">
        <f t="shared" si="7"/>
        <v>10</v>
      </c>
      <c r="AH56" s="537">
        <f t="shared" si="8"/>
        <v>10000</v>
      </c>
      <c r="AI56" s="700">
        <f t="shared" si="9"/>
        <v>170000</v>
      </c>
      <c r="AJ56" s="693">
        <f>'SAN LUONG'!AF224</f>
        <v>312</v>
      </c>
      <c r="AK56" s="693">
        <f>'SAN LUONG'!AG224</f>
        <v>213</v>
      </c>
      <c r="AL56" s="693">
        <f>'SAN LUONG'!AH224</f>
        <v>343</v>
      </c>
      <c r="AM56" s="702">
        <f t="shared" si="20"/>
        <v>868</v>
      </c>
      <c r="AN56" s="702">
        <f t="shared" si="21"/>
        <v>0</v>
      </c>
      <c r="AO56" s="702"/>
      <c r="AP56" s="702">
        <f t="shared" si="11"/>
        <v>211966</v>
      </c>
      <c r="AQ56" s="555"/>
      <c r="AR56" s="702">
        <f t="shared" si="12"/>
        <v>0</v>
      </c>
      <c r="AS56" s="555">
        <f t="shared" si="13"/>
        <v>381966</v>
      </c>
      <c r="AT56" s="706"/>
      <c r="AU56" s="706"/>
      <c r="AV56" s="706">
        <f>'CHAM CONG'!AZ227</f>
        <v>0</v>
      </c>
      <c r="AW56" s="706"/>
      <c r="AX56" s="562">
        <f t="shared" si="22"/>
        <v>381966</v>
      </c>
      <c r="AY56" s="707"/>
      <c r="AZ56" s="708">
        <f t="shared" si="14"/>
        <v>11.96</v>
      </c>
      <c r="BA56" s="709"/>
    </row>
    <row r="57" spans="1:53" s="683" customFormat="1" ht="48.6" customHeight="1">
      <c r="A57" s="688">
        <v>48</v>
      </c>
      <c r="B57" s="689">
        <v>3</v>
      </c>
      <c r="C57" s="689">
        <v>95</v>
      </c>
      <c r="D57" s="690"/>
      <c r="E57" s="690"/>
      <c r="F57" s="690"/>
      <c r="G57" s="690" t="str">
        <f>'Tên Tháng 1'!E218</f>
        <v>ឈាង ឆេន</v>
      </c>
      <c r="H57" s="690" t="str">
        <f>'Tên Tháng 1'!F218</f>
        <v>CHHEANG CHHEN</v>
      </c>
      <c r="I57" s="693" t="str">
        <f>'CHAM CONG'!G224</f>
        <v>x</v>
      </c>
      <c r="J57" s="693" t="str">
        <f>'CHAM CONG'!H224</f>
        <v>x</v>
      </c>
      <c r="K57" s="693">
        <f>'CHAM CONG'!I224</f>
        <v>0</v>
      </c>
      <c r="L57" s="693">
        <f>'CHAM CONG'!J224</f>
        <v>0</v>
      </c>
      <c r="M57" s="693">
        <f>'CHAM CONG'!K224</f>
        <v>0</v>
      </c>
      <c r="N57" s="693" t="str">
        <f>'CHAM CONG'!L224</f>
        <v>x</v>
      </c>
      <c r="O57" s="693" t="str">
        <f>'CHAM CONG'!M224</f>
        <v>x</v>
      </c>
      <c r="P57" s="693" t="str">
        <f>'CHAM CONG'!N224</f>
        <v>x</v>
      </c>
      <c r="Q57" s="693" t="str">
        <f>'CHAM CONG'!O224</f>
        <v>x</v>
      </c>
      <c r="R57" s="693" t="str">
        <f>'CHAM CONG'!P224</f>
        <v>x</v>
      </c>
      <c r="S57" s="693" t="str">
        <f>'CHAM CONG'!Q224</f>
        <v>x</v>
      </c>
      <c r="T57" s="693" t="str">
        <f>'CHAM CONG'!R224</f>
        <v>x</v>
      </c>
      <c r="U57" s="693" t="str">
        <f>'CHAM CONG'!S224</f>
        <v>x</v>
      </c>
      <c r="V57" s="693" t="str">
        <f>'CHAM CONG'!T224</f>
        <v>x</v>
      </c>
      <c r="W57" s="693" t="str">
        <f>'CHAM CONG'!U224</f>
        <v>x</v>
      </c>
      <c r="X57" s="693"/>
      <c r="Y57" s="693"/>
      <c r="Z57" s="698">
        <f t="shared" si="3"/>
        <v>12</v>
      </c>
      <c r="AA57" s="699">
        <f t="shared" si="19"/>
        <v>0</v>
      </c>
      <c r="AB57" s="700">
        <f t="shared" si="4"/>
        <v>192000</v>
      </c>
      <c r="AC57" s="700">
        <f>'CHAM CONG'!V224</f>
        <v>0</v>
      </c>
      <c r="AD57" s="700">
        <f>'CHAM CONG'!X224</f>
        <v>0</v>
      </c>
      <c r="AE57" s="698">
        <f t="shared" si="5"/>
        <v>0</v>
      </c>
      <c r="AF57" s="700">
        <f t="shared" si="6"/>
        <v>0</v>
      </c>
      <c r="AG57" s="700">
        <f t="shared" si="7"/>
        <v>12</v>
      </c>
      <c r="AH57" s="537">
        <f t="shared" si="8"/>
        <v>12000</v>
      </c>
      <c r="AI57" s="700">
        <f t="shared" si="9"/>
        <v>204000</v>
      </c>
      <c r="AJ57" s="693">
        <f>'SAN LUONG'!AF225</f>
        <v>338</v>
      </c>
      <c r="AK57" s="693">
        <f>'SAN LUONG'!AG225</f>
        <v>269</v>
      </c>
      <c r="AL57" s="693">
        <f>'SAN LUONG'!AH225</f>
        <v>297</v>
      </c>
      <c r="AM57" s="702">
        <f t="shared" si="20"/>
        <v>904</v>
      </c>
      <c r="AN57" s="702">
        <f t="shared" si="21"/>
        <v>0</v>
      </c>
      <c r="AO57" s="702"/>
      <c r="AP57" s="702">
        <f t="shared" si="11"/>
        <v>220757</v>
      </c>
      <c r="AQ57" s="555"/>
      <c r="AR57" s="702">
        <f t="shared" si="12"/>
        <v>0</v>
      </c>
      <c r="AS57" s="555">
        <f t="shared" si="13"/>
        <v>424757</v>
      </c>
      <c r="AT57" s="706"/>
      <c r="AU57" s="706"/>
      <c r="AV57" s="706">
        <f>'CHAM CONG'!AZ228</f>
        <v>0</v>
      </c>
      <c r="AW57" s="706"/>
      <c r="AX57" s="562">
        <f t="shared" si="22"/>
        <v>424757</v>
      </c>
      <c r="AY57" s="707"/>
      <c r="AZ57" s="708">
        <f t="shared" si="14"/>
        <v>13.3</v>
      </c>
      <c r="BA57" s="709"/>
    </row>
    <row r="58" spans="1:53" s="683" customFormat="1" ht="48.6" customHeight="1">
      <c r="A58" s="688">
        <v>49</v>
      </c>
      <c r="B58" s="689">
        <v>3</v>
      </c>
      <c r="C58" s="689">
        <v>96</v>
      </c>
      <c r="D58" s="690"/>
      <c r="E58" s="690"/>
      <c r="F58" s="690"/>
      <c r="G58" s="690" t="str">
        <f>'Tên Tháng 1'!E219</f>
        <v>ប៉ឹង តូច</v>
      </c>
      <c r="H58" s="690" t="str">
        <f>'Tên Tháng 1'!F219</f>
        <v>POENG TOUCH</v>
      </c>
      <c r="I58" s="693" t="str">
        <f>'CHAM CONG'!G225</f>
        <v>x</v>
      </c>
      <c r="J58" s="693" t="str">
        <f>'CHAM CONG'!H225</f>
        <v>x</v>
      </c>
      <c r="K58" s="693" t="str">
        <f>'CHAM CONG'!I225</f>
        <v>x</v>
      </c>
      <c r="L58" s="693">
        <f>'CHAM CONG'!J225</f>
        <v>0</v>
      </c>
      <c r="M58" s="693">
        <f>'CHAM CONG'!K225</f>
        <v>0</v>
      </c>
      <c r="N58" s="693" t="str">
        <f>'CHAM CONG'!L225</f>
        <v>x</v>
      </c>
      <c r="O58" s="693" t="str">
        <f>'CHAM CONG'!M225</f>
        <v>x</v>
      </c>
      <c r="P58" s="693" t="str">
        <f>'CHAM CONG'!N225</f>
        <v>x</v>
      </c>
      <c r="Q58" s="693" t="str">
        <f>'CHAM CONG'!O225</f>
        <v>x</v>
      </c>
      <c r="R58" s="693" t="str">
        <f>'CHAM CONG'!P225</f>
        <v>x</v>
      </c>
      <c r="S58" s="693" t="str">
        <f>'CHAM CONG'!Q225</f>
        <v>x</v>
      </c>
      <c r="T58" s="693" t="str">
        <f>'CHAM CONG'!R225</f>
        <v>x</v>
      </c>
      <c r="U58" s="693" t="str">
        <f>'CHAM CONG'!S225</f>
        <v>x</v>
      </c>
      <c r="V58" s="693" t="str">
        <f>'CHAM CONG'!T225</f>
        <v>x</v>
      </c>
      <c r="W58" s="693" t="str">
        <f>'CHAM CONG'!U225</f>
        <v>x</v>
      </c>
      <c r="X58" s="693"/>
      <c r="Y58" s="693"/>
      <c r="Z58" s="698">
        <f t="shared" si="3"/>
        <v>13</v>
      </c>
      <c r="AA58" s="699">
        <f t="shared" si="19"/>
        <v>0</v>
      </c>
      <c r="AB58" s="700">
        <f t="shared" si="4"/>
        <v>208000</v>
      </c>
      <c r="AC58" s="700" t="str">
        <f>'CHAM CONG'!V225</f>
        <v>x</v>
      </c>
      <c r="AD58" s="700">
        <f>'CHAM CONG'!X225</f>
        <v>0</v>
      </c>
      <c r="AE58" s="698">
        <f t="shared" si="5"/>
        <v>1</v>
      </c>
      <c r="AF58" s="700">
        <f t="shared" si="6"/>
        <v>17000</v>
      </c>
      <c r="AG58" s="700">
        <f t="shared" si="7"/>
        <v>13</v>
      </c>
      <c r="AH58" s="537">
        <f t="shared" si="8"/>
        <v>13000</v>
      </c>
      <c r="AI58" s="700">
        <f t="shared" si="9"/>
        <v>238000</v>
      </c>
      <c r="AJ58" s="693">
        <f>'SAN LUONG'!AF226</f>
        <v>449</v>
      </c>
      <c r="AK58" s="693">
        <f>'SAN LUONG'!AG226</f>
        <v>423</v>
      </c>
      <c r="AL58" s="693">
        <f>'SAN LUONG'!AH226</f>
        <v>482</v>
      </c>
      <c r="AM58" s="702">
        <f t="shared" si="20"/>
        <v>1354</v>
      </c>
      <c r="AN58" s="702">
        <f t="shared" si="21"/>
        <v>0</v>
      </c>
      <c r="AO58" s="702"/>
      <c r="AP58" s="702">
        <f t="shared" si="11"/>
        <v>330647</v>
      </c>
      <c r="AQ58" s="555"/>
      <c r="AR58" s="702">
        <f t="shared" si="12"/>
        <v>0</v>
      </c>
      <c r="AS58" s="555">
        <f t="shared" si="13"/>
        <v>568647</v>
      </c>
      <c r="AT58" s="706"/>
      <c r="AU58" s="706"/>
      <c r="AV58" s="706">
        <f>'CHAM CONG'!AZ229</f>
        <v>0</v>
      </c>
      <c r="AW58" s="706"/>
      <c r="AX58" s="562">
        <f t="shared" si="22"/>
        <v>568647</v>
      </c>
      <c r="AY58" s="707"/>
      <c r="AZ58" s="708">
        <f t="shared" si="14"/>
        <v>17.8</v>
      </c>
      <c r="BA58" s="709"/>
    </row>
    <row r="59" spans="1:53" s="683" customFormat="1" ht="48.6" customHeight="1">
      <c r="A59" s="688">
        <v>50</v>
      </c>
      <c r="B59" s="689">
        <v>3</v>
      </c>
      <c r="C59" s="689">
        <v>97</v>
      </c>
      <c r="D59" s="690"/>
      <c r="E59" s="690"/>
      <c r="F59" s="690"/>
      <c r="G59" s="690" t="str">
        <f>'Tên Tháng 1'!E220</f>
        <v>ម៉ន ស៊ីន</v>
      </c>
      <c r="H59" s="690" t="str">
        <f>'Tên Tháng 1'!F220</f>
        <v>MORN SIN</v>
      </c>
      <c r="I59" s="693" t="str">
        <f>'CHAM CONG'!G226</f>
        <v>x</v>
      </c>
      <c r="J59" s="693" t="str">
        <f>'CHAM CONG'!H226</f>
        <v>x</v>
      </c>
      <c r="K59" s="693" t="str">
        <f>'CHAM CONG'!I226</f>
        <v>x</v>
      </c>
      <c r="L59" s="693">
        <f>'CHAM CONG'!J226</f>
        <v>0</v>
      </c>
      <c r="M59" s="693">
        <f>'CHAM CONG'!K226</f>
        <v>0</v>
      </c>
      <c r="N59" s="693">
        <f>'CHAM CONG'!L226</f>
        <v>0</v>
      </c>
      <c r="O59" s="693" t="str">
        <f>'CHAM CONG'!M226</f>
        <v>x</v>
      </c>
      <c r="P59" s="693" t="str">
        <f>'CHAM CONG'!N226</f>
        <v>x</v>
      </c>
      <c r="Q59" s="693" t="str">
        <f>'CHAM CONG'!O226</f>
        <v>x</v>
      </c>
      <c r="R59" s="693" t="str">
        <f>'CHAM CONG'!P226</f>
        <v>x</v>
      </c>
      <c r="S59" s="693" t="str">
        <f>'CHAM CONG'!Q226</f>
        <v>x</v>
      </c>
      <c r="T59" s="693" t="str">
        <f>'CHAM CONG'!R226</f>
        <v>x</v>
      </c>
      <c r="U59" s="693" t="str">
        <f>'CHAM CONG'!S226</f>
        <v>x</v>
      </c>
      <c r="V59" s="693" t="str">
        <f>'CHAM CONG'!T226</f>
        <v>x</v>
      </c>
      <c r="W59" s="693" t="str">
        <f>'CHAM CONG'!U226</f>
        <v>x</v>
      </c>
      <c r="X59" s="693"/>
      <c r="Y59" s="693"/>
      <c r="Z59" s="698">
        <f t="shared" si="3"/>
        <v>12</v>
      </c>
      <c r="AA59" s="699">
        <f t="shared" si="19"/>
        <v>0</v>
      </c>
      <c r="AB59" s="700">
        <f t="shared" si="4"/>
        <v>192000</v>
      </c>
      <c r="AC59" s="700">
        <f>'CHAM CONG'!V226</f>
        <v>0</v>
      </c>
      <c r="AD59" s="700">
        <f>'CHAM CONG'!X226</f>
        <v>0</v>
      </c>
      <c r="AE59" s="698">
        <f t="shared" si="5"/>
        <v>0</v>
      </c>
      <c r="AF59" s="700">
        <f t="shared" si="6"/>
        <v>0</v>
      </c>
      <c r="AG59" s="700">
        <f t="shared" si="7"/>
        <v>12</v>
      </c>
      <c r="AH59" s="537">
        <f t="shared" si="8"/>
        <v>12000</v>
      </c>
      <c r="AI59" s="700">
        <f t="shared" si="9"/>
        <v>204000</v>
      </c>
      <c r="AJ59" s="693">
        <f>'SAN LUONG'!AF227</f>
        <v>579</v>
      </c>
      <c r="AK59" s="693">
        <f>'SAN LUONG'!AG227</f>
        <v>315</v>
      </c>
      <c r="AL59" s="693">
        <f>'SAN LUONG'!AH227</f>
        <v>119</v>
      </c>
      <c r="AM59" s="702">
        <f t="shared" si="20"/>
        <v>1013</v>
      </c>
      <c r="AN59" s="702">
        <f t="shared" si="21"/>
        <v>0</v>
      </c>
      <c r="AO59" s="702"/>
      <c r="AP59" s="702">
        <f t="shared" si="11"/>
        <v>247375</v>
      </c>
      <c r="AQ59" s="555"/>
      <c r="AR59" s="702">
        <f t="shared" si="12"/>
        <v>0</v>
      </c>
      <c r="AS59" s="555">
        <f t="shared" si="13"/>
        <v>451375</v>
      </c>
      <c r="AT59" s="706"/>
      <c r="AU59" s="706"/>
      <c r="AV59" s="706">
        <f>'CHAM CONG'!AZ230</f>
        <v>0</v>
      </c>
      <c r="AW59" s="706"/>
      <c r="AX59" s="562">
        <f t="shared" si="22"/>
        <v>451375</v>
      </c>
      <c r="AY59" s="707"/>
      <c r="AZ59" s="708">
        <f t="shared" si="14"/>
        <v>14.13</v>
      </c>
      <c r="BA59" s="709"/>
    </row>
    <row r="60" spans="1:53" s="683" customFormat="1" ht="48.6" customHeight="1">
      <c r="A60" s="688">
        <v>51</v>
      </c>
      <c r="B60" s="689">
        <v>3</v>
      </c>
      <c r="C60" s="689">
        <v>98</v>
      </c>
      <c r="D60" s="690"/>
      <c r="E60" s="690"/>
      <c r="F60" s="690"/>
      <c r="G60" s="690" t="str">
        <f>'Tên Tháng 1'!E221</f>
        <v>យឿន យួន</v>
      </c>
      <c r="H60" s="690" t="str">
        <f>'Tên Tháng 1'!F221</f>
        <v>YOEUN YOUN</v>
      </c>
      <c r="I60" s="693" t="str">
        <f>'CHAM CONG'!G227</f>
        <v>x</v>
      </c>
      <c r="J60" s="693" t="str">
        <f>'CHAM CONG'!H227</f>
        <v>x</v>
      </c>
      <c r="K60" s="693" t="str">
        <f>'CHAM CONG'!I227</f>
        <v>x</v>
      </c>
      <c r="L60" s="693">
        <f>'CHAM CONG'!J227</f>
        <v>0</v>
      </c>
      <c r="M60" s="693">
        <f>'CHAM CONG'!K227</f>
        <v>0</v>
      </c>
      <c r="N60" s="693" t="str">
        <f>'CHAM CONG'!L227</f>
        <v>x</v>
      </c>
      <c r="O60" s="693" t="str">
        <f>'CHAM CONG'!M227</f>
        <v>x</v>
      </c>
      <c r="P60" s="693" t="str">
        <f>'CHAM CONG'!N227</f>
        <v>x</v>
      </c>
      <c r="Q60" s="693" t="str">
        <f>'CHAM CONG'!O227</f>
        <v>x</v>
      </c>
      <c r="R60" s="693" t="str">
        <f>'CHAM CONG'!P227</f>
        <v>x</v>
      </c>
      <c r="S60" s="693" t="str">
        <f>'CHAM CONG'!Q227</f>
        <v>x</v>
      </c>
      <c r="T60" s="693" t="str">
        <f>'CHAM CONG'!R227</f>
        <v>x</v>
      </c>
      <c r="U60" s="693" t="str">
        <f>'CHAM CONG'!S227</f>
        <v>x</v>
      </c>
      <c r="V60" s="693" t="str">
        <f>'CHAM CONG'!T227</f>
        <v>x</v>
      </c>
      <c r="W60" s="693" t="str">
        <f>'CHAM CONG'!U227</f>
        <v>x</v>
      </c>
      <c r="X60" s="693"/>
      <c r="Y60" s="693"/>
      <c r="Z60" s="698">
        <f t="shared" si="3"/>
        <v>13</v>
      </c>
      <c r="AA60" s="699">
        <f t="shared" si="19"/>
        <v>0</v>
      </c>
      <c r="AB60" s="700">
        <f t="shared" si="4"/>
        <v>208000</v>
      </c>
      <c r="AC60" s="700" t="str">
        <f>'CHAM CONG'!V227</f>
        <v>x</v>
      </c>
      <c r="AD60" s="700">
        <f>'CHAM CONG'!X227</f>
        <v>0</v>
      </c>
      <c r="AE60" s="698">
        <f t="shared" si="5"/>
        <v>1</v>
      </c>
      <c r="AF60" s="700">
        <f t="shared" si="6"/>
        <v>17000</v>
      </c>
      <c r="AG60" s="700">
        <f t="shared" si="7"/>
        <v>13</v>
      </c>
      <c r="AH60" s="537">
        <f t="shared" si="8"/>
        <v>13000</v>
      </c>
      <c r="AI60" s="700">
        <f t="shared" si="9"/>
        <v>238000</v>
      </c>
      <c r="AJ60" s="693">
        <f>'SAN LUONG'!AF228</f>
        <v>437</v>
      </c>
      <c r="AK60" s="693">
        <f>'SAN LUONG'!AG228</f>
        <v>345</v>
      </c>
      <c r="AL60" s="693">
        <f>'SAN LUONG'!AH228</f>
        <v>424</v>
      </c>
      <c r="AM60" s="702">
        <f t="shared" si="20"/>
        <v>1206</v>
      </c>
      <c r="AN60" s="702">
        <f t="shared" si="21"/>
        <v>0</v>
      </c>
      <c r="AO60" s="702"/>
      <c r="AP60" s="702">
        <f t="shared" si="11"/>
        <v>294505</v>
      </c>
      <c r="AQ60" s="555"/>
      <c r="AR60" s="702">
        <f t="shared" si="12"/>
        <v>0</v>
      </c>
      <c r="AS60" s="555">
        <f t="shared" si="13"/>
        <v>532505</v>
      </c>
      <c r="AT60" s="706"/>
      <c r="AU60" s="706"/>
      <c r="AV60" s="706">
        <f>'CHAM CONG'!AZ231</f>
        <v>0</v>
      </c>
      <c r="AW60" s="706"/>
      <c r="AX60" s="562">
        <f t="shared" si="22"/>
        <v>532505</v>
      </c>
      <c r="AY60" s="707"/>
      <c r="AZ60" s="708">
        <f t="shared" si="14"/>
        <v>16.670000000000002</v>
      </c>
      <c r="BA60" s="709"/>
    </row>
    <row r="61" spans="1:53" s="683" customFormat="1" ht="48.6" customHeight="1">
      <c r="A61" s="688">
        <v>52</v>
      </c>
      <c r="B61" s="689">
        <v>3</v>
      </c>
      <c r="C61" s="689">
        <v>99</v>
      </c>
      <c r="D61" s="690"/>
      <c r="E61" s="690"/>
      <c r="F61" s="690"/>
      <c r="G61" s="690" t="str">
        <f>'Tên Tháng 1'!E222</f>
        <v>ណាក់ ញ៉ាញ់</v>
      </c>
      <c r="H61" s="690" t="str">
        <f>'Tên Tháng 1'!F222</f>
        <v>NAK NHANH</v>
      </c>
      <c r="I61" s="693" t="str">
        <f>'CHAM CONG'!G228</f>
        <v>x</v>
      </c>
      <c r="J61" s="693" t="str">
        <f>'CHAM CONG'!H228</f>
        <v>x</v>
      </c>
      <c r="K61" s="693" t="str">
        <f>'CHAM CONG'!I228</f>
        <v>x</v>
      </c>
      <c r="L61" s="693">
        <f>'CHAM CONG'!J228</f>
        <v>0</v>
      </c>
      <c r="M61" s="693">
        <f>'CHAM CONG'!K228</f>
        <v>0</v>
      </c>
      <c r="N61" s="693" t="str">
        <f>'CHAM CONG'!L228</f>
        <v>x</v>
      </c>
      <c r="O61" s="693" t="str">
        <f>'CHAM CONG'!M228</f>
        <v>x</v>
      </c>
      <c r="P61" s="693" t="str">
        <f>'CHAM CONG'!N228</f>
        <v>x</v>
      </c>
      <c r="Q61" s="693" t="str">
        <f>'CHAM CONG'!O228</f>
        <v>x</v>
      </c>
      <c r="R61" s="693" t="str">
        <f>'CHAM CONG'!P228</f>
        <v>x</v>
      </c>
      <c r="S61" s="693" t="str">
        <f>'CHAM CONG'!Q228</f>
        <v>x</v>
      </c>
      <c r="T61" s="693" t="str">
        <f>'CHAM CONG'!R228</f>
        <v>x</v>
      </c>
      <c r="U61" s="693" t="str">
        <f>'CHAM CONG'!S228</f>
        <v>x</v>
      </c>
      <c r="V61" s="693" t="str">
        <f>'CHAM CONG'!T228</f>
        <v>x</v>
      </c>
      <c r="W61" s="693" t="str">
        <f>'CHAM CONG'!U228</f>
        <v>x</v>
      </c>
      <c r="X61" s="693"/>
      <c r="Y61" s="693"/>
      <c r="Z61" s="698">
        <f t="shared" si="3"/>
        <v>13</v>
      </c>
      <c r="AA61" s="699">
        <f t="shared" si="19"/>
        <v>0</v>
      </c>
      <c r="AB61" s="700">
        <f t="shared" si="4"/>
        <v>208000</v>
      </c>
      <c r="AC61" s="700" t="str">
        <f>'CHAM CONG'!V228</f>
        <v>x</v>
      </c>
      <c r="AD61" s="700">
        <f>'CHAM CONG'!X228</f>
        <v>0</v>
      </c>
      <c r="AE61" s="698">
        <f t="shared" si="5"/>
        <v>1</v>
      </c>
      <c r="AF61" s="700">
        <f t="shared" si="6"/>
        <v>17000</v>
      </c>
      <c r="AG61" s="700">
        <f t="shared" si="7"/>
        <v>13</v>
      </c>
      <c r="AH61" s="537">
        <f t="shared" si="8"/>
        <v>13000</v>
      </c>
      <c r="AI61" s="700">
        <f t="shared" si="9"/>
        <v>238000</v>
      </c>
      <c r="AJ61" s="693">
        <f>'SAN LUONG'!AF229</f>
        <v>423</v>
      </c>
      <c r="AK61" s="693">
        <f>'SAN LUONG'!AG229</f>
        <v>323</v>
      </c>
      <c r="AL61" s="693">
        <f>'SAN LUONG'!AH229</f>
        <v>440</v>
      </c>
      <c r="AM61" s="702">
        <f t="shared" si="20"/>
        <v>1186</v>
      </c>
      <c r="AN61" s="702">
        <f t="shared" si="21"/>
        <v>0</v>
      </c>
      <c r="AO61" s="702"/>
      <c r="AP61" s="702">
        <f t="shared" si="11"/>
        <v>289621</v>
      </c>
      <c r="AQ61" s="555"/>
      <c r="AR61" s="702">
        <f t="shared" si="12"/>
        <v>0</v>
      </c>
      <c r="AS61" s="555">
        <f t="shared" si="13"/>
        <v>527621</v>
      </c>
      <c r="AT61" s="706"/>
      <c r="AU61" s="706"/>
      <c r="AV61" s="706">
        <f>'CHAM CONG'!AZ232</f>
        <v>0</v>
      </c>
      <c r="AW61" s="706"/>
      <c r="AX61" s="562">
        <f t="shared" si="22"/>
        <v>527621</v>
      </c>
      <c r="AY61" s="707"/>
      <c r="AZ61" s="708">
        <f t="shared" si="14"/>
        <v>16.52</v>
      </c>
      <c r="BA61" s="709"/>
    </row>
    <row r="62" spans="1:53" s="683" customFormat="1" ht="48.6" customHeight="1">
      <c r="A62" s="688">
        <v>53</v>
      </c>
      <c r="B62" s="689">
        <v>3</v>
      </c>
      <c r="C62" s="689">
        <v>100</v>
      </c>
      <c r="D62" s="690"/>
      <c r="E62" s="690"/>
      <c r="F62" s="690"/>
      <c r="G62" s="690" t="str">
        <f>'Tên Tháng 1'!E223</f>
        <v>មាន រិទ្ធី</v>
      </c>
      <c r="H62" s="690" t="str">
        <f>'Tên Tháng 1'!F223</f>
        <v>MEAN RITHY</v>
      </c>
      <c r="I62" s="693" t="str">
        <f>'CHAM CONG'!G229</f>
        <v>x</v>
      </c>
      <c r="J62" s="693" t="str">
        <f>'CHAM CONG'!H229</f>
        <v>x</v>
      </c>
      <c r="K62" s="693">
        <f>'CHAM CONG'!I229</f>
        <v>0</v>
      </c>
      <c r="L62" s="693">
        <f>'CHAM CONG'!J229</f>
        <v>0</v>
      </c>
      <c r="M62" s="693">
        <f>'CHAM CONG'!K229</f>
        <v>0</v>
      </c>
      <c r="N62" s="693" t="str">
        <f>'CHAM CONG'!L229</f>
        <v>x</v>
      </c>
      <c r="O62" s="693" t="str">
        <f>'CHAM CONG'!M229</f>
        <v>x</v>
      </c>
      <c r="P62" s="693" t="str">
        <f>'CHAM CONG'!N229</f>
        <v>x</v>
      </c>
      <c r="Q62" s="693" t="str">
        <f>'CHAM CONG'!O229</f>
        <v>x</v>
      </c>
      <c r="R62" s="693" t="str">
        <f>'CHAM CONG'!P229</f>
        <v>x</v>
      </c>
      <c r="S62" s="693" t="str">
        <f>'CHAM CONG'!Q229</f>
        <v>x</v>
      </c>
      <c r="T62" s="693" t="str">
        <f>'CHAM CONG'!R229</f>
        <v>x</v>
      </c>
      <c r="U62" s="693" t="str">
        <f>'CHAM CONG'!S229</f>
        <v>x</v>
      </c>
      <c r="V62" s="693" t="str">
        <f>'CHAM CONG'!T229</f>
        <v>x</v>
      </c>
      <c r="W62" s="693" t="str">
        <f>'CHAM CONG'!U229</f>
        <v>x</v>
      </c>
      <c r="X62" s="693"/>
      <c r="Y62" s="693"/>
      <c r="Z62" s="698">
        <f t="shared" si="3"/>
        <v>12</v>
      </c>
      <c r="AA62" s="699">
        <f t="shared" si="19"/>
        <v>0</v>
      </c>
      <c r="AB62" s="700">
        <f t="shared" si="4"/>
        <v>192000</v>
      </c>
      <c r="AC62" s="700">
        <f>'CHAM CONG'!V229</f>
        <v>0</v>
      </c>
      <c r="AD62" s="700" t="str">
        <f>'CHAM CONG'!X229</f>
        <v>x</v>
      </c>
      <c r="AE62" s="698">
        <f t="shared" si="5"/>
        <v>1</v>
      </c>
      <c r="AF62" s="700">
        <f t="shared" si="6"/>
        <v>17000</v>
      </c>
      <c r="AG62" s="700">
        <f t="shared" si="7"/>
        <v>12</v>
      </c>
      <c r="AH62" s="537">
        <f t="shared" si="8"/>
        <v>12000</v>
      </c>
      <c r="AI62" s="700">
        <f t="shared" si="9"/>
        <v>221000</v>
      </c>
      <c r="AJ62" s="693">
        <f>'SAN LUONG'!AF230</f>
        <v>364</v>
      </c>
      <c r="AK62" s="693">
        <f>'SAN LUONG'!AG230</f>
        <v>567</v>
      </c>
      <c r="AL62" s="693">
        <f>'SAN LUONG'!AH230</f>
        <v>202</v>
      </c>
      <c r="AM62" s="702">
        <f t="shared" si="20"/>
        <v>1133</v>
      </c>
      <c r="AN62" s="702">
        <f t="shared" si="21"/>
        <v>0</v>
      </c>
      <c r="AO62" s="702"/>
      <c r="AP62" s="702">
        <f t="shared" si="11"/>
        <v>276679</v>
      </c>
      <c r="AQ62" s="555"/>
      <c r="AR62" s="702">
        <f t="shared" si="12"/>
        <v>0</v>
      </c>
      <c r="AS62" s="555">
        <f t="shared" si="13"/>
        <v>497679</v>
      </c>
      <c r="AT62" s="706"/>
      <c r="AU62" s="706"/>
      <c r="AV62" s="706">
        <f>'CHAM CONG'!AZ233</f>
        <v>0</v>
      </c>
      <c r="AW62" s="706"/>
      <c r="AX62" s="562">
        <f t="shared" si="22"/>
        <v>497679</v>
      </c>
      <c r="AY62" s="707"/>
      <c r="AZ62" s="708">
        <f t="shared" si="14"/>
        <v>15.58</v>
      </c>
      <c r="BA62" s="709"/>
    </row>
    <row r="63" spans="1:53" s="683" customFormat="1" ht="48.6" customHeight="1">
      <c r="A63" s="688">
        <v>54</v>
      </c>
      <c r="B63" s="689">
        <v>3</v>
      </c>
      <c r="C63" s="689">
        <v>101</v>
      </c>
      <c r="D63" s="690"/>
      <c r="E63" s="690"/>
      <c r="F63" s="690"/>
      <c r="G63" s="690" t="str">
        <f>'Tên Tháng 1'!E224</f>
        <v>ក្រឹង រ៉ែម</v>
      </c>
      <c r="H63" s="690" t="str">
        <f>'Tên Tháng 1'!F224</f>
        <v>KROENG REM</v>
      </c>
      <c r="I63" s="693" t="str">
        <f>'CHAM CONG'!G230</f>
        <v>x</v>
      </c>
      <c r="J63" s="693" t="str">
        <f>'CHAM CONG'!H230</f>
        <v>x</v>
      </c>
      <c r="K63" s="693" t="str">
        <f>'CHAM CONG'!I230</f>
        <v>x</v>
      </c>
      <c r="L63" s="693">
        <f>'CHAM CONG'!J230</f>
        <v>0</v>
      </c>
      <c r="M63" s="693" t="str">
        <f>'CHAM CONG'!K230</f>
        <v>x</v>
      </c>
      <c r="N63" s="693" t="str">
        <f>'CHAM CONG'!L230</f>
        <v>x</v>
      </c>
      <c r="O63" s="693" t="str">
        <f>'CHAM CONG'!M230</f>
        <v>x</v>
      </c>
      <c r="P63" s="693" t="str">
        <f>'CHAM CONG'!N230</f>
        <v>x</v>
      </c>
      <c r="Q63" s="693" t="str">
        <f>'CHAM CONG'!O230</f>
        <v>x</v>
      </c>
      <c r="R63" s="693" t="str">
        <f>'CHAM CONG'!P230</f>
        <v>x</v>
      </c>
      <c r="S63" s="693" t="str">
        <f>'CHAM CONG'!Q230</f>
        <v>x</v>
      </c>
      <c r="T63" s="693" t="str">
        <f>'CHAM CONG'!R230</f>
        <v>x</v>
      </c>
      <c r="U63" s="693" t="str">
        <f>'CHAM CONG'!S230</f>
        <v>x</v>
      </c>
      <c r="V63" s="693" t="str">
        <f>'CHAM CONG'!T230</f>
        <v>x</v>
      </c>
      <c r="W63" s="693" t="str">
        <f>'CHAM CONG'!U230</f>
        <v>x</v>
      </c>
      <c r="X63" s="693"/>
      <c r="Y63" s="693"/>
      <c r="Z63" s="698">
        <f t="shared" si="3"/>
        <v>14</v>
      </c>
      <c r="AA63" s="699">
        <f t="shared" si="19"/>
        <v>0</v>
      </c>
      <c r="AB63" s="700">
        <f t="shared" si="4"/>
        <v>224000</v>
      </c>
      <c r="AC63" s="700">
        <f>'CHAM CONG'!V230</f>
        <v>0</v>
      </c>
      <c r="AD63" s="700" t="str">
        <f>'CHAM CONG'!X230</f>
        <v>x</v>
      </c>
      <c r="AE63" s="698">
        <f t="shared" si="5"/>
        <v>1</v>
      </c>
      <c r="AF63" s="700">
        <f t="shared" si="6"/>
        <v>17000</v>
      </c>
      <c r="AG63" s="700">
        <f t="shared" si="7"/>
        <v>14</v>
      </c>
      <c r="AH63" s="537">
        <f t="shared" si="8"/>
        <v>14000</v>
      </c>
      <c r="AI63" s="700">
        <f t="shared" si="9"/>
        <v>255000</v>
      </c>
      <c r="AJ63" s="693">
        <f>'SAN LUONG'!AF231</f>
        <v>510</v>
      </c>
      <c r="AK63" s="693">
        <f>'SAN LUONG'!AG231</f>
        <v>307</v>
      </c>
      <c r="AL63" s="693">
        <f>'SAN LUONG'!AH231</f>
        <v>395</v>
      </c>
      <c r="AM63" s="702">
        <f t="shared" si="20"/>
        <v>1212</v>
      </c>
      <c r="AN63" s="702">
        <f t="shared" si="21"/>
        <v>0</v>
      </c>
      <c r="AO63" s="702"/>
      <c r="AP63" s="702">
        <f t="shared" si="11"/>
        <v>295970</v>
      </c>
      <c r="AQ63" s="555"/>
      <c r="AR63" s="702">
        <f t="shared" si="12"/>
        <v>0</v>
      </c>
      <c r="AS63" s="555">
        <f t="shared" si="13"/>
        <v>550970</v>
      </c>
      <c r="AT63" s="706"/>
      <c r="AU63" s="706"/>
      <c r="AV63" s="706">
        <f>'CHAM CONG'!AZ234</f>
        <v>0</v>
      </c>
      <c r="AW63" s="706"/>
      <c r="AX63" s="562">
        <f t="shared" si="22"/>
        <v>550970</v>
      </c>
      <c r="AY63" s="707"/>
      <c r="AZ63" s="708">
        <f t="shared" si="14"/>
        <v>17.25</v>
      </c>
      <c r="BA63" s="709"/>
    </row>
    <row r="64" spans="1:53" s="683" customFormat="1" ht="48.6" customHeight="1">
      <c r="A64" s="688">
        <v>55</v>
      </c>
      <c r="B64" s="689">
        <v>3</v>
      </c>
      <c r="C64" s="689">
        <v>102</v>
      </c>
      <c r="D64" s="690"/>
      <c r="E64" s="690"/>
      <c r="F64" s="690"/>
      <c r="G64" s="690" t="str">
        <f>'Tên Tháng 1'!E225</f>
        <v>អ៊ុក សុខគួន</v>
      </c>
      <c r="H64" s="690" t="str">
        <f>'Tên Tháng 1'!F225</f>
        <v>UK SOKOURN</v>
      </c>
      <c r="I64" s="693" t="str">
        <f>'CHAM CONG'!G231</f>
        <v>x</v>
      </c>
      <c r="J64" s="693" t="str">
        <f>'CHAM CONG'!H231</f>
        <v>x</v>
      </c>
      <c r="K64" s="693" t="str">
        <f>'CHAM CONG'!I231</f>
        <v>x</v>
      </c>
      <c r="L64" s="693">
        <f>'CHAM CONG'!J231</f>
        <v>0</v>
      </c>
      <c r="M64" s="693">
        <f>'CHAM CONG'!K231</f>
        <v>0</v>
      </c>
      <c r="N64" s="693" t="str">
        <f>'CHAM CONG'!L231</f>
        <v>x</v>
      </c>
      <c r="O64" s="693">
        <f>'CHAM CONG'!M231</f>
        <v>0</v>
      </c>
      <c r="P64" s="693" t="str">
        <f>'CHAM CONG'!N231</f>
        <v>x</v>
      </c>
      <c r="Q64" s="693" t="str">
        <f>'CHAM CONG'!O231</f>
        <v>x</v>
      </c>
      <c r="R64" s="693" t="str">
        <f>'CHAM CONG'!P231</f>
        <v>x</v>
      </c>
      <c r="S64" s="693" t="str">
        <f>'CHAM CONG'!Q231</f>
        <v>x</v>
      </c>
      <c r="T64" s="693" t="str">
        <f>'CHAM CONG'!R231</f>
        <v>x</v>
      </c>
      <c r="U64" s="693" t="str">
        <f>'CHAM CONG'!S231</f>
        <v>x</v>
      </c>
      <c r="V64" s="693" t="str">
        <f>'CHAM CONG'!T231</f>
        <v>x</v>
      </c>
      <c r="W64" s="693" t="str">
        <f>'CHAM CONG'!U231</f>
        <v>x</v>
      </c>
      <c r="X64" s="693"/>
      <c r="Y64" s="693"/>
      <c r="Z64" s="698">
        <f t="shared" si="3"/>
        <v>12</v>
      </c>
      <c r="AA64" s="699">
        <f t="shared" si="19"/>
        <v>0</v>
      </c>
      <c r="AB64" s="700">
        <f t="shared" si="4"/>
        <v>192000</v>
      </c>
      <c r="AC64" s="700">
        <f>'CHAM CONG'!V231</f>
        <v>0</v>
      </c>
      <c r="AD64" s="700" t="str">
        <f>'CHAM CONG'!X231</f>
        <v>x</v>
      </c>
      <c r="AE64" s="698">
        <f t="shared" si="5"/>
        <v>1</v>
      </c>
      <c r="AF64" s="700">
        <f t="shared" si="6"/>
        <v>17000</v>
      </c>
      <c r="AG64" s="700">
        <f t="shared" si="7"/>
        <v>12</v>
      </c>
      <c r="AH64" s="537">
        <f t="shared" si="8"/>
        <v>12000</v>
      </c>
      <c r="AI64" s="700">
        <f t="shared" si="9"/>
        <v>221000</v>
      </c>
      <c r="AJ64" s="693">
        <f>'SAN LUONG'!AF232</f>
        <v>299</v>
      </c>
      <c r="AK64" s="693">
        <f>'SAN LUONG'!AG232</f>
        <v>318</v>
      </c>
      <c r="AL64" s="693">
        <f>'SAN LUONG'!AH232</f>
        <v>461</v>
      </c>
      <c r="AM64" s="702">
        <f t="shared" si="20"/>
        <v>1078</v>
      </c>
      <c r="AN64" s="702">
        <f t="shared" si="21"/>
        <v>0</v>
      </c>
      <c r="AO64" s="702"/>
      <c r="AP64" s="702">
        <f t="shared" si="11"/>
        <v>263248</v>
      </c>
      <c r="AQ64" s="555"/>
      <c r="AR64" s="702">
        <f t="shared" si="12"/>
        <v>0</v>
      </c>
      <c r="AS64" s="555">
        <f t="shared" si="13"/>
        <v>484248</v>
      </c>
      <c r="AT64" s="706"/>
      <c r="AU64" s="706"/>
      <c r="AV64" s="706">
        <f>'CHAM CONG'!AZ235</f>
        <v>0</v>
      </c>
      <c r="AW64" s="706"/>
      <c r="AX64" s="562">
        <f t="shared" si="22"/>
        <v>484248</v>
      </c>
      <c r="AY64" s="707"/>
      <c r="AZ64" s="708">
        <f t="shared" si="14"/>
        <v>15.16</v>
      </c>
      <c r="BA64" s="709"/>
    </row>
    <row r="65" spans="1:53" s="683" customFormat="1" ht="48.6" customHeight="1">
      <c r="A65" s="688">
        <v>56</v>
      </c>
      <c r="B65" s="689">
        <v>3</v>
      </c>
      <c r="C65" s="689">
        <v>103</v>
      </c>
      <c r="D65" s="690"/>
      <c r="E65" s="690"/>
      <c r="F65" s="690"/>
      <c r="G65" s="690" t="str">
        <f>'Tên Tháng 1'!E226</f>
        <v>ហ៊ាង ហេន</v>
      </c>
      <c r="H65" s="690" t="str">
        <f>'Tên Tháng 1'!F226</f>
        <v>HEANG HEN</v>
      </c>
      <c r="I65" s="693" t="str">
        <f>'CHAM CONG'!G232</f>
        <v>x</v>
      </c>
      <c r="J65" s="693" t="str">
        <f>'CHAM CONG'!H232</f>
        <v>x</v>
      </c>
      <c r="K65" s="693" t="str">
        <f>'CHAM CONG'!I232</f>
        <v>x</v>
      </c>
      <c r="L65" s="693">
        <f>'CHAM CONG'!J232</f>
        <v>0</v>
      </c>
      <c r="M65" s="693" t="str">
        <f>'CHAM CONG'!K232</f>
        <v>x</v>
      </c>
      <c r="N65" s="693" t="str">
        <f>'CHAM CONG'!L232</f>
        <v>x</v>
      </c>
      <c r="O65" s="693" t="str">
        <f>'CHAM CONG'!M232</f>
        <v>x</v>
      </c>
      <c r="P65" s="693" t="str">
        <f>'CHAM CONG'!N232</f>
        <v>x</v>
      </c>
      <c r="Q65" s="693" t="str">
        <f>'CHAM CONG'!O232</f>
        <v>x</v>
      </c>
      <c r="R65" s="693" t="str">
        <f>'CHAM CONG'!P232</f>
        <v>x</v>
      </c>
      <c r="S65" s="693" t="str">
        <f>'CHAM CONG'!Q232</f>
        <v>x</v>
      </c>
      <c r="T65" s="693" t="str">
        <f>'CHAM CONG'!R232</f>
        <v>x</v>
      </c>
      <c r="U65" s="693" t="str">
        <f>'CHAM CONG'!S232</f>
        <v>x</v>
      </c>
      <c r="V65" s="693" t="str">
        <f>'CHAM CONG'!T232</f>
        <v>x</v>
      </c>
      <c r="W65" s="693" t="str">
        <f>'CHAM CONG'!U232</f>
        <v>x</v>
      </c>
      <c r="X65" s="693"/>
      <c r="Y65" s="693"/>
      <c r="Z65" s="698">
        <f t="shared" si="3"/>
        <v>14</v>
      </c>
      <c r="AA65" s="699">
        <f t="shared" si="19"/>
        <v>0</v>
      </c>
      <c r="AB65" s="700">
        <f t="shared" si="4"/>
        <v>224000</v>
      </c>
      <c r="AC65" s="700">
        <f>'CHAM CONG'!V232</f>
        <v>0</v>
      </c>
      <c r="AD65" s="700" t="str">
        <f>'CHAM CONG'!X232</f>
        <v>x</v>
      </c>
      <c r="AE65" s="698">
        <f t="shared" si="5"/>
        <v>1</v>
      </c>
      <c r="AF65" s="700">
        <f t="shared" si="6"/>
        <v>17000</v>
      </c>
      <c r="AG65" s="700">
        <f t="shared" si="7"/>
        <v>14</v>
      </c>
      <c r="AH65" s="537">
        <f t="shared" si="8"/>
        <v>14000</v>
      </c>
      <c r="AI65" s="700">
        <f t="shared" si="9"/>
        <v>255000</v>
      </c>
      <c r="AJ65" s="693">
        <f>'SAN LUONG'!AF233</f>
        <v>508</v>
      </c>
      <c r="AK65" s="693">
        <f>'SAN LUONG'!AG233</f>
        <v>453</v>
      </c>
      <c r="AL65" s="693">
        <f>'SAN LUONG'!AH233</f>
        <v>390</v>
      </c>
      <c r="AM65" s="702">
        <f t="shared" si="20"/>
        <v>1351</v>
      </c>
      <c r="AN65" s="702">
        <f t="shared" si="21"/>
        <v>0</v>
      </c>
      <c r="AO65" s="702"/>
      <c r="AP65" s="702">
        <f t="shared" si="11"/>
        <v>329914</v>
      </c>
      <c r="AQ65" s="555"/>
      <c r="AR65" s="702">
        <f t="shared" si="12"/>
        <v>0</v>
      </c>
      <c r="AS65" s="555">
        <f t="shared" si="13"/>
        <v>584914</v>
      </c>
      <c r="AT65" s="706"/>
      <c r="AU65" s="706"/>
      <c r="AV65" s="706">
        <f>'CHAM CONG'!AZ236</f>
        <v>0</v>
      </c>
      <c r="AW65" s="706"/>
      <c r="AX65" s="562">
        <f t="shared" si="22"/>
        <v>584914</v>
      </c>
      <c r="AY65" s="707"/>
      <c r="AZ65" s="708">
        <f t="shared" si="14"/>
        <v>18.309999999999999</v>
      </c>
      <c r="BA65" s="709"/>
    </row>
    <row r="66" spans="1:53" s="683" customFormat="1" ht="48.6" customHeight="1">
      <c r="A66" s="688">
        <v>57</v>
      </c>
      <c r="B66" s="689">
        <v>3</v>
      </c>
      <c r="C66" s="689">
        <v>104</v>
      </c>
      <c r="D66" s="690"/>
      <c r="E66" s="690"/>
      <c r="F66" s="690"/>
      <c r="G66" s="690" t="str">
        <f>'Tên Tháng 1'!E227</f>
        <v>ហួន យ៉េ</v>
      </c>
      <c r="H66" s="690" t="str">
        <f>'Tên Tháng 1'!F227</f>
        <v>HOURN YE</v>
      </c>
      <c r="I66" s="693">
        <f>'CHAM CONG'!G233</f>
        <v>0</v>
      </c>
      <c r="J66" s="693" t="str">
        <f>'CHAM CONG'!H233</f>
        <v>x</v>
      </c>
      <c r="K66" s="693" t="str">
        <f>'CHAM CONG'!I233</f>
        <v>x</v>
      </c>
      <c r="L66" s="693">
        <f>'CHAM CONG'!J233</f>
        <v>0</v>
      </c>
      <c r="M66" s="693" t="str">
        <f>'CHAM CONG'!K233</f>
        <v>x</v>
      </c>
      <c r="N66" s="693" t="str">
        <f>'CHAM CONG'!L233</f>
        <v>x</v>
      </c>
      <c r="O66" s="693" t="str">
        <f>'CHAM CONG'!M233</f>
        <v>x</v>
      </c>
      <c r="P66" s="693" t="str">
        <f>'CHAM CONG'!N233</f>
        <v>x</v>
      </c>
      <c r="Q66" s="693">
        <f>'CHAM CONG'!O233</f>
        <v>0</v>
      </c>
      <c r="R66" s="693">
        <f>'CHAM CONG'!P233</f>
        <v>0</v>
      </c>
      <c r="S66" s="693" t="str">
        <f>'CHAM CONG'!Q233</f>
        <v>x</v>
      </c>
      <c r="T66" s="693" t="str">
        <f>'CHAM CONG'!R233</f>
        <v>x</v>
      </c>
      <c r="U66" s="693" t="str">
        <f>'CHAM CONG'!S233</f>
        <v>x</v>
      </c>
      <c r="V66" s="693" t="str">
        <f>'CHAM CONG'!T233</f>
        <v>x</v>
      </c>
      <c r="W66" s="693" t="str">
        <f>'CHAM CONG'!U233</f>
        <v>x</v>
      </c>
      <c r="X66" s="693"/>
      <c r="Y66" s="693"/>
      <c r="Z66" s="698">
        <f t="shared" si="3"/>
        <v>11</v>
      </c>
      <c r="AA66" s="699">
        <f t="shared" si="19"/>
        <v>0</v>
      </c>
      <c r="AB66" s="700">
        <f t="shared" si="4"/>
        <v>176000</v>
      </c>
      <c r="AC66" s="700">
        <f>'CHAM CONG'!V233</f>
        <v>0</v>
      </c>
      <c r="AD66" s="700">
        <f>'CHAM CONG'!X233</f>
        <v>0</v>
      </c>
      <c r="AE66" s="698">
        <f t="shared" si="5"/>
        <v>0</v>
      </c>
      <c r="AF66" s="700">
        <f t="shared" si="6"/>
        <v>0</v>
      </c>
      <c r="AG66" s="700">
        <f t="shared" si="7"/>
        <v>11</v>
      </c>
      <c r="AH66" s="537">
        <f t="shared" si="8"/>
        <v>11000</v>
      </c>
      <c r="AI66" s="700">
        <f t="shared" si="9"/>
        <v>187000</v>
      </c>
      <c r="AJ66" s="693">
        <f>'SAN LUONG'!AF234</f>
        <v>460</v>
      </c>
      <c r="AK66" s="693">
        <f>'SAN LUONG'!AG234</f>
        <v>430</v>
      </c>
      <c r="AL66" s="693">
        <f>'SAN LUONG'!AH234</f>
        <v>140</v>
      </c>
      <c r="AM66" s="702">
        <f t="shared" si="20"/>
        <v>1030</v>
      </c>
      <c r="AN66" s="702">
        <f t="shared" si="21"/>
        <v>0</v>
      </c>
      <c r="AO66" s="702"/>
      <c r="AP66" s="702">
        <f t="shared" si="11"/>
        <v>251526</v>
      </c>
      <c r="AQ66" s="555"/>
      <c r="AR66" s="702">
        <f t="shared" si="12"/>
        <v>0</v>
      </c>
      <c r="AS66" s="555">
        <f t="shared" si="13"/>
        <v>438526</v>
      </c>
      <c r="AT66" s="706"/>
      <c r="AU66" s="706"/>
      <c r="AV66" s="706">
        <f>'CHAM CONG'!AZ237</f>
        <v>0</v>
      </c>
      <c r="AW66" s="706"/>
      <c r="AX66" s="562">
        <f t="shared" si="22"/>
        <v>438526</v>
      </c>
      <c r="AY66" s="707"/>
      <c r="AZ66" s="708">
        <f t="shared" si="14"/>
        <v>13.73</v>
      </c>
      <c r="BA66" s="709"/>
    </row>
    <row r="67" spans="1:53" s="683" customFormat="1" ht="48.6" customHeight="1">
      <c r="A67" s="688">
        <v>58</v>
      </c>
      <c r="B67" s="689">
        <v>3</v>
      </c>
      <c r="C67" s="689">
        <v>105</v>
      </c>
      <c r="D67" s="690"/>
      <c r="E67" s="690"/>
      <c r="F67" s="690"/>
      <c r="G67" s="690" t="str">
        <f>'Tên Tháng 1'!E228</f>
        <v>លី ចិត្តត្រា</v>
      </c>
      <c r="H67" s="690" t="str">
        <f>'Tên Tháng 1'!F228</f>
        <v>LY CHITRA</v>
      </c>
      <c r="I67" s="693" t="str">
        <f>'CHAM CONG'!G234</f>
        <v>x</v>
      </c>
      <c r="J67" s="693" t="str">
        <f>'CHAM CONG'!H234</f>
        <v>x</v>
      </c>
      <c r="K67" s="693" t="str">
        <f>'CHAM CONG'!I234</f>
        <v>x</v>
      </c>
      <c r="L67" s="693">
        <f>'CHAM CONG'!J234</f>
        <v>0</v>
      </c>
      <c r="M67" s="693" t="str">
        <f>'CHAM CONG'!K234</f>
        <v>x</v>
      </c>
      <c r="N67" s="693" t="str">
        <f>'CHAM CONG'!L234</f>
        <v>x</v>
      </c>
      <c r="O67" s="693" t="str">
        <f>'CHAM CONG'!M234</f>
        <v>x</v>
      </c>
      <c r="P67" s="693" t="str">
        <f>'CHAM CONG'!N234</f>
        <v>x</v>
      </c>
      <c r="Q67" s="693" t="str">
        <f>'CHAM CONG'!O234</f>
        <v>x</v>
      </c>
      <c r="R67" s="693" t="str">
        <f>'CHAM CONG'!P234</f>
        <v>x</v>
      </c>
      <c r="S67" s="693" t="str">
        <f>'CHAM CONG'!Q234</f>
        <v>x</v>
      </c>
      <c r="T67" s="693" t="str">
        <f>'CHAM CONG'!R234</f>
        <v>x</v>
      </c>
      <c r="U67" s="693" t="str">
        <f>'CHAM CONG'!S234</f>
        <v>x</v>
      </c>
      <c r="V67" s="693" t="str">
        <f>'CHAM CONG'!T234</f>
        <v>x</v>
      </c>
      <c r="W67" s="693">
        <f>'CHAM CONG'!U234</f>
        <v>0</v>
      </c>
      <c r="X67" s="693"/>
      <c r="Y67" s="693"/>
      <c r="Z67" s="698">
        <f t="shared" si="3"/>
        <v>13</v>
      </c>
      <c r="AA67" s="699">
        <f t="shared" si="19"/>
        <v>0</v>
      </c>
      <c r="AB67" s="700">
        <f t="shared" si="4"/>
        <v>208000</v>
      </c>
      <c r="AC67" s="700">
        <f>'CHAM CONG'!V234</f>
        <v>0</v>
      </c>
      <c r="AD67" s="700">
        <f>'CHAM CONG'!X234</f>
        <v>0</v>
      </c>
      <c r="AE67" s="698">
        <f t="shared" si="5"/>
        <v>0</v>
      </c>
      <c r="AF67" s="700">
        <f t="shared" si="6"/>
        <v>0</v>
      </c>
      <c r="AG67" s="700">
        <f t="shared" si="7"/>
        <v>13</v>
      </c>
      <c r="AH67" s="537">
        <f t="shared" si="8"/>
        <v>13000</v>
      </c>
      <c r="AI67" s="700">
        <f t="shared" si="9"/>
        <v>221000</v>
      </c>
      <c r="AJ67" s="693">
        <f>'SAN LUONG'!AF235</f>
        <v>387</v>
      </c>
      <c r="AK67" s="693">
        <f>'SAN LUONG'!AG235</f>
        <v>321</v>
      </c>
      <c r="AL67" s="693">
        <f>'SAN LUONG'!AH235</f>
        <v>438</v>
      </c>
      <c r="AM67" s="702">
        <f t="shared" si="20"/>
        <v>1146</v>
      </c>
      <c r="AN67" s="702">
        <f t="shared" si="21"/>
        <v>0</v>
      </c>
      <c r="AO67" s="702"/>
      <c r="AP67" s="702">
        <f t="shared" si="11"/>
        <v>279853</v>
      </c>
      <c r="AQ67" s="555"/>
      <c r="AR67" s="702">
        <f t="shared" si="12"/>
        <v>0</v>
      </c>
      <c r="AS67" s="555">
        <f t="shared" si="13"/>
        <v>500853</v>
      </c>
      <c r="AT67" s="706"/>
      <c r="AU67" s="706"/>
      <c r="AV67" s="706">
        <f>'CHAM CONG'!AZ238</f>
        <v>0</v>
      </c>
      <c r="AW67" s="706"/>
      <c r="AX67" s="562">
        <f t="shared" si="22"/>
        <v>500853</v>
      </c>
      <c r="AY67" s="707"/>
      <c r="AZ67" s="708">
        <f t="shared" si="14"/>
        <v>15.68</v>
      </c>
      <c r="BA67" s="709"/>
    </row>
    <row r="68" spans="1:53" s="683" customFormat="1" ht="48.6" customHeight="1">
      <c r="A68" s="688">
        <v>59</v>
      </c>
      <c r="B68" s="689">
        <v>3</v>
      </c>
      <c r="C68" s="689">
        <v>106</v>
      </c>
      <c r="D68" s="690"/>
      <c r="E68" s="690"/>
      <c r="F68" s="690"/>
      <c r="G68" s="690" t="str">
        <f>'Tên Tháng 1'!E229</f>
        <v>សល់ សុភី</v>
      </c>
      <c r="H68" s="690" t="str">
        <f>'Tên Tháng 1'!F229</f>
        <v>SAL SOPHY</v>
      </c>
      <c r="I68" s="693">
        <f>'CHAM CONG'!G235</f>
        <v>0</v>
      </c>
      <c r="J68" s="693" t="str">
        <f>'CHAM CONG'!H235</f>
        <v>x</v>
      </c>
      <c r="K68" s="693" t="str">
        <f>'CHAM CONG'!I235</f>
        <v>x</v>
      </c>
      <c r="L68" s="693">
        <f>'CHAM CONG'!J235</f>
        <v>0</v>
      </c>
      <c r="M68" s="693">
        <f>'CHAM CONG'!K235</f>
        <v>0</v>
      </c>
      <c r="N68" s="693" t="str">
        <f>'CHAM CONG'!L235</f>
        <v>x</v>
      </c>
      <c r="O68" s="693">
        <f>'CHAM CONG'!M235</f>
        <v>0</v>
      </c>
      <c r="P68" s="693" t="str">
        <f>'CHAM CONG'!N235</f>
        <v>x</v>
      </c>
      <c r="Q68" s="693" t="str">
        <f>'CHAM CONG'!O235</f>
        <v>x</v>
      </c>
      <c r="R68" s="693" t="str">
        <f>'CHAM CONG'!P235</f>
        <v>x</v>
      </c>
      <c r="S68" s="693" t="str">
        <f>'CHAM CONG'!Q235</f>
        <v>x</v>
      </c>
      <c r="T68" s="693" t="str">
        <f>'CHAM CONG'!R235</f>
        <v>x</v>
      </c>
      <c r="U68" s="693" t="str">
        <f>'CHAM CONG'!S235</f>
        <v>x</v>
      </c>
      <c r="V68" s="693" t="str">
        <f>'CHAM CONG'!T235</f>
        <v>x</v>
      </c>
      <c r="W68" s="693" t="str">
        <f>'CHAM CONG'!U235</f>
        <v>x</v>
      </c>
      <c r="X68" s="693"/>
      <c r="Y68" s="693"/>
      <c r="Z68" s="698">
        <f t="shared" si="3"/>
        <v>11</v>
      </c>
      <c r="AA68" s="699">
        <f t="shared" si="19"/>
        <v>0</v>
      </c>
      <c r="AB68" s="700">
        <f t="shared" si="4"/>
        <v>176000</v>
      </c>
      <c r="AC68" s="700" t="str">
        <f>'CHAM CONG'!V235</f>
        <v>x</v>
      </c>
      <c r="AD68" s="700">
        <f>'CHAM CONG'!X235</f>
        <v>0</v>
      </c>
      <c r="AE68" s="698">
        <f t="shared" si="5"/>
        <v>1</v>
      </c>
      <c r="AF68" s="700">
        <f t="shared" si="6"/>
        <v>17000</v>
      </c>
      <c r="AG68" s="700">
        <f t="shared" si="7"/>
        <v>11</v>
      </c>
      <c r="AH68" s="537">
        <f t="shared" si="8"/>
        <v>11000</v>
      </c>
      <c r="AI68" s="700">
        <f t="shared" si="9"/>
        <v>204000</v>
      </c>
      <c r="AJ68" s="693">
        <f>'SAN LUONG'!AF236</f>
        <v>298</v>
      </c>
      <c r="AK68" s="693">
        <f>'SAN LUONG'!AG236</f>
        <v>409</v>
      </c>
      <c r="AL68" s="693">
        <f>'SAN LUONG'!AH236</f>
        <v>302</v>
      </c>
      <c r="AM68" s="702">
        <f t="shared" si="20"/>
        <v>1009</v>
      </c>
      <c r="AN68" s="702">
        <f t="shared" si="21"/>
        <v>0</v>
      </c>
      <c r="AO68" s="702"/>
      <c r="AP68" s="702">
        <f t="shared" si="11"/>
        <v>246398</v>
      </c>
      <c r="AQ68" s="555"/>
      <c r="AR68" s="702">
        <f t="shared" si="12"/>
        <v>0</v>
      </c>
      <c r="AS68" s="555">
        <f t="shared" si="13"/>
        <v>450398</v>
      </c>
      <c r="AT68" s="706"/>
      <c r="AU68" s="706"/>
      <c r="AV68" s="706">
        <f>'CHAM CONG'!AZ239</f>
        <v>0</v>
      </c>
      <c r="AW68" s="706"/>
      <c r="AX68" s="562">
        <f t="shared" si="22"/>
        <v>450398</v>
      </c>
      <c r="AY68" s="707"/>
      <c r="AZ68" s="708">
        <f t="shared" si="14"/>
        <v>14.1</v>
      </c>
      <c r="BA68" s="709"/>
    </row>
    <row r="69" spans="1:53" s="683" customFormat="1" ht="48.6" customHeight="1">
      <c r="A69" s="688">
        <v>60</v>
      </c>
      <c r="B69" s="689">
        <v>3</v>
      </c>
      <c r="C69" s="689">
        <v>107</v>
      </c>
      <c r="D69" s="690"/>
      <c r="E69" s="690"/>
      <c r="F69" s="690"/>
      <c r="G69" s="690" t="str">
        <f>'Tên Tháng 1'!E230</f>
        <v>ម៉ោន ហ៊ុំ</v>
      </c>
      <c r="H69" s="690" t="str">
        <f>'Tên Tháng 1'!F230</f>
        <v>MORN HUM</v>
      </c>
      <c r="I69" s="693" t="str">
        <f>'CHAM CONG'!G236</f>
        <v>x</v>
      </c>
      <c r="J69" s="693" t="str">
        <f>'CHAM CONG'!H236</f>
        <v>x</v>
      </c>
      <c r="K69" s="693">
        <f>'CHAM CONG'!I236</f>
        <v>0</v>
      </c>
      <c r="L69" s="693">
        <f>'CHAM CONG'!J236</f>
        <v>0</v>
      </c>
      <c r="M69" s="693">
        <f>'CHAM CONG'!K236</f>
        <v>0</v>
      </c>
      <c r="N69" s="693" t="str">
        <f>'CHAM CONG'!L236</f>
        <v>x</v>
      </c>
      <c r="O69" s="693" t="str">
        <f>'CHAM CONG'!M236</f>
        <v>x</v>
      </c>
      <c r="P69" s="693" t="str">
        <f>'CHAM CONG'!N236</f>
        <v>x</v>
      </c>
      <c r="Q69" s="693" t="str">
        <f>'CHAM CONG'!O236</f>
        <v>x</v>
      </c>
      <c r="R69" s="693" t="str">
        <f>'CHAM CONG'!P236</f>
        <v>x</v>
      </c>
      <c r="S69" s="693" t="str">
        <f>'CHAM CONG'!Q236</f>
        <v>x</v>
      </c>
      <c r="T69" s="693" t="str">
        <f>'CHAM CONG'!R236</f>
        <v>x</v>
      </c>
      <c r="U69" s="693" t="str">
        <f>'CHAM CONG'!S236</f>
        <v>x</v>
      </c>
      <c r="V69" s="693" t="str">
        <f>'CHAM CONG'!T236</f>
        <v>x</v>
      </c>
      <c r="W69" s="693" t="str">
        <f>'CHAM CONG'!U236</f>
        <v>x</v>
      </c>
      <c r="X69" s="693"/>
      <c r="Y69" s="693"/>
      <c r="Z69" s="698">
        <f t="shared" si="3"/>
        <v>12</v>
      </c>
      <c r="AA69" s="699">
        <f t="shared" si="19"/>
        <v>0</v>
      </c>
      <c r="AB69" s="700">
        <f t="shared" si="4"/>
        <v>192000</v>
      </c>
      <c r="AC69" s="700">
        <f>'CHAM CONG'!V236</f>
        <v>0</v>
      </c>
      <c r="AD69" s="700" t="str">
        <f>'CHAM CONG'!X236</f>
        <v>x</v>
      </c>
      <c r="AE69" s="698">
        <f t="shared" si="5"/>
        <v>1</v>
      </c>
      <c r="AF69" s="700">
        <f t="shared" si="6"/>
        <v>17000</v>
      </c>
      <c r="AG69" s="700">
        <f t="shared" si="7"/>
        <v>12</v>
      </c>
      <c r="AH69" s="537">
        <f t="shared" si="8"/>
        <v>12000</v>
      </c>
      <c r="AI69" s="700">
        <f t="shared" si="9"/>
        <v>221000</v>
      </c>
      <c r="AJ69" s="693">
        <f>'SAN LUONG'!AF237</f>
        <v>325</v>
      </c>
      <c r="AK69" s="693">
        <f>'SAN LUONG'!AG237</f>
        <v>582</v>
      </c>
      <c r="AL69" s="693">
        <f>'SAN LUONG'!AH237</f>
        <v>237</v>
      </c>
      <c r="AM69" s="702">
        <f t="shared" si="20"/>
        <v>1144</v>
      </c>
      <c r="AN69" s="702">
        <f t="shared" si="21"/>
        <v>0</v>
      </c>
      <c r="AO69" s="702"/>
      <c r="AP69" s="702">
        <f t="shared" si="11"/>
        <v>279365</v>
      </c>
      <c r="AQ69" s="555"/>
      <c r="AR69" s="702">
        <f t="shared" si="12"/>
        <v>0</v>
      </c>
      <c r="AS69" s="555">
        <f t="shared" si="13"/>
        <v>500365</v>
      </c>
      <c r="AT69" s="706"/>
      <c r="AU69" s="706"/>
      <c r="AV69" s="706">
        <f>'CHAM CONG'!AZ240</f>
        <v>0</v>
      </c>
      <c r="AW69" s="706"/>
      <c r="AX69" s="562">
        <f t="shared" si="22"/>
        <v>500365</v>
      </c>
      <c r="AY69" s="707"/>
      <c r="AZ69" s="708">
        <f t="shared" si="14"/>
        <v>15.66</v>
      </c>
      <c r="BA69" s="709"/>
    </row>
    <row r="70" spans="1:53" s="683" customFormat="1" ht="48.6" customHeight="1">
      <c r="A70" s="688">
        <v>61</v>
      </c>
      <c r="B70" s="689">
        <v>3</v>
      </c>
      <c r="C70" s="689">
        <v>108</v>
      </c>
      <c r="D70" s="690"/>
      <c r="E70" s="690"/>
      <c r="F70" s="690"/>
      <c r="G70" s="690" t="str">
        <f>'Tên Tháng 1'!E231</f>
        <v>លី សឹង</v>
      </c>
      <c r="H70" s="690" t="str">
        <f>'Tên Tháng 1'!F231</f>
        <v>LY SOENG</v>
      </c>
      <c r="I70" s="693" t="str">
        <f>'CHAM CONG'!G237</f>
        <v>x</v>
      </c>
      <c r="J70" s="693" t="str">
        <f>'CHAM CONG'!H237</f>
        <v>x</v>
      </c>
      <c r="K70" s="693" t="str">
        <f>'CHAM CONG'!I237</f>
        <v>x</v>
      </c>
      <c r="L70" s="693">
        <f>'CHAM CONG'!J237</f>
        <v>0</v>
      </c>
      <c r="M70" s="693">
        <f>'CHAM CONG'!K237</f>
        <v>0</v>
      </c>
      <c r="N70" s="693" t="str">
        <f>'CHAM CONG'!L237</f>
        <v>x</v>
      </c>
      <c r="O70" s="693" t="str">
        <f>'CHAM CONG'!M237</f>
        <v>x</v>
      </c>
      <c r="P70" s="693" t="str">
        <f>'CHAM CONG'!N237</f>
        <v>x</v>
      </c>
      <c r="Q70" s="693" t="str">
        <f>'CHAM CONG'!O237</f>
        <v>x</v>
      </c>
      <c r="R70" s="693" t="str">
        <f>'CHAM CONG'!P237</f>
        <v>x</v>
      </c>
      <c r="S70" s="693" t="str">
        <f>'CHAM CONG'!Q237</f>
        <v>x</v>
      </c>
      <c r="T70" s="693" t="str">
        <f>'CHAM CONG'!R237</f>
        <v>x</v>
      </c>
      <c r="U70" s="693" t="str">
        <f>'CHAM CONG'!S237</f>
        <v>x</v>
      </c>
      <c r="V70" s="693" t="str">
        <f>'CHAM CONG'!T237</f>
        <v>x</v>
      </c>
      <c r="W70" s="693" t="str">
        <f>'CHAM CONG'!U237</f>
        <v>x</v>
      </c>
      <c r="X70" s="693"/>
      <c r="Y70" s="693"/>
      <c r="Z70" s="698">
        <f t="shared" si="3"/>
        <v>13</v>
      </c>
      <c r="AA70" s="699">
        <f t="shared" si="19"/>
        <v>0</v>
      </c>
      <c r="AB70" s="700">
        <f t="shared" si="4"/>
        <v>208000</v>
      </c>
      <c r="AC70" s="700">
        <f>'CHAM CONG'!V237</f>
        <v>0</v>
      </c>
      <c r="AD70" s="700">
        <f>'CHAM CONG'!X237</f>
        <v>0</v>
      </c>
      <c r="AE70" s="698">
        <f t="shared" si="5"/>
        <v>0</v>
      </c>
      <c r="AF70" s="700">
        <f t="shared" si="6"/>
        <v>0</v>
      </c>
      <c r="AG70" s="700">
        <f t="shared" si="7"/>
        <v>13</v>
      </c>
      <c r="AH70" s="537">
        <f t="shared" si="8"/>
        <v>13000</v>
      </c>
      <c r="AI70" s="700">
        <f t="shared" si="9"/>
        <v>221000</v>
      </c>
      <c r="AJ70" s="693">
        <f>'SAN LUONG'!AF238</f>
        <v>517</v>
      </c>
      <c r="AK70" s="693">
        <f>'SAN LUONG'!AG238</f>
        <v>350</v>
      </c>
      <c r="AL70" s="693">
        <f>'SAN LUONG'!AH238</f>
        <v>432</v>
      </c>
      <c r="AM70" s="702">
        <f t="shared" si="20"/>
        <v>1299</v>
      </c>
      <c r="AN70" s="702">
        <f t="shared" si="21"/>
        <v>0</v>
      </c>
      <c r="AO70" s="702"/>
      <c r="AP70" s="702">
        <f t="shared" si="11"/>
        <v>317216</v>
      </c>
      <c r="AQ70" s="555"/>
      <c r="AR70" s="702">
        <f t="shared" si="12"/>
        <v>0</v>
      </c>
      <c r="AS70" s="555">
        <f t="shared" si="13"/>
        <v>538216</v>
      </c>
      <c r="AT70" s="706"/>
      <c r="AU70" s="706"/>
      <c r="AV70" s="706">
        <f>'CHAM CONG'!AZ241</f>
        <v>0</v>
      </c>
      <c r="AW70" s="706"/>
      <c r="AX70" s="562">
        <f t="shared" si="22"/>
        <v>538216</v>
      </c>
      <c r="AY70" s="707"/>
      <c r="AZ70" s="708">
        <f t="shared" si="14"/>
        <v>16.850000000000001</v>
      </c>
      <c r="BA70" s="709"/>
    </row>
    <row r="71" spans="1:53" s="683" customFormat="1" ht="48.6" customHeight="1">
      <c r="A71" s="688">
        <v>62</v>
      </c>
      <c r="B71" s="689">
        <v>3</v>
      </c>
      <c r="C71" s="689">
        <v>109</v>
      </c>
      <c r="D71" s="690"/>
      <c r="E71" s="690"/>
      <c r="F71" s="690"/>
      <c r="G71" s="690" t="str">
        <f>'Tên Tháng 1'!E232</f>
        <v>ងិន ម៉ុត</v>
      </c>
      <c r="H71" s="690" t="str">
        <f>'Tên Tháng 1'!F232</f>
        <v>NGIN MOT</v>
      </c>
      <c r="I71" s="693">
        <f>'CHAM CONG'!G238</f>
        <v>0</v>
      </c>
      <c r="J71" s="693" t="str">
        <f>'CHAM CONG'!H238</f>
        <v>x</v>
      </c>
      <c r="K71" s="693" t="str">
        <f>'CHAM CONG'!I238</f>
        <v>x</v>
      </c>
      <c r="L71" s="693">
        <f>'CHAM CONG'!J238</f>
        <v>0</v>
      </c>
      <c r="M71" s="693">
        <f>'CHAM CONG'!K238</f>
        <v>0</v>
      </c>
      <c r="N71" s="693" t="str">
        <f>'CHAM CONG'!L238</f>
        <v>x</v>
      </c>
      <c r="O71" s="693">
        <f>'CHAM CONG'!M238</f>
        <v>0</v>
      </c>
      <c r="P71" s="693" t="str">
        <f>'CHAM CONG'!N238</f>
        <v>x</v>
      </c>
      <c r="Q71" s="693" t="str">
        <f>'CHAM CONG'!O238</f>
        <v>x</v>
      </c>
      <c r="R71" s="693" t="str">
        <f>'CHAM CONG'!P238</f>
        <v>x</v>
      </c>
      <c r="S71" s="693" t="str">
        <f>'CHAM CONG'!Q238</f>
        <v>x</v>
      </c>
      <c r="T71" s="693" t="str">
        <f>'CHAM CONG'!R238</f>
        <v>x</v>
      </c>
      <c r="U71" s="693" t="str">
        <f>'CHAM CONG'!S238</f>
        <v>x</v>
      </c>
      <c r="V71" s="693">
        <f>'CHAM CONG'!T238</f>
        <v>0</v>
      </c>
      <c r="W71" s="693" t="str">
        <f>'CHAM CONG'!U238</f>
        <v>x</v>
      </c>
      <c r="X71" s="693"/>
      <c r="Y71" s="693"/>
      <c r="Z71" s="698">
        <f t="shared" si="3"/>
        <v>10</v>
      </c>
      <c r="AA71" s="699">
        <f t="shared" si="19"/>
        <v>0</v>
      </c>
      <c r="AB71" s="700">
        <f t="shared" si="4"/>
        <v>160000</v>
      </c>
      <c r="AC71" s="700">
        <f>'CHAM CONG'!V238</f>
        <v>0</v>
      </c>
      <c r="AD71" s="700">
        <f>'CHAM CONG'!X238</f>
        <v>0</v>
      </c>
      <c r="AE71" s="698">
        <f t="shared" si="5"/>
        <v>0</v>
      </c>
      <c r="AF71" s="700">
        <f t="shared" si="6"/>
        <v>0</v>
      </c>
      <c r="AG71" s="700">
        <f t="shared" si="7"/>
        <v>10</v>
      </c>
      <c r="AH71" s="537">
        <f t="shared" si="8"/>
        <v>10000</v>
      </c>
      <c r="AI71" s="700">
        <f t="shared" si="9"/>
        <v>170000</v>
      </c>
      <c r="AJ71" s="693">
        <f>'SAN LUONG'!AF239</f>
        <v>438</v>
      </c>
      <c r="AK71" s="693">
        <f>'SAN LUONG'!AG239</f>
        <v>336</v>
      </c>
      <c r="AL71" s="693">
        <f>'SAN LUONG'!AH239</f>
        <v>352</v>
      </c>
      <c r="AM71" s="702">
        <f t="shared" si="20"/>
        <v>1126</v>
      </c>
      <c r="AN71" s="702">
        <f t="shared" si="21"/>
        <v>0</v>
      </c>
      <c r="AO71" s="702"/>
      <c r="AP71" s="702">
        <f t="shared" si="11"/>
        <v>274969</v>
      </c>
      <c r="AQ71" s="555"/>
      <c r="AR71" s="702">
        <f t="shared" si="12"/>
        <v>0</v>
      </c>
      <c r="AS71" s="555">
        <f t="shared" si="13"/>
        <v>444969</v>
      </c>
      <c r="AT71" s="706"/>
      <c r="AU71" s="706"/>
      <c r="AV71" s="706">
        <f>'CHAM CONG'!AZ242</f>
        <v>0</v>
      </c>
      <c r="AW71" s="706"/>
      <c r="AX71" s="562">
        <f t="shared" si="22"/>
        <v>444969</v>
      </c>
      <c r="AY71" s="707"/>
      <c r="AZ71" s="708">
        <f t="shared" si="14"/>
        <v>13.93</v>
      </c>
      <c r="BA71" s="709"/>
    </row>
    <row r="72" spans="1:53" s="683" customFormat="1" ht="48.6" customHeight="1">
      <c r="A72" s="688">
        <v>63</v>
      </c>
      <c r="B72" s="689">
        <v>3</v>
      </c>
      <c r="C72" s="689">
        <v>110</v>
      </c>
      <c r="D72" s="690"/>
      <c r="E72" s="690"/>
      <c r="F72" s="690"/>
      <c r="G72" s="690" t="str">
        <f>'Tên Tháng 1'!E233</f>
        <v>វ៉ន សុភី</v>
      </c>
      <c r="H72" s="690" t="str">
        <f>'Tên Tháng 1'!F233</f>
        <v>VORN SOPHY</v>
      </c>
      <c r="I72" s="693">
        <f>'CHAM CONG'!G239</f>
        <v>0</v>
      </c>
      <c r="J72" s="693" t="str">
        <f>'CHAM CONG'!H239</f>
        <v>x</v>
      </c>
      <c r="K72" s="693" t="str">
        <f>'CHAM CONG'!I239</f>
        <v>x</v>
      </c>
      <c r="L72" s="693">
        <f>'CHAM CONG'!J239</f>
        <v>0</v>
      </c>
      <c r="M72" s="693">
        <f>'CHAM CONG'!K239</f>
        <v>0</v>
      </c>
      <c r="N72" s="693" t="str">
        <f>'CHAM CONG'!L239</f>
        <v>x</v>
      </c>
      <c r="O72" s="693">
        <f>'CHAM CONG'!M239</f>
        <v>0</v>
      </c>
      <c r="P72" s="693" t="str">
        <f>'CHAM CONG'!N239</f>
        <v>x</v>
      </c>
      <c r="Q72" s="693" t="str">
        <f>'CHAM CONG'!O239</f>
        <v>x</v>
      </c>
      <c r="R72" s="693" t="str">
        <f>'CHAM CONG'!P239</f>
        <v>x</v>
      </c>
      <c r="S72" s="693" t="str">
        <f>'CHAM CONG'!Q239</f>
        <v>x</v>
      </c>
      <c r="T72" s="693" t="str">
        <f>'CHAM CONG'!R239</f>
        <v>x</v>
      </c>
      <c r="U72" s="693" t="str">
        <f>'CHAM CONG'!S239</f>
        <v>x</v>
      </c>
      <c r="V72" s="693">
        <f>'CHAM CONG'!T239</f>
        <v>0</v>
      </c>
      <c r="W72" s="693" t="str">
        <f>'CHAM CONG'!U239</f>
        <v>x</v>
      </c>
      <c r="X72" s="693"/>
      <c r="Y72" s="693"/>
      <c r="Z72" s="698">
        <f t="shared" si="3"/>
        <v>10</v>
      </c>
      <c r="AA72" s="699">
        <f t="shared" si="19"/>
        <v>0</v>
      </c>
      <c r="AB72" s="700">
        <f t="shared" si="4"/>
        <v>160000</v>
      </c>
      <c r="AC72" s="700">
        <f>'CHAM CONG'!V239</f>
        <v>0</v>
      </c>
      <c r="AD72" s="700">
        <f>'CHAM CONG'!X239</f>
        <v>0</v>
      </c>
      <c r="AE72" s="698">
        <f t="shared" si="5"/>
        <v>0</v>
      </c>
      <c r="AF72" s="700">
        <f t="shared" si="6"/>
        <v>0</v>
      </c>
      <c r="AG72" s="700">
        <f t="shared" si="7"/>
        <v>10</v>
      </c>
      <c r="AH72" s="537">
        <f t="shared" si="8"/>
        <v>10000</v>
      </c>
      <c r="AI72" s="700">
        <f t="shared" si="9"/>
        <v>170000</v>
      </c>
      <c r="AJ72" s="693">
        <f>'SAN LUONG'!AF240</f>
        <v>351</v>
      </c>
      <c r="AK72" s="693">
        <f>'SAN LUONG'!AG240</f>
        <v>296</v>
      </c>
      <c r="AL72" s="693">
        <f>'SAN LUONG'!AH240</f>
        <v>287</v>
      </c>
      <c r="AM72" s="702">
        <f t="shared" si="20"/>
        <v>934</v>
      </c>
      <c r="AN72" s="702">
        <f t="shared" si="21"/>
        <v>0</v>
      </c>
      <c r="AO72" s="702"/>
      <c r="AP72" s="702">
        <f t="shared" si="11"/>
        <v>228083</v>
      </c>
      <c r="AQ72" s="555"/>
      <c r="AR72" s="702">
        <f t="shared" si="12"/>
        <v>0</v>
      </c>
      <c r="AS72" s="555">
        <f t="shared" si="13"/>
        <v>398083</v>
      </c>
      <c r="AT72" s="706"/>
      <c r="AU72" s="706"/>
      <c r="AV72" s="706">
        <f>'CHAM CONG'!AZ243</f>
        <v>0</v>
      </c>
      <c r="AW72" s="706"/>
      <c r="AX72" s="562">
        <f t="shared" si="22"/>
        <v>398083</v>
      </c>
      <c r="AY72" s="707"/>
      <c r="AZ72" s="708">
        <f t="shared" si="14"/>
        <v>12.46</v>
      </c>
      <c r="BA72" s="709"/>
    </row>
    <row r="73" spans="1:53" s="683" customFormat="1" ht="48.6" customHeight="1">
      <c r="A73" s="688">
        <v>64</v>
      </c>
      <c r="B73" s="689">
        <v>3</v>
      </c>
      <c r="C73" s="689">
        <v>111</v>
      </c>
      <c r="D73" s="690"/>
      <c r="E73" s="690"/>
      <c r="F73" s="690"/>
      <c r="G73" s="690" t="str">
        <f>'Tên Tháng 1'!E234</f>
        <v>កោ វុទ្ធី</v>
      </c>
      <c r="H73" s="690" t="str">
        <f>'Tên Tháng 1'!F234</f>
        <v>KOR VUTHY</v>
      </c>
      <c r="I73" s="693">
        <f>'CHAM CONG'!G240</f>
        <v>0</v>
      </c>
      <c r="J73" s="693" t="str">
        <f>'CHAM CONG'!H240</f>
        <v>x</v>
      </c>
      <c r="K73" s="693" t="str">
        <f>'CHAM CONG'!I240</f>
        <v>x</v>
      </c>
      <c r="L73" s="693">
        <f>'CHAM CONG'!J240</f>
        <v>0</v>
      </c>
      <c r="M73" s="693">
        <f>'CHAM CONG'!K240</f>
        <v>0</v>
      </c>
      <c r="N73" s="693">
        <f>'CHAM CONG'!L240</f>
        <v>0</v>
      </c>
      <c r="O73" s="693" t="str">
        <f>'CHAM CONG'!M240</f>
        <v>x</v>
      </c>
      <c r="P73" s="693" t="str">
        <f>'CHAM CONG'!N240</f>
        <v>x</v>
      </c>
      <c r="Q73" s="693" t="str">
        <f>'CHAM CONG'!O240</f>
        <v>x</v>
      </c>
      <c r="R73" s="693" t="str">
        <f>'CHAM CONG'!P240</f>
        <v>x</v>
      </c>
      <c r="S73" s="693" t="str">
        <f>'CHAM CONG'!Q240</f>
        <v>x</v>
      </c>
      <c r="T73" s="693" t="str">
        <f>'CHAM CONG'!R240</f>
        <v>x</v>
      </c>
      <c r="U73" s="693" t="str">
        <f>'CHAM CONG'!S240</f>
        <v>x</v>
      </c>
      <c r="V73" s="693" t="str">
        <f>'CHAM CONG'!T240</f>
        <v>x</v>
      </c>
      <c r="W73" s="693" t="str">
        <f>'CHAM CONG'!U240</f>
        <v>x</v>
      </c>
      <c r="X73" s="693"/>
      <c r="Y73" s="693"/>
      <c r="Z73" s="698">
        <f t="shared" si="3"/>
        <v>11</v>
      </c>
      <c r="AA73" s="699">
        <f t="shared" si="19"/>
        <v>0</v>
      </c>
      <c r="AB73" s="700">
        <f t="shared" si="4"/>
        <v>176000</v>
      </c>
      <c r="AC73" s="700">
        <f>'CHAM CONG'!V240</f>
        <v>0</v>
      </c>
      <c r="AD73" s="700">
        <f>'CHAM CONG'!X240</f>
        <v>0</v>
      </c>
      <c r="AE73" s="698">
        <f t="shared" si="5"/>
        <v>0</v>
      </c>
      <c r="AF73" s="700">
        <f t="shared" si="6"/>
        <v>0</v>
      </c>
      <c r="AG73" s="700">
        <f t="shared" si="7"/>
        <v>11</v>
      </c>
      <c r="AH73" s="537">
        <f t="shared" si="8"/>
        <v>11000</v>
      </c>
      <c r="AI73" s="700">
        <f t="shared" si="9"/>
        <v>187000</v>
      </c>
      <c r="AJ73" s="693">
        <f>'SAN LUONG'!AF241</f>
        <v>360</v>
      </c>
      <c r="AK73" s="693">
        <f>'SAN LUONG'!AG241</f>
        <v>614</v>
      </c>
      <c r="AL73" s="693">
        <f>'SAN LUONG'!AH241</f>
        <v>130</v>
      </c>
      <c r="AM73" s="702">
        <f t="shared" si="20"/>
        <v>1104</v>
      </c>
      <c r="AN73" s="702">
        <f t="shared" si="21"/>
        <v>0</v>
      </c>
      <c r="AO73" s="702"/>
      <c r="AP73" s="702">
        <f t="shared" si="11"/>
        <v>269597</v>
      </c>
      <c r="AQ73" s="555"/>
      <c r="AR73" s="702">
        <f t="shared" si="12"/>
        <v>0</v>
      </c>
      <c r="AS73" s="555">
        <f t="shared" si="13"/>
        <v>456597</v>
      </c>
      <c r="AT73" s="706"/>
      <c r="AU73" s="706"/>
      <c r="AV73" s="706">
        <f>'CHAM CONG'!AZ244</f>
        <v>0</v>
      </c>
      <c r="AW73" s="706"/>
      <c r="AX73" s="562">
        <f t="shared" si="22"/>
        <v>456597</v>
      </c>
      <c r="AY73" s="707"/>
      <c r="AZ73" s="708">
        <f t="shared" si="14"/>
        <v>14.29</v>
      </c>
      <c r="BA73" s="709"/>
    </row>
    <row r="74" spans="1:53" s="683" customFormat="1" ht="48.6" customHeight="1">
      <c r="A74" s="688">
        <v>65</v>
      </c>
      <c r="B74" s="689">
        <v>3</v>
      </c>
      <c r="C74" s="689">
        <v>112</v>
      </c>
      <c r="D74" s="690"/>
      <c r="E74" s="690"/>
      <c r="F74" s="690"/>
      <c r="G74" s="690" t="str">
        <f>'Tên Tháng 1'!E235</f>
        <v>ហាយ សុភី</v>
      </c>
      <c r="H74" s="690" t="str">
        <f>'Tên Tháng 1'!F235</f>
        <v>HAY SOPHY</v>
      </c>
      <c r="I74" s="693">
        <f>'CHAM CONG'!G241</f>
        <v>0</v>
      </c>
      <c r="J74" s="693" t="str">
        <f>'CHAM CONG'!H241</f>
        <v>x</v>
      </c>
      <c r="K74" s="693" t="str">
        <f>'CHAM CONG'!I241</f>
        <v>x</v>
      </c>
      <c r="L74" s="693">
        <f>'CHAM CONG'!J241</f>
        <v>0</v>
      </c>
      <c r="M74" s="693">
        <f>'CHAM CONG'!K241</f>
        <v>0</v>
      </c>
      <c r="N74" s="693">
        <f>'CHAM CONG'!L241</f>
        <v>0</v>
      </c>
      <c r="O74" s="693" t="str">
        <f>'CHAM CONG'!M241</f>
        <v>x</v>
      </c>
      <c r="P74" s="693" t="str">
        <f>'CHAM CONG'!N241</f>
        <v>x</v>
      </c>
      <c r="Q74" s="693" t="str">
        <f>'CHAM CONG'!O241</f>
        <v>x</v>
      </c>
      <c r="R74" s="693" t="str">
        <f>'CHAM CONG'!P241</f>
        <v>x</v>
      </c>
      <c r="S74" s="693" t="str">
        <f>'CHAM CONG'!Q241</f>
        <v>x</v>
      </c>
      <c r="T74" s="693" t="str">
        <f>'CHAM CONG'!R241</f>
        <v>x</v>
      </c>
      <c r="U74" s="693" t="str">
        <f>'CHAM CONG'!S241</f>
        <v>x</v>
      </c>
      <c r="V74" s="693" t="str">
        <f>'CHAM CONG'!T241</f>
        <v>x</v>
      </c>
      <c r="W74" s="693" t="str">
        <f>'CHAM CONG'!U241</f>
        <v>x</v>
      </c>
      <c r="X74" s="693"/>
      <c r="Y74" s="693"/>
      <c r="Z74" s="698">
        <f t="shared" si="3"/>
        <v>11</v>
      </c>
      <c r="AA74" s="699">
        <f t="shared" si="19"/>
        <v>0</v>
      </c>
      <c r="AB74" s="700">
        <f t="shared" si="4"/>
        <v>176000</v>
      </c>
      <c r="AC74" s="700">
        <f>'CHAM CONG'!V241</f>
        <v>0</v>
      </c>
      <c r="AD74" s="700">
        <f>'CHAM CONG'!X241</f>
        <v>0</v>
      </c>
      <c r="AE74" s="698">
        <f t="shared" si="5"/>
        <v>0</v>
      </c>
      <c r="AF74" s="700">
        <f t="shared" si="6"/>
        <v>0</v>
      </c>
      <c r="AG74" s="700">
        <f t="shared" si="7"/>
        <v>11</v>
      </c>
      <c r="AH74" s="537">
        <f t="shared" si="8"/>
        <v>11000</v>
      </c>
      <c r="AI74" s="700">
        <f t="shared" si="9"/>
        <v>187000</v>
      </c>
      <c r="AJ74" s="693">
        <f>'SAN LUONG'!AF242</f>
        <v>380</v>
      </c>
      <c r="AK74" s="693">
        <f>'SAN LUONG'!AG242</f>
        <v>611</v>
      </c>
      <c r="AL74" s="693">
        <f>'SAN LUONG'!AH242</f>
        <v>129</v>
      </c>
      <c r="AM74" s="702">
        <f t="shared" si="20"/>
        <v>1120</v>
      </c>
      <c r="AN74" s="702">
        <f t="shared" si="21"/>
        <v>0</v>
      </c>
      <c r="AO74" s="702"/>
      <c r="AP74" s="702">
        <f t="shared" si="11"/>
        <v>273504</v>
      </c>
      <c r="AQ74" s="555"/>
      <c r="AR74" s="702">
        <f t="shared" si="12"/>
        <v>0</v>
      </c>
      <c r="AS74" s="555">
        <f t="shared" si="13"/>
        <v>460504</v>
      </c>
      <c r="AT74" s="706"/>
      <c r="AU74" s="706"/>
      <c r="AV74" s="706">
        <f>'CHAM CONG'!AZ245</f>
        <v>0</v>
      </c>
      <c r="AW74" s="706"/>
      <c r="AX74" s="562">
        <f t="shared" si="22"/>
        <v>460504</v>
      </c>
      <c r="AY74" s="707"/>
      <c r="AZ74" s="708">
        <f t="shared" si="14"/>
        <v>14.41</v>
      </c>
      <c r="BA74" s="709"/>
    </row>
    <row r="75" spans="1:53" s="683" customFormat="1" ht="48.6" customHeight="1">
      <c r="A75" s="688">
        <v>66</v>
      </c>
      <c r="B75" s="689">
        <v>3</v>
      </c>
      <c r="C75" s="689">
        <v>113</v>
      </c>
      <c r="D75" s="690"/>
      <c r="E75" s="690"/>
      <c r="F75" s="690"/>
      <c r="G75" s="690" t="str">
        <f>'Tên Tháng 1'!E236</f>
        <v>សែ ពីពី</v>
      </c>
      <c r="H75" s="690" t="str">
        <f>'Tên Tháng 1'!F236</f>
        <v>SE PIPY</v>
      </c>
      <c r="I75" s="693" t="str">
        <f>'CHAM CONG'!G242</f>
        <v>x</v>
      </c>
      <c r="J75" s="693" t="str">
        <f>'CHAM CONG'!H242</f>
        <v>x</v>
      </c>
      <c r="K75" s="693" t="str">
        <f>'CHAM CONG'!I242</f>
        <v>x</v>
      </c>
      <c r="L75" s="693">
        <f>'CHAM CONG'!J242</f>
        <v>0</v>
      </c>
      <c r="M75" s="693">
        <f>'CHAM CONG'!K242</f>
        <v>0</v>
      </c>
      <c r="N75" s="693" t="str">
        <f>'CHAM CONG'!L242</f>
        <v>x</v>
      </c>
      <c r="O75" s="693" t="str">
        <f>'CHAM CONG'!M242</f>
        <v>x</v>
      </c>
      <c r="P75" s="693" t="str">
        <f>'CHAM CONG'!N242</f>
        <v>x</v>
      </c>
      <c r="Q75" s="693" t="str">
        <f>'CHAM CONG'!O242</f>
        <v>x</v>
      </c>
      <c r="R75" s="693" t="str">
        <f>'CHAM CONG'!P242</f>
        <v>x</v>
      </c>
      <c r="S75" s="693">
        <f>'CHAM CONG'!Q242</f>
        <v>0</v>
      </c>
      <c r="T75" s="693" t="str">
        <f>'CHAM CONG'!R242</f>
        <v>x</v>
      </c>
      <c r="U75" s="693" t="str">
        <f>'CHAM CONG'!S242</f>
        <v>x</v>
      </c>
      <c r="V75" s="693" t="str">
        <f>'CHAM CONG'!T242</f>
        <v>x</v>
      </c>
      <c r="W75" s="693">
        <f>'CHAM CONG'!U242</f>
        <v>0</v>
      </c>
      <c r="X75" s="693"/>
      <c r="Y75" s="693"/>
      <c r="Z75" s="698">
        <f t="shared" ref="Z75:Z138" si="23">COUNTIF(I75:W75,"X")</f>
        <v>11</v>
      </c>
      <c r="AA75" s="699">
        <f t="shared" si="19"/>
        <v>0</v>
      </c>
      <c r="AB75" s="700">
        <f t="shared" ref="AB75:AB138" si="24">ROUND(Z75*$AB$8,0)</f>
        <v>176000</v>
      </c>
      <c r="AC75" s="700">
        <f>'CHAM CONG'!V242</f>
        <v>0</v>
      </c>
      <c r="AD75" s="700">
        <f>'CHAM CONG'!X242</f>
        <v>0</v>
      </c>
      <c r="AE75" s="698">
        <f t="shared" ref="AE75:AE138" si="25">COUNTIF(AC75:AD75,"X")</f>
        <v>0</v>
      </c>
      <c r="AF75" s="700">
        <f t="shared" ref="AF75:AF138" si="26">AE75*$AF$8</f>
        <v>0</v>
      </c>
      <c r="AG75" s="700">
        <f t="shared" ref="AG75:AG138" si="27">Z75</f>
        <v>11</v>
      </c>
      <c r="AH75" s="537">
        <f t="shared" ref="AH75:AH138" si="28">ROUND(AG75*$AH$8,0)</f>
        <v>11000</v>
      </c>
      <c r="AI75" s="700">
        <f t="shared" ref="AI75:AI138" si="29">AB75+AH75+AF75</f>
        <v>187000</v>
      </c>
      <c r="AJ75" s="693">
        <f>'SAN LUONG'!AF243</f>
        <v>375</v>
      </c>
      <c r="AK75" s="693">
        <f>'SAN LUONG'!AG243</f>
        <v>270</v>
      </c>
      <c r="AL75" s="693">
        <f>'SAN LUONG'!AH243</f>
        <v>361</v>
      </c>
      <c r="AM75" s="702">
        <f t="shared" si="20"/>
        <v>1006</v>
      </c>
      <c r="AN75" s="702">
        <f t="shared" si="21"/>
        <v>0</v>
      </c>
      <c r="AO75" s="702"/>
      <c r="AP75" s="702">
        <f t="shared" ref="AP75:AP138" si="30">ROUND(AM75*0.44*$AP$8,0)</f>
        <v>245665</v>
      </c>
      <c r="AQ75" s="555"/>
      <c r="AR75" s="702">
        <f t="shared" ref="AR75:AR138" si="31">ROUND(AQ75*0.44*$AR$8,0)</f>
        <v>0</v>
      </c>
      <c r="AS75" s="555">
        <f t="shared" ref="AS75:AS138" si="32">AI75+AP75+AR75</f>
        <v>432665</v>
      </c>
      <c r="AT75" s="706"/>
      <c r="AU75" s="706"/>
      <c r="AV75" s="706">
        <f>'CHAM CONG'!AZ246</f>
        <v>0</v>
      </c>
      <c r="AW75" s="706"/>
      <c r="AX75" s="562">
        <f t="shared" si="22"/>
        <v>432665</v>
      </c>
      <c r="AY75" s="707"/>
      <c r="AZ75" s="708">
        <f t="shared" ref="AZ75:AZ138" si="33">ROUND(AS75/31947,2)</f>
        <v>13.54</v>
      </c>
      <c r="BA75" s="709"/>
    </row>
    <row r="76" spans="1:53" s="683" customFormat="1" ht="48.6" customHeight="1">
      <c r="A76" s="688">
        <v>67</v>
      </c>
      <c r="B76" s="689">
        <v>3</v>
      </c>
      <c r="C76" s="689">
        <v>114</v>
      </c>
      <c r="D76" s="690"/>
      <c r="E76" s="690"/>
      <c r="F76" s="690"/>
      <c r="G76" s="690" t="str">
        <f>'Tên Tháng 1'!E237</f>
        <v>ឈីវ ភាត</v>
      </c>
      <c r="H76" s="690" t="str">
        <f>'Tên Tháng 1'!F237</f>
        <v>CHHIV PHEAT</v>
      </c>
      <c r="I76" s="693" t="str">
        <f>'CHAM CONG'!G243</f>
        <v>x</v>
      </c>
      <c r="J76" s="693" t="str">
        <f>'CHAM CONG'!H243</f>
        <v>x</v>
      </c>
      <c r="K76" s="693" t="str">
        <f>'CHAM CONG'!I243</f>
        <v>x</v>
      </c>
      <c r="L76" s="693">
        <f>'CHAM CONG'!J243</f>
        <v>0</v>
      </c>
      <c r="M76" s="693">
        <f>'CHAM CONG'!K243</f>
        <v>0</v>
      </c>
      <c r="N76" s="693">
        <f>'CHAM CONG'!L243</f>
        <v>0</v>
      </c>
      <c r="O76" s="693" t="str">
        <f>'CHAM CONG'!M243</f>
        <v>x</v>
      </c>
      <c r="P76" s="693" t="str">
        <f>'CHAM CONG'!N243</f>
        <v>x</v>
      </c>
      <c r="Q76" s="693" t="str">
        <f>'CHAM CONG'!O243</f>
        <v>x</v>
      </c>
      <c r="R76" s="693" t="str">
        <f>'CHAM CONG'!P243</f>
        <v>x</v>
      </c>
      <c r="S76" s="693" t="str">
        <f>'CHAM CONG'!Q243</f>
        <v>x</v>
      </c>
      <c r="T76" s="693" t="str">
        <f>'CHAM CONG'!R243</f>
        <v>x</v>
      </c>
      <c r="U76" s="693" t="str">
        <f>'CHAM CONG'!S243</f>
        <v>x</v>
      </c>
      <c r="V76" s="693" t="str">
        <f>'CHAM CONG'!T243</f>
        <v>x</v>
      </c>
      <c r="W76" s="693" t="str">
        <f>'CHAM CONG'!U243</f>
        <v>x</v>
      </c>
      <c r="X76" s="693"/>
      <c r="Y76" s="693"/>
      <c r="Z76" s="698">
        <f t="shared" si="23"/>
        <v>12</v>
      </c>
      <c r="AA76" s="699">
        <f t="shared" si="19"/>
        <v>0</v>
      </c>
      <c r="AB76" s="700">
        <f t="shared" si="24"/>
        <v>192000</v>
      </c>
      <c r="AC76" s="700" t="str">
        <f>'CHAM CONG'!V243</f>
        <v>x</v>
      </c>
      <c r="AD76" s="700">
        <f>'CHAM CONG'!X243</f>
        <v>0</v>
      </c>
      <c r="AE76" s="698">
        <f t="shared" si="25"/>
        <v>1</v>
      </c>
      <c r="AF76" s="700">
        <f t="shared" si="26"/>
        <v>17000</v>
      </c>
      <c r="AG76" s="700">
        <f t="shared" si="27"/>
        <v>12</v>
      </c>
      <c r="AH76" s="537">
        <f t="shared" si="28"/>
        <v>12000</v>
      </c>
      <c r="AI76" s="700">
        <f t="shared" si="29"/>
        <v>221000</v>
      </c>
      <c r="AJ76" s="693">
        <f>'SAN LUONG'!AF244</f>
        <v>525</v>
      </c>
      <c r="AK76" s="693">
        <f>'SAN LUONG'!AG244</f>
        <v>404</v>
      </c>
      <c r="AL76" s="693">
        <f>'SAN LUONG'!AH244</f>
        <v>116</v>
      </c>
      <c r="AM76" s="702">
        <f t="shared" si="20"/>
        <v>1045</v>
      </c>
      <c r="AN76" s="702">
        <f t="shared" si="21"/>
        <v>0</v>
      </c>
      <c r="AO76" s="702"/>
      <c r="AP76" s="702">
        <f t="shared" si="30"/>
        <v>255189</v>
      </c>
      <c r="AQ76" s="555"/>
      <c r="AR76" s="702">
        <f t="shared" si="31"/>
        <v>0</v>
      </c>
      <c r="AS76" s="555">
        <f t="shared" si="32"/>
        <v>476189</v>
      </c>
      <c r="AT76" s="706"/>
      <c r="AU76" s="706"/>
      <c r="AV76" s="706">
        <f>'CHAM CONG'!AZ247</f>
        <v>0</v>
      </c>
      <c r="AW76" s="706"/>
      <c r="AX76" s="562">
        <f t="shared" si="22"/>
        <v>476189</v>
      </c>
      <c r="AY76" s="707"/>
      <c r="AZ76" s="708">
        <f t="shared" si="33"/>
        <v>14.91</v>
      </c>
      <c r="BA76" s="709"/>
    </row>
    <row r="77" spans="1:53" s="683" customFormat="1" ht="48.6" customHeight="1">
      <c r="A77" s="688">
        <v>68</v>
      </c>
      <c r="B77" s="689">
        <v>3</v>
      </c>
      <c r="C77" s="689">
        <v>115</v>
      </c>
      <c r="D77" s="690"/>
      <c r="E77" s="690"/>
      <c r="F77" s="690"/>
      <c r="G77" s="690" t="str">
        <f>'Tên Tháng 1'!E238</f>
        <v>សុខ ណេ</v>
      </c>
      <c r="H77" s="690" t="str">
        <f>'Tên Tháng 1'!F238</f>
        <v>SOK NE</v>
      </c>
      <c r="I77" s="693" t="str">
        <f>'CHAM CONG'!G244</f>
        <v>x</v>
      </c>
      <c r="J77" s="693" t="str">
        <f>'CHAM CONG'!H244</f>
        <v>x</v>
      </c>
      <c r="K77" s="693" t="str">
        <f>'CHAM CONG'!I244</f>
        <v>x</v>
      </c>
      <c r="L77" s="693">
        <f>'CHAM CONG'!J244</f>
        <v>0</v>
      </c>
      <c r="M77" s="693" t="str">
        <f>'CHAM CONG'!K244</f>
        <v>x</v>
      </c>
      <c r="N77" s="693" t="str">
        <f>'CHAM CONG'!L244</f>
        <v>x</v>
      </c>
      <c r="O77" s="693">
        <f>'CHAM CONG'!M244</f>
        <v>0</v>
      </c>
      <c r="P77" s="693" t="str">
        <f>'CHAM CONG'!N244</f>
        <v>x</v>
      </c>
      <c r="Q77" s="693" t="str">
        <f>'CHAM CONG'!O244</f>
        <v>x</v>
      </c>
      <c r="R77" s="693" t="str">
        <f>'CHAM CONG'!P244</f>
        <v>x</v>
      </c>
      <c r="S77" s="693" t="str">
        <f>'CHAM CONG'!Q244</f>
        <v>x</v>
      </c>
      <c r="T77" s="693" t="str">
        <f>'CHAM CONG'!R244</f>
        <v>x</v>
      </c>
      <c r="U77" s="693" t="str">
        <f>'CHAM CONG'!S244</f>
        <v>x</v>
      </c>
      <c r="V77" s="693" t="str">
        <f>'CHAM CONG'!T244</f>
        <v>x</v>
      </c>
      <c r="W77" s="693" t="str">
        <f>'CHAM CONG'!U244</f>
        <v>x</v>
      </c>
      <c r="X77" s="693"/>
      <c r="Y77" s="693"/>
      <c r="Z77" s="698">
        <f t="shared" si="23"/>
        <v>13</v>
      </c>
      <c r="AA77" s="699">
        <f t="shared" si="19"/>
        <v>0</v>
      </c>
      <c r="AB77" s="700">
        <f t="shared" si="24"/>
        <v>208000</v>
      </c>
      <c r="AC77" s="700">
        <f>'CHAM CONG'!V244</f>
        <v>0</v>
      </c>
      <c r="AD77" s="700">
        <f>'CHAM CONG'!X244</f>
        <v>0</v>
      </c>
      <c r="AE77" s="698">
        <f t="shared" si="25"/>
        <v>0</v>
      </c>
      <c r="AF77" s="700">
        <f t="shared" si="26"/>
        <v>0</v>
      </c>
      <c r="AG77" s="700">
        <f t="shared" si="27"/>
        <v>13</v>
      </c>
      <c r="AH77" s="537">
        <f t="shared" si="28"/>
        <v>13000</v>
      </c>
      <c r="AI77" s="700">
        <f t="shared" si="29"/>
        <v>221000</v>
      </c>
      <c r="AJ77" s="693">
        <f>'SAN LUONG'!AF245</f>
        <v>306</v>
      </c>
      <c r="AK77" s="693">
        <f>'SAN LUONG'!AG245</f>
        <v>448</v>
      </c>
      <c r="AL77" s="693">
        <f>'SAN LUONG'!AH245</f>
        <v>411</v>
      </c>
      <c r="AM77" s="702">
        <f t="shared" si="20"/>
        <v>1165</v>
      </c>
      <c r="AN77" s="702">
        <f t="shared" si="21"/>
        <v>0</v>
      </c>
      <c r="AO77" s="702"/>
      <c r="AP77" s="702">
        <f t="shared" si="30"/>
        <v>284493</v>
      </c>
      <c r="AQ77" s="555"/>
      <c r="AR77" s="702">
        <f t="shared" si="31"/>
        <v>0</v>
      </c>
      <c r="AS77" s="555">
        <f t="shared" si="32"/>
        <v>505493</v>
      </c>
      <c r="AT77" s="706"/>
      <c r="AU77" s="706"/>
      <c r="AV77" s="706">
        <f>'CHAM CONG'!AZ248</f>
        <v>0</v>
      </c>
      <c r="AW77" s="706"/>
      <c r="AX77" s="562">
        <f t="shared" si="22"/>
        <v>505493</v>
      </c>
      <c r="AY77" s="707"/>
      <c r="AZ77" s="708">
        <f t="shared" si="33"/>
        <v>15.82</v>
      </c>
      <c r="BA77" s="709"/>
    </row>
    <row r="78" spans="1:53" s="683" customFormat="1" ht="48.6" customHeight="1">
      <c r="A78" s="688">
        <v>69</v>
      </c>
      <c r="B78" s="689">
        <v>3</v>
      </c>
      <c r="C78" s="689">
        <v>116</v>
      </c>
      <c r="D78" s="690"/>
      <c r="E78" s="690"/>
      <c r="F78" s="690"/>
      <c r="G78" s="690" t="str">
        <f>'Tên Tháng 1'!E239</f>
        <v>កាន់ សុគីន</v>
      </c>
      <c r="H78" s="690" t="str">
        <f>'Tên Tháng 1'!F239</f>
        <v>KAN SOKIN</v>
      </c>
      <c r="I78" s="693" t="str">
        <f>'CHAM CONG'!G245</f>
        <v>x</v>
      </c>
      <c r="J78" s="693" t="str">
        <f>'CHAM CONG'!H245</f>
        <v>x</v>
      </c>
      <c r="K78" s="693" t="str">
        <f>'CHAM CONG'!I245</f>
        <v>x</v>
      </c>
      <c r="L78" s="693">
        <f>'CHAM CONG'!J245</f>
        <v>0</v>
      </c>
      <c r="M78" s="693" t="str">
        <f>'CHAM CONG'!K245</f>
        <v>x</v>
      </c>
      <c r="N78" s="693" t="str">
        <f>'CHAM CONG'!L245</f>
        <v>x</v>
      </c>
      <c r="O78" s="693">
        <f>'CHAM CONG'!M245</f>
        <v>0</v>
      </c>
      <c r="P78" s="693" t="str">
        <f>'CHAM CONG'!N245</f>
        <v>x</v>
      </c>
      <c r="Q78" s="693" t="str">
        <f>'CHAM CONG'!O245</f>
        <v>x</v>
      </c>
      <c r="R78" s="693" t="str">
        <f>'CHAM CONG'!P245</f>
        <v>x</v>
      </c>
      <c r="S78" s="693" t="str">
        <f>'CHAM CONG'!Q245</f>
        <v>x</v>
      </c>
      <c r="T78" s="693" t="str">
        <f>'CHAM CONG'!R245</f>
        <v>x</v>
      </c>
      <c r="U78" s="693" t="str">
        <f>'CHAM CONG'!S245</f>
        <v>x</v>
      </c>
      <c r="V78" s="693" t="str">
        <f>'CHAM CONG'!T245</f>
        <v>x</v>
      </c>
      <c r="W78" s="693" t="str">
        <f>'CHAM CONG'!U245</f>
        <v>x</v>
      </c>
      <c r="X78" s="693"/>
      <c r="Y78" s="693"/>
      <c r="Z78" s="698">
        <f t="shared" si="23"/>
        <v>13</v>
      </c>
      <c r="AA78" s="699">
        <f t="shared" si="19"/>
        <v>0</v>
      </c>
      <c r="AB78" s="700">
        <f t="shared" si="24"/>
        <v>208000</v>
      </c>
      <c r="AC78" s="700">
        <f>'CHAM CONG'!V245</f>
        <v>0</v>
      </c>
      <c r="AD78" s="700">
        <f>'CHAM CONG'!X245</f>
        <v>0</v>
      </c>
      <c r="AE78" s="698">
        <f t="shared" si="25"/>
        <v>0</v>
      </c>
      <c r="AF78" s="700">
        <f t="shared" si="26"/>
        <v>0</v>
      </c>
      <c r="AG78" s="700">
        <f t="shared" si="27"/>
        <v>13</v>
      </c>
      <c r="AH78" s="537">
        <f t="shared" si="28"/>
        <v>13000</v>
      </c>
      <c r="AI78" s="700">
        <f t="shared" si="29"/>
        <v>221000</v>
      </c>
      <c r="AJ78" s="693">
        <f>'SAN LUONG'!AF246</f>
        <v>303</v>
      </c>
      <c r="AK78" s="693">
        <f>'SAN LUONG'!AG246</f>
        <v>413</v>
      </c>
      <c r="AL78" s="693">
        <f>'SAN LUONG'!AH246</f>
        <v>411</v>
      </c>
      <c r="AM78" s="702">
        <f t="shared" si="20"/>
        <v>1127</v>
      </c>
      <c r="AN78" s="702">
        <f t="shared" si="21"/>
        <v>0</v>
      </c>
      <c r="AO78" s="702"/>
      <c r="AP78" s="702">
        <f t="shared" si="30"/>
        <v>275213</v>
      </c>
      <c r="AQ78" s="555"/>
      <c r="AR78" s="702">
        <f t="shared" si="31"/>
        <v>0</v>
      </c>
      <c r="AS78" s="555">
        <f t="shared" si="32"/>
        <v>496213</v>
      </c>
      <c r="AT78" s="706"/>
      <c r="AU78" s="706"/>
      <c r="AV78" s="706">
        <f>'CHAM CONG'!AZ249</f>
        <v>0</v>
      </c>
      <c r="AW78" s="706"/>
      <c r="AX78" s="562">
        <f t="shared" si="22"/>
        <v>496213</v>
      </c>
      <c r="AY78" s="707"/>
      <c r="AZ78" s="708">
        <f t="shared" si="33"/>
        <v>15.53</v>
      </c>
      <c r="BA78" s="709"/>
    </row>
    <row r="79" spans="1:53" s="683" customFormat="1" ht="48.6" customHeight="1">
      <c r="A79" s="688">
        <v>70</v>
      </c>
      <c r="B79" s="689">
        <v>3</v>
      </c>
      <c r="C79" s="689">
        <v>117</v>
      </c>
      <c r="D79" s="690"/>
      <c r="E79" s="690"/>
      <c r="F79" s="690"/>
      <c r="G79" s="690" t="str">
        <f>'Tên Tháng 1'!E240</f>
        <v>ដែង តូច</v>
      </c>
      <c r="H79" s="690" t="str">
        <f>'Tên Tháng 1'!F240</f>
        <v>DENG TOUCH</v>
      </c>
      <c r="I79" s="693" t="str">
        <f>'CHAM CONG'!G246</f>
        <v>x</v>
      </c>
      <c r="J79" s="693" t="str">
        <f>'CHAM CONG'!H246</f>
        <v>x</v>
      </c>
      <c r="K79" s="693" t="str">
        <f>'CHAM CONG'!I246</f>
        <v>x</v>
      </c>
      <c r="L79" s="693">
        <f>'CHAM CONG'!J246</f>
        <v>0</v>
      </c>
      <c r="M79" s="693">
        <f>'CHAM CONG'!K246</f>
        <v>0</v>
      </c>
      <c r="N79" s="693" t="str">
        <f>'CHAM CONG'!L246</f>
        <v>x</v>
      </c>
      <c r="O79" s="693" t="str">
        <f>'CHAM CONG'!M246</f>
        <v>x</v>
      </c>
      <c r="P79" s="693" t="str">
        <f>'CHAM CONG'!N246</f>
        <v>x</v>
      </c>
      <c r="Q79" s="693" t="str">
        <f>'CHAM CONG'!O246</f>
        <v>x</v>
      </c>
      <c r="R79" s="693" t="str">
        <f>'CHAM CONG'!P246</f>
        <v>x</v>
      </c>
      <c r="S79" s="693" t="str">
        <f>'CHAM CONG'!Q246</f>
        <v>x</v>
      </c>
      <c r="T79" s="693" t="str">
        <f>'CHAM CONG'!R246</f>
        <v>x</v>
      </c>
      <c r="U79" s="693" t="str">
        <f>'CHAM CONG'!S246</f>
        <v>x</v>
      </c>
      <c r="V79" s="693" t="str">
        <f>'CHAM CONG'!T246</f>
        <v>x</v>
      </c>
      <c r="W79" s="693" t="str">
        <f>'CHAM CONG'!U246</f>
        <v>x</v>
      </c>
      <c r="X79" s="693"/>
      <c r="Y79" s="693"/>
      <c r="Z79" s="698">
        <f t="shared" si="23"/>
        <v>13</v>
      </c>
      <c r="AA79" s="699">
        <f t="shared" si="19"/>
        <v>0</v>
      </c>
      <c r="AB79" s="700">
        <f t="shared" si="24"/>
        <v>208000</v>
      </c>
      <c r="AC79" s="700" t="str">
        <f>'CHAM CONG'!V246</f>
        <v>x</v>
      </c>
      <c r="AD79" s="700">
        <f>'CHAM CONG'!X246</f>
        <v>0</v>
      </c>
      <c r="AE79" s="698">
        <f t="shared" si="25"/>
        <v>1</v>
      </c>
      <c r="AF79" s="700">
        <f t="shared" si="26"/>
        <v>17000</v>
      </c>
      <c r="AG79" s="700">
        <f t="shared" si="27"/>
        <v>13</v>
      </c>
      <c r="AH79" s="537">
        <f t="shared" si="28"/>
        <v>13000</v>
      </c>
      <c r="AI79" s="700">
        <f t="shared" si="29"/>
        <v>238000</v>
      </c>
      <c r="AJ79" s="693">
        <f>'SAN LUONG'!AF247</f>
        <v>421</v>
      </c>
      <c r="AK79" s="693">
        <f>'SAN LUONG'!AG247</f>
        <v>325</v>
      </c>
      <c r="AL79" s="693">
        <f>'SAN LUONG'!AH247</f>
        <v>437</v>
      </c>
      <c r="AM79" s="702">
        <f t="shared" si="20"/>
        <v>1183</v>
      </c>
      <c r="AN79" s="702">
        <f t="shared" si="21"/>
        <v>0</v>
      </c>
      <c r="AO79" s="702"/>
      <c r="AP79" s="702">
        <f t="shared" si="30"/>
        <v>288889</v>
      </c>
      <c r="AQ79" s="555"/>
      <c r="AR79" s="702">
        <f t="shared" si="31"/>
        <v>0</v>
      </c>
      <c r="AS79" s="555">
        <f t="shared" si="32"/>
        <v>526889</v>
      </c>
      <c r="AT79" s="706"/>
      <c r="AU79" s="706"/>
      <c r="AV79" s="706">
        <f>'CHAM CONG'!AZ250</f>
        <v>0</v>
      </c>
      <c r="AW79" s="706"/>
      <c r="AX79" s="562">
        <f t="shared" si="22"/>
        <v>526889</v>
      </c>
      <c r="AY79" s="707"/>
      <c r="AZ79" s="708">
        <f t="shared" si="33"/>
        <v>16.489999999999998</v>
      </c>
      <c r="BA79" s="709"/>
    </row>
    <row r="80" spans="1:53" s="683" customFormat="1" ht="48.6" customHeight="1">
      <c r="A80" s="688">
        <v>71</v>
      </c>
      <c r="B80" s="689">
        <v>3</v>
      </c>
      <c r="C80" s="689">
        <v>118</v>
      </c>
      <c r="D80" s="690"/>
      <c r="E80" s="690"/>
      <c r="F80" s="690"/>
      <c r="G80" s="690" t="str">
        <f>'Tên Tháng 1'!E241</f>
        <v>ហេត គឹមលីង</v>
      </c>
      <c r="H80" s="690" t="str">
        <f>'Tên Tháng 1'!F241</f>
        <v>HET KIMLING</v>
      </c>
      <c r="I80" s="693" t="str">
        <f>'CHAM CONG'!G247</f>
        <v>x</v>
      </c>
      <c r="J80" s="693" t="str">
        <f>'CHAM CONG'!H247</f>
        <v>x</v>
      </c>
      <c r="K80" s="693" t="str">
        <f>'CHAM CONG'!I247</f>
        <v>x</v>
      </c>
      <c r="L80" s="693">
        <f>'CHAM CONG'!J247</f>
        <v>0</v>
      </c>
      <c r="M80" s="693" t="str">
        <f>'CHAM CONG'!K247</f>
        <v>x</v>
      </c>
      <c r="N80" s="693" t="str">
        <f>'CHAM CONG'!L247</f>
        <v>x</v>
      </c>
      <c r="O80" s="693">
        <f>'CHAM CONG'!M247</f>
        <v>0</v>
      </c>
      <c r="P80" s="693" t="str">
        <f>'CHAM CONG'!N247</f>
        <v>x</v>
      </c>
      <c r="Q80" s="693" t="str">
        <f>'CHAM CONG'!O247</f>
        <v>x</v>
      </c>
      <c r="R80" s="693">
        <f>'CHAM CONG'!P247</f>
        <v>0</v>
      </c>
      <c r="S80" s="693" t="str">
        <f>'CHAM CONG'!Q247</f>
        <v>x</v>
      </c>
      <c r="T80" s="693" t="str">
        <f>'CHAM CONG'!R247</f>
        <v>x</v>
      </c>
      <c r="U80" s="693" t="str">
        <f>'CHAM CONG'!S247</f>
        <v>x</v>
      </c>
      <c r="V80" s="693" t="str">
        <f>'CHAM CONG'!T247</f>
        <v>x</v>
      </c>
      <c r="W80" s="693" t="str">
        <f>'CHAM CONG'!U247</f>
        <v>x</v>
      </c>
      <c r="X80" s="693"/>
      <c r="Y80" s="693"/>
      <c r="Z80" s="698">
        <f t="shared" si="23"/>
        <v>12</v>
      </c>
      <c r="AA80" s="699">
        <f t="shared" si="19"/>
        <v>0</v>
      </c>
      <c r="AB80" s="700">
        <f t="shared" si="24"/>
        <v>192000</v>
      </c>
      <c r="AC80" s="700">
        <f>'CHAM CONG'!V247</f>
        <v>0</v>
      </c>
      <c r="AD80" s="700" t="str">
        <f>'CHAM CONG'!X247</f>
        <v>x</v>
      </c>
      <c r="AE80" s="698">
        <f t="shared" si="25"/>
        <v>1</v>
      </c>
      <c r="AF80" s="700">
        <f t="shared" si="26"/>
        <v>17000</v>
      </c>
      <c r="AG80" s="700">
        <f t="shared" si="27"/>
        <v>12</v>
      </c>
      <c r="AH80" s="537">
        <f t="shared" si="28"/>
        <v>12000</v>
      </c>
      <c r="AI80" s="700">
        <f t="shared" si="29"/>
        <v>221000</v>
      </c>
      <c r="AJ80" s="693">
        <f>'SAN LUONG'!AF248</f>
        <v>97</v>
      </c>
      <c r="AK80" s="693">
        <f>'SAN LUONG'!AG248</f>
        <v>437</v>
      </c>
      <c r="AL80" s="693">
        <f>'SAN LUONG'!AH248</f>
        <v>423</v>
      </c>
      <c r="AM80" s="702">
        <f t="shared" si="20"/>
        <v>957</v>
      </c>
      <c r="AN80" s="702">
        <f t="shared" si="21"/>
        <v>0</v>
      </c>
      <c r="AO80" s="702"/>
      <c r="AP80" s="702">
        <f t="shared" si="30"/>
        <v>233699</v>
      </c>
      <c r="AQ80" s="555"/>
      <c r="AR80" s="702">
        <f t="shared" si="31"/>
        <v>0</v>
      </c>
      <c r="AS80" s="555">
        <f t="shared" si="32"/>
        <v>454699</v>
      </c>
      <c r="AT80" s="706"/>
      <c r="AU80" s="706"/>
      <c r="AV80" s="706">
        <f>'CHAM CONG'!AZ251</f>
        <v>0</v>
      </c>
      <c r="AW80" s="706"/>
      <c r="AX80" s="562">
        <f t="shared" si="22"/>
        <v>454699</v>
      </c>
      <c r="AY80" s="707"/>
      <c r="AZ80" s="708">
        <f t="shared" si="33"/>
        <v>14.23</v>
      </c>
      <c r="BA80" s="709"/>
    </row>
    <row r="81" spans="1:53" s="683" customFormat="1" ht="48.6" customHeight="1">
      <c r="A81" s="688">
        <v>72</v>
      </c>
      <c r="B81" s="689">
        <v>3</v>
      </c>
      <c r="C81" s="689">
        <v>119</v>
      </c>
      <c r="D81" s="690"/>
      <c r="E81" s="690"/>
      <c r="F81" s="690"/>
      <c r="G81" s="690" t="str">
        <f>'Tên Tháng 1'!E242</f>
        <v>យៀត សុជឿន</v>
      </c>
      <c r="H81" s="690" t="str">
        <f>'Tên Tháng 1'!F242</f>
        <v>YIET SOCHOEUN</v>
      </c>
      <c r="I81" s="693" t="str">
        <f>'CHAM CONG'!G248</f>
        <v>x</v>
      </c>
      <c r="J81" s="693" t="str">
        <f>'CHAM CONG'!H248</f>
        <v>x</v>
      </c>
      <c r="K81" s="693" t="str">
        <f>'CHAM CONG'!I248</f>
        <v>x</v>
      </c>
      <c r="L81" s="693">
        <f>'CHAM CONG'!J248</f>
        <v>0</v>
      </c>
      <c r="M81" s="693" t="str">
        <f>'CHAM CONG'!K248</f>
        <v>x</v>
      </c>
      <c r="N81" s="693" t="str">
        <f>'CHAM CONG'!L248</f>
        <v>x</v>
      </c>
      <c r="O81" s="693" t="str">
        <f>'CHAM CONG'!M248</f>
        <v>x</v>
      </c>
      <c r="P81" s="693" t="str">
        <f>'CHAM CONG'!N248</f>
        <v>x</v>
      </c>
      <c r="Q81" s="693" t="str">
        <f>'CHAM CONG'!O248</f>
        <v>x</v>
      </c>
      <c r="R81" s="693" t="str">
        <f>'CHAM CONG'!P248</f>
        <v>x</v>
      </c>
      <c r="S81" s="693" t="str">
        <f>'CHAM CONG'!Q248</f>
        <v>x</v>
      </c>
      <c r="T81" s="693" t="str">
        <f>'CHAM CONG'!R248</f>
        <v>x</v>
      </c>
      <c r="U81" s="693" t="str">
        <f>'CHAM CONG'!S248</f>
        <v>x</v>
      </c>
      <c r="V81" s="693" t="str">
        <f>'CHAM CONG'!T248</f>
        <v>x</v>
      </c>
      <c r="W81" s="693" t="str">
        <f>'CHAM CONG'!U248</f>
        <v>x</v>
      </c>
      <c r="X81" s="693"/>
      <c r="Y81" s="693"/>
      <c r="Z81" s="698">
        <f t="shared" si="23"/>
        <v>14</v>
      </c>
      <c r="AA81" s="699">
        <f t="shared" si="19"/>
        <v>0</v>
      </c>
      <c r="AB81" s="700">
        <f t="shared" si="24"/>
        <v>224000</v>
      </c>
      <c r="AC81" s="700">
        <f>'CHAM CONG'!V248</f>
        <v>0</v>
      </c>
      <c r="AD81" s="700">
        <f>'CHAM CONG'!X248</f>
        <v>0</v>
      </c>
      <c r="AE81" s="698">
        <f t="shared" si="25"/>
        <v>0</v>
      </c>
      <c r="AF81" s="700">
        <f t="shared" si="26"/>
        <v>0</v>
      </c>
      <c r="AG81" s="700">
        <f t="shared" si="27"/>
        <v>14</v>
      </c>
      <c r="AH81" s="537">
        <f t="shared" si="28"/>
        <v>14000</v>
      </c>
      <c r="AI81" s="700">
        <f t="shared" si="29"/>
        <v>238000</v>
      </c>
      <c r="AJ81" s="693">
        <f>'SAN LUONG'!AF249</f>
        <v>378</v>
      </c>
      <c r="AK81" s="693">
        <f>'SAN LUONG'!AG249</f>
        <v>378</v>
      </c>
      <c r="AL81" s="693">
        <f>'SAN LUONG'!AH249</f>
        <v>433</v>
      </c>
      <c r="AM81" s="702">
        <f t="shared" si="20"/>
        <v>1189</v>
      </c>
      <c r="AN81" s="702">
        <f t="shared" si="21"/>
        <v>0</v>
      </c>
      <c r="AO81" s="702"/>
      <c r="AP81" s="702">
        <f t="shared" si="30"/>
        <v>290354</v>
      </c>
      <c r="AQ81" s="555"/>
      <c r="AR81" s="702">
        <f t="shared" si="31"/>
        <v>0</v>
      </c>
      <c r="AS81" s="555">
        <f t="shared" si="32"/>
        <v>528354</v>
      </c>
      <c r="AT81" s="706"/>
      <c r="AU81" s="706"/>
      <c r="AV81" s="706">
        <f>'CHAM CONG'!AZ252</f>
        <v>0</v>
      </c>
      <c r="AW81" s="706"/>
      <c r="AX81" s="562">
        <f t="shared" si="22"/>
        <v>528354</v>
      </c>
      <c r="AY81" s="707"/>
      <c r="AZ81" s="708">
        <f t="shared" si="33"/>
        <v>16.54</v>
      </c>
      <c r="BA81" s="709"/>
    </row>
    <row r="82" spans="1:53" s="683" customFormat="1" ht="48.6" customHeight="1">
      <c r="A82" s="688">
        <v>73</v>
      </c>
      <c r="B82" s="689">
        <v>3</v>
      </c>
      <c r="C82" s="689">
        <v>120</v>
      </c>
      <c r="D82" s="690"/>
      <c r="E82" s="690"/>
      <c r="F82" s="690"/>
      <c r="G82" s="690" t="str">
        <f>'Tên Tháng 1'!E243</f>
        <v>ឈីវ ផល</v>
      </c>
      <c r="H82" s="690" t="str">
        <f>'Tên Tháng 1'!F243</f>
        <v>CHHIV PHALL</v>
      </c>
      <c r="I82" s="693" t="str">
        <f>'CHAM CONG'!G249</f>
        <v>x</v>
      </c>
      <c r="J82" s="693" t="str">
        <f>'CHAM CONG'!H249</f>
        <v>x</v>
      </c>
      <c r="K82" s="693" t="str">
        <f>'CHAM CONG'!I249</f>
        <v>x</v>
      </c>
      <c r="L82" s="693">
        <f>'CHAM CONG'!J249</f>
        <v>0</v>
      </c>
      <c r="M82" s="693">
        <f>'CHAM CONG'!K249</f>
        <v>0</v>
      </c>
      <c r="N82" s="693" t="str">
        <f>'CHAM CONG'!L249</f>
        <v>x</v>
      </c>
      <c r="O82" s="693" t="str">
        <f>'CHAM CONG'!M249</f>
        <v>x</v>
      </c>
      <c r="P82" s="693" t="str">
        <f>'CHAM CONG'!N249</f>
        <v>x</v>
      </c>
      <c r="Q82" s="693" t="str">
        <f>'CHAM CONG'!O249</f>
        <v>x</v>
      </c>
      <c r="R82" s="693" t="str">
        <f>'CHAM CONG'!P249</f>
        <v>x</v>
      </c>
      <c r="S82" s="693" t="str">
        <f>'CHAM CONG'!Q249</f>
        <v>x</v>
      </c>
      <c r="T82" s="693" t="str">
        <f>'CHAM CONG'!R249</f>
        <v>x</v>
      </c>
      <c r="U82" s="693" t="str">
        <f>'CHAM CONG'!S249</f>
        <v>x</v>
      </c>
      <c r="V82" s="693" t="str">
        <f>'CHAM CONG'!T249</f>
        <v>x</v>
      </c>
      <c r="W82" s="693" t="str">
        <f>'CHAM CONG'!U249</f>
        <v>x</v>
      </c>
      <c r="X82" s="693"/>
      <c r="Y82" s="693"/>
      <c r="Z82" s="698">
        <f t="shared" si="23"/>
        <v>13</v>
      </c>
      <c r="AA82" s="699">
        <f t="shared" si="19"/>
        <v>0</v>
      </c>
      <c r="AB82" s="700">
        <f t="shared" si="24"/>
        <v>208000</v>
      </c>
      <c r="AC82" s="700">
        <f>'CHAM CONG'!V249</f>
        <v>0</v>
      </c>
      <c r="AD82" s="700">
        <f>'CHAM CONG'!X249</f>
        <v>0</v>
      </c>
      <c r="AE82" s="698">
        <f t="shared" si="25"/>
        <v>0</v>
      </c>
      <c r="AF82" s="700">
        <f t="shared" si="26"/>
        <v>0</v>
      </c>
      <c r="AG82" s="700">
        <f t="shared" si="27"/>
        <v>13</v>
      </c>
      <c r="AH82" s="537">
        <f t="shared" si="28"/>
        <v>13000</v>
      </c>
      <c r="AI82" s="700">
        <f t="shared" si="29"/>
        <v>221000</v>
      </c>
      <c r="AJ82" s="693">
        <f>'SAN LUONG'!AF250</f>
        <v>406</v>
      </c>
      <c r="AK82" s="693">
        <f>'SAN LUONG'!AG250</f>
        <v>262</v>
      </c>
      <c r="AL82" s="693">
        <f>'SAN LUONG'!AH250</f>
        <v>281</v>
      </c>
      <c r="AM82" s="702">
        <f t="shared" si="20"/>
        <v>949</v>
      </c>
      <c r="AN82" s="702">
        <f t="shared" si="21"/>
        <v>0</v>
      </c>
      <c r="AO82" s="702"/>
      <c r="AP82" s="702">
        <f t="shared" si="30"/>
        <v>231746</v>
      </c>
      <c r="AQ82" s="555"/>
      <c r="AR82" s="702">
        <f t="shared" si="31"/>
        <v>0</v>
      </c>
      <c r="AS82" s="555">
        <f t="shared" si="32"/>
        <v>452746</v>
      </c>
      <c r="AT82" s="706"/>
      <c r="AU82" s="706"/>
      <c r="AV82" s="706">
        <f>'CHAM CONG'!AZ253</f>
        <v>0</v>
      </c>
      <c r="AW82" s="706"/>
      <c r="AX82" s="562">
        <f t="shared" si="22"/>
        <v>452746</v>
      </c>
      <c r="AY82" s="707"/>
      <c r="AZ82" s="708">
        <f t="shared" si="33"/>
        <v>14.17</v>
      </c>
      <c r="BA82" s="709"/>
    </row>
    <row r="83" spans="1:53" s="683" customFormat="1" ht="48.6" customHeight="1">
      <c r="A83" s="688">
        <v>74</v>
      </c>
      <c r="B83" s="689">
        <v>3</v>
      </c>
      <c r="C83" s="689">
        <v>121</v>
      </c>
      <c r="D83" s="690"/>
      <c r="E83" s="690"/>
      <c r="F83" s="690"/>
      <c r="G83" s="690" t="str">
        <f>'Tên Tháng 1'!E244</f>
        <v>កែវ សុខគង់</v>
      </c>
      <c r="H83" s="690" t="str">
        <f>'Tên Tháng 1'!F244</f>
        <v>KEO SOKONG</v>
      </c>
      <c r="I83" s="693" t="str">
        <f>'CHAM CONG'!G250</f>
        <v>x</v>
      </c>
      <c r="J83" s="693" t="str">
        <f>'CHAM CONG'!H250</f>
        <v>x</v>
      </c>
      <c r="K83" s="693" t="str">
        <f>'CHAM CONG'!I250</f>
        <v>x</v>
      </c>
      <c r="L83" s="693">
        <f>'CHAM CONG'!J250</f>
        <v>0</v>
      </c>
      <c r="M83" s="693">
        <f>'CHAM CONG'!K250</f>
        <v>0</v>
      </c>
      <c r="N83" s="693" t="str">
        <f>'CHAM CONG'!L250</f>
        <v>x</v>
      </c>
      <c r="O83" s="693">
        <f>'CHAM CONG'!M250</f>
        <v>0</v>
      </c>
      <c r="P83" s="693" t="str">
        <f>'CHAM CONG'!N250</f>
        <v>x</v>
      </c>
      <c r="Q83" s="693" t="str">
        <f>'CHAM CONG'!O250</f>
        <v>x</v>
      </c>
      <c r="R83" s="693" t="str">
        <f>'CHAM CONG'!P250</f>
        <v>x</v>
      </c>
      <c r="S83" s="693" t="str">
        <f>'CHAM CONG'!Q250</f>
        <v>x</v>
      </c>
      <c r="T83" s="693" t="str">
        <f>'CHAM CONG'!R250</f>
        <v>x</v>
      </c>
      <c r="U83" s="693" t="str">
        <f>'CHAM CONG'!S250</f>
        <v>x</v>
      </c>
      <c r="V83" s="693" t="str">
        <f>'CHAM CONG'!T250</f>
        <v>x</v>
      </c>
      <c r="W83" s="693" t="str">
        <f>'CHAM CONG'!U250</f>
        <v>x</v>
      </c>
      <c r="X83" s="693"/>
      <c r="Y83" s="693"/>
      <c r="Z83" s="698">
        <f t="shared" si="23"/>
        <v>12</v>
      </c>
      <c r="AA83" s="699">
        <f t="shared" si="19"/>
        <v>0</v>
      </c>
      <c r="AB83" s="700">
        <f t="shared" si="24"/>
        <v>192000</v>
      </c>
      <c r="AC83" s="700">
        <f>'CHAM CONG'!V250</f>
        <v>0</v>
      </c>
      <c r="AD83" s="700" t="str">
        <f>'CHAM CONG'!X250</f>
        <v>x</v>
      </c>
      <c r="AE83" s="698">
        <f t="shared" si="25"/>
        <v>1</v>
      </c>
      <c r="AF83" s="700">
        <f t="shared" si="26"/>
        <v>17000</v>
      </c>
      <c r="AG83" s="700">
        <f t="shared" si="27"/>
        <v>12</v>
      </c>
      <c r="AH83" s="537">
        <f t="shared" si="28"/>
        <v>12000</v>
      </c>
      <c r="AI83" s="700">
        <f t="shared" si="29"/>
        <v>221000</v>
      </c>
      <c r="AJ83" s="693">
        <f>'SAN LUONG'!AF251</f>
        <v>305</v>
      </c>
      <c r="AK83" s="693">
        <f>'SAN LUONG'!AG251</f>
        <v>215</v>
      </c>
      <c r="AL83" s="693">
        <f>'SAN LUONG'!AH251</f>
        <v>521</v>
      </c>
      <c r="AM83" s="702">
        <f t="shared" si="20"/>
        <v>1041</v>
      </c>
      <c r="AN83" s="702">
        <f t="shared" si="21"/>
        <v>0</v>
      </c>
      <c r="AO83" s="702"/>
      <c r="AP83" s="702">
        <f t="shared" si="30"/>
        <v>254212</v>
      </c>
      <c r="AQ83" s="555"/>
      <c r="AR83" s="702">
        <f t="shared" si="31"/>
        <v>0</v>
      </c>
      <c r="AS83" s="555">
        <f t="shared" si="32"/>
        <v>475212</v>
      </c>
      <c r="AT83" s="706"/>
      <c r="AU83" s="706"/>
      <c r="AV83" s="706">
        <f>'CHAM CONG'!AZ254</f>
        <v>0</v>
      </c>
      <c r="AW83" s="706"/>
      <c r="AX83" s="562">
        <f t="shared" si="22"/>
        <v>475212</v>
      </c>
      <c r="AY83" s="707"/>
      <c r="AZ83" s="708">
        <f t="shared" si="33"/>
        <v>14.88</v>
      </c>
      <c r="BA83" s="709"/>
    </row>
    <row r="84" spans="1:53" s="683" customFormat="1" ht="48.6" customHeight="1">
      <c r="A84" s="688">
        <v>75</v>
      </c>
      <c r="B84" s="689">
        <v>3</v>
      </c>
      <c r="C84" s="689">
        <v>122</v>
      </c>
      <c r="D84" s="690"/>
      <c r="E84" s="690"/>
      <c r="F84" s="690"/>
      <c r="G84" s="690" t="str">
        <f>'Tên Tháng 1'!E245</f>
        <v>បូ បូត</v>
      </c>
      <c r="H84" s="690" t="str">
        <f>'Tên Tháng 1'!F245</f>
        <v>BO BOUT</v>
      </c>
      <c r="I84" s="693" t="str">
        <f>'CHAM CONG'!G251</f>
        <v>x</v>
      </c>
      <c r="J84" s="693" t="str">
        <f>'CHAM CONG'!H251</f>
        <v>x</v>
      </c>
      <c r="K84" s="693" t="str">
        <f>'CHAM CONG'!I251</f>
        <v>x</v>
      </c>
      <c r="L84" s="693">
        <f>'CHAM CONG'!J251</f>
        <v>0</v>
      </c>
      <c r="M84" s="693">
        <f>'CHAM CONG'!K251</f>
        <v>0</v>
      </c>
      <c r="N84" s="693" t="str">
        <f>'CHAM CONG'!L251</f>
        <v>x</v>
      </c>
      <c r="O84" s="693" t="str">
        <f>'CHAM CONG'!M251</f>
        <v>x</v>
      </c>
      <c r="P84" s="693" t="str">
        <f>'CHAM CONG'!N251</f>
        <v>x</v>
      </c>
      <c r="Q84" s="693" t="str">
        <f>'CHAM CONG'!O251</f>
        <v>x</v>
      </c>
      <c r="R84" s="693" t="str">
        <f>'CHAM CONG'!P251</f>
        <v>x</v>
      </c>
      <c r="S84" s="693" t="str">
        <f>'CHAM CONG'!Q251</f>
        <v>x</v>
      </c>
      <c r="T84" s="693" t="str">
        <f>'CHAM CONG'!R251</f>
        <v>x</v>
      </c>
      <c r="U84" s="693" t="str">
        <f>'CHAM CONG'!S251</f>
        <v>x</v>
      </c>
      <c r="V84" s="693" t="str">
        <f>'CHAM CONG'!T251</f>
        <v>x</v>
      </c>
      <c r="W84" s="693" t="str">
        <f>'CHAM CONG'!U251</f>
        <v>x</v>
      </c>
      <c r="X84" s="693"/>
      <c r="Y84" s="693"/>
      <c r="Z84" s="698">
        <f t="shared" si="23"/>
        <v>13</v>
      </c>
      <c r="AA84" s="699">
        <f t="shared" si="19"/>
        <v>0</v>
      </c>
      <c r="AB84" s="700">
        <f t="shared" si="24"/>
        <v>208000</v>
      </c>
      <c r="AC84" s="700" t="str">
        <f>'CHAM CONG'!V251</f>
        <v>x</v>
      </c>
      <c r="AD84" s="700" t="str">
        <f>'CHAM CONG'!X251</f>
        <v>x</v>
      </c>
      <c r="AE84" s="698">
        <f t="shared" si="25"/>
        <v>2</v>
      </c>
      <c r="AF84" s="700">
        <f t="shared" si="26"/>
        <v>34000</v>
      </c>
      <c r="AG84" s="700">
        <f t="shared" si="27"/>
        <v>13</v>
      </c>
      <c r="AH84" s="537">
        <f t="shared" si="28"/>
        <v>13000</v>
      </c>
      <c r="AI84" s="700">
        <f t="shared" si="29"/>
        <v>255000</v>
      </c>
      <c r="AJ84" s="693">
        <f>'SAN LUONG'!AF252</f>
        <v>539</v>
      </c>
      <c r="AK84" s="693">
        <f>'SAN LUONG'!AG252</f>
        <v>528</v>
      </c>
      <c r="AL84" s="693">
        <f>'SAN LUONG'!AH252</f>
        <v>499</v>
      </c>
      <c r="AM84" s="702">
        <f t="shared" si="20"/>
        <v>1566</v>
      </c>
      <c r="AN84" s="702">
        <f t="shared" si="21"/>
        <v>0</v>
      </c>
      <c r="AO84" s="702"/>
      <c r="AP84" s="702">
        <f t="shared" si="30"/>
        <v>382417</v>
      </c>
      <c r="AQ84" s="555"/>
      <c r="AR84" s="702">
        <f t="shared" si="31"/>
        <v>0</v>
      </c>
      <c r="AS84" s="555">
        <f t="shared" si="32"/>
        <v>637417</v>
      </c>
      <c r="AT84" s="706"/>
      <c r="AU84" s="706"/>
      <c r="AV84" s="706">
        <f>'CHAM CONG'!AZ255</f>
        <v>0</v>
      </c>
      <c r="AW84" s="706"/>
      <c r="AX84" s="562">
        <f t="shared" si="22"/>
        <v>637417</v>
      </c>
      <c r="AY84" s="707"/>
      <c r="AZ84" s="708">
        <f t="shared" si="33"/>
        <v>19.95</v>
      </c>
      <c r="BA84" s="709"/>
    </row>
    <row r="85" spans="1:53" s="683" customFormat="1" ht="52.95" customHeight="1">
      <c r="A85" s="688">
        <v>76</v>
      </c>
      <c r="B85" s="689">
        <v>3</v>
      </c>
      <c r="C85" s="689">
        <v>123</v>
      </c>
      <c r="D85" s="690"/>
      <c r="E85" s="690"/>
      <c r="F85" s="690"/>
      <c r="G85" s="690" t="str">
        <f>'Tên Tháng 1'!E246</f>
        <v>ធា ចាន់</v>
      </c>
      <c r="H85" s="690" t="str">
        <f>'Tên Tháng 1'!F246</f>
        <v>THEA CHANN</v>
      </c>
      <c r="I85" s="693">
        <f>'CHAM CONG'!G252</f>
        <v>0</v>
      </c>
      <c r="J85" s="693" t="str">
        <f>'CHAM CONG'!H252</f>
        <v>x</v>
      </c>
      <c r="K85" s="693" t="str">
        <f>'CHAM CONG'!I252</f>
        <v>x</v>
      </c>
      <c r="L85" s="693">
        <f>'CHAM CONG'!J252</f>
        <v>0</v>
      </c>
      <c r="M85" s="693">
        <f>'CHAM CONG'!K252</f>
        <v>0</v>
      </c>
      <c r="N85" s="693" t="str">
        <f>'CHAM CONG'!L252</f>
        <v>x</v>
      </c>
      <c r="O85" s="693" t="str">
        <f>'CHAM CONG'!M252</f>
        <v>x</v>
      </c>
      <c r="P85" s="693" t="str">
        <f>'CHAM CONG'!N252</f>
        <v>x</v>
      </c>
      <c r="Q85" s="693" t="str">
        <f>'CHAM CONG'!O252</f>
        <v>x</v>
      </c>
      <c r="R85" s="693" t="str">
        <f>'CHAM CONG'!P252</f>
        <v>x</v>
      </c>
      <c r="S85" s="693" t="str">
        <f>'CHAM CONG'!Q252</f>
        <v>x</v>
      </c>
      <c r="T85" s="693" t="str">
        <f>'CHAM CONG'!R252</f>
        <v>x</v>
      </c>
      <c r="U85" s="693" t="str">
        <f>'CHAM CONG'!S252</f>
        <v>x</v>
      </c>
      <c r="V85" s="693" t="str">
        <f>'CHAM CONG'!T252</f>
        <v>x</v>
      </c>
      <c r="W85" s="693" t="str">
        <f>'CHAM CONG'!U252</f>
        <v>x</v>
      </c>
      <c r="X85" s="693"/>
      <c r="Y85" s="693"/>
      <c r="Z85" s="698">
        <f t="shared" si="23"/>
        <v>12</v>
      </c>
      <c r="AA85" s="699">
        <f t="shared" si="19"/>
        <v>0</v>
      </c>
      <c r="AB85" s="700">
        <f t="shared" si="24"/>
        <v>192000</v>
      </c>
      <c r="AC85" s="700">
        <f>'CHAM CONG'!V252</f>
        <v>0</v>
      </c>
      <c r="AD85" s="700">
        <f>'CHAM CONG'!X252</f>
        <v>0</v>
      </c>
      <c r="AE85" s="698">
        <f t="shared" si="25"/>
        <v>0</v>
      </c>
      <c r="AF85" s="700">
        <f t="shared" si="26"/>
        <v>0</v>
      </c>
      <c r="AG85" s="700">
        <f t="shared" si="27"/>
        <v>12</v>
      </c>
      <c r="AH85" s="537">
        <f t="shared" si="28"/>
        <v>12000</v>
      </c>
      <c r="AI85" s="700">
        <f t="shared" si="29"/>
        <v>204000</v>
      </c>
      <c r="AJ85" s="693">
        <f>'SAN LUONG'!AF253</f>
        <v>243</v>
      </c>
      <c r="AK85" s="693">
        <f>'SAN LUONG'!AG253</f>
        <v>274</v>
      </c>
      <c r="AL85" s="693">
        <f>'SAN LUONG'!AH253</f>
        <v>294</v>
      </c>
      <c r="AM85" s="702">
        <f t="shared" si="20"/>
        <v>811</v>
      </c>
      <c r="AN85" s="702">
        <f t="shared" si="21"/>
        <v>0</v>
      </c>
      <c r="AO85" s="702"/>
      <c r="AP85" s="702">
        <f t="shared" si="30"/>
        <v>198046</v>
      </c>
      <c r="AQ85" s="555"/>
      <c r="AR85" s="702">
        <f t="shared" si="31"/>
        <v>0</v>
      </c>
      <c r="AS85" s="555">
        <f t="shared" si="32"/>
        <v>402046</v>
      </c>
      <c r="AT85" s="706"/>
      <c r="AU85" s="706"/>
      <c r="AV85" s="706">
        <f>'CHAM CONG'!AZ256</f>
        <v>0</v>
      </c>
      <c r="AW85" s="706"/>
      <c r="AX85" s="562">
        <f t="shared" si="22"/>
        <v>402046</v>
      </c>
      <c r="AY85" s="707"/>
      <c r="AZ85" s="708">
        <f t="shared" si="33"/>
        <v>12.58</v>
      </c>
      <c r="BA85" s="709"/>
    </row>
    <row r="86" spans="1:53" s="683" customFormat="1" ht="52.95" customHeight="1">
      <c r="A86" s="688">
        <v>77</v>
      </c>
      <c r="B86" s="689">
        <v>3</v>
      </c>
      <c r="C86" s="689">
        <v>124</v>
      </c>
      <c r="D86" s="690"/>
      <c r="E86" s="690"/>
      <c r="F86" s="690"/>
      <c r="G86" s="690" t="str">
        <f>'Tên Tháng 1'!E247</f>
        <v>គីន ចន្ថា</v>
      </c>
      <c r="H86" s="690" t="str">
        <f>'Tên Tháng 1'!F247</f>
        <v>KIN CHANTHA</v>
      </c>
      <c r="I86" s="693" t="str">
        <f>'CHAM CONG'!G253</f>
        <v>x</v>
      </c>
      <c r="J86" s="693" t="str">
        <f>'CHAM CONG'!H253</f>
        <v>x</v>
      </c>
      <c r="K86" s="693" t="str">
        <f>'CHAM CONG'!I253</f>
        <v>x</v>
      </c>
      <c r="L86" s="693">
        <f>'CHAM CONG'!J253</f>
        <v>0</v>
      </c>
      <c r="M86" s="693">
        <f>'CHAM CONG'!K253</f>
        <v>0</v>
      </c>
      <c r="N86" s="693" t="str">
        <f>'CHAM CONG'!L253</f>
        <v>x</v>
      </c>
      <c r="O86" s="693">
        <f>'CHAM CONG'!M253</f>
        <v>0</v>
      </c>
      <c r="P86" s="693" t="str">
        <f>'CHAM CONG'!N253</f>
        <v>x</v>
      </c>
      <c r="Q86" s="693" t="str">
        <f>'CHAM CONG'!O253</f>
        <v>x</v>
      </c>
      <c r="R86" s="693" t="str">
        <f>'CHAM CONG'!P253</f>
        <v>x</v>
      </c>
      <c r="S86" s="693" t="str">
        <f>'CHAM CONG'!Q253</f>
        <v>x</v>
      </c>
      <c r="T86" s="693" t="str">
        <f>'CHAM CONG'!R253</f>
        <v>x</v>
      </c>
      <c r="U86" s="693" t="str">
        <f>'CHAM CONG'!S253</f>
        <v>x</v>
      </c>
      <c r="V86" s="693" t="str">
        <f>'CHAM CONG'!T253</f>
        <v>x</v>
      </c>
      <c r="W86" s="693">
        <f>'CHAM CONG'!U253</f>
        <v>0</v>
      </c>
      <c r="X86" s="693"/>
      <c r="Y86" s="693"/>
      <c r="Z86" s="698">
        <f t="shared" si="23"/>
        <v>11</v>
      </c>
      <c r="AA86" s="699">
        <f t="shared" si="19"/>
        <v>0</v>
      </c>
      <c r="AB86" s="700">
        <f t="shared" si="24"/>
        <v>176000</v>
      </c>
      <c r="AC86" s="700">
        <f>'CHAM CONG'!V253</f>
        <v>0</v>
      </c>
      <c r="AD86" s="700">
        <f>'CHAM CONG'!X253</f>
        <v>0</v>
      </c>
      <c r="AE86" s="698">
        <f t="shared" si="25"/>
        <v>0</v>
      </c>
      <c r="AF86" s="700">
        <f t="shared" si="26"/>
        <v>0</v>
      </c>
      <c r="AG86" s="700">
        <f t="shared" si="27"/>
        <v>11</v>
      </c>
      <c r="AH86" s="537">
        <f t="shared" si="28"/>
        <v>11000</v>
      </c>
      <c r="AI86" s="700">
        <f t="shared" si="29"/>
        <v>187000</v>
      </c>
      <c r="AJ86" s="693">
        <f>'SAN LUONG'!AF254</f>
        <v>328</v>
      </c>
      <c r="AK86" s="693">
        <f>'SAN LUONG'!AG254</f>
        <v>234</v>
      </c>
      <c r="AL86" s="693">
        <f>'SAN LUONG'!AH254</f>
        <v>586</v>
      </c>
      <c r="AM86" s="702">
        <f t="shared" si="20"/>
        <v>1148</v>
      </c>
      <c r="AN86" s="702">
        <f t="shared" si="21"/>
        <v>0</v>
      </c>
      <c r="AO86" s="702"/>
      <c r="AP86" s="702">
        <f t="shared" si="30"/>
        <v>280342</v>
      </c>
      <c r="AQ86" s="555"/>
      <c r="AR86" s="702">
        <f t="shared" si="31"/>
        <v>0</v>
      </c>
      <c r="AS86" s="555">
        <f t="shared" si="32"/>
        <v>467342</v>
      </c>
      <c r="AT86" s="706"/>
      <c r="AU86" s="706"/>
      <c r="AV86" s="706">
        <f>'CHAM CONG'!AZ257</f>
        <v>0</v>
      </c>
      <c r="AW86" s="706"/>
      <c r="AX86" s="562">
        <f t="shared" si="22"/>
        <v>467342</v>
      </c>
      <c r="AY86" s="707"/>
      <c r="AZ86" s="708">
        <f t="shared" si="33"/>
        <v>14.63</v>
      </c>
      <c r="BA86" s="709"/>
    </row>
    <row r="87" spans="1:53" s="683" customFormat="1" ht="52.95" customHeight="1">
      <c r="A87" s="688">
        <v>78</v>
      </c>
      <c r="B87" s="689">
        <v>3</v>
      </c>
      <c r="C87" s="689">
        <v>125</v>
      </c>
      <c r="D87" s="690"/>
      <c r="E87" s="690"/>
      <c r="F87" s="690"/>
      <c r="G87" s="690" t="str">
        <f>'Tên Tháng 1'!E248</f>
        <v>តូច លីម</v>
      </c>
      <c r="H87" s="690" t="str">
        <f>'Tên Tháng 1'!F248</f>
        <v>TOUCH LIM</v>
      </c>
      <c r="I87" s="693" t="str">
        <f>'CHAM CONG'!G254</f>
        <v>x</v>
      </c>
      <c r="J87" s="693" t="str">
        <f>'CHAM CONG'!H254</f>
        <v>x</v>
      </c>
      <c r="K87" s="693" t="str">
        <f>'CHAM CONG'!I254</f>
        <v>x</v>
      </c>
      <c r="L87" s="693">
        <f>'CHAM CONG'!J254</f>
        <v>0</v>
      </c>
      <c r="M87" s="693">
        <f>'CHAM CONG'!K254</f>
        <v>0</v>
      </c>
      <c r="N87" s="693" t="str">
        <f>'CHAM CONG'!L254</f>
        <v>x</v>
      </c>
      <c r="O87" s="693">
        <f>'CHAM CONG'!M254</f>
        <v>0</v>
      </c>
      <c r="P87" s="693" t="str">
        <f>'CHAM CONG'!N254</f>
        <v>x</v>
      </c>
      <c r="Q87" s="693" t="str">
        <f>'CHAM CONG'!O254</f>
        <v>x</v>
      </c>
      <c r="R87" s="693" t="str">
        <f>'CHAM CONG'!P254</f>
        <v>x</v>
      </c>
      <c r="S87" s="693" t="str">
        <f>'CHAM CONG'!Q254</f>
        <v>x</v>
      </c>
      <c r="T87" s="693" t="str">
        <f>'CHAM CONG'!R254</f>
        <v>x</v>
      </c>
      <c r="U87" s="693" t="str">
        <f>'CHAM CONG'!S254</f>
        <v>x</v>
      </c>
      <c r="V87" s="693" t="str">
        <f>'CHAM CONG'!T254</f>
        <v>x</v>
      </c>
      <c r="W87" s="693" t="str">
        <f>'CHAM CONG'!U254</f>
        <v>x</v>
      </c>
      <c r="X87" s="693"/>
      <c r="Y87" s="693"/>
      <c r="Z87" s="698">
        <f t="shared" si="23"/>
        <v>12</v>
      </c>
      <c r="AA87" s="699">
        <f t="shared" si="19"/>
        <v>0</v>
      </c>
      <c r="AB87" s="700">
        <f t="shared" si="24"/>
        <v>192000</v>
      </c>
      <c r="AC87" s="700">
        <f>'CHAM CONG'!V254</f>
        <v>0</v>
      </c>
      <c r="AD87" s="700" t="str">
        <f>'CHAM CONG'!X254</f>
        <v>x</v>
      </c>
      <c r="AE87" s="698">
        <f t="shared" si="25"/>
        <v>1</v>
      </c>
      <c r="AF87" s="700">
        <f t="shared" si="26"/>
        <v>17000</v>
      </c>
      <c r="AG87" s="700">
        <f t="shared" si="27"/>
        <v>12</v>
      </c>
      <c r="AH87" s="537">
        <f t="shared" si="28"/>
        <v>12000</v>
      </c>
      <c r="AI87" s="700">
        <f t="shared" si="29"/>
        <v>221000</v>
      </c>
      <c r="AJ87" s="693">
        <f>'SAN LUONG'!AF255</f>
        <v>314</v>
      </c>
      <c r="AK87" s="693">
        <f>'SAN LUONG'!AG255</f>
        <v>207</v>
      </c>
      <c r="AL87" s="693">
        <f>'SAN LUONG'!AH255</f>
        <v>482</v>
      </c>
      <c r="AM87" s="702">
        <f t="shared" si="20"/>
        <v>1003</v>
      </c>
      <c r="AN87" s="702">
        <f t="shared" si="21"/>
        <v>0</v>
      </c>
      <c r="AO87" s="702"/>
      <c r="AP87" s="702">
        <f t="shared" si="30"/>
        <v>244933</v>
      </c>
      <c r="AQ87" s="555"/>
      <c r="AR87" s="702">
        <f t="shared" si="31"/>
        <v>0</v>
      </c>
      <c r="AS87" s="555">
        <f t="shared" si="32"/>
        <v>465933</v>
      </c>
      <c r="AT87" s="706"/>
      <c r="AU87" s="706"/>
      <c r="AV87" s="706">
        <f>'CHAM CONG'!AZ258</f>
        <v>0</v>
      </c>
      <c r="AW87" s="706"/>
      <c r="AX87" s="562">
        <f t="shared" si="22"/>
        <v>465933</v>
      </c>
      <c r="AY87" s="707"/>
      <c r="AZ87" s="708">
        <f t="shared" si="33"/>
        <v>14.58</v>
      </c>
      <c r="BA87" s="709"/>
    </row>
    <row r="88" spans="1:53" s="683" customFormat="1" ht="52.95" customHeight="1">
      <c r="A88" s="688">
        <v>79</v>
      </c>
      <c r="B88" s="689">
        <v>3</v>
      </c>
      <c r="C88" s="689">
        <v>126</v>
      </c>
      <c r="D88" s="690"/>
      <c r="E88" s="690"/>
      <c r="F88" s="690"/>
      <c r="G88" s="690" t="str">
        <f>'Tên Tháng 1'!E249</f>
        <v>ស្រឿន ស្រីហាន់</v>
      </c>
      <c r="H88" s="690" t="str">
        <f>'Tên Tháng 1'!F249</f>
        <v>SROEUN SREYHANN</v>
      </c>
      <c r="I88" s="693">
        <f>'CHAM CONG'!G255</f>
        <v>0</v>
      </c>
      <c r="J88" s="693" t="str">
        <f>'CHAM CONG'!H255</f>
        <v>x</v>
      </c>
      <c r="K88" s="693" t="str">
        <f>'CHAM CONG'!I255</f>
        <v>x</v>
      </c>
      <c r="L88" s="693">
        <f>'CHAM CONG'!J255</f>
        <v>0</v>
      </c>
      <c r="M88" s="693">
        <f>'CHAM CONG'!K255</f>
        <v>0</v>
      </c>
      <c r="N88" s="693" t="str">
        <f>'CHAM CONG'!L255</f>
        <v>x</v>
      </c>
      <c r="O88" s="693">
        <f>'CHAM CONG'!M255</f>
        <v>0</v>
      </c>
      <c r="P88" s="693" t="str">
        <f>'CHAM CONG'!N255</f>
        <v>x</v>
      </c>
      <c r="Q88" s="693" t="str">
        <f>'CHAM CONG'!O255</f>
        <v>x</v>
      </c>
      <c r="R88" s="693" t="str">
        <f>'CHAM CONG'!P255</f>
        <v>x</v>
      </c>
      <c r="S88" s="693" t="str">
        <f>'CHAM CONG'!Q255</f>
        <v>x</v>
      </c>
      <c r="T88" s="693" t="str">
        <f>'CHAM CONG'!R255</f>
        <v>x</v>
      </c>
      <c r="U88" s="693" t="str">
        <f>'CHAM CONG'!S255</f>
        <v>x</v>
      </c>
      <c r="V88" s="693" t="str">
        <f>'CHAM CONG'!T255</f>
        <v>x</v>
      </c>
      <c r="W88" s="693" t="str">
        <f>'CHAM CONG'!U255</f>
        <v>x</v>
      </c>
      <c r="X88" s="693"/>
      <c r="Y88" s="693"/>
      <c r="Z88" s="698">
        <f t="shared" si="23"/>
        <v>11</v>
      </c>
      <c r="AA88" s="699">
        <f t="shared" si="19"/>
        <v>0</v>
      </c>
      <c r="AB88" s="700">
        <f t="shared" si="24"/>
        <v>176000</v>
      </c>
      <c r="AC88" s="700" t="str">
        <f>'CHAM CONG'!V255</f>
        <v>x</v>
      </c>
      <c r="AD88" s="700">
        <f>'CHAM CONG'!X255</f>
        <v>0</v>
      </c>
      <c r="AE88" s="698">
        <f t="shared" si="25"/>
        <v>1</v>
      </c>
      <c r="AF88" s="700">
        <f t="shared" si="26"/>
        <v>17000</v>
      </c>
      <c r="AG88" s="700">
        <f t="shared" si="27"/>
        <v>11</v>
      </c>
      <c r="AH88" s="537">
        <f t="shared" si="28"/>
        <v>11000</v>
      </c>
      <c r="AI88" s="700">
        <f t="shared" si="29"/>
        <v>204000</v>
      </c>
      <c r="AJ88" s="693">
        <f>'SAN LUONG'!AF256</f>
        <v>318</v>
      </c>
      <c r="AK88" s="693">
        <f>'SAN LUONG'!AG256</f>
        <v>468</v>
      </c>
      <c r="AL88" s="693">
        <f>'SAN LUONG'!AH256</f>
        <v>307</v>
      </c>
      <c r="AM88" s="702">
        <f t="shared" si="20"/>
        <v>1093</v>
      </c>
      <c r="AN88" s="702">
        <f t="shared" si="21"/>
        <v>0</v>
      </c>
      <c r="AO88" s="702"/>
      <c r="AP88" s="702">
        <f t="shared" si="30"/>
        <v>266911</v>
      </c>
      <c r="AQ88" s="555"/>
      <c r="AR88" s="702">
        <f t="shared" si="31"/>
        <v>0</v>
      </c>
      <c r="AS88" s="555">
        <f t="shared" si="32"/>
        <v>470911</v>
      </c>
      <c r="AT88" s="706"/>
      <c r="AU88" s="706"/>
      <c r="AV88" s="706">
        <f>'CHAM CONG'!AZ259</f>
        <v>0</v>
      </c>
      <c r="AW88" s="706"/>
      <c r="AX88" s="562">
        <f t="shared" si="22"/>
        <v>470911</v>
      </c>
      <c r="AY88" s="707"/>
      <c r="AZ88" s="708">
        <f t="shared" si="33"/>
        <v>14.74</v>
      </c>
      <c r="BA88" s="709"/>
    </row>
    <row r="89" spans="1:53" s="683" customFormat="1" ht="48.6" customHeight="1">
      <c r="A89" s="688">
        <v>80</v>
      </c>
      <c r="B89" s="689">
        <v>3</v>
      </c>
      <c r="C89" s="689">
        <v>127</v>
      </c>
      <c r="D89" s="690"/>
      <c r="E89" s="690"/>
      <c r="F89" s="690"/>
      <c r="G89" s="690" t="str">
        <f>'Tên Tháng 1'!E250</f>
        <v>ហង់ យ៉ាត់</v>
      </c>
      <c r="H89" s="690" t="str">
        <f>'Tên Tháng 1'!F250</f>
        <v>HANG YATH</v>
      </c>
      <c r="I89" s="693">
        <f>'CHAM CONG'!G256</f>
        <v>0</v>
      </c>
      <c r="J89" s="693" t="str">
        <f>'CHAM CONG'!H256</f>
        <v>x</v>
      </c>
      <c r="K89" s="693" t="str">
        <f>'CHAM CONG'!I256</f>
        <v>x</v>
      </c>
      <c r="L89" s="693">
        <f>'CHAM CONG'!J256</f>
        <v>0</v>
      </c>
      <c r="M89" s="693">
        <f>'CHAM CONG'!K256</f>
        <v>0</v>
      </c>
      <c r="N89" s="693" t="str">
        <f>'CHAM CONG'!L256</f>
        <v>x</v>
      </c>
      <c r="O89" s="693" t="str">
        <f>'CHAM CONG'!M256</f>
        <v>x</v>
      </c>
      <c r="P89" s="693" t="str">
        <f>'CHAM CONG'!N256</f>
        <v>x</v>
      </c>
      <c r="Q89" s="693" t="str">
        <f>'CHAM CONG'!O256</f>
        <v>x</v>
      </c>
      <c r="R89" s="693" t="str">
        <f>'CHAM CONG'!P256</f>
        <v>x</v>
      </c>
      <c r="S89" s="693" t="str">
        <f>'CHAM CONG'!Q256</f>
        <v>x</v>
      </c>
      <c r="T89" s="693" t="str">
        <f>'CHAM CONG'!R256</f>
        <v>x</v>
      </c>
      <c r="U89" s="693" t="str">
        <f>'CHAM CONG'!S256</f>
        <v>x</v>
      </c>
      <c r="V89" s="693" t="str">
        <f>'CHAM CONG'!T256</f>
        <v>x</v>
      </c>
      <c r="W89" s="693" t="str">
        <f>'CHAM CONG'!U256</f>
        <v>x</v>
      </c>
      <c r="X89" s="693"/>
      <c r="Y89" s="693"/>
      <c r="Z89" s="698">
        <f t="shared" si="23"/>
        <v>12</v>
      </c>
      <c r="AA89" s="699">
        <f t="shared" si="19"/>
        <v>0</v>
      </c>
      <c r="AB89" s="700">
        <f t="shared" si="24"/>
        <v>192000</v>
      </c>
      <c r="AC89" s="700" t="str">
        <f>'CHAM CONG'!V256</f>
        <v>x</v>
      </c>
      <c r="AD89" s="700" t="str">
        <f>'CHAM CONG'!X256</f>
        <v>x</v>
      </c>
      <c r="AE89" s="698">
        <f t="shared" si="25"/>
        <v>2</v>
      </c>
      <c r="AF89" s="700">
        <f t="shared" si="26"/>
        <v>34000</v>
      </c>
      <c r="AG89" s="700">
        <f t="shared" si="27"/>
        <v>12</v>
      </c>
      <c r="AH89" s="537">
        <f t="shared" si="28"/>
        <v>12000</v>
      </c>
      <c r="AI89" s="700">
        <f t="shared" si="29"/>
        <v>238000</v>
      </c>
      <c r="AJ89" s="693">
        <f>'SAN LUONG'!AF257</f>
        <v>312</v>
      </c>
      <c r="AK89" s="693">
        <f>'SAN LUONG'!AG257</f>
        <v>465</v>
      </c>
      <c r="AL89" s="693">
        <f>'SAN LUONG'!AH257</f>
        <v>300</v>
      </c>
      <c r="AM89" s="702">
        <f t="shared" si="20"/>
        <v>1077</v>
      </c>
      <c r="AN89" s="702">
        <f t="shared" si="21"/>
        <v>0</v>
      </c>
      <c r="AO89" s="702"/>
      <c r="AP89" s="702">
        <f t="shared" si="30"/>
        <v>263003</v>
      </c>
      <c r="AQ89" s="555"/>
      <c r="AR89" s="702">
        <f t="shared" si="31"/>
        <v>0</v>
      </c>
      <c r="AS89" s="555">
        <f t="shared" si="32"/>
        <v>501003</v>
      </c>
      <c r="AT89" s="706"/>
      <c r="AU89" s="706"/>
      <c r="AV89" s="706">
        <f>'CHAM CONG'!AZ260</f>
        <v>0</v>
      </c>
      <c r="AW89" s="706"/>
      <c r="AX89" s="562">
        <f t="shared" si="22"/>
        <v>501003</v>
      </c>
      <c r="AY89" s="707"/>
      <c r="AZ89" s="708">
        <f t="shared" si="33"/>
        <v>15.68</v>
      </c>
      <c r="BA89" s="709"/>
    </row>
    <row r="90" spans="1:53" s="683" customFormat="1" ht="48.6" customHeight="1">
      <c r="A90" s="688">
        <v>81</v>
      </c>
      <c r="B90" s="689">
        <v>3</v>
      </c>
      <c r="C90" s="689">
        <v>128</v>
      </c>
      <c r="D90" s="690"/>
      <c r="E90" s="690"/>
      <c r="F90" s="690"/>
      <c r="G90" s="690" t="str">
        <f>'Tên Tháng 1'!E251</f>
        <v>សែម សាមេន</v>
      </c>
      <c r="H90" s="690" t="str">
        <f>'Tên Tháng 1'!F251</f>
        <v>SEM SAMEN</v>
      </c>
      <c r="I90" s="693">
        <f>'CHAM CONG'!G257</f>
        <v>0</v>
      </c>
      <c r="J90" s="693" t="str">
        <f>'CHAM CONG'!H257</f>
        <v>x</v>
      </c>
      <c r="K90" s="693" t="str">
        <f>'CHAM CONG'!I257</f>
        <v>x</v>
      </c>
      <c r="L90" s="693">
        <f>'CHAM CONG'!J257</f>
        <v>0</v>
      </c>
      <c r="M90" s="693">
        <f>'CHAM CONG'!K257</f>
        <v>0</v>
      </c>
      <c r="N90" s="693" t="str">
        <f>'CHAM CONG'!L257</f>
        <v>x</v>
      </c>
      <c r="O90" s="693" t="str">
        <f>'CHAM CONG'!M257</f>
        <v>x</v>
      </c>
      <c r="P90" s="693" t="str">
        <f>'CHAM CONG'!N257</f>
        <v>x</v>
      </c>
      <c r="Q90" s="693" t="str">
        <f>'CHAM CONG'!O257</f>
        <v>x</v>
      </c>
      <c r="R90" s="693" t="str">
        <f>'CHAM CONG'!P257</f>
        <v>x</v>
      </c>
      <c r="S90" s="693" t="str">
        <f>'CHAM CONG'!Q257</f>
        <v>x</v>
      </c>
      <c r="T90" s="693" t="str">
        <f>'CHAM CONG'!R257</f>
        <v>x</v>
      </c>
      <c r="U90" s="693" t="str">
        <f>'CHAM CONG'!S257</f>
        <v>x</v>
      </c>
      <c r="V90" s="693" t="str">
        <f>'CHAM CONG'!T257</f>
        <v>x</v>
      </c>
      <c r="W90" s="693" t="str">
        <f>'CHAM CONG'!U257</f>
        <v>x</v>
      </c>
      <c r="X90" s="693"/>
      <c r="Y90" s="693"/>
      <c r="Z90" s="698">
        <f t="shared" si="23"/>
        <v>12</v>
      </c>
      <c r="AA90" s="699">
        <f t="shared" si="19"/>
        <v>0</v>
      </c>
      <c r="AB90" s="700">
        <f t="shared" si="24"/>
        <v>192000</v>
      </c>
      <c r="AC90" s="700">
        <f>'CHAM CONG'!V257</f>
        <v>0</v>
      </c>
      <c r="AD90" s="700">
        <f>'CHAM CONG'!X257</f>
        <v>0</v>
      </c>
      <c r="AE90" s="698">
        <f t="shared" si="25"/>
        <v>0</v>
      </c>
      <c r="AF90" s="700">
        <f t="shared" si="26"/>
        <v>0</v>
      </c>
      <c r="AG90" s="700">
        <f t="shared" si="27"/>
        <v>12</v>
      </c>
      <c r="AH90" s="537">
        <f t="shared" si="28"/>
        <v>12000</v>
      </c>
      <c r="AI90" s="700">
        <f t="shared" si="29"/>
        <v>204000</v>
      </c>
      <c r="AJ90" s="693">
        <f>'SAN LUONG'!AF258</f>
        <v>483</v>
      </c>
      <c r="AK90" s="693">
        <f>'SAN LUONG'!AG258</f>
        <v>285</v>
      </c>
      <c r="AL90" s="693">
        <f>'SAN LUONG'!AH258</f>
        <v>289</v>
      </c>
      <c r="AM90" s="702">
        <f t="shared" si="20"/>
        <v>1057</v>
      </c>
      <c r="AN90" s="702">
        <f t="shared" si="21"/>
        <v>0</v>
      </c>
      <c r="AO90" s="702"/>
      <c r="AP90" s="702">
        <f t="shared" si="30"/>
        <v>258119</v>
      </c>
      <c r="AQ90" s="555"/>
      <c r="AR90" s="702">
        <f t="shared" si="31"/>
        <v>0</v>
      </c>
      <c r="AS90" s="555">
        <f t="shared" si="32"/>
        <v>462119</v>
      </c>
      <c r="AT90" s="706"/>
      <c r="AU90" s="706"/>
      <c r="AV90" s="706">
        <f>'CHAM CONG'!AZ261</f>
        <v>0</v>
      </c>
      <c r="AW90" s="706"/>
      <c r="AX90" s="562">
        <f t="shared" si="22"/>
        <v>462119</v>
      </c>
      <c r="AY90" s="707"/>
      <c r="AZ90" s="708">
        <f t="shared" si="33"/>
        <v>14.47</v>
      </c>
      <c r="BA90" s="709"/>
    </row>
    <row r="91" spans="1:53" s="683" customFormat="1" ht="48.6" customHeight="1">
      <c r="A91" s="688">
        <v>82</v>
      </c>
      <c r="B91" s="689">
        <v>3</v>
      </c>
      <c r="C91" s="689">
        <v>129</v>
      </c>
      <c r="D91" s="690"/>
      <c r="E91" s="690"/>
      <c r="F91" s="690"/>
      <c r="G91" s="690" t="str">
        <f>'Tên Tháng 1'!E252</f>
        <v>ជី ឆេងលាង</v>
      </c>
      <c r="H91" s="690" t="str">
        <f>'Tên Tháng 1'!F252</f>
        <v>CHY CHHENGLENG</v>
      </c>
      <c r="I91" s="693">
        <f>'CHAM CONG'!G258</f>
        <v>0</v>
      </c>
      <c r="J91" s="693" t="str">
        <f>'CHAM CONG'!H258</f>
        <v>x</v>
      </c>
      <c r="K91" s="693" t="str">
        <f>'CHAM CONG'!I258</f>
        <v>x</v>
      </c>
      <c r="L91" s="693">
        <f>'CHAM CONG'!J258</f>
        <v>0</v>
      </c>
      <c r="M91" s="693">
        <f>'CHAM CONG'!K258</f>
        <v>0</v>
      </c>
      <c r="N91" s="693" t="str">
        <f>'CHAM CONG'!L258</f>
        <v>x</v>
      </c>
      <c r="O91" s="693">
        <f>'CHAM CONG'!M258</f>
        <v>0</v>
      </c>
      <c r="P91" s="693" t="str">
        <f>'CHAM CONG'!N258</f>
        <v>x</v>
      </c>
      <c r="Q91" s="693" t="str">
        <f>'CHAM CONG'!O258</f>
        <v>x</v>
      </c>
      <c r="R91" s="693" t="str">
        <f>'CHAM CONG'!P258</f>
        <v>x</v>
      </c>
      <c r="S91" s="693" t="str">
        <f>'CHAM CONG'!Q258</f>
        <v>x</v>
      </c>
      <c r="T91" s="693" t="str">
        <f>'CHAM CONG'!R258</f>
        <v>x</v>
      </c>
      <c r="U91" s="693" t="str">
        <f>'CHAM CONG'!S258</f>
        <v>x</v>
      </c>
      <c r="V91" s="693" t="str">
        <f>'CHAM CONG'!T258</f>
        <v>x</v>
      </c>
      <c r="W91" s="693" t="str">
        <f>'CHAM CONG'!U258</f>
        <v>x</v>
      </c>
      <c r="X91" s="693"/>
      <c r="Y91" s="693"/>
      <c r="Z91" s="698">
        <f t="shared" si="23"/>
        <v>11</v>
      </c>
      <c r="AA91" s="699">
        <f t="shared" si="19"/>
        <v>0</v>
      </c>
      <c r="AB91" s="700">
        <f t="shared" si="24"/>
        <v>176000</v>
      </c>
      <c r="AC91" s="700" t="str">
        <f>'CHAM CONG'!V258</f>
        <v>x</v>
      </c>
      <c r="AD91" s="700">
        <f>'CHAM CONG'!X258</f>
        <v>0</v>
      </c>
      <c r="AE91" s="698">
        <f t="shared" si="25"/>
        <v>1</v>
      </c>
      <c r="AF91" s="700">
        <f t="shared" si="26"/>
        <v>17000</v>
      </c>
      <c r="AG91" s="700">
        <f t="shared" si="27"/>
        <v>11</v>
      </c>
      <c r="AH91" s="537">
        <f t="shared" si="28"/>
        <v>11000</v>
      </c>
      <c r="AI91" s="700">
        <f t="shared" si="29"/>
        <v>204000</v>
      </c>
      <c r="AJ91" s="693">
        <f>'SAN LUONG'!AF259</f>
        <v>180</v>
      </c>
      <c r="AK91" s="693">
        <f>'SAN LUONG'!AG259</f>
        <v>491</v>
      </c>
      <c r="AL91" s="693">
        <f>'SAN LUONG'!AH259</f>
        <v>306</v>
      </c>
      <c r="AM91" s="702">
        <f t="shared" si="20"/>
        <v>977</v>
      </c>
      <c r="AN91" s="702">
        <f t="shared" si="21"/>
        <v>0</v>
      </c>
      <c r="AO91" s="702"/>
      <c r="AP91" s="702">
        <f t="shared" si="30"/>
        <v>238583</v>
      </c>
      <c r="AQ91" s="555"/>
      <c r="AR91" s="702">
        <f t="shared" si="31"/>
        <v>0</v>
      </c>
      <c r="AS91" s="555">
        <f t="shared" si="32"/>
        <v>442583</v>
      </c>
      <c r="AT91" s="706"/>
      <c r="AU91" s="706"/>
      <c r="AV91" s="706">
        <f>'CHAM CONG'!AZ262</f>
        <v>0</v>
      </c>
      <c r="AW91" s="706"/>
      <c r="AX91" s="562">
        <f t="shared" si="22"/>
        <v>442583</v>
      </c>
      <c r="AY91" s="707"/>
      <c r="AZ91" s="708">
        <f t="shared" si="33"/>
        <v>13.85</v>
      </c>
      <c r="BA91" s="709"/>
    </row>
    <row r="92" spans="1:53" s="683" customFormat="1" ht="53.4" customHeight="1">
      <c r="A92" s="688">
        <v>83</v>
      </c>
      <c r="B92" s="689">
        <v>3</v>
      </c>
      <c r="C92" s="689">
        <v>130</v>
      </c>
      <c r="D92" s="690"/>
      <c r="E92" s="690"/>
      <c r="F92" s="690"/>
      <c r="G92" s="690" t="str">
        <f>'Tên Tháng 1'!E253</f>
        <v>ផាន់ ខេ</v>
      </c>
      <c r="H92" s="690" t="str">
        <f>'Tên Tháng 1'!F253</f>
        <v>PHANN KHE</v>
      </c>
      <c r="I92" s="693">
        <f>'CHAM CONG'!G259</f>
        <v>0</v>
      </c>
      <c r="J92" s="693">
        <f>'CHAM CONG'!H259</f>
        <v>0</v>
      </c>
      <c r="K92" s="693">
        <f>'CHAM CONG'!I259</f>
        <v>0</v>
      </c>
      <c r="L92" s="693">
        <f>'CHAM CONG'!J259</f>
        <v>0</v>
      </c>
      <c r="M92" s="693">
        <f>'CHAM CONG'!K259</f>
        <v>0</v>
      </c>
      <c r="N92" s="693">
        <f>'CHAM CONG'!L259</f>
        <v>0</v>
      </c>
      <c r="O92" s="693">
        <f>'CHAM CONG'!M259</f>
        <v>0</v>
      </c>
      <c r="P92" s="693">
        <f>'CHAM CONG'!N259</f>
        <v>0</v>
      </c>
      <c r="Q92" s="693" t="str">
        <f>'CHAM CONG'!O259</f>
        <v>x</v>
      </c>
      <c r="R92" s="693" t="str">
        <f>'CHAM CONG'!P259</f>
        <v>x</v>
      </c>
      <c r="S92" s="693" t="str">
        <f>'CHAM CONG'!Q259</f>
        <v>x</v>
      </c>
      <c r="T92" s="693" t="str">
        <f>'CHAM CONG'!R259</f>
        <v>x</v>
      </c>
      <c r="U92" s="693" t="str">
        <f>'CHAM CONG'!S259</f>
        <v>x</v>
      </c>
      <c r="V92" s="693" t="str">
        <f>'CHAM CONG'!T259</f>
        <v>x</v>
      </c>
      <c r="W92" s="693" t="str">
        <f>'CHAM CONG'!U259</f>
        <v>x</v>
      </c>
      <c r="X92" s="693"/>
      <c r="Y92" s="693"/>
      <c r="Z92" s="698">
        <f t="shared" si="23"/>
        <v>7</v>
      </c>
      <c r="AA92" s="699">
        <f t="shared" si="19"/>
        <v>0</v>
      </c>
      <c r="AB92" s="700">
        <f t="shared" si="24"/>
        <v>112000</v>
      </c>
      <c r="AC92" s="700">
        <f>'CHAM CONG'!V259</f>
        <v>0</v>
      </c>
      <c r="AD92" s="700">
        <f>'CHAM CONG'!X259</f>
        <v>0</v>
      </c>
      <c r="AE92" s="698">
        <f t="shared" si="25"/>
        <v>0</v>
      </c>
      <c r="AF92" s="700">
        <f t="shared" si="26"/>
        <v>0</v>
      </c>
      <c r="AG92" s="700">
        <f t="shared" si="27"/>
        <v>7</v>
      </c>
      <c r="AH92" s="537">
        <f t="shared" si="28"/>
        <v>7000</v>
      </c>
      <c r="AI92" s="700">
        <f t="shared" si="29"/>
        <v>119000</v>
      </c>
      <c r="AJ92" s="693">
        <f>'SAN LUONG'!AF260</f>
        <v>110</v>
      </c>
      <c r="AK92" s="693">
        <f>'SAN LUONG'!AG260</f>
        <v>43</v>
      </c>
      <c r="AL92" s="693">
        <f>'SAN LUONG'!AH260</f>
        <v>24</v>
      </c>
      <c r="AM92" s="702">
        <f t="shared" si="20"/>
        <v>177</v>
      </c>
      <c r="AN92" s="702">
        <f t="shared" si="21"/>
        <v>0</v>
      </c>
      <c r="AO92" s="702"/>
      <c r="AP92" s="702">
        <f t="shared" si="30"/>
        <v>43223</v>
      </c>
      <c r="AQ92" s="555"/>
      <c r="AR92" s="702">
        <f t="shared" si="31"/>
        <v>0</v>
      </c>
      <c r="AS92" s="555">
        <f t="shared" si="32"/>
        <v>162223</v>
      </c>
      <c r="AT92" s="706"/>
      <c r="AU92" s="706"/>
      <c r="AV92" s="706">
        <f>'CHAM CONG'!AZ263</f>
        <v>0</v>
      </c>
      <c r="AW92" s="706"/>
      <c r="AX92" s="562">
        <f t="shared" si="22"/>
        <v>162223</v>
      </c>
      <c r="AY92" s="707"/>
      <c r="AZ92" s="708">
        <f t="shared" si="33"/>
        <v>5.08</v>
      </c>
      <c r="BA92" s="709"/>
    </row>
    <row r="93" spans="1:53" s="683" customFormat="1" ht="53.4" customHeight="1">
      <c r="A93" s="688">
        <v>84</v>
      </c>
      <c r="B93" s="689">
        <v>3</v>
      </c>
      <c r="C93" s="689">
        <v>131</v>
      </c>
      <c r="D93" s="690"/>
      <c r="E93" s="690"/>
      <c r="F93" s="690"/>
      <c r="G93" s="690" t="str">
        <f>'Tên Tháng 1'!E254</f>
        <v>លន លៀម</v>
      </c>
      <c r="H93" s="690" t="str">
        <f>'Tên Tháng 1'!F254</f>
        <v>LON LEAM</v>
      </c>
      <c r="I93" s="693">
        <f>'CHAM CONG'!G260</f>
        <v>0</v>
      </c>
      <c r="J93" s="693">
        <f>'CHAM CONG'!H260</f>
        <v>0</v>
      </c>
      <c r="K93" s="693">
        <f>'CHAM CONG'!I260</f>
        <v>0</v>
      </c>
      <c r="L93" s="693">
        <f>'CHAM CONG'!J260</f>
        <v>0</v>
      </c>
      <c r="M93" s="693">
        <f>'CHAM CONG'!K260</f>
        <v>0</v>
      </c>
      <c r="N93" s="693">
        <f>'CHAM CONG'!L260</f>
        <v>0</v>
      </c>
      <c r="O93" s="693">
        <f>'CHAM CONG'!M260</f>
        <v>0</v>
      </c>
      <c r="P93" s="693">
        <f>'CHAM CONG'!N260</f>
        <v>0</v>
      </c>
      <c r="Q93" s="693">
        <f>'CHAM CONG'!O260</f>
        <v>0</v>
      </c>
      <c r="R93" s="693">
        <f>'CHAM CONG'!P260</f>
        <v>0</v>
      </c>
      <c r="S93" s="693" t="str">
        <f>'CHAM CONG'!Q260</f>
        <v>x</v>
      </c>
      <c r="T93" s="693" t="str">
        <f>'CHAM CONG'!R260</f>
        <v>x</v>
      </c>
      <c r="U93" s="693" t="str">
        <f>'CHAM CONG'!S260</f>
        <v>x</v>
      </c>
      <c r="V93" s="693" t="str">
        <f>'CHAM CONG'!T260</f>
        <v>x</v>
      </c>
      <c r="W93" s="693" t="str">
        <f>'CHAM CONG'!U260</f>
        <v>x</v>
      </c>
      <c r="X93" s="693"/>
      <c r="Y93" s="693"/>
      <c r="Z93" s="698">
        <f t="shared" si="23"/>
        <v>5</v>
      </c>
      <c r="AA93" s="699">
        <f t="shared" si="19"/>
        <v>0</v>
      </c>
      <c r="AB93" s="700">
        <f t="shared" si="24"/>
        <v>80000</v>
      </c>
      <c r="AC93" s="700">
        <f>'CHAM CONG'!V260</f>
        <v>0</v>
      </c>
      <c r="AD93" s="700">
        <f>'CHAM CONG'!X260</f>
        <v>0</v>
      </c>
      <c r="AE93" s="698">
        <f t="shared" si="25"/>
        <v>0</v>
      </c>
      <c r="AF93" s="700">
        <f t="shared" si="26"/>
        <v>0</v>
      </c>
      <c r="AG93" s="700">
        <f t="shared" si="27"/>
        <v>5</v>
      </c>
      <c r="AH93" s="537">
        <f t="shared" si="28"/>
        <v>5000</v>
      </c>
      <c r="AI93" s="700">
        <f t="shared" si="29"/>
        <v>85000</v>
      </c>
      <c r="AJ93" s="693">
        <f>'SAN LUONG'!AF261</f>
        <v>0</v>
      </c>
      <c r="AK93" s="693">
        <f>'SAN LUONG'!AG261</f>
        <v>114</v>
      </c>
      <c r="AL93" s="693">
        <f>'SAN LUONG'!AH261</f>
        <v>0</v>
      </c>
      <c r="AM93" s="702">
        <f t="shared" si="20"/>
        <v>114</v>
      </c>
      <c r="AN93" s="702">
        <f t="shared" si="21"/>
        <v>0</v>
      </c>
      <c r="AO93" s="702"/>
      <c r="AP93" s="702">
        <f t="shared" si="30"/>
        <v>27839</v>
      </c>
      <c r="AQ93" s="555"/>
      <c r="AR93" s="702">
        <f t="shared" si="31"/>
        <v>0</v>
      </c>
      <c r="AS93" s="555">
        <f t="shared" si="32"/>
        <v>112839</v>
      </c>
      <c r="AT93" s="706"/>
      <c r="AU93" s="706"/>
      <c r="AV93" s="706">
        <f>'CHAM CONG'!AZ264</f>
        <v>0</v>
      </c>
      <c r="AW93" s="706"/>
      <c r="AX93" s="562">
        <f t="shared" si="22"/>
        <v>112839</v>
      </c>
      <c r="AY93" s="707"/>
      <c r="AZ93" s="708">
        <f t="shared" si="33"/>
        <v>3.53</v>
      </c>
      <c r="BA93" s="709"/>
    </row>
    <row r="94" spans="1:53" s="683" customFormat="1" ht="53.4" customHeight="1">
      <c r="A94" s="688">
        <v>85</v>
      </c>
      <c r="B94" s="689">
        <v>3</v>
      </c>
      <c r="C94" s="689">
        <v>132</v>
      </c>
      <c r="D94" s="690"/>
      <c r="E94" s="690"/>
      <c r="F94" s="690"/>
      <c r="G94" s="690" t="str">
        <f>'Tên Tháng 1'!E255</f>
        <v>ចាន់ ណារ៉ុង</v>
      </c>
      <c r="H94" s="690" t="str">
        <f>'Tên Tháng 1'!F255</f>
        <v>CHAN NARONG</v>
      </c>
      <c r="I94" s="693" t="str">
        <f>'CHAM CONG'!G261</f>
        <v>x</v>
      </c>
      <c r="J94" s="693" t="str">
        <f>'CHAM CONG'!H261</f>
        <v>x</v>
      </c>
      <c r="K94" s="693" t="str">
        <f>'CHAM CONG'!I261</f>
        <v>x</v>
      </c>
      <c r="L94" s="693">
        <f>'CHAM CONG'!J261</f>
        <v>0</v>
      </c>
      <c r="M94" s="693" t="str">
        <f>'CHAM CONG'!K261</f>
        <v>x</v>
      </c>
      <c r="N94" s="693" t="str">
        <f>'CHAM CONG'!L261</f>
        <v>x</v>
      </c>
      <c r="O94" s="693" t="str">
        <f>'CHAM CONG'!M261</f>
        <v>x</v>
      </c>
      <c r="P94" s="693" t="str">
        <f>'CHAM CONG'!N261</f>
        <v>x</v>
      </c>
      <c r="Q94" s="693" t="str">
        <f>'CHAM CONG'!O261</f>
        <v>x</v>
      </c>
      <c r="R94" s="693" t="str">
        <f>'CHAM CONG'!P261</f>
        <v>x</v>
      </c>
      <c r="S94" s="693" t="str">
        <f>'CHAM CONG'!Q261</f>
        <v>x</v>
      </c>
      <c r="T94" s="693" t="str">
        <f>'CHAM CONG'!R261</f>
        <v>x</v>
      </c>
      <c r="U94" s="693" t="str">
        <f>'CHAM CONG'!S261</f>
        <v>x</v>
      </c>
      <c r="V94" s="693" t="str">
        <f>'CHAM CONG'!T261</f>
        <v>x</v>
      </c>
      <c r="W94" s="693" t="str">
        <f>'CHAM CONG'!U261</f>
        <v>x</v>
      </c>
      <c r="X94" s="693"/>
      <c r="Y94" s="693"/>
      <c r="Z94" s="698">
        <f t="shared" si="23"/>
        <v>14</v>
      </c>
      <c r="AA94" s="699">
        <f t="shared" si="19"/>
        <v>0</v>
      </c>
      <c r="AB94" s="700">
        <f t="shared" si="24"/>
        <v>224000</v>
      </c>
      <c r="AC94" s="700">
        <f>'CHAM CONG'!V261</f>
        <v>0</v>
      </c>
      <c r="AD94" s="700">
        <f>'CHAM CONG'!X261</f>
        <v>0</v>
      </c>
      <c r="AE94" s="698">
        <f t="shared" si="25"/>
        <v>0</v>
      </c>
      <c r="AF94" s="700">
        <f t="shared" si="26"/>
        <v>0</v>
      </c>
      <c r="AG94" s="700">
        <f t="shared" si="27"/>
        <v>14</v>
      </c>
      <c r="AH94" s="537">
        <f t="shared" si="28"/>
        <v>14000</v>
      </c>
      <c r="AI94" s="700">
        <f t="shared" si="29"/>
        <v>238000</v>
      </c>
      <c r="AJ94" s="693">
        <f>'SAN LUONG'!AF262</f>
        <v>427</v>
      </c>
      <c r="AK94" s="693">
        <f>'SAN LUONG'!AG262</f>
        <v>351</v>
      </c>
      <c r="AL94" s="693">
        <f>'SAN LUONG'!AH262</f>
        <v>196</v>
      </c>
      <c r="AM94" s="702">
        <f t="shared" si="20"/>
        <v>974</v>
      </c>
      <c r="AN94" s="702">
        <f t="shared" si="21"/>
        <v>0</v>
      </c>
      <c r="AO94" s="702"/>
      <c r="AP94" s="702">
        <f t="shared" si="30"/>
        <v>237851</v>
      </c>
      <c r="AQ94" s="555"/>
      <c r="AR94" s="702">
        <f t="shared" si="31"/>
        <v>0</v>
      </c>
      <c r="AS94" s="555">
        <f t="shared" si="32"/>
        <v>475851</v>
      </c>
      <c r="AT94" s="706"/>
      <c r="AU94" s="706"/>
      <c r="AV94" s="706">
        <f>'CHAM CONG'!AZ265</f>
        <v>0</v>
      </c>
      <c r="AW94" s="706"/>
      <c r="AX94" s="562">
        <f t="shared" si="22"/>
        <v>475851</v>
      </c>
      <c r="AY94" s="707"/>
      <c r="AZ94" s="708">
        <f t="shared" si="33"/>
        <v>14.9</v>
      </c>
      <c r="BA94" s="709"/>
    </row>
    <row r="95" spans="1:53" s="683" customFormat="1" ht="56.4" customHeight="1">
      <c r="A95" s="688">
        <v>86</v>
      </c>
      <c r="B95" s="689">
        <v>3</v>
      </c>
      <c r="C95" s="689">
        <v>133</v>
      </c>
      <c r="D95" s="690"/>
      <c r="E95" s="690"/>
      <c r="F95" s="690"/>
      <c r="G95" s="690" t="str">
        <f>'Tên Tháng 1'!E256</f>
        <v>ង៉ា អ៊ាត</v>
      </c>
      <c r="H95" s="690" t="str">
        <f>'Tên Tháng 1'!F256</f>
        <v>NGAR EAT</v>
      </c>
      <c r="I95" s="693" t="str">
        <f>'CHAM CONG'!G262</f>
        <v>x</v>
      </c>
      <c r="J95" s="693" t="str">
        <f>'CHAM CONG'!H262</f>
        <v>x</v>
      </c>
      <c r="K95" s="693" t="str">
        <f>'CHAM CONG'!I262</f>
        <v>x</v>
      </c>
      <c r="L95" s="693">
        <f>'CHAM CONG'!J262</f>
        <v>0</v>
      </c>
      <c r="M95" s="693" t="str">
        <f>'CHAM CONG'!K262</f>
        <v>x</v>
      </c>
      <c r="N95" s="693" t="str">
        <f>'CHAM CONG'!L262</f>
        <v>x</v>
      </c>
      <c r="O95" s="693">
        <f>'CHAM CONG'!M262</f>
        <v>0</v>
      </c>
      <c r="P95" s="693" t="str">
        <f>'CHAM CONG'!N262</f>
        <v>x</v>
      </c>
      <c r="Q95" s="693" t="str">
        <f>'CHAM CONG'!O262</f>
        <v>x</v>
      </c>
      <c r="R95" s="693" t="str">
        <f>'CHAM CONG'!P262</f>
        <v>x</v>
      </c>
      <c r="S95" s="693" t="str">
        <f>'CHAM CONG'!Q262</f>
        <v>x</v>
      </c>
      <c r="T95" s="693" t="str">
        <f>'CHAM CONG'!R262</f>
        <v>x</v>
      </c>
      <c r="U95" s="693" t="str">
        <f>'CHAM CONG'!S262</f>
        <v>x</v>
      </c>
      <c r="V95" s="693" t="str">
        <f>'CHAM CONG'!T262</f>
        <v>x</v>
      </c>
      <c r="W95" s="693" t="str">
        <f>'CHAM CONG'!U262</f>
        <v>x</v>
      </c>
      <c r="X95" s="693"/>
      <c r="Y95" s="693"/>
      <c r="Z95" s="698">
        <f t="shared" si="23"/>
        <v>13</v>
      </c>
      <c r="AA95" s="699">
        <f t="shared" si="19"/>
        <v>0</v>
      </c>
      <c r="AB95" s="700">
        <f t="shared" si="24"/>
        <v>208000</v>
      </c>
      <c r="AC95" s="700">
        <f>'CHAM CONG'!V262</f>
        <v>0</v>
      </c>
      <c r="AD95" s="700">
        <f>'CHAM CONG'!X262</f>
        <v>0</v>
      </c>
      <c r="AE95" s="698">
        <f t="shared" si="25"/>
        <v>0</v>
      </c>
      <c r="AF95" s="700">
        <f t="shared" si="26"/>
        <v>0</v>
      </c>
      <c r="AG95" s="700">
        <f t="shared" si="27"/>
        <v>13</v>
      </c>
      <c r="AH95" s="537">
        <f t="shared" si="28"/>
        <v>13000</v>
      </c>
      <c r="AI95" s="700">
        <f t="shared" si="29"/>
        <v>221000</v>
      </c>
      <c r="AJ95" s="693">
        <f>'SAN LUONG'!AF263</f>
        <v>437</v>
      </c>
      <c r="AK95" s="693">
        <f>'SAN LUONG'!AG263</f>
        <v>384</v>
      </c>
      <c r="AL95" s="693">
        <f>'SAN LUONG'!AH263</f>
        <v>281</v>
      </c>
      <c r="AM95" s="702">
        <f t="shared" si="20"/>
        <v>1102</v>
      </c>
      <c r="AN95" s="702">
        <f t="shared" si="21"/>
        <v>0</v>
      </c>
      <c r="AO95" s="702"/>
      <c r="AP95" s="702">
        <f t="shared" si="30"/>
        <v>269108</v>
      </c>
      <c r="AQ95" s="555"/>
      <c r="AR95" s="702">
        <f t="shared" si="31"/>
        <v>0</v>
      </c>
      <c r="AS95" s="555">
        <f t="shared" si="32"/>
        <v>490108</v>
      </c>
      <c r="AT95" s="706"/>
      <c r="AU95" s="706"/>
      <c r="AV95" s="706">
        <f>'CHAM CONG'!AZ266</f>
        <v>0</v>
      </c>
      <c r="AW95" s="706"/>
      <c r="AX95" s="562">
        <f t="shared" si="22"/>
        <v>490108</v>
      </c>
      <c r="AY95" s="707"/>
      <c r="AZ95" s="708">
        <f t="shared" si="33"/>
        <v>15.34</v>
      </c>
      <c r="BA95" s="709"/>
    </row>
    <row r="96" spans="1:53" s="683" customFormat="1" ht="49.95" customHeight="1">
      <c r="A96" s="688">
        <v>87</v>
      </c>
      <c r="B96" s="689">
        <v>3</v>
      </c>
      <c r="C96" s="689">
        <v>134</v>
      </c>
      <c r="D96" s="690"/>
      <c r="E96" s="690"/>
      <c r="F96" s="690"/>
      <c r="G96" s="690" t="str">
        <f>'Tên Tháng 1'!E257</f>
        <v>ហង់ ស៊ីយាន</v>
      </c>
      <c r="H96" s="690" t="str">
        <f>'Tên Tháng 1'!F257</f>
        <v>HONG SIYEAN</v>
      </c>
      <c r="I96" s="693">
        <f>'CHAM CONG'!G263</f>
        <v>0</v>
      </c>
      <c r="J96" s="693" t="str">
        <f>'CHAM CONG'!H263</f>
        <v>x</v>
      </c>
      <c r="K96" s="693" t="str">
        <f>'CHAM CONG'!I263</f>
        <v>x</v>
      </c>
      <c r="L96" s="693">
        <f>'CHAM CONG'!J263</f>
        <v>0</v>
      </c>
      <c r="M96" s="693">
        <f>'CHAM CONG'!K263</f>
        <v>0</v>
      </c>
      <c r="N96" s="693" t="str">
        <f>'CHAM CONG'!L263</f>
        <v>x</v>
      </c>
      <c r="O96" s="693" t="str">
        <f>'CHAM CONG'!M263</f>
        <v>x</v>
      </c>
      <c r="P96" s="693" t="str">
        <f>'CHAM CONG'!N263</f>
        <v>x</v>
      </c>
      <c r="Q96" s="693" t="str">
        <f>'CHAM CONG'!O263</f>
        <v>x</v>
      </c>
      <c r="R96" s="693" t="str">
        <f>'CHAM CONG'!P263</f>
        <v>x</v>
      </c>
      <c r="S96" s="693" t="str">
        <f>'CHAM CONG'!Q263</f>
        <v>x</v>
      </c>
      <c r="T96" s="693" t="str">
        <f>'CHAM CONG'!R263</f>
        <v>x</v>
      </c>
      <c r="U96" s="693" t="str">
        <f>'CHAM CONG'!S263</f>
        <v>x</v>
      </c>
      <c r="V96" s="693" t="str">
        <f>'CHAM CONG'!T263</f>
        <v>x</v>
      </c>
      <c r="W96" s="693" t="str">
        <f>'CHAM CONG'!U263</f>
        <v>x</v>
      </c>
      <c r="X96" s="693"/>
      <c r="Y96" s="693"/>
      <c r="Z96" s="698">
        <f t="shared" si="23"/>
        <v>12</v>
      </c>
      <c r="AA96" s="699">
        <f t="shared" si="19"/>
        <v>0</v>
      </c>
      <c r="AB96" s="700">
        <f t="shared" si="24"/>
        <v>192000</v>
      </c>
      <c r="AC96" s="700" t="str">
        <f>'CHAM CONG'!V263</f>
        <v>x</v>
      </c>
      <c r="AD96" s="700" t="str">
        <f>'CHAM CONG'!X263</f>
        <v>x</v>
      </c>
      <c r="AE96" s="698">
        <f t="shared" si="25"/>
        <v>2</v>
      </c>
      <c r="AF96" s="700">
        <f t="shared" si="26"/>
        <v>34000</v>
      </c>
      <c r="AG96" s="700">
        <f t="shared" si="27"/>
        <v>12</v>
      </c>
      <c r="AH96" s="537">
        <f t="shared" si="28"/>
        <v>12000</v>
      </c>
      <c r="AI96" s="700">
        <f t="shared" si="29"/>
        <v>238000</v>
      </c>
      <c r="AJ96" s="693">
        <f>'SAN LUONG'!AF264</f>
        <v>258</v>
      </c>
      <c r="AK96" s="693">
        <f>'SAN LUONG'!AG264</f>
        <v>307</v>
      </c>
      <c r="AL96" s="693">
        <f>'SAN LUONG'!AH264</f>
        <v>273</v>
      </c>
      <c r="AM96" s="702">
        <f t="shared" si="20"/>
        <v>838</v>
      </c>
      <c r="AN96" s="702">
        <f t="shared" si="21"/>
        <v>0</v>
      </c>
      <c r="AO96" s="702"/>
      <c r="AP96" s="702">
        <f t="shared" si="30"/>
        <v>204640</v>
      </c>
      <c r="AQ96" s="555"/>
      <c r="AR96" s="702">
        <f t="shared" si="31"/>
        <v>0</v>
      </c>
      <c r="AS96" s="555">
        <f t="shared" si="32"/>
        <v>442640</v>
      </c>
      <c r="AT96" s="706"/>
      <c r="AU96" s="706"/>
      <c r="AV96" s="706">
        <f>'CHAM CONG'!AZ267</f>
        <v>0</v>
      </c>
      <c r="AW96" s="706"/>
      <c r="AX96" s="562">
        <f t="shared" si="22"/>
        <v>442640</v>
      </c>
      <c r="AY96" s="707"/>
      <c r="AZ96" s="708">
        <f t="shared" si="33"/>
        <v>13.86</v>
      </c>
      <c r="BA96" s="709"/>
    </row>
    <row r="97" spans="1:53" s="683" customFormat="1" ht="53.4" customHeight="1">
      <c r="A97" s="688">
        <v>88</v>
      </c>
      <c r="B97" s="689">
        <v>3</v>
      </c>
      <c r="C97" s="689">
        <v>135</v>
      </c>
      <c r="D97" s="690"/>
      <c r="E97" s="690"/>
      <c r="F97" s="690"/>
      <c r="G97" s="690" t="str">
        <f>'Tên Tháng 1'!E258</f>
        <v>បួ សុខជា</v>
      </c>
      <c r="H97" s="690" t="str">
        <f>'Tên Tháng 1'!F258</f>
        <v>BOUR SOKCHEA</v>
      </c>
      <c r="I97" s="693" t="str">
        <f>'CHAM CONG'!G264</f>
        <v>x</v>
      </c>
      <c r="J97" s="693" t="str">
        <f>'CHAM CONG'!H264</f>
        <v>x</v>
      </c>
      <c r="K97" s="693">
        <f>'CHAM CONG'!I264</f>
        <v>0</v>
      </c>
      <c r="L97" s="693">
        <f>'CHAM CONG'!J264</f>
        <v>0</v>
      </c>
      <c r="M97" s="693">
        <f>'CHAM CONG'!K264</f>
        <v>0</v>
      </c>
      <c r="N97" s="693" t="str">
        <f>'CHAM CONG'!L264</f>
        <v>x</v>
      </c>
      <c r="O97" s="693" t="str">
        <f>'CHAM CONG'!M264</f>
        <v>x</v>
      </c>
      <c r="P97" s="693" t="str">
        <f>'CHAM CONG'!N264</f>
        <v>x</v>
      </c>
      <c r="Q97" s="693" t="str">
        <f>'CHAM CONG'!O264</f>
        <v>x</v>
      </c>
      <c r="R97" s="693" t="str">
        <f>'CHAM CONG'!P264</f>
        <v>x</v>
      </c>
      <c r="S97" s="693" t="str">
        <f>'CHAM CONG'!Q264</f>
        <v>x</v>
      </c>
      <c r="T97" s="693" t="str">
        <f>'CHAM CONG'!R264</f>
        <v>x</v>
      </c>
      <c r="U97" s="693" t="str">
        <f>'CHAM CONG'!S264</f>
        <v>x</v>
      </c>
      <c r="V97" s="693" t="str">
        <f>'CHAM CONG'!T264</f>
        <v>x</v>
      </c>
      <c r="W97" s="693" t="str">
        <f>'CHAM CONG'!U264</f>
        <v>x</v>
      </c>
      <c r="X97" s="693"/>
      <c r="Y97" s="693"/>
      <c r="Z97" s="698">
        <f t="shared" si="23"/>
        <v>12</v>
      </c>
      <c r="AA97" s="699">
        <f t="shared" si="19"/>
        <v>0</v>
      </c>
      <c r="AB97" s="700">
        <f t="shared" si="24"/>
        <v>192000</v>
      </c>
      <c r="AC97" s="700" t="str">
        <f>'CHAM CONG'!V264</f>
        <v>x</v>
      </c>
      <c r="AD97" s="700">
        <f>'CHAM CONG'!X264</f>
        <v>0</v>
      </c>
      <c r="AE97" s="698">
        <f t="shared" si="25"/>
        <v>1</v>
      </c>
      <c r="AF97" s="700">
        <f t="shared" si="26"/>
        <v>17000</v>
      </c>
      <c r="AG97" s="700">
        <f t="shared" si="27"/>
        <v>12</v>
      </c>
      <c r="AH97" s="537">
        <f t="shared" si="28"/>
        <v>12000</v>
      </c>
      <c r="AI97" s="700">
        <f t="shared" si="29"/>
        <v>221000</v>
      </c>
      <c r="AJ97" s="693">
        <f>'SAN LUONG'!AF265</f>
        <v>394</v>
      </c>
      <c r="AK97" s="693">
        <f>'SAN LUONG'!AG265</f>
        <v>353</v>
      </c>
      <c r="AL97" s="693">
        <f>'SAN LUONG'!AH265</f>
        <v>249</v>
      </c>
      <c r="AM97" s="702">
        <f t="shared" si="20"/>
        <v>996</v>
      </c>
      <c r="AN97" s="702">
        <f t="shared" si="21"/>
        <v>0</v>
      </c>
      <c r="AO97" s="702"/>
      <c r="AP97" s="702">
        <f t="shared" si="30"/>
        <v>243223</v>
      </c>
      <c r="AQ97" s="555"/>
      <c r="AR97" s="702">
        <f t="shared" si="31"/>
        <v>0</v>
      </c>
      <c r="AS97" s="555">
        <f t="shared" si="32"/>
        <v>464223</v>
      </c>
      <c r="AT97" s="706"/>
      <c r="AU97" s="706"/>
      <c r="AV97" s="706">
        <f>'CHAM CONG'!AZ268</f>
        <v>0</v>
      </c>
      <c r="AW97" s="706"/>
      <c r="AX97" s="562">
        <f t="shared" si="22"/>
        <v>464223</v>
      </c>
      <c r="AY97" s="707"/>
      <c r="AZ97" s="708">
        <f t="shared" si="33"/>
        <v>14.53</v>
      </c>
      <c r="BA97" s="709"/>
    </row>
    <row r="98" spans="1:53" s="683" customFormat="1" ht="61.95" customHeight="1">
      <c r="A98" s="688">
        <v>89</v>
      </c>
      <c r="B98" s="689">
        <v>3</v>
      </c>
      <c r="C98" s="689">
        <v>136</v>
      </c>
      <c r="D98" s="690"/>
      <c r="E98" s="690"/>
      <c r="F98" s="690"/>
      <c r="G98" s="690" t="str">
        <f>'Tên Tháng 1'!E259</f>
        <v>ឃឹម ធឿន</v>
      </c>
      <c r="H98" s="690" t="str">
        <f>'Tên Tháng 1'!F259</f>
        <v>KHOEM THOEUN</v>
      </c>
      <c r="I98" s="693">
        <f>'CHAM CONG'!G265</f>
        <v>0</v>
      </c>
      <c r="J98" s="693" t="str">
        <f>'CHAM CONG'!H265</f>
        <v>x</v>
      </c>
      <c r="K98" s="693">
        <f>'CHAM CONG'!I265</f>
        <v>0</v>
      </c>
      <c r="L98" s="693">
        <f>'CHAM CONG'!J265</f>
        <v>0</v>
      </c>
      <c r="M98" s="693" t="str">
        <f>'CHAM CONG'!K265</f>
        <v>x</v>
      </c>
      <c r="N98" s="693" t="str">
        <f>'CHAM CONG'!L265</f>
        <v>x</v>
      </c>
      <c r="O98" s="693" t="str">
        <f>'CHAM CONG'!M265</f>
        <v>x</v>
      </c>
      <c r="P98" s="693" t="str">
        <f>'CHAM CONG'!N265</f>
        <v>x</v>
      </c>
      <c r="Q98" s="693" t="str">
        <f>'CHAM CONG'!O265</f>
        <v>x</v>
      </c>
      <c r="R98" s="693" t="str">
        <f>'CHAM CONG'!P265</f>
        <v>x</v>
      </c>
      <c r="S98" s="693" t="str">
        <f>'CHAM CONG'!Q265</f>
        <v>x</v>
      </c>
      <c r="T98" s="693" t="str">
        <f>'CHAM CONG'!R265</f>
        <v>x</v>
      </c>
      <c r="U98" s="693" t="str">
        <f>'CHAM CONG'!S265</f>
        <v>x</v>
      </c>
      <c r="V98" s="693">
        <f>'CHAM CONG'!T265</f>
        <v>0</v>
      </c>
      <c r="W98" s="693">
        <f>'CHAM CONG'!U265</f>
        <v>0</v>
      </c>
      <c r="X98" s="693"/>
      <c r="Y98" s="693"/>
      <c r="Z98" s="698">
        <f t="shared" si="23"/>
        <v>10</v>
      </c>
      <c r="AA98" s="699">
        <f t="shared" si="19"/>
        <v>0</v>
      </c>
      <c r="AB98" s="700">
        <f t="shared" si="24"/>
        <v>160000</v>
      </c>
      <c r="AC98" s="700" t="str">
        <f>'CHAM CONG'!V265</f>
        <v>x</v>
      </c>
      <c r="AD98" s="700">
        <f>'CHAM CONG'!X265</f>
        <v>0</v>
      </c>
      <c r="AE98" s="698">
        <f t="shared" si="25"/>
        <v>1</v>
      </c>
      <c r="AF98" s="700">
        <f t="shared" si="26"/>
        <v>17000</v>
      </c>
      <c r="AG98" s="700">
        <f t="shared" si="27"/>
        <v>10</v>
      </c>
      <c r="AH98" s="537">
        <f t="shared" si="28"/>
        <v>10000</v>
      </c>
      <c r="AI98" s="700">
        <f t="shared" si="29"/>
        <v>187000</v>
      </c>
      <c r="AJ98" s="693">
        <f>'SAN LUONG'!AF266</f>
        <v>457</v>
      </c>
      <c r="AK98" s="693">
        <f>'SAN LUONG'!AG266</f>
        <v>478</v>
      </c>
      <c r="AL98" s="693">
        <f>'SAN LUONG'!AH266</f>
        <v>173</v>
      </c>
      <c r="AM98" s="702">
        <f t="shared" si="20"/>
        <v>1108</v>
      </c>
      <c r="AN98" s="702">
        <f t="shared" si="21"/>
        <v>0</v>
      </c>
      <c r="AO98" s="702"/>
      <c r="AP98" s="702">
        <f t="shared" si="30"/>
        <v>270574</v>
      </c>
      <c r="AQ98" s="555"/>
      <c r="AR98" s="702">
        <f t="shared" si="31"/>
        <v>0</v>
      </c>
      <c r="AS98" s="555">
        <f t="shared" si="32"/>
        <v>457574</v>
      </c>
      <c r="AT98" s="706"/>
      <c r="AU98" s="706"/>
      <c r="AV98" s="706">
        <f>'CHAM CONG'!AZ269</f>
        <v>0</v>
      </c>
      <c r="AW98" s="706"/>
      <c r="AX98" s="562">
        <f t="shared" si="22"/>
        <v>457574</v>
      </c>
      <c r="AY98" s="707">
        <f>SUM(AX55:AX98)</f>
        <v>20502597</v>
      </c>
      <c r="AZ98" s="708">
        <f t="shared" si="33"/>
        <v>14.32</v>
      </c>
      <c r="BA98" s="709"/>
    </row>
    <row r="99" spans="1:53" s="683" customFormat="1" ht="44.4" customHeight="1">
      <c r="A99" s="688">
        <v>90</v>
      </c>
      <c r="B99" s="689">
        <v>6</v>
      </c>
      <c r="C99" s="689">
        <v>215</v>
      </c>
      <c r="D99" s="690"/>
      <c r="E99" s="690"/>
      <c r="F99" s="690"/>
      <c r="G99" s="690" t="str">
        <f>'Tên Tháng 1'!E260</f>
        <v>ហន ហាយ</v>
      </c>
      <c r="H99" s="690" t="str">
        <f>'Tên Tháng 1'!F260</f>
        <v>HORN HAY</v>
      </c>
      <c r="I99" s="693">
        <f>'CHAM CONG'!G266</f>
        <v>0</v>
      </c>
      <c r="J99" s="693" t="str">
        <f>'CHAM CONG'!H266</f>
        <v>x</v>
      </c>
      <c r="K99" s="693" t="str">
        <f>'CHAM CONG'!I266</f>
        <v>x</v>
      </c>
      <c r="L99" s="693">
        <f>'CHAM CONG'!J266</f>
        <v>0</v>
      </c>
      <c r="M99" s="693" t="str">
        <f>'CHAM CONG'!K266</f>
        <v>x</v>
      </c>
      <c r="N99" s="693" t="str">
        <f>'CHAM CONG'!L266</f>
        <v>x</v>
      </c>
      <c r="O99" s="693" t="str">
        <f>'CHAM CONG'!M266</f>
        <v>x</v>
      </c>
      <c r="P99" s="693" t="str">
        <f>'CHAM CONG'!N266</f>
        <v>x</v>
      </c>
      <c r="Q99" s="693" t="str">
        <f>'CHAM CONG'!O266</f>
        <v>x</v>
      </c>
      <c r="R99" s="693" t="str">
        <f>'CHAM CONG'!P266</f>
        <v>x</v>
      </c>
      <c r="S99" s="693">
        <f>'CHAM CONG'!Q266</f>
        <v>0</v>
      </c>
      <c r="T99" s="693" t="str">
        <f>'CHAM CONG'!R266</f>
        <v>x</v>
      </c>
      <c r="U99" s="693" t="str">
        <f>'CHAM CONG'!S266</f>
        <v>x</v>
      </c>
      <c r="V99" s="693" t="str">
        <f>'CHAM CONG'!T266</f>
        <v>x</v>
      </c>
      <c r="W99" s="693" t="str">
        <f>'CHAM CONG'!U266</f>
        <v>x</v>
      </c>
      <c r="X99" s="693"/>
      <c r="Y99" s="693"/>
      <c r="Z99" s="698">
        <f t="shared" si="23"/>
        <v>12</v>
      </c>
      <c r="AA99" s="699">
        <f t="shared" si="19"/>
        <v>0</v>
      </c>
      <c r="AB99" s="700">
        <f t="shared" si="24"/>
        <v>192000</v>
      </c>
      <c r="AC99" s="700" t="str">
        <f>'CHAM CONG'!V266</f>
        <v>x</v>
      </c>
      <c r="AD99" s="700" t="str">
        <f>'CHAM CONG'!X266</f>
        <v>x</v>
      </c>
      <c r="AE99" s="698">
        <f t="shared" si="25"/>
        <v>2</v>
      </c>
      <c r="AF99" s="700">
        <f t="shared" si="26"/>
        <v>34000</v>
      </c>
      <c r="AG99" s="700">
        <f t="shared" si="27"/>
        <v>12</v>
      </c>
      <c r="AH99" s="537">
        <f t="shared" si="28"/>
        <v>12000</v>
      </c>
      <c r="AI99" s="700">
        <f t="shared" si="29"/>
        <v>238000</v>
      </c>
      <c r="AJ99" s="693">
        <f>'SAN LUONG'!AF267</f>
        <v>785</v>
      </c>
      <c r="AK99" s="693">
        <f>'SAN LUONG'!AG267</f>
        <v>467</v>
      </c>
      <c r="AL99" s="693">
        <f>'SAN LUONG'!AH267</f>
        <v>104</v>
      </c>
      <c r="AM99" s="702">
        <f>AL99</f>
        <v>104</v>
      </c>
      <c r="AN99" s="702">
        <f t="shared" si="21"/>
        <v>0</v>
      </c>
      <c r="AO99" s="702"/>
      <c r="AP99" s="702">
        <f t="shared" si="30"/>
        <v>25397</v>
      </c>
      <c r="AQ99" s="702">
        <f>SUM(AJ99:AL99)-AM99</f>
        <v>1252</v>
      </c>
      <c r="AR99" s="702">
        <f t="shared" si="31"/>
        <v>250650</v>
      </c>
      <c r="AS99" s="555">
        <f t="shared" si="32"/>
        <v>514047</v>
      </c>
      <c r="AT99" s="706"/>
      <c r="AU99" s="706"/>
      <c r="AV99" s="706">
        <f>'CHAM CONG'!AZ270</f>
        <v>0</v>
      </c>
      <c r="AW99" s="706"/>
      <c r="AX99" s="562">
        <f t="shared" si="22"/>
        <v>514047</v>
      </c>
      <c r="AY99" s="707"/>
      <c r="AZ99" s="708">
        <f t="shared" si="33"/>
        <v>16.09</v>
      </c>
      <c r="BA99" s="709"/>
    </row>
    <row r="100" spans="1:53" s="683" customFormat="1" ht="44.4" customHeight="1">
      <c r="A100" s="688">
        <v>91</v>
      </c>
      <c r="B100" s="689">
        <v>6</v>
      </c>
      <c r="C100" s="689">
        <v>216</v>
      </c>
      <c r="D100" s="690"/>
      <c r="E100" s="690"/>
      <c r="F100" s="690"/>
      <c r="G100" s="690" t="str">
        <f>'Tên Tháng 1'!E261</f>
        <v>លាង ផា</v>
      </c>
      <c r="H100" s="690" t="str">
        <f>'Tên Tháng 1'!F261</f>
        <v>LEANG PHA</v>
      </c>
      <c r="I100" s="693">
        <f>'CHAM CONG'!G267</f>
        <v>0</v>
      </c>
      <c r="J100" s="693" t="str">
        <f>'CHAM CONG'!H267</f>
        <v>x</v>
      </c>
      <c r="K100" s="693">
        <f>'CHAM CONG'!I267</f>
        <v>0</v>
      </c>
      <c r="L100" s="693">
        <f>'CHAM CONG'!J267</f>
        <v>0</v>
      </c>
      <c r="M100" s="693" t="str">
        <f>'CHAM CONG'!K267</f>
        <v>x</v>
      </c>
      <c r="N100" s="693" t="str">
        <f>'CHAM CONG'!L267</f>
        <v>x</v>
      </c>
      <c r="O100" s="693" t="str">
        <f>'CHAM CONG'!M267</f>
        <v>x</v>
      </c>
      <c r="P100" s="693">
        <f>'CHAM CONG'!N267</f>
        <v>0</v>
      </c>
      <c r="Q100" s="693" t="str">
        <f>'CHAM CONG'!O267</f>
        <v>x</v>
      </c>
      <c r="R100" s="693" t="str">
        <f>'CHAM CONG'!P267</f>
        <v>x</v>
      </c>
      <c r="S100" s="693" t="str">
        <f>'CHAM CONG'!Q267</f>
        <v>x</v>
      </c>
      <c r="T100" s="693">
        <f>'CHAM CONG'!R267</f>
        <v>0</v>
      </c>
      <c r="U100" s="693" t="str">
        <f>'CHAM CONG'!S267</f>
        <v>x</v>
      </c>
      <c r="V100" s="693" t="str">
        <f>'CHAM CONG'!T267</f>
        <v>x</v>
      </c>
      <c r="W100" s="693" t="str">
        <f>'CHAM CONG'!U267</f>
        <v>x</v>
      </c>
      <c r="X100" s="693"/>
      <c r="Y100" s="693"/>
      <c r="Z100" s="698">
        <f t="shared" si="23"/>
        <v>10</v>
      </c>
      <c r="AA100" s="699">
        <f t="shared" si="19"/>
        <v>0</v>
      </c>
      <c r="AB100" s="700">
        <f t="shared" si="24"/>
        <v>160000</v>
      </c>
      <c r="AC100" s="700" t="str">
        <f>'CHAM CONG'!V267</f>
        <v>x</v>
      </c>
      <c r="AD100" s="700" t="str">
        <f>'CHAM CONG'!X267</f>
        <v>x</v>
      </c>
      <c r="AE100" s="698">
        <f t="shared" si="25"/>
        <v>2</v>
      </c>
      <c r="AF100" s="700">
        <f t="shared" si="26"/>
        <v>34000</v>
      </c>
      <c r="AG100" s="700">
        <f t="shared" si="27"/>
        <v>10</v>
      </c>
      <c r="AH100" s="537">
        <f t="shared" si="28"/>
        <v>10000</v>
      </c>
      <c r="AI100" s="700">
        <f t="shared" si="29"/>
        <v>204000</v>
      </c>
      <c r="AJ100" s="693">
        <f>'SAN LUONG'!AF268</f>
        <v>498</v>
      </c>
      <c r="AK100" s="693">
        <f>'SAN LUONG'!AG268</f>
        <v>423</v>
      </c>
      <c r="AL100" s="693">
        <f>'SAN LUONG'!AH268</f>
        <v>248</v>
      </c>
      <c r="AM100" s="702">
        <f t="shared" ref="AM100:AM116" si="34">AL100</f>
        <v>248</v>
      </c>
      <c r="AN100" s="702">
        <f t="shared" si="21"/>
        <v>0</v>
      </c>
      <c r="AO100" s="702"/>
      <c r="AP100" s="702">
        <f t="shared" si="30"/>
        <v>60562</v>
      </c>
      <c r="AQ100" s="702">
        <f t="shared" ref="AQ100:AQ146" si="35">SUM(AJ100:AL100)-AM100</f>
        <v>921</v>
      </c>
      <c r="AR100" s="702">
        <f t="shared" si="31"/>
        <v>184384</v>
      </c>
      <c r="AS100" s="555">
        <f t="shared" si="32"/>
        <v>448946</v>
      </c>
      <c r="AT100" s="706"/>
      <c r="AU100" s="706"/>
      <c r="AV100" s="706">
        <f>'CHAM CONG'!AZ271</f>
        <v>0</v>
      </c>
      <c r="AW100" s="706"/>
      <c r="AX100" s="562">
        <f t="shared" si="22"/>
        <v>448946</v>
      </c>
      <c r="AY100" s="707"/>
      <c r="AZ100" s="708">
        <f t="shared" si="33"/>
        <v>14.05</v>
      </c>
      <c r="BA100" s="709"/>
    </row>
    <row r="101" spans="1:53" s="683" customFormat="1" ht="44.4" customHeight="1">
      <c r="A101" s="688">
        <v>92</v>
      </c>
      <c r="B101" s="689">
        <v>6</v>
      </c>
      <c r="C101" s="689">
        <v>217</v>
      </c>
      <c r="D101" s="690"/>
      <c r="E101" s="690"/>
      <c r="F101" s="690"/>
      <c r="G101" s="690" t="str">
        <f>'Tên Tháng 1'!E262</f>
        <v>អ៊ឹម ចាន់ណា</v>
      </c>
      <c r="H101" s="690" t="str">
        <f>'Tên Tháng 1'!F262</f>
        <v>OEM CHANNA</v>
      </c>
      <c r="I101" s="693" t="str">
        <f>'CHAM CONG'!G268</f>
        <v>x</v>
      </c>
      <c r="J101" s="693" t="str">
        <f>'CHAM CONG'!H268</f>
        <v>x</v>
      </c>
      <c r="K101" s="693">
        <f>'CHAM CONG'!I268</f>
        <v>0</v>
      </c>
      <c r="L101" s="693">
        <f>'CHAM CONG'!J268</f>
        <v>0</v>
      </c>
      <c r="M101" s="693" t="str">
        <f>'CHAM CONG'!K268</f>
        <v>x</v>
      </c>
      <c r="N101" s="693" t="str">
        <f>'CHAM CONG'!L268</f>
        <v>x</v>
      </c>
      <c r="O101" s="693" t="str">
        <f>'CHAM CONG'!M268</f>
        <v>x</v>
      </c>
      <c r="P101" s="693" t="str">
        <f>'CHAM CONG'!N268</f>
        <v>x</v>
      </c>
      <c r="Q101" s="693" t="str">
        <f>'CHAM CONG'!O268</f>
        <v>x</v>
      </c>
      <c r="R101" s="693" t="str">
        <f>'CHAM CONG'!P268</f>
        <v>x</v>
      </c>
      <c r="S101" s="693" t="str">
        <f>'CHAM CONG'!Q268</f>
        <v>x</v>
      </c>
      <c r="T101" s="693">
        <f>'CHAM CONG'!R268</f>
        <v>0</v>
      </c>
      <c r="U101" s="693" t="str">
        <f>'CHAM CONG'!S268</f>
        <v>x</v>
      </c>
      <c r="V101" s="693" t="str">
        <f>'CHAM CONG'!T268</f>
        <v>x</v>
      </c>
      <c r="W101" s="693" t="str">
        <f>'CHAM CONG'!U268</f>
        <v>x</v>
      </c>
      <c r="X101" s="693"/>
      <c r="Y101" s="693"/>
      <c r="Z101" s="698">
        <f t="shared" si="23"/>
        <v>12</v>
      </c>
      <c r="AA101" s="699">
        <f t="shared" si="19"/>
        <v>0</v>
      </c>
      <c r="AB101" s="700">
        <f t="shared" si="24"/>
        <v>192000</v>
      </c>
      <c r="AC101" s="700">
        <f>'CHAM CONG'!V268</f>
        <v>0</v>
      </c>
      <c r="AD101" s="700">
        <f>'CHAM CONG'!X268</f>
        <v>0</v>
      </c>
      <c r="AE101" s="698">
        <f t="shared" si="25"/>
        <v>0</v>
      </c>
      <c r="AF101" s="700">
        <f t="shared" si="26"/>
        <v>0</v>
      </c>
      <c r="AG101" s="700">
        <f t="shared" si="27"/>
        <v>12</v>
      </c>
      <c r="AH101" s="537">
        <f t="shared" si="28"/>
        <v>12000</v>
      </c>
      <c r="AI101" s="700">
        <f t="shared" si="29"/>
        <v>204000</v>
      </c>
      <c r="AJ101" s="693">
        <f>'SAN LUONG'!AF269</f>
        <v>687</v>
      </c>
      <c r="AK101" s="693">
        <f>'SAN LUONG'!AG269</f>
        <v>442</v>
      </c>
      <c r="AL101" s="693">
        <f>'SAN LUONG'!AH269</f>
        <v>369</v>
      </c>
      <c r="AM101" s="702">
        <f t="shared" si="34"/>
        <v>369</v>
      </c>
      <c r="AN101" s="702">
        <f t="shared" si="21"/>
        <v>0</v>
      </c>
      <c r="AO101" s="702"/>
      <c r="AP101" s="702">
        <f t="shared" si="30"/>
        <v>90110</v>
      </c>
      <c r="AQ101" s="702">
        <f t="shared" si="35"/>
        <v>1129</v>
      </c>
      <c r="AR101" s="702">
        <f t="shared" si="31"/>
        <v>226026</v>
      </c>
      <c r="AS101" s="555">
        <f t="shared" si="32"/>
        <v>520136</v>
      </c>
      <c r="AT101" s="706"/>
      <c r="AU101" s="706"/>
      <c r="AV101" s="706">
        <f>'CHAM CONG'!AZ272</f>
        <v>0</v>
      </c>
      <c r="AW101" s="706"/>
      <c r="AX101" s="562">
        <f t="shared" si="22"/>
        <v>520136</v>
      </c>
      <c r="AY101" s="707"/>
      <c r="AZ101" s="708">
        <f t="shared" si="33"/>
        <v>16.28</v>
      </c>
      <c r="BA101" s="709"/>
    </row>
    <row r="102" spans="1:53" s="683" customFormat="1" ht="44.4" customHeight="1">
      <c r="A102" s="688">
        <v>93</v>
      </c>
      <c r="B102" s="689">
        <v>6</v>
      </c>
      <c r="C102" s="689">
        <v>218</v>
      </c>
      <c r="D102" s="690"/>
      <c r="E102" s="690"/>
      <c r="F102" s="690"/>
      <c r="G102" s="690" t="str">
        <f>'Tên Tháng 1'!E263</f>
        <v>អៀង វី</v>
      </c>
      <c r="H102" s="690" t="str">
        <f>'Tên Tháng 1'!F263</f>
        <v>EANG VY</v>
      </c>
      <c r="I102" s="693">
        <f>'CHAM CONG'!G269</f>
        <v>0</v>
      </c>
      <c r="J102" s="693" t="str">
        <f>'CHAM CONG'!H269</f>
        <v>x</v>
      </c>
      <c r="K102" s="693" t="str">
        <f>'CHAM CONG'!I269</f>
        <v>x</v>
      </c>
      <c r="L102" s="693">
        <f>'CHAM CONG'!J269</f>
        <v>0</v>
      </c>
      <c r="M102" s="693" t="str">
        <f>'CHAM CONG'!K269</f>
        <v>x</v>
      </c>
      <c r="N102" s="693" t="str">
        <f>'CHAM CONG'!L269</f>
        <v>x</v>
      </c>
      <c r="O102" s="693" t="str">
        <f>'CHAM CONG'!M269</f>
        <v>x</v>
      </c>
      <c r="P102" s="693" t="str">
        <f>'CHAM CONG'!N269</f>
        <v>x</v>
      </c>
      <c r="Q102" s="693" t="str">
        <f>'CHAM CONG'!O269</f>
        <v>x</v>
      </c>
      <c r="R102" s="693" t="str">
        <f>'CHAM CONG'!P269</f>
        <v>x</v>
      </c>
      <c r="S102" s="693" t="str">
        <f>'CHAM CONG'!Q269</f>
        <v>x</v>
      </c>
      <c r="T102" s="693" t="str">
        <f>'CHAM CONG'!R269</f>
        <v>x</v>
      </c>
      <c r="U102" s="693" t="str">
        <f>'CHAM CONG'!S269</f>
        <v>x</v>
      </c>
      <c r="V102" s="693" t="str">
        <f>'CHAM CONG'!T269</f>
        <v>x</v>
      </c>
      <c r="W102" s="693" t="str">
        <f>'CHAM CONG'!U269</f>
        <v>x</v>
      </c>
      <c r="X102" s="693"/>
      <c r="Y102" s="693"/>
      <c r="Z102" s="698">
        <f t="shared" si="23"/>
        <v>13</v>
      </c>
      <c r="AA102" s="699">
        <f t="shared" si="19"/>
        <v>0</v>
      </c>
      <c r="AB102" s="700">
        <f t="shared" si="24"/>
        <v>208000</v>
      </c>
      <c r="AC102" s="700" t="str">
        <f>'CHAM CONG'!V269</f>
        <v>x</v>
      </c>
      <c r="AD102" s="700">
        <f>'CHAM CONG'!X269</f>
        <v>0</v>
      </c>
      <c r="AE102" s="698">
        <f t="shared" si="25"/>
        <v>1</v>
      </c>
      <c r="AF102" s="700">
        <f t="shared" si="26"/>
        <v>17000</v>
      </c>
      <c r="AG102" s="700">
        <f t="shared" si="27"/>
        <v>13</v>
      </c>
      <c r="AH102" s="537">
        <f t="shared" si="28"/>
        <v>13000</v>
      </c>
      <c r="AI102" s="700">
        <f t="shared" si="29"/>
        <v>238000</v>
      </c>
      <c r="AJ102" s="693">
        <f>'SAN LUONG'!AF270</f>
        <v>543</v>
      </c>
      <c r="AK102" s="693">
        <f>'SAN LUONG'!AG270</f>
        <v>705</v>
      </c>
      <c r="AL102" s="693">
        <f>'SAN LUONG'!AH270</f>
        <v>374</v>
      </c>
      <c r="AM102" s="702">
        <f t="shared" si="34"/>
        <v>374</v>
      </c>
      <c r="AN102" s="702">
        <f t="shared" si="21"/>
        <v>0</v>
      </c>
      <c r="AO102" s="702"/>
      <c r="AP102" s="702">
        <f t="shared" si="30"/>
        <v>91331</v>
      </c>
      <c r="AQ102" s="702">
        <f t="shared" si="35"/>
        <v>1248</v>
      </c>
      <c r="AR102" s="702">
        <f t="shared" si="31"/>
        <v>249850</v>
      </c>
      <c r="AS102" s="555">
        <f t="shared" si="32"/>
        <v>579181</v>
      </c>
      <c r="AT102" s="706"/>
      <c r="AU102" s="706"/>
      <c r="AV102" s="706">
        <f>'CHAM CONG'!AZ273</f>
        <v>0</v>
      </c>
      <c r="AW102" s="706"/>
      <c r="AX102" s="562">
        <f t="shared" si="22"/>
        <v>579181</v>
      </c>
      <c r="AY102" s="707"/>
      <c r="AZ102" s="708">
        <f t="shared" si="33"/>
        <v>18.13</v>
      </c>
      <c r="BA102" s="709"/>
    </row>
    <row r="103" spans="1:53" s="683" customFormat="1" ht="44.4" customHeight="1">
      <c r="A103" s="688">
        <v>94</v>
      </c>
      <c r="B103" s="689">
        <v>6</v>
      </c>
      <c r="C103" s="689">
        <v>219</v>
      </c>
      <c r="D103" s="690"/>
      <c r="E103" s="690"/>
      <c r="F103" s="690"/>
      <c r="G103" s="690" t="str">
        <f>'Tên Tháng 1'!E264</f>
        <v>បុន បួត</v>
      </c>
      <c r="H103" s="690" t="str">
        <f>'Tên Tháng 1'!F264</f>
        <v>BON BUOT</v>
      </c>
      <c r="I103" s="693" t="str">
        <f>'CHAM CONG'!G270</f>
        <v>x</v>
      </c>
      <c r="J103" s="693" t="str">
        <f>'CHAM CONG'!H270</f>
        <v>x</v>
      </c>
      <c r="K103" s="693" t="str">
        <f>'CHAM CONG'!I270</f>
        <v>x</v>
      </c>
      <c r="L103" s="693">
        <f>'CHAM CONG'!J270</f>
        <v>0</v>
      </c>
      <c r="M103" s="693" t="str">
        <f>'CHAM CONG'!K270</f>
        <v>x</v>
      </c>
      <c r="N103" s="693">
        <f>'CHAM CONG'!L270</f>
        <v>0</v>
      </c>
      <c r="O103" s="693" t="str">
        <f>'CHAM CONG'!M270</f>
        <v>x</v>
      </c>
      <c r="P103" s="693" t="str">
        <f>'CHAM CONG'!N270</f>
        <v>x</v>
      </c>
      <c r="Q103" s="693" t="str">
        <f>'CHAM CONG'!O270</f>
        <v>x</v>
      </c>
      <c r="R103" s="693" t="str">
        <f>'CHAM CONG'!P270</f>
        <v>x</v>
      </c>
      <c r="S103" s="693" t="str">
        <f>'CHAM CONG'!Q270</f>
        <v>x</v>
      </c>
      <c r="T103" s="693" t="str">
        <f>'CHAM CONG'!R270</f>
        <v>x</v>
      </c>
      <c r="U103" s="693" t="str">
        <f>'CHAM CONG'!S270</f>
        <v>x</v>
      </c>
      <c r="V103" s="693" t="str">
        <f>'CHAM CONG'!T270</f>
        <v>x</v>
      </c>
      <c r="W103" s="693" t="str">
        <f>'CHAM CONG'!U270</f>
        <v>x</v>
      </c>
      <c r="X103" s="693"/>
      <c r="Y103" s="693"/>
      <c r="Z103" s="698">
        <f t="shared" si="23"/>
        <v>13</v>
      </c>
      <c r="AA103" s="699">
        <f t="shared" si="19"/>
        <v>0</v>
      </c>
      <c r="AB103" s="700">
        <f t="shared" si="24"/>
        <v>208000</v>
      </c>
      <c r="AC103" s="700" t="str">
        <f>'CHAM CONG'!V270</f>
        <v>x</v>
      </c>
      <c r="AD103" s="700">
        <f>'CHAM CONG'!X270</f>
        <v>0</v>
      </c>
      <c r="AE103" s="698">
        <f t="shared" si="25"/>
        <v>1</v>
      </c>
      <c r="AF103" s="700">
        <f t="shared" si="26"/>
        <v>17000</v>
      </c>
      <c r="AG103" s="700">
        <f t="shared" si="27"/>
        <v>13</v>
      </c>
      <c r="AH103" s="537">
        <f t="shared" si="28"/>
        <v>13000</v>
      </c>
      <c r="AI103" s="700">
        <f t="shared" si="29"/>
        <v>238000</v>
      </c>
      <c r="AJ103" s="693">
        <f>'SAN LUONG'!AF271</f>
        <v>612</v>
      </c>
      <c r="AK103" s="693">
        <f>'SAN LUONG'!AG271</f>
        <v>648</v>
      </c>
      <c r="AL103" s="693">
        <f>'SAN LUONG'!AH271</f>
        <v>344</v>
      </c>
      <c r="AM103" s="702">
        <f t="shared" si="34"/>
        <v>344</v>
      </c>
      <c r="AN103" s="702">
        <f t="shared" si="21"/>
        <v>0</v>
      </c>
      <c r="AO103" s="702"/>
      <c r="AP103" s="702">
        <f t="shared" si="30"/>
        <v>84005</v>
      </c>
      <c r="AQ103" s="702">
        <f t="shared" si="35"/>
        <v>1260</v>
      </c>
      <c r="AR103" s="702">
        <f t="shared" si="31"/>
        <v>252252</v>
      </c>
      <c r="AS103" s="555">
        <f t="shared" si="32"/>
        <v>574257</v>
      </c>
      <c r="AT103" s="706"/>
      <c r="AU103" s="706"/>
      <c r="AV103" s="706">
        <f>'CHAM CONG'!AZ274</f>
        <v>0</v>
      </c>
      <c r="AW103" s="706"/>
      <c r="AX103" s="562">
        <f t="shared" si="22"/>
        <v>574257</v>
      </c>
      <c r="AY103" s="707"/>
      <c r="AZ103" s="708">
        <f t="shared" si="33"/>
        <v>17.98</v>
      </c>
      <c r="BA103" s="709"/>
    </row>
    <row r="104" spans="1:53" s="683" customFormat="1" ht="44.4" customHeight="1">
      <c r="A104" s="688">
        <v>95</v>
      </c>
      <c r="B104" s="689">
        <v>6</v>
      </c>
      <c r="C104" s="689">
        <v>220</v>
      </c>
      <c r="D104" s="690"/>
      <c r="E104" s="690"/>
      <c r="F104" s="690"/>
      <c r="G104" s="690" t="str">
        <f>'Tên Tháng 1'!E265</f>
        <v>អ៊ួន ខ្មិក</v>
      </c>
      <c r="H104" s="690" t="str">
        <f>'Tên Tháng 1'!F265</f>
        <v>OUN KHMEK</v>
      </c>
      <c r="I104" s="693">
        <f>'CHAM CONG'!G271</f>
        <v>0</v>
      </c>
      <c r="J104" s="693" t="str">
        <f>'CHAM CONG'!H271</f>
        <v>x</v>
      </c>
      <c r="K104" s="693" t="str">
        <f>'CHAM CONG'!I271</f>
        <v>x</v>
      </c>
      <c r="L104" s="693">
        <f>'CHAM CONG'!J271</f>
        <v>0</v>
      </c>
      <c r="M104" s="693" t="str">
        <f>'CHAM CONG'!K271</f>
        <v>x</v>
      </c>
      <c r="N104" s="693" t="str">
        <f>'CHAM CONG'!L271</f>
        <v>x</v>
      </c>
      <c r="O104" s="693">
        <f>'CHAM CONG'!M271</f>
        <v>0</v>
      </c>
      <c r="P104" s="693" t="str">
        <f>'CHAM CONG'!N271</f>
        <v>x</v>
      </c>
      <c r="Q104" s="693" t="str">
        <f>'CHAM CONG'!O271</f>
        <v>x</v>
      </c>
      <c r="R104" s="693" t="str">
        <f>'CHAM CONG'!P271</f>
        <v>x</v>
      </c>
      <c r="S104" s="693" t="str">
        <f>'CHAM CONG'!Q271</f>
        <v>x</v>
      </c>
      <c r="T104" s="693" t="str">
        <f>'CHAM CONG'!R271</f>
        <v>x</v>
      </c>
      <c r="U104" s="693" t="str">
        <f>'CHAM CONG'!S271</f>
        <v>x</v>
      </c>
      <c r="V104" s="693" t="str">
        <f>'CHAM CONG'!T271</f>
        <v>x</v>
      </c>
      <c r="W104" s="693" t="str">
        <f>'CHAM CONG'!U271</f>
        <v>x</v>
      </c>
      <c r="X104" s="693"/>
      <c r="Y104" s="693"/>
      <c r="Z104" s="698">
        <f t="shared" si="23"/>
        <v>12</v>
      </c>
      <c r="AA104" s="699">
        <f t="shared" si="19"/>
        <v>0</v>
      </c>
      <c r="AB104" s="700">
        <f t="shared" si="24"/>
        <v>192000</v>
      </c>
      <c r="AC104" s="700">
        <f>'CHAM CONG'!V271</f>
        <v>0</v>
      </c>
      <c r="AD104" s="700" t="str">
        <f>'CHAM CONG'!X271</f>
        <v>x</v>
      </c>
      <c r="AE104" s="698">
        <f t="shared" si="25"/>
        <v>1</v>
      </c>
      <c r="AF104" s="700">
        <f t="shared" si="26"/>
        <v>17000</v>
      </c>
      <c r="AG104" s="700">
        <f t="shared" si="27"/>
        <v>12</v>
      </c>
      <c r="AH104" s="537">
        <f t="shared" si="28"/>
        <v>12000</v>
      </c>
      <c r="AI104" s="700">
        <f t="shared" si="29"/>
        <v>221000</v>
      </c>
      <c r="AJ104" s="693">
        <f>'SAN LUONG'!AF272</f>
        <v>383</v>
      </c>
      <c r="AK104" s="693">
        <f>'SAN LUONG'!AG272</f>
        <v>566</v>
      </c>
      <c r="AL104" s="693">
        <f>'SAN LUONG'!AH272</f>
        <v>346</v>
      </c>
      <c r="AM104" s="702">
        <f t="shared" si="34"/>
        <v>346</v>
      </c>
      <c r="AN104" s="702">
        <f t="shared" si="21"/>
        <v>0</v>
      </c>
      <c r="AO104" s="702"/>
      <c r="AP104" s="702">
        <f t="shared" si="30"/>
        <v>84493</v>
      </c>
      <c r="AQ104" s="702">
        <f t="shared" si="35"/>
        <v>949</v>
      </c>
      <c r="AR104" s="702">
        <f t="shared" si="31"/>
        <v>189990</v>
      </c>
      <c r="AS104" s="555">
        <f t="shared" si="32"/>
        <v>495483</v>
      </c>
      <c r="AT104" s="706"/>
      <c r="AU104" s="706"/>
      <c r="AV104" s="706">
        <f>'CHAM CONG'!AZ275</f>
        <v>0</v>
      </c>
      <c r="AW104" s="706"/>
      <c r="AX104" s="562">
        <f t="shared" si="22"/>
        <v>495483</v>
      </c>
      <c r="AY104" s="707"/>
      <c r="AZ104" s="708">
        <f t="shared" si="33"/>
        <v>15.51</v>
      </c>
      <c r="BA104" s="709"/>
    </row>
    <row r="105" spans="1:53" s="683" customFormat="1" ht="44.4" customHeight="1">
      <c r="A105" s="688">
        <v>96</v>
      </c>
      <c r="B105" s="689">
        <v>6</v>
      </c>
      <c r="C105" s="689">
        <v>221</v>
      </c>
      <c r="D105" s="690"/>
      <c r="E105" s="690"/>
      <c r="F105" s="690"/>
      <c r="G105" s="690" t="str">
        <f>'Tên Tháng 1'!E266</f>
        <v>ឡាញ់ រ៉ុម</v>
      </c>
      <c r="H105" s="690" t="str">
        <f>'Tên Tháng 1'!F266</f>
        <v>LANG ROM</v>
      </c>
      <c r="I105" s="693" t="str">
        <f>'CHAM CONG'!G272</f>
        <v>x</v>
      </c>
      <c r="J105" s="693" t="str">
        <f>'CHAM CONG'!H272</f>
        <v>x</v>
      </c>
      <c r="K105" s="693" t="str">
        <f>'CHAM CONG'!I272</f>
        <v>x</v>
      </c>
      <c r="L105" s="693">
        <f>'CHAM CONG'!J272</f>
        <v>0</v>
      </c>
      <c r="M105" s="693" t="str">
        <f>'CHAM CONG'!K272</f>
        <v>x</v>
      </c>
      <c r="N105" s="693" t="str">
        <f>'CHAM CONG'!L272</f>
        <v>x</v>
      </c>
      <c r="O105" s="693" t="str">
        <f>'CHAM CONG'!M272</f>
        <v>x</v>
      </c>
      <c r="P105" s="693" t="str">
        <f>'CHAM CONG'!N272</f>
        <v>x</v>
      </c>
      <c r="Q105" s="693" t="str">
        <f>'CHAM CONG'!O272</f>
        <v>x</v>
      </c>
      <c r="R105" s="693" t="str">
        <f>'CHAM CONG'!P272</f>
        <v>x</v>
      </c>
      <c r="S105" s="693" t="str">
        <f>'CHAM CONG'!Q272</f>
        <v>x</v>
      </c>
      <c r="T105" s="693" t="str">
        <f>'CHAM CONG'!R272</f>
        <v>x</v>
      </c>
      <c r="U105" s="693" t="str">
        <f>'CHAM CONG'!S272</f>
        <v>x</v>
      </c>
      <c r="V105" s="693" t="str">
        <f>'CHAM CONG'!T272</f>
        <v>x</v>
      </c>
      <c r="W105" s="693" t="str">
        <f>'CHAM CONG'!U272</f>
        <v>x</v>
      </c>
      <c r="X105" s="693"/>
      <c r="Y105" s="693"/>
      <c r="Z105" s="698">
        <f t="shared" si="23"/>
        <v>14</v>
      </c>
      <c r="AA105" s="699">
        <f t="shared" si="19"/>
        <v>0</v>
      </c>
      <c r="AB105" s="700">
        <f t="shared" si="24"/>
        <v>224000</v>
      </c>
      <c r="AC105" s="700" t="str">
        <f>'CHAM CONG'!V272</f>
        <v>x</v>
      </c>
      <c r="AD105" s="700" t="str">
        <f>'CHAM CONG'!X272</f>
        <v>x</v>
      </c>
      <c r="AE105" s="698">
        <f t="shared" si="25"/>
        <v>2</v>
      </c>
      <c r="AF105" s="700">
        <f t="shared" si="26"/>
        <v>34000</v>
      </c>
      <c r="AG105" s="700">
        <f t="shared" si="27"/>
        <v>14</v>
      </c>
      <c r="AH105" s="537">
        <f t="shared" si="28"/>
        <v>14000</v>
      </c>
      <c r="AI105" s="700">
        <f t="shared" si="29"/>
        <v>272000</v>
      </c>
      <c r="AJ105" s="693">
        <f>'SAN LUONG'!AF273</f>
        <v>624</v>
      </c>
      <c r="AK105" s="693">
        <f>'SAN LUONG'!AG273</f>
        <v>839</v>
      </c>
      <c r="AL105" s="693">
        <f>'SAN LUONG'!AH273</f>
        <v>486</v>
      </c>
      <c r="AM105" s="702">
        <f t="shared" si="34"/>
        <v>486</v>
      </c>
      <c r="AN105" s="702">
        <f t="shared" si="21"/>
        <v>0</v>
      </c>
      <c r="AO105" s="702"/>
      <c r="AP105" s="702">
        <f t="shared" si="30"/>
        <v>118681</v>
      </c>
      <c r="AQ105" s="702">
        <f t="shared" si="35"/>
        <v>1463</v>
      </c>
      <c r="AR105" s="702">
        <f t="shared" si="31"/>
        <v>292893</v>
      </c>
      <c r="AS105" s="555">
        <f t="shared" si="32"/>
        <v>683574</v>
      </c>
      <c r="AT105" s="706"/>
      <c r="AU105" s="706"/>
      <c r="AV105" s="706">
        <f>'CHAM CONG'!AZ276</f>
        <v>0</v>
      </c>
      <c r="AW105" s="706"/>
      <c r="AX105" s="562">
        <f t="shared" si="22"/>
        <v>683574</v>
      </c>
      <c r="AY105" s="707"/>
      <c r="AZ105" s="708">
        <f t="shared" si="33"/>
        <v>21.4</v>
      </c>
      <c r="BA105" s="709"/>
    </row>
    <row r="106" spans="1:53" s="683" customFormat="1" ht="44.4" customHeight="1">
      <c r="A106" s="688">
        <v>97</v>
      </c>
      <c r="B106" s="689">
        <v>6</v>
      </c>
      <c r="C106" s="689">
        <v>222</v>
      </c>
      <c r="D106" s="690"/>
      <c r="E106" s="690"/>
      <c r="F106" s="690"/>
      <c r="G106" s="690" t="str">
        <f>'Tên Tháng 1'!E267</f>
        <v>ឡាញ់ លី</v>
      </c>
      <c r="H106" s="690" t="str">
        <f>'Tên Tháng 1'!F267</f>
        <v>LANH LY</v>
      </c>
      <c r="I106" s="693" t="str">
        <f>'CHAM CONG'!G273</f>
        <v>x</v>
      </c>
      <c r="J106" s="693" t="str">
        <f>'CHAM CONG'!H273</f>
        <v>x</v>
      </c>
      <c r="K106" s="693" t="str">
        <f>'CHAM CONG'!I273</f>
        <v>x</v>
      </c>
      <c r="L106" s="693">
        <f>'CHAM CONG'!J273</f>
        <v>0</v>
      </c>
      <c r="M106" s="693" t="str">
        <f>'CHAM CONG'!K273</f>
        <v>x</v>
      </c>
      <c r="N106" s="693" t="str">
        <f>'CHAM CONG'!L273</f>
        <v>x</v>
      </c>
      <c r="O106" s="693" t="str">
        <f>'CHAM CONG'!M273</f>
        <v>x</v>
      </c>
      <c r="P106" s="693" t="str">
        <f>'CHAM CONG'!N273</f>
        <v>x</v>
      </c>
      <c r="Q106" s="693" t="str">
        <f>'CHAM CONG'!O273</f>
        <v>x</v>
      </c>
      <c r="R106" s="693" t="str">
        <f>'CHAM CONG'!P273</f>
        <v>x</v>
      </c>
      <c r="S106" s="693" t="str">
        <f>'CHAM CONG'!Q273</f>
        <v>x</v>
      </c>
      <c r="T106" s="693" t="str">
        <f>'CHAM CONG'!R273</f>
        <v>x</v>
      </c>
      <c r="U106" s="693" t="str">
        <f>'CHAM CONG'!S273</f>
        <v>x</v>
      </c>
      <c r="V106" s="693" t="str">
        <f>'CHAM CONG'!T273</f>
        <v>x</v>
      </c>
      <c r="W106" s="693" t="str">
        <f>'CHAM CONG'!U273</f>
        <v>x</v>
      </c>
      <c r="X106" s="693"/>
      <c r="Y106" s="693"/>
      <c r="Z106" s="698">
        <f t="shared" si="23"/>
        <v>14</v>
      </c>
      <c r="AA106" s="699">
        <f t="shared" si="19"/>
        <v>0</v>
      </c>
      <c r="AB106" s="700">
        <f t="shared" si="24"/>
        <v>224000</v>
      </c>
      <c r="AC106" s="700" t="str">
        <f>'CHAM CONG'!V273</f>
        <v>x</v>
      </c>
      <c r="AD106" s="700">
        <f>'CHAM CONG'!X273</f>
        <v>0</v>
      </c>
      <c r="AE106" s="698">
        <f t="shared" si="25"/>
        <v>1</v>
      </c>
      <c r="AF106" s="700">
        <f t="shared" si="26"/>
        <v>17000</v>
      </c>
      <c r="AG106" s="700">
        <f t="shared" si="27"/>
        <v>14</v>
      </c>
      <c r="AH106" s="537">
        <f t="shared" si="28"/>
        <v>14000</v>
      </c>
      <c r="AI106" s="700">
        <f t="shared" si="29"/>
        <v>255000</v>
      </c>
      <c r="AJ106" s="693">
        <f>'SAN LUONG'!AF274</f>
        <v>520</v>
      </c>
      <c r="AK106" s="693">
        <f>'SAN LUONG'!AG274</f>
        <v>810</v>
      </c>
      <c r="AL106" s="693">
        <f>'SAN LUONG'!AH274</f>
        <v>449</v>
      </c>
      <c r="AM106" s="702">
        <f t="shared" si="34"/>
        <v>449</v>
      </c>
      <c r="AN106" s="702">
        <f t="shared" si="21"/>
        <v>0</v>
      </c>
      <c r="AO106" s="702"/>
      <c r="AP106" s="702">
        <f t="shared" si="30"/>
        <v>109646</v>
      </c>
      <c r="AQ106" s="702">
        <f t="shared" si="35"/>
        <v>1330</v>
      </c>
      <c r="AR106" s="702">
        <f t="shared" si="31"/>
        <v>266266</v>
      </c>
      <c r="AS106" s="555">
        <f t="shared" si="32"/>
        <v>630912</v>
      </c>
      <c r="AT106" s="706"/>
      <c r="AU106" s="706"/>
      <c r="AV106" s="706">
        <f>'CHAM CONG'!AZ277</f>
        <v>0</v>
      </c>
      <c r="AW106" s="706"/>
      <c r="AX106" s="562">
        <f t="shared" si="22"/>
        <v>630912</v>
      </c>
      <c r="AY106" s="707"/>
      <c r="AZ106" s="708">
        <f t="shared" si="33"/>
        <v>19.75</v>
      </c>
      <c r="BA106" s="709"/>
    </row>
    <row r="107" spans="1:53" s="683" customFormat="1" ht="44.4" customHeight="1">
      <c r="A107" s="688">
        <v>98</v>
      </c>
      <c r="B107" s="689">
        <v>6</v>
      </c>
      <c r="C107" s="689">
        <v>223</v>
      </c>
      <c r="D107" s="690"/>
      <c r="E107" s="690"/>
      <c r="F107" s="690"/>
      <c r="G107" s="690" t="str">
        <f>'Tên Tháng 1'!E268</f>
        <v>ប៊ិន យ៉ូត</v>
      </c>
      <c r="H107" s="690" t="str">
        <f>'Tên Tháng 1'!F268</f>
        <v>BIN YOUT</v>
      </c>
      <c r="I107" s="693">
        <f>'CHAM CONG'!G274</f>
        <v>0</v>
      </c>
      <c r="J107" s="693" t="str">
        <f>'CHAM CONG'!H274</f>
        <v>x</v>
      </c>
      <c r="K107" s="693" t="str">
        <f>'CHAM CONG'!I274</f>
        <v>x</v>
      </c>
      <c r="L107" s="693">
        <f>'CHAM CONG'!J274</f>
        <v>0</v>
      </c>
      <c r="M107" s="693" t="str">
        <f>'CHAM CONG'!K274</f>
        <v>x</v>
      </c>
      <c r="N107" s="693" t="str">
        <f>'CHAM CONG'!L274</f>
        <v>x</v>
      </c>
      <c r="O107" s="693" t="str">
        <f>'CHAM CONG'!M274</f>
        <v>x</v>
      </c>
      <c r="P107" s="693" t="str">
        <f>'CHAM CONG'!N274</f>
        <v>x</v>
      </c>
      <c r="Q107" s="693" t="str">
        <f>'CHAM CONG'!O274</f>
        <v>x</v>
      </c>
      <c r="R107" s="693" t="str">
        <f>'CHAM CONG'!P274</f>
        <v>x</v>
      </c>
      <c r="S107" s="693" t="str">
        <f>'CHAM CONG'!Q274</f>
        <v>x</v>
      </c>
      <c r="T107" s="693" t="str">
        <f>'CHAM CONG'!R274</f>
        <v>x</v>
      </c>
      <c r="U107" s="693" t="str">
        <f>'CHAM CONG'!S274</f>
        <v>x</v>
      </c>
      <c r="V107" s="693" t="str">
        <f>'CHAM CONG'!T274</f>
        <v>x</v>
      </c>
      <c r="W107" s="693" t="str">
        <f>'CHAM CONG'!U274</f>
        <v>x</v>
      </c>
      <c r="X107" s="693"/>
      <c r="Y107" s="693"/>
      <c r="Z107" s="698">
        <f t="shared" si="23"/>
        <v>13</v>
      </c>
      <c r="AA107" s="699">
        <f t="shared" si="19"/>
        <v>0</v>
      </c>
      <c r="AB107" s="700">
        <f t="shared" si="24"/>
        <v>208000</v>
      </c>
      <c r="AC107" s="700" t="str">
        <f>'CHAM CONG'!V274</f>
        <v>x</v>
      </c>
      <c r="AD107" s="700" t="str">
        <f>'CHAM CONG'!X274</f>
        <v>x</v>
      </c>
      <c r="AE107" s="698">
        <f t="shared" si="25"/>
        <v>2</v>
      </c>
      <c r="AF107" s="700">
        <f t="shared" si="26"/>
        <v>34000</v>
      </c>
      <c r="AG107" s="700">
        <f t="shared" si="27"/>
        <v>13</v>
      </c>
      <c r="AH107" s="537">
        <f t="shared" si="28"/>
        <v>13000</v>
      </c>
      <c r="AI107" s="700">
        <f t="shared" si="29"/>
        <v>255000</v>
      </c>
      <c r="AJ107" s="693">
        <f>'SAN LUONG'!AF275</f>
        <v>562</v>
      </c>
      <c r="AK107" s="693">
        <f>'SAN LUONG'!AG275</f>
        <v>577</v>
      </c>
      <c r="AL107" s="693">
        <f>'SAN LUONG'!AH275</f>
        <v>343</v>
      </c>
      <c r="AM107" s="702">
        <f t="shared" si="34"/>
        <v>343</v>
      </c>
      <c r="AN107" s="702">
        <f t="shared" si="21"/>
        <v>0</v>
      </c>
      <c r="AO107" s="702"/>
      <c r="AP107" s="702">
        <f t="shared" si="30"/>
        <v>83761</v>
      </c>
      <c r="AQ107" s="702">
        <f t="shared" si="35"/>
        <v>1139</v>
      </c>
      <c r="AR107" s="702">
        <f t="shared" si="31"/>
        <v>228028</v>
      </c>
      <c r="AS107" s="555">
        <f t="shared" si="32"/>
        <v>566789</v>
      </c>
      <c r="AT107" s="706"/>
      <c r="AU107" s="706"/>
      <c r="AV107" s="706">
        <f>'CHAM CONG'!AZ278</f>
        <v>0</v>
      </c>
      <c r="AW107" s="706"/>
      <c r="AX107" s="562">
        <f t="shared" si="22"/>
        <v>566789</v>
      </c>
      <c r="AY107" s="707"/>
      <c r="AZ107" s="708">
        <f t="shared" si="33"/>
        <v>17.739999999999998</v>
      </c>
      <c r="BA107" s="709"/>
    </row>
    <row r="108" spans="1:53" s="683" customFormat="1" ht="44.4" customHeight="1">
      <c r="A108" s="688">
        <v>99</v>
      </c>
      <c r="B108" s="689">
        <v>6</v>
      </c>
      <c r="C108" s="689">
        <v>224</v>
      </c>
      <c r="D108" s="690"/>
      <c r="E108" s="690"/>
      <c r="F108" s="690"/>
      <c r="G108" s="690" t="str">
        <f>'Tên Tháng 1'!E269</f>
        <v>ជ្រឹម សាត</v>
      </c>
      <c r="H108" s="690" t="str">
        <f>'Tên Tháng 1'!F269</f>
        <v>CHRIM SATH</v>
      </c>
      <c r="I108" s="693">
        <f>'CHAM CONG'!G275</f>
        <v>0</v>
      </c>
      <c r="J108" s="693" t="str">
        <f>'CHAM CONG'!H275</f>
        <v>x</v>
      </c>
      <c r="K108" s="693" t="str">
        <f>'CHAM CONG'!I275</f>
        <v>x</v>
      </c>
      <c r="L108" s="693">
        <f>'CHAM CONG'!J275</f>
        <v>0</v>
      </c>
      <c r="M108" s="693" t="str">
        <f>'CHAM CONG'!K275</f>
        <v>x</v>
      </c>
      <c r="N108" s="693" t="str">
        <f>'CHAM CONG'!L275</f>
        <v>x</v>
      </c>
      <c r="O108" s="693" t="str">
        <f>'CHAM CONG'!M275</f>
        <v>x</v>
      </c>
      <c r="P108" s="693" t="str">
        <f>'CHAM CONG'!N275</f>
        <v>x</v>
      </c>
      <c r="Q108" s="693" t="str">
        <f>'CHAM CONG'!O275</f>
        <v>x</v>
      </c>
      <c r="R108" s="693" t="str">
        <f>'CHAM CONG'!P275</f>
        <v>x</v>
      </c>
      <c r="S108" s="693" t="str">
        <f>'CHAM CONG'!Q275</f>
        <v>x</v>
      </c>
      <c r="T108" s="693" t="str">
        <f>'CHAM CONG'!R275</f>
        <v>x</v>
      </c>
      <c r="U108" s="693" t="str">
        <f>'CHAM CONG'!S275</f>
        <v>x</v>
      </c>
      <c r="V108" s="693" t="str">
        <f>'CHAM CONG'!T275</f>
        <v>x</v>
      </c>
      <c r="W108" s="693" t="str">
        <f>'CHAM CONG'!U275</f>
        <v>x</v>
      </c>
      <c r="X108" s="693"/>
      <c r="Y108" s="693"/>
      <c r="Z108" s="698">
        <f t="shared" si="23"/>
        <v>13</v>
      </c>
      <c r="AA108" s="699">
        <f t="shared" si="19"/>
        <v>0</v>
      </c>
      <c r="AB108" s="700">
        <f t="shared" si="24"/>
        <v>208000</v>
      </c>
      <c r="AC108" s="700" t="str">
        <f>'CHAM CONG'!V275</f>
        <v>x</v>
      </c>
      <c r="AD108" s="700" t="str">
        <f>'CHAM CONG'!X275</f>
        <v>x</v>
      </c>
      <c r="AE108" s="698">
        <f t="shared" si="25"/>
        <v>2</v>
      </c>
      <c r="AF108" s="700">
        <f t="shared" si="26"/>
        <v>34000</v>
      </c>
      <c r="AG108" s="700">
        <f t="shared" si="27"/>
        <v>13</v>
      </c>
      <c r="AH108" s="537">
        <f t="shared" si="28"/>
        <v>13000</v>
      </c>
      <c r="AI108" s="700">
        <f t="shared" si="29"/>
        <v>255000</v>
      </c>
      <c r="AJ108" s="693">
        <f>'SAN LUONG'!AF276</f>
        <v>554</v>
      </c>
      <c r="AK108" s="693">
        <f>'SAN LUONG'!AG276</f>
        <v>549</v>
      </c>
      <c r="AL108" s="693">
        <f>'SAN LUONG'!AH276</f>
        <v>400</v>
      </c>
      <c r="AM108" s="702">
        <f t="shared" si="34"/>
        <v>400</v>
      </c>
      <c r="AN108" s="702">
        <f t="shared" si="21"/>
        <v>0</v>
      </c>
      <c r="AO108" s="702"/>
      <c r="AP108" s="702">
        <f t="shared" si="30"/>
        <v>97680</v>
      </c>
      <c r="AQ108" s="702">
        <f t="shared" si="35"/>
        <v>1103</v>
      </c>
      <c r="AR108" s="702">
        <f t="shared" si="31"/>
        <v>220821</v>
      </c>
      <c r="AS108" s="555">
        <f t="shared" si="32"/>
        <v>573501</v>
      </c>
      <c r="AT108" s="706"/>
      <c r="AU108" s="706"/>
      <c r="AV108" s="706">
        <f>'CHAM CONG'!AZ279</f>
        <v>0</v>
      </c>
      <c r="AW108" s="706"/>
      <c r="AX108" s="562">
        <f t="shared" si="22"/>
        <v>573501</v>
      </c>
      <c r="AY108" s="707"/>
      <c r="AZ108" s="708">
        <f t="shared" si="33"/>
        <v>17.95</v>
      </c>
      <c r="BA108" s="709"/>
    </row>
    <row r="109" spans="1:53" s="683" customFormat="1" ht="44.4" customHeight="1">
      <c r="A109" s="688">
        <v>100</v>
      </c>
      <c r="B109" s="689">
        <v>6</v>
      </c>
      <c r="C109" s="689">
        <v>225</v>
      </c>
      <c r="D109" s="690"/>
      <c r="E109" s="690"/>
      <c r="F109" s="690"/>
      <c r="G109" s="690" t="str">
        <f>'Tên Tháng 1'!E270</f>
        <v>មិក ម៉ាច</v>
      </c>
      <c r="H109" s="690" t="str">
        <f>'Tên Tháng 1'!F270</f>
        <v>MIK MACH</v>
      </c>
      <c r="I109" s="693">
        <f>'CHAM CONG'!G276</f>
        <v>0</v>
      </c>
      <c r="J109" s="693" t="str">
        <f>'CHAM CONG'!H276</f>
        <v>x</v>
      </c>
      <c r="K109" s="693" t="str">
        <f>'CHAM CONG'!I276</f>
        <v>x</v>
      </c>
      <c r="L109" s="693">
        <f>'CHAM CONG'!J276</f>
        <v>0</v>
      </c>
      <c r="M109" s="693" t="str">
        <f>'CHAM CONG'!K276</f>
        <v>x</v>
      </c>
      <c r="N109" s="693" t="str">
        <f>'CHAM CONG'!L276</f>
        <v>x</v>
      </c>
      <c r="O109" s="693" t="str">
        <f>'CHAM CONG'!M276</f>
        <v>x</v>
      </c>
      <c r="P109" s="693" t="str">
        <f>'CHAM CONG'!N276</f>
        <v>x</v>
      </c>
      <c r="Q109" s="693" t="str">
        <f>'CHAM CONG'!O276</f>
        <v>x</v>
      </c>
      <c r="R109" s="693" t="str">
        <f>'CHAM CONG'!P276</f>
        <v>x</v>
      </c>
      <c r="S109" s="693">
        <f>'CHAM CONG'!Q276</f>
        <v>0</v>
      </c>
      <c r="T109" s="693" t="str">
        <f>'CHAM CONG'!R276</f>
        <v>x</v>
      </c>
      <c r="U109" s="693" t="str">
        <f>'CHAM CONG'!S276</f>
        <v>x</v>
      </c>
      <c r="V109" s="693" t="str">
        <f>'CHAM CONG'!T276</f>
        <v>x</v>
      </c>
      <c r="W109" s="693" t="str">
        <f>'CHAM CONG'!U276</f>
        <v>x</v>
      </c>
      <c r="X109" s="693"/>
      <c r="Y109" s="693"/>
      <c r="Z109" s="698">
        <f t="shared" si="23"/>
        <v>12</v>
      </c>
      <c r="AA109" s="699">
        <f t="shared" si="19"/>
        <v>0</v>
      </c>
      <c r="AB109" s="700">
        <f t="shared" si="24"/>
        <v>192000</v>
      </c>
      <c r="AC109" s="700" t="str">
        <f>'CHAM CONG'!V276</f>
        <v>x</v>
      </c>
      <c r="AD109" s="700" t="str">
        <f>'CHAM CONG'!X276</f>
        <v>x</v>
      </c>
      <c r="AE109" s="698">
        <f t="shared" si="25"/>
        <v>2</v>
      </c>
      <c r="AF109" s="700">
        <f t="shared" si="26"/>
        <v>34000</v>
      </c>
      <c r="AG109" s="700">
        <f t="shared" si="27"/>
        <v>12</v>
      </c>
      <c r="AH109" s="537">
        <f t="shared" si="28"/>
        <v>12000</v>
      </c>
      <c r="AI109" s="700">
        <f t="shared" si="29"/>
        <v>238000</v>
      </c>
      <c r="AJ109" s="693">
        <f>'SAN LUONG'!AF277</f>
        <v>871</v>
      </c>
      <c r="AK109" s="693">
        <f>'SAN LUONG'!AG277</f>
        <v>450</v>
      </c>
      <c r="AL109" s="693">
        <f>'SAN LUONG'!AH277</f>
        <v>128</v>
      </c>
      <c r="AM109" s="702">
        <f t="shared" si="34"/>
        <v>128</v>
      </c>
      <c r="AN109" s="702">
        <f t="shared" si="21"/>
        <v>0</v>
      </c>
      <c r="AO109" s="702"/>
      <c r="AP109" s="702">
        <f t="shared" si="30"/>
        <v>31258</v>
      </c>
      <c r="AQ109" s="702">
        <f t="shared" si="35"/>
        <v>1321</v>
      </c>
      <c r="AR109" s="702">
        <f t="shared" si="31"/>
        <v>264464</v>
      </c>
      <c r="AS109" s="555">
        <f t="shared" si="32"/>
        <v>533722</v>
      </c>
      <c r="AT109" s="706"/>
      <c r="AU109" s="706"/>
      <c r="AV109" s="706">
        <f>'CHAM CONG'!AZ280</f>
        <v>0</v>
      </c>
      <c r="AW109" s="706"/>
      <c r="AX109" s="562">
        <f t="shared" si="22"/>
        <v>533722</v>
      </c>
      <c r="AY109" s="707"/>
      <c r="AZ109" s="708">
        <f t="shared" si="33"/>
        <v>16.71</v>
      </c>
      <c r="BA109" s="709"/>
    </row>
    <row r="110" spans="1:53" s="683" customFormat="1" ht="44.4" customHeight="1">
      <c r="A110" s="688">
        <v>101</v>
      </c>
      <c r="B110" s="689">
        <v>6</v>
      </c>
      <c r="C110" s="689">
        <v>226</v>
      </c>
      <c r="D110" s="690"/>
      <c r="E110" s="690"/>
      <c r="F110" s="690"/>
      <c r="G110" s="690" t="str">
        <f>'Tên Tháng 1'!E271</f>
        <v>សៃ ឆាយា</v>
      </c>
      <c r="H110" s="690" t="str">
        <f>'Tên Tháng 1'!F271</f>
        <v>SAI CHHAYA</v>
      </c>
      <c r="I110" s="693">
        <f>'CHAM CONG'!G277</f>
        <v>0</v>
      </c>
      <c r="J110" s="693" t="str">
        <f>'CHAM CONG'!H277</f>
        <v>x</v>
      </c>
      <c r="K110" s="693" t="str">
        <f>'CHAM CONG'!I277</f>
        <v>x</v>
      </c>
      <c r="L110" s="693">
        <f>'CHAM CONG'!J277</f>
        <v>0</v>
      </c>
      <c r="M110" s="693" t="str">
        <f>'CHAM CONG'!K277</f>
        <v>x</v>
      </c>
      <c r="N110" s="693" t="str">
        <f>'CHAM CONG'!L277</f>
        <v>x</v>
      </c>
      <c r="O110" s="693" t="str">
        <f>'CHAM CONG'!M277</f>
        <v>x</v>
      </c>
      <c r="P110" s="693" t="str">
        <f>'CHAM CONG'!N277</f>
        <v>x</v>
      </c>
      <c r="Q110" s="693" t="str">
        <f>'CHAM CONG'!O277</f>
        <v>x</v>
      </c>
      <c r="R110" s="693" t="str">
        <f>'CHAM CONG'!P277</f>
        <v>x</v>
      </c>
      <c r="S110" s="693">
        <f>'CHAM CONG'!Q277</f>
        <v>0</v>
      </c>
      <c r="T110" s="693" t="str">
        <f>'CHAM CONG'!R277</f>
        <v>x</v>
      </c>
      <c r="U110" s="693" t="str">
        <f>'CHAM CONG'!S277</f>
        <v>x</v>
      </c>
      <c r="V110" s="693" t="str">
        <f>'CHAM CONG'!T277</f>
        <v>x</v>
      </c>
      <c r="W110" s="693" t="str">
        <f>'CHAM CONG'!U277</f>
        <v>x</v>
      </c>
      <c r="X110" s="693"/>
      <c r="Y110" s="693"/>
      <c r="Z110" s="698">
        <f t="shared" si="23"/>
        <v>12</v>
      </c>
      <c r="AA110" s="699">
        <f t="shared" si="19"/>
        <v>0</v>
      </c>
      <c r="AB110" s="700">
        <f t="shared" si="24"/>
        <v>192000</v>
      </c>
      <c r="AC110" s="700" t="str">
        <f>'CHAM CONG'!V277</f>
        <v>x</v>
      </c>
      <c r="AD110" s="700">
        <f>'CHAM CONG'!X277</f>
        <v>0</v>
      </c>
      <c r="AE110" s="698">
        <f t="shared" si="25"/>
        <v>1</v>
      </c>
      <c r="AF110" s="700">
        <f t="shared" si="26"/>
        <v>17000</v>
      </c>
      <c r="AG110" s="700">
        <f t="shared" si="27"/>
        <v>12</v>
      </c>
      <c r="AH110" s="537">
        <f t="shared" si="28"/>
        <v>12000</v>
      </c>
      <c r="AI110" s="700">
        <f t="shared" si="29"/>
        <v>221000</v>
      </c>
      <c r="AJ110" s="693">
        <f>'SAN LUONG'!AF278</f>
        <v>503</v>
      </c>
      <c r="AK110" s="693">
        <f>'SAN LUONG'!AG278</f>
        <v>420</v>
      </c>
      <c r="AL110" s="693">
        <f>'SAN LUONG'!AH278</f>
        <v>390</v>
      </c>
      <c r="AM110" s="702">
        <f t="shared" si="34"/>
        <v>390</v>
      </c>
      <c r="AN110" s="702">
        <f t="shared" si="21"/>
        <v>0</v>
      </c>
      <c r="AO110" s="702"/>
      <c r="AP110" s="702">
        <f t="shared" si="30"/>
        <v>95238</v>
      </c>
      <c r="AQ110" s="702">
        <f t="shared" si="35"/>
        <v>923</v>
      </c>
      <c r="AR110" s="702">
        <f t="shared" si="31"/>
        <v>184785</v>
      </c>
      <c r="AS110" s="555">
        <f t="shared" si="32"/>
        <v>501023</v>
      </c>
      <c r="AT110" s="706"/>
      <c r="AU110" s="706"/>
      <c r="AV110" s="706">
        <f>'CHAM CONG'!AZ281</f>
        <v>0</v>
      </c>
      <c r="AW110" s="706"/>
      <c r="AX110" s="562">
        <f t="shared" si="22"/>
        <v>501023</v>
      </c>
      <c r="AY110" s="707"/>
      <c r="AZ110" s="708">
        <f t="shared" si="33"/>
        <v>15.68</v>
      </c>
      <c r="BA110" s="709"/>
    </row>
    <row r="111" spans="1:53" s="683" customFormat="1" ht="44.4" customHeight="1">
      <c r="A111" s="688">
        <v>102</v>
      </c>
      <c r="B111" s="689">
        <v>6</v>
      </c>
      <c r="C111" s="689">
        <v>227</v>
      </c>
      <c r="D111" s="690"/>
      <c r="E111" s="690"/>
      <c r="F111" s="690"/>
      <c r="G111" s="690" t="str">
        <f>'Tên Tháng 1'!E272</f>
        <v>ធី ភិរក្ស</v>
      </c>
      <c r="H111" s="690" t="str">
        <f>'Tên Tháng 1'!F272</f>
        <v>THY PHY REAK</v>
      </c>
      <c r="I111" s="693" t="str">
        <f>'CHAM CONG'!G278</f>
        <v>x</v>
      </c>
      <c r="J111" s="693" t="str">
        <f>'CHAM CONG'!H278</f>
        <v>x</v>
      </c>
      <c r="K111" s="693" t="str">
        <f>'CHAM CONG'!I278</f>
        <v>x</v>
      </c>
      <c r="L111" s="693">
        <f>'CHAM CONG'!J278</f>
        <v>0</v>
      </c>
      <c r="M111" s="693">
        <f>'CHAM CONG'!K278</f>
        <v>0</v>
      </c>
      <c r="N111" s="693" t="str">
        <f>'CHAM CONG'!L278</f>
        <v>x</v>
      </c>
      <c r="O111" s="693" t="str">
        <f>'CHAM CONG'!M278</f>
        <v>x</v>
      </c>
      <c r="P111" s="693" t="str">
        <f>'CHAM CONG'!N278</f>
        <v>x</v>
      </c>
      <c r="Q111" s="693" t="str">
        <f>'CHAM CONG'!O278</f>
        <v>x</v>
      </c>
      <c r="R111" s="693" t="str">
        <f>'CHAM CONG'!P278</f>
        <v>x</v>
      </c>
      <c r="S111" s="693" t="str">
        <f>'CHAM CONG'!Q278</f>
        <v>x</v>
      </c>
      <c r="T111" s="693" t="str">
        <f>'CHAM CONG'!R278</f>
        <v>x</v>
      </c>
      <c r="U111" s="693" t="str">
        <f>'CHAM CONG'!S278</f>
        <v>x</v>
      </c>
      <c r="V111" s="693" t="str">
        <f>'CHAM CONG'!T278</f>
        <v>x</v>
      </c>
      <c r="W111" s="693" t="str">
        <f>'CHAM CONG'!U278</f>
        <v>x</v>
      </c>
      <c r="X111" s="693"/>
      <c r="Y111" s="693"/>
      <c r="Z111" s="698">
        <f t="shared" si="23"/>
        <v>13</v>
      </c>
      <c r="AA111" s="699">
        <f t="shared" si="19"/>
        <v>0</v>
      </c>
      <c r="AB111" s="700">
        <f t="shared" si="24"/>
        <v>208000</v>
      </c>
      <c r="AC111" s="700" t="str">
        <f>'CHAM CONG'!V278</f>
        <v>x</v>
      </c>
      <c r="AD111" s="700" t="str">
        <f>'CHAM CONG'!X278</f>
        <v>x</v>
      </c>
      <c r="AE111" s="698">
        <f t="shared" si="25"/>
        <v>2</v>
      </c>
      <c r="AF111" s="700">
        <f t="shared" si="26"/>
        <v>34000</v>
      </c>
      <c r="AG111" s="700">
        <f t="shared" si="27"/>
        <v>13</v>
      </c>
      <c r="AH111" s="537">
        <f t="shared" si="28"/>
        <v>13000</v>
      </c>
      <c r="AI111" s="700">
        <f t="shared" si="29"/>
        <v>255000</v>
      </c>
      <c r="AJ111" s="693">
        <f>'SAN LUONG'!AF279</f>
        <v>722</v>
      </c>
      <c r="AK111" s="693">
        <f>'SAN LUONG'!AG279</f>
        <v>641</v>
      </c>
      <c r="AL111" s="693">
        <f>'SAN LUONG'!AH279</f>
        <v>497</v>
      </c>
      <c r="AM111" s="702">
        <f t="shared" si="34"/>
        <v>497</v>
      </c>
      <c r="AN111" s="702">
        <f t="shared" si="21"/>
        <v>0</v>
      </c>
      <c r="AO111" s="702"/>
      <c r="AP111" s="702">
        <f t="shared" si="30"/>
        <v>121367</v>
      </c>
      <c r="AQ111" s="702">
        <f t="shared" si="35"/>
        <v>1363</v>
      </c>
      <c r="AR111" s="702">
        <f t="shared" si="31"/>
        <v>272873</v>
      </c>
      <c r="AS111" s="555">
        <f t="shared" si="32"/>
        <v>649240</v>
      </c>
      <c r="AT111" s="706"/>
      <c r="AU111" s="706"/>
      <c r="AV111" s="706">
        <f>'CHAM CONG'!AZ282</f>
        <v>0</v>
      </c>
      <c r="AW111" s="706"/>
      <c r="AX111" s="562">
        <f t="shared" si="22"/>
        <v>649240</v>
      </c>
      <c r="AY111" s="707"/>
      <c r="AZ111" s="708">
        <f t="shared" si="33"/>
        <v>20.32</v>
      </c>
      <c r="BA111" s="709"/>
    </row>
    <row r="112" spans="1:53" s="683" customFormat="1" ht="44.4" customHeight="1">
      <c r="A112" s="688">
        <v>103</v>
      </c>
      <c r="B112" s="689">
        <v>6</v>
      </c>
      <c r="C112" s="689">
        <v>228</v>
      </c>
      <c r="D112" s="690"/>
      <c r="E112" s="690"/>
      <c r="F112" s="690"/>
      <c r="G112" s="690" t="str">
        <f>'Tên Tháng 1'!E273</f>
        <v>ភី ភ័ក្រ</v>
      </c>
      <c r="H112" s="690" t="str">
        <f>'Tên Tháng 1'!F273</f>
        <v>PHY PHAEK</v>
      </c>
      <c r="I112" s="693" t="str">
        <f>'CHAM CONG'!G279</f>
        <v>x</v>
      </c>
      <c r="J112" s="693" t="str">
        <f>'CHAM CONG'!H279</f>
        <v>x</v>
      </c>
      <c r="K112" s="693" t="str">
        <f>'CHAM CONG'!I279</f>
        <v>x</v>
      </c>
      <c r="L112" s="693">
        <f>'CHAM CONG'!J279</f>
        <v>0</v>
      </c>
      <c r="M112" s="693">
        <f>'CHAM CONG'!K279</f>
        <v>0</v>
      </c>
      <c r="N112" s="693" t="str">
        <f>'CHAM CONG'!L279</f>
        <v>x</v>
      </c>
      <c r="O112" s="693" t="str">
        <f>'CHAM CONG'!M279</f>
        <v>x</v>
      </c>
      <c r="P112" s="693" t="str">
        <f>'CHAM CONG'!N279</f>
        <v>x</v>
      </c>
      <c r="Q112" s="693" t="str">
        <f>'CHAM CONG'!O279</f>
        <v>x</v>
      </c>
      <c r="R112" s="693" t="str">
        <f>'CHAM CONG'!P279</f>
        <v>x</v>
      </c>
      <c r="S112" s="693" t="str">
        <f>'CHAM CONG'!Q279</f>
        <v>x</v>
      </c>
      <c r="T112" s="693" t="str">
        <f>'CHAM CONG'!R279</f>
        <v>x</v>
      </c>
      <c r="U112" s="693" t="str">
        <f>'CHAM CONG'!S279</f>
        <v>x</v>
      </c>
      <c r="V112" s="693" t="str">
        <f>'CHAM CONG'!T279</f>
        <v>x</v>
      </c>
      <c r="W112" s="693" t="str">
        <f>'CHAM CONG'!U279</f>
        <v>x</v>
      </c>
      <c r="X112" s="693"/>
      <c r="Y112" s="693"/>
      <c r="Z112" s="698">
        <f t="shared" si="23"/>
        <v>13</v>
      </c>
      <c r="AA112" s="699">
        <f t="shared" si="19"/>
        <v>0</v>
      </c>
      <c r="AB112" s="700">
        <f t="shared" si="24"/>
        <v>208000</v>
      </c>
      <c r="AC112" s="700" t="str">
        <f>'CHAM CONG'!V279</f>
        <v>x</v>
      </c>
      <c r="AD112" s="700" t="str">
        <f>'CHAM CONG'!X279</f>
        <v>x</v>
      </c>
      <c r="AE112" s="698">
        <f t="shared" si="25"/>
        <v>2</v>
      </c>
      <c r="AF112" s="700">
        <f t="shared" si="26"/>
        <v>34000</v>
      </c>
      <c r="AG112" s="700">
        <f t="shared" si="27"/>
        <v>13</v>
      </c>
      <c r="AH112" s="537">
        <f t="shared" si="28"/>
        <v>13000</v>
      </c>
      <c r="AI112" s="700">
        <f t="shared" si="29"/>
        <v>255000</v>
      </c>
      <c r="AJ112" s="693">
        <f>'SAN LUONG'!AF280</f>
        <v>650</v>
      </c>
      <c r="AK112" s="693">
        <f>'SAN LUONG'!AG280</f>
        <v>546</v>
      </c>
      <c r="AL112" s="693">
        <f>'SAN LUONG'!AH280</f>
        <v>468</v>
      </c>
      <c r="AM112" s="702">
        <f t="shared" si="34"/>
        <v>468</v>
      </c>
      <c r="AN112" s="702">
        <f t="shared" si="21"/>
        <v>0</v>
      </c>
      <c r="AO112" s="702"/>
      <c r="AP112" s="702">
        <f t="shared" si="30"/>
        <v>114286</v>
      </c>
      <c r="AQ112" s="702">
        <f t="shared" si="35"/>
        <v>1196</v>
      </c>
      <c r="AR112" s="702">
        <f t="shared" si="31"/>
        <v>239439</v>
      </c>
      <c r="AS112" s="555">
        <f t="shared" si="32"/>
        <v>608725</v>
      </c>
      <c r="AT112" s="706"/>
      <c r="AU112" s="706"/>
      <c r="AV112" s="706">
        <f>'CHAM CONG'!AZ283</f>
        <v>0</v>
      </c>
      <c r="AW112" s="706"/>
      <c r="AX112" s="562">
        <f t="shared" si="22"/>
        <v>608725</v>
      </c>
      <c r="AY112" s="707"/>
      <c r="AZ112" s="708">
        <f t="shared" si="33"/>
        <v>19.05</v>
      </c>
      <c r="BA112" s="709"/>
    </row>
    <row r="113" spans="1:53" s="683" customFormat="1" ht="44.4" customHeight="1">
      <c r="A113" s="688">
        <v>104</v>
      </c>
      <c r="B113" s="689">
        <v>6</v>
      </c>
      <c r="C113" s="689">
        <v>229</v>
      </c>
      <c r="D113" s="690"/>
      <c r="E113" s="690"/>
      <c r="F113" s="690"/>
      <c r="G113" s="690" t="str">
        <f>'Tên Tháng 1'!E274</f>
        <v>ឈួន ធី</v>
      </c>
      <c r="H113" s="690" t="str">
        <f>'Tên Tháng 1'!F274</f>
        <v>CHHUON THY</v>
      </c>
      <c r="I113" s="693" t="str">
        <f>'CHAM CONG'!G280</f>
        <v>x</v>
      </c>
      <c r="J113" s="693" t="str">
        <f>'CHAM CONG'!H280</f>
        <v>x</v>
      </c>
      <c r="K113" s="693">
        <f>'CHAM CONG'!I280</f>
        <v>0</v>
      </c>
      <c r="L113" s="693">
        <f>'CHAM CONG'!J280</f>
        <v>0</v>
      </c>
      <c r="M113" s="693" t="str">
        <f>'CHAM CONG'!K280</f>
        <v>x</v>
      </c>
      <c r="N113" s="693" t="str">
        <f>'CHAM CONG'!L280</f>
        <v>x</v>
      </c>
      <c r="O113" s="693" t="str">
        <f>'CHAM CONG'!M280</f>
        <v>x</v>
      </c>
      <c r="P113" s="693" t="str">
        <f>'CHAM CONG'!N280</f>
        <v>x</v>
      </c>
      <c r="Q113" s="693" t="str">
        <f>'CHAM CONG'!O280</f>
        <v>x</v>
      </c>
      <c r="R113" s="693" t="str">
        <f>'CHAM CONG'!P280</f>
        <v>x</v>
      </c>
      <c r="S113" s="693" t="str">
        <f>'CHAM CONG'!Q280</f>
        <v>x</v>
      </c>
      <c r="T113" s="693" t="str">
        <f>'CHAM CONG'!R280</f>
        <v>x</v>
      </c>
      <c r="U113" s="693" t="str">
        <f>'CHAM CONG'!S280</f>
        <v>x</v>
      </c>
      <c r="V113" s="693" t="str">
        <f>'CHAM CONG'!T280</f>
        <v>x</v>
      </c>
      <c r="W113" s="693" t="str">
        <f>'CHAM CONG'!U280</f>
        <v>x</v>
      </c>
      <c r="X113" s="693"/>
      <c r="Y113" s="693"/>
      <c r="Z113" s="698">
        <f t="shared" si="23"/>
        <v>13</v>
      </c>
      <c r="AA113" s="699">
        <f t="shared" ref="AA113:AA146" si="36">ROUND(Z113*$Z$9/30456,2)</f>
        <v>0</v>
      </c>
      <c r="AB113" s="700">
        <f t="shared" si="24"/>
        <v>208000</v>
      </c>
      <c r="AC113" s="700" t="str">
        <f>'CHAM CONG'!V280</f>
        <v>x</v>
      </c>
      <c r="AD113" s="700" t="str">
        <f>'CHAM CONG'!X280</f>
        <v>x</v>
      </c>
      <c r="AE113" s="698">
        <f t="shared" si="25"/>
        <v>2</v>
      </c>
      <c r="AF113" s="700">
        <f t="shared" si="26"/>
        <v>34000</v>
      </c>
      <c r="AG113" s="700">
        <f t="shared" si="27"/>
        <v>13</v>
      </c>
      <c r="AH113" s="537">
        <f t="shared" si="28"/>
        <v>13000</v>
      </c>
      <c r="AI113" s="700">
        <f t="shared" si="29"/>
        <v>255000</v>
      </c>
      <c r="AJ113" s="693">
        <f>'SAN LUONG'!AF281</f>
        <v>633</v>
      </c>
      <c r="AK113" s="693">
        <f>'SAN LUONG'!AG281</f>
        <v>500</v>
      </c>
      <c r="AL113" s="693">
        <f>'SAN LUONG'!AH281</f>
        <v>392</v>
      </c>
      <c r="AM113" s="702">
        <f t="shared" si="34"/>
        <v>392</v>
      </c>
      <c r="AN113" s="702">
        <f t="shared" ref="AN113:AN146" si="37">AM113*$AN$8</f>
        <v>0</v>
      </c>
      <c r="AO113" s="702"/>
      <c r="AP113" s="702">
        <f t="shared" si="30"/>
        <v>95726</v>
      </c>
      <c r="AQ113" s="702">
        <f t="shared" si="35"/>
        <v>1133</v>
      </c>
      <c r="AR113" s="702">
        <f t="shared" si="31"/>
        <v>226827</v>
      </c>
      <c r="AS113" s="555">
        <f t="shared" si="32"/>
        <v>577553</v>
      </c>
      <c r="AT113" s="706"/>
      <c r="AU113" s="706"/>
      <c r="AV113" s="706">
        <f>'CHAM CONG'!AZ284</f>
        <v>0</v>
      </c>
      <c r="AW113" s="706"/>
      <c r="AX113" s="562">
        <f t="shared" ref="AX113:AX146" si="38">AS113-AW113</f>
        <v>577553</v>
      </c>
      <c r="AY113" s="707"/>
      <c r="AZ113" s="708">
        <f t="shared" si="33"/>
        <v>18.079999999999998</v>
      </c>
      <c r="BA113" s="709"/>
    </row>
    <row r="114" spans="1:53" s="683" customFormat="1" ht="44.4" customHeight="1">
      <c r="A114" s="688">
        <v>105</v>
      </c>
      <c r="B114" s="689">
        <v>6</v>
      </c>
      <c r="C114" s="689">
        <v>230</v>
      </c>
      <c r="D114" s="690"/>
      <c r="E114" s="690"/>
      <c r="F114" s="690"/>
      <c r="G114" s="690" t="str">
        <f>'Tên Tháng 1'!E275</f>
        <v>អ៊ាង ឈីន</v>
      </c>
      <c r="H114" s="690" t="str">
        <f>'Tên Tháng 1'!F275</f>
        <v>EANG CHHIN</v>
      </c>
      <c r="I114" s="693" t="str">
        <f>'CHAM CONG'!G281</f>
        <v>x</v>
      </c>
      <c r="J114" s="693" t="str">
        <f>'CHAM CONG'!H281</f>
        <v>x</v>
      </c>
      <c r="K114" s="693">
        <f>'CHAM CONG'!I281</f>
        <v>0</v>
      </c>
      <c r="L114" s="693">
        <f>'CHAM CONG'!J281</f>
        <v>0</v>
      </c>
      <c r="M114" s="693" t="str">
        <f>'CHAM CONG'!K281</f>
        <v>x</v>
      </c>
      <c r="N114" s="693" t="str">
        <f>'CHAM CONG'!L281</f>
        <v>x</v>
      </c>
      <c r="O114" s="693" t="str">
        <f>'CHAM CONG'!M281</f>
        <v>x</v>
      </c>
      <c r="P114" s="693" t="str">
        <f>'CHAM CONG'!N281</f>
        <v>x</v>
      </c>
      <c r="Q114" s="693" t="str">
        <f>'CHAM CONG'!O281</f>
        <v>x</v>
      </c>
      <c r="R114" s="693" t="str">
        <f>'CHAM CONG'!P281</f>
        <v>x</v>
      </c>
      <c r="S114" s="693" t="str">
        <f>'CHAM CONG'!Q281</f>
        <v>x</v>
      </c>
      <c r="T114" s="693" t="str">
        <f>'CHAM CONG'!R281</f>
        <v>x</v>
      </c>
      <c r="U114" s="693" t="str">
        <f>'CHAM CONG'!S281</f>
        <v>x</v>
      </c>
      <c r="V114" s="693" t="str">
        <f>'CHAM CONG'!T281</f>
        <v>x</v>
      </c>
      <c r="W114" s="693" t="str">
        <f>'CHAM CONG'!U281</f>
        <v>x</v>
      </c>
      <c r="X114" s="693"/>
      <c r="Y114" s="693"/>
      <c r="Z114" s="698">
        <f t="shared" si="23"/>
        <v>13</v>
      </c>
      <c r="AA114" s="699">
        <f t="shared" si="36"/>
        <v>0</v>
      </c>
      <c r="AB114" s="700">
        <f t="shared" si="24"/>
        <v>208000</v>
      </c>
      <c r="AC114" s="700" t="str">
        <f>'CHAM CONG'!V281</f>
        <v>x</v>
      </c>
      <c r="AD114" s="700" t="str">
        <f>'CHAM CONG'!X281</f>
        <v>x</v>
      </c>
      <c r="AE114" s="698">
        <f t="shared" si="25"/>
        <v>2</v>
      </c>
      <c r="AF114" s="700">
        <f t="shared" si="26"/>
        <v>34000</v>
      </c>
      <c r="AG114" s="700">
        <f t="shared" si="27"/>
        <v>13</v>
      </c>
      <c r="AH114" s="537">
        <f t="shared" si="28"/>
        <v>13000</v>
      </c>
      <c r="AI114" s="700">
        <f t="shared" si="29"/>
        <v>255000</v>
      </c>
      <c r="AJ114" s="693">
        <f>'SAN LUONG'!AF282</f>
        <v>495</v>
      </c>
      <c r="AK114" s="693">
        <f>'SAN LUONG'!AG282</f>
        <v>492</v>
      </c>
      <c r="AL114" s="693">
        <f>'SAN LUONG'!AH282</f>
        <v>444</v>
      </c>
      <c r="AM114" s="702">
        <f t="shared" si="34"/>
        <v>444</v>
      </c>
      <c r="AN114" s="702">
        <f t="shared" si="37"/>
        <v>0</v>
      </c>
      <c r="AO114" s="702"/>
      <c r="AP114" s="702">
        <f t="shared" si="30"/>
        <v>108425</v>
      </c>
      <c r="AQ114" s="702">
        <f t="shared" si="35"/>
        <v>987</v>
      </c>
      <c r="AR114" s="702">
        <f t="shared" si="31"/>
        <v>197597</v>
      </c>
      <c r="AS114" s="555">
        <f t="shared" si="32"/>
        <v>561022</v>
      </c>
      <c r="AT114" s="706"/>
      <c r="AU114" s="706"/>
      <c r="AV114" s="706">
        <f>'CHAM CONG'!AZ285</f>
        <v>0</v>
      </c>
      <c r="AW114" s="706"/>
      <c r="AX114" s="562">
        <f t="shared" si="38"/>
        <v>561022</v>
      </c>
      <c r="AY114" s="707"/>
      <c r="AZ114" s="708">
        <f t="shared" si="33"/>
        <v>17.559999999999999</v>
      </c>
      <c r="BA114" s="709"/>
    </row>
    <row r="115" spans="1:53" s="683" customFormat="1" ht="44.4" customHeight="1">
      <c r="A115" s="688">
        <v>106</v>
      </c>
      <c r="B115" s="689">
        <v>6</v>
      </c>
      <c r="C115" s="689">
        <v>231</v>
      </c>
      <c r="D115" s="690"/>
      <c r="E115" s="690"/>
      <c r="F115" s="690"/>
      <c r="G115" s="690" t="str">
        <f>'Tên Tháng 1'!E276</f>
        <v>លី គី</v>
      </c>
      <c r="H115" s="690" t="str">
        <f>'Tên Tháng 1'!F276</f>
        <v>LY KY</v>
      </c>
      <c r="I115" s="693" t="str">
        <f>'CHAM CONG'!G282</f>
        <v>x</v>
      </c>
      <c r="J115" s="693" t="str">
        <f>'CHAM CONG'!H282</f>
        <v>x</v>
      </c>
      <c r="K115" s="693" t="str">
        <f>'CHAM CONG'!I282</f>
        <v>x</v>
      </c>
      <c r="L115" s="693">
        <f>'CHAM CONG'!J282</f>
        <v>0</v>
      </c>
      <c r="M115" s="693" t="str">
        <f>'CHAM CONG'!K282</f>
        <v>x</v>
      </c>
      <c r="N115" s="693" t="str">
        <f>'CHAM CONG'!L282</f>
        <v>x</v>
      </c>
      <c r="O115" s="693" t="str">
        <f>'CHAM CONG'!M282</f>
        <v>x</v>
      </c>
      <c r="P115" s="693" t="str">
        <f>'CHAM CONG'!N282</f>
        <v>x</v>
      </c>
      <c r="Q115" s="693" t="str">
        <f>'CHAM CONG'!O282</f>
        <v>x</v>
      </c>
      <c r="R115" s="693" t="str">
        <f>'CHAM CONG'!P282</f>
        <v>x</v>
      </c>
      <c r="S115" s="693" t="str">
        <f>'CHAM CONG'!Q282</f>
        <v>x</v>
      </c>
      <c r="T115" s="693" t="str">
        <f>'CHAM CONG'!R282</f>
        <v>x</v>
      </c>
      <c r="U115" s="693" t="str">
        <f>'CHAM CONG'!S282</f>
        <v>x</v>
      </c>
      <c r="V115" s="693" t="str">
        <f>'CHAM CONG'!T282</f>
        <v>x</v>
      </c>
      <c r="W115" s="693" t="str">
        <f>'CHAM CONG'!U282</f>
        <v>x</v>
      </c>
      <c r="X115" s="693"/>
      <c r="Y115" s="693"/>
      <c r="Z115" s="698">
        <f t="shared" si="23"/>
        <v>14</v>
      </c>
      <c r="AA115" s="699">
        <f t="shared" si="36"/>
        <v>0</v>
      </c>
      <c r="AB115" s="700">
        <f t="shared" si="24"/>
        <v>224000</v>
      </c>
      <c r="AC115" s="700" t="str">
        <f>'CHAM CONG'!V282</f>
        <v>x</v>
      </c>
      <c r="AD115" s="700" t="str">
        <f>'CHAM CONG'!X282</f>
        <v>x</v>
      </c>
      <c r="AE115" s="698">
        <f t="shared" si="25"/>
        <v>2</v>
      </c>
      <c r="AF115" s="700">
        <f t="shared" si="26"/>
        <v>34000</v>
      </c>
      <c r="AG115" s="700">
        <f t="shared" si="27"/>
        <v>14</v>
      </c>
      <c r="AH115" s="537">
        <f t="shared" si="28"/>
        <v>14000</v>
      </c>
      <c r="AI115" s="700">
        <f t="shared" si="29"/>
        <v>272000</v>
      </c>
      <c r="AJ115" s="693">
        <f>'SAN LUONG'!AF283</f>
        <v>621</v>
      </c>
      <c r="AK115" s="693">
        <f>'SAN LUONG'!AG283</f>
        <v>527</v>
      </c>
      <c r="AL115" s="693">
        <f>'SAN LUONG'!AH283</f>
        <v>136</v>
      </c>
      <c r="AM115" s="702">
        <f t="shared" si="34"/>
        <v>136</v>
      </c>
      <c r="AN115" s="702">
        <f t="shared" si="37"/>
        <v>0</v>
      </c>
      <c r="AO115" s="702"/>
      <c r="AP115" s="702">
        <f t="shared" si="30"/>
        <v>33211</v>
      </c>
      <c r="AQ115" s="702">
        <f t="shared" si="35"/>
        <v>1148</v>
      </c>
      <c r="AR115" s="702">
        <f t="shared" si="31"/>
        <v>229830</v>
      </c>
      <c r="AS115" s="555">
        <f t="shared" si="32"/>
        <v>535041</v>
      </c>
      <c r="AT115" s="706"/>
      <c r="AU115" s="706"/>
      <c r="AV115" s="706">
        <f>'CHAM CONG'!AZ286</f>
        <v>0</v>
      </c>
      <c r="AW115" s="706"/>
      <c r="AX115" s="562">
        <f t="shared" si="38"/>
        <v>535041</v>
      </c>
      <c r="AY115" s="707"/>
      <c r="AZ115" s="708">
        <f t="shared" si="33"/>
        <v>16.75</v>
      </c>
      <c r="BA115" s="709"/>
    </row>
    <row r="116" spans="1:53" s="683" customFormat="1" ht="44.4" customHeight="1">
      <c r="A116" s="688">
        <v>107</v>
      </c>
      <c r="B116" s="689">
        <v>6</v>
      </c>
      <c r="C116" s="689">
        <v>232</v>
      </c>
      <c r="D116" s="690"/>
      <c r="E116" s="690"/>
      <c r="F116" s="690"/>
      <c r="G116" s="690" t="str">
        <f>'Tên Tháng 1'!E277</f>
        <v>សឿង ថេង</v>
      </c>
      <c r="H116" s="690" t="str">
        <f>'Tên Tháng 1'!F277</f>
        <v>SOEUNG THENG</v>
      </c>
      <c r="I116" s="693" t="str">
        <f>'CHAM CONG'!G283</f>
        <v>x</v>
      </c>
      <c r="J116" s="693" t="str">
        <f>'CHAM CONG'!H283</f>
        <v>x</v>
      </c>
      <c r="K116" s="693" t="str">
        <f>'CHAM CONG'!I283</f>
        <v>x</v>
      </c>
      <c r="L116" s="693">
        <f>'CHAM CONG'!J283</f>
        <v>0</v>
      </c>
      <c r="M116" s="693" t="str">
        <f>'CHAM CONG'!K283</f>
        <v>x</v>
      </c>
      <c r="N116" s="693" t="str">
        <f>'CHAM CONG'!L283</f>
        <v>x</v>
      </c>
      <c r="O116" s="693">
        <f>'CHAM CONG'!M283</f>
        <v>0</v>
      </c>
      <c r="P116" s="693" t="str">
        <f>'CHAM CONG'!N283</f>
        <v>x</v>
      </c>
      <c r="Q116" s="693" t="str">
        <f>'CHAM CONG'!O283</f>
        <v>x</v>
      </c>
      <c r="R116" s="693" t="str">
        <f>'CHAM CONG'!P283</f>
        <v>x</v>
      </c>
      <c r="S116" s="693" t="str">
        <f>'CHAM CONG'!Q283</f>
        <v>x</v>
      </c>
      <c r="T116" s="693" t="str">
        <f>'CHAM CONG'!R283</f>
        <v>x</v>
      </c>
      <c r="U116" s="693" t="str">
        <f>'CHAM CONG'!S283</f>
        <v>x</v>
      </c>
      <c r="V116" s="693" t="str">
        <f>'CHAM CONG'!T283</f>
        <v>x</v>
      </c>
      <c r="W116" s="693" t="str">
        <f>'CHAM CONG'!U283</f>
        <v>x</v>
      </c>
      <c r="X116" s="693"/>
      <c r="Y116" s="693"/>
      <c r="Z116" s="698">
        <f t="shared" si="23"/>
        <v>13</v>
      </c>
      <c r="AA116" s="699">
        <f t="shared" si="36"/>
        <v>0</v>
      </c>
      <c r="AB116" s="700">
        <f t="shared" si="24"/>
        <v>208000</v>
      </c>
      <c r="AC116" s="700" t="str">
        <f>'CHAM CONG'!V283</f>
        <v>x</v>
      </c>
      <c r="AD116" s="700" t="str">
        <f>'CHAM CONG'!X283</f>
        <v>x</v>
      </c>
      <c r="AE116" s="698">
        <f t="shared" si="25"/>
        <v>2</v>
      </c>
      <c r="AF116" s="700">
        <f t="shared" si="26"/>
        <v>34000</v>
      </c>
      <c r="AG116" s="700">
        <f t="shared" si="27"/>
        <v>13</v>
      </c>
      <c r="AH116" s="537">
        <f t="shared" si="28"/>
        <v>13000</v>
      </c>
      <c r="AI116" s="700">
        <f t="shared" si="29"/>
        <v>255000</v>
      </c>
      <c r="AJ116" s="693">
        <f>'SAN LUONG'!AF284</f>
        <v>430</v>
      </c>
      <c r="AK116" s="693">
        <f>'SAN LUONG'!AG284</f>
        <v>695</v>
      </c>
      <c r="AL116" s="693">
        <f>'SAN LUONG'!AH284</f>
        <v>646</v>
      </c>
      <c r="AM116" s="702">
        <f t="shared" si="34"/>
        <v>646</v>
      </c>
      <c r="AN116" s="702">
        <f t="shared" si="37"/>
        <v>0</v>
      </c>
      <c r="AO116" s="702"/>
      <c r="AP116" s="702">
        <f t="shared" si="30"/>
        <v>157753</v>
      </c>
      <c r="AQ116" s="702">
        <f t="shared" si="35"/>
        <v>1125</v>
      </c>
      <c r="AR116" s="702">
        <f t="shared" si="31"/>
        <v>225225</v>
      </c>
      <c r="AS116" s="555">
        <f t="shared" si="32"/>
        <v>637978</v>
      </c>
      <c r="AT116" s="706"/>
      <c r="AU116" s="706"/>
      <c r="AV116" s="706">
        <f>'CHAM CONG'!AZ287</f>
        <v>0</v>
      </c>
      <c r="AW116" s="706"/>
      <c r="AX116" s="562">
        <f t="shared" si="38"/>
        <v>637978</v>
      </c>
      <c r="AY116" s="707"/>
      <c r="AZ116" s="708">
        <f t="shared" si="33"/>
        <v>19.97</v>
      </c>
      <c r="BA116" s="709"/>
    </row>
    <row r="117" spans="1:53" s="683" customFormat="1" ht="44.4" customHeight="1">
      <c r="A117" s="688">
        <v>108</v>
      </c>
      <c r="B117" s="689">
        <v>6</v>
      </c>
      <c r="C117" s="689">
        <v>233</v>
      </c>
      <c r="D117" s="690"/>
      <c r="E117" s="690"/>
      <c r="F117" s="690"/>
      <c r="G117" s="690" t="str">
        <f>'Tên Tháng 1'!E278</f>
        <v>សឿន ចាន់</v>
      </c>
      <c r="H117" s="690" t="str">
        <f>'Tên Tháng 1'!F278</f>
        <v>SOEUN CHAN</v>
      </c>
      <c r="I117" s="693" t="str">
        <f>'CHAM CONG'!G284</f>
        <v>x</v>
      </c>
      <c r="J117" s="693" t="str">
        <f>'CHAM CONG'!H284</f>
        <v>x</v>
      </c>
      <c r="K117" s="693" t="str">
        <f>'CHAM CONG'!I284</f>
        <v>x</v>
      </c>
      <c r="L117" s="693">
        <f>'CHAM CONG'!J284</f>
        <v>0</v>
      </c>
      <c r="M117" s="693" t="str">
        <f>'CHAM CONG'!K284</f>
        <v>x</v>
      </c>
      <c r="N117" s="693" t="str">
        <f>'CHAM CONG'!L284</f>
        <v>x</v>
      </c>
      <c r="O117" s="693">
        <f>'CHAM CONG'!M284</f>
        <v>0</v>
      </c>
      <c r="P117" s="693" t="str">
        <f>'CHAM CONG'!N284</f>
        <v>x</v>
      </c>
      <c r="Q117" s="693" t="str">
        <f>'CHAM CONG'!O284</f>
        <v>x</v>
      </c>
      <c r="R117" s="693" t="str">
        <f>'CHAM CONG'!P284</f>
        <v>x</v>
      </c>
      <c r="S117" s="693" t="str">
        <f>'CHAM CONG'!Q284</f>
        <v>x</v>
      </c>
      <c r="T117" s="693" t="str">
        <f>'CHAM CONG'!R284</f>
        <v>x</v>
      </c>
      <c r="U117" s="693" t="str">
        <f>'CHAM CONG'!S284</f>
        <v>x</v>
      </c>
      <c r="V117" s="693" t="str">
        <f>'CHAM CONG'!T284</f>
        <v>x</v>
      </c>
      <c r="W117" s="693" t="str">
        <f>'CHAM CONG'!U284</f>
        <v>x</v>
      </c>
      <c r="X117" s="693"/>
      <c r="Y117" s="693"/>
      <c r="Z117" s="698">
        <f t="shared" si="23"/>
        <v>13</v>
      </c>
      <c r="AA117" s="699">
        <f t="shared" si="36"/>
        <v>0</v>
      </c>
      <c r="AB117" s="700">
        <f t="shared" si="24"/>
        <v>208000</v>
      </c>
      <c r="AC117" s="700" t="str">
        <f>'CHAM CONG'!V284</f>
        <v>x</v>
      </c>
      <c r="AD117" s="700">
        <f>'CHAM CONG'!X284</f>
        <v>0</v>
      </c>
      <c r="AE117" s="698">
        <f t="shared" si="25"/>
        <v>1</v>
      </c>
      <c r="AF117" s="700">
        <f t="shared" si="26"/>
        <v>17000</v>
      </c>
      <c r="AG117" s="700">
        <f t="shared" si="27"/>
        <v>13</v>
      </c>
      <c r="AH117" s="537">
        <f t="shared" si="28"/>
        <v>13000</v>
      </c>
      <c r="AI117" s="700">
        <f t="shared" si="29"/>
        <v>238000</v>
      </c>
      <c r="AJ117" s="693">
        <f>'SAN LUONG'!AF285</f>
        <v>406</v>
      </c>
      <c r="AK117" s="693">
        <f>'SAN LUONG'!AG285</f>
        <v>717</v>
      </c>
      <c r="AL117" s="693">
        <f>'SAN LUONG'!AH285</f>
        <v>409</v>
      </c>
      <c r="AM117" s="702"/>
      <c r="AN117" s="702">
        <f t="shared" si="37"/>
        <v>0</v>
      </c>
      <c r="AO117" s="702"/>
      <c r="AP117" s="702">
        <f t="shared" si="30"/>
        <v>0</v>
      </c>
      <c r="AQ117" s="702">
        <f t="shared" si="35"/>
        <v>1532</v>
      </c>
      <c r="AR117" s="702">
        <f t="shared" si="31"/>
        <v>306706</v>
      </c>
      <c r="AS117" s="555">
        <f t="shared" si="32"/>
        <v>544706</v>
      </c>
      <c r="AT117" s="706"/>
      <c r="AU117" s="706"/>
      <c r="AV117" s="706">
        <f>'CHAM CONG'!AZ288</f>
        <v>0</v>
      </c>
      <c r="AW117" s="706"/>
      <c r="AX117" s="562">
        <f t="shared" si="38"/>
        <v>544706</v>
      </c>
      <c r="AY117" s="707"/>
      <c r="AZ117" s="708">
        <f t="shared" si="33"/>
        <v>17.05</v>
      </c>
      <c r="BA117" s="709"/>
    </row>
    <row r="118" spans="1:53" s="683" customFormat="1" ht="44.4" customHeight="1">
      <c r="A118" s="688">
        <v>109</v>
      </c>
      <c r="B118" s="689">
        <v>6</v>
      </c>
      <c r="C118" s="689">
        <v>234</v>
      </c>
      <c r="D118" s="690"/>
      <c r="E118" s="690"/>
      <c r="F118" s="690"/>
      <c r="G118" s="690" t="str">
        <f>'Tên Tháng 1'!E279</f>
        <v>ពយ នីន</v>
      </c>
      <c r="H118" s="690" t="str">
        <f>'Tên Tháng 1'!F279</f>
        <v>POY NIN</v>
      </c>
      <c r="I118" s="693">
        <f>'CHAM CONG'!G285</f>
        <v>0</v>
      </c>
      <c r="J118" s="693" t="str">
        <f>'CHAM CONG'!H285</f>
        <v>x</v>
      </c>
      <c r="K118" s="693" t="str">
        <f>'CHAM CONG'!I285</f>
        <v>x</v>
      </c>
      <c r="L118" s="693">
        <f>'CHAM CONG'!J285</f>
        <v>0</v>
      </c>
      <c r="M118" s="693" t="str">
        <f>'CHAM CONG'!K285</f>
        <v>x</v>
      </c>
      <c r="N118" s="693" t="str">
        <f>'CHAM CONG'!L285</f>
        <v>x</v>
      </c>
      <c r="O118" s="693" t="str">
        <f>'CHAM CONG'!M285</f>
        <v>x</v>
      </c>
      <c r="P118" s="693" t="str">
        <f>'CHAM CONG'!N285</f>
        <v>x</v>
      </c>
      <c r="Q118" s="693" t="str">
        <f>'CHAM CONG'!O285</f>
        <v>x</v>
      </c>
      <c r="R118" s="693" t="str">
        <f>'CHAM CONG'!P285</f>
        <v>x</v>
      </c>
      <c r="S118" s="693" t="str">
        <f>'CHAM CONG'!Q285</f>
        <v>x</v>
      </c>
      <c r="T118" s="693" t="str">
        <f>'CHAM CONG'!R285</f>
        <v>x</v>
      </c>
      <c r="U118" s="693" t="str">
        <f>'CHAM CONG'!S285</f>
        <v>x</v>
      </c>
      <c r="V118" s="693" t="str">
        <f>'CHAM CONG'!T285</f>
        <v>x</v>
      </c>
      <c r="W118" s="693" t="str">
        <f>'CHAM CONG'!U285</f>
        <v>x</v>
      </c>
      <c r="X118" s="693"/>
      <c r="Y118" s="693"/>
      <c r="Z118" s="698">
        <f t="shared" si="23"/>
        <v>13</v>
      </c>
      <c r="AA118" s="699">
        <f t="shared" si="36"/>
        <v>0</v>
      </c>
      <c r="AB118" s="700">
        <f t="shared" si="24"/>
        <v>208000</v>
      </c>
      <c r="AC118" s="700" t="str">
        <f>'CHAM CONG'!V285</f>
        <v>x</v>
      </c>
      <c r="AD118" s="700">
        <f>'CHAM CONG'!X285</f>
        <v>0</v>
      </c>
      <c r="AE118" s="698">
        <f t="shared" si="25"/>
        <v>1</v>
      </c>
      <c r="AF118" s="700">
        <f t="shared" si="26"/>
        <v>17000</v>
      </c>
      <c r="AG118" s="700">
        <f t="shared" si="27"/>
        <v>13</v>
      </c>
      <c r="AH118" s="537">
        <f t="shared" si="28"/>
        <v>13000</v>
      </c>
      <c r="AI118" s="700">
        <f t="shared" si="29"/>
        <v>238000</v>
      </c>
      <c r="AJ118" s="693">
        <f>'SAN LUONG'!AF286</f>
        <v>490</v>
      </c>
      <c r="AK118" s="693">
        <f>'SAN LUONG'!AG286</f>
        <v>606</v>
      </c>
      <c r="AL118" s="693">
        <f>'SAN LUONG'!AH286</f>
        <v>348</v>
      </c>
      <c r="AM118" s="702"/>
      <c r="AN118" s="702">
        <f t="shared" si="37"/>
        <v>0</v>
      </c>
      <c r="AO118" s="702"/>
      <c r="AP118" s="702">
        <f t="shared" si="30"/>
        <v>0</v>
      </c>
      <c r="AQ118" s="702">
        <f t="shared" si="35"/>
        <v>1444</v>
      </c>
      <c r="AR118" s="702">
        <f t="shared" si="31"/>
        <v>289089</v>
      </c>
      <c r="AS118" s="555">
        <f t="shared" si="32"/>
        <v>527089</v>
      </c>
      <c r="AT118" s="706"/>
      <c r="AU118" s="706"/>
      <c r="AV118" s="706">
        <f>'CHAM CONG'!AZ289</f>
        <v>0</v>
      </c>
      <c r="AW118" s="706"/>
      <c r="AX118" s="562">
        <f t="shared" si="38"/>
        <v>527089</v>
      </c>
      <c r="AY118" s="707"/>
      <c r="AZ118" s="708">
        <f t="shared" si="33"/>
        <v>16.5</v>
      </c>
      <c r="BA118" s="709"/>
    </row>
    <row r="119" spans="1:53" s="683" customFormat="1" ht="44.4" customHeight="1">
      <c r="A119" s="688">
        <v>110</v>
      </c>
      <c r="B119" s="689">
        <v>6</v>
      </c>
      <c r="C119" s="689">
        <v>235</v>
      </c>
      <c r="D119" s="690"/>
      <c r="E119" s="690"/>
      <c r="F119" s="690"/>
      <c r="G119" s="690" t="str">
        <f>'Tên Tháng 1'!E280</f>
        <v>សោម ច័ន្ធសុភា</v>
      </c>
      <c r="H119" s="690" t="str">
        <f>'Tên Tháng 1'!F280</f>
        <v>SAOM CHAN SOPHEA</v>
      </c>
      <c r="I119" s="693" t="str">
        <f>'CHAM CONG'!G286</f>
        <v>x</v>
      </c>
      <c r="J119" s="693" t="str">
        <f>'CHAM CONG'!H286</f>
        <v>x</v>
      </c>
      <c r="K119" s="693" t="str">
        <f>'CHAM CONG'!I286</f>
        <v>x</v>
      </c>
      <c r="L119" s="693">
        <f>'CHAM CONG'!J286</f>
        <v>0</v>
      </c>
      <c r="M119" s="693" t="str">
        <f>'CHAM CONG'!K286</f>
        <v>x</v>
      </c>
      <c r="N119" s="693" t="str">
        <f>'CHAM CONG'!L286</f>
        <v>x</v>
      </c>
      <c r="O119" s="693" t="str">
        <f>'CHAM CONG'!M286</f>
        <v>x</v>
      </c>
      <c r="P119" s="693" t="str">
        <f>'CHAM CONG'!N286</f>
        <v>x</v>
      </c>
      <c r="Q119" s="693" t="str">
        <f>'CHAM CONG'!O286</f>
        <v>x</v>
      </c>
      <c r="R119" s="693" t="str">
        <f>'CHAM CONG'!P286</f>
        <v>x</v>
      </c>
      <c r="S119" s="693" t="str">
        <f>'CHAM CONG'!Q286</f>
        <v>x</v>
      </c>
      <c r="T119" s="693" t="str">
        <f>'CHAM CONG'!R286</f>
        <v>x</v>
      </c>
      <c r="U119" s="693" t="str">
        <f>'CHAM CONG'!S286</f>
        <v>x</v>
      </c>
      <c r="V119" s="693" t="str">
        <f>'CHAM CONG'!T286</f>
        <v>x</v>
      </c>
      <c r="W119" s="693" t="str">
        <f>'CHAM CONG'!U286</f>
        <v>x</v>
      </c>
      <c r="X119" s="693"/>
      <c r="Y119" s="693"/>
      <c r="Z119" s="698">
        <f t="shared" si="23"/>
        <v>14</v>
      </c>
      <c r="AA119" s="699">
        <f t="shared" si="36"/>
        <v>0</v>
      </c>
      <c r="AB119" s="700">
        <f t="shared" si="24"/>
        <v>224000</v>
      </c>
      <c r="AC119" s="700" t="str">
        <f>'CHAM CONG'!V286</f>
        <v>x</v>
      </c>
      <c r="AD119" s="700" t="str">
        <f>'CHAM CONG'!X286</f>
        <v>x</v>
      </c>
      <c r="AE119" s="698">
        <f t="shared" si="25"/>
        <v>2</v>
      </c>
      <c r="AF119" s="700">
        <f t="shared" si="26"/>
        <v>34000</v>
      </c>
      <c r="AG119" s="700">
        <f t="shared" si="27"/>
        <v>14</v>
      </c>
      <c r="AH119" s="537">
        <f t="shared" si="28"/>
        <v>14000</v>
      </c>
      <c r="AI119" s="700">
        <f t="shared" si="29"/>
        <v>272000</v>
      </c>
      <c r="AJ119" s="693">
        <f>'SAN LUONG'!AF287</f>
        <v>438</v>
      </c>
      <c r="AK119" s="693">
        <f>'SAN LUONG'!AG287</f>
        <v>493</v>
      </c>
      <c r="AL119" s="693">
        <f>'SAN LUONG'!AH287</f>
        <v>374</v>
      </c>
      <c r="AM119" s="702"/>
      <c r="AN119" s="702">
        <f t="shared" si="37"/>
        <v>0</v>
      </c>
      <c r="AO119" s="702"/>
      <c r="AP119" s="702">
        <f t="shared" si="30"/>
        <v>0</v>
      </c>
      <c r="AQ119" s="702">
        <f t="shared" si="35"/>
        <v>1305</v>
      </c>
      <c r="AR119" s="702">
        <f t="shared" si="31"/>
        <v>261261</v>
      </c>
      <c r="AS119" s="555">
        <f t="shared" si="32"/>
        <v>533261</v>
      </c>
      <c r="AT119" s="706"/>
      <c r="AU119" s="706"/>
      <c r="AV119" s="706">
        <f>'CHAM CONG'!AZ290</f>
        <v>0</v>
      </c>
      <c r="AW119" s="706"/>
      <c r="AX119" s="562">
        <f t="shared" si="38"/>
        <v>533261</v>
      </c>
      <c r="AY119" s="707"/>
      <c r="AZ119" s="708">
        <f t="shared" si="33"/>
        <v>16.690000000000001</v>
      </c>
      <c r="BA119" s="709"/>
    </row>
    <row r="120" spans="1:53" s="683" customFormat="1" ht="44.4" customHeight="1">
      <c r="A120" s="688">
        <v>111</v>
      </c>
      <c r="B120" s="689">
        <v>6</v>
      </c>
      <c r="C120" s="689">
        <v>236</v>
      </c>
      <c r="D120" s="690"/>
      <c r="E120" s="690"/>
      <c r="F120" s="690"/>
      <c r="G120" s="690" t="str">
        <f>'Tên Tháng 1'!E281</f>
        <v>គង់ សុផាន</v>
      </c>
      <c r="H120" s="690" t="str">
        <f>'Tên Tháng 1'!F281</f>
        <v>KONG SOPHAN</v>
      </c>
      <c r="I120" s="693" t="str">
        <f>'CHAM CONG'!G287</f>
        <v>x</v>
      </c>
      <c r="J120" s="693" t="str">
        <f>'CHAM CONG'!H287</f>
        <v>x</v>
      </c>
      <c r="K120" s="693" t="str">
        <f>'CHAM CONG'!I287</f>
        <v>x</v>
      </c>
      <c r="L120" s="693">
        <f>'CHAM CONG'!J287</f>
        <v>0</v>
      </c>
      <c r="M120" s="693" t="str">
        <f>'CHAM CONG'!K287</f>
        <v>x</v>
      </c>
      <c r="N120" s="693" t="str">
        <f>'CHAM CONG'!L287</f>
        <v>x</v>
      </c>
      <c r="O120" s="693" t="str">
        <f>'CHAM CONG'!M287</f>
        <v>x</v>
      </c>
      <c r="P120" s="693" t="str">
        <f>'CHAM CONG'!N287</f>
        <v>x</v>
      </c>
      <c r="Q120" s="693" t="str">
        <f>'CHAM CONG'!O287</f>
        <v>x</v>
      </c>
      <c r="R120" s="693" t="str">
        <f>'CHAM CONG'!P287</f>
        <v>x</v>
      </c>
      <c r="S120" s="693" t="str">
        <f>'CHAM CONG'!Q287</f>
        <v>x</v>
      </c>
      <c r="T120" s="693" t="str">
        <f>'CHAM CONG'!R287</f>
        <v>x</v>
      </c>
      <c r="U120" s="693" t="str">
        <f>'CHAM CONG'!S287</f>
        <v>x</v>
      </c>
      <c r="V120" s="693" t="str">
        <f>'CHAM CONG'!T287</f>
        <v>x</v>
      </c>
      <c r="W120" s="693" t="str">
        <f>'CHAM CONG'!U287</f>
        <v>x</v>
      </c>
      <c r="X120" s="693"/>
      <c r="Y120" s="693"/>
      <c r="Z120" s="698">
        <f t="shared" si="23"/>
        <v>14</v>
      </c>
      <c r="AA120" s="699">
        <f t="shared" si="36"/>
        <v>0</v>
      </c>
      <c r="AB120" s="700">
        <f t="shared" si="24"/>
        <v>224000</v>
      </c>
      <c r="AC120" s="700" t="str">
        <f>'CHAM CONG'!V287</f>
        <v>x</v>
      </c>
      <c r="AD120" s="700" t="str">
        <f>'CHAM CONG'!X287</f>
        <v>x</v>
      </c>
      <c r="AE120" s="698">
        <f t="shared" si="25"/>
        <v>2</v>
      </c>
      <c r="AF120" s="700">
        <f t="shared" si="26"/>
        <v>34000</v>
      </c>
      <c r="AG120" s="700">
        <f t="shared" si="27"/>
        <v>14</v>
      </c>
      <c r="AH120" s="537">
        <f t="shared" si="28"/>
        <v>14000</v>
      </c>
      <c r="AI120" s="700">
        <f t="shared" si="29"/>
        <v>272000</v>
      </c>
      <c r="AJ120" s="693">
        <f>'SAN LUONG'!AF288</f>
        <v>448</v>
      </c>
      <c r="AK120" s="693">
        <f>'SAN LUONG'!AG288</f>
        <v>503</v>
      </c>
      <c r="AL120" s="693">
        <f>'SAN LUONG'!AH288</f>
        <v>347</v>
      </c>
      <c r="AM120" s="702"/>
      <c r="AN120" s="702">
        <f t="shared" si="37"/>
        <v>0</v>
      </c>
      <c r="AO120" s="702"/>
      <c r="AP120" s="702">
        <f t="shared" si="30"/>
        <v>0</v>
      </c>
      <c r="AQ120" s="702">
        <f t="shared" si="35"/>
        <v>1298</v>
      </c>
      <c r="AR120" s="702">
        <f t="shared" si="31"/>
        <v>259860</v>
      </c>
      <c r="AS120" s="555">
        <f t="shared" si="32"/>
        <v>531860</v>
      </c>
      <c r="AT120" s="706"/>
      <c r="AU120" s="706"/>
      <c r="AV120" s="706">
        <f>'CHAM CONG'!AZ291</f>
        <v>0</v>
      </c>
      <c r="AW120" s="706"/>
      <c r="AX120" s="562">
        <f t="shared" si="38"/>
        <v>531860</v>
      </c>
      <c r="AY120" s="707"/>
      <c r="AZ120" s="708">
        <f t="shared" si="33"/>
        <v>16.649999999999999</v>
      </c>
      <c r="BA120" s="709"/>
    </row>
    <row r="121" spans="1:53" s="683" customFormat="1" ht="44.4" customHeight="1">
      <c r="A121" s="688">
        <v>112</v>
      </c>
      <c r="B121" s="689">
        <v>6</v>
      </c>
      <c r="C121" s="689">
        <v>237</v>
      </c>
      <c r="D121" s="690"/>
      <c r="E121" s="690"/>
      <c r="F121" s="690"/>
      <c r="G121" s="690" t="str">
        <f>'Tên Tháng 1'!E282</f>
        <v>ពាង ដែន</v>
      </c>
      <c r="H121" s="690" t="str">
        <f>'Tên Tháng 1'!F282</f>
        <v>PEANG DEN</v>
      </c>
      <c r="I121" s="693">
        <f>'CHAM CONG'!G288</f>
        <v>0</v>
      </c>
      <c r="J121" s="693" t="str">
        <f>'CHAM CONG'!H288</f>
        <v>x</v>
      </c>
      <c r="K121" s="693" t="str">
        <f>'CHAM CONG'!I288</f>
        <v>x</v>
      </c>
      <c r="L121" s="693">
        <f>'CHAM CONG'!J288</f>
        <v>0</v>
      </c>
      <c r="M121" s="693" t="str">
        <f>'CHAM CONG'!K288</f>
        <v>x</v>
      </c>
      <c r="N121" s="693" t="str">
        <f>'CHAM CONG'!L288</f>
        <v>x</v>
      </c>
      <c r="O121" s="693">
        <f>'CHAM CONG'!M288</f>
        <v>0</v>
      </c>
      <c r="P121" s="693" t="str">
        <f>'CHAM CONG'!N288</f>
        <v>x</v>
      </c>
      <c r="Q121" s="693" t="str">
        <f>'CHAM CONG'!O288</f>
        <v>x</v>
      </c>
      <c r="R121" s="693" t="str">
        <f>'CHAM CONG'!P288</f>
        <v>x</v>
      </c>
      <c r="S121" s="693" t="str">
        <f>'CHAM CONG'!Q288</f>
        <v>x</v>
      </c>
      <c r="T121" s="693" t="str">
        <f>'CHAM CONG'!R288</f>
        <v>x</v>
      </c>
      <c r="U121" s="693" t="str">
        <f>'CHAM CONG'!S288</f>
        <v>x</v>
      </c>
      <c r="V121" s="693" t="str">
        <f>'CHAM CONG'!T288</f>
        <v>x</v>
      </c>
      <c r="W121" s="693" t="str">
        <f>'CHAM CONG'!U288</f>
        <v>x</v>
      </c>
      <c r="X121" s="693"/>
      <c r="Y121" s="693"/>
      <c r="Z121" s="698">
        <f t="shared" si="23"/>
        <v>12</v>
      </c>
      <c r="AA121" s="699">
        <f t="shared" si="36"/>
        <v>0</v>
      </c>
      <c r="AB121" s="700">
        <f t="shared" si="24"/>
        <v>192000</v>
      </c>
      <c r="AC121" s="700">
        <f>'CHAM CONG'!V288</f>
        <v>0</v>
      </c>
      <c r="AD121" s="700" t="str">
        <f>'CHAM CONG'!X288</f>
        <v>x</v>
      </c>
      <c r="AE121" s="698">
        <f t="shared" si="25"/>
        <v>1</v>
      </c>
      <c r="AF121" s="700">
        <f t="shared" si="26"/>
        <v>17000</v>
      </c>
      <c r="AG121" s="700">
        <f t="shared" si="27"/>
        <v>12</v>
      </c>
      <c r="AH121" s="537">
        <f t="shared" si="28"/>
        <v>12000</v>
      </c>
      <c r="AI121" s="700">
        <f t="shared" si="29"/>
        <v>221000</v>
      </c>
      <c r="AJ121" s="693">
        <f>'SAN LUONG'!AF289</f>
        <v>384</v>
      </c>
      <c r="AK121" s="693">
        <f>'SAN LUONG'!AG289</f>
        <v>457</v>
      </c>
      <c r="AL121" s="693">
        <f>'SAN LUONG'!AH289</f>
        <v>299</v>
      </c>
      <c r="AM121" s="702"/>
      <c r="AN121" s="702">
        <f t="shared" si="37"/>
        <v>0</v>
      </c>
      <c r="AO121" s="702"/>
      <c r="AP121" s="702">
        <f t="shared" si="30"/>
        <v>0</v>
      </c>
      <c r="AQ121" s="702">
        <f t="shared" si="35"/>
        <v>1140</v>
      </c>
      <c r="AR121" s="702">
        <f t="shared" si="31"/>
        <v>228228</v>
      </c>
      <c r="AS121" s="555">
        <f t="shared" si="32"/>
        <v>449228</v>
      </c>
      <c r="AT121" s="706"/>
      <c r="AU121" s="706"/>
      <c r="AV121" s="706">
        <f>'CHAM CONG'!AZ292</f>
        <v>0</v>
      </c>
      <c r="AW121" s="706"/>
      <c r="AX121" s="562">
        <f t="shared" si="38"/>
        <v>449228</v>
      </c>
      <c r="AY121" s="707"/>
      <c r="AZ121" s="708">
        <f t="shared" si="33"/>
        <v>14.06</v>
      </c>
      <c r="BA121" s="709"/>
    </row>
    <row r="122" spans="1:53" s="683" customFormat="1" ht="44.4" customHeight="1">
      <c r="A122" s="688">
        <v>113</v>
      </c>
      <c r="B122" s="689">
        <v>6</v>
      </c>
      <c r="C122" s="689">
        <v>238</v>
      </c>
      <c r="D122" s="690"/>
      <c r="E122" s="690"/>
      <c r="F122" s="690"/>
      <c r="G122" s="690" t="str">
        <f>'Tên Tháng 1'!E283</f>
        <v>ពៅ ផាត</v>
      </c>
      <c r="H122" s="690" t="str">
        <f>'Tên Tháng 1'!F283</f>
        <v>POV PHAT</v>
      </c>
      <c r="I122" s="693" t="str">
        <f>'CHAM CONG'!G289</f>
        <v>x</v>
      </c>
      <c r="J122" s="693">
        <f>'CHAM CONG'!H289</f>
        <v>0</v>
      </c>
      <c r="K122" s="693" t="str">
        <f>'CHAM CONG'!I289</f>
        <v>x</v>
      </c>
      <c r="L122" s="693">
        <f>'CHAM CONG'!J289</f>
        <v>0</v>
      </c>
      <c r="M122" s="693">
        <f>'CHAM CONG'!K289</f>
        <v>0</v>
      </c>
      <c r="N122" s="693" t="str">
        <f>'CHAM CONG'!L289</f>
        <v>x</v>
      </c>
      <c r="O122" s="693" t="str">
        <f>'CHAM CONG'!M289</f>
        <v>x</v>
      </c>
      <c r="P122" s="693" t="str">
        <f>'CHAM CONG'!N289</f>
        <v>x</v>
      </c>
      <c r="Q122" s="693" t="str">
        <f>'CHAM CONG'!O289</f>
        <v>x</v>
      </c>
      <c r="R122" s="693" t="str">
        <f>'CHAM CONG'!P289</f>
        <v>x</v>
      </c>
      <c r="S122" s="693" t="str">
        <f>'CHAM CONG'!Q289</f>
        <v>x</v>
      </c>
      <c r="T122" s="693" t="str">
        <f>'CHAM CONG'!R289</f>
        <v>x</v>
      </c>
      <c r="U122" s="693" t="str">
        <f>'CHAM CONG'!S289</f>
        <v>x</v>
      </c>
      <c r="V122" s="693" t="str">
        <f>'CHAM CONG'!T289</f>
        <v>x</v>
      </c>
      <c r="W122" s="693" t="str">
        <f>'CHAM CONG'!U289</f>
        <v>x</v>
      </c>
      <c r="X122" s="693"/>
      <c r="Y122" s="693"/>
      <c r="Z122" s="698">
        <f t="shared" si="23"/>
        <v>12</v>
      </c>
      <c r="AA122" s="699">
        <f t="shared" si="36"/>
        <v>0</v>
      </c>
      <c r="AB122" s="700">
        <f t="shared" si="24"/>
        <v>192000</v>
      </c>
      <c r="AC122" s="700">
        <f>'CHAM CONG'!V289</f>
        <v>0</v>
      </c>
      <c r="AD122" s="700" t="str">
        <f>'CHAM CONG'!X289</f>
        <v>x</v>
      </c>
      <c r="AE122" s="698">
        <f t="shared" si="25"/>
        <v>1</v>
      </c>
      <c r="AF122" s="700">
        <f t="shared" si="26"/>
        <v>17000</v>
      </c>
      <c r="AG122" s="700">
        <f t="shared" si="27"/>
        <v>12</v>
      </c>
      <c r="AH122" s="537">
        <f t="shared" si="28"/>
        <v>12000</v>
      </c>
      <c r="AI122" s="700">
        <f t="shared" si="29"/>
        <v>221000</v>
      </c>
      <c r="AJ122" s="693">
        <f>'SAN LUONG'!AF290</f>
        <v>517</v>
      </c>
      <c r="AK122" s="693">
        <f>'SAN LUONG'!AG290</f>
        <v>366</v>
      </c>
      <c r="AL122" s="693">
        <f>'SAN LUONG'!AH290</f>
        <v>243</v>
      </c>
      <c r="AM122" s="702"/>
      <c r="AN122" s="702">
        <f t="shared" si="37"/>
        <v>0</v>
      </c>
      <c r="AO122" s="702"/>
      <c r="AP122" s="702">
        <f t="shared" si="30"/>
        <v>0</v>
      </c>
      <c r="AQ122" s="702">
        <f t="shared" si="35"/>
        <v>1126</v>
      </c>
      <c r="AR122" s="702">
        <f t="shared" si="31"/>
        <v>225425</v>
      </c>
      <c r="AS122" s="555">
        <f t="shared" si="32"/>
        <v>446425</v>
      </c>
      <c r="AT122" s="706"/>
      <c r="AU122" s="706"/>
      <c r="AV122" s="706">
        <f>'CHAM CONG'!AZ293</f>
        <v>0</v>
      </c>
      <c r="AW122" s="706"/>
      <c r="AX122" s="562">
        <f t="shared" si="38"/>
        <v>446425</v>
      </c>
      <c r="AY122" s="707"/>
      <c r="AZ122" s="708">
        <f t="shared" si="33"/>
        <v>13.97</v>
      </c>
      <c r="BA122" s="709"/>
    </row>
    <row r="123" spans="1:53" s="683" customFormat="1" ht="44.4" customHeight="1">
      <c r="A123" s="688">
        <v>114</v>
      </c>
      <c r="B123" s="689">
        <v>6</v>
      </c>
      <c r="C123" s="689">
        <v>239</v>
      </c>
      <c r="D123" s="690"/>
      <c r="E123" s="690"/>
      <c r="F123" s="690"/>
      <c r="G123" s="690" t="str">
        <f>'Tên Tháng 1'!E284</f>
        <v>តុត យាង</v>
      </c>
      <c r="H123" s="690" t="str">
        <f>'Tên Tháng 1'!F284</f>
        <v>TOT YEANG</v>
      </c>
      <c r="I123" s="693" t="str">
        <f>'CHAM CONG'!G290</f>
        <v>x</v>
      </c>
      <c r="J123" s="693" t="str">
        <f>'CHAM CONG'!H290</f>
        <v>x</v>
      </c>
      <c r="K123" s="693">
        <f>'CHAM CONG'!I290</f>
        <v>0</v>
      </c>
      <c r="L123" s="693">
        <f>'CHAM CONG'!J290</f>
        <v>0</v>
      </c>
      <c r="M123" s="693" t="str">
        <f>'CHAM CONG'!K290</f>
        <v>x</v>
      </c>
      <c r="N123" s="693" t="str">
        <f>'CHAM CONG'!L290</f>
        <v>x</v>
      </c>
      <c r="O123" s="693" t="str">
        <f>'CHAM CONG'!M290</f>
        <v>x</v>
      </c>
      <c r="P123" s="693" t="str">
        <f>'CHAM CONG'!N290</f>
        <v>x</v>
      </c>
      <c r="Q123" s="693" t="str">
        <f>'CHAM CONG'!O290</f>
        <v>x</v>
      </c>
      <c r="R123" s="693" t="str">
        <f>'CHAM CONG'!P290</f>
        <v>x</v>
      </c>
      <c r="S123" s="693" t="str">
        <f>'CHAM CONG'!Q290</f>
        <v>x</v>
      </c>
      <c r="T123" s="693" t="str">
        <f>'CHAM CONG'!R290</f>
        <v>x</v>
      </c>
      <c r="U123" s="693" t="str">
        <f>'CHAM CONG'!S290</f>
        <v>x</v>
      </c>
      <c r="V123" s="693" t="str">
        <f>'CHAM CONG'!T290</f>
        <v>x</v>
      </c>
      <c r="W123" s="693" t="str">
        <f>'CHAM CONG'!U290</f>
        <v>x</v>
      </c>
      <c r="X123" s="693"/>
      <c r="Y123" s="693"/>
      <c r="Z123" s="698">
        <f t="shared" si="23"/>
        <v>13</v>
      </c>
      <c r="AA123" s="699">
        <f t="shared" si="36"/>
        <v>0</v>
      </c>
      <c r="AB123" s="700">
        <f t="shared" si="24"/>
        <v>208000</v>
      </c>
      <c r="AC123" s="700" t="str">
        <f>'CHAM CONG'!V290</f>
        <v>x</v>
      </c>
      <c r="AD123" s="700" t="str">
        <f>'CHAM CONG'!X290</f>
        <v>x</v>
      </c>
      <c r="AE123" s="698">
        <f t="shared" si="25"/>
        <v>2</v>
      </c>
      <c r="AF123" s="700">
        <f t="shared" si="26"/>
        <v>34000</v>
      </c>
      <c r="AG123" s="700">
        <f t="shared" si="27"/>
        <v>13</v>
      </c>
      <c r="AH123" s="537">
        <f t="shared" si="28"/>
        <v>13000</v>
      </c>
      <c r="AI123" s="700">
        <f t="shared" si="29"/>
        <v>255000</v>
      </c>
      <c r="AJ123" s="693">
        <f>'SAN LUONG'!AF291</f>
        <v>382</v>
      </c>
      <c r="AK123" s="693">
        <f>'SAN LUONG'!AG291</f>
        <v>497</v>
      </c>
      <c r="AL123" s="693">
        <f>'SAN LUONG'!AH291</f>
        <v>255</v>
      </c>
      <c r="AM123" s="702"/>
      <c r="AN123" s="702">
        <f t="shared" si="37"/>
        <v>0</v>
      </c>
      <c r="AO123" s="702"/>
      <c r="AP123" s="702">
        <f t="shared" si="30"/>
        <v>0</v>
      </c>
      <c r="AQ123" s="702">
        <f t="shared" si="35"/>
        <v>1134</v>
      </c>
      <c r="AR123" s="702">
        <f t="shared" si="31"/>
        <v>227027</v>
      </c>
      <c r="AS123" s="555">
        <f t="shared" si="32"/>
        <v>482027</v>
      </c>
      <c r="AT123" s="706"/>
      <c r="AU123" s="706"/>
      <c r="AV123" s="706">
        <f>'CHAM CONG'!AZ294</f>
        <v>0</v>
      </c>
      <c r="AW123" s="706"/>
      <c r="AX123" s="562">
        <f t="shared" si="38"/>
        <v>482027</v>
      </c>
      <c r="AY123" s="707"/>
      <c r="AZ123" s="708">
        <f t="shared" si="33"/>
        <v>15.09</v>
      </c>
      <c r="BA123" s="709"/>
    </row>
    <row r="124" spans="1:53" s="683" customFormat="1" ht="44.4" customHeight="1">
      <c r="A124" s="688">
        <v>115</v>
      </c>
      <c r="B124" s="689">
        <v>6</v>
      </c>
      <c r="C124" s="689">
        <v>240</v>
      </c>
      <c r="D124" s="690"/>
      <c r="E124" s="690"/>
      <c r="F124" s="690"/>
      <c r="G124" s="690" t="str">
        <f>'Tên Tháng 1'!E285</f>
        <v>ថន សាន</v>
      </c>
      <c r="H124" s="690" t="str">
        <f>'Tên Tháng 1'!F285</f>
        <v>THAN SAN</v>
      </c>
      <c r="I124" s="693" t="str">
        <f>'CHAM CONG'!G291</f>
        <v>x</v>
      </c>
      <c r="J124" s="693">
        <f>'CHAM CONG'!H291</f>
        <v>0</v>
      </c>
      <c r="K124" s="693" t="str">
        <f>'CHAM CONG'!I291</f>
        <v>x</v>
      </c>
      <c r="L124" s="693">
        <f>'CHAM CONG'!J291</f>
        <v>0</v>
      </c>
      <c r="M124" s="693" t="str">
        <f>'CHAM CONG'!K291</f>
        <v>x</v>
      </c>
      <c r="N124" s="693" t="str">
        <f>'CHAM CONG'!L291</f>
        <v>x</v>
      </c>
      <c r="O124" s="693" t="str">
        <f>'CHAM CONG'!M291</f>
        <v>x</v>
      </c>
      <c r="P124" s="693" t="str">
        <f>'CHAM CONG'!N291</f>
        <v>x</v>
      </c>
      <c r="Q124" s="693" t="str">
        <f>'CHAM CONG'!O291</f>
        <v>x</v>
      </c>
      <c r="R124" s="693" t="str">
        <f>'CHAM CONG'!P291</f>
        <v>x</v>
      </c>
      <c r="S124" s="693" t="str">
        <f>'CHAM CONG'!Q291</f>
        <v>x</v>
      </c>
      <c r="T124" s="693" t="str">
        <f>'CHAM CONG'!R291</f>
        <v>x</v>
      </c>
      <c r="U124" s="693" t="str">
        <f>'CHAM CONG'!S291</f>
        <v>x</v>
      </c>
      <c r="V124" s="693" t="str">
        <f>'CHAM CONG'!T291</f>
        <v>x</v>
      </c>
      <c r="W124" s="693" t="str">
        <f>'CHAM CONG'!U291</f>
        <v>x</v>
      </c>
      <c r="X124" s="693"/>
      <c r="Y124" s="693"/>
      <c r="Z124" s="698">
        <f t="shared" si="23"/>
        <v>13</v>
      </c>
      <c r="AA124" s="699">
        <f t="shared" si="36"/>
        <v>0</v>
      </c>
      <c r="AB124" s="700">
        <f t="shared" si="24"/>
        <v>208000</v>
      </c>
      <c r="AC124" s="700">
        <f>'CHAM CONG'!V291</f>
        <v>0</v>
      </c>
      <c r="AD124" s="700" t="str">
        <f>'CHAM CONG'!X291</f>
        <v>x</v>
      </c>
      <c r="AE124" s="698">
        <f t="shared" si="25"/>
        <v>1</v>
      </c>
      <c r="AF124" s="700">
        <f t="shared" si="26"/>
        <v>17000</v>
      </c>
      <c r="AG124" s="700">
        <f t="shared" si="27"/>
        <v>13</v>
      </c>
      <c r="AH124" s="537">
        <f t="shared" si="28"/>
        <v>13000</v>
      </c>
      <c r="AI124" s="700">
        <f t="shared" si="29"/>
        <v>238000</v>
      </c>
      <c r="AJ124" s="693">
        <f>'SAN LUONG'!AF292</f>
        <v>360</v>
      </c>
      <c r="AK124" s="693">
        <f>'SAN LUONG'!AG292</f>
        <v>476</v>
      </c>
      <c r="AL124" s="693">
        <f>'SAN LUONG'!AH292</f>
        <v>353</v>
      </c>
      <c r="AM124" s="702"/>
      <c r="AN124" s="702">
        <f t="shared" si="37"/>
        <v>0</v>
      </c>
      <c r="AO124" s="702"/>
      <c r="AP124" s="702">
        <f t="shared" si="30"/>
        <v>0</v>
      </c>
      <c r="AQ124" s="702">
        <f t="shared" si="35"/>
        <v>1189</v>
      </c>
      <c r="AR124" s="702">
        <f t="shared" si="31"/>
        <v>238038</v>
      </c>
      <c r="AS124" s="555">
        <f t="shared" si="32"/>
        <v>476038</v>
      </c>
      <c r="AT124" s="706"/>
      <c r="AU124" s="706"/>
      <c r="AV124" s="706">
        <f>'CHAM CONG'!AZ295</f>
        <v>0</v>
      </c>
      <c r="AW124" s="706"/>
      <c r="AX124" s="562">
        <f t="shared" si="38"/>
        <v>476038</v>
      </c>
      <c r="AY124" s="707"/>
      <c r="AZ124" s="708">
        <f t="shared" si="33"/>
        <v>14.9</v>
      </c>
      <c r="BA124" s="709"/>
    </row>
    <row r="125" spans="1:53" s="683" customFormat="1" ht="44.4" customHeight="1">
      <c r="A125" s="688">
        <v>116</v>
      </c>
      <c r="B125" s="689">
        <v>6</v>
      </c>
      <c r="C125" s="689">
        <v>241</v>
      </c>
      <c r="D125" s="690"/>
      <c r="E125" s="690"/>
      <c r="F125" s="690"/>
      <c r="G125" s="690" t="str">
        <f>'Tên Tháng 1'!E286</f>
        <v>គឿន សុខអន</v>
      </c>
      <c r="H125" s="690" t="str">
        <f>'Tên Tháng 1'!F286</f>
        <v>KOEUN SOH ON</v>
      </c>
      <c r="I125" s="693">
        <f>'CHAM CONG'!G292</f>
        <v>0</v>
      </c>
      <c r="J125" s="693" t="str">
        <f>'CHAM CONG'!H292</f>
        <v>x</v>
      </c>
      <c r="K125" s="693">
        <f>'CHAM CONG'!I292</f>
        <v>0</v>
      </c>
      <c r="L125" s="693">
        <f>'CHAM CONG'!J292</f>
        <v>0</v>
      </c>
      <c r="M125" s="693" t="str">
        <f>'CHAM CONG'!K292</f>
        <v>x</v>
      </c>
      <c r="N125" s="693" t="str">
        <f>'CHAM CONG'!L292</f>
        <v>x</v>
      </c>
      <c r="O125" s="693">
        <f>'CHAM CONG'!M292</f>
        <v>0</v>
      </c>
      <c r="P125" s="693" t="str">
        <f>'CHAM CONG'!N292</f>
        <v>x</v>
      </c>
      <c r="Q125" s="693" t="str">
        <f>'CHAM CONG'!O292</f>
        <v>x</v>
      </c>
      <c r="R125" s="693" t="str">
        <f>'CHAM CONG'!P292</f>
        <v>x</v>
      </c>
      <c r="S125" s="693" t="str">
        <f>'CHAM CONG'!Q292</f>
        <v>x</v>
      </c>
      <c r="T125" s="693" t="str">
        <f>'CHAM CONG'!R292</f>
        <v>x</v>
      </c>
      <c r="U125" s="693" t="str">
        <f>'CHAM CONG'!S292</f>
        <v>x</v>
      </c>
      <c r="V125" s="693" t="str">
        <f>'CHAM CONG'!T292</f>
        <v>x</v>
      </c>
      <c r="W125" s="693" t="str">
        <f>'CHAM CONG'!U292</f>
        <v>x</v>
      </c>
      <c r="X125" s="693"/>
      <c r="Y125" s="693"/>
      <c r="Z125" s="698">
        <f t="shared" si="23"/>
        <v>11</v>
      </c>
      <c r="AA125" s="699">
        <f t="shared" si="36"/>
        <v>0</v>
      </c>
      <c r="AB125" s="700">
        <f t="shared" si="24"/>
        <v>176000</v>
      </c>
      <c r="AC125" s="700">
        <f>'CHAM CONG'!V292</f>
        <v>0</v>
      </c>
      <c r="AD125" s="700">
        <f>'CHAM CONG'!X292</f>
        <v>0</v>
      </c>
      <c r="AE125" s="698">
        <f t="shared" si="25"/>
        <v>0</v>
      </c>
      <c r="AF125" s="700">
        <f t="shared" si="26"/>
        <v>0</v>
      </c>
      <c r="AG125" s="700">
        <f t="shared" si="27"/>
        <v>11</v>
      </c>
      <c r="AH125" s="537">
        <f t="shared" si="28"/>
        <v>11000</v>
      </c>
      <c r="AI125" s="700">
        <f t="shared" si="29"/>
        <v>187000</v>
      </c>
      <c r="AJ125" s="693">
        <f>'SAN LUONG'!AF293</f>
        <v>377</v>
      </c>
      <c r="AK125" s="693">
        <f>'SAN LUONG'!AG293</f>
        <v>242</v>
      </c>
      <c r="AL125" s="693">
        <f>'SAN LUONG'!AH293</f>
        <v>276</v>
      </c>
      <c r="AM125" s="702">
        <f>AK125+AL125</f>
        <v>518</v>
      </c>
      <c r="AN125" s="702">
        <f t="shared" si="37"/>
        <v>0</v>
      </c>
      <c r="AO125" s="702"/>
      <c r="AP125" s="702">
        <f t="shared" si="30"/>
        <v>126496</v>
      </c>
      <c r="AQ125" s="702">
        <f t="shared" si="35"/>
        <v>377</v>
      </c>
      <c r="AR125" s="702">
        <f t="shared" si="31"/>
        <v>75475</v>
      </c>
      <c r="AS125" s="555">
        <f t="shared" si="32"/>
        <v>388971</v>
      </c>
      <c r="AT125" s="706"/>
      <c r="AU125" s="706"/>
      <c r="AV125" s="706">
        <f>'CHAM CONG'!AZ296</f>
        <v>0</v>
      </c>
      <c r="AW125" s="706"/>
      <c r="AX125" s="562">
        <f t="shared" si="38"/>
        <v>388971</v>
      </c>
      <c r="AY125" s="707"/>
      <c r="AZ125" s="708">
        <f t="shared" si="33"/>
        <v>12.18</v>
      </c>
      <c r="BA125" s="709"/>
    </row>
    <row r="126" spans="1:53" s="683" customFormat="1" ht="44.4" customHeight="1">
      <c r="A126" s="688">
        <v>117</v>
      </c>
      <c r="B126" s="689">
        <v>6</v>
      </c>
      <c r="C126" s="689">
        <v>242</v>
      </c>
      <c r="D126" s="690"/>
      <c r="E126" s="690"/>
      <c r="F126" s="690"/>
      <c r="G126" s="690" t="str">
        <f>'Tên Tháng 1'!E287</f>
        <v>ជិន ជឿន</v>
      </c>
      <c r="H126" s="690" t="str">
        <f>'Tên Tháng 1'!F287</f>
        <v>CHIN CHOEUNG</v>
      </c>
      <c r="I126" s="693">
        <f>'CHAM CONG'!G293</f>
        <v>0</v>
      </c>
      <c r="J126" s="693" t="str">
        <f>'CHAM CONG'!H293</f>
        <v>x</v>
      </c>
      <c r="K126" s="693">
        <f>'CHAM CONG'!I293</f>
        <v>0</v>
      </c>
      <c r="L126" s="693">
        <f>'CHAM CONG'!J293</f>
        <v>0</v>
      </c>
      <c r="M126" s="693" t="str">
        <f>'CHAM CONG'!K293</f>
        <v>x</v>
      </c>
      <c r="N126" s="693" t="str">
        <f>'CHAM CONG'!L293</f>
        <v>x</v>
      </c>
      <c r="O126" s="693">
        <f>'CHAM CONG'!M293</f>
        <v>0</v>
      </c>
      <c r="P126" s="693" t="str">
        <f>'CHAM CONG'!N293</f>
        <v>x</v>
      </c>
      <c r="Q126" s="693" t="str">
        <f>'CHAM CONG'!O293</f>
        <v>x</v>
      </c>
      <c r="R126" s="693" t="str">
        <f>'CHAM CONG'!P293</f>
        <v>x</v>
      </c>
      <c r="S126" s="693" t="str">
        <f>'CHAM CONG'!Q293</f>
        <v>x</v>
      </c>
      <c r="T126" s="693" t="str">
        <f>'CHAM CONG'!R293</f>
        <v>x</v>
      </c>
      <c r="U126" s="693" t="str">
        <f>'CHAM CONG'!S293</f>
        <v>x</v>
      </c>
      <c r="V126" s="693" t="str">
        <f>'CHAM CONG'!T293</f>
        <v>x</v>
      </c>
      <c r="W126" s="693" t="str">
        <f>'CHAM CONG'!U293</f>
        <v>x</v>
      </c>
      <c r="X126" s="693"/>
      <c r="Y126" s="693"/>
      <c r="Z126" s="698">
        <f t="shared" si="23"/>
        <v>11</v>
      </c>
      <c r="AA126" s="699">
        <f t="shared" si="36"/>
        <v>0</v>
      </c>
      <c r="AB126" s="700">
        <f t="shared" si="24"/>
        <v>176000</v>
      </c>
      <c r="AC126" s="700">
        <f>'CHAM CONG'!V293</f>
        <v>0</v>
      </c>
      <c r="AD126" s="700">
        <f>'CHAM CONG'!X293</f>
        <v>0</v>
      </c>
      <c r="AE126" s="698">
        <f t="shared" si="25"/>
        <v>0</v>
      </c>
      <c r="AF126" s="700">
        <f t="shared" si="26"/>
        <v>0</v>
      </c>
      <c r="AG126" s="700">
        <f t="shared" si="27"/>
        <v>11</v>
      </c>
      <c r="AH126" s="537">
        <f t="shared" si="28"/>
        <v>11000</v>
      </c>
      <c r="AI126" s="700">
        <f t="shared" si="29"/>
        <v>187000</v>
      </c>
      <c r="AJ126" s="693">
        <f>'SAN LUONG'!AF294</f>
        <v>432</v>
      </c>
      <c r="AK126" s="693">
        <f>'SAN LUONG'!AG294</f>
        <v>265</v>
      </c>
      <c r="AL126" s="693">
        <f>'SAN LUONG'!AH294</f>
        <v>281</v>
      </c>
      <c r="AM126" s="702">
        <f t="shared" ref="AM126:AM146" si="39">AK126+AL126</f>
        <v>546</v>
      </c>
      <c r="AN126" s="702">
        <f t="shared" si="37"/>
        <v>0</v>
      </c>
      <c r="AO126" s="702"/>
      <c r="AP126" s="702">
        <f t="shared" si="30"/>
        <v>133333</v>
      </c>
      <c r="AQ126" s="702">
        <f t="shared" si="35"/>
        <v>432</v>
      </c>
      <c r="AR126" s="702">
        <f t="shared" si="31"/>
        <v>86486</v>
      </c>
      <c r="AS126" s="555">
        <f t="shared" si="32"/>
        <v>406819</v>
      </c>
      <c r="AT126" s="706"/>
      <c r="AU126" s="706"/>
      <c r="AV126" s="706">
        <f>'CHAM CONG'!AZ297</f>
        <v>0</v>
      </c>
      <c r="AW126" s="706"/>
      <c r="AX126" s="562">
        <f t="shared" si="38"/>
        <v>406819</v>
      </c>
      <c r="AY126" s="707"/>
      <c r="AZ126" s="708">
        <f t="shared" si="33"/>
        <v>12.73</v>
      </c>
      <c r="BA126" s="709"/>
    </row>
    <row r="127" spans="1:53" s="683" customFormat="1" ht="44.4" customHeight="1">
      <c r="A127" s="688">
        <v>118</v>
      </c>
      <c r="B127" s="689">
        <v>6</v>
      </c>
      <c r="C127" s="689">
        <v>243</v>
      </c>
      <c r="D127" s="690"/>
      <c r="E127" s="690"/>
      <c r="F127" s="690"/>
      <c r="G127" s="690" t="str">
        <f>'Tên Tháng 1'!E288</f>
        <v>កុង នេត្រា</v>
      </c>
      <c r="H127" s="690" t="str">
        <f>'Tên Tháng 1'!F288</f>
        <v>KONG NETRA</v>
      </c>
      <c r="I127" s="693" t="str">
        <f>'CHAM CONG'!G294</f>
        <v>x</v>
      </c>
      <c r="J127" s="693" t="str">
        <f>'CHAM CONG'!H294</f>
        <v>x</v>
      </c>
      <c r="K127" s="693" t="str">
        <f>'CHAM CONG'!I294</f>
        <v>x</v>
      </c>
      <c r="L127" s="693" t="str">
        <f>'CHAM CONG'!J294</f>
        <v>x</v>
      </c>
      <c r="M127" s="693" t="str">
        <f>'CHAM CONG'!K294</f>
        <v>x</v>
      </c>
      <c r="N127" s="693" t="str">
        <f>'CHAM CONG'!L294</f>
        <v>x</v>
      </c>
      <c r="O127" s="693" t="str">
        <f>'CHAM CONG'!M294</f>
        <v>x</v>
      </c>
      <c r="P127" s="693">
        <f>'CHAM CONG'!N294</f>
        <v>0</v>
      </c>
      <c r="Q127" s="693" t="str">
        <f>'CHAM CONG'!O294</f>
        <v>x</v>
      </c>
      <c r="R127" s="693" t="str">
        <f>'CHAM CONG'!P294</f>
        <v>x</v>
      </c>
      <c r="S127" s="693" t="str">
        <f>'CHAM CONG'!Q294</f>
        <v>x</v>
      </c>
      <c r="T127" s="693">
        <f>'CHAM CONG'!R294</f>
        <v>0</v>
      </c>
      <c r="U127" s="693" t="str">
        <f>'CHAM CONG'!S294</f>
        <v>x</v>
      </c>
      <c r="V127" s="693" t="str">
        <f>'CHAM CONG'!T294</f>
        <v>x</v>
      </c>
      <c r="W127" s="693" t="str">
        <f>'CHAM CONG'!U294</f>
        <v>x</v>
      </c>
      <c r="X127" s="693"/>
      <c r="Y127" s="693"/>
      <c r="Z127" s="698">
        <f t="shared" si="23"/>
        <v>13</v>
      </c>
      <c r="AA127" s="699">
        <f t="shared" si="36"/>
        <v>0</v>
      </c>
      <c r="AB127" s="700">
        <f t="shared" si="24"/>
        <v>208000</v>
      </c>
      <c r="AC127" s="700" t="str">
        <f>'CHAM CONG'!V294</f>
        <v>x</v>
      </c>
      <c r="AD127" s="700" t="str">
        <f>'CHAM CONG'!X294</f>
        <v>x</v>
      </c>
      <c r="AE127" s="698">
        <f t="shared" si="25"/>
        <v>2</v>
      </c>
      <c r="AF127" s="700">
        <f t="shared" si="26"/>
        <v>34000</v>
      </c>
      <c r="AG127" s="700">
        <f t="shared" si="27"/>
        <v>13</v>
      </c>
      <c r="AH127" s="537">
        <f t="shared" si="28"/>
        <v>13000</v>
      </c>
      <c r="AI127" s="700">
        <f t="shared" si="29"/>
        <v>255000</v>
      </c>
      <c r="AJ127" s="693">
        <f>'SAN LUONG'!AF295</f>
        <v>979</v>
      </c>
      <c r="AK127" s="693">
        <f>'SAN LUONG'!AG295</f>
        <v>342</v>
      </c>
      <c r="AL127" s="693">
        <f>'SAN LUONG'!AH295</f>
        <v>324</v>
      </c>
      <c r="AM127" s="702">
        <f t="shared" si="39"/>
        <v>666</v>
      </c>
      <c r="AN127" s="702">
        <f t="shared" si="37"/>
        <v>0</v>
      </c>
      <c r="AO127" s="702"/>
      <c r="AP127" s="702">
        <f t="shared" si="30"/>
        <v>162637</v>
      </c>
      <c r="AQ127" s="702">
        <f t="shared" si="35"/>
        <v>979</v>
      </c>
      <c r="AR127" s="702">
        <f t="shared" si="31"/>
        <v>195996</v>
      </c>
      <c r="AS127" s="555">
        <f t="shared" si="32"/>
        <v>613633</v>
      </c>
      <c r="AT127" s="706"/>
      <c r="AU127" s="706"/>
      <c r="AV127" s="706">
        <f>'CHAM CONG'!AZ298</f>
        <v>0</v>
      </c>
      <c r="AW127" s="706"/>
      <c r="AX127" s="562">
        <f t="shared" si="38"/>
        <v>613633</v>
      </c>
      <c r="AY127" s="707"/>
      <c r="AZ127" s="708">
        <f t="shared" si="33"/>
        <v>19.21</v>
      </c>
      <c r="BA127" s="709"/>
    </row>
    <row r="128" spans="1:53" s="683" customFormat="1" ht="44.4" customHeight="1">
      <c r="A128" s="688">
        <v>119</v>
      </c>
      <c r="B128" s="689">
        <v>6</v>
      </c>
      <c r="C128" s="689">
        <v>244</v>
      </c>
      <c r="D128" s="690"/>
      <c r="E128" s="690"/>
      <c r="F128" s="690"/>
      <c r="G128" s="690" t="str">
        <f>'Tên Tháng 1'!E289</f>
        <v>យាង យេង</v>
      </c>
      <c r="H128" s="690" t="str">
        <f>'Tên Tháng 1'!F289</f>
        <v>YEANG YENG</v>
      </c>
      <c r="I128" s="693" t="str">
        <f>'CHAM CONG'!G295</f>
        <v>x</v>
      </c>
      <c r="J128" s="693" t="str">
        <f>'CHAM CONG'!H295</f>
        <v>x</v>
      </c>
      <c r="K128" s="693" t="str">
        <f>'CHAM CONG'!I295</f>
        <v>x</v>
      </c>
      <c r="L128" s="693" t="str">
        <f>'CHAM CONG'!J295</f>
        <v>x</v>
      </c>
      <c r="M128" s="693">
        <f>'CHAM CONG'!K295</f>
        <v>0</v>
      </c>
      <c r="N128" s="693" t="str">
        <f>'CHAM CONG'!L295</f>
        <v>x</v>
      </c>
      <c r="O128" s="693" t="str">
        <f>'CHAM CONG'!M295</f>
        <v>x</v>
      </c>
      <c r="P128" s="693" t="str">
        <f>'CHAM CONG'!N295</f>
        <v>x</v>
      </c>
      <c r="Q128" s="693" t="str">
        <f>'CHAM CONG'!O295</f>
        <v>x</v>
      </c>
      <c r="R128" s="693" t="str">
        <f>'CHAM CONG'!P295</f>
        <v>x</v>
      </c>
      <c r="S128" s="693" t="str">
        <f>'CHAM CONG'!Q295</f>
        <v>x</v>
      </c>
      <c r="T128" s="693" t="str">
        <f>'CHAM CONG'!R295</f>
        <v>x</v>
      </c>
      <c r="U128" s="693" t="str">
        <f>'CHAM CONG'!S295</f>
        <v>x</v>
      </c>
      <c r="V128" s="693" t="str">
        <f>'CHAM CONG'!T295</f>
        <v>x</v>
      </c>
      <c r="W128" s="693" t="str">
        <f>'CHAM CONG'!U295</f>
        <v>x</v>
      </c>
      <c r="X128" s="693"/>
      <c r="Y128" s="693"/>
      <c r="Z128" s="698">
        <f t="shared" si="23"/>
        <v>14</v>
      </c>
      <c r="AA128" s="699">
        <f t="shared" si="36"/>
        <v>0</v>
      </c>
      <c r="AB128" s="700">
        <f t="shared" si="24"/>
        <v>224000</v>
      </c>
      <c r="AC128" s="700" t="str">
        <f>'CHAM CONG'!V295</f>
        <v>x</v>
      </c>
      <c r="AD128" s="700">
        <f>'CHAM CONG'!X295</f>
        <v>0</v>
      </c>
      <c r="AE128" s="698">
        <f t="shared" si="25"/>
        <v>1</v>
      </c>
      <c r="AF128" s="700">
        <f t="shared" si="26"/>
        <v>17000</v>
      </c>
      <c r="AG128" s="700">
        <f t="shared" si="27"/>
        <v>14</v>
      </c>
      <c r="AH128" s="537">
        <f t="shared" si="28"/>
        <v>14000</v>
      </c>
      <c r="AI128" s="700">
        <f t="shared" si="29"/>
        <v>255000</v>
      </c>
      <c r="AJ128" s="693">
        <f>'SAN LUONG'!AF296</f>
        <v>581</v>
      </c>
      <c r="AK128" s="693">
        <f>'SAN LUONG'!AG296</f>
        <v>401</v>
      </c>
      <c r="AL128" s="693">
        <f>'SAN LUONG'!AH296</f>
        <v>632</v>
      </c>
      <c r="AM128" s="702">
        <f t="shared" si="39"/>
        <v>1033</v>
      </c>
      <c r="AN128" s="702">
        <f t="shared" si="37"/>
        <v>0</v>
      </c>
      <c r="AO128" s="702"/>
      <c r="AP128" s="702">
        <f t="shared" si="30"/>
        <v>252259</v>
      </c>
      <c r="AQ128" s="702">
        <f t="shared" si="35"/>
        <v>581</v>
      </c>
      <c r="AR128" s="702">
        <f t="shared" si="31"/>
        <v>116316</v>
      </c>
      <c r="AS128" s="555">
        <f t="shared" si="32"/>
        <v>623575</v>
      </c>
      <c r="AT128" s="706"/>
      <c r="AU128" s="706"/>
      <c r="AV128" s="706">
        <f>'CHAM CONG'!AZ299</f>
        <v>0</v>
      </c>
      <c r="AW128" s="706"/>
      <c r="AX128" s="562">
        <f t="shared" si="38"/>
        <v>623575</v>
      </c>
      <c r="AY128" s="707"/>
      <c r="AZ128" s="708">
        <f t="shared" si="33"/>
        <v>19.52</v>
      </c>
      <c r="BA128" s="709"/>
    </row>
    <row r="129" spans="1:53" s="683" customFormat="1" ht="44.4" customHeight="1">
      <c r="A129" s="688">
        <v>120</v>
      </c>
      <c r="B129" s="689">
        <v>6</v>
      </c>
      <c r="C129" s="689">
        <v>245</v>
      </c>
      <c r="D129" s="690"/>
      <c r="E129" s="690"/>
      <c r="F129" s="690"/>
      <c r="G129" s="690" t="str">
        <f>'Tên Tháng 1'!E290</f>
        <v>សេង​ ធឿ</v>
      </c>
      <c r="H129" s="690" t="str">
        <f>'Tên Tháng 1'!F290</f>
        <v>SENG THOEU</v>
      </c>
      <c r="I129" s="693">
        <f>'CHAM CONG'!G296</f>
        <v>0</v>
      </c>
      <c r="J129" s="693" t="str">
        <f>'CHAM CONG'!H296</f>
        <v>x</v>
      </c>
      <c r="K129" s="693">
        <f>'CHAM CONG'!I296</f>
        <v>0</v>
      </c>
      <c r="L129" s="693" t="str">
        <f>'CHAM CONG'!J296</f>
        <v>x</v>
      </c>
      <c r="M129" s="693" t="str">
        <f>'CHAM CONG'!K296</f>
        <v>x</v>
      </c>
      <c r="N129" s="693" t="str">
        <f>'CHAM CONG'!L296</f>
        <v>x</v>
      </c>
      <c r="O129" s="693" t="str">
        <f>'CHAM CONG'!M296</f>
        <v>x</v>
      </c>
      <c r="P129" s="693">
        <f>'CHAM CONG'!N296</f>
        <v>0</v>
      </c>
      <c r="Q129" s="693" t="str">
        <f>'CHAM CONG'!O296</f>
        <v>x</v>
      </c>
      <c r="R129" s="693" t="str">
        <f>'CHAM CONG'!P296</f>
        <v>x</v>
      </c>
      <c r="S129" s="693" t="str">
        <f>'CHAM CONG'!Q296</f>
        <v>x</v>
      </c>
      <c r="T129" s="693" t="str">
        <f>'CHAM CONG'!R296</f>
        <v>x</v>
      </c>
      <c r="U129" s="693">
        <f>'CHAM CONG'!S296</f>
        <v>0</v>
      </c>
      <c r="V129" s="693">
        <f>'CHAM CONG'!T296</f>
        <v>0</v>
      </c>
      <c r="W129" s="693">
        <f>'CHAM CONG'!U296</f>
        <v>0</v>
      </c>
      <c r="X129" s="693"/>
      <c r="Y129" s="693"/>
      <c r="Z129" s="698">
        <f t="shared" si="23"/>
        <v>9</v>
      </c>
      <c r="AA129" s="699">
        <f t="shared" si="36"/>
        <v>0</v>
      </c>
      <c r="AB129" s="700">
        <f t="shared" si="24"/>
        <v>144000</v>
      </c>
      <c r="AC129" s="700" t="str">
        <f>'CHAM CONG'!V296</f>
        <v>x</v>
      </c>
      <c r="AD129" s="700">
        <f>'CHAM CONG'!X296</f>
        <v>0</v>
      </c>
      <c r="AE129" s="698">
        <f t="shared" si="25"/>
        <v>1</v>
      </c>
      <c r="AF129" s="700">
        <f t="shared" si="26"/>
        <v>17000</v>
      </c>
      <c r="AG129" s="700">
        <f t="shared" si="27"/>
        <v>9</v>
      </c>
      <c r="AH129" s="537">
        <f t="shared" si="28"/>
        <v>9000</v>
      </c>
      <c r="AI129" s="700">
        <f t="shared" si="29"/>
        <v>170000</v>
      </c>
      <c r="AJ129" s="693">
        <f>'SAN LUONG'!AF297</f>
        <v>714</v>
      </c>
      <c r="AK129" s="693">
        <f>'SAN LUONG'!AG297</f>
        <v>347</v>
      </c>
      <c r="AL129" s="693">
        <f>'SAN LUONG'!AH297</f>
        <v>327</v>
      </c>
      <c r="AM129" s="702">
        <f t="shared" si="39"/>
        <v>674</v>
      </c>
      <c r="AN129" s="702">
        <f t="shared" si="37"/>
        <v>0</v>
      </c>
      <c r="AO129" s="702"/>
      <c r="AP129" s="702">
        <f t="shared" si="30"/>
        <v>164591</v>
      </c>
      <c r="AQ129" s="702">
        <f t="shared" si="35"/>
        <v>714</v>
      </c>
      <c r="AR129" s="702">
        <f t="shared" si="31"/>
        <v>142943</v>
      </c>
      <c r="AS129" s="555">
        <f t="shared" si="32"/>
        <v>477534</v>
      </c>
      <c r="AT129" s="706"/>
      <c r="AU129" s="706"/>
      <c r="AV129" s="706">
        <f>'CHAM CONG'!AZ300</f>
        <v>0</v>
      </c>
      <c r="AW129" s="706"/>
      <c r="AX129" s="562">
        <f t="shared" si="38"/>
        <v>477534</v>
      </c>
      <c r="AY129" s="707"/>
      <c r="AZ129" s="708">
        <f t="shared" si="33"/>
        <v>14.95</v>
      </c>
      <c r="BA129" s="709"/>
    </row>
    <row r="130" spans="1:53" s="683" customFormat="1" ht="44.4" customHeight="1">
      <c r="A130" s="688">
        <v>121</v>
      </c>
      <c r="B130" s="689">
        <v>6</v>
      </c>
      <c r="C130" s="689">
        <v>246</v>
      </c>
      <c r="D130" s="690"/>
      <c r="E130" s="690"/>
      <c r="F130" s="690"/>
      <c r="G130" s="690" t="str">
        <f>'Tên Tháng 1'!E291</f>
        <v>យ៉ាំ ឡត</v>
      </c>
      <c r="H130" s="690" t="str">
        <f>'Tên Tháng 1'!F291</f>
        <v>YAM LOTH</v>
      </c>
      <c r="I130" s="693" t="str">
        <f>'CHAM CONG'!G297</f>
        <v>x</v>
      </c>
      <c r="J130" s="693" t="str">
        <f>'CHAM CONG'!H297</f>
        <v>x</v>
      </c>
      <c r="K130" s="693" t="str">
        <f>'CHAM CONG'!I297</f>
        <v>x</v>
      </c>
      <c r="L130" s="693">
        <f>'CHAM CONG'!J297</f>
        <v>0</v>
      </c>
      <c r="M130" s="693" t="str">
        <f>'CHAM CONG'!K297</f>
        <v>x</v>
      </c>
      <c r="N130" s="693" t="str">
        <f>'CHAM CONG'!L297</f>
        <v>x</v>
      </c>
      <c r="O130" s="693" t="str">
        <f>'CHAM CONG'!M297</f>
        <v>x</v>
      </c>
      <c r="P130" s="693" t="str">
        <f>'CHAM CONG'!N297</f>
        <v>x</v>
      </c>
      <c r="Q130" s="693" t="str">
        <f>'CHAM CONG'!O297</f>
        <v>x</v>
      </c>
      <c r="R130" s="693" t="str">
        <f>'CHAM CONG'!P297</f>
        <v>x</v>
      </c>
      <c r="S130" s="693" t="str">
        <f>'CHAM CONG'!Q297</f>
        <v>x</v>
      </c>
      <c r="T130" s="693" t="str">
        <f>'CHAM CONG'!R297</f>
        <v>x</v>
      </c>
      <c r="U130" s="693" t="str">
        <f>'CHAM CONG'!S297</f>
        <v>x</v>
      </c>
      <c r="V130" s="693" t="str">
        <f>'CHAM CONG'!T297</f>
        <v>x</v>
      </c>
      <c r="W130" s="693" t="str">
        <f>'CHAM CONG'!U297</f>
        <v>x</v>
      </c>
      <c r="X130" s="693"/>
      <c r="Y130" s="693"/>
      <c r="Z130" s="698">
        <f t="shared" si="23"/>
        <v>14</v>
      </c>
      <c r="AA130" s="699">
        <f t="shared" si="36"/>
        <v>0</v>
      </c>
      <c r="AB130" s="700">
        <f t="shared" si="24"/>
        <v>224000</v>
      </c>
      <c r="AC130" s="700" t="str">
        <f>'CHAM CONG'!V297</f>
        <v>x</v>
      </c>
      <c r="AD130" s="700">
        <f>'CHAM CONG'!X297</f>
        <v>0</v>
      </c>
      <c r="AE130" s="698">
        <f t="shared" si="25"/>
        <v>1</v>
      </c>
      <c r="AF130" s="700">
        <f t="shared" si="26"/>
        <v>17000</v>
      </c>
      <c r="AG130" s="700">
        <f t="shared" si="27"/>
        <v>14</v>
      </c>
      <c r="AH130" s="537">
        <f t="shared" si="28"/>
        <v>14000</v>
      </c>
      <c r="AI130" s="700">
        <f t="shared" si="29"/>
        <v>255000</v>
      </c>
      <c r="AJ130" s="693">
        <f>'SAN LUONG'!AF298</f>
        <v>536</v>
      </c>
      <c r="AK130" s="693">
        <f>'SAN LUONG'!AG298</f>
        <v>596</v>
      </c>
      <c r="AL130" s="693">
        <f>'SAN LUONG'!AH298</f>
        <v>578</v>
      </c>
      <c r="AM130" s="702">
        <f t="shared" si="39"/>
        <v>1174</v>
      </c>
      <c r="AN130" s="702">
        <f t="shared" si="37"/>
        <v>0</v>
      </c>
      <c r="AO130" s="702"/>
      <c r="AP130" s="702">
        <f t="shared" si="30"/>
        <v>286691</v>
      </c>
      <c r="AQ130" s="702">
        <f t="shared" si="35"/>
        <v>536</v>
      </c>
      <c r="AR130" s="702">
        <f t="shared" si="31"/>
        <v>107307</v>
      </c>
      <c r="AS130" s="555">
        <f t="shared" si="32"/>
        <v>648998</v>
      </c>
      <c r="AT130" s="706"/>
      <c r="AU130" s="706"/>
      <c r="AV130" s="706">
        <f>'CHAM CONG'!AZ301</f>
        <v>0</v>
      </c>
      <c r="AW130" s="706"/>
      <c r="AX130" s="562">
        <f t="shared" si="38"/>
        <v>648998</v>
      </c>
      <c r="AY130" s="707"/>
      <c r="AZ130" s="708">
        <f t="shared" si="33"/>
        <v>20.309999999999999</v>
      </c>
      <c r="BA130" s="709"/>
    </row>
    <row r="131" spans="1:53" s="683" customFormat="1" ht="44.4" customHeight="1">
      <c r="A131" s="688">
        <v>122</v>
      </c>
      <c r="B131" s="689">
        <v>6</v>
      </c>
      <c r="C131" s="689">
        <v>247</v>
      </c>
      <c r="D131" s="690"/>
      <c r="E131" s="690"/>
      <c r="F131" s="690"/>
      <c r="G131" s="690" t="str">
        <f>'Tên Tháng 1'!E292</f>
        <v>វី ភក្កី</v>
      </c>
      <c r="H131" s="690" t="str">
        <f>'Tên Tháng 1'!F292</f>
        <v>VY PHEAKDEY</v>
      </c>
      <c r="I131" s="693" t="str">
        <f>'CHAM CONG'!G298</f>
        <v>x</v>
      </c>
      <c r="J131" s="693" t="str">
        <f>'CHAM CONG'!H298</f>
        <v>x</v>
      </c>
      <c r="K131" s="693" t="str">
        <f>'CHAM CONG'!I298</f>
        <v>x</v>
      </c>
      <c r="L131" s="693">
        <f>'CHAM CONG'!J298</f>
        <v>0</v>
      </c>
      <c r="M131" s="693" t="str">
        <f>'CHAM CONG'!K298</f>
        <v>x</v>
      </c>
      <c r="N131" s="693" t="str">
        <f>'CHAM CONG'!L298</f>
        <v>x</v>
      </c>
      <c r="O131" s="693" t="str">
        <f>'CHAM CONG'!M298</f>
        <v>x</v>
      </c>
      <c r="P131" s="693" t="str">
        <f>'CHAM CONG'!N298</f>
        <v>x</v>
      </c>
      <c r="Q131" s="693" t="str">
        <f>'CHAM CONG'!O298</f>
        <v>x</v>
      </c>
      <c r="R131" s="693" t="str">
        <f>'CHAM CONG'!P298</f>
        <v>x</v>
      </c>
      <c r="S131" s="693" t="str">
        <f>'CHAM CONG'!Q298</f>
        <v>x</v>
      </c>
      <c r="T131" s="693" t="str">
        <f>'CHAM CONG'!R298</f>
        <v>x</v>
      </c>
      <c r="U131" s="693" t="str">
        <f>'CHAM CONG'!S298</f>
        <v>x</v>
      </c>
      <c r="V131" s="693" t="str">
        <f>'CHAM CONG'!T298</f>
        <v>x</v>
      </c>
      <c r="W131" s="693" t="str">
        <f>'CHAM CONG'!U298</f>
        <v>x</v>
      </c>
      <c r="X131" s="693"/>
      <c r="Y131" s="693"/>
      <c r="Z131" s="698">
        <f t="shared" si="23"/>
        <v>14</v>
      </c>
      <c r="AA131" s="699">
        <f t="shared" si="36"/>
        <v>0</v>
      </c>
      <c r="AB131" s="700">
        <f t="shared" si="24"/>
        <v>224000</v>
      </c>
      <c r="AC131" s="700" t="str">
        <f>'CHAM CONG'!V298</f>
        <v>x</v>
      </c>
      <c r="AD131" s="700">
        <f>'CHAM CONG'!X298</f>
        <v>0</v>
      </c>
      <c r="AE131" s="698">
        <f t="shared" si="25"/>
        <v>1</v>
      </c>
      <c r="AF131" s="700">
        <f t="shared" si="26"/>
        <v>17000</v>
      </c>
      <c r="AG131" s="700">
        <f t="shared" si="27"/>
        <v>14</v>
      </c>
      <c r="AH131" s="537">
        <f t="shared" si="28"/>
        <v>14000</v>
      </c>
      <c r="AI131" s="700">
        <f t="shared" si="29"/>
        <v>255000</v>
      </c>
      <c r="AJ131" s="693">
        <f>'SAN LUONG'!AF299</f>
        <v>536</v>
      </c>
      <c r="AK131" s="693">
        <f>'SAN LUONG'!AG299</f>
        <v>644</v>
      </c>
      <c r="AL131" s="693">
        <f>'SAN LUONG'!AH299</f>
        <v>579</v>
      </c>
      <c r="AM131" s="702">
        <f t="shared" si="39"/>
        <v>1223</v>
      </c>
      <c r="AN131" s="702">
        <f t="shared" si="37"/>
        <v>0</v>
      </c>
      <c r="AO131" s="702"/>
      <c r="AP131" s="702">
        <f t="shared" si="30"/>
        <v>298657</v>
      </c>
      <c r="AQ131" s="702">
        <f t="shared" si="35"/>
        <v>536</v>
      </c>
      <c r="AR131" s="702">
        <f t="shared" si="31"/>
        <v>107307</v>
      </c>
      <c r="AS131" s="555">
        <f t="shared" si="32"/>
        <v>660964</v>
      </c>
      <c r="AT131" s="706"/>
      <c r="AU131" s="706"/>
      <c r="AV131" s="706">
        <f>'CHAM CONG'!AZ302</f>
        <v>0</v>
      </c>
      <c r="AW131" s="706"/>
      <c r="AX131" s="562">
        <f t="shared" si="38"/>
        <v>660964</v>
      </c>
      <c r="AY131" s="707"/>
      <c r="AZ131" s="708">
        <f t="shared" si="33"/>
        <v>20.69</v>
      </c>
      <c r="BA131" s="709"/>
    </row>
    <row r="132" spans="1:53" s="683" customFormat="1" ht="44.4" customHeight="1">
      <c r="A132" s="688">
        <v>123</v>
      </c>
      <c r="B132" s="689">
        <v>6</v>
      </c>
      <c r="C132" s="689">
        <v>248</v>
      </c>
      <c r="D132" s="690"/>
      <c r="E132" s="690"/>
      <c r="F132" s="690"/>
      <c r="G132" s="690" t="str">
        <f>'Tên Tháng 1'!E293</f>
        <v>ហាប់ វឿ</v>
      </c>
      <c r="H132" s="690" t="str">
        <f>'Tên Tháng 1'!F293</f>
        <v>HAB VOR</v>
      </c>
      <c r="I132" s="693" t="str">
        <f>'CHAM CONG'!G299</f>
        <v>x</v>
      </c>
      <c r="J132" s="693" t="str">
        <f>'CHAM CONG'!H299</f>
        <v>x</v>
      </c>
      <c r="K132" s="693" t="str">
        <f>'CHAM CONG'!I299</f>
        <v>x</v>
      </c>
      <c r="L132" s="693" t="str">
        <f>'CHAM CONG'!J299</f>
        <v>x</v>
      </c>
      <c r="M132" s="693" t="str">
        <f>'CHAM CONG'!K299</f>
        <v>x</v>
      </c>
      <c r="N132" s="693" t="str">
        <f>'CHAM CONG'!L299</f>
        <v>x</v>
      </c>
      <c r="O132" s="693" t="str">
        <f>'CHAM CONG'!M299</f>
        <v>x</v>
      </c>
      <c r="P132" s="693" t="str">
        <f>'CHAM CONG'!N299</f>
        <v>x</v>
      </c>
      <c r="Q132" s="693" t="str">
        <f>'CHAM CONG'!O299</f>
        <v>x</v>
      </c>
      <c r="R132" s="693" t="str">
        <f>'CHAM CONG'!P299</f>
        <v>x</v>
      </c>
      <c r="S132" s="693">
        <f>'CHAM CONG'!Q299</f>
        <v>0</v>
      </c>
      <c r="T132" s="693">
        <f>'CHAM CONG'!R299</f>
        <v>0</v>
      </c>
      <c r="U132" s="693" t="str">
        <f>'CHAM CONG'!S299</f>
        <v>x</v>
      </c>
      <c r="V132" s="693" t="str">
        <f>'CHAM CONG'!T299</f>
        <v>x</v>
      </c>
      <c r="W132" s="693" t="str">
        <f>'CHAM CONG'!U299</f>
        <v>x</v>
      </c>
      <c r="X132" s="693"/>
      <c r="Y132" s="693"/>
      <c r="Z132" s="698">
        <f t="shared" si="23"/>
        <v>13</v>
      </c>
      <c r="AA132" s="699">
        <f t="shared" si="36"/>
        <v>0</v>
      </c>
      <c r="AB132" s="700">
        <f t="shared" si="24"/>
        <v>208000</v>
      </c>
      <c r="AC132" s="700" t="str">
        <f>'CHAM CONG'!V299</f>
        <v>x</v>
      </c>
      <c r="AD132" s="700" t="str">
        <f>'CHAM CONG'!X299</f>
        <v>x</v>
      </c>
      <c r="AE132" s="698">
        <f t="shared" si="25"/>
        <v>2</v>
      </c>
      <c r="AF132" s="700">
        <f t="shared" si="26"/>
        <v>34000</v>
      </c>
      <c r="AG132" s="700">
        <f t="shared" si="27"/>
        <v>13</v>
      </c>
      <c r="AH132" s="537">
        <f t="shared" si="28"/>
        <v>13000</v>
      </c>
      <c r="AI132" s="700">
        <f t="shared" si="29"/>
        <v>255000</v>
      </c>
      <c r="AJ132" s="693">
        <f>'SAN LUONG'!AF300</f>
        <v>852</v>
      </c>
      <c r="AK132" s="693">
        <f>'SAN LUONG'!AG300</f>
        <v>389</v>
      </c>
      <c r="AL132" s="693">
        <f>'SAN LUONG'!AH300</f>
        <v>274</v>
      </c>
      <c r="AM132" s="702">
        <f t="shared" si="39"/>
        <v>663</v>
      </c>
      <c r="AN132" s="702">
        <f t="shared" si="37"/>
        <v>0</v>
      </c>
      <c r="AO132" s="702"/>
      <c r="AP132" s="702">
        <f t="shared" si="30"/>
        <v>161905</v>
      </c>
      <c r="AQ132" s="702">
        <f t="shared" si="35"/>
        <v>852</v>
      </c>
      <c r="AR132" s="702">
        <f t="shared" si="31"/>
        <v>170570</v>
      </c>
      <c r="AS132" s="555">
        <f t="shared" si="32"/>
        <v>587475</v>
      </c>
      <c r="AT132" s="706"/>
      <c r="AU132" s="706"/>
      <c r="AV132" s="706">
        <f>'CHAM CONG'!AZ303</f>
        <v>0</v>
      </c>
      <c r="AW132" s="706"/>
      <c r="AX132" s="562">
        <f t="shared" si="38"/>
        <v>587475</v>
      </c>
      <c r="AY132" s="707"/>
      <c r="AZ132" s="708">
        <f t="shared" si="33"/>
        <v>18.39</v>
      </c>
      <c r="BA132" s="709"/>
    </row>
    <row r="133" spans="1:53" s="683" customFormat="1" ht="44.4" customHeight="1">
      <c r="A133" s="688">
        <v>124</v>
      </c>
      <c r="B133" s="689">
        <v>6</v>
      </c>
      <c r="C133" s="689">
        <v>249</v>
      </c>
      <c r="D133" s="690"/>
      <c r="E133" s="690"/>
      <c r="F133" s="690"/>
      <c r="G133" s="690" t="str">
        <f>'Tên Tháng 1'!E294</f>
        <v>ឃុន សុខខៃ</v>
      </c>
      <c r="H133" s="690" t="str">
        <f>'Tên Tháng 1'!F294</f>
        <v>KHOEN SOKKHEY</v>
      </c>
      <c r="I133" s="693" t="str">
        <f>'CHAM CONG'!G300</f>
        <v>x</v>
      </c>
      <c r="J133" s="693" t="str">
        <f>'CHAM CONG'!H300</f>
        <v>x</v>
      </c>
      <c r="K133" s="693" t="str">
        <f>'CHAM CONG'!I300</f>
        <v>x</v>
      </c>
      <c r="L133" s="693">
        <f>'CHAM CONG'!J300</f>
        <v>0</v>
      </c>
      <c r="M133" s="693" t="str">
        <f>'CHAM CONG'!K300</f>
        <v>x</v>
      </c>
      <c r="N133" s="693" t="str">
        <f>'CHAM CONG'!L300</f>
        <v>x</v>
      </c>
      <c r="O133" s="693" t="str">
        <f>'CHAM CONG'!M300</f>
        <v>x</v>
      </c>
      <c r="P133" s="693" t="str">
        <f>'CHAM CONG'!N300</f>
        <v>x</v>
      </c>
      <c r="Q133" s="693" t="str">
        <f>'CHAM CONG'!O300</f>
        <v>x</v>
      </c>
      <c r="R133" s="693" t="str">
        <f>'CHAM CONG'!P300</f>
        <v>x</v>
      </c>
      <c r="S133" s="693" t="str">
        <f>'CHAM CONG'!Q300</f>
        <v>x</v>
      </c>
      <c r="T133" s="693" t="str">
        <f>'CHAM CONG'!R300</f>
        <v>x</v>
      </c>
      <c r="U133" s="693" t="str">
        <f>'CHAM CONG'!S300</f>
        <v>x</v>
      </c>
      <c r="V133" s="693" t="str">
        <f>'CHAM CONG'!T300</f>
        <v>x</v>
      </c>
      <c r="W133" s="693" t="str">
        <f>'CHAM CONG'!U300</f>
        <v>x</v>
      </c>
      <c r="X133" s="693"/>
      <c r="Y133" s="693"/>
      <c r="Z133" s="698">
        <f t="shared" si="23"/>
        <v>14</v>
      </c>
      <c r="AA133" s="699">
        <f t="shared" si="36"/>
        <v>0</v>
      </c>
      <c r="AB133" s="700">
        <f t="shared" si="24"/>
        <v>224000</v>
      </c>
      <c r="AC133" s="700" t="str">
        <f>'CHAM CONG'!V300</f>
        <v>x</v>
      </c>
      <c r="AD133" s="700" t="str">
        <f>'CHAM CONG'!X300</f>
        <v>x</v>
      </c>
      <c r="AE133" s="698">
        <f t="shared" si="25"/>
        <v>2</v>
      </c>
      <c r="AF133" s="700">
        <f t="shared" si="26"/>
        <v>34000</v>
      </c>
      <c r="AG133" s="700">
        <f t="shared" si="27"/>
        <v>14</v>
      </c>
      <c r="AH133" s="537">
        <f t="shared" si="28"/>
        <v>14000</v>
      </c>
      <c r="AI133" s="700">
        <f t="shared" si="29"/>
        <v>272000</v>
      </c>
      <c r="AJ133" s="693">
        <f>'SAN LUONG'!AF301</f>
        <v>594</v>
      </c>
      <c r="AK133" s="693">
        <f>'SAN LUONG'!AG301</f>
        <v>696</v>
      </c>
      <c r="AL133" s="693">
        <f>'SAN LUONG'!AH301</f>
        <v>641</v>
      </c>
      <c r="AM133" s="702">
        <f t="shared" si="39"/>
        <v>1337</v>
      </c>
      <c r="AN133" s="702">
        <f t="shared" si="37"/>
        <v>0</v>
      </c>
      <c r="AO133" s="702"/>
      <c r="AP133" s="702">
        <f t="shared" si="30"/>
        <v>326495</v>
      </c>
      <c r="AQ133" s="702">
        <f t="shared" si="35"/>
        <v>594</v>
      </c>
      <c r="AR133" s="702">
        <f t="shared" si="31"/>
        <v>118919</v>
      </c>
      <c r="AS133" s="555">
        <f t="shared" si="32"/>
        <v>717414</v>
      </c>
      <c r="AT133" s="706"/>
      <c r="AU133" s="706"/>
      <c r="AV133" s="706">
        <f>'CHAM CONG'!AZ304</f>
        <v>0</v>
      </c>
      <c r="AW133" s="706"/>
      <c r="AX133" s="562">
        <f t="shared" si="38"/>
        <v>717414</v>
      </c>
      <c r="AY133" s="707"/>
      <c r="AZ133" s="708">
        <f t="shared" si="33"/>
        <v>22.46</v>
      </c>
      <c r="BA133" s="709"/>
    </row>
    <row r="134" spans="1:53" s="683" customFormat="1" ht="44.4" customHeight="1">
      <c r="A134" s="688">
        <v>125</v>
      </c>
      <c r="B134" s="689">
        <v>6</v>
      </c>
      <c r="C134" s="689">
        <v>250</v>
      </c>
      <c r="D134" s="690"/>
      <c r="E134" s="690"/>
      <c r="F134" s="690"/>
      <c r="G134" s="690" t="str">
        <f>'Tên Tháng 1'!E295</f>
        <v>ហាន គឹមហុង</v>
      </c>
      <c r="H134" s="690" t="str">
        <f>'Tên Tháng 1'!F295</f>
        <v>HEAN KIMHONG</v>
      </c>
      <c r="I134" s="693" t="str">
        <f>'CHAM CONG'!G301</f>
        <v>x</v>
      </c>
      <c r="J134" s="693" t="str">
        <f>'CHAM CONG'!H301</f>
        <v>x</v>
      </c>
      <c r="K134" s="693" t="str">
        <f>'CHAM CONG'!I301</f>
        <v>x</v>
      </c>
      <c r="L134" s="693">
        <f>'CHAM CONG'!J301</f>
        <v>0</v>
      </c>
      <c r="M134" s="693">
        <f>'CHAM CONG'!K301</f>
        <v>0</v>
      </c>
      <c r="N134" s="693" t="str">
        <f>'CHAM CONG'!L301</f>
        <v>x</v>
      </c>
      <c r="O134" s="693" t="str">
        <f>'CHAM CONG'!M301</f>
        <v>x</v>
      </c>
      <c r="P134" s="693" t="str">
        <f>'CHAM CONG'!N301</f>
        <v>x</v>
      </c>
      <c r="Q134" s="693" t="str">
        <f>'CHAM CONG'!O301</f>
        <v>x</v>
      </c>
      <c r="R134" s="693" t="str">
        <f>'CHAM CONG'!P301</f>
        <v>x</v>
      </c>
      <c r="S134" s="693">
        <f>'CHAM CONG'!Q301</f>
        <v>0</v>
      </c>
      <c r="T134" s="693" t="str">
        <f>'CHAM CONG'!R301</f>
        <v>x</v>
      </c>
      <c r="U134" s="693" t="str">
        <f>'CHAM CONG'!S301</f>
        <v>x</v>
      </c>
      <c r="V134" s="693">
        <f>'CHAM CONG'!T301</f>
        <v>0</v>
      </c>
      <c r="W134" s="693" t="str">
        <f>'CHAM CONG'!U301</f>
        <v>x</v>
      </c>
      <c r="X134" s="693"/>
      <c r="Y134" s="693"/>
      <c r="Z134" s="698">
        <f t="shared" si="23"/>
        <v>11</v>
      </c>
      <c r="AA134" s="699">
        <f t="shared" si="36"/>
        <v>0</v>
      </c>
      <c r="AB134" s="700">
        <f t="shared" si="24"/>
        <v>176000</v>
      </c>
      <c r="AC134" s="700">
        <f>'CHAM CONG'!V301</f>
        <v>0</v>
      </c>
      <c r="AD134" s="700">
        <f>'CHAM CONG'!X301</f>
        <v>0</v>
      </c>
      <c r="AE134" s="698">
        <f t="shared" si="25"/>
        <v>0</v>
      </c>
      <c r="AF134" s="700">
        <f t="shared" si="26"/>
        <v>0</v>
      </c>
      <c r="AG134" s="700">
        <f t="shared" si="27"/>
        <v>11</v>
      </c>
      <c r="AH134" s="537">
        <f t="shared" si="28"/>
        <v>11000</v>
      </c>
      <c r="AI134" s="700">
        <f t="shared" si="29"/>
        <v>187000</v>
      </c>
      <c r="AJ134" s="693">
        <f>'SAN LUONG'!AF302</f>
        <v>659</v>
      </c>
      <c r="AK134" s="693">
        <f>'SAN LUONG'!AG302</f>
        <v>182</v>
      </c>
      <c r="AL134" s="693">
        <f>'SAN LUONG'!AH302</f>
        <v>541</v>
      </c>
      <c r="AM134" s="702">
        <f t="shared" si="39"/>
        <v>723</v>
      </c>
      <c r="AN134" s="702">
        <f t="shared" si="37"/>
        <v>0</v>
      </c>
      <c r="AO134" s="702"/>
      <c r="AP134" s="702">
        <f t="shared" si="30"/>
        <v>176557</v>
      </c>
      <c r="AQ134" s="702">
        <f t="shared" si="35"/>
        <v>659</v>
      </c>
      <c r="AR134" s="702">
        <f t="shared" si="31"/>
        <v>131932</v>
      </c>
      <c r="AS134" s="555">
        <f t="shared" si="32"/>
        <v>495489</v>
      </c>
      <c r="AT134" s="706"/>
      <c r="AU134" s="706"/>
      <c r="AV134" s="706">
        <f>'CHAM CONG'!AZ305</f>
        <v>0</v>
      </c>
      <c r="AW134" s="706"/>
      <c r="AX134" s="562">
        <f t="shared" si="38"/>
        <v>495489</v>
      </c>
      <c r="AY134" s="707"/>
      <c r="AZ134" s="708">
        <f t="shared" si="33"/>
        <v>15.51</v>
      </c>
      <c r="BA134" s="709"/>
    </row>
    <row r="135" spans="1:53" s="683" customFormat="1" ht="44.4" customHeight="1">
      <c r="A135" s="688">
        <v>126</v>
      </c>
      <c r="B135" s="689">
        <v>6</v>
      </c>
      <c r="C135" s="689">
        <v>499</v>
      </c>
      <c r="D135" s="690"/>
      <c r="E135" s="690"/>
      <c r="F135" s="690"/>
      <c r="G135" s="690" t="str">
        <f>'Tên Tháng 1'!E296</f>
        <v>ឃាន ជាង</v>
      </c>
      <c r="H135" s="690" t="str">
        <f>'Tên Tháng 1'!F296</f>
        <v>KHEAN CHIENG</v>
      </c>
      <c r="I135" s="693">
        <f>'CHAM CONG'!G302</f>
        <v>0</v>
      </c>
      <c r="J135" s="693" t="str">
        <f>'CHAM CONG'!H302</f>
        <v>x</v>
      </c>
      <c r="K135" s="693" t="str">
        <f>'CHAM CONG'!I302</f>
        <v>x</v>
      </c>
      <c r="L135" s="693" t="str">
        <f>'CHAM CONG'!J302</f>
        <v>x</v>
      </c>
      <c r="M135" s="693" t="str">
        <f>'CHAM CONG'!K302</f>
        <v>x</v>
      </c>
      <c r="N135" s="693">
        <f>'CHAM CONG'!L302</f>
        <v>0</v>
      </c>
      <c r="O135" s="693" t="str">
        <f>'CHAM CONG'!M302</f>
        <v>x</v>
      </c>
      <c r="P135" s="693" t="str">
        <f>'CHAM CONG'!N302</f>
        <v>x</v>
      </c>
      <c r="Q135" s="693" t="str">
        <f>'CHAM CONG'!O302</f>
        <v>x</v>
      </c>
      <c r="R135" s="693" t="str">
        <f>'CHAM CONG'!P302</f>
        <v>x</v>
      </c>
      <c r="S135" s="693" t="str">
        <f>'CHAM CONG'!Q302</f>
        <v>x</v>
      </c>
      <c r="T135" s="693" t="str">
        <f>'CHAM CONG'!R302</f>
        <v>x</v>
      </c>
      <c r="U135" s="693">
        <f>'CHAM CONG'!S302</f>
        <v>0</v>
      </c>
      <c r="V135" s="693" t="str">
        <f>'CHAM CONG'!T302</f>
        <v>x</v>
      </c>
      <c r="W135" s="693" t="str">
        <f>'CHAM CONG'!U302</f>
        <v>x</v>
      </c>
      <c r="X135" s="693"/>
      <c r="Y135" s="693"/>
      <c r="Z135" s="698">
        <f t="shared" si="23"/>
        <v>12</v>
      </c>
      <c r="AA135" s="699">
        <f t="shared" si="36"/>
        <v>0</v>
      </c>
      <c r="AB135" s="700">
        <f t="shared" si="24"/>
        <v>192000</v>
      </c>
      <c r="AC135" s="700">
        <f>'CHAM CONG'!V302</f>
        <v>0</v>
      </c>
      <c r="AD135" s="700" t="str">
        <f>'CHAM CONG'!X302</f>
        <v>x</v>
      </c>
      <c r="AE135" s="698">
        <f t="shared" si="25"/>
        <v>1</v>
      </c>
      <c r="AF135" s="700">
        <f t="shared" si="26"/>
        <v>17000</v>
      </c>
      <c r="AG135" s="700">
        <f t="shared" si="27"/>
        <v>12</v>
      </c>
      <c r="AH135" s="537">
        <f t="shared" si="28"/>
        <v>12000</v>
      </c>
      <c r="AI135" s="700">
        <f t="shared" si="29"/>
        <v>221000</v>
      </c>
      <c r="AJ135" s="693">
        <f>'SAN LUONG'!AF303</f>
        <v>987</v>
      </c>
      <c r="AK135" s="693">
        <f>'SAN LUONG'!AG303</f>
        <v>529</v>
      </c>
      <c r="AL135" s="693">
        <f>'SAN LUONG'!AH303</f>
        <v>148</v>
      </c>
      <c r="AM135" s="702">
        <f t="shared" si="39"/>
        <v>677</v>
      </c>
      <c r="AN135" s="702">
        <f t="shared" si="37"/>
        <v>0</v>
      </c>
      <c r="AO135" s="702"/>
      <c r="AP135" s="702">
        <f t="shared" si="30"/>
        <v>165323</v>
      </c>
      <c r="AQ135" s="702">
        <f t="shared" si="35"/>
        <v>987</v>
      </c>
      <c r="AR135" s="702">
        <f t="shared" si="31"/>
        <v>197597</v>
      </c>
      <c r="AS135" s="555">
        <f t="shared" si="32"/>
        <v>583920</v>
      </c>
      <c r="AT135" s="706"/>
      <c r="AU135" s="706"/>
      <c r="AV135" s="706">
        <f>'CHAM CONG'!AZ306</f>
        <v>0</v>
      </c>
      <c r="AW135" s="706"/>
      <c r="AX135" s="562">
        <f t="shared" si="38"/>
        <v>583920</v>
      </c>
      <c r="AY135" s="707"/>
      <c r="AZ135" s="708">
        <f t="shared" si="33"/>
        <v>18.28</v>
      </c>
      <c r="BA135" s="709"/>
    </row>
    <row r="136" spans="1:53" s="683" customFormat="1" ht="44.4" customHeight="1">
      <c r="A136" s="688">
        <v>127</v>
      </c>
      <c r="B136" s="689">
        <v>6</v>
      </c>
      <c r="C136" s="689">
        <v>500</v>
      </c>
      <c r="D136" s="690"/>
      <c r="E136" s="690"/>
      <c r="F136" s="690"/>
      <c r="G136" s="690" t="str">
        <f>'Tên Tháng 1'!E297</f>
        <v>ឃន សាវី</v>
      </c>
      <c r="H136" s="690" t="str">
        <f>'Tên Tháng 1'!F297</f>
        <v>KHORN SAVY</v>
      </c>
      <c r="I136" s="693" t="str">
        <f>'CHAM CONG'!G303</f>
        <v>x</v>
      </c>
      <c r="J136" s="693" t="str">
        <f>'CHAM CONG'!H303</f>
        <v>x</v>
      </c>
      <c r="K136" s="693" t="str">
        <f>'CHAM CONG'!I303</f>
        <v>x</v>
      </c>
      <c r="L136" s="693" t="str">
        <f>'CHAM CONG'!J303</f>
        <v>x</v>
      </c>
      <c r="M136" s="693">
        <f>'CHAM CONG'!K303</f>
        <v>0</v>
      </c>
      <c r="N136" s="693" t="str">
        <f>'CHAM CONG'!L303</f>
        <v>x</v>
      </c>
      <c r="O136" s="693" t="str">
        <f>'CHAM CONG'!M303</f>
        <v>x</v>
      </c>
      <c r="P136" s="693" t="str">
        <f>'CHAM CONG'!N303</f>
        <v>x</v>
      </c>
      <c r="Q136" s="693" t="str">
        <f>'CHAM CONG'!O303</f>
        <v>x</v>
      </c>
      <c r="R136" s="693" t="str">
        <f>'CHAM CONG'!P303</f>
        <v>x</v>
      </c>
      <c r="S136" s="693" t="str">
        <f>'CHAM CONG'!Q303</f>
        <v>x</v>
      </c>
      <c r="T136" s="693" t="str">
        <f>'CHAM CONG'!R303</f>
        <v>x</v>
      </c>
      <c r="U136" s="693" t="str">
        <f>'CHAM CONG'!S303</f>
        <v>x</v>
      </c>
      <c r="V136" s="693" t="str">
        <f>'CHAM CONG'!T303</f>
        <v>x</v>
      </c>
      <c r="W136" s="693" t="str">
        <f>'CHAM CONG'!U303</f>
        <v>x</v>
      </c>
      <c r="X136" s="693"/>
      <c r="Y136" s="693"/>
      <c r="Z136" s="698">
        <f t="shared" si="23"/>
        <v>14</v>
      </c>
      <c r="AA136" s="699">
        <f t="shared" si="36"/>
        <v>0</v>
      </c>
      <c r="AB136" s="700">
        <f t="shared" si="24"/>
        <v>224000</v>
      </c>
      <c r="AC136" s="700" t="str">
        <f>'CHAM CONG'!V303</f>
        <v>x</v>
      </c>
      <c r="AD136" s="700" t="str">
        <f>'CHAM CONG'!X303</f>
        <v>x</v>
      </c>
      <c r="AE136" s="698">
        <f t="shared" si="25"/>
        <v>2</v>
      </c>
      <c r="AF136" s="700">
        <f t="shared" si="26"/>
        <v>34000</v>
      </c>
      <c r="AG136" s="700">
        <f t="shared" si="27"/>
        <v>14</v>
      </c>
      <c r="AH136" s="537">
        <f t="shared" si="28"/>
        <v>14000</v>
      </c>
      <c r="AI136" s="700">
        <f t="shared" si="29"/>
        <v>272000</v>
      </c>
      <c r="AJ136" s="693">
        <f>'SAN LUONG'!AF304</f>
        <v>680</v>
      </c>
      <c r="AK136" s="693">
        <f>'SAN LUONG'!AG304</f>
        <v>536</v>
      </c>
      <c r="AL136" s="693">
        <f>'SAN LUONG'!AH304</f>
        <v>531</v>
      </c>
      <c r="AM136" s="702">
        <f t="shared" si="39"/>
        <v>1067</v>
      </c>
      <c r="AN136" s="702">
        <f t="shared" si="37"/>
        <v>0</v>
      </c>
      <c r="AO136" s="702"/>
      <c r="AP136" s="702">
        <f t="shared" si="30"/>
        <v>260561</v>
      </c>
      <c r="AQ136" s="702">
        <f t="shared" si="35"/>
        <v>680</v>
      </c>
      <c r="AR136" s="702">
        <f t="shared" si="31"/>
        <v>136136</v>
      </c>
      <c r="AS136" s="555">
        <f t="shared" si="32"/>
        <v>668697</v>
      </c>
      <c r="AT136" s="706"/>
      <c r="AU136" s="706"/>
      <c r="AV136" s="706">
        <f>'CHAM CONG'!AZ307</f>
        <v>0</v>
      </c>
      <c r="AW136" s="706"/>
      <c r="AX136" s="562">
        <f t="shared" si="38"/>
        <v>668697</v>
      </c>
      <c r="AY136" s="707"/>
      <c r="AZ136" s="708">
        <f t="shared" si="33"/>
        <v>20.93</v>
      </c>
      <c r="BA136" s="709"/>
    </row>
    <row r="137" spans="1:53" s="683" customFormat="1" ht="44.4" customHeight="1">
      <c r="A137" s="688">
        <v>128</v>
      </c>
      <c r="B137" s="689">
        <v>6</v>
      </c>
      <c r="C137" s="689">
        <v>501</v>
      </c>
      <c r="D137" s="690"/>
      <c r="E137" s="690"/>
      <c r="F137" s="690"/>
      <c r="G137" s="690" t="str">
        <f>'Tên Tháng 1'!E298</f>
        <v>ផាវ ផាន់</v>
      </c>
      <c r="H137" s="690" t="str">
        <f>'Tên Tháng 1'!F298</f>
        <v>PHAV PHANN</v>
      </c>
      <c r="I137" s="693" t="str">
        <f>'CHAM CONG'!G304</f>
        <v>x</v>
      </c>
      <c r="J137" s="693" t="str">
        <f>'CHAM CONG'!H304</f>
        <v>x</v>
      </c>
      <c r="K137" s="693" t="str">
        <f>'CHAM CONG'!I304</f>
        <v>x</v>
      </c>
      <c r="L137" s="693">
        <f>'CHAM CONG'!J304</f>
        <v>0</v>
      </c>
      <c r="M137" s="693" t="str">
        <f>'CHAM CONG'!K304</f>
        <v>x</v>
      </c>
      <c r="N137" s="693" t="str">
        <f>'CHAM CONG'!L304</f>
        <v>x</v>
      </c>
      <c r="O137" s="693" t="str">
        <f>'CHAM CONG'!M304</f>
        <v>x</v>
      </c>
      <c r="P137" s="693" t="str">
        <f>'CHAM CONG'!N304</f>
        <v>x</v>
      </c>
      <c r="Q137" s="693" t="str">
        <f>'CHAM CONG'!O304</f>
        <v>x</v>
      </c>
      <c r="R137" s="693" t="str">
        <f>'CHAM CONG'!P304</f>
        <v>x</v>
      </c>
      <c r="S137" s="693" t="str">
        <f>'CHAM CONG'!Q304</f>
        <v>x</v>
      </c>
      <c r="T137" s="693" t="str">
        <f>'CHAM CONG'!R304</f>
        <v>x</v>
      </c>
      <c r="U137" s="693" t="str">
        <f>'CHAM CONG'!S304</f>
        <v>x</v>
      </c>
      <c r="V137" s="693" t="str">
        <f>'CHAM CONG'!T304</f>
        <v>x</v>
      </c>
      <c r="W137" s="693" t="str">
        <f>'CHAM CONG'!U304</f>
        <v>x</v>
      </c>
      <c r="X137" s="693"/>
      <c r="Y137" s="693"/>
      <c r="Z137" s="698">
        <f t="shared" si="23"/>
        <v>14</v>
      </c>
      <c r="AA137" s="699">
        <f t="shared" si="36"/>
        <v>0</v>
      </c>
      <c r="AB137" s="700">
        <f t="shared" si="24"/>
        <v>224000</v>
      </c>
      <c r="AC137" s="700" t="str">
        <f>'CHAM CONG'!V304</f>
        <v>x</v>
      </c>
      <c r="AD137" s="700">
        <f>'CHAM CONG'!X304</f>
        <v>0</v>
      </c>
      <c r="AE137" s="698">
        <f t="shared" si="25"/>
        <v>1</v>
      </c>
      <c r="AF137" s="700">
        <f t="shared" si="26"/>
        <v>17000</v>
      </c>
      <c r="AG137" s="700">
        <f t="shared" si="27"/>
        <v>14</v>
      </c>
      <c r="AH137" s="537">
        <f t="shared" si="28"/>
        <v>14000</v>
      </c>
      <c r="AI137" s="700">
        <f t="shared" si="29"/>
        <v>255000</v>
      </c>
      <c r="AJ137" s="693">
        <f>'SAN LUONG'!AF305</f>
        <v>534</v>
      </c>
      <c r="AK137" s="693">
        <f>'SAN LUONG'!AG305</f>
        <v>668</v>
      </c>
      <c r="AL137" s="693">
        <f>'SAN LUONG'!AH305</f>
        <v>485</v>
      </c>
      <c r="AM137" s="702">
        <f t="shared" si="39"/>
        <v>1153</v>
      </c>
      <c r="AN137" s="702">
        <f t="shared" si="37"/>
        <v>0</v>
      </c>
      <c r="AO137" s="702"/>
      <c r="AP137" s="702">
        <f t="shared" si="30"/>
        <v>281563</v>
      </c>
      <c r="AQ137" s="702">
        <f t="shared" si="35"/>
        <v>534</v>
      </c>
      <c r="AR137" s="702">
        <f t="shared" si="31"/>
        <v>106907</v>
      </c>
      <c r="AS137" s="555">
        <f t="shared" si="32"/>
        <v>643470</v>
      </c>
      <c r="AT137" s="706"/>
      <c r="AU137" s="706"/>
      <c r="AV137" s="706">
        <f>'CHAM CONG'!AZ308</f>
        <v>0</v>
      </c>
      <c r="AW137" s="706"/>
      <c r="AX137" s="562">
        <f t="shared" si="38"/>
        <v>643470</v>
      </c>
      <c r="AY137" s="707"/>
      <c r="AZ137" s="708">
        <f t="shared" si="33"/>
        <v>20.14</v>
      </c>
      <c r="BA137" s="709"/>
    </row>
    <row r="138" spans="1:53" s="683" customFormat="1" ht="44.4" customHeight="1">
      <c r="A138" s="688">
        <v>129</v>
      </c>
      <c r="B138" s="689">
        <v>6</v>
      </c>
      <c r="C138" s="689">
        <v>502</v>
      </c>
      <c r="D138" s="690"/>
      <c r="E138" s="690"/>
      <c r="F138" s="690"/>
      <c r="G138" s="690" t="str">
        <f>'Tên Tháng 1'!E299</f>
        <v>ជិន សីឡា</v>
      </c>
      <c r="H138" s="690" t="str">
        <f>'Tên Tháng 1'!F299</f>
        <v>CHIN SEYLA</v>
      </c>
      <c r="I138" s="693" t="str">
        <f>'CHAM CONG'!G305</f>
        <v>x</v>
      </c>
      <c r="J138" s="693" t="str">
        <f>'CHAM CONG'!H305</f>
        <v>x</v>
      </c>
      <c r="K138" s="693" t="str">
        <f>'CHAM CONG'!I305</f>
        <v>x</v>
      </c>
      <c r="L138" s="693">
        <f>'CHAM CONG'!J305</f>
        <v>0</v>
      </c>
      <c r="M138" s="693" t="str">
        <f>'CHAM CONG'!K305</f>
        <v>x</v>
      </c>
      <c r="N138" s="693" t="str">
        <f>'CHAM CONG'!L305</f>
        <v>x</v>
      </c>
      <c r="O138" s="693" t="str">
        <f>'CHAM CONG'!M305</f>
        <v>x</v>
      </c>
      <c r="P138" s="693" t="str">
        <f>'CHAM CONG'!N305</f>
        <v>x</v>
      </c>
      <c r="Q138" s="693" t="str">
        <f>'CHAM CONG'!O305</f>
        <v>x</v>
      </c>
      <c r="R138" s="693" t="str">
        <f>'CHAM CONG'!P305</f>
        <v>x</v>
      </c>
      <c r="S138" s="693" t="str">
        <f>'CHAM CONG'!Q305</f>
        <v>x</v>
      </c>
      <c r="T138" s="693" t="str">
        <f>'CHAM CONG'!R305</f>
        <v>x</v>
      </c>
      <c r="U138" s="693" t="str">
        <f>'CHAM CONG'!S305</f>
        <v>x</v>
      </c>
      <c r="V138" s="693" t="str">
        <f>'CHAM CONG'!T305</f>
        <v>x</v>
      </c>
      <c r="W138" s="693" t="str">
        <f>'CHAM CONG'!U305</f>
        <v>x</v>
      </c>
      <c r="X138" s="693"/>
      <c r="Y138" s="693"/>
      <c r="Z138" s="698">
        <f t="shared" si="23"/>
        <v>14</v>
      </c>
      <c r="AA138" s="699">
        <f t="shared" si="36"/>
        <v>0</v>
      </c>
      <c r="AB138" s="700">
        <f t="shared" si="24"/>
        <v>224000</v>
      </c>
      <c r="AC138" s="700" t="str">
        <f>'CHAM CONG'!V305</f>
        <v>x</v>
      </c>
      <c r="AD138" s="700">
        <f>'CHAM CONG'!X305</f>
        <v>0</v>
      </c>
      <c r="AE138" s="698">
        <f t="shared" si="25"/>
        <v>1</v>
      </c>
      <c r="AF138" s="700">
        <f t="shared" si="26"/>
        <v>17000</v>
      </c>
      <c r="AG138" s="700">
        <f t="shared" si="27"/>
        <v>14</v>
      </c>
      <c r="AH138" s="537">
        <f t="shared" si="28"/>
        <v>14000</v>
      </c>
      <c r="AI138" s="700">
        <f t="shared" si="29"/>
        <v>255000</v>
      </c>
      <c r="AJ138" s="693">
        <f>'SAN LUONG'!AF306</f>
        <v>629</v>
      </c>
      <c r="AK138" s="693">
        <f>'SAN LUONG'!AG306</f>
        <v>537</v>
      </c>
      <c r="AL138" s="693">
        <f>'SAN LUONG'!AH306</f>
        <v>517</v>
      </c>
      <c r="AM138" s="702">
        <f t="shared" si="39"/>
        <v>1054</v>
      </c>
      <c r="AN138" s="702">
        <f t="shared" si="37"/>
        <v>0</v>
      </c>
      <c r="AO138" s="702"/>
      <c r="AP138" s="702">
        <f t="shared" si="30"/>
        <v>257387</v>
      </c>
      <c r="AQ138" s="702">
        <f t="shared" si="35"/>
        <v>629</v>
      </c>
      <c r="AR138" s="702">
        <f t="shared" si="31"/>
        <v>125926</v>
      </c>
      <c r="AS138" s="555">
        <f t="shared" si="32"/>
        <v>638313</v>
      </c>
      <c r="AT138" s="706"/>
      <c r="AU138" s="706"/>
      <c r="AV138" s="706">
        <f>'CHAM CONG'!AZ309</f>
        <v>0</v>
      </c>
      <c r="AW138" s="706"/>
      <c r="AX138" s="562">
        <f t="shared" si="38"/>
        <v>638313</v>
      </c>
      <c r="AY138" s="707"/>
      <c r="AZ138" s="708">
        <f t="shared" si="33"/>
        <v>19.98</v>
      </c>
      <c r="BA138" s="709"/>
    </row>
    <row r="139" spans="1:53" s="683" customFormat="1" ht="44.4" customHeight="1">
      <c r="A139" s="688">
        <v>130</v>
      </c>
      <c r="B139" s="689">
        <v>6</v>
      </c>
      <c r="C139" s="689">
        <v>503</v>
      </c>
      <c r="D139" s="690"/>
      <c r="E139" s="690"/>
      <c r="F139" s="690"/>
      <c r="G139" s="690" t="str">
        <f>'Tên Tháng 1'!E300</f>
        <v>ជិន ឡូត</v>
      </c>
      <c r="H139" s="690" t="str">
        <f>'Tên Tháng 1'!F300</f>
        <v>CHIN LOT</v>
      </c>
      <c r="I139" s="693" t="str">
        <f>'CHAM CONG'!G306</f>
        <v>x</v>
      </c>
      <c r="J139" s="693" t="str">
        <f>'CHAM CONG'!H306</f>
        <v>x</v>
      </c>
      <c r="K139" s="693" t="str">
        <f>'CHAM CONG'!I306</f>
        <v>x</v>
      </c>
      <c r="L139" s="693">
        <f>'CHAM CONG'!J306</f>
        <v>0</v>
      </c>
      <c r="M139" s="693" t="str">
        <f>'CHAM CONG'!K306</f>
        <v>x</v>
      </c>
      <c r="N139" s="693" t="str">
        <f>'CHAM CONG'!L306</f>
        <v>x</v>
      </c>
      <c r="O139" s="693" t="str">
        <f>'CHAM CONG'!M306</f>
        <v>x</v>
      </c>
      <c r="P139" s="693" t="str">
        <f>'CHAM CONG'!N306</f>
        <v>x</v>
      </c>
      <c r="Q139" s="693" t="str">
        <f>'CHAM CONG'!O306</f>
        <v>x</v>
      </c>
      <c r="R139" s="693" t="str">
        <f>'CHAM CONG'!P306</f>
        <v>x</v>
      </c>
      <c r="S139" s="693" t="str">
        <f>'CHAM CONG'!Q306</f>
        <v>x</v>
      </c>
      <c r="T139" s="693" t="str">
        <f>'CHAM CONG'!R306</f>
        <v>x</v>
      </c>
      <c r="U139" s="693" t="str">
        <f>'CHAM CONG'!S306</f>
        <v>x</v>
      </c>
      <c r="V139" s="693" t="str">
        <f>'CHAM CONG'!T306</f>
        <v>x</v>
      </c>
      <c r="W139" s="693" t="str">
        <f>'CHAM CONG'!U306</f>
        <v>x</v>
      </c>
      <c r="X139" s="693"/>
      <c r="Y139" s="693"/>
      <c r="Z139" s="698">
        <f t="shared" ref="Z139:Z146" si="40">COUNTIF(I139:W139,"X")</f>
        <v>14</v>
      </c>
      <c r="AA139" s="699">
        <f t="shared" si="36"/>
        <v>0</v>
      </c>
      <c r="AB139" s="700">
        <f t="shared" ref="AB139:AB146" si="41">ROUND(Z139*$AB$8,0)</f>
        <v>224000</v>
      </c>
      <c r="AC139" s="700">
        <f>'CHAM CONG'!V306</f>
        <v>0</v>
      </c>
      <c r="AD139" s="700">
        <f>'CHAM CONG'!X306</f>
        <v>0</v>
      </c>
      <c r="AE139" s="698">
        <f t="shared" ref="AE139:AE146" si="42">COUNTIF(AC139:AD139,"X")</f>
        <v>0</v>
      </c>
      <c r="AF139" s="700">
        <f t="shared" ref="AF139:AF146" si="43">AE139*$AF$8</f>
        <v>0</v>
      </c>
      <c r="AG139" s="700">
        <f t="shared" ref="AG139:AG146" si="44">Z139</f>
        <v>14</v>
      </c>
      <c r="AH139" s="537">
        <f t="shared" ref="AH139:AH146" si="45">ROUND(AG139*$AH$8,0)</f>
        <v>14000</v>
      </c>
      <c r="AI139" s="700">
        <f t="shared" ref="AI139:AI146" si="46">AB139+AH139+AF139</f>
        <v>238000</v>
      </c>
      <c r="AJ139" s="693">
        <f>'SAN LUONG'!AF307</f>
        <v>566</v>
      </c>
      <c r="AK139" s="693">
        <f>'SAN LUONG'!AG307</f>
        <v>453</v>
      </c>
      <c r="AL139" s="693">
        <f>'SAN LUONG'!AH307</f>
        <v>525</v>
      </c>
      <c r="AM139" s="702">
        <f t="shared" si="39"/>
        <v>978</v>
      </c>
      <c r="AN139" s="702">
        <f t="shared" si="37"/>
        <v>0</v>
      </c>
      <c r="AO139" s="702"/>
      <c r="AP139" s="702">
        <f t="shared" ref="AP139:AP145" si="47">ROUND(AM139*0.44*$AP$8,0)</f>
        <v>238828</v>
      </c>
      <c r="AQ139" s="702">
        <f t="shared" si="35"/>
        <v>566</v>
      </c>
      <c r="AR139" s="702">
        <f t="shared" ref="AR139:AR146" si="48">ROUND(AQ139*0.44*$AR$8,0)</f>
        <v>113313</v>
      </c>
      <c r="AS139" s="555">
        <f t="shared" ref="AS139:AS146" si="49">AI139+AP139+AR139</f>
        <v>590141</v>
      </c>
      <c r="AT139" s="706"/>
      <c r="AU139" s="706"/>
      <c r="AV139" s="706">
        <f>'CHAM CONG'!AZ310</f>
        <v>0</v>
      </c>
      <c r="AW139" s="706"/>
      <c r="AX139" s="562">
        <f t="shared" si="38"/>
        <v>590141</v>
      </c>
      <c r="AY139" s="707"/>
      <c r="AZ139" s="708">
        <f t="shared" ref="AZ139:AZ146" si="50">ROUND(AS139/31947,2)</f>
        <v>18.47</v>
      </c>
      <c r="BA139" s="709"/>
    </row>
    <row r="140" spans="1:53" s="683" customFormat="1" ht="44.4" customHeight="1">
      <c r="A140" s="688">
        <v>131</v>
      </c>
      <c r="B140" s="689">
        <v>6</v>
      </c>
      <c r="C140" s="689">
        <v>504</v>
      </c>
      <c r="D140" s="690"/>
      <c r="E140" s="690"/>
      <c r="F140" s="690"/>
      <c r="G140" s="690" t="str">
        <f>'Tên Tháng 1'!E301</f>
        <v>អឿង សុឃាក់</v>
      </c>
      <c r="H140" s="690" t="str">
        <f>'Tên Tháng 1'!F301</f>
        <v>EURNG SOKEAK</v>
      </c>
      <c r="I140" s="693">
        <f>'CHAM CONG'!G307</f>
        <v>0</v>
      </c>
      <c r="J140" s="693">
        <f>'CHAM CONG'!H307</f>
        <v>0</v>
      </c>
      <c r="K140" s="693" t="str">
        <f>'CHAM CONG'!I307</f>
        <v>x</v>
      </c>
      <c r="L140" s="693">
        <f>'CHAM CONG'!J307</f>
        <v>0</v>
      </c>
      <c r="M140" s="693">
        <f>'CHAM CONG'!K307</f>
        <v>0</v>
      </c>
      <c r="N140" s="693">
        <f>'CHAM CONG'!L307</f>
        <v>0</v>
      </c>
      <c r="O140" s="693">
        <f>'CHAM CONG'!M307</f>
        <v>0</v>
      </c>
      <c r="P140" s="693" t="str">
        <f>'CHAM CONG'!N307</f>
        <v>x</v>
      </c>
      <c r="Q140" s="693" t="str">
        <f>'CHAM CONG'!O307</f>
        <v>x</v>
      </c>
      <c r="R140" s="693" t="str">
        <f>'CHAM CONG'!P307</f>
        <v>x</v>
      </c>
      <c r="S140" s="693" t="str">
        <f>'CHAM CONG'!Q307</f>
        <v>x</v>
      </c>
      <c r="T140" s="693" t="str">
        <f>'CHAM CONG'!R307</f>
        <v>x</v>
      </c>
      <c r="U140" s="693" t="str">
        <f>'CHAM CONG'!S307</f>
        <v>x</v>
      </c>
      <c r="V140" s="693" t="str">
        <f>'CHAM CONG'!T307</f>
        <v>x</v>
      </c>
      <c r="W140" s="693" t="str">
        <f>'CHAM CONG'!U307</f>
        <v>x</v>
      </c>
      <c r="X140" s="693"/>
      <c r="Y140" s="693"/>
      <c r="Z140" s="698">
        <f t="shared" si="40"/>
        <v>9</v>
      </c>
      <c r="AA140" s="699">
        <f t="shared" si="36"/>
        <v>0</v>
      </c>
      <c r="AB140" s="700">
        <f t="shared" si="41"/>
        <v>144000</v>
      </c>
      <c r="AC140" s="700">
        <f>'CHAM CONG'!V307</f>
        <v>0</v>
      </c>
      <c r="AD140" s="700">
        <f>'CHAM CONG'!X307</f>
        <v>0</v>
      </c>
      <c r="AE140" s="698">
        <f t="shared" si="42"/>
        <v>0</v>
      </c>
      <c r="AF140" s="700">
        <f t="shared" si="43"/>
        <v>0</v>
      </c>
      <c r="AG140" s="700">
        <f t="shared" si="44"/>
        <v>9</v>
      </c>
      <c r="AH140" s="537">
        <f t="shared" si="45"/>
        <v>9000</v>
      </c>
      <c r="AI140" s="700">
        <f t="shared" si="46"/>
        <v>153000</v>
      </c>
      <c r="AJ140" s="693">
        <f>'SAN LUONG'!AF308</f>
        <v>141</v>
      </c>
      <c r="AK140" s="693">
        <f>'SAN LUONG'!AG308</f>
        <v>351</v>
      </c>
      <c r="AL140" s="693">
        <f>'SAN LUONG'!AH308</f>
        <v>273</v>
      </c>
      <c r="AM140" s="702">
        <f t="shared" si="39"/>
        <v>624</v>
      </c>
      <c r="AN140" s="702">
        <f t="shared" si="37"/>
        <v>0</v>
      </c>
      <c r="AO140" s="702"/>
      <c r="AP140" s="702">
        <f t="shared" si="47"/>
        <v>152381</v>
      </c>
      <c r="AQ140" s="702">
        <f t="shared" si="35"/>
        <v>141</v>
      </c>
      <c r="AR140" s="702">
        <f t="shared" si="48"/>
        <v>28228</v>
      </c>
      <c r="AS140" s="555">
        <f t="shared" si="49"/>
        <v>333609</v>
      </c>
      <c r="AT140" s="706"/>
      <c r="AU140" s="706"/>
      <c r="AV140" s="706">
        <f>'CHAM CONG'!AZ311</f>
        <v>0</v>
      </c>
      <c r="AW140" s="706"/>
      <c r="AX140" s="562">
        <f t="shared" si="38"/>
        <v>333609</v>
      </c>
      <c r="AY140" s="707"/>
      <c r="AZ140" s="708">
        <f t="shared" si="50"/>
        <v>10.44</v>
      </c>
      <c r="BA140" s="709"/>
    </row>
    <row r="141" spans="1:53" s="683" customFormat="1" ht="44.4" customHeight="1">
      <c r="A141" s="688">
        <v>132</v>
      </c>
      <c r="B141" s="689">
        <v>6</v>
      </c>
      <c r="C141" s="689">
        <v>505</v>
      </c>
      <c r="D141" s="690"/>
      <c r="E141" s="690"/>
      <c r="F141" s="690"/>
      <c r="G141" s="690" t="str">
        <f>'Tên Tháng 1'!E302</f>
        <v>ឡន លី</v>
      </c>
      <c r="H141" s="690" t="str">
        <f>'Tên Tháng 1'!F302</f>
        <v>LORN LY</v>
      </c>
      <c r="I141" s="693">
        <f>'CHAM CONG'!G308</f>
        <v>0</v>
      </c>
      <c r="J141" s="693" t="str">
        <f>'CHAM CONG'!H308</f>
        <v>x</v>
      </c>
      <c r="K141" s="693" t="str">
        <f>'CHAM CONG'!I308</f>
        <v>x</v>
      </c>
      <c r="L141" s="693">
        <f>'CHAM CONG'!J308</f>
        <v>0</v>
      </c>
      <c r="M141" s="693" t="str">
        <f>'CHAM CONG'!K308</f>
        <v>x</v>
      </c>
      <c r="N141" s="693" t="str">
        <f>'CHAM CONG'!L308</f>
        <v>x</v>
      </c>
      <c r="O141" s="693" t="str">
        <f>'CHAM CONG'!M308</f>
        <v>x</v>
      </c>
      <c r="P141" s="693">
        <f>'CHAM CONG'!N308</f>
        <v>0</v>
      </c>
      <c r="Q141" s="693" t="str">
        <f>'CHAM CONG'!O308</f>
        <v>x</v>
      </c>
      <c r="R141" s="693" t="str">
        <f>'CHAM CONG'!P308</f>
        <v>x</v>
      </c>
      <c r="S141" s="693" t="str">
        <f>'CHAM CONG'!Q308</f>
        <v>x</v>
      </c>
      <c r="T141" s="693" t="str">
        <f>'CHAM CONG'!R308</f>
        <v>x</v>
      </c>
      <c r="U141" s="693" t="str">
        <f>'CHAM CONG'!S308</f>
        <v>x</v>
      </c>
      <c r="V141" s="693" t="str">
        <f>'CHAM CONG'!T308</f>
        <v>x</v>
      </c>
      <c r="W141" s="693" t="str">
        <f>'CHAM CONG'!U308</f>
        <v>x</v>
      </c>
      <c r="X141" s="693"/>
      <c r="Y141" s="693"/>
      <c r="Z141" s="698">
        <f t="shared" si="40"/>
        <v>12</v>
      </c>
      <c r="AA141" s="699">
        <f t="shared" si="36"/>
        <v>0</v>
      </c>
      <c r="AB141" s="700">
        <f t="shared" si="41"/>
        <v>192000</v>
      </c>
      <c r="AC141" s="700">
        <f>'CHAM CONG'!V308</f>
        <v>0</v>
      </c>
      <c r="AD141" s="700">
        <f>'CHAM CONG'!X308</f>
        <v>0</v>
      </c>
      <c r="AE141" s="698">
        <f t="shared" si="42"/>
        <v>0</v>
      </c>
      <c r="AF141" s="700">
        <f t="shared" si="43"/>
        <v>0</v>
      </c>
      <c r="AG141" s="700">
        <f t="shared" si="44"/>
        <v>12</v>
      </c>
      <c r="AH141" s="537">
        <f t="shared" si="45"/>
        <v>12000</v>
      </c>
      <c r="AI141" s="700">
        <f t="shared" si="46"/>
        <v>204000</v>
      </c>
      <c r="AJ141" s="693">
        <f>'SAN LUONG'!AF309</f>
        <v>524</v>
      </c>
      <c r="AK141" s="693">
        <f>'SAN LUONG'!AG309</f>
        <v>323</v>
      </c>
      <c r="AL141" s="693">
        <f>'SAN LUONG'!AH309</f>
        <v>424</v>
      </c>
      <c r="AM141" s="702">
        <f t="shared" si="39"/>
        <v>747</v>
      </c>
      <c r="AN141" s="702">
        <f t="shared" si="37"/>
        <v>0</v>
      </c>
      <c r="AO141" s="702"/>
      <c r="AP141" s="702">
        <f t="shared" si="47"/>
        <v>182417</v>
      </c>
      <c r="AQ141" s="702">
        <f t="shared" si="35"/>
        <v>524</v>
      </c>
      <c r="AR141" s="702">
        <f t="shared" si="48"/>
        <v>104905</v>
      </c>
      <c r="AS141" s="555">
        <f t="shared" si="49"/>
        <v>491322</v>
      </c>
      <c r="AT141" s="706"/>
      <c r="AU141" s="706"/>
      <c r="AV141" s="706">
        <f>'CHAM CONG'!AZ312</f>
        <v>0</v>
      </c>
      <c r="AW141" s="706"/>
      <c r="AX141" s="562">
        <f t="shared" si="38"/>
        <v>491322</v>
      </c>
      <c r="AY141" s="707"/>
      <c r="AZ141" s="708">
        <f t="shared" si="50"/>
        <v>15.38</v>
      </c>
      <c r="BA141" s="709"/>
    </row>
    <row r="142" spans="1:53" s="683" customFormat="1" ht="44.4" customHeight="1">
      <c r="A142" s="688">
        <v>133</v>
      </c>
      <c r="B142" s="689">
        <v>6</v>
      </c>
      <c r="C142" s="689">
        <v>506</v>
      </c>
      <c r="D142" s="690"/>
      <c r="E142" s="690"/>
      <c r="F142" s="690"/>
      <c r="G142" s="690" t="str">
        <f>'Tên Tháng 1'!E303</f>
        <v>ឃួន លា</v>
      </c>
      <c r="H142" s="690" t="str">
        <f>'Tên Tháng 1'!F303</f>
        <v>KHUN LEA</v>
      </c>
      <c r="I142" s="693" t="str">
        <f>'CHAM CONG'!G309</f>
        <v>x</v>
      </c>
      <c r="J142" s="693" t="str">
        <f>'CHAM CONG'!H309</f>
        <v>x</v>
      </c>
      <c r="K142" s="693" t="str">
        <f>'CHAM CONG'!I309</f>
        <v>x</v>
      </c>
      <c r="L142" s="693">
        <f>'CHAM CONG'!J309</f>
        <v>0</v>
      </c>
      <c r="M142" s="693" t="str">
        <f>'CHAM CONG'!K309</f>
        <v>x</v>
      </c>
      <c r="N142" s="693" t="str">
        <f>'CHAM CONG'!L309</f>
        <v>x</v>
      </c>
      <c r="O142" s="693" t="str">
        <f>'CHAM CONG'!M309</f>
        <v>x</v>
      </c>
      <c r="P142" s="693" t="str">
        <f>'CHAM CONG'!N309</f>
        <v>x</v>
      </c>
      <c r="Q142" s="693">
        <f>'CHAM CONG'!O309</f>
        <v>0</v>
      </c>
      <c r="R142" s="693" t="str">
        <f>'CHAM CONG'!P309</f>
        <v>x</v>
      </c>
      <c r="S142" s="693" t="str">
        <f>'CHAM CONG'!Q309</f>
        <v>x</v>
      </c>
      <c r="T142" s="693" t="str">
        <f>'CHAM CONG'!R309</f>
        <v>x</v>
      </c>
      <c r="U142" s="693" t="str">
        <f>'CHAM CONG'!S309</f>
        <v>x</v>
      </c>
      <c r="V142" s="693" t="str">
        <f>'CHAM CONG'!T309</f>
        <v>x</v>
      </c>
      <c r="W142" s="693" t="str">
        <f>'CHAM CONG'!U309</f>
        <v>x</v>
      </c>
      <c r="X142" s="693"/>
      <c r="Y142" s="693"/>
      <c r="Z142" s="698">
        <f t="shared" si="40"/>
        <v>13</v>
      </c>
      <c r="AA142" s="699">
        <f t="shared" si="36"/>
        <v>0</v>
      </c>
      <c r="AB142" s="700">
        <f t="shared" si="41"/>
        <v>208000</v>
      </c>
      <c r="AC142" s="700" t="str">
        <f>'CHAM CONG'!V309</f>
        <v>x</v>
      </c>
      <c r="AD142" s="700" t="str">
        <f>'CHAM CONG'!X309</f>
        <v>x</v>
      </c>
      <c r="AE142" s="698">
        <f t="shared" si="42"/>
        <v>2</v>
      </c>
      <c r="AF142" s="700">
        <f t="shared" si="43"/>
        <v>34000</v>
      </c>
      <c r="AG142" s="700">
        <f t="shared" si="44"/>
        <v>13</v>
      </c>
      <c r="AH142" s="537">
        <f t="shared" si="45"/>
        <v>13000</v>
      </c>
      <c r="AI142" s="700">
        <f t="shared" si="46"/>
        <v>255000</v>
      </c>
      <c r="AJ142" s="693">
        <f>'SAN LUONG'!AF310</f>
        <v>590</v>
      </c>
      <c r="AK142" s="693">
        <f>'SAN LUONG'!AG310</f>
        <v>495</v>
      </c>
      <c r="AL142" s="693">
        <f>'SAN LUONG'!AH310</f>
        <v>358</v>
      </c>
      <c r="AM142" s="702">
        <f t="shared" si="39"/>
        <v>853</v>
      </c>
      <c r="AN142" s="702">
        <f t="shared" si="37"/>
        <v>0</v>
      </c>
      <c r="AO142" s="702"/>
      <c r="AP142" s="702">
        <f t="shared" si="47"/>
        <v>208303</v>
      </c>
      <c r="AQ142" s="702">
        <f t="shared" si="35"/>
        <v>590</v>
      </c>
      <c r="AR142" s="702">
        <f t="shared" si="48"/>
        <v>118118</v>
      </c>
      <c r="AS142" s="555">
        <f t="shared" si="49"/>
        <v>581421</v>
      </c>
      <c r="AT142" s="706"/>
      <c r="AU142" s="706"/>
      <c r="AV142" s="706">
        <f>'CHAM CONG'!AZ313</f>
        <v>0</v>
      </c>
      <c r="AW142" s="706"/>
      <c r="AX142" s="562">
        <f t="shared" si="38"/>
        <v>581421</v>
      </c>
      <c r="AY142" s="707"/>
      <c r="AZ142" s="708">
        <f t="shared" si="50"/>
        <v>18.2</v>
      </c>
      <c r="BA142" s="709"/>
    </row>
    <row r="143" spans="1:53" s="683" customFormat="1" ht="44.4" customHeight="1">
      <c r="A143" s="688">
        <v>134</v>
      </c>
      <c r="B143" s="689">
        <v>6</v>
      </c>
      <c r="C143" s="689">
        <v>507</v>
      </c>
      <c r="D143" s="690"/>
      <c r="E143" s="690"/>
      <c r="F143" s="690"/>
      <c r="G143" s="690" t="str">
        <f>'Tên Tháng 1'!E304</f>
        <v>ញាន សំបុក</v>
      </c>
      <c r="H143" s="690" t="str">
        <f>'Tên Tháng 1'!F304</f>
        <v>NHAN SAMBOK</v>
      </c>
      <c r="I143" s="693" t="str">
        <f>'CHAM CONG'!G310</f>
        <v>x</v>
      </c>
      <c r="J143" s="693" t="str">
        <f>'CHAM CONG'!H310</f>
        <v>x</v>
      </c>
      <c r="K143" s="693" t="str">
        <f>'CHAM CONG'!I310</f>
        <v>x</v>
      </c>
      <c r="L143" s="693">
        <f>'CHAM CONG'!J310</f>
        <v>0</v>
      </c>
      <c r="M143" s="693" t="str">
        <f>'CHAM CONG'!K310</f>
        <v>x</v>
      </c>
      <c r="N143" s="693" t="str">
        <f>'CHAM CONG'!L310</f>
        <v>x</v>
      </c>
      <c r="O143" s="693" t="str">
        <f>'CHAM CONG'!M310</f>
        <v>x</v>
      </c>
      <c r="P143" s="693" t="str">
        <f>'CHAM CONG'!N310</f>
        <v>x</v>
      </c>
      <c r="Q143" s="693">
        <f>'CHAM CONG'!O310</f>
        <v>0</v>
      </c>
      <c r="R143" s="693" t="str">
        <f>'CHAM CONG'!P310</f>
        <v>x</v>
      </c>
      <c r="S143" s="693" t="str">
        <f>'CHAM CONG'!Q310</f>
        <v>x</v>
      </c>
      <c r="T143" s="693" t="str">
        <f>'CHAM CONG'!R310</f>
        <v>x</v>
      </c>
      <c r="U143" s="693" t="str">
        <f>'CHAM CONG'!S310</f>
        <v>x</v>
      </c>
      <c r="V143" s="693" t="str">
        <f>'CHAM CONG'!T310</f>
        <v>x</v>
      </c>
      <c r="W143" s="693" t="str">
        <f>'CHAM CONG'!U310</f>
        <v>x</v>
      </c>
      <c r="X143" s="693"/>
      <c r="Y143" s="693"/>
      <c r="Z143" s="698">
        <f t="shared" si="40"/>
        <v>13</v>
      </c>
      <c r="AA143" s="699">
        <f t="shared" si="36"/>
        <v>0</v>
      </c>
      <c r="AB143" s="700">
        <f t="shared" si="41"/>
        <v>208000</v>
      </c>
      <c r="AC143" s="700" t="str">
        <f>'CHAM CONG'!V310</f>
        <v>x</v>
      </c>
      <c r="AD143" s="700" t="str">
        <f>'CHAM CONG'!X310</f>
        <v>x</v>
      </c>
      <c r="AE143" s="698">
        <f t="shared" si="42"/>
        <v>2</v>
      </c>
      <c r="AF143" s="700">
        <f t="shared" si="43"/>
        <v>34000</v>
      </c>
      <c r="AG143" s="700">
        <f t="shared" si="44"/>
        <v>13</v>
      </c>
      <c r="AH143" s="537">
        <f t="shared" si="45"/>
        <v>13000</v>
      </c>
      <c r="AI143" s="700">
        <f t="shared" si="46"/>
        <v>255000</v>
      </c>
      <c r="AJ143" s="693">
        <f>'SAN LUONG'!AF311</f>
        <v>540</v>
      </c>
      <c r="AK143" s="693">
        <f>'SAN LUONG'!AG311</f>
        <v>411</v>
      </c>
      <c r="AL143" s="693">
        <f>'SAN LUONG'!AH311</f>
        <v>351</v>
      </c>
      <c r="AM143" s="702">
        <f t="shared" si="39"/>
        <v>762</v>
      </c>
      <c r="AN143" s="702">
        <f t="shared" si="37"/>
        <v>0</v>
      </c>
      <c r="AO143" s="702"/>
      <c r="AP143" s="702">
        <f t="shared" si="47"/>
        <v>186080</v>
      </c>
      <c r="AQ143" s="702">
        <f t="shared" si="35"/>
        <v>540</v>
      </c>
      <c r="AR143" s="702">
        <f t="shared" si="48"/>
        <v>108108</v>
      </c>
      <c r="AS143" s="555">
        <f t="shared" si="49"/>
        <v>549188</v>
      </c>
      <c r="AT143" s="706"/>
      <c r="AU143" s="706"/>
      <c r="AV143" s="706">
        <f>'CHAM CONG'!AZ314</f>
        <v>0</v>
      </c>
      <c r="AW143" s="706"/>
      <c r="AX143" s="562">
        <f t="shared" si="38"/>
        <v>549188</v>
      </c>
      <c r="AY143" s="707"/>
      <c r="AZ143" s="708">
        <f t="shared" si="50"/>
        <v>17.190000000000001</v>
      </c>
      <c r="BA143" s="709"/>
    </row>
    <row r="144" spans="1:53" s="683" customFormat="1" ht="44.4" customHeight="1">
      <c r="A144" s="688">
        <v>135</v>
      </c>
      <c r="B144" s="689">
        <v>6</v>
      </c>
      <c r="C144" s="689">
        <v>508</v>
      </c>
      <c r="D144" s="690"/>
      <c r="E144" s="690"/>
      <c r="F144" s="690"/>
      <c r="G144" s="690" t="str">
        <f>'Tên Tháng 1'!E305</f>
        <v>ឆាង លាស</v>
      </c>
      <c r="H144" s="690" t="str">
        <f>'Tên Tháng 1'!F305</f>
        <v>CHHANG LEAS</v>
      </c>
      <c r="I144" s="693" t="str">
        <f>'CHAM CONG'!G311</f>
        <v>x</v>
      </c>
      <c r="J144" s="693" t="str">
        <f>'CHAM CONG'!H311</f>
        <v>x</v>
      </c>
      <c r="K144" s="693" t="str">
        <f>'CHAM CONG'!I311</f>
        <v>x</v>
      </c>
      <c r="L144" s="693" t="str">
        <f>'CHAM CONG'!J311</f>
        <v>x</v>
      </c>
      <c r="M144" s="693" t="str">
        <f>'CHAM CONG'!K311</f>
        <v>x</v>
      </c>
      <c r="N144" s="693" t="str">
        <f>'CHAM CONG'!L311</f>
        <v>x</v>
      </c>
      <c r="O144" s="693" t="str">
        <f>'CHAM CONG'!M311</f>
        <v>x</v>
      </c>
      <c r="P144" s="693">
        <f>'CHAM CONG'!N311</f>
        <v>0</v>
      </c>
      <c r="Q144" s="693" t="str">
        <f>'CHAM CONG'!O311</f>
        <v>x</v>
      </c>
      <c r="R144" s="693" t="str">
        <f>'CHAM CONG'!P311</f>
        <v>x</v>
      </c>
      <c r="S144" s="693">
        <f>'CHAM CONG'!Q311</f>
        <v>0</v>
      </c>
      <c r="T144" s="693">
        <f>'CHAM CONG'!R311</f>
        <v>0</v>
      </c>
      <c r="U144" s="693" t="str">
        <f>'CHAM CONG'!S311</f>
        <v>x</v>
      </c>
      <c r="V144" s="693" t="str">
        <f>'CHAM CONG'!T311</f>
        <v>x</v>
      </c>
      <c r="W144" s="693" t="str">
        <f>'CHAM CONG'!U311</f>
        <v>x</v>
      </c>
      <c r="X144" s="693"/>
      <c r="Y144" s="693"/>
      <c r="Z144" s="698">
        <f t="shared" si="40"/>
        <v>12</v>
      </c>
      <c r="AA144" s="699">
        <f t="shared" si="36"/>
        <v>0</v>
      </c>
      <c r="AB144" s="700">
        <f t="shared" si="41"/>
        <v>192000</v>
      </c>
      <c r="AC144" s="700" t="str">
        <f>'CHAM CONG'!V311</f>
        <v>x</v>
      </c>
      <c r="AD144" s="700" t="str">
        <f>'CHAM CONG'!X311</f>
        <v>x</v>
      </c>
      <c r="AE144" s="698">
        <f t="shared" si="42"/>
        <v>2</v>
      </c>
      <c r="AF144" s="700">
        <f t="shared" si="43"/>
        <v>34000</v>
      </c>
      <c r="AG144" s="700">
        <f t="shared" si="44"/>
        <v>12</v>
      </c>
      <c r="AH144" s="537">
        <f t="shared" si="45"/>
        <v>12000</v>
      </c>
      <c r="AI144" s="700">
        <f t="shared" si="46"/>
        <v>238000</v>
      </c>
      <c r="AJ144" s="693">
        <f>'SAN LUONG'!AF312</f>
        <v>848</v>
      </c>
      <c r="AK144" s="693">
        <f>'SAN LUONG'!AG312</f>
        <v>270</v>
      </c>
      <c r="AL144" s="693">
        <f>'SAN LUONG'!AH312</f>
        <v>209</v>
      </c>
      <c r="AM144" s="702">
        <f t="shared" si="39"/>
        <v>479</v>
      </c>
      <c r="AN144" s="702">
        <f t="shared" si="37"/>
        <v>0</v>
      </c>
      <c r="AO144" s="702"/>
      <c r="AP144" s="702">
        <f t="shared" si="47"/>
        <v>116972</v>
      </c>
      <c r="AQ144" s="702">
        <f t="shared" si="35"/>
        <v>848</v>
      </c>
      <c r="AR144" s="702">
        <f t="shared" si="48"/>
        <v>169770</v>
      </c>
      <c r="AS144" s="555">
        <f t="shared" si="49"/>
        <v>524742</v>
      </c>
      <c r="AT144" s="706"/>
      <c r="AU144" s="706"/>
      <c r="AV144" s="706">
        <f>'CHAM CONG'!AZ315</f>
        <v>0</v>
      </c>
      <c r="AW144" s="706"/>
      <c r="AX144" s="562">
        <f t="shared" si="38"/>
        <v>524742</v>
      </c>
      <c r="AY144" s="707"/>
      <c r="AZ144" s="708">
        <f t="shared" si="50"/>
        <v>16.43</v>
      </c>
      <c r="BA144" s="709"/>
    </row>
    <row r="145" spans="1:53" s="683" customFormat="1" ht="44.4" customHeight="1">
      <c r="A145" s="688">
        <v>136</v>
      </c>
      <c r="B145" s="689">
        <v>6</v>
      </c>
      <c r="C145" s="689">
        <v>509</v>
      </c>
      <c r="D145" s="690"/>
      <c r="E145" s="690"/>
      <c r="F145" s="690"/>
      <c r="G145" s="690" t="str">
        <f>'Tên Tháng 1'!E306</f>
        <v>ឆែម ភាព</v>
      </c>
      <c r="H145" s="690" t="str">
        <f>'Tên Tháng 1'!F306</f>
        <v>CHHEM PHEAP</v>
      </c>
      <c r="I145" s="693" t="str">
        <f>'CHAM CONG'!G312</f>
        <v>x</v>
      </c>
      <c r="J145" s="693" t="str">
        <f>'CHAM CONG'!H312</f>
        <v>x</v>
      </c>
      <c r="K145" s="693" t="str">
        <f>'CHAM CONG'!I312</f>
        <v>x</v>
      </c>
      <c r="L145" s="693">
        <f>'CHAM CONG'!J312</f>
        <v>0</v>
      </c>
      <c r="M145" s="693" t="str">
        <f>'CHAM CONG'!K312</f>
        <v>x</v>
      </c>
      <c r="N145" s="693" t="str">
        <f>'CHAM CONG'!L312</f>
        <v>x</v>
      </c>
      <c r="O145" s="693" t="str">
        <f>'CHAM CONG'!M312</f>
        <v>x</v>
      </c>
      <c r="P145" s="693" t="str">
        <f>'CHAM CONG'!N312</f>
        <v>x</v>
      </c>
      <c r="Q145" s="693" t="str">
        <f>'CHAM CONG'!O312</f>
        <v>x</v>
      </c>
      <c r="R145" s="693" t="str">
        <f>'CHAM CONG'!P312</f>
        <v>x</v>
      </c>
      <c r="S145" s="693" t="str">
        <f>'CHAM CONG'!Q312</f>
        <v>x</v>
      </c>
      <c r="T145" s="693" t="str">
        <f>'CHAM CONG'!R312</f>
        <v>x</v>
      </c>
      <c r="U145" s="693" t="str">
        <f>'CHAM CONG'!S312</f>
        <v>x</v>
      </c>
      <c r="V145" s="693" t="str">
        <f>'CHAM CONG'!T312</f>
        <v>x</v>
      </c>
      <c r="W145" s="693" t="str">
        <f>'CHAM CONG'!U312</f>
        <v>x</v>
      </c>
      <c r="X145" s="693"/>
      <c r="Y145" s="693"/>
      <c r="Z145" s="698">
        <f t="shared" si="40"/>
        <v>14</v>
      </c>
      <c r="AA145" s="699">
        <f t="shared" si="36"/>
        <v>0</v>
      </c>
      <c r="AB145" s="700">
        <f t="shared" si="41"/>
        <v>224000</v>
      </c>
      <c r="AC145" s="700" t="str">
        <f>'CHAM CONG'!V312</f>
        <v>x</v>
      </c>
      <c r="AD145" s="700" t="str">
        <f>'CHAM CONG'!X312</f>
        <v>x</v>
      </c>
      <c r="AE145" s="698">
        <f t="shared" si="42"/>
        <v>2</v>
      </c>
      <c r="AF145" s="700">
        <f t="shared" si="43"/>
        <v>34000</v>
      </c>
      <c r="AG145" s="700">
        <f t="shared" si="44"/>
        <v>14</v>
      </c>
      <c r="AH145" s="537">
        <f t="shared" si="45"/>
        <v>14000</v>
      </c>
      <c r="AI145" s="700">
        <f t="shared" si="46"/>
        <v>272000</v>
      </c>
      <c r="AJ145" s="693">
        <f>'SAN LUONG'!AF313</f>
        <v>582</v>
      </c>
      <c r="AK145" s="693">
        <f>'SAN LUONG'!AG313</f>
        <v>362</v>
      </c>
      <c r="AL145" s="693">
        <f>'SAN LUONG'!AH313</f>
        <v>420</v>
      </c>
      <c r="AM145" s="702">
        <f t="shared" si="39"/>
        <v>782</v>
      </c>
      <c r="AN145" s="702">
        <f t="shared" si="37"/>
        <v>0</v>
      </c>
      <c r="AO145" s="702"/>
      <c r="AP145" s="702">
        <f t="shared" si="47"/>
        <v>190964</v>
      </c>
      <c r="AQ145" s="702">
        <f t="shared" si="35"/>
        <v>582</v>
      </c>
      <c r="AR145" s="702">
        <f>ROUND(AQ145*0.44*$AR$8,0)-1</f>
        <v>116515</v>
      </c>
      <c r="AS145" s="555">
        <f t="shared" si="49"/>
        <v>579479</v>
      </c>
      <c r="AT145" s="706"/>
      <c r="AU145" s="706"/>
      <c r="AV145" s="706">
        <f>'CHAM CONG'!AZ316</f>
        <v>0</v>
      </c>
      <c r="AW145" s="706"/>
      <c r="AX145" s="562">
        <f t="shared" si="38"/>
        <v>579479</v>
      </c>
      <c r="AY145" s="707"/>
      <c r="AZ145" s="708">
        <f t="shared" si="50"/>
        <v>18.14</v>
      </c>
      <c r="BA145" s="709"/>
    </row>
    <row r="146" spans="1:53" s="683" customFormat="1" ht="44.4" customHeight="1">
      <c r="A146" s="688">
        <v>137</v>
      </c>
      <c r="B146" s="689">
        <v>6</v>
      </c>
      <c r="C146" s="689">
        <v>510</v>
      </c>
      <c r="D146" s="690"/>
      <c r="E146" s="690"/>
      <c r="F146" s="690"/>
      <c r="G146" s="690" t="str">
        <f>'Tên Tháng 1'!E307</f>
        <v>ចាន់ រស់</v>
      </c>
      <c r="H146" s="690" t="str">
        <f>'Tên Tháng 1'!F307</f>
        <v>CHAN ROS</v>
      </c>
      <c r="I146" s="693" t="str">
        <f>'CHAM CONG'!G313</f>
        <v>x</v>
      </c>
      <c r="J146" s="693" t="str">
        <f>'CHAM CONG'!H313</f>
        <v>x</v>
      </c>
      <c r="K146" s="693" t="str">
        <f>'CHAM CONG'!I313</f>
        <v>x</v>
      </c>
      <c r="L146" s="693" t="str">
        <f>'CHAM CONG'!J313</f>
        <v>x</v>
      </c>
      <c r="M146" s="693" t="str">
        <f>'CHAM CONG'!K313</f>
        <v>x</v>
      </c>
      <c r="N146" s="693" t="str">
        <f>'CHAM CONG'!L313</f>
        <v>x</v>
      </c>
      <c r="O146" s="693" t="str">
        <f>'CHAM CONG'!M313</f>
        <v>x</v>
      </c>
      <c r="P146" s="693" t="str">
        <f>'CHAM CONG'!N313</f>
        <v>x</v>
      </c>
      <c r="Q146" s="693">
        <f>'CHAM CONG'!O313</f>
        <v>0</v>
      </c>
      <c r="R146" s="693" t="str">
        <f>'CHAM CONG'!P313</f>
        <v>x</v>
      </c>
      <c r="S146" s="693">
        <f>'CHAM CONG'!Q313</f>
        <v>0</v>
      </c>
      <c r="T146" s="693">
        <f>'CHAM CONG'!R313</f>
        <v>0</v>
      </c>
      <c r="U146" s="693" t="str">
        <f>'CHAM CONG'!S313</f>
        <v>x</v>
      </c>
      <c r="V146" s="693" t="str">
        <f>'CHAM CONG'!T313</f>
        <v>x</v>
      </c>
      <c r="W146" s="693" t="str">
        <f>'CHAM CONG'!U313</f>
        <v>x</v>
      </c>
      <c r="X146" s="693"/>
      <c r="Y146" s="693"/>
      <c r="Z146" s="698">
        <f t="shared" si="40"/>
        <v>12</v>
      </c>
      <c r="AA146" s="699">
        <f t="shared" si="36"/>
        <v>0</v>
      </c>
      <c r="AB146" s="700">
        <f t="shared" si="41"/>
        <v>192000</v>
      </c>
      <c r="AC146" s="700">
        <f>'CHAM CONG'!V313</f>
        <v>0</v>
      </c>
      <c r="AD146" s="700" t="str">
        <f>'CHAM CONG'!X313</f>
        <v>x</v>
      </c>
      <c r="AE146" s="698">
        <f t="shared" si="42"/>
        <v>1</v>
      </c>
      <c r="AF146" s="700">
        <f t="shared" si="43"/>
        <v>17000</v>
      </c>
      <c r="AG146" s="700">
        <f t="shared" si="44"/>
        <v>12</v>
      </c>
      <c r="AH146" s="537">
        <f t="shared" si="45"/>
        <v>12000</v>
      </c>
      <c r="AI146" s="700">
        <f t="shared" si="46"/>
        <v>221000</v>
      </c>
      <c r="AJ146" s="693">
        <f>'SAN LUONG'!AF314</f>
        <v>811</v>
      </c>
      <c r="AK146" s="693">
        <f>'SAN LUONG'!AG314</f>
        <v>404</v>
      </c>
      <c r="AL146" s="693">
        <f>'SAN LUONG'!AH314</f>
        <v>293</v>
      </c>
      <c r="AM146" s="702">
        <f t="shared" si="39"/>
        <v>697</v>
      </c>
      <c r="AN146" s="702">
        <f t="shared" si="37"/>
        <v>0</v>
      </c>
      <c r="AO146" s="702"/>
      <c r="AP146" s="702">
        <f>ROUND(AM146*0.44*$AP$8,0)-6</f>
        <v>170201</v>
      </c>
      <c r="AQ146" s="702">
        <f t="shared" si="35"/>
        <v>811</v>
      </c>
      <c r="AR146" s="702">
        <f t="shared" si="48"/>
        <v>162362</v>
      </c>
      <c r="AS146" s="555">
        <f t="shared" si="49"/>
        <v>553563</v>
      </c>
      <c r="AT146" s="706"/>
      <c r="AU146" s="706"/>
      <c r="AV146" s="706">
        <f>'CHAM CONG'!AZ317</f>
        <v>0</v>
      </c>
      <c r="AW146" s="706"/>
      <c r="AX146" s="562">
        <f t="shared" si="38"/>
        <v>553563</v>
      </c>
      <c r="AY146" s="707">
        <f>SUM(AX99:AX146)</f>
        <v>26540501</v>
      </c>
      <c r="AZ146" s="708">
        <f t="shared" si="50"/>
        <v>17.329999999999998</v>
      </c>
      <c r="BA146" s="709"/>
    </row>
    <row r="147" spans="1:53" s="608" customFormat="1" ht="15.6" customHeight="1">
      <c r="A147" s="640"/>
      <c r="B147" s="641"/>
      <c r="C147" s="641"/>
      <c r="D147" s="641"/>
      <c r="E147" s="641"/>
      <c r="F147" s="712"/>
      <c r="G147" s="713"/>
      <c r="H147" s="644"/>
      <c r="I147" s="652"/>
      <c r="J147" s="652"/>
      <c r="K147" s="652"/>
      <c r="L147" s="652"/>
      <c r="M147" s="653"/>
      <c r="N147" s="653"/>
      <c r="O147" s="653"/>
      <c r="P147" s="652"/>
      <c r="Q147" s="652"/>
      <c r="R147" s="652"/>
      <c r="S147" s="652"/>
      <c r="T147" s="652"/>
      <c r="U147" s="652"/>
      <c r="V147" s="652"/>
      <c r="W147" s="652"/>
      <c r="X147" s="652"/>
      <c r="Y147" s="652"/>
      <c r="Z147" s="714"/>
      <c r="AA147" s="656"/>
      <c r="AB147" s="655"/>
      <c r="AC147" s="655"/>
      <c r="AD147" s="655"/>
      <c r="AE147" s="655"/>
      <c r="AF147" s="655"/>
      <c r="AG147" s="655"/>
      <c r="AH147" s="655"/>
      <c r="AI147" s="655"/>
      <c r="AJ147" s="661"/>
      <c r="AK147" s="661"/>
      <c r="AL147" s="661"/>
      <c r="AM147" s="662"/>
      <c r="AN147" s="662"/>
      <c r="AO147" s="662"/>
      <c r="AP147" s="662"/>
      <c r="AQ147" s="662"/>
      <c r="AR147" s="668"/>
      <c r="AS147" s="668"/>
      <c r="AT147" s="668"/>
      <c r="AU147" s="668"/>
      <c r="AV147" s="668"/>
      <c r="AW147" s="668"/>
      <c r="AX147" s="662"/>
      <c r="AY147" s="676"/>
      <c r="AZ147" s="708"/>
    </row>
    <row r="148" spans="1:53" s="260" customFormat="1" ht="51.6" customHeight="1">
      <c r="A148" s="1379" t="s">
        <v>1432</v>
      </c>
      <c r="B148" s="1380"/>
      <c r="C148" s="1380"/>
      <c r="D148" s="1380"/>
      <c r="E148" s="1380"/>
      <c r="F148" s="1380"/>
      <c r="G148" s="1380"/>
      <c r="H148" s="1381"/>
      <c r="I148" s="576">
        <f t="shared" ref="I148:Y148" si="51">COUNTIF(I10:I146,"x")</f>
        <v>89</v>
      </c>
      <c r="J148" s="576">
        <f t="shared" si="51"/>
        <v>124</v>
      </c>
      <c r="K148" s="576">
        <f t="shared" si="51"/>
        <v>108</v>
      </c>
      <c r="L148" s="576">
        <f t="shared" si="51"/>
        <v>8</v>
      </c>
      <c r="M148" s="654">
        <f t="shared" si="51"/>
        <v>64</v>
      </c>
      <c r="N148" s="654">
        <f t="shared" si="51"/>
        <v>115</v>
      </c>
      <c r="O148" s="654">
        <f t="shared" si="51"/>
        <v>110</v>
      </c>
      <c r="P148" s="576">
        <f t="shared" si="51"/>
        <v>124</v>
      </c>
      <c r="Q148" s="576">
        <f t="shared" si="51"/>
        <v>129</v>
      </c>
      <c r="R148" s="576">
        <f t="shared" si="51"/>
        <v>130</v>
      </c>
      <c r="S148" s="576">
        <f t="shared" si="51"/>
        <v>126</v>
      </c>
      <c r="T148" s="576">
        <f t="shared" si="51"/>
        <v>128</v>
      </c>
      <c r="U148" s="576">
        <f t="shared" si="51"/>
        <v>131</v>
      </c>
      <c r="V148" s="576">
        <f t="shared" si="51"/>
        <v>130</v>
      </c>
      <c r="W148" s="576">
        <f t="shared" si="51"/>
        <v>126</v>
      </c>
      <c r="X148" s="576">
        <f t="shared" si="51"/>
        <v>0</v>
      </c>
      <c r="Y148" s="576">
        <f t="shared" si="51"/>
        <v>0</v>
      </c>
      <c r="Z148" s="592">
        <f t="shared" ref="Z148:AM148" si="52">SUM(Z10:Z146)</f>
        <v>1642</v>
      </c>
      <c r="AA148" s="582">
        <f t="shared" si="52"/>
        <v>0</v>
      </c>
      <c r="AB148" s="592">
        <f t="shared" si="52"/>
        <v>26272000</v>
      </c>
      <c r="AC148" s="576">
        <f>COUNTIF(AC10:AC146,"x")</f>
        <v>55</v>
      </c>
      <c r="AD148" s="715">
        <f>COUNTIF(AD10:AD146,"x")</f>
        <v>46</v>
      </c>
      <c r="AE148" s="589">
        <f>SUM(AE10:AE146)</f>
        <v>101</v>
      </c>
      <c r="AF148" s="592">
        <f>SUM(AF10:AF146)</f>
        <v>1717000</v>
      </c>
      <c r="AG148" s="592">
        <f t="shared" si="52"/>
        <v>1642</v>
      </c>
      <c r="AH148" s="592">
        <f t="shared" si="52"/>
        <v>1642000</v>
      </c>
      <c r="AI148" s="592">
        <f t="shared" si="52"/>
        <v>29631000</v>
      </c>
      <c r="AJ148" s="663">
        <f t="shared" si="52"/>
        <v>59543</v>
      </c>
      <c r="AK148" s="663">
        <f t="shared" si="52"/>
        <v>55262</v>
      </c>
      <c r="AL148" s="663">
        <f t="shared" si="52"/>
        <v>40053</v>
      </c>
      <c r="AM148" s="592">
        <f t="shared" si="52"/>
        <v>110008</v>
      </c>
      <c r="AN148" s="593">
        <f t="shared" ref="AN148:AX148" si="53">SUM(AN10:AN146)</f>
        <v>0</v>
      </c>
      <c r="AO148" s="593">
        <f t="shared" si="53"/>
        <v>0</v>
      </c>
      <c r="AP148" s="592">
        <f t="shared" si="53"/>
        <v>26863953</v>
      </c>
      <c r="AQ148" s="592">
        <f t="shared" si="53"/>
        <v>44850</v>
      </c>
      <c r="AR148" s="592">
        <f t="shared" si="53"/>
        <v>8978970</v>
      </c>
      <c r="AS148" s="592">
        <f t="shared" si="53"/>
        <v>65473923</v>
      </c>
      <c r="AT148" s="593">
        <f t="shared" si="53"/>
        <v>0</v>
      </c>
      <c r="AU148" s="593">
        <f t="shared" si="53"/>
        <v>0</v>
      </c>
      <c r="AV148" s="593">
        <f t="shared" si="53"/>
        <v>0</v>
      </c>
      <c r="AW148" s="593">
        <f t="shared" si="53"/>
        <v>0</v>
      </c>
      <c r="AX148" s="593">
        <f t="shared" si="53"/>
        <v>65473923</v>
      </c>
      <c r="AY148" s="722">
        <f>AY146+AY98+AY54</f>
        <v>65473923</v>
      </c>
      <c r="AZ148" s="602">
        <f>SUM(AZ10:AZ146)</f>
        <v>2049.4700000000003</v>
      </c>
      <c r="BA148" s="678">
        <f>SUM(BA10:BA146)</f>
        <v>0</v>
      </c>
    </row>
    <row r="149" spans="1:53" ht="18.75" customHeight="1"/>
    <row r="150" spans="1:53" ht="18" customHeight="1">
      <c r="AR150" s="308"/>
      <c r="AS150" s="308"/>
      <c r="AT150" s="308"/>
      <c r="AU150" s="308"/>
      <c r="AV150" s="308"/>
      <c r="AW150" s="308"/>
      <c r="AX150" s="1343"/>
      <c r="AY150" s="1343"/>
      <c r="AZ150" s="723">
        <f>AX148/31226</f>
        <v>2096.7758598603727</v>
      </c>
    </row>
    <row r="151" spans="1:53" ht="18">
      <c r="AK151" s="716">
        <f>AK146+AK145+AL145+AL144+AK144+AL143+AK143+AK142+AK141+AK140+AK139+AK138+AK137+AK136+AK135+AK134+AK133+AK132+AK131+AK130+AK129+AK128+AK127+AK126+AK125+AL124+AL123+AL122+AL121+AL120+AL119+AL118+AL117</f>
        <v>13051</v>
      </c>
      <c r="AL151" s="1382">
        <f>ROUND(AK151*0.44*555,0)</f>
        <v>3187054</v>
      </c>
      <c r="AM151" s="1382"/>
      <c r="AP151" s="719">
        <f>ROUND(AK151*0.44*455,0)</f>
        <v>2612810</v>
      </c>
      <c r="AQ151" s="719"/>
      <c r="AR151" s="719">
        <f>AL151-AP151</f>
        <v>574244</v>
      </c>
    </row>
    <row r="152" spans="1:53">
      <c r="AK152" s="717">
        <f>SUM(AM99:AM146)-AK151</f>
        <v>11943</v>
      </c>
      <c r="AL152" s="1382">
        <f>ROUND(AK152*0.44*455,0)</f>
        <v>2390989</v>
      </c>
      <c r="AM152" s="1382"/>
      <c r="AR152" s="720">
        <f>AM154-AR151</f>
        <v>-48752</v>
      </c>
    </row>
    <row r="153" spans="1:53">
      <c r="AM153" s="1382">
        <f>ROUND(AK152*0.44*555,0)</f>
        <v>2916481</v>
      </c>
      <c r="AN153" s="1382"/>
    </row>
    <row r="154" spans="1:53" ht="18">
      <c r="AM154" s="718">
        <f>AM153-AL152</f>
        <v>525492</v>
      </c>
    </row>
    <row r="156" spans="1:53">
      <c r="AP156" s="489">
        <f>SUM(AP99:AP146)</f>
        <v>6103531</v>
      </c>
      <c r="AQ156" s="489"/>
    </row>
    <row r="158" spans="1:53">
      <c r="AP158" s="721"/>
      <c r="AQ158" s="721"/>
      <c r="AR158" s="721"/>
    </row>
  </sheetData>
  <mergeCells count="32">
    <mergeCell ref="AB6:AB7"/>
    <mergeCell ref="AI6:AI7"/>
    <mergeCell ref="AS6:AS7"/>
    <mergeCell ref="AV6:AV7"/>
    <mergeCell ref="AW6:AW7"/>
    <mergeCell ref="AX6:AX7"/>
    <mergeCell ref="A148:H148"/>
    <mergeCell ref="AX150:AY150"/>
    <mergeCell ref="AL151:AM151"/>
    <mergeCell ref="AL152:AM152"/>
    <mergeCell ref="AM153:AN153"/>
    <mergeCell ref="A6:A7"/>
    <mergeCell ref="B6:B7"/>
    <mergeCell ref="C6:C7"/>
    <mergeCell ref="D6:D7"/>
    <mergeCell ref="E6:E7"/>
    <mergeCell ref="A4:AY4"/>
    <mergeCell ref="A5:AY5"/>
    <mergeCell ref="AC6:AF6"/>
    <mergeCell ref="AG6:AH6"/>
    <mergeCell ref="AJ6:AR6"/>
    <mergeCell ref="AT6:AU6"/>
    <mergeCell ref="F6:F7"/>
    <mergeCell ref="G6:G7"/>
    <mergeCell ref="H6:H7"/>
    <mergeCell ref="Z6:Z7"/>
    <mergeCell ref="A1:P1"/>
    <mergeCell ref="AX1:AY1"/>
    <mergeCell ref="A2:P2"/>
    <mergeCell ref="AX2:AY2"/>
    <mergeCell ref="A3:P3"/>
    <mergeCell ref="AX3:AY3"/>
  </mergeCells>
  <conditionalFormatting sqref="G6:G7">
    <cfRule type="duplicateValues" dxfId="76" priority="1" stopIfTrue="1"/>
    <cfRule type="duplicateValues" dxfId="75" priority="2" stopIfTrue="1"/>
    <cfRule type="duplicateValues" dxfId="74" priority="3" stopIfTrue="1"/>
    <cfRule type="duplicateValues" dxfId="70" priority="4" stopIfTrue="1"/>
    <cfRule type="duplicateValues" dxfId="69" priority="5" stopIfTrue="1"/>
  </conditionalFormatting>
  <conditionalFormatting sqref="H6:H7">
    <cfRule type="duplicateValues" dxfId="73" priority="11" stopIfTrue="1"/>
    <cfRule type="duplicateValues" dxfId="72" priority="12" stopIfTrue="1"/>
    <cfRule type="duplicateValues" dxfId="71" priority="13" stopIfTrue="1"/>
    <cfRule type="duplicateValues" dxfId="68" priority="14" stopIfTrue="1"/>
    <cfRule type="duplicateValues" dxfId="67" priority="15" stopIfTrue="1"/>
  </conditionalFormatting>
  <printOptions horizontalCentered="1"/>
  <pageMargins left="0.25" right="0.23999999999999996" top="0.51" bottom="0.23999999999999996" header="0" footer="0"/>
  <pageSetup paperSize="9" scale="60" orientation="landscape" r:id="rId1"/>
  <headerFooter>
    <oddFooter>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E38-2144-41ED-B528-D94CC1394BF0}">
  <sheetPr>
    <tabColor rgb="FFFFFF00"/>
  </sheetPr>
  <dimension ref="A1:HR111"/>
  <sheetViews>
    <sheetView view="pageBreakPreview" topLeftCell="B5" zoomScale="70" zoomScaleNormal="70" workbookViewId="0">
      <pane xSplit="5" ySplit="4" topLeftCell="AH54" activePane="bottomRight" state="frozen"/>
      <selection pane="topRight" activeCell="B5" sqref="B5"/>
      <selection pane="bottomLeft" activeCell="B5" sqref="B5"/>
      <selection pane="bottomRight" activeCell="D495" sqref="D495"/>
    </sheetView>
  </sheetViews>
  <sheetFormatPr defaultColWidth="8.69921875" defaultRowHeight="17.399999999999999"/>
  <cols>
    <col min="1" max="1" width="6.5" style="281" hidden="1" customWidth="1"/>
    <col min="2" max="2" width="6.5" style="281" customWidth="1"/>
    <col min="3" max="3" width="9.09765625" style="281" customWidth="1"/>
    <col min="4" max="5" width="19.59765625" style="281" hidden="1" customWidth="1"/>
    <col min="6" max="6" width="19.59765625" style="484" hidden="1" customWidth="1"/>
    <col min="7" max="7" width="17.69921875" style="612" customWidth="1"/>
    <col min="8" max="8" width="22.69921875" style="486" customWidth="1"/>
    <col min="9" max="12" width="6.8984375" style="281" customWidth="1"/>
    <col min="13" max="15" width="6.8984375" style="130" customWidth="1"/>
    <col min="16" max="23" width="6.8984375" style="281" customWidth="1"/>
    <col min="24" max="25" width="12.69921875" style="281" hidden="1" customWidth="1"/>
    <col min="26" max="26" width="9.8984375" style="489" customWidth="1"/>
    <col min="27" max="27" width="9.09765625" style="488" hidden="1" customWidth="1"/>
    <col min="28" max="28" width="16.3984375" style="489" customWidth="1"/>
    <col min="29" max="30" width="8.3984375" style="489" customWidth="1"/>
    <col min="31" max="31" width="9.69921875" style="281" customWidth="1"/>
    <col min="32" max="32" width="14.8984375" style="281" customWidth="1"/>
    <col min="33" max="33" width="11.3984375" style="281" customWidth="1"/>
    <col min="34" max="34" width="15.5" style="281" customWidth="1"/>
    <col min="35" max="35" width="17.59765625" style="281" customWidth="1"/>
    <col min="36" max="39" width="12.69921875" style="490" customWidth="1"/>
    <col min="40" max="40" width="13.19921875" style="492" customWidth="1"/>
    <col min="41" max="41" width="19.3984375" style="492" customWidth="1"/>
    <col min="42" max="42" width="14.19921875" style="492" customWidth="1"/>
    <col min="43" max="43" width="19.19921875" style="492" customWidth="1"/>
    <col min="44" max="45" width="9.69921875" style="490" hidden="1" customWidth="1"/>
    <col min="46" max="46" width="12" style="490" hidden="1" customWidth="1"/>
    <col min="47" max="47" width="15.69921875" style="490" hidden="1" customWidth="1"/>
    <col min="48" max="48" width="17.19921875" style="492" customWidth="1"/>
    <col min="49" max="49" width="12" style="490" hidden="1" customWidth="1"/>
    <col min="50" max="50" width="18.19921875" style="492" customWidth="1"/>
    <col min="51" max="51" width="21" style="489" customWidth="1"/>
    <col min="52" max="52" width="13.19921875" style="488" customWidth="1"/>
    <col min="53" max="53" width="15.19921875" style="281" bestFit="1" customWidth="1"/>
    <col min="54" max="54" width="9" style="281" bestFit="1" customWidth="1"/>
    <col min="55" max="16384" width="8.69921875" style="281"/>
  </cols>
  <sheetData>
    <row r="1" spans="1:226" ht="24.9" customHeight="1">
      <c r="A1" s="1342" t="s">
        <v>1402</v>
      </c>
      <c r="B1" s="1342"/>
      <c r="C1" s="1342"/>
      <c r="D1" s="1342"/>
      <c r="E1" s="1342"/>
      <c r="F1" s="1342"/>
      <c r="G1" s="1342"/>
      <c r="H1" s="1342"/>
      <c r="I1" s="1342"/>
      <c r="J1" s="1342"/>
      <c r="K1" s="1342"/>
      <c r="L1" s="1342"/>
      <c r="M1" s="1342"/>
      <c r="N1" s="1342"/>
      <c r="O1" s="1342"/>
      <c r="P1" s="1342"/>
      <c r="Q1" s="308"/>
      <c r="R1" s="308"/>
      <c r="S1" s="308"/>
      <c r="T1" s="308"/>
      <c r="U1" s="308"/>
      <c r="AJ1" s="308"/>
      <c r="AK1" s="308"/>
      <c r="AL1" s="308"/>
      <c r="AM1" s="308"/>
      <c r="AN1" s="543"/>
      <c r="AO1" s="543"/>
      <c r="AP1" s="543"/>
      <c r="AQ1" s="543"/>
      <c r="AR1" s="308"/>
      <c r="AS1" s="308"/>
      <c r="AT1" s="308"/>
      <c r="AU1" s="308"/>
      <c r="AV1" s="543"/>
      <c r="AW1" s="308"/>
      <c r="AX1" s="1342"/>
      <c r="AY1" s="1342"/>
      <c r="AZ1" s="631"/>
    </row>
    <row r="2" spans="1:226" ht="24.9" customHeight="1">
      <c r="A2" s="1342" t="s">
        <v>1403</v>
      </c>
      <c r="B2" s="1342"/>
      <c r="C2" s="1342"/>
      <c r="D2" s="1342"/>
      <c r="E2" s="1342"/>
      <c r="F2" s="1342"/>
      <c r="G2" s="1342"/>
      <c r="H2" s="1342"/>
      <c r="I2" s="1342"/>
      <c r="J2" s="1342"/>
      <c r="K2" s="1342"/>
      <c r="L2" s="1342"/>
      <c r="M2" s="1342"/>
      <c r="N2" s="1342"/>
      <c r="O2" s="1342"/>
      <c r="P2" s="1342"/>
      <c r="Q2" s="520"/>
      <c r="R2" s="520"/>
      <c r="S2" s="520"/>
      <c r="T2" s="520"/>
      <c r="U2" s="520"/>
      <c r="AJ2" s="538"/>
      <c r="AK2" s="538"/>
      <c r="AL2" s="538"/>
      <c r="AM2" s="538"/>
      <c r="AN2" s="544"/>
      <c r="AO2" s="544"/>
      <c r="AP2" s="544"/>
      <c r="AQ2" s="544"/>
      <c r="AR2" s="538"/>
      <c r="AS2" s="538"/>
      <c r="AT2" s="538"/>
      <c r="AU2" s="538"/>
      <c r="AV2" s="544"/>
      <c r="AW2" s="538"/>
      <c r="AX2" s="1343"/>
      <c r="AY2" s="1343"/>
      <c r="AZ2" s="632"/>
    </row>
    <row r="3" spans="1:226" ht="24.9" customHeight="1">
      <c r="A3" s="1344" t="s">
        <v>1404</v>
      </c>
      <c r="B3" s="1344"/>
      <c r="C3" s="1344"/>
      <c r="D3" s="1344"/>
      <c r="E3" s="1344"/>
      <c r="F3" s="1344"/>
      <c r="G3" s="1344"/>
      <c r="H3" s="1344"/>
      <c r="I3" s="1344"/>
      <c r="J3" s="1344"/>
      <c r="K3" s="1344"/>
      <c r="L3" s="1344"/>
      <c r="M3" s="1344"/>
      <c r="N3" s="1344"/>
      <c r="O3" s="1344"/>
      <c r="P3" s="1344"/>
      <c r="AJ3" s="520"/>
      <c r="AK3" s="520"/>
      <c r="AL3" s="520"/>
      <c r="AM3" s="520"/>
      <c r="AN3" s="545"/>
      <c r="AO3" s="545"/>
      <c r="AP3" s="545"/>
      <c r="AQ3" s="545"/>
      <c r="AR3" s="520"/>
      <c r="AS3" s="520"/>
      <c r="AT3" s="520"/>
      <c r="AU3" s="520"/>
      <c r="AV3" s="545"/>
      <c r="AW3" s="520"/>
      <c r="AX3" s="1344"/>
      <c r="AY3" s="1344"/>
      <c r="AZ3" s="633"/>
    </row>
    <row r="4" spans="1:226" ht="24.9" customHeight="1">
      <c r="A4" s="1342" t="s">
        <v>1405</v>
      </c>
      <c r="B4" s="1342"/>
      <c r="C4" s="1342"/>
      <c r="D4" s="1342"/>
      <c r="E4" s="1342"/>
      <c r="F4" s="1342"/>
      <c r="G4" s="1342"/>
      <c r="H4" s="1342"/>
      <c r="I4" s="1342"/>
      <c r="J4" s="1342"/>
      <c r="K4" s="1342"/>
      <c r="L4" s="1342"/>
      <c r="M4" s="1342"/>
      <c r="N4" s="1342"/>
      <c r="O4" s="1342"/>
      <c r="P4" s="1342"/>
      <c r="Q4" s="1342"/>
      <c r="R4" s="1342"/>
      <c r="S4" s="1342"/>
      <c r="T4" s="1342"/>
      <c r="U4" s="1342"/>
      <c r="V4" s="1342"/>
      <c r="W4" s="1342"/>
      <c r="X4" s="1342"/>
      <c r="Y4" s="1342"/>
      <c r="Z4" s="1342"/>
      <c r="AA4" s="1342"/>
      <c r="AB4" s="1342"/>
      <c r="AC4" s="1342"/>
      <c r="AD4" s="1342"/>
      <c r="AE4" s="1342"/>
      <c r="AF4" s="1342"/>
      <c r="AG4" s="1342"/>
      <c r="AH4" s="1342"/>
      <c r="AI4" s="1342"/>
      <c r="AJ4" s="1342"/>
      <c r="AK4" s="1342"/>
      <c r="AL4" s="1342"/>
      <c r="AM4" s="1342"/>
      <c r="AN4" s="1342"/>
      <c r="AO4" s="1342"/>
      <c r="AP4" s="1342"/>
      <c r="AQ4" s="1342"/>
      <c r="AR4" s="1342"/>
      <c r="AS4" s="1342"/>
      <c r="AT4" s="1342"/>
      <c r="AU4" s="1342"/>
      <c r="AV4" s="1342"/>
      <c r="AW4" s="1342"/>
      <c r="AX4" s="1342"/>
      <c r="AY4" s="1342"/>
      <c r="AZ4" s="631"/>
      <c r="BA4" s="283"/>
      <c r="BB4" s="283"/>
      <c r="BC4" s="283"/>
      <c r="BD4" s="283"/>
      <c r="BE4" s="283"/>
      <c r="BF4" s="283"/>
      <c r="BG4" s="283"/>
      <c r="BH4" s="283"/>
      <c r="BI4" s="283"/>
      <c r="BJ4" s="283"/>
      <c r="BK4" s="283"/>
      <c r="BL4" s="283"/>
      <c r="BM4" s="283"/>
      <c r="BN4" s="283"/>
      <c r="BO4" s="283"/>
      <c r="BP4" s="283"/>
      <c r="BQ4" s="283"/>
      <c r="BR4" s="283"/>
      <c r="BS4" s="283"/>
      <c r="BT4" s="283"/>
      <c r="BU4" s="283"/>
      <c r="BV4" s="283"/>
      <c r="BW4" s="283"/>
      <c r="BX4" s="283"/>
      <c r="BY4" s="283"/>
      <c r="BZ4" s="283"/>
      <c r="CA4" s="283"/>
      <c r="CB4" s="283"/>
      <c r="CC4" s="283"/>
      <c r="CD4" s="283"/>
      <c r="CE4" s="283"/>
      <c r="CF4" s="283"/>
      <c r="CG4" s="283"/>
      <c r="CH4" s="283"/>
      <c r="CI4" s="283"/>
      <c r="CJ4" s="283"/>
      <c r="CK4" s="283"/>
      <c r="CL4" s="283"/>
      <c r="CM4" s="283"/>
      <c r="CN4" s="283"/>
      <c r="CO4" s="283"/>
      <c r="CP4" s="283"/>
      <c r="CQ4" s="283"/>
      <c r="CR4" s="283"/>
      <c r="CS4" s="283"/>
      <c r="CT4" s="283"/>
      <c r="CU4" s="283"/>
      <c r="CV4" s="283"/>
      <c r="CW4" s="283"/>
      <c r="CX4" s="283"/>
      <c r="CY4" s="283"/>
      <c r="CZ4" s="283"/>
      <c r="DA4" s="283"/>
      <c r="DB4" s="283"/>
      <c r="DC4" s="283"/>
      <c r="DD4" s="283"/>
      <c r="DE4" s="283"/>
      <c r="DF4" s="283"/>
      <c r="DG4" s="283"/>
      <c r="DH4" s="283"/>
      <c r="DI4" s="283"/>
      <c r="DJ4" s="283"/>
      <c r="DK4" s="283"/>
      <c r="DL4" s="283"/>
      <c r="DM4" s="283"/>
      <c r="DN4" s="283"/>
      <c r="DO4" s="283"/>
      <c r="DP4" s="283"/>
      <c r="DQ4" s="283"/>
      <c r="DR4" s="283"/>
      <c r="DS4" s="283"/>
      <c r="DT4" s="283"/>
      <c r="DU4" s="283"/>
      <c r="DV4" s="283"/>
      <c r="DW4" s="283"/>
      <c r="DX4" s="283"/>
      <c r="DY4" s="283"/>
      <c r="DZ4" s="283"/>
      <c r="EA4" s="283"/>
      <c r="EB4" s="283"/>
      <c r="EC4" s="283"/>
      <c r="ED4" s="283"/>
      <c r="EE4" s="283"/>
      <c r="EF4" s="283"/>
      <c r="EG4" s="283"/>
      <c r="EH4" s="283"/>
      <c r="EI4" s="283"/>
      <c r="EJ4" s="283"/>
      <c r="EK4" s="283"/>
      <c r="EL4" s="283"/>
      <c r="EM4" s="283"/>
      <c r="EN4" s="283"/>
      <c r="EO4" s="283"/>
      <c r="EP4" s="283"/>
      <c r="EQ4" s="283"/>
      <c r="ER4" s="283"/>
      <c r="ES4" s="283"/>
      <c r="ET4" s="283"/>
      <c r="EU4" s="283"/>
      <c r="EV4" s="283"/>
      <c r="EW4" s="283"/>
      <c r="EX4" s="283"/>
      <c r="EY4" s="283"/>
      <c r="EZ4" s="283"/>
      <c r="FA4" s="283"/>
      <c r="FB4" s="283"/>
      <c r="FC4" s="283"/>
      <c r="FD4" s="283"/>
      <c r="FE4" s="283"/>
      <c r="FF4" s="283"/>
      <c r="FG4" s="283"/>
      <c r="FH4" s="283"/>
      <c r="FI4" s="283"/>
      <c r="FJ4" s="283"/>
      <c r="FK4" s="283"/>
      <c r="FL4" s="283"/>
      <c r="FM4" s="283"/>
      <c r="FN4" s="283"/>
      <c r="FO4" s="283"/>
      <c r="FP4" s="283"/>
      <c r="FQ4" s="283"/>
      <c r="FR4" s="283"/>
      <c r="FS4" s="283"/>
      <c r="FT4" s="283"/>
      <c r="FU4" s="283"/>
      <c r="FV4" s="283"/>
      <c r="FW4" s="283"/>
      <c r="FX4" s="283"/>
      <c r="FY4" s="283"/>
      <c r="FZ4" s="283"/>
      <c r="GA4" s="283"/>
      <c r="GB4" s="283"/>
      <c r="GC4" s="283"/>
      <c r="GD4" s="283"/>
      <c r="GE4" s="283"/>
      <c r="GF4" s="283"/>
      <c r="GG4" s="283"/>
      <c r="GH4" s="283"/>
      <c r="GI4" s="283"/>
      <c r="GJ4" s="283"/>
      <c r="GK4" s="283"/>
      <c r="GL4" s="283"/>
      <c r="GM4" s="283"/>
      <c r="GN4" s="283"/>
      <c r="GO4" s="283"/>
      <c r="GP4" s="283"/>
      <c r="GQ4" s="283"/>
      <c r="GR4" s="283"/>
      <c r="GS4" s="283"/>
      <c r="GT4" s="283"/>
      <c r="GU4" s="283"/>
      <c r="GV4" s="283"/>
      <c r="GW4" s="283"/>
      <c r="GX4" s="283"/>
      <c r="GY4" s="283"/>
      <c r="GZ4" s="283"/>
      <c r="HA4" s="283"/>
      <c r="HB4" s="283"/>
      <c r="HC4" s="283"/>
      <c r="HD4" s="283"/>
      <c r="HE4" s="283"/>
      <c r="HF4" s="283"/>
      <c r="HG4" s="283"/>
      <c r="HH4" s="283"/>
      <c r="HI4" s="283"/>
      <c r="HJ4" s="283"/>
      <c r="HK4" s="283"/>
      <c r="HL4" s="283"/>
      <c r="HM4" s="283"/>
      <c r="HN4" s="283"/>
      <c r="HO4" s="283"/>
    </row>
    <row r="5" spans="1:226" ht="24.9" customHeight="1">
      <c r="A5" s="1346" t="s">
        <v>1406</v>
      </c>
      <c r="B5" s="1346"/>
      <c r="C5" s="1346"/>
      <c r="D5" s="1346"/>
      <c r="E5" s="1346"/>
      <c r="F5" s="1346"/>
      <c r="G5" s="1346"/>
      <c r="H5" s="1346"/>
      <c r="I5" s="1346"/>
      <c r="J5" s="1346"/>
      <c r="K5" s="1346"/>
      <c r="L5" s="1346"/>
      <c r="M5" s="1346"/>
      <c r="N5" s="1346"/>
      <c r="O5" s="1346"/>
      <c r="P5" s="1346"/>
      <c r="Q5" s="1346"/>
      <c r="R5" s="1346"/>
      <c r="S5" s="1346"/>
      <c r="T5" s="1346"/>
      <c r="U5" s="1346"/>
      <c r="V5" s="1346"/>
      <c r="W5" s="1346"/>
      <c r="X5" s="1346"/>
      <c r="Y5" s="1346"/>
      <c r="Z5" s="1346"/>
      <c r="AA5" s="1346"/>
      <c r="AB5" s="1346"/>
      <c r="AC5" s="1346"/>
      <c r="AD5" s="1346"/>
      <c r="AE5" s="1346"/>
      <c r="AF5" s="1346"/>
      <c r="AG5" s="1346"/>
      <c r="AH5" s="1346"/>
      <c r="AI5" s="1346"/>
      <c r="AJ5" s="1346"/>
      <c r="AK5" s="1346"/>
      <c r="AL5" s="1346"/>
      <c r="AM5" s="1346"/>
      <c r="AN5" s="1346"/>
      <c r="AO5" s="1346"/>
      <c r="AP5" s="1346"/>
      <c r="AQ5" s="1346"/>
      <c r="AR5" s="1346"/>
      <c r="AS5" s="1346"/>
      <c r="AT5" s="1346"/>
      <c r="AU5" s="1346"/>
      <c r="AV5" s="1346"/>
      <c r="AW5" s="1346"/>
      <c r="AX5" s="1346"/>
      <c r="AY5" s="1346"/>
      <c r="AZ5" s="634"/>
    </row>
    <row r="6" spans="1:226" ht="55.2" customHeight="1">
      <c r="A6" s="1366" t="s">
        <v>1407</v>
      </c>
      <c r="B6" s="1368" t="s">
        <v>1408</v>
      </c>
      <c r="C6" s="1368" t="s">
        <v>1409</v>
      </c>
      <c r="D6" s="1368" t="s">
        <v>1410</v>
      </c>
      <c r="E6" s="1370" t="s">
        <v>1411</v>
      </c>
      <c r="F6" s="1394" t="s">
        <v>1412</v>
      </c>
      <c r="G6" s="1396" t="s">
        <v>1436</v>
      </c>
      <c r="H6" s="1390" t="s">
        <v>1433</v>
      </c>
      <c r="I6" s="617" t="s">
        <v>228</v>
      </c>
      <c r="J6" s="617" t="s">
        <v>186</v>
      </c>
      <c r="K6" s="617" t="s">
        <v>199</v>
      </c>
      <c r="L6" s="617" t="s">
        <v>228</v>
      </c>
      <c r="M6" s="617" t="s">
        <v>186</v>
      </c>
      <c r="N6" s="617" t="s">
        <v>199</v>
      </c>
      <c r="O6" s="617" t="s">
        <v>228</v>
      </c>
      <c r="P6" s="617" t="s">
        <v>186</v>
      </c>
      <c r="Q6" s="617" t="s">
        <v>199</v>
      </c>
      <c r="R6" s="617" t="s">
        <v>228</v>
      </c>
      <c r="S6" s="617" t="s">
        <v>186</v>
      </c>
      <c r="T6" s="617" t="s">
        <v>199</v>
      </c>
      <c r="U6" s="617" t="s">
        <v>228</v>
      </c>
      <c r="V6" s="617" t="s">
        <v>186</v>
      </c>
      <c r="W6" s="617" t="s">
        <v>199</v>
      </c>
      <c r="X6" s="521" t="s">
        <v>186</v>
      </c>
      <c r="Y6" s="521" t="s">
        <v>228</v>
      </c>
      <c r="Z6" s="1355" t="s">
        <v>1415</v>
      </c>
      <c r="AA6" s="526"/>
      <c r="AB6" s="1357" t="s">
        <v>1416</v>
      </c>
      <c r="AC6" s="1387" t="s">
        <v>1313</v>
      </c>
      <c r="AD6" s="1388"/>
      <c r="AE6" s="1388"/>
      <c r="AF6" s="1389"/>
      <c r="AG6" s="1349" t="s">
        <v>1417</v>
      </c>
      <c r="AH6" s="1350"/>
      <c r="AI6" s="1357" t="s">
        <v>1418</v>
      </c>
      <c r="AJ6" s="1349" t="s">
        <v>1419</v>
      </c>
      <c r="AK6" s="1351"/>
      <c r="AL6" s="1351"/>
      <c r="AM6" s="1351"/>
      <c r="AN6" s="1352"/>
      <c r="AO6" s="1351"/>
      <c r="AP6" s="1351"/>
      <c r="AQ6" s="1352"/>
      <c r="AR6" s="1349" t="s">
        <v>1420</v>
      </c>
      <c r="AS6" s="1351"/>
      <c r="AT6" s="1350"/>
      <c r="AU6" s="1357" t="s">
        <v>1418</v>
      </c>
      <c r="AV6" s="1357" t="s">
        <v>1418</v>
      </c>
      <c r="AW6" s="635"/>
      <c r="AX6" s="1357" t="s">
        <v>1422</v>
      </c>
      <c r="AY6" s="558" t="s">
        <v>1423</v>
      </c>
      <c r="AZ6" s="636"/>
      <c r="BA6" s="283"/>
      <c r="BB6" s="283"/>
      <c r="BC6" s="283"/>
      <c r="BD6" s="283"/>
      <c r="BE6" s="283"/>
      <c r="BF6" s="283"/>
      <c r="BG6" s="283"/>
      <c r="BH6" s="283"/>
      <c r="BI6" s="283"/>
      <c r="BJ6" s="283"/>
      <c r="BK6" s="283"/>
      <c r="BL6" s="283"/>
      <c r="BM6" s="283"/>
      <c r="BN6" s="283"/>
      <c r="BO6" s="283"/>
      <c r="BP6" s="283"/>
      <c r="BQ6" s="283"/>
      <c r="BR6" s="283"/>
      <c r="BS6" s="283"/>
      <c r="BT6" s="283"/>
      <c r="BU6" s="283"/>
      <c r="BV6" s="283"/>
      <c r="BW6" s="283"/>
      <c r="BX6" s="283"/>
      <c r="BY6" s="283"/>
      <c r="BZ6" s="283"/>
      <c r="CA6" s="283"/>
      <c r="CB6" s="283"/>
      <c r="CC6" s="283"/>
      <c r="CD6" s="283"/>
      <c r="CE6" s="283"/>
      <c r="CF6" s="283"/>
      <c r="CG6" s="283"/>
      <c r="CH6" s="283"/>
      <c r="CI6" s="283"/>
      <c r="CJ6" s="283"/>
      <c r="CK6" s="283"/>
      <c r="CL6" s="283"/>
      <c r="CM6" s="283"/>
      <c r="CN6" s="283"/>
      <c r="CO6" s="283"/>
      <c r="CP6" s="283"/>
      <c r="CQ6" s="283"/>
      <c r="CR6" s="283"/>
      <c r="CS6" s="283"/>
      <c r="CT6" s="283"/>
      <c r="CU6" s="283"/>
      <c r="CV6" s="283"/>
      <c r="CW6" s="283"/>
      <c r="CX6" s="283"/>
      <c r="CY6" s="283"/>
      <c r="CZ6" s="283"/>
      <c r="DA6" s="283"/>
      <c r="DB6" s="283"/>
      <c r="DC6" s="283"/>
      <c r="DD6" s="283"/>
      <c r="DE6" s="283"/>
      <c r="DF6" s="283"/>
      <c r="DG6" s="283"/>
      <c r="DH6" s="283"/>
      <c r="DI6" s="283"/>
      <c r="DJ6" s="283"/>
      <c r="DK6" s="283"/>
      <c r="DL6" s="283"/>
      <c r="DM6" s="283"/>
      <c r="DN6" s="283"/>
      <c r="DO6" s="283"/>
      <c r="DP6" s="283"/>
      <c r="DQ6" s="283"/>
      <c r="DR6" s="283"/>
      <c r="DS6" s="283"/>
      <c r="DT6" s="283"/>
      <c r="DU6" s="283"/>
      <c r="DV6" s="283"/>
      <c r="DW6" s="283"/>
      <c r="DX6" s="283"/>
      <c r="DY6" s="283"/>
      <c r="DZ6" s="283"/>
      <c r="EA6" s="283"/>
      <c r="EB6" s="283"/>
      <c r="EC6" s="283"/>
      <c r="ED6" s="283"/>
      <c r="EE6" s="283"/>
      <c r="EF6" s="283"/>
      <c r="EG6" s="283"/>
      <c r="EH6" s="283"/>
      <c r="EI6" s="283"/>
      <c r="EJ6" s="283"/>
      <c r="EK6" s="283"/>
      <c r="EL6" s="283"/>
      <c r="EM6" s="283"/>
      <c r="EN6" s="283"/>
      <c r="EO6" s="283"/>
      <c r="EP6" s="283"/>
      <c r="EQ6" s="283"/>
      <c r="ER6" s="283"/>
      <c r="ES6" s="283"/>
      <c r="ET6" s="283"/>
      <c r="EU6" s="283"/>
      <c r="EV6" s="283"/>
      <c r="EW6" s="283"/>
      <c r="EX6" s="283"/>
      <c r="EY6" s="283"/>
      <c r="EZ6" s="283"/>
      <c r="FA6" s="283"/>
      <c r="FB6" s="283"/>
      <c r="FC6" s="283"/>
      <c r="FD6" s="283"/>
      <c r="FE6" s="283"/>
      <c r="FF6" s="283"/>
      <c r="FG6" s="283"/>
      <c r="FH6" s="283"/>
      <c r="FI6" s="283"/>
      <c r="FJ6" s="283"/>
      <c r="FK6" s="283"/>
      <c r="FL6" s="283"/>
      <c r="FM6" s="283"/>
      <c r="FN6" s="283"/>
      <c r="FO6" s="283"/>
      <c r="FP6" s="283"/>
      <c r="FQ6" s="283"/>
      <c r="FR6" s="283"/>
      <c r="FS6" s="283"/>
      <c r="FT6" s="283"/>
      <c r="FU6" s="283"/>
      <c r="FV6" s="283"/>
      <c r="FW6" s="283"/>
      <c r="FX6" s="283"/>
      <c r="FY6" s="283"/>
      <c r="FZ6" s="283"/>
      <c r="GA6" s="283"/>
      <c r="GB6" s="283"/>
      <c r="GC6" s="283"/>
      <c r="GD6" s="283"/>
      <c r="GE6" s="283"/>
      <c r="GF6" s="283"/>
      <c r="GG6" s="283"/>
      <c r="GH6" s="283"/>
      <c r="GI6" s="283"/>
      <c r="GJ6" s="283"/>
      <c r="GK6" s="283"/>
      <c r="GL6" s="283"/>
      <c r="GM6" s="283"/>
      <c r="GN6" s="283"/>
      <c r="GO6" s="283"/>
      <c r="GP6" s="283"/>
      <c r="GQ6" s="283"/>
      <c r="GR6" s="283"/>
      <c r="GS6" s="283"/>
      <c r="GT6" s="283"/>
      <c r="GU6" s="283"/>
      <c r="GV6" s="283"/>
      <c r="GW6" s="283"/>
      <c r="GX6" s="283"/>
      <c r="GY6" s="283"/>
      <c r="GZ6" s="283"/>
      <c r="HA6" s="283"/>
      <c r="HB6" s="283"/>
      <c r="HC6" s="283"/>
      <c r="HD6" s="283"/>
      <c r="HE6" s="283"/>
      <c r="HF6" s="283"/>
      <c r="HG6" s="283"/>
      <c r="HH6" s="283"/>
      <c r="HI6" s="283"/>
      <c r="HJ6" s="283"/>
      <c r="HK6" s="283"/>
      <c r="HL6" s="283"/>
      <c r="HM6" s="283"/>
      <c r="HN6" s="283"/>
      <c r="HO6" s="283"/>
      <c r="HP6" s="283"/>
      <c r="HQ6" s="283"/>
      <c r="HR6" s="283"/>
    </row>
    <row r="7" spans="1:226" ht="48" customHeight="1">
      <c r="A7" s="1367"/>
      <c r="B7" s="1369"/>
      <c r="C7" s="1369"/>
      <c r="D7" s="1369"/>
      <c r="E7" s="1371"/>
      <c r="F7" s="1395"/>
      <c r="G7" s="1397"/>
      <c r="H7" s="1391"/>
      <c r="I7" s="512">
        <v>1</v>
      </c>
      <c r="J7" s="512">
        <v>2</v>
      </c>
      <c r="K7" s="512">
        <v>3</v>
      </c>
      <c r="L7" s="512">
        <v>4</v>
      </c>
      <c r="M7" s="513">
        <v>5</v>
      </c>
      <c r="N7" s="513">
        <v>6</v>
      </c>
      <c r="O7" s="513">
        <v>7</v>
      </c>
      <c r="P7" s="512">
        <v>8</v>
      </c>
      <c r="Q7" s="512">
        <v>9</v>
      </c>
      <c r="R7" s="512">
        <v>10</v>
      </c>
      <c r="S7" s="512">
        <v>11</v>
      </c>
      <c r="T7" s="512">
        <v>12</v>
      </c>
      <c r="U7" s="512">
        <v>13</v>
      </c>
      <c r="V7" s="512">
        <v>14</v>
      </c>
      <c r="W7" s="512">
        <v>15</v>
      </c>
      <c r="X7" s="522">
        <v>7</v>
      </c>
      <c r="Y7" s="522">
        <v>8</v>
      </c>
      <c r="Z7" s="1356"/>
      <c r="AA7" s="347"/>
      <c r="AB7" s="1358"/>
      <c r="AC7" s="527">
        <v>2</v>
      </c>
      <c r="AD7" s="527">
        <v>3</v>
      </c>
      <c r="AE7" s="528" t="s">
        <v>1424</v>
      </c>
      <c r="AF7" s="529" t="s">
        <v>1425</v>
      </c>
      <c r="AG7" s="528" t="s">
        <v>1424</v>
      </c>
      <c r="AH7" s="529" t="s">
        <v>1425</v>
      </c>
      <c r="AI7" s="1358"/>
      <c r="AJ7" s="512" t="s">
        <v>186</v>
      </c>
      <c r="AK7" s="514" t="s">
        <v>199</v>
      </c>
      <c r="AL7" s="514" t="s">
        <v>228</v>
      </c>
      <c r="AM7" s="514" t="s">
        <v>1322</v>
      </c>
      <c r="AN7" s="529" t="s">
        <v>1426</v>
      </c>
      <c r="AO7" s="546" t="s">
        <v>1430</v>
      </c>
      <c r="AP7" s="529" t="s">
        <v>1426</v>
      </c>
      <c r="AQ7" s="528" t="s">
        <v>1427</v>
      </c>
      <c r="AR7" s="625" t="s">
        <v>1428</v>
      </c>
      <c r="AS7" s="625" t="s">
        <v>1429</v>
      </c>
      <c r="AT7" s="625" t="s">
        <v>1430</v>
      </c>
      <c r="AU7" s="1358"/>
      <c r="AV7" s="1358"/>
      <c r="AW7" s="625" t="s">
        <v>1431</v>
      </c>
      <c r="AX7" s="1358"/>
      <c r="AY7" s="559"/>
      <c r="AZ7" s="636"/>
      <c r="BA7" s="283"/>
      <c r="BB7" s="283"/>
      <c r="BC7" s="283"/>
      <c r="BD7" s="283"/>
      <c r="BE7" s="283"/>
      <c r="BF7" s="283"/>
      <c r="BG7" s="283"/>
      <c r="BH7" s="283"/>
      <c r="BI7" s="283"/>
      <c r="BJ7" s="283"/>
      <c r="BK7" s="283"/>
      <c r="BL7" s="283"/>
      <c r="BM7" s="283"/>
      <c r="BN7" s="283"/>
      <c r="BO7" s="283"/>
      <c r="BP7" s="283"/>
      <c r="BQ7" s="283"/>
      <c r="BR7" s="283"/>
      <c r="BS7" s="283"/>
      <c r="BT7" s="283"/>
      <c r="BU7" s="283"/>
      <c r="BV7" s="283"/>
      <c r="BW7" s="283"/>
      <c r="BX7" s="283"/>
      <c r="BY7" s="283"/>
      <c r="BZ7" s="283"/>
      <c r="CA7" s="283"/>
      <c r="CB7" s="283"/>
      <c r="CC7" s="283"/>
      <c r="CD7" s="283"/>
      <c r="CE7" s="283"/>
      <c r="CF7" s="283"/>
      <c r="CG7" s="283"/>
      <c r="CH7" s="283"/>
      <c r="CI7" s="283"/>
      <c r="CJ7" s="283"/>
      <c r="CK7" s="283"/>
      <c r="CL7" s="283"/>
      <c r="CM7" s="283"/>
      <c r="CN7" s="283"/>
      <c r="CO7" s="283"/>
      <c r="CP7" s="283"/>
      <c r="CQ7" s="283"/>
      <c r="CR7" s="283"/>
      <c r="CS7" s="283"/>
      <c r="CT7" s="283"/>
      <c r="CU7" s="283"/>
      <c r="CV7" s="283"/>
      <c r="CW7" s="283"/>
      <c r="CX7" s="283"/>
      <c r="CY7" s="283"/>
      <c r="CZ7" s="283"/>
      <c r="DA7" s="283"/>
      <c r="DB7" s="283"/>
      <c r="DC7" s="283"/>
      <c r="DD7" s="283"/>
      <c r="DE7" s="283"/>
      <c r="DF7" s="283"/>
      <c r="DG7" s="283"/>
      <c r="DH7" s="283"/>
      <c r="DI7" s="283"/>
      <c r="DJ7" s="283"/>
      <c r="DK7" s="283"/>
      <c r="DL7" s="283"/>
      <c r="DM7" s="283"/>
      <c r="DN7" s="283"/>
      <c r="DO7" s="283"/>
      <c r="DP7" s="283"/>
      <c r="DQ7" s="283"/>
      <c r="DR7" s="283"/>
      <c r="DS7" s="283"/>
      <c r="DT7" s="283"/>
      <c r="DU7" s="283"/>
      <c r="DV7" s="283"/>
      <c r="DW7" s="283"/>
      <c r="DX7" s="283"/>
      <c r="DY7" s="283"/>
      <c r="DZ7" s="283"/>
      <c r="EA7" s="283"/>
      <c r="EB7" s="283"/>
      <c r="EC7" s="283"/>
      <c r="ED7" s="283"/>
      <c r="EE7" s="283"/>
      <c r="EF7" s="283"/>
      <c r="EG7" s="283"/>
      <c r="EH7" s="283"/>
      <c r="EI7" s="283"/>
      <c r="EJ7" s="283"/>
      <c r="EK7" s="283"/>
      <c r="EL7" s="283"/>
      <c r="EM7" s="283"/>
      <c r="EN7" s="283"/>
      <c r="EO7" s="283"/>
      <c r="EP7" s="283"/>
      <c r="EQ7" s="283"/>
      <c r="ER7" s="283"/>
      <c r="ES7" s="283"/>
      <c r="ET7" s="283"/>
      <c r="EU7" s="283"/>
      <c r="EV7" s="283"/>
      <c r="EW7" s="283"/>
      <c r="EX7" s="283"/>
      <c r="EY7" s="283"/>
      <c r="EZ7" s="283"/>
      <c r="FA7" s="283"/>
      <c r="FB7" s="283"/>
      <c r="FC7" s="283"/>
      <c r="FD7" s="283"/>
      <c r="FE7" s="283"/>
      <c r="FF7" s="283"/>
      <c r="FG7" s="283"/>
      <c r="FH7" s="283"/>
      <c r="FI7" s="283"/>
      <c r="FJ7" s="283"/>
      <c r="FK7" s="283"/>
      <c r="FL7" s="283"/>
      <c r="FM7" s="283"/>
      <c r="FN7" s="283"/>
      <c r="FO7" s="283"/>
      <c r="FP7" s="283"/>
      <c r="FQ7" s="283"/>
      <c r="FR7" s="283"/>
      <c r="FS7" s="283"/>
      <c r="FT7" s="283"/>
      <c r="FU7" s="283"/>
      <c r="FV7" s="283"/>
      <c r="FW7" s="283"/>
      <c r="FX7" s="283"/>
      <c r="FY7" s="283"/>
      <c r="FZ7" s="283"/>
      <c r="GA7" s="283"/>
      <c r="GB7" s="283"/>
      <c r="GC7" s="283"/>
      <c r="GD7" s="283"/>
      <c r="GE7" s="283"/>
      <c r="GF7" s="283"/>
      <c r="GG7" s="283"/>
      <c r="GH7" s="283"/>
      <c r="GI7" s="283"/>
      <c r="GJ7" s="283"/>
      <c r="GK7" s="283"/>
      <c r="GL7" s="283"/>
      <c r="GM7" s="283"/>
      <c r="GN7" s="283"/>
      <c r="GO7" s="283"/>
      <c r="GP7" s="283"/>
      <c r="GQ7" s="283"/>
      <c r="GR7" s="283"/>
      <c r="GS7" s="283"/>
      <c r="GT7" s="283"/>
      <c r="GU7" s="283"/>
      <c r="GV7" s="283"/>
      <c r="GW7" s="283"/>
      <c r="GX7" s="283"/>
      <c r="GY7" s="283"/>
      <c r="GZ7" s="283"/>
      <c r="HA7" s="283"/>
      <c r="HB7" s="283"/>
      <c r="HC7" s="283"/>
      <c r="HD7" s="283"/>
      <c r="HE7" s="283"/>
      <c r="HF7" s="283"/>
      <c r="HG7" s="283"/>
      <c r="HH7" s="283"/>
      <c r="HI7" s="283"/>
      <c r="HJ7" s="283"/>
      <c r="HK7" s="283"/>
      <c r="HL7" s="283"/>
      <c r="HM7" s="283"/>
      <c r="HN7" s="283"/>
      <c r="HO7" s="283"/>
      <c r="HP7" s="283"/>
      <c r="HQ7" s="283"/>
      <c r="HR7" s="283"/>
    </row>
    <row r="8" spans="1:226" s="607" customFormat="1" ht="51" customHeight="1">
      <c r="A8" s="493" t="s">
        <v>186</v>
      </c>
      <c r="B8" s="494"/>
      <c r="C8" s="494"/>
      <c r="D8" s="494"/>
      <c r="E8" s="494"/>
      <c r="F8" s="495"/>
      <c r="G8" s="613"/>
      <c r="H8" s="614" t="s">
        <v>1435</v>
      </c>
      <c r="I8" s="514"/>
      <c r="J8" s="514"/>
      <c r="K8" s="514"/>
      <c r="L8" s="514"/>
      <c r="M8" s="515"/>
      <c r="N8" s="515"/>
      <c r="O8" s="515"/>
      <c r="P8" s="512"/>
      <c r="Q8" s="512"/>
      <c r="R8" s="512"/>
      <c r="S8" s="512"/>
      <c r="T8" s="512"/>
      <c r="U8" s="512"/>
      <c r="V8" s="512"/>
      <c r="W8" s="512"/>
      <c r="X8" s="512"/>
      <c r="Y8" s="512"/>
      <c r="Z8" s="547"/>
      <c r="AA8" s="548"/>
      <c r="AB8" s="619">
        <v>16000</v>
      </c>
      <c r="AC8" s="620"/>
      <c r="AD8" s="620"/>
      <c r="AE8" s="620"/>
      <c r="AF8" s="620">
        <v>17000</v>
      </c>
      <c r="AG8" s="620"/>
      <c r="AH8" s="623">
        <v>1000</v>
      </c>
      <c r="AI8" s="620"/>
      <c r="AJ8" s="512"/>
      <c r="AK8" s="514"/>
      <c r="AL8" s="514"/>
      <c r="AM8" s="514"/>
      <c r="AN8" s="624"/>
      <c r="AO8" s="626">
        <v>505</v>
      </c>
      <c r="AP8" s="626"/>
      <c r="AQ8" s="550">
        <v>455</v>
      </c>
      <c r="AR8" s="627"/>
      <c r="AS8" s="627"/>
      <c r="AT8" s="627"/>
      <c r="AU8" s="627"/>
      <c r="AV8" s="551"/>
      <c r="AW8" s="627"/>
      <c r="AX8" s="560"/>
      <c r="AY8" s="561"/>
      <c r="AZ8" s="636"/>
      <c r="BA8" s="637"/>
      <c r="BB8" s="637"/>
      <c r="BC8" s="637"/>
      <c r="BD8" s="637"/>
      <c r="BE8" s="637"/>
      <c r="BF8" s="637"/>
      <c r="BG8" s="637"/>
      <c r="BH8" s="637"/>
      <c r="BI8" s="637"/>
      <c r="BJ8" s="637"/>
      <c r="BK8" s="637"/>
      <c r="BL8" s="637"/>
      <c r="BM8" s="637"/>
      <c r="BN8" s="637"/>
      <c r="BO8" s="637"/>
      <c r="BP8" s="637"/>
      <c r="BQ8" s="637"/>
      <c r="BR8" s="637"/>
      <c r="BS8" s="637"/>
      <c r="BT8" s="637"/>
      <c r="BU8" s="637"/>
      <c r="BV8" s="637"/>
      <c r="BW8" s="637"/>
      <c r="BX8" s="637"/>
      <c r="BY8" s="637"/>
      <c r="BZ8" s="637"/>
      <c r="CA8" s="637"/>
      <c r="CB8" s="637"/>
      <c r="CC8" s="637"/>
      <c r="CD8" s="637"/>
      <c r="CE8" s="637"/>
      <c r="CF8" s="637"/>
      <c r="CG8" s="637"/>
      <c r="CH8" s="637"/>
      <c r="CI8" s="637"/>
      <c r="CJ8" s="637"/>
      <c r="CK8" s="637"/>
      <c r="CL8" s="637"/>
      <c r="CM8" s="637"/>
      <c r="CN8" s="637"/>
      <c r="CO8" s="637"/>
      <c r="CP8" s="637"/>
      <c r="CQ8" s="637"/>
      <c r="CR8" s="637"/>
      <c r="CS8" s="637"/>
      <c r="CT8" s="637"/>
      <c r="CU8" s="637"/>
      <c r="CV8" s="637"/>
      <c r="CW8" s="637"/>
      <c r="CX8" s="637"/>
      <c r="CY8" s="637"/>
      <c r="CZ8" s="637"/>
      <c r="DA8" s="637"/>
      <c r="DB8" s="637"/>
      <c r="DC8" s="637"/>
      <c r="DD8" s="637"/>
      <c r="DE8" s="637"/>
      <c r="DF8" s="637"/>
      <c r="DG8" s="637"/>
      <c r="DH8" s="637"/>
      <c r="DI8" s="637"/>
      <c r="DJ8" s="637"/>
      <c r="DK8" s="637"/>
      <c r="DL8" s="637"/>
      <c r="DM8" s="637"/>
      <c r="DN8" s="637"/>
      <c r="DO8" s="637"/>
      <c r="DP8" s="637"/>
      <c r="DQ8" s="637"/>
      <c r="DR8" s="637"/>
      <c r="DS8" s="637"/>
      <c r="DT8" s="637"/>
      <c r="DU8" s="637"/>
      <c r="DV8" s="637"/>
      <c r="DW8" s="637"/>
      <c r="DX8" s="637"/>
      <c r="DY8" s="637"/>
      <c r="DZ8" s="637"/>
      <c r="EA8" s="637"/>
      <c r="EB8" s="637"/>
      <c r="EC8" s="637"/>
      <c r="ED8" s="637"/>
      <c r="EE8" s="637"/>
      <c r="EF8" s="637"/>
      <c r="EG8" s="637"/>
      <c r="EH8" s="637"/>
      <c r="EI8" s="637"/>
      <c r="EJ8" s="637"/>
      <c r="EK8" s="637"/>
      <c r="EL8" s="637"/>
      <c r="EM8" s="637"/>
      <c r="EN8" s="637"/>
      <c r="EO8" s="637"/>
      <c r="EP8" s="637"/>
      <c r="EQ8" s="637"/>
      <c r="ER8" s="637"/>
      <c r="ES8" s="637"/>
      <c r="ET8" s="637"/>
      <c r="EU8" s="637"/>
      <c r="EV8" s="637"/>
      <c r="EW8" s="637"/>
      <c r="EX8" s="637"/>
      <c r="EY8" s="637"/>
      <c r="EZ8" s="637"/>
      <c r="FA8" s="637"/>
      <c r="FB8" s="637"/>
      <c r="FC8" s="637"/>
      <c r="FD8" s="637"/>
      <c r="FE8" s="637"/>
      <c r="FF8" s="637"/>
      <c r="FG8" s="637"/>
      <c r="FH8" s="637"/>
      <c r="FI8" s="637"/>
      <c r="FJ8" s="637"/>
      <c r="FK8" s="637"/>
      <c r="FL8" s="637"/>
      <c r="FM8" s="637"/>
      <c r="FN8" s="637"/>
      <c r="FO8" s="637"/>
      <c r="FP8" s="637"/>
      <c r="FQ8" s="637"/>
      <c r="FR8" s="637"/>
      <c r="FS8" s="637"/>
      <c r="FT8" s="637"/>
      <c r="FU8" s="637"/>
      <c r="FV8" s="637"/>
      <c r="FW8" s="637"/>
      <c r="FX8" s="637"/>
      <c r="FY8" s="637"/>
      <c r="FZ8" s="637"/>
      <c r="GA8" s="637"/>
      <c r="GB8" s="637"/>
      <c r="GC8" s="637"/>
      <c r="GD8" s="637"/>
      <c r="GE8" s="637"/>
      <c r="GF8" s="637"/>
      <c r="GG8" s="637"/>
      <c r="GH8" s="637"/>
      <c r="GI8" s="637"/>
      <c r="GJ8" s="637"/>
      <c r="GK8" s="637"/>
      <c r="GL8" s="637"/>
      <c r="GM8" s="637"/>
      <c r="GN8" s="637"/>
      <c r="GO8" s="637"/>
      <c r="GP8" s="637"/>
      <c r="GQ8" s="637"/>
      <c r="GR8" s="637"/>
      <c r="GS8" s="637"/>
      <c r="GT8" s="637"/>
      <c r="GU8" s="637"/>
      <c r="GV8" s="637"/>
      <c r="GW8" s="637"/>
      <c r="GX8" s="637"/>
      <c r="GY8" s="637"/>
      <c r="GZ8" s="637"/>
      <c r="HA8" s="637"/>
      <c r="HB8" s="637"/>
      <c r="HC8" s="637"/>
      <c r="HD8" s="637"/>
      <c r="HE8" s="637"/>
      <c r="HF8" s="637"/>
      <c r="HG8" s="637"/>
      <c r="HH8" s="637"/>
      <c r="HI8" s="637"/>
      <c r="HJ8" s="637"/>
      <c r="HK8" s="637"/>
      <c r="HL8" s="637"/>
      <c r="HM8" s="637"/>
      <c r="HN8" s="637"/>
      <c r="HO8" s="637"/>
      <c r="HP8" s="637"/>
      <c r="HQ8" s="637"/>
      <c r="HR8" s="637"/>
    </row>
    <row r="9" spans="1:226" s="607" customFormat="1" ht="37.5" customHeight="1">
      <c r="A9" s="498"/>
      <c r="B9" s="499"/>
      <c r="C9" s="499"/>
      <c r="D9" s="499"/>
      <c r="E9" s="499"/>
      <c r="F9" s="500"/>
      <c r="G9" s="502"/>
      <c r="H9" s="516"/>
      <c r="I9" s="517"/>
      <c r="J9" s="517"/>
      <c r="K9" s="517"/>
      <c r="L9" s="517"/>
      <c r="M9" s="518"/>
      <c r="N9" s="518"/>
      <c r="O9" s="518"/>
      <c r="P9" s="618"/>
      <c r="Q9" s="618"/>
      <c r="R9" s="618"/>
      <c r="S9" s="618"/>
      <c r="T9" s="618"/>
      <c r="U9" s="618"/>
      <c r="V9" s="618"/>
      <c r="W9" s="618"/>
      <c r="X9" s="618"/>
      <c r="Y9" s="618"/>
      <c r="Z9" s="621"/>
      <c r="AA9" s="552"/>
      <c r="AB9" s="622"/>
      <c r="AC9" s="622"/>
      <c r="AD9" s="622"/>
      <c r="AE9" s="622"/>
      <c r="AF9" s="622"/>
      <c r="AG9" s="622"/>
      <c r="AH9" s="622"/>
      <c r="AI9" s="622"/>
      <c r="AJ9" s="618"/>
      <c r="AK9" s="517"/>
      <c r="AL9" s="517"/>
      <c r="AM9" s="517"/>
      <c r="AN9" s="534"/>
      <c r="AO9" s="534"/>
      <c r="AP9" s="534"/>
      <c r="AQ9" s="534"/>
      <c r="AR9" s="554"/>
      <c r="AS9" s="554"/>
      <c r="AT9" s="554"/>
      <c r="AU9" s="554"/>
      <c r="AV9" s="554"/>
      <c r="AW9" s="554"/>
      <c r="AX9" s="638"/>
      <c r="AY9" s="563"/>
      <c r="AZ9" s="636" t="e">
        <f>#REF!+AB10</f>
        <v>#REF!</v>
      </c>
      <c r="BA9" s="637"/>
      <c r="BB9" s="637"/>
      <c r="BC9" s="637"/>
      <c r="BD9" s="637"/>
      <c r="BE9" s="637"/>
      <c r="BF9" s="637"/>
      <c r="BG9" s="637"/>
      <c r="BH9" s="637"/>
      <c r="BI9" s="637"/>
      <c r="BJ9" s="637"/>
      <c r="BK9" s="637"/>
      <c r="BL9" s="637"/>
      <c r="BM9" s="637"/>
      <c r="BN9" s="637"/>
      <c r="BO9" s="637"/>
      <c r="BP9" s="637"/>
      <c r="BQ9" s="637"/>
      <c r="BR9" s="637"/>
      <c r="BS9" s="637"/>
      <c r="BT9" s="637"/>
      <c r="BU9" s="637"/>
      <c r="BV9" s="637"/>
      <c r="BW9" s="637"/>
      <c r="BX9" s="637"/>
      <c r="BY9" s="637"/>
      <c r="BZ9" s="637"/>
      <c r="CA9" s="637"/>
      <c r="CB9" s="637"/>
      <c r="CC9" s="637"/>
      <c r="CD9" s="637"/>
      <c r="CE9" s="637"/>
      <c r="CF9" s="637"/>
      <c r="CG9" s="637"/>
      <c r="CH9" s="637"/>
      <c r="CI9" s="637"/>
      <c r="CJ9" s="637"/>
      <c r="CK9" s="637"/>
      <c r="CL9" s="637"/>
      <c r="CM9" s="637"/>
      <c r="CN9" s="637"/>
      <c r="CO9" s="637"/>
      <c r="CP9" s="637"/>
      <c r="CQ9" s="637"/>
      <c r="CR9" s="637"/>
      <c r="CS9" s="637"/>
      <c r="CT9" s="637"/>
      <c r="CU9" s="637"/>
      <c r="CV9" s="637"/>
      <c r="CW9" s="637"/>
      <c r="CX9" s="637"/>
      <c r="CY9" s="637"/>
      <c r="CZ9" s="637"/>
      <c r="DA9" s="637"/>
      <c r="DB9" s="637"/>
      <c r="DC9" s="637"/>
      <c r="DD9" s="637"/>
      <c r="DE9" s="637"/>
      <c r="DF9" s="637"/>
      <c r="DG9" s="637"/>
      <c r="DH9" s="637"/>
      <c r="DI9" s="637"/>
      <c r="DJ9" s="637"/>
      <c r="DK9" s="637"/>
      <c r="DL9" s="637"/>
      <c r="DM9" s="637"/>
      <c r="DN9" s="637"/>
      <c r="DO9" s="637"/>
      <c r="DP9" s="637"/>
      <c r="DQ9" s="637"/>
      <c r="DR9" s="637"/>
      <c r="DS9" s="637"/>
      <c r="DT9" s="637"/>
      <c r="DU9" s="637"/>
      <c r="DV9" s="637"/>
      <c r="DW9" s="637"/>
      <c r="DX9" s="637"/>
      <c r="DY9" s="637"/>
      <c r="DZ9" s="637"/>
      <c r="EA9" s="637"/>
      <c r="EB9" s="637"/>
      <c r="EC9" s="637"/>
      <c r="ED9" s="637"/>
      <c r="EE9" s="637"/>
      <c r="EF9" s="637"/>
      <c r="EG9" s="637"/>
      <c r="EH9" s="637"/>
      <c r="EI9" s="637"/>
      <c r="EJ9" s="637"/>
      <c r="EK9" s="637"/>
      <c r="EL9" s="637"/>
      <c r="EM9" s="637"/>
      <c r="EN9" s="637"/>
      <c r="EO9" s="637"/>
      <c r="EP9" s="637"/>
      <c r="EQ9" s="637"/>
      <c r="ER9" s="637"/>
      <c r="ES9" s="637"/>
      <c r="ET9" s="637"/>
      <c r="EU9" s="637"/>
      <c r="EV9" s="637"/>
      <c r="EW9" s="637"/>
      <c r="EX9" s="637"/>
      <c r="EY9" s="637"/>
      <c r="EZ9" s="637"/>
      <c r="FA9" s="637"/>
      <c r="FB9" s="637"/>
      <c r="FC9" s="637"/>
      <c r="FD9" s="637"/>
      <c r="FE9" s="637"/>
      <c r="FF9" s="637"/>
      <c r="FG9" s="637"/>
      <c r="FH9" s="637"/>
      <c r="FI9" s="637"/>
      <c r="FJ9" s="637"/>
      <c r="FK9" s="637"/>
      <c r="FL9" s="637"/>
      <c r="FM9" s="637"/>
      <c r="FN9" s="637"/>
      <c r="FO9" s="637"/>
      <c r="FP9" s="637"/>
      <c r="FQ9" s="637"/>
      <c r="FR9" s="637"/>
      <c r="FS9" s="637"/>
      <c r="FT9" s="637"/>
      <c r="FU9" s="637"/>
      <c r="FV9" s="637"/>
      <c r="FW9" s="637"/>
      <c r="FX9" s="637"/>
      <c r="FY9" s="637"/>
      <c r="FZ9" s="637"/>
      <c r="GA9" s="637"/>
      <c r="GB9" s="637"/>
      <c r="GC9" s="637"/>
      <c r="GD9" s="637"/>
      <c r="GE9" s="637"/>
      <c r="GF9" s="637"/>
      <c r="GG9" s="637"/>
      <c r="GH9" s="637"/>
      <c r="GI9" s="637"/>
      <c r="GJ9" s="637"/>
      <c r="GK9" s="637"/>
      <c r="GL9" s="637"/>
      <c r="GM9" s="637"/>
      <c r="GN9" s="637"/>
      <c r="GO9" s="637"/>
      <c r="GP9" s="637"/>
      <c r="GQ9" s="637"/>
      <c r="GR9" s="637"/>
      <c r="GS9" s="637"/>
      <c r="GT9" s="637"/>
      <c r="GU9" s="637"/>
      <c r="GV9" s="637"/>
      <c r="GW9" s="637"/>
      <c r="GX9" s="637"/>
      <c r="GY9" s="637"/>
      <c r="GZ9" s="637"/>
      <c r="HA9" s="637"/>
      <c r="HB9" s="637"/>
      <c r="HC9" s="637"/>
      <c r="HD9" s="637"/>
      <c r="HE9" s="637"/>
      <c r="HF9" s="637"/>
      <c r="HG9" s="637"/>
      <c r="HH9" s="637"/>
      <c r="HI9" s="637"/>
      <c r="HJ9" s="637"/>
      <c r="HK9" s="637"/>
      <c r="HL9" s="637"/>
      <c r="HM9" s="637"/>
      <c r="HN9" s="637"/>
      <c r="HO9" s="637"/>
      <c r="HP9" s="637"/>
      <c r="HQ9" s="637"/>
      <c r="HR9" s="637"/>
    </row>
    <row r="10" spans="1:226" s="483" customFormat="1" ht="37.200000000000003" customHeight="1">
      <c r="A10" s="503">
        <v>1</v>
      </c>
      <c r="B10" s="504">
        <v>9</v>
      </c>
      <c r="C10" s="504">
        <v>344</v>
      </c>
      <c r="D10" s="615">
        <f>'Tên Tháng 1'!B216</f>
        <v>31093</v>
      </c>
      <c r="E10" s="615" t="str">
        <f>'Tên Tháng 1'!C216</f>
        <v>ប្រុស</v>
      </c>
      <c r="F10" s="616">
        <f>'Tên Tháng 1'!D216</f>
        <v>220175370</v>
      </c>
      <c r="G10" s="615" t="str">
        <f>'Tên Tháng 1'!E308</f>
        <v>សួស ថេ</v>
      </c>
      <c r="H10" s="615" t="str">
        <f>'Tên Tháng 1'!F308</f>
        <v>SOUS THE</v>
      </c>
      <c r="I10" s="519" t="str">
        <f>'CHAM CONG'!G316</f>
        <v>x</v>
      </c>
      <c r="J10" s="519" t="str">
        <f>'CHAM CONG'!H316</f>
        <v>x</v>
      </c>
      <c r="K10" s="519" t="str">
        <f>'CHAM CONG'!I316</f>
        <v>x</v>
      </c>
      <c r="L10" s="519">
        <f>'CHAM CONG'!J316</f>
        <v>0</v>
      </c>
      <c r="M10" s="519" t="str">
        <f>'CHAM CONG'!K316</f>
        <v>x</v>
      </c>
      <c r="N10" s="519" t="str">
        <f>'CHAM CONG'!L316</f>
        <v>x</v>
      </c>
      <c r="O10" s="519" t="str">
        <f>'CHAM CONG'!M316</f>
        <v>x</v>
      </c>
      <c r="P10" s="519" t="str">
        <f>'CHAM CONG'!N316</f>
        <v>x</v>
      </c>
      <c r="Q10" s="519" t="str">
        <f>'CHAM CONG'!O316</f>
        <v>x</v>
      </c>
      <c r="R10" s="519" t="str">
        <f>'CHAM CONG'!P316</f>
        <v>x</v>
      </c>
      <c r="S10" s="519" t="str">
        <f>'CHAM CONG'!Q316</f>
        <v>x</v>
      </c>
      <c r="T10" s="519" t="str">
        <f>'CHAM CONG'!R316</f>
        <v>x</v>
      </c>
      <c r="U10" s="519" t="str">
        <f>'CHAM CONG'!S316</f>
        <v>x</v>
      </c>
      <c r="V10" s="519" t="str">
        <f>'CHAM CONG'!T316</f>
        <v>x</v>
      </c>
      <c r="W10" s="519" t="str">
        <f>'CHAM CONG'!U316</f>
        <v>x</v>
      </c>
      <c r="X10" s="519"/>
      <c r="Y10" s="519"/>
      <c r="Z10" s="535">
        <f>COUNTIF(I10:W10,"X")</f>
        <v>14</v>
      </c>
      <c r="AA10" s="536">
        <f t="shared" ref="AA10:AA42" si="0">ROUND(Z10*$Z$9/30456,2)+$AA$2</f>
        <v>0</v>
      </c>
      <c r="AB10" s="537">
        <f>ROUND(Z10*$AB$8,0)</f>
        <v>224000</v>
      </c>
      <c r="AC10" s="537" t="str">
        <f>'CHAM CONG'!V316</f>
        <v>x</v>
      </c>
      <c r="AD10" s="537" t="str">
        <f>'CHAM CONG'!W316</f>
        <v>x</v>
      </c>
      <c r="AE10" s="535">
        <f>COUNTIF(AC10:AD10,"X")</f>
        <v>2</v>
      </c>
      <c r="AF10" s="537">
        <f>AE10*$AF$8</f>
        <v>34000</v>
      </c>
      <c r="AG10" s="537">
        <f>Z10</f>
        <v>14</v>
      </c>
      <c r="AH10" s="537">
        <f>ROUND(AG10*$AH$8,0)</f>
        <v>14000</v>
      </c>
      <c r="AI10" s="537">
        <f>AB10+AH10+AF10</f>
        <v>272000</v>
      </c>
      <c r="AJ10" s="519">
        <f>'SAN LUONG'!AF317</f>
        <v>274</v>
      </c>
      <c r="AK10" s="519">
        <f>'SAN LUONG'!AG317</f>
        <v>316</v>
      </c>
      <c r="AL10" s="519">
        <f>'SAN LUONG'!AH317</f>
        <v>400</v>
      </c>
      <c r="AM10" s="519">
        <f>'SAN LUONG'!AI317</f>
        <v>338</v>
      </c>
      <c r="AN10" s="553">
        <f t="shared" ref="AN10:AN15" si="1">AK10</f>
        <v>316</v>
      </c>
      <c r="AO10" s="553">
        <f>ROUND(AN10*0.44*$AO$8,0)</f>
        <v>70215</v>
      </c>
      <c r="AP10" s="553">
        <f>SUM(AJ10:AM10)-AN10</f>
        <v>1012</v>
      </c>
      <c r="AQ10" s="553">
        <f>ROUND(AP10*0.44*$AQ$8,0)</f>
        <v>202602</v>
      </c>
      <c r="AR10" s="628">
        <f>'SAN LUONG'!AU223</f>
        <v>0</v>
      </c>
      <c r="AS10" s="629">
        <f>ROUND(AT10/30456,2)</f>
        <v>0</v>
      </c>
      <c r="AT10" s="630">
        <f>AR10*1000</f>
        <v>0</v>
      </c>
      <c r="AU10" s="628">
        <f>ROUND(AV10/30456,2)</f>
        <v>17.89</v>
      </c>
      <c r="AV10" s="556">
        <f>AI10+AQ10+AO10</f>
        <v>544817</v>
      </c>
      <c r="AW10" s="630"/>
      <c r="AX10" s="564">
        <f>AV10</f>
        <v>544817</v>
      </c>
      <c r="AY10" s="565"/>
      <c r="AZ10" s="639">
        <f>ROUND(AX10/31947,2)</f>
        <v>17.05</v>
      </c>
      <c r="BA10" s="567"/>
    </row>
    <row r="11" spans="1:226" s="483" customFormat="1" ht="37.200000000000003" customHeight="1">
      <c r="A11" s="503">
        <v>2</v>
      </c>
      <c r="B11" s="504">
        <v>9</v>
      </c>
      <c r="C11" s="504">
        <v>345</v>
      </c>
      <c r="D11" s="615">
        <f>'Tên Tháng 1'!B217</f>
        <v>30419</v>
      </c>
      <c r="E11" s="615" t="str">
        <f>'Tên Tháng 1'!C217</f>
        <v>ប្រុស</v>
      </c>
      <c r="F11" s="616">
        <f>'Tên Tháng 1'!D217</f>
        <v>150354766</v>
      </c>
      <c r="G11" s="615" t="str">
        <f>'Tên Tháng 1'!E309</f>
        <v>ហំ គា</v>
      </c>
      <c r="H11" s="615" t="str">
        <f>'Tên Tháng 1'!F309</f>
        <v>HOM KEA</v>
      </c>
      <c r="I11" s="519">
        <f>'CHAM CONG'!G317</f>
        <v>0</v>
      </c>
      <c r="J11" s="519" t="str">
        <f>'CHAM CONG'!H317</f>
        <v>x</v>
      </c>
      <c r="K11" s="519" t="str">
        <f>'CHAM CONG'!I317</f>
        <v>x</v>
      </c>
      <c r="L11" s="519">
        <f>'CHAM CONG'!J317</f>
        <v>0</v>
      </c>
      <c r="M11" s="519" t="str">
        <f>'CHAM CONG'!K317</f>
        <v>x</v>
      </c>
      <c r="N11" s="519" t="str">
        <f>'CHAM CONG'!L317</f>
        <v>x</v>
      </c>
      <c r="O11" s="519" t="str">
        <f>'CHAM CONG'!M317</f>
        <v>x</v>
      </c>
      <c r="P11" s="519" t="str">
        <f>'CHAM CONG'!N317</f>
        <v>x</v>
      </c>
      <c r="Q11" s="519" t="str">
        <f>'CHAM CONG'!O317</f>
        <v>x</v>
      </c>
      <c r="R11" s="519" t="str">
        <f>'CHAM CONG'!P317</f>
        <v>x</v>
      </c>
      <c r="S11" s="519" t="str">
        <f>'CHAM CONG'!Q317</f>
        <v>x</v>
      </c>
      <c r="T11" s="519" t="str">
        <f>'CHAM CONG'!R317</f>
        <v>x</v>
      </c>
      <c r="U11" s="519" t="str">
        <f>'CHAM CONG'!S317</f>
        <v>x</v>
      </c>
      <c r="V11" s="519" t="str">
        <f>'CHAM CONG'!T317</f>
        <v>x</v>
      </c>
      <c r="W11" s="519" t="str">
        <f>'CHAM CONG'!U317</f>
        <v>x</v>
      </c>
      <c r="X11" s="519"/>
      <c r="Y11" s="519"/>
      <c r="Z11" s="535">
        <f t="shared" ref="Z11:Z74" si="2">COUNTIF(I11:W11,"X")</f>
        <v>13</v>
      </c>
      <c r="AA11" s="536">
        <f t="shared" si="0"/>
        <v>0</v>
      </c>
      <c r="AB11" s="537">
        <f t="shared" ref="AB11:AB74" si="3">ROUND(Z11*$AB$8,0)</f>
        <v>208000</v>
      </c>
      <c r="AC11" s="537" t="str">
        <f>'CHAM CONG'!V317</f>
        <v>x</v>
      </c>
      <c r="AD11" s="537" t="str">
        <f>'CHAM CONG'!W317</f>
        <v>x</v>
      </c>
      <c r="AE11" s="535">
        <f t="shared" ref="AE11:AE74" si="4">COUNTIF(AC11:AD11,"X")</f>
        <v>2</v>
      </c>
      <c r="AF11" s="537">
        <f t="shared" ref="AF11:AF42" si="5">AE11*$AF$8</f>
        <v>34000</v>
      </c>
      <c r="AG11" s="537">
        <f t="shared" ref="AG11:AG74" si="6">Z11</f>
        <v>13</v>
      </c>
      <c r="AH11" s="537">
        <f t="shared" ref="AH11:AH74" si="7">ROUND(AG11*$AH$8,0)</f>
        <v>13000</v>
      </c>
      <c r="AI11" s="537">
        <f t="shared" ref="AI11:AI74" si="8">AB11+AH11+AF11</f>
        <v>255000</v>
      </c>
      <c r="AJ11" s="519">
        <f>'SAN LUONG'!AF318</f>
        <v>240</v>
      </c>
      <c r="AK11" s="519">
        <f>'SAN LUONG'!AG318</f>
        <v>264</v>
      </c>
      <c r="AL11" s="519">
        <f>'SAN LUONG'!AH318</f>
        <v>315</v>
      </c>
      <c r="AM11" s="519">
        <f>'SAN LUONG'!AI318</f>
        <v>332</v>
      </c>
      <c r="AN11" s="553">
        <f t="shared" si="1"/>
        <v>264</v>
      </c>
      <c r="AO11" s="553">
        <f t="shared" ref="AO11:AO74" si="9">ROUND(AN11*0.44*$AO$8,0)</f>
        <v>58661</v>
      </c>
      <c r="AP11" s="553">
        <f t="shared" ref="AP11:AP74" si="10">SUM(AJ11:AM11)-AN11</f>
        <v>887</v>
      </c>
      <c r="AQ11" s="553">
        <f t="shared" ref="AQ11:AQ74" si="11">ROUND(AP11*0.44*$AQ$8,0)</f>
        <v>177577</v>
      </c>
      <c r="AR11" s="628">
        <f>'SAN LUONG'!AU224</f>
        <v>0</v>
      </c>
      <c r="AS11" s="629">
        <f t="shared" ref="AS11:AS42" si="12">ROUND(AT11/30456,2)</f>
        <v>0</v>
      </c>
      <c r="AT11" s="630">
        <f t="shared" ref="AT11:AT42" si="13">AR11*1000</f>
        <v>0</v>
      </c>
      <c r="AU11" s="628">
        <f t="shared" ref="AU11:AU42" si="14">ROUND(AV11/30456,2)</f>
        <v>16.13</v>
      </c>
      <c r="AV11" s="556">
        <f t="shared" ref="AV11:AV74" si="15">AI11+AQ11+AO11</f>
        <v>491238</v>
      </c>
      <c r="AW11" s="630"/>
      <c r="AX11" s="564">
        <f t="shared" ref="AX11:AX74" si="16">AV11</f>
        <v>491238</v>
      </c>
      <c r="AY11" s="565"/>
      <c r="AZ11" s="639">
        <f t="shared" ref="AZ11:AZ74" si="17">ROUND(AX11/31947,2)</f>
        <v>15.38</v>
      </c>
      <c r="BA11" s="567"/>
    </row>
    <row r="12" spans="1:226" s="483" customFormat="1" ht="37.200000000000003" customHeight="1">
      <c r="A12" s="503">
        <v>3</v>
      </c>
      <c r="B12" s="504">
        <v>9</v>
      </c>
      <c r="C12" s="504">
        <v>346</v>
      </c>
      <c r="D12" s="615">
        <f>'Tên Tháng 1'!B218</f>
        <v>30073</v>
      </c>
      <c r="E12" s="615" t="str">
        <f>'Tên Tháng 1'!C218</f>
        <v>ប្រុស</v>
      </c>
      <c r="F12" s="616">
        <f>'Tên Tháng 1'!D218</f>
        <v>150853546</v>
      </c>
      <c r="G12" s="615" t="str">
        <f>'Tên Tháng 1'!E310</f>
        <v>លី ភាក់</v>
      </c>
      <c r="H12" s="615" t="str">
        <f>'Tên Tháng 1'!F310</f>
        <v>LY PHEAK</v>
      </c>
      <c r="I12" s="519" t="str">
        <f>'CHAM CONG'!G318</f>
        <v>x</v>
      </c>
      <c r="J12" s="519" t="str">
        <f>'CHAM CONG'!H318</f>
        <v>x</v>
      </c>
      <c r="K12" s="519" t="str">
        <f>'CHAM CONG'!I318</f>
        <v>x</v>
      </c>
      <c r="L12" s="519">
        <f>'CHAM CONG'!J318</f>
        <v>0</v>
      </c>
      <c r="M12" s="519" t="str">
        <f>'CHAM CONG'!K318</f>
        <v>x</v>
      </c>
      <c r="N12" s="519" t="str">
        <f>'CHAM CONG'!L318</f>
        <v>x</v>
      </c>
      <c r="O12" s="519" t="str">
        <f>'CHAM CONG'!M318</f>
        <v>x</v>
      </c>
      <c r="P12" s="519" t="str">
        <f>'CHAM CONG'!N318</f>
        <v>x</v>
      </c>
      <c r="Q12" s="519" t="str">
        <f>'CHAM CONG'!O318</f>
        <v>x</v>
      </c>
      <c r="R12" s="519" t="str">
        <f>'CHAM CONG'!P318</f>
        <v>x</v>
      </c>
      <c r="S12" s="519" t="str">
        <f>'CHAM CONG'!Q318</f>
        <v>x</v>
      </c>
      <c r="T12" s="519" t="str">
        <f>'CHAM CONG'!R318</f>
        <v>x</v>
      </c>
      <c r="U12" s="519" t="str">
        <f>'CHAM CONG'!S318</f>
        <v>x</v>
      </c>
      <c r="V12" s="519" t="str">
        <f>'CHAM CONG'!T318</f>
        <v>x</v>
      </c>
      <c r="W12" s="519" t="str">
        <f>'CHAM CONG'!U318</f>
        <v>x</v>
      </c>
      <c r="X12" s="519"/>
      <c r="Y12" s="519"/>
      <c r="Z12" s="535">
        <f t="shared" si="2"/>
        <v>14</v>
      </c>
      <c r="AA12" s="536">
        <f t="shared" si="0"/>
        <v>0</v>
      </c>
      <c r="AB12" s="537">
        <f t="shared" si="3"/>
        <v>224000</v>
      </c>
      <c r="AC12" s="537">
        <f>'CHAM CONG'!V318</f>
        <v>0</v>
      </c>
      <c r="AD12" s="537" t="str">
        <f>'CHAM CONG'!W318</f>
        <v>x</v>
      </c>
      <c r="AE12" s="535">
        <f t="shared" si="4"/>
        <v>1</v>
      </c>
      <c r="AF12" s="537">
        <f t="shared" si="5"/>
        <v>17000</v>
      </c>
      <c r="AG12" s="537">
        <f t="shared" si="6"/>
        <v>14</v>
      </c>
      <c r="AH12" s="537">
        <f t="shared" si="7"/>
        <v>14000</v>
      </c>
      <c r="AI12" s="537">
        <f t="shared" si="8"/>
        <v>255000</v>
      </c>
      <c r="AJ12" s="519">
        <f>'SAN LUONG'!AF319</f>
        <v>134</v>
      </c>
      <c r="AK12" s="519">
        <f>'SAN LUONG'!AG319</f>
        <v>243</v>
      </c>
      <c r="AL12" s="519">
        <f>'SAN LUONG'!AH319</f>
        <v>373</v>
      </c>
      <c r="AM12" s="519">
        <f>'SAN LUONG'!AI319</f>
        <v>412</v>
      </c>
      <c r="AN12" s="553">
        <f t="shared" si="1"/>
        <v>243</v>
      </c>
      <c r="AO12" s="553">
        <f t="shared" si="9"/>
        <v>53995</v>
      </c>
      <c r="AP12" s="553">
        <f t="shared" si="10"/>
        <v>919</v>
      </c>
      <c r="AQ12" s="553">
        <f t="shared" si="11"/>
        <v>183984</v>
      </c>
      <c r="AR12" s="628">
        <f>'SAN LUONG'!AU225</f>
        <v>0</v>
      </c>
      <c r="AS12" s="629">
        <f t="shared" si="12"/>
        <v>0</v>
      </c>
      <c r="AT12" s="630">
        <f t="shared" si="13"/>
        <v>0</v>
      </c>
      <c r="AU12" s="628">
        <f t="shared" si="14"/>
        <v>16.190000000000001</v>
      </c>
      <c r="AV12" s="556">
        <f t="shared" si="15"/>
        <v>492979</v>
      </c>
      <c r="AW12" s="630"/>
      <c r="AX12" s="564">
        <f t="shared" si="16"/>
        <v>492979</v>
      </c>
      <c r="AY12" s="565"/>
      <c r="AZ12" s="639">
        <f t="shared" si="17"/>
        <v>15.43</v>
      </c>
      <c r="BA12" s="567"/>
    </row>
    <row r="13" spans="1:226" s="483" customFormat="1" ht="37.200000000000003" customHeight="1">
      <c r="A13" s="503">
        <v>4</v>
      </c>
      <c r="B13" s="504">
        <v>9</v>
      </c>
      <c r="C13" s="504">
        <v>347</v>
      </c>
      <c r="D13" s="615">
        <f>'Tên Tháng 1'!B219</f>
        <v>32334</v>
      </c>
      <c r="E13" s="615" t="str">
        <f>'Tên Tháng 1'!C219</f>
        <v>ស្រី</v>
      </c>
      <c r="F13" s="616">
        <f>'Tên Tháng 1'!D219</f>
        <v>220175369</v>
      </c>
      <c r="G13" s="615" t="str">
        <f>'Tên Tháng 1'!E311</f>
        <v>រ៉ុន​ ម៉ៃ</v>
      </c>
      <c r="H13" s="615" t="str">
        <f>'Tên Tháng 1'!F311</f>
        <v>RON MAY</v>
      </c>
      <c r="I13" s="519" t="str">
        <f>'CHAM CONG'!G319</f>
        <v>x</v>
      </c>
      <c r="J13" s="519" t="str">
        <f>'CHAM CONG'!H319</f>
        <v>x</v>
      </c>
      <c r="K13" s="519" t="str">
        <f>'CHAM CONG'!I319</f>
        <v>x</v>
      </c>
      <c r="L13" s="519">
        <f>'CHAM CONG'!J319</f>
        <v>0</v>
      </c>
      <c r="M13" s="519" t="str">
        <f>'CHAM CONG'!K319</f>
        <v>x</v>
      </c>
      <c r="N13" s="519" t="str">
        <f>'CHAM CONG'!L319</f>
        <v>x</v>
      </c>
      <c r="O13" s="519" t="str">
        <f>'CHAM CONG'!M319</f>
        <v>x</v>
      </c>
      <c r="P13" s="519" t="str">
        <f>'CHAM CONG'!N319</f>
        <v>x</v>
      </c>
      <c r="Q13" s="519" t="str">
        <f>'CHAM CONG'!O319</f>
        <v>x</v>
      </c>
      <c r="R13" s="519" t="str">
        <f>'CHAM CONG'!P319</f>
        <v>x</v>
      </c>
      <c r="S13" s="519" t="str">
        <f>'CHAM CONG'!Q319</f>
        <v>x</v>
      </c>
      <c r="T13" s="519" t="str">
        <f>'CHAM CONG'!R319</f>
        <v>x</v>
      </c>
      <c r="U13" s="519" t="str">
        <f>'CHAM CONG'!S319</f>
        <v>x</v>
      </c>
      <c r="V13" s="519" t="str">
        <f>'CHAM CONG'!T319</f>
        <v>x</v>
      </c>
      <c r="W13" s="519" t="str">
        <f>'CHAM CONG'!U319</f>
        <v>x</v>
      </c>
      <c r="X13" s="519"/>
      <c r="Y13" s="519"/>
      <c r="Z13" s="535">
        <f t="shared" si="2"/>
        <v>14</v>
      </c>
      <c r="AA13" s="536">
        <f t="shared" si="0"/>
        <v>0</v>
      </c>
      <c r="AB13" s="537">
        <f t="shared" si="3"/>
        <v>224000</v>
      </c>
      <c r="AC13" s="537">
        <f>'CHAM CONG'!V319</f>
        <v>0</v>
      </c>
      <c r="AD13" s="537" t="str">
        <f>'CHAM CONG'!W319</f>
        <v>x</v>
      </c>
      <c r="AE13" s="535">
        <f t="shared" si="4"/>
        <v>1</v>
      </c>
      <c r="AF13" s="537">
        <f t="shared" si="5"/>
        <v>17000</v>
      </c>
      <c r="AG13" s="537">
        <f t="shared" si="6"/>
        <v>14</v>
      </c>
      <c r="AH13" s="537">
        <f t="shared" si="7"/>
        <v>14000</v>
      </c>
      <c r="AI13" s="537">
        <f t="shared" si="8"/>
        <v>255000</v>
      </c>
      <c r="AJ13" s="519">
        <f>'SAN LUONG'!AF320</f>
        <v>141</v>
      </c>
      <c r="AK13" s="519">
        <f>'SAN LUONG'!AG320</f>
        <v>232</v>
      </c>
      <c r="AL13" s="519">
        <f>'SAN LUONG'!AH320</f>
        <v>371</v>
      </c>
      <c r="AM13" s="519">
        <f>'SAN LUONG'!AI320</f>
        <v>412</v>
      </c>
      <c r="AN13" s="553">
        <f t="shared" si="1"/>
        <v>232</v>
      </c>
      <c r="AO13" s="553">
        <f t="shared" si="9"/>
        <v>51550</v>
      </c>
      <c r="AP13" s="553">
        <f t="shared" si="10"/>
        <v>924</v>
      </c>
      <c r="AQ13" s="553">
        <f t="shared" si="11"/>
        <v>184985</v>
      </c>
      <c r="AR13" s="628">
        <f>'SAN LUONG'!AU226</f>
        <v>0</v>
      </c>
      <c r="AS13" s="629">
        <f t="shared" si="12"/>
        <v>0</v>
      </c>
      <c r="AT13" s="630">
        <f t="shared" si="13"/>
        <v>0</v>
      </c>
      <c r="AU13" s="628">
        <f t="shared" si="14"/>
        <v>16.14</v>
      </c>
      <c r="AV13" s="556">
        <f t="shared" si="15"/>
        <v>491535</v>
      </c>
      <c r="AW13" s="630"/>
      <c r="AX13" s="564">
        <f t="shared" si="16"/>
        <v>491535</v>
      </c>
      <c r="AY13" s="565"/>
      <c r="AZ13" s="639">
        <f t="shared" si="17"/>
        <v>15.39</v>
      </c>
      <c r="BA13" s="567"/>
    </row>
    <row r="14" spans="1:226" s="483" customFormat="1" ht="37.200000000000003" customHeight="1">
      <c r="A14" s="503">
        <v>5</v>
      </c>
      <c r="B14" s="504">
        <v>9</v>
      </c>
      <c r="C14" s="504">
        <v>348</v>
      </c>
      <c r="D14" s="615">
        <f>'Tên Tháng 1'!B220</f>
        <v>30051</v>
      </c>
      <c r="E14" s="615" t="str">
        <f>'Tên Tháng 1'!C220</f>
        <v>ស្រី</v>
      </c>
      <c r="F14" s="616">
        <f>'Tên Tháng 1'!D220</f>
        <v>150114404</v>
      </c>
      <c r="G14" s="615" t="str">
        <f>'Tên Tháng 1'!E312</f>
        <v>ហួត ហ៊ាញ</v>
      </c>
      <c r="H14" s="615" t="str">
        <f>'Tên Tháng 1'!F312</f>
        <v>HUOT HEANH</v>
      </c>
      <c r="I14" s="519">
        <f>'CHAM CONG'!G320</f>
        <v>0</v>
      </c>
      <c r="J14" s="519" t="str">
        <f>'CHAM CONG'!H320</f>
        <v>x</v>
      </c>
      <c r="K14" s="519" t="str">
        <f>'CHAM CONG'!I320</f>
        <v>x</v>
      </c>
      <c r="L14" s="519">
        <f>'CHAM CONG'!J320</f>
        <v>0</v>
      </c>
      <c r="M14" s="519" t="str">
        <f>'CHAM CONG'!K320</f>
        <v>x</v>
      </c>
      <c r="N14" s="519" t="str">
        <f>'CHAM CONG'!L320</f>
        <v>x</v>
      </c>
      <c r="O14" s="519" t="str">
        <f>'CHAM CONG'!M320</f>
        <v>x</v>
      </c>
      <c r="P14" s="519" t="str">
        <f>'CHAM CONG'!N320</f>
        <v>x</v>
      </c>
      <c r="Q14" s="519" t="str">
        <f>'CHAM CONG'!O320</f>
        <v>x</v>
      </c>
      <c r="R14" s="519" t="str">
        <f>'CHAM CONG'!P320</f>
        <v>x</v>
      </c>
      <c r="S14" s="519" t="str">
        <f>'CHAM CONG'!Q320</f>
        <v>x</v>
      </c>
      <c r="T14" s="519" t="str">
        <f>'CHAM CONG'!R320</f>
        <v>x</v>
      </c>
      <c r="U14" s="519" t="str">
        <f>'CHAM CONG'!S320</f>
        <v>x</v>
      </c>
      <c r="V14" s="519" t="str">
        <f>'CHAM CONG'!T320</f>
        <v>x</v>
      </c>
      <c r="W14" s="519" t="str">
        <f>'CHAM CONG'!U320</f>
        <v>x</v>
      </c>
      <c r="X14" s="519"/>
      <c r="Y14" s="519"/>
      <c r="Z14" s="535">
        <f t="shared" si="2"/>
        <v>13</v>
      </c>
      <c r="AA14" s="536">
        <f t="shared" si="0"/>
        <v>0</v>
      </c>
      <c r="AB14" s="537">
        <f t="shared" si="3"/>
        <v>208000</v>
      </c>
      <c r="AC14" s="537" t="str">
        <f>'CHAM CONG'!V320</f>
        <v>x</v>
      </c>
      <c r="AD14" s="537" t="str">
        <f>'CHAM CONG'!W320</f>
        <v>x</v>
      </c>
      <c r="AE14" s="535">
        <f t="shared" si="4"/>
        <v>2</v>
      </c>
      <c r="AF14" s="537">
        <f t="shared" si="5"/>
        <v>34000</v>
      </c>
      <c r="AG14" s="537">
        <f t="shared" si="6"/>
        <v>13</v>
      </c>
      <c r="AH14" s="537">
        <f t="shared" si="7"/>
        <v>13000</v>
      </c>
      <c r="AI14" s="537">
        <f t="shared" si="8"/>
        <v>255000</v>
      </c>
      <c r="AJ14" s="519">
        <f>'SAN LUONG'!AF321</f>
        <v>259</v>
      </c>
      <c r="AK14" s="519">
        <f>'SAN LUONG'!AG321</f>
        <v>227</v>
      </c>
      <c r="AL14" s="519">
        <f>'SAN LUONG'!AH321</f>
        <v>357</v>
      </c>
      <c r="AM14" s="519">
        <f>'SAN LUONG'!AI321</f>
        <v>414</v>
      </c>
      <c r="AN14" s="553">
        <f t="shared" si="1"/>
        <v>227</v>
      </c>
      <c r="AO14" s="553">
        <f t="shared" si="9"/>
        <v>50439</v>
      </c>
      <c r="AP14" s="553">
        <f t="shared" si="10"/>
        <v>1030</v>
      </c>
      <c r="AQ14" s="553">
        <f t="shared" si="11"/>
        <v>206206</v>
      </c>
      <c r="AR14" s="628">
        <f>'SAN LUONG'!AU227</f>
        <v>0</v>
      </c>
      <c r="AS14" s="629">
        <f t="shared" si="12"/>
        <v>0</v>
      </c>
      <c r="AT14" s="630">
        <f t="shared" si="13"/>
        <v>0</v>
      </c>
      <c r="AU14" s="628">
        <f t="shared" si="14"/>
        <v>16.8</v>
      </c>
      <c r="AV14" s="556">
        <f t="shared" si="15"/>
        <v>511645</v>
      </c>
      <c r="AW14" s="630"/>
      <c r="AX14" s="564">
        <f t="shared" si="16"/>
        <v>511645</v>
      </c>
      <c r="AY14" s="565"/>
      <c r="AZ14" s="639">
        <f t="shared" si="17"/>
        <v>16.02</v>
      </c>
      <c r="BA14" s="567"/>
    </row>
    <row r="15" spans="1:226" s="483" customFormat="1" ht="37.200000000000003" customHeight="1">
      <c r="A15" s="503">
        <v>6</v>
      </c>
      <c r="B15" s="504">
        <v>9</v>
      </c>
      <c r="C15" s="504">
        <v>349</v>
      </c>
      <c r="D15" s="615">
        <f>'Tên Tháng 1'!B221</f>
        <v>33640</v>
      </c>
      <c r="E15" s="615" t="str">
        <f>'Tên Tháng 1'!C221</f>
        <v>ស្រី</v>
      </c>
      <c r="F15" s="616">
        <f>'Tên Tháng 1'!D221</f>
        <v>150523523</v>
      </c>
      <c r="G15" s="615" t="str">
        <f>'Tên Tháng 1'!E313</f>
        <v>ថាន់ ណារី</v>
      </c>
      <c r="H15" s="615" t="str">
        <f>'Tên Tháng 1'!F313</f>
        <v>THANN NARY</v>
      </c>
      <c r="I15" s="519">
        <f>'CHAM CONG'!G321</f>
        <v>0</v>
      </c>
      <c r="J15" s="519" t="str">
        <f>'CHAM CONG'!H321</f>
        <v>x</v>
      </c>
      <c r="K15" s="519" t="str">
        <f>'CHAM CONG'!I321</f>
        <v>x</v>
      </c>
      <c r="L15" s="519">
        <f>'CHAM CONG'!J321</f>
        <v>0</v>
      </c>
      <c r="M15" s="519" t="str">
        <f>'CHAM CONG'!K321</f>
        <v>x</v>
      </c>
      <c r="N15" s="519" t="str">
        <f>'CHAM CONG'!L321</f>
        <v>x</v>
      </c>
      <c r="O15" s="519" t="str">
        <f>'CHAM CONG'!M321</f>
        <v>x</v>
      </c>
      <c r="P15" s="519" t="str">
        <f>'CHAM CONG'!N321</f>
        <v>x</v>
      </c>
      <c r="Q15" s="519" t="str">
        <f>'CHAM CONG'!O321</f>
        <v>x</v>
      </c>
      <c r="R15" s="519" t="str">
        <f>'CHAM CONG'!P321</f>
        <v>x</v>
      </c>
      <c r="S15" s="519" t="str">
        <f>'CHAM CONG'!Q321</f>
        <v>x</v>
      </c>
      <c r="T15" s="519" t="str">
        <f>'CHAM CONG'!R321</f>
        <v>x</v>
      </c>
      <c r="U15" s="519" t="str">
        <f>'CHAM CONG'!S321</f>
        <v>x</v>
      </c>
      <c r="V15" s="519" t="str">
        <f>'CHAM CONG'!T321</f>
        <v>x</v>
      </c>
      <c r="W15" s="519" t="str">
        <f>'CHAM CONG'!U321</f>
        <v>x</v>
      </c>
      <c r="X15" s="519"/>
      <c r="Y15" s="519"/>
      <c r="Z15" s="535">
        <f t="shared" si="2"/>
        <v>13</v>
      </c>
      <c r="AA15" s="536">
        <f t="shared" si="0"/>
        <v>0</v>
      </c>
      <c r="AB15" s="537">
        <f t="shared" si="3"/>
        <v>208000</v>
      </c>
      <c r="AC15" s="537">
        <f>'CHAM CONG'!V321</f>
        <v>0</v>
      </c>
      <c r="AD15" s="537" t="str">
        <f>'CHAM CONG'!W321</f>
        <v>x</v>
      </c>
      <c r="AE15" s="535">
        <f t="shared" si="4"/>
        <v>1</v>
      </c>
      <c r="AF15" s="537">
        <f t="shared" si="5"/>
        <v>17000</v>
      </c>
      <c r="AG15" s="537">
        <f t="shared" si="6"/>
        <v>13</v>
      </c>
      <c r="AH15" s="537">
        <f t="shared" si="7"/>
        <v>13000</v>
      </c>
      <c r="AI15" s="537">
        <f t="shared" si="8"/>
        <v>238000</v>
      </c>
      <c r="AJ15" s="519">
        <f>'SAN LUONG'!AF322</f>
        <v>255</v>
      </c>
      <c r="AK15" s="519">
        <f>'SAN LUONG'!AG322</f>
        <v>221</v>
      </c>
      <c r="AL15" s="519">
        <f>'SAN LUONG'!AH322</f>
        <v>362</v>
      </c>
      <c r="AM15" s="519">
        <f>'SAN LUONG'!AI322</f>
        <v>409</v>
      </c>
      <c r="AN15" s="553">
        <f t="shared" si="1"/>
        <v>221</v>
      </c>
      <c r="AO15" s="553">
        <f t="shared" si="9"/>
        <v>49106</v>
      </c>
      <c r="AP15" s="553">
        <f t="shared" si="10"/>
        <v>1026</v>
      </c>
      <c r="AQ15" s="553">
        <f t="shared" si="11"/>
        <v>205405</v>
      </c>
      <c r="AR15" s="628">
        <f>'SAN LUONG'!AU228</f>
        <v>0</v>
      </c>
      <c r="AS15" s="629">
        <f t="shared" si="12"/>
        <v>0</v>
      </c>
      <c r="AT15" s="630">
        <f t="shared" si="13"/>
        <v>0</v>
      </c>
      <c r="AU15" s="628">
        <f t="shared" si="14"/>
        <v>16.170000000000002</v>
      </c>
      <c r="AV15" s="556">
        <f t="shared" si="15"/>
        <v>492511</v>
      </c>
      <c r="AW15" s="630"/>
      <c r="AX15" s="564">
        <f t="shared" si="16"/>
        <v>492511</v>
      </c>
      <c r="AY15" s="565"/>
      <c r="AZ15" s="639">
        <f t="shared" si="17"/>
        <v>15.42</v>
      </c>
      <c r="BA15" s="567"/>
    </row>
    <row r="16" spans="1:226" s="483" customFormat="1" ht="37.200000000000003" customHeight="1">
      <c r="A16" s="503">
        <v>7</v>
      </c>
      <c r="B16" s="504">
        <v>9</v>
      </c>
      <c r="C16" s="504">
        <v>350</v>
      </c>
      <c r="D16" s="615">
        <f>'Tên Tháng 1'!B222</f>
        <v>30137</v>
      </c>
      <c r="E16" s="615" t="str">
        <f>'Tên Tháng 1'!C222</f>
        <v>ស្រី</v>
      </c>
      <c r="F16" s="616">
        <f>'Tên Tháng 1'!D222</f>
        <v>220175282</v>
      </c>
      <c r="G16" s="615" t="str">
        <f>'Tên Tháng 1'!E314</f>
        <v>ហ៊ី សុន</v>
      </c>
      <c r="H16" s="615" t="str">
        <f>'Tên Tháng 1'!F314</f>
        <v>HY SON</v>
      </c>
      <c r="I16" s="519" t="str">
        <f>'CHAM CONG'!G322</f>
        <v>x</v>
      </c>
      <c r="J16" s="519" t="str">
        <f>'CHAM CONG'!H322</f>
        <v>x</v>
      </c>
      <c r="K16" s="519" t="str">
        <f>'CHAM CONG'!I322</f>
        <v>x</v>
      </c>
      <c r="L16" s="519">
        <f>'CHAM CONG'!J322</f>
        <v>0</v>
      </c>
      <c r="M16" s="519" t="str">
        <f>'CHAM CONG'!K322</f>
        <v>x</v>
      </c>
      <c r="N16" s="519" t="str">
        <f>'CHAM CONG'!L322</f>
        <v>x</v>
      </c>
      <c r="O16" s="519" t="str">
        <f>'CHAM CONG'!M322</f>
        <v>x</v>
      </c>
      <c r="P16" s="519" t="str">
        <f>'CHAM CONG'!N322</f>
        <v>x</v>
      </c>
      <c r="Q16" s="519" t="str">
        <f>'CHAM CONG'!O322</f>
        <v>x</v>
      </c>
      <c r="R16" s="519" t="str">
        <f>'CHAM CONG'!P322</f>
        <v>x</v>
      </c>
      <c r="S16" s="519">
        <f>'CHAM CONG'!Q322</f>
        <v>0</v>
      </c>
      <c r="T16" s="519" t="str">
        <f>'CHAM CONG'!R322</f>
        <v>x</v>
      </c>
      <c r="U16" s="519" t="str">
        <f>'CHAM CONG'!S322</f>
        <v>x</v>
      </c>
      <c r="V16" s="519" t="str">
        <f>'CHAM CONG'!T322</f>
        <v>x</v>
      </c>
      <c r="W16" s="519" t="str">
        <f>'CHAM CONG'!U322</f>
        <v>x</v>
      </c>
      <c r="X16" s="519"/>
      <c r="Y16" s="519"/>
      <c r="Z16" s="535">
        <f t="shared" si="2"/>
        <v>13</v>
      </c>
      <c r="AA16" s="536">
        <f t="shared" si="0"/>
        <v>0</v>
      </c>
      <c r="AB16" s="537">
        <f t="shared" si="3"/>
        <v>208000</v>
      </c>
      <c r="AC16" s="537" t="str">
        <f>'CHAM CONG'!V322</f>
        <v>x</v>
      </c>
      <c r="AD16" s="537">
        <f>'CHAM CONG'!W322</f>
        <v>0</v>
      </c>
      <c r="AE16" s="535">
        <f t="shared" si="4"/>
        <v>1</v>
      </c>
      <c r="AF16" s="537">
        <f t="shared" si="5"/>
        <v>17000</v>
      </c>
      <c r="AG16" s="537">
        <f t="shared" si="6"/>
        <v>13</v>
      </c>
      <c r="AH16" s="537">
        <f t="shared" si="7"/>
        <v>13000</v>
      </c>
      <c r="AI16" s="537">
        <f t="shared" si="8"/>
        <v>238000</v>
      </c>
      <c r="AJ16" s="519">
        <f>'SAN LUONG'!AF323</f>
        <v>346</v>
      </c>
      <c r="AK16" s="519">
        <f>'SAN LUONG'!AG323</f>
        <v>264</v>
      </c>
      <c r="AL16" s="519">
        <f>'SAN LUONG'!AH323</f>
        <v>211</v>
      </c>
      <c r="AM16" s="519">
        <f>'SAN LUONG'!AI323</f>
        <v>415</v>
      </c>
      <c r="AN16" s="553"/>
      <c r="AO16" s="553">
        <f t="shared" si="9"/>
        <v>0</v>
      </c>
      <c r="AP16" s="553">
        <f t="shared" si="10"/>
        <v>1236</v>
      </c>
      <c r="AQ16" s="553">
        <f t="shared" si="11"/>
        <v>247447</v>
      </c>
      <c r="AR16" s="628">
        <f>'SAN LUONG'!AU229</f>
        <v>0</v>
      </c>
      <c r="AS16" s="629">
        <f t="shared" si="12"/>
        <v>0</v>
      </c>
      <c r="AT16" s="630">
        <f t="shared" si="13"/>
        <v>0</v>
      </c>
      <c r="AU16" s="628">
        <f t="shared" si="14"/>
        <v>15.94</v>
      </c>
      <c r="AV16" s="556">
        <f t="shared" si="15"/>
        <v>485447</v>
      </c>
      <c r="AW16" s="630"/>
      <c r="AX16" s="564">
        <f t="shared" si="16"/>
        <v>485447</v>
      </c>
      <c r="AY16" s="565"/>
      <c r="AZ16" s="639">
        <f t="shared" si="17"/>
        <v>15.2</v>
      </c>
      <c r="BA16" s="567"/>
    </row>
    <row r="17" spans="1:53" s="483" customFormat="1" ht="37.200000000000003" customHeight="1">
      <c r="A17" s="503">
        <v>8</v>
      </c>
      <c r="B17" s="504">
        <v>9</v>
      </c>
      <c r="C17" s="504">
        <v>351</v>
      </c>
      <c r="D17" s="615">
        <f>'Tên Tháng 1'!B223</f>
        <v>33796</v>
      </c>
      <c r="E17" s="615" t="str">
        <f>'Tên Tháng 1'!C223</f>
        <v>ប្រុស</v>
      </c>
      <c r="F17" s="616">
        <f>'Tên Tháng 1'!D223</f>
        <v>150462882</v>
      </c>
      <c r="G17" s="615" t="str">
        <f>'Tên Tháng 1'!E315</f>
        <v>ហោ នាង</v>
      </c>
      <c r="H17" s="615" t="str">
        <f>'Tên Tháng 1'!F315</f>
        <v>HAO NEANG</v>
      </c>
      <c r="I17" s="519" t="str">
        <f>'CHAM CONG'!G323</f>
        <v>x</v>
      </c>
      <c r="J17" s="519" t="str">
        <f>'CHAM CONG'!H323</f>
        <v>x</v>
      </c>
      <c r="K17" s="519" t="str">
        <f>'CHAM CONG'!I323</f>
        <v>x</v>
      </c>
      <c r="L17" s="519">
        <f>'CHAM CONG'!J323</f>
        <v>0</v>
      </c>
      <c r="M17" s="519" t="str">
        <f>'CHAM CONG'!K323</f>
        <v>x</v>
      </c>
      <c r="N17" s="519" t="str">
        <f>'CHAM CONG'!L323</f>
        <v>x</v>
      </c>
      <c r="O17" s="519" t="str">
        <f>'CHAM CONG'!M323</f>
        <v>x</v>
      </c>
      <c r="P17" s="519" t="str">
        <f>'CHAM CONG'!N323</f>
        <v>x</v>
      </c>
      <c r="Q17" s="519" t="str">
        <f>'CHAM CONG'!O323</f>
        <v>x</v>
      </c>
      <c r="R17" s="519" t="str">
        <f>'CHAM CONG'!P323</f>
        <v>x</v>
      </c>
      <c r="S17" s="519">
        <f>'CHAM CONG'!Q323</f>
        <v>0</v>
      </c>
      <c r="T17" s="519" t="str">
        <f>'CHAM CONG'!R323</f>
        <v>x</v>
      </c>
      <c r="U17" s="519" t="str">
        <f>'CHAM CONG'!S323</f>
        <v>x</v>
      </c>
      <c r="V17" s="519" t="str">
        <f>'CHAM CONG'!T323</f>
        <v>x</v>
      </c>
      <c r="W17" s="519" t="str">
        <f>'CHAM CONG'!U323</f>
        <v>x</v>
      </c>
      <c r="X17" s="519"/>
      <c r="Y17" s="519"/>
      <c r="Z17" s="535">
        <f t="shared" si="2"/>
        <v>13</v>
      </c>
      <c r="AA17" s="536">
        <f t="shared" si="0"/>
        <v>0</v>
      </c>
      <c r="AB17" s="537">
        <f t="shared" si="3"/>
        <v>208000</v>
      </c>
      <c r="AC17" s="537" t="str">
        <f>'CHAM CONG'!V323</f>
        <v>x</v>
      </c>
      <c r="AD17" s="537">
        <f>'CHAM CONG'!W323</f>
        <v>0</v>
      </c>
      <c r="AE17" s="535">
        <f t="shared" si="4"/>
        <v>1</v>
      </c>
      <c r="AF17" s="537">
        <f t="shared" si="5"/>
        <v>17000</v>
      </c>
      <c r="AG17" s="537">
        <f t="shared" si="6"/>
        <v>13</v>
      </c>
      <c r="AH17" s="537">
        <f t="shared" si="7"/>
        <v>13000</v>
      </c>
      <c r="AI17" s="537">
        <f t="shared" si="8"/>
        <v>238000</v>
      </c>
      <c r="AJ17" s="519">
        <f>'SAN LUONG'!AF324</f>
        <v>359</v>
      </c>
      <c r="AK17" s="519">
        <f>'SAN LUONG'!AG324</f>
        <v>275</v>
      </c>
      <c r="AL17" s="519">
        <f>'SAN LUONG'!AH324</f>
        <v>214</v>
      </c>
      <c r="AM17" s="519">
        <f>'SAN LUONG'!AI324</f>
        <v>406</v>
      </c>
      <c r="AN17" s="553"/>
      <c r="AO17" s="553">
        <f t="shared" si="9"/>
        <v>0</v>
      </c>
      <c r="AP17" s="553">
        <f t="shared" si="10"/>
        <v>1254</v>
      </c>
      <c r="AQ17" s="553">
        <f t="shared" si="11"/>
        <v>251051</v>
      </c>
      <c r="AR17" s="628">
        <f>'SAN LUONG'!AU230</f>
        <v>0</v>
      </c>
      <c r="AS17" s="629">
        <f t="shared" si="12"/>
        <v>0</v>
      </c>
      <c r="AT17" s="630">
        <f t="shared" si="13"/>
        <v>0</v>
      </c>
      <c r="AU17" s="628">
        <f t="shared" si="14"/>
        <v>16.059999999999999</v>
      </c>
      <c r="AV17" s="556">
        <f t="shared" si="15"/>
        <v>489051</v>
      </c>
      <c r="AW17" s="630"/>
      <c r="AX17" s="564">
        <f t="shared" si="16"/>
        <v>489051</v>
      </c>
      <c r="AY17" s="565"/>
      <c r="AZ17" s="639">
        <f t="shared" si="17"/>
        <v>15.31</v>
      </c>
      <c r="BA17" s="567"/>
    </row>
    <row r="18" spans="1:53" s="483" customFormat="1" ht="37.200000000000003" customHeight="1">
      <c r="A18" s="503">
        <v>9</v>
      </c>
      <c r="B18" s="504">
        <v>9</v>
      </c>
      <c r="C18" s="504">
        <v>352</v>
      </c>
      <c r="D18" s="615">
        <f>'Tên Tháng 1'!B224</f>
        <v>29118</v>
      </c>
      <c r="E18" s="615" t="str">
        <f>'Tên Tháng 1'!C224</f>
        <v>ស្រី</v>
      </c>
      <c r="F18" s="616">
        <f>'Tên Tháng 1'!D224</f>
        <v>150306224</v>
      </c>
      <c r="G18" s="615" t="str">
        <f>'Tên Tháng 1'!E316</f>
        <v>ប៉ិន ប៉ីន</v>
      </c>
      <c r="H18" s="615" t="str">
        <f>'Tên Tháng 1'!F316</f>
        <v>BIN BEN</v>
      </c>
      <c r="I18" s="519" t="str">
        <f>'CHAM CONG'!G324</f>
        <v>x</v>
      </c>
      <c r="J18" s="519" t="str">
        <f>'CHAM CONG'!H324</f>
        <v>x</v>
      </c>
      <c r="K18" s="519" t="str">
        <f>'CHAM CONG'!I324</f>
        <v>x</v>
      </c>
      <c r="L18" s="519" t="str">
        <f>'CHAM CONG'!J324</f>
        <v>x</v>
      </c>
      <c r="M18" s="519" t="str">
        <f>'CHAM CONG'!K324</f>
        <v>x</v>
      </c>
      <c r="N18" s="519" t="str">
        <f>'CHAM CONG'!L324</f>
        <v>x</v>
      </c>
      <c r="O18" s="519" t="str">
        <f>'CHAM CONG'!M324</f>
        <v>x</v>
      </c>
      <c r="P18" s="519" t="str">
        <f>'CHAM CONG'!N324</f>
        <v>x</v>
      </c>
      <c r="Q18" s="519" t="str">
        <f>'CHAM CONG'!O324</f>
        <v>x</v>
      </c>
      <c r="R18" s="519">
        <f>'CHAM CONG'!P324</f>
        <v>0</v>
      </c>
      <c r="S18" s="519" t="str">
        <f>'CHAM CONG'!Q324</f>
        <v>x</v>
      </c>
      <c r="T18" s="519" t="str">
        <f>'CHAM CONG'!R324</f>
        <v>x</v>
      </c>
      <c r="U18" s="519" t="str">
        <f>'CHAM CONG'!S324</f>
        <v>x</v>
      </c>
      <c r="V18" s="519" t="str">
        <f>'CHAM CONG'!T324</f>
        <v>x</v>
      </c>
      <c r="W18" s="519" t="str">
        <f>'CHAM CONG'!U324</f>
        <v>x</v>
      </c>
      <c r="X18" s="519"/>
      <c r="Y18" s="519"/>
      <c r="Z18" s="535">
        <f t="shared" si="2"/>
        <v>14</v>
      </c>
      <c r="AA18" s="536">
        <f t="shared" si="0"/>
        <v>0</v>
      </c>
      <c r="AB18" s="537">
        <f t="shared" si="3"/>
        <v>224000</v>
      </c>
      <c r="AC18" s="537" t="str">
        <f>'CHAM CONG'!V324</f>
        <v>x</v>
      </c>
      <c r="AD18" s="537" t="str">
        <f>'CHAM CONG'!W324</f>
        <v>x</v>
      </c>
      <c r="AE18" s="535">
        <f t="shared" si="4"/>
        <v>2</v>
      </c>
      <c r="AF18" s="537">
        <f t="shared" si="5"/>
        <v>34000</v>
      </c>
      <c r="AG18" s="537">
        <f t="shared" si="6"/>
        <v>14</v>
      </c>
      <c r="AH18" s="537">
        <f t="shared" si="7"/>
        <v>14000</v>
      </c>
      <c r="AI18" s="537">
        <f t="shared" si="8"/>
        <v>272000</v>
      </c>
      <c r="AJ18" s="519">
        <f>'SAN LUONG'!AF325</f>
        <v>339</v>
      </c>
      <c r="AK18" s="519">
        <f>'SAN LUONG'!AG325</f>
        <v>298</v>
      </c>
      <c r="AL18" s="519">
        <f>'SAN LUONG'!AH325</f>
        <v>536</v>
      </c>
      <c r="AM18" s="519">
        <f>'SAN LUONG'!AI325</f>
        <v>476</v>
      </c>
      <c r="AN18" s="553"/>
      <c r="AO18" s="553">
        <f t="shared" si="9"/>
        <v>0</v>
      </c>
      <c r="AP18" s="553">
        <f t="shared" si="10"/>
        <v>1649</v>
      </c>
      <c r="AQ18" s="553">
        <f t="shared" si="11"/>
        <v>330130</v>
      </c>
      <c r="AR18" s="628">
        <f>'SAN LUONG'!AU231</f>
        <v>0</v>
      </c>
      <c r="AS18" s="629">
        <f t="shared" si="12"/>
        <v>0</v>
      </c>
      <c r="AT18" s="630">
        <f t="shared" si="13"/>
        <v>0</v>
      </c>
      <c r="AU18" s="628">
        <f t="shared" si="14"/>
        <v>19.77</v>
      </c>
      <c r="AV18" s="556">
        <f t="shared" si="15"/>
        <v>602130</v>
      </c>
      <c r="AW18" s="630"/>
      <c r="AX18" s="564">
        <f t="shared" si="16"/>
        <v>602130</v>
      </c>
      <c r="AY18" s="565"/>
      <c r="AZ18" s="639">
        <f t="shared" si="17"/>
        <v>18.850000000000001</v>
      </c>
      <c r="BA18" s="567"/>
    </row>
    <row r="19" spans="1:53" s="483" customFormat="1" ht="37.200000000000003" customHeight="1">
      <c r="A19" s="503">
        <v>10</v>
      </c>
      <c r="B19" s="504">
        <v>9</v>
      </c>
      <c r="C19" s="504">
        <v>353</v>
      </c>
      <c r="D19" s="615" t="str">
        <f>'Tên Tháng 1'!B225</f>
        <v>16/01/1990</v>
      </c>
      <c r="E19" s="615" t="str">
        <f>'Tên Tháng 1'!C225</f>
        <v>ស្រី</v>
      </c>
      <c r="F19" s="616">
        <f>'Tên Tháng 1'!D225</f>
        <v>220234400</v>
      </c>
      <c r="G19" s="615" t="str">
        <f>'Tên Tháng 1'!E317</f>
        <v>ហង់ ទីន</v>
      </c>
      <c r="H19" s="615" t="str">
        <f>'Tên Tháng 1'!F317</f>
        <v>HANG TIN</v>
      </c>
      <c r="I19" s="519" t="str">
        <f>'CHAM CONG'!G325</f>
        <v>x</v>
      </c>
      <c r="J19" s="519" t="str">
        <f>'CHAM CONG'!H325</f>
        <v>x</v>
      </c>
      <c r="K19" s="519" t="str">
        <f>'CHAM CONG'!I325</f>
        <v>x</v>
      </c>
      <c r="L19" s="519">
        <f>'CHAM CONG'!J325</f>
        <v>0</v>
      </c>
      <c r="M19" s="519">
        <f>'CHAM CONG'!K325</f>
        <v>0</v>
      </c>
      <c r="N19" s="519" t="str">
        <f>'CHAM CONG'!L325</f>
        <v>x</v>
      </c>
      <c r="O19" s="519" t="str">
        <f>'CHAM CONG'!M325</f>
        <v>x</v>
      </c>
      <c r="P19" s="519" t="str">
        <f>'CHAM CONG'!N325</f>
        <v>x</v>
      </c>
      <c r="Q19" s="519" t="str">
        <f>'CHAM CONG'!O325</f>
        <v>x</v>
      </c>
      <c r="R19" s="519" t="str">
        <f>'CHAM CONG'!P325</f>
        <v>x</v>
      </c>
      <c r="S19" s="519" t="str">
        <f>'CHAM CONG'!Q325</f>
        <v>x</v>
      </c>
      <c r="T19" s="519" t="str">
        <f>'CHAM CONG'!R325</f>
        <v>x</v>
      </c>
      <c r="U19" s="519" t="str">
        <f>'CHAM CONG'!S325</f>
        <v>x</v>
      </c>
      <c r="V19" s="519" t="str">
        <f>'CHAM CONG'!T325</f>
        <v>x</v>
      </c>
      <c r="W19" s="519" t="str">
        <f>'CHAM CONG'!U325</f>
        <v>x</v>
      </c>
      <c r="X19" s="519"/>
      <c r="Y19" s="519"/>
      <c r="Z19" s="535">
        <f t="shared" si="2"/>
        <v>13</v>
      </c>
      <c r="AA19" s="536">
        <f t="shared" si="0"/>
        <v>0</v>
      </c>
      <c r="AB19" s="537">
        <f t="shared" si="3"/>
        <v>208000</v>
      </c>
      <c r="AC19" s="537" t="str">
        <f>'CHAM CONG'!V325</f>
        <v>x</v>
      </c>
      <c r="AD19" s="537">
        <f>'CHAM CONG'!W325</f>
        <v>0</v>
      </c>
      <c r="AE19" s="535">
        <f t="shared" si="4"/>
        <v>1</v>
      </c>
      <c r="AF19" s="537">
        <f t="shared" si="5"/>
        <v>17000</v>
      </c>
      <c r="AG19" s="537">
        <f t="shared" si="6"/>
        <v>13</v>
      </c>
      <c r="AH19" s="537">
        <f t="shared" si="7"/>
        <v>13000</v>
      </c>
      <c r="AI19" s="537">
        <f t="shared" si="8"/>
        <v>238000</v>
      </c>
      <c r="AJ19" s="519">
        <f>'SAN LUONG'!AF326</f>
        <v>107</v>
      </c>
      <c r="AK19" s="519">
        <f>'SAN LUONG'!AG326</f>
        <v>281</v>
      </c>
      <c r="AL19" s="519">
        <f>'SAN LUONG'!AH326</f>
        <v>472</v>
      </c>
      <c r="AM19" s="519">
        <f>'SAN LUONG'!AI326</f>
        <v>471</v>
      </c>
      <c r="AN19" s="553"/>
      <c r="AO19" s="553">
        <f t="shared" si="9"/>
        <v>0</v>
      </c>
      <c r="AP19" s="553">
        <f t="shared" si="10"/>
        <v>1331</v>
      </c>
      <c r="AQ19" s="553">
        <f t="shared" si="11"/>
        <v>266466</v>
      </c>
      <c r="AR19" s="628">
        <f>'SAN LUONG'!AU232</f>
        <v>0</v>
      </c>
      <c r="AS19" s="629">
        <f t="shared" si="12"/>
        <v>0</v>
      </c>
      <c r="AT19" s="630">
        <f t="shared" si="13"/>
        <v>0</v>
      </c>
      <c r="AU19" s="628">
        <f t="shared" si="14"/>
        <v>16.559999999999999</v>
      </c>
      <c r="AV19" s="556">
        <f t="shared" si="15"/>
        <v>504466</v>
      </c>
      <c r="AW19" s="630"/>
      <c r="AX19" s="564">
        <f t="shared" si="16"/>
        <v>504466</v>
      </c>
      <c r="AY19" s="565"/>
      <c r="AZ19" s="639">
        <f t="shared" si="17"/>
        <v>15.79</v>
      </c>
      <c r="BA19" s="567"/>
    </row>
    <row r="20" spans="1:53" s="483" customFormat="1" ht="37.200000000000003" customHeight="1">
      <c r="A20" s="503">
        <v>11</v>
      </c>
      <c r="B20" s="504">
        <v>9</v>
      </c>
      <c r="C20" s="504">
        <v>354</v>
      </c>
      <c r="D20" s="615">
        <f>'Tên Tháng 1'!B226</f>
        <v>29636</v>
      </c>
      <c r="E20" s="615" t="str">
        <f>'Tên Tháng 1'!C226</f>
        <v>ប្រុស</v>
      </c>
      <c r="F20" s="616" t="str">
        <f>'Tên Tháng 1'!D226</f>
        <v>150306223</v>
      </c>
      <c r="G20" s="615" t="str">
        <f>'Tên Tháng 1'!E318</f>
        <v>ខឿន ខេន</v>
      </c>
      <c r="H20" s="615" t="str">
        <f>'Tên Tháng 1'!F318</f>
        <v>KHOEUN KHEN</v>
      </c>
      <c r="I20" s="519" t="str">
        <f>'CHAM CONG'!G326</f>
        <v>x</v>
      </c>
      <c r="J20" s="519" t="str">
        <f>'CHAM CONG'!H326</f>
        <v>x</v>
      </c>
      <c r="K20" s="519" t="str">
        <f>'CHAM CONG'!I326</f>
        <v>x</v>
      </c>
      <c r="L20" s="519">
        <f>'CHAM CONG'!J326</f>
        <v>0</v>
      </c>
      <c r="M20" s="519">
        <f>'CHAM CONG'!K326</f>
        <v>0</v>
      </c>
      <c r="N20" s="519" t="str">
        <f>'CHAM CONG'!L326</f>
        <v>x</v>
      </c>
      <c r="O20" s="519" t="str">
        <f>'CHAM CONG'!M326</f>
        <v>x</v>
      </c>
      <c r="P20" s="519" t="str">
        <f>'CHAM CONG'!N326</f>
        <v>x</v>
      </c>
      <c r="Q20" s="519" t="str">
        <f>'CHAM CONG'!O326</f>
        <v>x</v>
      </c>
      <c r="R20" s="519" t="str">
        <f>'CHAM CONG'!P326</f>
        <v>x</v>
      </c>
      <c r="S20" s="519" t="str">
        <f>'CHAM CONG'!Q326</f>
        <v>x</v>
      </c>
      <c r="T20" s="519" t="str">
        <f>'CHAM CONG'!R326</f>
        <v>x</v>
      </c>
      <c r="U20" s="519" t="str">
        <f>'CHAM CONG'!S326</f>
        <v>x</v>
      </c>
      <c r="V20" s="519" t="str">
        <f>'CHAM CONG'!T326</f>
        <v>x</v>
      </c>
      <c r="W20" s="519" t="str">
        <f>'CHAM CONG'!U326</f>
        <v>x</v>
      </c>
      <c r="X20" s="519"/>
      <c r="Y20" s="519"/>
      <c r="Z20" s="535">
        <f t="shared" si="2"/>
        <v>13</v>
      </c>
      <c r="AA20" s="536">
        <f t="shared" si="0"/>
        <v>0</v>
      </c>
      <c r="AB20" s="537">
        <f t="shared" si="3"/>
        <v>208000</v>
      </c>
      <c r="AC20" s="537" t="str">
        <f>'CHAM CONG'!V326</f>
        <v>x</v>
      </c>
      <c r="AD20" s="537">
        <f>'CHAM CONG'!W326</f>
        <v>0</v>
      </c>
      <c r="AE20" s="535">
        <f t="shared" si="4"/>
        <v>1</v>
      </c>
      <c r="AF20" s="537">
        <f t="shared" si="5"/>
        <v>17000</v>
      </c>
      <c r="AG20" s="537">
        <f t="shared" si="6"/>
        <v>13</v>
      </c>
      <c r="AH20" s="537">
        <f t="shared" si="7"/>
        <v>13000</v>
      </c>
      <c r="AI20" s="537">
        <f t="shared" si="8"/>
        <v>238000</v>
      </c>
      <c r="AJ20" s="519">
        <f>'SAN LUONG'!AF327</f>
        <v>197</v>
      </c>
      <c r="AK20" s="519">
        <f>'SAN LUONG'!AG327</f>
        <v>251</v>
      </c>
      <c r="AL20" s="519">
        <f>'SAN LUONG'!AH327</f>
        <v>352</v>
      </c>
      <c r="AM20" s="519">
        <f>'SAN LUONG'!AI327</f>
        <v>480</v>
      </c>
      <c r="AN20" s="553"/>
      <c r="AO20" s="553">
        <f t="shared" si="9"/>
        <v>0</v>
      </c>
      <c r="AP20" s="553">
        <f t="shared" si="10"/>
        <v>1280</v>
      </c>
      <c r="AQ20" s="553">
        <f t="shared" si="11"/>
        <v>256256</v>
      </c>
      <c r="AR20" s="628">
        <f>'SAN LUONG'!AU233</f>
        <v>0</v>
      </c>
      <c r="AS20" s="629">
        <f t="shared" si="12"/>
        <v>0</v>
      </c>
      <c r="AT20" s="630">
        <f t="shared" si="13"/>
        <v>0</v>
      </c>
      <c r="AU20" s="628">
        <f t="shared" si="14"/>
        <v>16.23</v>
      </c>
      <c r="AV20" s="556">
        <f t="shared" si="15"/>
        <v>494256</v>
      </c>
      <c r="AW20" s="630"/>
      <c r="AX20" s="564">
        <f t="shared" si="16"/>
        <v>494256</v>
      </c>
      <c r="AY20" s="565"/>
      <c r="AZ20" s="639">
        <f t="shared" si="17"/>
        <v>15.47</v>
      </c>
      <c r="BA20" s="567"/>
    </row>
    <row r="21" spans="1:53" s="483" customFormat="1" ht="37.200000000000003" customHeight="1">
      <c r="A21" s="503">
        <v>12</v>
      </c>
      <c r="B21" s="504">
        <v>9</v>
      </c>
      <c r="C21" s="504">
        <v>355</v>
      </c>
      <c r="D21" s="615">
        <f>'Tên Tháng 1'!B227</f>
        <v>35695</v>
      </c>
      <c r="E21" s="615" t="str">
        <f>'Tên Tháng 1'!C227</f>
        <v>ស្រី</v>
      </c>
      <c r="F21" s="616">
        <f>'Tên Tháng 1'!D227</f>
        <v>150588184</v>
      </c>
      <c r="G21" s="615" t="str">
        <f>'Tên Tháng 1'!E319</f>
        <v>យ៉ុង កាញ់</v>
      </c>
      <c r="H21" s="615" t="str">
        <f>'Tên Tháng 1'!F319</f>
        <v>YONG KANH</v>
      </c>
      <c r="I21" s="519" t="str">
        <f>'CHAM CONG'!G327</f>
        <v>x</v>
      </c>
      <c r="J21" s="519" t="str">
        <f>'CHAM CONG'!H327</f>
        <v>x</v>
      </c>
      <c r="K21" s="519" t="str">
        <f>'CHAM CONG'!I327</f>
        <v>x</v>
      </c>
      <c r="L21" s="519">
        <f>'CHAM CONG'!J327</f>
        <v>0</v>
      </c>
      <c r="M21" s="519">
        <f>'CHAM CONG'!K327</f>
        <v>0</v>
      </c>
      <c r="N21" s="519" t="str">
        <f>'CHAM CONG'!L327</f>
        <v>x</v>
      </c>
      <c r="O21" s="519" t="str">
        <f>'CHAM CONG'!M327</f>
        <v>x</v>
      </c>
      <c r="P21" s="519" t="str">
        <f>'CHAM CONG'!N327</f>
        <v>x</v>
      </c>
      <c r="Q21" s="519" t="str">
        <f>'CHAM CONG'!O327</f>
        <v>x</v>
      </c>
      <c r="R21" s="519" t="str">
        <f>'CHAM CONG'!P327</f>
        <v>x</v>
      </c>
      <c r="S21" s="519" t="str">
        <f>'CHAM CONG'!Q327</f>
        <v>x</v>
      </c>
      <c r="T21" s="519" t="str">
        <f>'CHAM CONG'!R327</f>
        <v>x</v>
      </c>
      <c r="U21" s="519" t="str">
        <f>'CHAM CONG'!S327</f>
        <v>x</v>
      </c>
      <c r="V21" s="519" t="str">
        <f>'CHAM CONG'!T327</f>
        <v>x</v>
      </c>
      <c r="W21" s="519" t="str">
        <f>'CHAM CONG'!U327</f>
        <v>x</v>
      </c>
      <c r="X21" s="519"/>
      <c r="Y21" s="519"/>
      <c r="Z21" s="535">
        <f t="shared" si="2"/>
        <v>13</v>
      </c>
      <c r="AA21" s="536">
        <f t="shared" si="0"/>
        <v>0</v>
      </c>
      <c r="AB21" s="537">
        <f t="shared" si="3"/>
        <v>208000</v>
      </c>
      <c r="AC21" s="537">
        <f>'CHAM CONG'!V327</f>
        <v>0</v>
      </c>
      <c r="AD21" s="537" t="str">
        <f>'CHAM CONG'!W327</f>
        <v>x</v>
      </c>
      <c r="AE21" s="535">
        <f t="shared" si="4"/>
        <v>1</v>
      </c>
      <c r="AF21" s="537">
        <f t="shared" si="5"/>
        <v>17000</v>
      </c>
      <c r="AG21" s="537">
        <f t="shared" si="6"/>
        <v>13</v>
      </c>
      <c r="AH21" s="537">
        <f t="shared" si="7"/>
        <v>13000</v>
      </c>
      <c r="AI21" s="537">
        <f t="shared" si="8"/>
        <v>238000</v>
      </c>
      <c r="AJ21" s="519">
        <f>'SAN LUONG'!AF328</f>
        <v>110</v>
      </c>
      <c r="AK21" s="519">
        <f>'SAN LUONG'!AG328</f>
        <v>248</v>
      </c>
      <c r="AL21" s="519">
        <f>'SAN LUONG'!AH328</f>
        <v>403</v>
      </c>
      <c r="AM21" s="519">
        <f>'SAN LUONG'!AI328</f>
        <v>401</v>
      </c>
      <c r="AN21" s="553"/>
      <c r="AO21" s="553">
        <f t="shared" si="9"/>
        <v>0</v>
      </c>
      <c r="AP21" s="553">
        <f t="shared" si="10"/>
        <v>1162</v>
      </c>
      <c r="AQ21" s="553">
        <f t="shared" si="11"/>
        <v>232632</v>
      </c>
      <c r="AR21" s="628">
        <f>'SAN LUONG'!AU234</f>
        <v>0</v>
      </c>
      <c r="AS21" s="629">
        <f t="shared" si="12"/>
        <v>0</v>
      </c>
      <c r="AT21" s="630">
        <f t="shared" si="13"/>
        <v>0</v>
      </c>
      <c r="AU21" s="628">
        <f t="shared" si="14"/>
        <v>15.45</v>
      </c>
      <c r="AV21" s="556">
        <f t="shared" si="15"/>
        <v>470632</v>
      </c>
      <c r="AW21" s="630"/>
      <c r="AX21" s="564">
        <f t="shared" si="16"/>
        <v>470632</v>
      </c>
      <c r="AY21" s="565"/>
      <c r="AZ21" s="639">
        <f t="shared" si="17"/>
        <v>14.73</v>
      </c>
      <c r="BA21" s="567"/>
    </row>
    <row r="22" spans="1:53" s="483" customFormat="1" ht="37.200000000000003" customHeight="1">
      <c r="A22" s="503">
        <v>13</v>
      </c>
      <c r="B22" s="504">
        <v>9</v>
      </c>
      <c r="C22" s="504">
        <v>356</v>
      </c>
      <c r="D22" s="615">
        <f>'Tên Tháng 1'!B228</f>
        <v>33121</v>
      </c>
      <c r="E22" s="615" t="str">
        <f>'Tên Tháng 1'!C228</f>
        <v>ប្រុស</v>
      </c>
      <c r="F22" s="616">
        <f>'Tên Tháng 1'!D228</f>
        <v>150421333</v>
      </c>
      <c r="G22" s="615" t="str">
        <f>'Tên Tháng 1'!E320</f>
        <v>ញ៉ិប អេន</v>
      </c>
      <c r="H22" s="615" t="str">
        <f>'Tên Tháng 1'!F320</f>
        <v>NHIB EN</v>
      </c>
      <c r="I22" s="519" t="str">
        <f>'CHAM CONG'!G328</f>
        <v>x</v>
      </c>
      <c r="J22" s="519" t="str">
        <f>'CHAM CONG'!H328</f>
        <v>x</v>
      </c>
      <c r="K22" s="519" t="str">
        <f>'CHAM CONG'!I328</f>
        <v>x</v>
      </c>
      <c r="L22" s="519">
        <f>'CHAM CONG'!J328</f>
        <v>0</v>
      </c>
      <c r="M22" s="519" t="str">
        <f>'CHAM CONG'!K328</f>
        <v>x</v>
      </c>
      <c r="N22" s="519" t="str">
        <f>'CHAM CONG'!L328</f>
        <v>x</v>
      </c>
      <c r="O22" s="519" t="str">
        <f>'CHAM CONG'!M328</f>
        <v>x</v>
      </c>
      <c r="P22" s="519" t="str">
        <f>'CHAM CONG'!N328</f>
        <v>x</v>
      </c>
      <c r="Q22" s="519" t="str">
        <f>'CHAM CONG'!O328</f>
        <v>x</v>
      </c>
      <c r="R22" s="519" t="str">
        <f>'CHAM CONG'!P328</f>
        <v>x</v>
      </c>
      <c r="S22" s="519">
        <f>'CHAM CONG'!Q328</f>
        <v>0</v>
      </c>
      <c r="T22" s="519" t="str">
        <f>'CHAM CONG'!R328</f>
        <v>x</v>
      </c>
      <c r="U22" s="519" t="str">
        <f>'CHAM CONG'!S328</f>
        <v>x</v>
      </c>
      <c r="V22" s="519" t="str">
        <f>'CHAM CONG'!T328</f>
        <v>x</v>
      </c>
      <c r="W22" s="519" t="str">
        <f>'CHAM CONG'!U328</f>
        <v>x</v>
      </c>
      <c r="X22" s="519"/>
      <c r="Y22" s="519"/>
      <c r="Z22" s="535">
        <f t="shared" si="2"/>
        <v>13</v>
      </c>
      <c r="AA22" s="536">
        <f t="shared" si="0"/>
        <v>0</v>
      </c>
      <c r="AB22" s="537">
        <f t="shared" si="3"/>
        <v>208000</v>
      </c>
      <c r="AC22" s="537" t="str">
        <f>'CHAM CONG'!V328</f>
        <v>x</v>
      </c>
      <c r="AD22" s="537" t="str">
        <f>'CHAM CONG'!W328</f>
        <v>x</v>
      </c>
      <c r="AE22" s="535">
        <f t="shared" si="4"/>
        <v>2</v>
      </c>
      <c r="AF22" s="537">
        <f t="shared" si="5"/>
        <v>34000</v>
      </c>
      <c r="AG22" s="537">
        <f t="shared" si="6"/>
        <v>13</v>
      </c>
      <c r="AH22" s="537">
        <f t="shared" si="7"/>
        <v>13000</v>
      </c>
      <c r="AI22" s="537">
        <f t="shared" si="8"/>
        <v>255000</v>
      </c>
      <c r="AJ22" s="519">
        <f>'SAN LUONG'!AF329</f>
        <v>0</v>
      </c>
      <c r="AK22" s="519">
        <f>'SAN LUONG'!AG329</f>
        <v>0</v>
      </c>
      <c r="AL22" s="519">
        <f>'SAN LUONG'!AH329</f>
        <v>543</v>
      </c>
      <c r="AM22" s="519">
        <f>'SAN LUONG'!AI329</f>
        <v>805</v>
      </c>
      <c r="AN22" s="553"/>
      <c r="AO22" s="553">
        <f t="shared" si="9"/>
        <v>0</v>
      </c>
      <c r="AP22" s="553">
        <f t="shared" si="10"/>
        <v>1348</v>
      </c>
      <c r="AQ22" s="553">
        <f t="shared" si="11"/>
        <v>269870</v>
      </c>
      <c r="AR22" s="628">
        <f>'SAN LUONG'!AU235</f>
        <v>0</v>
      </c>
      <c r="AS22" s="629">
        <f t="shared" si="12"/>
        <v>0</v>
      </c>
      <c r="AT22" s="630">
        <f t="shared" si="13"/>
        <v>0</v>
      </c>
      <c r="AU22" s="628">
        <f t="shared" si="14"/>
        <v>17.23</v>
      </c>
      <c r="AV22" s="556">
        <f t="shared" si="15"/>
        <v>524870</v>
      </c>
      <c r="AW22" s="630"/>
      <c r="AX22" s="564">
        <f t="shared" si="16"/>
        <v>524870</v>
      </c>
      <c r="AY22" s="565"/>
      <c r="AZ22" s="639">
        <f t="shared" si="17"/>
        <v>16.43</v>
      </c>
      <c r="BA22" s="567"/>
    </row>
    <row r="23" spans="1:53" s="483" customFormat="1" ht="37.200000000000003" customHeight="1">
      <c r="A23" s="503">
        <v>14</v>
      </c>
      <c r="B23" s="504">
        <v>9</v>
      </c>
      <c r="C23" s="504">
        <v>357</v>
      </c>
      <c r="D23" s="615">
        <f>'Tên Tháng 1'!B229</f>
        <v>36559</v>
      </c>
      <c r="E23" s="615" t="str">
        <f>'Tên Tháng 1'!C229</f>
        <v>ស្រី</v>
      </c>
      <c r="F23" s="616">
        <f>'Tên Tháng 1'!D229</f>
        <v>220140704</v>
      </c>
      <c r="G23" s="615" t="str">
        <f>'Tên Tháng 1'!E321</f>
        <v>ងិន យុត</v>
      </c>
      <c r="H23" s="615" t="str">
        <f>'Tên Tháng 1'!F321</f>
        <v>NGIN YUT</v>
      </c>
      <c r="I23" s="519" t="str">
        <f>'CHAM CONG'!G329</f>
        <v>x</v>
      </c>
      <c r="J23" s="519" t="str">
        <f>'CHAM CONG'!H329</f>
        <v>x</v>
      </c>
      <c r="K23" s="519" t="str">
        <f>'CHAM CONG'!I329</f>
        <v>x</v>
      </c>
      <c r="L23" s="519">
        <f>'CHAM CONG'!J329</f>
        <v>0</v>
      </c>
      <c r="M23" s="519" t="str">
        <f>'CHAM CONG'!K329</f>
        <v>x</v>
      </c>
      <c r="N23" s="519" t="str">
        <f>'CHAM CONG'!L329</f>
        <v>x</v>
      </c>
      <c r="O23" s="519" t="str">
        <f>'CHAM CONG'!M329</f>
        <v>x</v>
      </c>
      <c r="P23" s="519" t="str">
        <f>'CHAM CONG'!N329</f>
        <v>x</v>
      </c>
      <c r="Q23" s="519" t="str">
        <f>'CHAM CONG'!O329</f>
        <v>x</v>
      </c>
      <c r="R23" s="519" t="str">
        <f>'CHAM CONG'!P329</f>
        <v>x</v>
      </c>
      <c r="S23" s="519" t="str">
        <f>'CHAM CONG'!Q329</f>
        <v>x</v>
      </c>
      <c r="T23" s="519" t="str">
        <f>'CHAM CONG'!R329</f>
        <v>x</v>
      </c>
      <c r="U23" s="519" t="str">
        <f>'CHAM CONG'!S329</f>
        <v>x</v>
      </c>
      <c r="V23" s="519" t="str">
        <f>'CHAM CONG'!T329</f>
        <v>x</v>
      </c>
      <c r="W23" s="519" t="str">
        <f>'CHAM CONG'!U329</f>
        <v>x</v>
      </c>
      <c r="X23" s="519"/>
      <c r="Y23" s="519"/>
      <c r="Z23" s="535">
        <f t="shared" si="2"/>
        <v>14</v>
      </c>
      <c r="AA23" s="536">
        <f t="shared" si="0"/>
        <v>0</v>
      </c>
      <c r="AB23" s="537">
        <f t="shared" si="3"/>
        <v>224000</v>
      </c>
      <c r="AC23" s="537" t="str">
        <f>'CHAM CONG'!V329</f>
        <v>x</v>
      </c>
      <c r="AD23" s="537" t="str">
        <f>'CHAM CONG'!W329</f>
        <v>x</v>
      </c>
      <c r="AE23" s="535">
        <f t="shared" si="4"/>
        <v>2</v>
      </c>
      <c r="AF23" s="537">
        <f t="shared" si="5"/>
        <v>34000</v>
      </c>
      <c r="AG23" s="537">
        <f t="shared" si="6"/>
        <v>14</v>
      </c>
      <c r="AH23" s="537">
        <f t="shared" si="7"/>
        <v>14000</v>
      </c>
      <c r="AI23" s="537">
        <f t="shared" si="8"/>
        <v>272000</v>
      </c>
      <c r="AJ23" s="519">
        <f>'SAN LUONG'!AF330</f>
        <v>284</v>
      </c>
      <c r="AK23" s="519">
        <f>'SAN LUONG'!AG330</f>
        <v>307</v>
      </c>
      <c r="AL23" s="519">
        <f>'SAN LUONG'!AH330</f>
        <v>428</v>
      </c>
      <c r="AM23" s="519">
        <f>'SAN LUONG'!AI330</f>
        <v>444</v>
      </c>
      <c r="AN23" s="553"/>
      <c r="AO23" s="553">
        <f t="shared" si="9"/>
        <v>0</v>
      </c>
      <c r="AP23" s="553">
        <f t="shared" si="10"/>
        <v>1463</v>
      </c>
      <c r="AQ23" s="553">
        <f t="shared" si="11"/>
        <v>292893</v>
      </c>
      <c r="AR23" s="628">
        <f>'SAN LUONG'!AU236</f>
        <v>0</v>
      </c>
      <c r="AS23" s="629">
        <f t="shared" si="12"/>
        <v>0</v>
      </c>
      <c r="AT23" s="630">
        <f t="shared" si="13"/>
        <v>0</v>
      </c>
      <c r="AU23" s="628">
        <f t="shared" si="14"/>
        <v>18.55</v>
      </c>
      <c r="AV23" s="556">
        <f t="shared" si="15"/>
        <v>564893</v>
      </c>
      <c r="AW23" s="630"/>
      <c r="AX23" s="564">
        <f t="shared" si="16"/>
        <v>564893</v>
      </c>
      <c r="AY23" s="565"/>
      <c r="AZ23" s="639">
        <f t="shared" si="17"/>
        <v>17.68</v>
      </c>
      <c r="BA23" s="567"/>
    </row>
    <row r="24" spans="1:53" s="483" customFormat="1" ht="37.200000000000003" customHeight="1">
      <c r="A24" s="503">
        <v>15</v>
      </c>
      <c r="B24" s="504">
        <v>9</v>
      </c>
      <c r="C24" s="504">
        <v>358</v>
      </c>
      <c r="D24" s="615">
        <f>'Tên Tháng 1'!B230</f>
        <v>34794</v>
      </c>
      <c r="E24" s="615" t="str">
        <f>'Tên Tháng 1'!C230</f>
        <v>ស្រី</v>
      </c>
      <c r="F24" s="616">
        <f>'Tên Tháng 1'!D230</f>
        <v>220137727</v>
      </c>
      <c r="G24" s="615" t="str">
        <f>'Tên Tháng 1'!E322</f>
        <v>ឃួន ឃីម</v>
      </c>
      <c r="H24" s="615" t="str">
        <f>'Tên Tháng 1'!F322</f>
        <v>KHOUN KHIM</v>
      </c>
      <c r="I24" s="519" t="str">
        <f>'CHAM CONG'!G330</f>
        <v>x</v>
      </c>
      <c r="J24" s="519" t="str">
        <f>'CHAM CONG'!H330</f>
        <v>x</v>
      </c>
      <c r="K24" s="519" t="str">
        <f>'CHAM CONG'!I330</f>
        <v>x</v>
      </c>
      <c r="L24" s="519" t="str">
        <f>'CHAM CONG'!J330</f>
        <v>x</v>
      </c>
      <c r="M24" s="519" t="str">
        <f>'CHAM CONG'!K330</f>
        <v>x</v>
      </c>
      <c r="N24" s="519" t="str">
        <f>'CHAM CONG'!L330</f>
        <v>x</v>
      </c>
      <c r="O24" s="519" t="str">
        <f>'CHAM CONG'!M330</f>
        <v>x</v>
      </c>
      <c r="P24" s="519" t="str">
        <f>'CHAM CONG'!N330</f>
        <v>x</v>
      </c>
      <c r="Q24" s="519" t="str">
        <f>'CHAM CONG'!O330</f>
        <v>x</v>
      </c>
      <c r="R24" s="519" t="str">
        <f>'CHAM CONG'!P330</f>
        <v>x</v>
      </c>
      <c r="S24" s="519" t="str">
        <f>'CHAM CONG'!Q330</f>
        <v>x</v>
      </c>
      <c r="T24" s="519" t="str">
        <f>'CHAM CONG'!R330</f>
        <v>x</v>
      </c>
      <c r="U24" s="519" t="str">
        <f>'CHAM CONG'!S330</f>
        <v>x</v>
      </c>
      <c r="V24" s="519" t="str">
        <f>'CHAM CONG'!T330</f>
        <v>x</v>
      </c>
      <c r="W24" s="519" t="str">
        <f>'CHAM CONG'!U330</f>
        <v>x</v>
      </c>
      <c r="X24" s="519"/>
      <c r="Y24" s="519"/>
      <c r="Z24" s="535">
        <f t="shared" si="2"/>
        <v>15</v>
      </c>
      <c r="AA24" s="536">
        <f t="shared" si="0"/>
        <v>0</v>
      </c>
      <c r="AB24" s="537">
        <f t="shared" si="3"/>
        <v>240000</v>
      </c>
      <c r="AC24" s="537" t="str">
        <f>'CHAM CONG'!V330</f>
        <v>x</v>
      </c>
      <c r="AD24" s="537" t="str">
        <f>'CHAM CONG'!W330</f>
        <v>x</v>
      </c>
      <c r="AE24" s="535">
        <f t="shared" si="4"/>
        <v>2</v>
      </c>
      <c r="AF24" s="537">
        <f t="shared" si="5"/>
        <v>34000</v>
      </c>
      <c r="AG24" s="537">
        <f t="shared" si="6"/>
        <v>15</v>
      </c>
      <c r="AH24" s="537">
        <f t="shared" si="7"/>
        <v>15000</v>
      </c>
      <c r="AI24" s="537">
        <f t="shared" si="8"/>
        <v>289000</v>
      </c>
      <c r="AJ24" s="519">
        <f>'SAN LUONG'!AF331</f>
        <v>287</v>
      </c>
      <c r="AK24" s="519">
        <f>'SAN LUONG'!AG331</f>
        <v>320</v>
      </c>
      <c r="AL24" s="519">
        <f>'SAN LUONG'!AH331</f>
        <v>448</v>
      </c>
      <c r="AM24" s="519">
        <f>'SAN LUONG'!AI331</f>
        <v>588</v>
      </c>
      <c r="AN24" s="553"/>
      <c r="AO24" s="553">
        <f t="shared" si="9"/>
        <v>0</v>
      </c>
      <c r="AP24" s="553">
        <f t="shared" si="10"/>
        <v>1643</v>
      </c>
      <c r="AQ24" s="553">
        <f t="shared" si="11"/>
        <v>328929</v>
      </c>
      <c r="AR24" s="628">
        <f>'SAN LUONG'!AU237</f>
        <v>0</v>
      </c>
      <c r="AS24" s="629">
        <f t="shared" si="12"/>
        <v>0</v>
      </c>
      <c r="AT24" s="630">
        <f t="shared" si="13"/>
        <v>0</v>
      </c>
      <c r="AU24" s="628">
        <f t="shared" si="14"/>
        <v>20.29</v>
      </c>
      <c r="AV24" s="556">
        <f t="shared" si="15"/>
        <v>617929</v>
      </c>
      <c r="AW24" s="630"/>
      <c r="AX24" s="564">
        <f t="shared" si="16"/>
        <v>617929</v>
      </c>
      <c r="AY24" s="565"/>
      <c r="AZ24" s="639">
        <f t="shared" si="17"/>
        <v>19.34</v>
      </c>
      <c r="BA24" s="567"/>
    </row>
    <row r="25" spans="1:53" s="483" customFormat="1" ht="37.200000000000003" customHeight="1">
      <c r="A25" s="503">
        <v>16</v>
      </c>
      <c r="B25" s="504">
        <v>9</v>
      </c>
      <c r="C25" s="504">
        <v>359</v>
      </c>
      <c r="D25" s="615">
        <f>'Tên Tháng 1'!B231</f>
        <v>30919</v>
      </c>
      <c r="E25" s="615" t="str">
        <f>'Tên Tháng 1'!C231</f>
        <v>ស្រី</v>
      </c>
      <c r="F25" s="616">
        <f>'Tên Tháng 1'!D231</f>
        <v>150868625</v>
      </c>
      <c r="G25" s="615" t="str">
        <f>'Tên Tháng 1'!E323</f>
        <v>រីម យ៉ុម</v>
      </c>
      <c r="H25" s="615" t="str">
        <f>'Tên Tháng 1'!F323</f>
        <v>RIM YOM</v>
      </c>
      <c r="I25" s="519">
        <f>'CHAM CONG'!G331</f>
        <v>0</v>
      </c>
      <c r="J25" s="519" t="str">
        <f>'CHAM CONG'!H331</f>
        <v>x</v>
      </c>
      <c r="K25" s="519" t="str">
        <f>'CHAM CONG'!I331</f>
        <v>x</v>
      </c>
      <c r="L25" s="519">
        <f>'CHAM CONG'!J331</f>
        <v>0</v>
      </c>
      <c r="M25" s="519" t="str">
        <f>'CHAM CONG'!K331</f>
        <v>x</v>
      </c>
      <c r="N25" s="519" t="str">
        <f>'CHAM CONG'!L331</f>
        <v>x</v>
      </c>
      <c r="O25" s="519" t="str">
        <f>'CHAM CONG'!M331</f>
        <v>x</v>
      </c>
      <c r="P25" s="519" t="str">
        <f>'CHAM CONG'!N331</f>
        <v>x</v>
      </c>
      <c r="Q25" s="519" t="str">
        <f>'CHAM CONG'!O331</f>
        <v>x</v>
      </c>
      <c r="R25" s="519">
        <f>'CHAM CONG'!P331</f>
        <v>0</v>
      </c>
      <c r="S25" s="519" t="str">
        <f>'CHAM CONG'!Q331</f>
        <v>x</v>
      </c>
      <c r="T25" s="519" t="str">
        <f>'CHAM CONG'!R331</f>
        <v>x</v>
      </c>
      <c r="U25" s="519" t="str">
        <f>'CHAM CONG'!S331</f>
        <v>x</v>
      </c>
      <c r="V25" s="519" t="str">
        <f>'CHAM CONG'!T331</f>
        <v>x</v>
      </c>
      <c r="W25" s="519" t="str">
        <f>'CHAM CONG'!U331</f>
        <v>x</v>
      </c>
      <c r="X25" s="519"/>
      <c r="Y25" s="519"/>
      <c r="Z25" s="535">
        <f t="shared" si="2"/>
        <v>12</v>
      </c>
      <c r="AA25" s="536">
        <f t="shared" si="0"/>
        <v>0</v>
      </c>
      <c r="AB25" s="537">
        <f t="shared" si="3"/>
        <v>192000</v>
      </c>
      <c r="AC25" s="537">
        <f>'CHAM CONG'!V331</f>
        <v>0</v>
      </c>
      <c r="AD25" s="537" t="str">
        <f>'CHAM CONG'!W331</f>
        <v>x</v>
      </c>
      <c r="AE25" s="535">
        <f t="shared" si="4"/>
        <v>1</v>
      </c>
      <c r="AF25" s="537">
        <f t="shared" si="5"/>
        <v>17000</v>
      </c>
      <c r="AG25" s="537">
        <f t="shared" si="6"/>
        <v>12</v>
      </c>
      <c r="AH25" s="537">
        <f t="shared" si="7"/>
        <v>12000</v>
      </c>
      <c r="AI25" s="537">
        <f t="shared" si="8"/>
        <v>221000</v>
      </c>
      <c r="AJ25" s="519">
        <f>'SAN LUONG'!AF332</f>
        <v>179</v>
      </c>
      <c r="AK25" s="519">
        <f>'SAN LUONG'!AG332</f>
        <v>205</v>
      </c>
      <c r="AL25" s="519">
        <f>'SAN LUONG'!AH332</f>
        <v>311</v>
      </c>
      <c r="AM25" s="519">
        <f>'SAN LUONG'!AI332</f>
        <v>454</v>
      </c>
      <c r="AN25" s="553"/>
      <c r="AO25" s="553">
        <f t="shared" si="9"/>
        <v>0</v>
      </c>
      <c r="AP25" s="553">
        <f t="shared" si="10"/>
        <v>1149</v>
      </c>
      <c r="AQ25" s="553">
        <f t="shared" si="11"/>
        <v>230030</v>
      </c>
      <c r="AR25" s="628">
        <f>'SAN LUONG'!AU238</f>
        <v>0</v>
      </c>
      <c r="AS25" s="629">
        <f t="shared" si="12"/>
        <v>0</v>
      </c>
      <c r="AT25" s="630">
        <f t="shared" si="13"/>
        <v>0</v>
      </c>
      <c r="AU25" s="628">
        <f t="shared" si="14"/>
        <v>14.81</v>
      </c>
      <c r="AV25" s="556">
        <f t="shared" si="15"/>
        <v>451030</v>
      </c>
      <c r="AW25" s="630"/>
      <c r="AX25" s="564">
        <f t="shared" si="16"/>
        <v>451030</v>
      </c>
      <c r="AY25" s="565"/>
      <c r="AZ25" s="639">
        <f t="shared" si="17"/>
        <v>14.12</v>
      </c>
      <c r="BA25" s="567"/>
    </row>
    <row r="26" spans="1:53" s="483" customFormat="1" ht="37.200000000000003" customHeight="1">
      <c r="A26" s="503">
        <v>17</v>
      </c>
      <c r="B26" s="504">
        <v>9</v>
      </c>
      <c r="C26" s="504">
        <v>360</v>
      </c>
      <c r="D26" s="615">
        <f>'Tên Tháng 1'!B232</f>
        <v>30191</v>
      </c>
      <c r="E26" s="615" t="str">
        <f>'Tên Tháng 1'!C232</f>
        <v>ប្រុស</v>
      </c>
      <c r="F26" s="616" t="str">
        <f>'Tên Tháng 1'!D232</f>
        <v>220102065</v>
      </c>
      <c r="G26" s="615" t="str">
        <f>'Tên Tháng 1'!E324</f>
        <v>ហឿន សារ៉េ</v>
      </c>
      <c r="H26" s="615" t="str">
        <f>'Tên Tháng 1'!F324</f>
        <v>HOEUN SAREN</v>
      </c>
      <c r="I26" s="519" t="str">
        <f>'CHAM CONG'!G332</f>
        <v>x</v>
      </c>
      <c r="J26" s="519" t="str">
        <f>'CHAM CONG'!H332</f>
        <v>x</v>
      </c>
      <c r="K26" s="519" t="str">
        <f>'CHAM CONG'!I332</f>
        <v>x</v>
      </c>
      <c r="L26" s="519">
        <f>'CHAM CONG'!J332</f>
        <v>0</v>
      </c>
      <c r="M26" s="519" t="str">
        <f>'CHAM CONG'!K332</f>
        <v>x</v>
      </c>
      <c r="N26" s="519" t="str">
        <f>'CHAM CONG'!L332</f>
        <v>x</v>
      </c>
      <c r="O26" s="519" t="str">
        <f>'CHAM CONG'!M332</f>
        <v>x</v>
      </c>
      <c r="P26" s="519" t="str">
        <f>'CHAM CONG'!N332</f>
        <v>x</v>
      </c>
      <c r="Q26" s="519">
        <f>'CHAM CONG'!O332</f>
        <v>0</v>
      </c>
      <c r="R26" s="519" t="str">
        <f>'CHAM CONG'!P332</f>
        <v>x</v>
      </c>
      <c r="S26" s="519" t="str">
        <f>'CHAM CONG'!Q332</f>
        <v>x</v>
      </c>
      <c r="T26" s="519" t="str">
        <f>'CHAM CONG'!R332</f>
        <v>x</v>
      </c>
      <c r="U26" s="519" t="str">
        <f>'CHAM CONG'!S332</f>
        <v>x</v>
      </c>
      <c r="V26" s="519" t="str">
        <f>'CHAM CONG'!T332</f>
        <v>x</v>
      </c>
      <c r="W26" s="519" t="str">
        <f>'CHAM CONG'!U332</f>
        <v>x</v>
      </c>
      <c r="X26" s="519"/>
      <c r="Y26" s="519"/>
      <c r="Z26" s="535">
        <f t="shared" si="2"/>
        <v>13</v>
      </c>
      <c r="AA26" s="536">
        <f t="shared" si="0"/>
        <v>0</v>
      </c>
      <c r="AB26" s="537">
        <f t="shared" si="3"/>
        <v>208000</v>
      </c>
      <c r="AC26" s="537" t="str">
        <f>'CHAM CONG'!V332</f>
        <v>x</v>
      </c>
      <c r="AD26" s="537">
        <f>'CHAM CONG'!W332</f>
        <v>0</v>
      </c>
      <c r="AE26" s="535">
        <f t="shared" si="4"/>
        <v>1</v>
      </c>
      <c r="AF26" s="537">
        <f t="shared" si="5"/>
        <v>17000</v>
      </c>
      <c r="AG26" s="537">
        <f t="shared" si="6"/>
        <v>13</v>
      </c>
      <c r="AH26" s="537">
        <f t="shared" si="7"/>
        <v>13000</v>
      </c>
      <c r="AI26" s="537">
        <f t="shared" si="8"/>
        <v>238000</v>
      </c>
      <c r="AJ26" s="519">
        <f>'SAN LUONG'!AF333</f>
        <v>204</v>
      </c>
      <c r="AK26" s="519">
        <f>'SAN LUONG'!AG333</f>
        <v>252</v>
      </c>
      <c r="AL26" s="519">
        <f>'SAN LUONG'!AH333</f>
        <v>269</v>
      </c>
      <c r="AM26" s="519">
        <f>'SAN LUONG'!AI333</f>
        <v>264</v>
      </c>
      <c r="AN26" s="553"/>
      <c r="AO26" s="553">
        <f t="shared" si="9"/>
        <v>0</v>
      </c>
      <c r="AP26" s="553">
        <f t="shared" si="10"/>
        <v>989</v>
      </c>
      <c r="AQ26" s="553">
        <f t="shared" si="11"/>
        <v>197998</v>
      </c>
      <c r="AR26" s="628">
        <f>'SAN LUONG'!AU239</f>
        <v>0</v>
      </c>
      <c r="AS26" s="629">
        <f t="shared" si="12"/>
        <v>0</v>
      </c>
      <c r="AT26" s="630">
        <f t="shared" si="13"/>
        <v>0</v>
      </c>
      <c r="AU26" s="628">
        <f t="shared" si="14"/>
        <v>14.32</v>
      </c>
      <c r="AV26" s="556">
        <f t="shared" si="15"/>
        <v>435998</v>
      </c>
      <c r="AW26" s="630"/>
      <c r="AX26" s="564">
        <f t="shared" si="16"/>
        <v>435998</v>
      </c>
      <c r="AY26" s="565"/>
      <c r="AZ26" s="639">
        <f t="shared" si="17"/>
        <v>13.65</v>
      </c>
      <c r="BA26" s="567"/>
    </row>
    <row r="27" spans="1:53" s="483" customFormat="1" ht="37.200000000000003" customHeight="1">
      <c r="A27" s="503">
        <v>18</v>
      </c>
      <c r="B27" s="504">
        <v>9</v>
      </c>
      <c r="C27" s="504">
        <v>361</v>
      </c>
      <c r="D27" s="615">
        <f>'Tên Tháng 1'!B233</f>
        <v>30106</v>
      </c>
      <c r="E27" s="615" t="str">
        <f>'Tên Tháng 1'!C233</f>
        <v>ស្រី</v>
      </c>
      <c r="F27" s="616" t="str">
        <f>'Tên Tháng 1'!D233</f>
        <v>220137726</v>
      </c>
      <c r="G27" s="615" t="str">
        <f>'Tên Tháng 1'!E325</f>
        <v>វន តាត</v>
      </c>
      <c r="H27" s="615" t="str">
        <f>'Tên Tháng 1'!F325</f>
        <v>VON TATH</v>
      </c>
      <c r="I27" s="519" t="str">
        <f>'CHAM CONG'!G333</f>
        <v>x</v>
      </c>
      <c r="J27" s="519" t="str">
        <f>'CHAM CONG'!H333</f>
        <v>x</v>
      </c>
      <c r="K27" s="519" t="str">
        <f>'CHAM CONG'!I333</f>
        <v>x</v>
      </c>
      <c r="L27" s="519">
        <f>'CHAM CONG'!J333</f>
        <v>0</v>
      </c>
      <c r="M27" s="519">
        <f>'CHAM CONG'!K333</f>
        <v>0</v>
      </c>
      <c r="N27" s="519" t="str">
        <f>'CHAM CONG'!L333</f>
        <v>x</v>
      </c>
      <c r="O27" s="519" t="str">
        <f>'CHAM CONG'!M333</f>
        <v>x</v>
      </c>
      <c r="P27" s="519" t="str">
        <f>'CHAM CONG'!N333</f>
        <v>x</v>
      </c>
      <c r="Q27" s="519" t="str">
        <f>'CHAM CONG'!O333</f>
        <v>x</v>
      </c>
      <c r="R27" s="519" t="str">
        <f>'CHAM CONG'!P333</f>
        <v>x</v>
      </c>
      <c r="S27" s="519" t="str">
        <f>'CHAM CONG'!Q333</f>
        <v>x</v>
      </c>
      <c r="T27" s="519" t="str">
        <f>'CHAM CONG'!R333</f>
        <v>x</v>
      </c>
      <c r="U27" s="519" t="str">
        <f>'CHAM CONG'!S333</f>
        <v>x</v>
      </c>
      <c r="V27" s="519" t="str">
        <f>'CHAM CONG'!T333</f>
        <v>x</v>
      </c>
      <c r="W27" s="519" t="str">
        <f>'CHAM CONG'!U333</f>
        <v>x</v>
      </c>
      <c r="X27" s="519"/>
      <c r="Y27" s="519"/>
      <c r="Z27" s="535">
        <f t="shared" si="2"/>
        <v>13</v>
      </c>
      <c r="AA27" s="536">
        <f t="shared" si="0"/>
        <v>0</v>
      </c>
      <c r="AB27" s="537">
        <f t="shared" si="3"/>
        <v>208000</v>
      </c>
      <c r="AC27" s="537" t="str">
        <f>'CHAM CONG'!V333</f>
        <v>x</v>
      </c>
      <c r="AD27" s="537">
        <f>'CHAM CONG'!W333</f>
        <v>0</v>
      </c>
      <c r="AE27" s="535">
        <f t="shared" si="4"/>
        <v>1</v>
      </c>
      <c r="AF27" s="537">
        <f t="shared" si="5"/>
        <v>17000</v>
      </c>
      <c r="AG27" s="537">
        <f t="shared" si="6"/>
        <v>13</v>
      </c>
      <c r="AH27" s="537">
        <f t="shared" si="7"/>
        <v>13000</v>
      </c>
      <c r="AI27" s="537">
        <f t="shared" si="8"/>
        <v>238000</v>
      </c>
      <c r="AJ27" s="519">
        <f>'SAN LUONG'!AF334</f>
        <v>202</v>
      </c>
      <c r="AK27" s="519">
        <f>'SAN LUONG'!AG334</f>
        <v>248</v>
      </c>
      <c r="AL27" s="519">
        <f>'SAN LUONG'!AH334</f>
        <v>213</v>
      </c>
      <c r="AM27" s="519">
        <f>'SAN LUONG'!AI334</f>
        <v>387</v>
      </c>
      <c r="AN27" s="553"/>
      <c r="AO27" s="553">
        <f t="shared" si="9"/>
        <v>0</v>
      </c>
      <c r="AP27" s="553">
        <f t="shared" si="10"/>
        <v>1050</v>
      </c>
      <c r="AQ27" s="553">
        <f t="shared" si="11"/>
        <v>210210</v>
      </c>
      <c r="AR27" s="628">
        <f>'SAN LUONG'!AU240</f>
        <v>0</v>
      </c>
      <c r="AS27" s="629">
        <f t="shared" si="12"/>
        <v>0</v>
      </c>
      <c r="AT27" s="630">
        <f t="shared" si="13"/>
        <v>0</v>
      </c>
      <c r="AU27" s="628">
        <f t="shared" si="14"/>
        <v>14.72</v>
      </c>
      <c r="AV27" s="556">
        <f t="shared" si="15"/>
        <v>448210</v>
      </c>
      <c r="AW27" s="630"/>
      <c r="AX27" s="564">
        <f t="shared" si="16"/>
        <v>448210</v>
      </c>
      <c r="AY27" s="565"/>
      <c r="AZ27" s="639">
        <f t="shared" si="17"/>
        <v>14.03</v>
      </c>
      <c r="BA27" s="567"/>
    </row>
    <row r="28" spans="1:53" s="483" customFormat="1" ht="37.200000000000003" customHeight="1">
      <c r="A28" s="503">
        <v>19</v>
      </c>
      <c r="B28" s="504">
        <v>9</v>
      </c>
      <c r="C28" s="504">
        <v>362</v>
      </c>
      <c r="D28" s="615">
        <f>'Tên Tháng 1'!B234</f>
        <v>32664</v>
      </c>
      <c r="E28" s="615" t="str">
        <f>'Tên Tháng 1'!C234</f>
        <v>ប្រុស</v>
      </c>
      <c r="F28" s="616">
        <f>'Tên Tháng 1'!D234</f>
        <v>220175275</v>
      </c>
      <c r="G28" s="615" t="str">
        <f>'Tên Tháng 1'!E326</f>
        <v>គួន រ៉ាល់</v>
      </c>
      <c r="H28" s="615" t="str">
        <f>'Tên Tháng 1'!F326</f>
        <v>KUON RAL</v>
      </c>
      <c r="I28" s="519">
        <f>'CHAM CONG'!G334</f>
        <v>0</v>
      </c>
      <c r="J28" s="519" t="str">
        <f>'CHAM CONG'!H334</f>
        <v>x</v>
      </c>
      <c r="K28" s="519" t="str">
        <f>'CHAM CONG'!I334</f>
        <v>x</v>
      </c>
      <c r="L28" s="519">
        <f>'CHAM CONG'!J334</f>
        <v>0</v>
      </c>
      <c r="M28" s="519">
        <f>'CHAM CONG'!K334</f>
        <v>0</v>
      </c>
      <c r="N28" s="519" t="str">
        <f>'CHAM CONG'!L334</f>
        <v>x</v>
      </c>
      <c r="O28" s="519">
        <f>'CHAM CONG'!M334</f>
        <v>0</v>
      </c>
      <c r="P28" s="519" t="str">
        <f>'CHAM CONG'!N334</f>
        <v>x</v>
      </c>
      <c r="Q28" s="519" t="str">
        <f>'CHAM CONG'!O334</f>
        <v>x</v>
      </c>
      <c r="R28" s="519" t="str">
        <f>'CHAM CONG'!P334</f>
        <v>x</v>
      </c>
      <c r="S28" s="519" t="str">
        <f>'CHAM CONG'!Q334</f>
        <v>x</v>
      </c>
      <c r="T28" s="519" t="str">
        <f>'CHAM CONG'!R334</f>
        <v>x</v>
      </c>
      <c r="U28" s="519" t="str">
        <f>'CHAM CONG'!S334</f>
        <v>x</v>
      </c>
      <c r="V28" s="519">
        <f>'CHAM CONG'!T334</f>
        <v>0</v>
      </c>
      <c r="W28" s="519" t="str">
        <f>'CHAM CONG'!U334</f>
        <v>x</v>
      </c>
      <c r="X28" s="519"/>
      <c r="Y28" s="519"/>
      <c r="Z28" s="535">
        <f t="shared" si="2"/>
        <v>10</v>
      </c>
      <c r="AA28" s="536">
        <f t="shared" si="0"/>
        <v>0</v>
      </c>
      <c r="AB28" s="537">
        <f t="shared" si="3"/>
        <v>160000</v>
      </c>
      <c r="AC28" s="537">
        <f>'CHAM CONG'!V334</f>
        <v>0</v>
      </c>
      <c r="AD28" s="537" t="str">
        <f>'CHAM CONG'!W334</f>
        <v>x</v>
      </c>
      <c r="AE28" s="535">
        <f t="shared" si="4"/>
        <v>1</v>
      </c>
      <c r="AF28" s="537">
        <f t="shared" si="5"/>
        <v>17000</v>
      </c>
      <c r="AG28" s="537">
        <f t="shared" si="6"/>
        <v>10</v>
      </c>
      <c r="AH28" s="537">
        <f t="shared" si="7"/>
        <v>10000</v>
      </c>
      <c r="AI28" s="537">
        <f t="shared" si="8"/>
        <v>187000</v>
      </c>
      <c r="AJ28" s="519">
        <f>'SAN LUONG'!AF335</f>
        <v>0</v>
      </c>
      <c r="AK28" s="519">
        <f>'SAN LUONG'!AG335</f>
        <v>0</v>
      </c>
      <c r="AL28" s="519">
        <f>'SAN LUONG'!AH335</f>
        <v>143</v>
      </c>
      <c r="AM28" s="519">
        <f>'SAN LUONG'!AI335</f>
        <v>118</v>
      </c>
      <c r="AN28" s="553">
        <f>AJ28</f>
        <v>0</v>
      </c>
      <c r="AO28" s="553">
        <f t="shared" si="9"/>
        <v>0</v>
      </c>
      <c r="AP28" s="553">
        <f t="shared" si="10"/>
        <v>261</v>
      </c>
      <c r="AQ28" s="553">
        <f t="shared" si="11"/>
        <v>52252</v>
      </c>
      <c r="AR28" s="628">
        <f>'SAN LUONG'!AU241</f>
        <v>0</v>
      </c>
      <c r="AS28" s="629">
        <f t="shared" si="12"/>
        <v>0</v>
      </c>
      <c r="AT28" s="630">
        <f t="shared" si="13"/>
        <v>0</v>
      </c>
      <c r="AU28" s="628">
        <f t="shared" si="14"/>
        <v>7.86</v>
      </c>
      <c r="AV28" s="556">
        <f t="shared" si="15"/>
        <v>239252</v>
      </c>
      <c r="AW28" s="630"/>
      <c r="AX28" s="564">
        <f t="shared" si="16"/>
        <v>239252</v>
      </c>
      <c r="AY28" s="565"/>
      <c r="AZ28" s="639">
        <f t="shared" si="17"/>
        <v>7.49</v>
      </c>
      <c r="BA28" s="567"/>
    </row>
    <row r="29" spans="1:53" s="483" customFormat="1" ht="37.200000000000003" customHeight="1">
      <c r="A29" s="503">
        <v>20</v>
      </c>
      <c r="B29" s="504">
        <v>9</v>
      </c>
      <c r="C29" s="504">
        <v>363</v>
      </c>
      <c r="D29" s="615">
        <f>'Tên Tháng 1'!B235</f>
        <v>35444</v>
      </c>
      <c r="E29" s="615" t="str">
        <f>'Tên Tháng 1'!C235</f>
        <v>ស្រី</v>
      </c>
      <c r="F29" s="616">
        <f>'Tên Tháng 1'!D235</f>
        <v>150739908</v>
      </c>
      <c r="G29" s="615" t="str">
        <f>'Tên Tháng 1'!E327</f>
        <v>ឃុន ស៊ីសា</v>
      </c>
      <c r="H29" s="615" t="str">
        <f>'Tên Tháng 1'!F327</f>
        <v>KHOUNSY SA</v>
      </c>
      <c r="I29" s="519">
        <f>'CHAM CONG'!G335</f>
        <v>0</v>
      </c>
      <c r="J29" s="519" t="str">
        <f>'CHAM CONG'!H335</f>
        <v>x</v>
      </c>
      <c r="K29" s="519" t="str">
        <f>'CHAM CONG'!I335</f>
        <v>x</v>
      </c>
      <c r="L29" s="519">
        <f>'CHAM CONG'!J335</f>
        <v>0</v>
      </c>
      <c r="M29" s="519" t="str">
        <f>'CHAM CONG'!K335</f>
        <v>x</v>
      </c>
      <c r="N29" s="519" t="str">
        <f>'CHAM CONG'!L335</f>
        <v>x</v>
      </c>
      <c r="O29" s="519" t="str">
        <f>'CHAM CONG'!M335</f>
        <v>x</v>
      </c>
      <c r="P29" s="519" t="str">
        <f>'CHAM CONG'!N335</f>
        <v>x</v>
      </c>
      <c r="Q29" s="519" t="str">
        <f>'CHAM CONG'!O335</f>
        <v>x</v>
      </c>
      <c r="R29" s="519" t="str">
        <f>'CHAM CONG'!P335</f>
        <v>x</v>
      </c>
      <c r="S29" s="519" t="str">
        <f>'CHAM CONG'!Q335</f>
        <v>x</v>
      </c>
      <c r="T29" s="519" t="str">
        <f>'CHAM CONG'!R335</f>
        <v>x</v>
      </c>
      <c r="U29" s="519" t="str">
        <f>'CHAM CONG'!S335</f>
        <v>x</v>
      </c>
      <c r="V29" s="519" t="str">
        <f>'CHAM CONG'!T335</f>
        <v>x</v>
      </c>
      <c r="W29" s="519" t="str">
        <f>'CHAM CONG'!U335</f>
        <v>x</v>
      </c>
      <c r="X29" s="519"/>
      <c r="Y29" s="519"/>
      <c r="Z29" s="535">
        <f t="shared" si="2"/>
        <v>13</v>
      </c>
      <c r="AA29" s="536">
        <f t="shared" si="0"/>
        <v>0</v>
      </c>
      <c r="AB29" s="537">
        <f t="shared" si="3"/>
        <v>208000</v>
      </c>
      <c r="AC29" s="537">
        <f>'CHAM CONG'!V335</f>
        <v>0</v>
      </c>
      <c r="AD29" s="537">
        <f>'CHAM CONG'!W335</f>
        <v>0</v>
      </c>
      <c r="AE29" s="535">
        <f t="shared" si="4"/>
        <v>0</v>
      </c>
      <c r="AF29" s="537">
        <f t="shared" si="5"/>
        <v>0</v>
      </c>
      <c r="AG29" s="537">
        <f t="shared" si="6"/>
        <v>13</v>
      </c>
      <c r="AH29" s="537">
        <f t="shared" si="7"/>
        <v>13000</v>
      </c>
      <c r="AI29" s="537">
        <f t="shared" si="8"/>
        <v>221000</v>
      </c>
      <c r="AJ29" s="519">
        <f>'SAN LUONG'!AF336</f>
        <v>173</v>
      </c>
      <c r="AK29" s="519">
        <f>'SAN LUONG'!AG336</f>
        <v>291</v>
      </c>
      <c r="AL29" s="519">
        <f>'SAN LUONG'!AH336</f>
        <v>181</v>
      </c>
      <c r="AM29" s="519">
        <f>'SAN LUONG'!AI336</f>
        <v>430</v>
      </c>
      <c r="AN29" s="553">
        <f t="shared" ref="AN29:AN51" si="18">AJ29</f>
        <v>173</v>
      </c>
      <c r="AO29" s="553">
        <f t="shared" si="9"/>
        <v>38441</v>
      </c>
      <c r="AP29" s="553">
        <f t="shared" si="10"/>
        <v>902</v>
      </c>
      <c r="AQ29" s="553">
        <f t="shared" si="11"/>
        <v>180580</v>
      </c>
      <c r="AR29" s="628">
        <f>'SAN LUONG'!AU242</f>
        <v>0</v>
      </c>
      <c r="AS29" s="629">
        <f t="shared" si="12"/>
        <v>0</v>
      </c>
      <c r="AT29" s="630">
        <f t="shared" si="13"/>
        <v>0</v>
      </c>
      <c r="AU29" s="628">
        <f t="shared" si="14"/>
        <v>14.45</v>
      </c>
      <c r="AV29" s="556">
        <f t="shared" si="15"/>
        <v>440021</v>
      </c>
      <c r="AW29" s="630"/>
      <c r="AX29" s="564">
        <f t="shared" si="16"/>
        <v>440021</v>
      </c>
      <c r="AY29" s="565"/>
      <c r="AZ29" s="639">
        <f t="shared" si="17"/>
        <v>13.77</v>
      </c>
      <c r="BA29" s="567"/>
    </row>
    <row r="30" spans="1:53" s="483" customFormat="1" ht="37.200000000000003" customHeight="1">
      <c r="A30" s="503">
        <v>21</v>
      </c>
      <c r="B30" s="504">
        <v>9</v>
      </c>
      <c r="C30" s="504">
        <v>364</v>
      </c>
      <c r="D30" s="615">
        <f>'Tên Tháng 1'!B236</f>
        <v>38402</v>
      </c>
      <c r="E30" s="615" t="str">
        <f>'Tên Tháng 1'!C236</f>
        <v>ប្រុស</v>
      </c>
      <c r="F30" s="616">
        <f>'Tên Tháng 1'!D236</f>
        <v>220239985</v>
      </c>
      <c r="G30" s="615" t="str">
        <f>'Tên Tháng 1'!E328</f>
        <v>អៀម យ៉េន</v>
      </c>
      <c r="H30" s="615" t="str">
        <f>'Tên Tháng 1'!F328</f>
        <v>EAM YEN</v>
      </c>
      <c r="I30" s="519">
        <f>'CHAM CONG'!G336</f>
        <v>0</v>
      </c>
      <c r="J30" s="519" t="str">
        <f>'CHAM CONG'!H336</f>
        <v>x</v>
      </c>
      <c r="K30" s="519" t="str">
        <f>'CHAM CONG'!I336</f>
        <v>x</v>
      </c>
      <c r="L30" s="519">
        <f>'CHAM CONG'!J336</f>
        <v>0</v>
      </c>
      <c r="M30" s="519" t="str">
        <f>'CHAM CONG'!K336</f>
        <v>x</v>
      </c>
      <c r="N30" s="519" t="str">
        <f>'CHAM CONG'!L336</f>
        <v>x</v>
      </c>
      <c r="O30" s="519" t="str">
        <f>'CHAM CONG'!M336</f>
        <v>x</v>
      </c>
      <c r="P30" s="519" t="str">
        <f>'CHAM CONG'!N336</f>
        <v>x</v>
      </c>
      <c r="Q30" s="519" t="str">
        <f>'CHAM CONG'!O336</f>
        <v>x</v>
      </c>
      <c r="R30" s="519" t="str">
        <f>'CHAM CONG'!P336</f>
        <v>x</v>
      </c>
      <c r="S30" s="519" t="str">
        <f>'CHAM CONG'!Q336</f>
        <v>x</v>
      </c>
      <c r="T30" s="519" t="str">
        <f>'CHAM CONG'!R336</f>
        <v>x</v>
      </c>
      <c r="U30" s="519" t="str">
        <f>'CHAM CONG'!S336</f>
        <v>x</v>
      </c>
      <c r="V30" s="519" t="str">
        <f>'CHAM CONG'!T336</f>
        <v>x</v>
      </c>
      <c r="W30" s="519" t="str">
        <f>'CHAM CONG'!U336</f>
        <v>x</v>
      </c>
      <c r="X30" s="519"/>
      <c r="Y30" s="519"/>
      <c r="Z30" s="535">
        <f t="shared" si="2"/>
        <v>13</v>
      </c>
      <c r="AA30" s="536">
        <f t="shared" si="0"/>
        <v>0</v>
      </c>
      <c r="AB30" s="537">
        <f t="shared" si="3"/>
        <v>208000</v>
      </c>
      <c r="AC30" s="537">
        <f>'CHAM CONG'!V336</f>
        <v>0</v>
      </c>
      <c r="AD30" s="537">
        <f>'CHAM CONG'!W336</f>
        <v>0</v>
      </c>
      <c r="AE30" s="535">
        <f t="shared" si="4"/>
        <v>0</v>
      </c>
      <c r="AF30" s="537">
        <f t="shared" si="5"/>
        <v>0</v>
      </c>
      <c r="AG30" s="537">
        <f t="shared" si="6"/>
        <v>13</v>
      </c>
      <c r="AH30" s="537">
        <f t="shared" si="7"/>
        <v>13000</v>
      </c>
      <c r="AI30" s="537">
        <f t="shared" si="8"/>
        <v>221000</v>
      </c>
      <c r="AJ30" s="519">
        <f>'SAN LUONG'!AF337</f>
        <v>126</v>
      </c>
      <c r="AK30" s="519">
        <f>'SAN LUONG'!AG337</f>
        <v>212</v>
      </c>
      <c r="AL30" s="519">
        <f>'SAN LUONG'!AH337</f>
        <v>183</v>
      </c>
      <c r="AM30" s="519">
        <f>'SAN LUONG'!AI337</f>
        <v>361</v>
      </c>
      <c r="AN30" s="553">
        <f t="shared" si="18"/>
        <v>126</v>
      </c>
      <c r="AO30" s="553">
        <f t="shared" si="9"/>
        <v>27997</v>
      </c>
      <c r="AP30" s="553">
        <f t="shared" si="10"/>
        <v>756</v>
      </c>
      <c r="AQ30" s="553">
        <f t="shared" si="11"/>
        <v>151351</v>
      </c>
      <c r="AR30" s="628">
        <f>'SAN LUONG'!AU243</f>
        <v>0</v>
      </c>
      <c r="AS30" s="629">
        <f t="shared" si="12"/>
        <v>0</v>
      </c>
      <c r="AT30" s="630">
        <f t="shared" si="13"/>
        <v>0</v>
      </c>
      <c r="AU30" s="628">
        <f t="shared" si="14"/>
        <v>13.15</v>
      </c>
      <c r="AV30" s="556">
        <f t="shared" si="15"/>
        <v>400348</v>
      </c>
      <c r="AW30" s="630"/>
      <c r="AX30" s="564">
        <f t="shared" si="16"/>
        <v>400348</v>
      </c>
      <c r="AY30" s="565"/>
      <c r="AZ30" s="639">
        <f t="shared" si="17"/>
        <v>12.53</v>
      </c>
      <c r="BA30" s="567"/>
    </row>
    <row r="31" spans="1:53" s="483" customFormat="1" ht="37.200000000000003" customHeight="1">
      <c r="A31" s="503">
        <v>22</v>
      </c>
      <c r="B31" s="504">
        <v>9</v>
      </c>
      <c r="C31" s="504">
        <v>365</v>
      </c>
      <c r="D31" s="615" t="str">
        <f>'Tên Tháng 1'!B237</f>
        <v>26/01/1981</v>
      </c>
      <c r="E31" s="615" t="str">
        <f>'Tên Tháng 1'!C237</f>
        <v>ប្រុស</v>
      </c>
      <c r="F31" s="616">
        <f>'Tên Tháng 1'!D237</f>
        <v>150127067</v>
      </c>
      <c r="G31" s="615" t="str">
        <f>'Tên Tháng 1'!E329</f>
        <v>លាន ស៊ីដា</v>
      </c>
      <c r="H31" s="615" t="str">
        <f>'Tên Tháng 1'!F329</f>
        <v>LEAN SIDA</v>
      </c>
      <c r="I31" s="519" t="str">
        <f>'CHAM CONG'!G337</f>
        <v>x</v>
      </c>
      <c r="J31" s="519" t="str">
        <f>'CHAM CONG'!H337</f>
        <v>x</v>
      </c>
      <c r="K31" s="519" t="str">
        <f>'CHAM CONG'!I337</f>
        <v>x</v>
      </c>
      <c r="L31" s="519" t="str">
        <f>'CHAM CONG'!J337</f>
        <v>x</v>
      </c>
      <c r="M31" s="519" t="str">
        <f>'CHAM CONG'!K337</f>
        <v>x</v>
      </c>
      <c r="N31" s="519" t="str">
        <f>'CHAM CONG'!L337</f>
        <v>x</v>
      </c>
      <c r="O31" s="519" t="str">
        <f>'CHAM CONG'!M337</f>
        <v>x</v>
      </c>
      <c r="P31" s="519" t="str">
        <f>'CHAM CONG'!N337</f>
        <v>x</v>
      </c>
      <c r="Q31" s="519" t="str">
        <f>'CHAM CONG'!O337</f>
        <v>x</v>
      </c>
      <c r="R31" s="519" t="str">
        <f>'CHAM CONG'!P337</f>
        <v>x</v>
      </c>
      <c r="S31" s="519" t="str">
        <f>'CHAM CONG'!Q337</f>
        <v>x</v>
      </c>
      <c r="T31" s="519" t="str">
        <f>'CHAM CONG'!R337</f>
        <v>x</v>
      </c>
      <c r="U31" s="519" t="str">
        <f>'CHAM CONG'!S337</f>
        <v>x</v>
      </c>
      <c r="V31" s="519" t="str">
        <f>'CHAM CONG'!T337</f>
        <v>x</v>
      </c>
      <c r="W31" s="519" t="str">
        <f>'CHAM CONG'!U337</f>
        <v>x</v>
      </c>
      <c r="X31" s="519"/>
      <c r="Y31" s="519"/>
      <c r="Z31" s="535">
        <f t="shared" si="2"/>
        <v>15</v>
      </c>
      <c r="AA31" s="536">
        <f t="shared" si="0"/>
        <v>0</v>
      </c>
      <c r="AB31" s="537">
        <f t="shared" si="3"/>
        <v>240000</v>
      </c>
      <c r="AC31" s="537" t="str">
        <f>'CHAM CONG'!V337</f>
        <v>x</v>
      </c>
      <c r="AD31" s="537" t="str">
        <f>'CHAM CONG'!W337</f>
        <v>x</v>
      </c>
      <c r="AE31" s="535">
        <f t="shared" si="4"/>
        <v>2</v>
      </c>
      <c r="AF31" s="537">
        <f t="shared" si="5"/>
        <v>34000</v>
      </c>
      <c r="AG31" s="537">
        <f t="shared" si="6"/>
        <v>15</v>
      </c>
      <c r="AH31" s="537">
        <f t="shared" si="7"/>
        <v>15000</v>
      </c>
      <c r="AI31" s="537">
        <f t="shared" si="8"/>
        <v>289000</v>
      </c>
      <c r="AJ31" s="519">
        <f>'SAN LUONG'!AF338</f>
        <v>240</v>
      </c>
      <c r="AK31" s="519">
        <f>'SAN LUONG'!AG338</f>
        <v>296</v>
      </c>
      <c r="AL31" s="519">
        <f>'SAN LUONG'!AH338</f>
        <v>324</v>
      </c>
      <c r="AM31" s="519">
        <f>'SAN LUONG'!AI338</f>
        <v>472</v>
      </c>
      <c r="AN31" s="553">
        <f t="shared" si="18"/>
        <v>240</v>
      </c>
      <c r="AO31" s="553">
        <f t="shared" si="9"/>
        <v>53328</v>
      </c>
      <c r="AP31" s="553">
        <f t="shared" si="10"/>
        <v>1092</v>
      </c>
      <c r="AQ31" s="553">
        <f t="shared" si="11"/>
        <v>218618</v>
      </c>
      <c r="AR31" s="628">
        <f>'SAN LUONG'!AU244</f>
        <v>0</v>
      </c>
      <c r="AS31" s="629">
        <f t="shared" si="12"/>
        <v>0</v>
      </c>
      <c r="AT31" s="630">
        <f t="shared" si="13"/>
        <v>0</v>
      </c>
      <c r="AU31" s="628">
        <f t="shared" si="14"/>
        <v>18.420000000000002</v>
      </c>
      <c r="AV31" s="556">
        <f t="shared" si="15"/>
        <v>560946</v>
      </c>
      <c r="AW31" s="630"/>
      <c r="AX31" s="564">
        <f t="shared" si="16"/>
        <v>560946</v>
      </c>
      <c r="AY31" s="565"/>
      <c r="AZ31" s="639">
        <f t="shared" si="17"/>
        <v>17.559999999999999</v>
      </c>
      <c r="BA31" s="567"/>
    </row>
    <row r="32" spans="1:53" s="483" customFormat="1" ht="37.200000000000003" customHeight="1">
      <c r="A32" s="503">
        <v>23</v>
      </c>
      <c r="B32" s="504">
        <v>9</v>
      </c>
      <c r="C32" s="504">
        <v>366</v>
      </c>
      <c r="D32" s="615">
        <f>'Tên Tháng 1'!B238</f>
        <v>32373</v>
      </c>
      <c r="E32" s="615" t="str">
        <f>'Tên Tháng 1'!C238</f>
        <v>ស្រី</v>
      </c>
      <c r="F32" s="616">
        <f>'Tên Tháng 1'!D238</f>
        <v>150763411</v>
      </c>
      <c r="G32" s="615" t="str">
        <f>'Tên Tháng 1'!E330</f>
        <v>គីន ធី</v>
      </c>
      <c r="H32" s="615" t="str">
        <f>'Tên Tháng 1'!F330</f>
        <v>KIN THY</v>
      </c>
      <c r="I32" s="519">
        <f>'CHAM CONG'!G338</f>
        <v>0</v>
      </c>
      <c r="J32" s="519" t="str">
        <f>'CHAM CONG'!H338</f>
        <v>x</v>
      </c>
      <c r="K32" s="519" t="str">
        <f>'CHAM CONG'!I338</f>
        <v>x</v>
      </c>
      <c r="L32" s="519">
        <f>'CHAM CONG'!J338</f>
        <v>0</v>
      </c>
      <c r="M32" s="519" t="str">
        <f>'CHAM CONG'!K338</f>
        <v>x</v>
      </c>
      <c r="N32" s="519" t="str">
        <f>'CHAM CONG'!L338</f>
        <v>x</v>
      </c>
      <c r="O32" s="519" t="str">
        <f>'CHAM CONG'!M338</f>
        <v>x</v>
      </c>
      <c r="P32" s="519" t="str">
        <f>'CHAM CONG'!N338</f>
        <v>x</v>
      </c>
      <c r="Q32" s="519" t="str">
        <f>'CHAM CONG'!O338</f>
        <v>x</v>
      </c>
      <c r="R32" s="519" t="str">
        <f>'CHAM CONG'!P338</f>
        <v>x</v>
      </c>
      <c r="S32" s="519" t="str">
        <f>'CHAM CONG'!Q338</f>
        <v>x</v>
      </c>
      <c r="T32" s="519" t="str">
        <f>'CHAM CONG'!R338</f>
        <v>x</v>
      </c>
      <c r="U32" s="519" t="str">
        <f>'CHAM CONG'!S338</f>
        <v>x</v>
      </c>
      <c r="V32" s="519" t="str">
        <f>'CHAM CONG'!T338</f>
        <v>x</v>
      </c>
      <c r="W32" s="519" t="str">
        <f>'CHAM CONG'!U338</f>
        <v>x</v>
      </c>
      <c r="X32" s="519"/>
      <c r="Y32" s="519"/>
      <c r="Z32" s="535">
        <f t="shared" si="2"/>
        <v>13</v>
      </c>
      <c r="AA32" s="536">
        <f t="shared" si="0"/>
        <v>0</v>
      </c>
      <c r="AB32" s="537">
        <f t="shared" si="3"/>
        <v>208000</v>
      </c>
      <c r="AC32" s="537" t="str">
        <f>'CHAM CONG'!V338</f>
        <v>x</v>
      </c>
      <c r="AD32" s="537" t="str">
        <f>'CHAM CONG'!W338</f>
        <v>x</v>
      </c>
      <c r="AE32" s="535">
        <f t="shared" si="4"/>
        <v>2</v>
      </c>
      <c r="AF32" s="537">
        <f t="shared" si="5"/>
        <v>34000</v>
      </c>
      <c r="AG32" s="537">
        <f t="shared" si="6"/>
        <v>13</v>
      </c>
      <c r="AH32" s="537">
        <f t="shared" si="7"/>
        <v>13000</v>
      </c>
      <c r="AI32" s="537">
        <f t="shared" si="8"/>
        <v>255000</v>
      </c>
      <c r="AJ32" s="519">
        <f>'SAN LUONG'!AF339</f>
        <v>252</v>
      </c>
      <c r="AK32" s="519">
        <f>'SAN LUONG'!AG339</f>
        <v>262</v>
      </c>
      <c r="AL32" s="519">
        <f>'SAN LUONG'!AH339</f>
        <v>346</v>
      </c>
      <c r="AM32" s="519">
        <f>'SAN LUONG'!AI339</f>
        <v>350</v>
      </c>
      <c r="AN32" s="553">
        <f t="shared" si="18"/>
        <v>252</v>
      </c>
      <c r="AO32" s="553">
        <f t="shared" si="9"/>
        <v>55994</v>
      </c>
      <c r="AP32" s="553">
        <f t="shared" si="10"/>
        <v>958</v>
      </c>
      <c r="AQ32" s="553">
        <f t="shared" si="11"/>
        <v>191792</v>
      </c>
      <c r="AR32" s="628">
        <f>'SAN LUONG'!AU245</f>
        <v>0</v>
      </c>
      <c r="AS32" s="629">
        <f t="shared" si="12"/>
        <v>0</v>
      </c>
      <c r="AT32" s="630">
        <f t="shared" si="13"/>
        <v>0</v>
      </c>
      <c r="AU32" s="628">
        <f t="shared" si="14"/>
        <v>16.510000000000002</v>
      </c>
      <c r="AV32" s="556">
        <f t="shared" si="15"/>
        <v>502786</v>
      </c>
      <c r="AW32" s="630"/>
      <c r="AX32" s="564">
        <f t="shared" si="16"/>
        <v>502786</v>
      </c>
      <c r="AY32" s="565"/>
      <c r="AZ32" s="639">
        <f t="shared" si="17"/>
        <v>15.74</v>
      </c>
      <c r="BA32" s="567"/>
    </row>
    <row r="33" spans="1:226" s="483" customFormat="1" ht="37.200000000000003" customHeight="1">
      <c r="A33" s="503">
        <v>24</v>
      </c>
      <c r="B33" s="504">
        <v>9</v>
      </c>
      <c r="C33" s="504">
        <v>367</v>
      </c>
      <c r="D33" s="615">
        <f>'Tên Tháng 1'!B239</f>
        <v>32035</v>
      </c>
      <c r="E33" s="615" t="str">
        <f>'Tên Tháng 1'!C239</f>
        <v>ប្រុស</v>
      </c>
      <c r="F33" s="616">
        <f>'Tên Tháng 1'!D239</f>
        <v>150763902</v>
      </c>
      <c r="G33" s="615" t="str">
        <f>'Tên Tháng 1'!E331</f>
        <v>ខ្វាន់ ឡាត់</v>
      </c>
      <c r="H33" s="615" t="str">
        <f>'Tên Tháng 1'!F331</f>
        <v>KHVAN LATH</v>
      </c>
      <c r="I33" s="519" t="str">
        <f>'CHAM CONG'!G339</f>
        <v>x</v>
      </c>
      <c r="J33" s="519" t="str">
        <f>'CHAM CONG'!H339</f>
        <v>x</v>
      </c>
      <c r="K33" s="519" t="str">
        <f>'CHAM CONG'!I339</f>
        <v>x</v>
      </c>
      <c r="L33" s="519">
        <f>'CHAM CONG'!J339</f>
        <v>0</v>
      </c>
      <c r="M33" s="519" t="str">
        <f>'CHAM CONG'!K339</f>
        <v>x</v>
      </c>
      <c r="N33" s="519" t="str">
        <f>'CHAM CONG'!L339</f>
        <v>x</v>
      </c>
      <c r="O33" s="519" t="str">
        <f>'CHAM CONG'!M339</f>
        <v>x</v>
      </c>
      <c r="P33" s="519" t="str">
        <f>'CHAM CONG'!N339</f>
        <v>x</v>
      </c>
      <c r="Q33" s="519" t="str">
        <f>'CHAM CONG'!O339</f>
        <v>x</v>
      </c>
      <c r="R33" s="519" t="str">
        <f>'CHAM CONG'!P339</f>
        <v>x</v>
      </c>
      <c r="S33" s="519" t="str">
        <f>'CHAM CONG'!Q339</f>
        <v>x</v>
      </c>
      <c r="T33" s="519" t="str">
        <f>'CHAM CONG'!R339</f>
        <v>x</v>
      </c>
      <c r="U33" s="519" t="str">
        <f>'CHAM CONG'!S339</f>
        <v>x</v>
      </c>
      <c r="V33" s="519" t="str">
        <f>'CHAM CONG'!T339</f>
        <v>x</v>
      </c>
      <c r="W33" s="519" t="str">
        <f>'CHAM CONG'!U339</f>
        <v>x</v>
      </c>
      <c r="X33" s="519"/>
      <c r="Y33" s="519"/>
      <c r="Z33" s="535">
        <f t="shared" si="2"/>
        <v>14</v>
      </c>
      <c r="AA33" s="536">
        <f t="shared" si="0"/>
        <v>0</v>
      </c>
      <c r="AB33" s="537">
        <f t="shared" si="3"/>
        <v>224000</v>
      </c>
      <c r="AC33" s="537" t="str">
        <f>'CHAM CONG'!V339</f>
        <v>x</v>
      </c>
      <c r="AD33" s="537" t="str">
        <f>'CHAM CONG'!W339</f>
        <v>x</v>
      </c>
      <c r="AE33" s="535">
        <f t="shared" si="4"/>
        <v>2</v>
      </c>
      <c r="AF33" s="537">
        <f t="shared" si="5"/>
        <v>34000</v>
      </c>
      <c r="AG33" s="537">
        <f t="shared" si="6"/>
        <v>14</v>
      </c>
      <c r="AH33" s="537">
        <f t="shared" si="7"/>
        <v>14000</v>
      </c>
      <c r="AI33" s="537">
        <f t="shared" si="8"/>
        <v>272000</v>
      </c>
      <c r="AJ33" s="519">
        <f>'SAN LUONG'!AF340</f>
        <v>266</v>
      </c>
      <c r="AK33" s="519">
        <f>'SAN LUONG'!AG340</f>
        <v>320</v>
      </c>
      <c r="AL33" s="519">
        <f>'SAN LUONG'!AH340</f>
        <v>428</v>
      </c>
      <c r="AM33" s="519">
        <f>'SAN LUONG'!AI340</f>
        <v>324</v>
      </c>
      <c r="AN33" s="553">
        <f t="shared" si="18"/>
        <v>266</v>
      </c>
      <c r="AO33" s="553">
        <f t="shared" si="9"/>
        <v>59105</v>
      </c>
      <c r="AP33" s="553">
        <f t="shared" si="10"/>
        <v>1072</v>
      </c>
      <c r="AQ33" s="553">
        <f t="shared" si="11"/>
        <v>214614</v>
      </c>
      <c r="AR33" s="628">
        <f>'SAN LUONG'!AU246</f>
        <v>0</v>
      </c>
      <c r="AS33" s="629">
        <f t="shared" si="12"/>
        <v>0</v>
      </c>
      <c r="AT33" s="630">
        <f t="shared" si="13"/>
        <v>0</v>
      </c>
      <c r="AU33" s="628">
        <f t="shared" si="14"/>
        <v>17.920000000000002</v>
      </c>
      <c r="AV33" s="556">
        <f t="shared" si="15"/>
        <v>545719</v>
      </c>
      <c r="AW33" s="630"/>
      <c r="AX33" s="564">
        <f t="shared" si="16"/>
        <v>545719</v>
      </c>
      <c r="AY33" s="565"/>
      <c r="AZ33" s="639">
        <f t="shared" si="17"/>
        <v>17.079999999999998</v>
      </c>
      <c r="BA33" s="567"/>
      <c r="BB33" s="568"/>
      <c r="BC33" s="568"/>
      <c r="BD33" s="568"/>
      <c r="BE33" s="568"/>
      <c r="BF33" s="568"/>
      <c r="BG33" s="568"/>
      <c r="BH33" s="568"/>
      <c r="BI33" s="568"/>
      <c r="BJ33" s="568"/>
      <c r="BK33" s="568"/>
      <c r="BL33" s="568"/>
      <c r="BM33" s="568"/>
      <c r="BN33" s="568"/>
      <c r="BO33" s="568"/>
      <c r="BP33" s="568"/>
      <c r="BQ33" s="568"/>
      <c r="BR33" s="568"/>
      <c r="BS33" s="568"/>
      <c r="BT33" s="568"/>
      <c r="BU33" s="568"/>
      <c r="BV33" s="568"/>
      <c r="BW33" s="568"/>
      <c r="BX33" s="568"/>
      <c r="BY33" s="568"/>
      <c r="BZ33" s="568"/>
      <c r="CA33" s="568"/>
      <c r="CB33" s="568"/>
      <c r="CC33" s="568"/>
      <c r="CD33" s="568"/>
      <c r="CE33" s="568"/>
      <c r="CF33" s="568"/>
      <c r="CG33" s="568"/>
      <c r="CH33" s="568"/>
      <c r="CI33" s="568"/>
      <c r="CJ33" s="568"/>
      <c r="CK33" s="568"/>
      <c r="CL33" s="568"/>
      <c r="CM33" s="568"/>
      <c r="CN33" s="568"/>
      <c r="CO33" s="568"/>
      <c r="CP33" s="568"/>
      <c r="CQ33" s="568"/>
      <c r="CR33" s="568"/>
      <c r="CS33" s="568"/>
      <c r="CT33" s="568"/>
      <c r="CU33" s="568"/>
      <c r="CV33" s="568"/>
      <c r="CW33" s="568"/>
      <c r="CX33" s="568"/>
      <c r="CY33" s="568"/>
      <c r="CZ33" s="568"/>
      <c r="DA33" s="568"/>
      <c r="DB33" s="568"/>
      <c r="DC33" s="568"/>
      <c r="DD33" s="568"/>
      <c r="DE33" s="568"/>
      <c r="DF33" s="568"/>
      <c r="DG33" s="568"/>
      <c r="DH33" s="568"/>
      <c r="DI33" s="568"/>
      <c r="DJ33" s="568"/>
      <c r="DK33" s="568"/>
      <c r="DL33" s="568"/>
      <c r="DM33" s="568"/>
      <c r="DN33" s="568"/>
      <c r="DO33" s="568"/>
      <c r="DP33" s="568"/>
      <c r="DQ33" s="568"/>
      <c r="DR33" s="568"/>
      <c r="DS33" s="568"/>
      <c r="DT33" s="568"/>
      <c r="DU33" s="568"/>
      <c r="DV33" s="568"/>
      <c r="DW33" s="568"/>
      <c r="DX33" s="568"/>
      <c r="DY33" s="568"/>
      <c r="DZ33" s="568"/>
      <c r="EA33" s="568"/>
      <c r="EB33" s="568"/>
      <c r="EC33" s="568"/>
      <c r="ED33" s="568"/>
      <c r="EE33" s="568"/>
      <c r="EF33" s="568"/>
      <c r="EG33" s="568"/>
      <c r="EH33" s="568"/>
      <c r="EI33" s="568"/>
      <c r="EJ33" s="568"/>
      <c r="EK33" s="568"/>
      <c r="EL33" s="568"/>
      <c r="EM33" s="568"/>
      <c r="EN33" s="568"/>
      <c r="EO33" s="568"/>
      <c r="EP33" s="568"/>
      <c r="EQ33" s="568"/>
      <c r="ER33" s="568"/>
      <c r="ES33" s="568"/>
      <c r="ET33" s="568"/>
      <c r="EU33" s="568"/>
      <c r="EV33" s="568"/>
      <c r="EW33" s="568"/>
      <c r="EX33" s="568"/>
      <c r="EY33" s="568"/>
      <c r="EZ33" s="568"/>
      <c r="FA33" s="568"/>
      <c r="FB33" s="568"/>
      <c r="FC33" s="568"/>
      <c r="FD33" s="568"/>
      <c r="FE33" s="568"/>
      <c r="FF33" s="568"/>
      <c r="FG33" s="568"/>
      <c r="FH33" s="568"/>
      <c r="FI33" s="568"/>
      <c r="FJ33" s="568"/>
      <c r="FK33" s="568"/>
      <c r="FL33" s="568"/>
      <c r="FM33" s="568"/>
      <c r="FN33" s="568"/>
      <c r="FO33" s="568"/>
      <c r="FP33" s="568"/>
      <c r="FQ33" s="568"/>
      <c r="FR33" s="568"/>
      <c r="FS33" s="568"/>
      <c r="FT33" s="568"/>
      <c r="FU33" s="568"/>
      <c r="FV33" s="568"/>
      <c r="FW33" s="568"/>
      <c r="FX33" s="568"/>
      <c r="FY33" s="568"/>
      <c r="FZ33" s="568"/>
      <c r="GA33" s="568"/>
      <c r="GB33" s="568"/>
      <c r="GC33" s="568"/>
      <c r="GD33" s="568"/>
      <c r="GE33" s="568"/>
      <c r="GF33" s="568"/>
      <c r="GG33" s="568"/>
      <c r="GH33" s="568"/>
      <c r="GI33" s="568"/>
      <c r="GJ33" s="568"/>
      <c r="GK33" s="568"/>
      <c r="GL33" s="568"/>
      <c r="GM33" s="568"/>
      <c r="GN33" s="568"/>
      <c r="GO33" s="568"/>
      <c r="GP33" s="568"/>
      <c r="GQ33" s="568"/>
      <c r="GR33" s="568"/>
      <c r="GS33" s="568"/>
      <c r="GT33" s="568"/>
      <c r="GU33" s="568"/>
      <c r="GV33" s="568"/>
      <c r="GW33" s="568"/>
      <c r="GX33" s="568"/>
      <c r="GY33" s="568"/>
      <c r="GZ33" s="568"/>
      <c r="HA33" s="568"/>
      <c r="HB33" s="568"/>
      <c r="HC33" s="568"/>
      <c r="HD33" s="568"/>
      <c r="HE33" s="568"/>
      <c r="HF33" s="568"/>
      <c r="HG33" s="568"/>
      <c r="HH33" s="568"/>
      <c r="HI33" s="568"/>
      <c r="HJ33" s="568"/>
      <c r="HK33" s="568"/>
      <c r="HL33" s="568"/>
      <c r="HM33" s="568"/>
      <c r="HN33" s="568"/>
      <c r="HO33" s="568"/>
      <c r="HP33" s="568"/>
      <c r="HQ33" s="568"/>
      <c r="HR33" s="568"/>
    </row>
    <row r="34" spans="1:226" s="483" customFormat="1" ht="37.200000000000003" customHeight="1">
      <c r="A34" s="503">
        <v>25</v>
      </c>
      <c r="B34" s="504">
        <v>9</v>
      </c>
      <c r="C34" s="504">
        <v>368</v>
      </c>
      <c r="D34" s="615">
        <f>'Tên Tháng 1'!B240</f>
        <v>30106</v>
      </c>
      <c r="E34" s="615" t="str">
        <f>'Tên Tháng 1'!C240</f>
        <v>ប្រុស</v>
      </c>
      <c r="F34" s="616" t="str">
        <f>'Tên Tháng 1'!D240</f>
        <v>220140655</v>
      </c>
      <c r="G34" s="615" t="str">
        <f>'Tên Tháng 1'!E332</f>
        <v>ងី វីន</v>
      </c>
      <c r="H34" s="615" t="str">
        <f>'Tên Tháng 1'!F332</f>
        <v>NGY VIN</v>
      </c>
      <c r="I34" s="519" t="str">
        <f>'CHAM CONG'!G340</f>
        <v>x</v>
      </c>
      <c r="J34" s="519" t="str">
        <f>'CHAM CONG'!H340</f>
        <v>x</v>
      </c>
      <c r="K34" s="519" t="str">
        <f>'CHAM CONG'!I340</f>
        <v>x</v>
      </c>
      <c r="L34" s="519">
        <f>'CHAM CONG'!J340</f>
        <v>0</v>
      </c>
      <c r="M34" s="519" t="str">
        <f>'CHAM CONG'!K340</f>
        <v>x</v>
      </c>
      <c r="N34" s="519" t="str">
        <f>'CHAM CONG'!L340</f>
        <v>x</v>
      </c>
      <c r="O34" s="519" t="str">
        <f>'CHAM CONG'!M340</f>
        <v>x</v>
      </c>
      <c r="P34" s="519" t="str">
        <f>'CHAM CONG'!N340</f>
        <v>x</v>
      </c>
      <c r="Q34" s="519" t="str">
        <f>'CHAM CONG'!O340</f>
        <v>x</v>
      </c>
      <c r="R34" s="519" t="str">
        <f>'CHAM CONG'!P340</f>
        <v>x</v>
      </c>
      <c r="S34" s="519" t="str">
        <f>'CHAM CONG'!Q340</f>
        <v>x</v>
      </c>
      <c r="T34" s="519" t="str">
        <f>'CHAM CONG'!R340</f>
        <v>x</v>
      </c>
      <c r="U34" s="519" t="str">
        <f>'CHAM CONG'!S340</f>
        <v>x</v>
      </c>
      <c r="V34" s="519" t="str">
        <f>'CHAM CONG'!T340</f>
        <v>x</v>
      </c>
      <c r="W34" s="519" t="str">
        <f>'CHAM CONG'!U340</f>
        <v>x</v>
      </c>
      <c r="X34" s="519"/>
      <c r="Y34" s="519"/>
      <c r="Z34" s="535">
        <f t="shared" si="2"/>
        <v>14</v>
      </c>
      <c r="AA34" s="536">
        <f t="shared" si="0"/>
        <v>0</v>
      </c>
      <c r="AB34" s="537">
        <f t="shared" si="3"/>
        <v>224000</v>
      </c>
      <c r="AC34" s="537" t="str">
        <f>'CHAM CONG'!V340</f>
        <v>x</v>
      </c>
      <c r="AD34" s="537" t="str">
        <f>'CHAM CONG'!W340</f>
        <v>x</v>
      </c>
      <c r="AE34" s="535">
        <f t="shared" si="4"/>
        <v>2</v>
      </c>
      <c r="AF34" s="537">
        <f t="shared" si="5"/>
        <v>34000</v>
      </c>
      <c r="AG34" s="537">
        <f t="shared" si="6"/>
        <v>14</v>
      </c>
      <c r="AH34" s="537">
        <f t="shared" si="7"/>
        <v>14000</v>
      </c>
      <c r="AI34" s="537">
        <f t="shared" si="8"/>
        <v>272000</v>
      </c>
      <c r="AJ34" s="519">
        <f>'SAN LUONG'!AF341</f>
        <v>200</v>
      </c>
      <c r="AK34" s="519">
        <f>'SAN LUONG'!AG341</f>
        <v>237</v>
      </c>
      <c r="AL34" s="519">
        <f>'SAN LUONG'!AH341</f>
        <v>473</v>
      </c>
      <c r="AM34" s="519">
        <f>'SAN LUONG'!AI341</f>
        <v>214</v>
      </c>
      <c r="AN34" s="553">
        <f t="shared" si="18"/>
        <v>200</v>
      </c>
      <c r="AO34" s="553">
        <f t="shared" si="9"/>
        <v>44440</v>
      </c>
      <c r="AP34" s="553">
        <f t="shared" si="10"/>
        <v>924</v>
      </c>
      <c r="AQ34" s="553">
        <f t="shared" si="11"/>
        <v>184985</v>
      </c>
      <c r="AR34" s="628">
        <f>'SAN LUONG'!AU247</f>
        <v>0</v>
      </c>
      <c r="AS34" s="629">
        <f t="shared" si="12"/>
        <v>0</v>
      </c>
      <c r="AT34" s="630">
        <f t="shared" si="13"/>
        <v>0</v>
      </c>
      <c r="AU34" s="628">
        <f t="shared" si="14"/>
        <v>16.46</v>
      </c>
      <c r="AV34" s="556">
        <f t="shared" si="15"/>
        <v>501425</v>
      </c>
      <c r="AW34" s="630"/>
      <c r="AX34" s="564">
        <f t="shared" si="16"/>
        <v>501425</v>
      </c>
      <c r="AY34" s="565"/>
      <c r="AZ34" s="639">
        <f t="shared" si="17"/>
        <v>15.7</v>
      </c>
      <c r="BA34" s="567"/>
    </row>
    <row r="35" spans="1:226" s="483" customFormat="1" ht="37.200000000000003" customHeight="1">
      <c r="A35" s="503">
        <v>26</v>
      </c>
      <c r="B35" s="504">
        <v>9</v>
      </c>
      <c r="C35" s="504">
        <v>369</v>
      </c>
      <c r="D35" s="615">
        <f>'Tên Tháng 1'!B241</f>
        <v>39832</v>
      </c>
      <c r="E35" s="615" t="str">
        <f>'Tên Tháng 1'!C241</f>
        <v>ប្រុស</v>
      </c>
      <c r="F35" s="616">
        <f>'Tên Tháng 1'!D241</f>
        <v>151075284</v>
      </c>
      <c r="G35" s="615" t="str">
        <f>'Tên Tháng 1'!E333</f>
        <v>ឆេង ផល្លា</v>
      </c>
      <c r="H35" s="615" t="str">
        <f>'Tên Tháng 1'!F333</f>
        <v>CHHENG PHALLA</v>
      </c>
      <c r="I35" s="519" t="str">
        <f>'CHAM CONG'!G341</f>
        <v>x</v>
      </c>
      <c r="J35" s="519" t="str">
        <f>'CHAM CONG'!H341</f>
        <v>x</v>
      </c>
      <c r="K35" s="519" t="str">
        <f>'CHAM CONG'!I341</f>
        <v>x</v>
      </c>
      <c r="L35" s="519">
        <f>'CHAM CONG'!J341</f>
        <v>0</v>
      </c>
      <c r="M35" s="519" t="str">
        <f>'CHAM CONG'!K341</f>
        <v>x</v>
      </c>
      <c r="N35" s="519" t="str">
        <f>'CHAM CONG'!L341</f>
        <v>x</v>
      </c>
      <c r="O35" s="519">
        <f>'CHAM CONG'!M341</f>
        <v>0</v>
      </c>
      <c r="P35" s="519" t="str">
        <f>'CHAM CONG'!N341</f>
        <v>x</v>
      </c>
      <c r="Q35" s="519" t="str">
        <f>'CHAM CONG'!O341</f>
        <v>x</v>
      </c>
      <c r="R35" s="519" t="str">
        <f>'CHAM CONG'!P341</f>
        <v>x</v>
      </c>
      <c r="S35" s="519" t="str">
        <f>'CHAM CONG'!Q341</f>
        <v>x</v>
      </c>
      <c r="T35" s="519" t="str">
        <f>'CHAM CONG'!R341</f>
        <v>x</v>
      </c>
      <c r="U35" s="519" t="str">
        <f>'CHAM CONG'!S341</f>
        <v>x</v>
      </c>
      <c r="V35" s="519" t="str">
        <f>'CHAM CONG'!T341</f>
        <v>x</v>
      </c>
      <c r="W35" s="519" t="str">
        <f>'CHAM CONG'!U341</f>
        <v>x</v>
      </c>
      <c r="X35" s="519"/>
      <c r="Y35" s="519"/>
      <c r="Z35" s="535">
        <f t="shared" si="2"/>
        <v>13</v>
      </c>
      <c r="AA35" s="536">
        <f t="shared" si="0"/>
        <v>0</v>
      </c>
      <c r="AB35" s="537">
        <f t="shared" si="3"/>
        <v>208000</v>
      </c>
      <c r="AC35" s="537">
        <f>'CHAM CONG'!V341</f>
        <v>0</v>
      </c>
      <c r="AD35" s="537" t="str">
        <f>'CHAM CONG'!W341</f>
        <v>x</v>
      </c>
      <c r="AE35" s="535">
        <f t="shared" si="4"/>
        <v>1</v>
      </c>
      <c r="AF35" s="537">
        <f t="shared" si="5"/>
        <v>17000</v>
      </c>
      <c r="AG35" s="537">
        <f t="shared" si="6"/>
        <v>13</v>
      </c>
      <c r="AH35" s="537">
        <f t="shared" si="7"/>
        <v>13000</v>
      </c>
      <c r="AI35" s="537">
        <f t="shared" si="8"/>
        <v>238000</v>
      </c>
      <c r="AJ35" s="519">
        <f>'SAN LUONG'!AF342</f>
        <v>177</v>
      </c>
      <c r="AK35" s="519">
        <f>'SAN LUONG'!AG342</f>
        <v>281</v>
      </c>
      <c r="AL35" s="519">
        <f>'SAN LUONG'!AH342</f>
        <v>269</v>
      </c>
      <c r="AM35" s="519">
        <f>'SAN LUONG'!AI342</f>
        <v>273</v>
      </c>
      <c r="AN35" s="553">
        <f t="shared" si="18"/>
        <v>177</v>
      </c>
      <c r="AO35" s="553">
        <f t="shared" si="9"/>
        <v>39329</v>
      </c>
      <c r="AP35" s="553">
        <f t="shared" si="10"/>
        <v>823</v>
      </c>
      <c r="AQ35" s="553">
        <f t="shared" si="11"/>
        <v>164765</v>
      </c>
      <c r="AR35" s="628">
        <f>'SAN LUONG'!AU248</f>
        <v>0</v>
      </c>
      <c r="AS35" s="629">
        <f t="shared" si="12"/>
        <v>0</v>
      </c>
      <c r="AT35" s="630">
        <f t="shared" si="13"/>
        <v>0</v>
      </c>
      <c r="AU35" s="628">
        <f t="shared" si="14"/>
        <v>14.52</v>
      </c>
      <c r="AV35" s="556">
        <f t="shared" si="15"/>
        <v>442094</v>
      </c>
      <c r="AW35" s="630"/>
      <c r="AX35" s="564">
        <f t="shared" si="16"/>
        <v>442094</v>
      </c>
      <c r="AY35" s="565"/>
      <c r="AZ35" s="639">
        <f t="shared" si="17"/>
        <v>13.84</v>
      </c>
      <c r="BA35" s="567"/>
    </row>
    <row r="36" spans="1:226" s="483" customFormat="1" ht="37.200000000000003" customHeight="1">
      <c r="A36" s="503">
        <v>27</v>
      </c>
      <c r="B36" s="504">
        <v>9</v>
      </c>
      <c r="C36" s="504">
        <v>370</v>
      </c>
      <c r="D36" s="615">
        <f>'Tên Tháng 1'!B242</f>
        <v>36600</v>
      </c>
      <c r="E36" s="615" t="str">
        <f>'Tên Tháng 1'!C242</f>
        <v>ប្រុស</v>
      </c>
      <c r="F36" s="616">
        <f>'Tên Tháng 1'!D242</f>
        <v>220263827</v>
      </c>
      <c r="G36" s="615" t="str">
        <f>'Tên Tháng 1'!E334</f>
        <v>ហោន វាសនា</v>
      </c>
      <c r="H36" s="615" t="str">
        <f>'Tên Tháng 1'!F334</f>
        <v>HORN VEASNA</v>
      </c>
      <c r="I36" s="519" t="str">
        <f>'CHAM CONG'!G342</f>
        <v>x</v>
      </c>
      <c r="J36" s="519" t="str">
        <f>'CHAM CONG'!H342</f>
        <v>x</v>
      </c>
      <c r="K36" s="519" t="str">
        <f>'CHAM CONG'!I342</f>
        <v>x</v>
      </c>
      <c r="L36" s="519">
        <f>'CHAM CONG'!J342</f>
        <v>0</v>
      </c>
      <c r="M36" s="519" t="str">
        <f>'CHAM CONG'!K342</f>
        <v>x</v>
      </c>
      <c r="N36" s="519" t="str">
        <f>'CHAM CONG'!L342</f>
        <v>x</v>
      </c>
      <c r="O36" s="519">
        <f>'CHAM CONG'!M342</f>
        <v>0</v>
      </c>
      <c r="P36" s="519" t="str">
        <f>'CHAM CONG'!N342</f>
        <v>x</v>
      </c>
      <c r="Q36" s="519" t="str">
        <f>'CHAM CONG'!O342</f>
        <v>x</v>
      </c>
      <c r="R36" s="519" t="str">
        <f>'CHAM CONG'!P342</f>
        <v>x</v>
      </c>
      <c r="S36" s="519" t="str">
        <f>'CHAM CONG'!Q342</f>
        <v>x</v>
      </c>
      <c r="T36" s="519" t="str">
        <f>'CHAM CONG'!R342</f>
        <v>x</v>
      </c>
      <c r="U36" s="519" t="str">
        <f>'CHAM CONG'!S342</f>
        <v>x</v>
      </c>
      <c r="V36" s="519" t="str">
        <f>'CHAM CONG'!T342</f>
        <v>x</v>
      </c>
      <c r="W36" s="519" t="str">
        <f>'CHAM CONG'!U342</f>
        <v>x</v>
      </c>
      <c r="X36" s="519"/>
      <c r="Y36" s="519"/>
      <c r="Z36" s="535">
        <f t="shared" si="2"/>
        <v>13</v>
      </c>
      <c r="AA36" s="536">
        <f t="shared" si="0"/>
        <v>0</v>
      </c>
      <c r="AB36" s="537">
        <f t="shared" si="3"/>
        <v>208000</v>
      </c>
      <c r="AC36" s="537" t="str">
        <f>'CHAM CONG'!V342</f>
        <v>x</v>
      </c>
      <c r="AD36" s="537" t="str">
        <f>'CHAM CONG'!W342</f>
        <v>x</v>
      </c>
      <c r="AE36" s="535">
        <f t="shared" si="4"/>
        <v>2</v>
      </c>
      <c r="AF36" s="537">
        <f t="shared" si="5"/>
        <v>34000</v>
      </c>
      <c r="AG36" s="537">
        <f t="shared" si="6"/>
        <v>13</v>
      </c>
      <c r="AH36" s="537">
        <f t="shared" si="7"/>
        <v>13000</v>
      </c>
      <c r="AI36" s="537">
        <f t="shared" si="8"/>
        <v>255000</v>
      </c>
      <c r="AJ36" s="519">
        <f>'SAN LUONG'!AF343</f>
        <v>207</v>
      </c>
      <c r="AK36" s="519">
        <f>'SAN LUONG'!AG343</f>
        <v>254</v>
      </c>
      <c r="AL36" s="519">
        <f>'SAN LUONG'!AH343</f>
        <v>246</v>
      </c>
      <c r="AM36" s="519">
        <f>'SAN LUONG'!AI343</f>
        <v>277</v>
      </c>
      <c r="AN36" s="553">
        <f t="shared" si="18"/>
        <v>207</v>
      </c>
      <c r="AO36" s="553">
        <f t="shared" si="9"/>
        <v>45995</v>
      </c>
      <c r="AP36" s="553">
        <f t="shared" si="10"/>
        <v>777</v>
      </c>
      <c r="AQ36" s="553">
        <f t="shared" si="11"/>
        <v>155555</v>
      </c>
      <c r="AR36" s="628">
        <f>'SAN LUONG'!AU249</f>
        <v>0</v>
      </c>
      <c r="AS36" s="629">
        <f t="shared" si="12"/>
        <v>0</v>
      </c>
      <c r="AT36" s="630">
        <f t="shared" si="13"/>
        <v>0</v>
      </c>
      <c r="AU36" s="628">
        <f t="shared" si="14"/>
        <v>14.99</v>
      </c>
      <c r="AV36" s="556">
        <f t="shared" si="15"/>
        <v>456550</v>
      </c>
      <c r="AW36" s="630"/>
      <c r="AX36" s="564">
        <f t="shared" si="16"/>
        <v>456550</v>
      </c>
      <c r="AY36" s="565"/>
      <c r="AZ36" s="639">
        <f t="shared" si="17"/>
        <v>14.29</v>
      </c>
      <c r="BA36" s="567"/>
    </row>
    <row r="37" spans="1:226" s="483" customFormat="1" ht="37.200000000000003" customHeight="1">
      <c r="A37" s="503">
        <v>28</v>
      </c>
      <c r="B37" s="504">
        <v>9</v>
      </c>
      <c r="C37" s="504">
        <v>371</v>
      </c>
      <c r="D37" s="615">
        <f>'Tên Tháng 1'!B243</f>
        <v>28869</v>
      </c>
      <c r="E37" s="615" t="str">
        <f>'Tên Tháng 1'!C243</f>
        <v>ប្រុស</v>
      </c>
      <c r="F37" s="616" t="str">
        <f>'Tên Tháng 1'!D243</f>
        <v>220152900</v>
      </c>
      <c r="G37" s="615" t="str">
        <f>'Tên Tháng 1'!E335</f>
        <v>ឡាម ហេង</v>
      </c>
      <c r="H37" s="615" t="str">
        <f>'Tên Tháng 1'!F335</f>
        <v>LAM HENG</v>
      </c>
      <c r="I37" s="519">
        <f>'CHAM CONG'!G343</f>
        <v>0</v>
      </c>
      <c r="J37" s="519" t="str">
        <f>'CHAM CONG'!H343</f>
        <v>x</v>
      </c>
      <c r="K37" s="519" t="str">
        <f>'CHAM CONG'!I343</f>
        <v>x</v>
      </c>
      <c r="L37" s="519">
        <f>'CHAM CONG'!J343</f>
        <v>0</v>
      </c>
      <c r="M37" s="519" t="str">
        <f>'CHAM CONG'!K343</f>
        <v>x</v>
      </c>
      <c r="N37" s="519" t="str">
        <f>'CHAM CONG'!L343</f>
        <v>x</v>
      </c>
      <c r="O37" s="519">
        <f>'CHAM CONG'!M343</f>
        <v>0</v>
      </c>
      <c r="P37" s="519" t="str">
        <f>'CHAM CONG'!N343</f>
        <v>x</v>
      </c>
      <c r="Q37" s="519" t="str">
        <f>'CHAM CONG'!O343</f>
        <v>x</v>
      </c>
      <c r="R37" s="519" t="str">
        <f>'CHAM CONG'!P343</f>
        <v>x</v>
      </c>
      <c r="S37" s="519" t="str">
        <f>'CHAM CONG'!Q343</f>
        <v>x</v>
      </c>
      <c r="T37" s="519" t="str">
        <f>'CHAM CONG'!R343</f>
        <v>x</v>
      </c>
      <c r="U37" s="519" t="str">
        <f>'CHAM CONG'!S343</f>
        <v>x</v>
      </c>
      <c r="V37" s="519" t="str">
        <f>'CHAM CONG'!T343</f>
        <v>x</v>
      </c>
      <c r="W37" s="519" t="str">
        <f>'CHAM CONG'!U343</f>
        <v>x</v>
      </c>
      <c r="X37" s="519"/>
      <c r="Y37" s="519"/>
      <c r="Z37" s="535">
        <f t="shared" si="2"/>
        <v>12</v>
      </c>
      <c r="AA37" s="536">
        <f t="shared" si="0"/>
        <v>0</v>
      </c>
      <c r="AB37" s="537">
        <f t="shared" si="3"/>
        <v>192000</v>
      </c>
      <c r="AC37" s="537">
        <f>'CHAM CONG'!V343</f>
        <v>0</v>
      </c>
      <c r="AD37" s="537" t="str">
        <f>'CHAM CONG'!W343</f>
        <v>x</v>
      </c>
      <c r="AE37" s="535">
        <f t="shared" si="4"/>
        <v>1</v>
      </c>
      <c r="AF37" s="537">
        <f t="shared" si="5"/>
        <v>17000</v>
      </c>
      <c r="AG37" s="537">
        <f t="shared" si="6"/>
        <v>12</v>
      </c>
      <c r="AH37" s="537">
        <f t="shared" si="7"/>
        <v>12000</v>
      </c>
      <c r="AI37" s="537">
        <f t="shared" si="8"/>
        <v>221000</v>
      </c>
      <c r="AJ37" s="519">
        <f>'SAN LUONG'!AF344</f>
        <v>141</v>
      </c>
      <c r="AK37" s="519">
        <f>'SAN LUONG'!AG344</f>
        <v>226</v>
      </c>
      <c r="AL37" s="519">
        <f>'SAN LUONG'!AH344</f>
        <v>120</v>
      </c>
      <c r="AM37" s="519">
        <f>'SAN LUONG'!AI344</f>
        <v>274</v>
      </c>
      <c r="AN37" s="553">
        <f t="shared" si="18"/>
        <v>141</v>
      </c>
      <c r="AO37" s="553">
        <f t="shared" si="9"/>
        <v>31330</v>
      </c>
      <c r="AP37" s="553">
        <f t="shared" si="10"/>
        <v>620</v>
      </c>
      <c r="AQ37" s="553">
        <f t="shared" si="11"/>
        <v>124124</v>
      </c>
      <c r="AR37" s="628">
        <f>'SAN LUONG'!AU250</f>
        <v>0</v>
      </c>
      <c r="AS37" s="629">
        <f t="shared" si="12"/>
        <v>0</v>
      </c>
      <c r="AT37" s="630">
        <f t="shared" si="13"/>
        <v>0</v>
      </c>
      <c r="AU37" s="628">
        <f t="shared" si="14"/>
        <v>12.36</v>
      </c>
      <c r="AV37" s="556">
        <f t="shared" si="15"/>
        <v>376454</v>
      </c>
      <c r="AW37" s="630"/>
      <c r="AX37" s="564">
        <f t="shared" si="16"/>
        <v>376454</v>
      </c>
      <c r="AY37" s="565"/>
      <c r="AZ37" s="639">
        <f t="shared" si="17"/>
        <v>11.78</v>
      </c>
      <c r="BA37" s="567"/>
    </row>
    <row r="38" spans="1:226" s="483" customFormat="1" ht="37.200000000000003" customHeight="1">
      <c r="A38" s="503">
        <v>29</v>
      </c>
      <c r="B38" s="504">
        <v>9</v>
      </c>
      <c r="C38" s="504">
        <v>372</v>
      </c>
      <c r="D38" s="615">
        <f>'Tên Tháng 1'!B244</f>
        <v>36382</v>
      </c>
      <c r="E38" s="615" t="str">
        <f>'Tên Tháng 1'!C244</f>
        <v>ស្រី</v>
      </c>
      <c r="F38" s="616" t="str">
        <f>'Tên Tháng 1'!D244</f>
        <v>220175254</v>
      </c>
      <c r="G38" s="615" t="str">
        <f>'Tên Tháng 1'!E336</f>
        <v>សឿន ចំរើន</v>
      </c>
      <c r="H38" s="615" t="str">
        <f>'Tên Tháng 1'!F336</f>
        <v>SOEUN CHAMRAEUN</v>
      </c>
      <c r="I38" s="519" t="str">
        <f>'CHAM CONG'!G344</f>
        <v>x</v>
      </c>
      <c r="J38" s="519" t="str">
        <f>'CHAM CONG'!H344</f>
        <v>x</v>
      </c>
      <c r="K38" s="519" t="str">
        <f>'CHAM CONG'!I344</f>
        <v>x</v>
      </c>
      <c r="L38" s="519">
        <f>'CHAM CONG'!J344</f>
        <v>0</v>
      </c>
      <c r="M38" s="519" t="str">
        <f>'CHAM CONG'!K344</f>
        <v>x</v>
      </c>
      <c r="N38" s="519" t="str">
        <f>'CHAM CONG'!L344</f>
        <v>x</v>
      </c>
      <c r="O38" s="519" t="str">
        <f>'CHAM CONG'!M344</f>
        <v>x</v>
      </c>
      <c r="P38" s="519" t="str">
        <f>'CHAM CONG'!N344</f>
        <v>x</v>
      </c>
      <c r="Q38" s="519">
        <f>'CHAM CONG'!O344</f>
        <v>0</v>
      </c>
      <c r="R38" s="519" t="str">
        <f>'CHAM CONG'!P344</f>
        <v>x</v>
      </c>
      <c r="S38" s="519" t="str">
        <f>'CHAM CONG'!Q344</f>
        <v>x</v>
      </c>
      <c r="T38" s="519" t="str">
        <f>'CHAM CONG'!R344</f>
        <v>x</v>
      </c>
      <c r="U38" s="519" t="str">
        <f>'CHAM CONG'!S344</f>
        <v>x</v>
      </c>
      <c r="V38" s="519" t="str">
        <f>'CHAM CONG'!T344</f>
        <v>x</v>
      </c>
      <c r="W38" s="519" t="str">
        <f>'CHAM CONG'!U344</f>
        <v>x</v>
      </c>
      <c r="X38" s="519"/>
      <c r="Y38" s="519"/>
      <c r="Z38" s="535">
        <f t="shared" si="2"/>
        <v>13</v>
      </c>
      <c r="AA38" s="536">
        <f t="shared" si="0"/>
        <v>0</v>
      </c>
      <c r="AB38" s="537">
        <f t="shared" si="3"/>
        <v>208000</v>
      </c>
      <c r="AC38" s="537">
        <f>'CHAM CONG'!V344</f>
        <v>0</v>
      </c>
      <c r="AD38" s="537" t="str">
        <f>'CHAM CONG'!W344</f>
        <v>x</v>
      </c>
      <c r="AE38" s="535">
        <f t="shared" si="4"/>
        <v>1</v>
      </c>
      <c r="AF38" s="537">
        <f t="shared" si="5"/>
        <v>17000</v>
      </c>
      <c r="AG38" s="537">
        <f t="shared" si="6"/>
        <v>13</v>
      </c>
      <c r="AH38" s="537">
        <f t="shared" si="7"/>
        <v>13000</v>
      </c>
      <c r="AI38" s="537">
        <f t="shared" si="8"/>
        <v>238000</v>
      </c>
      <c r="AJ38" s="519">
        <f>'SAN LUONG'!AF345</f>
        <v>128</v>
      </c>
      <c r="AK38" s="519">
        <f>'SAN LUONG'!AG345</f>
        <v>244</v>
      </c>
      <c r="AL38" s="519">
        <f>'SAN LUONG'!AH345</f>
        <v>379</v>
      </c>
      <c r="AM38" s="519">
        <f>'SAN LUONG'!AI345</f>
        <v>236</v>
      </c>
      <c r="AN38" s="553">
        <f t="shared" si="18"/>
        <v>128</v>
      </c>
      <c r="AO38" s="553">
        <f t="shared" si="9"/>
        <v>28442</v>
      </c>
      <c r="AP38" s="553">
        <f t="shared" si="10"/>
        <v>859</v>
      </c>
      <c r="AQ38" s="553">
        <f t="shared" si="11"/>
        <v>171972</v>
      </c>
      <c r="AR38" s="628">
        <f>'SAN LUONG'!AU251</f>
        <v>0</v>
      </c>
      <c r="AS38" s="629">
        <f t="shared" si="12"/>
        <v>0</v>
      </c>
      <c r="AT38" s="630">
        <f t="shared" si="13"/>
        <v>0</v>
      </c>
      <c r="AU38" s="628">
        <f t="shared" si="14"/>
        <v>14.39</v>
      </c>
      <c r="AV38" s="556">
        <f t="shared" si="15"/>
        <v>438414</v>
      </c>
      <c r="AW38" s="630"/>
      <c r="AX38" s="564">
        <f t="shared" si="16"/>
        <v>438414</v>
      </c>
      <c r="AY38" s="565"/>
      <c r="AZ38" s="639">
        <f t="shared" si="17"/>
        <v>13.72</v>
      </c>
      <c r="BA38" s="567"/>
    </row>
    <row r="39" spans="1:226" s="483" customFormat="1" ht="37.200000000000003" customHeight="1">
      <c r="A39" s="503">
        <v>30</v>
      </c>
      <c r="B39" s="504">
        <v>9</v>
      </c>
      <c r="C39" s="504">
        <v>373</v>
      </c>
      <c r="D39" s="615">
        <f>'Tên Tháng 1'!B245</f>
        <v>34061</v>
      </c>
      <c r="E39" s="615" t="str">
        <f>'Tên Tháng 1'!C245</f>
        <v>ប្រុស</v>
      </c>
      <c r="F39" s="616">
        <f>'Tên Tháng 1'!D245</f>
        <v>150468334</v>
      </c>
      <c r="G39" s="615" t="str">
        <f>'Tên Tháng 1'!E337</f>
        <v>ខា ខន</v>
      </c>
      <c r="H39" s="615" t="str">
        <f>'Tên Tháng 1'!F337</f>
        <v>KHA KHORN</v>
      </c>
      <c r="I39" s="519" t="str">
        <f>'CHAM CONG'!G345</f>
        <v>x</v>
      </c>
      <c r="J39" s="519" t="str">
        <f>'CHAM CONG'!H345</f>
        <v>x</v>
      </c>
      <c r="K39" s="519" t="str">
        <f>'CHAM CONG'!I345</f>
        <v>x</v>
      </c>
      <c r="L39" s="519">
        <f>'CHAM CONG'!J345</f>
        <v>0</v>
      </c>
      <c r="M39" s="519" t="str">
        <f>'CHAM CONG'!K345</f>
        <v>x</v>
      </c>
      <c r="N39" s="519" t="str">
        <f>'CHAM CONG'!L345</f>
        <v>x</v>
      </c>
      <c r="O39" s="519">
        <f>'CHAM CONG'!M345</f>
        <v>0</v>
      </c>
      <c r="P39" s="519" t="str">
        <f>'CHAM CONG'!N345</f>
        <v>x</v>
      </c>
      <c r="Q39" s="519" t="str">
        <f>'CHAM CONG'!O345</f>
        <v>x</v>
      </c>
      <c r="R39" s="519">
        <f>'CHAM CONG'!P345</f>
        <v>0</v>
      </c>
      <c r="S39" s="519" t="str">
        <f>'CHAM CONG'!Q345</f>
        <v>x</v>
      </c>
      <c r="T39" s="519" t="str">
        <f>'CHAM CONG'!R345</f>
        <v>x</v>
      </c>
      <c r="U39" s="519" t="str">
        <f>'CHAM CONG'!S345</f>
        <v>x</v>
      </c>
      <c r="V39" s="519" t="str">
        <f>'CHAM CONG'!T345</f>
        <v>x</v>
      </c>
      <c r="W39" s="519" t="str">
        <f>'CHAM CONG'!U345</f>
        <v>x</v>
      </c>
      <c r="X39" s="519"/>
      <c r="Y39" s="519"/>
      <c r="Z39" s="535">
        <f t="shared" si="2"/>
        <v>12</v>
      </c>
      <c r="AA39" s="536">
        <f t="shared" si="0"/>
        <v>0</v>
      </c>
      <c r="AB39" s="537">
        <f t="shared" si="3"/>
        <v>192000</v>
      </c>
      <c r="AC39" s="537" t="str">
        <f>'CHAM CONG'!V345</f>
        <v>x</v>
      </c>
      <c r="AD39" s="537">
        <f>'CHAM CONG'!W345</f>
        <v>0</v>
      </c>
      <c r="AE39" s="535">
        <f t="shared" si="4"/>
        <v>1</v>
      </c>
      <c r="AF39" s="537">
        <f t="shared" si="5"/>
        <v>17000</v>
      </c>
      <c r="AG39" s="537">
        <f t="shared" si="6"/>
        <v>12</v>
      </c>
      <c r="AH39" s="537">
        <f t="shared" si="7"/>
        <v>12000</v>
      </c>
      <c r="AI39" s="537">
        <f t="shared" si="8"/>
        <v>221000</v>
      </c>
      <c r="AJ39" s="519">
        <f>'SAN LUONG'!AF346</f>
        <v>235</v>
      </c>
      <c r="AK39" s="519">
        <f>'SAN LUONG'!AG346</f>
        <v>248</v>
      </c>
      <c r="AL39" s="519">
        <f>'SAN LUONG'!AH346</f>
        <v>173</v>
      </c>
      <c r="AM39" s="519">
        <f>'SAN LUONG'!AI346</f>
        <v>216</v>
      </c>
      <c r="AN39" s="553">
        <f t="shared" si="18"/>
        <v>235</v>
      </c>
      <c r="AO39" s="553">
        <f t="shared" si="9"/>
        <v>52217</v>
      </c>
      <c r="AP39" s="553">
        <f t="shared" si="10"/>
        <v>637</v>
      </c>
      <c r="AQ39" s="553">
        <f t="shared" si="11"/>
        <v>127527</v>
      </c>
      <c r="AR39" s="628">
        <f>'SAN LUONG'!AU252</f>
        <v>0</v>
      </c>
      <c r="AS39" s="629">
        <f t="shared" si="12"/>
        <v>0</v>
      </c>
      <c r="AT39" s="630">
        <f t="shared" si="13"/>
        <v>0</v>
      </c>
      <c r="AU39" s="628">
        <f t="shared" si="14"/>
        <v>13.16</v>
      </c>
      <c r="AV39" s="556">
        <f t="shared" si="15"/>
        <v>400744</v>
      </c>
      <c r="AW39" s="630"/>
      <c r="AX39" s="564">
        <f t="shared" si="16"/>
        <v>400744</v>
      </c>
      <c r="AY39" s="565"/>
      <c r="AZ39" s="639">
        <f t="shared" si="17"/>
        <v>12.54</v>
      </c>
      <c r="BA39" s="567"/>
    </row>
    <row r="40" spans="1:226" s="483" customFormat="1" ht="37.200000000000003" customHeight="1">
      <c r="A40" s="503">
        <v>31</v>
      </c>
      <c r="B40" s="504">
        <v>9</v>
      </c>
      <c r="C40" s="504">
        <v>374</v>
      </c>
      <c r="D40" s="615">
        <f>'Tên Tháng 1'!B246</f>
        <v>38475</v>
      </c>
      <c r="E40" s="615" t="str">
        <f>'Tên Tháng 1'!C246</f>
        <v>ប្រុស</v>
      </c>
      <c r="F40" s="616">
        <f>'Tên Tháng 1'!D246</f>
        <v>151052651</v>
      </c>
      <c r="G40" s="615" t="str">
        <f>'Tên Tháng 1'!E338</f>
        <v>ជុំ ជាតិ</v>
      </c>
      <c r="H40" s="615" t="str">
        <f>'Tên Tháng 1'!F338</f>
        <v>CHUM CHEAT</v>
      </c>
      <c r="I40" s="519" t="str">
        <f>'CHAM CONG'!G346</f>
        <v>x</v>
      </c>
      <c r="J40" s="519" t="str">
        <f>'CHAM CONG'!H346</f>
        <v>x</v>
      </c>
      <c r="K40" s="519" t="str">
        <f>'CHAM CONG'!I346</f>
        <v>x</v>
      </c>
      <c r="L40" s="519">
        <f>'CHAM CONG'!J346</f>
        <v>0</v>
      </c>
      <c r="M40" s="519" t="str">
        <f>'CHAM CONG'!K346</f>
        <v>x</v>
      </c>
      <c r="N40" s="519">
        <f>'CHAM CONG'!L346</f>
        <v>0</v>
      </c>
      <c r="O40" s="519" t="str">
        <f>'CHAM CONG'!M346</f>
        <v>x</v>
      </c>
      <c r="P40" s="519" t="str">
        <f>'CHAM CONG'!N346</f>
        <v>x</v>
      </c>
      <c r="Q40" s="519" t="str">
        <f>'CHAM CONG'!O346</f>
        <v>x</v>
      </c>
      <c r="R40" s="519" t="str">
        <f>'CHAM CONG'!P346</f>
        <v>x</v>
      </c>
      <c r="S40" s="519" t="str">
        <f>'CHAM CONG'!Q346</f>
        <v>x</v>
      </c>
      <c r="T40" s="519" t="str">
        <f>'CHAM CONG'!R346</f>
        <v>x</v>
      </c>
      <c r="U40" s="519" t="str">
        <f>'CHAM CONG'!S346</f>
        <v>x</v>
      </c>
      <c r="V40" s="519" t="str">
        <f>'CHAM CONG'!T346</f>
        <v>x</v>
      </c>
      <c r="W40" s="519" t="str">
        <f>'CHAM CONG'!U346</f>
        <v>x</v>
      </c>
      <c r="X40" s="519"/>
      <c r="Y40" s="519"/>
      <c r="Z40" s="535">
        <f t="shared" si="2"/>
        <v>13</v>
      </c>
      <c r="AA40" s="536">
        <f t="shared" si="0"/>
        <v>0</v>
      </c>
      <c r="AB40" s="537">
        <f t="shared" si="3"/>
        <v>208000</v>
      </c>
      <c r="AC40" s="537" t="str">
        <f>'CHAM CONG'!V346</f>
        <v>x</v>
      </c>
      <c r="AD40" s="537" t="str">
        <f>'CHAM CONG'!W346</f>
        <v>x</v>
      </c>
      <c r="AE40" s="535">
        <f t="shared" si="4"/>
        <v>2</v>
      </c>
      <c r="AF40" s="537">
        <f t="shared" si="5"/>
        <v>34000</v>
      </c>
      <c r="AG40" s="537">
        <f t="shared" si="6"/>
        <v>13</v>
      </c>
      <c r="AH40" s="537">
        <f t="shared" si="7"/>
        <v>13000</v>
      </c>
      <c r="AI40" s="537">
        <f t="shared" si="8"/>
        <v>255000</v>
      </c>
      <c r="AJ40" s="519">
        <f>'SAN LUONG'!AF347</f>
        <v>251</v>
      </c>
      <c r="AK40" s="519">
        <f>'SAN LUONG'!AG347</f>
        <v>180</v>
      </c>
      <c r="AL40" s="519">
        <f>'SAN LUONG'!AH347</f>
        <v>286</v>
      </c>
      <c r="AM40" s="519">
        <f>'SAN LUONG'!AI347</f>
        <v>267</v>
      </c>
      <c r="AN40" s="553">
        <f t="shared" si="18"/>
        <v>251</v>
      </c>
      <c r="AO40" s="553">
        <f t="shared" si="9"/>
        <v>55772</v>
      </c>
      <c r="AP40" s="553">
        <f t="shared" si="10"/>
        <v>733</v>
      </c>
      <c r="AQ40" s="553">
        <f t="shared" si="11"/>
        <v>146747</v>
      </c>
      <c r="AR40" s="628">
        <f>'SAN LUONG'!AU253</f>
        <v>0</v>
      </c>
      <c r="AS40" s="629">
        <f t="shared" si="12"/>
        <v>0</v>
      </c>
      <c r="AT40" s="630">
        <f t="shared" si="13"/>
        <v>0</v>
      </c>
      <c r="AU40" s="628">
        <f t="shared" si="14"/>
        <v>15.02</v>
      </c>
      <c r="AV40" s="556">
        <f t="shared" si="15"/>
        <v>457519</v>
      </c>
      <c r="AW40" s="630"/>
      <c r="AX40" s="564">
        <f t="shared" si="16"/>
        <v>457519</v>
      </c>
      <c r="AY40" s="565"/>
      <c r="AZ40" s="639">
        <f t="shared" si="17"/>
        <v>14.32</v>
      </c>
      <c r="BA40" s="567"/>
    </row>
    <row r="41" spans="1:226" s="483" customFormat="1" ht="37.200000000000003" customHeight="1">
      <c r="A41" s="503">
        <v>32</v>
      </c>
      <c r="B41" s="504">
        <v>9</v>
      </c>
      <c r="C41" s="504">
        <v>375</v>
      </c>
      <c r="D41" s="615">
        <f>'Tên Tháng 1'!B247</f>
        <v>38563</v>
      </c>
      <c r="E41" s="615" t="str">
        <f>'Tên Tháng 1'!C247</f>
        <v>ស្រី</v>
      </c>
      <c r="F41" s="616">
        <f>'Tên Tháng 1'!D247</f>
        <v>150983108</v>
      </c>
      <c r="G41" s="615" t="str">
        <f>'Tên Tháng 1'!E339</f>
        <v>គឿន ភាក់</v>
      </c>
      <c r="H41" s="615" t="str">
        <f>'Tên Tháng 1'!F339</f>
        <v>KOEUN PHEAK</v>
      </c>
      <c r="I41" s="519" t="str">
        <f>'CHAM CONG'!G347</f>
        <v>x</v>
      </c>
      <c r="J41" s="519" t="str">
        <f>'CHAM CONG'!H347</f>
        <v>x</v>
      </c>
      <c r="K41" s="519" t="str">
        <f>'CHAM CONG'!I347</f>
        <v>x</v>
      </c>
      <c r="L41" s="519">
        <f>'CHAM CONG'!J347</f>
        <v>0</v>
      </c>
      <c r="M41" s="519" t="str">
        <f>'CHAM CONG'!K347</f>
        <v>x</v>
      </c>
      <c r="N41" s="519" t="str">
        <f>'CHAM CONG'!L347</f>
        <v>x</v>
      </c>
      <c r="O41" s="519" t="str">
        <f>'CHAM CONG'!M347</f>
        <v>x</v>
      </c>
      <c r="P41" s="519" t="str">
        <f>'CHAM CONG'!N347</f>
        <v>x</v>
      </c>
      <c r="Q41" s="519" t="str">
        <f>'CHAM CONG'!O347</f>
        <v>x</v>
      </c>
      <c r="R41" s="519">
        <f>'CHAM CONG'!P347</f>
        <v>0</v>
      </c>
      <c r="S41" s="519" t="str">
        <f>'CHAM CONG'!Q347</f>
        <v>x</v>
      </c>
      <c r="T41" s="519" t="str">
        <f>'CHAM CONG'!R347</f>
        <v>x</v>
      </c>
      <c r="U41" s="519" t="str">
        <f>'CHAM CONG'!S347</f>
        <v>x</v>
      </c>
      <c r="V41" s="519" t="str">
        <f>'CHAM CONG'!T347</f>
        <v>x</v>
      </c>
      <c r="W41" s="519" t="str">
        <f>'CHAM CONG'!U347</f>
        <v>x</v>
      </c>
      <c r="X41" s="519"/>
      <c r="Y41" s="519"/>
      <c r="Z41" s="535">
        <f t="shared" si="2"/>
        <v>13</v>
      </c>
      <c r="AA41" s="536">
        <f t="shared" si="0"/>
        <v>0</v>
      </c>
      <c r="AB41" s="537">
        <f t="shared" si="3"/>
        <v>208000</v>
      </c>
      <c r="AC41" s="537" t="str">
        <f>'CHAM CONG'!V347</f>
        <v>x</v>
      </c>
      <c r="AD41" s="537" t="str">
        <f>'CHAM CONG'!W347</f>
        <v>x</v>
      </c>
      <c r="AE41" s="535">
        <f t="shared" si="4"/>
        <v>2</v>
      </c>
      <c r="AF41" s="537">
        <f t="shared" si="5"/>
        <v>34000</v>
      </c>
      <c r="AG41" s="537">
        <f t="shared" si="6"/>
        <v>13</v>
      </c>
      <c r="AH41" s="537">
        <f t="shared" si="7"/>
        <v>13000</v>
      </c>
      <c r="AI41" s="537">
        <f t="shared" si="8"/>
        <v>255000</v>
      </c>
      <c r="AJ41" s="519">
        <f>'SAN LUONG'!AF348</f>
        <v>207</v>
      </c>
      <c r="AK41" s="519">
        <f>'SAN LUONG'!AG348</f>
        <v>184</v>
      </c>
      <c r="AL41" s="519">
        <f>'SAN LUONG'!AH348</f>
        <v>354</v>
      </c>
      <c r="AM41" s="519">
        <f>'SAN LUONG'!AI348</f>
        <v>218</v>
      </c>
      <c r="AN41" s="553">
        <f t="shared" si="18"/>
        <v>207</v>
      </c>
      <c r="AO41" s="553">
        <f t="shared" si="9"/>
        <v>45995</v>
      </c>
      <c r="AP41" s="553">
        <f t="shared" si="10"/>
        <v>756</v>
      </c>
      <c r="AQ41" s="553">
        <f t="shared" si="11"/>
        <v>151351</v>
      </c>
      <c r="AR41" s="628">
        <f>'SAN LUONG'!AU254</f>
        <v>0</v>
      </c>
      <c r="AS41" s="629">
        <f t="shared" si="12"/>
        <v>0</v>
      </c>
      <c r="AT41" s="630">
        <f t="shared" si="13"/>
        <v>0</v>
      </c>
      <c r="AU41" s="628">
        <f t="shared" si="14"/>
        <v>14.85</v>
      </c>
      <c r="AV41" s="556">
        <f t="shared" si="15"/>
        <v>452346</v>
      </c>
      <c r="AW41" s="630"/>
      <c r="AX41" s="564">
        <f t="shared" si="16"/>
        <v>452346</v>
      </c>
      <c r="AY41" s="565"/>
      <c r="AZ41" s="639">
        <f t="shared" si="17"/>
        <v>14.16</v>
      </c>
      <c r="BA41" s="567"/>
    </row>
    <row r="42" spans="1:226" s="483" customFormat="1" ht="37.200000000000003" customHeight="1">
      <c r="A42" s="503">
        <v>33</v>
      </c>
      <c r="B42" s="504">
        <v>9</v>
      </c>
      <c r="C42" s="504">
        <v>376</v>
      </c>
      <c r="D42" s="615">
        <f>'Tên Tháng 1'!B248</f>
        <v>36630</v>
      </c>
      <c r="E42" s="615" t="str">
        <f>'Tên Tháng 1'!C248</f>
        <v>ប្រុស</v>
      </c>
      <c r="F42" s="616">
        <f>'Tên Tháng 1'!D248</f>
        <v>220140663</v>
      </c>
      <c r="G42" s="615" t="str">
        <f>'Tên Tháng 1'!E340</f>
        <v>ផាក់ វ៉ង់</v>
      </c>
      <c r="H42" s="615" t="str">
        <f>'Tên Tháng 1'!F340</f>
        <v>PHAK VORNG</v>
      </c>
      <c r="I42" s="519">
        <f>'CHAM CONG'!G348</f>
        <v>0</v>
      </c>
      <c r="J42" s="519" t="str">
        <f>'CHAM CONG'!H348</f>
        <v>x</v>
      </c>
      <c r="K42" s="519" t="str">
        <f>'CHAM CONG'!I348</f>
        <v>x</v>
      </c>
      <c r="L42" s="519">
        <f>'CHAM CONG'!J348</f>
        <v>0</v>
      </c>
      <c r="M42" s="519">
        <f>'CHAM CONG'!K348</f>
        <v>0</v>
      </c>
      <c r="N42" s="519" t="str">
        <f>'CHAM CONG'!L348</f>
        <v>x</v>
      </c>
      <c r="O42" s="519" t="str">
        <f>'CHAM CONG'!M348</f>
        <v>x</v>
      </c>
      <c r="P42" s="519" t="str">
        <f>'CHAM CONG'!N348</f>
        <v>x</v>
      </c>
      <c r="Q42" s="519">
        <f>'CHAM CONG'!O348</f>
        <v>0</v>
      </c>
      <c r="R42" s="519">
        <f>'CHAM CONG'!P348</f>
        <v>0</v>
      </c>
      <c r="S42" s="519">
        <f>'CHAM CONG'!Q348</f>
        <v>0</v>
      </c>
      <c r="T42" s="519" t="str">
        <f>'CHAM CONG'!R348</f>
        <v>x</v>
      </c>
      <c r="U42" s="519" t="str">
        <f>'CHAM CONG'!S348</f>
        <v>x</v>
      </c>
      <c r="V42" s="519" t="str">
        <f>'CHAM CONG'!T348</f>
        <v>x</v>
      </c>
      <c r="W42" s="519" t="str">
        <f>'CHAM CONG'!U348</f>
        <v>x</v>
      </c>
      <c r="X42" s="519"/>
      <c r="Y42" s="519"/>
      <c r="Z42" s="535">
        <f t="shared" si="2"/>
        <v>9</v>
      </c>
      <c r="AA42" s="536">
        <f t="shared" si="0"/>
        <v>0</v>
      </c>
      <c r="AB42" s="537">
        <f t="shared" si="3"/>
        <v>144000</v>
      </c>
      <c r="AC42" s="537">
        <f>'CHAM CONG'!V348</f>
        <v>0</v>
      </c>
      <c r="AD42" s="537">
        <f>'CHAM CONG'!W348</f>
        <v>0</v>
      </c>
      <c r="AE42" s="535">
        <f t="shared" si="4"/>
        <v>0</v>
      </c>
      <c r="AF42" s="537">
        <f t="shared" si="5"/>
        <v>0</v>
      </c>
      <c r="AG42" s="537">
        <f t="shared" si="6"/>
        <v>9</v>
      </c>
      <c r="AH42" s="537">
        <f t="shared" si="7"/>
        <v>9000</v>
      </c>
      <c r="AI42" s="537">
        <f t="shared" si="8"/>
        <v>153000</v>
      </c>
      <c r="AJ42" s="519">
        <f>'SAN LUONG'!AF349</f>
        <v>72</v>
      </c>
      <c r="AK42" s="519">
        <f>'SAN LUONG'!AG349</f>
        <v>0</v>
      </c>
      <c r="AL42" s="519">
        <f>'SAN LUONG'!AH349</f>
        <v>75</v>
      </c>
      <c r="AM42" s="519">
        <f>'SAN LUONG'!AI349</f>
        <v>304</v>
      </c>
      <c r="AN42" s="553">
        <f t="shared" si="18"/>
        <v>72</v>
      </c>
      <c r="AO42" s="553">
        <f t="shared" si="9"/>
        <v>15998</v>
      </c>
      <c r="AP42" s="553">
        <f t="shared" si="10"/>
        <v>379</v>
      </c>
      <c r="AQ42" s="553">
        <f t="shared" si="11"/>
        <v>75876</v>
      </c>
      <c r="AR42" s="628">
        <f>'SAN LUONG'!AU255</f>
        <v>0</v>
      </c>
      <c r="AS42" s="629">
        <f t="shared" si="12"/>
        <v>0</v>
      </c>
      <c r="AT42" s="630">
        <f t="shared" si="13"/>
        <v>0</v>
      </c>
      <c r="AU42" s="628">
        <f t="shared" si="14"/>
        <v>8.0399999999999991</v>
      </c>
      <c r="AV42" s="556">
        <f t="shared" si="15"/>
        <v>244874</v>
      </c>
      <c r="AW42" s="630"/>
      <c r="AX42" s="564">
        <f t="shared" si="16"/>
        <v>244874</v>
      </c>
      <c r="AY42" s="565"/>
      <c r="AZ42" s="639">
        <f t="shared" si="17"/>
        <v>7.67</v>
      </c>
      <c r="BA42" s="567"/>
    </row>
    <row r="43" spans="1:226" s="483" customFormat="1" ht="37.200000000000003" customHeight="1">
      <c r="A43" s="503">
        <v>34</v>
      </c>
      <c r="B43" s="504">
        <v>9</v>
      </c>
      <c r="C43" s="504">
        <v>377</v>
      </c>
      <c r="D43" s="615">
        <f>'Tên Tháng 1'!B251</f>
        <v>34588</v>
      </c>
      <c r="E43" s="615" t="str">
        <f>'Tên Tháng 1'!C251</f>
        <v>ស្រី</v>
      </c>
      <c r="F43" s="616">
        <f>'Tên Tháng 1'!D251</f>
        <v>150483985</v>
      </c>
      <c r="G43" s="615" t="str">
        <f>'Tên Tháng 1'!E341</f>
        <v>ហោន លីដា</v>
      </c>
      <c r="H43" s="615" t="str">
        <f>'Tên Tháng 1'!F341</f>
        <v>HORN LIDA</v>
      </c>
      <c r="I43" s="519" t="str">
        <f>'CHAM CONG'!G349</f>
        <v>x</v>
      </c>
      <c r="J43" s="519" t="str">
        <f>'CHAM CONG'!H349</f>
        <v>x</v>
      </c>
      <c r="K43" s="519" t="str">
        <f>'CHAM CONG'!I349</f>
        <v>x</v>
      </c>
      <c r="L43" s="519">
        <f>'CHAM CONG'!J349</f>
        <v>0</v>
      </c>
      <c r="M43" s="519">
        <f>'CHAM CONG'!K349</f>
        <v>0</v>
      </c>
      <c r="N43" s="519" t="str">
        <f>'CHAM CONG'!L349</f>
        <v>x</v>
      </c>
      <c r="O43" s="519" t="str">
        <f>'CHAM CONG'!M349</f>
        <v>x</v>
      </c>
      <c r="P43" s="519" t="str">
        <f>'CHAM CONG'!N349</f>
        <v>x</v>
      </c>
      <c r="Q43" s="519" t="str">
        <f>'CHAM CONG'!O349</f>
        <v>x</v>
      </c>
      <c r="R43" s="519" t="str">
        <f>'CHAM CONG'!P349</f>
        <v>x</v>
      </c>
      <c r="S43" s="519">
        <f>'CHAM CONG'!Q349</f>
        <v>0</v>
      </c>
      <c r="T43" s="519" t="str">
        <f>'CHAM CONG'!R349</f>
        <v>x</v>
      </c>
      <c r="U43" s="519" t="str">
        <f>'CHAM CONG'!S349</f>
        <v>x</v>
      </c>
      <c r="V43" s="519" t="str">
        <f>'CHAM CONG'!T349</f>
        <v>x</v>
      </c>
      <c r="W43" s="519" t="str">
        <f>'CHAM CONG'!U349</f>
        <v>x</v>
      </c>
      <c r="X43" s="519"/>
      <c r="Y43" s="519"/>
      <c r="Z43" s="535">
        <f t="shared" si="2"/>
        <v>12</v>
      </c>
      <c r="AA43" s="536">
        <f t="shared" ref="AA43:AA49" si="19">ROUND(Z43*$Z$9/30456,2)+$AA$2</f>
        <v>0</v>
      </c>
      <c r="AB43" s="537">
        <f t="shared" si="3"/>
        <v>192000</v>
      </c>
      <c r="AC43" s="537" t="str">
        <f>'CHAM CONG'!V349</f>
        <v>x</v>
      </c>
      <c r="AD43" s="537">
        <f>'CHAM CONG'!W349</f>
        <v>0</v>
      </c>
      <c r="AE43" s="535">
        <f t="shared" si="4"/>
        <v>1</v>
      </c>
      <c r="AF43" s="537">
        <f t="shared" ref="AF43:AF49" si="20">AE43*$AF$8</f>
        <v>17000</v>
      </c>
      <c r="AG43" s="537">
        <f t="shared" si="6"/>
        <v>12</v>
      </c>
      <c r="AH43" s="537">
        <f t="shared" si="7"/>
        <v>12000</v>
      </c>
      <c r="AI43" s="537">
        <f t="shared" si="8"/>
        <v>221000</v>
      </c>
      <c r="AJ43" s="519">
        <f>'SAN LUONG'!AF350</f>
        <v>134</v>
      </c>
      <c r="AK43" s="519">
        <f>'SAN LUONG'!AG350</f>
        <v>196</v>
      </c>
      <c r="AL43" s="519">
        <f>'SAN LUONG'!AH350</f>
        <v>257</v>
      </c>
      <c r="AM43" s="519">
        <f>'SAN LUONG'!AI350</f>
        <v>355</v>
      </c>
      <c r="AN43" s="553">
        <f t="shared" si="18"/>
        <v>134</v>
      </c>
      <c r="AO43" s="553">
        <f t="shared" si="9"/>
        <v>29775</v>
      </c>
      <c r="AP43" s="553">
        <f t="shared" si="10"/>
        <v>808</v>
      </c>
      <c r="AQ43" s="553">
        <f t="shared" si="11"/>
        <v>161762</v>
      </c>
      <c r="AR43" s="628">
        <f>'SAN LUONG'!AU258</f>
        <v>0</v>
      </c>
      <c r="AS43" s="629">
        <f t="shared" ref="AS43:AS49" si="21">ROUND(AT43/30456,2)</f>
        <v>0</v>
      </c>
      <c r="AT43" s="630">
        <f t="shared" ref="AT43:AT49" si="22">AR43*1000</f>
        <v>0</v>
      </c>
      <c r="AU43" s="628">
        <f t="shared" ref="AU43:AU49" si="23">ROUND(AV43/30456,2)</f>
        <v>13.55</v>
      </c>
      <c r="AV43" s="556">
        <f t="shared" si="15"/>
        <v>412537</v>
      </c>
      <c r="AW43" s="630"/>
      <c r="AX43" s="564">
        <f t="shared" si="16"/>
        <v>412537</v>
      </c>
      <c r="AY43" s="565"/>
      <c r="AZ43" s="639">
        <f t="shared" si="17"/>
        <v>12.91</v>
      </c>
      <c r="BA43" s="567"/>
    </row>
    <row r="44" spans="1:226" s="483" customFormat="1" ht="37.200000000000003" customHeight="1">
      <c r="A44" s="503">
        <v>35</v>
      </c>
      <c r="B44" s="504">
        <v>9</v>
      </c>
      <c r="C44" s="504">
        <v>378</v>
      </c>
      <c r="D44" s="615">
        <f>'Tên Tháng 1'!B253</f>
        <v>33624</v>
      </c>
      <c r="E44" s="615" t="str">
        <f>'Tên Tháng 1'!C253</f>
        <v>ស្រី</v>
      </c>
      <c r="F44" s="616">
        <f>'Tên Tháng 1'!D253</f>
        <v>150648408</v>
      </c>
      <c r="G44" s="615" t="str">
        <f>'Tên Tháng 1'!E342</f>
        <v>ផល អេ</v>
      </c>
      <c r="H44" s="615" t="str">
        <f>'Tên Tháng 1'!F342</f>
        <v>PHAL E</v>
      </c>
      <c r="I44" s="519" t="str">
        <f>'CHAM CONG'!G350</f>
        <v>x</v>
      </c>
      <c r="J44" s="519" t="str">
        <f>'CHAM CONG'!H350</f>
        <v>x</v>
      </c>
      <c r="K44" s="519" t="str">
        <f>'CHAM CONG'!I350</f>
        <v>x</v>
      </c>
      <c r="L44" s="519">
        <f>'CHAM CONG'!J350</f>
        <v>0</v>
      </c>
      <c r="M44" s="519" t="str">
        <f>'CHAM CONG'!K350</f>
        <v>x</v>
      </c>
      <c r="N44" s="519" t="str">
        <f>'CHAM CONG'!L350</f>
        <v>x</v>
      </c>
      <c r="O44" s="519" t="str">
        <f>'CHAM CONG'!M350</f>
        <v>x</v>
      </c>
      <c r="P44" s="519" t="str">
        <f>'CHAM CONG'!N350</f>
        <v>x</v>
      </c>
      <c r="Q44" s="519" t="str">
        <f>'CHAM CONG'!O350</f>
        <v>x</v>
      </c>
      <c r="R44" s="519" t="str">
        <f>'CHAM CONG'!P350</f>
        <v>x</v>
      </c>
      <c r="S44" s="519" t="str">
        <f>'CHAM CONG'!Q350</f>
        <v>x</v>
      </c>
      <c r="T44" s="519" t="str">
        <f>'CHAM CONG'!R350</f>
        <v>x</v>
      </c>
      <c r="U44" s="519" t="str">
        <f>'CHAM CONG'!S350</f>
        <v>x</v>
      </c>
      <c r="V44" s="519" t="str">
        <f>'CHAM CONG'!T350</f>
        <v>x</v>
      </c>
      <c r="W44" s="519" t="str">
        <f>'CHAM CONG'!U350</f>
        <v>x</v>
      </c>
      <c r="X44" s="519"/>
      <c r="Y44" s="519"/>
      <c r="Z44" s="535">
        <f t="shared" si="2"/>
        <v>14</v>
      </c>
      <c r="AA44" s="536">
        <f t="shared" si="19"/>
        <v>0</v>
      </c>
      <c r="AB44" s="537">
        <f t="shared" si="3"/>
        <v>224000</v>
      </c>
      <c r="AC44" s="537" t="str">
        <f>'CHAM CONG'!V350</f>
        <v>x</v>
      </c>
      <c r="AD44" s="537" t="str">
        <f>'CHAM CONG'!W350</f>
        <v>x</v>
      </c>
      <c r="AE44" s="535">
        <f t="shared" si="4"/>
        <v>2</v>
      </c>
      <c r="AF44" s="537">
        <f t="shared" si="20"/>
        <v>34000</v>
      </c>
      <c r="AG44" s="537">
        <f t="shared" si="6"/>
        <v>14</v>
      </c>
      <c r="AH44" s="537">
        <f t="shared" si="7"/>
        <v>14000</v>
      </c>
      <c r="AI44" s="537">
        <f t="shared" si="8"/>
        <v>272000</v>
      </c>
      <c r="AJ44" s="519">
        <f>'SAN LUONG'!AF351</f>
        <v>263</v>
      </c>
      <c r="AK44" s="519">
        <f>'SAN LUONG'!AG351</f>
        <v>269</v>
      </c>
      <c r="AL44" s="519">
        <f>'SAN LUONG'!AH351</f>
        <v>350</v>
      </c>
      <c r="AM44" s="519">
        <f>'SAN LUONG'!AI351</f>
        <v>292</v>
      </c>
      <c r="AN44" s="553">
        <f t="shared" si="18"/>
        <v>263</v>
      </c>
      <c r="AO44" s="553">
        <f t="shared" si="9"/>
        <v>58439</v>
      </c>
      <c r="AP44" s="553">
        <f t="shared" si="10"/>
        <v>911</v>
      </c>
      <c r="AQ44" s="553">
        <f t="shared" si="11"/>
        <v>182382</v>
      </c>
      <c r="AR44" s="628">
        <f>'SAN LUONG'!AU260</f>
        <v>0</v>
      </c>
      <c r="AS44" s="629">
        <f t="shared" si="21"/>
        <v>0</v>
      </c>
      <c r="AT44" s="630">
        <f t="shared" si="22"/>
        <v>0</v>
      </c>
      <c r="AU44" s="628">
        <f t="shared" si="23"/>
        <v>16.84</v>
      </c>
      <c r="AV44" s="556">
        <f t="shared" si="15"/>
        <v>512821</v>
      </c>
      <c r="AW44" s="630"/>
      <c r="AX44" s="564">
        <f t="shared" si="16"/>
        <v>512821</v>
      </c>
      <c r="AY44" s="565"/>
      <c r="AZ44" s="639">
        <f t="shared" si="17"/>
        <v>16.05</v>
      </c>
      <c r="BA44" s="567"/>
    </row>
    <row r="45" spans="1:226" s="483" customFormat="1" ht="37.200000000000003" customHeight="1">
      <c r="A45" s="503">
        <v>36</v>
      </c>
      <c r="B45" s="504">
        <v>9</v>
      </c>
      <c r="C45" s="504">
        <v>379</v>
      </c>
      <c r="D45" s="615">
        <f>'Tên Tháng 1'!B254</f>
        <v>31837</v>
      </c>
      <c r="E45" s="615" t="str">
        <f>'Tên Tháng 1'!C254</f>
        <v>ប្រុស</v>
      </c>
      <c r="F45" s="616">
        <f>'Tên Tháng 1'!D254</f>
        <v>150347358</v>
      </c>
      <c r="G45" s="615" t="str">
        <f>'Tên Tháng 1'!E343</f>
        <v>ខឹង យ៉ាត់</v>
      </c>
      <c r="H45" s="615" t="str">
        <f>'Tên Tháng 1'!F343</f>
        <v>KHING YATH</v>
      </c>
      <c r="I45" s="519" t="str">
        <f>'CHAM CONG'!G351</f>
        <v>x</v>
      </c>
      <c r="J45" s="519" t="str">
        <f>'CHAM CONG'!H351</f>
        <v>x</v>
      </c>
      <c r="K45" s="519" t="str">
        <f>'CHAM CONG'!I351</f>
        <v>x</v>
      </c>
      <c r="L45" s="519">
        <f>'CHAM CONG'!J351</f>
        <v>0</v>
      </c>
      <c r="M45" s="519" t="str">
        <f>'CHAM CONG'!K351</f>
        <v>x</v>
      </c>
      <c r="N45" s="519" t="str">
        <f>'CHAM CONG'!L351</f>
        <v>x</v>
      </c>
      <c r="O45" s="519" t="str">
        <f>'CHAM CONG'!M351</f>
        <v>x</v>
      </c>
      <c r="P45" s="519" t="str">
        <f>'CHAM CONG'!N351</f>
        <v>x</v>
      </c>
      <c r="Q45" s="519" t="str">
        <f>'CHAM CONG'!O351</f>
        <v>x</v>
      </c>
      <c r="R45" s="519" t="str">
        <f>'CHAM CONG'!P351</f>
        <v>x</v>
      </c>
      <c r="S45" s="519" t="str">
        <f>'CHAM CONG'!Q351</f>
        <v>x</v>
      </c>
      <c r="T45" s="519" t="str">
        <f>'CHAM CONG'!R351</f>
        <v>x</v>
      </c>
      <c r="U45" s="519" t="str">
        <f>'CHAM CONG'!S351</f>
        <v>x</v>
      </c>
      <c r="V45" s="519" t="str">
        <f>'CHAM CONG'!T351</f>
        <v>x</v>
      </c>
      <c r="W45" s="519" t="str">
        <f>'CHAM CONG'!U351</f>
        <v>x</v>
      </c>
      <c r="X45" s="519"/>
      <c r="Y45" s="519"/>
      <c r="Z45" s="535">
        <f t="shared" si="2"/>
        <v>14</v>
      </c>
      <c r="AA45" s="536">
        <f t="shared" si="19"/>
        <v>0</v>
      </c>
      <c r="AB45" s="537">
        <f t="shared" si="3"/>
        <v>224000</v>
      </c>
      <c r="AC45" s="537" t="str">
        <f>'CHAM CONG'!V351</f>
        <v>x</v>
      </c>
      <c r="AD45" s="537" t="str">
        <f>'CHAM CONG'!W351</f>
        <v>x</v>
      </c>
      <c r="AE45" s="535">
        <f t="shared" si="4"/>
        <v>2</v>
      </c>
      <c r="AF45" s="537">
        <f t="shared" si="20"/>
        <v>34000</v>
      </c>
      <c r="AG45" s="537">
        <f t="shared" si="6"/>
        <v>14</v>
      </c>
      <c r="AH45" s="537">
        <f t="shared" si="7"/>
        <v>14000</v>
      </c>
      <c r="AI45" s="537">
        <f t="shared" si="8"/>
        <v>272000</v>
      </c>
      <c r="AJ45" s="519">
        <f>'SAN LUONG'!AF352</f>
        <v>247</v>
      </c>
      <c r="AK45" s="519">
        <f>'SAN LUONG'!AG352</f>
        <v>231</v>
      </c>
      <c r="AL45" s="519">
        <f>'SAN LUONG'!AH352</f>
        <v>325</v>
      </c>
      <c r="AM45" s="519">
        <f>'SAN LUONG'!AI352</f>
        <v>292</v>
      </c>
      <c r="AN45" s="553">
        <f t="shared" si="18"/>
        <v>247</v>
      </c>
      <c r="AO45" s="553">
        <f t="shared" si="9"/>
        <v>54883</v>
      </c>
      <c r="AP45" s="553">
        <f t="shared" si="10"/>
        <v>848</v>
      </c>
      <c r="AQ45" s="553">
        <f t="shared" si="11"/>
        <v>169770</v>
      </c>
      <c r="AR45" s="628">
        <f>'SAN LUONG'!AU261</f>
        <v>0</v>
      </c>
      <c r="AS45" s="629">
        <f t="shared" si="21"/>
        <v>0</v>
      </c>
      <c r="AT45" s="630">
        <f t="shared" si="22"/>
        <v>0</v>
      </c>
      <c r="AU45" s="628">
        <f t="shared" si="23"/>
        <v>16.309999999999999</v>
      </c>
      <c r="AV45" s="556">
        <f t="shared" si="15"/>
        <v>496653</v>
      </c>
      <c r="AW45" s="630"/>
      <c r="AX45" s="564">
        <f t="shared" si="16"/>
        <v>496653</v>
      </c>
      <c r="AY45" s="565"/>
      <c r="AZ45" s="639">
        <f t="shared" si="17"/>
        <v>15.55</v>
      </c>
      <c r="BA45" s="567"/>
    </row>
    <row r="46" spans="1:226" s="483" customFormat="1" ht="37.200000000000003" customHeight="1">
      <c r="A46" s="503">
        <v>37</v>
      </c>
      <c r="B46" s="504">
        <v>9</v>
      </c>
      <c r="C46" s="504">
        <v>380</v>
      </c>
      <c r="D46" s="615">
        <f>'Tên Tháng 1'!B255</f>
        <v>34093</v>
      </c>
      <c r="E46" s="615" t="str">
        <f>'Tên Tháng 1'!C255</f>
        <v>ប្រុស</v>
      </c>
      <c r="F46" s="616" t="str">
        <f>'Tên Tháng 1'!D255</f>
        <v>220102093</v>
      </c>
      <c r="G46" s="615" t="str">
        <f>'Tên Tháng 1'!E344</f>
        <v>ថា ស្រីអែម</v>
      </c>
      <c r="H46" s="615" t="str">
        <f>'Tên Tháng 1'!F344</f>
        <v>THA SREY EM</v>
      </c>
      <c r="I46" s="519" t="str">
        <f>'CHAM CONG'!G352</f>
        <v>x</v>
      </c>
      <c r="J46" s="519" t="str">
        <f>'CHAM CONG'!H352</f>
        <v>x</v>
      </c>
      <c r="K46" s="519" t="str">
        <f>'CHAM CONG'!I352</f>
        <v>x</v>
      </c>
      <c r="L46" s="519">
        <f>'CHAM CONG'!J352</f>
        <v>0</v>
      </c>
      <c r="M46" s="519">
        <f>'CHAM CONG'!K352</f>
        <v>0</v>
      </c>
      <c r="N46" s="519" t="str">
        <f>'CHAM CONG'!L352</f>
        <v>x</v>
      </c>
      <c r="O46" s="519" t="str">
        <f>'CHAM CONG'!M352</f>
        <v>x</v>
      </c>
      <c r="P46" s="519" t="str">
        <f>'CHAM CONG'!N352</f>
        <v>x</v>
      </c>
      <c r="Q46" s="519" t="str">
        <f>'CHAM CONG'!O352</f>
        <v>x</v>
      </c>
      <c r="R46" s="519" t="str">
        <f>'CHAM CONG'!P352</f>
        <v>x</v>
      </c>
      <c r="S46" s="519" t="str">
        <f>'CHAM CONG'!Q352</f>
        <v>x</v>
      </c>
      <c r="T46" s="519" t="str">
        <f>'CHAM CONG'!R352</f>
        <v>x</v>
      </c>
      <c r="U46" s="519" t="str">
        <f>'CHAM CONG'!S352</f>
        <v>x</v>
      </c>
      <c r="V46" s="519" t="str">
        <f>'CHAM CONG'!T352</f>
        <v>x</v>
      </c>
      <c r="W46" s="519" t="str">
        <f>'CHAM CONG'!U352</f>
        <v>x</v>
      </c>
      <c r="X46" s="519"/>
      <c r="Y46" s="519"/>
      <c r="Z46" s="535">
        <f t="shared" si="2"/>
        <v>13</v>
      </c>
      <c r="AA46" s="536">
        <f t="shared" si="19"/>
        <v>0</v>
      </c>
      <c r="AB46" s="537">
        <f t="shared" si="3"/>
        <v>208000</v>
      </c>
      <c r="AC46" s="537" t="str">
        <f>'CHAM CONG'!V352</f>
        <v>x</v>
      </c>
      <c r="AD46" s="537" t="str">
        <f>'CHAM CONG'!W352</f>
        <v>x</v>
      </c>
      <c r="AE46" s="535">
        <f t="shared" si="4"/>
        <v>2</v>
      </c>
      <c r="AF46" s="537">
        <f t="shared" si="20"/>
        <v>34000</v>
      </c>
      <c r="AG46" s="537">
        <f t="shared" si="6"/>
        <v>13</v>
      </c>
      <c r="AH46" s="537">
        <f t="shared" si="7"/>
        <v>13000</v>
      </c>
      <c r="AI46" s="537">
        <f t="shared" si="8"/>
        <v>255000</v>
      </c>
      <c r="AJ46" s="519">
        <f>'SAN LUONG'!AF353</f>
        <v>205</v>
      </c>
      <c r="AK46" s="519">
        <f>'SAN LUONG'!AG353</f>
        <v>236</v>
      </c>
      <c r="AL46" s="519">
        <f>'SAN LUONG'!AH353</f>
        <v>387</v>
      </c>
      <c r="AM46" s="519">
        <f>'SAN LUONG'!AI353</f>
        <v>462</v>
      </c>
      <c r="AN46" s="553">
        <f t="shared" si="18"/>
        <v>205</v>
      </c>
      <c r="AO46" s="553">
        <f t="shared" si="9"/>
        <v>45551</v>
      </c>
      <c r="AP46" s="553">
        <f t="shared" si="10"/>
        <v>1085</v>
      </c>
      <c r="AQ46" s="553">
        <f t="shared" si="11"/>
        <v>217217</v>
      </c>
      <c r="AR46" s="628">
        <f>'SAN LUONG'!AU262</f>
        <v>0</v>
      </c>
      <c r="AS46" s="629">
        <f t="shared" si="21"/>
        <v>0</v>
      </c>
      <c r="AT46" s="630">
        <f t="shared" si="22"/>
        <v>0</v>
      </c>
      <c r="AU46" s="628">
        <f t="shared" si="23"/>
        <v>17</v>
      </c>
      <c r="AV46" s="556">
        <f t="shared" si="15"/>
        <v>517768</v>
      </c>
      <c r="AW46" s="630"/>
      <c r="AX46" s="564">
        <f t="shared" si="16"/>
        <v>517768</v>
      </c>
      <c r="AY46" s="565"/>
      <c r="AZ46" s="639">
        <f t="shared" si="17"/>
        <v>16.21</v>
      </c>
      <c r="BA46" s="567"/>
    </row>
    <row r="47" spans="1:226" s="483" customFormat="1" ht="37.200000000000003" customHeight="1">
      <c r="A47" s="503">
        <v>38</v>
      </c>
      <c r="B47" s="504">
        <v>9</v>
      </c>
      <c r="C47" s="504">
        <v>381</v>
      </c>
      <c r="D47" s="615">
        <f>'Tên Tháng 1'!B256</f>
        <v>31705</v>
      </c>
      <c r="E47" s="615" t="str">
        <f>'Tên Tháng 1'!C256</f>
        <v>ស្រី</v>
      </c>
      <c r="F47" s="616">
        <f>'Tên Tháng 1'!D256</f>
        <v>150811767</v>
      </c>
      <c r="G47" s="615" t="str">
        <f>'Tên Tháng 1'!E345</f>
        <v>ឆាន ណាន់</v>
      </c>
      <c r="H47" s="615" t="str">
        <f>'Tên Tháng 1'!F345</f>
        <v>CHHAN NANN</v>
      </c>
      <c r="I47" s="519" t="str">
        <f>'CHAM CONG'!G353</f>
        <v>x</v>
      </c>
      <c r="J47" s="519" t="str">
        <f>'CHAM CONG'!H353</f>
        <v>x</v>
      </c>
      <c r="K47" s="519" t="str">
        <f>'CHAM CONG'!I353</f>
        <v>x</v>
      </c>
      <c r="L47" s="519">
        <f>'CHAM CONG'!J353</f>
        <v>0</v>
      </c>
      <c r="M47" s="519" t="str">
        <f>'CHAM CONG'!K353</f>
        <v>x</v>
      </c>
      <c r="N47" s="519" t="str">
        <f>'CHAM CONG'!L353</f>
        <v>x</v>
      </c>
      <c r="O47" s="519" t="str">
        <f>'CHAM CONG'!M353</f>
        <v>x</v>
      </c>
      <c r="P47" s="519" t="str">
        <f>'CHAM CONG'!N353</f>
        <v>x</v>
      </c>
      <c r="Q47" s="519" t="str">
        <f>'CHAM CONG'!O353</f>
        <v>x</v>
      </c>
      <c r="R47" s="519" t="str">
        <f>'CHAM CONG'!P353</f>
        <v>x</v>
      </c>
      <c r="S47" s="519" t="str">
        <f>'CHAM CONG'!Q353</f>
        <v>x</v>
      </c>
      <c r="T47" s="519" t="str">
        <f>'CHAM CONG'!R353</f>
        <v>x</v>
      </c>
      <c r="U47" s="519" t="str">
        <f>'CHAM CONG'!S353</f>
        <v>x</v>
      </c>
      <c r="V47" s="519" t="str">
        <f>'CHAM CONG'!T353</f>
        <v>x</v>
      </c>
      <c r="W47" s="519" t="str">
        <f>'CHAM CONG'!U353</f>
        <v>x</v>
      </c>
      <c r="X47" s="519"/>
      <c r="Y47" s="519"/>
      <c r="Z47" s="535">
        <f t="shared" si="2"/>
        <v>14</v>
      </c>
      <c r="AA47" s="536">
        <f t="shared" si="19"/>
        <v>0</v>
      </c>
      <c r="AB47" s="537">
        <f t="shared" si="3"/>
        <v>224000</v>
      </c>
      <c r="AC47" s="537" t="str">
        <f>'CHAM CONG'!V353</f>
        <v>x</v>
      </c>
      <c r="AD47" s="537" t="str">
        <f>'CHAM CONG'!W353</f>
        <v>x</v>
      </c>
      <c r="AE47" s="535">
        <f t="shared" si="4"/>
        <v>2</v>
      </c>
      <c r="AF47" s="537">
        <f t="shared" si="20"/>
        <v>34000</v>
      </c>
      <c r="AG47" s="537">
        <f t="shared" si="6"/>
        <v>14</v>
      </c>
      <c r="AH47" s="537">
        <f t="shared" si="7"/>
        <v>14000</v>
      </c>
      <c r="AI47" s="537">
        <f t="shared" si="8"/>
        <v>272000</v>
      </c>
      <c r="AJ47" s="519">
        <f>'SAN LUONG'!AF354</f>
        <v>254</v>
      </c>
      <c r="AK47" s="519">
        <f>'SAN LUONG'!AG354</f>
        <v>229</v>
      </c>
      <c r="AL47" s="519">
        <f>'SAN LUONG'!AH354</f>
        <v>269</v>
      </c>
      <c r="AM47" s="519">
        <f>'SAN LUONG'!AI354</f>
        <v>440</v>
      </c>
      <c r="AN47" s="553">
        <f t="shared" si="18"/>
        <v>254</v>
      </c>
      <c r="AO47" s="553">
        <f t="shared" si="9"/>
        <v>56439</v>
      </c>
      <c r="AP47" s="553">
        <f t="shared" si="10"/>
        <v>938</v>
      </c>
      <c r="AQ47" s="553">
        <f t="shared" si="11"/>
        <v>187788</v>
      </c>
      <c r="AR47" s="628">
        <f>'SAN LUONG'!AU263</f>
        <v>0</v>
      </c>
      <c r="AS47" s="629">
        <f t="shared" si="21"/>
        <v>0</v>
      </c>
      <c r="AT47" s="630">
        <f t="shared" si="22"/>
        <v>0</v>
      </c>
      <c r="AU47" s="628">
        <f t="shared" si="23"/>
        <v>16.95</v>
      </c>
      <c r="AV47" s="556">
        <f t="shared" si="15"/>
        <v>516227</v>
      </c>
      <c r="AW47" s="630"/>
      <c r="AX47" s="564">
        <f t="shared" si="16"/>
        <v>516227</v>
      </c>
      <c r="AY47" s="565"/>
      <c r="AZ47" s="639">
        <f t="shared" si="17"/>
        <v>16.16</v>
      </c>
      <c r="BA47" s="567"/>
    </row>
    <row r="48" spans="1:226" s="483" customFormat="1" ht="37.200000000000003" customHeight="1">
      <c r="A48" s="503">
        <v>39</v>
      </c>
      <c r="B48" s="504">
        <v>9</v>
      </c>
      <c r="C48" s="504">
        <v>382</v>
      </c>
      <c r="D48" s="615">
        <f>'Tên Tháng 1'!B257</f>
        <v>35614</v>
      </c>
      <c r="E48" s="615" t="str">
        <f>'Tên Tháng 1'!C257</f>
        <v>ស្រី</v>
      </c>
      <c r="F48" s="616">
        <f>'Tên Tháng 1'!D257</f>
        <v>150657945</v>
      </c>
      <c r="G48" s="615" t="str">
        <f>'Tên Tháng 1'!E346</f>
        <v>គន នឿន</v>
      </c>
      <c r="H48" s="615" t="str">
        <f>'Tên Tháng 1'!F346</f>
        <v>KON NOEUN</v>
      </c>
      <c r="I48" s="519" t="str">
        <f>'CHAM CONG'!G354</f>
        <v>x</v>
      </c>
      <c r="J48" s="519" t="str">
        <f>'CHAM CONG'!H354</f>
        <v>x</v>
      </c>
      <c r="K48" s="519" t="str">
        <f>'CHAM CONG'!I354</f>
        <v>x</v>
      </c>
      <c r="L48" s="519">
        <f>'CHAM CONG'!J354</f>
        <v>0</v>
      </c>
      <c r="M48" s="519" t="str">
        <f>'CHAM CONG'!K354</f>
        <v>x</v>
      </c>
      <c r="N48" s="519" t="str">
        <f>'CHAM CONG'!L354</f>
        <v>x</v>
      </c>
      <c r="O48" s="519" t="str">
        <f>'CHAM CONG'!M354</f>
        <v>x</v>
      </c>
      <c r="P48" s="519" t="str">
        <f>'CHAM CONG'!N354</f>
        <v>x</v>
      </c>
      <c r="Q48" s="519" t="str">
        <f>'CHAM CONG'!O354</f>
        <v>x</v>
      </c>
      <c r="R48" s="519" t="str">
        <f>'CHAM CONG'!P354</f>
        <v>x</v>
      </c>
      <c r="S48" s="519" t="str">
        <f>'CHAM CONG'!Q354</f>
        <v>x</v>
      </c>
      <c r="T48" s="519" t="str">
        <f>'CHAM CONG'!R354</f>
        <v>x</v>
      </c>
      <c r="U48" s="519" t="str">
        <f>'CHAM CONG'!S354</f>
        <v>x</v>
      </c>
      <c r="V48" s="519" t="str">
        <f>'CHAM CONG'!T354</f>
        <v>x</v>
      </c>
      <c r="W48" s="519" t="str">
        <f>'CHAM CONG'!U354</f>
        <v>x</v>
      </c>
      <c r="X48" s="519"/>
      <c r="Y48" s="519"/>
      <c r="Z48" s="535">
        <f t="shared" si="2"/>
        <v>14</v>
      </c>
      <c r="AA48" s="536">
        <f t="shared" si="19"/>
        <v>0</v>
      </c>
      <c r="AB48" s="537">
        <f t="shared" si="3"/>
        <v>224000</v>
      </c>
      <c r="AC48" s="537" t="str">
        <f>'CHAM CONG'!V354</f>
        <v>x</v>
      </c>
      <c r="AD48" s="537" t="str">
        <f>'CHAM CONG'!W354</f>
        <v>x</v>
      </c>
      <c r="AE48" s="535">
        <f t="shared" si="4"/>
        <v>2</v>
      </c>
      <c r="AF48" s="537">
        <f t="shared" si="20"/>
        <v>34000</v>
      </c>
      <c r="AG48" s="537">
        <f t="shared" si="6"/>
        <v>14</v>
      </c>
      <c r="AH48" s="537">
        <f t="shared" si="7"/>
        <v>14000</v>
      </c>
      <c r="AI48" s="537">
        <f t="shared" si="8"/>
        <v>272000</v>
      </c>
      <c r="AJ48" s="519">
        <f>'SAN LUONG'!AF355</f>
        <v>246</v>
      </c>
      <c r="AK48" s="519">
        <f>'SAN LUONG'!AG355</f>
        <v>237</v>
      </c>
      <c r="AL48" s="519">
        <f>'SAN LUONG'!AH355</f>
        <v>277</v>
      </c>
      <c r="AM48" s="519">
        <f>'SAN LUONG'!AI355</f>
        <v>440</v>
      </c>
      <c r="AN48" s="553">
        <f t="shared" si="18"/>
        <v>246</v>
      </c>
      <c r="AO48" s="553">
        <f t="shared" si="9"/>
        <v>54661</v>
      </c>
      <c r="AP48" s="553">
        <f t="shared" si="10"/>
        <v>954</v>
      </c>
      <c r="AQ48" s="553">
        <f t="shared" si="11"/>
        <v>190991</v>
      </c>
      <c r="AR48" s="628">
        <f>'SAN LUONG'!AU264</f>
        <v>0</v>
      </c>
      <c r="AS48" s="629">
        <f t="shared" si="21"/>
        <v>0</v>
      </c>
      <c r="AT48" s="630">
        <f t="shared" si="22"/>
        <v>0</v>
      </c>
      <c r="AU48" s="628">
        <f t="shared" si="23"/>
        <v>17</v>
      </c>
      <c r="AV48" s="556">
        <f t="shared" si="15"/>
        <v>517652</v>
      </c>
      <c r="AW48" s="630"/>
      <c r="AX48" s="564">
        <f t="shared" si="16"/>
        <v>517652</v>
      </c>
      <c r="AY48" s="565"/>
      <c r="AZ48" s="639">
        <f t="shared" si="17"/>
        <v>16.2</v>
      </c>
      <c r="BA48" s="567"/>
    </row>
    <row r="49" spans="1:53" s="483" customFormat="1" ht="37.200000000000003" customHeight="1">
      <c r="A49" s="503">
        <v>40</v>
      </c>
      <c r="B49" s="504">
        <v>9</v>
      </c>
      <c r="C49" s="504">
        <v>383</v>
      </c>
      <c r="D49" s="615">
        <f>'Tên Tháng 1'!B258</f>
        <v>30854</v>
      </c>
      <c r="E49" s="615" t="str">
        <f>'Tên Tháng 1'!C258</f>
        <v>ស្រី</v>
      </c>
      <c r="F49" s="616">
        <f>'Tên Tháng 1'!D258</f>
        <v>220175379</v>
      </c>
      <c r="G49" s="615" t="str">
        <f>'Tên Tháng 1'!E347</f>
        <v>ណាន ពន្លក</v>
      </c>
      <c r="H49" s="615" t="str">
        <f>'Tên Tháng 1'!F347</f>
        <v>NAN POLORK</v>
      </c>
      <c r="I49" s="519" t="str">
        <f>'CHAM CONG'!G355</f>
        <v>x</v>
      </c>
      <c r="J49" s="519" t="str">
        <f>'CHAM CONG'!H355</f>
        <v>x</v>
      </c>
      <c r="K49" s="519" t="str">
        <f>'CHAM CONG'!I355</f>
        <v>x</v>
      </c>
      <c r="L49" s="519">
        <f>'CHAM CONG'!J355</f>
        <v>0</v>
      </c>
      <c r="M49" s="519" t="str">
        <f>'CHAM CONG'!K355</f>
        <v>x</v>
      </c>
      <c r="N49" s="519" t="str">
        <f>'CHAM CONG'!L355</f>
        <v>x</v>
      </c>
      <c r="O49" s="519" t="str">
        <f>'CHAM CONG'!M355</f>
        <v>x</v>
      </c>
      <c r="P49" s="519" t="str">
        <f>'CHAM CONG'!N355</f>
        <v>x</v>
      </c>
      <c r="Q49" s="519" t="str">
        <f>'CHAM CONG'!O355</f>
        <v>x</v>
      </c>
      <c r="R49" s="519" t="str">
        <f>'CHAM CONG'!P355</f>
        <v>x</v>
      </c>
      <c r="S49" s="519" t="str">
        <f>'CHAM CONG'!Q355</f>
        <v>x</v>
      </c>
      <c r="T49" s="519" t="str">
        <f>'CHAM CONG'!R355</f>
        <v>x</v>
      </c>
      <c r="U49" s="519" t="str">
        <f>'CHAM CONG'!S355</f>
        <v>x</v>
      </c>
      <c r="V49" s="519" t="str">
        <f>'CHAM CONG'!T355</f>
        <v>x</v>
      </c>
      <c r="W49" s="519" t="str">
        <f>'CHAM CONG'!U355</f>
        <v>x</v>
      </c>
      <c r="X49" s="519"/>
      <c r="Y49" s="519"/>
      <c r="Z49" s="535">
        <f t="shared" si="2"/>
        <v>14</v>
      </c>
      <c r="AA49" s="536">
        <f t="shared" si="19"/>
        <v>0</v>
      </c>
      <c r="AB49" s="537">
        <f t="shared" si="3"/>
        <v>224000</v>
      </c>
      <c r="AC49" s="537" t="str">
        <f>'CHAM CONG'!V355</f>
        <v>x</v>
      </c>
      <c r="AD49" s="537" t="str">
        <f>'CHAM CONG'!W355</f>
        <v>x</v>
      </c>
      <c r="AE49" s="535">
        <f t="shared" si="4"/>
        <v>2</v>
      </c>
      <c r="AF49" s="537">
        <f t="shared" si="20"/>
        <v>34000</v>
      </c>
      <c r="AG49" s="537">
        <f t="shared" si="6"/>
        <v>14</v>
      </c>
      <c r="AH49" s="537">
        <f t="shared" si="7"/>
        <v>14000</v>
      </c>
      <c r="AI49" s="537">
        <f t="shared" si="8"/>
        <v>272000</v>
      </c>
      <c r="AJ49" s="519">
        <f>'SAN LUONG'!AF356</f>
        <v>259</v>
      </c>
      <c r="AK49" s="519">
        <f>'SAN LUONG'!AG356</f>
        <v>250</v>
      </c>
      <c r="AL49" s="519">
        <f>'SAN LUONG'!AH356</f>
        <v>358</v>
      </c>
      <c r="AM49" s="519">
        <f>'SAN LUONG'!AI356</f>
        <v>347</v>
      </c>
      <c r="AN49" s="553">
        <f t="shared" si="18"/>
        <v>259</v>
      </c>
      <c r="AO49" s="553">
        <f t="shared" si="9"/>
        <v>57550</v>
      </c>
      <c r="AP49" s="553">
        <f t="shared" si="10"/>
        <v>955</v>
      </c>
      <c r="AQ49" s="553">
        <f t="shared" si="11"/>
        <v>191191</v>
      </c>
      <c r="AR49" s="628">
        <f>'SAN LUONG'!AU265</f>
        <v>0</v>
      </c>
      <c r="AS49" s="629">
        <f t="shared" si="21"/>
        <v>0</v>
      </c>
      <c r="AT49" s="630">
        <f t="shared" si="22"/>
        <v>0</v>
      </c>
      <c r="AU49" s="628">
        <f t="shared" si="23"/>
        <v>17.100000000000001</v>
      </c>
      <c r="AV49" s="556">
        <f t="shared" si="15"/>
        <v>520741</v>
      </c>
      <c r="AW49" s="630"/>
      <c r="AX49" s="564">
        <f t="shared" si="16"/>
        <v>520741</v>
      </c>
      <c r="AY49" s="565"/>
      <c r="AZ49" s="639">
        <f t="shared" si="17"/>
        <v>16.3</v>
      </c>
      <c r="BA49" s="567"/>
    </row>
    <row r="50" spans="1:53" s="483" customFormat="1" ht="37.200000000000003" customHeight="1">
      <c r="A50" s="503">
        <v>41</v>
      </c>
      <c r="B50" s="504">
        <v>9</v>
      </c>
      <c r="C50" s="504">
        <v>384</v>
      </c>
      <c r="D50" s="615"/>
      <c r="E50" s="615"/>
      <c r="F50" s="616"/>
      <c r="G50" s="615" t="str">
        <f>'Tên Tháng 1'!E348</f>
        <v>ត្រុច ម៉ាច</v>
      </c>
      <c r="H50" s="615" t="str">
        <f>'Tên Tháng 1'!F348</f>
        <v>TROCH MACH</v>
      </c>
      <c r="I50" s="519" t="str">
        <f>'CHAM CONG'!G356</f>
        <v>x</v>
      </c>
      <c r="J50" s="519" t="str">
        <f>'CHAM CONG'!H356</f>
        <v>x</v>
      </c>
      <c r="K50" s="519" t="str">
        <f>'CHAM CONG'!I356</f>
        <v>x</v>
      </c>
      <c r="L50" s="519">
        <f>'CHAM CONG'!J356</f>
        <v>0</v>
      </c>
      <c r="M50" s="519" t="str">
        <f>'CHAM CONG'!K356</f>
        <v>x</v>
      </c>
      <c r="N50" s="519" t="str">
        <f>'CHAM CONG'!L356</f>
        <v>x</v>
      </c>
      <c r="O50" s="519">
        <f>'CHAM CONG'!M356</f>
        <v>0</v>
      </c>
      <c r="P50" s="519" t="str">
        <f>'CHAM CONG'!N356</f>
        <v>x</v>
      </c>
      <c r="Q50" s="519" t="str">
        <f>'CHAM CONG'!O356</f>
        <v>x</v>
      </c>
      <c r="R50" s="519" t="str">
        <f>'CHAM CONG'!P356</f>
        <v>x</v>
      </c>
      <c r="S50" s="519" t="str">
        <f>'CHAM CONG'!Q356</f>
        <v>x</v>
      </c>
      <c r="T50" s="519" t="str">
        <f>'CHAM CONG'!R356</f>
        <v>x</v>
      </c>
      <c r="U50" s="519" t="str">
        <f>'CHAM CONG'!S356</f>
        <v>x</v>
      </c>
      <c r="V50" s="519" t="str">
        <f>'CHAM CONG'!T356</f>
        <v>x</v>
      </c>
      <c r="W50" s="519" t="str">
        <f>'CHAM CONG'!U356</f>
        <v>x</v>
      </c>
      <c r="X50" s="519"/>
      <c r="Y50" s="519"/>
      <c r="Z50" s="535">
        <f t="shared" si="2"/>
        <v>13</v>
      </c>
      <c r="AA50" s="536">
        <f t="shared" ref="AA50:AA93" si="24">ROUND(Z50*$Z$9/30456,2)+$AA$2</f>
        <v>0</v>
      </c>
      <c r="AB50" s="537">
        <f t="shared" si="3"/>
        <v>208000</v>
      </c>
      <c r="AC50" s="537" t="str">
        <f>'CHAM CONG'!V356</f>
        <v>x</v>
      </c>
      <c r="AD50" s="537">
        <f>'CHAM CONG'!W356</f>
        <v>0</v>
      </c>
      <c r="AE50" s="535">
        <f t="shared" si="4"/>
        <v>1</v>
      </c>
      <c r="AF50" s="537">
        <f t="shared" ref="AF50:AF93" si="25">AE50*$AF$8</f>
        <v>17000</v>
      </c>
      <c r="AG50" s="537">
        <f t="shared" si="6"/>
        <v>13</v>
      </c>
      <c r="AH50" s="537">
        <f t="shared" si="7"/>
        <v>13000</v>
      </c>
      <c r="AI50" s="537">
        <f t="shared" si="8"/>
        <v>238000</v>
      </c>
      <c r="AJ50" s="519">
        <f>'SAN LUONG'!AF357</f>
        <v>209</v>
      </c>
      <c r="AK50" s="519">
        <f>'SAN LUONG'!AG357</f>
        <v>218</v>
      </c>
      <c r="AL50" s="519">
        <f>'SAN LUONG'!AH357</f>
        <v>255</v>
      </c>
      <c r="AM50" s="519">
        <f>'SAN LUONG'!AI357</f>
        <v>326</v>
      </c>
      <c r="AN50" s="553">
        <f t="shared" si="18"/>
        <v>209</v>
      </c>
      <c r="AO50" s="553">
        <f t="shared" si="9"/>
        <v>46440</v>
      </c>
      <c r="AP50" s="553">
        <f t="shared" si="10"/>
        <v>799</v>
      </c>
      <c r="AQ50" s="553">
        <f t="shared" si="11"/>
        <v>159960</v>
      </c>
      <c r="AR50" s="628">
        <f>'SAN LUONG'!AU266</f>
        <v>0</v>
      </c>
      <c r="AS50" s="629">
        <f t="shared" ref="AS50:AS93" si="26">ROUND(AT50/30456,2)</f>
        <v>0</v>
      </c>
      <c r="AT50" s="630">
        <f t="shared" ref="AT50:AT93" si="27">AR50*1000</f>
        <v>0</v>
      </c>
      <c r="AU50" s="628">
        <f t="shared" ref="AU50:AU93" si="28">ROUND(AV50/30456,2)</f>
        <v>14.59</v>
      </c>
      <c r="AV50" s="556">
        <f t="shared" si="15"/>
        <v>444400</v>
      </c>
      <c r="AW50" s="630"/>
      <c r="AX50" s="564">
        <f t="shared" si="16"/>
        <v>444400</v>
      </c>
      <c r="AY50" s="565"/>
      <c r="AZ50" s="639">
        <f t="shared" si="17"/>
        <v>13.91</v>
      </c>
      <c r="BA50" s="567"/>
    </row>
    <row r="51" spans="1:53" s="483" customFormat="1" ht="37.200000000000003" customHeight="1">
      <c r="A51" s="503">
        <v>42</v>
      </c>
      <c r="B51" s="504">
        <v>9</v>
      </c>
      <c r="C51" s="504">
        <v>385</v>
      </c>
      <c r="D51" s="615"/>
      <c r="E51" s="615"/>
      <c r="F51" s="616"/>
      <c r="G51" s="615" t="str">
        <f>'Tên Tháng 1'!E349</f>
        <v>យ៉ុន ស្រីរ័ត្ន</v>
      </c>
      <c r="H51" s="615" t="str">
        <f>'Tên Tháng 1'!F349</f>
        <v>YON SREYROTH</v>
      </c>
      <c r="I51" s="519" t="str">
        <f>'CHAM CONG'!G357</f>
        <v>x</v>
      </c>
      <c r="J51" s="519" t="str">
        <f>'CHAM CONG'!H357</f>
        <v>x</v>
      </c>
      <c r="K51" s="519" t="str">
        <f>'CHAM CONG'!I357</f>
        <v>x</v>
      </c>
      <c r="L51" s="519">
        <f>'CHAM CONG'!J357</f>
        <v>0</v>
      </c>
      <c r="M51" s="519" t="str">
        <f>'CHAM CONG'!K357</f>
        <v>x</v>
      </c>
      <c r="N51" s="519" t="str">
        <f>'CHAM CONG'!L357</f>
        <v>x</v>
      </c>
      <c r="O51" s="519" t="str">
        <f>'CHAM CONG'!M357</f>
        <v>x</v>
      </c>
      <c r="P51" s="519" t="str">
        <f>'CHAM CONG'!N357</f>
        <v>x</v>
      </c>
      <c r="Q51" s="519" t="str">
        <f>'CHAM CONG'!O357</f>
        <v>x</v>
      </c>
      <c r="R51" s="519" t="str">
        <f>'CHAM CONG'!P357</f>
        <v>x</v>
      </c>
      <c r="S51" s="519" t="str">
        <f>'CHAM CONG'!Q357</f>
        <v>x</v>
      </c>
      <c r="T51" s="519" t="str">
        <f>'CHAM CONG'!R357</f>
        <v>x</v>
      </c>
      <c r="U51" s="519" t="str">
        <f>'CHAM CONG'!S357</f>
        <v>x</v>
      </c>
      <c r="V51" s="519" t="str">
        <f>'CHAM CONG'!T357</f>
        <v>x</v>
      </c>
      <c r="W51" s="519" t="str">
        <f>'CHAM CONG'!U357</f>
        <v>x</v>
      </c>
      <c r="X51" s="519"/>
      <c r="Y51" s="519"/>
      <c r="Z51" s="535">
        <f t="shared" si="2"/>
        <v>14</v>
      </c>
      <c r="AA51" s="536">
        <f t="shared" si="24"/>
        <v>0</v>
      </c>
      <c r="AB51" s="537">
        <f t="shared" si="3"/>
        <v>224000</v>
      </c>
      <c r="AC51" s="537" t="str">
        <f>'CHAM CONG'!V357</f>
        <v>x</v>
      </c>
      <c r="AD51" s="537" t="str">
        <f>'CHAM CONG'!W357</f>
        <v>x</v>
      </c>
      <c r="AE51" s="535">
        <f t="shared" si="4"/>
        <v>2</v>
      </c>
      <c r="AF51" s="537">
        <f t="shared" si="25"/>
        <v>34000</v>
      </c>
      <c r="AG51" s="537">
        <f t="shared" si="6"/>
        <v>14</v>
      </c>
      <c r="AH51" s="537">
        <f t="shared" si="7"/>
        <v>14000</v>
      </c>
      <c r="AI51" s="537">
        <f t="shared" si="8"/>
        <v>272000</v>
      </c>
      <c r="AJ51" s="519">
        <f>'SAN LUONG'!AF358</f>
        <v>254</v>
      </c>
      <c r="AK51" s="519">
        <f>'SAN LUONG'!AG358</f>
        <v>236</v>
      </c>
      <c r="AL51" s="519">
        <f>'SAN LUONG'!AH358</f>
        <v>374</v>
      </c>
      <c r="AM51" s="519">
        <f>'SAN LUONG'!AI358</f>
        <v>341</v>
      </c>
      <c r="AN51" s="553">
        <f t="shared" si="18"/>
        <v>254</v>
      </c>
      <c r="AO51" s="553">
        <f>ROUND(AN51*0.44*$AO$8,0)+2</f>
        <v>56441</v>
      </c>
      <c r="AP51" s="553">
        <f t="shared" si="10"/>
        <v>951</v>
      </c>
      <c r="AQ51" s="553">
        <f t="shared" si="11"/>
        <v>190390</v>
      </c>
      <c r="AR51" s="628">
        <f>'SAN LUONG'!AU267</f>
        <v>0</v>
      </c>
      <c r="AS51" s="629">
        <f t="shared" si="26"/>
        <v>0</v>
      </c>
      <c r="AT51" s="630">
        <f t="shared" si="27"/>
        <v>0</v>
      </c>
      <c r="AU51" s="628">
        <f t="shared" si="28"/>
        <v>17.04</v>
      </c>
      <c r="AV51" s="556">
        <f t="shared" si="15"/>
        <v>518831</v>
      </c>
      <c r="AW51" s="630"/>
      <c r="AX51" s="564">
        <f t="shared" si="16"/>
        <v>518831</v>
      </c>
      <c r="AY51" s="565">
        <f>SUM(AX10:AX51)</f>
        <v>20030759</v>
      </c>
      <c r="AZ51" s="639">
        <f t="shared" si="17"/>
        <v>16.239999999999998</v>
      </c>
      <c r="BA51" s="567"/>
    </row>
    <row r="52" spans="1:53" s="483" customFormat="1" ht="39.6" customHeight="1">
      <c r="A52" s="503">
        <v>43</v>
      </c>
      <c r="B52" s="504">
        <v>10</v>
      </c>
      <c r="C52" s="504">
        <v>386</v>
      </c>
      <c r="D52" s="615"/>
      <c r="E52" s="615"/>
      <c r="F52" s="616"/>
      <c r="G52" s="615" t="str">
        <f>'Tên Tháng 1'!E350</f>
        <v>អ៊ាង ទិត</v>
      </c>
      <c r="H52" s="615" t="str">
        <f>'Tên Tháng 1'!F350</f>
        <v>EANG TITH</v>
      </c>
      <c r="I52" s="519" t="str">
        <f>'CHAM CONG'!G358</f>
        <v>x</v>
      </c>
      <c r="J52" s="519" t="str">
        <f>'CHAM CONG'!H358</f>
        <v>x</v>
      </c>
      <c r="K52" s="519" t="str">
        <f>'CHAM CONG'!I358</f>
        <v>x</v>
      </c>
      <c r="L52" s="519">
        <f>'CHAM CONG'!J358</f>
        <v>0</v>
      </c>
      <c r="M52" s="519" t="str">
        <f>'CHAM CONG'!K358</f>
        <v>x</v>
      </c>
      <c r="N52" s="519" t="str">
        <f>'CHAM CONG'!L358</f>
        <v>x</v>
      </c>
      <c r="O52" s="519" t="str">
        <f>'CHAM CONG'!M358</f>
        <v>x</v>
      </c>
      <c r="P52" s="519" t="str">
        <f>'CHAM CONG'!N358</f>
        <v>x</v>
      </c>
      <c r="Q52" s="519" t="str">
        <f>'CHAM CONG'!O358</f>
        <v>x</v>
      </c>
      <c r="R52" s="519" t="str">
        <f>'CHAM CONG'!P358</f>
        <v>x</v>
      </c>
      <c r="S52" s="519" t="str">
        <f>'CHAM CONG'!Q358</f>
        <v>x</v>
      </c>
      <c r="T52" s="519" t="str">
        <f>'CHAM CONG'!R358</f>
        <v>x</v>
      </c>
      <c r="U52" s="519" t="str">
        <f>'CHAM CONG'!S358</f>
        <v>x</v>
      </c>
      <c r="V52" s="519" t="str">
        <f>'CHAM CONG'!T358</f>
        <v>x</v>
      </c>
      <c r="W52" s="519" t="str">
        <f>'CHAM CONG'!U358</f>
        <v>x</v>
      </c>
      <c r="X52" s="519"/>
      <c r="Y52" s="519"/>
      <c r="Z52" s="535">
        <f t="shared" si="2"/>
        <v>14</v>
      </c>
      <c r="AA52" s="536">
        <f t="shared" si="24"/>
        <v>0</v>
      </c>
      <c r="AB52" s="537">
        <f t="shared" si="3"/>
        <v>224000</v>
      </c>
      <c r="AC52" s="537" t="str">
        <f>'CHAM CONG'!V358</f>
        <v>x</v>
      </c>
      <c r="AD52" s="537" t="str">
        <f>'CHAM CONG'!W358</f>
        <v>x</v>
      </c>
      <c r="AE52" s="535">
        <f t="shared" si="4"/>
        <v>2</v>
      </c>
      <c r="AF52" s="537">
        <f t="shared" si="25"/>
        <v>34000</v>
      </c>
      <c r="AG52" s="537">
        <f t="shared" si="6"/>
        <v>14</v>
      </c>
      <c r="AH52" s="537">
        <f t="shared" si="7"/>
        <v>14000</v>
      </c>
      <c r="AI52" s="537">
        <f t="shared" si="8"/>
        <v>272000</v>
      </c>
      <c r="AJ52" s="519">
        <f>'SAN LUONG'!AF359</f>
        <v>213</v>
      </c>
      <c r="AK52" s="519">
        <f>'SAN LUONG'!AG359</f>
        <v>360</v>
      </c>
      <c r="AL52" s="519">
        <f>'SAN LUONG'!AH359</f>
        <v>562</v>
      </c>
      <c r="AM52" s="519">
        <f>'SAN LUONG'!AI359</f>
        <v>488</v>
      </c>
      <c r="AN52" s="553"/>
      <c r="AO52" s="553">
        <f t="shared" si="9"/>
        <v>0</v>
      </c>
      <c r="AP52" s="553">
        <f t="shared" si="10"/>
        <v>1623</v>
      </c>
      <c r="AQ52" s="553">
        <f t="shared" si="11"/>
        <v>324925</v>
      </c>
      <c r="AR52" s="628">
        <f>'SAN LUONG'!AU268</f>
        <v>0</v>
      </c>
      <c r="AS52" s="629">
        <f t="shared" si="26"/>
        <v>0</v>
      </c>
      <c r="AT52" s="630">
        <f t="shared" si="27"/>
        <v>0</v>
      </c>
      <c r="AU52" s="628">
        <f t="shared" si="28"/>
        <v>19.600000000000001</v>
      </c>
      <c r="AV52" s="556">
        <f t="shared" si="15"/>
        <v>596925</v>
      </c>
      <c r="AW52" s="630"/>
      <c r="AX52" s="564">
        <f t="shared" si="16"/>
        <v>596925</v>
      </c>
      <c r="AY52" s="565"/>
      <c r="AZ52" s="639">
        <f t="shared" si="17"/>
        <v>18.68</v>
      </c>
      <c r="BA52" s="567"/>
    </row>
    <row r="53" spans="1:53" s="483" customFormat="1" ht="39.6" customHeight="1">
      <c r="A53" s="503">
        <v>44</v>
      </c>
      <c r="B53" s="504">
        <v>10</v>
      </c>
      <c r="C53" s="504">
        <v>387</v>
      </c>
      <c r="D53" s="615"/>
      <c r="E53" s="615"/>
      <c r="F53" s="616"/>
      <c r="G53" s="615" t="str">
        <f>'Tên Tháng 1'!E351</f>
        <v>យ៉ុន ណែត</v>
      </c>
      <c r="H53" s="615" t="str">
        <f>'Tên Tháng 1'!F351</f>
        <v>YON NEIT</v>
      </c>
      <c r="I53" s="519" t="str">
        <f>'CHAM CONG'!G359</f>
        <v>x</v>
      </c>
      <c r="J53" s="519" t="str">
        <f>'CHAM CONG'!H359</f>
        <v>x</v>
      </c>
      <c r="K53" s="519" t="str">
        <f>'CHAM CONG'!I359</f>
        <v>x</v>
      </c>
      <c r="L53" s="519">
        <f>'CHAM CONG'!J359</f>
        <v>0</v>
      </c>
      <c r="M53" s="519" t="str">
        <f>'CHAM CONG'!K359</f>
        <v>x</v>
      </c>
      <c r="N53" s="519" t="str">
        <f>'CHAM CONG'!L359</f>
        <v>x</v>
      </c>
      <c r="O53" s="519" t="str">
        <f>'CHAM CONG'!M359</f>
        <v>x</v>
      </c>
      <c r="P53" s="519" t="str">
        <f>'CHAM CONG'!N359</f>
        <v>x</v>
      </c>
      <c r="Q53" s="519" t="str">
        <f>'CHAM CONG'!O359</f>
        <v>x</v>
      </c>
      <c r="R53" s="519" t="str">
        <f>'CHAM CONG'!P359</f>
        <v>x</v>
      </c>
      <c r="S53" s="519" t="str">
        <f>'CHAM CONG'!Q359</f>
        <v>x</v>
      </c>
      <c r="T53" s="519" t="str">
        <f>'CHAM CONG'!R359</f>
        <v>x</v>
      </c>
      <c r="U53" s="519" t="str">
        <f>'CHAM CONG'!S359</f>
        <v>x</v>
      </c>
      <c r="V53" s="519" t="str">
        <f>'CHAM CONG'!T359</f>
        <v>x</v>
      </c>
      <c r="W53" s="519" t="str">
        <f>'CHAM CONG'!U359</f>
        <v>x</v>
      </c>
      <c r="X53" s="519"/>
      <c r="Y53" s="519"/>
      <c r="Z53" s="535">
        <f t="shared" si="2"/>
        <v>14</v>
      </c>
      <c r="AA53" s="536">
        <f t="shared" si="24"/>
        <v>0</v>
      </c>
      <c r="AB53" s="537">
        <f t="shared" si="3"/>
        <v>224000</v>
      </c>
      <c r="AC53" s="537" t="str">
        <f>'CHAM CONG'!V359</f>
        <v>x</v>
      </c>
      <c r="AD53" s="537" t="str">
        <f>'CHAM CONG'!W359</f>
        <v>x</v>
      </c>
      <c r="AE53" s="535">
        <f t="shared" si="4"/>
        <v>2</v>
      </c>
      <c r="AF53" s="537">
        <f t="shared" si="25"/>
        <v>34000</v>
      </c>
      <c r="AG53" s="537">
        <f t="shared" si="6"/>
        <v>14</v>
      </c>
      <c r="AH53" s="537">
        <f t="shared" si="7"/>
        <v>14000</v>
      </c>
      <c r="AI53" s="537">
        <f t="shared" si="8"/>
        <v>272000</v>
      </c>
      <c r="AJ53" s="519">
        <f>'SAN LUONG'!AF360</f>
        <v>252</v>
      </c>
      <c r="AK53" s="519">
        <f>'SAN LUONG'!AG360</f>
        <v>270</v>
      </c>
      <c r="AL53" s="519">
        <f>'SAN LUONG'!AH360</f>
        <v>484</v>
      </c>
      <c r="AM53" s="519">
        <f>'SAN LUONG'!AI360</f>
        <v>457</v>
      </c>
      <c r="AN53" s="553"/>
      <c r="AO53" s="553">
        <f t="shared" si="9"/>
        <v>0</v>
      </c>
      <c r="AP53" s="553">
        <f t="shared" si="10"/>
        <v>1463</v>
      </c>
      <c r="AQ53" s="553">
        <f t="shared" si="11"/>
        <v>292893</v>
      </c>
      <c r="AR53" s="628">
        <f>'SAN LUONG'!AU269</f>
        <v>0</v>
      </c>
      <c r="AS53" s="629">
        <f t="shared" si="26"/>
        <v>0</v>
      </c>
      <c r="AT53" s="630">
        <f t="shared" si="27"/>
        <v>0</v>
      </c>
      <c r="AU53" s="628">
        <f t="shared" si="28"/>
        <v>18.55</v>
      </c>
      <c r="AV53" s="556">
        <f t="shared" si="15"/>
        <v>564893</v>
      </c>
      <c r="AW53" s="630"/>
      <c r="AX53" s="564">
        <f t="shared" si="16"/>
        <v>564893</v>
      </c>
      <c r="AY53" s="565"/>
      <c r="AZ53" s="639">
        <f t="shared" si="17"/>
        <v>17.68</v>
      </c>
      <c r="BA53" s="567"/>
    </row>
    <row r="54" spans="1:53" s="483" customFormat="1" ht="39.6" customHeight="1">
      <c r="A54" s="503">
        <v>45</v>
      </c>
      <c r="B54" s="504">
        <v>10</v>
      </c>
      <c r="C54" s="504">
        <v>388</v>
      </c>
      <c r="D54" s="615"/>
      <c r="E54" s="615"/>
      <c r="F54" s="616"/>
      <c r="G54" s="615" t="str">
        <f>'Tên Tháng 1'!E352</f>
        <v>អឿន វិចិត្រ</v>
      </c>
      <c r="H54" s="615" t="str">
        <f>'Tên Tháng 1'!F352</f>
        <v>AEURN VECHET</v>
      </c>
      <c r="I54" s="519" t="str">
        <f>'CHAM CONG'!G360</f>
        <v>x</v>
      </c>
      <c r="J54" s="519" t="str">
        <f>'CHAM CONG'!H360</f>
        <v>x</v>
      </c>
      <c r="K54" s="519" t="str">
        <f>'CHAM CONG'!I360</f>
        <v>x</v>
      </c>
      <c r="L54" s="519" t="str">
        <f>'CHAM CONG'!J360</f>
        <v>x</v>
      </c>
      <c r="M54" s="519" t="str">
        <f>'CHAM CONG'!K360</f>
        <v>x</v>
      </c>
      <c r="N54" s="519" t="str">
        <f>'CHAM CONG'!L360</f>
        <v>x</v>
      </c>
      <c r="O54" s="519" t="str">
        <f>'CHAM CONG'!M360</f>
        <v>x</v>
      </c>
      <c r="P54" s="519" t="str">
        <f>'CHAM CONG'!N360</f>
        <v>x</v>
      </c>
      <c r="Q54" s="519" t="str">
        <f>'CHAM CONG'!O360</f>
        <v>x</v>
      </c>
      <c r="R54" s="519" t="str">
        <f>'CHAM CONG'!P360</f>
        <v>x</v>
      </c>
      <c r="S54" s="519" t="str">
        <f>'CHAM CONG'!Q360</f>
        <v>x</v>
      </c>
      <c r="T54" s="519" t="str">
        <f>'CHAM CONG'!R360</f>
        <v>x</v>
      </c>
      <c r="U54" s="519" t="str">
        <f>'CHAM CONG'!S360</f>
        <v>x</v>
      </c>
      <c r="V54" s="519" t="str">
        <f>'CHAM CONG'!T360</f>
        <v>x</v>
      </c>
      <c r="W54" s="519" t="str">
        <f>'CHAM CONG'!U360</f>
        <v>x</v>
      </c>
      <c r="X54" s="519"/>
      <c r="Y54" s="519"/>
      <c r="Z54" s="535">
        <f t="shared" si="2"/>
        <v>15</v>
      </c>
      <c r="AA54" s="536">
        <f t="shared" si="24"/>
        <v>0</v>
      </c>
      <c r="AB54" s="537">
        <f t="shared" si="3"/>
        <v>240000</v>
      </c>
      <c r="AC54" s="537" t="str">
        <f>'CHAM CONG'!V360</f>
        <v>x</v>
      </c>
      <c r="AD54" s="537" t="str">
        <f>'CHAM CONG'!W360</f>
        <v>x</v>
      </c>
      <c r="AE54" s="535">
        <f t="shared" si="4"/>
        <v>2</v>
      </c>
      <c r="AF54" s="537">
        <f t="shared" si="25"/>
        <v>34000</v>
      </c>
      <c r="AG54" s="537">
        <f t="shared" si="6"/>
        <v>15</v>
      </c>
      <c r="AH54" s="537">
        <f t="shared" si="7"/>
        <v>15000</v>
      </c>
      <c r="AI54" s="537">
        <f t="shared" si="8"/>
        <v>289000</v>
      </c>
      <c r="AJ54" s="519">
        <f>'SAN LUONG'!AF361</f>
        <v>212</v>
      </c>
      <c r="AK54" s="519">
        <f>'SAN LUONG'!AG361</f>
        <v>269</v>
      </c>
      <c r="AL54" s="519">
        <f>'SAN LUONG'!AH361</f>
        <v>445</v>
      </c>
      <c r="AM54" s="519">
        <f>'SAN LUONG'!AI361</f>
        <v>580</v>
      </c>
      <c r="AN54" s="553"/>
      <c r="AO54" s="553">
        <f t="shared" si="9"/>
        <v>0</v>
      </c>
      <c r="AP54" s="553">
        <f t="shared" si="10"/>
        <v>1506</v>
      </c>
      <c r="AQ54" s="553">
        <f t="shared" si="11"/>
        <v>301501</v>
      </c>
      <c r="AR54" s="628">
        <f>'SAN LUONG'!AU270</f>
        <v>0</v>
      </c>
      <c r="AS54" s="629">
        <f t="shared" si="26"/>
        <v>0</v>
      </c>
      <c r="AT54" s="630">
        <f t="shared" si="27"/>
        <v>0</v>
      </c>
      <c r="AU54" s="628">
        <f t="shared" si="28"/>
        <v>19.39</v>
      </c>
      <c r="AV54" s="556">
        <f t="shared" si="15"/>
        <v>590501</v>
      </c>
      <c r="AW54" s="630"/>
      <c r="AX54" s="564">
        <f t="shared" si="16"/>
        <v>590501</v>
      </c>
      <c r="AY54" s="565"/>
      <c r="AZ54" s="639">
        <f t="shared" si="17"/>
        <v>18.48</v>
      </c>
      <c r="BA54" s="567"/>
    </row>
    <row r="55" spans="1:53" s="483" customFormat="1" ht="39.6" customHeight="1">
      <c r="A55" s="503">
        <v>46</v>
      </c>
      <c r="B55" s="504">
        <v>10</v>
      </c>
      <c r="C55" s="504">
        <v>389</v>
      </c>
      <c r="D55" s="615"/>
      <c r="E55" s="615"/>
      <c r="F55" s="616"/>
      <c r="G55" s="615" t="str">
        <f>'Tên Tháng 1'!E353</f>
        <v>ឈិត ម៉ៅ</v>
      </c>
      <c r="H55" s="615" t="str">
        <f>'Tên Tháng 1'!F353</f>
        <v>CHHIT MOA</v>
      </c>
      <c r="I55" s="519" t="str">
        <f>'CHAM CONG'!G361</f>
        <v>x</v>
      </c>
      <c r="J55" s="519" t="str">
        <f>'CHAM CONG'!H361</f>
        <v>x</v>
      </c>
      <c r="K55" s="519" t="str">
        <f>'CHAM CONG'!I361</f>
        <v>x</v>
      </c>
      <c r="L55" s="519">
        <f>'CHAM CONG'!J361</f>
        <v>0</v>
      </c>
      <c r="M55" s="519" t="str">
        <f>'CHAM CONG'!K361</f>
        <v>x</v>
      </c>
      <c r="N55" s="519" t="str">
        <f>'CHAM CONG'!L361</f>
        <v>x</v>
      </c>
      <c r="O55" s="519">
        <f>'CHAM CONG'!M361</f>
        <v>0</v>
      </c>
      <c r="P55" s="519" t="str">
        <f>'CHAM CONG'!N361</f>
        <v>x</v>
      </c>
      <c r="Q55" s="519" t="str">
        <f>'CHAM CONG'!O361</f>
        <v>x</v>
      </c>
      <c r="R55" s="519" t="str">
        <f>'CHAM CONG'!P361</f>
        <v>x</v>
      </c>
      <c r="S55" s="519" t="str">
        <f>'CHAM CONG'!Q361</f>
        <v>x</v>
      </c>
      <c r="T55" s="519" t="str">
        <f>'CHAM CONG'!R361</f>
        <v>x</v>
      </c>
      <c r="U55" s="519" t="str">
        <f>'CHAM CONG'!S361</f>
        <v>x</v>
      </c>
      <c r="V55" s="519" t="str">
        <f>'CHAM CONG'!T361</f>
        <v>x</v>
      </c>
      <c r="W55" s="519" t="str">
        <f>'CHAM CONG'!U361</f>
        <v>x</v>
      </c>
      <c r="X55" s="519"/>
      <c r="Y55" s="519"/>
      <c r="Z55" s="535">
        <f t="shared" si="2"/>
        <v>13</v>
      </c>
      <c r="AA55" s="536">
        <f t="shared" si="24"/>
        <v>0</v>
      </c>
      <c r="AB55" s="537">
        <f t="shared" si="3"/>
        <v>208000</v>
      </c>
      <c r="AC55" s="537" t="str">
        <f>'CHAM CONG'!V361</f>
        <v>x</v>
      </c>
      <c r="AD55" s="537" t="str">
        <f>'CHAM CONG'!W361</f>
        <v>x</v>
      </c>
      <c r="AE55" s="535">
        <f t="shared" si="4"/>
        <v>2</v>
      </c>
      <c r="AF55" s="537">
        <f t="shared" si="25"/>
        <v>34000</v>
      </c>
      <c r="AG55" s="537">
        <f t="shared" si="6"/>
        <v>13</v>
      </c>
      <c r="AH55" s="537">
        <f t="shared" si="7"/>
        <v>13000</v>
      </c>
      <c r="AI55" s="537">
        <f t="shared" si="8"/>
        <v>255000</v>
      </c>
      <c r="AJ55" s="519">
        <f>'SAN LUONG'!AF362</f>
        <v>225</v>
      </c>
      <c r="AK55" s="519">
        <f>'SAN LUONG'!AG362</f>
        <v>258</v>
      </c>
      <c r="AL55" s="519">
        <f>'SAN LUONG'!AH362</f>
        <v>266</v>
      </c>
      <c r="AM55" s="519">
        <f>'SAN LUONG'!AI362</f>
        <v>497</v>
      </c>
      <c r="AN55" s="553"/>
      <c r="AO55" s="553">
        <f t="shared" si="9"/>
        <v>0</v>
      </c>
      <c r="AP55" s="553">
        <f t="shared" si="10"/>
        <v>1246</v>
      </c>
      <c r="AQ55" s="553">
        <f t="shared" si="11"/>
        <v>249449</v>
      </c>
      <c r="AR55" s="628">
        <f>'SAN LUONG'!AU271</f>
        <v>0</v>
      </c>
      <c r="AS55" s="629">
        <f t="shared" si="26"/>
        <v>0</v>
      </c>
      <c r="AT55" s="630">
        <f t="shared" si="27"/>
        <v>0</v>
      </c>
      <c r="AU55" s="628">
        <f t="shared" si="28"/>
        <v>16.559999999999999</v>
      </c>
      <c r="AV55" s="556">
        <f t="shared" si="15"/>
        <v>504449</v>
      </c>
      <c r="AW55" s="630"/>
      <c r="AX55" s="564">
        <f t="shared" si="16"/>
        <v>504449</v>
      </c>
      <c r="AY55" s="565"/>
      <c r="AZ55" s="639">
        <f t="shared" si="17"/>
        <v>15.79</v>
      </c>
      <c r="BA55" s="567"/>
    </row>
    <row r="56" spans="1:53" s="483" customFormat="1" ht="39.6" customHeight="1">
      <c r="A56" s="503">
        <v>47</v>
      </c>
      <c r="B56" s="504">
        <v>10</v>
      </c>
      <c r="C56" s="504">
        <v>390</v>
      </c>
      <c r="D56" s="615"/>
      <c r="E56" s="615"/>
      <c r="F56" s="616"/>
      <c r="G56" s="615" t="str">
        <f>'Tên Tháng 1'!E354</f>
        <v>ស៊ឹម យ៉ង់</v>
      </c>
      <c r="H56" s="615" t="str">
        <f>'Tên Tháng 1'!F354</f>
        <v>SIM YANG</v>
      </c>
      <c r="I56" s="519" t="str">
        <f>'CHAM CONG'!G362</f>
        <v>x</v>
      </c>
      <c r="J56" s="519" t="str">
        <f>'CHAM CONG'!H362</f>
        <v>x</v>
      </c>
      <c r="K56" s="519" t="str">
        <f>'CHAM CONG'!I362</f>
        <v>x</v>
      </c>
      <c r="L56" s="519">
        <f>'CHAM CONG'!J362</f>
        <v>0</v>
      </c>
      <c r="M56" s="519" t="str">
        <f>'CHAM CONG'!K362</f>
        <v>x</v>
      </c>
      <c r="N56" s="519" t="str">
        <f>'CHAM CONG'!L362</f>
        <v>x</v>
      </c>
      <c r="O56" s="519" t="str">
        <f>'CHAM CONG'!M362</f>
        <v>x</v>
      </c>
      <c r="P56" s="519" t="str">
        <f>'CHAM CONG'!N362</f>
        <v>x</v>
      </c>
      <c r="Q56" s="519" t="str">
        <f>'CHAM CONG'!O362</f>
        <v>x</v>
      </c>
      <c r="R56" s="519" t="str">
        <f>'CHAM CONG'!P362</f>
        <v>x</v>
      </c>
      <c r="S56" s="519" t="str">
        <f>'CHAM CONG'!Q362</f>
        <v>x</v>
      </c>
      <c r="T56" s="519" t="str">
        <f>'CHAM CONG'!R362</f>
        <v>x</v>
      </c>
      <c r="U56" s="519" t="str">
        <f>'CHAM CONG'!S362</f>
        <v>x</v>
      </c>
      <c r="V56" s="519" t="str">
        <f>'CHAM CONG'!T362</f>
        <v>x</v>
      </c>
      <c r="W56" s="519" t="str">
        <f>'CHAM CONG'!U362</f>
        <v>x</v>
      </c>
      <c r="X56" s="519"/>
      <c r="Y56" s="519"/>
      <c r="Z56" s="535">
        <f t="shared" si="2"/>
        <v>14</v>
      </c>
      <c r="AA56" s="536">
        <f t="shared" si="24"/>
        <v>0</v>
      </c>
      <c r="AB56" s="537">
        <f t="shared" si="3"/>
        <v>224000</v>
      </c>
      <c r="AC56" s="537">
        <f>'CHAM CONG'!V362</f>
        <v>0</v>
      </c>
      <c r="AD56" s="537" t="str">
        <f>'CHAM CONG'!W362</f>
        <v>x</v>
      </c>
      <c r="AE56" s="535">
        <f t="shared" si="4"/>
        <v>1</v>
      </c>
      <c r="AF56" s="537">
        <f t="shared" si="25"/>
        <v>17000</v>
      </c>
      <c r="AG56" s="537">
        <f t="shared" si="6"/>
        <v>14</v>
      </c>
      <c r="AH56" s="537">
        <f t="shared" si="7"/>
        <v>14000</v>
      </c>
      <c r="AI56" s="537">
        <f t="shared" si="8"/>
        <v>255000</v>
      </c>
      <c r="AJ56" s="519">
        <f>'SAN LUONG'!AF363</f>
        <v>189</v>
      </c>
      <c r="AK56" s="519">
        <f>'SAN LUONG'!AG363</f>
        <v>244</v>
      </c>
      <c r="AL56" s="519">
        <f>'SAN LUONG'!AH363</f>
        <v>360</v>
      </c>
      <c r="AM56" s="519">
        <f>'SAN LUONG'!AI363</f>
        <v>528</v>
      </c>
      <c r="AN56" s="553"/>
      <c r="AO56" s="553">
        <f t="shared" si="9"/>
        <v>0</v>
      </c>
      <c r="AP56" s="553">
        <f t="shared" si="10"/>
        <v>1321</v>
      </c>
      <c r="AQ56" s="553">
        <f t="shared" si="11"/>
        <v>264464</v>
      </c>
      <c r="AR56" s="628">
        <f>'SAN LUONG'!AU272</f>
        <v>0</v>
      </c>
      <c r="AS56" s="629">
        <f t="shared" si="26"/>
        <v>0</v>
      </c>
      <c r="AT56" s="630">
        <f t="shared" si="27"/>
        <v>0</v>
      </c>
      <c r="AU56" s="628">
        <f t="shared" si="28"/>
        <v>17.059999999999999</v>
      </c>
      <c r="AV56" s="556">
        <f t="shared" si="15"/>
        <v>519464</v>
      </c>
      <c r="AW56" s="630"/>
      <c r="AX56" s="564">
        <f t="shared" si="16"/>
        <v>519464</v>
      </c>
      <c r="AY56" s="565"/>
      <c r="AZ56" s="639">
        <f t="shared" si="17"/>
        <v>16.260000000000002</v>
      </c>
      <c r="BA56" s="567"/>
    </row>
    <row r="57" spans="1:53" s="483" customFormat="1" ht="39.6" customHeight="1">
      <c r="A57" s="503">
        <v>48</v>
      </c>
      <c r="B57" s="504">
        <v>10</v>
      </c>
      <c r="C57" s="504">
        <v>391</v>
      </c>
      <c r="D57" s="615"/>
      <c r="E57" s="615"/>
      <c r="F57" s="616"/>
      <c r="G57" s="615" t="str">
        <f>'Tên Tháng 1'!E355</f>
        <v>លឹម ឡាច</v>
      </c>
      <c r="H57" s="615" t="str">
        <f>'Tên Tháng 1'!F355</f>
        <v>LOEM LACH</v>
      </c>
      <c r="I57" s="519" t="str">
        <f>'CHAM CONG'!G363</f>
        <v>x</v>
      </c>
      <c r="J57" s="519" t="str">
        <f>'CHAM CONG'!H363</f>
        <v>x</v>
      </c>
      <c r="K57" s="519" t="str">
        <f>'CHAM CONG'!I363</f>
        <v>x</v>
      </c>
      <c r="L57" s="519">
        <f>'CHAM CONG'!J363</f>
        <v>0</v>
      </c>
      <c r="M57" s="519" t="str">
        <f>'CHAM CONG'!K363</f>
        <v>x</v>
      </c>
      <c r="N57" s="519" t="str">
        <f>'CHAM CONG'!L363</f>
        <v>x</v>
      </c>
      <c r="O57" s="519" t="str">
        <f>'CHAM CONG'!M363</f>
        <v>x</v>
      </c>
      <c r="P57" s="519" t="str">
        <f>'CHAM CONG'!N363</f>
        <v>x</v>
      </c>
      <c r="Q57" s="519" t="str">
        <f>'CHAM CONG'!O363</f>
        <v>x</v>
      </c>
      <c r="R57" s="519">
        <f>'CHAM CONG'!P363</f>
        <v>0</v>
      </c>
      <c r="S57" s="519" t="str">
        <f>'CHAM CONG'!Q363</f>
        <v>x</v>
      </c>
      <c r="T57" s="519" t="str">
        <f>'CHAM CONG'!R363</f>
        <v>x</v>
      </c>
      <c r="U57" s="519" t="str">
        <f>'CHAM CONG'!S363</f>
        <v>x</v>
      </c>
      <c r="V57" s="519" t="str">
        <f>'CHAM CONG'!T363</f>
        <v>x</v>
      </c>
      <c r="W57" s="519" t="str">
        <f>'CHAM CONG'!U363</f>
        <v>x</v>
      </c>
      <c r="X57" s="519"/>
      <c r="Y57" s="519"/>
      <c r="Z57" s="535">
        <f t="shared" si="2"/>
        <v>13</v>
      </c>
      <c r="AA57" s="536">
        <f t="shared" si="24"/>
        <v>0</v>
      </c>
      <c r="AB57" s="537">
        <f t="shared" si="3"/>
        <v>208000</v>
      </c>
      <c r="AC57" s="537" t="str">
        <f>'CHAM CONG'!V363</f>
        <v>x</v>
      </c>
      <c r="AD57" s="537" t="str">
        <f>'CHAM CONG'!W363</f>
        <v>x</v>
      </c>
      <c r="AE57" s="535">
        <f t="shared" si="4"/>
        <v>2</v>
      </c>
      <c r="AF57" s="537">
        <f t="shared" si="25"/>
        <v>34000</v>
      </c>
      <c r="AG57" s="537">
        <f t="shared" si="6"/>
        <v>13</v>
      </c>
      <c r="AH57" s="537">
        <f t="shared" si="7"/>
        <v>13000</v>
      </c>
      <c r="AI57" s="537">
        <f t="shared" si="8"/>
        <v>255000</v>
      </c>
      <c r="AJ57" s="519">
        <f>'SAN LUONG'!AF364</f>
        <v>294</v>
      </c>
      <c r="AK57" s="519">
        <f>'SAN LUONG'!AG364</f>
        <v>261</v>
      </c>
      <c r="AL57" s="519">
        <f>'SAN LUONG'!AH364</f>
        <v>517</v>
      </c>
      <c r="AM57" s="519">
        <f>'SAN LUONG'!AI364</f>
        <v>555</v>
      </c>
      <c r="AN57" s="553"/>
      <c r="AO57" s="553">
        <f t="shared" si="9"/>
        <v>0</v>
      </c>
      <c r="AP57" s="553">
        <f t="shared" si="10"/>
        <v>1627</v>
      </c>
      <c r="AQ57" s="553">
        <f t="shared" si="11"/>
        <v>325725</v>
      </c>
      <c r="AR57" s="628">
        <f>'SAN LUONG'!AU273</f>
        <v>0</v>
      </c>
      <c r="AS57" s="629">
        <f t="shared" si="26"/>
        <v>0</v>
      </c>
      <c r="AT57" s="630">
        <f t="shared" si="27"/>
        <v>0</v>
      </c>
      <c r="AU57" s="628">
        <f t="shared" si="28"/>
        <v>19.07</v>
      </c>
      <c r="AV57" s="556">
        <f t="shared" si="15"/>
        <v>580725</v>
      </c>
      <c r="AW57" s="630"/>
      <c r="AX57" s="564">
        <f t="shared" si="16"/>
        <v>580725</v>
      </c>
      <c r="AY57" s="565"/>
      <c r="AZ57" s="639">
        <f t="shared" si="17"/>
        <v>18.18</v>
      </c>
      <c r="BA57" s="567"/>
    </row>
    <row r="58" spans="1:53" s="483" customFormat="1" ht="39.6" customHeight="1">
      <c r="A58" s="503">
        <v>49</v>
      </c>
      <c r="B58" s="504">
        <v>10</v>
      </c>
      <c r="C58" s="504">
        <v>392</v>
      </c>
      <c r="D58" s="615"/>
      <c r="E58" s="615"/>
      <c r="F58" s="616"/>
      <c r="G58" s="615" t="str">
        <f>'Tên Tháng 1'!E356</f>
        <v>ឈុន សុខខុម</v>
      </c>
      <c r="H58" s="615" t="str">
        <f>'Tên Tháng 1'!F356</f>
        <v>CHHUN SOKHOM</v>
      </c>
      <c r="I58" s="519" t="str">
        <f>'CHAM CONG'!G364</f>
        <v>x</v>
      </c>
      <c r="J58" s="519" t="str">
        <f>'CHAM CONG'!H364</f>
        <v>x</v>
      </c>
      <c r="K58" s="519" t="str">
        <f>'CHAM CONG'!I364</f>
        <v>x</v>
      </c>
      <c r="L58" s="519">
        <f>'CHAM CONG'!J364</f>
        <v>0</v>
      </c>
      <c r="M58" s="519">
        <f>'CHAM CONG'!K364</f>
        <v>0</v>
      </c>
      <c r="N58" s="519" t="str">
        <f>'CHAM CONG'!L364</f>
        <v>x</v>
      </c>
      <c r="O58" s="519" t="str">
        <f>'CHAM CONG'!M364</f>
        <v>x</v>
      </c>
      <c r="P58" s="519" t="str">
        <f>'CHAM CONG'!N364</f>
        <v>x</v>
      </c>
      <c r="Q58" s="519" t="str">
        <f>'CHAM CONG'!O364</f>
        <v>x</v>
      </c>
      <c r="R58" s="519" t="str">
        <f>'CHAM CONG'!P364</f>
        <v>x</v>
      </c>
      <c r="S58" s="519" t="str">
        <f>'CHAM CONG'!Q364</f>
        <v>x</v>
      </c>
      <c r="T58" s="519" t="str">
        <f>'CHAM CONG'!R364</f>
        <v>x</v>
      </c>
      <c r="U58" s="519" t="str">
        <f>'CHAM CONG'!S364</f>
        <v>x</v>
      </c>
      <c r="V58" s="519" t="str">
        <f>'CHAM CONG'!T364</f>
        <v>x</v>
      </c>
      <c r="W58" s="519" t="str">
        <f>'CHAM CONG'!U364</f>
        <v>x</v>
      </c>
      <c r="X58" s="519"/>
      <c r="Y58" s="519"/>
      <c r="Z58" s="535">
        <f t="shared" si="2"/>
        <v>13</v>
      </c>
      <c r="AA58" s="536">
        <f t="shared" si="24"/>
        <v>0</v>
      </c>
      <c r="AB58" s="537">
        <f t="shared" si="3"/>
        <v>208000</v>
      </c>
      <c r="AC58" s="537" t="str">
        <f>'CHAM CONG'!V364</f>
        <v>x</v>
      </c>
      <c r="AD58" s="537" t="str">
        <f>'CHAM CONG'!W364</f>
        <v>x</v>
      </c>
      <c r="AE58" s="535">
        <f t="shared" si="4"/>
        <v>2</v>
      </c>
      <c r="AF58" s="537">
        <f t="shared" si="25"/>
        <v>34000</v>
      </c>
      <c r="AG58" s="537">
        <f t="shared" si="6"/>
        <v>13</v>
      </c>
      <c r="AH58" s="537">
        <f t="shared" si="7"/>
        <v>13000</v>
      </c>
      <c r="AI58" s="537">
        <f t="shared" si="8"/>
        <v>255000</v>
      </c>
      <c r="AJ58" s="519">
        <f>'SAN LUONG'!AF365</f>
        <v>173</v>
      </c>
      <c r="AK58" s="519">
        <f>'SAN LUONG'!AG365</f>
        <v>276</v>
      </c>
      <c r="AL58" s="519">
        <f>'SAN LUONG'!AH365</f>
        <v>325</v>
      </c>
      <c r="AM58" s="519">
        <f>'SAN LUONG'!AI365</f>
        <v>549</v>
      </c>
      <c r="AN58" s="553"/>
      <c r="AO58" s="553">
        <f t="shared" si="9"/>
        <v>0</v>
      </c>
      <c r="AP58" s="553">
        <f t="shared" si="10"/>
        <v>1323</v>
      </c>
      <c r="AQ58" s="553">
        <f t="shared" si="11"/>
        <v>264865</v>
      </c>
      <c r="AR58" s="628">
        <f>'SAN LUONG'!AU274</f>
        <v>0</v>
      </c>
      <c r="AS58" s="629">
        <f t="shared" si="26"/>
        <v>0</v>
      </c>
      <c r="AT58" s="630">
        <f t="shared" si="27"/>
        <v>0</v>
      </c>
      <c r="AU58" s="628">
        <f t="shared" si="28"/>
        <v>17.07</v>
      </c>
      <c r="AV58" s="556">
        <f t="shared" si="15"/>
        <v>519865</v>
      </c>
      <c r="AW58" s="630"/>
      <c r="AX58" s="564">
        <f t="shared" si="16"/>
        <v>519865</v>
      </c>
      <c r="AY58" s="565"/>
      <c r="AZ58" s="639">
        <f t="shared" si="17"/>
        <v>16.27</v>
      </c>
      <c r="BA58" s="567"/>
    </row>
    <row r="59" spans="1:53" s="483" customFormat="1" ht="39.6" customHeight="1">
      <c r="A59" s="503">
        <v>50</v>
      </c>
      <c r="B59" s="504">
        <v>10</v>
      </c>
      <c r="C59" s="504">
        <v>393</v>
      </c>
      <c r="D59" s="615"/>
      <c r="E59" s="615"/>
      <c r="F59" s="616"/>
      <c r="G59" s="615" t="str">
        <f>'Tên Tháng 1'!E357</f>
        <v>ទិត ចំរើន</v>
      </c>
      <c r="H59" s="615" t="str">
        <f>'Tên Tháng 1'!F357</f>
        <v>TET CHAMRAEUN</v>
      </c>
      <c r="I59" s="519" t="str">
        <f>'CHAM CONG'!G365</f>
        <v>x</v>
      </c>
      <c r="J59" s="519" t="str">
        <f>'CHAM CONG'!H365</f>
        <v>x</v>
      </c>
      <c r="K59" s="519" t="str">
        <f>'CHAM CONG'!I365</f>
        <v>x</v>
      </c>
      <c r="L59" s="519">
        <f>'CHAM CONG'!J365</f>
        <v>0</v>
      </c>
      <c r="M59" s="519">
        <f>'CHAM CONG'!K365</f>
        <v>0</v>
      </c>
      <c r="N59" s="519" t="str">
        <f>'CHAM CONG'!L365</f>
        <v>x</v>
      </c>
      <c r="O59" s="519" t="str">
        <f>'CHAM CONG'!M365</f>
        <v>x</v>
      </c>
      <c r="P59" s="519" t="str">
        <f>'CHAM CONG'!N365</f>
        <v>x</v>
      </c>
      <c r="Q59" s="519" t="str">
        <f>'CHAM CONG'!O365</f>
        <v>x</v>
      </c>
      <c r="R59" s="519" t="str">
        <f>'CHAM CONG'!P365</f>
        <v>x</v>
      </c>
      <c r="S59" s="519" t="str">
        <f>'CHAM CONG'!Q365</f>
        <v>x</v>
      </c>
      <c r="T59" s="519" t="str">
        <f>'CHAM CONG'!R365</f>
        <v>x</v>
      </c>
      <c r="U59" s="519" t="str">
        <f>'CHAM CONG'!S365</f>
        <v>x</v>
      </c>
      <c r="V59" s="519" t="str">
        <f>'CHAM CONG'!T365</f>
        <v>x</v>
      </c>
      <c r="W59" s="519" t="str">
        <f>'CHAM CONG'!U365</f>
        <v>x</v>
      </c>
      <c r="X59" s="519"/>
      <c r="Y59" s="519"/>
      <c r="Z59" s="535">
        <f t="shared" si="2"/>
        <v>13</v>
      </c>
      <c r="AA59" s="536">
        <f t="shared" si="24"/>
        <v>0</v>
      </c>
      <c r="AB59" s="537">
        <f t="shared" si="3"/>
        <v>208000</v>
      </c>
      <c r="AC59" s="537" t="str">
        <f>'CHAM CONG'!V365</f>
        <v>x</v>
      </c>
      <c r="AD59" s="537" t="str">
        <f>'CHAM CONG'!W365</f>
        <v>x</v>
      </c>
      <c r="AE59" s="535">
        <f t="shared" si="4"/>
        <v>2</v>
      </c>
      <c r="AF59" s="537">
        <f t="shared" si="25"/>
        <v>34000</v>
      </c>
      <c r="AG59" s="537">
        <f t="shared" si="6"/>
        <v>13</v>
      </c>
      <c r="AH59" s="537">
        <f t="shared" si="7"/>
        <v>13000</v>
      </c>
      <c r="AI59" s="537">
        <f t="shared" si="8"/>
        <v>255000</v>
      </c>
      <c r="AJ59" s="519">
        <f>'SAN LUONG'!AF366</f>
        <v>182</v>
      </c>
      <c r="AK59" s="519">
        <f>'SAN LUONG'!AG366</f>
        <v>268</v>
      </c>
      <c r="AL59" s="519">
        <f>'SAN LUONG'!AH366</f>
        <v>293</v>
      </c>
      <c r="AM59" s="519">
        <f>'SAN LUONG'!AI366</f>
        <v>510</v>
      </c>
      <c r="AN59" s="553"/>
      <c r="AO59" s="553">
        <f t="shared" si="9"/>
        <v>0</v>
      </c>
      <c r="AP59" s="553">
        <f t="shared" si="10"/>
        <v>1253</v>
      </c>
      <c r="AQ59" s="553">
        <f t="shared" si="11"/>
        <v>250851</v>
      </c>
      <c r="AR59" s="628">
        <f>'SAN LUONG'!AU275</f>
        <v>0</v>
      </c>
      <c r="AS59" s="629">
        <f t="shared" si="26"/>
        <v>0</v>
      </c>
      <c r="AT59" s="630">
        <f t="shared" si="27"/>
        <v>0</v>
      </c>
      <c r="AU59" s="628">
        <f t="shared" si="28"/>
        <v>16.61</v>
      </c>
      <c r="AV59" s="556">
        <f t="shared" si="15"/>
        <v>505851</v>
      </c>
      <c r="AW59" s="630"/>
      <c r="AX59" s="564">
        <f t="shared" si="16"/>
        <v>505851</v>
      </c>
      <c r="AY59" s="565"/>
      <c r="AZ59" s="639">
        <f t="shared" si="17"/>
        <v>15.83</v>
      </c>
      <c r="BA59" s="567"/>
    </row>
    <row r="60" spans="1:53" s="483" customFormat="1" ht="39.6" customHeight="1">
      <c r="A60" s="503">
        <v>51</v>
      </c>
      <c r="B60" s="504">
        <v>10</v>
      </c>
      <c r="C60" s="504">
        <v>394</v>
      </c>
      <c r="D60" s="615"/>
      <c r="E60" s="615"/>
      <c r="F60" s="616"/>
      <c r="G60" s="615" t="str">
        <f>'Tên Tháng 1'!E358</f>
        <v>លី ចាន់នី</v>
      </c>
      <c r="H60" s="615" t="str">
        <f>'Tên Tháng 1'!F358</f>
        <v>LY CHANNY</v>
      </c>
      <c r="I60" s="519" t="str">
        <f>'CHAM CONG'!G366</f>
        <v>x</v>
      </c>
      <c r="J60" s="519" t="str">
        <f>'CHAM CONG'!H366</f>
        <v>x</v>
      </c>
      <c r="K60" s="519" t="str">
        <f>'CHAM CONG'!I366</f>
        <v>x</v>
      </c>
      <c r="L60" s="519">
        <f>'CHAM CONG'!J366</f>
        <v>0</v>
      </c>
      <c r="M60" s="519" t="str">
        <f>'CHAM CONG'!K366</f>
        <v>x</v>
      </c>
      <c r="N60" s="519" t="str">
        <f>'CHAM CONG'!L366</f>
        <v>x</v>
      </c>
      <c r="O60" s="519" t="str">
        <f>'CHAM CONG'!M366</f>
        <v>x</v>
      </c>
      <c r="P60" s="519" t="str">
        <f>'CHAM CONG'!N366</f>
        <v>x</v>
      </c>
      <c r="Q60" s="519" t="str">
        <f>'CHAM CONG'!O366</f>
        <v>x</v>
      </c>
      <c r="R60" s="519">
        <f>'CHAM CONG'!P366</f>
        <v>0</v>
      </c>
      <c r="S60" s="519" t="str">
        <f>'CHAM CONG'!Q366</f>
        <v>x</v>
      </c>
      <c r="T60" s="519" t="str">
        <f>'CHAM CONG'!R366</f>
        <v>x</v>
      </c>
      <c r="U60" s="519" t="str">
        <f>'CHAM CONG'!S366</f>
        <v>x</v>
      </c>
      <c r="V60" s="519" t="str">
        <f>'CHAM CONG'!T366</f>
        <v>x</v>
      </c>
      <c r="W60" s="519" t="str">
        <f>'CHAM CONG'!U366</f>
        <v>x</v>
      </c>
      <c r="X60" s="519"/>
      <c r="Y60" s="519"/>
      <c r="Z60" s="535">
        <f t="shared" si="2"/>
        <v>13</v>
      </c>
      <c r="AA60" s="536">
        <f t="shared" si="24"/>
        <v>0</v>
      </c>
      <c r="AB60" s="537">
        <f t="shared" si="3"/>
        <v>208000</v>
      </c>
      <c r="AC60" s="537" t="str">
        <f>'CHAM CONG'!V366</f>
        <v>x</v>
      </c>
      <c r="AD60" s="537" t="str">
        <f>'CHAM CONG'!W366</f>
        <v>x</v>
      </c>
      <c r="AE60" s="535">
        <f t="shared" si="4"/>
        <v>2</v>
      </c>
      <c r="AF60" s="537">
        <f t="shared" si="25"/>
        <v>34000</v>
      </c>
      <c r="AG60" s="537">
        <f t="shared" si="6"/>
        <v>13</v>
      </c>
      <c r="AH60" s="537">
        <f t="shared" si="7"/>
        <v>13000</v>
      </c>
      <c r="AI60" s="537">
        <f t="shared" si="8"/>
        <v>255000</v>
      </c>
      <c r="AJ60" s="519">
        <f>'SAN LUONG'!AF367</f>
        <v>249</v>
      </c>
      <c r="AK60" s="519">
        <f>'SAN LUONG'!AG367</f>
        <v>314</v>
      </c>
      <c r="AL60" s="519">
        <f>'SAN LUONG'!AH367</f>
        <v>324</v>
      </c>
      <c r="AM60" s="519">
        <f>'SAN LUONG'!AI367</f>
        <v>607</v>
      </c>
      <c r="AN60" s="553"/>
      <c r="AO60" s="553">
        <f t="shared" si="9"/>
        <v>0</v>
      </c>
      <c r="AP60" s="553">
        <f t="shared" si="10"/>
        <v>1494</v>
      </c>
      <c r="AQ60" s="553">
        <f t="shared" si="11"/>
        <v>299099</v>
      </c>
      <c r="AR60" s="628">
        <f>'SAN LUONG'!AU276</f>
        <v>0</v>
      </c>
      <c r="AS60" s="629">
        <f t="shared" si="26"/>
        <v>0</v>
      </c>
      <c r="AT60" s="630">
        <f t="shared" si="27"/>
        <v>0</v>
      </c>
      <c r="AU60" s="628">
        <f t="shared" si="28"/>
        <v>18.190000000000001</v>
      </c>
      <c r="AV60" s="556">
        <f t="shared" si="15"/>
        <v>554099</v>
      </c>
      <c r="AW60" s="630"/>
      <c r="AX60" s="564">
        <f t="shared" si="16"/>
        <v>554099</v>
      </c>
      <c r="AY60" s="565"/>
      <c r="AZ60" s="639">
        <f t="shared" si="17"/>
        <v>17.34</v>
      </c>
      <c r="BA60" s="567"/>
    </row>
    <row r="61" spans="1:53" s="483" customFormat="1" ht="39.6" customHeight="1">
      <c r="A61" s="503">
        <v>52</v>
      </c>
      <c r="B61" s="504">
        <v>10</v>
      </c>
      <c r="C61" s="504">
        <v>395</v>
      </c>
      <c r="D61" s="615"/>
      <c r="E61" s="615"/>
      <c r="F61" s="616"/>
      <c r="G61" s="615" t="str">
        <f>'Tên Tháng 1'!E359</f>
        <v>ហេង ចាន់</v>
      </c>
      <c r="H61" s="615" t="str">
        <f>'Tên Tháng 1'!F359</f>
        <v>HENG CHANN</v>
      </c>
      <c r="I61" s="519" t="str">
        <f>'CHAM CONG'!G367</f>
        <v>x</v>
      </c>
      <c r="J61" s="519" t="str">
        <f>'CHAM CONG'!H367</f>
        <v>x</v>
      </c>
      <c r="K61" s="519" t="str">
        <f>'CHAM CONG'!I367</f>
        <v>x</v>
      </c>
      <c r="L61" s="519">
        <f>'CHAM CONG'!J367</f>
        <v>0</v>
      </c>
      <c r="M61" s="519" t="str">
        <f>'CHAM CONG'!K367</f>
        <v>x</v>
      </c>
      <c r="N61" s="519" t="str">
        <f>'CHAM CONG'!L367</f>
        <v>x</v>
      </c>
      <c r="O61" s="519" t="str">
        <f>'CHAM CONG'!M367</f>
        <v>x</v>
      </c>
      <c r="P61" s="519" t="str">
        <f>'CHAM CONG'!N367</f>
        <v>x</v>
      </c>
      <c r="Q61" s="519" t="str">
        <f>'CHAM CONG'!O367</f>
        <v>x</v>
      </c>
      <c r="R61" s="519">
        <f>'CHAM CONG'!P367</f>
        <v>0</v>
      </c>
      <c r="S61" s="519" t="str">
        <f>'CHAM CONG'!Q367</f>
        <v>x</v>
      </c>
      <c r="T61" s="519" t="str">
        <f>'CHAM CONG'!R367</f>
        <v>x</v>
      </c>
      <c r="U61" s="519" t="str">
        <f>'CHAM CONG'!S367</f>
        <v>x</v>
      </c>
      <c r="V61" s="519" t="str">
        <f>'CHAM CONG'!T367</f>
        <v>x</v>
      </c>
      <c r="W61" s="519" t="str">
        <f>'CHAM CONG'!U367</f>
        <v>x</v>
      </c>
      <c r="X61" s="519"/>
      <c r="Y61" s="519"/>
      <c r="Z61" s="535">
        <f t="shared" si="2"/>
        <v>13</v>
      </c>
      <c r="AA61" s="536">
        <f t="shared" si="24"/>
        <v>0</v>
      </c>
      <c r="AB61" s="537">
        <f t="shared" si="3"/>
        <v>208000</v>
      </c>
      <c r="AC61" s="537" t="str">
        <f>'CHAM CONG'!V367</f>
        <v>x</v>
      </c>
      <c r="AD61" s="537" t="str">
        <f>'CHAM CONG'!W367</f>
        <v>x</v>
      </c>
      <c r="AE61" s="535">
        <f t="shared" si="4"/>
        <v>2</v>
      </c>
      <c r="AF61" s="537">
        <f t="shared" si="25"/>
        <v>34000</v>
      </c>
      <c r="AG61" s="537">
        <f t="shared" si="6"/>
        <v>13</v>
      </c>
      <c r="AH61" s="537">
        <f t="shared" si="7"/>
        <v>13000</v>
      </c>
      <c r="AI61" s="537">
        <f t="shared" si="8"/>
        <v>255000</v>
      </c>
      <c r="AJ61" s="519">
        <f>'SAN LUONG'!AF368</f>
        <v>259</v>
      </c>
      <c r="AK61" s="519">
        <f>'SAN LUONG'!AG368</f>
        <v>323</v>
      </c>
      <c r="AL61" s="519">
        <f>'SAN LUONG'!AH368</f>
        <v>322</v>
      </c>
      <c r="AM61" s="519">
        <f>'SAN LUONG'!AI368</f>
        <v>617</v>
      </c>
      <c r="AN61" s="553"/>
      <c r="AO61" s="553">
        <f t="shared" si="9"/>
        <v>0</v>
      </c>
      <c r="AP61" s="553">
        <f t="shared" si="10"/>
        <v>1521</v>
      </c>
      <c r="AQ61" s="553">
        <f t="shared" si="11"/>
        <v>304504</v>
      </c>
      <c r="AR61" s="628">
        <f>'SAN LUONG'!AU277</f>
        <v>0</v>
      </c>
      <c r="AS61" s="629">
        <f t="shared" si="26"/>
        <v>0</v>
      </c>
      <c r="AT61" s="630">
        <f t="shared" si="27"/>
        <v>0</v>
      </c>
      <c r="AU61" s="628">
        <f t="shared" si="28"/>
        <v>18.37</v>
      </c>
      <c r="AV61" s="556">
        <f t="shared" si="15"/>
        <v>559504</v>
      </c>
      <c r="AW61" s="630"/>
      <c r="AX61" s="564">
        <f t="shared" si="16"/>
        <v>559504</v>
      </c>
      <c r="AY61" s="565"/>
      <c r="AZ61" s="639">
        <f t="shared" si="17"/>
        <v>17.510000000000002</v>
      </c>
      <c r="BA61" s="567"/>
    </row>
    <row r="62" spans="1:53" s="483" customFormat="1" ht="39.6" customHeight="1">
      <c r="A62" s="503">
        <v>53</v>
      </c>
      <c r="B62" s="504">
        <v>10</v>
      </c>
      <c r="C62" s="504">
        <v>396</v>
      </c>
      <c r="D62" s="615"/>
      <c r="E62" s="615"/>
      <c r="F62" s="616"/>
      <c r="G62" s="615" t="str">
        <f>'Tên Tháng 1'!E360</f>
        <v>ខុន ឃាង</v>
      </c>
      <c r="H62" s="615" t="str">
        <f>'Tên Tháng 1'!F360</f>
        <v>KHON KHEARNG</v>
      </c>
      <c r="I62" s="519" t="str">
        <f>'CHAM CONG'!G368</f>
        <v>x</v>
      </c>
      <c r="J62" s="519" t="str">
        <f>'CHAM CONG'!H368</f>
        <v>x</v>
      </c>
      <c r="K62" s="519" t="str">
        <f>'CHAM CONG'!I368</f>
        <v>x</v>
      </c>
      <c r="L62" s="519">
        <f>'CHAM CONG'!J368</f>
        <v>0</v>
      </c>
      <c r="M62" s="519">
        <f>'CHAM CONG'!K368</f>
        <v>0</v>
      </c>
      <c r="N62" s="519" t="str">
        <f>'CHAM CONG'!L368</f>
        <v>x</v>
      </c>
      <c r="O62" s="519" t="str">
        <f>'CHAM CONG'!M368</f>
        <v>x</v>
      </c>
      <c r="P62" s="519" t="str">
        <f>'CHAM CONG'!N368</f>
        <v>x</v>
      </c>
      <c r="Q62" s="519" t="str">
        <f>'CHAM CONG'!O368</f>
        <v>x</v>
      </c>
      <c r="R62" s="519" t="str">
        <f>'CHAM CONG'!P368</f>
        <v>x</v>
      </c>
      <c r="S62" s="519" t="str">
        <f>'CHAM CONG'!Q368</f>
        <v>x</v>
      </c>
      <c r="T62" s="519" t="str">
        <f>'CHAM CONG'!R368</f>
        <v>x</v>
      </c>
      <c r="U62" s="519" t="str">
        <f>'CHAM CONG'!S368</f>
        <v>x</v>
      </c>
      <c r="V62" s="519" t="str">
        <f>'CHAM CONG'!T368</f>
        <v>x</v>
      </c>
      <c r="W62" s="519" t="str">
        <f>'CHAM CONG'!U368</f>
        <v>x</v>
      </c>
      <c r="X62" s="519"/>
      <c r="Y62" s="519"/>
      <c r="Z62" s="535">
        <f t="shared" si="2"/>
        <v>13</v>
      </c>
      <c r="AA62" s="536">
        <f t="shared" si="24"/>
        <v>0</v>
      </c>
      <c r="AB62" s="537">
        <f t="shared" si="3"/>
        <v>208000</v>
      </c>
      <c r="AC62" s="537">
        <f>'CHAM CONG'!V368</f>
        <v>0</v>
      </c>
      <c r="AD62" s="537">
        <f>'CHAM CONG'!W368</f>
        <v>0</v>
      </c>
      <c r="AE62" s="535">
        <f t="shared" si="4"/>
        <v>0</v>
      </c>
      <c r="AF62" s="537">
        <f t="shared" si="25"/>
        <v>0</v>
      </c>
      <c r="AG62" s="537">
        <f t="shared" si="6"/>
        <v>13</v>
      </c>
      <c r="AH62" s="537">
        <f t="shared" si="7"/>
        <v>13000</v>
      </c>
      <c r="AI62" s="537">
        <f t="shared" si="8"/>
        <v>221000</v>
      </c>
      <c r="AJ62" s="519">
        <f>'SAN LUONG'!AF369</f>
        <v>137</v>
      </c>
      <c r="AK62" s="519">
        <f>'SAN LUONG'!AG369</f>
        <v>186</v>
      </c>
      <c r="AL62" s="519">
        <f>'SAN LUONG'!AH369</f>
        <v>262</v>
      </c>
      <c r="AM62" s="519">
        <f>'SAN LUONG'!AI369</f>
        <v>472</v>
      </c>
      <c r="AN62" s="553"/>
      <c r="AO62" s="553">
        <f t="shared" si="9"/>
        <v>0</v>
      </c>
      <c r="AP62" s="553">
        <f t="shared" si="10"/>
        <v>1057</v>
      </c>
      <c r="AQ62" s="553">
        <f t="shared" si="11"/>
        <v>211611</v>
      </c>
      <c r="AR62" s="628">
        <f>'SAN LUONG'!AU278</f>
        <v>0</v>
      </c>
      <c r="AS62" s="629">
        <f t="shared" si="26"/>
        <v>0</v>
      </c>
      <c r="AT62" s="630">
        <f t="shared" si="27"/>
        <v>0</v>
      </c>
      <c r="AU62" s="628">
        <f t="shared" si="28"/>
        <v>14.2</v>
      </c>
      <c r="AV62" s="556">
        <f t="shared" si="15"/>
        <v>432611</v>
      </c>
      <c r="AW62" s="630"/>
      <c r="AX62" s="564">
        <f t="shared" si="16"/>
        <v>432611</v>
      </c>
      <c r="AY62" s="565"/>
      <c r="AZ62" s="639">
        <f t="shared" si="17"/>
        <v>13.54</v>
      </c>
      <c r="BA62" s="567"/>
    </row>
    <row r="63" spans="1:53" s="483" customFormat="1" ht="39.6" customHeight="1">
      <c r="A63" s="503">
        <v>54</v>
      </c>
      <c r="B63" s="504">
        <v>10</v>
      </c>
      <c r="C63" s="504">
        <v>397</v>
      </c>
      <c r="D63" s="615"/>
      <c r="E63" s="615"/>
      <c r="F63" s="616"/>
      <c r="G63" s="615" t="str">
        <f>'Tên Tháng 1'!E361</f>
        <v>គ្រីប ថេត</v>
      </c>
      <c r="H63" s="615" t="str">
        <f>'Tên Tháng 1'!F361</f>
        <v>KRIP THET</v>
      </c>
      <c r="I63" s="519" t="str">
        <f>'CHAM CONG'!G369</f>
        <v>x</v>
      </c>
      <c r="J63" s="519" t="str">
        <f>'CHAM CONG'!H369</f>
        <v>x</v>
      </c>
      <c r="K63" s="519" t="str">
        <f>'CHAM CONG'!I369</f>
        <v>x</v>
      </c>
      <c r="L63" s="519">
        <f>'CHAM CONG'!J369</f>
        <v>0</v>
      </c>
      <c r="M63" s="519">
        <f>'CHAM CONG'!K369</f>
        <v>0</v>
      </c>
      <c r="N63" s="519" t="str">
        <f>'CHAM CONG'!L369</f>
        <v>x</v>
      </c>
      <c r="O63" s="519" t="str">
        <f>'CHAM CONG'!M369</f>
        <v>x</v>
      </c>
      <c r="P63" s="519" t="str">
        <f>'CHAM CONG'!N369</f>
        <v>x</v>
      </c>
      <c r="Q63" s="519" t="str">
        <f>'CHAM CONG'!O369</f>
        <v>x</v>
      </c>
      <c r="R63" s="519" t="str">
        <f>'CHAM CONG'!P369</f>
        <v>x</v>
      </c>
      <c r="S63" s="519" t="str">
        <f>'CHAM CONG'!Q369</f>
        <v>x</v>
      </c>
      <c r="T63" s="519" t="str">
        <f>'CHAM CONG'!R369</f>
        <v>x</v>
      </c>
      <c r="U63" s="519" t="str">
        <f>'CHAM CONG'!S369</f>
        <v>x</v>
      </c>
      <c r="V63" s="519" t="str">
        <f>'CHAM CONG'!T369</f>
        <v>x</v>
      </c>
      <c r="W63" s="519" t="str">
        <f>'CHAM CONG'!U369</f>
        <v>x</v>
      </c>
      <c r="X63" s="519"/>
      <c r="Y63" s="519"/>
      <c r="Z63" s="535">
        <f t="shared" si="2"/>
        <v>13</v>
      </c>
      <c r="AA63" s="536">
        <f t="shared" si="24"/>
        <v>0</v>
      </c>
      <c r="AB63" s="537">
        <f t="shared" si="3"/>
        <v>208000</v>
      </c>
      <c r="AC63" s="537">
        <f>'CHAM CONG'!V369</f>
        <v>0</v>
      </c>
      <c r="AD63" s="537">
        <f>'CHAM CONG'!W369</f>
        <v>0</v>
      </c>
      <c r="AE63" s="535">
        <f t="shared" si="4"/>
        <v>0</v>
      </c>
      <c r="AF63" s="537">
        <f t="shared" si="25"/>
        <v>0</v>
      </c>
      <c r="AG63" s="537">
        <f t="shared" si="6"/>
        <v>13</v>
      </c>
      <c r="AH63" s="537">
        <f t="shared" si="7"/>
        <v>13000</v>
      </c>
      <c r="AI63" s="537">
        <f t="shared" si="8"/>
        <v>221000</v>
      </c>
      <c r="AJ63" s="519">
        <f>'SAN LUONG'!AF370</f>
        <v>164</v>
      </c>
      <c r="AK63" s="519">
        <f>'SAN LUONG'!AG370</f>
        <v>180</v>
      </c>
      <c r="AL63" s="519">
        <f>'SAN LUONG'!AH370</f>
        <v>257</v>
      </c>
      <c r="AM63" s="519">
        <f>'SAN LUONG'!AI370</f>
        <v>445</v>
      </c>
      <c r="AN63" s="553"/>
      <c r="AO63" s="553">
        <f t="shared" si="9"/>
        <v>0</v>
      </c>
      <c r="AP63" s="553">
        <f t="shared" si="10"/>
        <v>1046</v>
      </c>
      <c r="AQ63" s="553">
        <f t="shared" si="11"/>
        <v>209409</v>
      </c>
      <c r="AR63" s="628">
        <f>'SAN LUONG'!AU279</f>
        <v>0</v>
      </c>
      <c r="AS63" s="629">
        <f t="shared" si="26"/>
        <v>0</v>
      </c>
      <c r="AT63" s="630">
        <f t="shared" si="27"/>
        <v>0</v>
      </c>
      <c r="AU63" s="628">
        <f t="shared" si="28"/>
        <v>14.13</v>
      </c>
      <c r="AV63" s="556">
        <f t="shared" si="15"/>
        <v>430409</v>
      </c>
      <c r="AW63" s="630"/>
      <c r="AX63" s="564">
        <f t="shared" si="16"/>
        <v>430409</v>
      </c>
      <c r="AY63" s="565"/>
      <c r="AZ63" s="639">
        <f t="shared" si="17"/>
        <v>13.47</v>
      </c>
      <c r="BA63" s="567"/>
    </row>
    <row r="64" spans="1:53" s="483" customFormat="1" ht="39.6" customHeight="1">
      <c r="A64" s="503">
        <v>55</v>
      </c>
      <c r="B64" s="504">
        <v>10</v>
      </c>
      <c r="C64" s="504">
        <v>398</v>
      </c>
      <c r="D64" s="615"/>
      <c r="E64" s="615"/>
      <c r="F64" s="616"/>
      <c r="G64" s="615" t="str">
        <f>'Tên Tháng 1'!E362</f>
        <v>ធាន​ ញ៉ាញ់</v>
      </c>
      <c r="H64" s="615" t="str">
        <f>'Tên Tháng 1'!F362</f>
        <v>THEAN NHANH</v>
      </c>
      <c r="I64" s="519" t="str">
        <f>'CHAM CONG'!G370</f>
        <v>x</v>
      </c>
      <c r="J64" s="519" t="str">
        <f>'CHAM CONG'!H370</f>
        <v>x</v>
      </c>
      <c r="K64" s="519" t="str">
        <f>'CHAM CONG'!I370</f>
        <v>x</v>
      </c>
      <c r="L64" s="519">
        <f>'CHAM CONG'!J370</f>
        <v>0</v>
      </c>
      <c r="M64" s="519" t="str">
        <f>'CHAM CONG'!K370</f>
        <v>x</v>
      </c>
      <c r="N64" s="519" t="str">
        <f>'CHAM CONG'!L370</f>
        <v>x</v>
      </c>
      <c r="O64" s="519" t="str">
        <f>'CHAM CONG'!M370</f>
        <v>x</v>
      </c>
      <c r="P64" s="519" t="str">
        <f>'CHAM CONG'!N370</f>
        <v>x</v>
      </c>
      <c r="Q64" s="519" t="str">
        <f>'CHAM CONG'!O370</f>
        <v>x</v>
      </c>
      <c r="R64" s="519" t="str">
        <f>'CHAM CONG'!P370</f>
        <v>x</v>
      </c>
      <c r="S64" s="519" t="str">
        <f>'CHAM CONG'!Q370</f>
        <v>x</v>
      </c>
      <c r="T64" s="519" t="str">
        <f>'CHAM CONG'!R370</f>
        <v>x</v>
      </c>
      <c r="U64" s="519" t="str">
        <f>'CHAM CONG'!S370</f>
        <v>x</v>
      </c>
      <c r="V64" s="519" t="str">
        <f>'CHAM CONG'!T370</f>
        <v>x</v>
      </c>
      <c r="W64" s="519" t="str">
        <f>'CHAM CONG'!U370</f>
        <v>x</v>
      </c>
      <c r="X64" s="519"/>
      <c r="Y64" s="519"/>
      <c r="Z64" s="535">
        <f t="shared" si="2"/>
        <v>14</v>
      </c>
      <c r="AA64" s="536">
        <f t="shared" si="24"/>
        <v>0</v>
      </c>
      <c r="AB64" s="537">
        <f t="shared" si="3"/>
        <v>224000</v>
      </c>
      <c r="AC64" s="537">
        <f>'CHAM CONG'!V370</f>
        <v>0</v>
      </c>
      <c r="AD64" s="537" t="str">
        <f>'CHAM CONG'!W370</f>
        <v>x</v>
      </c>
      <c r="AE64" s="535">
        <f t="shared" si="4"/>
        <v>1</v>
      </c>
      <c r="AF64" s="537">
        <f t="shared" si="25"/>
        <v>17000</v>
      </c>
      <c r="AG64" s="537">
        <f t="shared" si="6"/>
        <v>14</v>
      </c>
      <c r="AH64" s="537">
        <f t="shared" si="7"/>
        <v>14000</v>
      </c>
      <c r="AI64" s="537">
        <f t="shared" si="8"/>
        <v>255000</v>
      </c>
      <c r="AJ64" s="519">
        <f>'SAN LUONG'!AF371</f>
        <v>191</v>
      </c>
      <c r="AK64" s="519">
        <f>'SAN LUONG'!AG371</f>
        <v>263</v>
      </c>
      <c r="AL64" s="519">
        <f>'SAN LUONG'!AH371</f>
        <v>379</v>
      </c>
      <c r="AM64" s="519">
        <f>'SAN LUONG'!AI371</f>
        <v>537</v>
      </c>
      <c r="AN64" s="553"/>
      <c r="AO64" s="553">
        <f t="shared" si="9"/>
        <v>0</v>
      </c>
      <c r="AP64" s="553">
        <f t="shared" si="10"/>
        <v>1370</v>
      </c>
      <c r="AQ64" s="553">
        <f t="shared" si="11"/>
        <v>274274</v>
      </c>
      <c r="AR64" s="628">
        <f>'SAN LUONG'!AU280</f>
        <v>0</v>
      </c>
      <c r="AS64" s="629">
        <f t="shared" si="26"/>
        <v>0</v>
      </c>
      <c r="AT64" s="630">
        <f t="shared" si="27"/>
        <v>0</v>
      </c>
      <c r="AU64" s="628">
        <f t="shared" si="28"/>
        <v>17.38</v>
      </c>
      <c r="AV64" s="556">
        <f t="shared" si="15"/>
        <v>529274</v>
      </c>
      <c r="AW64" s="630"/>
      <c r="AX64" s="564">
        <f t="shared" si="16"/>
        <v>529274</v>
      </c>
      <c r="AY64" s="565"/>
      <c r="AZ64" s="639">
        <f t="shared" si="17"/>
        <v>16.57</v>
      </c>
      <c r="BA64" s="567"/>
    </row>
    <row r="65" spans="1:53" s="483" customFormat="1" ht="39.6" customHeight="1">
      <c r="A65" s="503">
        <v>56</v>
      </c>
      <c r="B65" s="504">
        <v>10</v>
      </c>
      <c r="C65" s="504">
        <v>399</v>
      </c>
      <c r="D65" s="615"/>
      <c r="E65" s="615"/>
      <c r="F65" s="616"/>
      <c r="G65" s="615" t="str">
        <f>'Tên Tháng 1'!E363</f>
        <v>ក ប៉ា</v>
      </c>
      <c r="H65" s="615" t="str">
        <f>'Tên Tháng 1'!F363</f>
        <v>KOR PA</v>
      </c>
      <c r="I65" s="519" t="str">
        <f>'CHAM CONG'!G371</f>
        <v>x</v>
      </c>
      <c r="J65" s="519" t="str">
        <f>'CHAM CONG'!H371</f>
        <v>x</v>
      </c>
      <c r="K65" s="519" t="str">
        <f>'CHAM CONG'!I371</f>
        <v>x</v>
      </c>
      <c r="L65" s="519">
        <f>'CHAM CONG'!J371</f>
        <v>0</v>
      </c>
      <c r="M65" s="519" t="str">
        <f>'CHAM CONG'!K371</f>
        <v>x</v>
      </c>
      <c r="N65" s="519" t="str">
        <f>'CHAM CONG'!L371</f>
        <v>x</v>
      </c>
      <c r="O65" s="519" t="str">
        <f>'CHAM CONG'!M371</f>
        <v>x</v>
      </c>
      <c r="P65" s="519" t="str">
        <f>'CHAM CONG'!N371</f>
        <v>x</v>
      </c>
      <c r="Q65" s="519" t="str">
        <f>'CHAM CONG'!O371</f>
        <v>x</v>
      </c>
      <c r="R65" s="519" t="str">
        <f>'CHAM CONG'!P371</f>
        <v>x</v>
      </c>
      <c r="S65" s="519" t="str">
        <f>'CHAM CONG'!Q371</f>
        <v>x</v>
      </c>
      <c r="T65" s="519" t="str">
        <f>'CHAM CONG'!R371</f>
        <v>x</v>
      </c>
      <c r="U65" s="519" t="str">
        <f>'CHAM CONG'!S371</f>
        <v>x</v>
      </c>
      <c r="V65" s="519" t="str">
        <f>'CHAM CONG'!T371</f>
        <v>x</v>
      </c>
      <c r="W65" s="519" t="str">
        <f>'CHAM CONG'!U371</f>
        <v>x</v>
      </c>
      <c r="X65" s="519"/>
      <c r="Y65" s="519"/>
      <c r="Z65" s="535">
        <f t="shared" si="2"/>
        <v>14</v>
      </c>
      <c r="AA65" s="536">
        <f t="shared" si="24"/>
        <v>0</v>
      </c>
      <c r="AB65" s="537">
        <f t="shared" si="3"/>
        <v>224000</v>
      </c>
      <c r="AC65" s="537">
        <f>'CHAM CONG'!V371</f>
        <v>0</v>
      </c>
      <c r="AD65" s="537" t="str">
        <f>'CHAM CONG'!W371</f>
        <v>x</v>
      </c>
      <c r="AE65" s="535">
        <f t="shared" si="4"/>
        <v>1</v>
      </c>
      <c r="AF65" s="537">
        <f t="shared" si="25"/>
        <v>17000</v>
      </c>
      <c r="AG65" s="537">
        <f t="shared" si="6"/>
        <v>14</v>
      </c>
      <c r="AH65" s="537">
        <f t="shared" si="7"/>
        <v>14000</v>
      </c>
      <c r="AI65" s="537">
        <f t="shared" si="8"/>
        <v>255000</v>
      </c>
      <c r="AJ65" s="519">
        <f>'SAN LUONG'!AF372</f>
        <v>163</v>
      </c>
      <c r="AK65" s="519">
        <f>'SAN LUONG'!AG372</f>
        <v>208</v>
      </c>
      <c r="AL65" s="519">
        <f>'SAN LUONG'!AH372</f>
        <v>384</v>
      </c>
      <c r="AM65" s="519">
        <f>'SAN LUONG'!AI372</f>
        <v>458</v>
      </c>
      <c r="AN65" s="553"/>
      <c r="AO65" s="553">
        <f t="shared" si="9"/>
        <v>0</v>
      </c>
      <c r="AP65" s="553">
        <f t="shared" si="10"/>
        <v>1213</v>
      </c>
      <c r="AQ65" s="553">
        <f t="shared" si="11"/>
        <v>242843</v>
      </c>
      <c r="AR65" s="628">
        <f>'SAN LUONG'!AU281</f>
        <v>0</v>
      </c>
      <c r="AS65" s="629">
        <f t="shared" si="26"/>
        <v>0</v>
      </c>
      <c r="AT65" s="630">
        <f t="shared" si="27"/>
        <v>0</v>
      </c>
      <c r="AU65" s="628">
        <f t="shared" si="28"/>
        <v>16.350000000000001</v>
      </c>
      <c r="AV65" s="556">
        <f t="shared" si="15"/>
        <v>497843</v>
      </c>
      <c r="AW65" s="630"/>
      <c r="AX65" s="564">
        <f t="shared" si="16"/>
        <v>497843</v>
      </c>
      <c r="AY65" s="565"/>
      <c r="AZ65" s="639">
        <f t="shared" si="17"/>
        <v>15.58</v>
      </c>
      <c r="BA65" s="567"/>
    </row>
    <row r="66" spans="1:53" s="483" customFormat="1" ht="39.6" customHeight="1">
      <c r="A66" s="503">
        <v>57</v>
      </c>
      <c r="B66" s="504">
        <v>10</v>
      </c>
      <c r="C66" s="504">
        <v>400</v>
      </c>
      <c r="D66" s="615"/>
      <c r="E66" s="615"/>
      <c r="F66" s="616"/>
      <c r="G66" s="615" t="str">
        <f>'Tên Tháng 1'!E364</f>
        <v>ឡុង ឡុំ</v>
      </c>
      <c r="H66" s="615" t="str">
        <f>'Tên Tháng 1'!F364</f>
        <v>LONG LOM</v>
      </c>
      <c r="I66" s="519" t="str">
        <f>'CHAM CONG'!G372</f>
        <v>x</v>
      </c>
      <c r="J66" s="519" t="str">
        <f>'CHAM CONG'!H372</f>
        <v>x</v>
      </c>
      <c r="K66" s="519" t="str">
        <f>'CHAM CONG'!I372</f>
        <v>x</v>
      </c>
      <c r="L66" s="519">
        <f>'CHAM CONG'!J372</f>
        <v>0</v>
      </c>
      <c r="M66" s="519" t="str">
        <f>'CHAM CONG'!K372</f>
        <v>x</v>
      </c>
      <c r="N66" s="519" t="str">
        <f>'CHAM CONG'!L372</f>
        <v>x</v>
      </c>
      <c r="O66" s="519" t="str">
        <f>'CHAM CONG'!M372</f>
        <v>x</v>
      </c>
      <c r="P66" s="519" t="str">
        <f>'CHAM CONG'!N372</f>
        <v>x</v>
      </c>
      <c r="Q66" s="519" t="str">
        <f>'CHAM CONG'!O372</f>
        <v>x</v>
      </c>
      <c r="R66" s="519" t="str">
        <f>'CHAM CONG'!P372</f>
        <v>x</v>
      </c>
      <c r="S66" s="519" t="str">
        <f>'CHAM CONG'!Q372</f>
        <v>x</v>
      </c>
      <c r="T66" s="519" t="str">
        <f>'CHAM CONG'!R372</f>
        <v>x</v>
      </c>
      <c r="U66" s="519" t="str">
        <f>'CHAM CONG'!S372</f>
        <v>x</v>
      </c>
      <c r="V66" s="519" t="str">
        <f>'CHAM CONG'!T372</f>
        <v>x</v>
      </c>
      <c r="W66" s="519" t="str">
        <f>'CHAM CONG'!U372</f>
        <v>x</v>
      </c>
      <c r="X66" s="519"/>
      <c r="Y66" s="519"/>
      <c r="Z66" s="535">
        <f t="shared" si="2"/>
        <v>14</v>
      </c>
      <c r="AA66" s="536">
        <f t="shared" si="24"/>
        <v>0</v>
      </c>
      <c r="AB66" s="537">
        <f t="shared" si="3"/>
        <v>224000</v>
      </c>
      <c r="AC66" s="537">
        <f>'CHAM CONG'!V372</f>
        <v>0</v>
      </c>
      <c r="AD66" s="537" t="str">
        <f>'CHAM CONG'!W372</f>
        <v>x</v>
      </c>
      <c r="AE66" s="535">
        <f t="shared" si="4"/>
        <v>1</v>
      </c>
      <c r="AF66" s="537">
        <f t="shared" si="25"/>
        <v>17000</v>
      </c>
      <c r="AG66" s="537">
        <f t="shared" si="6"/>
        <v>14</v>
      </c>
      <c r="AH66" s="537">
        <f t="shared" si="7"/>
        <v>14000</v>
      </c>
      <c r="AI66" s="537">
        <f t="shared" si="8"/>
        <v>255000</v>
      </c>
      <c r="AJ66" s="519">
        <f>'SAN LUONG'!AF373</f>
        <v>167</v>
      </c>
      <c r="AK66" s="519">
        <f>'SAN LUONG'!AG373</f>
        <v>206</v>
      </c>
      <c r="AL66" s="519">
        <f>'SAN LUONG'!AH373</f>
        <v>383</v>
      </c>
      <c r="AM66" s="519">
        <f>'SAN LUONG'!AI373</f>
        <v>446</v>
      </c>
      <c r="AN66" s="553"/>
      <c r="AO66" s="553">
        <f t="shared" si="9"/>
        <v>0</v>
      </c>
      <c r="AP66" s="553">
        <f t="shared" si="10"/>
        <v>1202</v>
      </c>
      <c r="AQ66" s="553">
        <f t="shared" si="11"/>
        <v>240640</v>
      </c>
      <c r="AR66" s="628">
        <f>'SAN LUONG'!AU282</f>
        <v>0</v>
      </c>
      <c r="AS66" s="629">
        <f t="shared" si="26"/>
        <v>0</v>
      </c>
      <c r="AT66" s="630">
        <f t="shared" si="27"/>
        <v>0</v>
      </c>
      <c r="AU66" s="628">
        <f t="shared" si="28"/>
        <v>16.27</v>
      </c>
      <c r="AV66" s="556">
        <f t="shared" si="15"/>
        <v>495640</v>
      </c>
      <c r="AW66" s="630"/>
      <c r="AX66" s="564">
        <f t="shared" si="16"/>
        <v>495640</v>
      </c>
      <c r="AY66" s="565"/>
      <c r="AZ66" s="639">
        <f t="shared" si="17"/>
        <v>15.51</v>
      </c>
      <c r="BA66" s="567"/>
    </row>
    <row r="67" spans="1:53" s="483" customFormat="1" ht="39.6" customHeight="1">
      <c r="A67" s="503">
        <v>58</v>
      </c>
      <c r="B67" s="504">
        <v>10</v>
      </c>
      <c r="C67" s="504">
        <v>401</v>
      </c>
      <c r="D67" s="615"/>
      <c r="E67" s="615"/>
      <c r="F67" s="616"/>
      <c r="G67" s="615" t="str">
        <f>'Tên Tháng 1'!E365</f>
        <v>ក កុល</v>
      </c>
      <c r="H67" s="615" t="str">
        <f>'Tên Tháng 1'!F365</f>
        <v>KOR KOL</v>
      </c>
      <c r="I67" s="519" t="str">
        <f>'CHAM CONG'!G373</f>
        <v>x</v>
      </c>
      <c r="J67" s="519" t="str">
        <f>'CHAM CONG'!H373</f>
        <v>x</v>
      </c>
      <c r="K67" s="519" t="str">
        <f>'CHAM CONG'!I373</f>
        <v>x</v>
      </c>
      <c r="L67" s="519">
        <f>'CHAM CONG'!J373</f>
        <v>0</v>
      </c>
      <c r="M67" s="519" t="str">
        <f>'CHAM CONG'!K373</f>
        <v>x</v>
      </c>
      <c r="N67" s="519" t="str">
        <f>'CHAM CONG'!L373</f>
        <v>x</v>
      </c>
      <c r="O67" s="519">
        <f>'CHAM CONG'!M373</f>
        <v>0</v>
      </c>
      <c r="P67" s="519" t="str">
        <f>'CHAM CONG'!N373</f>
        <v>x</v>
      </c>
      <c r="Q67" s="519" t="str">
        <f>'CHAM CONG'!O373</f>
        <v>x</v>
      </c>
      <c r="R67" s="519" t="str">
        <f>'CHAM CONG'!P373</f>
        <v>x</v>
      </c>
      <c r="S67" s="519" t="str">
        <f>'CHAM CONG'!Q373</f>
        <v>x</v>
      </c>
      <c r="T67" s="519">
        <f>'CHAM CONG'!R373</f>
        <v>0</v>
      </c>
      <c r="U67" s="519" t="str">
        <f>'CHAM CONG'!S373</f>
        <v>x</v>
      </c>
      <c r="V67" s="519" t="str">
        <f>'CHAM CONG'!T373</f>
        <v>x</v>
      </c>
      <c r="W67" s="519" t="str">
        <f>'CHAM CONG'!U373</f>
        <v>x</v>
      </c>
      <c r="X67" s="519"/>
      <c r="Y67" s="519"/>
      <c r="Z67" s="535">
        <f t="shared" si="2"/>
        <v>12</v>
      </c>
      <c r="AA67" s="536">
        <f t="shared" si="24"/>
        <v>0</v>
      </c>
      <c r="AB67" s="537">
        <f t="shared" si="3"/>
        <v>192000</v>
      </c>
      <c r="AC67" s="537" t="str">
        <f>'CHAM CONG'!V373</f>
        <v>x</v>
      </c>
      <c r="AD67" s="537">
        <f>'CHAM CONG'!W373</f>
        <v>0</v>
      </c>
      <c r="AE67" s="535">
        <f t="shared" si="4"/>
        <v>1</v>
      </c>
      <c r="AF67" s="537">
        <f t="shared" si="25"/>
        <v>17000</v>
      </c>
      <c r="AG67" s="537">
        <f t="shared" si="6"/>
        <v>12</v>
      </c>
      <c r="AH67" s="537">
        <f t="shared" si="7"/>
        <v>12000</v>
      </c>
      <c r="AI67" s="537">
        <f t="shared" si="8"/>
        <v>221000</v>
      </c>
      <c r="AJ67" s="519">
        <f>'SAN LUONG'!AF374</f>
        <v>259</v>
      </c>
      <c r="AK67" s="519">
        <f>'SAN LUONG'!AG374</f>
        <v>239</v>
      </c>
      <c r="AL67" s="519">
        <f>'SAN LUONG'!AH374</f>
        <v>230</v>
      </c>
      <c r="AM67" s="519">
        <f>'SAN LUONG'!AI374</f>
        <v>316</v>
      </c>
      <c r="AN67" s="553"/>
      <c r="AO67" s="553">
        <f t="shared" si="9"/>
        <v>0</v>
      </c>
      <c r="AP67" s="553">
        <f t="shared" si="10"/>
        <v>1044</v>
      </c>
      <c r="AQ67" s="553">
        <f t="shared" si="11"/>
        <v>209009</v>
      </c>
      <c r="AR67" s="628">
        <f>'SAN LUONG'!AU283</f>
        <v>0</v>
      </c>
      <c r="AS67" s="629">
        <f t="shared" si="26"/>
        <v>0</v>
      </c>
      <c r="AT67" s="630">
        <f t="shared" si="27"/>
        <v>0</v>
      </c>
      <c r="AU67" s="628">
        <f t="shared" si="28"/>
        <v>14.12</v>
      </c>
      <c r="AV67" s="556">
        <f t="shared" si="15"/>
        <v>430009</v>
      </c>
      <c r="AW67" s="630"/>
      <c r="AX67" s="564">
        <f t="shared" si="16"/>
        <v>430009</v>
      </c>
      <c r="AY67" s="565"/>
      <c r="AZ67" s="639">
        <f t="shared" si="17"/>
        <v>13.46</v>
      </c>
      <c r="BA67" s="567"/>
    </row>
    <row r="68" spans="1:53" s="483" customFormat="1" ht="39.6" customHeight="1">
      <c r="A68" s="503">
        <v>59</v>
      </c>
      <c r="B68" s="504">
        <v>10</v>
      </c>
      <c r="C68" s="504">
        <v>402</v>
      </c>
      <c r="D68" s="615"/>
      <c r="E68" s="615"/>
      <c r="F68" s="616"/>
      <c r="G68" s="615" t="str">
        <f>'Tên Tháng 1'!E366</f>
        <v>ឃី ស៊ីណា</v>
      </c>
      <c r="H68" s="615" t="str">
        <f>'Tên Tháng 1'!F366</f>
        <v>KHY SINA</v>
      </c>
      <c r="I68" s="519" t="str">
        <f>'CHAM CONG'!G374</f>
        <v>x</v>
      </c>
      <c r="J68" s="519" t="str">
        <f>'CHAM CONG'!H374</f>
        <v>x</v>
      </c>
      <c r="K68" s="519" t="str">
        <f>'CHAM CONG'!I374</f>
        <v>x</v>
      </c>
      <c r="L68" s="519">
        <f>'CHAM CONG'!J374</f>
        <v>0</v>
      </c>
      <c r="M68" s="519" t="str">
        <f>'CHAM CONG'!K374</f>
        <v>x</v>
      </c>
      <c r="N68" s="519" t="str">
        <f>'CHAM CONG'!L374</f>
        <v>x</v>
      </c>
      <c r="O68" s="519" t="str">
        <f>'CHAM CONG'!M374</f>
        <v>x</v>
      </c>
      <c r="P68" s="519" t="str">
        <f>'CHAM CONG'!N374</f>
        <v>x</v>
      </c>
      <c r="Q68" s="519" t="str">
        <f>'CHAM CONG'!O374</f>
        <v>x</v>
      </c>
      <c r="R68" s="519">
        <f>'CHAM CONG'!P374</f>
        <v>0</v>
      </c>
      <c r="S68" s="519" t="str">
        <f>'CHAM CONG'!Q374</f>
        <v>x</v>
      </c>
      <c r="T68" s="519" t="str">
        <f>'CHAM CONG'!R374</f>
        <v>x</v>
      </c>
      <c r="U68" s="519" t="str">
        <f>'CHAM CONG'!S374</f>
        <v>x</v>
      </c>
      <c r="V68" s="519" t="str">
        <f>'CHAM CONG'!T374</f>
        <v>x</v>
      </c>
      <c r="W68" s="519" t="str">
        <f>'CHAM CONG'!U374</f>
        <v>x</v>
      </c>
      <c r="X68" s="519"/>
      <c r="Y68" s="519"/>
      <c r="Z68" s="535">
        <f t="shared" si="2"/>
        <v>13</v>
      </c>
      <c r="AA68" s="536">
        <f t="shared" si="24"/>
        <v>0</v>
      </c>
      <c r="AB68" s="537">
        <f t="shared" si="3"/>
        <v>208000</v>
      </c>
      <c r="AC68" s="537" t="str">
        <f>'CHAM CONG'!V374</f>
        <v>x</v>
      </c>
      <c r="AD68" s="537" t="str">
        <f>'CHAM CONG'!W374</f>
        <v>x</v>
      </c>
      <c r="AE68" s="535">
        <f t="shared" si="4"/>
        <v>2</v>
      </c>
      <c r="AF68" s="537">
        <f t="shared" si="25"/>
        <v>34000</v>
      </c>
      <c r="AG68" s="537">
        <f t="shared" si="6"/>
        <v>13</v>
      </c>
      <c r="AH68" s="537">
        <f t="shared" si="7"/>
        <v>13000</v>
      </c>
      <c r="AI68" s="537">
        <f t="shared" si="8"/>
        <v>255000</v>
      </c>
      <c r="AJ68" s="519">
        <f>'SAN LUONG'!AF375</f>
        <v>281</v>
      </c>
      <c r="AK68" s="519">
        <f>'SAN LUONG'!AG375</f>
        <v>281</v>
      </c>
      <c r="AL68" s="519">
        <f>'SAN LUONG'!AH375</f>
        <v>420</v>
      </c>
      <c r="AM68" s="519">
        <f>'SAN LUONG'!AI375</f>
        <v>553</v>
      </c>
      <c r="AN68" s="553"/>
      <c r="AO68" s="553">
        <f t="shared" si="9"/>
        <v>0</v>
      </c>
      <c r="AP68" s="553">
        <f t="shared" si="10"/>
        <v>1535</v>
      </c>
      <c r="AQ68" s="553">
        <f t="shared" si="11"/>
        <v>307307</v>
      </c>
      <c r="AR68" s="628">
        <f>'SAN LUONG'!AU284</f>
        <v>0</v>
      </c>
      <c r="AS68" s="629">
        <f t="shared" si="26"/>
        <v>0</v>
      </c>
      <c r="AT68" s="630">
        <f t="shared" si="27"/>
        <v>0</v>
      </c>
      <c r="AU68" s="628">
        <f t="shared" si="28"/>
        <v>18.46</v>
      </c>
      <c r="AV68" s="556">
        <f t="shared" si="15"/>
        <v>562307</v>
      </c>
      <c r="AW68" s="630"/>
      <c r="AX68" s="564">
        <f t="shared" si="16"/>
        <v>562307</v>
      </c>
      <c r="AY68" s="565"/>
      <c r="AZ68" s="639">
        <f t="shared" si="17"/>
        <v>17.600000000000001</v>
      </c>
      <c r="BA68" s="567"/>
    </row>
    <row r="69" spans="1:53" s="483" customFormat="1" ht="39.6" customHeight="1">
      <c r="A69" s="503">
        <v>60</v>
      </c>
      <c r="B69" s="504">
        <v>10</v>
      </c>
      <c r="C69" s="504">
        <v>403</v>
      </c>
      <c r="D69" s="615"/>
      <c r="E69" s="615"/>
      <c r="F69" s="616"/>
      <c r="G69" s="615" t="str">
        <f>'Tên Tháng 1'!E367</f>
        <v>ទូច ចន្ថា</v>
      </c>
      <c r="H69" s="615" t="str">
        <f>'Tên Tháng 1'!F367</f>
        <v>TOCH CHANTHA</v>
      </c>
      <c r="I69" s="519" t="str">
        <f>'CHAM CONG'!G375</f>
        <v>x</v>
      </c>
      <c r="J69" s="519" t="str">
        <f>'CHAM CONG'!H375</f>
        <v>x</v>
      </c>
      <c r="K69" s="519" t="str">
        <f>'CHAM CONG'!I375</f>
        <v>x</v>
      </c>
      <c r="L69" s="519">
        <f>'CHAM CONG'!J375</f>
        <v>0</v>
      </c>
      <c r="M69" s="519" t="str">
        <f>'CHAM CONG'!K375</f>
        <v>x</v>
      </c>
      <c r="N69" s="519" t="str">
        <f>'CHAM CONG'!L375</f>
        <v>x</v>
      </c>
      <c r="O69" s="519" t="str">
        <f>'CHAM CONG'!M375</f>
        <v>x</v>
      </c>
      <c r="P69" s="519" t="str">
        <f>'CHAM CONG'!N375</f>
        <v>x</v>
      </c>
      <c r="Q69" s="519" t="str">
        <f>'CHAM CONG'!O375</f>
        <v>x</v>
      </c>
      <c r="R69" s="519" t="str">
        <f>'CHAM CONG'!P375</f>
        <v>x</v>
      </c>
      <c r="S69" s="519" t="str">
        <f>'CHAM CONG'!Q375</f>
        <v>x</v>
      </c>
      <c r="T69" s="519" t="str">
        <f>'CHAM CONG'!R375</f>
        <v>x</v>
      </c>
      <c r="U69" s="519" t="str">
        <f>'CHAM CONG'!S375</f>
        <v>x</v>
      </c>
      <c r="V69" s="519" t="str">
        <f>'CHAM CONG'!T375</f>
        <v>x</v>
      </c>
      <c r="W69" s="519" t="str">
        <f>'CHAM CONG'!U375</f>
        <v>x</v>
      </c>
      <c r="X69" s="519"/>
      <c r="Y69" s="519"/>
      <c r="Z69" s="535">
        <f t="shared" si="2"/>
        <v>14</v>
      </c>
      <c r="AA69" s="536">
        <f t="shared" si="24"/>
        <v>0</v>
      </c>
      <c r="AB69" s="537">
        <f t="shared" si="3"/>
        <v>224000</v>
      </c>
      <c r="AC69" s="537">
        <f>'CHAM CONG'!V375</f>
        <v>0</v>
      </c>
      <c r="AD69" s="537" t="str">
        <f>'CHAM CONG'!W375</f>
        <v>x</v>
      </c>
      <c r="AE69" s="535">
        <f t="shared" si="4"/>
        <v>1</v>
      </c>
      <c r="AF69" s="537">
        <f t="shared" si="25"/>
        <v>17000</v>
      </c>
      <c r="AG69" s="537">
        <f t="shared" si="6"/>
        <v>14</v>
      </c>
      <c r="AH69" s="537">
        <f t="shared" si="7"/>
        <v>14000</v>
      </c>
      <c r="AI69" s="537">
        <f t="shared" si="8"/>
        <v>255000</v>
      </c>
      <c r="AJ69" s="519">
        <f>'SAN LUONG'!AF376</f>
        <v>225</v>
      </c>
      <c r="AK69" s="519">
        <f>'SAN LUONG'!AG376</f>
        <v>209</v>
      </c>
      <c r="AL69" s="519">
        <f>'SAN LUONG'!AH376</f>
        <v>427</v>
      </c>
      <c r="AM69" s="519">
        <f>'SAN LUONG'!AI376</f>
        <v>463</v>
      </c>
      <c r="AN69" s="553"/>
      <c r="AO69" s="553">
        <f t="shared" si="9"/>
        <v>0</v>
      </c>
      <c r="AP69" s="553">
        <f t="shared" si="10"/>
        <v>1324</v>
      </c>
      <c r="AQ69" s="553">
        <f t="shared" si="11"/>
        <v>265065</v>
      </c>
      <c r="AR69" s="628">
        <f>'SAN LUONG'!AU285</f>
        <v>0</v>
      </c>
      <c r="AS69" s="629">
        <f t="shared" si="26"/>
        <v>0</v>
      </c>
      <c r="AT69" s="630">
        <f t="shared" si="27"/>
        <v>0</v>
      </c>
      <c r="AU69" s="628">
        <f t="shared" si="28"/>
        <v>17.079999999999998</v>
      </c>
      <c r="AV69" s="556">
        <f t="shared" si="15"/>
        <v>520065</v>
      </c>
      <c r="AW69" s="630"/>
      <c r="AX69" s="564">
        <f t="shared" si="16"/>
        <v>520065</v>
      </c>
      <c r="AY69" s="565"/>
      <c r="AZ69" s="639">
        <f t="shared" si="17"/>
        <v>16.28</v>
      </c>
      <c r="BA69" s="567"/>
    </row>
    <row r="70" spans="1:53" s="483" customFormat="1" ht="39.6" customHeight="1">
      <c r="A70" s="503">
        <v>61</v>
      </c>
      <c r="B70" s="504">
        <v>10</v>
      </c>
      <c r="C70" s="504">
        <v>404</v>
      </c>
      <c r="D70" s="615"/>
      <c r="E70" s="615"/>
      <c r="F70" s="616"/>
      <c r="G70" s="615" t="str">
        <f>'Tên Tháng 1'!E368</f>
        <v>ប៊ិន ចាន់</v>
      </c>
      <c r="H70" s="615" t="str">
        <f>'Tên Tháng 1'!F368</f>
        <v>BEN CHANN</v>
      </c>
      <c r="I70" s="519" t="str">
        <f>'CHAM CONG'!G376</f>
        <v>x</v>
      </c>
      <c r="J70" s="519" t="str">
        <f>'CHAM CONG'!H376</f>
        <v>x</v>
      </c>
      <c r="K70" s="519" t="str">
        <f>'CHAM CONG'!I376</f>
        <v>x</v>
      </c>
      <c r="L70" s="519">
        <f>'CHAM CONG'!J376</f>
        <v>0</v>
      </c>
      <c r="M70" s="519" t="str">
        <f>'CHAM CONG'!K376</f>
        <v>x</v>
      </c>
      <c r="N70" s="519" t="str">
        <f>'CHAM CONG'!L376</f>
        <v>x</v>
      </c>
      <c r="O70" s="519" t="str">
        <f>'CHAM CONG'!M376</f>
        <v>x</v>
      </c>
      <c r="P70" s="519" t="str">
        <f>'CHAM CONG'!N376</f>
        <v>x</v>
      </c>
      <c r="Q70" s="519" t="str">
        <f>'CHAM CONG'!O376</f>
        <v>x</v>
      </c>
      <c r="R70" s="519" t="str">
        <f>'CHAM CONG'!P376</f>
        <v>x</v>
      </c>
      <c r="S70" s="519" t="str">
        <f>'CHAM CONG'!Q376</f>
        <v>x</v>
      </c>
      <c r="T70" s="519" t="str">
        <f>'CHAM CONG'!R376</f>
        <v>x</v>
      </c>
      <c r="U70" s="519" t="str">
        <f>'CHAM CONG'!S376</f>
        <v>x</v>
      </c>
      <c r="V70" s="519" t="str">
        <f>'CHAM CONG'!T376</f>
        <v>x</v>
      </c>
      <c r="W70" s="519" t="str">
        <f>'CHAM CONG'!U376</f>
        <v>x</v>
      </c>
      <c r="X70" s="519"/>
      <c r="Y70" s="519"/>
      <c r="Z70" s="535">
        <f t="shared" si="2"/>
        <v>14</v>
      </c>
      <c r="AA70" s="536">
        <f t="shared" si="24"/>
        <v>0</v>
      </c>
      <c r="AB70" s="537">
        <f t="shared" si="3"/>
        <v>224000</v>
      </c>
      <c r="AC70" s="537" t="str">
        <f>'CHAM CONG'!V376</f>
        <v>x</v>
      </c>
      <c r="AD70" s="537" t="str">
        <f>'CHAM CONG'!W376</f>
        <v>x</v>
      </c>
      <c r="AE70" s="535">
        <f t="shared" si="4"/>
        <v>2</v>
      </c>
      <c r="AF70" s="537">
        <f t="shared" si="25"/>
        <v>34000</v>
      </c>
      <c r="AG70" s="537">
        <f t="shared" si="6"/>
        <v>14</v>
      </c>
      <c r="AH70" s="537">
        <f t="shared" si="7"/>
        <v>14000</v>
      </c>
      <c r="AI70" s="537">
        <f t="shared" si="8"/>
        <v>272000</v>
      </c>
      <c r="AJ70" s="519">
        <f>'SAN LUONG'!AF377</f>
        <v>258</v>
      </c>
      <c r="AK70" s="519">
        <f>'SAN LUONG'!AG377</f>
        <v>271</v>
      </c>
      <c r="AL70" s="519">
        <f>'SAN LUONG'!AH377</f>
        <v>472</v>
      </c>
      <c r="AM70" s="519">
        <f>'SAN LUONG'!AI377</f>
        <v>355</v>
      </c>
      <c r="AN70" s="553"/>
      <c r="AO70" s="553">
        <f t="shared" si="9"/>
        <v>0</v>
      </c>
      <c r="AP70" s="553">
        <f t="shared" si="10"/>
        <v>1356</v>
      </c>
      <c r="AQ70" s="553">
        <f t="shared" si="11"/>
        <v>271471</v>
      </c>
      <c r="AR70" s="628">
        <f>'SAN LUONG'!AU286</f>
        <v>0</v>
      </c>
      <c r="AS70" s="629">
        <f t="shared" si="26"/>
        <v>0</v>
      </c>
      <c r="AT70" s="630">
        <f t="shared" si="27"/>
        <v>0</v>
      </c>
      <c r="AU70" s="628">
        <f t="shared" si="28"/>
        <v>17.84</v>
      </c>
      <c r="AV70" s="556">
        <f t="shared" si="15"/>
        <v>543471</v>
      </c>
      <c r="AW70" s="630"/>
      <c r="AX70" s="564">
        <f t="shared" si="16"/>
        <v>543471</v>
      </c>
      <c r="AY70" s="565"/>
      <c r="AZ70" s="639">
        <f t="shared" si="17"/>
        <v>17.010000000000002</v>
      </c>
      <c r="BA70" s="567"/>
    </row>
    <row r="71" spans="1:53" s="483" customFormat="1" ht="39.6" customHeight="1">
      <c r="A71" s="503">
        <v>62</v>
      </c>
      <c r="B71" s="504">
        <v>10</v>
      </c>
      <c r="C71" s="504">
        <v>405</v>
      </c>
      <c r="D71" s="615"/>
      <c r="E71" s="615"/>
      <c r="F71" s="616"/>
      <c r="G71" s="615" t="str">
        <f>'Tên Tháng 1'!E369</f>
        <v>ធាន ថេង</v>
      </c>
      <c r="H71" s="615" t="str">
        <f>'Tên Tháng 1'!F369</f>
        <v>THEAN THENG</v>
      </c>
      <c r="I71" s="519" t="str">
        <f>'CHAM CONG'!G377</f>
        <v>x</v>
      </c>
      <c r="J71" s="519" t="str">
        <f>'CHAM CONG'!H377</f>
        <v>x</v>
      </c>
      <c r="K71" s="519">
        <f>'CHAM CONG'!I377</f>
        <v>0</v>
      </c>
      <c r="L71" s="519">
        <f>'CHAM CONG'!J377</f>
        <v>0</v>
      </c>
      <c r="M71" s="519" t="str">
        <f>'CHAM CONG'!K377</f>
        <v>x</v>
      </c>
      <c r="N71" s="519" t="str">
        <f>'CHAM CONG'!L377</f>
        <v>x</v>
      </c>
      <c r="O71" s="519" t="str">
        <f>'CHAM CONG'!M377</f>
        <v>x</v>
      </c>
      <c r="P71" s="519" t="str">
        <f>'CHAM CONG'!N377</f>
        <v>x</v>
      </c>
      <c r="Q71" s="519" t="str">
        <f>'CHAM CONG'!O377</f>
        <v>x</v>
      </c>
      <c r="R71" s="519">
        <f>'CHAM CONG'!P377</f>
        <v>0</v>
      </c>
      <c r="S71" s="519" t="str">
        <f>'CHAM CONG'!Q377</f>
        <v>x</v>
      </c>
      <c r="T71" s="519" t="str">
        <f>'CHAM CONG'!R377</f>
        <v>x</v>
      </c>
      <c r="U71" s="519" t="str">
        <f>'CHAM CONG'!S377</f>
        <v>x</v>
      </c>
      <c r="V71" s="519" t="str">
        <f>'CHAM CONG'!T377</f>
        <v>x</v>
      </c>
      <c r="W71" s="519" t="str">
        <f>'CHAM CONG'!U377</f>
        <v>x</v>
      </c>
      <c r="X71" s="519"/>
      <c r="Y71" s="519"/>
      <c r="Z71" s="535">
        <f t="shared" si="2"/>
        <v>12</v>
      </c>
      <c r="AA71" s="536">
        <f t="shared" si="24"/>
        <v>0</v>
      </c>
      <c r="AB71" s="537">
        <f t="shared" si="3"/>
        <v>192000</v>
      </c>
      <c r="AC71" s="537">
        <f>'CHAM CONG'!V377</f>
        <v>0</v>
      </c>
      <c r="AD71" s="537">
        <f>'CHAM CONG'!W377</f>
        <v>0</v>
      </c>
      <c r="AE71" s="535">
        <f t="shared" si="4"/>
        <v>0</v>
      </c>
      <c r="AF71" s="537">
        <f t="shared" si="25"/>
        <v>0</v>
      </c>
      <c r="AG71" s="537">
        <f t="shared" si="6"/>
        <v>12</v>
      </c>
      <c r="AH71" s="537">
        <f t="shared" si="7"/>
        <v>12000</v>
      </c>
      <c r="AI71" s="537">
        <f t="shared" si="8"/>
        <v>204000</v>
      </c>
      <c r="AJ71" s="519">
        <f>'SAN LUONG'!AF378</f>
        <v>133</v>
      </c>
      <c r="AK71" s="519">
        <f>'SAN LUONG'!AG378</f>
        <v>175</v>
      </c>
      <c r="AL71" s="519">
        <f>'SAN LUONG'!AH378</f>
        <v>267</v>
      </c>
      <c r="AM71" s="519">
        <f>'SAN LUONG'!AI378</f>
        <v>427</v>
      </c>
      <c r="AN71" s="553"/>
      <c r="AO71" s="553">
        <f t="shared" si="9"/>
        <v>0</v>
      </c>
      <c r="AP71" s="553">
        <f t="shared" si="10"/>
        <v>1002</v>
      </c>
      <c r="AQ71" s="553">
        <f t="shared" si="11"/>
        <v>200600</v>
      </c>
      <c r="AR71" s="628">
        <f>'SAN LUONG'!AU287</f>
        <v>0</v>
      </c>
      <c r="AS71" s="629">
        <f t="shared" si="26"/>
        <v>0</v>
      </c>
      <c r="AT71" s="630">
        <f t="shared" si="27"/>
        <v>0</v>
      </c>
      <c r="AU71" s="628">
        <f t="shared" si="28"/>
        <v>13.28</v>
      </c>
      <c r="AV71" s="556">
        <f t="shared" si="15"/>
        <v>404600</v>
      </c>
      <c r="AW71" s="630"/>
      <c r="AX71" s="564">
        <f t="shared" si="16"/>
        <v>404600</v>
      </c>
      <c r="AY71" s="565"/>
      <c r="AZ71" s="639">
        <f t="shared" si="17"/>
        <v>12.66</v>
      </c>
      <c r="BA71" s="567"/>
    </row>
    <row r="72" spans="1:53" s="483" customFormat="1" ht="39.6" customHeight="1">
      <c r="A72" s="503">
        <v>63</v>
      </c>
      <c r="B72" s="504">
        <v>10</v>
      </c>
      <c r="C72" s="504">
        <v>406</v>
      </c>
      <c r="D72" s="615"/>
      <c r="E72" s="615"/>
      <c r="F72" s="616"/>
      <c r="G72" s="615" t="str">
        <f>'Tên Tháng 1'!E370</f>
        <v>ហ៊ន់ ហ៊ីម</v>
      </c>
      <c r="H72" s="615" t="str">
        <f>'Tên Tháng 1'!F370</f>
        <v>HOUN HIM</v>
      </c>
      <c r="I72" s="519" t="str">
        <f>'CHAM CONG'!G378</f>
        <v>x</v>
      </c>
      <c r="J72" s="519" t="str">
        <f>'CHAM CONG'!H378</f>
        <v>x</v>
      </c>
      <c r="K72" s="519" t="str">
        <f>'CHAM CONG'!I378</f>
        <v>x</v>
      </c>
      <c r="L72" s="519" t="str">
        <f>'CHAM CONG'!J378</f>
        <v>x</v>
      </c>
      <c r="M72" s="519" t="str">
        <f>'CHAM CONG'!K378</f>
        <v>x</v>
      </c>
      <c r="N72" s="519" t="str">
        <f>'CHAM CONG'!L378</f>
        <v>x</v>
      </c>
      <c r="O72" s="519" t="str">
        <f>'CHAM CONG'!M378</f>
        <v>x</v>
      </c>
      <c r="P72" s="519" t="str">
        <f>'CHAM CONG'!N378</f>
        <v>x</v>
      </c>
      <c r="Q72" s="519" t="str">
        <f>'CHAM CONG'!O378</f>
        <v>x</v>
      </c>
      <c r="R72" s="519" t="str">
        <f>'CHAM CONG'!P378</f>
        <v>x</v>
      </c>
      <c r="S72" s="519" t="str">
        <f>'CHAM CONG'!Q378</f>
        <v>x</v>
      </c>
      <c r="T72" s="519" t="str">
        <f>'CHAM CONG'!R378</f>
        <v>x</v>
      </c>
      <c r="U72" s="519" t="str">
        <f>'CHAM CONG'!S378</f>
        <v>x</v>
      </c>
      <c r="V72" s="519" t="str">
        <f>'CHAM CONG'!T378</f>
        <v>x</v>
      </c>
      <c r="W72" s="519" t="str">
        <f>'CHAM CONG'!U378</f>
        <v>x</v>
      </c>
      <c r="X72" s="519"/>
      <c r="Y72" s="519"/>
      <c r="Z72" s="535">
        <f t="shared" si="2"/>
        <v>15</v>
      </c>
      <c r="AA72" s="536">
        <f t="shared" si="24"/>
        <v>0</v>
      </c>
      <c r="AB72" s="537">
        <f t="shared" si="3"/>
        <v>240000</v>
      </c>
      <c r="AC72" s="537" t="str">
        <f>'CHAM CONG'!V378</f>
        <v>x</v>
      </c>
      <c r="AD72" s="537" t="str">
        <f>'CHAM CONG'!W378</f>
        <v>x</v>
      </c>
      <c r="AE72" s="535">
        <f t="shared" si="4"/>
        <v>2</v>
      </c>
      <c r="AF72" s="537">
        <f t="shared" si="25"/>
        <v>34000</v>
      </c>
      <c r="AG72" s="537">
        <f t="shared" si="6"/>
        <v>15</v>
      </c>
      <c r="AH72" s="537">
        <f t="shared" si="7"/>
        <v>15000</v>
      </c>
      <c r="AI72" s="537">
        <f t="shared" si="8"/>
        <v>289000</v>
      </c>
      <c r="AJ72" s="519">
        <f>'SAN LUONG'!AF379</f>
        <v>203</v>
      </c>
      <c r="AK72" s="519">
        <f>'SAN LUONG'!AG379</f>
        <v>296</v>
      </c>
      <c r="AL72" s="519">
        <f>'SAN LUONG'!AH379</f>
        <v>441</v>
      </c>
      <c r="AM72" s="519">
        <f>'SAN LUONG'!AI379</f>
        <v>624</v>
      </c>
      <c r="AN72" s="553"/>
      <c r="AO72" s="553">
        <f t="shared" si="9"/>
        <v>0</v>
      </c>
      <c r="AP72" s="553">
        <f t="shared" si="10"/>
        <v>1564</v>
      </c>
      <c r="AQ72" s="553">
        <f t="shared" si="11"/>
        <v>313113</v>
      </c>
      <c r="AR72" s="628">
        <f>'SAN LUONG'!AU288</f>
        <v>0</v>
      </c>
      <c r="AS72" s="629">
        <f t="shared" si="26"/>
        <v>0</v>
      </c>
      <c r="AT72" s="630">
        <f t="shared" si="27"/>
        <v>0</v>
      </c>
      <c r="AU72" s="628">
        <f t="shared" si="28"/>
        <v>19.77</v>
      </c>
      <c r="AV72" s="556">
        <f t="shared" si="15"/>
        <v>602113</v>
      </c>
      <c r="AW72" s="630"/>
      <c r="AX72" s="564">
        <f t="shared" si="16"/>
        <v>602113</v>
      </c>
      <c r="AY72" s="565"/>
      <c r="AZ72" s="639">
        <f t="shared" si="17"/>
        <v>18.850000000000001</v>
      </c>
      <c r="BA72" s="567"/>
    </row>
    <row r="73" spans="1:53" s="483" customFormat="1" ht="39.6" customHeight="1">
      <c r="A73" s="503">
        <v>64</v>
      </c>
      <c r="B73" s="504">
        <v>10</v>
      </c>
      <c r="C73" s="504">
        <v>407</v>
      </c>
      <c r="D73" s="615"/>
      <c r="E73" s="615"/>
      <c r="F73" s="616"/>
      <c r="G73" s="615" t="str">
        <f>'Tên Tháng 1'!E371</f>
        <v>ឈុន សុឃីម</v>
      </c>
      <c r="H73" s="615" t="str">
        <f>'Tên Tháng 1'!F371</f>
        <v>CHHUN SOKHIM</v>
      </c>
      <c r="I73" s="519" t="str">
        <f>'CHAM CONG'!G379</f>
        <v>x</v>
      </c>
      <c r="J73" s="519" t="str">
        <f>'CHAM CONG'!H379</f>
        <v>x</v>
      </c>
      <c r="K73" s="519" t="str">
        <f>'CHAM CONG'!I379</f>
        <v>x</v>
      </c>
      <c r="L73" s="519">
        <f>'CHAM CONG'!J379</f>
        <v>0</v>
      </c>
      <c r="M73" s="519">
        <f>'CHAM CONG'!K379</f>
        <v>0</v>
      </c>
      <c r="N73" s="519" t="str">
        <f>'CHAM CONG'!L379</f>
        <v>x</v>
      </c>
      <c r="O73" s="519" t="str">
        <f>'CHAM CONG'!M379</f>
        <v>x</v>
      </c>
      <c r="P73" s="519" t="str">
        <f>'CHAM CONG'!N379</f>
        <v>x</v>
      </c>
      <c r="Q73" s="519" t="str">
        <f>'CHAM CONG'!O379</f>
        <v>x</v>
      </c>
      <c r="R73" s="519" t="str">
        <f>'CHAM CONG'!P379</f>
        <v>x</v>
      </c>
      <c r="S73" s="519" t="str">
        <f>'CHAM CONG'!Q379</f>
        <v>x</v>
      </c>
      <c r="T73" s="519" t="str">
        <f>'CHAM CONG'!R379</f>
        <v>x</v>
      </c>
      <c r="U73" s="519" t="str">
        <f>'CHAM CONG'!S379</f>
        <v>x</v>
      </c>
      <c r="V73" s="519" t="str">
        <f>'CHAM CONG'!T379</f>
        <v>x</v>
      </c>
      <c r="W73" s="519" t="str">
        <f>'CHAM CONG'!U379</f>
        <v>x</v>
      </c>
      <c r="X73" s="519"/>
      <c r="Y73" s="519"/>
      <c r="Z73" s="535">
        <f t="shared" si="2"/>
        <v>13</v>
      </c>
      <c r="AA73" s="536">
        <f t="shared" si="24"/>
        <v>0</v>
      </c>
      <c r="AB73" s="537">
        <f t="shared" si="3"/>
        <v>208000</v>
      </c>
      <c r="AC73" s="537" t="str">
        <f>'CHAM CONG'!V379</f>
        <v>x</v>
      </c>
      <c r="AD73" s="537" t="str">
        <f>'CHAM CONG'!W379</f>
        <v>x</v>
      </c>
      <c r="AE73" s="535">
        <f t="shared" si="4"/>
        <v>2</v>
      </c>
      <c r="AF73" s="537">
        <f t="shared" si="25"/>
        <v>34000</v>
      </c>
      <c r="AG73" s="537">
        <f t="shared" si="6"/>
        <v>13</v>
      </c>
      <c r="AH73" s="537">
        <f t="shared" si="7"/>
        <v>13000</v>
      </c>
      <c r="AI73" s="537">
        <f t="shared" si="8"/>
        <v>255000</v>
      </c>
      <c r="AJ73" s="519">
        <f>'SAN LUONG'!AF380</f>
        <v>156</v>
      </c>
      <c r="AK73" s="519">
        <f>'SAN LUONG'!AG380</f>
        <v>258</v>
      </c>
      <c r="AL73" s="519">
        <f>'SAN LUONG'!AH380</f>
        <v>451</v>
      </c>
      <c r="AM73" s="519">
        <f>'SAN LUONG'!AI380</f>
        <v>404</v>
      </c>
      <c r="AN73" s="553"/>
      <c r="AO73" s="553">
        <f t="shared" si="9"/>
        <v>0</v>
      </c>
      <c r="AP73" s="553">
        <f t="shared" si="10"/>
        <v>1269</v>
      </c>
      <c r="AQ73" s="553">
        <f t="shared" si="11"/>
        <v>254054</v>
      </c>
      <c r="AR73" s="628">
        <f>'SAN LUONG'!AU289</f>
        <v>0</v>
      </c>
      <c r="AS73" s="629">
        <f t="shared" si="26"/>
        <v>0</v>
      </c>
      <c r="AT73" s="630">
        <f t="shared" si="27"/>
        <v>0</v>
      </c>
      <c r="AU73" s="628">
        <f t="shared" si="28"/>
        <v>16.71</v>
      </c>
      <c r="AV73" s="556">
        <f t="shared" si="15"/>
        <v>509054</v>
      </c>
      <c r="AW73" s="630"/>
      <c r="AX73" s="564">
        <f t="shared" si="16"/>
        <v>509054</v>
      </c>
      <c r="AY73" s="565"/>
      <c r="AZ73" s="639">
        <f t="shared" si="17"/>
        <v>15.93</v>
      </c>
      <c r="BA73" s="567"/>
    </row>
    <row r="74" spans="1:53" s="483" customFormat="1" ht="39.6" customHeight="1">
      <c r="A74" s="503">
        <v>65</v>
      </c>
      <c r="B74" s="504">
        <v>10</v>
      </c>
      <c r="C74" s="504">
        <v>408</v>
      </c>
      <c r="D74" s="615"/>
      <c r="E74" s="615"/>
      <c r="F74" s="616"/>
      <c r="G74" s="615" t="str">
        <f>'Tên Tháng 1'!E372</f>
        <v>អ៊ី​ សុខេង</v>
      </c>
      <c r="H74" s="615" t="str">
        <f>'Tên Tháng 1'!F372</f>
        <v>IY SOHKENG</v>
      </c>
      <c r="I74" s="519" t="str">
        <f>'CHAM CONG'!G380</f>
        <v>x</v>
      </c>
      <c r="J74" s="519" t="str">
        <f>'CHAM CONG'!H380</f>
        <v>x</v>
      </c>
      <c r="K74" s="519" t="str">
        <f>'CHAM CONG'!I380</f>
        <v>x</v>
      </c>
      <c r="L74" s="519">
        <f>'CHAM CONG'!J380</f>
        <v>0</v>
      </c>
      <c r="M74" s="519">
        <f>'CHAM CONG'!K380</f>
        <v>0</v>
      </c>
      <c r="N74" s="519" t="str">
        <f>'CHAM CONG'!L380</f>
        <v>x</v>
      </c>
      <c r="O74" s="519" t="str">
        <f>'CHAM CONG'!M380</f>
        <v>x</v>
      </c>
      <c r="P74" s="519" t="str">
        <f>'CHAM CONG'!N380</f>
        <v>x</v>
      </c>
      <c r="Q74" s="519" t="str">
        <f>'CHAM CONG'!O380</f>
        <v>x</v>
      </c>
      <c r="R74" s="519" t="str">
        <f>'CHAM CONG'!P380</f>
        <v>x</v>
      </c>
      <c r="S74" s="519" t="str">
        <f>'CHAM CONG'!Q380</f>
        <v>x</v>
      </c>
      <c r="T74" s="519" t="str">
        <f>'CHAM CONG'!R380</f>
        <v>x</v>
      </c>
      <c r="U74" s="519" t="str">
        <f>'CHAM CONG'!S380</f>
        <v>x</v>
      </c>
      <c r="V74" s="519" t="str">
        <f>'CHAM CONG'!T380</f>
        <v>x</v>
      </c>
      <c r="W74" s="519" t="str">
        <f>'CHAM CONG'!U380</f>
        <v>x</v>
      </c>
      <c r="X74" s="519"/>
      <c r="Y74" s="519"/>
      <c r="Z74" s="535">
        <f t="shared" si="2"/>
        <v>13</v>
      </c>
      <c r="AA74" s="536">
        <f t="shared" si="24"/>
        <v>0</v>
      </c>
      <c r="AB74" s="537">
        <f t="shared" si="3"/>
        <v>208000</v>
      </c>
      <c r="AC74" s="537" t="str">
        <f>'CHAM CONG'!V380</f>
        <v>x</v>
      </c>
      <c r="AD74" s="537" t="str">
        <f>'CHAM CONG'!W380</f>
        <v>x</v>
      </c>
      <c r="AE74" s="535">
        <f t="shared" si="4"/>
        <v>2</v>
      </c>
      <c r="AF74" s="537">
        <f t="shared" si="25"/>
        <v>34000</v>
      </c>
      <c r="AG74" s="537">
        <f t="shared" si="6"/>
        <v>13</v>
      </c>
      <c r="AH74" s="537">
        <f t="shared" si="7"/>
        <v>13000</v>
      </c>
      <c r="AI74" s="537">
        <f t="shared" si="8"/>
        <v>255000</v>
      </c>
      <c r="AJ74" s="519">
        <f>'SAN LUONG'!AF381</f>
        <v>169</v>
      </c>
      <c r="AK74" s="519">
        <f>'SAN LUONG'!AG381</f>
        <v>251</v>
      </c>
      <c r="AL74" s="519">
        <f>'SAN LUONG'!AH381</f>
        <v>394</v>
      </c>
      <c r="AM74" s="519">
        <f>'SAN LUONG'!AI381</f>
        <v>442</v>
      </c>
      <c r="AN74" s="553"/>
      <c r="AO74" s="553">
        <f t="shared" si="9"/>
        <v>0</v>
      </c>
      <c r="AP74" s="553">
        <f t="shared" si="10"/>
        <v>1256</v>
      </c>
      <c r="AQ74" s="553">
        <f t="shared" si="11"/>
        <v>251451</v>
      </c>
      <c r="AR74" s="628">
        <f>'SAN LUONG'!AU290</f>
        <v>0</v>
      </c>
      <c r="AS74" s="629">
        <f t="shared" si="26"/>
        <v>0</v>
      </c>
      <c r="AT74" s="630">
        <f t="shared" si="27"/>
        <v>0</v>
      </c>
      <c r="AU74" s="628">
        <f t="shared" si="28"/>
        <v>16.63</v>
      </c>
      <c r="AV74" s="556">
        <f t="shared" si="15"/>
        <v>506451</v>
      </c>
      <c r="AW74" s="630"/>
      <c r="AX74" s="564">
        <f t="shared" si="16"/>
        <v>506451</v>
      </c>
      <c r="AY74" s="565"/>
      <c r="AZ74" s="639">
        <f t="shared" si="17"/>
        <v>15.85</v>
      </c>
      <c r="BA74" s="567"/>
    </row>
    <row r="75" spans="1:53" s="483" customFormat="1" ht="39.6" customHeight="1">
      <c r="A75" s="503">
        <v>66</v>
      </c>
      <c r="B75" s="504">
        <v>10</v>
      </c>
      <c r="C75" s="504">
        <v>409</v>
      </c>
      <c r="D75" s="615"/>
      <c r="E75" s="615"/>
      <c r="F75" s="616"/>
      <c r="G75" s="615" t="str">
        <f>'Tên Tháng 1'!E373</f>
        <v>អ៊ាង ផាត</v>
      </c>
      <c r="H75" s="615" t="str">
        <f>'Tên Tháng 1'!F373</f>
        <v>IENG PHAT</v>
      </c>
      <c r="I75" s="519" t="str">
        <f>'CHAM CONG'!G381</f>
        <v>x</v>
      </c>
      <c r="J75" s="519" t="str">
        <f>'CHAM CONG'!H381</f>
        <v>x</v>
      </c>
      <c r="K75" s="519" t="str">
        <f>'CHAM CONG'!I381</f>
        <v>x</v>
      </c>
      <c r="L75" s="519">
        <f>'CHAM CONG'!J381</f>
        <v>0</v>
      </c>
      <c r="M75" s="519" t="str">
        <f>'CHAM CONG'!K381</f>
        <v>x</v>
      </c>
      <c r="N75" s="519" t="str">
        <f>'CHAM CONG'!L381</f>
        <v>x</v>
      </c>
      <c r="O75" s="519" t="str">
        <f>'CHAM CONG'!M381</f>
        <v>x</v>
      </c>
      <c r="P75" s="519" t="str">
        <f>'CHAM CONG'!N381</f>
        <v>x</v>
      </c>
      <c r="Q75" s="519" t="str">
        <f>'CHAM CONG'!O381</f>
        <v>x</v>
      </c>
      <c r="R75" s="519" t="str">
        <f>'CHAM CONG'!P381</f>
        <v>x</v>
      </c>
      <c r="S75" s="519" t="str">
        <f>'CHAM CONG'!Q381</f>
        <v>x</v>
      </c>
      <c r="T75" s="519" t="str">
        <f>'CHAM CONG'!R381</f>
        <v>x</v>
      </c>
      <c r="U75" s="519" t="str">
        <f>'CHAM CONG'!S381</f>
        <v>x</v>
      </c>
      <c r="V75" s="519" t="str">
        <f>'CHAM CONG'!T381</f>
        <v>x</v>
      </c>
      <c r="W75" s="519" t="str">
        <f>'CHAM CONG'!U381</f>
        <v>x</v>
      </c>
      <c r="X75" s="519"/>
      <c r="Y75" s="519"/>
      <c r="Z75" s="535">
        <f t="shared" ref="Z75:Z93" si="29">COUNTIF(I75:W75,"X")</f>
        <v>14</v>
      </c>
      <c r="AA75" s="536">
        <f t="shared" si="24"/>
        <v>0</v>
      </c>
      <c r="AB75" s="537">
        <f t="shared" ref="AB75:AB93" si="30">ROUND(Z75*$AB$8,0)</f>
        <v>224000</v>
      </c>
      <c r="AC75" s="537" t="str">
        <f>'CHAM CONG'!V381</f>
        <v>x</v>
      </c>
      <c r="AD75" s="537" t="str">
        <f>'CHAM CONG'!W381</f>
        <v>x</v>
      </c>
      <c r="AE75" s="535">
        <f t="shared" ref="AE75:AE93" si="31">COUNTIF(AC75:AD75,"X")</f>
        <v>2</v>
      </c>
      <c r="AF75" s="537">
        <f t="shared" si="25"/>
        <v>34000</v>
      </c>
      <c r="AG75" s="537">
        <f t="shared" ref="AG75:AG93" si="32">Z75</f>
        <v>14</v>
      </c>
      <c r="AH75" s="537">
        <f t="shared" ref="AH75:AH93" si="33">ROUND(AG75*$AH$8,0)</f>
        <v>14000</v>
      </c>
      <c r="AI75" s="537">
        <f t="shared" ref="AI75:AI93" si="34">AB75+AH75+AF75</f>
        <v>272000</v>
      </c>
      <c r="AJ75" s="519">
        <f>'SAN LUONG'!AF382</f>
        <v>127</v>
      </c>
      <c r="AK75" s="519">
        <f>'SAN LUONG'!AG382</f>
        <v>131</v>
      </c>
      <c r="AL75" s="519">
        <f>'SAN LUONG'!AH382</f>
        <v>243</v>
      </c>
      <c r="AM75" s="519">
        <f>'SAN LUONG'!AI382</f>
        <v>318</v>
      </c>
      <c r="AN75" s="553"/>
      <c r="AO75" s="553">
        <f t="shared" ref="AO75:AO93" si="35">ROUND(AN75*0.44*$AO$8,0)</f>
        <v>0</v>
      </c>
      <c r="AP75" s="553">
        <f t="shared" ref="AP75:AP93" si="36">SUM(AJ75:AM75)-AN75</f>
        <v>819</v>
      </c>
      <c r="AQ75" s="553">
        <f t="shared" ref="AQ75:AQ93" si="37">ROUND(AP75*0.44*$AQ$8,0)</f>
        <v>163964</v>
      </c>
      <c r="AR75" s="628">
        <f>'SAN LUONG'!AU291</f>
        <v>0</v>
      </c>
      <c r="AS75" s="629">
        <f t="shared" si="26"/>
        <v>0</v>
      </c>
      <c r="AT75" s="630">
        <f t="shared" si="27"/>
        <v>0</v>
      </c>
      <c r="AU75" s="628">
        <f t="shared" si="28"/>
        <v>14.31</v>
      </c>
      <c r="AV75" s="556">
        <f t="shared" ref="AV75:AV93" si="38">AI75+AQ75+AO75</f>
        <v>435964</v>
      </c>
      <c r="AW75" s="630"/>
      <c r="AX75" s="564">
        <f t="shared" ref="AX75:AX93" si="39">AV75</f>
        <v>435964</v>
      </c>
      <c r="AY75" s="565"/>
      <c r="AZ75" s="639">
        <f t="shared" ref="AZ75:AZ93" si="40">ROUND(AX75/31947,2)</f>
        <v>13.65</v>
      </c>
      <c r="BA75" s="567"/>
    </row>
    <row r="76" spans="1:53" s="483" customFormat="1" ht="39.6" customHeight="1">
      <c r="A76" s="503">
        <v>67</v>
      </c>
      <c r="B76" s="504">
        <v>10</v>
      </c>
      <c r="C76" s="504">
        <v>410</v>
      </c>
      <c r="D76" s="615"/>
      <c r="E76" s="615"/>
      <c r="F76" s="616"/>
      <c r="G76" s="615" t="str">
        <f>'Tên Tháng 1'!E374</f>
        <v>ហ៊ន់ ស្រីហ៊ាង</v>
      </c>
      <c r="H76" s="615" t="str">
        <f>'Tên Tháng 1'!F374</f>
        <v>HORN SREYHEANG</v>
      </c>
      <c r="I76" s="519" t="str">
        <f>'CHAM CONG'!G382</f>
        <v>x</v>
      </c>
      <c r="J76" s="519" t="str">
        <f>'CHAM CONG'!H382</f>
        <v>x</v>
      </c>
      <c r="K76" s="519" t="str">
        <f>'CHAM CONG'!I382</f>
        <v>x</v>
      </c>
      <c r="L76" s="519">
        <f>'CHAM CONG'!J382</f>
        <v>0</v>
      </c>
      <c r="M76" s="519" t="str">
        <f>'CHAM CONG'!K382</f>
        <v>x</v>
      </c>
      <c r="N76" s="519" t="str">
        <f>'CHAM CONG'!L382</f>
        <v>x</v>
      </c>
      <c r="O76" s="519" t="str">
        <f>'CHAM CONG'!M382</f>
        <v>x</v>
      </c>
      <c r="P76" s="519" t="str">
        <f>'CHAM CONG'!N382</f>
        <v>x</v>
      </c>
      <c r="Q76" s="519" t="str">
        <f>'CHAM CONG'!O382</f>
        <v>x</v>
      </c>
      <c r="R76" s="519" t="str">
        <f>'CHAM CONG'!P382</f>
        <v>x</v>
      </c>
      <c r="S76" s="519" t="str">
        <f>'CHAM CONG'!Q382</f>
        <v>x</v>
      </c>
      <c r="T76" s="519" t="str">
        <f>'CHAM CONG'!R382</f>
        <v>x</v>
      </c>
      <c r="U76" s="519" t="str">
        <f>'CHAM CONG'!S382</f>
        <v>x</v>
      </c>
      <c r="V76" s="519" t="str">
        <f>'CHAM CONG'!T382</f>
        <v>x</v>
      </c>
      <c r="W76" s="519" t="str">
        <f>'CHAM CONG'!U382</f>
        <v>x</v>
      </c>
      <c r="X76" s="519"/>
      <c r="Y76" s="519"/>
      <c r="Z76" s="535">
        <f t="shared" si="29"/>
        <v>14</v>
      </c>
      <c r="AA76" s="536">
        <f t="shared" si="24"/>
        <v>0</v>
      </c>
      <c r="AB76" s="537">
        <f t="shared" si="30"/>
        <v>224000</v>
      </c>
      <c r="AC76" s="537" t="str">
        <f>'CHAM CONG'!V382</f>
        <v>x</v>
      </c>
      <c r="AD76" s="537" t="str">
        <f>'CHAM CONG'!W382</f>
        <v>x</v>
      </c>
      <c r="AE76" s="535">
        <f t="shared" si="31"/>
        <v>2</v>
      </c>
      <c r="AF76" s="537">
        <f t="shared" si="25"/>
        <v>34000</v>
      </c>
      <c r="AG76" s="537">
        <f t="shared" si="32"/>
        <v>14</v>
      </c>
      <c r="AH76" s="537">
        <f t="shared" si="33"/>
        <v>14000</v>
      </c>
      <c r="AI76" s="537">
        <f t="shared" si="34"/>
        <v>272000</v>
      </c>
      <c r="AJ76" s="519">
        <f>'SAN LUONG'!AF383</f>
        <v>124</v>
      </c>
      <c r="AK76" s="519">
        <f>'SAN LUONG'!AG383</f>
        <v>110</v>
      </c>
      <c r="AL76" s="519">
        <f>'SAN LUONG'!AH383</f>
        <v>102</v>
      </c>
      <c r="AM76" s="519">
        <f>'SAN LUONG'!AI383</f>
        <v>450</v>
      </c>
      <c r="AN76" s="553"/>
      <c r="AO76" s="553">
        <f t="shared" si="35"/>
        <v>0</v>
      </c>
      <c r="AP76" s="553">
        <f t="shared" si="36"/>
        <v>786</v>
      </c>
      <c r="AQ76" s="553">
        <f t="shared" si="37"/>
        <v>157357</v>
      </c>
      <c r="AR76" s="628">
        <f>'SAN LUONG'!AU292</f>
        <v>0</v>
      </c>
      <c r="AS76" s="629">
        <f t="shared" si="26"/>
        <v>0</v>
      </c>
      <c r="AT76" s="630">
        <f t="shared" si="27"/>
        <v>0</v>
      </c>
      <c r="AU76" s="628">
        <f t="shared" si="28"/>
        <v>14.1</v>
      </c>
      <c r="AV76" s="556">
        <f t="shared" si="38"/>
        <v>429357</v>
      </c>
      <c r="AW76" s="630"/>
      <c r="AX76" s="564">
        <f t="shared" si="39"/>
        <v>429357</v>
      </c>
      <c r="AY76" s="565"/>
      <c r="AZ76" s="639">
        <f t="shared" si="40"/>
        <v>13.44</v>
      </c>
      <c r="BA76" s="567"/>
    </row>
    <row r="77" spans="1:53" s="483" customFormat="1" ht="39.6" customHeight="1">
      <c r="A77" s="503">
        <v>68</v>
      </c>
      <c r="B77" s="504">
        <v>10</v>
      </c>
      <c r="C77" s="504">
        <v>411</v>
      </c>
      <c r="D77" s="615"/>
      <c r="E77" s="615"/>
      <c r="F77" s="616"/>
      <c r="G77" s="615" t="str">
        <f>'Tên Tháng 1'!E375</f>
        <v>ត្រុច ចិត្រ្តា</v>
      </c>
      <c r="H77" s="615" t="str">
        <f>'Tên Tháng 1'!F375</f>
        <v>TROCH CHET TRA</v>
      </c>
      <c r="I77" s="519" t="str">
        <f>'CHAM CONG'!G383</f>
        <v>x</v>
      </c>
      <c r="J77" s="519" t="str">
        <f>'CHAM CONG'!H383</f>
        <v>x</v>
      </c>
      <c r="K77" s="519" t="str">
        <f>'CHAM CONG'!I383</f>
        <v>x</v>
      </c>
      <c r="L77" s="519">
        <f>'CHAM CONG'!J383</f>
        <v>0</v>
      </c>
      <c r="M77" s="519" t="str">
        <f>'CHAM CONG'!K383</f>
        <v>x</v>
      </c>
      <c r="N77" s="519" t="str">
        <f>'CHAM CONG'!L383</f>
        <v>x</v>
      </c>
      <c r="O77" s="519" t="str">
        <f>'CHAM CONG'!M383</f>
        <v>x</v>
      </c>
      <c r="P77" s="519" t="str">
        <f>'CHAM CONG'!N383</f>
        <v>x</v>
      </c>
      <c r="Q77" s="519" t="str">
        <f>'CHAM CONG'!O383</f>
        <v>x</v>
      </c>
      <c r="R77" s="519" t="str">
        <f>'CHAM CONG'!P383</f>
        <v>x</v>
      </c>
      <c r="S77" s="519" t="str">
        <f>'CHAM CONG'!Q383</f>
        <v>x</v>
      </c>
      <c r="T77" s="519" t="str">
        <f>'CHAM CONG'!R383</f>
        <v>x</v>
      </c>
      <c r="U77" s="519" t="str">
        <f>'CHAM CONG'!S383</f>
        <v>x</v>
      </c>
      <c r="V77" s="519" t="str">
        <f>'CHAM CONG'!T383</f>
        <v>x</v>
      </c>
      <c r="W77" s="519" t="str">
        <f>'CHAM CONG'!U383</f>
        <v>x</v>
      </c>
      <c r="X77" s="519"/>
      <c r="Y77" s="519"/>
      <c r="Z77" s="535">
        <f t="shared" si="29"/>
        <v>14</v>
      </c>
      <c r="AA77" s="536">
        <f t="shared" si="24"/>
        <v>0</v>
      </c>
      <c r="AB77" s="537">
        <f t="shared" si="30"/>
        <v>224000</v>
      </c>
      <c r="AC77" s="537">
        <f>'CHAM CONG'!V383</f>
        <v>0</v>
      </c>
      <c r="AD77" s="537">
        <f>'CHAM CONG'!W383</f>
        <v>0</v>
      </c>
      <c r="AE77" s="535">
        <f t="shared" si="31"/>
        <v>0</v>
      </c>
      <c r="AF77" s="537">
        <f t="shared" si="25"/>
        <v>0</v>
      </c>
      <c r="AG77" s="537">
        <f t="shared" si="32"/>
        <v>14</v>
      </c>
      <c r="AH77" s="537">
        <f t="shared" si="33"/>
        <v>14000</v>
      </c>
      <c r="AI77" s="537">
        <f t="shared" si="34"/>
        <v>238000</v>
      </c>
      <c r="AJ77" s="519">
        <f>'SAN LUONG'!AF384</f>
        <v>90</v>
      </c>
      <c r="AK77" s="519">
        <f>'SAN LUONG'!AG384</f>
        <v>312</v>
      </c>
      <c r="AL77" s="519">
        <f>'SAN LUONG'!AH384</f>
        <v>320</v>
      </c>
      <c r="AM77" s="519">
        <f>'SAN LUONG'!AI384</f>
        <v>472</v>
      </c>
      <c r="AN77" s="553"/>
      <c r="AO77" s="553">
        <f t="shared" si="35"/>
        <v>0</v>
      </c>
      <c r="AP77" s="553">
        <f t="shared" si="36"/>
        <v>1194</v>
      </c>
      <c r="AQ77" s="553">
        <f t="shared" si="37"/>
        <v>239039</v>
      </c>
      <c r="AR77" s="628">
        <f>'SAN LUONG'!AU293</f>
        <v>0</v>
      </c>
      <c r="AS77" s="629">
        <f t="shared" si="26"/>
        <v>0</v>
      </c>
      <c r="AT77" s="630">
        <f t="shared" si="27"/>
        <v>0</v>
      </c>
      <c r="AU77" s="628">
        <f t="shared" si="28"/>
        <v>15.66</v>
      </c>
      <c r="AV77" s="556">
        <f t="shared" si="38"/>
        <v>477039</v>
      </c>
      <c r="AW77" s="630"/>
      <c r="AX77" s="564">
        <f t="shared" si="39"/>
        <v>477039</v>
      </c>
      <c r="AY77" s="565"/>
      <c r="AZ77" s="639">
        <f t="shared" si="40"/>
        <v>14.93</v>
      </c>
      <c r="BA77" s="567"/>
    </row>
    <row r="78" spans="1:53" s="483" customFormat="1" ht="39.6" customHeight="1">
      <c r="A78" s="503">
        <v>69</v>
      </c>
      <c r="B78" s="504">
        <v>10</v>
      </c>
      <c r="C78" s="504">
        <v>412</v>
      </c>
      <c r="D78" s="615"/>
      <c r="E78" s="615"/>
      <c r="F78" s="616"/>
      <c r="G78" s="615" t="str">
        <f>'Tên Tháng 1'!E376</f>
        <v>ឈុន សុខធា</v>
      </c>
      <c r="H78" s="615" t="str">
        <f>'Tên Tháng 1'!F376</f>
        <v>CHHUN SOKTHEA</v>
      </c>
      <c r="I78" s="519" t="str">
        <f>'CHAM CONG'!G384</f>
        <v>x</v>
      </c>
      <c r="J78" s="519" t="str">
        <f>'CHAM CONG'!H384</f>
        <v>x</v>
      </c>
      <c r="K78" s="519" t="str">
        <f>'CHAM CONG'!I384</f>
        <v>x</v>
      </c>
      <c r="L78" s="519">
        <f>'CHAM CONG'!J384</f>
        <v>0</v>
      </c>
      <c r="M78" s="519" t="str">
        <f>'CHAM CONG'!K384</f>
        <v>x</v>
      </c>
      <c r="N78" s="519" t="str">
        <f>'CHAM CONG'!L384</f>
        <v>x</v>
      </c>
      <c r="O78" s="519" t="str">
        <f>'CHAM CONG'!M384</f>
        <v>x</v>
      </c>
      <c r="P78" s="519" t="str">
        <f>'CHAM CONG'!N384</f>
        <v>x</v>
      </c>
      <c r="Q78" s="519" t="str">
        <f>'CHAM CONG'!O384</f>
        <v>x</v>
      </c>
      <c r="R78" s="519" t="str">
        <f>'CHAM CONG'!P384</f>
        <v>x</v>
      </c>
      <c r="S78" s="519" t="str">
        <f>'CHAM CONG'!Q384</f>
        <v>x</v>
      </c>
      <c r="T78" s="519" t="str">
        <f>'CHAM CONG'!R384</f>
        <v>x</v>
      </c>
      <c r="U78" s="519" t="str">
        <f>'CHAM CONG'!S384</f>
        <v>x</v>
      </c>
      <c r="V78" s="519" t="str">
        <f>'CHAM CONG'!T384</f>
        <v>x</v>
      </c>
      <c r="W78" s="519" t="str">
        <f>'CHAM CONG'!U384</f>
        <v>x</v>
      </c>
      <c r="X78" s="519"/>
      <c r="Y78" s="519"/>
      <c r="Z78" s="535">
        <f t="shared" si="29"/>
        <v>14</v>
      </c>
      <c r="AA78" s="536">
        <f t="shared" si="24"/>
        <v>0</v>
      </c>
      <c r="AB78" s="537">
        <f t="shared" si="30"/>
        <v>224000</v>
      </c>
      <c r="AC78" s="537">
        <f>'CHAM CONG'!V384</f>
        <v>0</v>
      </c>
      <c r="AD78" s="537">
        <f>'CHAM CONG'!W384</f>
        <v>0</v>
      </c>
      <c r="AE78" s="535">
        <f t="shared" si="31"/>
        <v>0</v>
      </c>
      <c r="AF78" s="537">
        <f t="shared" si="25"/>
        <v>0</v>
      </c>
      <c r="AG78" s="537">
        <f t="shared" si="32"/>
        <v>14</v>
      </c>
      <c r="AH78" s="537">
        <f t="shared" si="33"/>
        <v>14000</v>
      </c>
      <c r="AI78" s="537">
        <f t="shared" si="34"/>
        <v>238000</v>
      </c>
      <c r="AJ78" s="519">
        <f>'SAN LUONG'!AF385</f>
        <v>93</v>
      </c>
      <c r="AK78" s="519">
        <f>'SAN LUONG'!AG385</f>
        <v>227</v>
      </c>
      <c r="AL78" s="519">
        <f>'SAN LUONG'!AH385</f>
        <v>271</v>
      </c>
      <c r="AM78" s="519">
        <f>'SAN LUONG'!AI385</f>
        <v>447</v>
      </c>
      <c r="AN78" s="553"/>
      <c r="AO78" s="553">
        <f t="shared" si="35"/>
        <v>0</v>
      </c>
      <c r="AP78" s="553">
        <f t="shared" si="36"/>
        <v>1038</v>
      </c>
      <c r="AQ78" s="553">
        <f t="shared" si="37"/>
        <v>207808</v>
      </c>
      <c r="AR78" s="628">
        <f>'SAN LUONG'!AU294</f>
        <v>0</v>
      </c>
      <c r="AS78" s="629">
        <f t="shared" si="26"/>
        <v>0</v>
      </c>
      <c r="AT78" s="630">
        <f t="shared" si="27"/>
        <v>0</v>
      </c>
      <c r="AU78" s="628">
        <f t="shared" si="28"/>
        <v>14.64</v>
      </c>
      <c r="AV78" s="556">
        <f t="shared" si="38"/>
        <v>445808</v>
      </c>
      <c r="AW78" s="630"/>
      <c r="AX78" s="564">
        <f t="shared" si="39"/>
        <v>445808</v>
      </c>
      <c r="AY78" s="565"/>
      <c r="AZ78" s="639">
        <f t="shared" si="40"/>
        <v>13.95</v>
      </c>
      <c r="BA78" s="567"/>
    </row>
    <row r="79" spans="1:53" s="483" customFormat="1" ht="39.6" customHeight="1">
      <c r="A79" s="503">
        <v>70</v>
      </c>
      <c r="B79" s="504">
        <v>10</v>
      </c>
      <c r="C79" s="504">
        <v>413</v>
      </c>
      <c r="D79" s="615"/>
      <c r="E79" s="615"/>
      <c r="F79" s="616"/>
      <c r="G79" s="615" t="str">
        <f>'Tên Tháng 1'!E377</f>
        <v>ថាវ ផា</v>
      </c>
      <c r="H79" s="615" t="str">
        <f>'Tên Tháng 1'!F377</f>
        <v>THAV PHA</v>
      </c>
      <c r="I79" s="519" t="str">
        <f>'CHAM CONG'!G385</f>
        <v>x</v>
      </c>
      <c r="J79" s="519" t="str">
        <f>'CHAM CONG'!H385</f>
        <v>x</v>
      </c>
      <c r="K79" s="519" t="str">
        <f>'CHAM CONG'!I385</f>
        <v>x</v>
      </c>
      <c r="L79" s="519" t="str">
        <f>'CHAM CONG'!J385</f>
        <v>x</v>
      </c>
      <c r="M79" s="519" t="str">
        <f>'CHAM CONG'!K385</f>
        <v>x</v>
      </c>
      <c r="N79" s="519" t="str">
        <f>'CHAM CONG'!L385</f>
        <v>x</v>
      </c>
      <c r="O79" s="519" t="str">
        <f>'CHAM CONG'!M385</f>
        <v>x</v>
      </c>
      <c r="P79" s="519" t="str">
        <f>'CHAM CONG'!N385</f>
        <v>x</v>
      </c>
      <c r="Q79" s="519" t="str">
        <f>'CHAM CONG'!O385</f>
        <v>x</v>
      </c>
      <c r="R79" s="519" t="str">
        <f>'CHAM CONG'!P385</f>
        <v>x</v>
      </c>
      <c r="S79" s="519" t="str">
        <f>'CHAM CONG'!Q385</f>
        <v>x</v>
      </c>
      <c r="T79" s="519" t="str">
        <f>'CHAM CONG'!R385</f>
        <v>x</v>
      </c>
      <c r="U79" s="519" t="str">
        <f>'CHAM CONG'!S385</f>
        <v>x</v>
      </c>
      <c r="V79" s="519" t="str">
        <f>'CHAM CONG'!T385</f>
        <v>x</v>
      </c>
      <c r="W79" s="519" t="str">
        <f>'CHAM CONG'!U385</f>
        <v>x</v>
      </c>
      <c r="X79" s="519"/>
      <c r="Y79" s="519"/>
      <c r="Z79" s="535">
        <f t="shared" si="29"/>
        <v>15</v>
      </c>
      <c r="AA79" s="536">
        <f t="shared" si="24"/>
        <v>0</v>
      </c>
      <c r="AB79" s="537">
        <f t="shared" si="30"/>
        <v>240000</v>
      </c>
      <c r="AC79" s="537" t="str">
        <f>'CHAM CONG'!V385</f>
        <v>x</v>
      </c>
      <c r="AD79" s="537" t="str">
        <f>'CHAM CONG'!W385</f>
        <v>x</v>
      </c>
      <c r="AE79" s="535">
        <f t="shared" si="31"/>
        <v>2</v>
      </c>
      <c r="AF79" s="537">
        <f t="shared" si="25"/>
        <v>34000</v>
      </c>
      <c r="AG79" s="537">
        <f t="shared" si="32"/>
        <v>15</v>
      </c>
      <c r="AH79" s="537">
        <f t="shared" si="33"/>
        <v>15000</v>
      </c>
      <c r="AI79" s="537">
        <f t="shared" si="34"/>
        <v>289000</v>
      </c>
      <c r="AJ79" s="519">
        <f>'SAN LUONG'!AF386</f>
        <v>376</v>
      </c>
      <c r="AK79" s="519">
        <f>'SAN LUONG'!AG386</f>
        <v>278</v>
      </c>
      <c r="AL79" s="519">
        <f>'SAN LUONG'!AH386</f>
        <v>570</v>
      </c>
      <c r="AM79" s="519">
        <f>'SAN LUONG'!AI386</f>
        <v>542</v>
      </c>
      <c r="AN79" s="553"/>
      <c r="AO79" s="553">
        <f t="shared" si="35"/>
        <v>0</v>
      </c>
      <c r="AP79" s="553">
        <f t="shared" si="36"/>
        <v>1766</v>
      </c>
      <c r="AQ79" s="553">
        <f t="shared" si="37"/>
        <v>353553</v>
      </c>
      <c r="AR79" s="628">
        <f>'SAN LUONG'!AU295</f>
        <v>0</v>
      </c>
      <c r="AS79" s="629">
        <f t="shared" si="26"/>
        <v>0</v>
      </c>
      <c r="AT79" s="630">
        <f t="shared" si="27"/>
        <v>0</v>
      </c>
      <c r="AU79" s="628">
        <f t="shared" si="28"/>
        <v>21.1</v>
      </c>
      <c r="AV79" s="556">
        <f t="shared" si="38"/>
        <v>642553</v>
      </c>
      <c r="AW79" s="630"/>
      <c r="AX79" s="564">
        <f t="shared" si="39"/>
        <v>642553</v>
      </c>
      <c r="AY79" s="565"/>
      <c r="AZ79" s="639">
        <f t="shared" si="40"/>
        <v>20.11</v>
      </c>
      <c r="BA79" s="567"/>
    </row>
    <row r="80" spans="1:53" s="483" customFormat="1" ht="39.6" customHeight="1">
      <c r="A80" s="503">
        <v>71</v>
      </c>
      <c r="B80" s="504">
        <v>10</v>
      </c>
      <c r="C80" s="504">
        <v>414</v>
      </c>
      <c r="D80" s="615"/>
      <c r="E80" s="615"/>
      <c r="F80" s="616"/>
      <c r="G80" s="615" t="str">
        <f>'Tên Tháng 1'!E378</f>
        <v>លន វុត</v>
      </c>
      <c r="H80" s="615" t="str">
        <f>'Tên Tháng 1'!F378</f>
        <v>LORN VUT</v>
      </c>
      <c r="I80" s="519" t="str">
        <f>'CHAM CONG'!G386</f>
        <v>x</v>
      </c>
      <c r="J80" s="519" t="str">
        <f>'CHAM CONG'!H386</f>
        <v>x</v>
      </c>
      <c r="K80" s="519" t="str">
        <f>'CHAM CONG'!I386</f>
        <v>x</v>
      </c>
      <c r="L80" s="519" t="str">
        <f>'CHAM CONG'!J386</f>
        <v>x</v>
      </c>
      <c r="M80" s="519" t="str">
        <f>'CHAM CONG'!K386</f>
        <v>x</v>
      </c>
      <c r="N80" s="519" t="str">
        <f>'CHAM CONG'!L386</f>
        <v>x</v>
      </c>
      <c r="O80" s="519" t="str">
        <f>'CHAM CONG'!M386</f>
        <v>x</v>
      </c>
      <c r="P80" s="519" t="str">
        <f>'CHAM CONG'!N386</f>
        <v>x</v>
      </c>
      <c r="Q80" s="519" t="str">
        <f>'CHAM CONG'!O386</f>
        <v>x</v>
      </c>
      <c r="R80" s="519" t="str">
        <f>'CHAM CONG'!P386</f>
        <v>x</v>
      </c>
      <c r="S80" s="519" t="str">
        <f>'CHAM CONG'!Q386</f>
        <v>x</v>
      </c>
      <c r="T80" s="519" t="str">
        <f>'CHAM CONG'!R386</f>
        <v>x</v>
      </c>
      <c r="U80" s="519" t="str">
        <f>'CHAM CONG'!S386</f>
        <v>x</v>
      </c>
      <c r="V80" s="519" t="str">
        <f>'CHAM CONG'!T386</f>
        <v>x</v>
      </c>
      <c r="W80" s="519" t="str">
        <f>'CHAM CONG'!U386</f>
        <v>x</v>
      </c>
      <c r="X80" s="519"/>
      <c r="Y80" s="519"/>
      <c r="Z80" s="535">
        <f t="shared" si="29"/>
        <v>15</v>
      </c>
      <c r="AA80" s="536">
        <f t="shared" si="24"/>
        <v>0</v>
      </c>
      <c r="AB80" s="537">
        <f t="shared" si="30"/>
        <v>240000</v>
      </c>
      <c r="AC80" s="537" t="str">
        <f>'CHAM CONG'!V386</f>
        <v>x</v>
      </c>
      <c r="AD80" s="537" t="str">
        <f>'CHAM CONG'!W386</f>
        <v>x</v>
      </c>
      <c r="AE80" s="535">
        <f t="shared" si="31"/>
        <v>2</v>
      </c>
      <c r="AF80" s="537">
        <f t="shared" si="25"/>
        <v>34000</v>
      </c>
      <c r="AG80" s="537">
        <f t="shared" si="32"/>
        <v>15</v>
      </c>
      <c r="AH80" s="537">
        <f t="shared" si="33"/>
        <v>15000</v>
      </c>
      <c r="AI80" s="537">
        <f t="shared" si="34"/>
        <v>289000</v>
      </c>
      <c r="AJ80" s="519">
        <f>'SAN LUONG'!AF387</f>
        <v>372</v>
      </c>
      <c r="AK80" s="519">
        <f>'SAN LUONG'!AG387</f>
        <v>276</v>
      </c>
      <c r="AL80" s="519">
        <f>'SAN LUONG'!AH387</f>
        <v>447</v>
      </c>
      <c r="AM80" s="519">
        <f>'SAN LUONG'!AI387</f>
        <v>484</v>
      </c>
      <c r="AN80" s="553"/>
      <c r="AO80" s="553">
        <f t="shared" si="35"/>
        <v>0</v>
      </c>
      <c r="AP80" s="553">
        <f t="shared" si="36"/>
        <v>1579</v>
      </c>
      <c r="AQ80" s="553">
        <f t="shared" si="37"/>
        <v>316116</v>
      </c>
      <c r="AR80" s="628">
        <f>'SAN LUONG'!AU296</f>
        <v>0</v>
      </c>
      <c r="AS80" s="629">
        <f t="shared" si="26"/>
        <v>0</v>
      </c>
      <c r="AT80" s="630">
        <f t="shared" si="27"/>
        <v>0</v>
      </c>
      <c r="AU80" s="628">
        <f t="shared" si="28"/>
        <v>19.87</v>
      </c>
      <c r="AV80" s="556">
        <f t="shared" si="38"/>
        <v>605116</v>
      </c>
      <c r="AW80" s="630"/>
      <c r="AX80" s="564">
        <f t="shared" si="39"/>
        <v>605116</v>
      </c>
      <c r="AY80" s="565"/>
      <c r="AZ80" s="639">
        <f t="shared" si="40"/>
        <v>18.940000000000001</v>
      </c>
      <c r="BA80" s="567"/>
    </row>
    <row r="81" spans="1:53" s="483" customFormat="1" ht="39.6" customHeight="1">
      <c r="A81" s="503">
        <v>72</v>
      </c>
      <c r="B81" s="504">
        <v>10</v>
      </c>
      <c r="C81" s="504">
        <v>415</v>
      </c>
      <c r="D81" s="615"/>
      <c r="E81" s="615"/>
      <c r="F81" s="616"/>
      <c r="G81" s="615" t="str">
        <f>'Tên Tháng 1'!E379</f>
        <v>លីន ចាន់</v>
      </c>
      <c r="H81" s="615" t="str">
        <f>'Tên Tháng 1'!F379</f>
        <v>LIN CHAN</v>
      </c>
      <c r="I81" s="519" t="str">
        <f>'CHAM CONG'!G387</f>
        <v>x</v>
      </c>
      <c r="J81" s="519" t="str">
        <f>'CHAM CONG'!H387</f>
        <v>x</v>
      </c>
      <c r="K81" s="519" t="str">
        <f>'CHAM CONG'!I387</f>
        <v>x</v>
      </c>
      <c r="L81" s="519" t="str">
        <f>'CHAM CONG'!J387</f>
        <v>x</v>
      </c>
      <c r="M81" s="519" t="str">
        <f>'CHAM CONG'!K387</f>
        <v>x</v>
      </c>
      <c r="N81" s="519" t="str">
        <f>'CHAM CONG'!L387</f>
        <v>x</v>
      </c>
      <c r="O81" s="519" t="str">
        <f>'CHAM CONG'!M387</f>
        <v>x</v>
      </c>
      <c r="P81" s="519" t="str">
        <f>'CHAM CONG'!N387</f>
        <v>x</v>
      </c>
      <c r="Q81" s="519" t="str">
        <f>'CHAM CONG'!O387</f>
        <v>x</v>
      </c>
      <c r="R81" s="519" t="str">
        <f>'CHAM CONG'!P387</f>
        <v>x</v>
      </c>
      <c r="S81" s="519" t="str">
        <f>'CHAM CONG'!Q387</f>
        <v>x</v>
      </c>
      <c r="T81" s="519" t="str">
        <f>'CHAM CONG'!R387</f>
        <v>x</v>
      </c>
      <c r="U81" s="519" t="str">
        <f>'CHAM CONG'!S387</f>
        <v>x</v>
      </c>
      <c r="V81" s="519" t="str">
        <f>'CHAM CONG'!T387</f>
        <v>x</v>
      </c>
      <c r="W81" s="519" t="str">
        <f>'CHAM CONG'!U387</f>
        <v>x</v>
      </c>
      <c r="X81" s="519"/>
      <c r="Y81" s="519"/>
      <c r="Z81" s="535">
        <f t="shared" si="29"/>
        <v>15</v>
      </c>
      <c r="AA81" s="536">
        <f t="shared" si="24"/>
        <v>0</v>
      </c>
      <c r="AB81" s="537">
        <f t="shared" si="30"/>
        <v>240000</v>
      </c>
      <c r="AC81" s="537" t="str">
        <f>'CHAM CONG'!V387</f>
        <v>x</v>
      </c>
      <c r="AD81" s="537" t="str">
        <f>'CHAM CONG'!W387</f>
        <v>x</v>
      </c>
      <c r="AE81" s="535">
        <f t="shared" si="31"/>
        <v>2</v>
      </c>
      <c r="AF81" s="537">
        <f t="shared" si="25"/>
        <v>34000</v>
      </c>
      <c r="AG81" s="537">
        <f t="shared" si="32"/>
        <v>15</v>
      </c>
      <c r="AH81" s="537">
        <f t="shared" si="33"/>
        <v>15000</v>
      </c>
      <c r="AI81" s="537">
        <f t="shared" si="34"/>
        <v>289000</v>
      </c>
      <c r="AJ81" s="519">
        <f>'SAN LUONG'!AF388</f>
        <v>374</v>
      </c>
      <c r="AK81" s="519">
        <f>'SAN LUONG'!AG388</f>
        <v>274</v>
      </c>
      <c r="AL81" s="519">
        <f>'SAN LUONG'!AH388</f>
        <v>451</v>
      </c>
      <c r="AM81" s="519">
        <f>'SAN LUONG'!AI388</f>
        <v>458</v>
      </c>
      <c r="AN81" s="553"/>
      <c r="AO81" s="553">
        <f t="shared" si="35"/>
        <v>0</v>
      </c>
      <c r="AP81" s="553">
        <f t="shared" si="36"/>
        <v>1557</v>
      </c>
      <c r="AQ81" s="553">
        <f t="shared" si="37"/>
        <v>311711</v>
      </c>
      <c r="AR81" s="628">
        <f>'SAN LUONG'!AU297</f>
        <v>0</v>
      </c>
      <c r="AS81" s="629">
        <f t="shared" si="26"/>
        <v>0</v>
      </c>
      <c r="AT81" s="630">
        <f t="shared" si="27"/>
        <v>0</v>
      </c>
      <c r="AU81" s="628">
        <f t="shared" si="28"/>
        <v>19.72</v>
      </c>
      <c r="AV81" s="556">
        <f t="shared" si="38"/>
        <v>600711</v>
      </c>
      <c r="AW81" s="630"/>
      <c r="AX81" s="564">
        <f t="shared" si="39"/>
        <v>600711</v>
      </c>
      <c r="AY81" s="565"/>
      <c r="AZ81" s="639">
        <f t="shared" si="40"/>
        <v>18.8</v>
      </c>
      <c r="BA81" s="567"/>
    </row>
    <row r="82" spans="1:53" s="483" customFormat="1" ht="39.6" customHeight="1">
      <c r="A82" s="503">
        <v>73</v>
      </c>
      <c r="B82" s="504">
        <v>10</v>
      </c>
      <c r="C82" s="504">
        <v>416</v>
      </c>
      <c r="D82" s="615"/>
      <c r="E82" s="615"/>
      <c r="F82" s="616"/>
      <c r="G82" s="615" t="str">
        <f>'Tên Tháng 1'!E380</f>
        <v>ប៊ុណ្ណា ចាន់ទ្រា</v>
      </c>
      <c r="H82" s="615" t="str">
        <f>'Tên Tháng 1'!F380</f>
        <v>BUNNA CHAN TREA</v>
      </c>
      <c r="I82" s="519" t="str">
        <f>'CHAM CONG'!G388</f>
        <v>x</v>
      </c>
      <c r="J82" s="519" t="str">
        <f>'CHAM CONG'!H388</f>
        <v>x</v>
      </c>
      <c r="K82" s="519" t="str">
        <f>'CHAM CONG'!I388</f>
        <v>x</v>
      </c>
      <c r="L82" s="519">
        <f>'CHAM CONG'!J388</f>
        <v>0</v>
      </c>
      <c r="M82" s="519" t="str">
        <f>'CHAM CONG'!K388</f>
        <v>x</v>
      </c>
      <c r="N82" s="519" t="str">
        <f>'CHAM CONG'!L388</f>
        <v>x</v>
      </c>
      <c r="O82" s="519" t="str">
        <f>'CHAM CONG'!M388</f>
        <v>x</v>
      </c>
      <c r="P82" s="519" t="str">
        <f>'CHAM CONG'!N388</f>
        <v>x</v>
      </c>
      <c r="Q82" s="519" t="str">
        <f>'CHAM CONG'!O388</f>
        <v>x</v>
      </c>
      <c r="R82" s="519" t="str">
        <f>'CHAM CONG'!P388</f>
        <v>x</v>
      </c>
      <c r="S82" s="519" t="str">
        <f>'CHAM CONG'!Q388</f>
        <v>x</v>
      </c>
      <c r="T82" s="519" t="str">
        <f>'CHAM CONG'!R388</f>
        <v>x</v>
      </c>
      <c r="U82" s="519" t="str">
        <f>'CHAM CONG'!S388</f>
        <v>x</v>
      </c>
      <c r="V82" s="519" t="str">
        <f>'CHAM CONG'!T388</f>
        <v>x</v>
      </c>
      <c r="W82" s="519" t="str">
        <f>'CHAM CONG'!U388</f>
        <v>x</v>
      </c>
      <c r="X82" s="519"/>
      <c r="Y82" s="519"/>
      <c r="Z82" s="535">
        <f t="shared" si="29"/>
        <v>14</v>
      </c>
      <c r="AA82" s="536">
        <f t="shared" si="24"/>
        <v>0</v>
      </c>
      <c r="AB82" s="537">
        <f t="shared" si="30"/>
        <v>224000</v>
      </c>
      <c r="AC82" s="537" t="str">
        <f>'CHAM CONG'!V388</f>
        <v>x</v>
      </c>
      <c r="AD82" s="537" t="str">
        <f>'CHAM CONG'!W388</f>
        <v>x</v>
      </c>
      <c r="AE82" s="535">
        <f t="shared" si="31"/>
        <v>2</v>
      </c>
      <c r="AF82" s="537">
        <f t="shared" si="25"/>
        <v>34000</v>
      </c>
      <c r="AG82" s="537">
        <f t="shared" si="32"/>
        <v>14</v>
      </c>
      <c r="AH82" s="537">
        <f t="shared" si="33"/>
        <v>14000</v>
      </c>
      <c r="AI82" s="537">
        <f t="shared" si="34"/>
        <v>272000</v>
      </c>
      <c r="AJ82" s="519">
        <f>'SAN LUONG'!AF389</f>
        <v>263</v>
      </c>
      <c r="AK82" s="519">
        <f>'SAN LUONG'!AG389</f>
        <v>151</v>
      </c>
      <c r="AL82" s="519">
        <f>'SAN LUONG'!AH389</f>
        <v>131</v>
      </c>
      <c r="AM82" s="519">
        <f>'SAN LUONG'!AI389</f>
        <v>670</v>
      </c>
      <c r="AN82" s="553"/>
      <c r="AO82" s="553">
        <f t="shared" si="35"/>
        <v>0</v>
      </c>
      <c r="AP82" s="553">
        <f t="shared" si="36"/>
        <v>1215</v>
      </c>
      <c r="AQ82" s="553">
        <f t="shared" si="37"/>
        <v>243243</v>
      </c>
      <c r="AR82" s="628">
        <f>'SAN LUONG'!AU298</f>
        <v>0</v>
      </c>
      <c r="AS82" s="629">
        <f t="shared" si="26"/>
        <v>0</v>
      </c>
      <c r="AT82" s="630">
        <f t="shared" si="27"/>
        <v>0</v>
      </c>
      <c r="AU82" s="628">
        <f t="shared" si="28"/>
        <v>16.920000000000002</v>
      </c>
      <c r="AV82" s="556">
        <f t="shared" si="38"/>
        <v>515243</v>
      </c>
      <c r="AW82" s="630"/>
      <c r="AX82" s="564">
        <f t="shared" si="39"/>
        <v>515243</v>
      </c>
      <c r="AY82" s="565"/>
      <c r="AZ82" s="639">
        <f t="shared" si="40"/>
        <v>16.13</v>
      </c>
      <c r="BA82" s="567"/>
    </row>
    <row r="83" spans="1:53" s="483" customFormat="1" ht="39.6" customHeight="1">
      <c r="A83" s="503">
        <v>74</v>
      </c>
      <c r="B83" s="504">
        <v>10</v>
      </c>
      <c r="C83" s="504">
        <v>417</v>
      </c>
      <c r="D83" s="615"/>
      <c r="E83" s="615"/>
      <c r="F83" s="616"/>
      <c r="G83" s="615" t="str">
        <f>'Tên Tháng 1'!E381</f>
        <v>ទិត ភឿន</v>
      </c>
      <c r="H83" s="615" t="str">
        <f>'Tên Tháng 1'!F381</f>
        <v>TITH PHOEUN</v>
      </c>
      <c r="I83" s="519" t="str">
        <f>'CHAM CONG'!G389</f>
        <v>x</v>
      </c>
      <c r="J83" s="519" t="str">
        <f>'CHAM CONG'!H389</f>
        <v>x</v>
      </c>
      <c r="K83" s="519" t="str">
        <f>'CHAM CONG'!I389</f>
        <v>x</v>
      </c>
      <c r="L83" s="519">
        <f>'CHAM CONG'!J389</f>
        <v>0</v>
      </c>
      <c r="M83" s="519">
        <f>'CHAM CONG'!K389</f>
        <v>0</v>
      </c>
      <c r="N83" s="519" t="str">
        <f>'CHAM CONG'!L389</f>
        <v>x</v>
      </c>
      <c r="O83" s="519" t="str">
        <f>'CHAM CONG'!M389</f>
        <v>x</v>
      </c>
      <c r="P83" s="519" t="str">
        <f>'CHAM CONG'!N389</f>
        <v>x</v>
      </c>
      <c r="Q83" s="519" t="str">
        <f>'CHAM CONG'!O389</f>
        <v>x</v>
      </c>
      <c r="R83" s="519" t="str">
        <f>'CHAM CONG'!P389</f>
        <v>x</v>
      </c>
      <c r="S83" s="519" t="str">
        <f>'CHAM CONG'!Q389</f>
        <v>x</v>
      </c>
      <c r="T83" s="519" t="str">
        <f>'CHAM CONG'!R389</f>
        <v>x</v>
      </c>
      <c r="U83" s="519" t="str">
        <f>'CHAM CONG'!S389</f>
        <v>x</v>
      </c>
      <c r="V83" s="519" t="str">
        <f>'CHAM CONG'!T389</f>
        <v>x</v>
      </c>
      <c r="W83" s="519" t="str">
        <f>'CHAM CONG'!U389</f>
        <v>x</v>
      </c>
      <c r="X83" s="519"/>
      <c r="Y83" s="519"/>
      <c r="Z83" s="535">
        <f t="shared" si="29"/>
        <v>13</v>
      </c>
      <c r="AA83" s="536">
        <f t="shared" si="24"/>
        <v>0</v>
      </c>
      <c r="AB83" s="537">
        <f t="shared" si="30"/>
        <v>208000</v>
      </c>
      <c r="AC83" s="537" t="str">
        <f>'CHAM CONG'!V389</f>
        <v>x</v>
      </c>
      <c r="AD83" s="537" t="str">
        <f>'CHAM CONG'!W389</f>
        <v>x</v>
      </c>
      <c r="AE83" s="535">
        <f t="shared" si="31"/>
        <v>2</v>
      </c>
      <c r="AF83" s="537">
        <f t="shared" si="25"/>
        <v>34000</v>
      </c>
      <c r="AG83" s="537">
        <f t="shared" si="32"/>
        <v>13</v>
      </c>
      <c r="AH83" s="537">
        <f t="shared" si="33"/>
        <v>13000</v>
      </c>
      <c r="AI83" s="537">
        <f t="shared" si="34"/>
        <v>255000</v>
      </c>
      <c r="AJ83" s="519">
        <f>'SAN LUONG'!AF390</f>
        <v>239</v>
      </c>
      <c r="AK83" s="519">
        <f>'SAN LUONG'!AG390</f>
        <v>189</v>
      </c>
      <c r="AL83" s="519">
        <f>'SAN LUONG'!AH390</f>
        <v>445</v>
      </c>
      <c r="AM83" s="519">
        <f>'SAN LUONG'!AI390</f>
        <v>442</v>
      </c>
      <c r="AN83" s="553"/>
      <c r="AO83" s="553">
        <f t="shared" si="35"/>
        <v>0</v>
      </c>
      <c r="AP83" s="553">
        <f t="shared" si="36"/>
        <v>1315</v>
      </c>
      <c r="AQ83" s="553">
        <f t="shared" si="37"/>
        <v>263263</v>
      </c>
      <c r="AR83" s="628">
        <f>'SAN LUONG'!AU299</f>
        <v>0</v>
      </c>
      <c r="AS83" s="629">
        <f t="shared" si="26"/>
        <v>0</v>
      </c>
      <c r="AT83" s="630">
        <f t="shared" si="27"/>
        <v>0</v>
      </c>
      <c r="AU83" s="628">
        <f t="shared" si="28"/>
        <v>17.02</v>
      </c>
      <c r="AV83" s="556">
        <f t="shared" si="38"/>
        <v>518263</v>
      </c>
      <c r="AW83" s="630"/>
      <c r="AX83" s="564">
        <f t="shared" si="39"/>
        <v>518263</v>
      </c>
      <c r="AY83" s="565"/>
      <c r="AZ83" s="639">
        <f t="shared" si="40"/>
        <v>16.22</v>
      </c>
      <c r="BA83" s="567"/>
    </row>
    <row r="84" spans="1:53" s="483" customFormat="1" ht="39.6" customHeight="1">
      <c r="A84" s="503">
        <v>75</v>
      </c>
      <c r="B84" s="504">
        <v>10</v>
      </c>
      <c r="C84" s="504">
        <v>418</v>
      </c>
      <c r="D84" s="615"/>
      <c r="E84" s="615"/>
      <c r="F84" s="616"/>
      <c r="G84" s="615" t="str">
        <f>'Tên Tháng 1'!E382</f>
        <v>យេត​ យ៉ឺ</v>
      </c>
      <c r="H84" s="615" t="str">
        <f>'Tên Tháng 1'!F382</f>
        <v>YET YEV</v>
      </c>
      <c r="I84" s="519" t="str">
        <f>'CHAM CONG'!G390</f>
        <v>x</v>
      </c>
      <c r="J84" s="519" t="str">
        <f>'CHAM CONG'!H390</f>
        <v>x</v>
      </c>
      <c r="K84" s="519" t="str">
        <f>'CHAM CONG'!I390</f>
        <v>x</v>
      </c>
      <c r="L84" s="519" t="str">
        <f>'CHAM CONG'!J390</f>
        <v>x</v>
      </c>
      <c r="M84" s="519" t="str">
        <f>'CHAM CONG'!K390</f>
        <v>x</v>
      </c>
      <c r="N84" s="519" t="str">
        <f>'CHAM CONG'!L390</f>
        <v>x</v>
      </c>
      <c r="O84" s="519" t="str">
        <f>'CHAM CONG'!M390</f>
        <v>x</v>
      </c>
      <c r="P84" s="519" t="str">
        <f>'CHAM CONG'!N390</f>
        <v>x</v>
      </c>
      <c r="Q84" s="519" t="str">
        <f>'CHAM CONG'!O390</f>
        <v>x</v>
      </c>
      <c r="R84" s="519" t="str">
        <f>'CHAM CONG'!P390</f>
        <v>x</v>
      </c>
      <c r="S84" s="519" t="str">
        <f>'CHAM CONG'!Q390</f>
        <v>x</v>
      </c>
      <c r="T84" s="519" t="str">
        <f>'CHAM CONG'!R390</f>
        <v>x</v>
      </c>
      <c r="U84" s="519" t="str">
        <f>'CHAM CONG'!S390</f>
        <v>x</v>
      </c>
      <c r="V84" s="519" t="str">
        <f>'CHAM CONG'!T390</f>
        <v>x</v>
      </c>
      <c r="W84" s="519" t="str">
        <f>'CHAM CONG'!U390</f>
        <v>x</v>
      </c>
      <c r="X84" s="519"/>
      <c r="Y84" s="519"/>
      <c r="Z84" s="535">
        <f t="shared" si="29"/>
        <v>15</v>
      </c>
      <c r="AA84" s="536">
        <f t="shared" si="24"/>
        <v>0</v>
      </c>
      <c r="AB84" s="537">
        <f t="shared" si="30"/>
        <v>240000</v>
      </c>
      <c r="AC84" s="537" t="str">
        <f>'CHAM CONG'!V390</f>
        <v>x</v>
      </c>
      <c r="AD84" s="537" t="str">
        <f>'CHAM CONG'!W390</f>
        <v>x</v>
      </c>
      <c r="AE84" s="535">
        <f t="shared" si="31"/>
        <v>2</v>
      </c>
      <c r="AF84" s="537">
        <f t="shared" si="25"/>
        <v>34000</v>
      </c>
      <c r="AG84" s="537">
        <f t="shared" si="32"/>
        <v>15</v>
      </c>
      <c r="AH84" s="537">
        <f t="shared" si="33"/>
        <v>15000</v>
      </c>
      <c r="AI84" s="537">
        <f t="shared" si="34"/>
        <v>289000</v>
      </c>
      <c r="AJ84" s="519">
        <f>'SAN LUONG'!AF391</f>
        <v>358</v>
      </c>
      <c r="AK84" s="519">
        <f>'SAN LUONG'!AG391</f>
        <v>224</v>
      </c>
      <c r="AL84" s="519">
        <f>'SAN LUONG'!AH391</f>
        <v>470</v>
      </c>
      <c r="AM84" s="519">
        <f>'SAN LUONG'!AI391</f>
        <v>468</v>
      </c>
      <c r="AN84" s="553"/>
      <c r="AO84" s="553">
        <f t="shared" si="35"/>
        <v>0</v>
      </c>
      <c r="AP84" s="553">
        <f t="shared" si="36"/>
        <v>1520</v>
      </c>
      <c r="AQ84" s="553">
        <f t="shared" si="37"/>
        <v>304304</v>
      </c>
      <c r="AR84" s="628">
        <f>'SAN LUONG'!AU300</f>
        <v>0</v>
      </c>
      <c r="AS84" s="629">
        <f t="shared" si="26"/>
        <v>0</v>
      </c>
      <c r="AT84" s="630">
        <f t="shared" si="27"/>
        <v>0</v>
      </c>
      <c r="AU84" s="628">
        <f t="shared" si="28"/>
        <v>19.48</v>
      </c>
      <c r="AV84" s="556">
        <f t="shared" si="38"/>
        <v>593304</v>
      </c>
      <c r="AW84" s="630"/>
      <c r="AX84" s="564">
        <f t="shared" si="39"/>
        <v>593304</v>
      </c>
      <c r="AY84" s="565"/>
      <c r="AZ84" s="639">
        <f t="shared" si="40"/>
        <v>18.57</v>
      </c>
      <c r="BA84" s="567"/>
    </row>
    <row r="85" spans="1:53" s="483" customFormat="1" ht="39.6" customHeight="1">
      <c r="A85" s="503">
        <v>76</v>
      </c>
      <c r="B85" s="504">
        <v>10</v>
      </c>
      <c r="C85" s="504">
        <v>419</v>
      </c>
      <c r="D85" s="615"/>
      <c r="E85" s="615"/>
      <c r="F85" s="616"/>
      <c r="G85" s="615" t="str">
        <f>'Tên Tháng 1'!E383</f>
        <v>ប៊ុនណា មករា</v>
      </c>
      <c r="H85" s="615" t="str">
        <f>'Tên Tháng 1'!F383</f>
        <v>BUNNA MAKARA</v>
      </c>
      <c r="I85" s="519" t="str">
        <f>'CHAM CONG'!G391</f>
        <v>x</v>
      </c>
      <c r="J85" s="519" t="str">
        <f>'CHAM CONG'!H391</f>
        <v>x</v>
      </c>
      <c r="K85" s="519" t="str">
        <f>'CHAM CONG'!I391</f>
        <v>x</v>
      </c>
      <c r="L85" s="519" t="str">
        <f>'CHAM CONG'!J391</f>
        <v>x</v>
      </c>
      <c r="M85" s="519" t="str">
        <f>'CHAM CONG'!K391</f>
        <v>x</v>
      </c>
      <c r="N85" s="519" t="str">
        <f>'CHAM CONG'!L391</f>
        <v>x</v>
      </c>
      <c r="O85" s="519" t="str">
        <f>'CHAM CONG'!M391</f>
        <v>x</v>
      </c>
      <c r="P85" s="519" t="str">
        <f>'CHAM CONG'!N391</f>
        <v>x</v>
      </c>
      <c r="Q85" s="519" t="str">
        <f>'CHAM CONG'!O391</f>
        <v>x</v>
      </c>
      <c r="R85" s="519" t="str">
        <f>'CHAM CONG'!P391</f>
        <v>x</v>
      </c>
      <c r="S85" s="519" t="str">
        <f>'CHAM CONG'!Q391</f>
        <v>x</v>
      </c>
      <c r="T85" s="519" t="str">
        <f>'CHAM CONG'!R391</f>
        <v>x</v>
      </c>
      <c r="U85" s="519" t="str">
        <f>'CHAM CONG'!S391</f>
        <v>x</v>
      </c>
      <c r="V85" s="519" t="str">
        <f>'CHAM CONG'!T391</f>
        <v>x</v>
      </c>
      <c r="W85" s="519" t="str">
        <f>'CHAM CONG'!U391</f>
        <v>x</v>
      </c>
      <c r="X85" s="519"/>
      <c r="Y85" s="519"/>
      <c r="Z85" s="535">
        <f t="shared" si="29"/>
        <v>15</v>
      </c>
      <c r="AA85" s="536">
        <f t="shared" si="24"/>
        <v>0</v>
      </c>
      <c r="AB85" s="537">
        <f t="shared" si="30"/>
        <v>240000</v>
      </c>
      <c r="AC85" s="537" t="str">
        <f>'CHAM CONG'!V391</f>
        <v>x</v>
      </c>
      <c r="AD85" s="537" t="str">
        <f>'CHAM CONG'!W391</f>
        <v>x</v>
      </c>
      <c r="AE85" s="535">
        <f t="shared" si="31"/>
        <v>2</v>
      </c>
      <c r="AF85" s="537">
        <f t="shared" si="25"/>
        <v>34000</v>
      </c>
      <c r="AG85" s="537">
        <f t="shared" si="32"/>
        <v>15</v>
      </c>
      <c r="AH85" s="537">
        <f t="shared" si="33"/>
        <v>15000</v>
      </c>
      <c r="AI85" s="537">
        <f t="shared" si="34"/>
        <v>289000</v>
      </c>
      <c r="AJ85" s="519">
        <f>'SAN LUONG'!AF392</f>
        <v>362</v>
      </c>
      <c r="AK85" s="519">
        <f>'SAN LUONG'!AG392</f>
        <v>263</v>
      </c>
      <c r="AL85" s="519">
        <f>'SAN LUONG'!AH392</f>
        <v>434</v>
      </c>
      <c r="AM85" s="519">
        <f>'SAN LUONG'!AI392</f>
        <v>450</v>
      </c>
      <c r="AN85" s="553"/>
      <c r="AO85" s="553">
        <f t="shared" si="35"/>
        <v>0</v>
      </c>
      <c r="AP85" s="553">
        <f t="shared" si="36"/>
        <v>1509</v>
      </c>
      <c r="AQ85" s="553">
        <f t="shared" si="37"/>
        <v>302102</v>
      </c>
      <c r="AR85" s="628">
        <f>'SAN LUONG'!AU301</f>
        <v>0</v>
      </c>
      <c r="AS85" s="629">
        <f t="shared" si="26"/>
        <v>0</v>
      </c>
      <c r="AT85" s="630">
        <f t="shared" si="27"/>
        <v>0</v>
      </c>
      <c r="AU85" s="628">
        <f t="shared" si="28"/>
        <v>19.41</v>
      </c>
      <c r="AV85" s="556">
        <f t="shared" si="38"/>
        <v>591102</v>
      </c>
      <c r="AW85" s="630"/>
      <c r="AX85" s="564">
        <f t="shared" si="39"/>
        <v>591102</v>
      </c>
      <c r="AY85" s="565"/>
      <c r="AZ85" s="639">
        <f t="shared" si="40"/>
        <v>18.5</v>
      </c>
      <c r="BA85" s="567"/>
    </row>
    <row r="86" spans="1:53" s="483" customFormat="1" ht="39.6" customHeight="1">
      <c r="A86" s="503">
        <v>77</v>
      </c>
      <c r="B86" s="504">
        <v>10</v>
      </c>
      <c r="C86" s="504">
        <v>420</v>
      </c>
      <c r="D86" s="615"/>
      <c r="E86" s="615"/>
      <c r="F86" s="616"/>
      <c r="G86" s="615" t="str">
        <f>'Tên Tháng 1'!E384</f>
        <v>ប៉ិច រក្សា</v>
      </c>
      <c r="H86" s="615" t="str">
        <f>'Tên Tháng 1'!F384</f>
        <v>PECH REAKSA</v>
      </c>
      <c r="I86" s="519" t="str">
        <f>'CHAM CONG'!G392</f>
        <v>x</v>
      </c>
      <c r="J86" s="519" t="str">
        <f>'CHAM CONG'!H392</f>
        <v>x</v>
      </c>
      <c r="K86" s="519" t="str">
        <f>'CHAM CONG'!I392</f>
        <v>x</v>
      </c>
      <c r="L86" s="519">
        <f>'CHAM CONG'!J392</f>
        <v>0</v>
      </c>
      <c r="M86" s="519" t="str">
        <f>'CHAM CONG'!K392</f>
        <v>x</v>
      </c>
      <c r="N86" s="519" t="str">
        <f>'CHAM CONG'!L392</f>
        <v>x</v>
      </c>
      <c r="O86" s="519" t="str">
        <f>'CHAM CONG'!M392</f>
        <v>x</v>
      </c>
      <c r="P86" s="519" t="str">
        <f>'CHAM CONG'!N392</f>
        <v>x</v>
      </c>
      <c r="Q86" s="519" t="str">
        <f>'CHAM CONG'!O392</f>
        <v>x</v>
      </c>
      <c r="R86" s="519" t="str">
        <f>'CHAM CONG'!P392</f>
        <v>x</v>
      </c>
      <c r="S86" s="519" t="str">
        <f>'CHAM CONG'!Q392</f>
        <v>x</v>
      </c>
      <c r="T86" s="519" t="str">
        <f>'CHAM CONG'!R392</f>
        <v>x</v>
      </c>
      <c r="U86" s="519" t="str">
        <f>'CHAM CONG'!S392</f>
        <v>x</v>
      </c>
      <c r="V86" s="519" t="str">
        <f>'CHAM CONG'!T392</f>
        <v>x</v>
      </c>
      <c r="W86" s="519" t="str">
        <f>'CHAM CONG'!U392</f>
        <v>x</v>
      </c>
      <c r="X86" s="519"/>
      <c r="Y86" s="519"/>
      <c r="Z86" s="535">
        <f t="shared" si="29"/>
        <v>14</v>
      </c>
      <c r="AA86" s="536">
        <f t="shared" si="24"/>
        <v>0</v>
      </c>
      <c r="AB86" s="537">
        <f t="shared" si="30"/>
        <v>224000</v>
      </c>
      <c r="AC86" s="537" t="str">
        <f>'CHAM CONG'!V392</f>
        <v>x</v>
      </c>
      <c r="AD86" s="537" t="str">
        <f>'CHAM CONG'!W392</f>
        <v>x</v>
      </c>
      <c r="AE86" s="535">
        <f t="shared" si="31"/>
        <v>2</v>
      </c>
      <c r="AF86" s="537">
        <f t="shared" si="25"/>
        <v>34000</v>
      </c>
      <c r="AG86" s="537">
        <f t="shared" si="32"/>
        <v>14</v>
      </c>
      <c r="AH86" s="537">
        <f t="shared" si="33"/>
        <v>14000</v>
      </c>
      <c r="AI86" s="537">
        <f t="shared" si="34"/>
        <v>272000</v>
      </c>
      <c r="AJ86" s="519">
        <f>'SAN LUONG'!AF393</f>
        <v>269</v>
      </c>
      <c r="AK86" s="519">
        <f>'SAN LUONG'!AG393</f>
        <v>333</v>
      </c>
      <c r="AL86" s="519">
        <f>'SAN LUONG'!AH393</f>
        <v>353</v>
      </c>
      <c r="AM86" s="519">
        <f>'SAN LUONG'!AI393</f>
        <v>452</v>
      </c>
      <c r="AN86" s="553"/>
      <c r="AO86" s="553">
        <f t="shared" si="35"/>
        <v>0</v>
      </c>
      <c r="AP86" s="553">
        <f t="shared" si="36"/>
        <v>1407</v>
      </c>
      <c r="AQ86" s="553">
        <f t="shared" si="37"/>
        <v>281681</v>
      </c>
      <c r="AR86" s="628">
        <f>'SAN LUONG'!AU302</f>
        <v>0</v>
      </c>
      <c r="AS86" s="629">
        <f t="shared" si="26"/>
        <v>0</v>
      </c>
      <c r="AT86" s="630">
        <f t="shared" si="27"/>
        <v>0</v>
      </c>
      <c r="AU86" s="628">
        <f t="shared" si="28"/>
        <v>18.18</v>
      </c>
      <c r="AV86" s="556">
        <f t="shared" si="38"/>
        <v>553681</v>
      </c>
      <c r="AW86" s="630"/>
      <c r="AX86" s="564">
        <f t="shared" si="39"/>
        <v>553681</v>
      </c>
      <c r="AY86" s="565"/>
      <c r="AZ86" s="639">
        <f t="shared" si="40"/>
        <v>17.329999999999998</v>
      </c>
      <c r="BA86" s="567"/>
    </row>
    <row r="87" spans="1:53" s="483" customFormat="1" ht="39.6" customHeight="1">
      <c r="A87" s="503">
        <v>78</v>
      </c>
      <c r="B87" s="504">
        <v>10</v>
      </c>
      <c r="C87" s="504">
        <v>421</v>
      </c>
      <c r="D87" s="615"/>
      <c r="E87" s="615"/>
      <c r="F87" s="616"/>
      <c r="G87" s="615" t="str">
        <f>'Tên Tháng 1'!E385</f>
        <v>គ្រីប គន្ធា</v>
      </c>
      <c r="H87" s="615" t="str">
        <f>'Tên Tháng 1'!F385</f>
        <v>KRIB KUNTHEA</v>
      </c>
      <c r="I87" s="519" t="str">
        <f>'CHAM CONG'!G393</f>
        <v>x</v>
      </c>
      <c r="J87" s="519" t="str">
        <f>'CHAM CONG'!H393</f>
        <v>x</v>
      </c>
      <c r="K87" s="519" t="str">
        <f>'CHAM CONG'!I393</f>
        <v>x</v>
      </c>
      <c r="L87" s="519">
        <f>'CHAM CONG'!J393</f>
        <v>0</v>
      </c>
      <c r="M87" s="519" t="str">
        <f>'CHAM CONG'!K393</f>
        <v>x</v>
      </c>
      <c r="N87" s="519" t="str">
        <f>'CHAM CONG'!L393</f>
        <v>x</v>
      </c>
      <c r="O87" s="519" t="str">
        <f>'CHAM CONG'!M393</f>
        <v>x</v>
      </c>
      <c r="P87" s="519" t="str">
        <f>'CHAM CONG'!N393</f>
        <v>x</v>
      </c>
      <c r="Q87" s="519" t="str">
        <f>'CHAM CONG'!O393</f>
        <v>x</v>
      </c>
      <c r="R87" s="519" t="str">
        <f>'CHAM CONG'!P393</f>
        <v>x</v>
      </c>
      <c r="S87" s="519" t="str">
        <f>'CHAM CONG'!Q393</f>
        <v>x</v>
      </c>
      <c r="T87" s="519" t="str">
        <f>'CHAM CONG'!R393</f>
        <v>x</v>
      </c>
      <c r="U87" s="519" t="str">
        <f>'CHAM CONG'!S393</f>
        <v>x</v>
      </c>
      <c r="V87" s="519" t="str">
        <f>'CHAM CONG'!T393</f>
        <v>x</v>
      </c>
      <c r="W87" s="519" t="str">
        <f>'CHAM CONG'!U393</f>
        <v>x</v>
      </c>
      <c r="X87" s="519"/>
      <c r="Y87" s="519"/>
      <c r="Z87" s="535">
        <f t="shared" si="29"/>
        <v>14</v>
      </c>
      <c r="AA87" s="536">
        <f t="shared" si="24"/>
        <v>0</v>
      </c>
      <c r="AB87" s="537">
        <f t="shared" si="30"/>
        <v>224000</v>
      </c>
      <c r="AC87" s="537" t="str">
        <f>'CHAM CONG'!V393</f>
        <v>x</v>
      </c>
      <c r="AD87" s="537" t="str">
        <f>'CHAM CONG'!W393</f>
        <v>x</v>
      </c>
      <c r="AE87" s="535">
        <f t="shared" si="31"/>
        <v>2</v>
      </c>
      <c r="AF87" s="537">
        <f t="shared" si="25"/>
        <v>34000</v>
      </c>
      <c r="AG87" s="537">
        <f t="shared" si="32"/>
        <v>14</v>
      </c>
      <c r="AH87" s="537">
        <f t="shared" si="33"/>
        <v>14000</v>
      </c>
      <c r="AI87" s="537">
        <f t="shared" si="34"/>
        <v>272000</v>
      </c>
      <c r="AJ87" s="519">
        <f>'SAN LUONG'!AF394</f>
        <v>227</v>
      </c>
      <c r="AK87" s="519">
        <f>'SAN LUONG'!AG394</f>
        <v>349</v>
      </c>
      <c r="AL87" s="519">
        <f>'SAN LUONG'!AH394</f>
        <v>356</v>
      </c>
      <c r="AM87" s="519">
        <f>'SAN LUONG'!AI394</f>
        <v>480</v>
      </c>
      <c r="AN87" s="553"/>
      <c r="AO87" s="553">
        <f t="shared" si="35"/>
        <v>0</v>
      </c>
      <c r="AP87" s="553">
        <f t="shared" si="36"/>
        <v>1412</v>
      </c>
      <c r="AQ87" s="553">
        <f t="shared" si="37"/>
        <v>282682</v>
      </c>
      <c r="AR87" s="628">
        <f>'SAN LUONG'!AU303</f>
        <v>0</v>
      </c>
      <c r="AS87" s="629">
        <f t="shared" si="26"/>
        <v>0</v>
      </c>
      <c r="AT87" s="630">
        <f t="shared" si="27"/>
        <v>0</v>
      </c>
      <c r="AU87" s="628">
        <f t="shared" si="28"/>
        <v>18.21</v>
      </c>
      <c r="AV87" s="556">
        <f t="shared" si="38"/>
        <v>554682</v>
      </c>
      <c r="AW87" s="630"/>
      <c r="AX87" s="564">
        <f t="shared" si="39"/>
        <v>554682</v>
      </c>
      <c r="AY87" s="565"/>
      <c r="AZ87" s="639">
        <f t="shared" si="40"/>
        <v>17.36</v>
      </c>
      <c r="BA87" s="567"/>
    </row>
    <row r="88" spans="1:53" s="483" customFormat="1" ht="39.6" customHeight="1">
      <c r="A88" s="503">
        <v>79</v>
      </c>
      <c r="B88" s="504">
        <v>10</v>
      </c>
      <c r="C88" s="504">
        <v>422</v>
      </c>
      <c r="D88" s="615"/>
      <c r="E88" s="615"/>
      <c r="F88" s="616"/>
      <c r="G88" s="615" t="str">
        <f>'Tên Tháng 1'!E386</f>
        <v>គ្រីប ស្រិន</v>
      </c>
      <c r="H88" s="615" t="str">
        <f>'Tên Tháng 1'!F386</f>
        <v>KRIB SRIN</v>
      </c>
      <c r="I88" s="519" t="str">
        <f>'CHAM CONG'!G394</f>
        <v>x</v>
      </c>
      <c r="J88" s="519" t="str">
        <f>'CHAM CONG'!H394</f>
        <v>x</v>
      </c>
      <c r="K88" s="519" t="str">
        <f>'CHAM CONG'!I394</f>
        <v>x</v>
      </c>
      <c r="L88" s="519" t="str">
        <f>'CHAM CONG'!J394</f>
        <v>x</v>
      </c>
      <c r="M88" s="519" t="str">
        <f>'CHAM CONG'!K394</f>
        <v>x</v>
      </c>
      <c r="N88" s="519" t="str">
        <f>'CHAM CONG'!L394</f>
        <v>x</v>
      </c>
      <c r="O88" s="519" t="str">
        <f>'CHAM CONG'!M394</f>
        <v>x</v>
      </c>
      <c r="P88" s="519" t="str">
        <f>'CHAM CONG'!N394</f>
        <v>x</v>
      </c>
      <c r="Q88" s="519" t="str">
        <f>'CHAM CONG'!O394</f>
        <v>x</v>
      </c>
      <c r="R88" s="519" t="str">
        <f>'CHAM CONG'!P394</f>
        <v>x</v>
      </c>
      <c r="S88" s="519" t="str">
        <f>'CHAM CONG'!Q394</f>
        <v>x</v>
      </c>
      <c r="T88" s="519" t="str">
        <f>'CHAM CONG'!R394</f>
        <v>x</v>
      </c>
      <c r="U88" s="519" t="str">
        <f>'CHAM CONG'!S394</f>
        <v>x</v>
      </c>
      <c r="V88" s="519" t="str">
        <f>'CHAM CONG'!T394</f>
        <v>x</v>
      </c>
      <c r="W88" s="519" t="str">
        <f>'CHAM CONG'!U394</f>
        <v>x</v>
      </c>
      <c r="X88" s="519"/>
      <c r="Y88" s="519"/>
      <c r="Z88" s="535">
        <f t="shared" si="29"/>
        <v>15</v>
      </c>
      <c r="AA88" s="536">
        <f t="shared" si="24"/>
        <v>0</v>
      </c>
      <c r="AB88" s="537">
        <f t="shared" si="30"/>
        <v>240000</v>
      </c>
      <c r="AC88" s="537" t="str">
        <f>'CHAM CONG'!V394</f>
        <v>x</v>
      </c>
      <c r="AD88" s="537">
        <f>'CHAM CONG'!W394</f>
        <v>0</v>
      </c>
      <c r="AE88" s="535">
        <f t="shared" si="31"/>
        <v>1</v>
      </c>
      <c r="AF88" s="537">
        <f t="shared" si="25"/>
        <v>17000</v>
      </c>
      <c r="AG88" s="537">
        <f t="shared" si="32"/>
        <v>15</v>
      </c>
      <c r="AH88" s="537">
        <f t="shared" si="33"/>
        <v>15000</v>
      </c>
      <c r="AI88" s="537">
        <f t="shared" si="34"/>
        <v>272000</v>
      </c>
      <c r="AJ88" s="519">
        <f>'SAN LUONG'!AF395</f>
        <v>248</v>
      </c>
      <c r="AK88" s="519">
        <f>'SAN LUONG'!AG395</f>
        <v>289</v>
      </c>
      <c r="AL88" s="519">
        <f>'SAN LUONG'!AH395</f>
        <v>344</v>
      </c>
      <c r="AM88" s="519">
        <f>'SAN LUONG'!AI395</f>
        <v>486</v>
      </c>
      <c r="AN88" s="553"/>
      <c r="AO88" s="553">
        <f t="shared" si="35"/>
        <v>0</v>
      </c>
      <c r="AP88" s="553">
        <f t="shared" si="36"/>
        <v>1367</v>
      </c>
      <c r="AQ88" s="553">
        <f t="shared" si="37"/>
        <v>273673</v>
      </c>
      <c r="AR88" s="628">
        <f>'SAN LUONG'!AU304</f>
        <v>0</v>
      </c>
      <c r="AS88" s="629">
        <f t="shared" si="26"/>
        <v>0</v>
      </c>
      <c r="AT88" s="630">
        <f t="shared" si="27"/>
        <v>0</v>
      </c>
      <c r="AU88" s="628">
        <f t="shared" si="28"/>
        <v>17.920000000000002</v>
      </c>
      <c r="AV88" s="556">
        <f t="shared" si="38"/>
        <v>545673</v>
      </c>
      <c r="AW88" s="630"/>
      <c r="AX88" s="564">
        <f t="shared" si="39"/>
        <v>545673</v>
      </c>
      <c r="AY88" s="565"/>
      <c r="AZ88" s="639">
        <f t="shared" si="40"/>
        <v>17.079999999999998</v>
      </c>
      <c r="BA88" s="567"/>
    </row>
    <row r="89" spans="1:53" s="483" customFormat="1" ht="39.6" customHeight="1">
      <c r="A89" s="503">
        <v>80</v>
      </c>
      <c r="B89" s="504">
        <v>10</v>
      </c>
      <c r="C89" s="504">
        <v>423</v>
      </c>
      <c r="D89" s="615"/>
      <c r="E89" s="615"/>
      <c r="F89" s="616"/>
      <c r="G89" s="615" t="str">
        <f>'Tên Tháng 1'!E387</f>
        <v>យូន ថាញ់</v>
      </c>
      <c r="H89" s="615" t="str">
        <f>'Tên Tháng 1'!F387</f>
        <v>YOUN THANH</v>
      </c>
      <c r="I89" s="519" t="str">
        <f>'CHAM CONG'!G395</f>
        <v>x</v>
      </c>
      <c r="J89" s="519" t="str">
        <f>'CHAM CONG'!H395</f>
        <v>x</v>
      </c>
      <c r="K89" s="519" t="str">
        <f>'CHAM CONG'!I395</f>
        <v>x</v>
      </c>
      <c r="L89" s="519" t="str">
        <f>'CHAM CONG'!J395</f>
        <v>x</v>
      </c>
      <c r="M89" s="519" t="str">
        <f>'CHAM CONG'!K395</f>
        <v>x</v>
      </c>
      <c r="N89" s="519" t="str">
        <f>'CHAM CONG'!L395</f>
        <v>x</v>
      </c>
      <c r="O89" s="519" t="str">
        <f>'CHAM CONG'!M395</f>
        <v>x</v>
      </c>
      <c r="P89" s="519" t="str">
        <f>'CHAM CONG'!N395</f>
        <v>x</v>
      </c>
      <c r="Q89" s="519" t="str">
        <f>'CHAM CONG'!O395</f>
        <v>x</v>
      </c>
      <c r="R89" s="519" t="str">
        <f>'CHAM CONG'!P395</f>
        <v>x</v>
      </c>
      <c r="S89" s="519" t="str">
        <f>'CHAM CONG'!Q395</f>
        <v>x</v>
      </c>
      <c r="T89" s="519" t="str">
        <f>'CHAM CONG'!R395</f>
        <v>x</v>
      </c>
      <c r="U89" s="519" t="str">
        <f>'CHAM CONG'!S395</f>
        <v>x</v>
      </c>
      <c r="V89" s="519" t="str">
        <f>'CHAM CONG'!T395</f>
        <v>x</v>
      </c>
      <c r="W89" s="519" t="str">
        <f>'CHAM CONG'!U395</f>
        <v>x</v>
      </c>
      <c r="X89" s="519"/>
      <c r="Y89" s="519"/>
      <c r="Z89" s="535">
        <f t="shared" si="29"/>
        <v>15</v>
      </c>
      <c r="AA89" s="536">
        <f t="shared" si="24"/>
        <v>0</v>
      </c>
      <c r="AB89" s="537">
        <f t="shared" si="30"/>
        <v>240000</v>
      </c>
      <c r="AC89" s="537" t="str">
        <f>'CHAM CONG'!V395</f>
        <v>x</v>
      </c>
      <c r="AD89" s="537" t="str">
        <f>'CHAM CONG'!W395</f>
        <v>x</v>
      </c>
      <c r="AE89" s="535">
        <f t="shared" si="31"/>
        <v>2</v>
      </c>
      <c r="AF89" s="537">
        <f t="shared" si="25"/>
        <v>34000</v>
      </c>
      <c r="AG89" s="537">
        <f t="shared" si="32"/>
        <v>15</v>
      </c>
      <c r="AH89" s="537">
        <f t="shared" si="33"/>
        <v>15000</v>
      </c>
      <c r="AI89" s="537">
        <f t="shared" si="34"/>
        <v>289000</v>
      </c>
      <c r="AJ89" s="519">
        <f>'SAN LUONG'!AF396</f>
        <v>245</v>
      </c>
      <c r="AK89" s="519">
        <f>'SAN LUONG'!AG396</f>
        <v>302</v>
      </c>
      <c r="AL89" s="519">
        <f>'SAN LUONG'!AH396</f>
        <v>330</v>
      </c>
      <c r="AM89" s="519">
        <f>'SAN LUONG'!AI396</f>
        <v>462</v>
      </c>
      <c r="AN89" s="553"/>
      <c r="AO89" s="553">
        <f t="shared" si="35"/>
        <v>0</v>
      </c>
      <c r="AP89" s="553">
        <f t="shared" si="36"/>
        <v>1339</v>
      </c>
      <c r="AQ89" s="553">
        <f t="shared" si="37"/>
        <v>268068</v>
      </c>
      <c r="AR89" s="628">
        <f>'SAN LUONG'!AU305</f>
        <v>0</v>
      </c>
      <c r="AS89" s="629">
        <f t="shared" si="26"/>
        <v>0</v>
      </c>
      <c r="AT89" s="630">
        <f t="shared" si="27"/>
        <v>0</v>
      </c>
      <c r="AU89" s="628">
        <f t="shared" si="28"/>
        <v>18.29</v>
      </c>
      <c r="AV89" s="556">
        <f t="shared" si="38"/>
        <v>557068</v>
      </c>
      <c r="AW89" s="630"/>
      <c r="AX89" s="564">
        <f t="shared" si="39"/>
        <v>557068</v>
      </c>
      <c r="AY89" s="565"/>
      <c r="AZ89" s="639">
        <f t="shared" si="40"/>
        <v>17.440000000000001</v>
      </c>
      <c r="BA89" s="567"/>
    </row>
    <row r="90" spans="1:53" s="483" customFormat="1" ht="39.6" customHeight="1">
      <c r="A90" s="503">
        <v>81</v>
      </c>
      <c r="B90" s="504">
        <v>10</v>
      </c>
      <c r="C90" s="504">
        <v>424</v>
      </c>
      <c r="D90" s="615"/>
      <c r="E90" s="615"/>
      <c r="F90" s="616"/>
      <c r="G90" s="615" t="str">
        <f>'Tên Tháng 1'!E388</f>
        <v>រត សារិ</v>
      </c>
      <c r="H90" s="615" t="str">
        <f>'Tên Tháng 1'!F388</f>
        <v>ROT SARIK</v>
      </c>
      <c r="I90" s="519" t="str">
        <f>'CHAM CONG'!G396</f>
        <v>x</v>
      </c>
      <c r="J90" s="519" t="str">
        <f>'CHAM CONG'!H396</f>
        <v>x</v>
      </c>
      <c r="K90" s="519">
        <f>'CHAM CONG'!I396</f>
        <v>0</v>
      </c>
      <c r="L90" s="519">
        <f>'CHAM CONG'!J396</f>
        <v>0</v>
      </c>
      <c r="M90" s="519" t="str">
        <f>'CHAM CONG'!K396</f>
        <v>x</v>
      </c>
      <c r="N90" s="519" t="str">
        <f>'CHAM CONG'!L396</f>
        <v>x</v>
      </c>
      <c r="O90" s="519" t="str">
        <f>'CHAM CONG'!M396</f>
        <v>x</v>
      </c>
      <c r="P90" s="519" t="str">
        <f>'CHAM CONG'!N396</f>
        <v>x</v>
      </c>
      <c r="Q90" s="519" t="str">
        <f>'CHAM CONG'!O396</f>
        <v>x</v>
      </c>
      <c r="R90" s="519">
        <f>'CHAM CONG'!P396</f>
        <v>0</v>
      </c>
      <c r="S90" s="519" t="str">
        <f>'CHAM CONG'!Q396</f>
        <v>x</v>
      </c>
      <c r="T90" s="519" t="str">
        <f>'CHAM CONG'!R396</f>
        <v>x</v>
      </c>
      <c r="U90" s="519" t="str">
        <f>'CHAM CONG'!S396</f>
        <v>x</v>
      </c>
      <c r="V90" s="519" t="str">
        <f>'CHAM CONG'!T396</f>
        <v>x</v>
      </c>
      <c r="W90" s="519" t="str">
        <f>'CHAM CONG'!U396</f>
        <v>x</v>
      </c>
      <c r="X90" s="519"/>
      <c r="Y90" s="519"/>
      <c r="Z90" s="535">
        <f t="shared" si="29"/>
        <v>12</v>
      </c>
      <c r="AA90" s="536">
        <f t="shared" si="24"/>
        <v>0</v>
      </c>
      <c r="AB90" s="537">
        <f t="shared" si="30"/>
        <v>192000</v>
      </c>
      <c r="AC90" s="537">
        <f>'CHAM CONG'!V396</f>
        <v>0</v>
      </c>
      <c r="AD90" s="537">
        <f>'CHAM CONG'!W396</f>
        <v>0</v>
      </c>
      <c r="AE90" s="535">
        <f t="shared" si="31"/>
        <v>0</v>
      </c>
      <c r="AF90" s="537">
        <f t="shared" si="25"/>
        <v>0</v>
      </c>
      <c r="AG90" s="537">
        <f t="shared" si="32"/>
        <v>12</v>
      </c>
      <c r="AH90" s="537">
        <f t="shared" si="33"/>
        <v>12000</v>
      </c>
      <c r="AI90" s="537">
        <f t="shared" si="34"/>
        <v>204000</v>
      </c>
      <c r="AJ90" s="519">
        <f>'SAN LUONG'!AF397</f>
        <v>132</v>
      </c>
      <c r="AK90" s="519">
        <f>'SAN LUONG'!AG397</f>
        <v>295</v>
      </c>
      <c r="AL90" s="519">
        <f>'SAN LUONG'!AH397</f>
        <v>224</v>
      </c>
      <c r="AM90" s="519">
        <f>'SAN LUONG'!AI397</f>
        <v>454</v>
      </c>
      <c r="AN90" s="553"/>
      <c r="AO90" s="553">
        <f t="shared" si="35"/>
        <v>0</v>
      </c>
      <c r="AP90" s="553">
        <f t="shared" si="36"/>
        <v>1105</v>
      </c>
      <c r="AQ90" s="553">
        <f t="shared" si="37"/>
        <v>221221</v>
      </c>
      <c r="AR90" s="628">
        <f>'SAN LUONG'!AU306</f>
        <v>0</v>
      </c>
      <c r="AS90" s="629">
        <f t="shared" si="26"/>
        <v>0</v>
      </c>
      <c r="AT90" s="630">
        <f t="shared" si="27"/>
        <v>0</v>
      </c>
      <c r="AU90" s="628">
        <f t="shared" si="28"/>
        <v>13.96</v>
      </c>
      <c r="AV90" s="556">
        <f t="shared" si="38"/>
        <v>425221</v>
      </c>
      <c r="AW90" s="630"/>
      <c r="AX90" s="564">
        <f t="shared" si="39"/>
        <v>425221</v>
      </c>
      <c r="AY90" s="565"/>
      <c r="AZ90" s="639">
        <f t="shared" si="40"/>
        <v>13.31</v>
      </c>
      <c r="BA90" s="567"/>
    </row>
    <row r="91" spans="1:53" s="483" customFormat="1" ht="39.6" customHeight="1">
      <c r="A91" s="503">
        <v>82</v>
      </c>
      <c r="B91" s="504">
        <v>10</v>
      </c>
      <c r="C91" s="504">
        <v>425</v>
      </c>
      <c r="D91" s="615"/>
      <c r="E91" s="615"/>
      <c r="F91" s="616"/>
      <c r="G91" s="615" t="str">
        <f>'Tên Tháng 1'!E389</f>
        <v>គា គន្ធា</v>
      </c>
      <c r="H91" s="615" t="str">
        <f>'Tên Tháng 1'!F389</f>
        <v>KHEA KUNTHEA</v>
      </c>
      <c r="I91" s="519" t="str">
        <f>'CHAM CONG'!G397</f>
        <v>x</v>
      </c>
      <c r="J91" s="519" t="str">
        <f>'CHAM CONG'!H397</f>
        <v>x</v>
      </c>
      <c r="K91" s="519" t="str">
        <f>'CHAM CONG'!I397</f>
        <v>x</v>
      </c>
      <c r="L91" s="519" t="str">
        <f>'CHAM CONG'!J397</f>
        <v>x</v>
      </c>
      <c r="M91" s="519" t="str">
        <f>'CHAM CONG'!K397</f>
        <v>x</v>
      </c>
      <c r="N91" s="519" t="str">
        <f>'CHAM CONG'!L397</f>
        <v>x</v>
      </c>
      <c r="O91" s="519" t="str">
        <f>'CHAM CONG'!M397</f>
        <v>x</v>
      </c>
      <c r="P91" s="519" t="str">
        <f>'CHAM CONG'!N397</f>
        <v>x</v>
      </c>
      <c r="Q91" s="519" t="str">
        <f>'CHAM CONG'!O397</f>
        <v>x</v>
      </c>
      <c r="R91" s="519">
        <f>'CHAM CONG'!P397</f>
        <v>0</v>
      </c>
      <c r="S91" s="519" t="str">
        <f>'CHAM CONG'!Q397</f>
        <v>x</v>
      </c>
      <c r="T91" s="519" t="str">
        <f>'CHAM CONG'!R397</f>
        <v>x</v>
      </c>
      <c r="U91" s="519" t="str">
        <f>'CHAM CONG'!S397</f>
        <v>x</v>
      </c>
      <c r="V91" s="519" t="str">
        <f>'CHAM CONG'!T397</f>
        <v>x</v>
      </c>
      <c r="W91" s="519" t="str">
        <f>'CHAM CONG'!U397</f>
        <v>x</v>
      </c>
      <c r="X91" s="519"/>
      <c r="Y91" s="519"/>
      <c r="Z91" s="535">
        <f t="shared" si="29"/>
        <v>14</v>
      </c>
      <c r="AA91" s="536">
        <f t="shared" si="24"/>
        <v>0</v>
      </c>
      <c r="AB91" s="537">
        <f t="shared" si="30"/>
        <v>224000</v>
      </c>
      <c r="AC91" s="537" t="str">
        <f>'CHAM CONG'!V397</f>
        <v>x</v>
      </c>
      <c r="AD91" s="537" t="str">
        <f>'CHAM CONG'!W397</f>
        <v>x</v>
      </c>
      <c r="AE91" s="535">
        <f t="shared" si="31"/>
        <v>2</v>
      </c>
      <c r="AF91" s="537">
        <f t="shared" si="25"/>
        <v>34000</v>
      </c>
      <c r="AG91" s="537">
        <f t="shared" si="32"/>
        <v>14</v>
      </c>
      <c r="AH91" s="537">
        <f t="shared" si="33"/>
        <v>14000</v>
      </c>
      <c r="AI91" s="537">
        <f t="shared" si="34"/>
        <v>272000</v>
      </c>
      <c r="AJ91" s="519">
        <f>'SAN LUONG'!AF398</f>
        <v>244</v>
      </c>
      <c r="AK91" s="519">
        <f>'SAN LUONG'!AG398</f>
        <v>428</v>
      </c>
      <c r="AL91" s="519">
        <f>'SAN LUONG'!AH398</f>
        <v>468</v>
      </c>
      <c r="AM91" s="519">
        <f>'SAN LUONG'!AI398</f>
        <v>550</v>
      </c>
      <c r="AN91" s="553"/>
      <c r="AO91" s="553">
        <f t="shared" si="35"/>
        <v>0</v>
      </c>
      <c r="AP91" s="553">
        <f t="shared" si="36"/>
        <v>1690</v>
      </c>
      <c r="AQ91" s="553">
        <f t="shared" si="37"/>
        <v>338338</v>
      </c>
      <c r="AR91" s="628">
        <f>'SAN LUONG'!AU307</f>
        <v>0</v>
      </c>
      <c r="AS91" s="629">
        <f t="shared" si="26"/>
        <v>0</v>
      </c>
      <c r="AT91" s="630">
        <f t="shared" si="27"/>
        <v>0</v>
      </c>
      <c r="AU91" s="628">
        <f t="shared" si="28"/>
        <v>20.04</v>
      </c>
      <c r="AV91" s="556">
        <f t="shared" si="38"/>
        <v>610338</v>
      </c>
      <c r="AW91" s="630"/>
      <c r="AX91" s="564">
        <f t="shared" si="39"/>
        <v>610338</v>
      </c>
      <c r="AY91" s="565"/>
      <c r="AZ91" s="639">
        <f t="shared" si="40"/>
        <v>19.100000000000001</v>
      </c>
      <c r="BA91" s="567"/>
    </row>
    <row r="92" spans="1:53" s="483" customFormat="1" ht="39.6" customHeight="1">
      <c r="A92" s="503">
        <v>83</v>
      </c>
      <c r="B92" s="504">
        <v>10</v>
      </c>
      <c r="C92" s="504">
        <v>426</v>
      </c>
      <c r="D92" s="615"/>
      <c r="E92" s="615"/>
      <c r="F92" s="616"/>
      <c r="G92" s="615" t="str">
        <f>'Tên Tháng 1'!E390</f>
        <v>សេង ត្រុច</v>
      </c>
      <c r="H92" s="615" t="str">
        <f>'Tên Tháng 1'!F390</f>
        <v>SENG TROCH</v>
      </c>
      <c r="I92" s="519" t="str">
        <f>'CHAM CONG'!G398</f>
        <v>x</v>
      </c>
      <c r="J92" s="519" t="str">
        <f>'CHAM CONG'!H398</f>
        <v>x</v>
      </c>
      <c r="K92" s="519" t="str">
        <f>'CHAM CONG'!I398</f>
        <v>x</v>
      </c>
      <c r="L92" s="519">
        <f>'CHAM CONG'!J398</f>
        <v>0</v>
      </c>
      <c r="M92" s="519" t="str">
        <f>'CHAM CONG'!K398</f>
        <v>x</v>
      </c>
      <c r="N92" s="519" t="str">
        <f>'CHAM CONG'!L398</f>
        <v>x</v>
      </c>
      <c r="O92" s="519" t="str">
        <f>'CHAM CONG'!M398</f>
        <v>x</v>
      </c>
      <c r="P92" s="519" t="str">
        <f>'CHAM CONG'!N398</f>
        <v>x</v>
      </c>
      <c r="Q92" s="519" t="str">
        <f>'CHAM CONG'!O398</f>
        <v>x</v>
      </c>
      <c r="R92" s="519" t="str">
        <f>'CHAM CONG'!P398</f>
        <v>x</v>
      </c>
      <c r="S92" s="519" t="str">
        <f>'CHAM CONG'!Q398</f>
        <v>x</v>
      </c>
      <c r="T92" s="519" t="str">
        <f>'CHAM CONG'!R398</f>
        <v>x</v>
      </c>
      <c r="U92" s="519" t="str">
        <f>'CHAM CONG'!S398</f>
        <v>x</v>
      </c>
      <c r="V92" s="519" t="str">
        <f>'CHAM CONG'!T398</f>
        <v>x</v>
      </c>
      <c r="W92" s="519" t="str">
        <f>'CHAM CONG'!U398</f>
        <v>x</v>
      </c>
      <c r="X92" s="519"/>
      <c r="Y92" s="519"/>
      <c r="Z92" s="535">
        <f t="shared" si="29"/>
        <v>14</v>
      </c>
      <c r="AA92" s="536">
        <f t="shared" si="24"/>
        <v>0</v>
      </c>
      <c r="AB92" s="537">
        <f t="shared" si="30"/>
        <v>224000</v>
      </c>
      <c r="AC92" s="537" t="str">
        <f>'CHAM CONG'!V398</f>
        <v>x</v>
      </c>
      <c r="AD92" s="537" t="str">
        <f>'CHAM CONG'!W398</f>
        <v>x</v>
      </c>
      <c r="AE92" s="535">
        <f t="shared" si="31"/>
        <v>2</v>
      </c>
      <c r="AF92" s="537">
        <f t="shared" si="25"/>
        <v>34000</v>
      </c>
      <c r="AG92" s="537">
        <f t="shared" si="32"/>
        <v>14</v>
      </c>
      <c r="AH92" s="537">
        <f t="shared" si="33"/>
        <v>14000</v>
      </c>
      <c r="AI92" s="537">
        <f t="shared" si="34"/>
        <v>272000</v>
      </c>
      <c r="AJ92" s="519">
        <f>'SAN LUONG'!AF399</f>
        <v>226</v>
      </c>
      <c r="AK92" s="519">
        <f>'SAN LUONG'!AG399</f>
        <v>276</v>
      </c>
      <c r="AL92" s="519">
        <f>'SAN LUONG'!AH399</f>
        <v>451</v>
      </c>
      <c r="AM92" s="519">
        <f>'SAN LUONG'!AI399</f>
        <v>494</v>
      </c>
      <c r="AN92" s="553"/>
      <c r="AO92" s="553">
        <f t="shared" si="35"/>
        <v>0</v>
      </c>
      <c r="AP92" s="553">
        <f t="shared" si="36"/>
        <v>1447</v>
      </c>
      <c r="AQ92" s="553">
        <f t="shared" si="37"/>
        <v>289689</v>
      </c>
      <c r="AR92" s="628">
        <f>'SAN LUONG'!AU308</f>
        <v>0</v>
      </c>
      <c r="AS92" s="629">
        <f t="shared" si="26"/>
        <v>0</v>
      </c>
      <c r="AT92" s="630">
        <f t="shared" si="27"/>
        <v>0</v>
      </c>
      <c r="AU92" s="628">
        <f t="shared" si="28"/>
        <v>18.440000000000001</v>
      </c>
      <c r="AV92" s="556">
        <f t="shared" si="38"/>
        <v>561689</v>
      </c>
      <c r="AW92" s="630"/>
      <c r="AX92" s="564">
        <f t="shared" si="39"/>
        <v>561689</v>
      </c>
      <c r="AY92" s="565"/>
      <c r="AZ92" s="639">
        <f t="shared" si="40"/>
        <v>17.579999999999998</v>
      </c>
      <c r="BA92" s="567"/>
    </row>
    <row r="93" spans="1:53" s="483" customFormat="1" ht="39.6" customHeight="1">
      <c r="A93" s="503">
        <v>84</v>
      </c>
      <c r="B93" s="504">
        <v>10</v>
      </c>
      <c r="C93" s="504">
        <v>427</v>
      </c>
      <c r="D93" s="615"/>
      <c r="E93" s="615"/>
      <c r="F93" s="616"/>
      <c r="G93" s="615" t="str">
        <f>'Tên Tháng 1'!E391</f>
        <v>ឡាក់ ចំរើន</v>
      </c>
      <c r="H93" s="615" t="str">
        <f>'Tên Tháng 1'!F391</f>
        <v>LAK CHAMRERN</v>
      </c>
      <c r="I93" s="519" t="str">
        <f>'CHAM CONG'!G399</f>
        <v>x</v>
      </c>
      <c r="J93" s="519" t="str">
        <f>'CHAM CONG'!H399</f>
        <v>x</v>
      </c>
      <c r="K93" s="519" t="str">
        <f>'CHAM CONG'!I399</f>
        <v>x</v>
      </c>
      <c r="L93" s="519">
        <f>'CHAM CONG'!J399</f>
        <v>0</v>
      </c>
      <c r="M93" s="519" t="str">
        <f>'CHAM CONG'!K399</f>
        <v>x</v>
      </c>
      <c r="N93" s="519" t="str">
        <f>'CHAM CONG'!L399</f>
        <v>x</v>
      </c>
      <c r="O93" s="519" t="str">
        <f>'CHAM CONG'!M399</f>
        <v>x</v>
      </c>
      <c r="P93" s="519" t="str">
        <f>'CHAM CONG'!N399</f>
        <v>x</v>
      </c>
      <c r="Q93" s="519" t="str">
        <f>'CHAM CONG'!O399</f>
        <v>x</v>
      </c>
      <c r="R93" s="519" t="str">
        <f>'CHAM CONG'!P399</f>
        <v>x</v>
      </c>
      <c r="S93" s="519" t="str">
        <f>'CHAM CONG'!Q399</f>
        <v>x</v>
      </c>
      <c r="T93" s="519" t="str">
        <f>'CHAM CONG'!R399</f>
        <v>x</v>
      </c>
      <c r="U93" s="519" t="str">
        <f>'CHAM CONG'!S399</f>
        <v>x</v>
      </c>
      <c r="V93" s="519" t="str">
        <f>'CHAM CONG'!T399</f>
        <v>x</v>
      </c>
      <c r="W93" s="519" t="str">
        <f>'CHAM CONG'!U399</f>
        <v>x</v>
      </c>
      <c r="X93" s="519"/>
      <c r="Y93" s="519"/>
      <c r="Z93" s="535">
        <f t="shared" si="29"/>
        <v>14</v>
      </c>
      <c r="AA93" s="536">
        <f t="shared" si="24"/>
        <v>0</v>
      </c>
      <c r="AB93" s="537">
        <f t="shared" si="30"/>
        <v>224000</v>
      </c>
      <c r="AC93" s="537">
        <f>'CHAM CONG'!V399</f>
        <v>0</v>
      </c>
      <c r="AD93" s="537" t="str">
        <f>'CHAM CONG'!W399</f>
        <v>x</v>
      </c>
      <c r="AE93" s="535">
        <f t="shared" si="31"/>
        <v>1</v>
      </c>
      <c r="AF93" s="537">
        <f t="shared" si="25"/>
        <v>17000</v>
      </c>
      <c r="AG93" s="537">
        <f t="shared" si="32"/>
        <v>14</v>
      </c>
      <c r="AH93" s="537">
        <f t="shared" si="33"/>
        <v>14000</v>
      </c>
      <c r="AI93" s="537">
        <f t="shared" si="34"/>
        <v>255000</v>
      </c>
      <c r="AJ93" s="519">
        <f>'SAN LUONG'!AF400</f>
        <v>180</v>
      </c>
      <c r="AK93" s="519">
        <f>'SAN LUONG'!AG400</f>
        <v>286</v>
      </c>
      <c r="AL93" s="519">
        <f>'SAN LUONG'!AH400</f>
        <v>1021</v>
      </c>
      <c r="AM93" s="519">
        <f>'SAN LUONG'!AI400</f>
        <v>367</v>
      </c>
      <c r="AN93" s="553"/>
      <c r="AO93" s="553">
        <f t="shared" si="35"/>
        <v>0</v>
      </c>
      <c r="AP93" s="553">
        <f t="shared" si="36"/>
        <v>1854</v>
      </c>
      <c r="AQ93" s="553">
        <f t="shared" si="37"/>
        <v>371171</v>
      </c>
      <c r="AR93" s="628">
        <f>'SAN LUONG'!AU309</f>
        <v>0</v>
      </c>
      <c r="AS93" s="629">
        <f t="shared" si="26"/>
        <v>0</v>
      </c>
      <c r="AT93" s="630">
        <f t="shared" si="27"/>
        <v>0</v>
      </c>
      <c r="AU93" s="628">
        <f t="shared" si="28"/>
        <v>20.56</v>
      </c>
      <c r="AV93" s="556">
        <f t="shared" si="38"/>
        <v>626171</v>
      </c>
      <c r="AW93" s="630"/>
      <c r="AX93" s="564">
        <f t="shared" si="39"/>
        <v>626171</v>
      </c>
      <c r="AY93" s="565">
        <f>SUM(AX52:AX93)</f>
        <v>22249106</v>
      </c>
      <c r="AZ93" s="639">
        <f t="shared" si="40"/>
        <v>19.600000000000001</v>
      </c>
      <c r="BA93" s="567"/>
    </row>
    <row r="94" spans="1:53" s="608" customFormat="1" ht="15.75" customHeight="1">
      <c r="A94" s="640"/>
      <c r="B94" s="641"/>
      <c r="C94" s="641"/>
      <c r="D94" s="641"/>
      <c r="E94" s="641"/>
      <c r="F94" s="642"/>
      <c r="G94" s="643"/>
      <c r="H94" s="644"/>
      <c r="I94" s="652"/>
      <c r="J94" s="652"/>
      <c r="K94" s="652"/>
      <c r="L94" s="652"/>
      <c r="M94" s="653"/>
      <c r="N94" s="653"/>
      <c r="O94" s="653"/>
      <c r="P94" s="652"/>
      <c r="Q94" s="652"/>
      <c r="R94" s="652"/>
      <c r="S94" s="652"/>
      <c r="T94" s="652"/>
      <c r="U94" s="652"/>
      <c r="V94" s="652"/>
      <c r="W94" s="652"/>
      <c r="X94" s="652"/>
      <c r="Y94" s="652"/>
      <c r="Z94" s="655"/>
      <c r="AA94" s="656"/>
      <c r="AB94" s="655"/>
      <c r="AC94" s="655"/>
      <c r="AD94" s="655"/>
      <c r="AE94" s="655"/>
      <c r="AF94" s="655"/>
      <c r="AG94" s="655"/>
      <c r="AH94" s="655"/>
      <c r="AI94" s="655"/>
      <c r="AJ94" s="661"/>
      <c r="AK94" s="661"/>
      <c r="AL94" s="661"/>
      <c r="AM94" s="661"/>
      <c r="AN94" s="662"/>
      <c r="AO94" s="662"/>
      <c r="AP94" s="662"/>
      <c r="AQ94" s="662"/>
      <c r="AR94" s="668"/>
      <c r="AS94" s="668"/>
      <c r="AT94" s="668"/>
      <c r="AU94" s="668"/>
      <c r="AV94" s="669"/>
      <c r="AW94" s="668"/>
      <c r="AX94" s="662"/>
      <c r="AY94" s="676"/>
      <c r="AZ94" s="677"/>
    </row>
    <row r="95" spans="1:53" s="260" customFormat="1" ht="54.6" customHeight="1">
      <c r="A95" s="1379" t="s">
        <v>1432</v>
      </c>
      <c r="B95" s="1380"/>
      <c r="C95" s="1380"/>
      <c r="D95" s="1380"/>
      <c r="E95" s="1380"/>
      <c r="F95" s="1380"/>
      <c r="G95" s="1380"/>
      <c r="H95" s="1381"/>
      <c r="I95" s="576">
        <f t="shared" ref="I95:Y95" si="41">COUNTIF(I10:I93,"x")</f>
        <v>74</v>
      </c>
      <c r="J95" s="576">
        <f t="shared" si="41"/>
        <v>84</v>
      </c>
      <c r="K95" s="576">
        <f t="shared" si="41"/>
        <v>82</v>
      </c>
      <c r="L95" s="576">
        <f t="shared" si="41"/>
        <v>13</v>
      </c>
      <c r="M95" s="654">
        <f t="shared" si="41"/>
        <v>69</v>
      </c>
      <c r="N95" s="654">
        <f t="shared" si="41"/>
        <v>83</v>
      </c>
      <c r="O95" s="654">
        <f t="shared" si="41"/>
        <v>76</v>
      </c>
      <c r="P95" s="576">
        <f t="shared" si="41"/>
        <v>84</v>
      </c>
      <c r="Q95" s="576">
        <f t="shared" si="41"/>
        <v>81</v>
      </c>
      <c r="R95" s="576">
        <f t="shared" si="41"/>
        <v>72</v>
      </c>
      <c r="S95" s="576">
        <f t="shared" si="41"/>
        <v>79</v>
      </c>
      <c r="T95" s="576">
        <f t="shared" si="41"/>
        <v>83</v>
      </c>
      <c r="U95" s="576">
        <f t="shared" si="41"/>
        <v>84</v>
      </c>
      <c r="V95" s="576">
        <f t="shared" si="41"/>
        <v>83</v>
      </c>
      <c r="W95" s="576">
        <f t="shared" si="41"/>
        <v>84</v>
      </c>
      <c r="X95" s="576">
        <f t="shared" si="41"/>
        <v>0</v>
      </c>
      <c r="Y95" s="576">
        <f t="shared" si="41"/>
        <v>0</v>
      </c>
      <c r="Z95" s="592">
        <f t="shared" ref="Z95:AX95" si="42">SUM(Z10:Z93)</f>
        <v>1131</v>
      </c>
      <c r="AA95" s="582">
        <f t="shared" si="42"/>
        <v>0</v>
      </c>
      <c r="AB95" s="592">
        <f t="shared" si="42"/>
        <v>18096000</v>
      </c>
      <c r="AC95" s="576">
        <f>COUNTIF(AC10:AC93,"x")</f>
        <v>60</v>
      </c>
      <c r="AD95" s="576">
        <f>COUNTIF(AD10:AD93,"x")</f>
        <v>64</v>
      </c>
      <c r="AE95" s="589">
        <f>SUM(AE10:AE93)</f>
        <v>124</v>
      </c>
      <c r="AF95" s="592">
        <f>SUM(AF10:AF93)</f>
        <v>2108000</v>
      </c>
      <c r="AG95" s="592">
        <f>SUM(AG10:AG93)</f>
        <v>1131</v>
      </c>
      <c r="AH95" s="589">
        <f t="shared" si="42"/>
        <v>1131000</v>
      </c>
      <c r="AI95" s="592">
        <f t="shared" si="42"/>
        <v>21335000</v>
      </c>
      <c r="AJ95" s="663">
        <f t="shared" si="42"/>
        <v>17966</v>
      </c>
      <c r="AK95" s="663">
        <f t="shared" si="42"/>
        <v>20648</v>
      </c>
      <c r="AL95" s="663">
        <f t="shared" si="42"/>
        <v>29506</v>
      </c>
      <c r="AM95" s="663">
        <f t="shared" si="42"/>
        <v>35813</v>
      </c>
      <c r="AN95" s="592">
        <f t="shared" si="42"/>
        <v>6249</v>
      </c>
      <c r="AO95" s="592">
        <f t="shared" si="42"/>
        <v>1388528</v>
      </c>
      <c r="AP95" s="592">
        <f t="shared" si="42"/>
        <v>97684</v>
      </c>
      <c r="AQ95" s="592">
        <f t="shared" si="42"/>
        <v>19556337</v>
      </c>
      <c r="AR95" s="593">
        <f t="shared" si="42"/>
        <v>0</v>
      </c>
      <c r="AS95" s="593">
        <f t="shared" si="42"/>
        <v>0</v>
      </c>
      <c r="AT95" s="593">
        <f t="shared" si="42"/>
        <v>0</v>
      </c>
      <c r="AU95" s="593">
        <f t="shared" si="42"/>
        <v>1388.2500000000005</v>
      </c>
      <c r="AV95" s="592">
        <f t="shared" si="42"/>
        <v>42279865</v>
      </c>
      <c r="AW95" s="663">
        <f t="shared" si="42"/>
        <v>0</v>
      </c>
      <c r="AX95" s="593">
        <f t="shared" si="42"/>
        <v>42279865</v>
      </c>
      <c r="AY95" s="601">
        <f>AY93+AY51</f>
        <v>42279865</v>
      </c>
      <c r="AZ95" s="602">
        <f>SUM(AZ10:AZ93)</f>
        <v>1323.3799999999994</v>
      </c>
      <c r="BA95" s="678">
        <f>SUM(BA10:BA93)</f>
        <v>0</v>
      </c>
    </row>
    <row r="96" spans="1:53" s="609" customFormat="1" ht="18.75" customHeight="1">
      <c r="F96" s="645"/>
      <c r="G96" s="646"/>
      <c r="H96" s="647"/>
      <c r="M96" s="130"/>
      <c r="N96" s="130"/>
      <c r="O96" s="130"/>
      <c r="Z96" s="657"/>
      <c r="AA96" s="658"/>
      <c r="AB96" s="657"/>
      <c r="AC96" s="657"/>
      <c r="AD96" s="657"/>
      <c r="AJ96" s="664"/>
      <c r="AK96" s="664"/>
      <c r="AL96" s="664"/>
      <c r="AM96" s="664"/>
      <c r="AN96" s="665"/>
      <c r="AO96" s="665"/>
      <c r="AP96" s="665"/>
      <c r="AQ96" s="670"/>
      <c r="AR96" s="664"/>
      <c r="AS96" s="664"/>
      <c r="AT96" s="664"/>
      <c r="AU96" s="671"/>
      <c r="AV96" s="670"/>
      <c r="AW96" s="671"/>
      <c r="AX96" s="670"/>
      <c r="AY96" s="657"/>
      <c r="AZ96" s="658"/>
    </row>
    <row r="97" spans="6:52" s="610" customFormat="1" ht="28.95" customHeight="1">
      <c r="F97" s="648"/>
      <c r="G97" s="646"/>
      <c r="H97" s="649"/>
      <c r="M97" s="9"/>
      <c r="N97" s="9"/>
      <c r="O97" s="9"/>
      <c r="W97" s="610">
        <v>2011</v>
      </c>
      <c r="Z97" s="659">
        <f>Z95+'GA 2'!Z148+'GA 1'!Z178</f>
        <v>4968</v>
      </c>
      <c r="AA97" s="660">
        <f>AA95+'GA 1'!AA178+'GA 2'!AA148</f>
        <v>0</v>
      </c>
      <c r="AB97" s="659">
        <f>AB95+'GA 1'!AB178+'GA 2'!AB148</f>
        <v>79488000</v>
      </c>
      <c r="AC97" s="659"/>
      <c r="AD97" s="659"/>
      <c r="AE97" s="660"/>
      <c r="AF97" s="660"/>
      <c r="AG97" s="660"/>
      <c r="AH97" s="660"/>
      <c r="AI97" s="660"/>
      <c r="AN97" s="659"/>
      <c r="AO97" s="659"/>
      <c r="AP97" s="659"/>
      <c r="AQ97" s="659"/>
      <c r="AR97" s="672"/>
      <c r="AS97" s="672"/>
      <c r="AT97" s="672"/>
      <c r="AU97" s="672"/>
      <c r="AV97" s="673"/>
      <c r="AW97" s="679"/>
      <c r="AX97" s="1392"/>
      <c r="AY97" s="1392"/>
      <c r="AZ97" s="680"/>
    </row>
    <row r="98" spans="6:52" s="611" customFormat="1" ht="18">
      <c r="F98" s="650"/>
      <c r="G98" s="612"/>
      <c r="H98" s="651"/>
      <c r="M98" s="9"/>
      <c r="N98" s="9"/>
      <c r="O98" s="9"/>
      <c r="W98" s="610">
        <v>2012</v>
      </c>
      <c r="X98" s="610"/>
      <c r="Y98" s="610"/>
      <c r="Z98" s="12"/>
      <c r="AA98" s="660"/>
      <c r="AB98" s="659"/>
      <c r="AC98" s="659"/>
      <c r="AD98" s="659"/>
      <c r="AE98" s="610"/>
      <c r="AF98" s="610"/>
      <c r="AG98" s="610"/>
      <c r="AH98" s="610"/>
      <c r="AI98" s="610"/>
      <c r="AJ98" s="610"/>
      <c r="AK98" s="666">
        <f>AK10+AK11+AK12+AK13+AK14+AK15+AJ28+AJ29+AJ30+AJ31+AJ32+AJ33+AJ34+AJ35+AJ36+AJ37+AJ38+AJ39+AJ40+AJ41+AJ42+AJ43+AJ44+AJ45+AJ46+AJ47+AJ48+AJ49+AJ50+AJ51</f>
        <v>6249</v>
      </c>
      <c r="AL98" s="667">
        <f>ROUND(AK98*0.44*505,0)</f>
        <v>1388528</v>
      </c>
      <c r="AM98" s="610"/>
      <c r="AN98" s="659"/>
      <c r="AO98" s="659"/>
      <c r="AP98" s="659"/>
      <c r="AQ98" s="659"/>
      <c r="AR98" s="674"/>
      <c r="AS98" s="674"/>
      <c r="AT98" s="674"/>
      <c r="AU98" s="674"/>
      <c r="AV98" s="675"/>
      <c r="AW98" s="681"/>
      <c r="AX98" s="1393"/>
      <c r="AY98" s="1393"/>
      <c r="AZ98" s="682"/>
    </row>
    <row r="103" spans="6:52">
      <c r="AX103" s="543"/>
      <c r="AY103" s="543"/>
      <c r="AZ103" s="586"/>
    </row>
    <row r="104" spans="6:52"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AX104" s="1342"/>
      <c r="AY104" s="1342"/>
      <c r="AZ104" s="631"/>
    </row>
    <row r="105" spans="6:52"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</row>
    <row r="106" spans="6:52">
      <c r="L106" s="1345"/>
      <c r="M106" s="1345"/>
    </row>
    <row r="107" spans="6:52">
      <c r="L107" s="1345"/>
      <c r="M107" s="1343"/>
    </row>
    <row r="108" spans="6:52">
      <c r="L108" s="1364"/>
      <c r="M108" s="1365"/>
    </row>
    <row r="111" spans="6:52" ht="15" customHeight="1"/>
  </sheetData>
  <mergeCells count="33">
    <mergeCell ref="L108:M108"/>
    <mergeCell ref="A6:A7"/>
    <mergeCell ref="B6:B7"/>
    <mergeCell ref="C6:C7"/>
    <mergeCell ref="D6:D7"/>
    <mergeCell ref="E6:E7"/>
    <mergeCell ref="F6:F7"/>
    <mergeCell ref="G6:G7"/>
    <mergeCell ref="H6:H7"/>
    <mergeCell ref="A95:H95"/>
    <mergeCell ref="AX97:AY97"/>
    <mergeCell ref="AX98:AY98"/>
    <mergeCell ref="AX104:AY104"/>
    <mergeCell ref="L106:M106"/>
    <mergeCell ref="AU6:AU7"/>
    <mergeCell ref="AV6:AV7"/>
    <mergeCell ref="AX6:AX7"/>
    <mergeCell ref="L107:M107"/>
    <mergeCell ref="A4:AY4"/>
    <mergeCell ref="A5:AY5"/>
    <mergeCell ref="AC6:AF6"/>
    <mergeCell ref="AG6:AH6"/>
    <mergeCell ref="AJ6:AQ6"/>
    <mergeCell ref="AR6:AT6"/>
    <mergeCell ref="Z6:Z7"/>
    <mergeCell ref="AB6:AB7"/>
    <mergeCell ref="AI6:AI7"/>
    <mergeCell ref="A1:P1"/>
    <mergeCell ref="AX1:AY1"/>
    <mergeCell ref="A2:P2"/>
    <mergeCell ref="AX2:AY2"/>
    <mergeCell ref="A3:P3"/>
    <mergeCell ref="AX3:AY3"/>
  </mergeCells>
  <conditionalFormatting sqref="G6:G7">
    <cfRule type="duplicateValues" dxfId="66" priority="1" stopIfTrue="1"/>
    <cfRule type="duplicateValues" dxfId="65" priority="2" stopIfTrue="1"/>
    <cfRule type="duplicateValues" dxfId="64" priority="3" stopIfTrue="1"/>
    <cfRule type="duplicateValues" dxfId="60" priority="4" stopIfTrue="1"/>
    <cfRule type="duplicateValues" dxfId="59" priority="5" stopIfTrue="1"/>
  </conditionalFormatting>
  <conditionalFormatting sqref="H6:H7">
    <cfRule type="duplicateValues" dxfId="63" priority="6" stopIfTrue="1"/>
    <cfRule type="duplicateValues" dxfId="62" priority="7" stopIfTrue="1"/>
    <cfRule type="duplicateValues" dxfId="61" priority="8" stopIfTrue="1"/>
    <cfRule type="duplicateValues" dxfId="58" priority="9" stopIfTrue="1"/>
    <cfRule type="duplicateValues" dxfId="57" priority="10" stopIfTrue="1"/>
  </conditionalFormatting>
  <printOptions horizontalCentered="1"/>
  <pageMargins left="0.11999999999999998" right="0.23999999999999996" top="0.31" bottom="0.23999999999999996" header="0" footer="0"/>
  <pageSetup paperSize="9" scale="55" orientation="landscape" r:id="rId1"/>
  <headerFooter>
    <oddFooter>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9FB4C-3CE3-49D9-9766-CC78490B2AD6}">
  <sheetPr>
    <tabColor rgb="FFFFFF00"/>
  </sheetPr>
  <dimension ref="A1:HS124"/>
  <sheetViews>
    <sheetView view="pageBreakPreview" topLeftCell="B5" zoomScale="70" zoomScaleNormal="60" workbookViewId="0">
      <pane xSplit="5" ySplit="4" topLeftCell="AF105" activePane="bottomRight" state="frozen"/>
      <selection pane="topRight" activeCell="B5" sqref="B5"/>
      <selection pane="bottomLeft" activeCell="B5" sqref="B5"/>
      <selection pane="bottomRight" activeCell="D495" sqref="D495"/>
    </sheetView>
  </sheetViews>
  <sheetFormatPr defaultColWidth="8.69921875" defaultRowHeight="15.6"/>
  <cols>
    <col min="1" max="1" width="9.09765625" style="281" hidden="1" customWidth="1"/>
    <col min="2" max="2" width="6.59765625" style="281" customWidth="1"/>
    <col min="3" max="3" width="7" style="281" customWidth="1"/>
    <col min="4" max="5" width="20.19921875" style="281" hidden="1" customWidth="1"/>
    <col min="6" max="6" width="20.19921875" style="484" hidden="1" customWidth="1"/>
    <col min="7" max="7" width="21.19921875" style="485" customWidth="1"/>
    <col min="8" max="8" width="19.8984375" style="486" customWidth="1"/>
    <col min="9" max="12" width="6.09765625" style="281" customWidth="1"/>
    <col min="13" max="15" width="6.09765625" style="130" customWidth="1"/>
    <col min="16" max="23" width="6.09765625" style="281" customWidth="1"/>
    <col min="24" max="25" width="6.09765625" style="487" hidden="1" customWidth="1"/>
    <col min="26" max="26" width="9.59765625" style="488" customWidth="1"/>
    <col min="27" max="27" width="10.19921875" style="488" hidden="1" customWidth="1"/>
    <col min="28" max="28" width="14.3984375" style="489" customWidth="1"/>
    <col min="29" max="29" width="7.69921875" style="489" hidden="1" customWidth="1"/>
    <col min="30" max="30" width="7.69921875" style="489" customWidth="1"/>
    <col min="31" max="31" width="8.69921875" style="281" customWidth="1"/>
    <col min="32" max="32" width="15.19921875" style="489" customWidth="1"/>
    <col min="33" max="33" width="10.59765625" style="489" customWidth="1"/>
    <col min="34" max="34" width="14.19921875" style="281" customWidth="1"/>
    <col min="35" max="35" width="15.19921875" style="489" customWidth="1"/>
    <col min="36" max="38" width="10" style="490" customWidth="1"/>
    <col min="39" max="39" width="10.59765625" style="490" customWidth="1"/>
    <col min="40" max="40" width="10.19921875" style="491" customWidth="1"/>
    <col min="41" max="41" width="15.8984375" style="491" customWidth="1"/>
    <col min="42" max="42" width="10.19921875" style="491" customWidth="1"/>
    <col min="43" max="43" width="13.69921875" style="491" customWidth="1"/>
    <col min="44" max="44" width="15.19921875" style="492" hidden="1" customWidth="1"/>
    <col min="45" max="47" width="16" style="492" hidden="1" customWidth="1"/>
    <col min="48" max="48" width="14.69921875" style="492" customWidth="1"/>
    <col min="49" max="49" width="16.19921875" style="492" customWidth="1"/>
    <col min="50" max="50" width="17.19921875" style="489" customWidth="1"/>
    <col min="51" max="51" width="15.19921875" style="488" bestFit="1" customWidth="1"/>
    <col min="52" max="52" width="9.09765625" style="281" bestFit="1" customWidth="1"/>
    <col min="53" max="53" width="18.19921875" style="281" customWidth="1"/>
    <col min="54" max="54" width="20.5" style="281" customWidth="1"/>
    <col min="55" max="55" width="16.19921875" style="281" customWidth="1"/>
    <col min="56" max="56" width="9" style="281" bestFit="1" customWidth="1"/>
    <col min="57" max="16384" width="8.69921875" style="281"/>
  </cols>
  <sheetData>
    <row r="1" spans="1:227" ht="24.9" customHeight="1">
      <c r="A1" s="1342" t="s">
        <v>1402</v>
      </c>
      <c r="B1" s="1342"/>
      <c r="C1" s="1342"/>
      <c r="D1" s="1342"/>
      <c r="E1" s="1342"/>
      <c r="F1" s="1342"/>
      <c r="G1" s="1342"/>
      <c r="H1" s="1342"/>
      <c r="I1" s="1342"/>
      <c r="J1" s="1342"/>
      <c r="K1" s="1342"/>
      <c r="L1" s="1342"/>
      <c r="M1" s="1342"/>
      <c r="N1" s="1342"/>
      <c r="O1" s="1342"/>
      <c r="P1" s="1342"/>
      <c r="Q1" s="308"/>
      <c r="R1" s="308"/>
      <c r="S1" s="308"/>
      <c r="T1" s="308"/>
      <c r="U1" s="308"/>
      <c r="X1" s="487">
        <v>1</v>
      </c>
      <c r="AE1" s="281">
        <v>7</v>
      </c>
      <c r="AJ1" s="308"/>
      <c r="AK1" s="308"/>
      <c r="AL1" s="308"/>
      <c r="AM1" s="308"/>
      <c r="AN1" s="308"/>
      <c r="AO1" s="308"/>
      <c r="AP1" s="308"/>
      <c r="AQ1" s="308"/>
      <c r="AR1" s="543"/>
      <c r="AS1" s="543"/>
      <c r="AT1" s="543"/>
      <c r="AU1" s="543"/>
      <c r="AV1" s="543"/>
      <c r="AW1" s="1342"/>
      <c r="AX1" s="1342"/>
    </row>
    <row r="2" spans="1:227" ht="24.9" customHeight="1">
      <c r="A2" s="1342" t="s">
        <v>1403</v>
      </c>
      <c r="B2" s="1342"/>
      <c r="C2" s="1342"/>
      <c r="D2" s="1342"/>
      <c r="E2" s="1342"/>
      <c r="F2" s="1342"/>
      <c r="G2" s="1342"/>
      <c r="H2" s="1342"/>
      <c r="I2" s="1342"/>
      <c r="J2" s="1342"/>
      <c r="K2" s="1342"/>
      <c r="L2" s="1342"/>
      <c r="M2" s="1342"/>
      <c r="N2" s="1342"/>
      <c r="O2" s="1342"/>
      <c r="P2" s="1342"/>
      <c r="Q2" s="520"/>
      <c r="R2" s="520"/>
      <c r="S2" s="520"/>
      <c r="T2" s="520"/>
      <c r="U2" s="520"/>
      <c r="AJ2" s="538"/>
      <c r="AK2" s="538"/>
      <c r="AL2" s="538"/>
      <c r="AM2" s="538"/>
      <c r="AN2" s="538"/>
      <c r="AO2" s="538"/>
      <c r="AP2" s="538"/>
      <c r="AQ2" s="538"/>
      <c r="AR2" s="544"/>
      <c r="AS2" s="544"/>
      <c r="AT2" s="544"/>
      <c r="AU2" s="544"/>
      <c r="AV2" s="544"/>
      <c r="AW2" s="1343"/>
      <c r="AX2" s="1343"/>
    </row>
    <row r="3" spans="1:227" ht="13.95" customHeight="1">
      <c r="A3" s="1344" t="s">
        <v>1404</v>
      </c>
      <c r="B3" s="1344"/>
      <c r="C3" s="1344"/>
      <c r="D3" s="1344"/>
      <c r="E3" s="1344"/>
      <c r="F3" s="1344"/>
      <c r="G3" s="1344"/>
      <c r="H3" s="1344"/>
      <c r="I3" s="1344"/>
      <c r="J3" s="1344"/>
      <c r="K3" s="1344"/>
      <c r="L3" s="1344"/>
      <c r="M3" s="1344"/>
      <c r="N3" s="1344"/>
      <c r="O3" s="1344"/>
      <c r="P3" s="1344"/>
      <c r="AJ3" s="520"/>
      <c r="AK3" s="520"/>
      <c r="AL3" s="520"/>
      <c r="AM3" s="520"/>
      <c r="AN3" s="520"/>
      <c r="AO3" s="520"/>
      <c r="AP3" s="520"/>
      <c r="AQ3" s="520"/>
      <c r="AR3" s="545"/>
      <c r="AS3" s="545"/>
      <c r="AT3" s="545"/>
      <c r="AU3" s="545"/>
      <c r="AV3" s="545"/>
      <c r="AW3" s="1344"/>
      <c r="AX3" s="1344"/>
    </row>
    <row r="4" spans="1:227" ht="24.9" customHeight="1">
      <c r="A4" s="1342" t="s">
        <v>1405</v>
      </c>
      <c r="B4" s="1342"/>
      <c r="C4" s="1342"/>
      <c r="D4" s="1342"/>
      <c r="E4" s="1342"/>
      <c r="F4" s="1342"/>
      <c r="G4" s="1342"/>
      <c r="H4" s="1342"/>
      <c r="I4" s="1342"/>
      <c r="J4" s="1342"/>
      <c r="K4" s="1342"/>
      <c r="L4" s="1342"/>
      <c r="M4" s="1342"/>
      <c r="N4" s="1342"/>
      <c r="O4" s="1342"/>
      <c r="P4" s="1342"/>
      <c r="Q4" s="1342"/>
      <c r="R4" s="1342"/>
      <c r="S4" s="1342"/>
      <c r="T4" s="1342"/>
      <c r="U4" s="1342"/>
      <c r="V4" s="1342"/>
      <c r="W4" s="1342"/>
      <c r="X4" s="1342"/>
      <c r="Y4" s="1342"/>
      <c r="Z4" s="1342"/>
      <c r="AA4" s="1342"/>
      <c r="AB4" s="1342"/>
      <c r="AC4" s="1342"/>
      <c r="AD4" s="1342"/>
      <c r="AE4" s="1342"/>
      <c r="AF4" s="1342"/>
      <c r="AG4" s="1342"/>
      <c r="AH4" s="1342"/>
      <c r="AI4" s="1342"/>
      <c r="AJ4" s="1342"/>
      <c r="AK4" s="1342"/>
      <c r="AL4" s="1342"/>
      <c r="AM4" s="1342"/>
      <c r="AN4" s="1342"/>
      <c r="AO4" s="1342"/>
      <c r="AP4" s="1342"/>
      <c r="AQ4" s="1342"/>
      <c r="AR4" s="1342"/>
      <c r="AS4" s="1342"/>
      <c r="AT4" s="1342"/>
      <c r="AU4" s="1342"/>
      <c r="AV4" s="1342"/>
      <c r="AW4" s="1342"/>
      <c r="AX4" s="1342"/>
      <c r="AY4" s="557"/>
      <c r="AZ4" s="283"/>
      <c r="BA4" s="283"/>
      <c r="BB4" s="283"/>
      <c r="BC4" s="283"/>
      <c r="BD4" s="283"/>
      <c r="BE4" s="283"/>
      <c r="BF4" s="283"/>
      <c r="BG4" s="283"/>
      <c r="BH4" s="283"/>
      <c r="BI4" s="283"/>
      <c r="BJ4" s="283"/>
      <c r="BK4" s="283"/>
      <c r="BL4" s="283"/>
      <c r="BM4" s="283"/>
      <c r="BN4" s="283"/>
      <c r="BO4" s="283"/>
      <c r="BP4" s="283"/>
      <c r="BQ4" s="283"/>
      <c r="BR4" s="283"/>
      <c r="BS4" s="283"/>
      <c r="BT4" s="283"/>
      <c r="BU4" s="283"/>
      <c r="BV4" s="283"/>
      <c r="BW4" s="283"/>
      <c r="BX4" s="283"/>
      <c r="BY4" s="283"/>
      <c r="BZ4" s="283"/>
      <c r="CA4" s="283"/>
      <c r="CB4" s="283"/>
      <c r="CC4" s="283"/>
      <c r="CD4" s="283"/>
      <c r="CE4" s="283"/>
      <c r="CF4" s="283"/>
      <c r="CG4" s="283"/>
      <c r="CH4" s="283"/>
      <c r="CI4" s="283"/>
      <c r="CJ4" s="283"/>
      <c r="CK4" s="283"/>
      <c r="CL4" s="283"/>
      <c r="CM4" s="283"/>
      <c r="CN4" s="283"/>
      <c r="CO4" s="283"/>
      <c r="CP4" s="283"/>
      <c r="CQ4" s="283"/>
      <c r="CR4" s="283"/>
      <c r="CS4" s="283"/>
      <c r="CT4" s="283"/>
      <c r="CU4" s="283"/>
      <c r="CV4" s="283"/>
      <c r="CW4" s="283"/>
      <c r="CX4" s="283"/>
      <c r="CY4" s="283"/>
      <c r="CZ4" s="283"/>
      <c r="DA4" s="283"/>
      <c r="DB4" s="283"/>
      <c r="DC4" s="283"/>
      <c r="DD4" s="283"/>
      <c r="DE4" s="283"/>
      <c r="DF4" s="283"/>
      <c r="DG4" s="283"/>
      <c r="DH4" s="283"/>
      <c r="DI4" s="283"/>
      <c r="DJ4" s="283"/>
      <c r="DK4" s="283"/>
      <c r="DL4" s="283"/>
      <c r="DM4" s="283"/>
      <c r="DN4" s="283"/>
      <c r="DO4" s="283"/>
      <c r="DP4" s="283"/>
      <c r="DQ4" s="283"/>
      <c r="DR4" s="283"/>
      <c r="DS4" s="283"/>
      <c r="DT4" s="283"/>
      <c r="DU4" s="283"/>
      <c r="DV4" s="283"/>
      <c r="DW4" s="283"/>
      <c r="DX4" s="283"/>
      <c r="DY4" s="283"/>
      <c r="DZ4" s="283"/>
      <c r="EA4" s="283"/>
      <c r="EB4" s="283"/>
      <c r="EC4" s="283"/>
      <c r="ED4" s="283"/>
      <c r="EE4" s="283"/>
      <c r="EF4" s="283"/>
      <c r="EG4" s="283"/>
      <c r="EH4" s="283"/>
      <c r="EI4" s="283"/>
      <c r="EJ4" s="283"/>
      <c r="EK4" s="283"/>
      <c r="EL4" s="283"/>
      <c r="EM4" s="283"/>
      <c r="EN4" s="283"/>
      <c r="EO4" s="283"/>
      <c r="EP4" s="283"/>
      <c r="EQ4" s="283"/>
      <c r="ER4" s="283"/>
      <c r="ES4" s="283"/>
      <c r="ET4" s="283"/>
      <c r="EU4" s="283"/>
      <c r="EV4" s="283"/>
      <c r="EW4" s="283"/>
      <c r="EX4" s="283"/>
      <c r="EY4" s="283"/>
      <c r="EZ4" s="283"/>
      <c r="FA4" s="283"/>
      <c r="FB4" s="283"/>
      <c r="FC4" s="283"/>
      <c r="FD4" s="283"/>
      <c r="FE4" s="283"/>
      <c r="FF4" s="283"/>
      <c r="FG4" s="283"/>
      <c r="FH4" s="283"/>
      <c r="FI4" s="283"/>
      <c r="FJ4" s="283"/>
      <c r="FK4" s="283"/>
      <c r="FL4" s="283"/>
      <c r="FM4" s="283"/>
      <c r="FN4" s="283"/>
      <c r="FO4" s="283"/>
      <c r="FP4" s="283"/>
      <c r="FQ4" s="283"/>
      <c r="FR4" s="283"/>
      <c r="FS4" s="283"/>
      <c r="FT4" s="283"/>
      <c r="FU4" s="283"/>
      <c r="FV4" s="283"/>
      <c r="FW4" s="283"/>
      <c r="FX4" s="283"/>
      <c r="FY4" s="283"/>
      <c r="FZ4" s="283"/>
      <c r="GA4" s="283"/>
      <c r="GB4" s="283"/>
      <c r="GC4" s="283"/>
      <c r="GD4" s="283"/>
      <c r="GE4" s="283"/>
      <c r="GF4" s="283"/>
      <c r="GG4" s="283"/>
      <c r="GH4" s="283"/>
      <c r="GI4" s="283"/>
      <c r="GJ4" s="283"/>
      <c r="GK4" s="283"/>
      <c r="GL4" s="283"/>
      <c r="GM4" s="283"/>
      <c r="GN4" s="283"/>
      <c r="GO4" s="283"/>
      <c r="GP4" s="283"/>
      <c r="GQ4" s="283"/>
      <c r="GR4" s="283"/>
      <c r="GS4" s="283"/>
      <c r="GT4" s="283"/>
      <c r="GU4" s="283"/>
      <c r="GV4" s="283"/>
      <c r="GW4" s="283"/>
      <c r="GX4" s="283"/>
      <c r="GY4" s="283"/>
      <c r="GZ4" s="283"/>
      <c r="HA4" s="283"/>
      <c r="HB4" s="283"/>
      <c r="HC4" s="283"/>
      <c r="HD4" s="283"/>
      <c r="HE4" s="283"/>
      <c r="HF4" s="283"/>
      <c r="HG4" s="283"/>
      <c r="HH4" s="283"/>
      <c r="HI4" s="283"/>
      <c r="HJ4" s="283"/>
      <c r="HK4" s="283"/>
      <c r="HL4" s="283"/>
      <c r="HM4" s="283"/>
      <c r="HN4" s="283"/>
      <c r="HO4" s="283"/>
      <c r="HP4" s="283"/>
    </row>
    <row r="5" spans="1:227" ht="24.9" customHeight="1">
      <c r="A5" s="1346" t="s">
        <v>1406</v>
      </c>
      <c r="B5" s="1346"/>
      <c r="C5" s="1346"/>
      <c r="D5" s="1346"/>
      <c r="E5" s="1346"/>
      <c r="F5" s="1346"/>
      <c r="G5" s="1346"/>
      <c r="H5" s="1346"/>
      <c r="I5" s="1346"/>
      <c r="J5" s="1346"/>
      <c r="K5" s="1346"/>
      <c r="L5" s="1346"/>
      <c r="M5" s="1346"/>
      <c r="N5" s="1346"/>
      <c r="O5" s="1346"/>
      <c r="P5" s="1346"/>
      <c r="Q5" s="1346"/>
      <c r="R5" s="1346"/>
      <c r="S5" s="1346"/>
      <c r="T5" s="1346"/>
      <c r="U5" s="1346"/>
      <c r="V5" s="1346"/>
      <c r="W5" s="1346"/>
      <c r="X5" s="1346"/>
      <c r="Y5" s="1346"/>
      <c r="Z5" s="1346"/>
      <c r="AA5" s="1346"/>
      <c r="AB5" s="1346"/>
      <c r="AC5" s="1346"/>
      <c r="AD5" s="1346"/>
      <c r="AE5" s="1346"/>
      <c r="AF5" s="1346"/>
      <c r="AG5" s="1346"/>
      <c r="AH5" s="1346"/>
      <c r="AI5" s="1346"/>
      <c r="AJ5" s="1346"/>
      <c r="AK5" s="1346"/>
      <c r="AL5" s="1346"/>
      <c r="AM5" s="1346"/>
      <c r="AN5" s="1346"/>
      <c r="AO5" s="1346"/>
      <c r="AP5" s="1346"/>
      <c r="AQ5" s="1346"/>
      <c r="AR5" s="1346"/>
      <c r="AS5" s="1346"/>
      <c r="AT5" s="1346"/>
      <c r="AU5" s="1346"/>
      <c r="AV5" s="1346"/>
      <c r="AW5" s="1346"/>
      <c r="AX5" s="1346"/>
    </row>
    <row r="6" spans="1:227" ht="37.950000000000003" customHeight="1">
      <c r="A6" s="1366" t="s">
        <v>1407</v>
      </c>
      <c r="B6" s="1368" t="s">
        <v>1437</v>
      </c>
      <c r="C6" s="1368" t="s">
        <v>1409</v>
      </c>
      <c r="D6" s="1368" t="s">
        <v>1410</v>
      </c>
      <c r="E6" s="1370" t="s">
        <v>1411</v>
      </c>
      <c r="F6" s="1394" t="s">
        <v>1412</v>
      </c>
      <c r="G6" s="1396" t="s">
        <v>1436</v>
      </c>
      <c r="H6" s="1390" t="s">
        <v>1433</v>
      </c>
      <c r="I6" s="510"/>
      <c r="J6" s="510"/>
      <c r="K6" s="510"/>
      <c r="L6" s="510"/>
      <c r="M6" s="511"/>
      <c r="N6" s="511"/>
      <c r="O6" s="511"/>
      <c r="P6" s="510"/>
      <c r="Q6" s="511"/>
      <c r="R6" s="510"/>
      <c r="S6" s="510"/>
      <c r="T6" s="510"/>
      <c r="U6" s="511"/>
      <c r="V6" s="510"/>
      <c r="W6" s="510"/>
      <c r="X6" s="521"/>
      <c r="Y6" s="521"/>
      <c r="Z6" s="1355" t="s">
        <v>1438</v>
      </c>
      <c r="AA6" s="1355" t="s">
        <v>1429</v>
      </c>
      <c r="AB6" s="1357" t="s">
        <v>1416</v>
      </c>
      <c r="AC6" s="1349" t="s">
        <v>1313</v>
      </c>
      <c r="AD6" s="1351"/>
      <c r="AE6" s="1351"/>
      <c r="AF6" s="1350"/>
      <c r="AG6" s="1349" t="s">
        <v>1417</v>
      </c>
      <c r="AH6" s="1350"/>
      <c r="AI6" s="1357" t="s">
        <v>1418</v>
      </c>
      <c r="AJ6" s="1349" t="s">
        <v>1439</v>
      </c>
      <c r="AK6" s="1351"/>
      <c r="AL6" s="1351"/>
      <c r="AM6" s="1351"/>
      <c r="AN6" s="1352"/>
      <c r="AO6" s="1352"/>
      <c r="AP6" s="1352"/>
      <c r="AQ6" s="1352"/>
      <c r="AR6" s="1352"/>
      <c r="AS6" s="1398" t="s">
        <v>1420</v>
      </c>
      <c r="AT6" s="1399"/>
      <c r="AU6" s="1400"/>
      <c r="AV6" s="1357" t="s">
        <v>1418</v>
      </c>
      <c r="AW6" s="1357" t="s">
        <v>1422</v>
      </c>
      <c r="AX6" s="558" t="s">
        <v>1423</v>
      </c>
      <c r="AY6" s="557"/>
      <c r="AZ6" s="283"/>
      <c r="BA6" s="283"/>
      <c r="BB6" s="283"/>
      <c r="BC6" s="283"/>
      <c r="BD6" s="283"/>
      <c r="BE6" s="283"/>
      <c r="BF6" s="283"/>
      <c r="BG6" s="283"/>
      <c r="BH6" s="283"/>
      <c r="BI6" s="283"/>
      <c r="BJ6" s="283"/>
      <c r="BK6" s="283"/>
      <c r="BL6" s="283"/>
      <c r="BM6" s="283"/>
      <c r="BN6" s="283"/>
      <c r="BO6" s="283"/>
      <c r="BP6" s="283"/>
      <c r="BQ6" s="283"/>
      <c r="BR6" s="283"/>
      <c r="BS6" s="283"/>
      <c r="BT6" s="283"/>
      <c r="BU6" s="283"/>
      <c r="BV6" s="283"/>
      <c r="BW6" s="283"/>
      <c r="BX6" s="283"/>
      <c r="BY6" s="283"/>
      <c r="BZ6" s="283"/>
      <c r="CA6" s="283"/>
      <c r="CB6" s="283"/>
      <c r="CC6" s="283"/>
      <c r="CD6" s="283"/>
      <c r="CE6" s="283"/>
      <c r="CF6" s="283"/>
      <c r="CG6" s="283"/>
      <c r="CH6" s="283"/>
      <c r="CI6" s="283"/>
      <c r="CJ6" s="283"/>
      <c r="CK6" s="283"/>
      <c r="CL6" s="283"/>
      <c r="CM6" s="283"/>
      <c r="CN6" s="283"/>
      <c r="CO6" s="283"/>
      <c r="CP6" s="283"/>
      <c r="CQ6" s="283"/>
      <c r="CR6" s="283"/>
      <c r="CS6" s="283"/>
      <c r="CT6" s="283"/>
      <c r="CU6" s="283"/>
      <c r="CV6" s="283"/>
      <c r="CW6" s="283"/>
      <c r="CX6" s="283"/>
      <c r="CY6" s="283"/>
      <c r="CZ6" s="283"/>
      <c r="DA6" s="283"/>
      <c r="DB6" s="283"/>
      <c r="DC6" s="283"/>
      <c r="DD6" s="283"/>
      <c r="DE6" s="283"/>
      <c r="DF6" s="283"/>
      <c r="DG6" s="283"/>
      <c r="DH6" s="283"/>
      <c r="DI6" s="283"/>
      <c r="DJ6" s="283"/>
      <c r="DK6" s="283"/>
      <c r="DL6" s="283"/>
      <c r="DM6" s="283"/>
      <c r="DN6" s="283"/>
      <c r="DO6" s="283"/>
      <c r="DP6" s="283"/>
      <c r="DQ6" s="283"/>
      <c r="DR6" s="283"/>
      <c r="DS6" s="283"/>
      <c r="DT6" s="283"/>
      <c r="DU6" s="283"/>
      <c r="DV6" s="283"/>
      <c r="DW6" s="283"/>
      <c r="DX6" s="283"/>
      <c r="DY6" s="283"/>
      <c r="DZ6" s="283"/>
      <c r="EA6" s="283"/>
      <c r="EB6" s="283"/>
      <c r="EC6" s="283"/>
      <c r="ED6" s="283"/>
      <c r="EE6" s="283"/>
      <c r="EF6" s="283"/>
      <c r="EG6" s="283"/>
      <c r="EH6" s="283"/>
      <c r="EI6" s="283"/>
      <c r="EJ6" s="283"/>
      <c r="EK6" s="283"/>
      <c r="EL6" s="283"/>
      <c r="EM6" s="283"/>
      <c r="EN6" s="283"/>
      <c r="EO6" s="283"/>
      <c r="EP6" s="283"/>
      <c r="EQ6" s="283"/>
      <c r="ER6" s="283"/>
      <c r="ES6" s="283"/>
      <c r="ET6" s="283"/>
      <c r="EU6" s="283"/>
      <c r="EV6" s="283"/>
      <c r="EW6" s="283"/>
      <c r="EX6" s="283"/>
      <c r="EY6" s="283"/>
      <c r="EZ6" s="283"/>
      <c r="FA6" s="283"/>
      <c r="FB6" s="283"/>
      <c r="FC6" s="283"/>
      <c r="FD6" s="283"/>
      <c r="FE6" s="283"/>
      <c r="FF6" s="283"/>
      <c r="FG6" s="283"/>
      <c r="FH6" s="283"/>
      <c r="FI6" s="283"/>
      <c r="FJ6" s="283"/>
      <c r="FK6" s="283"/>
      <c r="FL6" s="283"/>
      <c r="FM6" s="283"/>
      <c r="FN6" s="283"/>
      <c r="FO6" s="283"/>
      <c r="FP6" s="283"/>
      <c r="FQ6" s="283"/>
      <c r="FR6" s="283"/>
      <c r="FS6" s="283"/>
      <c r="FT6" s="283"/>
      <c r="FU6" s="283"/>
      <c r="FV6" s="283"/>
      <c r="FW6" s="283"/>
      <c r="FX6" s="283"/>
      <c r="FY6" s="283"/>
      <c r="FZ6" s="283"/>
      <c r="GA6" s="283"/>
      <c r="GB6" s="283"/>
      <c r="GC6" s="283"/>
      <c r="GD6" s="283"/>
      <c r="GE6" s="283"/>
      <c r="GF6" s="283"/>
      <c r="GG6" s="283"/>
      <c r="GH6" s="283"/>
      <c r="GI6" s="283"/>
      <c r="GJ6" s="283"/>
      <c r="GK6" s="283"/>
      <c r="GL6" s="283"/>
      <c r="GM6" s="283"/>
      <c r="GN6" s="283"/>
      <c r="GO6" s="283"/>
      <c r="GP6" s="283"/>
      <c r="GQ6" s="283"/>
      <c r="GR6" s="283"/>
      <c r="GS6" s="283"/>
      <c r="GT6" s="283"/>
      <c r="GU6" s="283"/>
      <c r="GV6" s="283"/>
      <c r="GW6" s="283"/>
      <c r="GX6" s="283"/>
      <c r="GY6" s="283"/>
      <c r="GZ6" s="283"/>
      <c r="HA6" s="283"/>
      <c r="HB6" s="283"/>
      <c r="HC6" s="283"/>
      <c r="HD6" s="283"/>
      <c r="HE6" s="283"/>
      <c r="HF6" s="283"/>
      <c r="HG6" s="283"/>
      <c r="HH6" s="283"/>
      <c r="HI6" s="283"/>
      <c r="HJ6" s="283"/>
      <c r="HK6" s="283"/>
      <c r="HL6" s="283"/>
      <c r="HM6" s="283"/>
      <c r="HN6" s="283"/>
      <c r="HO6" s="283"/>
      <c r="HP6" s="283"/>
      <c r="HQ6" s="283"/>
      <c r="HR6" s="283"/>
      <c r="HS6" s="283"/>
    </row>
    <row r="7" spans="1:227" ht="57.6" customHeight="1">
      <c r="A7" s="1367"/>
      <c r="B7" s="1369"/>
      <c r="C7" s="1369"/>
      <c r="D7" s="1369"/>
      <c r="E7" s="1371"/>
      <c r="F7" s="1395"/>
      <c r="G7" s="1397"/>
      <c r="H7" s="1391"/>
      <c r="I7" s="512">
        <v>1</v>
      </c>
      <c r="J7" s="512">
        <v>2</v>
      </c>
      <c r="K7" s="512">
        <v>3</v>
      </c>
      <c r="L7" s="512">
        <v>4</v>
      </c>
      <c r="M7" s="513">
        <v>5</v>
      </c>
      <c r="N7" s="513">
        <v>6</v>
      </c>
      <c r="O7" s="513">
        <v>7</v>
      </c>
      <c r="P7" s="512">
        <v>8</v>
      </c>
      <c r="Q7" s="512">
        <v>9</v>
      </c>
      <c r="R7" s="512">
        <v>10</v>
      </c>
      <c r="S7" s="512">
        <v>11</v>
      </c>
      <c r="T7" s="512">
        <v>12</v>
      </c>
      <c r="U7" s="512">
        <v>13</v>
      </c>
      <c r="V7" s="512">
        <v>14</v>
      </c>
      <c r="W7" s="512">
        <v>15</v>
      </c>
      <c r="X7" s="522">
        <v>3</v>
      </c>
      <c r="Y7" s="522">
        <v>4</v>
      </c>
      <c r="Z7" s="1356"/>
      <c r="AA7" s="1356"/>
      <c r="AB7" s="1358"/>
      <c r="AC7" s="527"/>
      <c r="AD7" s="527">
        <v>15</v>
      </c>
      <c r="AE7" s="528" t="s">
        <v>1424</v>
      </c>
      <c r="AF7" s="529" t="s">
        <v>1425</v>
      </c>
      <c r="AG7" s="528" t="s">
        <v>1424</v>
      </c>
      <c r="AH7" s="529" t="s">
        <v>1425</v>
      </c>
      <c r="AI7" s="1358"/>
      <c r="AJ7" s="512"/>
      <c r="AK7" s="512"/>
      <c r="AL7" s="512"/>
      <c r="AM7" s="512"/>
      <c r="AN7" s="529" t="s">
        <v>1426</v>
      </c>
      <c r="AO7" s="528" t="s">
        <v>1427</v>
      </c>
      <c r="AP7" s="529"/>
      <c r="AQ7" s="528" t="s">
        <v>1427</v>
      </c>
      <c r="AR7" s="528" t="s">
        <v>1427</v>
      </c>
      <c r="AS7" s="546" t="s">
        <v>1428</v>
      </c>
      <c r="AT7" s="546" t="s">
        <v>1429</v>
      </c>
      <c r="AU7" s="546" t="s">
        <v>1430</v>
      </c>
      <c r="AV7" s="1358"/>
      <c r="AW7" s="1358"/>
      <c r="AX7" s="559"/>
      <c r="AY7" s="557"/>
      <c r="AZ7" s="283"/>
      <c r="BA7" s="283"/>
      <c r="BB7" s="283"/>
      <c r="BC7" s="283"/>
      <c r="BD7" s="283"/>
      <c r="BE7" s="283"/>
      <c r="BF7" s="283"/>
      <c r="BG7" s="283"/>
      <c r="BH7" s="283"/>
      <c r="BI7" s="283"/>
      <c r="BJ7" s="283"/>
      <c r="BK7" s="283"/>
      <c r="BL7" s="283"/>
      <c r="BM7" s="283"/>
      <c r="BN7" s="283"/>
      <c r="BO7" s="283"/>
      <c r="BP7" s="283"/>
      <c r="BQ7" s="283"/>
      <c r="BR7" s="283"/>
      <c r="BS7" s="283"/>
      <c r="BT7" s="283"/>
      <c r="BU7" s="283"/>
      <c r="BV7" s="283"/>
      <c r="BW7" s="283"/>
      <c r="BX7" s="283"/>
      <c r="BY7" s="283"/>
      <c r="BZ7" s="283"/>
      <c r="CA7" s="283"/>
      <c r="CB7" s="283"/>
      <c r="CC7" s="283"/>
      <c r="CD7" s="283"/>
      <c r="CE7" s="283"/>
      <c r="CF7" s="283"/>
      <c r="CG7" s="283"/>
      <c r="CH7" s="283"/>
      <c r="CI7" s="283"/>
      <c r="CJ7" s="283"/>
      <c r="CK7" s="283"/>
      <c r="CL7" s="283"/>
      <c r="CM7" s="283"/>
      <c r="CN7" s="283"/>
      <c r="CO7" s="283"/>
      <c r="CP7" s="283"/>
      <c r="CQ7" s="283"/>
      <c r="CR7" s="283"/>
      <c r="CS7" s="283"/>
      <c r="CT7" s="283"/>
      <c r="CU7" s="283"/>
      <c r="CV7" s="283"/>
      <c r="CW7" s="283"/>
      <c r="CX7" s="283"/>
      <c r="CY7" s="283"/>
      <c r="CZ7" s="283"/>
      <c r="DA7" s="283"/>
      <c r="DB7" s="283"/>
      <c r="DC7" s="283"/>
      <c r="DD7" s="283"/>
      <c r="DE7" s="283"/>
      <c r="DF7" s="283"/>
      <c r="DG7" s="283"/>
      <c r="DH7" s="283"/>
      <c r="DI7" s="283"/>
      <c r="DJ7" s="283"/>
      <c r="DK7" s="283"/>
      <c r="DL7" s="283"/>
      <c r="DM7" s="283"/>
      <c r="DN7" s="283"/>
      <c r="DO7" s="283"/>
      <c r="DP7" s="283"/>
      <c r="DQ7" s="283"/>
      <c r="DR7" s="283"/>
      <c r="DS7" s="283"/>
      <c r="DT7" s="283"/>
      <c r="DU7" s="283"/>
      <c r="DV7" s="283"/>
      <c r="DW7" s="283"/>
      <c r="DX7" s="283"/>
      <c r="DY7" s="283"/>
      <c r="DZ7" s="283"/>
      <c r="EA7" s="283"/>
      <c r="EB7" s="283"/>
      <c r="EC7" s="283"/>
      <c r="ED7" s="283"/>
      <c r="EE7" s="283"/>
      <c r="EF7" s="283"/>
      <c r="EG7" s="283"/>
      <c r="EH7" s="283"/>
      <c r="EI7" s="283"/>
      <c r="EJ7" s="283"/>
      <c r="EK7" s="283"/>
      <c r="EL7" s="283"/>
      <c r="EM7" s="283"/>
      <c r="EN7" s="283"/>
      <c r="EO7" s="283"/>
      <c r="EP7" s="283"/>
      <c r="EQ7" s="283"/>
      <c r="ER7" s="283"/>
      <c r="ES7" s="283"/>
      <c r="ET7" s="283"/>
      <c r="EU7" s="283"/>
      <c r="EV7" s="283"/>
      <c r="EW7" s="283"/>
      <c r="EX7" s="283"/>
      <c r="EY7" s="283"/>
      <c r="EZ7" s="283"/>
      <c r="FA7" s="283"/>
      <c r="FB7" s="283"/>
      <c r="FC7" s="283"/>
      <c r="FD7" s="283"/>
      <c r="FE7" s="283"/>
      <c r="FF7" s="283"/>
      <c r="FG7" s="283"/>
      <c r="FH7" s="283"/>
      <c r="FI7" s="283"/>
      <c r="FJ7" s="283"/>
      <c r="FK7" s="283"/>
      <c r="FL7" s="283"/>
      <c r="FM7" s="283"/>
      <c r="FN7" s="283"/>
      <c r="FO7" s="283"/>
      <c r="FP7" s="283"/>
      <c r="FQ7" s="283"/>
      <c r="FR7" s="283"/>
      <c r="FS7" s="283"/>
      <c r="FT7" s="283"/>
      <c r="FU7" s="283"/>
      <c r="FV7" s="283"/>
      <c r="FW7" s="283"/>
      <c r="FX7" s="283"/>
      <c r="FY7" s="283"/>
      <c r="FZ7" s="283"/>
      <c r="GA7" s="283"/>
      <c r="GB7" s="283"/>
      <c r="GC7" s="283"/>
      <c r="GD7" s="283"/>
      <c r="GE7" s="283"/>
      <c r="GF7" s="283"/>
      <c r="GG7" s="283"/>
      <c r="GH7" s="283"/>
      <c r="GI7" s="283"/>
      <c r="GJ7" s="283"/>
      <c r="GK7" s="283"/>
      <c r="GL7" s="283"/>
      <c r="GM7" s="283"/>
      <c r="GN7" s="283"/>
      <c r="GO7" s="283"/>
      <c r="GP7" s="283"/>
      <c r="GQ7" s="283"/>
      <c r="GR7" s="283"/>
      <c r="GS7" s="283"/>
      <c r="GT7" s="283"/>
      <c r="GU7" s="283"/>
      <c r="GV7" s="283"/>
      <c r="GW7" s="283"/>
      <c r="GX7" s="283"/>
      <c r="GY7" s="283"/>
      <c r="GZ7" s="283"/>
      <c r="HA7" s="283"/>
      <c r="HB7" s="283"/>
      <c r="HC7" s="283"/>
      <c r="HD7" s="283"/>
      <c r="HE7" s="283"/>
      <c r="HF7" s="283"/>
      <c r="HG7" s="283"/>
      <c r="HH7" s="283"/>
      <c r="HI7" s="283"/>
      <c r="HJ7" s="283"/>
      <c r="HK7" s="283"/>
      <c r="HL7" s="283"/>
      <c r="HM7" s="283"/>
      <c r="HN7" s="283"/>
      <c r="HO7" s="283"/>
      <c r="HP7" s="283"/>
      <c r="HQ7" s="283"/>
      <c r="HR7" s="283"/>
      <c r="HS7" s="283"/>
    </row>
    <row r="8" spans="1:227" ht="30" customHeight="1">
      <c r="A8" s="493" t="s">
        <v>186</v>
      </c>
      <c r="B8" s="494"/>
      <c r="C8" s="494"/>
      <c r="D8" s="494"/>
      <c r="E8" s="494"/>
      <c r="F8" s="495"/>
      <c r="G8" s="496"/>
      <c r="H8" s="497"/>
      <c r="I8" s="514"/>
      <c r="J8" s="514"/>
      <c r="K8" s="514"/>
      <c r="L8" s="514"/>
      <c r="M8" s="515"/>
      <c r="N8" s="515"/>
      <c r="O8" s="515"/>
      <c r="P8" s="514"/>
      <c r="Q8" s="514"/>
      <c r="R8" s="514"/>
      <c r="S8" s="514"/>
      <c r="T8" s="514"/>
      <c r="U8" s="514"/>
      <c r="V8" s="514"/>
      <c r="W8" s="514"/>
      <c r="X8" s="523"/>
      <c r="Y8" s="523"/>
      <c r="Z8" s="530"/>
      <c r="AA8" s="1401">
        <v>16000</v>
      </c>
      <c r="AB8" s="1402"/>
      <c r="AC8" s="531"/>
      <c r="AD8" s="531"/>
      <c r="AE8" s="531"/>
      <c r="AF8" s="532">
        <v>17000</v>
      </c>
      <c r="AG8" s="532"/>
      <c r="AH8" s="534">
        <v>1000</v>
      </c>
      <c r="AI8" s="532"/>
      <c r="AJ8" s="514" t="s">
        <v>186</v>
      </c>
      <c r="AK8" s="514" t="s">
        <v>199</v>
      </c>
      <c r="AL8" s="514" t="s">
        <v>228</v>
      </c>
      <c r="AM8" s="514" t="s">
        <v>1322</v>
      </c>
      <c r="AN8" s="540"/>
      <c r="AO8" s="547">
        <v>505</v>
      </c>
      <c r="AP8" s="548" t="s">
        <v>228</v>
      </c>
      <c r="AQ8" s="549">
        <v>455</v>
      </c>
      <c r="AR8" s="550"/>
      <c r="AS8" s="551"/>
      <c r="AT8" s="551"/>
      <c r="AU8" s="551"/>
      <c r="AV8" s="551"/>
      <c r="AW8" s="560"/>
      <c r="AX8" s="561"/>
      <c r="AY8" s="557"/>
      <c r="AZ8" s="283"/>
      <c r="BA8" s="283"/>
      <c r="BB8" s="283"/>
      <c r="BC8" s="283"/>
      <c r="BD8" s="283"/>
      <c r="BE8" s="283"/>
      <c r="BF8" s="283"/>
      <c r="BG8" s="283"/>
      <c r="BH8" s="283"/>
      <c r="BI8" s="283"/>
      <c r="BJ8" s="283"/>
      <c r="BK8" s="283"/>
      <c r="BL8" s="283"/>
      <c r="BM8" s="283"/>
      <c r="BN8" s="283"/>
      <c r="BO8" s="283"/>
      <c r="BP8" s="283"/>
      <c r="BQ8" s="283"/>
      <c r="BR8" s="283"/>
      <c r="BS8" s="283"/>
      <c r="BT8" s="283"/>
      <c r="BU8" s="283"/>
      <c r="BV8" s="283"/>
      <c r="BW8" s="283"/>
      <c r="BX8" s="283"/>
      <c r="BY8" s="283"/>
      <c r="BZ8" s="283"/>
      <c r="CA8" s="283"/>
      <c r="CB8" s="283"/>
      <c r="CC8" s="283"/>
      <c r="CD8" s="283"/>
      <c r="CE8" s="283"/>
      <c r="CF8" s="283"/>
      <c r="CG8" s="283"/>
      <c r="CH8" s="283"/>
      <c r="CI8" s="283"/>
      <c r="CJ8" s="283"/>
      <c r="CK8" s="283"/>
      <c r="CL8" s="283"/>
      <c r="CM8" s="283"/>
      <c r="CN8" s="283"/>
      <c r="CO8" s="283"/>
      <c r="CP8" s="283"/>
      <c r="CQ8" s="283"/>
      <c r="CR8" s="283"/>
      <c r="CS8" s="283"/>
      <c r="CT8" s="283"/>
      <c r="CU8" s="283"/>
      <c r="CV8" s="283"/>
      <c r="CW8" s="283"/>
      <c r="CX8" s="283"/>
      <c r="CY8" s="283"/>
      <c r="CZ8" s="283"/>
      <c r="DA8" s="283"/>
      <c r="DB8" s="283"/>
      <c r="DC8" s="283"/>
      <c r="DD8" s="283"/>
      <c r="DE8" s="283"/>
      <c r="DF8" s="283"/>
      <c r="DG8" s="283"/>
      <c r="DH8" s="283"/>
      <c r="DI8" s="283"/>
      <c r="DJ8" s="283"/>
      <c r="DK8" s="283"/>
      <c r="DL8" s="283"/>
      <c r="DM8" s="283"/>
      <c r="DN8" s="283"/>
      <c r="DO8" s="283"/>
      <c r="DP8" s="283"/>
      <c r="DQ8" s="283"/>
      <c r="DR8" s="283"/>
      <c r="DS8" s="283"/>
      <c r="DT8" s="283"/>
      <c r="DU8" s="283"/>
      <c r="DV8" s="283"/>
      <c r="DW8" s="283"/>
      <c r="DX8" s="283"/>
      <c r="DY8" s="283"/>
      <c r="DZ8" s="283"/>
      <c r="EA8" s="283"/>
      <c r="EB8" s="283"/>
      <c r="EC8" s="283"/>
      <c r="ED8" s="283"/>
      <c r="EE8" s="283"/>
      <c r="EF8" s="283"/>
      <c r="EG8" s="283"/>
      <c r="EH8" s="283"/>
      <c r="EI8" s="283"/>
      <c r="EJ8" s="283"/>
      <c r="EK8" s="283"/>
      <c r="EL8" s="283"/>
      <c r="EM8" s="283"/>
      <c r="EN8" s="283"/>
      <c r="EO8" s="283"/>
      <c r="EP8" s="283"/>
      <c r="EQ8" s="283"/>
      <c r="ER8" s="283"/>
      <c r="ES8" s="283"/>
      <c r="ET8" s="283"/>
      <c r="EU8" s="283"/>
      <c r="EV8" s="283"/>
      <c r="EW8" s="283"/>
      <c r="EX8" s="283"/>
      <c r="EY8" s="283"/>
      <c r="EZ8" s="283"/>
      <c r="FA8" s="283"/>
      <c r="FB8" s="283"/>
      <c r="FC8" s="283"/>
      <c r="FD8" s="283"/>
      <c r="FE8" s="283"/>
      <c r="FF8" s="283"/>
      <c r="FG8" s="283"/>
      <c r="FH8" s="283"/>
      <c r="FI8" s="283"/>
      <c r="FJ8" s="283"/>
      <c r="FK8" s="283"/>
      <c r="FL8" s="283"/>
      <c r="FM8" s="283"/>
      <c r="FN8" s="283"/>
      <c r="FO8" s="283"/>
      <c r="FP8" s="283"/>
      <c r="FQ8" s="283"/>
      <c r="FR8" s="283"/>
      <c r="FS8" s="283"/>
      <c r="FT8" s="283"/>
      <c r="FU8" s="283"/>
      <c r="FV8" s="283"/>
      <c r="FW8" s="283"/>
      <c r="FX8" s="283"/>
      <c r="FY8" s="283"/>
      <c r="FZ8" s="283"/>
      <c r="GA8" s="283"/>
      <c r="GB8" s="283"/>
      <c r="GC8" s="283"/>
      <c r="GD8" s="283"/>
      <c r="GE8" s="283"/>
      <c r="GF8" s="283"/>
      <c r="GG8" s="283"/>
      <c r="GH8" s="283"/>
      <c r="GI8" s="283"/>
      <c r="GJ8" s="283"/>
      <c r="GK8" s="283"/>
      <c r="GL8" s="283"/>
      <c r="GM8" s="283"/>
      <c r="GN8" s="283"/>
      <c r="GO8" s="283"/>
      <c r="GP8" s="283"/>
      <c r="GQ8" s="283"/>
      <c r="GR8" s="283"/>
      <c r="GS8" s="283"/>
      <c r="GT8" s="283"/>
      <c r="GU8" s="283"/>
      <c r="GV8" s="283"/>
      <c r="GW8" s="283"/>
      <c r="GX8" s="283"/>
      <c r="GY8" s="283"/>
      <c r="GZ8" s="283"/>
      <c r="HA8" s="283"/>
      <c r="HB8" s="283"/>
      <c r="HC8" s="283"/>
      <c r="HD8" s="283"/>
      <c r="HE8" s="283"/>
      <c r="HF8" s="283"/>
      <c r="HG8" s="283"/>
      <c r="HH8" s="283"/>
      <c r="HI8" s="283"/>
      <c r="HJ8" s="283"/>
      <c r="HK8" s="283"/>
      <c r="HL8" s="283"/>
      <c r="HM8" s="283"/>
      <c r="HN8" s="283"/>
      <c r="HO8" s="283"/>
      <c r="HP8" s="283"/>
      <c r="HQ8" s="283"/>
      <c r="HR8" s="283"/>
      <c r="HS8" s="283"/>
    </row>
    <row r="9" spans="1:227" ht="30.6" customHeight="1">
      <c r="A9" s="498"/>
      <c r="B9" s="499"/>
      <c r="C9" s="499"/>
      <c r="D9" s="499"/>
      <c r="E9" s="499"/>
      <c r="F9" s="500"/>
      <c r="G9" s="501"/>
      <c r="H9" s="502"/>
      <c r="I9" s="516"/>
      <c r="J9" s="517"/>
      <c r="K9" s="517"/>
      <c r="L9" s="517"/>
      <c r="M9" s="518"/>
      <c r="N9" s="518"/>
      <c r="O9" s="518"/>
      <c r="P9" s="517"/>
      <c r="Q9" s="517"/>
      <c r="R9" s="517"/>
      <c r="S9" s="517"/>
      <c r="T9" s="517"/>
      <c r="U9" s="517"/>
      <c r="V9" s="517"/>
      <c r="W9" s="517"/>
      <c r="X9" s="524"/>
      <c r="Y9" s="524"/>
      <c r="Z9" s="533"/>
      <c r="AA9" s="533"/>
      <c r="AB9" s="534"/>
      <c r="AC9" s="534"/>
      <c r="AD9" s="534"/>
      <c r="AE9" s="517"/>
      <c r="AF9" s="534"/>
      <c r="AG9" s="534"/>
      <c r="AH9" s="534"/>
      <c r="AI9" s="534"/>
      <c r="AJ9" s="517"/>
      <c r="AK9" s="517"/>
      <c r="AL9" s="517"/>
      <c r="AM9" s="517"/>
      <c r="AN9" s="533"/>
      <c r="AO9" s="552"/>
      <c r="AP9" s="552"/>
      <c r="AQ9" s="552"/>
      <c r="AR9" s="553"/>
      <c r="AS9" s="554"/>
      <c r="AT9" s="554"/>
      <c r="AU9" s="554"/>
      <c r="AV9" s="555"/>
      <c r="AW9" s="562"/>
      <c r="AX9" s="563"/>
      <c r="AY9" s="557" t="e">
        <f>#REF!+AB10</f>
        <v>#REF!</v>
      </c>
      <c r="AZ9" s="283"/>
      <c r="BA9" s="283"/>
      <c r="BB9" s="283"/>
      <c r="BC9" s="283"/>
      <c r="BD9" s="283"/>
      <c r="BE9" s="283"/>
      <c r="BF9" s="283"/>
      <c r="BG9" s="283"/>
      <c r="BH9" s="283"/>
      <c r="BI9" s="283"/>
      <c r="BJ9" s="283"/>
      <c r="BK9" s="283"/>
      <c r="BL9" s="283"/>
      <c r="BM9" s="283"/>
      <c r="BN9" s="283"/>
      <c r="BO9" s="283"/>
      <c r="BP9" s="283"/>
      <c r="BQ9" s="283"/>
      <c r="BR9" s="283"/>
      <c r="BS9" s="283"/>
      <c r="BT9" s="283"/>
      <c r="BU9" s="283"/>
      <c r="BV9" s="283"/>
      <c r="BW9" s="283"/>
      <c r="BX9" s="283"/>
      <c r="BY9" s="283"/>
      <c r="BZ9" s="283"/>
      <c r="CA9" s="283"/>
      <c r="CB9" s="283"/>
      <c r="CC9" s="283"/>
      <c r="CD9" s="283"/>
      <c r="CE9" s="283"/>
      <c r="CF9" s="283"/>
      <c r="CG9" s="283"/>
      <c r="CH9" s="283"/>
      <c r="CI9" s="283"/>
      <c r="CJ9" s="283"/>
      <c r="CK9" s="283"/>
      <c r="CL9" s="283"/>
      <c r="CM9" s="283"/>
      <c r="CN9" s="283"/>
      <c r="CO9" s="283"/>
      <c r="CP9" s="283"/>
      <c r="CQ9" s="283"/>
      <c r="CR9" s="283"/>
      <c r="CS9" s="283"/>
      <c r="CT9" s="283"/>
      <c r="CU9" s="283"/>
      <c r="CV9" s="283"/>
      <c r="CW9" s="283"/>
      <c r="CX9" s="283"/>
      <c r="CY9" s="283"/>
      <c r="CZ9" s="283"/>
      <c r="DA9" s="283"/>
      <c r="DB9" s="283"/>
      <c r="DC9" s="283"/>
      <c r="DD9" s="283"/>
      <c r="DE9" s="283"/>
      <c r="DF9" s="283"/>
      <c r="DG9" s="283"/>
      <c r="DH9" s="283"/>
      <c r="DI9" s="283"/>
      <c r="DJ9" s="283"/>
      <c r="DK9" s="283"/>
      <c r="DL9" s="283"/>
      <c r="DM9" s="283"/>
      <c r="DN9" s="283"/>
      <c r="DO9" s="283"/>
      <c r="DP9" s="283"/>
      <c r="DQ9" s="283"/>
      <c r="DR9" s="283"/>
      <c r="DS9" s="283"/>
      <c r="DT9" s="283"/>
      <c r="DU9" s="283"/>
      <c r="DV9" s="283"/>
      <c r="DW9" s="283"/>
      <c r="DX9" s="283"/>
      <c r="DY9" s="283"/>
      <c r="DZ9" s="283"/>
      <c r="EA9" s="283"/>
      <c r="EB9" s="283"/>
      <c r="EC9" s="283"/>
      <c r="ED9" s="283"/>
      <c r="EE9" s="283"/>
      <c r="EF9" s="283"/>
      <c r="EG9" s="283"/>
      <c r="EH9" s="283"/>
      <c r="EI9" s="283"/>
      <c r="EJ9" s="283"/>
      <c r="EK9" s="283"/>
      <c r="EL9" s="283"/>
      <c r="EM9" s="283"/>
      <c r="EN9" s="283"/>
      <c r="EO9" s="283"/>
      <c r="EP9" s="283"/>
      <c r="EQ9" s="283"/>
      <c r="ER9" s="283"/>
      <c r="ES9" s="283"/>
      <c r="ET9" s="283"/>
      <c r="EU9" s="283"/>
      <c r="EV9" s="283"/>
      <c r="EW9" s="283"/>
      <c r="EX9" s="283"/>
      <c r="EY9" s="283"/>
      <c r="EZ9" s="283"/>
      <c r="FA9" s="283"/>
      <c r="FB9" s="283"/>
      <c r="FC9" s="283"/>
      <c r="FD9" s="283"/>
      <c r="FE9" s="283"/>
      <c r="FF9" s="283"/>
      <c r="FG9" s="283"/>
      <c r="FH9" s="283"/>
      <c r="FI9" s="283"/>
      <c r="FJ9" s="283"/>
      <c r="FK9" s="283"/>
      <c r="FL9" s="283"/>
      <c r="FM9" s="283"/>
      <c r="FN9" s="283"/>
      <c r="FO9" s="283"/>
      <c r="FP9" s="283"/>
      <c r="FQ9" s="283"/>
      <c r="FR9" s="283"/>
      <c r="FS9" s="283"/>
      <c r="FT9" s="283"/>
      <c r="FU9" s="283"/>
      <c r="FV9" s="283"/>
      <c r="FW9" s="283"/>
      <c r="FX9" s="283"/>
      <c r="FY9" s="283"/>
      <c r="FZ9" s="283"/>
      <c r="GA9" s="283"/>
      <c r="GB9" s="283"/>
      <c r="GC9" s="283"/>
      <c r="GD9" s="283"/>
      <c r="GE9" s="283"/>
      <c r="GF9" s="283"/>
      <c r="GG9" s="283"/>
      <c r="GH9" s="283"/>
      <c r="GI9" s="283"/>
      <c r="GJ9" s="283"/>
      <c r="GK9" s="283"/>
      <c r="GL9" s="283"/>
      <c r="GM9" s="283"/>
      <c r="GN9" s="283"/>
      <c r="GO9" s="283"/>
      <c r="GP9" s="283"/>
      <c r="GQ9" s="283"/>
      <c r="GR9" s="283"/>
      <c r="GS9" s="283"/>
      <c r="GT9" s="283"/>
      <c r="GU9" s="283"/>
      <c r="GV9" s="283"/>
      <c r="GW9" s="283"/>
      <c r="GX9" s="283"/>
      <c r="GY9" s="283"/>
      <c r="GZ9" s="283"/>
      <c r="HA9" s="283"/>
      <c r="HB9" s="283"/>
      <c r="HC9" s="283"/>
      <c r="HD9" s="283"/>
      <c r="HE9" s="283"/>
      <c r="HF9" s="283"/>
      <c r="HG9" s="283"/>
      <c r="HH9" s="283"/>
      <c r="HI9" s="283"/>
      <c r="HJ9" s="283"/>
      <c r="HK9" s="283"/>
      <c r="HL9" s="283"/>
      <c r="HM9" s="283"/>
      <c r="HN9" s="283"/>
      <c r="HO9" s="283"/>
      <c r="HP9" s="283"/>
      <c r="HQ9" s="283"/>
      <c r="HR9" s="283"/>
      <c r="HS9" s="283"/>
    </row>
    <row r="10" spans="1:227" s="483" customFormat="1" ht="42" customHeight="1">
      <c r="A10" s="503">
        <v>1</v>
      </c>
      <c r="B10" s="504">
        <v>8</v>
      </c>
      <c r="C10" s="505">
        <v>293</v>
      </c>
      <c r="D10" s="506" t="e">
        <f>'Tên Tháng 1'!#REF!</f>
        <v>#REF!</v>
      </c>
      <c r="E10" s="506" t="e">
        <f>'Tên Tháng 1'!#REF!</f>
        <v>#REF!</v>
      </c>
      <c r="F10" s="507" t="e">
        <f>'Tên Tháng 1'!#REF!</f>
        <v>#REF!</v>
      </c>
      <c r="G10" s="508" t="str">
        <f>'Tên Tháng 1'!E392</f>
        <v>ធី ចាន់</v>
      </c>
      <c r="H10" s="509" t="str">
        <f>'Tên Tháng 1'!F392</f>
        <v>THY CHAN</v>
      </c>
      <c r="I10" s="519">
        <f>'CHAM CONG'!G402</f>
        <v>0</v>
      </c>
      <c r="J10" s="519" t="str">
        <f>'CHAM CONG'!H402</f>
        <v>x</v>
      </c>
      <c r="K10" s="519" t="str">
        <f>'CHAM CONG'!I402</f>
        <v>x</v>
      </c>
      <c r="L10" s="519">
        <f>'CHAM CONG'!J402</f>
        <v>0</v>
      </c>
      <c r="M10" s="519">
        <f>'CHAM CONG'!K402</f>
        <v>0</v>
      </c>
      <c r="N10" s="519" t="str">
        <f>'CHAM CONG'!L402</f>
        <v>x</v>
      </c>
      <c r="O10" s="519" t="str">
        <f>'CHAM CONG'!M402</f>
        <v>x</v>
      </c>
      <c r="P10" s="519" t="str">
        <f>'CHAM CONG'!N402</f>
        <v>x</v>
      </c>
      <c r="Q10" s="519" t="str">
        <f>'CHAM CONG'!O402</f>
        <v>x</v>
      </c>
      <c r="R10" s="519" t="str">
        <f>'CHAM CONG'!P402</f>
        <v>x</v>
      </c>
      <c r="S10" s="519" t="str">
        <f>'CHAM CONG'!Q402</f>
        <v>x</v>
      </c>
      <c r="T10" s="519" t="str">
        <f>'CHAM CONG'!R402</f>
        <v>x</v>
      </c>
      <c r="U10" s="519" t="str">
        <f>'CHAM CONG'!S402</f>
        <v>x</v>
      </c>
      <c r="V10" s="519" t="str">
        <f>'CHAM CONG'!T402</f>
        <v>x</v>
      </c>
      <c r="W10" s="519" t="str">
        <f>'CHAM CONG'!U402</f>
        <v>x</v>
      </c>
      <c r="X10" s="525"/>
      <c r="Y10" s="525"/>
      <c r="Z10" s="535">
        <f>COUNTIF(I10:W10,"X")</f>
        <v>12</v>
      </c>
      <c r="AA10" s="536"/>
      <c r="AB10" s="537">
        <f>ROUND(Z10*$AA$8,0)</f>
        <v>192000</v>
      </c>
      <c r="AC10" s="537"/>
      <c r="AD10" s="537">
        <f>'CHAM CONG'!Y402</f>
        <v>0</v>
      </c>
      <c r="AE10" s="535">
        <f>COUNTIF(AC10:AD10,"X")</f>
        <v>0</v>
      </c>
      <c r="AF10" s="537">
        <f>AE10*$AF$8</f>
        <v>0</v>
      </c>
      <c r="AG10" s="537">
        <f>Z10</f>
        <v>12</v>
      </c>
      <c r="AH10" s="537">
        <f>AG10*$AH$8</f>
        <v>12000</v>
      </c>
      <c r="AI10" s="537">
        <f>AB10+AH10+AF10</f>
        <v>204000</v>
      </c>
      <c r="AJ10" s="519">
        <f>'SAN LUONG'!AF403</f>
        <v>202</v>
      </c>
      <c r="AK10" s="519">
        <f>'SAN LUONG'!AG403</f>
        <v>186</v>
      </c>
      <c r="AL10" s="519">
        <f>'SAN LUONG'!AH403</f>
        <v>346</v>
      </c>
      <c r="AM10" s="519">
        <f>'SAN LUONG'!AI403</f>
        <v>154</v>
      </c>
      <c r="AN10" s="541">
        <f>SUM(AJ10:AM10)-AP10</f>
        <v>888</v>
      </c>
      <c r="AO10" s="553">
        <f>ROUND(AN10*0.44*$AO$8,0)</f>
        <v>197314</v>
      </c>
      <c r="AP10" s="541"/>
      <c r="AQ10" s="553">
        <f>ROUND(AP10*0.44*$AQ$8,0)</f>
        <v>0</v>
      </c>
      <c r="AR10" s="553">
        <f>AO10+AQ10</f>
        <v>197314</v>
      </c>
      <c r="AS10" s="556"/>
      <c r="AT10" s="556"/>
      <c r="AU10" s="556"/>
      <c r="AV10" s="556">
        <f>AI10+AR10</f>
        <v>401314</v>
      </c>
      <c r="AW10" s="564">
        <f t="shared" ref="AW10:AW41" si="0">AV10</f>
        <v>401314</v>
      </c>
      <c r="AX10" s="565"/>
      <c r="AY10" s="566">
        <f>ROUND(AW10/31947,2)</f>
        <v>12.56</v>
      </c>
      <c r="AZ10" s="567"/>
    </row>
    <row r="11" spans="1:227" s="483" customFormat="1" ht="42" customHeight="1">
      <c r="A11" s="503">
        <v>2</v>
      </c>
      <c r="B11" s="504">
        <v>8</v>
      </c>
      <c r="C11" s="505">
        <v>294</v>
      </c>
      <c r="D11" s="506" t="e">
        <f>'Tên Tháng 1'!#REF!</f>
        <v>#REF!</v>
      </c>
      <c r="E11" s="506" t="e">
        <f>'Tên Tháng 1'!#REF!</f>
        <v>#REF!</v>
      </c>
      <c r="F11" s="507" t="e">
        <f>'Tên Tháng 1'!#REF!</f>
        <v>#REF!</v>
      </c>
      <c r="G11" s="508" t="str">
        <f>'Tên Tháng 1'!E393</f>
        <v>ស៊ុត សុផល</v>
      </c>
      <c r="H11" s="509" t="str">
        <f>'Tên Tháng 1'!F393</f>
        <v>SUT SOPHAL</v>
      </c>
      <c r="I11" s="519" t="str">
        <f>'CHAM CONG'!G403</f>
        <v>x</v>
      </c>
      <c r="J11" s="519" t="str">
        <f>'CHAM CONG'!H403</f>
        <v>x</v>
      </c>
      <c r="K11" s="519">
        <f>'CHAM CONG'!I403</f>
        <v>0</v>
      </c>
      <c r="L11" s="519">
        <f>'CHAM CONG'!J403</f>
        <v>0</v>
      </c>
      <c r="M11" s="519">
        <f>'CHAM CONG'!K403</f>
        <v>0</v>
      </c>
      <c r="N11" s="519" t="str">
        <f>'CHAM CONG'!L403</f>
        <v>x</v>
      </c>
      <c r="O11" s="519" t="str">
        <f>'CHAM CONG'!M403</f>
        <v>x</v>
      </c>
      <c r="P11" s="519" t="str">
        <f>'CHAM CONG'!N403</f>
        <v>x</v>
      </c>
      <c r="Q11" s="519" t="str">
        <f>'CHAM CONG'!O403</f>
        <v>x</v>
      </c>
      <c r="R11" s="519" t="str">
        <f>'CHAM CONG'!P403</f>
        <v>x</v>
      </c>
      <c r="S11" s="519" t="str">
        <f>'CHAM CONG'!Q403</f>
        <v>x</v>
      </c>
      <c r="T11" s="519" t="str">
        <f>'CHAM CONG'!R403</f>
        <v>x</v>
      </c>
      <c r="U11" s="519" t="str">
        <f>'CHAM CONG'!S403</f>
        <v>x</v>
      </c>
      <c r="V11" s="519" t="str">
        <f>'CHAM CONG'!T403</f>
        <v>x</v>
      </c>
      <c r="W11" s="519" t="str">
        <f>'CHAM CONG'!U403</f>
        <v>x</v>
      </c>
      <c r="X11" s="525"/>
      <c r="Y11" s="525"/>
      <c r="Z11" s="535">
        <f t="shared" ref="Z11:Z74" si="1">COUNTIF(I11:W11,"X")</f>
        <v>12</v>
      </c>
      <c r="AA11" s="536"/>
      <c r="AB11" s="537">
        <f t="shared" ref="AB11:AB74" si="2">ROUND(Z11*$AA$8,0)</f>
        <v>192000</v>
      </c>
      <c r="AC11" s="537"/>
      <c r="AD11" s="537">
        <f>'CHAM CONG'!Y403</f>
        <v>0</v>
      </c>
      <c r="AE11" s="535">
        <f t="shared" ref="AE11:AE74" si="3">COUNTIF(AC11:AD11,"X")</f>
        <v>0</v>
      </c>
      <c r="AF11" s="537">
        <f t="shared" ref="AF11:AF74" si="4">AE11*$AF$8</f>
        <v>0</v>
      </c>
      <c r="AG11" s="537">
        <f t="shared" ref="AG11:AG74" si="5">Z11</f>
        <v>12</v>
      </c>
      <c r="AH11" s="537">
        <f t="shared" ref="AH11:AH74" si="6">AG11*$AH$8</f>
        <v>12000</v>
      </c>
      <c r="AI11" s="537">
        <f t="shared" ref="AI11:AI74" si="7">AB11+AH11+AF11</f>
        <v>204000</v>
      </c>
      <c r="AJ11" s="519">
        <f>'SAN LUONG'!AF404</f>
        <v>122</v>
      </c>
      <c r="AK11" s="519">
        <f>'SAN LUONG'!AG404</f>
        <v>305</v>
      </c>
      <c r="AL11" s="519">
        <f>'SAN LUONG'!AH404</f>
        <v>449</v>
      </c>
      <c r="AM11" s="519">
        <f>'SAN LUONG'!AI404</f>
        <v>261</v>
      </c>
      <c r="AN11" s="541">
        <f t="shared" ref="AN11:AN74" si="8">SUM(AJ11:AM11)-AP11</f>
        <v>1137</v>
      </c>
      <c r="AO11" s="553">
        <f t="shared" ref="AO11:AO74" si="9">ROUND(AN11*0.44*$AO$8,0)</f>
        <v>252641</v>
      </c>
      <c r="AP11" s="541"/>
      <c r="AQ11" s="553">
        <f t="shared" ref="AQ11:AQ74" si="10">ROUND(AP11*0.44*$AQ$8,0)</f>
        <v>0</v>
      </c>
      <c r="AR11" s="553">
        <f t="shared" ref="AR11:AR74" si="11">AO11+AQ11</f>
        <v>252641</v>
      </c>
      <c r="AS11" s="556"/>
      <c r="AT11" s="556"/>
      <c r="AU11" s="556"/>
      <c r="AV11" s="556">
        <f t="shared" ref="AV11:AV74" si="12">AI11+AR11</f>
        <v>456641</v>
      </c>
      <c r="AW11" s="564">
        <f t="shared" si="0"/>
        <v>456641</v>
      </c>
      <c r="AX11" s="565"/>
      <c r="AY11" s="566">
        <f t="shared" ref="AY11:AY74" si="13">ROUND(AW11/31947,2)</f>
        <v>14.29</v>
      </c>
      <c r="AZ11" s="567"/>
    </row>
    <row r="12" spans="1:227" s="483" customFormat="1" ht="42" customHeight="1">
      <c r="A12" s="503">
        <v>3</v>
      </c>
      <c r="B12" s="504">
        <v>8</v>
      </c>
      <c r="C12" s="505">
        <v>295</v>
      </c>
      <c r="D12" s="506" t="e">
        <f>'Tên Tháng 1'!#REF!</f>
        <v>#REF!</v>
      </c>
      <c r="E12" s="506" t="e">
        <f>'Tên Tháng 1'!#REF!</f>
        <v>#REF!</v>
      </c>
      <c r="F12" s="507" t="e">
        <f>'Tên Tháng 1'!#REF!</f>
        <v>#REF!</v>
      </c>
      <c r="G12" s="508" t="str">
        <f>'Tên Tháng 1'!E394</f>
        <v>ហៃ អុល</v>
      </c>
      <c r="H12" s="509" t="str">
        <f>'Tên Tháng 1'!F394</f>
        <v>HAI OL</v>
      </c>
      <c r="I12" s="519" t="str">
        <f>'CHAM CONG'!G404</f>
        <v>x</v>
      </c>
      <c r="J12" s="519" t="str">
        <f>'CHAM CONG'!H404</f>
        <v>x</v>
      </c>
      <c r="K12" s="519">
        <f>'CHAM CONG'!I404</f>
        <v>0</v>
      </c>
      <c r="L12" s="519">
        <f>'CHAM CONG'!J404</f>
        <v>0</v>
      </c>
      <c r="M12" s="519">
        <f>'CHAM CONG'!K404</f>
        <v>0</v>
      </c>
      <c r="N12" s="519" t="str">
        <f>'CHAM CONG'!L404</f>
        <v>x</v>
      </c>
      <c r="O12" s="519" t="str">
        <f>'CHAM CONG'!M404</f>
        <v>x</v>
      </c>
      <c r="P12" s="519" t="str">
        <f>'CHAM CONG'!N404</f>
        <v>x</v>
      </c>
      <c r="Q12" s="519" t="str">
        <f>'CHAM CONG'!O404</f>
        <v>x</v>
      </c>
      <c r="R12" s="519" t="str">
        <f>'CHAM CONG'!P404</f>
        <v>x</v>
      </c>
      <c r="S12" s="519" t="str">
        <f>'CHAM CONG'!Q404</f>
        <v>x</v>
      </c>
      <c r="T12" s="519" t="str">
        <f>'CHAM CONG'!R404</f>
        <v>x</v>
      </c>
      <c r="U12" s="519" t="str">
        <f>'CHAM CONG'!S404</f>
        <v>x</v>
      </c>
      <c r="V12" s="519" t="str">
        <f>'CHAM CONG'!T404</f>
        <v>x</v>
      </c>
      <c r="W12" s="519" t="str">
        <f>'CHAM CONG'!U404</f>
        <v>x</v>
      </c>
      <c r="X12" s="525"/>
      <c r="Y12" s="525"/>
      <c r="Z12" s="535">
        <f t="shared" si="1"/>
        <v>12</v>
      </c>
      <c r="AA12" s="536"/>
      <c r="AB12" s="537">
        <f t="shared" si="2"/>
        <v>192000</v>
      </c>
      <c r="AC12" s="537"/>
      <c r="AD12" s="537">
        <f>'CHAM CONG'!Y404</f>
        <v>0</v>
      </c>
      <c r="AE12" s="535">
        <f t="shared" si="3"/>
        <v>0</v>
      </c>
      <c r="AF12" s="537">
        <f t="shared" si="4"/>
        <v>0</v>
      </c>
      <c r="AG12" s="537">
        <f t="shared" si="5"/>
        <v>12</v>
      </c>
      <c r="AH12" s="537">
        <f t="shared" si="6"/>
        <v>12000</v>
      </c>
      <c r="AI12" s="537">
        <f t="shared" si="7"/>
        <v>204000</v>
      </c>
      <c r="AJ12" s="519">
        <f>'SAN LUONG'!AF405</f>
        <v>242</v>
      </c>
      <c r="AK12" s="519">
        <f>'SAN LUONG'!AG405</f>
        <v>388</v>
      </c>
      <c r="AL12" s="519">
        <f>'SAN LUONG'!AH405</f>
        <v>593</v>
      </c>
      <c r="AM12" s="519">
        <f>'SAN LUONG'!AI405</f>
        <v>303</v>
      </c>
      <c r="AN12" s="541">
        <f t="shared" si="8"/>
        <v>1526</v>
      </c>
      <c r="AO12" s="553">
        <f t="shared" si="9"/>
        <v>339077</v>
      </c>
      <c r="AP12" s="541"/>
      <c r="AQ12" s="553">
        <f t="shared" si="10"/>
        <v>0</v>
      </c>
      <c r="AR12" s="553">
        <f t="shared" si="11"/>
        <v>339077</v>
      </c>
      <c r="AS12" s="556"/>
      <c r="AT12" s="556"/>
      <c r="AU12" s="556"/>
      <c r="AV12" s="556">
        <f t="shared" si="12"/>
        <v>543077</v>
      </c>
      <c r="AW12" s="564">
        <f t="shared" si="0"/>
        <v>543077</v>
      </c>
      <c r="AX12" s="565"/>
      <c r="AY12" s="566">
        <f t="shared" si="13"/>
        <v>17</v>
      </c>
      <c r="AZ12" s="567"/>
    </row>
    <row r="13" spans="1:227" s="483" customFormat="1" ht="42" customHeight="1">
      <c r="A13" s="503">
        <v>4</v>
      </c>
      <c r="B13" s="504">
        <v>8</v>
      </c>
      <c r="C13" s="505">
        <v>296</v>
      </c>
      <c r="D13" s="506" t="e">
        <f>'Tên Tháng 1'!#REF!</f>
        <v>#REF!</v>
      </c>
      <c r="E13" s="506" t="e">
        <f>'Tên Tháng 1'!#REF!</f>
        <v>#REF!</v>
      </c>
      <c r="F13" s="507" t="e">
        <f>'Tên Tháng 1'!#REF!</f>
        <v>#REF!</v>
      </c>
      <c r="G13" s="508" t="str">
        <f>'Tên Tháng 1'!E395</f>
        <v>អាង សី</v>
      </c>
      <c r="H13" s="509" t="str">
        <f>'Tên Tháng 1'!F395</f>
        <v>ANG SEY</v>
      </c>
      <c r="I13" s="519">
        <f>'CHAM CONG'!G405</f>
        <v>0</v>
      </c>
      <c r="J13" s="519" t="str">
        <f>'CHAM CONG'!H405</f>
        <v>x</v>
      </c>
      <c r="K13" s="519" t="str">
        <f>'CHAM CONG'!I405</f>
        <v>x</v>
      </c>
      <c r="L13" s="519">
        <f>'CHAM CONG'!J405</f>
        <v>0</v>
      </c>
      <c r="M13" s="519">
        <f>'CHAM CONG'!K405</f>
        <v>0</v>
      </c>
      <c r="N13" s="519" t="str">
        <f>'CHAM CONG'!L405</f>
        <v>x</v>
      </c>
      <c r="O13" s="519" t="str">
        <f>'CHAM CONG'!M405</f>
        <v>x</v>
      </c>
      <c r="P13" s="519" t="str">
        <f>'CHAM CONG'!N405</f>
        <v>x</v>
      </c>
      <c r="Q13" s="519" t="str">
        <f>'CHAM CONG'!O405</f>
        <v>x</v>
      </c>
      <c r="R13" s="519" t="str">
        <f>'CHAM CONG'!P405</f>
        <v>x</v>
      </c>
      <c r="S13" s="519" t="str">
        <f>'CHAM CONG'!Q405</f>
        <v>x</v>
      </c>
      <c r="T13" s="519" t="str">
        <f>'CHAM CONG'!R405</f>
        <v>x</v>
      </c>
      <c r="U13" s="519" t="str">
        <f>'CHAM CONG'!S405</f>
        <v>x</v>
      </c>
      <c r="V13" s="519" t="str">
        <f>'CHAM CONG'!T405</f>
        <v>x</v>
      </c>
      <c r="W13" s="519" t="str">
        <f>'CHAM CONG'!U405</f>
        <v>x</v>
      </c>
      <c r="X13" s="525"/>
      <c r="Y13" s="525"/>
      <c r="Z13" s="535">
        <f t="shared" si="1"/>
        <v>12</v>
      </c>
      <c r="AA13" s="536"/>
      <c r="AB13" s="537">
        <f t="shared" si="2"/>
        <v>192000</v>
      </c>
      <c r="AC13" s="537"/>
      <c r="AD13" s="537">
        <f>'CHAM CONG'!Y405</f>
        <v>0</v>
      </c>
      <c r="AE13" s="535">
        <f t="shared" si="3"/>
        <v>0</v>
      </c>
      <c r="AF13" s="537">
        <f t="shared" si="4"/>
        <v>0</v>
      </c>
      <c r="AG13" s="537">
        <f t="shared" si="5"/>
        <v>12</v>
      </c>
      <c r="AH13" s="537">
        <f t="shared" si="6"/>
        <v>12000</v>
      </c>
      <c r="AI13" s="537">
        <f t="shared" si="7"/>
        <v>204000</v>
      </c>
      <c r="AJ13" s="519">
        <f>'SAN LUONG'!AF406</f>
        <v>238</v>
      </c>
      <c r="AK13" s="519">
        <f>'SAN LUONG'!AG406</f>
        <v>270</v>
      </c>
      <c r="AL13" s="519">
        <f>'SAN LUONG'!AH406</f>
        <v>327</v>
      </c>
      <c r="AM13" s="519">
        <f>'SAN LUONG'!AI406</f>
        <v>337</v>
      </c>
      <c r="AN13" s="541">
        <f t="shared" si="8"/>
        <v>1172</v>
      </c>
      <c r="AO13" s="553">
        <f t="shared" si="9"/>
        <v>260418</v>
      </c>
      <c r="AP13" s="541"/>
      <c r="AQ13" s="553">
        <f t="shared" si="10"/>
        <v>0</v>
      </c>
      <c r="AR13" s="553">
        <f t="shared" si="11"/>
        <v>260418</v>
      </c>
      <c r="AS13" s="556"/>
      <c r="AT13" s="556"/>
      <c r="AU13" s="556"/>
      <c r="AV13" s="556">
        <f t="shared" si="12"/>
        <v>464418</v>
      </c>
      <c r="AW13" s="564">
        <f t="shared" si="0"/>
        <v>464418</v>
      </c>
      <c r="AX13" s="565"/>
      <c r="AY13" s="566">
        <f t="shared" si="13"/>
        <v>14.54</v>
      </c>
      <c r="AZ13" s="567"/>
    </row>
    <row r="14" spans="1:227" s="483" customFormat="1" ht="42" customHeight="1">
      <c r="A14" s="503">
        <v>5</v>
      </c>
      <c r="B14" s="504">
        <v>8</v>
      </c>
      <c r="C14" s="505">
        <v>297</v>
      </c>
      <c r="D14" s="506" t="e">
        <f>'Tên Tháng 1'!#REF!</f>
        <v>#REF!</v>
      </c>
      <c r="E14" s="506" t="e">
        <f>'Tên Tháng 1'!#REF!</f>
        <v>#REF!</v>
      </c>
      <c r="F14" s="507" t="e">
        <f>'Tên Tháng 1'!#REF!</f>
        <v>#REF!</v>
      </c>
      <c r="G14" s="508" t="str">
        <f>'Tên Tháng 1'!E396</f>
        <v>អាន់ សំអូន</v>
      </c>
      <c r="H14" s="509" t="str">
        <f>'Tên Tháng 1'!F396</f>
        <v>ANN SAMOUN</v>
      </c>
      <c r="I14" s="519" t="str">
        <f>'CHAM CONG'!G406</f>
        <v>x</v>
      </c>
      <c r="J14" s="519" t="str">
        <f>'CHAM CONG'!H406</f>
        <v>x</v>
      </c>
      <c r="K14" s="519" t="str">
        <f>'CHAM CONG'!I406</f>
        <v>x</v>
      </c>
      <c r="L14" s="519">
        <f>'CHAM CONG'!J406</f>
        <v>0</v>
      </c>
      <c r="M14" s="519">
        <f>'CHAM CONG'!K406</f>
        <v>0</v>
      </c>
      <c r="N14" s="519" t="str">
        <f>'CHAM CONG'!L406</f>
        <v>x</v>
      </c>
      <c r="O14" s="519" t="str">
        <f>'CHAM CONG'!M406</f>
        <v>x</v>
      </c>
      <c r="P14" s="519" t="str">
        <f>'CHAM CONG'!N406</f>
        <v>x</v>
      </c>
      <c r="Q14" s="519" t="str">
        <f>'CHAM CONG'!O406</f>
        <v>x</v>
      </c>
      <c r="R14" s="519" t="str">
        <f>'CHAM CONG'!P406</f>
        <v>x</v>
      </c>
      <c r="S14" s="519" t="str">
        <f>'CHAM CONG'!Q406</f>
        <v>x</v>
      </c>
      <c r="T14" s="519" t="str">
        <f>'CHAM CONG'!R406</f>
        <v>x</v>
      </c>
      <c r="U14" s="519" t="str">
        <f>'CHAM CONG'!S406</f>
        <v>x</v>
      </c>
      <c r="V14" s="519" t="str">
        <f>'CHAM CONG'!T406</f>
        <v>x</v>
      </c>
      <c r="W14" s="519" t="str">
        <f>'CHAM CONG'!U406</f>
        <v>x</v>
      </c>
      <c r="X14" s="525"/>
      <c r="Y14" s="525"/>
      <c r="Z14" s="535">
        <f t="shared" si="1"/>
        <v>13</v>
      </c>
      <c r="AA14" s="536"/>
      <c r="AB14" s="537">
        <f t="shared" si="2"/>
        <v>208000</v>
      </c>
      <c r="AC14" s="537"/>
      <c r="AD14" s="537" t="str">
        <f>'CHAM CONG'!Y406</f>
        <v>x</v>
      </c>
      <c r="AE14" s="535">
        <f t="shared" si="3"/>
        <v>1</v>
      </c>
      <c r="AF14" s="537">
        <f t="shared" si="4"/>
        <v>17000</v>
      </c>
      <c r="AG14" s="537">
        <f t="shared" si="5"/>
        <v>13</v>
      </c>
      <c r="AH14" s="537">
        <f t="shared" si="6"/>
        <v>13000</v>
      </c>
      <c r="AI14" s="537">
        <f t="shared" si="7"/>
        <v>238000</v>
      </c>
      <c r="AJ14" s="519">
        <f>'SAN LUONG'!AF407</f>
        <v>302</v>
      </c>
      <c r="AK14" s="519">
        <f>'SAN LUONG'!AG407</f>
        <v>491</v>
      </c>
      <c r="AL14" s="519">
        <f>'SAN LUONG'!AH407</f>
        <v>370</v>
      </c>
      <c r="AM14" s="519">
        <f>'SAN LUONG'!AI407</f>
        <v>391</v>
      </c>
      <c r="AN14" s="541">
        <f t="shared" si="8"/>
        <v>1554</v>
      </c>
      <c r="AO14" s="553">
        <f t="shared" si="9"/>
        <v>345299</v>
      </c>
      <c r="AP14" s="541"/>
      <c r="AQ14" s="553">
        <f t="shared" si="10"/>
        <v>0</v>
      </c>
      <c r="AR14" s="553">
        <f t="shared" si="11"/>
        <v>345299</v>
      </c>
      <c r="AS14" s="556"/>
      <c r="AT14" s="556"/>
      <c r="AU14" s="556"/>
      <c r="AV14" s="556">
        <f t="shared" si="12"/>
        <v>583299</v>
      </c>
      <c r="AW14" s="564">
        <f t="shared" si="0"/>
        <v>583299</v>
      </c>
      <c r="AX14" s="565"/>
      <c r="AY14" s="566">
        <f t="shared" si="13"/>
        <v>18.260000000000002</v>
      </c>
      <c r="AZ14" s="567"/>
    </row>
    <row r="15" spans="1:227" s="483" customFormat="1" ht="42" customHeight="1">
      <c r="A15" s="503">
        <v>6</v>
      </c>
      <c r="B15" s="504">
        <v>8</v>
      </c>
      <c r="C15" s="505">
        <v>298</v>
      </c>
      <c r="D15" s="506" t="e">
        <f>'Tên Tháng 1'!#REF!</f>
        <v>#REF!</v>
      </c>
      <c r="E15" s="506" t="e">
        <f>'Tên Tháng 1'!#REF!</f>
        <v>#REF!</v>
      </c>
      <c r="F15" s="507" t="e">
        <f>'Tên Tháng 1'!#REF!</f>
        <v>#REF!</v>
      </c>
      <c r="G15" s="508" t="str">
        <f>'Tên Tháng 1'!E397</f>
        <v>ឡូត សុភ័ក្រ</v>
      </c>
      <c r="H15" s="509" t="str">
        <f>'Tên Tháng 1'!F397</f>
        <v>LOT SOPHEAK</v>
      </c>
      <c r="I15" s="519" t="str">
        <f>'CHAM CONG'!G407</f>
        <v>x</v>
      </c>
      <c r="J15" s="519" t="str">
        <f>'CHAM CONG'!H407</f>
        <v>x</v>
      </c>
      <c r="K15" s="519" t="str">
        <f>'CHAM CONG'!I407</f>
        <v>x</v>
      </c>
      <c r="L15" s="519">
        <f>'CHAM CONG'!J407</f>
        <v>0</v>
      </c>
      <c r="M15" s="519">
        <f>'CHAM CONG'!K407</f>
        <v>0</v>
      </c>
      <c r="N15" s="519" t="str">
        <f>'CHAM CONG'!L407</f>
        <v>x</v>
      </c>
      <c r="O15" s="519" t="str">
        <f>'CHAM CONG'!M407</f>
        <v>x</v>
      </c>
      <c r="P15" s="519" t="str">
        <f>'CHAM CONG'!N407</f>
        <v>x</v>
      </c>
      <c r="Q15" s="519" t="str">
        <f>'CHAM CONG'!O407</f>
        <v>x</v>
      </c>
      <c r="R15" s="519" t="str">
        <f>'CHAM CONG'!P407</f>
        <v>x</v>
      </c>
      <c r="S15" s="519" t="str">
        <f>'CHAM CONG'!Q407</f>
        <v>x</v>
      </c>
      <c r="T15" s="519" t="str">
        <f>'CHAM CONG'!R407</f>
        <v>x</v>
      </c>
      <c r="U15" s="519" t="str">
        <f>'CHAM CONG'!S407</f>
        <v>x</v>
      </c>
      <c r="V15" s="519" t="str">
        <f>'CHAM CONG'!T407</f>
        <v>x</v>
      </c>
      <c r="W15" s="519" t="str">
        <f>'CHAM CONG'!U407</f>
        <v>x</v>
      </c>
      <c r="X15" s="525"/>
      <c r="Y15" s="525"/>
      <c r="Z15" s="535">
        <f t="shared" si="1"/>
        <v>13</v>
      </c>
      <c r="AA15" s="536"/>
      <c r="AB15" s="537">
        <f t="shared" si="2"/>
        <v>208000</v>
      </c>
      <c r="AC15" s="537"/>
      <c r="AD15" s="537">
        <f>'CHAM CONG'!Y407</f>
        <v>0</v>
      </c>
      <c r="AE15" s="535">
        <f t="shared" si="3"/>
        <v>0</v>
      </c>
      <c r="AF15" s="537">
        <f t="shared" si="4"/>
        <v>0</v>
      </c>
      <c r="AG15" s="537">
        <f t="shared" si="5"/>
        <v>13</v>
      </c>
      <c r="AH15" s="537">
        <f t="shared" si="6"/>
        <v>13000</v>
      </c>
      <c r="AI15" s="537">
        <f t="shared" si="7"/>
        <v>221000</v>
      </c>
      <c r="AJ15" s="519">
        <f>'SAN LUONG'!AF408</f>
        <v>189</v>
      </c>
      <c r="AK15" s="519">
        <f>'SAN LUONG'!AG408</f>
        <v>216</v>
      </c>
      <c r="AL15" s="519">
        <f>'SAN LUONG'!AH408</f>
        <v>155</v>
      </c>
      <c r="AM15" s="519">
        <f>'SAN LUONG'!AI408</f>
        <v>269</v>
      </c>
      <c r="AN15" s="541">
        <f t="shared" si="8"/>
        <v>829</v>
      </c>
      <c r="AO15" s="553">
        <f t="shared" si="9"/>
        <v>184204</v>
      </c>
      <c r="AP15" s="541"/>
      <c r="AQ15" s="553">
        <f t="shared" si="10"/>
        <v>0</v>
      </c>
      <c r="AR15" s="553">
        <f t="shared" si="11"/>
        <v>184204</v>
      </c>
      <c r="AS15" s="556"/>
      <c r="AT15" s="556"/>
      <c r="AU15" s="556"/>
      <c r="AV15" s="556">
        <f t="shared" si="12"/>
        <v>405204</v>
      </c>
      <c r="AW15" s="564">
        <f t="shared" si="0"/>
        <v>405204</v>
      </c>
      <c r="AX15" s="565"/>
      <c r="AY15" s="566">
        <f t="shared" si="13"/>
        <v>12.68</v>
      </c>
      <c r="AZ15" s="567"/>
    </row>
    <row r="16" spans="1:227" s="483" customFormat="1" ht="42" customHeight="1">
      <c r="A16" s="503">
        <v>7</v>
      </c>
      <c r="B16" s="504">
        <v>8</v>
      </c>
      <c r="C16" s="505">
        <v>299</v>
      </c>
      <c r="D16" s="506" t="e">
        <f>'Tên Tháng 1'!#REF!</f>
        <v>#REF!</v>
      </c>
      <c r="E16" s="506" t="e">
        <f>'Tên Tháng 1'!#REF!</f>
        <v>#REF!</v>
      </c>
      <c r="F16" s="507" t="e">
        <f>'Tên Tháng 1'!#REF!</f>
        <v>#REF!</v>
      </c>
      <c r="G16" s="508" t="str">
        <f>'Tên Tháng 1'!E398</f>
        <v>យ៉ុន ផល</v>
      </c>
      <c r="H16" s="509" t="str">
        <f>'Tên Tháng 1'!F398</f>
        <v>YON PHAL</v>
      </c>
      <c r="I16" s="519" t="str">
        <f>'CHAM CONG'!G408</f>
        <v>x</v>
      </c>
      <c r="J16" s="519" t="str">
        <f>'CHAM CONG'!H408</f>
        <v>x</v>
      </c>
      <c r="K16" s="519" t="str">
        <f>'CHAM CONG'!I408</f>
        <v>x</v>
      </c>
      <c r="L16" s="519">
        <f>'CHAM CONG'!J408</f>
        <v>0</v>
      </c>
      <c r="M16" s="519" t="str">
        <f>'CHAM CONG'!K408</f>
        <v>x</v>
      </c>
      <c r="N16" s="519" t="str">
        <f>'CHAM CONG'!L408</f>
        <v>x</v>
      </c>
      <c r="O16" s="519" t="str">
        <f>'CHAM CONG'!M408</f>
        <v>x</v>
      </c>
      <c r="P16" s="519">
        <f>'CHAM CONG'!N408</f>
        <v>0</v>
      </c>
      <c r="Q16" s="519" t="str">
        <f>'CHAM CONG'!O408</f>
        <v>x</v>
      </c>
      <c r="R16" s="519" t="str">
        <f>'CHAM CONG'!P408</f>
        <v>x</v>
      </c>
      <c r="S16" s="519" t="str">
        <f>'CHAM CONG'!Q408</f>
        <v>x</v>
      </c>
      <c r="T16" s="519" t="str">
        <f>'CHAM CONG'!R408</f>
        <v>x</v>
      </c>
      <c r="U16" s="519" t="str">
        <f>'CHAM CONG'!S408</f>
        <v>x</v>
      </c>
      <c r="V16" s="519" t="str">
        <f>'CHAM CONG'!T408</f>
        <v>x</v>
      </c>
      <c r="W16" s="519" t="str">
        <f>'CHAM CONG'!U408</f>
        <v>x</v>
      </c>
      <c r="X16" s="525"/>
      <c r="Y16" s="525"/>
      <c r="Z16" s="535">
        <f t="shared" si="1"/>
        <v>13</v>
      </c>
      <c r="AA16" s="536"/>
      <c r="AB16" s="537">
        <f t="shared" si="2"/>
        <v>208000</v>
      </c>
      <c r="AC16" s="537"/>
      <c r="AD16" s="537">
        <f>'CHAM CONG'!Y408</f>
        <v>0</v>
      </c>
      <c r="AE16" s="535">
        <f t="shared" si="3"/>
        <v>0</v>
      </c>
      <c r="AF16" s="537">
        <f t="shared" si="4"/>
        <v>0</v>
      </c>
      <c r="AG16" s="537">
        <f t="shared" si="5"/>
        <v>13</v>
      </c>
      <c r="AH16" s="537">
        <f t="shared" si="6"/>
        <v>13000</v>
      </c>
      <c r="AI16" s="537">
        <f t="shared" si="7"/>
        <v>221000</v>
      </c>
      <c r="AJ16" s="519">
        <f>'SAN LUONG'!AF409</f>
        <v>444</v>
      </c>
      <c r="AK16" s="519">
        <f>'SAN LUONG'!AG409</f>
        <v>424</v>
      </c>
      <c r="AL16" s="519">
        <f>'SAN LUONG'!AH409</f>
        <v>397</v>
      </c>
      <c r="AM16" s="519">
        <f>'SAN LUONG'!AI409</f>
        <v>306</v>
      </c>
      <c r="AN16" s="541">
        <f t="shared" si="8"/>
        <v>1571</v>
      </c>
      <c r="AO16" s="553">
        <f t="shared" si="9"/>
        <v>349076</v>
      </c>
      <c r="AP16" s="541"/>
      <c r="AQ16" s="553">
        <f t="shared" si="10"/>
        <v>0</v>
      </c>
      <c r="AR16" s="553">
        <f t="shared" si="11"/>
        <v>349076</v>
      </c>
      <c r="AS16" s="556"/>
      <c r="AT16" s="556"/>
      <c r="AU16" s="556"/>
      <c r="AV16" s="556">
        <f t="shared" si="12"/>
        <v>570076</v>
      </c>
      <c r="AW16" s="564">
        <f t="shared" si="0"/>
        <v>570076</v>
      </c>
      <c r="AX16" s="565"/>
      <c r="AY16" s="566">
        <f t="shared" si="13"/>
        <v>17.84</v>
      </c>
      <c r="AZ16" s="567"/>
    </row>
    <row r="17" spans="1:52" s="483" customFormat="1" ht="42" customHeight="1">
      <c r="A17" s="503">
        <v>8</v>
      </c>
      <c r="B17" s="504">
        <v>8</v>
      </c>
      <c r="C17" s="505">
        <v>300</v>
      </c>
      <c r="D17" s="506" t="e">
        <f>'Tên Tháng 1'!#REF!</f>
        <v>#REF!</v>
      </c>
      <c r="E17" s="506" t="e">
        <f>'Tên Tháng 1'!#REF!</f>
        <v>#REF!</v>
      </c>
      <c r="F17" s="507" t="e">
        <f>'Tên Tháng 1'!#REF!</f>
        <v>#REF!</v>
      </c>
      <c r="G17" s="508" t="str">
        <f>'Tên Tháng 1'!E399</f>
        <v>រឹម ធីម</v>
      </c>
      <c r="H17" s="509" t="str">
        <f>'Tên Tháng 1'!F399</f>
        <v>ROEM THIM</v>
      </c>
      <c r="I17" s="519" t="str">
        <f>'CHAM CONG'!G409</f>
        <v>x</v>
      </c>
      <c r="J17" s="519" t="str">
        <f>'CHAM CONG'!H409</f>
        <v>x</v>
      </c>
      <c r="K17" s="519" t="str">
        <f>'CHAM CONG'!I409</f>
        <v>x</v>
      </c>
      <c r="L17" s="519">
        <f>'CHAM CONG'!J409</f>
        <v>0</v>
      </c>
      <c r="M17" s="519" t="str">
        <f>'CHAM CONG'!K409</f>
        <v>x</v>
      </c>
      <c r="N17" s="519" t="str">
        <f>'CHAM CONG'!L409</f>
        <v>x</v>
      </c>
      <c r="O17" s="519" t="str">
        <f>'CHAM CONG'!M409</f>
        <v>x</v>
      </c>
      <c r="P17" s="519" t="str">
        <f>'CHAM CONG'!N409</f>
        <v>x</v>
      </c>
      <c r="Q17" s="519" t="str">
        <f>'CHAM CONG'!O409</f>
        <v>x</v>
      </c>
      <c r="R17" s="519" t="str">
        <f>'CHAM CONG'!P409</f>
        <v>x</v>
      </c>
      <c r="S17" s="519" t="str">
        <f>'CHAM CONG'!Q409</f>
        <v>x</v>
      </c>
      <c r="T17" s="519" t="str">
        <f>'CHAM CONG'!R409</f>
        <v>x</v>
      </c>
      <c r="U17" s="519" t="str">
        <f>'CHAM CONG'!S409</f>
        <v>x</v>
      </c>
      <c r="V17" s="519" t="str">
        <f>'CHAM CONG'!T409</f>
        <v>x</v>
      </c>
      <c r="W17" s="519" t="str">
        <f>'CHAM CONG'!U409</f>
        <v>x</v>
      </c>
      <c r="X17" s="525"/>
      <c r="Y17" s="525"/>
      <c r="Z17" s="535">
        <f t="shared" si="1"/>
        <v>14</v>
      </c>
      <c r="AA17" s="536"/>
      <c r="AB17" s="537">
        <f t="shared" si="2"/>
        <v>224000</v>
      </c>
      <c r="AC17" s="537"/>
      <c r="AD17" s="537" t="str">
        <f>'CHAM CONG'!Y409</f>
        <v>x</v>
      </c>
      <c r="AE17" s="535">
        <f t="shared" si="3"/>
        <v>1</v>
      </c>
      <c r="AF17" s="537">
        <f t="shared" si="4"/>
        <v>17000</v>
      </c>
      <c r="AG17" s="537">
        <f t="shared" si="5"/>
        <v>14</v>
      </c>
      <c r="AH17" s="537">
        <f t="shared" si="6"/>
        <v>14000</v>
      </c>
      <c r="AI17" s="537">
        <f t="shared" si="7"/>
        <v>255000</v>
      </c>
      <c r="AJ17" s="519">
        <f>'SAN LUONG'!AF410</f>
        <v>292</v>
      </c>
      <c r="AK17" s="519">
        <f>'SAN LUONG'!AG410</f>
        <v>329</v>
      </c>
      <c r="AL17" s="519">
        <f>'SAN LUONG'!AH410</f>
        <v>374</v>
      </c>
      <c r="AM17" s="519">
        <f>'SAN LUONG'!AI410</f>
        <v>327</v>
      </c>
      <c r="AN17" s="541">
        <f t="shared" si="8"/>
        <v>1322</v>
      </c>
      <c r="AO17" s="553">
        <f t="shared" si="9"/>
        <v>293748</v>
      </c>
      <c r="AP17" s="541"/>
      <c r="AQ17" s="553">
        <f t="shared" si="10"/>
        <v>0</v>
      </c>
      <c r="AR17" s="553">
        <f t="shared" si="11"/>
        <v>293748</v>
      </c>
      <c r="AS17" s="556"/>
      <c r="AT17" s="556"/>
      <c r="AU17" s="556"/>
      <c r="AV17" s="556">
        <f t="shared" si="12"/>
        <v>548748</v>
      </c>
      <c r="AW17" s="564">
        <f t="shared" si="0"/>
        <v>548748</v>
      </c>
      <c r="AX17" s="565"/>
      <c r="AY17" s="566">
        <f t="shared" si="13"/>
        <v>17.18</v>
      </c>
      <c r="AZ17" s="567"/>
    </row>
    <row r="18" spans="1:52" s="483" customFormat="1" ht="42" customHeight="1">
      <c r="A18" s="503">
        <v>9</v>
      </c>
      <c r="B18" s="504">
        <v>8</v>
      </c>
      <c r="C18" s="505">
        <v>301</v>
      </c>
      <c r="D18" s="506" t="e">
        <f>'Tên Tháng 1'!#REF!</f>
        <v>#REF!</v>
      </c>
      <c r="E18" s="506" t="e">
        <f>'Tên Tháng 1'!#REF!</f>
        <v>#REF!</v>
      </c>
      <c r="F18" s="507" t="e">
        <f>'Tên Tháng 1'!#REF!</f>
        <v>#REF!</v>
      </c>
      <c r="G18" s="508" t="str">
        <f>'Tên Tháng 1'!E400</f>
        <v>យ៉ុន ធា</v>
      </c>
      <c r="H18" s="509" t="str">
        <f>'Tên Tháng 1'!F400</f>
        <v>YON THEA</v>
      </c>
      <c r="I18" s="519">
        <f>'CHAM CONG'!G410</f>
        <v>0</v>
      </c>
      <c r="J18" s="519" t="str">
        <f>'CHAM CONG'!H410</f>
        <v>x</v>
      </c>
      <c r="K18" s="519" t="str">
        <f>'CHAM CONG'!I410</f>
        <v>x</v>
      </c>
      <c r="L18" s="519">
        <f>'CHAM CONG'!J410</f>
        <v>0</v>
      </c>
      <c r="M18" s="519" t="str">
        <f>'CHAM CONG'!K410</f>
        <v>x</v>
      </c>
      <c r="N18" s="519" t="str">
        <f>'CHAM CONG'!L410</f>
        <v>x</v>
      </c>
      <c r="O18" s="519" t="str">
        <f>'CHAM CONG'!M410</f>
        <v>x</v>
      </c>
      <c r="P18" s="519" t="str">
        <f>'CHAM CONG'!N410</f>
        <v>x</v>
      </c>
      <c r="Q18" s="519" t="str">
        <f>'CHAM CONG'!O410</f>
        <v>x</v>
      </c>
      <c r="R18" s="519" t="str">
        <f>'CHAM CONG'!P410</f>
        <v>x</v>
      </c>
      <c r="S18" s="519" t="str">
        <f>'CHAM CONG'!Q410</f>
        <v>x</v>
      </c>
      <c r="T18" s="519" t="str">
        <f>'CHAM CONG'!R410</f>
        <v>x</v>
      </c>
      <c r="U18" s="519" t="str">
        <f>'CHAM CONG'!S410</f>
        <v>x</v>
      </c>
      <c r="V18" s="519" t="str">
        <f>'CHAM CONG'!T410</f>
        <v>x</v>
      </c>
      <c r="W18" s="519" t="str">
        <f>'CHAM CONG'!U410</f>
        <v>x</v>
      </c>
      <c r="X18" s="525"/>
      <c r="Y18" s="525"/>
      <c r="Z18" s="535">
        <f t="shared" si="1"/>
        <v>13</v>
      </c>
      <c r="AA18" s="536"/>
      <c r="AB18" s="537">
        <f t="shared" si="2"/>
        <v>208000</v>
      </c>
      <c r="AC18" s="537"/>
      <c r="AD18" s="537">
        <f>'CHAM CONG'!Y410</f>
        <v>0</v>
      </c>
      <c r="AE18" s="535">
        <f t="shared" si="3"/>
        <v>0</v>
      </c>
      <c r="AF18" s="537">
        <f t="shared" si="4"/>
        <v>0</v>
      </c>
      <c r="AG18" s="537">
        <f t="shared" si="5"/>
        <v>13</v>
      </c>
      <c r="AH18" s="537">
        <f t="shared" si="6"/>
        <v>13000</v>
      </c>
      <c r="AI18" s="537">
        <f t="shared" si="7"/>
        <v>221000</v>
      </c>
      <c r="AJ18" s="542">
        <f>'SAN LUONG'!AF411</f>
        <v>277</v>
      </c>
      <c r="AK18" s="519">
        <f>'SAN LUONG'!AG411</f>
        <v>293</v>
      </c>
      <c r="AL18" s="519">
        <f>'SAN LUONG'!AH411</f>
        <v>260</v>
      </c>
      <c r="AM18" s="519">
        <f>'SAN LUONG'!AI411</f>
        <v>324</v>
      </c>
      <c r="AN18" s="541">
        <f t="shared" si="8"/>
        <v>877</v>
      </c>
      <c r="AO18" s="553">
        <f t="shared" si="9"/>
        <v>194869</v>
      </c>
      <c r="AP18" s="541">
        <f>AJ18</f>
        <v>277</v>
      </c>
      <c r="AQ18" s="553">
        <f t="shared" si="10"/>
        <v>55455</v>
      </c>
      <c r="AR18" s="553">
        <f t="shared" si="11"/>
        <v>250324</v>
      </c>
      <c r="AS18" s="556"/>
      <c r="AT18" s="556"/>
      <c r="AU18" s="556"/>
      <c r="AV18" s="556">
        <f t="shared" si="12"/>
        <v>471324</v>
      </c>
      <c r="AW18" s="564">
        <f t="shared" si="0"/>
        <v>471324</v>
      </c>
      <c r="AX18" s="565"/>
      <c r="AY18" s="566">
        <f t="shared" si="13"/>
        <v>14.75</v>
      </c>
      <c r="AZ18" s="567"/>
    </row>
    <row r="19" spans="1:52" s="483" customFormat="1" ht="42" customHeight="1">
      <c r="A19" s="503">
        <v>10</v>
      </c>
      <c r="B19" s="504">
        <v>8</v>
      </c>
      <c r="C19" s="505">
        <v>302</v>
      </c>
      <c r="D19" s="506" t="e">
        <f>'Tên Tháng 1'!#REF!</f>
        <v>#REF!</v>
      </c>
      <c r="E19" s="506" t="e">
        <f>'Tên Tháng 1'!#REF!</f>
        <v>#REF!</v>
      </c>
      <c r="F19" s="507" t="e">
        <f>'Tên Tháng 1'!#REF!</f>
        <v>#REF!</v>
      </c>
      <c r="G19" s="508" t="str">
        <f>'Tên Tháng 1'!E401</f>
        <v>ហួន ហេង</v>
      </c>
      <c r="H19" s="509" t="str">
        <f>'Tên Tháng 1'!F401</f>
        <v>HOUN HENG</v>
      </c>
      <c r="I19" s="519" t="str">
        <f>'CHAM CONG'!G411</f>
        <v>x</v>
      </c>
      <c r="J19" s="519" t="str">
        <f>'CHAM CONG'!H411</f>
        <v>x</v>
      </c>
      <c r="K19" s="519" t="str">
        <f>'CHAM CONG'!I411</f>
        <v>x</v>
      </c>
      <c r="L19" s="519">
        <f>'CHAM CONG'!J411</f>
        <v>0</v>
      </c>
      <c r="M19" s="519">
        <f>'CHAM CONG'!K411</f>
        <v>0</v>
      </c>
      <c r="N19" s="519" t="str">
        <f>'CHAM CONG'!L411</f>
        <v>x</v>
      </c>
      <c r="O19" s="519" t="str">
        <f>'CHAM CONG'!M411</f>
        <v>x</v>
      </c>
      <c r="P19" s="519" t="str">
        <f>'CHAM CONG'!N411</f>
        <v>x</v>
      </c>
      <c r="Q19" s="519" t="str">
        <f>'CHAM CONG'!O411</f>
        <v>x</v>
      </c>
      <c r="R19" s="519" t="str">
        <f>'CHAM CONG'!P411</f>
        <v>x</v>
      </c>
      <c r="S19" s="519" t="str">
        <f>'CHAM CONG'!Q411</f>
        <v>x</v>
      </c>
      <c r="T19" s="519" t="str">
        <f>'CHAM CONG'!R411</f>
        <v>x</v>
      </c>
      <c r="U19" s="519" t="str">
        <f>'CHAM CONG'!S411</f>
        <v>x</v>
      </c>
      <c r="V19" s="519" t="str">
        <f>'CHAM CONG'!T411</f>
        <v>x</v>
      </c>
      <c r="W19" s="519" t="str">
        <f>'CHAM CONG'!U411</f>
        <v>x</v>
      </c>
      <c r="X19" s="525"/>
      <c r="Y19" s="525"/>
      <c r="Z19" s="535">
        <f t="shared" si="1"/>
        <v>13</v>
      </c>
      <c r="AA19" s="536"/>
      <c r="AB19" s="537">
        <f t="shared" si="2"/>
        <v>208000</v>
      </c>
      <c r="AC19" s="537"/>
      <c r="AD19" s="537" t="str">
        <f>'CHAM CONG'!Y411</f>
        <v>x</v>
      </c>
      <c r="AE19" s="535">
        <f t="shared" si="3"/>
        <v>1</v>
      </c>
      <c r="AF19" s="537">
        <f t="shared" si="4"/>
        <v>17000</v>
      </c>
      <c r="AG19" s="537">
        <f t="shared" si="5"/>
        <v>13</v>
      </c>
      <c r="AH19" s="537">
        <f t="shared" si="6"/>
        <v>13000</v>
      </c>
      <c r="AI19" s="537">
        <f t="shared" si="7"/>
        <v>238000</v>
      </c>
      <c r="AJ19" s="542">
        <f>'SAN LUONG'!AF412</f>
        <v>407</v>
      </c>
      <c r="AK19" s="519">
        <f>'SAN LUONG'!AG412</f>
        <v>504</v>
      </c>
      <c r="AL19" s="519">
        <f>'SAN LUONG'!AH412</f>
        <v>436</v>
      </c>
      <c r="AM19" s="519">
        <f>'SAN LUONG'!AI412</f>
        <v>319</v>
      </c>
      <c r="AN19" s="541">
        <f t="shared" si="8"/>
        <v>1259</v>
      </c>
      <c r="AO19" s="553">
        <f t="shared" si="9"/>
        <v>279750</v>
      </c>
      <c r="AP19" s="541">
        <f t="shared" ref="AP19:AP48" si="14">AJ19</f>
        <v>407</v>
      </c>
      <c r="AQ19" s="553">
        <f t="shared" si="10"/>
        <v>81481</v>
      </c>
      <c r="AR19" s="553">
        <f t="shared" si="11"/>
        <v>361231</v>
      </c>
      <c r="AS19" s="556"/>
      <c r="AT19" s="556"/>
      <c r="AU19" s="556"/>
      <c r="AV19" s="556">
        <f t="shared" si="12"/>
        <v>599231</v>
      </c>
      <c r="AW19" s="564">
        <f t="shared" si="0"/>
        <v>599231</v>
      </c>
      <c r="AX19" s="565"/>
      <c r="AY19" s="566">
        <f t="shared" si="13"/>
        <v>18.760000000000002</v>
      </c>
      <c r="AZ19" s="567"/>
    </row>
    <row r="20" spans="1:52" s="483" customFormat="1" ht="42" customHeight="1">
      <c r="A20" s="503">
        <v>11</v>
      </c>
      <c r="B20" s="504">
        <v>8</v>
      </c>
      <c r="C20" s="505">
        <v>303</v>
      </c>
      <c r="D20" s="506" t="e">
        <f>'Tên Tháng 1'!#REF!</f>
        <v>#REF!</v>
      </c>
      <c r="E20" s="506" t="e">
        <f>'Tên Tháng 1'!#REF!</f>
        <v>#REF!</v>
      </c>
      <c r="F20" s="507" t="e">
        <f>'Tên Tháng 1'!#REF!</f>
        <v>#REF!</v>
      </c>
      <c r="G20" s="508" t="str">
        <f>'Tên Tháng 1'!E402</f>
        <v>ភួន ភា</v>
      </c>
      <c r="H20" s="509" t="str">
        <f>'Tên Tháng 1'!F402</f>
        <v>PHUON PHEA</v>
      </c>
      <c r="I20" s="519" t="str">
        <f>'CHAM CONG'!G412</f>
        <v>x</v>
      </c>
      <c r="J20" s="519" t="str">
        <f>'CHAM CONG'!H412</f>
        <v>x</v>
      </c>
      <c r="K20" s="519" t="str">
        <f>'CHAM CONG'!I412</f>
        <v>x</v>
      </c>
      <c r="L20" s="519">
        <f>'CHAM CONG'!J412</f>
        <v>0</v>
      </c>
      <c r="M20" s="519">
        <f>'CHAM CONG'!K412</f>
        <v>0</v>
      </c>
      <c r="N20" s="519" t="str">
        <f>'CHAM CONG'!L412</f>
        <v>x</v>
      </c>
      <c r="O20" s="519" t="str">
        <f>'CHAM CONG'!M412</f>
        <v>x</v>
      </c>
      <c r="P20" s="519" t="str">
        <f>'CHAM CONG'!N412</f>
        <v>x</v>
      </c>
      <c r="Q20" s="519" t="str">
        <f>'CHAM CONG'!O412</f>
        <v>x</v>
      </c>
      <c r="R20" s="519" t="str">
        <f>'CHAM CONG'!P412</f>
        <v>x</v>
      </c>
      <c r="S20" s="519" t="str">
        <f>'CHAM CONG'!Q412</f>
        <v>x</v>
      </c>
      <c r="T20" s="519" t="str">
        <f>'CHAM CONG'!R412</f>
        <v>x</v>
      </c>
      <c r="U20" s="519" t="str">
        <f>'CHAM CONG'!S412</f>
        <v>x</v>
      </c>
      <c r="V20" s="519" t="str">
        <f>'CHAM CONG'!T412</f>
        <v>x</v>
      </c>
      <c r="W20" s="519" t="str">
        <f>'CHAM CONG'!U412</f>
        <v>x</v>
      </c>
      <c r="X20" s="525"/>
      <c r="Y20" s="525"/>
      <c r="Z20" s="535">
        <f t="shared" si="1"/>
        <v>13</v>
      </c>
      <c r="AA20" s="536"/>
      <c r="AB20" s="537">
        <f t="shared" si="2"/>
        <v>208000</v>
      </c>
      <c r="AC20" s="537"/>
      <c r="AD20" s="537">
        <f>'CHAM CONG'!Y412</f>
        <v>0</v>
      </c>
      <c r="AE20" s="535">
        <f t="shared" si="3"/>
        <v>0</v>
      </c>
      <c r="AF20" s="537">
        <f t="shared" si="4"/>
        <v>0</v>
      </c>
      <c r="AG20" s="537">
        <f t="shared" si="5"/>
        <v>13</v>
      </c>
      <c r="AH20" s="537">
        <f t="shared" si="6"/>
        <v>13000</v>
      </c>
      <c r="AI20" s="537">
        <f t="shared" si="7"/>
        <v>221000</v>
      </c>
      <c r="AJ20" s="542">
        <f>'SAN LUONG'!AF413</f>
        <v>226</v>
      </c>
      <c r="AK20" s="519">
        <f>'SAN LUONG'!AG413</f>
        <v>442</v>
      </c>
      <c r="AL20" s="519">
        <f>'SAN LUONG'!AH413</f>
        <v>370</v>
      </c>
      <c r="AM20" s="519">
        <f>'SAN LUONG'!AI413</f>
        <v>349</v>
      </c>
      <c r="AN20" s="541">
        <f t="shared" si="8"/>
        <v>1161</v>
      </c>
      <c r="AO20" s="553">
        <f t="shared" si="9"/>
        <v>257974</v>
      </c>
      <c r="AP20" s="541">
        <f t="shared" si="14"/>
        <v>226</v>
      </c>
      <c r="AQ20" s="553">
        <f t="shared" si="10"/>
        <v>45245</v>
      </c>
      <c r="AR20" s="553">
        <f t="shared" si="11"/>
        <v>303219</v>
      </c>
      <c r="AS20" s="556"/>
      <c r="AT20" s="556"/>
      <c r="AU20" s="556"/>
      <c r="AV20" s="556">
        <f t="shared" si="12"/>
        <v>524219</v>
      </c>
      <c r="AW20" s="564">
        <f t="shared" si="0"/>
        <v>524219</v>
      </c>
      <c r="AX20" s="565"/>
      <c r="AY20" s="566">
        <f t="shared" si="13"/>
        <v>16.41</v>
      </c>
      <c r="AZ20" s="567"/>
    </row>
    <row r="21" spans="1:52" s="483" customFormat="1" ht="42" customHeight="1">
      <c r="A21" s="503">
        <v>12</v>
      </c>
      <c r="B21" s="504">
        <v>8</v>
      </c>
      <c r="C21" s="505">
        <v>304</v>
      </c>
      <c r="D21" s="506" t="e">
        <f>'Tên Tháng 1'!#REF!</f>
        <v>#REF!</v>
      </c>
      <c r="E21" s="506" t="e">
        <f>'Tên Tháng 1'!#REF!</f>
        <v>#REF!</v>
      </c>
      <c r="F21" s="507" t="e">
        <f>'Tên Tháng 1'!#REF!</f>
        <v>#REF!</v>
      </c>
      <c r="G21" s="508" t="str">
        <f>'Tên Tháng 1'!E403</f>
        <v>ងី តំ</v>
      </c>
      <c r="H21" s="509" t="str">
        <f>'Tên Tháng 1'!F403</f>
        <v>NGY TOM</v>
      </c>
      <c r="I21" s="519" t="str">
        <f>'CHAM CONG'!G413</f>
        <v>x</v>
      </c>
      <c r="J21" s="519" t="str">
        <f>'CHAM CONG'!H413</f>
        <v>x</v>
      </c>
      <c r="K21" s="519" t="str">
        <f>'CHAM CONG'!I413</f>
        <v>x</v>
      </c>
      <c r="L21" s="519">
        <f>'CHAM CONG'!J413</f>
        <v>0</v>
      </c>
      <c r="M21" s="519" t="str">
        <f>'CHAM CONG'!K413</f>
        <v>x</v>
      </c>
      <c r="N21" s="519" t="str">
        <f>'CHAM CONG'!L413</f>
        <v>x</v>
      </c>
      <c r="O21" s="519" t="str">
        <f>'CHAM CONG'!M413</f>
        <v>x</v>
      </c>
      <c r="P21" s="519" t="str">
        <f>'CHAM CONG'!N413</f>
        <v>x</v>
      </c>
      <c r="Q21" s="519" t="str">
        <f>'CHAM CONG'!O413</f>
        <v>x</v>
      </c>
      <c r="R21" s="519" t="str">
        <f>'CHAM CONG'!P413</f>
        <v>x</v>
      </c>
      <c r="S21" s="519" t="str">
        <f>'CHAM CONG'!Q413</f>
        <v>x</v>
      </c>
      <c r="T21" s="519" t="str">
        <f>'CHAM CONG'!R413</f>
        <v>x</v>
      </c>
      <c r="U21" s="519" t="str">
        <f>'CHAM CONG'!S413</f>
        <v>x</v>
      </c>
      <c r="V21" s="519">
        <f>'CHAM CONG'!T413</f>
        <v>0</v>
      </c>
      <c r="W21" s="519" t="str">
        <f>'CHAM CONG'!U413</f>
        <v>x</v>
      </c>
      <c r="X21" s="525"/>
      <c r="Y21" s="525"/>
      <c r="Z21" s="535">
        <f t="shared" si="1"/>
        <v>13</v>
      </c>
      <c r="AA21" s="536"/>
      <c r="AB21" s="537">
        <f t="shared" si="2"/>
        <v>208000</v>
      </c>
      <c r="AC21" s="537"/>
      <c r="AD21" s="537" t="str">
        <f>'CHAM CONG'!Y413</f>
        <v>x</v>
      </c>
      <c r="AE21" s="535">
        <f t="shared" si="3"/>
        <v>1</v>
      </c>
      <c r="AF21" s="537">
        <f t="shared" si="4"/>
        <v>17000</v>
      </c>
      <c r="AG21" s="537">
        <f t="shared" si="5"/>
        <v>13</v>
      </c>
      <c r="AH21" s="537">
        <f t="shared" si="6"/>
        <v>13000</v>
      </c>
      <c r="AI21" s="537">
        <f t="shared" si="7"/>
        <v>238000</v>
      </c>
      <c r="AJ21" s="542">
        <f>'SAN LUONG'!AF414</f>
        <v>387</v>
      </c>
      <c r="AK21" s="519">
        <f>'SAN LUONG'!AG414</f>
        <v>513</v>
      </c>
      <c r="AL21" s="519">
        <f>'SAN LUONG'!AH414</f>
        <v>446</v>
      </c>
      <c r="AM21" s="519">
        <f>'SAN LUONG'!AI414</f>
        <v>278</v>
      </c>
      <c r="AN21" s="541">
        <f t="shared" si="8"/>
        <v>1237</v>
      </c>
      <c r="AO21" s="553">
        <f t="shared" si="9"/>
        <v>274861</v>
      </c>
      <c r="AP21" s="541">
        <f t="shared" si="14"/>
        <v>387</v>
      </c>
      <c r="AQ21" s="553">
        <f t="shared" si="10"/>
        <v>77477</v>
      </c>
      <c r="AR21" s="553">
        <f t="shared" si="11"/>
        <v>352338</v>
      </c>
      <c r="AS21" s="556"/>
      <c r="AT21" s="556"/>
      <c r="AU21" s="556"/>
      <c r="AV21" s="556">
        <f t="shared" si="12"/>
        <v>590338</v>
      </c>
      <c r="AW21" s="564">
        <f t="shared" si="0"/>
        <v>590338</v>
      </c>
      <c r="AX21" s="565"/>
      <c r="AY21" s="566">
        <f t="shared" si="13"/>
        <v>18.48</v>
      </c>
      <c r="AZ21" s="567"/>
    </row>
    <row r="22" spans="1:52" s="483" customFormat="1" ht="42" customHeight="1">
      <c r="A22" s="503">
        <v>13</v>
      </c>
      <c r="B22" s="504">
        <v>8</v>
      </c>
      <c r="C22" s="505">
        <v>305</v>
      </c>
      <c r="D22" s="506" t="e">
        <f>'Tên Tháng 1'!#REF!</f>
        <v>#REF!</v>
      </c>
      <c r="E22" s="506" t="e">
        <f>'Tên Tháng 1'!#REF!</f>
        <v>#REF!</v>
      </c>
      <c r="F22" s="507" t="e">
        <f>'Tên Tháng 1'!#REF!</f>
        <v>#REF!</v>
      </c>
      <c r="G22" s="508" t="str">
        <f>'Tên Tháng 1'!E404</f>
        <v>ហូយ វាសនា</v>
      </c>
      <c r="H22" s="509" t="str">
        <f>'Tên Tháng 1'!F404</f>
        <v>HAUY VEASNA</v>
      </c>
      <c r="I22" s="519" t="str">
        <f>'CHAM CONG'!G414</f>
        <v>x</v>
      </c>
      <c r="J22" s="519" t="str">
        <f>'CHAM CONG'!H414</f>
        <v>x</v>
      </c>
      <c r="K22" s="519" t="str">
        <f>'CHAM CONG'!I414</f>
        <v>x</v>
      </c>
      <c r="L22" s="519">
        <f>'CHAM CONG'!J414</f>
        <v>0</v>
      </c>
      <c r="M22" s="519">
        <f>'CHAM CONG'!K414</f>
        <v>0</v>
      </c>
      <c r="N22" s="519" t="str">
        <f>'CHAM CONG'!L414</f>
        <v>x</v>
      </c>
      <c r="O22" s="519" t="str">
        <f>'CHAM CONG'!M414</f>
        <v>x</v>
      </c>
      <c r="P22" s="519" t="str">
        <f>'CHAM CONG'!N414</f>
        <v>x</v>
      </c>
      <c r="Q22" s="519" t="str">
        <f>'CHAM CONG'!O414</f>
        <v>x</v>
      </c>
      <c r="R22" s="519" t="str">
        <f>'CHAM CONG'!P414</f>
        <v>x</v>
      </c>
      <c r="S22" s="519" t="str">
        <f>'CHAM CONG'!Q414</f>
        <v>x</v>
      </c>
      <c r="T22" s="519" t="str">
        <f>'CHAM CONG'!R414</f>
        <v>x</v>
      </c>
      <c r="U22" s="519">
        <f>'CHAM CONG'!S414</f>
        <v>0</v>
      </c>
      <c r="V22" s="519" t="str">
        <f>'CHAM CONG'!T414</f>
        <v>x</v>
      </c>
      <c r="W22" s="519" t="str">
        <f>'CHAM CONG'!U414</f>
        <v>x</v>
      </c>
      <c r="X22" s="525"/>
      <c r="Y22" s="525"/>
      <c r="Z22" s="535">
        <f t="shared" si="1"/>
        <v>12</v>
      </c>
      <c r="AA22" s="536"/>
      <c r="AB22" s="537">
        <f t="shared" si="2"/>
        <v>192000</v>
      </c>
      <c r="AC22" s="537"/>
      <c r="AD22" s="537">
        <f>'CHAM CONG'!Y414</f>
        <v>0</v>
      </c>
      <c r="AE22" s="535">
        <f t="shared" si="3"/>
        <v>0</v>
      </c>
      <c r="AF22" s="537">
        <f t="shared" si="4"/>
        <v>0</v>
      </c>
      <c r="AG22" s="537">
        <f t="shared" si="5"/>
        <v>12</v>
      </c>
      <c r="AH22" s="537">
        <f t="shared" si="6"/>
        <v>12000</v>
      </c>
      <c r="AI22" s="537">
        <f t="shared" si="7"/>
        <v>204000</v>
      </c>
      <c r="AJ22" s="542">
        <f>'SAN LUONG'!AF415</f>
        <v>157</v>
      </c>
      <c r="AK22" s="519">
        <f>'SAN LUONG'!AG415</f>
        <v>100</v>
      </c>
      <c r="AL22" s="519">
        <f>'SAN LUONG'!AH415</f>
        <v>155</v>
      </c>
      <c r="AM22" s="519">
        <f>'SAN LUONG'!AI415</f>
        <v>218</v>
      </c>
      <c r="AN22" s="541">
        <f t="shared" si="8"/>
        <v>473</v>
      </c>
      <c r="AO22" s="553">
        <f t="shared" si="9"/>
        <v>105101</v>
      </c>
      <c r="AP22" s="541">
        <f t="shared" si="14"/>
        <v>157</v>
      </c>
      <c r="AQ22" s="553">
        <f t="shared" si="10"/>
        <v>31431</v>
      </c>
      <c r="AR22" s="553">
        <f t="shared" si="11"/>
        <v>136532</v>
      </c>
      <c r="AS22" s="556"/>
      <c r="AT22" s="556"/>
      <c r="AU22" s="556"/>
      <c r="AV22" s="556">
        <f t="shared" si="12"/>
        <v>340532</v>
      </c>
      <c r="AW22" s="564">
        <f t="shared" si="0"/>
        <v>340532</v>
      </c>
      <c r="AX22" s="565"/>
      <c r="AY22" s="566">
        <f t="shared" si="13"/>
        <v>10.66</v>
      </c>
      <c r="AZ22" s="567"/>
    </row>
    <row r="23" spans="1:52" s="483" customFormat="1" ht="42" customHeight="1">
      <c r="A23" s="503">
        <v>14</v>
      </c>
      <c r="B23" s="504">
        <v>8</v>
      </c>
      <c r="C23" s="505">
        <v>306</v>
      </c>
      <c r="D23" s="506" t="e">
        <f>'Tên Tháng 1'!#REF!</f>
        <v>#REF!</v>
      </c>
      <c r="E23" s="506" t="e">
        <f>'Tên Tháng 1'!#REF!</f>
        <v>#REF!</v>
      </c>
      <c r="F23" s="507" t="e">
        <f>'Tên Tháng 1'!#REF!</f>
        <v>#REF!</v>
      </c>
      <c r="G23" s="508" t="str">
        <f>'Tên Tháng 1'!E405</f>
        <v>សឿន ចែម</v>
      </c>
      <c r="H23" s="509" t="str">
        <f>'Tên Tháng 1'!F405</f>
        <v>SOEUN CHEM</v>
      </c>
      <c r="I23" s="519">
        <f>'CHAM CONG'!G415</f>
        <v>0</v>
      </c>
      <c r="J23" s="519" t="str">
        <f>'CHAM CONG'!H415</f>
        <v>x</v>
      </c>
      <c r="K23" s="519">
        <f>'CHAM CONG'!I415</f>
        <v>0</v>
      </c>
      <c r="L23" s="519">
        <f>'CHAM CONG'!J415</f>
        <v>0</v>
      </c>
      <c r="M23" s="519" t="str">
        <f>'CHAM CONG'!K415</f>
        <v>x</v>
      </c>
      <c r="N23" s="519" t="str">
        <f>'CHAM CONG'!L415</f>
        <v>x</v>
      </c>
      <c r="O23" s="519" t="str">
        <f>'CHAM CONG'!M415</f>
        <v>x</v>
      </c>
      <c r="P23" s="519" t="str">
        <f>'CHAM CONG'!N415</f>
        <v>x</v>
      </c>
      <c r="Q23" s="519" t="str">
        <f>'CHAM CONG'!O415</f>
        <v>x</v>
      </c>
      <c r="R23" s="519" t="str">
        <f>'CHAM CONG'!P415</f>
        <v>x</v>
      </c>
      <c r="S23" s="519" t="str">
        <f>'CHAM CONG'!Q415</f>
        <v>x</v>
      </c>
      <c r="T23" s="519" t="str">
        <f>'CHAM CONG'!R415</f>
        <v>x</v>
      </c>
      <c r="U23" s="519" t="str">
        <f>'CHAM CONG'!S415</f>
        <v>x</v>
      </c>
      <c r="V23" s="519" t="str">
        <f>'CHAM CONG'!T415</f>
        <v>x</v>
      </c>
      <c r="W23" s="519">
        <f>'CHAM CONG'!U415</f>
        <v>0</v>
      </c>
      <c r="X23" s="525"/>
      <c r="Y23" s="525"/>
      <c r="Z23" s="535">
        <f t="shared" si="1"/>
        <v>11</v>
      </c>
      <c r="AA23" s="536"/>
      <c r="AB23" s="537">
        <f t="shared" si="2"/>
        <v>176000</v>
      </c>
      <c r="AC23" s="537"/>
      <c r="AD23" s="537">
        <f>'CHAM CONG'!Y415</f>
        <v>0</v>
      </c>
      <c r="AE23" s="535">
        <f t="shared" si="3"/>
        <v>0</v>
      </c>
      <c r="AF23" s="537">
        <f t="shared" si="4"/>
        <v>0</v>
      </c>
      <c r="AG23" s="537">
        <f t="shared" si="5"/>
        <v>11</v>
      </c>
      <c r="AH23" s="537">
        <f t="shared" si="6"/>
        <v>11000</v>
      </c>
      <c r="AI23" s="537">
        <f t="shared" si="7"/>
        <v>187000</v>
      </c>
      <c r="AJ23" s="542">
        <f>'SAN LUONG'!AF416</f>
        <v>303</v>
      </c>
      <c r="AK23" s="519">
        <f>'SAN LUONG'!AG416</f>
        <v>147</v>
      </c>
      <c r="AL23" s="519">
        <f>'SAN LUONG'!AH416</f>
        <v>241</v>
      </c>
      <c r="AM23" s="519">
        <f>'SAN LUONG'!AI416</f>
        <v>172</v>
      </c>
      <c r="AN23" s="541">
        <f t="shared" si="8"/>
        <v>560</v>
      </c>
      <c r="AO23" s="553">
        <f t="shared" si="9"/>
        <v>124432</v>
      </c>
      <c r="AP23" s="541">
        <f t="shared" si="14"/>
        <v>303</v>
      </c>
      <c r="AQ23" s="553">
        <f t="shared" si="10"/>
        <v>60661</v>
      </c>
      <c r="AR23" s="553">
        <f t="shared" si="11"/>
        <v>185093</v>
      </c>
      <c r="AS23" s="556"/>
      <c r="AT23" s="556"/>
      <c r="AU23" s="556"/>
      <c r="AV23" s="556">
        <f t="shared" si="12"/>
        <v>372093</v>
      </c>
      <c r="AW23" s="564">
        <f t="shared" si="0"/>
        <v>372093</v>
      </c>
      <c r="AX23" s="565"/>
      <c r="AY23" s="566">
        <f t="shared" si="13"/>
        <v>11.65</v>
      </c>
      <c r="AZ23" s="567"/>
    </row>
    <row r="24" spans="1:52" s="483" customFormat="1" ht="42" customHeight="1">
      <c r="A24" s="503">
        <v>15</v>
      </c>
      <c r="B24" s="504">
        <v>8</v>
      </c>
      <c r="C24" s="505">
        <v>307</v>
      </c>
      <c r="D24" s="506" t="e">
        <f>'Tên Tháng 1'!#REF!</f>
        <v>#REF!</v>
      </c>
      <c r="E24" s="506" t="e">
        <f>'Tên Tháng 1'!#REF!</f>
        <v>#REF!</v>
      </c>
      <c r="F24" s="507" t="e">
        <f>'Tên Tháng 1'!#REF!</f>
        <v>#REF!</v>
      </c>
      <c r="G24" s="508" t="str">
        <f>'Tên Tháng 1'!E406</f>
        <v>អាន អឿន</v>
      </c>
      <c r="H24" s="509" t="str">
        <f>'Tên Tháng 1'!F406</f>
        <v>AN OEURN</v>
      </c>
      <c r="I24" s="519">
        <f>'CHAM CONG'!G416</f>
        <v>0</v>
      </c>
      <c r="J24" s="519" t="str">
        <f>'CHAM CONG'!H416</f>
        <v>x</v>
      </c>
      <c r="K24" s="519" t="str">
        <f>'CHAM CONG'!I416</f>
        <v>x</v>
      </c>
      <c r="L24" s="519">
        <f>'CHAM CONG'!J416</f>
        <v>0</v>
      </c>
      <c r="M24" s="519" t="str">
        <f>'CHAM CONG'!K416</f>
        <v>x</v>
      </c>
      <c r="N24" s="519" t="str">
        <f>'CHAM CONG'!L416</f>
        <v>x</v>
      </c>
      <c r="O24" s="519" t="str">
        <f>'CHAM CONG'!M416</f>
        <v>x</v>
      </c>
      <c r="P24" s="519" t="str">
        <f>'CHAM CONG'!N416</f>
        <v>x</v>
      </c>
      <c r="Q24" s="519" t="str">
        <f>'CHAM CONG'!O416</f>
        <v>x</v>
      </c>
      <c r="R24" s="519" t="str">
        <f>'CHAM CONG'!P416</f>
        <v>x</v>
      </c>
      <c r="S24" s="519" t="str">
        <f>'CHAM CONG'!Q416</f>
        <v>x</v>
      </c>
      <c r="T24" s="519" t="str">
        <f>'CHAM CONG'!R416</f>
        <v>x</v>
      </c>
      <c r="U24" s="519" t="str">
        <f>'CHAM CONG'!S416</f>
        <v>x</v>
      </c>
      <c r="V24" s="519" t="str">
        <f>'CHAM CONG'!T416</f>
        <v>x</v>
      </c>
      <c r="W24" s="519">
        <f>'CHAM CONG'!U416</f>
        <v>0</v>
      </c>
      <c r="X24" s="525"/>
      <c r="Y24" s="525"/>
      <c r="Z24" s="535">
        <f t="shared" si="1"/>
        <v>12</v>
      </c>
      <c r="AA24" s="536"/>
      <c r="AB24" s="537">
        <f t="shared" si="2"/>
        <v>192000</v>
      </c>
      <c r="AC24" s="537"/>
      <c r="AD24" s="537">
        <f>'CHAM CONG'!Y416</f>
        <v>0</v>
      </c>
      <c r="AE24" s="535">
        <f t="shared" si="3"/>
        <v>0</v>
      </c>
      <c r="AF24" s="537">
        <f t="shared" si="4"/>
        <v>0</v>
      </c>
      <c r="AG24" s="537">
        <f t="shared" si="5"/>
        <v>12</v>
      </c>
      <c r="AH24" s="537">
        <f t="shared" si="6"/>
        <v>12000</v>
      </c>
      <c r="AI24" s="537">
        <f t="shared" si="7"/>
        <v>204000</v>
      </c>
      <c r="AJ24" s="542">
        <f>'SAN LUONG'!AF417</f>
        <v>268</v>
      </c>
      <c r="AK24" s="519">
        <f>'SAN LUONG'!AG417</f>
        <v>140</v>
      </c>
      <c r="AL24" s="519">
        <f>'SAN LUONG'!AH417</f>
        <v>260</v>
      </c>
      <c r="AM24" s="519">
        <f>'SAN LUONG'!AI417</f>
        <v>242</v>
      </c>
      <c r="AN24" s="541">
        <f t="shared" si="8"/>
        <v>642</v>
      </c>
      <c r="AO24" s="553">
        <f t="shared" si="9"/>
        <v>142652</v>
      </c>
      <c r="AP24" s="541">
        <f t="shared" si="14"/>
        <v>268</v>
      </c>
      <c r="AQ24" s="553">
        <f t="shared" si="10"/>
        <v>53654</v>
      </c>
      <c r="AR24" s="553">
        <f t="shared" si="11"/>
        <v>196306</v>
      </c>
      <c r="AS24" s="556"/>
      <c r="AT24" s="556"/>
      <c r="AU24" s="556"/>
      <c r="AV24" s="556">
        <f t="shared" si="12"/>
        <v>400306</v>
      </c>
      <c r="AW24" s="564">
        <f t="shared" si="0"/>
        <v>400306</v>
      </c>
      <c r="AX24" s="565"/>
      <c r="AY24" s="566">
        <f t="shared" si="13"/>
        <v>12.53</v>
      </c>
      <c r="AZ24" s="567"/>
    </row>
    <row r="25" spans="1:52" s="483" customFormat="1" ht="42" customHeight="1">
      <c r="A25" s="503">
        <v>16</v>
      </c>
      <c r="B25" s="504">
        <v>8</v>
      </c>
      <c r="C25" s="505">
        <v>308</v>
      </c>
      <c r="D25" s="506" t="e">
        <f>'Tên Tháng 1'!#REF!</f>
        <v>#REF!</v>
      </c>
      <c r="E25" s="506" t="e">
        <f>'Tên Tháng 1'!#REF!</f>
        <v>#REF!</v>
      </c>
      <c r="F25" s="507" t="e">
        <f>'Tên Tháng 1'!#REF!</f>
        <v>#REF!</v>
      </c>
      <c r="G25" s="508" t="str">
        <f>'Tên Tháng 1'!E407</f>
        <v>ភួន ធារី</v>
      </c>
      <c r="H25" s="509" t="str">
        <f>'Tên Tháng 1'!F407</f>
        <v>PHUON THEARY</v>
      </c>
      <c r="I25" s="519" t="str">
        <f>'CHAM CONG'!G417</f>
        <v>x</v>
      </c>
      <c r="J25" s="519" t="str">
        <f>'CHAM CONG'!H417</f>
        <v>x</v>
      </c>
      <c r="K25" s="519" t="str">
        <f>'CHAM CONG'!I417</f>
        <v>x</v>
      </c>
      <c r="L25" s="519">
        <f>'CHAM CONG'!J417</f>
        <v>0</v>
      </c>
      <c r="M25" s="519" t="str">
        <f>'CHAM CONG'!K417</f>
        <v>x</v>
      </c>
      <c r="N25" s="519" t="str">
        <f>'CHAM CONG'!L417</f>
        <v>x</v>
      </c>
      <c r="O25" s="519" t="str">
        <f>'CHAM CONG'!M417</f>
        <v>x</v>
      </c>
      <c r="P25" s="519" t="str">
        <f>'CHAM CONG'!N417</f>
        <v>x</v>
      </c>
      <c r="Q25" s="519" t="str">
        <f>'CHAM CONG'!O417</f>
        <v>x</v>
      </c>
      <c r="R25" s="519" t="str">
        <f>'CHAM CONG'!P417</f>
        <v>x</v>
      </c>
      <c r="S25" s="519" t="str">
        <f>'CHAM CONG'!Q417</f>
        <v>x</v>
      </c>
      <c r="T25" s="519" t="str">
        <f>'CHAM CONG'!R417</f>
        <v>x</v>
      </c>
      <c r="U25" s="519" t="str">
        <f>'CHAM CONG'!S417</f>
        <v>x</v>
      </c>
      <c r="V25" s="519" t="str">
        <f>'CHAM CONG'!T417</f>
        <v>x</v>
      </c>
      <c r="W25" s="519">
        <f>'CHAM CONG'!U417</f>
        <v>0</v>
      </c>
      <c r="X25" s="525"/>
      <c r="Y25" s="525"/>
      <c r="Z25" s="535">
        <f t="shared" si="1"/>
        <v>13</v>
      </c>
      <c r="AA25" s="536"/>
      <c r="AB25" s="537">
        <f t="shared" si="2"/>
        <v>208000</v>
      </c>
      <c r="AC25" s="537"/>
      <c r="AD25" s="537">
        <f>'CHAM CONG'!Y417</f>
        <v>0</v>
      </c>
      <c r="AE25" s="535">
        <f t="shared" si="3"/>
        <v>0</v>
      </c>
      <c r="AF25" s="537">
        <f t="shared" si="4"/>
        <v>0</v>
      </c>
      <c r="AG25" s="537">
        <f t="shared" si="5"/>
        <v>13</v>
      </c>
      <c r="AH25" s="537">
        <f t="shared" si="6"/>
        <v>13000</v>
      </c>
      <c r="AI25" s="537">
        <f t="shared" si="7"/>
        <v>221000</v>
      </c>
      <c r="AJ25" s="542">
        <f>'SAN LUONG'!AF418</f>
        <v>309</v>
      </c>
      <c r="AK25" s="519">
        <f>'SAN LUONG'!AG418</f>
        <v>260</v>
      </c>
      <c r="AL25" s="519">
        <f>'SAN LUONG'!AH418</f>
        <v>271</v>
      </c>
      <c r="AM25" s="519">
        <f>'SAN LUONG'!AI418</f>
        <v>448</v>
      </c>
      <c r="AN25" s="541">
        <f t="shared" si="8"/>
        <v>979</v>
      </c>
      <c r="AO25" s="553">
        <f t="shared" si="9"/>
        <v>217534</v>
      </c>
      <c r="AP25" s="541">
        <f t="shared" si="14"/>
        <v>309</v>
      </c>
      <c r="AQ25" s="553">
        <f t="shared" si="10"/>
        <v>61862</v>
      </c>
      <c r="AR25" s="553">
        <f t="shared" si="11"/>
        <v>279396</v>
      </c>
      <c r="AS25" s="556"/>
      <c r="AT25" s="556"/>
      <c r="AU25" s="556"/>
      <c r="AV25" s="556">
        <f t="shared" si="12"/>
        <v>500396</v>
      </c>
      <c r="AW25" s="564">
        <f t="shared" si="0"/>
        <v>500396</v>
      </c>
      <c r="AX25" s="565"/>
      <c r="AY25" s="566">
        <f t="shared" si="13"/>
        <v>15.66</v>
      </c>
      <c r="AZ25" s="567"/>
    </row>
    <row r="26" spans="1:52" s="483" customFormat="1" ht="42" customHeight="1">
      <c r="A26" s="503">
        <v>17</v>
      </c>
      <c r="B26" s="504">
        <v>8</v>
      </c>
      <c r="C26" s="505">
        <v>309</v>
      </c>
      <c r="D26" s="506" t="e">
        <f>'Tên Tháng 1'!#REF!</f>
        <v>#REF!</v>
      </c>
      <c r="E26" s="506" t="e">
        <f>'Tên Tháng 1'!#REF!</f>
        <v>#REF!</v>
      </c>
      <c r="F26" s="507" t="e">
        <f>'Tên Tháng 1'!#REF!</f>
        <v>#REF!</v>
      </c>
      <c r="G26" s="508" t="str">
        <f>'Tên Tháng 1'!E408</f>
        <v>ឈិន ឈឿន</v>
      </c>
      <c r="H26" s="509" t="str">
        <f>'Tên Tháng 1'!F408</f>
        <v>CHHIN CHHOEUN</v>
      </c>
      <c r="I26" s="519" t="str">
        <f>'CHAM CONG'!G418</f>
        <v>x</v>
      </c>
      <c r="J26" s="519" t="str">
        <f>'CHAM CONG'!H418</f>
        <v>x</v>
      </c>
      <c r="K26" s="519" t="str">
        <f>'CHAM CONG'!I418</f>
        <v>x</v>
      </c>
      <c r="L26" s="519" t="str">
        <f>'CHAM CONG'!J418</f>
        <v>x</v>
      </c>
      <c r="M26" s="519" t="str">
        <f>'CHAM CONG'!K418</f>
        <v>x</v>
      </c>
      <c r="N26" s="519" t="str">
        <f>'CHAM CONG'!L418</f>
        <v>x</v>
      </c>
      <c r="O26" s="519">
        <f>'CHAM CONG'!M418</f>
        <v>0</v>
      </c>
      <c r="P26" s="519" t="str">
        <f>'CHAM CONG'!N418</f>
        <v>x</v>
      </c>
      <c r="Q26" s="519">
        <f>'CHAM CONG'!O418</f>
        <v>0</v>
      </c>
      <c r="R26" s="519" t="str">
        <f>'CHAM CONG'!P418</f>
        <v>x</v>
      </c>
      <c r="S26" s="519" t="str">
        <f>'CHAM CONG'!Q418</f>
        <v>x</v>
      </c>
      <c r="T26" s="519" t="str">
        <f>'CHAM CONG'!R418</f>
        <v>x</v>
      </c>
      <c r="U26" s="519" t="str">
        <f>'CHAM CONG'!S418</f>
        <v>x</v>
      </c>
      <c r="V26" s="519" t="str">
        <f>'CHAM CONG'!T418</f>
        <v>x</v>
      </c>
      <c r="W26" s="519" t="str">
        <f>'CHAM CONG'!U418</f>
        <v>x</v>
      </c>
      <c r="X26" s="525"/>
      <c r="Y26" s="525"/>
      <c r="Z26" s="535">
        <f t="shared" si="1"/>
        <v>13</v>
      </c>
      <c r="AA26" s="536"/>
      <c r="AB26" s="537">
        <f t="shared" si="2"/>
        <v>208000</v>
      </c>
      <c r="AC26" s="537"/>
      <c r="AD26" s="537">
        <f>'CHAM CONG'!Y418</f>
        <v>0</v>
      </c>
      <c r="AE26" s="535">
        <f t="shared" si="3"/>
        <v>0</v>
      </c>
      <c r="AF26" s="537">
        <f t="shared" si="4"/>
        <v>0</v>
      </c>
      <c r="AG26" s="537">
        <f t="shared" si="5"/>
        <v>13</v>
      </c>
      <c r="AH26" s="537">
        <f t="shared" si="6"/>
        <v>13000</v>
      </c>
      <c r="AI26" s="537">
        <f t="shared" si="7"/>
        <v>221000</v>
      </c>
      <c r="AJ26" s="542">
        <f>'SAN LUONG'!AF419</f>
        <v>165</v>
      </c>
      <c r="AK26" s="519">
        <f>'SAN LUONG'!AG419</f>
        <v>250</v>
      </c>
      <c r="AL26" s="519">
        <f>'SAN LUONG'!AH419</f>
        <v>235</v>
      </c>
      <c r="AM26" s="519">
        <f>'SAN LUONG'!AI419</f>
        <v>210</v>
      </c>
      <c r="AN26" s="541">
        <f t="shared" si="8"/>
        <v>695</v>
      </c>
      <c r="AO26" s="553">
        <f t="shared" si="9"/>
        <v>154429</v>
      </c>
      <c r="AP26" s="541">
        <f t="shared" si="14"/>
        <v>165</v>
      </c>
      <c r="AQ26" s="553">
        <f t="shared" si="10"/>
        <v>33033</v>
      </c>
      <c r="AR26" s="553">
        <f t="shared" si="11"/>
        <v>187462</v>
      </c>
      <c r="AS26" s="556"/>
      <c r="AT26" s="556"/>
      <c r="AU26" s="556"/>
      <c r="AV26" s="556">
        <f t="shared" si="12"/>
        <v>408462</v>
      </c>
      <c r="AW26" s="564">
        <f t="shared" si="0"/>
        <v>408462</v>
      </c>
      <c r="AX26" s="565"/>
      <c r="AY26" s="566">
        <f t="shared" si="13"/>
        <v>12.79</v>
      </c>
      <c r="AZ26" s="567"/>
    </row>
    <row r="27" spans="1:52" s="483" customFormat="1" ht="42" customHeight="1">
      <c r="A27" s="503">
        <v>18</v>
      </c>
      <c r="B27" s="504">
        <v>8</v>
      </c>
      <c r="C27" s="505">
        <v>310</v>
      </c>
      <c r="D27" s="506" t="e">
        <f>'Tên Tháng 1'!#REF!</f>
        <v>#REF!</v>
      </c>
      <c r="E27" s="506" t="e">
        <f>'Tên Tháng 1'!#REF!</f>
        <v>#REF!</v>
      </c>
      <c r="F27" s="507" t="e">
        <f>'Tên Tháng 1'!#REF!</f>
        <v>#REF!</v>
      </c>
      <c r="G27" s="508" t="str">
        <f>'Tên Tháng 1'!E409</f>
        <v>យ៉ាន ត្រប់</v>
      </c>
      <c r="H27" s="509" t="str">
        <f>'Tên Tháng 1'!F409</f>
        <v>YAN TROB</v>
      </c>
      <c r="I27" s="519" t="str">
        <f>'CHAM CONG'!G419</f>
        <v>x</v>
      </c>
      <c r="J27" s="519" t="str">
        <f>'CHAM CONG'!H419</f>
        <v>x</v>
      </c>
      <c r="K27" s="519" t="str">
        <f>'CHAM CONG'!I419</f>
        <v>x</v>
      </c>
      <c r="L27" s="519">
        <f>'CHAM CONG'!J419</f>
        <v>0</v>
      </c>
      <c r="M27" s="519" t="str">
        <f>'CHAM CONG'!K419</f>
        <v>x</v>
      </c>
      <c r="N27" s="519" t="str">
        <f>'CHAM CONG'!L419</f>
        <v>x</v>
      </c>
      <c r="O27" s="519" t="str">
        <f>'CHAM CONG'!M419</f>
        <v>x</v>
      </c>
      <c r="P27" s="519" t="str">
        <f>'CHAM CONG'!N419</f>
        <v>x</v>
      </c>
      <c r="Q27" s="519" t="str">
        <f>'CHAM CONG'!O419</f>
        <v>x</v>
      </c>
      <c r="R27" s="519" t="str">
        <f>'CHAM CONG'!P419</f>
        <v>x</v>
      </c>
      <c r="S27" s="519" t="str">
        <f>'CHAM CONG'!Q419</f>
        <v>x</v>
      </c>
      <c r="T27" s="519" t="str">
        <f>'CHAM CONG'!R419</f>
        <v>x</v>
      </c>
      <c r="U27" s="519" t="str">
        <f>'CHAM CONG'!S419</f>
        <v>x</v>
      </c>
      <c r="V27" s="519" t="str">
        <f>'CHAM CONG'!T419</f>
        <v>x</v>
      </c>
      <c r="W27" s="519" t="str">
        <f>'CHAM CONG'!U419</f>
        <v>x</v>
      </c>
      <c r="X27" s="525"/>
      <c r="Y27" s="525"/>
      <c r="Z27" s="535">
        <f t="shared" si="1"/>
        <v>14</v>
      </c>
      <c r="AA27" s="536"/>
      <c r="AB27" s="537">
        <f t="shared" si="2"/>
        <v>224000</v>
      </c>
      <c r="AC27" s="537"/>
      <c r="AD27" s="537">
        <f>'CHAM CONG'!Y419</f>
        <v>0</v>
      </c>
      <c r="AE27" s="535">
        <f t="shared" si="3"/>
        <v>0</v>
      </c>
      <c r="AF27" s="537">
        <f t="shared" si="4"/>
        <v>0</v>
      </c>
      <c r="AG27" s="537">
        <f t="shared" si="5"/>
        <v>14</v>
      </c>
      <c r="AH27" s="537">
        <f t="shared" si="6"/>
        <v>14000</v>
      </c>
      <c r="AI27" s="537">
        <f t="shared" si="7"/>
        <v>238000</v>
      </c>
      <c r="AJ27" s="542">
        <f>'SAN LUONG'!AF420</f>
        <v>183</v>
      </c>
      <c r="AK27" s="519">
        <f>'SAN LUONG'!AG420</f>
        <v>319</v>
      </c>
      <c r="AL27" s="519">
        <f>'SAN LUONG'!AH420</f>
        <v>323</v>
      </c>
      <c r="AM27" s="519">
        <f>'SAN LUONG'!AI420</f>
        <v>335</v>
      </c>
      <c r="AN27" s="541">
        <f t="shared" si="8"/>
        <v>977</v>
      </c>
      <c r="AO27" s="553">
        <f t="shared" si="9"/>
        <v>217089</v>
      </c>
      <c r="AP27" s="541">
        <f t="shared" si="14"/>
        <v>183</v>
      </c>
      <c r="AQ27" s="553">
        <f t="shared" si="10"/>
        <v>36637</v>
      </c>
      <c r="AR27" s="553">
        <f t="shared" si="11"/>
        <v>253726</v>
      </c>
      <c r="AS27" s="556"/>
      <c r="AT27" s="556"/>
      <c r="AU27" s="556"/>
      <c r="AV27" s="556">
        <f t="shared" si="12"/>
        <v>491726</v>
      </c>
      <c r="AW27" s="564">
        <f t="shared" si="0"/>
        <v>491726</v>
      </c>
      <c r="AX27" s="565"/>
      <c r="AY27" s="566">
        <f t="shared" si="13"/>
        <v>15.39</v>
      </c>
      <c r="AZ27" s="567"/>
    </row>
    <row r="28" spans="1:52" s="483" customFormat="1" ht="42" customHeight="1">
      <c r="A28" s="503">
        <v>19</v>
      </c>
      <c r="B28" s="504">
        <v>8</v>
      </c>
      <c r="C28" s="505">
        <v>311</v>
      </c>
      <c r="D28" s="506" t="e">
        <f>'Tên Tháng 1'!#REF!</f>
        <v>#REF!</v>
      </c>
      <c r="E28" s="506" t="e">
        <f>'Tên Tháng 1'!#REF!</f>
        <v>#REF!</v>
      </c>
      <c r="F28" s="507" t="e">
        <f>'Tên Tháng 1'!#REF!</f>
        <v>#REF!</v>
      </c>
      <c r="G28" s="508" t="str">
        <f>'Tên Tháng 1'!E410</f>
        <v>ឃឹម បញ្ញា</v>
      </c>
      <c r="H28" s="509" t="str">
        <f>'Tên Tháng 1'!F410</f>
        <v>KHOEM PHANHA</v>
      </c>
      <c r="I28" s="519">
        <f>'CHAM CONG'!G420</f>
        <v>0</v>
      </c>
      <c r="J28" s="519">
        <f>'CHAM CONG'!H420</f>
        <v>0</v>
      </c>
      <c r="K28" s="519" t="str">
        <f>'CHAM CONG'!I420</f>
        <v>x</v>
      </c>
      <c r="L28" s="519">
        <f>'CHAM CONG'!J420</f>
        <v>0</v>
      </c>
      <c r="M28" s="519" t="str">
        <f>'CHAM CONG'!K420</f>
        <v>x</v>
      </c>
      <c r="N28" s="519" t="str">
        <f>'CHAM CONG'!L420</f>
        <v>x</v>
      </c>
      <c r="O28" s="519" t="str">
        <f>'CHAM CONG'!M420</f>
        <v>x</v>
      </c>
      <c r="P28" s="519" t="str">
        <f>'CHAM CONG'!N420</f>
        <v>x</v>
      </c>
      <c r="Q28" s="519" t="str">
        <f>'CHAM CONG'!O420</f>
        <v>x</v>
      </c>
      <c r="R28" s="519" t="str">
        <f>'CHAM CONG'!P420</f>
        <v>x</v>
      </c>
      <c r="S28" s="519" t="str">
        <f>'CHAM CONG'!Q420</f>
        <v>x</v>
      </c>
      <c r="T28" s="519" t="str">
        <f>'CHAM CONG'!R420</f>
        <v>x</v>
      </c>
      <c r="U28" s="519" t="str">
        <f>'CHAM CONG'!S420</f>
        <v>x</v>
      </c>
      <c r="V28" s="519" t="str">
        <f>'CHAM CONG'!T420</f>
        <v>x</v>
      </c>
      <c r="W28" s="519">
        <f>'CHAM CONG'!U420</f>
        <v>0</v>
      </c>
      <c r="X28" s="525"/>
      <c r="Y28" s="525"/>
      <c r="Z28" s="535">
        <f t="shared" si="1"/>
        <v>11</v>
      </c>
      <c r="AA28" s="536"/>
      <c r="AB28" s="537">
        <f t="shared" si="2"/>
        <v>176000</v>
      </c>
      <c r="AC28" s="537"/>
      <c r="AD28" s="537">
        <f>'CHAM CONG'!Y420</f>
        <v>0</v>
      </c>
      <c r="AE28" s="535">
        <f t="shared" si="3"/>
        <v>0</v>
      </c>
      <c r="AF28" s="537">
        <f t="shared" si="4"/>
        <v>0</v>
      </c>
      <c r="AG28" s="537">
        <f t="shared" si="5"/>
        <v>11</v>
      </c>
      <c r="AH28" s="537">
        <f t="shared" si="6"/>
        <v>11000</v>
      </c>
      <c r="AI28" s="537">
        <f t="shared" si="7"/>
        <v>187000</v>
      </c>
      <c r="AJ28" s="542">
        <f>'SAN LUONG'!AF421</f>
        <v>277</v>
      </c>
      <c r="AK28" s="519">
        <f>'SAN LUONG'!AG421</f>
        <v>356</v>
      </c>
      <c r="AL28" s="519">
        <f>'SAN LUONG'!AH421</f>
        <v>0</v>
      </c>
      <c r="AM28" s="519">
        <f>'SAN LUONG'!AI421</f>
        <v>264</v>
      </c>
      <c r="AN28" s="541">
        <f t="shared" si="8"/>
        <v>620</v>
      </c>
      <c r="AO28" s="553">
        <f t="shared" si="9"/>
        <v>137764</v>
      </c>
      <c r="AP28" s="541">
        <f t="shared" si="14"/>
        <v>277</v>
      </c>
      <c r="AQ28" s="553">
        <f t="shared" si="10"/>
        <v>55455</v>
      </c>
      <c r="AR28" s="553">
        <f t="shared" si="11"/>
        <v>193219</v>
      </c>
      <c r="AS28" s="556"/>
      <c r="AT28" s="556"/>
      <c r="AU28" s="556"/>
      <c r="AV28" s="556">
        <f t="shared" si="12"/>
        <v>380219</v>
      </c>
      <c r="AW28" s="564">
        <f t="shared" si="0"/>
        <v>380219</v>
      </c>
      <c r="AX28" s="565"/>
      <c r="AY28" s="566">
        <f t="shared" si="13"/>
        <v>11.9</v>
      </c>
      <c r="AZ28" s="567"/>
    </row>
    <row r="29" spans="1:52" s="483" customFormat="1" ht="42" customHeight="1">
      <c r="A29" s="503">
        <v>20</v>
      </c>
      <c r="B29" s="504">
        <v>8</v>
      </c>
      <c r="C29" s="505">
        <v>312</v>
      </c>
      <c r="D29" s="506" t="e">
        <f>'Tên Tháng 1'!#REF!</f>
        <v>#REF!</v>
      </c>
      <c r="E29" s="506" t="e">
        <f>'Tên Tháng 1'!#REF!</f>
        <v>#REF!</v>
      </c>
      <c r="F29" s="507" t="e">
        <f>'Tên Tháng 1'!#REF!</f>
        <v>#REF!</v>
      </c>
      <c r="G29" s="508" t="str">
        <f>'Tên Tháng 1'!E411</f>
        <v>ឈឿន ឈួយ</v>
      </c>
      <c r="H29" s="509" t="str">
        <f>'Tên Tháng 1'!F411</f>
        <v>CHHOEUN CHHUOY</v>
      </c>
      <c r="I29" s="519">
        <f>'CHAM CONG'!G421</f>
        <v>0</v>
      </c>
      <c r="J29" s="519" t="str">
        <f>'CHAM CONG'!H421</f>
        <v>x</v>
      </c>
      <c r="K29" s="519" t="str">
        <f>'CHAM CONG'!I421</f>
        <v>x</v>
      </c>
      <c r="L29" s="519">
        <f>'CHAM CONG'!J421</f>
        <v>0</v>
      </c>
      <c r="M29" s="519" t="str">
        <f>'CHAM CONG'!K421</f>
        <v>x</v>
      </c>
      <c r="N29" s="519" t="str">
        <f>'CHAM CONG'!L421</f>
        <v>x</v>
      </c>
      <c r="O29" s="519" t="str">
        <f>'CHAM CONG'!M421</f>
        <v>x</v>
      </c>
      <c r="P29" s="519">
        <f>'CHAM CONG'!N421</f>
        <v>0</v>
      </c>
      <c r="Q29" s="519" t="str">
        <f>'CHAM CONG'!O421</f>
        <v>x</v>
      </c>
      <c r="R29" s="519" t="str">
        <f>'CHAM CONG'!P421</f>
        <v>x</v>
      </c>
      <c r="S29" s="519" t="str">
        <f>'CHAM CONG'!Q421</f>
        <v>x</v>
      </c>
      <c r="T29" s="519" t="str">
        <f>'CHAM CONG'!R421</f>
        <v>x</v>
      </c>
      <c r="U29" s="519" t="str">
        <f>'CHAM CONG'!S421</f>
        <v>x</v>
      </c>
      <c r="V29" s="519" t="str">
        <f>'CHAM CONG'!T421</f>
        <v>x</v>
      </c>
      <c r="W29" s="519">
        <f>'CHAM CONG'!U421</f>
        <v>0</v>
      </c>
      <c r="X29" s="525"/>
      <c r="Y29" s="525"/>
      <c r="Z29" s="535">
        <f t="shared" si="1"/>
        <v>11</v>
      </c>
      <c r="AA29" s="536"/>
      <c r="AB29" s="537">
        <f t="shared" si="2"/>
        <v>176000</v>
      </c>
      <c r="AC29" s="537"/>
      <c r="AD29" s="537">
        <f>'CHAM CONG'!Y421</f>
        <v>0</v>
      </c>
      <c r="AE29" s="535">
        <f t="shared" si="3"/>
        <v>0</v>
      </c>
      <c r="AF29" s="537">
        <f t="shared" si="4"/>
        <v>0</v>
      </c>
      <c r="AG29" s="537">
        <f t="shared" si="5"/>
        <v>11</v>
      </c>
      <c r="AH29" s="537">
        <f t="shared" si="6"/>
        <v>11000</v>
      </c>
      <c r="AI29" s="537">
        <f t="shared" si="7"/>
        <v>187000</v>
      </c>
      <c r="AJ29" s="542">
        <f>'SAN LUONG'!AF422</f>
        <v>468</v>
      </c>
      <c r="AK29" s="519">
        <f>'SAN LUONG'!AG422</f>
        <v>250</v>
      </c>
      <c r="AL29" s="519">
        <f>'SAN LUONG'!AH422</f>
        <v>339</v>
      </c>
      <c r="AM29" s="519">
        <f>'SAN LUONG'!AI422</f>
        <v>216</v>
      </c>
      <c r="AN29" s="541">
        <f t="shared" si="8"/>
        <v>805</v>
      </c>
      <c r="AO29" s="553">
        <f t="shared" si="9"/>
        <v>178871</v>
      </c>
      <c r="AP29" s="541">
        <f t="shared" si="14"/>
        <v>468</v>
      </c>
      <c r="AQ29" s="553">
        <f t="shared" si="10"/>
        <v>93694</v>
      </c>
      <c r="AR29" s="553">
        <f t="shared" si="11"/>
        <v>272565</v>
      </c>
      <c r="AS29" s="556"/>
      <c r="AT29" s="556"/>
      <c r="AU29" s="556"/>
      <c r="AV29" s="556">
        <f t="shared" si="12"/>
        <v>459565</v>
      </c>
      <c r="AW29" s="564">
        <f t="shared" si="0"/>
        <v>459565</v>
      </c>
      <c r="AX29" s="565"/>
      <c r="AY29" s="566">
        <f t="shared" si="13"/>
        <v>14.39</v>
      </c>
      <c r="AZ29" s="567"/>
    </row>
    <row r="30" spans="1:52" s="483" customFormat="1" ht="42" customHeight="1">
      <c r="A30" s="503">
        <v>21</v>
      </c>
      <c r="B30" s="504">
        <v>8</v>
      </c>
      <c r="C30" s="505">
        <v>313</v>
      </c>
      <c r="D30" s="506" t="e">
        <f>'Tên Tháng 1'!#REF!</f>
        <v>#REF!</v>
      </c>
      <c r="E30" s="506" t="e">
        <f>'Tên Tháng 1'!#REF!</f>
        <v>#REF!</v>
      </c>
      <c r="F30" s="507" t="e">
        <f>'Tên Tháng 1'!#REF!</f>
        <v>#REF!</v>
      </c>
      <c r="G30" s="508" t="str">
        <f>'Tên Tháng 1'!E412</f>
        <v>ក្រឹង រ៉ៃ</v>
      </c>
      <c r="H30" s="509" t="str">
        <f>'Tên Tháng 1'!F412</f>
        <v>KRENG REY</v>
      </c>
      <c r="I30" s="519">
        <f>'CHAM CONG'!G422</f>
        <v>0</v>
      </c>
      <c r="J30" s="519" t="str">
        <f>'CHAM CONG'!H422</f>
        <v>x</v>
      </c>
      <c r="K30" s="519" t="str">
        <f>'CHAM CONG'!I422</f>
        <v>x</v>
      </c>
      <c r="L30" s="519">
        <f>'CHAM CONG'!J422</f>
        <v>0</v>
      </c>
      <c r="M30" s="519" t="str">
        <f>'CHAM CONG'!K422</f>
        <v>x</v>
      </c>
      <c r="N30" s="519" t="str">
        <f>'CHAM CONG'!L422</f>
        <v>x</v>
      </c>
      <c r="O30" s="519" t="str">
        <f>'CHAM CONG'!M422</f>
        <v>x</v>
      </c>
      <c r="P30" s="519">
        <f>'CHAM CONG'!N422</f>
        <v>0</v>
      </c>
      <c r="Q30" s="519" t="str">
        <f>'CHAM CONG'!O422</f>
        <v>x</v>
      </c>
      <c r="R30" s="519" t="str">
        <f>'CHAM CONG'!P422</f>
        <v>x</v>
      </c>
      <c r="S30" s="519" t="str">
        <f>'CHAM CONG'!Q422</f>
        <v>x</v>
      </c>
      <c r="T30" s="519" t="str">
        <f>'CHAM CONG'!R422</f>
        <v>x</v>
      </c>
      <c r="U30" s="519" t="str">
        <f>'CHAM CONG'!S422</f>
        <v>x</v>
      </c>
      <c r="V30" s="519" t="str">
        <f>'CHAM CONG'!T422</f>
        <v>x</v>
      </c>
      <c r="W30" s="519">
        <f>'CHAM CONG'!U422</f>
        <v>0</v>
      </c>
      <c r="X30" s="525"/>
      <c r="Y30" s="525"/>
      <c r="Z30" s="535">
        <f t="shared" si="1"/>
        <v>11</v>
      </c>
      <c r="AA30" s="536"/>
      <c r="AB30" s="537">
        <f t="shared" si="2"/>
        <v>176000</v>
      </c>
      <c r="AC30" s="537"/>
      <c r="AD30" s="537">
        <f>'CHAM CONG'!Y422</f>
        <v>0</v>
      </c>
      <c r="AE30" s="535">
        <f t="shared" si="3"/>
        <v>0</v>
      </c>
      <c r="AF30" s="537">
        <f t="shared" si="4"/>
        <v>0</v>
      </c>
      <c r="AG30" s="537">
        <f t="shared" si="5"/>
        <v>11</v>
      </c>
      <c r="AH30" s="537">
        <f t="shared" si="6"/>
        <v>11000</v>
      </c>
      <c r="AI30" s="537">
        <f t="shared" si="7"/>
        <v>187000</v>
      </c>
      <c r="AJ30" s="542">
        <f>'SAN LUONG'!AF423</f>
        <v>388</v>
      </c>
      <c r="AK30" s="519">
        <f>'SAN LUONG'!AG423</f>
        <v>265</v>
      </c>
      <c r="AL30" s="519">
        <f>'SAN LUONG'!AH423</f>
        <v>234</v>
      </c>
      <c r="AM30" s="519">
        <f>'SAN LUONG'!AI423</f>
        <v>196</v>
      </c>
      <c r="AN30" s="541">
        <f t="shared" si="8"/>
        <v>695</v>
      </c>
      <c r="AO30" s="553">
        <f t="shared" si="9"/>
        <v>154429</v>
      </c>
      <c r="AP30" s="541">
        <f t="shared" si="14"/>
        <v>388</v>
      </c>
      <c r="AQ30" s="553">
        <f t="shared" si="10"/>
        <v>77678</v>
      </c>
      <c r="AR30" s="553">
        <f t="shared" si="11"/>
        <v>232107</v>
      </c>
      <c r="AS30" s="556"/>
      <c r="AT30" s="556"/>
      <c r="AU30" s="556"/>
      <c r="AV30" s="556">
        <f t="shared" si="12"/>
        <v>419107</v>
      </c>
      <c r="AW30" s="564">
        <f t="shared" si="0"/>
        <v>419107</v>
      </c>
      <c r="AX30" s="565"/>
      <c r="AY30" s="566">
        <f t="shared" si="13"/>
        <v>13.12</v>
      </c>
      <c r="AZ30" s="567"/>
    </row>
    <row r="31" spans="1:52" s="483" customFormat="1" ht="42" customHeight="1">
      <c r="A31" s="503">
        <v>22</v>
      </c>
      <c r="B31" s="504">
        <v>8</v>
      </c>
      <c r="C31" s="505">
        <v>314</v>
      </c>
      <c r="D31" s="506" t="e">
        <f>'Tên Tháng 1'!#REF!</f>
        <v>#REF!</v>
      </c>
      <c r="E31" s="506" t="e">
        <f>'Tên Tháng 1'!#REF!</f>
        <v>#REF!</v>
      </c>
      <c r="F31" s="507" t="e">
        <f>'Tên Tháng 1'!#REF!</f>
        <v>#REF!</v>
      </c>
      <c r="G31" s="508" t="str">
        <f>'Tên Tháng 1'!E413</f>
        <v>សេន សេត</v>
      </c>
      <c r="H31" s="509" t="str">
        <f>'Tên Tháng 1'!F413</f>
        <v>SEN SET</v>
      </c>
      <c r="I31" s="519" t="str">
        <f>'CHAM CONG'!G423</f>
        <v>x</v>
      </c>
      <c r="J31" s="519" t="str">
        <f>'CHAM CONG'!H423</f>
        <v>x</v>
      </c>
      <c r="K31" s="519" t="str">
        <f>'CHAM CONG'!I423</f>
        <v>x</v>
      </c>
      <c r="L31" s="519">
        <f>'CHAM CONG'!J423</f>
        <v>0</v>
      </c>
      <c r="M31" s="519" t="str">
        <f>'CHAM CONG'!K423</f>
        <v>x</v>
      </c>
      <c r="N31" s="519" t="str">
        <f>'CHAM CONG'!L423</f>
        <v>x</v>
      </c>
      <c r="O31" s="519" t="str">
        <f>'CHAM CONG'!M423</f>
        <v>x</v>
      </c>
      <c r="P31" s="519" t="str">
        <f>'CHAM CONG'!N423</f>
        <v>x</v>
      </c>
      <c r="Q31" s="519" t="str">
        <f>'CHAM CONG'!O423</f>
        <v>x</v>
      </c>
      <c r="R31" s="519" t="str">
        <f>'CHAM CONG'!P423</f>
        <v>x</v>
      </c>
      <c r="S31" s="519" t="str">
        <f>'CHAM CONG'!Q423</f>
        <v>x</v>
      </c>
      <c r="T31" s="519" t="str">
        <f>'CHAM CONG'!R423</f>
        <v>x</v>
      </c>
      <c r="U31" s="519" t="str">
        <f>'CHAM CONG'!S423</f>
        <v>x</v>
      </c>
      <c r="V31" s="519" t="str">
        <f>'CHAM CONG'!T423</f>
        <v>x</v>
      </c>
      <c r="W31" s="519" t="str">
        <f>'CHAM CONG'!U423</f>
        <v>x</v>
      </c>
      <c r="X31" s="525"/>
      <c r="Y31" s="525"/>
      <c r="Z31" s="535">
        <f t="shared" si="1"/>
        <v>14</v>
      </c>
      <c r="AA31" s="536"/>
      <c r="AB31" s="537">
        <f t="shared" si="2"/>
        <v>224000</v>
      </c>
      <c r="AC31" s="537"/>
      <c r="AD31" s="537" t="str">
        <f>'CHAM CONG'!Y423</f>
        <v>x</v>
      </c>
      <c r="AE31" s="535">
        <f t="shared" si="3"/>
        <v>1</v>
      </c>
      <c r="AF31" s="537">
        <f t="shared" si="4"/>
        <v>17000</v>
      </c>
      <c r="AG31" s="537">
        <f t="shared" si="5"/>
        <v>14</v>
      </c>
      <c r="AH31" s="537">
        <f t="shared" si="6"/>
        <v>14000</v>
      </c>
      <c r="AI31" s="537">
        <f t="shared" si="7"/>
        <v>255000</v>
      </c>
      <c r="AJ31" s="542">
        <f>'SAN LUONG'!AF424</f>
        <v>279</v>
      </c>
      <c r="AK31" s="519">
        <f>'SAN LUONG'!AG424</f>
        <v>392</v>
      </c>
      <c r="AL31" s="519">
        <f>'SAN LUONG'!AH424</f>
        <v>368</v>
      </c>
      <c r="AM31" s="519">
        <f>'SAN LUONG'!AI424</f>
        <v>291</v>
      </c>
      <c r="AN31" s="541">
        <f t="shared" si="8"/>
        <v>1051</v>
      </c>
      <c r="AO31" s="553">
        <f t="shared" si="9"/>
        <v>233532</v>
      </c>
      <c r="AP31" s="541">
        <f t="shared" si="14"/>
        <v>279</v>
      </c>
      <c r="AQ31" s="553">
        <f t="shared" si="10"/>
        <v>55856</v>
      </c>
      <c r="AR31" s="553">
        <f t="shared" si="11"/>
        <v>289388</v>
      </c>
      <c r="AS31" s="556"/>
      <c r="AT31" s="556"/>
      <c r="AU31" s="556"/>
      <c r="AV31" s="556">
        <f t="shared" si="12"/>
        <v>544388</v>
      </c>
      <c r="AW31" s="564">
        <f t="shared" si="0"/>
        <v>544388</v>
      </c>
      <c r="AX31" s="565"/>
      <c r="AY31" s="566">
        <f t="shared" si="13"/>
        <v>17.04</v>
      </c>
      <c r="AZ31" s="567"/>
    </row>
    <row r="32" spans="1:52" s="483" customFormat="1" ht="42" customHeight="1">
      <c r="A32" s="503">
        <v>23</v>
      </c>
      <c r="B32" s="504">
        <v>8</v>
      </c>
      <c r="C32" s="505">
        <v>315</v>
      </c>
      <c r="D32" s="506" t="e">
        <f>'Tên Tháng 1'!#REF!</f>
        <v>#REF!</v>
      </c>
      <c r="E32" s="506" t="e">
        <f>'Tên Tháng 1'!#REF!</f>
        <v>#REF!</v>
      </c>
      <c r="F32" s="507" t="e">
        <f>'Tên Tháng 1'!#REF!</f>
        <v>#REF!</v>
      </c>
      <c r="G32" s="508" t="str">
        <f>'Tên Tháng 1'!E414</f>
        <v>សឿន សុគឿន</v>
      </c>
      <c r="H32" s="509" t="str">
        <f>'Tên Tháng 1'!F414</f>
        <v>SOEUN SO KOEUN</v>
      </c>
      <c r="I32" s="519" t="str">
        <f>'CHAM CONG'!G424</f>
        <v>x</v>
      </c>
      <c r="J32" s="519" t="str">
        <f>'CHAM CONG'!H424</f>
        <v>x</v>
      </c>
      <c r="K32" s="519" t="str">
        <f>'CHAM CONG'!I424</f>
        <v>x</v>
      </c>
      <c r="L32" s="519">
        <f>'CHAM CONG'!J424</f>
        <v>0</v>
      </c>
      <c r="M32" s="519" t="str">
        <f>'CHAM CONG'!K424</f>
        <v>x</v>
      </c>
      <c r="N32" s="519" t="str">
        <f>'CHAM CONG'!L424</f>
        <v>x</v>
      </c>
      <c r="O32" s="519" t="str">
        <f>'CHAM CONG'!M424</f>
        <v>x</v>
      </c>
      <c r="P32" s="519" t="str">
        <f>'CHAM CONG'!N424</f>
        <v>x</v>
      </c>
      <c r="Q32" s="519" t="str">
        <f>'CHAM CONG'!O424</f>
        <v>x</v>
      </c>
      <c r="R32" s="519" t="str">
        <f>'CHAM CONG'!P424</f>
        <v>x</v>
      </c>
      <c r="S32" s="519" t="str">
        <f>'CHAM CONG'!Q424</f>
        <v>x</v>
      </c>
      <c r="T32" s="519" t="str">
        <f>'CHAM CONG'!R424</f>
        <v>x</v>
      </c>
      <c r="U32" s="519" t="str">
        <f>'CHAM CONG'!S424</f>
        <v>x</v>
      </c>
      <c r="V32" s="519" t="str">
        <f>'CHAM CONG'!T424</f>
        <v>x</v>
      </c>
      <c r="W32" s="519" t="str">
        <f>'CHAM CONG'!U424</f>
        <v>x</v>
      </c>
      <c r="X32" s="525"/>
      <c r="Y32" s="525"/>
      <c r="Z32" s="535">
        <f t="shared" si="1"/>
        <v>14</v>
      </c>
      <c r="AA32" s="536"/>
      <c r="AB32" s="537">
        <f t="shared" si="2"/>
        <v>224000</v>
      </c>
      <c r="AC32" s="537"/>
      <c r="AD32" s="537">
        <f>'CHAM CONG'!Y424</f>
        <v>0</v>
      </c>
      <c r="AE32" s="535">
        <f t="shared" si="3"/>
        <v>0</v>
      </c>
      <c r="AF32" s="537">
        <f t="shared" si="4"/>
        <v>0</v>
      </c>
      <c r="AG32" s="537">
        <f t="shared" si="5"/>
        <v>14</v>
      </c>
      <c r="AH32" s="537">
        <f t="shared" si="6"/>
        <v>14000</v>
      </c>
      <c r="AI32" s="537">
        <f t="shared" si="7"/>
        <v>238000</v>
      </c>
      <c r="AJ32" s="542">
        <f>'SAN LUONG'!AF425</f>
        <v>375</v>
      </c>
      <c r="AK32" s="519">
        <f>'SAN LUONG'!AG425</f>
        <v>473</v>
      </c>
      <c r="AL32" s="519">
        <f>'SAN LUONG'!AH425</f>
        <v>404</v>
      </c>
      <c r="AM32" s="519">
        <f>'SAN LUONG'!AI425</f>
        <v>277</v>
      </c>
      <c r="AN32" s="541">
        <f t="shared" si="8"/>
        <v>1154</v>
      </c>
      <c r="AO32" s="553">
        <f t="shared" si="9"/>
        <v>256419</v>
      </c>
      <c r="AP32" s="541">
        <f t="shared" si="14"/>
        <v>375</v>
      </c>
      <c r="AQ32" s="553">
        <f t="shared" si="10"/>
        <v>75075</v>
      </c>
      <c r="AR32" s="553">
        <f t="shared" si="11"/>
        <v>331494</v>
      </c>
      <c r="AS32" s="556"/>
      <c r="AT32" s="556"/>
      <c r="AU32" s="556"/>
      <c r="AV32" s="556">
        <f t="shared" si="12"/>
        <v>569494</v>
      </c>
      <c r="AW32" s="564">
        <f t="shared" si="0"/>
        <v>569494</v>
      </c>
      <c r="AX32" s="565"/>
      <c r="AY32" s="566">
        <f t="shared" si="13"/>
        <v>17.829999999999998</v>
      </c>
      <c r="AZ32" s="567"/>
    </row>
    <row r="33" spans="1:227" s="483" customFormat="1" ht="42" customHeight="1">
      <c r="A33" s="503">
        <v>24</v>
      </c>
      <c r="B33" s="504">
        <v>8</v>
      </c>
      <c r="C33" s="505">
        <v>316</v>
      </c>
      <c r="D33" s="506" t="e">
        <f>'Tên Tháng 1'!#REF!</f>
        <v>#REF!</v>
      </c>
      <c r="E33" s="506" t="e">
        <f>'Tên Tháng 1'!#REF!</f>
        <v>#REF!</v>
      </c>
      <c r="F33" s="507" t="e">
        <f>'Tên Tháng 1'!#REF!</f>
        <v>#REF!</v>
      </c>
      <c r="G33" s="508" t="str">
        <f>'Tên Tháng 1'!E415</f>
        <v>ហ៊ាប យ៉ាន</v>
      </c>
      <c r="H33" s="509" t="str">
        <f>'Tên Tháng 1'!F415</f>
        <v>HEAB YAN</v>
      </c>
      <c r="I33" s="519" t="str">
        <f>'CHAM CONG'!G425</f>
        <v>x</v>
      </c>
      <c r="J33" s="519" t="str">
        <f>'CHAM CONG'!H425</f>
        <v>x</v>
      </c>
      <c r="K33" s="519" t="str">
        <f>'CHAM CONG'!I425</f>
        <v>x</v>
      </c>
      <c r="L33" s="519">
        <f>'CHAM CONG'!J425</f>
        <v>0</v>
      </c>
      <c r="M33" s="519" t="str">
        <f>'CHAM CONG'!K425</f>
        <v>x</v>
      </c>
      <c r="N33" s="519" t="str">
        <f>'CHAM CONG'!L425</f>
        <v>x</v>
      </c>
      <c r="O33" s="519" t="str">
        <f>'CHAM CONG'!M425</f>
        <v>x</v>
      </c>
      <c r="P33" s="519" t="str">
        <f>'CHAM CONG'!N425</f>
        <v>x</v>
      </c>
      <c r="Q33" s="519" t="str">
        <f>'CHAM CONG'!O425</f>
        <v>x</v>
      </c>
      <c r="R33" s="519" t="str">
        <f>'CHAM CONG'!P425</f>
        <v>x</v>
      </c>
      <c r="S33" s="519" t="str">
        <f>'CHAM CONG'!Q425</f>
        <v>x</v>
      </c>
      <c r="T33" s="519" t="str">
        <f>'CHAM CONG'!R425</f>
        <v>x</v>
      </c>
      <c r="U33" s="519" t="str">
        <f>'CHAM CONG'!S425</f>
        <v>x</v>
      </c>
      <c r="V33" s="519" t="str">
        <f>'CHAM CONG'!T425</f>
        <v>x</v>
      </c>
      <c r="W33" s="519" t="str">
        <f>'CHAM CONG'!U425</f>
        <v>x</v>
      </c>
      <c r="X33" s="525"/>
      <c r="Y33" s="525"/>
      <c r="Z33" s="535">
        <f t="shared" si="1"/>
        <v>14</v>
      </c>
      <c r="AA33" s="536"/>
      <c r="AB33" s="537">
        <f t="shared" si="2"/>
        <v>224000</v>
      </c>
      <c r="AC33" s="537"/>
      <c r="AD33" s="537">
        <f>'CHAM CONG'!Y425</f>
        <v>0</v>
      </c>
      <c r="AE33" s="535">
        <f t="shared" si="3"/>
        <v>0</v>
      </c>
      <c r="AF33" s="537">
        <f t="shared" si="4"/>
        <v>0</v>
      </c>
      <c r="AG33" s="537">
        <f t="shared" si="5"/>
        <v>14</v>
      </c>
      <c r="AH33" s="537">
        <f t="shared" si="6"/>
        <v>14000</v>
      </c>
      <c r="AI33" s="537">
        <f t="shared" si="7"/>
        <v>238000</v>
      </c>
      <c r="AJ33" s="542">
        <f>'SAN LUONG'!AF426</f>
        <v>331</v>
      </c>
      <c r="AK33" s="519">
        <f>'SAN LUONG'!AG426</f>
        <v>326</v>
      </c>
      <c r="AL33" s="519">
        <f>'SAN LUONG'!AH426</f>
        <v>300</v>
      </c>
      <c r="AM33" s="519">
        <f>'SAN LUONG'!AI426</f>
        <v>302</v>
      </c>
      <c r="AN33" s="541">
        <f t="shared" si="8"/>
        <v>928</v>
      </c>
      <c r="AO33" s="553">
        <f t="shared" si="9"/>
        <v>206202</v>
      </c>
      <c r="AP33" s="541">
        <f t="shared" si="14"/>
        <v>331</v>
      </c>
      <c r="AQ33" s="553">
        <f t="shared" si="10"/>
        <v>66266</v>
      </c>
      <c r="AR33" s="553">
        <f t="shared" si="11"/>
        <v>272468</v>
      </c>
      <c r="AS33" s="556"/>
      <c r="AT33" s="556"/>
      <c r="AU33" s="556"/>
      <c r="AV33" s="556">
        <f t="shared" si="12"/>
        <v>510468</v>
      </c>
      <c r="AW33" s="564">
        <f t="shared" si="0"/>
        <v>510468</v>
      </c>
      <c r="AX33" s="565"/>
      <c r="AY33" s="566">
        <f t="shared" si="13"/>
        <v>15.98</v>
      </c>
      <c r="AZ33" s="567"/>
      <c r="BA33" s="568"/>
      <c r="BB33" s="568"/>
      <c r="BC33" s="568"/>
      <c r="BD33" s="568"/>
      <c r="BE33" s="568"/>
      <c r="BF33" s="568"/>
      <c r="BG33" s="568"/>
      <c r="BH33" s="568"/>
      <c r="BI33" s="568"/>
      <c r="BJ33" s="568"/>
      <c r="BK33" s="568"/>
      <c r="BL33" s="568"/>
      <c r="BM33" s="568"/>
      <c r="BN33" s="568"/>
      <c r="BO33" s="568"/>
      <c r="BP33" s="568"/>
      <c r="BQ33" s="568"/>
      <c r="BR33" s="568"/>
      <c r="BS33" s="568"/>
      <c r="BT33" s="568"/>
      <c r="BU33" s="568"/>
      <c r="BV33" s="568"/>
      <c r="BW33" s="568"/>
      <c r="BX33" s="568"/>
      <c r="BY33" s="568"/>
      <c r="BZ33" s="568"/>
      <c r="CA33" s="568"/>
      <c r="CB33" s="568"/>
      <c r="CC33" s="568"/>
      <c r="CD33" s="568"/>
      <c r="CE33" s="568"/>
      <c r="CF33" s="568"/>
      <c r="CG33" s="568"/>
      <c r="CH33" s="568"/>
      <c r="CI33" s="568"/>
      <c r="CJ33" s="568"/>
      <c r="CK33" s="568"/>
      <c r="CL33" s="568"/>
      <c r="CM33" s="568"/>
      <c r="CN33" s="568"/>
      <c r="CO33" s="568"/>
      <c r="CP33" s="568"/>
      <c r="CQ33" s="568"/>
      <c r="CR33" s="568"/>
      <c r="CS33" s="568"/>
      <c r="CT33" s="568"/>
      <c r="CU33" s="568"/>
      <c r="CV33" s="568"/>
      <c r="CW33" s="568"/>
      <c r="CX33" s="568"/>
      <c r="CY33" s="568"/>
      <c r="CZ33" s="568"/>
      <c r="DA33" s="568"/>
      <c r="DB33" s="568"/>
      <c r="DC33" s="568"/>
      <c r="DD33" s="568"/>
      <c r="DE33" s="568"/>
      <c r="DF33" s="568"/>
      <c r="DG33" s="568"/>
      <c r="DH33" s="568"/>
      <c r="DI33" s="568"/>
      <c r="DJ33" s="568"/>
      <c r="DK33" s="568"/>
      <c r="DL33" s="568"/>
      <c r="DM33" s="568"/>
      <c r="DN33" s="568"/>
      <c r="DO33" s="568"/>
      <c r="DP33" s="568"/>
      <c r="DQ33" s="568"/>
      <c r="DR33" s="568"/>
      <c r="DS33" s="568"/>
      <c r="DT33" s="568"/>
      <c r="DU33" s="568"/>
      <c r="DV33" s="568"/>
      <c r="DW33" s="568"/>
      <c r="DX33" s="568"/>
      <c r="DY33" s="568"/>
      <c r="DZ33" s="568"/>
      <c r="EA33" s="568"/>
      <c r="EB33" s="568"/>
      <c r="EC33" s="568"/>
      <c r="ED33" s="568"/>
      <c r="EE33" s="568"/>
      <c r="EF33" s="568"/>
      <c r="EG33" s="568"/>
      <c r="EH33" s="568"/>
      <c r="EI33" s="568"/>
      <c r="EJ33" s="568"/>
      <c r="EK33" s="568"/>
      <c r="EL33" s="568"/>
      <c r="EM33" s="568"/>
      <c r="EN33" s="568"/>
      <c r="EO33" s="568"/>
      <c r="EP33" s="568"/>
      <c r="EQ33" s="568"/>
      <c r="ER33" s="568"/>
      <c r="ES33" s="568"/>
      <c r="ET33" s="568"/>
      <c r="EU33" s="568"/>
      <c r="EV33" s="568"/>
      <c r="EW33" s="568"/>
      <c r="EX33" s="568"/>
      <c r="EY33" s="568"/>
      <c r="EZ33" s="568"/>
      <c r="FA33" s="568"/>
      <c r="FB33" s="568"/>
      <c r="FC33" s="568"/>
      <c r="FD33" s="568"/>
      <c r="FE33" s="568"/>
      <c r="FF33" s="568"/>
      <c r="FG33" s="568"/>
      <c r="FH33" s="568"/>
      <c r="FI33" s="568"/>
      <c r="FJ33" s="568"/>
      <c r="FK33" s="568"/>
      <c r="FL33" s="568"/>
      <c r="FM33" s="568"/>
      <c r="FN33" s="568"/>
      <c r="FO33" s="568"/>
      <c r="FP33" s="568"/>
      <c r="FQ33" s="568"/>
      <c r="FR33" s="568"/>
      <c r="FS33" s="568"/>
      <c r="FT33" s="568"/>
      <c r="FU33" s="568"/>
      <c r="FV33" s="568"/>
      <c r="FW33" s="568"/>
      <c r="FX33" s="568"/>
      <c r="FY33" s="568"/>
      <c r="FZ33" s="568"/>
      <c r="GA33" s="568"/>
      <c r="GB33" s="568"/>
      <c r="GC33" s="568"/>
      <c r="GD33" s="568"/>
      <c r="GE33" s="568"/>
      <c r="GF33" s="568"/>
      <c r="GG33" s="568"/>
      <c r="GH33" s="568"/>
      <c r="GI33" s="568"/>
      <c r="GJ33" s="568"/>
      <c r="GK33" s="568"/>
      <c r="GL33" s="568"/>
      <c r="GM33" s="568"/>
      <c r="GN33" s="568"/>
      <c r="GO33" s="568"/>
      <c r="GP33" s="568"/>
      <c r="GQ33" s="568"/>
      <c r="GR33" s="568"/>
      <c r="GS33" s="568"/>
      <c r="GT33" s="568"/>
      <c r="GU33" s="568"/>
      <c r="GV33" s="568"/>
      <c r="GW33" s="568"/>
      <c r="GX33" s="568"/>
      <c r="GY33" s="568"/>
      <c r="GZ33" s="568"/>
      <c r="HA33" s="568"/>
      <c r="HB33" s="568"/>
      <c r="HC33" s="568"/>
      <c r="HD33" s="568"/>
      <c r="HE33" s="568"/>
      <c r="HF33" s="568"/>
      <c r="HG33" s="568"/>
      <c r="HH33" s="568"/>
      <c r="HI33" s="568"/>
      <c r="HJ33" s="568"/>
      <c r="HK33" s="568"/>
      <c r="HL33" s="568"/>
      <c r="HM33" s="568"/>
      <c r="HN33" s="568"/>
      <c r="HO33" s="568"/>
      <c r="HP33" s="568"/>
      <c r="HQ33" s="568"/>
      <c r="HR33" s="568"/>
      <c r="HS33" s="568"/>
    </row>
    <row r="34" spans="1:227" s="483" customFormat="1" ht="42" customHeight="1">
      <c r="A34" s="503">
        <v>25</v>
      </c>
      <c r="B34" s="504">
        <v>8</v>
      </c>
      <c r="C34" s="505">
        <v>317</v>
      </c>
      <c r="D34" s="506" t="e">
        <f>'Tên Tháng 1'!#REF!</f>
        <v>#REF!</v>
      </c>
      <c r="E34" s="506" t="e">
        <f>'Tên Tháng 1'!#REF!</f>
        <v>#REF!</v>
      </c>
      <c r="F34" s="507" t="e">
        <f>'Tên Tháng 1'!#REF!</f>
        <v>#REF!</v>
      </c>
      <c r="G34" s="508" t="str">
        <f>'Tên Tháng 1'!E416</f>
        <v>ធី ​ពៅ</v>
      </c>
      <c r="H34" s="509" t="str">
        <f>'Tên Tháng 1'!F416</f>
        <v>THY POV</v>
      </c>
      <c r="I34" s="519" t="str">
        <f>'CHAM CONG'!G426</f>
        <v>x</v>
      </c>
      <c r="J34" s="519" t="str">
        <f>'CHAM CONG'!H426</f>
        <v>x</v>
      </c>
      <c r="K34" s="519" t="str">
        <f>'CHAM CONG'!I426</f>
        <v>x</v>
      </c>
      <c r="L34" s="519">
        <f>'CHAM CONG'!J426</f>
        <v>0</v>
      </c>
      <c r="M34" s="519">
        <f>'CHAM CONG'!K426</f>
        <v>0</v>
      </c>
      <c r="N34" s="519" t="str">
        <f>'CHAM CONG'!L426</f>
        <v>x</v>
      </c>
      <c r="O34" s="519" t="str">
        <f>'CHAM CONG'!M426</f>
        <v>x</v>
      </c>
      <c r="P34" s="519" t="str">
        <f>'CHAM CONG'!N426</f>
        <v>x</v>
      </c>
      <c r="Q34" s="519" t="str">
        <f>'CHAM CONG'!O426</f>
        <v>x</v>
      </c>
      <c r="R34" s="519" t="str">
        <f>'CHAM CONG'!P426</f>
        <v>x</v>
      </c>
      <c r="S34" s="519" t="str">
        <f>'CHAM CONG'!Q426</f>
        <v>x</v>
      </c>
      <c r="T34" s="519" t="str">
        <f>'CHAM CONG'!R426</f>
        <v>x</v>
      </c>
      <c r="U34" s="519" t="str">
        <f>'CHAM CONG'!S426</f>
        <v>x</v>
      </c>
      <c r="V34" s="519" t="str">
        <f>'CHAM CONG'!T426</f>
        <v>x</v>
      </c>
      <c r="W34" s="519" t="str">
        <f>'CHAM CONG'!U426</f>
        <v>x</v>
      </c>
      <c r="X34" s="525"/>
      <c r="Y34" s="525"/>
      <c r="Z34" s="535">
        <f t="shared" si="1"/>
        <v>13</v>
      </c>
      <c r="AA34" s="536"/>
      <c r="AB34" s="537">
        <f t="shared" si="2"/>
        <v>208000</v>
      </c>
      <c r="AC34" s="537"/>
      <c r="AD34" s="537">
        <f>'CHAM CONG'!Y426</f>
        <v>0</v>
      </c>
      <c r="AE34" s="535">
        <f t="shared" si="3"/>
        <v>0</v>
      </c>
      <c r="AF34" s="537">
        <f t="shared" si="4"/>
        <v>0</v>
      </c>
      <c r="AG34" s="537">
        <f t="shared" si="5"/>
        <v>13</v>
      </c>
      <c r="AH34" s="537">
        <f t="shared" si="6"/>
        <v>13000</v>
      </c>
      <c r="AI34" s="537">
        <f t="shared" si="7"/>
        <v>221000</v>
      </c>
      <c r="AJ34" s="542">
        <f>'SAN LUONG'!AF427</f>
        <v>203</v>
      </c>
      <c r="AK34" s="519">
        <f>'SAN LUONG'!AG427</f>
        <v>331</v>
      </c>
      <c r="AL34" s="519">
        <f>'SAN LUONG'!AH427</f>
        <v>461</v>
      </c>
      <c r="AM34" s="519">
        <f>'SAN LUONG'!AI427</f>
        <v>266</v>
      </c>
      <c r="AN34" s="541">
        <f t="shared" si="8"/>
        <v>1058</v>
      </c>
      <c r="AO34" s="553">
        <f t="shared" si="9"/>
        <v>235088</v>
      </c>
      <c r="AP34" s="541">
        <f t="shared" si="14"/>
        <v>203</v>
      </c>
      <c r="AQ34" s="553">
        <f t="shared" si="10"/>
        <v>40641</v>
      </c>
      <c r="AR34" s="553">
        <f t="shared" si="11"/>
        <v>275729</v>
      </c>
      <c r="AS34" s="556"/>
      <c r="AT34" s="556"/>
      <c r="AU34" s="556"/>
      <c r="AV34" s="556">
        <f t="shared" si="12"/>
        <v>496729</v>
      </c>
      <c r="AW34" s="564">
        <f t="shared" si="0"/>
        <v>496729</v>
      </c>
      <c r="AX34" s="565"/>
      <c r="AY34" s="566">
        <f t="shared" si="13"/>
        <v>15.55</v>
      </c>
      <c r="AZ34" s="567"/>
    </row>
    <row r="35" spans="1:227" s="483" customFormat="1" ht="42" customHeight="1">
      <c r="A35" s="503">
        <v>26</v>
      </c>
      <c r="B35" s="504">
        <v>8</v>
      </c>
      <c r="C35" s="505">
        <v>318</v>
      </c>
      <c r="D35" s="506" t="e">
        <f>'Tên Tháng 1'!#REF!</f>
        <v>#REF!</v>
      </c>
      <c r="E35" s="506" t="e">
        <f>'Tên Tháng 1'!#REF!</f>
        <v>#REF!</v>
      </c>
      <c r="F35" s="507" t="e">
        <f>'Tên Tháng 1'!#REF!</f>
        <v>#REF!</v>
      </c>
      <c r="G35" s="508" t="str">
        <f>'Tên Tháng 1'!E417</f>
        <v>ផា បូរី</v>
      </c>
      <c r="H35" s="509" t="str">
        <f>'Tên Tháng 1'!F417</f>
        <v>PHAA BOREY</v>
      </c>
      <c r="I35" s="519" t="str">
        <f>'CHAM CONG'!G427</f>
        <v>x</v>
      </c>
      <c r="J35" s="519" t="str">
        <f>'CHAM CONG'!H427</f>
        <v>x</v>
      </c>
      <c r="K35" s="519" t="str">
        <f>'CHAM CONG'!I427</f>
        <v>x</v>
      </c>
      <c r="L35" s="519">
        <f>'CHAM CONG'!J427</f>
        <v>0</v>
      </c>
      <c r="M35" s="519">
        <f>'CHAM CONG'!K427</f>
        <v>0</v>
      </c>
      <c r="N35" s="519" t="str">
        <f>'CHAM CONG'!L427</f>
        <v>x</v>
      </c>
      <c r="O35" s="519" t="str">
        <f>'CHAM CONG'!M427</f>
        <v>x</v>
      </c>
      <c r="P35" s="519" t="str">
        <f>'CHAM CONG'!N427</f>
        <v>x</v>
      </c>
      <c r="Q35" s="519" t="str">
        <f>'CHAM CONG'!O427</f>
        <v>x</v>
      </c>
      <c r="R35" s="519" t="str">
        <f>'CHAM CONG'!P427</f>
        <v>x</v>
      </c>
      <c r="S35" s="519" t="str">
        <f>'CHAM CONG'!Q427</f>
        <v>x</v>
      </c>
      <c r="T35" s="519" t="str">
        <f>'CHAM CONG'!R427</f>
        <v>x</v>
      </c>
      <c r="U35" s="519" t="str">
        <f>'CHAM CONG'!S427</f>
        <v>x</v>
      </c>
      <c r="V35" s="519" t="str">
        <f>'CHAM CONG'!T427</f>
        <v>x</v>
      </c>
      <c r="W35" s="519" t="str">
        <f>'CHAM CONG'!U427</f>
        <v>x</v>
      </c>
      <c r="X35" s="525"/>
      <c r="Y35" s="525"/>
      <c r="Z35" s="535">
        <f t="shared" si="1"/>
        <v>13</v>
      </c>
      <c r="AA35" s="536"/>
      <c r="AB35" s="537">
        <f t="shared" si="2"/>
        <v>208000</v>
      </c>
      <c r="AC35" s="537"/>
      <c r="AD35" s="537">
        <f>'CHAM CONG'!Y427</f>
        <v>0</v>
      </c>
      <c r="AE35" s="535">
        <f t="shared" si="3"/>
        <v>0</v>
      </c>
      <c r="AF35" s="537">
        <f t="shared" si="4"/>
        <v>0</v>
      </c>
      <c r="AG35" s="537">
        <f t="shared" si="5"/>
        <v>13</v>
      </c>
      <c r="AH35" s="537">
        <f t="shared" si="6"/>
        <v>13000</v>
      </c>
      <c r="AI35" s="537">
        <f t="shared" si="7"/>
        <v>221000</v>
      </c>
      <c r="AJ35" s="542">
        <f>'SAN LUONG'!AF428</f>
        <v>245</v>
      </c>
      <c r="AK35" s="519">
        <f>'SAN LUONG'!AG428</f>
        <v>311</v>
      </c>
      <c r="AL35" s="519">
        <f>'SAN LUONG'!AH428</f>
        <v>391</v>
      </c>
      <c r="AM35" s="519">
        <f>'SAN LUONG'!AI428</f>
        <v>374</v>
      </c>
      <c r="AN35" s="541">
        <f t="shared" si="8"/>
        <v>1076</v>
      </c>
      <c r="AO35" s="553">
        <f t="shared" si="9"/>
        <v>239087</v>
      </c>
      <c r="AP35" s="541">
        <f t="shared" si="14"/>
        <v>245</v>
      </c>
      <c r="AQ35" s="553">
        <f t="shared" si="10"/>
        <v>49049</v>
      </c>
      <c r="AR35" s="553">
        <f t="shared" si="11"/>
        <v>288136</v>
      </c>
      <c r="AS35" s="556"/>
      <c r="AT35" s="556"/>
      <c r="AU35" s="556"/>
      <c r="AV35" s="556">
        <f t="shared" si="12"/>
        <v>509136</v>
      </c>
      <c r="AW35" s="564">
        <f t="shared" si="0"/>
        <v>509136</v>
      </c>
      <c r="AX35" s="565"/>
      <c r="AY35" s="566">
        <f t="shared" si="13"/>
        <v>15.94</v>
      </c>
      <c r="AZ35" s="567"/>
    </row>
    <row r="36" spans="1:227" s="483" customFormat="1" ht="42" customHeight="1">
      <c r="A36" s="503">
        <v>27</v>
      </c>
      <c r="B36" s="504">
        <v>8</v>
      </c>
      <c r="C36" s="505">
        <v>319</v>
      </c>
      <c r="D36" s="506" t="e">
        <f>'Tên Tháng 1'!#REF!</f>
        <v>#REF!</v>
      </c>
      <c r="E36" s="506" t="e">
        <f>'Tên Tháng 1'!#REF!</f>
        <v>#REF!</v>
      </c>
      <c r="F36" s="507" t="e">
        <f>'Tên Tháng 1'!#REF!</f>
        <v>#REF!</v>
      </c>
      <c r="G36" s="508" t="str">
        <f>'Tên Tháng 1'!E418</f>
        <v>ងី នីម</v>
      </c>
      <c r="H36" s="509" t="str">
        <f>'Tên Tháng 1'!F418</f>
        <v>NGI NIM</v>
      </c>
      <c r="I36" s="519" t="str">
        <f>'CHAM CONG'!G428</f>
        <v>x</v>
      </c>
      <c r="J36" s="519" t="str">
        <f>'CHAM CONG'!H428</f>
        <v>x</v>
      </c>
      <c r="K36" s="519" t="str">
        <f>'CHAM CONG'!I428</f>
        <v>x</v>
      </c>
      <c r="L36" s="519">
        <f>'CHAM CONG'!J428</f>
        <v>0</v>
      </c>
      <c r="M36" s="519" t="str">
        <f>'CHAM CONG'!K428</f>
        <v>x</v>
      </c>
      <c r="N36" s="519" t="str">
        <f>'CHAM CONG'!L428</f>
        <v>x</v>
      </c>
      <c r="O36" s="519" t="str">
        <f>'CHAM CONG'!M428</f>
        <v>x</v>
      </c>
      <c r="P36" s="519" t="str">
        <f>'CHAM CONG'!N428</f>
        <v>x</v>
      </c>
      <c r="Q36" s="519" t="str">
        <f>'CHAM CONG'!O428</f>
        <v>x</v>
      </c>
      <c r="R36" s="519" t="str">
        <f>'CHAM CONG'!P428</f>
        <v>x</v>
      </c>
      <c r="S36" s="519" t="str">
        <f>'CHAM CONG'!Q428</f>
        <v>x</v>
      </c>
      <c r="T36" s="519" t="str">
        <f>'CHAM CONG'!R428</f>
        <v>x</v>
      </c>
      <c r="U36" s="519" t="str">
        <f>'CHAM CONG'!S428</f>
        <v>x</v>
      </c>
      <c r="V36" s="519" t="str">
        <f>'CHAM CONG'!T428</f>
        <v>x</v>
      </c>
      <c r="W36" s="519" t="str">
        <f>'CHAM CONG'!U428</f>
        <v>x</v>
      </c>
      <c r="X36" s="525"/>
      <c r="Y36" s="525"/>
      <c r="Z36" s="535">
        <f t="shared" si="1"/>
        <v>14</v>
      </c>
      <c r="AA36" s="536"/>
      <c r="AB36" s="537">
        <f t="shared" si="2"/>
        <v>224000</v>
      </c>
      <c r="AC36" s="537"/>
      <c r="AD36" s="537" t="str">
        <f>'CHAM CONG'!Y428</f>
        <v>x</v>
      </c>
      <c r="AE36" s="535">
        <f t="shared" si="3"/>
        <v>1</v>
      </c>
      <c r="AF36" s="537">
        <f t="shared" si="4"/>
        <v>17000</v>
      </c>
      <c r="AG36" s="537">
        <f t="shared" si="5"/>
        <v>14</v>
      </c>
      <c r="AH36" s="537">
        <f t="shared" si="6"/>
        <v>14000</v>
      </c>
      <c r="AI36" s="537">
        <f t="shared" si="7"/>
        <v>255000</v>
      </c>
      <c r="AJ36" s="542">
        <f>'SAN LUONG'!AF429</f>
        <v>351</v>
      </c>
      <c r="AK36" s="519">
        <f>'SAN LUONG'!AG429</f>
        <v>206</v>
      </c>
      <c r="AL36" s="519">
        <f>'SAN LUONG'!AH429</f>
        <v>441</v>
      </c>
      <c r="AM36" s="519">
        <f>'SAN LUONG'!AI429</f>
        <v>275</v>
      </c>
      <c r="AN36" s="541">
        <f t="shared" si="8"/>
        <v>922</v>
      </c>
      <c r="AO36" s="553">
        <f t="shared" si="9"/>
        <v>204868</v>
      </c>
      <c r="AP36" s="541">
        <f t="shared" si="14"/>
        <v>351</v>
      </c>
      <c r="AQ36" s="553">
        <f t="shared" si="10"/>
        <v>70270</v>
      </c>
      <c r="AR36" s="553">
        <f t="shared" si="11"/>
        <v>275138</v>
      </c>
      <c r="AS36" s="556"/>
      <c r="AT36" s="556"/>
      <c r="AU36" s="556"/>
      <c r="AV36" s="556">
        <f t="shared" si="12"/>
        <v>530138</v>
      </c>
      <c r="AW36" s="564">
        <f t="shared" si="0"/>
        <v>530138</v>
      </c>
      <c r="AX36" s="565"/>
      <c r="AY36" s="566">
        <f t="shared" si="13"/>
        <v>16.59</v>
      </c>
      <c r="AZ36" s="567"/>
    </row>
    <row r="37" spans="1:227" s="483" customFormat="1" ht="42" customHeight="1">
      <c r="A37" s="503">
        <v>28</v>
      </c>
      <c r="B37" s="504">
        <v>8</v>
      </c>
      <c r="C37" s="505">
        <v>320</v>
      </c>
      <c r="D37" s="506" t="e">
        <f>'Tên Tháng 1'!#REF!</f>
        <v>#REF!</v>
      </c>
      <c r="E37" s="506" t="e">
        <f>'Tên Tháng 1'!#REF!</f>
        <v>#REF!</v>
      </c>
      <c r="F37" s="507" t="e">
        <f>'Tên Tháng 1'!#REF!</f>
        <v>#REF!</v>
      </c>
      <c r="G37" s="508" t="str">
        <f>'Tên Tháng 1'!E419</f>
        <v>រ៉ុន រឿម</v>
      </c>
      <c r="H37" s="509" t="str">
        <f>'Tên Tháng 1'!F419</f>
        <v>RON ROEURM</v>
      </c>
      <c r="I37" s="519" t="str">
        <f>'CHAM CONG'!G429</f>
        <v>x</v>
      </c>
      <c r="J37" s="519" t="str">
        <f>'CHAM CONG'!H429</f>
        <v>x</v>
      </c>
      <c r="K37" s="519" t="str">
        <f>'CHAM CONG'!I429</f>
        <v>x</v>
      </c>
      <c r="L37" s="519">
        <f>'CHAM CONG'!J429</f>
        <v>0</v>
      </c>
      <c r="M37" s="519" t="str">
        <f>'CHAM CONG'!K429</f>
        <v>x</v>
      </c>
      <c r="N37" s="519" t="str">
        <f>'CHAM CONG'!L429</f>
        <v>x</v>
      </c>
      <c r="O37" s="519" t="str">
        <f>'CHAM CONG'!M429</f>
        <v>x</v>
      </c>
      <c r="P37" s="519" t="str">
        <f>'CHAM CONG'!N429</f>
        <v>x</v>
      </c>
      <c r="Q37" s="519" t="str">
        <f>'CHAM CONG'!O429</f>
        <v>x</v>
      </c>
      <c r="R37" s="519" t="str">
        <f>'CHAM CONG'!P429</f>
        <v>x</v>
      </c>
      <c r="S37" s="519" t="str">
        <f>'CHAM CONG'!Q429</f>
        <v>x</v>
      </c>
      <c r="T37" s="519" t="str">
        <f>'CHAM CONG'!R429</f>
        <v>x</v>
      </c>
      <c r="U37" s="519" t="str">
        <f>'CHAM CONG'!S429</f>
        <v>x</v>
      </c>
      <c r="V37" s="519" t="str">
        <f>'CHAM CONG'!T429</f>
        <v>x</v>
      </c>
      <c r="W37" s="519" t="str">
        <f>'CHAM CONG'!U429</f>
        <v>x</v>
      </c>
      <c r="X37" s="525"/>
      <c r="Y37" s="525"/>
      <c r="Z37" s="535">
        <f t="shared" si="1"/>
        <v>14</v>
      </c>
      <c r="AA37" s="536"/>
      <c r="AB37" s="537">
        <f t="shared" si="2"/>
        <v>224000</v>
      </c>
      <c r="AC37" s="537"/>
      <c r="AD37" s="537">
        <f>'CHAM CONG'!Y429</f>
        <v>0</v>
      </c>
      <c r="AE37" s="535">
        <f t="shared" si="3"/>
        <v>0</v>
      </c>
      <c r="AF37" s="537">
        <f t="shared" si="4"/>
        <v>0</v>
      </c>
      <c r="AG37" s="537">
        <f t="shared" si="5"/>
        <v>14</v>
      </c>
      <c r="AH37" s="537">
        <f t="shared" si="6"/>
        <v>14000</v>
      </c>
      <c r="AI37" s="537">
        <f t="shared" si="7"/>
        <v>238000</v>
      </c>
      <c r="AJ37" s="542">
        <f>'SAN LUONG'!AF430</f>
        <v>394</v>
      </c>
      <c r="AK37" s="519">
        <f>'SAN LUONG'!AG430</f>
        <v>284</v>
      </c>
      <c r="AL37" s="519">
        <f>'SAN LUONG'!AH430</f>
        <v>397</v>
      </c>
      <c r="AM37" s="519">
        <f>'SAN LUONG'!AI430</f>
        <v>321</v>
      </c>
      <c r="AN37" s="541">
        <f t="shared" si="8"/>
        <v>1002</v>
      </c>
      <c r="AO37" s="553">
        <f t="shared" si="9"/>
        <v>222644</v>
      </c>
      <c r="AP37" s="541">
        <f t="shared" si="14"/>
        <v>394</v>
      </c>
      <c r="AQ37" s="553">
        <f t="shared" si="10"/>
        <v>78879</v>
      </c>
      <c r="AR37" s="553">
        <f t="shared" si="11"/>
        <v>301523</v>
      </c>
      <c r="AS37" s="556"/>
      <c r="AT37" s="556"/>
      <c r="AU37" s="556"/>
      <c r="AV37" s="556">
        <f t="shared" si="12"/>
        <v>539523</v>
      </c>
      <c r="AW37" s="564">
        <f t="shared" si="0"/>
        <v>539523</v>
      </c>
      <c r="AX37" s="565"/>
      <c r="AY37" s="566">
        <f t="shared" si="13"/>
        <v>16.89</v>
      </c>
      <c r="AZ37" s="567"/>
    </row>
    <row r="38" spans="1:227" s="483" customFormat="1" ht="42" customHeight="1">
      <c r="A38" s="503">
        <v>29</v>
      </c>
      <c r="B38" s="504">
        <v>8</v>
      </c>
      <c r="C38" s="505">
        <v>321</v>
      </c>
      <c r="D38" s="506" t="e">
        <f>'Tên Tháng 1'!#REF!</f>
        <v>#REF!</v>
      </c>
      <c r="E38" s="506" t="e">
        <f>'Tên Tháng 1'!#REF!</f>
        <v>#REF!</v>
      </c>
      <c r="F38" s="507" t="e">
        <f>'Tên Tháng 1'!#REF!</f>
        <v>#REF!</v>
      </c>
      <c r="G38" s="508" t="str">
        <f>'Tên Tháng 1'!E420</f>
        <v>ទឹត្យ បូរី</v>
      </c>
      <c r="H38" s="509" t="str">
        <f>'Tên Tháng 1'!F420</f>
        <v>TOET BOUREY</v>
      </c>
      <c r="I38" s="519" t="str">
        <f>'CHAM CONG'!G430</f>
        <v>x</v>
      </c>
      <c r="J38" s="519" t="str">
        <f>'CHAM CONG'!H430</f>
        <v>x</v>
      </c>
      <c r="K38" s="519" t="str">
        <f>'CHAM CONG'!I430</f>
        <v>x</v>
      </c>
      <c r="L38" s="519">
        <f>'CHAM CONG'!J430</f>
        <v>0</v>
      </c>
      <c r="M38" s="519" t="str">
        <f>'CHAM CONG'!K430</f>
        <v>x</v>
      </c>
      <c r="N38" s="519" t="str">
        <f>'CHAM CONG'!L430</f>
        <v>x</v>
      </c>
      <c r="O38" s="519" t="str">
        <f>'CHAM CONG'!M430</f>
        <v>x</v>
      </c>
      <c r="P38" s="519" t="str">
        <f>'CHAM CONG'!N430</f>
        <v>x</v>
      </c>
      <c r="Q38" s="519" t="str">
        <f>'CHAM CONG'!O430</f>
        <v>x</v>
      </c>
      <c r="R38" s="519" t="str">
        <f>'CHAM CONG'!P430</f>
        <v>x</v>
      </c>
      <c r="S38" s="519" t="str">
        <f>'CHAM CONG'!Q430</f>
        <v>x</v>
      </c>
      <c r="T38" s="519" t="str">
        <f>'CHAM CONG'!R430</f>
        <v>x</v>
      </c>
      <c r="U38" s="519" t="str">
        <f>'CHAM CONG'!S430</f>
        <v>x</v>
      </c>
      <c r="V38" s="519" t="str">
        <f>'CHAM CONG'!T430</f>
        <v>x</v>
      </c>
      <c r="W38" s="519" t="str">
        <f>'CHAM CONG'!U430</f>
        <v>x</v>
      </c>
      <c r="X38" s="525"/>
      <c r="Y38" s="525"/>
      <c r="Z38" s="535">
        <f t="shared" si="1"/>
        <v>14</v>
      </c>
      <c r="AA38" s="536"/>
      <c r="AB38" s="537">
        <f t="shared" si="2"/>
        <v>224000</v>
      </c>
      <c r="AC38" s="537"/>
      <c r="AD38" s="537">
        <f>'CHAM CONG'!Y430</f>
        <v>0</v>
      </c>
      <c r="AE38" s="535">
        <f t="shared" si="3"/>
        <v>0</v>
      </c>
      <c r="AF38" s="537">
        <f t="shared" si="4"/>
        <v>0</v>
      </c>
      <c r="AG38" s="537">
        <f t="shared" si="5"/>
        <v>14</v>
      </c>
      <c r="AH38" s="537">
        <f t="shared" si="6"/>
        <v>14000</v>
      </c>
      <c r="AI38" s="537">
        <f t="shared" si="7"/>
        <v>238000</v>
      </c>
      <c r="AJ38" s="542">
        <f>'SAN LUONG'!AF431</f>
        <v>376</v>
      </c>
      <c r="AK38" s="519">
        <f>'SAN LUONG'!AG431</f>
        <v>309</v>
      </c>
      <c r="AL38" s="519">
        <f>'SAN LUONG'!AH431</f>
        <v>318</v>
      </c>
      <c r="AM38" s="519">
        <f>'SAN LUONG'!AI431</f>
        <v>314</v>
      </c>
      <c r="AN38" s="541">
        <f t="shared" si="8"/>
        <v>941</v>
      </c>
      <c r="AO38" s="553">
        <f t="shared" si="9"/>
        <v>209090</v>
      </c>
      <c r="AP38" s="541">
        <f t="shared" si="14"/>
        <v>376</v>
      </c>
      <c r="AQ38" s="553">
        <f t="shared" si="10"/>
        <v>75275</v>
      </c>
      <c r="AR38" s="553">
        <f t="shared" si="11"/>
        <v>284365</v>
      </c>
      <c r="AS38" s="556"/>
      <c r="AT38" s="556"/>
      <c r="AU38" s="556"/>
      <c r="AV38" s="556">
        <f t="shared" si="12"/>
        <v>522365</v>
      </c>
      <c r="AW38" s="564">
        <f t="shared" si="0"/>
        <v>522365</v>
      </c>
      <c r="AX38" s="565"/>
      <c r="AY38" s="566">
        <f t="shared" si="13"/>
        <v>16.350000000000001</v>
      </c>
      <c r="AZ38" s="567"/>
    </row>
    <row r="39" spans="1:227" s="483" customFormat="1" ht="42" customHeight="1">
      <c r="A39" s="503">
        <v>30</v>
      </c>
      <c r="B39" s="504">
        <v>8</v>
      </c>
      <c r="C39" s="505">
        <v>322</v>
      </c>
      <c r="D39" s="506" t="e">
        <f>'Tên Tháng 1'!#REF!</f>
        <v>#REF!</v>
      </c>
      <c r="E39" s="506" t="e">
        <f>'Tên Tháng 1'!#REF!</f>
        <v>#REF!</v>
      </c>
      <c r="F39" s="507" t="e">
        <f>'Tên Tháng 1'!#REF!</f>
        <v>#REF!</v>
      </c>
      <c r="G39" s="508" t="str">
        <f>'Tên Tháng 1'!E421</f>
        <v>វិន មុំ</v>
      </c>
      <c r="H39" s="509" t="str">
        <f>'Tên Tháng 1'!F421</f>
        <v>VIN MOM</v>
      </c>
      <c r="I39" s="519">
        <f>'CHAM CONG'!G431</f>
        <v>0</v>
      </c>
      <c r="J39" s="519" t="str">
        <f>'CHAM CONG'!H431</f>
        <v>x</v>
      </c>
      <c r="K39" s="519">
        <f>'CHAM CONG'!I431</f>
        <v>0</v>
      </c>
      <c r="L39" s="519">
        <f>'CHAM CONG'!J431</f>
        <v>0</v>
      </c>
      <c r="M39" s="519" t="str">
        <f>'CHAM CONG'!K431</f>
        <v>x</v>
      </c>
      <c r="N39" s="519" t="str">
        <f>'CHAM CONG'!L431</f>
        <v>x</v>
      </c>
      <c r="O39" s="519" t="str">
        <f>'CHAM CONG'!M431</f>
        <v>x</v>
      </c>
      <c r="P39" s="519" t="str">
        <f>'CHAM CONG'!N431</f>
        <v>x</v>
      </c>
      <c r="Q39" s="519" t="str">
        <f>'CHAM CONG'!O431</f>
        <v>x</v>
      </c>
      <c r="R39" s="519" t="str">
        <f>'CHAM CONG'!P431</f>
        <v>x</v>
      </c>
      <c r="S39" s="519" t="str">
        <f>'CHAM CONG'!Q431</f>
        <v>x</v>
      </c>
      <c r="T39" s="519" t="str">
        <f>'CHAM CONG'!R431</f>
        <v>x</v>
      </c>
      <c r="U39" s="519" t="str">
        <f>'CHAM CONG'!S431</f>
        <v>x</v>
      </c>
      <c r="V39" s="519" t="str">
        <f>'CHAM CONG'!T431</f>
        <v>x</v>
      </c>
      <c r="W39" s="519" t="str">
        <f>'CHAM CONG'!U431</f>
        <v>x</v>
      </c>
      <c r="X39" s="525"/>
      <c r="Y39" s="525"/>
      <c r="Z39" s="535">
        <f t="shared" si="1"/>
        <v>12</v>
      </c>
      <c r="AA39" s="536"/>
      <c r="AB39" s="537">
        <f t="shared" si="2"/>
        <v>192000</v>
      </c>
      <c r="AC39" s="537"/>
      <c r="AD39" s="537" t="str">
        <f>'CHAM CONG'!Y431</f>
        <v>x</v>
      </c>
      <c r="AE39" s="535">
        <f t="shared" si="3"/>
        <v>1</v>
      </c>
      <c r="AF39" s="537">
        <f t="shared" si="4"/>
        <v>17000</v>
      </c>
      <c r="AG39" s="537">
        <f t="shared" si="5"/>
        <v>12</v>
      </c>
      <c r="AH39" s="537">
        <f t="shared" si="6"/>
        <v>12000</v>
      </c>
      <c r="AI39" s="537">
        <f t="shared" si="7"/>
        <v>221000</v>
      </c>
      <c r="AJ39" s="542">
        <f>'SAN LUONG'!AF432</f>
        <v>356</v>
      </c>
      <c r="AK39" s="519">
        <f>'SAN LUONG'!AG432</f>
        <v>196</v>
      </c>
      <c r="AL39" s="519">
        <f>'SAN LUONG'!AH432</f>
        <v>371</v>
      </c>
      <c r="AM39" s="519">
        <f>'SAN LUONG'!AI432</f>
        <v>237</v>
      </c>
      <c r="AN39" s="541">
        <f t="shared" si="8"/>
        <v>804</v>
      </c>
      <c r="AO39" s="553">
        <f t="shared" si="9"/>
        <v>178649</v>
      </c>
      <c r="AP39" s="541">
        <f t="shared" si="14"/>
        <v>356</v>
      </c>
      <c r="AQ39" s="553">
        <f t="shared" si="10"/>
        <v>71271</v>
      </c>
      <c r="AR39" s="553">
        <f t="shared" si="11"/>
        <v>249920</v>
      </c>
      <c r="AS39" s="556"/>
      <c r="AT39" s="556"/>
      <c r="AU39" s="556"/>
      <c r="AV39" s="556">
        <f t="shared" si="12"/>
        <v>470920</v>
      </c>
      <c r="AW39" s="564">
        <f t="shared" si="0"/>
        <v>470920</v>
      </c>
      <c r="AX39" s="565"/>
      <c r="AY39" s="566">
        <f t="shared" si="13"/>
        <v>14.74</v>
      </c>
      <c r="AZ39" s="567"/>
    </row>
    <row r="40" spans="1:227" s="483" customFormat="1" ht="42" customHeight="1">
      <c r="A40" s="503">
        <v>31</v>
      </c>
      <c r="B40" s="504">
        <v>8</v>
      </c>
      <c r="C40" s="505">
        <v>323</v>
      </c>
      <c r="D40" s="506" t="e">
        <f>'Tên Tháng 1'!#REF!</f>
        <v>#REF!</v>
      </c>
      <c r="E40" s="506" t="e">
        <f>'Tên Tháng 1'!#REF!</f>
        <v>#REF!</v>
      </c>
      <c r="F40" s="507" t="e">
        <f>'Tên Tháng 1'!#REF!</f>
        <v>#REF!</v>
      </c>
      <c r="G40" s="508" t="str">
        <f>'Tên Tháng 1'!E422</f>
        <v>មន ម៉ុក</v>
      </c>
      <c r="H40" s="509" t="str">
        <f>'Tên Tháng 1'!F422</f>
        <v>MON MOK</v>
      </c>
      <c r="I40" s="519">
        <f>'CHAM CONG'!G432</f>
        <v>0</v>
      </c>
      <c r="J40" s="519" t="str">
        <f>'CHAM CONG'!H432</f>
        <v>x</v>
      </c>
      <c r="K40" s="519" t="str">
        <f>'CHAM CONG'!I432</f>
        <v>x</v>
      </c>
      <c r="L40" s="519">
        <f>'CHAM CONG'!J432</f>
        <v>0</v>
      </c>
      <c r="M40" s="519" t="str">
        <f>'CHAM CONG'!K432</f>
        <v>x</v>
      </c>
      <c r="N40" s="519" t="str">
        <f>'CHAM CONG'!L432</f>
        <v>x</v>
      </c>
      <c r="O40" s="519" t="str">
        <f>'CHAM CONG'!M432</f>
        <v>x</v>
      </c>
      <c r="P40" s="519" t="str">
        <f>'CHAM CONG'!N432</f>
        <v>x</v>
      </c>
      <c r="Q40" s="519" t="str">
        <f>'CHAM CONG'!O432</f>
        <v>x</v>
      </c>
      <c r="R40" s="519" t="str">
        <f>'CHAM CONG'!P432</f>
        <v>x</v>
      </c>
      <c r="S40" s="519" t="str">
        <f>'CHAM CONG'!Q432</f>
        <v>x</v>
      </c>
      <c r="T40" s="519" t="str">
        <f>'CHAM CONG'!R432</f>
        <v>x</v>
      </c>
      <c r="U40" s="519" t="str">
        <f>'CHAM CONG'!S432</f>
        <v>x</v>
      </c>
      <c r="V40" s="519" t="str">
        <f>'CHAM CONG'!T432</f>
        <v>x</v>
      </c>
      <c r="W40" s="519" t="str">
        <f>'CHAM CONG'!U432</f>
        <v>x</v>
      </c>
      <c r="X40" s="525"/>
      <c r="Y40" s="525"/>
      <c r="Z40" s="535">
        <f t="shared" si="1"/>
        <v>13</v>
      </c>
      <c r="AA40" s="536"/>
      <c r="AB40" s="537">
        <f t="shared" si="2"/>
        <v>208000</v>
      </c>
      <c r="AC40" s="537"/>
      <c r="AD40" s="537" t="str">
        <f>'CHAM CONG'!Y432</f>
        <v>x</v>
      </c>
      <c r="AE40" s="535">
        <f t="shared" si="3"/>
        <v>1</v>
      </c>
      <c r="AF40" s="537">
        <f t="shared" si="4"/>
        <v>17000</v>
      </c>
      <c r="AG40" s="537">
        <f t="shared" si="5"/>
        <v>13</v>
      </c>
      <c r="AH40" s="537">
        <f t="shared" si="6"/>
        <v>13000</v>
      </c>
      <c r="AI40" s="537">
        <f t="shared" si="7"/>
        <v>238000</v>
      </c>
      <c r="AJ40" s="542">
        <f>'SAN LUONG'!AF433</f>
        <v>386</v>
      </c>
      <c r="AK40" s="519">
        <f>'SAN LUONG'!AG433</f>
        <v>235</v>
      </c>
      <c r="AL40" s="519">
        <f>'SAN LUONG'!AH433</f>
        <v>319</v>
      </c>
      <c r="AM40" s="519">
        <f>'SAN LUONG'!AI433</f>
        <v>225</v>
      </c>
      <c r="AN40" s="541">
        <f t="shared" si="8"/>
        <v>779</v>
      </c>
      <c r="AO40" s="553">
        <f t="shared" si="9"/>
        <v>173094</v>
      </c>
      <c r="AP40" s="541">
        <f t="shared" si="14"/>
        <v>386</v>
      </c>
      <c r="AQ40" s="553">
        <f t="shared" si="10"/>
        <v>77277</v>
      </c>
      <c r="AR40" s="553">
        <f t="shared" si="11"/>
        <v>250371</v>
      </c>
      <c r="AS40" s="556"/>
      <c r="AT40" s="556"/>
      <c r="AU40" s="556"/>
      <c r="AV40" s="556">
        <f t="shared" si="12"/>
        <v>488371</v>
      </c>
      <c r="AW40" s="564">
        <f t="shared" si="0"/>
        <v>488371</v>
      </c>
      <c r="AX40" s="565"/>
      <c r="AY40" s="566">
        <f t="shared" si="13"/>
        <v>15.29</v>
      </c>
      <c r="AZ40" s="567"/>
    </row>
    <row r="41" spans="1:227" s="483" customFormat="1" ht="42" customHeight="1">
      <c r="A41" s="503">
        <v>32</v>
      </c>
      <c r="B41" s="504">
        <v>8</v>
      </c>
      <c r="C41" s="505">
        <v>324</v>
      </c>
      <c r="D41" s="506" t="e">
        <f>'Tên Tháng 1'!#REF!</f>
        <v>#REF!</v>
      </c>
      <c r="E41" s="506" t="e">
        <f>'Tên Tháng 1'!#REF!</f>
        <v>#REF!</v>
      </c>
      <c r="F41" s="507" t="e">
        <f>'Tên Tháng 1'!#REF!</f>
        <v>#REF!</v>
      </c>
      <c r="G41" s="508" t="str">
        <f>'Tên Tháng 1'!E423</f>
        <v>ឡេង ឡៃហួត</v>
      </c>
      <c r="H41" s="509" t="str">
        <f>'Tên Tháng 1'!F423</f>
        <v>LENG LAYHUOT</v>
      </c>
      <c r="I41" s="519" t="str">
        <f>'CHAM CONG'!G433</f>
        <v>x</v>
      </c>
      <c r="J41" s="519" t="str">
        <f>'CHAM CONG'!H433</f>
        <v>x</v>
      </c>
      <c r="K41" s="519" t="str">
        <f>'CHAM CONG'!I433</f>
        <v>x</v>
      </c>
      <c r="L41" s="519">
        <f>'CHAM CONG'!J433</f>
        <v>0</v>
      </c>
      <c r="M41" s="519" t="str">
        <f>'CHAM CONG'!K433</f>
        <v>x</v>
      </c>
      <c r="N41" s="519" t="str">
        <f>'CHAM CONG'!L433</f>
        <v>x</v>
      </c>
      <c r="O41" s="519" t="str">
        <f>'CHAM CONG'!M433</f>
        <v>x</v>
      </c>
      <c r="P41" s="519" t="str">
        <f>'CHAM CONG'!N433</f>
        <v>x</v>
      </c>
      <c r="Q41" s="519" t="str">
        <f>'CHAM CONG'!O433</f>
        <v>x</v>
      </c>
      <c r="R41" s="519" t="str">
        <f>'CHAM CONG'!P433</f>
        <v>x</v>
      </c>
      <c r="S41" s="519">
        <f>'CHAM CONG'!Q433</f>
        <v>0</v>
      </c>
      <c r="T41" s="519" t="str">
        <f>'CHAM CONG'!R433</f>
        <v>x</v>
      </c>
      <c r="U41" s="519" t="str">
        <f>'CHAM CONG'!S433</f>
        <v>x</v>
      </c>
      <c r="V41" s="519" t="str">
        <f>'CHAM CONG'!T433</f>
        <v>x</v>
      </c>
      <c r="W41" s="519" t="str">
        <f>'CHAM CONG'!U433</f>
        <v>x</v>
      </c>
      <c r="X41" s="525"/>
      <c r="Y41" s="525"/>
      <c r="Z41" s="535">
        <f t="shared" si="1"/>
        <v>13</v>
      </c>
      <c r="AA41" s="536"/>
      <c r="AB41" s="537">
        <f t="shared" si="2"/>
        <v>208000</v>
      </c>
      <c r="AC41" s="537"/>
      <c r="AD41" s="537" t="str">
        <f>'CHAM CONG'!Y433</f>
        <v>x</v>
      </c>
      <c r="AE41" s="535">
        <f t="shared" si="3"/>
        <v>1</v>
      </c>
      <c r="AF41" s="537">
        <f t="shared" si="4"/>
        <v>17000</v>
      </c>
      <c r="AG41" s="537">
        <f t="shared" si="5"/>
        <v>13</v>
      </c>
      <c r="AH41" s="537">
        <f t="shared" si="6"/>
        <v>13000</v>
      </c>
      <c r="AI41" s="537">
        <f t="shared" si="7"/>
        <v>238000</v>
      </c>
      <c r="AJ41" s="542">
        <f>'SAN LUONG'!AF434</f>
        <v>308</v>
      </c>
      <c r="AK41" s="519">
        <f>'SAN LUONG'!AG434</f>
        <v>366</v>
      </c>
      <c r="AL41" s="519">
        <f>'SAN LUONG'!AH434</f>
        <v>179</v>
      </c>
      <c r="AM41" s="519">
        <f>'SAN LUONG'!AI434</f>
        <v>136</v>
      </c>
      <c r="AN41" s="541">
        <f t="shared" si="8"/>
        <v>681</v>
      </c>
      <c r="AO41" s="553">
        <f t="shared" si="9"/>
        <v>151318</v>
      </c>
      <c r="AP41" s="541">
        <f t="shared" si="14"/>
        <v>308</v>
      </c>
      <c r="AQ41" s="553">
        <f t="shared" si="10"/>
        <v>61662</v>
      </c>
      <c r="AR41" s="553">
        <f t="shared" si="11"/>
        <v>212980</v>
      </c>
      <c r="AS41" s="556"/>
      <c r="AT41" s="556"/>
      <c r="AU41" s="556"/>
      <c r="AV41" s="556">
        <f t="shared" si="12"/>
        <v>450980</v>
      </c>
      <c r="AW41" s="564">
        <f t="shared" si="0"/>
        <v>450980</v>
      </c>
      <c r="AX41" s="565"/>
      <c r="AY41" s="566">
        <f t="shared" si="13"/>
        <v>14.12</v>
      </c>
      <c r="AZ41" s="567"/>
    </row>
    <row r="42" spans="1:227" s="483" customFormat="1" ht="42" customHeight="1">
      <c r="A42" s="503">
        <v>33</v>
      </c>
      <c r="B42" s="504">
        <v>8</v>
      </c>
      <c r="C42" s="505">
        <v>325</v>
      </c>
      <c r="D42" s="506" t="e">
        <f>'Tên Tháng 1'!#REF!</f>
        <v>#REF!</v>
      </c>
      <c r="E42" s="506" t="e">
        <f>'Tên Tháng 1'!#REF!</f>
        <v>#REF!</v>
      </c>
      <c r="F42" s="507" t="e">
        <f>'Tên Tháng 1'!#REF!</f>
        <v>#REF!</v>
      </c>
      <c r="G42" s="508" t="str">
        <f>'Tên Tháng 1'!E424</f>
        <v>កាន់ថេត</v>
      </c>
      <c r="H42" s="509" t="str">
        <f>'Tên Tháng 1'!F424</f>
        <v>KANN THET</v>
      </c>
      <c r="I42" s="519" t="str">
        <f>'CHAM CONG'!G434</f>
        <v>x</v>
      </c>
      <c r="J42" s="519" t="str">
        <f>'CHAM CONG'!H434</f>
        <v>x</v>
      </c>
      <c r="K42" s="519" t="str">
        <f>'CHAM CONG'!I434</f>
        <v>x</v>
      </c>
      <c r="L42" s="519">
        <f>'CHAM CONG'!J434</f>
        <v>0</v>
      </c>
      <c r="M42" s="519" t="str">
        <f>'CHAM CONG'!K434</f>
        <v>x</v>
      </c>
      <c r="N42" s="519" t="str">
        <f>'CHAM CONG'!L434</f>
        <v>x</v>
      </c>
      <c r="O42" s="519" t="str">
        <f>'CHAM CONG'!M434</f>
        <v>x</v>
      </c>
      <c r="P42" s="519" t="str">
        <f>'CHAM CONG'!N434</f>
        <v>x</v>
      </c>
      <c r="Q42" s="519" t="str">
        <f>'CHAM CONG'!O434</f>
        <v>x</v>
      </c>
      <c r="R42" s="519" t="str">
        <f>'CHAM CONG'!P434</f>
        <v>x</v>
      </c>
      <c r="S42" s="519" t="str">
        <f>'CHAM CONG'!Q434</f>
        <v>x</v>
      </c>
      <c r="T42" s="519" t="str">
        <f>'CHAM CONG'!R434</f>
        <v>x</v>
      </c>
      <c r="U42" s="519" t="str">
        <f>'CHAM CONG'!S434</f>
        <v>x</v>
      </c>
      <c r="V42" s="519" t="str">
        <f>'CHAM CONG'!T434</f>
        <v>x</v>
      </c>
      <c r="W42" s="519" t="str">
        <f>'CHAM CONG'!U434</f>
        <v>x</v>
      </c>
      <c r="X42" s="525"/>
      <c r="Y42" s="525"/>
      <c r="Z42" s="535">
        <f t="shared" si="1"/>
        <v>14</v>
      </c>
      <c r="AA42" s="536"/>
      <c r="AB42" s="537">
        <f t="shared" si="2"/>
        <v>224000</v>
      </c>
      <c r="AC42" s="537"/>
      <c r="AD42" s="537" t="str">
        <f>'CHAM CONG'!Y434</f>
        <v>x</v>
      </c>
      <c r="AE42" s="535">
        <f t="shared" si="3"/>
        <v>1</v>
      </c>
      <c r="AF42" s="537">
        <f t="shared" si="4"/>
        <v>17000</v>
      </c>
      <c r="AG42" s="537">
        <f t="shared" si="5"/>
        <v>14</v>
      </c>
      <c r="AH42" s="537">
        <f t="shared" si="6"/>
        <v>14000</v>
      </c>
      <c r="AI42" s="537">
        <f t="shared" si="7"/>
        <v>255000</v>
      </c>
      <c r="AJ42" s="542">
        <f>'SAN LUONG'!AF435</f>
        <v>509</v>
      </c>
      <c r="AK42" s="519">
        <f>'SAN LUONG'!AG435</f>
        <v>351</v>
      </c>
      <c r="AL42" s="519">
        <f>'SAN LUONG'!AH435</f>
        <v>292</v>
      </c>
      <c r="AM42" s="519">
        <f>'SAN LUONG'!AI435</f>
        <v>127</v>
      </c>
      <c r="AN42" s="541">
        <f t="shared" si="8"/>
        <v>770</v>
      </c>
      <c r="AO42" s="553">
        <f t="shared" si="9"/>
        <v>171094</v>
      </c>
      <c r="AP42" s="541">
        <f t="shared" si="14"/>
        <v>509</v>
      </c>
      <c r="AQ42" s="553">
        <f t="shared" si="10"/>
        <v>101902</v>
      </c>
      <c r="AR42" s="553">
        <f t="shared" si="11"/>
        <v>272996</v>
      </c>
      <c r="AS42" s="556"/>
      <c r="AT42" s="556"/>
      <c r="AU42" s="556"/>
      <c r="AV42" s="556">
        <f t="shared" si="12"/>
        <v>527996</v>
      </c>
      <c r="AW42" s="564">
        <f t="shared" ref="AW42:AW73" si="15">AV42</f>
        <v>527996</v>
      </c>
      <c r="AX42" s="565"/>
      <c r="AY42" s="566">
        <f t="shared" si="13"/>
        <v>16.53</v>
      </c>
      <c r="AZ42" s="567"/>
    </row>
    <row r="43" spans="1:227" s="483" customFormat="1" ht="42" customHeight="1">
      <c r="A43" s="503">
        <v>34</v>
      </c>
      <c r="B43" s="504">
        <v>8</v>
      </c>
      <c r="C43" s="505">
        <v>326</v>
      </c>
      <c r="D43" s="506" t="e">
        <f>'Tên Tháng 1'!#REF!</f>
        <v>#REF!</v>
      </c>
      <c r="E43" s="506" t="e">
        <f>'Tên Tháng 1'!#REF!</f>
        <v>#REF!</v>
      </c>
      <c r="F43" s="507" t="e">
        <f>'Tên Tháng 1'!#REF!</f>
        <v>#REF!</v>
      </c>
      <c r="G43" s="508" t="str">
        <f>'Tên Tháng 1'!E425</f>
        <v>ឡាក់ ចាក់</v>
      </c>
      <c r="H43" s="509" t="str">
        <f>'Tên Tháng 1'!F425</f>
        <v>LAK CHHAK</v>
      </c>
      <c r="I43" s="519" t="str">
        <f>'CHAM CONG'!G435</f>
        <v>x</v>
      </c>
      <c r="J43" s="519" t="str">
        <f>'CHAM CONG'!H435</f>
        <v>x</v>
      </c>
      <c r="K43" s="519" t="str">
        <f>'CHAM CONG'!I435</f>
        <v>x</v>
      </c>
      <c r="L43" s="519">
        <f>'CHAM CONG'!J435</f>
        <v>0</v>
      </c>
      <c r="M43" s="519" t="str">
        <f>'CHAM CONG'!K435</f>
        <v>x</v>
      </c>
      <c r="N43" s="519" t="str">
        <f>'CHAM CONG'!L435</f>
        <v>x</v>
      </c>
      <c r="O43" s="519" t="str">
        <f>'CHAM CONG'!M435</f>
        <v>x</v>
      </c>
      <c r="P43" s="519" t="str">
        <f>'CHAM CONG'!N435</f>
        <v>x</v>
      </c>
      <c r="Q43" s="519" t="str">
        <f>'CHAM CONG'!O435</f>
        <v>x</v>
      </c>
      <c r="R43" s="519" t="str">
        <f>'CHAM CONG'!P435</f>
        <v>x</v>
      </c>
      <c r="S43" s="519" t="str">
        <f>'CHAM CONG'!Q435</f>
        <v>x</v>
      </c>
      <c r="T43" s="519" t="str">
        <f>'CHAM CONG'!R435</f>
        <v>x</v>
      </c>
      <c r="U43" s="519" t="str">
        <f>'CHAM CONG'!S435</f>
        <v>x</v>
      </c>
      <c r="V43" s="519" t="str">
        <f>'CHAM CONG'!T435</f>
        <v>x</v>
      </c>
      <c r="W43" s="519" t="str">
        <f>'CHAM CONG'!U435</f>
        <v>x</v>
      </c>
      <c r="X43" s="525"/>
      <c r="Y43" s="525"/>
      <c r="Z43" s="535">
        <f t="shared" si="1"/>
        <v>14</v>
      </c>
      <c r="AA43" s="536"/>
      <c r="AB43" s="537">
        <f t="shared" si="2"/>
        <v>224000</v>
      </c>
      <c r="AC43" s="537"/>
      <c r="AD43" s="537" t="str">
        <f>'CHAM CONG'!Y435</f>
        <v>x</v>
      </c>
      <c r="AE43" s="535">
        <f t="shared" si="3"/>
        <v>1</v>
      </c>
      <c r="AF43" s="537">
        <f t="shared" si="4"/>
        <v>17000</v>
      </c>
      <c r="AG43" s="537">
        <f t="shared" si="5"/>
        <v>14</v>
      </c>
      <c r="AH43" s="537">
        <f t="shared" si="6"/>
        <v>14000</v>
      </c>
      <c r="AI43" s="537">
        <f t="shared" si="7"/>
        <v>255000</v>
      </c>
      <c r="AJ43" s="542">
        <f>'SAN LUONG'!AF436</f>
        <v>408</v>
      </c>
      <c r="AK43" s="519">
        <f>'SAN LUONG'!AG436</f>
        <v>214</v>
      </c>
      <c r="AL43" s="519">
        <f>'SAN LUONG'!AH436</f>
        <v>237</v>
      </c>
      <c r="AM43" s="519">
        <f>'SAN LUONG'!AI436</f>
        <v>95</v>
      </c>
      <c r="AN43" s="541">
        <f t="shared" si="8"/>
        <v>546</v>
      </c>
      <c r="AO43" s="553">
        <f t="shared" si="9"/>
        <v>121321</v>
      </c>
      <c r="AP43" s="541">
        <f t="shared" si="14"/>
        <v>408</v>
      </c>
      <c r="AQ43" s="553">
        <f t="shared" si="10"/>
        <v>81682</v>
      </c>
      <c r="AR43" s="553">
        <f t="shared" si="11"/>
        <v>203003</v>
      </c>
      <c r="AS43" s="556"/>
      <c r="AT43" s="556"/>
      <c r="AU43" s="556"/>
      <c r="AV43" s="556">
        <f t="shared" si="12"/>
        <v>458003</v>
      </c>
      <c r="AW43" s="564">
        <f t="shared" si="15"/>
        <v>458003</v>
      </c>
      <c r="AX43" s="565"/>
      <c r="AY43" s="566">
        <f t="shared" si="13"/>
        <v>14.34</v>
      </c>
      <c r="AZ43" s="567"/>
    </row>
    <row r="44" spans="1:227" s="483" customFormat="1" ht="42" customHeight="1">
      <c r="A44" s="503">
        <v>35</v>
      </c>
      <c r="B44" s="504">
        <v>8</v>
      </c>
      <c r="C44" s="505">
        <v>327</v>
      </c>
      <c r="D44" s="506" t="e">
        <f>'Tên Tháng 1'!#REF!</f>
        <v>#REF!</v>
      </c>
      <c r="E44" s="506" t="e">
        <f>'Tên Tháng 1'!#REF!</f>
        <v>#REF!</v>
      </c>
      <c r="F44" s="507" t="e">
        <f>'Tên Tháng 1'!#REF!</f>
        <v>#REF!</v>
      </c>
      <c r="G44" s="508" t="str">
        <f>'Tên Tháng 1'!E426</f>
        <v>ឆាង ហ៊ឺ</v>
      </c>
      <c r="H44" s="509" t="str">
        <f>'Tên Tháng 1'!F426</f>
        <v>CHHANG HEU</v>
      </c>
      <c r="I44" s="519">
        <f>'CHAM CONG'!G436</f>
        <v>0</v>
      </c>
      <c r="J44" s="519" t="str">
        <f>'CHAM CONG'!H436</f>
        <v>x</v>
      </c>
      <c r="K44" s="519" t="str">
        <f>'CHAM CONG'!I436</f>
        <v>x</v>
      </c>
      <c r="L44" s="519" t="str">
        <f>'CHAM CONG'!J436</f>
        <v>x</v>
      </c>
      <c r="M44" s="519" t="str">
        <f>'CHAM CONG'!K436</f>
        <v>x</v>
      </c>
      <c r="N44" s="519" t="str">
        <f>'CHAM CONG'!L436</f>
        <v>x</v>
      </c>
      <c r="O44" s="519" t="str">
        <f>'CHAM CONG'!M436</f>
        <v>x</v>
      </c>
      <c r="P44" s="519" t="str">
        <f>'CHAM CONG'!N436</f>
        <v>x</v>
      </c>
      <c r="Q44" s="519" t="str">
        <f>'CHAM CONG'!O436</f>
        <v>x</v>
      </c>
      <c r="R44" s="519">
        <f>'CHAM CONG'!P436</f>
        <v>0</v>
      </c>
      <c r="S44" s="519" t="str">
        <f>'CHAM CONG'!Q436</f>
        <v>x</v>
      </c>
      <c r="T44" s="519" t="str">
        <f>'CHAM CONG'!R436</f>
        <v>x</v>
      </c>
      <c r="U44" s="519" t="str">
        <f>'CHAM CONG'!S436</f>
        <v>x</v>
      </c>
      <c r="V44" s="519" t="str">
        <f>'CHAM CONG'!T436</f>
        <v>x</v>
      </c>
      <c r="W44" s="519" t="str">
        <f>'CHAM CONG'!U436</f>
        <v>x</v>
      </c>
      <c r="X44" s="525"/>
      <c r="Y44" s="525"/>
      <c r="Z44" s="535">
        <f t="shared" si="1"/>
        <v>13</v>
      </c>
      <c r="AA44" s="536"/>
      <c r="AB44" s="537">
        <f t="shared" si="2"/>
        <v>208000</v>
      </c>
      <c r="AC44" s="537"/>
      <c r="AD44" s="537">
        <f>'CHAM CONG'!Y436</f>
        <v>0</v>
      </c>
      <c r="AE44" s="535">
        <f t="shared" si="3"/>
        <v>0</v>
      </c>
      <c r="AF44" s="537">
        <f t="shared" si="4"/>
        <v>0</v>
      </c>
      <c r="AG44" s="537">
        <f t="shared" si="5"/>
        <v>13</v>
      </c>
      <c r="AH44" s="537">
        <f t="shared" si="6"/>
        <v>13000</v>
      </c>
      <c r="AI44" s="537">
        <f t="shared" si="7"/>
        <v>221000</v>
      </c>
      <c r="AJ44" s="542">
        <f>'SAN LUONG'!AF437</f>
        <v>492</v>
      </c>
      <c r="AK44" s="519">
        <f>'SAN LUONG'!AG437</f>
        <v>289</v>
      </c>
      <c r="AL44" s="519">
        <f>'SAN LUONG'!AH437</f>
        <v>317</v>
      </c>
      <c r="AM44" s="519">
        <f>'SAN LUONG'!AI437</f>
        <v>363</v>
      </c>
      <c r="AN44" s="541">
        <f t="shared" si="8"/>
        <v>969</v>
      </c>
      <c r="AO44" s="553">
        <f t="shared" si="9"/>
        <v>215312</v>
      </c>
      <c r="AP44" s="541">
        <f t="shared" si="14"/>
        <v>492</v>
      </c>
      <c r="AQ44" s="553">
        <f t="shared" si="10"/>
        <v>98498</v>
      </c>
      <c r="AR44" s="553">
        <f t="shared" si="11"/>
        <v>313810</v>
      </c>
      <c r="AS44" s="556"/>
      <c r="AT44" s="556"/>
      <c r="AU44" s="556"/>
      <c r="AV44" s="556">
        <f t="shared" si="12"/>
        <v>534810</v>
      </c>
      <c r="AW44" s="564">
        <f t="shared" si="15"/>
        <v>534810</v>
      </c>
      <c r="AX44" s="565"/>
      <c r="AY44" s="566">
        <f t="shared" si="13"/>
        <v>16.739999999999998</v>
      </c>
      <c r="AZ44" s="567"/>
    </row>
    <row r="45" spans="1:227" s="483" customFormat="1" ht="42" customHeight="1">
      <c r="A45" s="503">
        <v>36</v>
      </c>
      <c r="B45" s="504">
        <v>8</v>
      </c>
      <c r="C45" s="505">
        <v>328</v>
      </c>
      <c r="D45" s="506" t="e">
        <f>'Tên Tháng 1'!#REF!</f>
        <v>#REF!</v>
      </c>
      <c r="E45" s="506" t="e">
        <f>'Tên Tháng 1'!#REF!</f>
        <v>#REF!</v>
      </c>
      <c r="F45" s="507" t="e">
        <f>'Tên Tháng 1'!#REF!</f>
        <v>#REF!</v>
      </c>
      <c r="G45" s="508" t="str">
        <f>'Tên Tháng 1'!E427</f>
        <v>ឡេង ឡុញ</v>
      </c>
      <c r="H45" s="509" t="str">
        <f>'Tên Tháng 1'!F427</f>
        <v>LENG LONH</v>
      </c>
      <c r="I45" s="519">
        <f>'CHAM CONG'!G437</f>
        <v>0</v>
      </c>
      <c r="J45" s="519" t="str">
        <f>'CHAM CONG'!H437</f>
        <v>x</v>
      </c>
      <c r="K45" s="519" t="str">
        <f>'CHAM CONG'!I437</f>
        <v>x</v>
      </c>
      <c r="L45" s="519" t="str">
        <f>'CHAM CONG'!J437</f>
        <v>x</v>
      </c>
      <c r="M45" s="519" t="str">
        <f>'CHAM CONG'!K437</f>
        <v>x</v>
      </c>
      <c r="N45" s="519" t="str">
        <f>'CHAM CONG'!L437</f>
        <v>x</v>
      </c>
      <c r="O45" s="519" t="str">
        <f>'CHAM CONG'!M437</f>
        <v>x</v>
      </c>
      <c r="P45" s="519" t="str">
        <f>'CHAM CONG'!N437</f>
        <v>x</v>
      </c>
      <c r="Q45" s="519" t="str">
        <f>'CHAM CONG'!O437</f>
        <v>x</v>
      </c>
      <c r="R45" s="519" t="str">
        <f>'CHAM CONG'!P437</f>
        <v>x</v>
      </c>
      <c r="S45" s="519" t="str">
        <f>'CHAM CONG'!Q437</f>
        <v>x</v>
      </c>
      <c r="T45" s="519" t="str">
        <f>'CHAM CONG'!R437</f>
        <v>x</v>
      </c>
      <c r="U45" s="519" t="str">
        <f>'CHAM CONG'!S437</f>
        <v>x</v>
      </c>
      <c r="V45" s="519" t="str">
        <f>'CHAM CONG'!T437</f>
        <v>x</v>
      </c>
      <c r="W45" s="519" t="str">
        <f>'CHAM CONG'!U437</f>
        <v>x</v>
      </c>
      <c r="X45" s="525"/>
      <c r="Y45" s="525"/>
      <c r="Z45" s="535">
        <f t="shared" si="1"/>
        <v>14</v>
      </c>
      <c r="AA45" s="536"/>
      <c r="AB45" s="537">
        <f t="shared" si="2"/>
        <v>224000</v>
      </c>
      <c r="AC45" s="537"/>
      <c r="AD45" s="537">
        <f>'CHAM CONG'!Y437</f>
        <v>0</v>
      </c>
      <c r="AE45" s="535">
        <f t="shared" si="3"/>
        <v>0</v>
      </c>
      <c r="AF45" s="537">
        <f t="shared" si="4"/>
        <v>0</v>
      </c>
      <c r="AG45" s="537">
        <f t="shared" si="5"/>
        <v>14</v>
      </c>
      <c r="AH45" s="537">
        <f t="shared" si="6"/>
        <v>14000</v>
      </c>
      <c r="AI45" s="537">
        <f t="shared" si="7"/>
        <v>238000</v>
      </c>
      <c r="AJ45" s="542">
        <f>'SAN LUONG'!AF438</f>
        <v>488</v>
      </c>
      <c r="AK45" s="519">
        <f>'SAN LUONG'!AG438</f>
        <v>186</v>
      </c>
      <c r="AL45" s="519">
        <f>'SAN LUONG'!AH438</f>
        <v>251</v>
      </c>
      <c r="AM45" s="519">
        <f>'SAN LUONG'!AI438</f>
        <v>399</v>
      </c>
      <c r="AN45" s="541">
        <f t="shared" si="8"/>
        <v>836</v>
      </c>
      <c r="AO45" s="553">
        <f t="shared" si="9"/>
        <v>185759</v>
      </c>
      <c r="AP45" s="541">
        <f t="shared" si="14"/>
        <v>488</v>
      </c>
      <c r="AQ45" s="553">
        <f t="shared" si="10"/>
        <v>97698</v>
      </c>
      <c r="AR45" s="553">
        <f t="shared" si="11"/>
        <v>283457</v>
      </c>
      <c r="AS45" s="556"/>
      <c r="AT45" s="556"/>
      <c r="AU45" s="556"/>
      <c r="AV45" s="556">
        <f t="shared" si="12"/>
        <v>521457</v>
      </c>
      <c r="AW45" s="564">
        <f t="shared" si="15"/>
        <v>521457</v>
      </c>
      <c r="AX45" s="565"/>
      <c r="AY45" s="566">
        <f t="shared" si="13"/>
        <v>16.32</v>
      </c>
      <c r="AZ45" s="567"/>
    </row>
    <row r="46" spans="1:227" s="483" customFormat="1" ht="42" customHeight="1">
      <c r="A46" s="503">
        <v>37</v>
      </c>
      <c r="B46" s="504">
        <v>8</v>
      </c>
      <c r="C46" s="505">
        <v>329</v>
      </c>
      <c r="D46" s="506" t="e">
        <f>'Tên Tháng 1'!#REF!</f>
        <v>#REF!</v>
      </c>
      <c r="E46" s="506" t="e">
        <f>'Tên Tháng 1'!#REF!</f>
        <v>#REF!</v>
      </c>
      <c r="F46" s="507" t="e">
        <f>'Tên Tháng 1'!#REF!</f>
        <v>#REF!</v>
      </c>
      <c r="G46" s="508" t="str">
        <f>'Tên Tháng 1'!E428</f>
        <v>ធី សៀក</v>
      </c>
      <c r="H46" s="509" t="str">
        <f>'Tên Tháng 1'!F428</f>
        <v>THY SEAK</v>
      </c>
      <c r="I46" s="519">
        <f>'CHAM CONG'!G438</f>
        <v>0</v>
      </c>
      <c r="J46" s="519" t="str">
        <f>'CHAM CONG'!H438</f>
        <v>x</v>
      </c>
      <c r="K46" s="519" t="str">
        <f>'CHAM CONG'!I438</f>
        <v>x</v>
      </c>
      <c r="L46" s="519">
        <f>'CHAM CONG'!J438</f>
        <v>0</v>
      </c>
      <c r="M46" s="519" t="str">
        <f>'CHAM CONG'!K438</f>
        <v>x</v>
      </c>
      <c r="N46" s="519" t="str">
        <f>'CHAM CONG'!L438</f>
        <v>x</v>
      </c>
      <c r="O46" s="519" t="str">
        <f>'CHAM CONG'!M438</f>
        <v>x</v>
      </c>
      <c r="P46" s="519" t="str">
        <f>'CHAM CONG'!N438</f>
        <v>x</v>
      </c>
      <c r="Q46" s="519" t="str">
        <f>'CHAM CONG'!O438</f>
        <v>x</v>
      </c>
      <c r="R46" s="519" t="str">
        <f>'CHAM CONG'!P438</f>
        <v>x</v>
      </c>
      <c r="S46" s="519" t="str">
        <f>'CHAM CONG'!Q438</f>
        <v>x</v>
      </c>
      <c r="T46" s="519" t="str">
        <f>'CHAM CONG'!R438</f>
        <v>x</v>
      </c>
      <c r="U46" s="519" t="str">
        <f>'CHAM CONG'!S438</f>
        <v>x</v>
      </c>
      <c r="V46" s="519" t="str">
        <f>'CHAM CONG'!T438</f>
        <v>x</v>
      </c>
      <c r="W46" s="519" t="str">
        <f>'CHAM CONG'!U438</f>
        <v>x</v>
      </c>
      <c r="X46" s="525"/>
      <c r="Y46" s="525"/>
      <c r="Z46" s="535">
        <f t="shared" si="1"/>
        <v>13</v>
      </c>
      <c r="AA46" s="536"/>
      <c r="AB46" s="537">
        <f t="shared" si="2"/>
        <v>208000</v>
      </c>
      <c r="AC46" s="537"/>
      <c r="AD46" s="537">
        <f>'CHAM CONG'!Y438</f>
        <v>0</v>
      </c>
      <c r="AE46" s="535">
        <f t="shared" si="3"/>
        <v>0</v>
      </c>
      <c r="AF46" s="537">
        <f t="shared" si="4"/>
        <v>0</v>
      </c>
      <c r="AG46" s="537">
        <f t="shared" si="5"/>
        <v>13</v>
      </c>
      <c r="AH46" s="537">
        <f t="shared" si="6"/>
        <v>13000</v>
      </c>
      <c r="AI46" s="537">
        <f t="shared" si="7"/>
        <v>221000</v>
      </c>
      <c r="AJ46" s="542">
        <f>'SAN LUONG'!AF439</f>
        <v>311</v>
      </c>
      <c r="AK46" s="519">
        <f>'SAN LUONG'!AG439</f>
        <v>264</v>
      </c>
      <c r="AL46" s="519">
        <f>'SAN LUONG'!AH439</f>
        <v>333</v>
      </c>
      <c r="AM46" s="519">
        <f>'SAN LUONG'!AI439</f>
        <v>359</v>
      </c>
      <c r="AN46" s="541">
        <f t="shared" si="8"/>
        <v>956</v>
      </c>
      <c r="AO46" s="553">
        <f t="shared" si="9"/>
        <v>212423</v>
      </c>
      <c r="AP46" s="541">
        <f t="shared" si="14"/>
        <v>311</v>
      </c>
      <c r="AQ46" s="553">
        <f t="shared" si="10"/>
        <v>62262</v>
      </c>
      <c r="AR46" s="553">
        <f t="shared" si="11"/>
        <v>274685</v>
      </c>
      <c r="AS46" s="556"/>
      <c r="AT46" s="556"/>
      <c r="AU46" s="556"/>
      <c r="AV46" s="556">
        <f t="shared" si="12"/>
        <v>495685</v>
      </c>
      <c r="AW46" s="564">
        <f t="shared" si="15"/>
        <v>495685</v>
      </c>
      <c r="AX46" s="565"/>
      <c r="AY46" s="566">
        <f t="shared" si="13"/>
        <v>15.52</v>
      </c>
      <c r="AZ46" s="567"/>
    </row>
    <row r="47" spans="1:227" s="483" customFormat="1" ht="42" customHeight="1">
      <c r="A47" s="503">
        <v>38</v>
      </c>
      <c r="B47" s="504">
        <v>8</v>
      </c>
      <c r="C47" s="505">
        <v>330</v>
      </c>
      <c r="D47" s="506" t="e">
        <f>'Tên Tháng 1'!#REF!</f>
        <v>#REF!</v>
      </c>
      <c r="E47" s="506" t="e">
        <f>'Tên Tháng 1'!#REF!</f>
        <v>#REF!</v>
      </c>
      <c r="F47" s="507" t="e">
        <f>'Tên Tháng 1'!#REF!</f>
        <v>#REF!</v>
      </c>
      <c r="G47" s="508" t="str">
        <f>'Tên Tháng 1'!E429</f>
        <v>រ៉ាត សារី</v>
      </c>
      <c r="H47" s="509" t="str">
        <f>'Tên Tháng 1'!F429</f>
        <v>RATH SARY</v>
      </c>
      <c r="I47" s="519">
        <f>'CHAM CONG'!G439</f>
        <v>0</v>
      </c>
      <c r="J47" s="519" t="str">
        <f>'CHAM CONG'!H439</f>
        <v>x</v>
      </c>
      <c r="K47" s="519" t="str">
        <f>'CHAM CONG'!I439</f>
        <v>x</v>
      </c>
      <c r="L47" s="519">
        <f>'CHAM CONG'!J439</f>
        <v>0</v>
      </c>
      <c r="M47" s="519">
        <f>'CHAM CONG'!K439</f>
        <v>0</v>
      </c>
      <c r="N47" s="519" t="str">
        <f>'CHAM CONG'!L439</f>
        <v>x</v>
      </c>
      <c r="O47" s="519">
        <f>'CHAM CONG'!M439</f>
        <v>0</v>
      </c>
      <c r="P47" s="519" t="str">
        <f>'CHAM CONG'!N439</f>
        <v>x</v>
      </c>
      <c r="Q47" s="519" t="str">
        <f>'CHAM CONG'!O439</f>
        <v>x</v>
      </c>
      <c r="R47" s="519" t="str">
        <f>'CHAM CONG'!P439</f>
        <v>x</v>
      </c>
      <c r="S47" s="519" t="str">
        <f>'CHAM CONG'!Q439</f>
        <v>x</v>
      </c>
      <c r="T47" s="519" t="str">
        <f>'CHAM CONG'!R439</f>
        <v>x</v>
      </c>
      <c r="U47" s="519" t="str">
        <f>'CHAM CONG'!S439</f>
        <v>x</v>
      </c>
      <c r="V47" s="519" t="str">
        <f>'CHAM CONG'!T439</f>
        <v>x</v>
      </c>
      <c r="W47" s="519" t="str">
        <f>'CHAM CONG'!U439</f>
        <v>x</v>
      </c>
      <c r="X47" s="525"/>
      <c r="Y47" s="525"/>
      <c r="Z47" s="535">
        <f t="shared" si="1"/>
        <v>11</v>
      </c>
      <c r="AA47" s="536"/>
      <c r="AB47" s="537">
        <f t="shared" si="2"/>
        <v>176000</v>
      </c>
      <c r="AC47" s="537"/>
      <c r="AD47" s="537">
        <f>'CHAM CONG'!Y439</f>
        <v>0</v>
      </c>
      <c r="AE47" s="535">
        <f t="shared" si="3"/>
        <v>0</v>
      </c>
      <c r="AF47" s="537">
        <f t="shared" si="4"/>
        <v>0</v>
      </c>
      <c r="AG47" s="537">
        <f t="shared" si="5"/>
        <v>11</v>
      </c>
      <c r="AH47" s="537">
        <f t="shared" si="6"/>
        <v>11000</v>
      </c>
      <c r="AI47" s="537">
        <f t="shared" si="7"/>
        <v>187000</v>
      </c>
      <c r="AJ47" s="542">
        <f>'SAN LUONG'!AF440</f>
        <v>150</v>
      </c>
      <c r="AK47" s="519">
        <f>'SAN LUONG'!AG440</f>
        <v>222</v>
      </c>
      <c r="AL47" s="519">
        <f>'SAN LUONG'!AH440</f>
        <v>176</v>
      </c>
      <c r="AM47" s="519">
        <f>'SAN LUONG'!AI440</f>
        <v>260</v>
      </c>
      <c r="AN47" s="541">
        <f t="shared" si="8"/>
        <v>658</v>
      </c>
      <c r="AO47" s="553">
        <f t="shared" si="9"/>
        <v>146208</v>
      </c>
      <c r="AP47" s="541">
        <f t="shared" si="14"/>
        <v>150</v>
      </c>
      <c r="AQ47" s="553">
        <f t="shared" si="10"/>
        <v>30030</v>
      </c>
      <c r="AR47" s="553">
        <f t="shared" si="11"/>
        <v>176238</v>
      </c>
      <c r="AS47" s="556"/>
      <c r="AT47" s="556"/>
      <c r="AU47" s="556"/>
      <c r="AV47" s="556">
        <f t="shared" si="12"/>
        <v>363238</v>
      </c>
      <c r="AW47" s="564">
        <f t="shared" si="15"/>
        <v>363238</v>
      </c>
      <c r="AX47" s="565"/>
      <c r="AY47" s="566">
        <f t="shared" si="13"/>
        <v>11.37</v>
      </c>
      <c r="AZ47" s="567"/>
    </row>
    <row r="48" spans="1:227" s="483" customFormat="1" ht="42" customHeight="1">
      <c r="A48" s="503">
        <v>39</v>
      </c>
      <c r="B48" s="504">
        <v>8</v>
      </c>
      <c r="C48" s="505">
        <v>331</v>
      </c>
      <c r="D48" s="506" t="e">
        <f>'Tên Tháng 1'!#REF!</f>
        <v>#REF!</v>
      </c>
      <c r="E48" s="506" t="e">
        <f>'Tên Tháng 1'!#REF!</f>
        <v>#REF!</v>
      </c>
      <c r="F48" s="507" t="e">
        <f>'Tên Tháng 1'!#REF!</f>
        <v>#REF!</v>
      </c>
      <c r="G48" s="508" t="str">
        <f>'Tên Tháng 1'!E430</f>
        <v>សឿន ផាត</v>
      </c>
      <c r="H48" s="509" t="str">
        <f>'Tên Tháng 1'!F430</f>
        <v>SOEUN PHAT</v>
      </c>
      <c r="I48" s="519">
        <f>'CHAM CONG'!G440</f>
        <v>0</v>
      </c>
      <c r="J48" s="519" t="str">
        <f>'CHAM CONG'!H440</f>
        <v>x</v>
      </c>
      <c r="K48" s="519" t="str">
        <f>'CHAM CONG'!I440</f>
        <v>x</v>
      </c>
      <c r="L48" s="519">
        <f>'CHAM CONG'!J440</f>
        <v>0</v>
      </c>
      <c r="M48" s="519">
        <f>'CHAM CONG'!K440</f>
        <v>0</v>
      </c>
      <c r="N48" s="519" t="str">
        <f>'CHAM CONG'!L440</f>
        <v>x</v>
      </c>
      <c r="O48" s="519">
        <f>'CHAM CONG'!M440</f>
        <v>0</v>
      </c>
      <c r="P48" s="519" t="str">
        <f>'CHAM CONG'!N440</f>
        <v>x</v>
      </c>
      <c r="Q48" s="519" t="str">
        <f>'CHAM CONG'!O440</f>
        <v>x</v>
      </c>
      <c r="R48" s="519" t="str">
        <f>'CHAM CONG'!P440</f>
        <v>x</v>
      </c>
      <c r="S48" s="519" t="str">
        <f>'CHAM CONG'!Q440</f>
        <v>x</v>
      </c>
      <c r="T48" s="519" t="str">
        <f>'CHAM CONG'!R440</f>
        <v>x</v>
      </c>
      <c r="U48" s="519" t="str">
        <f>'CHAM CONG'!S440</f>
        <v>x</v>
      </c>
      <c r="V48" s="519" t="str">
        <f>'CHAM CONG'!T440</f>
        <v>x</v>
      </c>
      <c r="W48" s="519" t="str">
        <f>'CHAM CONG'!U440</f>
        <v>x</v>
      </c>
      <c r="X48" s="525"/>
      <c r="Y48" s="525"/>
      <c r="Z48" s="535">
        <f t="shared" si="1"/>
        <v>11</v>
      </c>
      <c r="AA48" s="536"/>
      <c r="AB48" s="537">
        <f t="shared" si="2"/>
        <v>176000</v>
      </c>
      <c r="AC48" s="537"/>
      <c r="AD48" s="537">
        <f>'CHAM CONG'!Y440</f>
        <v>0</v>
      </c>
      <c r="AE48" s="535">
        <f t="shared" si="3"/>
        <v>0</v>
      </c>
      <c r="AF48" s="537">
        <f t="shared" si="4"/>
        <v>0</v>
      </c>
      <c r="AG48" s="537">
        <f t="shared" si="5"/>
        <v>11</v>
      </c>
      <c r="AH48" s="537">
        <f t="shared" si="6"/>
        <v>11000</v>
      </c>
      <c r="AI48" s="537">
        <f t="shared" si="7"/>
        <v>187000</v>
      </c>
      <c r="AJ48" s="542">
        <f>'SAN LUONG'!AF441</f>
        <v>145</v>
      </c>
      <c r="AK48" s="519">
        <f>'SAN LUONG'!AG441</f>
        <v>236</v>
      </c>
      <c r="AL48" s="519">
        <f>'SAN LUONG'!AH441</f>
        <v>180</v>
      </c>
      <c r="AM48" s="519">
        <f>'SAN LUONG'!AI441</f>
        <v>253</v>
      </c>
      <c r="AN48" s="541">
        <f t="shared" si="8"/>
        <v>669</v>
      </c>
      <c r="AO48" s="553">
        <f t="shared" si="9"/>
        <v>148652</v>
      </c>
      <c r="AP48" s="541">
        <f t="shared" si="14"/>
        <v>145</v>
      </c>
      <c r="AQ48" s="553">
        <f t="shared" si="10"/>
        <v>29029</v>
      </c>
      <c r="AR48" s="553">
        <f t="shared" si="11"/>
        <v>177681</v>
      </c>
      <c r="AS48" s="556"/>
      <c r="AT48" s="556"/>
      <c r="AU48" s="556"/>
      <c r="AV48" s="556">
        <f t="shared" si="12"/>
        <v>364681</v>
      </c>
      <c r="AW48" s="564">
        <f t="shared" si="15"/>
        <v>364681</v>
      </c>
      <c r="AX48" s="565"/>
      <c r="AY48" s="566">
        <f t="shared" si="13"/>
        <v>11.42</v>
      </c>
      <c r="AZ48" s="567"/>
    </row>
    <row r="49" spans="1:52" s="483" customFormat="1" ht="39" customHeight="1">
      <c r="A49" s="503">
        <v>40</v>
      </c>
      <c r="B49" s="504">
        <v>8</v>
      </c>
      <c r="C49" s="505">
        <v>332</v>
      </c>
      <c r="D49" s="506"/>
      <c r="E49" s="506"/>
      <c r="F49" s="507"/>
      <c r="G49" s="508" t="str">
        <f>'Tên Tháng 1'!E431</f>
        <v>ហាត់ ធីតា</v>
      </c>
      <c r="H49" s="509" t="str">
        <f>'Tên Tháng 1'!F431</f>
        <v>HAT THYDA</v>
      </c>
      <c r="I49" s="519" t="str">
        <f>'CHAM CONG'!G441</f>
        <v>x</v>
      </c>
      <c r="J49" s="519" t="str">
        <f>'CHAM CONG'!H441</f>
        <v>x</v>
      </c>
      <c r="K49" s="519" t="str">
        <f>'CHAM CONG'!I441</f>
        <v>x</v>
      </c>
      <c r="L49" s="519">
        <f>'CHAM CONG'!J441</f>
        <v>0</v>
      </c>
      <c r="M49" s="519">
        <f>'CHAM CONG'!K441</f>
        <v>0</v>
      </c>
      <c r="N49" s="519" t="str">
        <f>'CHAM CONG'!L441</f>
        <v>x</v>
      </c>
      <c r="O49" s="519" t="str">
        <f>'CHAM CONG'!M441</f>
        <v>x</v>
      </c>
      <c r="P49" s="519" t="str">
        <f>'CHAM CONG'!N441</f>
        <v>x</v>
      </c>
      <c r="Q49" s="519" t="str">
        <f>'CHAM CONG'!O441</f>
        <v>x</v>
      </c>
      <c r="R49" s="519">
        <f>'CHAM CONG'!P441</f>
        <v>0</v>
      </c>
      <c r="S49" s="519" t="str">
        <f>'CHAM CONG'!Q441</f>
        <v>x</v>
      </c>
      <c r="T49" s="519" t="str">
        <f>'CHAM CONG'!R441</f>
        <v>x</v>
      </c>
      <c r="U49" s="519" t="str">
        <f>'CHAM CONG'!S441</f>
        <v>x</v>
      </c>
      <c r="V49" s="519" t="str">
        <f>'CHAM CONG'!T441</f>
        <v>x</v>
      </c>
      <c r="W49" s="519" t="str">
        <f>'CHAM CONG'!U441</f>
        <v>x</v>
      </c>
      <c r="X49" s="525"/>
      <c r="Y49" s="525"/>
      <c r="Z49" s="535">
        <f t="shared" si="1"/>
        <v>12</v>
      </c>
      <c r="AA49" s="536"/>
      <c r="AB49" s="537">
        <f t="shared" si="2"/>
        <v>192000</v>
      </c>
      <c r="AC49" s="537"/>
      <c r="AD49" s="537">
        <f>'CHAM CONG'!Y441</f>
        <v>0</v>
      </c>
      <c r="AE49" s="535">
        <f t="shared" si="3"/>
        <v>0</v>
      </c>
      <c r="AF49" s="537">
        <f t="shared" si="4"/>
        <v>0</v>
      </c>
      <c r="AG49" s="537">
        <f t="shared" si="5"/>
        <v>12</v>
      </c>
      <c r="AH49" s="537">
        <f t="shared" si="6"/>
        <v>12000</v>
      </c>
      <c r="AI49" s="537">
        <f t="shared" si="7"/>
        <v>204000</v>
      </c>
      <c r="AJ49" s="519">
        <f>'SAN LUONG'!AF442</f>
        <v>152</v>
      </c>
      <c r="AK49" s="519">
        <f>'SAN LUONG'!AG442</f>
        <v>276</v>
      </c>
      <c r="AL49" s="519">
        <f>'SAN LUONG'!AH442</f>
        <v>343</v>
      </c>
      <c r="AM49" s="519">
        <f>'SAN LUONG'!AI442</f>
        <v>285</v>
      </c>
      <c r="AN49" s="541">
        <f t="shared" si="8"/>
        <v>1056</v>
      </c>
      <c r="AO49" s="553">
        <f t="shared" si="9"/>
        <v>234643</v>
      </c>
      <c r="AP49" s="541"/>
      <c r="AQ49" s="553">
        <f t="shared" si="10"/>
        <v>0</v>
      </c>
      <c r="AR49" s="553">
        <f t="shared" si="11"/>
        <v>234643</v>
      </c>
      <c r="AS49" s="556"/>
      <c r="AT49" s="556"/>
      <c r="AU49" s="556"/>
      <c r="AV49" s="556">
        <f t="shared" si="12"/>
        <v>438643</v>
      </c>
      <c r="AW49" s="564">
        <f t="shared" si="15"/>
        <v>438643</v>
      </c>
      <c r="AX49" s="565"/>
      <c r="AY49" s="566">
        <f t="shared" si="13"/>
        <v>13.73</v>
      </c>
      <c r="AZ49" s="567"/>
    </row>
    <row r="50" spans="1:52" s="483" customFormat="1" ht="39" customHeight="1">
      <c r="A50" s="503">
        <v>41</v>
      </c>
      <c r="B50" s="504">
        <v>8</v>
      </c>
      <c r="C50" s="505">
        <v>333</v>
      </c>
      <c r="D50" s="506"/>
      <c r="E50" s="506"/>
      <c r="F50" s="507"/>
      <c r="G50" s="508" t="str">
        <f>'Tên Tháng 1'!E432</f>
        <v>ពី ប៉ាត់</v>
      </c>
      <c r="H50" s="509" t="str">
        <f>'Tên Tháng 1'!F432</f>
        <v>PY PATH</v>
      </c>
      <c r="I50" s="519">
        <f>'CHAM CONG'!G442</f>
        <v>0</v>
      </c>
      <c r="J50" s="519" t="str">
        <f>'CHAM CONG'!H442</f>
        <v>x</v>
      </c>
      <c r="K50" s="519" t="str">
        <f>'CHAM CONG'!I442</f>
        <v>x</v>
      </c>
      <c r="L50" s="519">
        <f>'CHAM CONG'!J442</f>
        <v>0</v>
      </c>
      <c r="M50" s="519" t="str">
        <f>'CHAM CONG'!K442</f>
        <v>x</v>
      </c>
      <c r="N50" s="519" t="str">
        <f>'CHAM CONG'!L442</f>
        <v>x</v>
      </c>
      <c r="O50" s="519" t="str">
        <f>'CHAM CONG'!M442</f>
        <v>x</v>
      </c>
      <c r="P50" s="519" t="str">
        <f>'CHAM CONG'!N442</f>
        <v>x</v>
      </c>
      <c r="Q50" s="519" t="str">
        <f>'CHAM CONG'!O442</f>
        <v>x</v>
      </c>
      <c r="R50" s="519" t="str">
        <f>'CHAM CONG'!P442</f>
        <v>x</v>
      </c>
      <c r="S50" s="519" t="str">
        <f>'CHAM CONG'!Q442</f>
        <v>x</v>
      </c>
      <c r="T50" s="519" t="str">
        <f>'CHAM CONG'!R442</f>
        <v>x</v>
      </c>
      <c r="U50" s="519" t="str">
        <f>'CHAM CONG'!S442</f>
        <v>x</v>
      </c>
      <c r="V50" s="519" t="str">
        <f>'CHAM CONG'!T442</f>
        <v>x</v>
      </c>
      <c r="W50" s="519" t="str">
        <f>'CHAM CONG'!U442</f>
        <v>x</v>
      </c>
      <c r="X50" s="525"/>
      <c r="Y50" s="525"/>
      <c r="Z50" s="535">
        <f t="shared" si="1"/>
        <v>13</v>
      </c>
      <c r="AA50" s="536"/>
      <c r="AB50" s="537">
        <f t="shared" si="2"/>
        <v>208000</v>
      </c>
      <c r="AC50" s="537"/>
      <c r="AD50" s="537">
        <f>'CHAM CONG'!Y442</f>
        <v>0</v>
      </c>
      <c r="AE50" s="535">
        <f t="shared" si="3"/>
        <v>0</v>
      </c>
      <c r="AF50" s="537">
        <f t="shared" si="4"/>
        <v>0</v>
      </c>
      <c r="AG50" s="537">
        <f t="shared" si="5"/>
        <v>13</v>
      </c>
      <c r="AH50" s="537">
        <f t="shared" si="6"/>
        <v>13000</v>
      </c>
      <c r="AI50" s="537">
        <f t="shared" si="7"/>
        <v>221000</v>
      </c>
      <c r="AJ50" s="519">
        <f>'SAN LUONG'!AF443</f>
        <v>344</v>
      </c>
      <c r="AK50" s="519">
        <f>'SAN LUONG'!AG443</f>
        <v>313</v>
      </c>
      <c r="AL50" s="519">
        <f>'SAN LUONG'!AH443</f>
        <v>243</v>
      </c>
      <c r="AM50" s="519">
        <f>'SAN LUONG'!AI443</f>
        <v>346</v>
      </c>
      <c r="AN50" s="541">
        <f t="shared" si="8"/>
        <v>1246</v>
      </c>
      <c r="AO50" s="553">
        <f t="shared" si="9"/>
        <v>276861</v>
      </c>
      <c r="AP50" s="541"/>
      <c r="AQ50" s="553">
        <f t="shared" si="10"/>
        <v>0</v>
      </c>
      <c r="AR50" s="553">
        <f t="shared" si="11"/>
        <v>276861</v>
      </c>
      <c r="AS50" s="556"/>
      <c r="AT50" s="556"/>
      <c r="AU50" s="556"/>
      <c r="AV50" s="556">
        <f t="shared" si="12"/>
        <v>497861</v>
      </c>
      <c r="AW50" s="564">
        <f t="shared" si="15"/>
        <v>497861</v>
      </c>
      <c r="AX50" s="565"/>
      <c r="AY50" s="566">
        <f t="shared" si="13"/>
        <v>15.58</v>
      </c>
      <c r="AZ50" s="567"/>
    </row>
    <row r="51" spans="1:52" s="483" customFormat="1" ht="39" customHeight="1">
      <c r="A51" s="503">
        <v>42</v>
      </c>
      <c r="B51" s="504">
        <v>8</v>
      </c>
      <c r="C51" s="505">
        <v>334</v>
      </c>
      <c r="D51" s="506"/>
      <c r="E51" s="506"/>
      <c r="F51" s="507"/>
      <c r="G51" s="508" t="str">
        <f>'Tên Tháng 1'!E433</f>
        <v>សរ ធាង</v>
      </c>
      <c r="H51" s="509" t="str">
        <f>'Tên Tháng 1'!F433</f>
        <v>SOR THEANG</v>
      </c>
      <c r="I51" s="519">
        <f>'CHAM CONG'!G443</f>
        <v>0</v>
      </c>
      <c r="J51" s="519" t="str">
        <f>'CHAM CONG'!H443</f>
        <v>x</v>
      </c>
      <c r="K51" s="519" t="str">
        <f>'CHAM CONG'!I443</f>
        <v>x</v>
      </c>
      <c r="L51" s="519">
        <f>'CHAM CONG'!J443</f>
        <v>0</v>
      </c>
      <c r="M51" s="519" t="str">
        <f>'CHAM CONG'!K443</f>
        <v>x</v>
      </c>
      <c r="N51" s="519" t="str">
        <f>'CHAM CONG'!L443</f>
        <v>x</v>
      </c>
      <c r="O51" s="519" t="str">
        <f>'CHAM CONG'!M443</f>
        <v>x</v>
      </c>
      <c r="P51" s="519" t="str">
        <f>'CHAM CONG'!N443</f>
        <v>x</v>
      </c>
      <c r="Q51" s="519" t="str">
        <f>'CHAM CONG'!O443</f>
        <v>x</v>
      </c>
      <c r="R51" s="519" t="str">
        <f>'CHAM CONG'!P443</f>
        <v>x</v>
      </c>
      <c r="S51" s="519" t="str">
        <f>'CHAM CONG'!Q443</f>
        <v>x</v>
      </c>
      <c r="T51" s="519" t="str">
        <f>'CHAM CONG'!R443</f>
        <v>x</v>
      </c>
      <c r="U51" s="519" t="str">
        <f>'CHAM CONG'!S443</f>
        <v>x</v>
      </c>
      <c r="V51" s="519" t="str">
        <f>'CHAM CONG'!T443</f>
        <v>x</v>
      </c>
      <c r="W51" s="519" t="str">
        <f>'CHAM CONG'!U443</f>
        <v>x</v>
      </c>
      <c r="X51" s="525"/>
      <c r="Y51" s="525"/>
      <c r="Z51" s="535">
        <f t="shared" si="1"/>
        <v>13</v>
      </c>
      <c r="AA51" s="536"/>
      <c r="AB51" s="537">
        <f t="shared" si="2"/>
        <v>208000</v>
      </c>
      <c r="AC51" s="537"/>
      <c r="AD51" s="537">
        <f>'CHAM CONG'!Y443</f>
        <v>0</v>
      </c>
      <c r="AE51" s="535">
        <f t="shared" si="3"/>
        <v>0</v>
      </c>
      <c r="AF51" s="537">
        <f t="shared" si="4"/>
        <v>0</v>
      </c>
      <c r="AG51" s="537">
        <f t="shared" si="5"/>
        <v>13</v>
      </c>
      <c r="AH51" s="537">
        <f t="shared" si="6"/>
        <v>13000</v>
      </c>
      <c r="AI51" s="537">
        <f t="shared" si="7"/>
        <v>221000</v>
      </c>
      <c r="AJ51" s="519">
        <f>'SAN LUONG'!AF444</f>
        <v>348</v>
      </c>
      <c r="AK51" s="519">
        <f>'SAN LUONG'!AG444</f>
        <v>300</v>
      </c>
      <c r="AL51" s="519">
        <f>'SAN LUONG'!AH444</f>
        <v>261</v>
      </c>
      <c r="AM51" s="542">
        <f>'SAN LUONG'!AI444</f>
        <v>272</v>
      </c>
      <c r="AN51" s="541">
        <f t="shared" si="8"/>
        <v>909</v>
      </c>
      <c r="AO51" s="553">
        <f t="shared" si="9"/>
        <v>201980</v>
      </c>
      <c r="AP51" s="541">
        <f>AM51</f>
        <v>272</v>
      </c>
      <c r="AQ51" s="553">
        <f t="shared" si="10"/>
        <v>54454</v>
      </c>
      <c r="AR51" s="553">
        <f t="shared" si="11"/>
        <v>256434</v>
      </c>
      <c r="AS51" s="556"/>
      <c r="AT51" s="556"/>
      <c r="AU51" s="556"/>
      <c r="AV51" s="556">
        <f t="shared" si="12"/>
        <v>477434</v>
      </c>
      <c r="AW51" s="564">
        <f t="shared" si="15"/>
        <v>477434</v>
      </c>
      <c r="AX51" s="565"/>
      <c r="AY51" s="566">
        <f t="shared" si="13"/>
        <v>14.94</v>
      </c>
      <c r="AZ51" s="567"/>
    </row>
    <row r="52" spans="1:52" s="483" customFormat="1" ht="39" customHeight="1">
      <c r="A52" s="503">
        <v>43</v>
      </c>
      <c r="B52" s="504">
        <v>8</v>
      </c>
      <c r="C52" s="505">
        <v>335</v>
      </c>
      <c r="D52" s="506"/>
      <c r="E52" s="506"/>
      <c r="F52" s="507"/>
      <c r="G52" s="508" t="str">
        <f>'Tên Tháng 1'!E434</f>
        <v>អ៊ាង អាន់</v>
      </c>
      <c r="H52" s="509" t="str">
        <f>'Tên Tháng 1'!F434</f>
        <v>EANG ANN</v>
      </c>
      <c r="I52" s="519" t="str">
        <f>'CHAM CONG'!G444</f>
        <v>x</v>
      </c>
      <c r="J52" s="519" t="str">
        <f>'CHAM CONG'!H444</f>
        <v>x</v>
      </c>
      <c r="K52" s="519" t="str">
        <f>'CHAM CONG'!I444</f>
        <v>x</v>
      </c>
      <c r="L52" s="519">
        <f>'CHAM CONG'!J444</f>
        <v>0</v>
      </c>
      <c r="M52" s="519">
        <f>'CHAM CONG'!K444</f>
        <v>0</v>
      </c>
      <c r="N52" s="519" t="str">
        <f>'CHAM CONG'!L444</f>
        <v>x</v>
      </c>
      <c r="O52" s="519" t="str">
        <f>'CHAM CONG'!M444</f>
        <v>x</v>
      </c>
      <c r="P52" s="519" t="str">
        <f>'CHAM CONG'!N444</f>
        <v>x</v>
      </c>
      <c r="Q52" s="519" t="str">
        <f>'CHAM CONG'!O444</f>
        <v>x</v>
      </c>
      <c r="R52" s="519" t="str">
        <f>'CHAM CONG'!P444</f>
        <v>x</v>
      </c>
      <c r="S52" s="519" t="str">
        <f>'CHAM CONG'!Q444</f>
        <v>x</v>
      </c>
      <c r="T52" s="519" t="str">
        <f>'CHAM CONG'!R444</f>
        <v>x</v>
      </c>
      <c r="U52" s="519" t="str">
        <f>'CHAM CONG'!S444</f>
        <v>x</v>
      </c>
      <c r="V52" s="519" t="str">
        <f>'CHAM CONG'!T444</f>
        <v>x</v>
      </c>
      <c r="W52" s="519" t="str">
        <f>'CHAM CONG'!U444</f>
        <v>x</v>
      </c>
      <c r="X52" s="525"/>
      <c r="Y52" s="525"/>
      <c r="Z52" s="535">
        <f t="shared" si="1"/>
        <v>13</v>
      </c>
      <c r="AA52" s="536"/>
      <c r="AB52" s="537">
        <f t="shared" si="2"/>
        <v>208000</v>
      </c>
      <c r="AC52" s="537"/>
      <c r="AD52" s="537" t="str">
        <f>'CHAM CONG'!Y444</f>
        <v>x</v>
      </c>
      <c r="AE52" s="535">
        <f t="shared" si="3"/>
        <v>1</v>
      </c>
      <c r="AF52" s="537">
        <f t="shared" si="4"/>
        <v>17000</v>
      </c>
      <c r="AG52" s="537">
        <f t="shared" si="5"/>
        <v>13</v>
      </c>
      <c r="AH52" s="537">
        <f t="shared" si="6"/>
        <v>13000</v>
      </c>
      <c r="AI52" s="537">
        <f t="shared" si="7"/>
        <v>238000</v>
      </c>
      <c r="AJ52" s="519">
        <f>'SAN LUONG'!AF445</f>
        <v>322</v>
      </c>
      <c r="AK52" s="519">
        <f>'SAN LUONG'!AG445</f>
        <v>451</v>
      </c>
      <c r="AL52" s="519">
        <f>'SAN LUONG'!AH445</f>
        <v>305</v>
      </c>
      <c r="AM52" s="542">
        <f>'SAN LUONG'!AI445</f>
        <v>382</v>
      </c>
      <c r="AN52" s="541">
        <f t="shared" si="8"/>
        <v>1078</v>
      </c>
      <c r="AO52" s="553">
        <f t="shared" si="9"/>
        <v>239532</v>
      </c>
      <c r="AP52" s="541">
        <f t="shared" ref="AP52:AP60" si="16">AM52</f>
        <v>382</v>
      </c>
      <c r="AQ52" s="553">
        <f t="shared" si="10"/>
        <v>76476</v>
      </c>
      <c r="AR52" s="553">
        <f t="shared" si="11"/>
        <v>316008</v>
      </c>
      <c r="AS52" s="556"/>
      <c r="AT52" s="556"/>
      <c r="AU52" s="556"/>
      <c r="AV52" s="556">
        <f t="shared" si="12"/>
        <v>554008</v>
      </c>
      <c r="AW52" s="564">
        <f t="shared" si="15"/>
        <v>554008</v>
      </c>
      <c r="AX52" s="565"/>
      <c r="AY52" s="566">
        <f t="shared" si="13"/>
        <v>17.34</v>
      </c>
      <c r="AZ52" s="567"/>
    </row>
    <row r="53" spans="1:52" s="483" customFormat="1" ht="39" customHeight="1">
      <c r="A53" s="503">
        <v>44</v>
      </c>
      <c r="B53" s="504">
        <v>8</v>
      </c>
      <c r="C53" s="505">
        <v>336</v>
      </c>
      <c r="D53" s="506"/>
      <c r="E53" s="506"/>
      <c r="F53" s="507"/>
      <c r="G53" s="508" t="str">
        <f>'Tên Tháng 1'!E435</f>
        <v>អៀង ផុន</v>
      </c>
      <c r="H53" s="509" t="str">
        <f>'Tên Tháng 1'!F435</f>
        <v>EANG PHON</v>
      </c>
      <c r="I53" s="519" t="str">
        <f>'CHAM CONG'!G445</f>
        <v>x</v>
      </c>
      <c r="J53" s="519" t="str">
        <f>'CHAM CONG'!H445</f>
        <v>x</v>
      </c>
      <c r="K53" s="519" t="str">
        <f>'CHAM CONG'!I445</f>
        <v>x</v>
      </c>
      <c r="L53" s="519">
        <f>'CHAM CONG'!J445</f>
        <v>0</v>
      </c>
      <c r="M53" s="519">
        <f>'CHAM CONG'!K445</f>
        <v>0</v>
      </c>
      <c r="N53" s="519" t="str">
        <f>'CHAM CONG'!L445</f>
        <v>x</v>
      </c>
      <c r="O53" s="519" t="str">
        <f>'CHAM CONG'!M445</f>
        <v>x</v>
      </c>
      <c r="P53" s="519" t="str">
        <f>'CHAM CONG'!N445</f>
        <v>x</v>
      </c>
      <c r="Q53" s="519" t="str">
        <f>'CHAM CONG'!O445</f>
        <v>x</v>
      </c>
      <c r="R53" s="519" t="str">
        <f>'CHAM CONG'!P445</f>
        <v>x</v>
      </c>
      <c r="S53" s="519" t="str">
        <f>'CHAM CONG'!Q445</f>
        <v>x</v>
      </c>
      <c r="T53" s="519" t="str">
        <f>'CHAM CONG'!R445</f>
        <v>x</v>
      </c>
      <c r="U53" s="519" t="str">
        <f>'CHAM CONG'!S445</f>
        <v>x</v>
      </c>
      <c r="V53" s="519" t="str">
        <f>'CHAM CONG'!T445</f>
        <v>x</v>
      </c>
      <c r="W53" s="519" t="str">
        <f>'CHAM CONG'!U445</f>
        <v>x</v>
      </c>
      <c r="X53" s="525"/>
      <c r="Y53" s="525"/>
      <c r="Z53" s="535">
        <f t="shared" si="1"/>
        <v>13</v>
      </c>
      <c r="AA53" s="536"/>
      <c r="AB53" s="537">
        <f t="shared" si="2"/>
        <v>208000</v>
      </c>
      <c r="AC53" s="537"/>
      <c r="AD53" s="537" t="str">
        <f>'CHAM CONG'!Y445</f>
        <v>x</v>
      </c>
      <c r="AE53" s="535">
        <f t="shared" si="3"/>
        <v>1</v>
      </c>
      <c r="AF53" s="537">
        <f t="shared" si="4"/>
        <v>17000</v>
      </c>
      <c r="AG53" s="537">
        <f t="shared" si="5"/>
        <v>13</v>
      </c>
      <c r="AH53" s="537">
        <f t="shared" si="6"/>
        <v>13000</v>
      </c>
      <c r="AI53" s="537">
        <f t="shared" si="7"/>
        <v>238000</v>
      </c>
      <c r="AJ53" s="519">
        <f>'SAN LUONG'!AF446</f>
        <v>310</v>
      </c>
      <c r="AK53" s="519">
        <f>'SAN LUONG'!AG446</f>
        <v>451</v>
      </c>
      <c r="AL53" s="519">
        <f>'SAN LUONG'!AH446</f>
        <v>313</v>
      </c>
      <c r="AM53" s="542">
        <f>'SAN LUONG'!AI446</f>
        <v>384</v>
      </c>
      <c r="AN53" s="541">
        <f t="shared" si="8"/>
        <v>1074</v>
      </c>
      <c r="AO53" s="553">
        <f t="shared" si="9"/>
        <v>238643</v>
      </c>
      <c r="AP53" s="541">
        <f t="shared" si="16"/>
        <v>384</v>
      </c>
      <c r="AQ53" s="553">
        <f t="shared" si="10"/>
        <v>76877</v>
      </c>
      <c r="AR53" s="553">
        <f t="shared" si="11"/>
        <v>315520</v>
      </c>
      <c r="AS53" s="556"/>
      <c r="AT53" s="556"/>
      <c r="AU53" s="556"/>
      <c r="AV53" s="556">
        <f t="shared" si="12"/>
        <v>553520</v>
      </c>
      <c r="AW53" s="564">
        <f t="shared" si="15"/>
        <v>553520</v>
      </c>
      <c r="AX53" s="565"/>
      <c r="AY53" s="566">
        <f t="shared" si="13"/>
        <v>17.329999999999998</v>
      </c>
      <c r="AZ53" s="567"/>
    </row>
    <row r="54" spans="1:52" s="483" customFormat="1" ht="39" customHeight="1">
      <c r="A54" s="503">
        <v>45</v>
      </c>
      <c r="B54" s="504">
        <v>8</v>
      </c>
      <c r="C54" s="505">
        <v>337</v>
      </c>
      <c r="D54" s="506"/>
      <c r="E54" s="506"/>
      <c r="F54" s="507"/>
      <c r="G54" s="508" t="str">
        <f>'Tên Tháng 1'!E436</f>
        <v>ធី ធើយ</v>
      </c>
      <c r="H54" s="509" t="str">
        <f>'Tên Tháng 1'!F436</f>
        <v>THY THOEUY</v>
      </c>
      <c r="I54" s="519">
        <f>'CHAM CONG'!G446</f>
        <v>0</v>
      </c>
      <c r="J54" s="519" t="str">
        <f>'CHAM CONG'!H446</f>
        <v>x</v>
      </c>
      <c r="K54" s="519" t="str">
        <f>'CHAM CONG'!I446</f>
        <v>x</v>
      </c>
      <c r="L54" s="519">
        <f>'CHAM CONG'!J446</f>
        <v>0</v>
      </c>
      <c r="M54" s="519">
        <f>'CHAM CONG'!K446</f>
        <v>0</v>
      </c>
      <c r="N54" s="519" t="str">
        <f>'CHAM CONG'!L446</f>
        <v>x</v>
      </c>
      <c r="O54" s="519" t="str">
        <f>'CHAM CONG'!M446</f>
        <v>x</v>
      </c>
      <c r="P54" s="519" t="str">
        <f>'CHAM CONG'!N446</f>
        <v>x</v>
      </c>
      <c r="Q54" s="519" t="str">
        <f>'CHAM CONG'!O446</f>
        <v>x</v>
      </c>
      <c r="R54" s="519" t="str">
        <f>'CHAM CONG'!P446</f>
        <v>x</v>
      </c>
      <c r="S54" s="519" t="str">
        <f>'CHAM CONG'!Q446</f>
        <v>x</v>
      </c>
      <c r="T54" s="519" t="str">
        <f>'CHAM CONG'!R446</f>
        <v>x</v>
      </c>
      <c r="U54" s="519" t="str">
        <f>'CHAM CONG'!S446</f>
        <v>x</v>
      </c>
      <c r="V54" s="519" t="str">
        <f>'CHAM CONG'!T446</f>
        <v>x</v>
      </c>
      <c r="W54" s="519" t="str">
        <f>'CHAM CONG'!U446</f>
        <v>x</v>
      </c>
      <c r="X54" s="525"/>
      <c r="Y54" s="525"/>
      <c r="Z54" s="535">
        <f t="shared" si="1"/>
        <v>12</v>
      </c>
      <c r="AA54" s="536"/>
      <c r="AB54" s="537">
        <f t="shared" si="2"/>
        <v>192000</v>
      </c>
      <c r="AC54" s="537"/>
      <c r="AD54" s="537">
        <f>'CHAM CONG'!Y446</f>
        <v>0</v>
      </c>
      <c r="AE54" s="535">
        <f t="shared" si="3"/>
        <v>0</v>
      </c>
      <c r="AF54" s="537">
        <f t="shared" si="4"/>
        <v>0</v>
      </c>
      <c r="AG54" s="537">
        <f t="shared" si="5"/>
        <v>12</v>
      </c>
      <c r="AH54" s="537">
        <f t="shared" si="6"/>
        <v>12000</v>
      </c>
      <c r="AI54" s="537">
        <f t="shared" si="7"/>
        <v>204000</v>
      </c>
      <c r="AJ54" s="519">
        <f>'SAN LUONG'!AF447</f>
        <v>170</v>
      </c>
      <c r="AK54" s="519">
        <f>'SAN LUONG'!AG447</f>
        <v>362</v>
      </c>
      <c r="AL54" s="519">
        <f>'SAN LUONG'!AH447</f>
        <v>376</v>
      </c>
      <c r="AM54" s="542">
        <f>'SAN LUONG'!AI447</f>
        <v>268</v>
      </c>
      <c r="AN54" s="541">
        <f t="shared" si="8"/>
        <v>908</v>
      </c>
      <c r="AO54" s="553">
        <f t="shared" si="9"/>
        <v>201758</v>
      </c>
      <c r="AP54" s="541">
        <f t="shared" si="16"/>
        <v>268</v>
      </c>
      <c r="AQ54" s="553">
        <f t="shared" si="10"/>
        <v>53654</v>
      </c>
      <c r="AR54" s="553">
        <f t="shared" si="11"/>
        <v>255412</v>
      </c>
      <c r="AS54" s="556"/>
      <c r="AT54" s="556"/>
      <c r="AU54" s="556"/>
      <c r="AV54" s="556">
        <f t="shared" si="12"/>
        <v>459412</v>
      </c>
      <c r="AW54" s="564">
        <f t="shared" si="15"/>
        <v>459412</v>
      </c>
      <c r="AX54" s="565"/>
      <c r="AY54" s="566">
        <f t="shared" si="13"/>
        <v>14.38</v>
      </c>
      <c r="AZ54" s="567"/>
    </row>
    <row r="55" spans="1:52" s="483" customFormat="1" ht="39" customHeight="1">
      <c r="A55" s="503">
        <v>46</v>
      </c>
      <c r="B55" s="504">
        <v>8</v>
      </c>
      <c r="C55" s="505">
        <v>338</v>
      </c>
      <c r="D55" s="506"/>
      <c r="E55" s="506"/>
      <c r="F55" s="507"/>
      <c r="G55" s="508" t="str">
        <f>'Tên Tháng 1'!E437</f>
        <v>ចយ ជឿន</v>
      </c>
      <c r="H55" s="509" t="str">
        <f>'Tên Tháng 1'!F437</f>
        <v>CHAY CHOEUN</v>
      </c>
      <c r="I55" s="519">
        <f>'CHAM CONG'!G447</f>
        <v>0</v>
      </c>
      <c r="J55" s="519" t="str">
        <f>'CHAM CONG'!H447</f>
        <v>x</v>
      </c>
      <c r="K55" s="519" t="str">
        <f>'CHAM CONG'!I447</f>
        <v>x</v>
      </c>
      <c r="L55" s="519">
        <f>'CHAM CONG'!J447</f>
        <v>0</v>
      </c>
      <c r="M55" s="519">
        <f>'CHAM CONG'!K447</f>
        <v>0</v>
      </c>
      <c r="N55" s="519" t="str">
        <f>'CHAM CONG'!L447</f>
        <v>x</v>
      </c>
      <c r="O55" s="519" t="str">
        <f>'CHAM CONG'!M447</f>
        <v>x</v>
      </c>
      <c r="P55" s="519" t="str">
        <f>'CHAM CONG'!N447</f>
        <v>x</v>
      </c>
      <c r="Q55" s="519" t="str">
        <f>'CHAM CONG'!O447</f>
        <v>x</v>
      </c>
      <c r="R55" s="519" t="str">
        <f>'CHAM CONG'!P447</f>
        <v>x</v>
      </c>
      <c r="S55" s="519" t="str">
        <f>'CHAM CONG'!Q447</f>
        <v>x</v>
      </c>
      <c r="T55" s="519" t="str">
        <f>'CHAM CONG'!R447</f>
        <v>x</v>
      </c>
      <c r="U55" s="519" t="str">
        <f>'CHAM CONG'!S447</f>
        <v>x</v>
      </c>
      <c r="V55" s="519" t="str">
        <f>'CHAM CONG'!T447</f>
        <v>x</v>
      </c>
      <c r="W55" s="519" t="str">
        <f>'CHAM CONG'!U447</f>
        <v>x</v>
      </c>
      <c r="X55" s="525"/>
      <c r="Y55" s="525"/>
      <c r="Z55" s="535">
        <f t="shared" si="1"/>
        <v>12</v>
      </c>
      <c r="AA55" s="536"/>
      <c r="AB55" s="537">
        <f t="shared" si="2"/>
        <v>192000</v>
      </c>
      <c r="AC55" s="537"/>
      <c r="AD55" s="537">
        <f>'CHAM CONG'!Y447</f>
        <v>0</v>
      </c>
      <c r="AE55" s="535">
        <f t="shared" si="3"/>
        <v>0</v>
      </c>
      <c r="AF55" s="537">
        <f t="shared" si="4"/>
        <v>0</v>
      </c>
      <c r="AG55" s="537">
        <f t="shared" si="5"/>
        <v>12</v>
      </c>
      <c r="AH55" s="537">
        <f t="shared" si="6"/>
        <v>12000</v>
      </c>
      <c r="AI55" s="537">
        <f t="shared" si="7"/>
        <v>204000</v>
      </c>
      <c r="AJ55" s="519">
        <f>'SAN LUONG'!AF448</f>
        <v>177</v>
      </c>
      <c r="AK55" s="519">
        <f>'SAN LUONG'!AG448</f>
        <v>288</v>
      </c>
      <c r="AL55" s="519">
        <f>'SAN LUONG'!AH448</f>
        <v>299</v>
      </c>
      <c r="AM55" s="542">
        <f>'SAN LUONG'!AI448</f>
        <v>361</v>
      </c>
      <c r="AN55" s="541">
        <f t="shared" si="8"/>
        <v>764</v>
      </c>
      <c r="AO55" s="553">
        <f t="shared" si="9"/>
        <v>169761</v>
      </c>
      <c r="AP55" s="541">
        <f t="shared" si="16"/>
        <v>361</v>
      </c>
      <c r="AQ55" s="553">
        <f t="shared" si="10"/>
        <v>72272</v>
      </c>
      <c r="AR55" s="553">
        <f t="shared" si="11"/>
        <v>242033</v>
      </c>
      <c r="AS55" s="556"/>
      <c r="AT55" s="556"/>
      <c r="AU55" s="556"/>
      <c r="AV55" s="556">
        <f t="shared" si="12"/>
        <v>446033</v>
      </c>
      <c r="AW55" s="564">
        <f t="shared" si="15"/>
        <v>446033</v>
      </c>
      <c r="AX55" s="565"/>
      <c r="AY55" s="566">
        <f t="shared" si="13"/>
        <v>13.96</v>
      </c>
      <c r="AZ55" s="567"/>
    </row>
    <row r="56" spans="1:52" s="483" customFormat="1" ht="39" customHeight="1">
      <c r="A56" s="503">
        <v>47</v>
      </c>
      <c r="B56" s="504">
        <v>8</v>
      </c>
      <c r="C56" s="505">
        <v>339</v>
      </c>
      <c r="D56" s="506"/>
      <c r="E56" s="506"/>
      <c r="F56" s="507"/>
      <c r="G56" s="508" t="str">
        <f>'Tên Tháng 1'!E438</f>
        <v>ឈូក ស្រីម៉ៅ</v>
      </c>
      <c r="H56" s="509" t="str">
        <f>'Tên Tháng 1'!F438</f>
        <v>CHHOUK SREY MAO</v>
      </c>
      <c r="I56" s="519">
        <f>'CHAM CONG'!G448</f>
        <v>0</v>
      </c>
      <c r="J56" s="519" t="str">
        <f>'CHAM CONG'!H448</f>
        <v>x</v>
      </c>
      <c r="K56" s="519">
        <f>'CHAM CONG'!I448</f>
        <v>0</v>
      </c>
      <c r="L56" s="519">
        <f>'CHAM CONG'!J448</f>
        <v>0</v>
      </c>
      <c r="M56" s="519">
        <f>'CHAM CONG'!K448</f>
        <v>0</v>
      </c>
      <c r="N56" s="519" t="str">
        <f>'CHAM CONG'!L448</f>
        <v>x</v>
      </c>
      <c r="O56" s="519" t="str">
        <f>'CHAM CONG'!M448</f>
        <v>x</v>
      </c>
      <c r="P56" s="519" t="str">
        <f>'CHAM CONG'!N448</f>
        <v>x</v>
      </c>
      <c r="Q56" s="519" t="str">
        <f>'CHAM CONG'!O448</f>
        <v>x</v>
      </c>
      <c r="R56" s="519" t="str">
        <f>'CHAM CONG'!P448</f>
        <v>x</v>
      </c>
      <c r="S56" s="519" t="str">
        <f>'CHAM CONG'!Q448</f>
        <v>x</v>
      </c>
      <c r="T56" s="519" t="str">
        <f>'CHAM CONG'!R448</f>
        <v>x</v>
      </c>
      <c r="U56" s="519" t="str">
        <f>'CHAM CONG'!S448</f>
        <v>x</v>
      </c>
      <c r="V56" s="519" t="str">
        <f>'CHAM CONG'!T448</f>
        <v>x</v>
      </c>
      <c r="W56" s="519" t="str">
        <f>'CHAM CONG'!U448</f>
        <v>x</v>
      </c>
      <c r="X56" s="525"/>
      <c r="Y56" s="525"/>
      <c r="Z56" s="535">
        <f t="shared" si="1"/>
        <v>11</v>
      </c>
      <c r="AA56" s="536"/>
      <c r="AB56" s="537">
        <f t="shared" si="2"/>
        <v>176000</v>
      </c>
      <c r="AC56" s="537"/>
      <c r="AD56" s="537">
        <f>'CHAM CONG'!Y448</f>
        <v>0</v>
      </c>
      <c r="AE56" s="535">
        <f t="shared" si="3"/>
        <v>0</v>
      </c>
      <c r="AF56" s="537">
        <f t="shared" si="4"/>
        <v>0</v>
      </c>
      <c r="AG56" s="537">
        <f t="shared" si="5"/>
        <v>11</v>
      </c>
      <c r="AH56" s="537">
        <f t="shared" si="6"/>
        <v>11000</v>
      </c>
      <c r="AI56" s="537">
        <f t="shared" si="7"/>
        <v>187000</v>
      </c>
      <c r="AJ56" s="519">
        <f>'SAN LUONG'!AF449</f>
        <v>165</v>
      </c>
      <c r="AK56" s="519">
        <f>'SAN LUONG'!AG449</f>
        <v>275</v>
      </c>
      <c r="AL56" s="519">
        <f>'SAN LUONG'!AH449</f>
        <v>330</v>
      </c>
      <c r="AM56" s="542">
        <f>'SAN LUONG'!AI449</f>
        <v>354</v>
      </c>
      <c r="AN56" s="541">
        <f t="shared" si="8"/>
        <v>770</v>
      </c>
      <c r="AO56" s="553">
        <f t="shared" si="9"/>
        <v>171094</v>
      </c>
      <c r="AP56" s="541">
        <f t="shared" si="16"/>
        <v>354</v>
      </c>
      <c r="AQ56" s="553">
        <f t="shared" si="10"/>
        <v>70871</v>
      </c>
      <c r="AR56" s="553">
        <f t="shared" si="11"/>
        <v>241965</v>
      </c>
      <c r="AS56" s="556"/>
      <c r="AT56" s="556"/>
      <c r="AU56" s="556"/>
      <c r="AV56" s="556">
        <f t="shared" si="12"/>
        <v>428965</v>
      </c>
      <c r="AW56" s="564">
        <f t="shared" si="15"/>
        <v>428965</v>
      </c>
      <c r="AX56" s="565"/>
      <c r="AY56" s="566">
        <f t="shared" si="13"/>
        <v>13.43</v>
      </c>
      <c r="AZ56" s="567"/>
    </row>
    <row r="57" spans="1:52" s="483" customFormat="1" ht="39" customHeight="1">
      <c r="A57" s="503">
        <v>48</v>
      </c>
      <c r="B57" s="504">
        <v>8</v>
      </c>
      <c r="C57" s="505">
        <v>340</v>
      </c>
      <c r="D57" s="506"/>
      <c r="E57" s="506"/>
      <c r="F57" s="507"/>
      <c r="G57" s="508" t="str">
        <f>'Tên Tháng 1'!E439</f>
        <v>ភួន ឡែម</v>
      </c>
      <c r="H57" s="509" t="str">
        <f>'Tên Tháng 1'!F439</f>
        <v>PHUON LEM</v>
      </c>
      <c r="I57" s="519" t="str">
        <f>'CHAM CONG'!G449</f>
        <v>x</v>
      </c>
      <c r="J57" s="519">
        <f>'CHAM CONG'!H449</f>
        <v>0</v>
      </c>
      <c r="K57" s="519" t="str">
        <f>'CHAM CONG'!I449</f>
        <v>x</v>
      </c>
      <c r="L57" s="519">
        <f>'CHAM CONG'!J449</f>
        <v>0</v>
      </c>
      <c r="M57" s="519" t="str">
        <f>'CHAM CONG'!K449</f>
        <v>x</v>
      </c>
      <c r="N57" s="519" t="str">
        <f>'CHAM CONG'!L449</f>
        <v>x</v>
      </c>
      <c r="O57" s="519" t="str">
        <f>'CHAM CONG'!M449</f>
        <v>x</v>
      </c>
      <c r="P57" s="519" t="str">
        <f>'CHAM CONG'!N449</f>
        <v>x</v>
      </c>
      <c r="Q57" s="519" t="str">
        <f>'CHAM CONG'!O449</f>
        <v>x</v>
      </c>
      <c r="R57" s="519" t="str">
        <f>'CHAM CONG'!P449</f>
        <v>x</v>
      </c>
      <c r="S57" s="519" t="str">
        <f>'CHAM CONG'!Q449</f>
        <v>x</v>
      </c>
      <c r="T57" s="519" t="str">
        <f>'CHAM CONG'!R449</f>
        <v>x</v>
      </c>
      <c r="U57" s="519" t="str">
        <f>'CHAM CONG'!S449</f>
        <v>x</v>
      </c>
      <c r="V57" s="519" t="str">
        <f>'CHAM CONG'!T449</f>
        <v>x</v>
      </c>
      <c r="W57" s="519" t="str">
        <f>'CHAM CONG'!U449</f>
        <v>x</v>
      </c>
      <c r="X57" s="525"/>
      <c r="Y57" s="525"/>
      <c r="Z57" s="535">
        <f t="shared" si="1"/>
        <v>13</v>
      </c>
      <c r="AA57" s="536"/>
      <c r="AB57" s="537">
        <f t="shared" si="2"/>
        <v>208000</v>
      </c>
      <c r="AC57" s="537"/>
      <c r="AD57" s="537">
        <f>'CHAM CONG'!Y449</f>
        <v>0</v>
      </c>
      <c r="AE57" s="535">
        <f t="shared" si="3"/>
        <v>0</v>
      </c>
      <c r="AF57" s="537">
        <f t="shared" si="4"/>
        <v>0</v>
      </c>
      <c r="AG57" s="537">
        <f t="shared" si="5"/>
        <v>13</v>
      </c>
      <c r="AH57" s="537">
        <f t="shared" si="6"/>
        <v>13000</v>
      </c>
      <c r="AI57" s="537">
        <f t="shared" si="7"/>
        <v>221000</v>
      </c>
      <c r="AJ57" s="519">
        <f>'SAN LUONG'!AF450</f>
        <v>262</v>
      </c>
      <c r="AK57" s="519">
        <f>'SAN LUONG'!AG450</f>
        <v>292</v>
      </c>
      <c r="AL57" s="519">
        <f>'SAN LUONG'!AH450</f>
        <v>278</v>
      </c>
      <c r="AM57" s="542">
        <f>'SAN LUONG'!AI450</f>
        <v>537</v>
      </c>
      <c r="AN57" s="541">
        <f t="shared" si="8"/>
        <v>832</v>
      </c>
      <c r="AO57" s="553">
        <f t="shared" si="9"/>
        <v>184870</v>
      </c>
      <c r="AP57" s="541">
        <f t="shared" si="16"/>
        <v>537</v>
      </c>
      <c r="AQ57" s="553">
        <f t="shared" si="10"/>
        <v>107507</v>
      </c>
      <c r="AR57" s="553">
        <f t="shared" si="11"/>
        <v>292377</v>
      </c>
      <c r="AS57" s="556"/>
      <c r="AT57" s="556"/>
      <c r="AU57" s="556"/>
      <c r="AV57" s="556">
        <f t="shared" si="12"/>
        <v>513377</v>
      </c>
      <c r="AW57" s="564">
        <f t="shared" si="15"/>
        <v>513377</v>
      </c>
      <c r="AX57" s="565"/>
      <c r="AY57" s="566">
        <f t="shared" si="13"/>
        <v>16.07</v>
      </c>
      <c r="AZ57" s="567"/>
    </row>
    <row r="58" spans="1:52" s="483" customFormat="1" ht="39" customHeight="1">
      <c r="A58" s="503">
        <v>49</v>
      </c>
      <c r="B58" s="504">
        <v>8</v>
      </c>
      <c r="C58" s="505">
        <v>341</v>
      </c>
      <c r="D58" s="506"/>
      <c r="E58" s="506"/>
      <c r="F58" s="507"/>
      <c r="G58" s="508" t="str">
        <f>'Tên Tháng 1'!E440</f>
        <v>ធីម ម៉ាប់</v>
      </c>
      <c r="H58" s="509" t="str">
        <f>'Tên Tháng 1'!F440</f>
        <v>THIM MAB</v>
      </c>
      <c r="I58" s="519" t="str">
        <f>'CHAM CONG'!G450</f>
        <v>x</v>
      </c>
      <c r="J58" s="519" t="str">
        <f>'CHAM CONG'!H450</f>
        <v>x</v>
      </c>
      <c r="K58" s="519" t="str">
        <f>'CHAM CONG'!I450</f>
        <v>x</v>
      </c>
      <c r="L58" s="519">
        <f>'CHAM CONG'!J450</f>
        <v>0</v>
      </c>
      <c r="M58" s="519">
        <f>'CHAM CONG'!K450</f>
        <v>0</v>
      </c>
      <c r="N58" s="519" t="str">
        <f>'CHAM CONG'!L450</f>
        <v>x</v>
      </c>
      <c r="O58" s="519">
        <f>'CHAM CONG'!M450</f>
        <v>0</v>
      </c>
      <c r="P58" s="519" t="str">
        <f>'CHAM CONG'!N450</f>
        <v>x</v>
      </c>
      <c r="Q58" s="519" t="str">
        <f>'CHAM CONG'!O450</f>
        <v>x</v>
      </c>
      <c r="R58" s="519" t="str">
        <f>'CHAM CONG'!P450</f>
        <v>x</v>
      </c>
      <c r="S58" s="519" t="str">
        <f>'CHAM CONG'!Q450</f>
        <v>x</v>
      </c>
      <c r="T58" s="519" t="str">
        <f>'CHAM CONG'!R450</f>
        <v>x</v>
      </c>
      <c r="U58" s="519" t="str">
        <f>'CHAM CONG'!S450</f>
        <v>x</v>
      </c>
      <c r="V58" s="519" t="str">
        <f>'CHAM CONG'!T450</f>
        <v>x</v>
      </c>
      <c r="W58" s="519" t="str">
        <f>'CHAM CONG'!U450</f>
        <v>x</v>
      </c>
      <c r="X58" s="525"/>
      <c r="Y58" s="525"/>
      <c r="Z58" s="535">
        <f t="shared" si="1"/>
        <v>12</v>
      </c>
      <c r="AA58" s="536"/>
      <c r="AB58" s="537">
        <f t="shared" si="2"/>
        <v>192000</v>
      </c>
      <c r="AC58" s="537"/>
      <c r="AD58" s="537">
        <f>'CHAM CONG'!Y450</f>
        <v>0</v>
      </c>
      <c r="AE58" s="535">
        <f t="shared" si="3"/>
        <v>0</v>
      </c>
      <c r="AF58" s="537">
        <f t="shared" si="4"/>
        <v>0</v>
      </c>
      <c r="AG58" s="537">
        <f t="shared" si="5"/>
        <v>12</v>
      </c>
      <c r="AH58" s="537">
        <f t="shared" si="6"/>
        <v>12000</v>
      </c>
      <c r="AI58" s="537">
        <f t="shared" si="7"/>
        <v>204000</v>
      </c>
      <c r="AJ58" s="519">
        <f>'SAN LUONG'!AF451</f>
        <v>208</v>
      </c>
      <c r="AK58" s="519">
        <f>'SAN LUONG'!AG451</f>
        <v>439</v>
      </c>
      <c r="AL58" s="519">
        <f>'SAN LUONG'!AH451</f>
        <v>287</v>
      </c>
      <c r="AM58" s="542">
        <f>'SAN LUONG'!AI451</f>
        <v>322</v>
      </c>
      <c r="AN58" s="541">
        <f t="shared" si="8"/>
        <v>934</v>
      </c>
      <c r="AO58" s="553">
        <f t="shared" si="9"/>
        <v>207535</v>
      </c>
      <c r="AP58" s="541">
        <f t="shared" si="16"/>
        <v>322</v>
      </c>
      <c r="AQ58" s="553">
        <f t="shared" si="10"/>
        <v>64464</v>
      </c>
      <c r="AR58" s="553">
        <f t="shared" si="11"/>
        <v>271999</v>
      </c>
      <c r="AS58" s="556"/>
      <c r="AT58" s="556"/>
      <c r="AU58" s="556"/>
      <c r="AV58" s="556">
        <f t="shared" si="12"/>
        <v>475999</v>
      </c>
      <c r="AW58" s="564">
        <f t="shared" si="15"/>
        <v>475999</v>
      </c>
      <c r="AX58" s="565"/>
      <c r="AY58" s="566">
        <f t="shared" si="13"/>
        <v>14.9</v>
      </c>
      <c r="AZ58" s="567"/>
    </row>
    <row r="59" spans="1:52" s="483" customFormat="1" ht="39" customHeight="1">
      <c r="A59" s="503">
        <v>50</v>
      </c>
      <c r="B59" s="504">
        <v>8</v>
      </c>
      <c r="C59" s="505">
        <v>342</v>
      </c>
      <c r="D59" s="506"/>
      <c r="E59" s="506"/>
      <c r="F59" s="507"/>
      <c r="G59" s="508" t="str">
        <f>'Tên Tháng 1'!E441</f>
        <v>ឆែម ហៀក</v>
      </c>
      <c r="H59" s="509" t="str">
        <f>'Tên Tháng 1'!F441</f>
        <v>CHHEM HEAK</v>
      </c>
      <c r="I59" s="519" t="str">
        <f>'CHAM CONG'!G451</f>
        <v>x</v>
      </c>
      <c r="J59" s="519" t="str">
        <f>'CHAM CONG'!H451</f>
        <v>x</v>
      </c>
      <c r="K59" s="519" t="str">
        <f>'CHAM CONG'!I451</f>
        <v>x</v>
      </c>
      <c r="L59" s="519">
        <f>'CHAM CONG'!J451</f>
        <v>0</v>
      </c>
      <c r="M59" s="519" t="str">
        <f>'CHAM CONG'!K451</f>
        <v>x</v>
      </c>
      <c r="N59" s="519" t="str">
        <f>'CHAM CONG'!L451</f>
        <v>x</v>
      </c>
      <c r="O59" s="519" t="str">
        <f>'CHAM CONG'!M451</f>
        <v>x</v>
      </c>
      <c r="P59" s="519" t="str">
        <f>'CHAM CONG'!N451</f>
        <v>x</v>
      </c>
      <c r="Q59" s="519" t="str">
        <f>'CHAM CONG'!O451</f>
        <v>x</v>
      </c>
      <c r="R59" s="519" t="str">
        <f>'CHAM CONG'!P451</f>
        <v>x</v>
      </c>
      <c r="S59" s="519" t="str">
        <f>'CHAM CONG'!Q451</f>
        <v>x</v>
      </c>
      <c r="T59" s="519" t="str">
        <f>'CHAM CONG'!R451</f>
        <v>x</v>
      </c>
      <c r="U59" s="519" t="str">
        <f>'CHAM CONG'!S451</f>
        <v>x</v>
      </c>
      <c r="V59" s="519" t="str">
        <f>'CHAM CONG'!T451</f>
        <v>x</v>
      </c>
      <c r="W59" s="519" t="str">
        <f>'CHAM CONG'!U451</f>
        <v>x</v>
      </c>
      <c r="X59" s="525"/>
      <c r="Y59" s="525"/>
      <c r="Z59" s="535">
        <f t="shared" si="1"/>
        <v>14</v>
      </c>
      <c r="AA59" s="536"/>
      <c r="AB59" s="537">
        <f t="shared" si="2"/>
        <v>224000</v>
      </c>
      <c r="AC59" s="537"/>
      <c r="AD59" s="537" t="str">
        <f>'CHAM CONG'!Y451</f>
        <v>x</v>
      </c>
      <c r="AE59" s="535">
        <f t="shared" si="3"/>
        <v>1</v>
      </c>
      <c r="AF59" s="537">
        <f t="shared" si="4"/>
        <v>17000</v>
      </c>
      <c r="AG59" s="537">
        <f t="shared" si="5"/>
        <v>14</v>
      </c>
      <c r="AH59" s="537">
        <f t="shared" si="6"/>
        <v>14000</v>
      </c>
      <c r="AI59" s="537">
        <f t="shared" si="7"/>
        <v>255000</v>
      </c>
      <c r="AJ59" s="519">
        <f>'SAN LUONG'!AF452</f>
        <v>355</v>
      </c>
      <c r="AK59" s="519">
        <f>'SAN LUONG'!AG452</f>
        <v>262</v>
      </c>
      <c r="AL59" s="519">
        <f>'SAN LUONG'!AH452</f>
        <v>326</v>
      </c>
      <c r="AM59" s="542">
        <f>'SAN LUONG'!AI452</f>
        <v>366</v>
      </c>
      <c r="AN59" s="541">
        <f t="shared" si="8"/>
        <v>943</v>
      </c>
      <c r="AO59" s="553">
        <f t="shared" si="9"/>
        <v>209535</v>
      </c>
      <c r="AP59" s="541">
        <f t="shared" si="16"/>
        <v>366</v>
      </c>
      <c r="AQ59" s="553">
        <f t="shared" si="10"/>
        <v>73273</v>
      </c>
      <c r="AR59" s="553">
        <f t="shared" si="11"/>
        <v>282808</v>
      </c>
      <c r="AS59" s="556"/>
      <c r="AT59" s="556"/>
      <c r="AU59" s="556"/>
      <c r="AV59" s="556">
        <f t="shared" si="12"/>
        <v>537808</v>
      </c>
      <c r="AW59" s="564">
        <f t="shared" si="15"/>
        <v>537808</v>
      </c>
      <c r="AX59" s="565"/>
      <c r="AY59" s="566">
        <f t="shared" si="13"/>
        <v>16.829999999999998</v>
      </c>
      <c r="AZ59" s="567"/>
    </row>
    <row r="60" spans="1:52" s="483" customFormat="1" ht="39" customHeight="1">
      <c r="A60" s="503">
        <v>51</v>
      </c>
      <c r="B60" s="504">
        <v>8</v>
      </c>
      <c r="C60" s="505">
        <v>343</v>
      </c>
      <c r="D60" s="506"/>
      <c r="E60" s="506"/>
      <c r="F60" s="507"/>
      <c r="G60" s="508" t="str">
        <f>'Tên Tháng 1'!E442</f>
        <v>ហេន ហាត</v>
      </c>
      <c r="H60" s="509" t="str">
        <f>'Tên Tháng 1'!F442</f>
        <v>HEN HAT</v>
      </c>
      <c r="I60" s="519" t="str">
        <f>'CHAM CONG'!G452</f>
        <v>x</v>
      </c>
      <c r="J60" s="519" t="str">
        <f>'CHAM CONG'!H452</f>
        <v>x</v>
      </c>
      <c r="K60" s="519" t="str">
        <f>'CHAM CONG'!I452</f>
        <v>x</v>
      </c>
      <c r="L60" s="519">
        <f>'CHAM CONG'!J452</f>
        <v>0</v>
      </c>
      <c r="M60" s="519" t="str">
        <f>'CHAM CONG'!K452</f>
        <v>x</v>
      </c>
      <c r="N60" s="519" t="str">
        <f>'CHAM CONG'!L452</f>
        <v>x</v>
      </c>
      <c r="O60" s="519" t="str">
        <f>'CHAM CONG'!M452</f>
        <v>x</v>
      </c>
      <c r="P60" s="519" t="str">
        <f>'CHAM CONG'!N452</f>
        <v>x</v>
      </c>
      <c r="Q60" s="519">
        <f>'CHAM CONG'!O452</f>
        <v>0</v>
      </c>
      <c r="R60" s="519">
        <f>'CHAM CONG'!P452</f>
        <v>0</v>
      </c>
      <c r="S60" s="519">
        <f>'CHAM CONG'!Q452</f>
        <v>0</v>
      </c>
      <c r="T60" s="519">
        <f>'CHAM CONG'!R452</f>
        <v>0</v>
      </c>
      <c r="U60" s="519">
        <f>'CHAM CONG'!S452</f>
        <v>0</v>
      </c>
      <c r="V60" s="519">
        <f>'CHAM CONG'!T452</f>
        <v>0</v>
      </c>
      <c r="W60" s="519" t="str">
        <f>'CHAM CONG'!U452</f>
        <v>x</v>
      </c>
      <c r="X60" s="525"/>
      <c r="Y60" s="525"/>
      <c r="Z60" s="535">
        <f t="shared" si="1"/>
        <v>8</v>
      </c>
      <c r="AA60" s="536"/>
      <c r="AB60" s="537">
        <f t="shared" si="2"/>
        <v>128000</v>
      </c>
      <c r="AC60" s="537"/>
      <c r="AD60" s="537">
        <f>'CHAM CONG'!Y452</f>
        <v>0</v>
      </c>
      <c r="AE60" s="535">
        <f t="shared" si="3"/>
        <v>0</v>
      </c>
      <c r="AF60" s="537">
        <f t="shared" si="4"/>
        <v>0</v>
      </c>
      <c r="AG60" s="537">
        <f t="shared" si="5"/>
        <v>8</v>
      </c>
      <c r="AH60" s="537">
        <f t="shared" si="6"/>
        <v>8000</v>
      </c>
      <c r="AI60" s="537">
        <f t="shared" si="7"/>
        <v>136000</v>
      </c>
      <c r="AJ60" s="519">
        <f>'SAN LUONG'!AF453</f>
        <v>0</v>
      </c>
      <c r="AK60" s="519">
        <f>'SAN LUONG'!AG453</f>
        <v>513</v>
      </c>
      <c r="AL60" s="519">
        <f>'SAN LUONG'!AH453</f>
        <v>365</v>
      </c>
      <c r="AM60" s="542">
        <f>'SAN LUONG'!AI453</f>
        <v>237</v>
      </c>
      <c r="AN60" s="541">
        <f t="shared" si="8"/>
        <v>878</v>
      </c>
      <c r="AO60" s="553">
        <f t="shared" si="9"/>
        <v>195092</v>
      </c>
      <c r="AP60" s="541">
        <f t="shared" si="16"/>
        <v>237</v>
      </c>
      <c r="AQ60" s="553">
        <f t="shared" si="10"/>
        <v>47447</v>
      </c>
      <c r="AR60" s="553">
        <f t="shared" si="11"/>
        <v>242539</v>
      </c>
      <c r="AS60" s="556"/>
      <c r="AT60" s="556"/>
      <c r="AU60" s="556"/>
      <c r="AV60" s="556">
        <f t="shared" si="12"/>
        <v>378539</v>
      </c>
      <c r="AW60" s="564">
        <f t="shared" si="15"/>
        <v>378539</v>
      </c>
      <c r="AX60" s="565">
        <f>SUM(AW10:AW60)</f>
        <v>24590276</v>
      </c>
      <c r="AY60" s="566">
        <f t="shared" si="13"/>
        <v>11.85</v>
      </c>
      <c r="AZ60" s="567"/>
    </row>
    <row r="61" spans="1:52" s="483" customFormat="1" ht="31.95" customHeight="1">
      <c r="A61" s="503">
        <v>52</v>
      </c>
      <c r="B61" s="504">
        <v>11</v>
      </c>
      <c r="C61" s="447">
        <v>428</v>
      </c>
      <c r="D61" s="506"/>
      <c r="E61" s="506"/>
      <c r="F61" s="507"/>
      <c r="G61" s="508" t="str">
        <f>'Tên Tháng 1'!E443</f>
        <v>ថន អន</v>
      </c>
      <c r="H61" s="509" t="str">
        <f>'Tên Tháng 1'!F443</f>
        <v>THORN ORN</v>
      </c>
      <c r="I61" s="519" t="str">
        <f>'CHAM CONG'!G453</f>
        <v>x</v>
      </c>
      <c r="J61" s="519">
        <f>'CHAM CONG'!H453</f>
        <v>0</v>
      </c>
      <c r="K61" s="519" t="str">
        <f>'CHAM CONG'!I453</f>
        <v>x</v>
      </c>
      <c r="L61" s="519">
        <f>'CHAM CONG'!J453</f>
        <v>0</v>
      </c>
      <c r="M61" s="519" t="str">
        <f>'CHAM CONG'!K453</f>
        <v>x</v>
      </c>
      <c r="N61" s="519" t="str">
        <f>'CHAM CONG'!L453</f>
        <v>x</v>
      </c>
      <c r="O61" s="519" t="str">
        <f>'CHAM CONG'!M453</f>
        <v>x</v>
      </c>
      <c r="P61" s="519">
        <f>'CHAM CONG'!N453</f>
        <v>0</v>
      </c>
      <c r="Q61" s="519" t="str">
        <f>'CHAM CONG'!O453</f>
        <v>x</v>
      </c>
      <c r="R61" s="519" t="str">
        <f>'CHAM CONG'!P453</f>
        <v>x</v>
      </c>
      <c r="S61" s="519" t="str">
        <f>'CHAM CONG'!Q453</f>
        <v>x</v>
      </c>
      <c r="T61" s="519">
        <f>'CHAM CONG'!R453</f>
        <v>0</v>
      </c>
      <c r="U61" s="519" t="str">
        <f>'CHAM CONG'!S453</f>
        <v>x</v>
      </c>
      <c r="V61" s="519" t="str">
        <f>'CHAM CONG'!T453</f>
        <v>x</v>
      </c>
      <c r="W61" s="519" t="str">
        <f>'CHAM CONG'!U453</f>
        <v>x</v>
      </c>
      <c r="X61" s="525"/>
      <c r="Y61" s="525"/>
      <c r="Z61" s="535">
        <f t="shared" si="1"/>
        <v>11</v>
      </c>
      <c r="AA61" s="536"/>
      <c r="AB61" s="537">
        <f t="shared" si="2"/>
        <v>176000</v>
      </c>
      <c r="AC61" s="537"/>
      <c r="AD61" s="537">
        <f>'CHAM CONG'!Y453</f>
        <v>0</v>
      </c>
      <c r="AE61" s="535">
        <f t="shared" si="3"/>
        <v>0</v>
      </c>
      <c r="AF61" s="537">
        <f t="shared" si="4"/>
        <v>0</v>
      </c>
      <c r="AG61" s="537">
        <f t="shared" si="5"/>
        <v>11</v>
      </c>
      <c r="AH61" s="537">
        <f t="shared" si="6"/>
        <v>11000</v>
      </c>
      <c r="AI61" s="537">
        <f t="shared" si="7"/>
        <v>187000</v>
      </c>
      <c r="AJ61" s="519">
        <f>'SAN LUONG'!AF454</f>
        <v>150</v>
      </c>
      <c r="AK61" s="519">
        <f>'SAN LUONG'!AG454</f>
        <v>379</v>
      </c>
      <c r="AL61" s="542">
        <f>'SAN LUONG'!AH454</f>
        <v>405</v>
      </c>
      <c r="AM61" s="542">
        <f>'SAN LUONG'!AI454</f>
        <v>316</v>
      </c>
      <c r="AN61" s="541">
        <f t="shared" si="8"/>
        <v>529</v>
      </c>
      <c r="AO61" s="553">
        <f t="shared" si="9"/>
        <v>117544</v>
      </c>
      <c r="AP61" s="541">
        <f>AL61+AM61</f>
        <v>721</v>
      </c>
      <c r="AQ61" s="553">
        <f t="shared" si="10"/>
        <v>144344</v>
      </c>
      <c r="AR61" s="553">
        <f t="shared" si="11"/>
        <v>261888</v>
      </c>
      <c r="AS61" s="556"/>
      <c r="AT61" s="556"/>
      <c r="AU61" s="556"/>
      <c r="AV61" s="556">
        <f t="shared" si="12"/>
        <v>448888</v>
      </c>
      <c r="AW61" s="564">
        <f t="shared" si="15"/>
        <v>448888</v>
      </c>
      <c r="AX61" s="565"/>
      <c r="AY61" s="566">
        <f t="shared" si="13"/>
        <v>14.05</v>
      </c>
      <c r="AZ61" s="567"/>
    </row>
    <row r="62" spans="1:52" s="483" customFormat="1" ht="31.95" customHeight="1">
      <c r="A62" s="503">
        <v>53</v>
      </c>
      <c r="B62" s="504">
        <v>11</v>
      </c>
      <c r="C62" s="447">
        <v>429</v>
      </c>
      <c r="D62" s="506"/>
      <c r="E62" s="506"/>
      <c r="F62" s="507"/>
      <c r="G62" s="508" t="str">
        <f>'Tên Tháng 1'!E444</f>
        <v>យី​ សុខដា</v>
      </c>
      <c r="H62" s="509" t="str">
        <f>'Tên Tháng 1'!F444</f>
        <v>YI SOKDA</v>
      </c>
      <c r="I62" s="519" t="str">
        <f>'CHAM CONG'!G454</f>
        <v>x</v>
      </c>
      <c r="J62" s="519" t="str">
        <f>'CHAM CONG'!H454</f>
        <v>x</v>
      </c>
      <c r="K62" s="519" t="str">
        <f>'CHAM CONG'!I454</f>
        <v>x</v>
      </c>
      <c r="L62" s="519">
        <f>'CHAM CONG'!J454</f>
        <v>0</v>
      </c>
      <c r="M62" s="519" t="str">
        <f>'CHAM CONG'!K454</f>
        <v>x</v>
      </c>
      <c r="N62" s="519" t="str">
        <f>'CHAM CONG'!L454</f>
        <v>x</v>
      </c>
      <c r="O62" s="519" t="str">
        <f>'CHAM CONG'!M454</f>
        <v>x</v>
      </c>
      <c r="P62" s="519" t="str">
        <f>'CHAM CONG'!N454</f>
        <v>x</v>
      </c>
      <c r="Q62" s="519" t="str">
        <f>'CHAM CONG'!O454</f>
        <v>x</v>
      </c>
      <c r="R62" s="519" t="str">
        <f>'CHAM CONG'!P454</f>
        <v>x</v>
      </c>
      <c r="S62" s="519" t="str">
        <f>'CHAM CONG'!Q454</f>
        <v>x</v>
      </c>
      <c r="T62" s="519" t="str">
        <f>'CHAM CONG'!R454</f>
        <v>x</v>
      </c>
      <c r="U62" s="519" t="str">
        <f>'CHAM CONG'!S454</f>
        <v>x</v>
      </c>
      <c r="V62" s="519" t="str">
        <f>'CHAM CONG'!T454</f>
        <v>x</v>
      </c>
      <c r="W62" s="519" t="str">
        <f>'CHAM CONG'!U454</f>
        <v>x</v>
      </c>
      <c r="X62" s="525"/>
      <c r="Y62" s="525"/>
      <c r="Z62" s="535">
        <f t="shared" si="1"/>
        <v>14</v>
      </c>
      <c r="AA62" s="536"/>
      <c r="AB62" s="537">
        <f t="shared" si="2"/>
        <v>224000</v>
      </c>
      <c r="AC62" s="537"/>
      <c r="AD62" s="537" t="str">
        <f>'CHAM CONG'!Y454</f>
        <v>x</v>
      </c>
      <c r="AE62" s="535">
        <f t="shared" si="3"/>
        <v>1</v>
      </c>
      <c r="AF62" s="537">
        <f t="shared" si="4"/>
        <v>17000</v>
      </c>
      <c r="AG62" s="537">
        <f t="shared" si="5"/>
        <v>14</v>
      </c>
      <c r="AH62" s="537">
        <f t="shared" si="6"/>
        <v>14000</v>
      </c>
      <c r="AI62" s="537">
        <f t="shared" si="7"/>
        <v>255000</v>
      </c>
      <c r="AJ62" s="519">
        <f>'SAN LUONG'!AF455</f>
        <v>319</v>
      </c>
      <c r="AK62" s="519">
        <f>'SAN LUONG'!AG455</f>
        <v>328</v>
      </c>
      <c r="AL62" s="542">
        <f>'SAN LUONG'!AH455</f>
        <v>490</v>
      </c>
      <c r="AM62" s="542">
        <f>'SAN LUONG'!AI455</f>
        <v>339</v>
      </c>
      <c r="AN62" s="541">
        <f t="shared" si="8"/>
        <v>647</v>
      </c>
      <c r="AO62" s="553">
        <f t="shared" si="9"/>
        <v>143763</v>
      </c>
      <c r="AP62" s="541">
        <f t="shared" ref="AP62:AP89" si="17">AL62+AM62</f>
        <v>829</v>
      </c>
      <c r="AQ62" s="553">
        <f t="shared" si="10"/>
        <v>165966</v>
      </c>
      <c r="AR62" s="553">
        <f t="shared" si="11"/>
        <v>309729</v>
      </c>
      <c r="AS62" s="556"/>
      <c r="AT62" s="556"/>
      <c r="AU62" s="556"/>
      <c r="AV62" s="556">
        <f t="shared" si="12"/>
        <v>564729</v>
      </c>
      <c r="AW62" s="564">
        <f t="shared" si="15"/>
        <v>564729</v>
      </c>
      <c r="AX62" s="565"/>
      <c r="AY62" s="566">
        <f t="shared" si="13"/>
        <v>17.68</v>
      </c>
      <c r="AZ62" s="567"/>
    </row>
    <row r="63" spans="1:52" s="483" customFormat="1" ht="31.95" customHeight="1">
      <c r="A63" s="503">
        <v>54</v>
      </c>
      <c r="B63" s="504">
        <v>11</v>
      </c>
      <c r="C63" s="447">
        <v>430</v>
      </c>
      <c r="D63" s="506"/>
      <c r="E63" s="506"/>
      <c r="F63" s="507"/>
      <c r="G63" s="508" t="str">
        <f>'Tên Tháng 1'!E445</f>
        <v>អ៊ឹម អាន</v>
      </c>
      <c r="H63" s="509" t="str">
        <f>'Tên Tháng 1'!F445</f>
        <v>OEM AN</v>
      </c>
      <c r="I63" s="519" t="str">
        <f>'CHAM CONG'!G455</f>
        <v>x</v>
      </c>
      <c r="J63" s="519" t="str">
        <f>'CHAM CONG'!H455</f>
        <v>x</v>
      </c>
      <c r="K63" s="519" t="str">
        <f>'CHAM CONG'!I455</f>
        <v>x</v>
      </c>
      <c r="L63" s="519">
        <f>'CHAM CONG'!J455</f>
        <v>0</v>
      </c>
      <c r="M63" s="519" t="str">
        <f>'CHAM CONG'!K455</f>
        <v>x</v>
      </c>
      <c r="N63" s="519" t="str">
        <f>'CHAM CONG'!L455</f>
        <v>x</v>
      </c>
      <c r="O63" s="519" t="str">
        <f>'CHAM CONG'!M455</f>
        <v>x</v>
      </c>
      <c r="P63" s="519" t="str">
        <f>'CHAM CONG'!N455</f>
        <v>x</v>
      </c>
      <c r="Q63" s="519" t="str">
        <f>'CHAM CONG'!O455</f>
        <v>x</v>
      </c>
      <c r="R63" s="519" t="str">
        <f>'CHAM CONG'!P455</f>
        <v>x</v>
      </c>
      <c r="S63" s="519" t="str">
        <f>'CHAM CONG'!Q455</f>
        <v>x</v>
      </c>
      <c r="T63" s="519" t="str">
        <f>'CHAM CONG'!R455</f>
        <v>x</v>
      </c>
      <c r="U63" s="519" t="str">
        <f>'CHAM CONG'!S455</f>
        <v>x</v>
      </c>
      <c r="V63" s="519" t="str">
        <f>'CHAM CONG'!T455</f>
        <v>x</v>
      </c>
      <c r="W63" s="519" t="str">
        <f>'CHAM CONG'!U455</f>
        <v>x</v>
      </c>
      <c r="X63" s="525"/>
      <c r="Y63" s="525"/>
      <c r="Z63" s="535">
        <f t="shared" si="1"/>
        <v>14</v>
      </c>
      <c r="AA63" s="536"/>
      <c r="AB63" s="537">
        <f t="shared" si="2"/>
        <v>224000</v>
      </c>
      <c r="AC63" s="537"/>
      <c r="AD63" s="537" t="str">
        <f>'CHAM CONG'!Y455</f>
        <v>x</v>
      </c>
      <c r="AE63" s="535">
        <f t="shared" si="3"/>
        <v>1</v>
      </c>
      <c r="AF63" s="537">
        <f t="shared" si="4"/>
        <v>17000</v>
      </c>
      <c r="AG63" s="537">
        <f t="shared" si="5"/>
        <v>14</v>
      </c>
      <c r="AH63" s="537">
        <f t="shared" si="6"/>
        <v>14000</v>
      </c>
      <c r="AI63" s="537">
        <f t="shared" si="7"/>
        <v>255000</v>
      </c>
      <c r="AJ63" s="519">
        <f>'SAN LUONG'!AF456</f>
        <v>272</v>
      </c>
      <c r="AK63" s="519">
        <f>'SAN LUONG'!AG456</f>
        <v>324</v>
      </c>
      <c r="AL63" s="542">
        <f>'SAN LUONG'!AH456</f>
        <v>452</v>
      </c>
      <c r="AM63" s="542">
        <f>'SAN LUONG'!AI456</f>
        <v>368</v>
      </c>
      <c r="AN63" s="541">
        <f t="shared" si="8"/>
        <v>596</v>
      </c>
      <c r="AO63" s="553">
        <f t="shared" si="9"/>
        <v>132431</v>
      </c>
      <c r="AP63" s="541">
        <f t="shared" si="17"/>
        <v>820</v>
      </c>
      <c r="AQ63" s="553">
        <f t="shared" si="10"/>
        <v>164164</v>
      </c>
      <c r="AR63" s="553">
        <f t="shared" si="11"/>
        <v>296595</v>
      </c>
      <c r="AS63" s="556"/>
      <c r="AT63" s="556"/>
      <c r="AU63" s="556"/>
      <c r="AV63" s="556">
        <f t="shared" si="12"/>
        <v>551595</v>
      </c>
      <c r="AW63" s="564">
        <f t="shared" si="15"/>
        <v>551595</v>
      </c>
      <c r="AX63" s="565"/>
      <c r="AY63" s="566">
        <f t="shared" si="13"/>
        <v>17.27</v>
      </c>
      <c r="AZ63" s="567"/>
    </row>
    <row r="64" spans="1:52" s="483" customFormat="1" ht="31.95" customHeight="1">
      <c r="A64" s="503">
        <v>55</v>
      </c>
      <c r="B64" s="504">
        <v>11</v>
      </c>
      <c r="C64" s="447">
        <v>431</v>
      </c>
      <c r="D64" s="506"/>
      <c r="E64" s="506"/>
      <c r="F64" s="507"/>
      <c r="G64" s="508" t="str">
        <f>'Tên Tháng 1'!E446</f>
        <v>យី អាន់</v>
      </c>
      <c r="H64" s="509" t="str">
        <f>'Tên Tháng 1'!F446</f>
        <v>YI ANN</v>
      </c>
      <c r="I64" s="519" t="str">
        <f>'CHAM CONG'!G456</f>
        <v>x</v>
      </c>
      <c r="J64" s="519" t="str">
        <f>'CHAM CONG'!H456</f>
        <v>x</v>
      </c>
      <c r="K64" s="519" t="str">
        <f>'CHAM CONG'!I456</f>
        <v>x</v>
      </c>
      <c r="L64" s="519">
        <f>'CHAM CONG'!J456</f>
        <v>0</v>
      </c>
      <c r="M64" s="519" t="str">
        <f>'CHAM CONG'!K456</f>
        <v>x</v>
      </c>
      <c r="N64" s="519" t="str">
        <f>'CHAM CONG'!L456</f>
        <v>x</v>
      </c>
      <c r="O64" s="519" t="str">
        <f>'CHAM CONG'!M456</f>
        <v>x</v>
      </c>
      <c r="P64" s="519" t="str">
        <f>'CHAM CONG'!N456</f>
        <v>x</v>
      </c>
      <c r="Q64" s="519" t="str">
        <f>'CHAM CONG'!O456</f>
        <v>x</v>
      </c>
      <c r="R64" s="519" t="str">
        <f>'CHAM CONG'!P456</f>
        <v>x</v>
      </c>
      <c r="S64" s="519" t="str">
        <f>'CHAM CONG'!Q456</f>
        <v>x</v>
      </c>
      <c r="T64" s="519" t="str">
        <f>'CHAM CONG'!R456</f>
        <v>x</v>
      </c>
      <c r="U64" s="519" t="str">
        <f>'CHAM CONG'!S456</f>
        <v>x</v>
      </c>
      <c r="V64" s="519" t="str">
        <f>'CHAM CONG'!T456</f>
        <v>x</v>
      </c>
      <c r="W64" s="519" t="str">
        <f>'CHAM CONG'!U456</f>
        <v>x</v>
      </c>
      <c r="X64" s="525"/>
      <c r="Y64" s="525"/>
      <c r="Z64" s="535">
        <f t="shared" si="1"/>
        <v>14</v>
      </c>
      <c r="AA64" s="536"/>
      <c r="AB64" s="537">
        <f t="shared" si="2"/>
        <v>224000</v>
      </c>
      <c r="AC64" s="537"/>
      <c r="AD64" s="537" t="str">
        <f>'CHAM CONG'!Y456</f>
        <v>x</v>
      </c>
      <c r="AE64" s="535">
        <f t="shared" si="3"/>
        <v>1</v>
      </c>
      <c r="AF64" s="537">
        <f t="shared" si="4"/>
        <v>17000</v>
      </c>
      <c r="AG64" s="537">
        <f t="shared" si="5"/>
        <v>14</v>
      </c>
      <c r="AH64" s="537">
        <f t="shared" si="6"/>
        <v>14000</v>
      </c>
      <c r="AI64" s="537">
        <f t="shared" si="7"/>
        <v>255000</v>
      </c>
      <c r="AJ64" s="519">
        <f>'SAN LUONG'!AF457</f>
        <v>352</v>
      </c>
      <c r="AK64" s="519">
        <f>'SAN LUONG'!AG457</f>
        <v>425</v>
      </c>
      <c r="AL64" s="542">
        <f>'SAN LUONG'!AH457</f>
        <v>419</v>
      </c>
      <c r="AM64" s="542">
        <f>'SAN LUONG'!AI457</f>
        <v>347</v>
      </c>
      <c r="AN64" s="541">
        <f t="shared" si="8"/>
        <v>777</v>
      </c>
      <c r="AO64" s="553">
        <f t="shared" si="9"/>
        <v>172649</v>
      </c>
      <c r="AP64" s="541">
        <f t="shared" si="17"/>
        <v>766</v>
      </c>
      <c r="AQ64" s="553">
        <f t="shared" si="10"/>
        <v>153353</v>
      </c>
      <c r="AR64" s="553">
        <f t="shared" si="11"/>
        <v>326002</v>
      </c>
      <c r="AS64" s="556"/>
      <c r="AT64" s="556"/>
      <c r="AU64" s="556"/>
      <c r="AV64" s="556">
        <f t="shared" si="12"/>
        <v>581002</v>
      </c>
      <c r="AW64" s="564">
        <f t="shared" si="15"/>
        <v>581002</v>
      </c>
      <c r="AX64" s="565"/>
      <c r="AY64" s="566">
        <f t="shared" si="13"/>
        <v>18.190000000000001</v>
      </c>
      <c r="AZ64" s="567"/>
    </row>
    <row r="65" spans="1:52" s="483" customFormat="1" ht="31.95" customHeight="1">
      <c r="A65" s="503">
        <v>56</v>
      </c>
      <c r="B65" s="504">
        <v>11</v>
      </c>
      <c r="C65" s="447">
        <v>432</v>
      </c>
      <c r="D65" s="506"/>
      <c r="E65" s="506"/>
      <c r="F65" s="507"/>
      <c r="G65" s="508" t="str">
        <f>'Tên Tháng 1'!E447</f>
        <v>ជិន ជុំ</v>
      </c>
      <c r="H65" s="509" t="str">
        <f>'Tên Tháng 1'!F447</f>
        <v>CHIN CHUM</v>
      </c>
      <c r="I65" s="519" t="str">
        <f>'CHAM CONG'!G457</f>
        <v>x</v>
      </c>
      <c r="J65" s="519" t="str">
        <f>'CHAM CONG'!H457</f>
        <v>x</v>
      </c>
      <c r="K65" s="519" t="str">
        <f>'CHAM CONG'!I457</f>
        <v>x</v>
      </c>
      <c r="L65" s="519">
        <f>'CHAM CONG'!J457</f>
        <v>0</v>
      </c>
      <c r="M65" s="519" t="str">
        <f>'CHAM CONG'!K457</f>
        <v>x</v>
      </c>
      <c r="N65" s="519" t="str">
        <f>'CHAM CONG'!L457</f>
        <v>x</v>
      </c>
      <c r="O65" s="519" t="str">
        <f>'CHAM CONG'!M457</f>
        <v>x</v>
      </c>
      <c r="P65" s="519" t="str">
        <f>'CHAM CONG'!N457</f>
        <v>x</v>
      </c>
      <c r="Q65" s="519" t="str">
        <f>'CHAM CONG'!O457</f>
        <v>x</v>
      </c>
      <c r="R65" s="519" t="str">
        <f>'CHAM CONG'!P457</f>
        <v>x</v>
      </c>
      <c r="S65" s="519" t="str">
        <f>'CHAM CONG'!Q457</f>
        <v>x</v>
      </c>
      <c r="T65" s="519" t="str">
        <f>'CHAM CONG'!R457</f>
        <v>x</v>
      </c>
      <c r="U65" s="519" t="str">
        <f>'CHAM CONG'!S457</f>
        <v>x</v>
      </c>
      <c r="V65" s="519" t="str">
        <f>'CHAM CONG'!T457</f>
        <v>x</v>
      </c>
      <c r="W65" s="519" t="str">
        <f>'CHAM CONG'!U457</f>
        <v>x</v>
      </c>
      <c r="X65" s="525"/>
      <c r="Y65" s="525"/>
      <c r="Z65" s="535">
        <f t="shared" si="1"/>
        <v>14</v>
      </c>
      <c r="AA65" s="536"/>
      <c r="AB65" s="537">
        <f t="shared" si="2"/>
        <v>224000</v>
      </c>
      <c r="AC65" s="537"/>
      <c r="AD65" s="537">
        <f>'CHAM CONG'!Y457</f>
        <v>0</v>
      </c>
      <c r="AE65" s="535">
        <f t="shared" si="3"/>
        <v>0</v>
      </c>
      <c r="AF65" s="537">
        <f t="shared" si="4"/>
        <v>0</v>
      </c>
      <c r="AG65" s="537">
        <f t="shared" si="5"/>
        <v>14</v>
      </c>
      <c r="AH65" s="537">
        <f t="shared" si="6"/>
        <v>14000</v>
      </c>
      <c r="AI65" s="537">
        <f t="shared" si="7"/>
        <v>238000</v>
      </c>
      <c r="AJ65" s="519">
        <f>'SAN LUONG'!AF458</f>
        <v>348</v>
      </c>
      <c r="AK65" s="519">
        <f>'SAN LUONG'!AG458</f>
        <v>649</v>
      </c>
      <c r="AL65" s="542">
        <f>'SAN LUONG'!AH458</f>
        <v>506</v>
      </c>
      <c r="AM65" s="542">
        <f>'SAN LUONG'!AI458</f>
        <v>485</v>
      </c>
      <c r="AN65" s="541">
        <f t="shared" si="8"/>
        <v>997</v>
      </c>
      <c r="AO65" s="553">
        <f t="shared" si="9"/>
        <v>221533</v>
      </c>
      <c r="AP65" s="541">
        <f t="shared" si="17"/>
        <v>991</v>
      </c>
      <c r="AQ65" s="553">
        <f t="shared" si="10"/>
        <v>198398</v>
      </c>
      <c r="AR65" s="553">
        <f t="shared" si="11"/>
        <v>419931</v>
      </c>
      <c r="AS65" s="556"/>
      <c r="AT65" s="556"/>
      <c r="AU65" s="556"/>
      <c r="AV65" s="556">
        <f t="shared" si="12"/>
        <v>657931</v>
      </c>
      <c r="AW65" s="564">
        <f t="shared" si="15"/>
        <v>657931</v>
      </c>
      <c r="AX65" s="565"/>
      <c r="AY65" s="566">
        <f t="shared" si="13"/>
        <v>20.59</v>
      </c>
      <c r="AZ65" s="567"/>
    </row>
    <row r="66" spans="1:52" s="483" customFormat="1" ht="31.95" customHeight="1">
      <c r="A66" s="503">
        <v>57</v>
      </c>
      <c r="B66" s="504">
        <v>11</v>
      </c>
      <c r="C66" s="447">
        <v>433</v>
      </c>
      <c r="D66" s="506"/>
      <c r="E66" s="506"/>
      <c r="F66" s="507"/>
      <c r="G66" s="508" t="str">
        <f>'Tên Tháng 1'!E448</f>
        <v>ស៊ុំ សាលី</v>
      </c>
      <c r="H66" s="509" t="str">
        <f>'Tên Tháng 1'!F448</f>
        <v>SUM SALY</v>
      </c>
      <c r="I66" s="519" t="str">
        <f>'CHAM CONG'!G458</f>
        <v>x</v>
      </c>
      <c r="J66" s="519" t="str">
        <f>'CHAM CONG'!H458</f>
        <v>x</v>
      </c>
      <c r="K66" s="519" t="str">
        <f>'CHAM CONG'!I458</f>
        <v>x</v>
      </c>
      <c r="L66" s="519">
        <f>'CHAM CONG'!J458</f>
        <v>0</v>
      </c>
      <c r="M66" s="519" t="str">
        <f>'CHAM CONG'!K458</f>
        <v>x</v>
      </c>
      <c r="N66" s="519" t="str">
        <f>'CHAM CONG'!L458</f>
        <v>x</v>
      </c>
      <c r="O66" s="519" t="str">
        <f>'CHAM CONG'!M458</f>
        <v>x</v>
      </c>
      <c r="P66" s="519" t="str">
        <f>'CHAM CONG'!N458</f>
        <v>x</v>
      </c>
      <c r="Q66" s="519" t="str">
        <f>'CHAM CONG'!O458</f>
        <v>x</v>
      </c>
      <c r="R66" s="519" t="str">
        <f>'CHAM CONG'!P458</f>
        <v>x</v>
      </c>
      <c r="S66" s="519" t="str">
        <f>'CHAM CONG'!Q458</f>
        <v>x</v>
      </c>
      <c r="T66" s="519" t="str">
        <f>'CHAM CONG'!R458</f>
        <v>x</v>
      </c>
      <c r="U66" s="519" t="str">
        <f>'CHAM CONG'!S458</f>
        <v>x</v>
      </c>
      <c r="V66" s="519" t="str">
        <f>'CHAM CONG'!T458</f>
        <v>x</v>
      </c>
      <c r="W66" s="519" t="str">
        <f>'CHAM CONG'!U458</f>
        <v>x</v>
      </c>
      <c r="X66" s="525"/>
      <c r="Y66" s="525"/>
      <c r="Z66" s="535">
        <f t="shared" si="1"/>
        <v>14</v>
      </c>
      <c r="AA66" s="536"/>
      <c r="AB66" s="537">
        <f t="shared" si="2"/>
        <v>224000</v>
      </c>
      <c r="AC66" s="537"/>
      <c r="AD66" s="537">
        <f>'CHAM CONG'!Y458</f>
        <v>0</v>
      </c>
      <c r="AE66" s="535">
        <f t="shared" si="3"/>
        <v>0</v>
      </c>
      <c r="AF66" s="537">
        <f t="shared" si="4"/>
        <v>0</v>
      </c>
      <c r="AG66" s="537">
        <f t="shared" si="5"/>
        <v>14</v>
      </c>
      <c r="AH66" s="537">
        <f t="shared" si="6"/>
        <v>14000</v>
      </c>
      <c r="AI66" s="537">
        <f t="shared" si="7"/>
        <v>238000</v>
      </c>
      <c r="AJ66" s="519">
        <f>'SAN LUONG'!AF459</f>
        <v>313</v>
      </c>
      <c r="AK66" s="519">
        <f>'SAN LUONG'!AG459</f>
        <v>583</v>
      </c>
      <c r="AL66" s="542">
        <f>'SAN LUONG'!AH459</f>
        <v>495</v>
      </c>
      <c r="AM66" s="542">
        <f>'SAN LUONG'!AI459</f>
        <v>553</v>
      </c>
      <c r="AN66" s="541">
        <f t="shared" si="8"/>
        <v>896</v>
      </c>
      <c r="AO66" s="553">
        <f t="shared" si="9"/>
        <v>199091</v>
      </c>
      <c r="AP66" s="541">
        <f t="shared" si="17"/>
        <v>1048</v>
      </c>
      <c r="AQ66" s="553">
        <f t="shared" si="10"/>
        <v>209810</v>
      </c>
      <c r="AR66" s="553">
        <f t="shared" si="11"/>
        <v>408901</v>
      </c>
      <c r="AS66" s="556"/>
      <c r="AT66" s="556"/>
      <c r="AU66" s="556"/>
      <c r="AV66" s="556">
        <f t="shared" si="12"/>
        <v>646901</v>
      </c>
      <c r="AW66" s="564">
        <f t="shared" si="15"/>
        <v>646901</v>
      </c>
      <c r="AX66" s="565"/>
      <c r="AY66" s="566">
        <f t="shared" si="13"/>
        <v>20.25</v>
      </c>
      <c r="AZ66" s="567"/>
    </row>
    <row r="67" spans="1:52" s="483" customFormat="1" ht="31.95" customHeight="1">
      <c r="A67" s="503">
        <v>58</v>
      </c>
      <c r="B67" s="504">
        <v>11</v>
      </c>
      <c r="C67" s="447">
        <v>434</v>
      </c>
      <c r="D67" s="506"/>
      <c r="E67" s="506"/>
      <c r="F67" s="507"/>
      <c r="G67" s="508" t="str">
        <f>'Tên Tháng 1'!E449</f>
        <v>យី​ វណ្ណី</v>
      </c>
      <c r="H67" s="509" t="str">
        <f>'Tên Tháng 1'!F449</f>
        <v>YI VANNY</v>
      </c>
      <c r="I67" s="519">
        <f>'CHAM CONG'!G459</f>
        <v>0</v>
      </c>
      <c r="J67" s="519" t="str">
        <f>'CHAM CONG'!H459</f>
        <v>x</v>
      </c>
      <c r="K67" s="519" t="str">
        <f>'CHAM CONG'!I459</f>
        <v>x</v>
      </c>
      <c r="L67" s="519">
        <f>'CHAM CONG'!J459</f>
        <v>0</v>
      </c>
      <c r="M67" s="519">
        <f>'CHAM CONG'!K459</f>
        <v>0</v>
      </c>
      <c r="N67" s="519" t="str">
        <f>'CHAM CONG'!L459</f>
        <v>x</v>
      </c>
      <c r="O67" s="519" t="str">
        <f>'CHAM CONG'!M459</f>
        <v>x</v>
      </c>
      <c r="P67" s="519" t="str">
        <f>'CHAM CONG'!N459</f>
        <v>x</v>
      </c>
      <c r="Q67" s="519" t="str">
        <f>'CHAM CONG'!O459</f>
        <v>x</v>
      </c>
      <c r="R67" s="519" t="str">
        <f>'CHAM CONG'!P459</f>
        <v>x</v>
      </c>
      <c r="S67" s="519" t="str">
        <f>'CHAM CONG'!Q459</f>
        <v>x</v>
      </c>
      <c r="T67" s="519" t="str">
        <f>'CHAM CONG'!R459</f>
        <v>x</v>
      </c>
      <c r="U67" s="519" t="str">
        <f>'CHAM CONG'!S459</f>
        <v>x</v>
      </c>
      <c r="V67" s="519" t="str">
        <f>'CHAM CONG'!T459</f>
        <v>x</v>
      </c>
      <c r="W67" s="519" t="str">
        <f>'CHAM CONG'!U459</f>
        <v>x</v>
      </c>
      <c r="X67" s="525"/>
      <c r="Y67" s="525"/>
      <c r="Z67" s="535">
        <f t="shared" si="1"/>
        <v>12</v>
      </c>
      <c r="AA67" s="536"/>
      <c r="AB67" s="537">
        <f t="shared" si="2"/>
        <v>192000</v>
      </c>
      <c r="AC67" s="537"/>
      <c r="AD67" s="537" t="str">
        <f>'CHAM CONG'!Y459</f>
        <v>x</v>
      </c>
      <c r="AE67" s="535">
        <f t="shared" si="3"/>
        <v>1</v>
      </c>
      <c r="AF67" s="537">
        <f t="shared" si="4"/>
        <v>17000</v>
      </c>
      <c r="AG67" s="537">
        <f t="shared" si="5"/>
        <v>12</v>
      </c>
      <c r="AH67" s="537">
        <f t="shared" si="6"/>
        <v>12000</v>
      </c>
      <c r="AI67" s="537">
        <f t="shared" si="7"/>
        <v>221000</v>
      </c>
      <c r="AJ67" s="519">
        <f>'SAN LUONG'!AF460</f>
        <v>280</v>
      </c>
      <c r="AK67" s="519">
        <f>'SAN LUONG'!AG460</f>
        <v>252</v>
      </c>
      <c r="AL67" s="542">
        <f>'SAN LUONG'!AH460</f>
        <v>477</v>
      </c>
      <c r="AM67" s="542">
        <f>'SAN LUONG'!AI460</f>
        <v>340</v>
      </c>
      <c r="AN67" s="541">
        <f t="shared" si="8"/>
        <v>532</v>
      </c>
      <c r="AO67" s="553">
        <f t="shared" si="9"/>
        <v>118210</v>
      </c>
      <c r="AP67" s="541">
        <f t="shared" si="17"/>
        <v>817</v>
      </c>
      <c r="AQ67" s="553">
        <f t="shared" si="10"/>
        <v>163563</v>
      </c>
      <c r="AR67" s="553">
        <f t="shared" si="11"/>
        <v>281773</v>
      </c>
      <c r="AS67" s="556"/>
      <c r="AT67" s="556"/>
      <c r="AU67" s="556"/>
      <c r="AV67" s="556">
        <f t="shared" si="12"/>
        <v>502773</v>
      </c>
      <c r="AW67" s="564">
        <f t="shared" si="15"/>
        <v>502773</v>
      </c>
      <c r="AX67" s="565"/>
      <c r="AY67" s="566">
        <f t="shared" si="13"/>
        <v>15.74</v>
      </c>
      <c r="AZ67" s="567"/>
    </row>
    <row r="68" spans="1:52" s="483" customFormat="1" ht="31.95" customHeight="1">
      <c r="A68" s="503">
        <v>59</v>
      </c>
      <c r="B68" s="504">
        <v>11</v>
      </c>
      <c r="C68" s="447">
        <v>435</v>
      </c>
      <c r="D68" s="506"/>
      <c r="E68" s="506"/>
      <c r="F68" s="507"/>
      <c r="G68" s="508" t="str">
        <f>'Tên Tháng 1'!E450</f>
        <v>ស្រី ឈួង</v>
      </c>
      <c r="H68" s="509" t="str">
        <f>'Tên Tháng 1'!F450</f>
        <v>SREY CHHUONG</v>
      </c>
      <c r="I68" s="519">
        <f>'CHAM CONG'!G460</f>
        <v>0</v>
      </c>
      <c r="J68" s="519" t="str">
        <f>'CHAM CONG'!H460</f>
        <v>x</v>
      </c>
      <c r="K68" s="519" t="str">
        <f>'CHAM CONG'!I460</f>
        <v>x</v>
      </c>
      <c r="L68" s="519">
        <f>'CHAM CONG'!J460</f>
        <v>0</v>
      </c>
      <c r="M68" s="519" t="str">
        <f>'CHAM CONG'!K460</f>
        <v>x</v>
      </c>
      <c r="N68" s="519" t="str">
        <f>'CHAM CONG'!L460</f>
        <v>x</v>
      </c>
      <c r="O68" s="519" t="str">
        <f>'CHAM CONG'!M460</f>
        <v>x</v>
      </c>
      <c r="P68" s="519" t="str">
        <f>'CHAM CONG'!N460</f>
        <v>x</v>
      </c>
      <c r="Q68" s="519" t="str">
        <f>'CHAM CONG'!O460</f>
        <v>x</v>
      </c>
      <c r="R68" s="519" t="str">
        <f>'CHAM CONG'!P460</f>
        <v>x</v>
      </c>
      <c r="S68" s="519">
        <f>'CHAM CONG'!Q460</f>
        <v>0</v>
      </c>
      <c r="T68" s="519" t="str">
        <f>'CHAM CONG'!R460</f>
        <v>x</v>
      </c>
      <c r="U68" s="519" t="str">
        <f>'CHAM CONG'!S460</f>
        <v>x</v>
      </c>
      <c r="V68" s="519" t="str">
        <f>'CHAM CONG'!T460</f>
        <v>x</v>
      </c>
      <c r="W68" s="519" t="str">
        <f>'CHAM CONG'!U460</f>
        <v>x</v>
      </c>
      <c r="X68" s="525"/>
      <c r="Y68" s="525"/>
      <c r="Z68" s="535">
        <f t="shared" si="1"/>
        <v>12</v>
      </c>
      <c r="AA68" s="536"/>
      <c r="AB68" s="537">
        <f t="shared" si="2"/>
        <v>192000</v>
      </c>
      <c r="AC68" s="537"/>
      <c r="AD68" s="537" t="str">
        <f>'CHAM CONG'!Y460</f>
        <v>x</v>
      </c>
      <c r="AE68" s="535">
        <f t="shared" si="3"/>
        <v>1</v>
      </c>
      <c r="AF68" s="537">
        <f t="shared" si="4"/>
        <v>17000</v>
      </c>
      <c r="AG68" s="537">
        <f t="shared" si="5"/>
        <v>12</v>
      </c>
      <c r="AH68" s="537">
        <f t="shared" si="6"/>
        <v>12000</v>
      </c>
      <c r="AI68" s="537">
        <f t="shared" si="7"/>
        <v>221000</v>
      </c>
      <c r="AJ68" s="519">
        <f>'SAN LUONG'!AF461</f>
        <v>303</v>
      </c>
      <c r="AK68" s="519">
        <f>'SAN LUONG'!AG461</f>
        <v>173</v>
      </c>
      <c r="AL68" s="542">
        <f>'SAN LUONG'!AH461</f>
        <v>435</v>
      </c>
      <c r="AM68" s="542">
        <f>'SAN LUONG'!AI461</f>
        <v>587</v>
      </c>
      <c r="AN68" s="541">
        <f t="shared" si="8"/>
        <v>476</v>
      </c>
      <c r="AO68" s="553">
        <f t="shared" si="9"/>
        <v>105767</v>
      </c>
      <c r="AP68" s="541">
        <f t="shared" si="17"/>
        <v>1022</v>
      </c>
      <c r="AQ68" s="553">
        <f t="shared" si="10"/>
        <v>204604</v>
      </c>
      <c r="AR68" s="553">
        <f t="shared" si="11"/>
        <v>310371</v>
      </c>
      <c r="AS68" s="556"/>
      <c r="AT68" s="556"/>
      <c r="AU68" s="556"/>
      <c r="AV68" s="556">
        <f t="shared" si="12"/>
        <v>531371</v>
      </c>
      <c r="AW68" s="564">
        <f t="shared" si="15"/>
        <v>531371</v>
      </c>
      <c r="AX68" s="565"/>
      <c r="AY68" s="566">
        <f t="shared" si="13"/>
        <v>16.63</v>
      </c>
      <c r="AZ68" s="567"/>
    </row>
    <row r="69" spans="1:52" s="483" customFormat="1" ht="31.95" customHeight="1">
      <c r="A69" s="503">
        <v>60</v>
      </c>
      <c r="B69" s="504">
        <v>11</v>
      </c>
      <c r="C69" s="447">
        <v>436</v>
      </c>
      <c r="D69" s="506"/>
      <c r="E69" s="506"/>
      <c r="F69" s="507"/>
      <c r="G69" s="508" t="str">
        <f>'Tên Tháng 1'!E451</f>
        <v>សឿន សាន</v>
      </c>
      <c r="H69" s="509" t="str">
        <f>'Tên Tháng 1'!F451</f>
        <v>SOEUN SAN</v>
      </c>
      <c r="I69" s="519">
        <f>'CHAM CONG'!G461</f>
        <v>0</v>
      </c>
      <c r="J69" s="519" t="str">
        <f>'CHAM CONG'!H461</f>
        <v>x</v>
      </c>
      <c r="K69" s="519" t="str">
        <f>'CHAM CONG'!I461</f>
        <v>x</v>
      </c>
      <c r="L69" s="519">
        <f>'CHAM CONG'!J461</f>
        <v>0</v>
      </c>
      <c r="M69" s="519">
        <f>'CHAM CONG'!K461</f>
        <v>0</v>
      </c>
      <c r="N69" s="519" t="str">
        <f>'CHAM CONG'!L461</f>
        <v>x</v>
      </c>
      <c r="O69" s="519" t="str">
        <f>'CHAM CONG'!M461</f>
        <v>x</v>
      </c>
      <c r="P69" s="519" t="str">
        <f>'CHAM CONG'!N461</f>
        <v>x</v>
      </c>
      <c r="Q69" s="519" t="str">
        <f>'CHAM CONG'!O461</f>
        <v>x</v>
      </c>
      <c r="R69" s="519" t="str">
        <f>'CHAM CONG'!P461</f>
        <v>x</v>
      </c>
      <c r="S69" s="519" t="str">
        <f>'CHAM CONG'!Q461</f>
        <v>x</v>
      </c>
      <c r="T69" s="519" t="str">
        <f>'CHAM CONG'!R461</f>
        <v>x</v>
      </c>
      <c r="U69" s="519" t="str">
        <f>'CHAM CONG'!S461</f>
        <v>x</v>
      </c>
      <c r="V69" s="519" t="str">
        <f>'CHAM CONG'!T461</f>
        <v>x</v>
      </c>
      <c r="W69" s="519" t="str">
        <f>'CHAM CONG'!U461</f>
        <v>x</v>
      </c>
      <c r="X69" s="525"/>
      <c r="Y69" s="525"/>
      <c r="Z69" s="535">
        <f t="shared" si="1"/>
        <v>12</v>
      </c>
      <c r="AA69" s="536"/>
      <c r="AB69" s="537">
        <f t="shared" si="2"/>
        <v>192000</v>
      </c>
      <c r="AC69" s="537"/>
      <c r="AD69" s="537" t="str">
        <f>'CHAM CONG'!Y461</f>
        <v>x</v>
      </c>
      <c r="AE69" s="535">
        <f t="shared" si="3"/>
        <v>1</v>
      </c>
      <c r="AF69" s="537">
        <f t="shared" si="4"/>
        <v>17000</v>
      </c>
      <c r="AG69" s="537">
        <f t="shared" si="5"/>
        <v>12</v>
      </c>
      <c r="AH69" s="537">
        <f t="shared" si="6"/>
        <v>12000</v>
      </c>
      <c r="AI69" s="537">
        <f t="shared" si="7"/>
        <v>221000</v>
      </c>
      <c r="AJ69" s="519">
        <f>'SAN LUONG'!AF462</f>
        <v>202</v>
      </c>
      <c r="AK69" s="519">
        <f>'SAN LUONG'!AG462</f>
        <v>252</v>
      </c>
      <c r="AL69" s="542">
        <f>'SAN LUONG'!AH462</f>
        <v>482</v>
      </c>
      <c r="AM69" s="542">
        <f>'SAN LUONG'!AI462</f>
        <v>382</v>
      </c>
      <c r="AN69" s="541">
        <f t="shared" si="8"/>
        <v>454</v>
      </c>
      <c r="AO69" s="553">
        <f t="shared" si="9"/>
        <v>100879</v>
      </c>
      <c r="AP69" s="541">
        <f t="shared" si="17"/>
        <v>864</v>
      </c>
      <c r="AQ69" s="553">
        <f t="shared" si="10"/>
        <v>172973</v>
      </c>
      <c r="AR69" s="553">
        <f t="shared" si="11"/>
        <v>273852</v>
      </c>
      <c r="AS69" s="556"/>
      <c r="AT69" s="556"/>
      <c r="AU69" s="556"/>
      <c r="AV69" s="556">
        <f t="shared" si="12"/>
        <v>494852</v>
      </c>
      <c r="AW69" s="564">
        <f t="shared" si="15"/>
        <v>494852</v>
      </c>
      <c r="AX69" s="565"/>
      <c r="AY69" s="566">
        <f t="shared" si="13"/>
        <v>15.49</v>
      </c>
      <c r="AZ69" s="567"/>
    </row>
    <row r="70" spans="1:52" s="483" customFormat="1" ht="31.95" customHeight="1">
      <c r="A70" s="503">
        <v>61</v>
      </c>
      <c r="B70" s="504">
        <v>11</v>
      </c>
      <c r="C70" s="447">
        <v>437</v>
      </c>
      <c r="D70" s="506"/>
      <c r="E70" s="506"/>
      <c r="F70" s="507"/>
      <c r="G70" s="508" t="str">
        <f>'Tên Tháng 1'!E452</f>
        <v>យួត លៀ</v>
      </c>
      <c r="H70" s="509" t="str">
        <f>'Tên Tháng 1'!F452</f>
        <v>YOUT LEA</v>
      </c>
      <c r="I70" s="519">
        <f>'CHAM CONG'!G462</f>
        <v>0</v>
      </c>
      <c r="J70" s="519" t="str">
        <f>'CHAM CONG'!H462</f>
        <v>x</v>
      </c>
      <c r="K70" s="519" t="str">
        <f>'CHAM CONG'!I462</f>
        <v>x</v>
      </c>
      <c r="L70" s="519">
        <f>'CHAM CONG'!J462</f>
        <v>0</v>
      </c>
      <c r="M70" s="519" t="str">
        <f>'CHAM CONG'!K462</f>
        <v>x</v>
      </c>
      <c r="N70" s="519" t="str">
        <f>'CHAM CONG'!L462</f>
        <v>x</v>
      </c>
      <c r="O70" s="519" t="str">
        <f>'CHAM CONG'!M462</f>
        <v>x</v>
      </c>
      <c r="P70" s="519" t="str">
        <f>'CHAM CONG'!N462</f>
        <v>x</v>
      </c>
      <c r="Q70" s="519" t="str">
        <f>'CHAM CONG'!O462</f>
        <v>x</v>
      </c>
      <c r="R70" s="519" t="str">
        <f>'CHAM CONG'!P462</f>
        <v>x</v>
      </c>
      <c r="S70" s="519" t="str">
        <f>'CHAM CONG'!Q462</f>
        <v>x</v>
      </c>
      <c r="T70" s="519" t="str">
        <f>'CHAM CONG'!R462</f>
        <v>x</v>
      </c>
      <c r="U70" s="519" t="str">
        <f>'CHAM CONG'!S462</f>
        <v>x</v>
      </c>
      <c r="V70" s="519" t="str">
        <f>'CHAM CONG'!T462</f>
        <v>x</v>
      </c>
      <c r="W70" s="519" t="str">
        <f>'CHAM CONG'!U462</f>
        <v>x</v>
      </c>
      <c r="X70" s="525"/>
      <c r="Y70" s="525"/>
      <c r="Z70" s="535">
        <f t="shared" si="1"/>
        <v>13</v>
      </c>
      <c r="AA70" s="536"/>
      <c r="AB70" s="537">
        <f t="shared" si="2"/>
        <v>208000</v>
      </c>
      <c r="AC70" s="537"/>
      <c r="AD70" s="537" t="str">
        <f>'CHAM CONG'!Y462</f>
        <v>x</v>
      </c>
      <c r="AE70" s="535">
        <f t="shared" si="3"/>
        <v>1</v>
      </c>
      <c r="AF70" s="537">
        <f t="shared" si="4"/>
        <v>17000</v>
      </c>
      <c r="AG70" s="537">
        <f t="shared" si="5"/>
        <v>13</v>
      </c>
      <c r="AH70" s="537">
        <f t="shared" si="6"/>
        <v>13000</v>
      </c>
      <c r="AI70" s="537">
        <f t="shared" si="7"/>
        <v>238000</v>
      </c>
      <c r="AJ70" s="519">
        <f>'SAN LUONG'!AF463</f>
        <v>205</v>
      </c>
      <c r="AK70" s="519">
        <f>'SAN LUONG'!AG463</f>
        <v>279</v>
      </c>
      <c r="AL70" s="542">
        <f>'SAN LUONG'!AH463</f>
        <v>472</v>
      </c>
      <c r="AM70" s="542">
        <f>'SAN LUONG'!AI463</f>
        <v>400</v>
      </c>
      <c r="AN70" s="541">
        <f t="shared" si="8"/>
        <v>484</v>
      </c>
      <c r="AO70" s="553">
        <f t="shared" si="9"/>
        <v>107545</v>
      </c>
      <c r="AP70" s="541">
        <f t="shared" si="17"/>
        <v>872</v>
      </c>
      <c r="AQ70" s="553">
        <f t="shared" si="10"/>
        <v>174574</v>
      </c>
      <c r="AR70" s="553">
        <f t="shared" si="11"/>
        <v>282119</v>
      </c>
      <c r="AS70" s="556"/>
      <c r="AT70" s="556"/>
      <c r="AU70" s="556"/>
      <c r="AV70" s="556">
        <f t="shared" si="12"/>
        <v>520119</v>
      </c>
      <c r="AW70" s="564">
        <f t="shared" si="15"/>
        <v>520119</v>
      </c>
      <c r="AX70" s="565"/>
      <c r="AY70" s="566">
        <f t="shared" si="13"/>
        <v>16.28</v>
      </c>
      <c r="AZ70" s="567"/>
    </row>
    <row r="71" spans="1:52" s="483" customFormat="1" ht="31.95" customHeight="1">
      <c r="A71" s="503">
        <v>62</v>
      </c>
      <c r="B71" s="504">
        <v>11</v>
      </c>
      <c r="C71" s="447">
        <v>438</v>
      </c>
      <c r="D71" s="506"/>
      <c r="E71" s="506"/>
      <c r="F71" s="507"/>
      <c r="G71" s="508" t="str">
        <f>'Tên Tháng 1'!E453</f>
        <v>ទី វេន</v>
      </c>
      <c r="H71" s="509" t="str">
        <f>'Tên Tháng 1'!F453</f>
        <v>TY VEN</v>
      </c>
      <c r="I71" s="519">
        <f>'CHAM CONG'!G463</f>
        <v>0</v>
      </c>
      <c r="J71" s="519" t="str">
        <f>'CHAM CONG'!H463</f>
        <v>x</v>
      </c>
      <c r="K71" s="519" t="str">
        <f>'CHAM CONG'!I463</f>
        <v>x</v>
      </c>
      <c r="L71" s="519">
        <f>'CHAM CONG'!J463</f>
        <v>0</v>
      </c>
      <c r="M71" s="519" t="str">
        <f>'CHAM CONG'!K463</f>
        <v>x</v>
      </c>
      <c r="N71" s="519" t="str">
        <f>'CHAM CONG'!L463</f>
        <v>x</v>
      </c>
      <c r="O71" s="519" t="str">
        <f>'CHAM CONG'!M463</f>
        <v>x</v>
      </c>
      <c r="P71" s="519" t="str">
        <f>'CHAM CONG'!N463</f>
        <v>x</v>
      </c>
      <c r="Q71" s="519" t="str">
        <f>'CHAM CONG'!O463</f>
        <v>x</v>
      </c>
      <c r="R71" s="519" t="str">
        <f>'CHAM CONG'!P463</f>
        <v>x</v>
      </c>
      <c r="S71" s="519" t="str">
        <f>'CHAM CONG'!Q463</f>
        <v>x</v>
      </c>
      <c r="T71" s="519" t="str">
        <f>'CHAM CONG'!R463</f>
        <v>x</v>
      </c>
      <c r="U71" s="519" t="str">
        <f>'CHAM CONG'!S463</f>
        <v>x</v>
      </c>
      <c r="V71" s="519" t="str">
        <f>'CHAM CONG'!T463</f>
        <v>x</v>
      </c>
      <c r="W71" s="519" t="str">
        <f>'CHAM CONG'!U463</f>
        <v>x</v>
      </c>
      <c r="X71" s="525"/>
      <c r="Y71" s="525"/>
      <c r="Z71" s="535">
        <f t="shared" si="1"/>
        <v>13</v>
      </c>
      <c r="AA71" s="536"/>
      <c r="AB71" s="537">
        <f t="shared" si="2"/>
        <v>208000</v>
      </c>
      <c r="AC71" s="537"/>
      <c r="AD71" s="537">
        <f>'CHAM CONG'!Y463</f>
        <v>0</v>
      </c>
      <c r="AE71" s="535">
        <f t="shared" si="3"/>
        <v>0</v>
      </c>
      <c r="AF71" s="537">
        <f t="shared" si="4"/>
        <v>0</v>
      </c>
      <c r="AG71" s="537">
        <f t="shared" si="5"/>
        <v>13</v>
      </c>
      <c r="AH71" s="537">
        <f t="shared" si="6"/>
        <v>13000</v>
      </c>
      <c r="AI71" s="537">
        <f t="shared" si="7"/>
        <v>221000</v>
      </c>
      <c r="AJ71" s="519">
        <f>'SAN LUONG'!AF464</f>
        <v>354</v>
      </c>
      <c r="AK71" s="519">
        <f>'SAN LUONG'!AG464</f>
        <v>409</v>
      </c>
      <c r="AL71" s="542">
        <f>'SAN LUONG'!AH464</f>
        <v>681</v>
      </c>
      <c r="AM71" s="542">
        <f>'SAN LUONG'!AI464</f>
        <v>350</v>
      </c>
      <c r="AN71" s="541">
        <f t="shared" si="8"/>
        <v>763</v>
      </c>
      <c r="AO71" s="553">
        <f t="shared" si="9"/>
        <v>169539</v>
      </c>
      <c r="AP71" s="541">
        <f t="shared" si="17"/>
        <v>1031</v>
      </c>
      <c r="AQ71" s="553">
        <f t="shared" si="10"/>
        <v>206406</v>
      </c>
      <c r="AR71" s="553">
        <f t="shared" si="11"/>
        <v>375945</v>
      </c>
      <c r="AS71" s="556"/>
      <c r="AT71" s="556"/>
      <c r="AU71" s="556"/>
      <c r="AV71" s="556">
        <f t="shared" si="12"/>
        <v>596945</v>
      </c>
      <c r="AW71" s="564">
        <f t="shared" si="15"/>
        <v>596945</v>
      </c>
      <c r="AX71" s="565"/>
      <c r="AY71" s="566">
        <f t="shared" si="13"/>
        <v>18.690000000000001</v>
      </c>
      <c r="AZ71" s="567"/>
    </row>
    <row r="72" spans="1:52" s="483" customFormat="1" ht="31.95" customHeight="1">
      <c r="A72" s="503">
        <v>63</v>
      </c>
      <c r="B72" s="504">
        <v>11</v>
      </c>
      <c r="C72" s="447">
        <v>439</v>
      </c>
      <c r="D72" s="506"/>
      <c r="E72" s="506"/>
      <c r="F72" s="507"/>
      <c r="G72" s="508" t="str">
        <f>'Tên Tháng 1'!E454</f>
        <v>យៀង សុលី</v>
      </c>
      <c r="H72" s="509" t="str">
        <f>'Tên Tháng 1'!F454</f>
        <v>YEANG SOLY</v>
      </c>
      <c r="I72" s="519">
        <f>'CHAM CONG'!G464</f>
        <v>0</v>
      </c>
      <c r="J72" s="519" t="str">
        <f>'CHAM CONG'!H464</f>
        <v>x</v>
      </c>
      <c r="K72" s="519" t="str">
        <f>'CHAM CONG'!I464</f>
        <v>x</v>
      </c>
      <c r="L72" s="519">
        <f>'CHAM CONG'!J464</f>
        <v>0</v>
      </c>
      <c r="M72" s="519" t="str">
        <f>'CHAM CONG'!K464</f>
        <v>x</v>
      </c>
      <c r="N72" s="519" t="str">
        <f>'CHAM CONG'!L464</f>
        <v>x</v>
      </c>
      <c r="O72" s="519" t="str">
        <f>'CHAM CONG'!M464</f>
        <v>x</v>
      </c>
      <c r="P72" s="519" t="str">
        <f>'CHAM CONG'!N464</f>
        <v>x</v>
      </c>
      <c r="Q72" s="519" t="str">
        <f>'CHAM CONG'!O464</f>
        <v>x</v>
      </c>
      <c r="R72" s="519" t="str">
        <f>'CHAM CONG'!P464</f>
        <v>x</v>
      </c>
      <c r="S72" s="519" t="str">
        <f>'CHAM CONG'!Q464</f>
        <v>x</v>
      </c>
      <c r="T72" s="519" t="str">
        <f>'CHAM CONG'!R464</f>
        <v>x</v>
      </c>
      <c r="U72" s="519" t="str">
        <f>'CHAM CONG'!S464</f>
        <v>x</v>
      </c>
      <c r="V72" s="519" t="str">
        <f>'CHAM CONG'!T464</f>
        <v>x</v>
      </c>
      <c r="W72" s="519" t="str">
        <f>'CHAM CONG'!U464</f>
        <v>x</v>
      </c>
      <c r="X72" s="525"/>
      <c r="Y72" s="525"/>
      <c r="Z72" s="535">
        <f t="shared" si="1"/>
        <v>13</v>
      </c>
      <c r="AA72" s="536"/>
      <c r="AB72" s="537">
        <f t="shared" si="2"/>
        <v>208000</v>
      </c>
      <c r="AC72" s="537"/>
      <c r="AD72" s="537">
        <f>'CHAM CONG'!Y464</f>
        <v>0</v>
      </c>
      <c r="AE72" s="535">
        <f t="shared" si="3"/>
        <v>0</v>
      </c>
      <c r="AF72" s="537">
        <f t="shared" si="4"/>
        <v>0</v>
      </c>
      <c r="AG72" s="537">
        <f t="shared" si="5"/>
        <v>13</v>
      </c>
      <c r="AH72" s="537">
        <f t="shared" si="6"/>
        <v>13000</v>
      </c>
      <c r="AI72" s="537">
        <f t="shared" si="7"/>
        <v>221000</v>
      </c>
      <c r="AJ72" s="519">
        <f>'SAN LUONG'!AF465</f>
        <v>268</v>
      </c>
      <c r="AK72" s="519">
        <f>'SAN LUONG'!AG465</f>
        <v>241</v>
      </c>
      <c r="AL72" s="542">
        <f>'SAN LUONG'!AH465</f>
        <v>485</v>
      </c>
      <c r="AM72" s="542">
        <f>'SAN LUONG'!AI465</f>
        <v>335</v>
      </c>
      <c r="AN72" s="541">
        <f t="shared" si="8"/>
        <v>509</v>
      </c>
      <c r="AO72" s="553">
        <f t="shared" si="9"/>
        <v>113100</v>
      </c>
      <c r="AP72" s="541">
        <f t="shared" si="17"/>
        <v>820</v>
      </c>
      <c r="AQ72" s="553">
        <f t="shared" si="10"/>
        <v>164164</v>
      </c>
      <c r="AR72" s="553">
        <f t="shared" si="11"/>
        <v>277264</v>
      </c>
      <c r="AS72" s="556"/>
      <c r="AT72" s="556"/>
      <c r="AU72" s="556"/>
      <c r="AV72" s="556">
        <f t="shared" si="12"/>
        <v>498264</v>
      </c>
      <c r="AW72" s="564">
        <f t="shared" si="15"/>
        <v>498264</v>
      </c>
      <c r="AX72" s="565"/>
      <c r="AY72" s="566">
        <f t="shared" si="13"/>
        <v>15.6</v>
      </c>
      <c r="AZ72" s="567"/>
    </row>
    <row r="73" spans="1:52" s="483" customFormat="1" ht="31.95" customHeight="1">
      <c r="A73" s="503">
        <v>64</v>
      </c>
      <c r="B73" s="504">
        <v>11</v>
      </c>
      <c r="C73" s="447">
        <v>440</v>
      </c>
      <c r="D73" s="506"/>
      <c r="E73" s="506"/>
      <c r="F73" s="507"/>
      <c r="G73" s="508" t="str">
        <f>'Tên Tháng 1'!E455</f>
        <v>អ៊ឹម អ៊ីន</v>
      </c>
      <c r="H73" s="509" t="str">
        <f>'Tên Tháng 1'!F455</f>
        <v>OEM IN</v>
      </c>
      <c r="I73" s="519" t="str">
        <f>'CHAM CONG'!G465</f>
        <v>x</v>
      </c>
      <c r="J73" s="519" t="str">
        <f>'CHAM CONG'!H465</f>
        <v>x</v>
      </c>
      <c r="K73" s="519" t="str">
        <f>'CHAM CONG'!I465</f>
        <v>x</v>
      </c>
      <c r="L73" s="519">
        <f>'CHAM CONG'!J465</f>
        <v>0</v>
      </c>
      <c r="M73" s="519">
        <f>'CHAM CONG'!K465</f>
        <v>0</v>
      </c>
      <c r="N73" s="519" t="str">
        <f>'CHAM CONG'!L465</f>
        <v>x</v>
      </c>
      <c r="O73" s="519" t="str">
        <f>'CHAM CONG'!M465</f>
        <v>x</v>
      </c>
      <c r="P73" s="519" t="str">
        <f>'CHAM CONG'!N465</f>
        <v>x</v>
      </c>
      <c r="Q73" s="519" t="str">
        <f>'CHAM CONG'!O465</f>
        <v>x</v>
      </c>
      <c r="R73" s="519" t="str">
        <f>'CHAM CONG'!P465</f>
        <v>x</v>
      </c>
      <c r="S73" s="519" t="str">
        <f>'CHAM CONG'!Q465</f>
        <v>x</v>
      </c>
      <c r="T73" s="519" t="str">
        <f>'CHAM CONG'!R465</f>
        <v>x</v>
      </c>
      <c r="U73" s="519" t="str">
        <f>'CHAM CONG'!S465</f>
        <v>x</v>
      </c>
      <c r="V73" s="519" t="str">
        <f>'CHAM CONG'!T465</f>
        <v>x</v>
      </c>
      <c r="W73" s="519" t="str">
        <f>'CHAM CONG'!U465</f>
        <v>x</v>
      </c>
      <c r="X73" s="525"/>
      <c r="Y73" s="525"/>
      <c r="Z73" s="535">
        <f t="shared" si="1"/>
        <v>13</v>
      </c>
      <c r="AA73" s="536"/>
      <c r="AB73" s="537">
        <f t="shared" si="2"/>
        <v>208000</v>
      </c>
      <c r="AC73" s="537"/>
      <c r="AD73" s="537" t="str">
        <f>'CHAM CONG'!Y465</f>
        <v>x</v>
      </c>
      <c r="AE73" s="535">
        <f t="shared" si="3"/>
        <v>1</v>
      </c>
      <c r="AF73" s="537">
        <f t="shared" si="4"/>
        <v>17000</v>
      </c>
      <c r="AG73" s="537">
        <f t="shared" si="5"/>
        <v>13</v>
      </c>
      <c r="AH73" s="537">
        <f t="shared" si="6"/>
        <v>13000</v>
      </c>
      <c r="AI73" s="537">
        <f t="shared" si="7"/>
        <v>238000</v>
      </c>
      <c r="AJ73" s="519">
        <f>'SAN LUONG'!AF466</f>
        <v>200</v>
      </c>
      <c r="AK73" s="519">
        <f>'SAN LUONG'!AG466</f>
        <v>429</v>
      </c>
      <c r="AL73" s="542">
        <f>'SAN LUONG'!AH466</f>
        <v>512</v>
      </c>
      <c r="AM73" s="542">
        <f>'SAN LUONG'!AI466</f>
        <v>322</v>
      </c>
      <c r="AN73" s="541">
        <f t="shared" si="8"/>
        <v>629</v>
      </c>
      <c r="AO73" s="553">
        <f t="shared" si="9"/>
        <v>139764</v>
      </c>
      <c r="AP73" s="541">
        <f t="shared" si="17"/>
        <v>834</v>
      </c>
      <c r="AQ73" s="553">
        <f t="shared" si="10"/>
        <v>166967</v>
      </c>
      <c r="AR73" s="553">
        <f t="shared" si="11"/>
        <v>306731</v>
      </c>
      <c r="AS73" s="556"/>
      <c r="AT73" s="556"/>
      <c r="AU73" s="556"/>
      <c r="AV73" s="556">
        <f t="shared" si="12"/>
        <v>544731</v>
      </c>
      <c r="AW73" s="564">
        <f t="shared" si="15"/>
        <v>544731</v>
      </c>
      <c r="AX73" s="565"/>
      <c r="AY73" s="566">
        <f t="shared" si="13"/>
        <v>17.05</v>
      </c>
      <c r="AZ73" s="567"/>
    </row>
    <row r="74" spans="1:52" s="483" customFormat="1" ht="31.95" customHeight="1">
      <c r="A74" s="503">
        <v>65</v>
      </c>
      <c r="B74" s="504">
        <v>11</v>
      </c>
      <c r="C74" s="447">
        <v>441</v>
      </c>
      <c r="D74" s="506"/>
      <c r="E74" s="506"/>
      <c r="F74" s="507"/>
      <c r="G74" s="508" t="str">
        <f>'Tên Tháng 1'!E456</f>
        <v>លាង សុឃា</v>
      </c>
      <c r="H74" s="509" t="str">
        <f>'Tên Tháng 1'!F456</f>
        <v>LEANG SOKHEA</v>
      </c>
      <c r="I74" s="519">
        <f>'CHAM CONG'!G466</f>
        <v>0</v>
      </c>
      <c r="J74" s="519" t="str">
        <f>'CHAM CONG'!H466</f>
        <v>x</v>
      </c>
      <c r="K74" s="519" t="str">
        <f>'CHAM CONG'!I466</f>
        <v>x</v>
      </c>
      <c r="L74" s="519">
        <f>'CHAM CONG'!J466</f>
        <v>0</v>
      </c>
      <c r="M74" s="519" t="str">
        <f>'CHAM CONG'!K466</f>
        <v>x</v>
      </c>
      <c r="N74" s="519" t="str">
        <f>'CHAM CONG'!L466</f>
        <v>x</v>
      </c>
      <c r="O74" s="519" t="str">
        <f>'CHAM CONG'!M466</f>
        <v>x</v>
      </c>
      <c r="P74" s="519" t="str">
        <f>'CHAM CONG'!N466</f>
        <v>x</v>
      </c>
      <c r="Q74" s="519" t="str">
        <f>'CHAM CONG'!O466</f>
        <v>x</v>
      </c>
      <c r="R74" s="519" t="str">
        <f>'CHAM CONG'!P466</f>
        <v>x</v>
      </c>
      <c r="S74" s="519" t="str">
        <f>'CHAM CONG'!Q466</f>
        <v>x</v>
      </c>
      <c r="T74" s="519" t="str">
        <f>'CHAM CONG'!R466</f>
        <v>x</v>
      </c>
      <c r="U74" s="519" t="str">
        <f>'CHAM CONG'!S466</f>
        <v>x</v>
      </c>
      <c r="V74" s="519" t="str">
        <f>'CHAM CONG'!T466</f>
        <v>x</v>
      </c>
      <c r="W74" s="519" t="str">
        <f>'CHAM CONG'!U466</f>
        <v>x</v>
      </c>
      <c r="X74" s="525"/>
      <c r="Y74" s="525"/>
      <c r="Z74" s="535">
        <f t="shared" si="1"/>
        <v>13</v>
      </c>
      <c r="AA74" s="536"/>
      <c r="AB74" s="537">
        <f t="shared" si="2"/>
        <v>208000</v>
      </c>
      <c r="AC74" s="537"/>
      <c r="AD74" s="537">
        <f>'CHAM CONG'!Y466</f>
        <v>0</v>
      </c>
      <c r="AE74" s="535">
        <f t="shared" si="3"/>
        <v>0</v>
      </c>
      <c r="AF74" s="537">
        <f t="shared" si="4"/>
        <v>0</v>
      </c>
      <c r="AG74" s="537">
        <f t="shared" si="5"/>
        <v>13</v>
      </c>
      <c r="AH74" s="537">
        <f t="shared" si="6"/>
        <v>13000</v>
      </c>
      <c r="AI74" s="537">
        <f t="shared" si="7"/>
        <v>221000</v>
      </c>
      <c r="AJ74" s="519">
        <f>'SAN LUONG'!AF467</f>
        <v>349</v>
      </c>
      <c r="AK74" s="519">
        <f>'SAN LUONG'!AG467</f>
        <v>469</v>
      </c>
      <c r="AL74" s="542">
        <f>'SAN LUONG'!AH467</f>
        <v>550</v>
      </c>
      <c r="AM74" s="542">
        <f>'SAN LUONG'!AI467</f>
        <v>504</v>
      </c>
      <c r="AN74" s="541">
        <f t="shared" si="8"/>
        <v>818</v>
      </c>
      <c r="AO74" s="553">
        <f t="shared" si="9"/>
        <v>181760</v>
      </c>
      <c r="AP74" s="541">
        <f t="shared" si="17"/>
        <v>1054</v>
      </c>
      <c r="AQ74" s="553">
        <f t="shared" si="10"/>
        <v>211011</v>
      </c>
      <c r="AR74" s="553">
        <f t="shared" si="11"/>
        <v>392771</v>
      </c>
      <c r="AS74" s="556"/>
      <c r="AT74" s="556"/>
      <c r="AU74" s="556"/>
      <c r="AV74" s="556">
        <f t="shared" si="12"/>
        <v>613771</v>
      </c>
      <c r="AW74" s="564">
        <f t="shared" ref="AW74:AW105" si="18">AV74</f>
        <v>613771</v>
      </c>
      <c r="AX74" s="565"/>
      <c r="AY74" s="566">
        <f t="shared" si="13"/>
        <v>19.21</v>
      </c>
      <c r="AZ74" s="567"/>
    </row>
    <row r="75" spans="1:52" s="483" customFormat="1" ht="31.95" customHeight="1">
      <c r="A75" s="503">
        <v>66</v>
      </c>
      <c r="B75" s="504">
        <v>11</v>
      </c>
      <c r="C75" s="447">
        <v>442</v>
      </c>
      <c r="D75" s="506"/>
      <c r="E75" s="506"/>
      <c r="F75" s="507"/>
      <c r="G75" s="508" t="str">
        <f>'Tên Tháng 1'!E457</f>
        <v>មឿន ភាព</v>
      </c>
      <c r="H75" s="509" t="str">
        <f>'Tên Tháng 1'!F457</f>
        <v>MOEUN PHEP</v>
      </c>
      <c r="I75" s="519">
        <f>'CHAM CONG'!G467</f>
        <v>0</v>
      </c>
      <c r="J75" s="519" t="str">
        <f>'CHAM CONG'!H467</f>
        <v>x</v>
      </c>
      <c r="K75" s="519" t="str">
        <f>'CHAM CONG'!I467</f>
        <v>x</v>
      </c>
      <c r="L75" s="519">
        <f>'CHAM CONG'!J467</f>
        <v>0</v>
      </c>
      <c r="M75" s="519" t="str">
        <f>'CHAM CONG'!K467</f>
        <v>x</v>
      </c>
      <c r="N75" s="519" t="str">
        <f>'CHAM CONG'!L467</f>
        <v>x</v>
      </c>
      <c r="O75" s="519" t="str">
        <f>'CHAM CONG'!M467</f>
        <v>x</v>
      </c>
      <c r="P75" s="519" t="str">
        <f>'CHAM CONG'!N467</f>
        <v>x</v>
      </c>
      <c r="Q75" s="519" t="str">
        <f>'CHAM CONG'!O467</f>
        <v>x</v>
      </c>
      <c r="R75" s="519" t="str">
        <f>'CHAM CONG'!P467</f>
        <v>x</v>
      </c>
      <c r="S75" s="519" t="str">
        <f>'CHAM CONG'!Q467</f>
        <v>x</v>
      </c>
      <c r="T75" s="519" t="str">
        <f>'CHAM CONG'!R467</f>
        <v>x</v>
      </c>
      <c r="U75" s="519" t="str">
        <f>'CHAM CONG'!S467</f>
        <v>x</v>
      </c>
      <c r="V75" s="519" t="str">
        <f>'CHAM CONG'!T467</f>
        <v>x</v>
      </c>
      <c r="W75" s="519" t="str">
        <f>'CHAM CONG'!U467</f>
        <v>x</v>
      </c>
      <c r="X75" s="525"/>
      <c r="Y75" s="525"/>
      <c r="Z75" s="535">
        <f t="shared" ref="Z75:Z105" si="19">COUNTIF(I75:W75,"X")</f>
        <v>13</v>
      </c>
      <c r="AA75" s="536"/>
      <c r="AB75" s="537">
        <f t="shared" ref="AB75:AB105" si="20">ROUND(Z75*$AA$8,0)</f>
        <v>208000</v>
      </c>
      <c r="AC75" s="537"/>
      <c r="AD75" s="537" t="str">
        <f>'CHAM CONG'!Y467</f>
        <v>x</v>
      </c>
      <c r="AE75" s="535">
        <f t="shared" ref="AE75:AE105" si="21">COUNTIF(AC75:AD75,"X")</f>
        <v>1</v>
      </c>
      <c r="AF75" s="537">
        <f t="shared" ref="AF75:AF105" si="22">AE75*$AF$8</f>
        <v>17000</v>
      </c>
      <c r="AG75" s="537">
        <f t="shared" ref="AG75:AG105" si="23">Z75</f>
        <v>13</v>
      </c>
      <c r="AH75" s="537">
        <f t="shared" ref="AH75:AH105" si="24">AG75*$AH$8</f>
        <v>13000</v>
      </c>
      <c r="AI75" s="537">
        <f t="shared" ref="AI75:AI105" si="25">AB75+AH75+AF75</f>
        <v>238000</v>
      </c>
      <c r="AJ75" s="519">
        <f>'SAN LUONG'!AF468</f>
        <v>406</v>
      </c>
      <c r="AK75" s="519">
        <f>'SAN LUONG'!AG468</f>
        <v>480</v>
      </c>
      <c r="AL75" s="542">
        <f>'SAN LUONG'!AH468</f>
        <v>573</v>
      </c>
      <c r="AM75" s="542">
        <f>'SAN LUONG'!AI468</f>
        <v>482</v>
      </c>
      <c r="AN75" s="541">
        <f t="shared" ref="AN75:AN105" si="26">SUM(AJ75:AM75)-AP75</f>
        <v>886</v>
      </c>
      <c r="AO75" s="553">
        <f t="shared" ref="AO75:AO104" si="27">ROUND(AN75*0.44*$AO$8,0)</f>
        <v>196869</v>
      </c>
      <c r="AP75" s="541">
        <f t="shared" si="17"/>
        <v>1055</v>
      </c>
      <c r="AQ75" s="553">
        <f t="shared" ref="AQ75:AQ105" si="28">ROUND(AP75*0.44*$AQ$8,0)</f>
        <v>211211</v>
      </c>
      <c r="AR75" s="553">
        <f t="shared" ref="AR75:AR105" si="29">AO75+AQ75</f>
        <v>408080</v>
      </c>
      <c r="AS75" s="556"/>
      <c r="AT75" s="556"/>
      <c r="AU75" s="556"/>
      <c r="AV75" s="556">
        <f t="shared" ref="AV75:AV105" si="30">AI75+AR75</f>
        <v>646080</v>
      </c>
      <c r="AW75" s="564">
        <f t="shared" si="18"/>
        <v>646080</v>
      </c>
      <c r="AX75" s="565"/>
      <c r="AY75" s="566">
        <f t="shared" ref="AY75:AY105" si="31">ROUND(AW75/31947,2)</f>
        <v>20.22</v>
      </c>
      <c r="AZ75" s="567"/>
    </row>
    <row r="76" spans="1:52" s="483" customFormat="1" ht="31.95" customHeight="1">
      <c r="A76" s="503">
        <v>67</v>
      </c>
      <c r="B76" s="504">
        <v>11</v>
      </c>
      <c r="C76" s="447">
        <v>443</v>
      </c>
      <c r="D76" s="506"/>
      <c r="E76" s="506"/>
      <c r="F76" s="507"/>
      <c r="G76" s="508" t="str">
        <f>'Tên Tháng 1'!E458</f>
        <v>ហ៊ី ទីន</v>
      </c>
      <c r="H76" s="509" t="str">
        <f>'Tên Tháng 1'!F458</f>
        <v>HY TIN</v>
      </c>
      <c r="I76" s="519" t="str">
        <f>'CHAM CONG'!G468</f>
        <v>x</v>
      </c>
      <c r="J76" s="519" t="str">
        <f>'CHAM CONG'!H468</f>
        <v>x</v>
      </c>
      <c r="K76" s="519" t="str">
        <f>'CHAM CONG'!I468</f>
        <v>x</v>
      </c>
      <c r="L76" s="519">
        <f>'CHAM CONG'!J468</f>
        <v>0</v>
      </c>
      <c r="M76" s="519" t="str">
        <f>'CHAM CONG'!K468</f>
        <v>x</v>
      </c>
      <c r="N76" s="519" t="str">
        <f>'CHAM CONG'!L468</f>
        <v>x</v>
      </c>
      <c r="O76" s="519">
        <f>'CHAM CONG'!M468</f>
        <v>0</v>
      </c>
      <c r="P76" s="519" t="str">
        <f>'CHAM CONG'!N468</f>
        <v>x</v>
      </c>
      <c r="Q76" s="519">
        <f>'CHAM CONG'!O468</f>
        <v>0</v>
      </c>
      <c r="R76" s="519" t="str">
        <f>'CHAM CONG'!P468</f>
        <v>x</v>
      </c>
      <c r="S76" s="519" t="str">
        <f>'CHAM CONG'!Q468</f>
        <v>x</v>
      </c>
      <c r="T76" s="519" t="str">
        <f>'CHAM CONG'!R468</f>
        <v>x</v>
      </c>
      <c r="U76" s="519" t="str">
        <f>'CHAM CONG'!S468</f>
        <v>x</v>
      </c>
      <c r="V76" s="519" t="str">
        <f>'CHAM CONG'!T468</f>
        <v>x</v>
      </c>
      <c r="W76" s="519">
        <f>'CHAM CONG'!U468</f>
        <v>0</v>
      </c>
      <c r="X76" s="525"/>
      <c r="Y76" s="525"/>
      <c r="Z76" s="535">
        <f t="shared" si="19"/>
        <v>11</v>
      </c>
      <c r="AA76" s="536"/>
      <c r="AB76" s="537">
        <f t="shared" si="20"/>
        <v>176000</v>
      </c>
      <c r="AC76" s="537"/>
      <c r="AD76" s="537">
        <f>'CHAM CONG'!Y468</f>
        <v>0</v>
      </c>
      <c r="AE76" s="535">
        <f t="shared" si="21"/>
        <v>0</v>
      </c>
      <c r="AF76" s="537">
        <f t="shared" si="22"/>
        <v>0</v>
      </c>
      <c r="AG76" s="537">
        <f t="shared" si="23"/>
        <v>11</v>
      </c>
      <c r="AH76" s="537">
        <f t="shared" si="24"/>
        <v>11000</v>
      </c>
      <c r="AI76" s="537">
        <f t="shared" si="25"/>
        <v>187000</v>
      </c>
      <c r="AJ76" s="519">
        <f>'SAN LUONG'!AF469</f>
        <v>105</v>
      </c>
      <c r="AK76" s="519">
        <f>'SAN LUONG'!AG469</f>
        <v>519</v>
      </c>
      <c r="AL76" s="542">
        <f>'SAN LUONG'!AH469</f>
        <v>432</v>
      </c>
      <c r="AM76" s="542">
        <f>'SAN LUONG'!AI469</f>
        <v>479</v>
      </c>
      <c r="AN76" s="541">
        <f t="shared" si="26"/>
        <v>624</v>
      </c>
      <c r="AO76" s="553">
        <f t="shared" si="27"/>
        <v>138653</v>
      </c>
      <c r="AP76" s="541">
        <f t="shared" si="17"/>
        <v>911</v>
      </c>
      <c r="AQ76" s="553">
        <f t="shared" si="28"/>
        <v>182382</v>
      </c>
      <c r="AR76" s="553">
        <f t="shared" si="29"/>
        <v>321035</v>
      </c>
      <c r="AS76" s="556"/>
      <c r="AT76" s="556"/>
      <c r="AU76" s="556"/>
      <c r="AV76" s="556">
        <f t="shared" si="30"/>
        <v>508035</v>
      </c>
      <c r="AW76" s="564">
        <f t="shared" si="18"/>
        <v>508035</v>
      </c>
      <c r="AX76" s="565"/>
      <c r="AY76" s="566">
        <f t="shared" si="31"/>
        <v>15.9</v>
      </c>
      <c r="AZ76" s="567"/>
    </row>
    <row r="77" spans="1:52" s="483" customFormat="1" ht="31.95" customHeight="1">
      <c r="A77" s="503">
        <v>68</v>
      </c>
      <c r="B77" s="504">
        <v>11</v>
      </c>
      <c r="C77" s="447">
        <v>444</v>
      </c>
      <c r="D77" s="506"/>
      <c r="E77" s="506"/>
      <c r="F77" s="507"/>
      <c r="G77" s="508" t="str">
        <f>'Tên Tháng 1'!E459</f>
        <v>អឹម អន</v>
      </c>
      <c r="H77" s="509" t="str">
        <f>'Tên Tháng 1'!F459</f>
        <v>IM ON</v>
      </c>
      <c r="I77" s="519">
        <f>'CHAM CONG'!G469</f>
        <v>0</v>
      </c>
      <c r="J77" s="519" t="str">
        <f>'CHAM CONG'!H469</f>
        <v>x</v>
      </c>
      <c r="K77" s="519" t="str">
        <f>'CHAM CONG'!I469</f>
        <v>x</v>
      </c>
      <c r="L77" s="519">
        <f>'CHAM CONG'!J469</f>
        <v>0</v>
      </c>
      <c r="M77" s="519" t="str">
        <f>'CHAM CONG'!K469</f>
        <v>x</v>
      </c>
      <c r="N77" s="519" t="str">
        <f>'CHAM CONG'!L469</f>
        <v>x</v>
      </c>
      <c r="O77" s="519" t="str">
        <f>'CHAM CONG'!M469</f>
        <v>x</v>
      </c>
      <c r="P77" s="519" t="str">
        <f>'CHAM CONG'!N469</f>
        <v>x</v>
      </c>
      <c r="Q77" s="519" t="str">
        <f>'CHAM CONG'!O469</f>
        <v>x</v>
      </c>
      <c r="R77" s="519" t="str">
        <f>'CHAM CONG'!P469</f>
        <v>x</v>
      </c>
      <c r="S77" s="519" t="str">
        <f>'CHAM CONG'!Q469</f>
        <v>x</v>
      </c>
      <c r="T77" s="519" t="str">
        <f>'CHAM CONG'!R469</f>
        <v>x</v>
      </c>
      <c r="U77" s="519" t="str">
        <f>'CHAM CONG'!S469</f>
        <v>x</v>
      </c>
      <c r="V77" s="519" t="str">
        <f>'CHAM CONG'!T469</f>
        <v>x</v>
      </c>
      <c r="W77" s="519" t="str">
        <f>'CHAM CONG'!U469</f>
        <v>x</v>
      </c>
      <c r="X77" s="525"/>
      <c r="Y77" s="525"/>
      <c r="Z77" s="535">
        <f t="shared" si="19"/>
        <v>13</v>
      </c>
      <c r="AA77" s="536"/>
      <c r="AB77" s="537">
        <f t="shared" si="20"/>
        <v>208000</v>
      </c>
      <c r="AC77" s="537"/>
      <c r="AD77" s="537" t="str">
        <f>'CHAM CONG'!Y469</f>
        <v>x</v>
      </c>
      <c r="AE77" s="535">
        <f t="shared" si="21"/>
        <v>1</v>
      </c>
      <c r="AF77" s="537">
        <f t="shared" si="22"/>
        <v>17000</v>
      </c>
      <c r="AG77" s="537">
        <f t="shared" si="23"/>
        <v>13</v>
      </c>
      <c r="AH77" s="537">
        <f t="shared" si="24"/>
        <v>13000</v>
      </c>
      <c r="AI77" s="537">
        <f t="shared" si="25"/>
        <v>238000</v>
      </c>
      <c r="AJ77" s="519">
        <f>'SAN LUONG'!AF470</f>
        <v>449</v>
      </c>
      <c r="AK77" s="519">
        <f>'SAN LUONG'!AG470</f>
        <v>465</v>
      </c>
      <c r="AL77" s="542">
        <f>'SAN LUONG'!AH470</f>
        <v>366</v>
      </c>
      <c r="AM77" s="542">
        <f>'SAN LUONG'!AI470</f>
        <v>319</v>
      </c>
      <c r="AN77" s="541">
        <f t="shared" si="26"/>
        <v>914</v>
      </c>
      <c r="AO77" s="553">
        <f t="shared" si="27"/>
        <v>203091</v>
      </c>
      <c r="AP77" s="541">
        <f t="shared" si="17"/>
        <v>685</v>
      </c>
      <c r="AQ77" s="553">
        <f t="shared" si="28"/>
        <v>137137</v>
      </c>
      <c r="AR77" s="553">
        <f t="shared" si="29"/>
        <v>340228</v>
      </c>
      <c r="AS77" s="556"/>
      <c r="AT77" s="556"/>
      <c r="AU77" s="556"/>
      <c r="AV77" s="556">
        <f t="shared" si="30"/>
        <v>578228</v>
      </c>
      <c r="AW77" s="564">
        <f t="shared" si="18"/>
        <v>578228</v>
      </c>
      <c r="AX77" s="565"/>
      <c r="AY77" s="566">
        <f t="shared" si="31"/>
        <v>18.100000000000001</v>
      </c>
      <c r="AZ77" s="567"/>
    </row>
    <row r="78" spans="1:52" s="483" customFormat="1" ht="31.95" customHeight="1">
      <c r="A78" s="503">
        <v>69</v>
      </c>
      <c r="B78" s="504">
        <v>11</v>
      </c>
      <c r="C78" s="447">
        <v>445</v>
      </c>
      <c r="D78" s="506"/>
      <c r="E78" s="506"/>
      <c r="F78" s="507"/>
      <c r="G78" s="508" t="str">
        <f>'Tên Tháng 1'!E460</f>
        <v>ហ៊ីម សុភក្តី</v>
      </c>
      <c r="H78" s="509" t="str">
        <f>'Tên Tháng 1'!F460</f>
        <v>HIM SOPHEAKDEY</v>
      </c>
      <c r="I78" s="519" t="str">
        <f>'CHAM CONG'!G470</f>
        <v>x</v>
      </c>
      <c r="J78" s="519" t="str">
        <f>'CHAM CONG'!H470</f>
        <v>x</v>
      </c>
      <c r="K78" s="519" t="str">
        <f>'CHAM CONG'!I470</f>
        <v>x</v>
      </c>
      <c r="L78" s="519">
        <f>'CHAM CONG'!J470</f>
        <v>0</v>
      </c>
      <c r="M78" s="519">
        <f>'CHAM CONG'!K470</f>
        <v>0</v>
      </c>
      <c r="N78" s="519" t="str">
        <f>'CHAM CONG'!L470</f>
        <v>x</v>
      </c>
      <c r="O78" s="519" t="str">
        <f>'CHAM CONG'!M470</f>
        <v>x</v>
      </c>
      <c r="P78" s="519" t="str">
        <f>'CHAM CONG'!N470</f>
        <v>x</v>
      </c>
      <c r="Q78" s="519" t="str">
        <f>'CHAM CONG'!O470</f>
        <v>x</v>
      </c>
      <c r="R78" s="519" t="str">
        <f>'CHAM CONG'!P470</f>
        <v>x</v>
      </c>
      <c r="S78" s="519" t="str">
        <f>'CHAM CONG'!Q470</f>
        <v>x</v>
      </c>
      <c r="T78" s="519" t="str">
        <f>'CHAM CONG'!R470</f>
        <v>x</v>
      </c>
      <c r="U78" s="519" t="str">
        <f>'CHAM CONG'!S470</f>
        <v>x</v>
      </c>
      <c r="V78" s="519" t="str">
        <f>'CHAM CONG'!T470</f>
        <v>x</v>
      </c>
      <c r="W78" s="519" t="str">
        <f>'CHAM CONG'!U470</f>
        <v>x</v>
      </c>
      <c r="X78" s="525"/>
      <c r="Y78" s="525"/>
      <c r="Z78" s="535">
        <f t="shared" si="19"/>
        <v>13</v>
      </c>
      <c r="AA78" s="536"/>
      <c r="AB78" s="537">
        <f t="shared" si="20"/>
        <v>208000</v>
      </c>
      <c r="AC78" s="537"/>
      <c r="AD78" s="537" t="str">
        <f>'CHAM CONG'!Y470</f>
        <v>x</v>
      </c>
      <c r="AE78" s="535">
        <f t="shared" si="21"/>
        <v>1</v>
      </c>
      <c r="AF78" s="537">
        <f t="shared" si="22"/>
        <v>17000</v>
      </c>
      <c r="AG78" s="537">
        <f t="shared" si="23"/>
        <v>13</v>
      </c>
      <c r="AH78" s="537">
        <f t="shared" si="24"/>
        <v>13000</v>
      </c>
      <c r="AI78" s="537">
        <f t="shared" si="25"/>
        <v>238000</v>
      </c>
      <c r="AJ78" s="519">
        <f>'SAN LUONG'!AF471</f>
        <v>374</v>
      </c>
      <c r="AK78" s="519">
        <f>'SAN LUONG'!AG471</f>
        <v>428</v>
      </c>
      <c r="AL78" s="542">
        <f>'SAN LUONG'!AH471</f>
        <v>451</v>
      </c>
      <c r="AM78" s="542">
        <f>'SAN LUONG'!AI471</f>
        <v>375</v>
      </c>
      <c r="AN78" s="541">
        <f t="shared" si="26"/>
        <v>802</v>
      </c>
      <c r="AO78" s="553">
        <f t="shared" si="27"/>
        <v>178204</v>
      </c>
      <c r="AP78" s="541">
        <f t="shared" si="17"/>
        <v>826</v>
      </c>
      <c r="AQ78" s="553">
        <f t="shared" si="28"/>
        <v>165365</v>
      </c>
      <c r="AR78" s="553">
        <f t="shared" si="29"/>
        <v>343569</v>
      </c>
      <c r="AS78" s="556"/>
      <c r="AT78" s="556"/>
      <c r="AU78" s="556"/>
      <c r="AV78" s="556">
        <f t="shared" si="30"/>
        <v>581569</v>
      </c>
      <c r="AW78" s="564">
        <f t="shared" si="18"/>
        <v>581569</v>
      </c>
      <c r="AX78" s="565"/>
      <c r="AY78" s="566">
        <f t="shared" si="31"/>
        <v>18.2</v>
      </c>
      <c r="AZ78" s="567"/>
    </row>
    <row r="79" spans="1:52" s="483" customFormat="1" ht="31.95" customHeight="1">
      <c r="A79" s="503">
        <v>70</v>
      </c>
      <c r="B79" s="504">
        <v>11</v>
      </c>
      <c r="C79" s="447">
        <v>446</v>
      </c>
      <c r="D79" s="506"/>
      <c r="E79" s="506"/>
      <c r="F79" s="507"/>
      <c r="G79" s="508" t="str">
        <f>'Tên Tháng 1'!E461</f>
        <v>ម៉េត សុគន្ធា</v>
      </c>
      <c r="H79" s="509" t="str">
        <f>'Tên Tháng 1'!F461</f>
        <v>MET SOKUNTHEA</v>
      </c>
      <c r="I79" s="519">
        <f>'CHAM CONG'!G471</f>
        <v>0</v>
      </c>
      <c r="J79" s="519" t="str">
        <f>'CHAM CONG'!H471</f>
        <v>x</v>
      </c>
      <c r="K79" s="519" t="str">
        <f>'CHAM CONG'!I471</f>
        <v>x</v>
      </c>
      <c r="L79" s="519">
        <f>'CHAM CONG'!J471</f>
        <v>0</v>
      </c>
      <c r="M79" s="519" t="str">
        <f>'CHAM CONG'!K471</f>
        <v>x</v>
      </c>
      <c r="N79" s="519" t="str">
        <f>'CHAM CONG'!L471</f>
        <v>x</v>
      </c>
      <c r="O79" s="519" t="str">
        <f>'CHAM CONG'!M471</f>
        <v>x</v>
      </c>
      <c r="P79" s="519" t="str">
        <f>'CHAM CONG'!N471</f>
        <v>x</v>
      </c>
      <c r="Q79" s="519" t="str">
        <f>'CHAM CONG'!O471</f>
        <v>x</v>
      </c>
      <c r="R79" s="519" t="str">
        <f>'CHAM CONG'!P471</f>
        <v>x</v>
      </c>
      <c r="S79" s="519" t="str">
        <f>'CHAM CONG'!Q471</f>
        <v>x</v>
      </c>
      <c r="T79" s="519" t="str">
        <f>'CHAM CONG'!R471</f>
        <v>x</v>
      </c>
      <c r="U79" s="519" t="str">
        <f>'CHAM CONG'!S471</f>
        <v>x</v>
      </c>
      <c r="V79" s="519" t="str">
        <f>'CHAM CONG'!T471</f>
        <v>x</v>
      </c>
      <c r="W79" s="519" t="str">
        <f>'CHAM CONG'!U471</f>
        <v>x</v>
      </c>
      <c r="X79" s="525"/>
      <c r="Y79" s="525"/>
      <c r="Z79" s="535">
        <f t="shared" si="19"/>
        <v>13</v>
      </c>
      <c r="AA79" s="536"/>
      <c r="AB79" s="537">
        <f t="shared" si="20"/>
        <v>208000</v>
      </c>
      <c r="AC79" s="537"/>
      <c r="AD79" s="537" t="str">
        <f>'CHAM CONG'!Y471</f>
        <v>x</v>
      </c>
      <c r="AE79" s="535">
        <f t="shared" si="21"/>
        <v>1</v>
      </c>
      <c r="AF79" s="537">
        <f t="shared" si="22"/>
        <v>17000</v>
      </c>
      <c r="AG79" s="537">
        <f t="shared" si="23"/>
        <v>13</v>
      </c>
      <c r="AH79" s="537">
        <f t="shared" si="24"/>
        <v>13000</v>
      </c>
      <c r="AI79" s="537">
        <f t="shared" si="25"/>
        <v>238000</v>
      </c>
      <c r="AJ79" s="519">
        <f>'SAN LUONG'!AF472</f>
        <v>371</v>
      </c>
      <c r="AK79" s="519">
        <f>'SAN LUONG'!AG472</f>
        <v>397</v>
      </c>
      <c r="AL79" s="542">
        <f>'SAN LUONG'!AH472</f>
        <v>495</v>
      </c>
      <c r="AM79" s="542">
        <f>'SAN LUONG'!AI472</f>
        <v>407</v>
      </c>
      <c r="AN79" s="541">
        <f t="shared" si="26"/>
        <v>768</v>
      </c>
      <c r="AO79" s="553">
        <f t="shared" si="27"/>
        <v>170650</v>
      </c>
      <c r="AP79" s="541">
        <f t="shared" si="17"/>
        <v>902</v>
      </c>
      <c r="AQ79" s="553">
        <f t="shared" si="28"/>
        <v>180580</v>
      </c>
      <c r="AR79" s="553">
        <f t="shared" si="29"/>
        <v>351230</v>
      </c>
      <c r="AS79" s="556"/>
      <c r="AT79" s="556"/>
      <c r="AU79" s="556"/>
      <c r="AV79" s="556">
        <f t="shared" si="30"/>
        <v>589230</v>
      </c>
      <c r="AW79" s="564">
        <f t="shared" si="18"/>
        <v>589230</v>
      </c>
      <c r="AX79" s="565"/>
      <c r="AY79" s="566">
        <f t="shared" si="31"/>
        <v>18.440000000000001</v>
      </c>
      <c r="AZ79" s="567"/>
    </row>
    <row r="80" spans="1:52" s="483" customFormat="1" ht="31.95" customHeight="1">
      <c r="A80" s="503">
        <v>71</v>
      </c>
      <c r="B80" s="504">
        <v>11</v>
      </c>
      <c r="C80" s="447">
        <v>447</v>
      </c>
      <c r="D80" s="506"/>
      <c r="E80" s="506"/>
      <c r="F80" s="507"/>
      <c r="G80" s="508" t="str">
        <f>'Tên Tháng 1'!E462</f>
        <v>ម៉ៅ ស្រីណុច</v>
      </c>
      <c r="H80" s="509" t="str">
        <f>'Tên Tháng 1'!F462</f>
        <v>MAO SREYNOCH</v>
      </c>
      <c r="I80" s="519" t="str">
        <f>'CHAM CONG'!G472</f>
        <v>x</v>
      </c>
      <c r="J80" s="519">
        <f>'CHAM CONG'!H472</f>
        <v>0</v>
      </c>
      <c r="K80" s="519" t="str">
        <f>'CHAM CONG'!I472</f>
        <v>x</v>
      </c>
      <c r="L80" s="519">
        <f>'CHAM CONG'!J472</f>
        <v>0</v>
      </c>
      <c r="M80" s="519" t="str">
        <f>'CHAM CONG'!K472</f>
        <v>x</v>
      </c>
      <c r="N80" s="519" t="str">
        <f>'CHAM CONG'!L472</f>
        <v>x</v>
      </c>
      <c r="O80" s="519" t="str">
        <f>'CHAM CONG'!M472</f>
        <v>x</v>
      </c>
      <c r="P80" s="519">
        <f>'CHAM CONG'!N472</f>
        <v>0</v>
      </c>
      <c r="Q80" s="519" t="str">
        <f>'CHAM CONG'!O472</f>
        <v>x</v>
      </c>
      <c r="R80" s="519" t="str">
        <f>'CHAM CONG'!P472</f>
        <v>x</v>
      </c>
      <c r="S80" s="519">
        <f>'CHAM CONG'!Q472</f>
        <v>0</v>
      </c>
      <c r="T80" s="519" t="str">
        <f>'CHAM CONG'!R472</f>
        <v>x</v>
      </c>
      <c r="U80" s="519" t="str">
        <f>'CHAM CONG'!S472</f>
        <v>x</v>
      </c>
      <c r="V80" s="519">
        <f>'CHAM CONG'!T472</f>
        <v>0</v>
      </c>
      <c r="W80" s="519" t="str">
        <f>'CHAM CONG'!U472</f>
        <v>x</v>
      </c>
      <c r="X80" s="525"/>
      <c r="Y80" s="525"/>
      <c r="Z80" s="535">
        <f t="shared" si="19"/>
        <v>10</v>
      </c>
      <c r="AA80" s="536"/>
      <c r="AB80" s="537">
        <f t="shared" si="20"/>
        <v>160000</v>
      </c>
      <c r="AC80" s="537"/>
      <c r="AD80" s="537">
        <f>'CHAM CONG'!Y472</f>
        <v>0</v>
      </c>
      <c r="AE80" s="535">
        <f t="shared" si="21"/>
        <v>0</v>
      </c>
      <c r="AF80" s="537">
        <f t="shared" si="22"/>
        <v>0</v>
      </c>
      <c r="AG80" s="537">
        <f t="shared" si="23"/>
        <v>10</v>
      </c>
      <c r="AH80" s="537">
        <f t="shared" si="24"/>
        <v>10000</v>
      </c>
      <c r="AI80" s="537">
        <f t="shared" si="25"/>
        <v>170000</v>
      </c>
      <c r="AJ80" s="519">
        <f>'SAN LUONG'!AF473</f>
        <v>156</v>
      </c>
      <c r="AK80" s="519">
        <f>'SAN LUONG'!AG473</f>
        <v>257</v>
      </c>
      <c r="AL80" s="542">
        <f>'SAN LUONG'!AH473</f>
        <v>166</v>
      </c>
      <c r="AM80" s="542">
        <f>'SAN LUONG'!AI473</f>
        <v>376</v>
      </c>
      <c r="AN80" s="541">
        <f t="shared" si="26"/>
        <v>413</v>
      </c>
      <c r="AO80" s="553">
        <f t="shared" si="27"/>
        <v>91769</v>
      </c>
      <c r="AP80" s="541">
        <f t="shared" si="17"/>
        <v>542</v>
      </c>
      <c r="AQ80" s="553">
        <f t="shared" si="28"/>
        <v>108508</v>
      </c>
      <c r="AR80" s="553">
        <f t="shared" si="29"/>
        <v>200277</v>
      </c>
      <c r="AS80" s="556"/>
      <c r="AT80" s="556"/>
      <c r="AU80" s="556"/>
      <c r="AV80" s="556">
        <f t="shared" si="30"/>
        <v>370277</v>
      </c>
      <c r="AW80" s="564">
        <f t="shared" si="18"/>
        <v>370277</v>
      </c>
      <c r="AX80" s="565"/>
      <c r="AY80" s="566">
        <f t="shared" si="31"/>
        <v>11.59</v>
      </c>
      <c r="AZ80" s="567"/>
    </row>
    <row r="81" spans="1:52" s="483" customFormat="1" ht="31.95" customHeight="1">
      <c r="A81" s="503">
        <v>72</v>
      </c>
      <c r="B81" s="504">
        <v>11</v>
      </c>
      <c r="C81" s="447">
        <v>448</v>
      </c>
      <c r="D81" s="506"/>
      <c r="E81" s="506"/>
      <c r="F81" s="507"/>
      <c r="G81" s="508" t="str">
        <f>'Tên Tháng 1'!E463</f>
        <v>ឡេង ហ៊ីម</v>
      </c>
      <c r="H81" s="509" t="str">
        <f>'Tên Tháng 1'!F463</f>
        <v>LENG HIM</v>
      </c>
      <c r="I81" s="519">
        <f>'CHAM CONG'!G473</f>
        <v>0</v>
      </c>
      <c r="J81" s="519" t="str">
        <f>'CHAM CONG'!H473</f>
        <v>x</v>
      </c>
      <c r="K81" s="519" t="str">
        <f>'CHAM CONG'!I473</f>
        <v>x</v>
      </c>
      <c r="L81" s="519">
        <f>'CHAM CONG'!J473</f>
        <v>0</v>
      </c>
      <c r="M81" s="519" t="str">
        <f>'CHAM CONG'!K473</f>
        <v>x</v>
      </c>
      <c r="N81" s="519" t="str">
        <f>'CHAM CONG'!L473</f>
        <v>x</v>
      </c>
      <c r="O81" s="519" t="str">
        <f>'CHAM CONG'!M473</f>
        <v>x</v>
      </c>
      <c r="P81" s="519" t="str">
        <f>'CHAM CONG'!N473</f>
        <v>x</v>
      </c>
      <c r="Q81" s="519" t="str">
        <f>'CHAM CONG'!O473</f>
        <v>x</v>
      </c>
      <c r="R81" s="519" t="str">
        <f>'CHAM CONG'!P473</f>
        <v>x</v>
      </c>
      <c r="S81" s="519" t="str">
        <f>'CHAM CONG'!Q473</f>
        <v>x</v>
      </c>
      <c r="T81" s="519" t="str">
        <f>'CHAM CONG'!R473</f>
        <v>x</v>
      </c>
      <c r="U81" s="519" t="str">
        <f>'CHAM CONG'!S473</f>
        <v>x</v>
      </c>
      <c r="V81" s="519" t="str">
        <f>'CHAM CONG'!T473</f>
        <v>x</v>
      </c>
      <c r="W81" s="519" t="str">
        <f>'CHAM CONG'!U473</f>
        <v>x</v>
      </c>
      <c r="X81" s="525"/>
      <c r="Y81" s="525"/>
      <c r="Z81" s="535">
        <f t="shared" si="19"/>
        <v>13</v>
      </c>
      <c r="AA81" s="536"/>
      <c r="AB81" s="537">
        <f t="shared" si="20"/>
        <v>208000</v>
      </c>
      <c r="AC81" s="537"/>
      <c r="AD81" s="537" t="str">
        <f>'CHAM CONG'!Y473</f>
        <v>x</v>
      </c>
      <c r="AE81" s="535">
        <f t="shared" si="21"/>
        <v>1</v>
      </c>
      <c r="AF81" s="537">
        <f t="shared" si="22"/>
        <v>17000</v>
      </c>
      <c r="AG81" s="537">
        <f t="shared" si="23"/>
        <v>13</v>
      </c>
      <c r="AH81" s="537">
        <f t="shared" si="24"/>
        <v>13000</v>
      </c>
      <c r="AI81" s="537">
        <f t="shared" si="25"/>
        <v>238000</v>
      </c>
      <c r="AJ81" s="519">
        <f>'SAN LUONG'!AF474</f>
        <v>279</v>
      </c>
      <c r="AK81" s="519">
        <f>'SAN LUONG'!AG474</f>
        <v>120</v>
      </c>
      <c r="AL81" s="542">
        <f>'SAN LUONG'!AH474</f>
        <v>385</v>
      </c>
      <c r="AM81" s="542">
        <f>'SAN LUONG'!AI474</f>
        <v>348</v>
      </c>
      <c r="AN81" s="541">
        <f t="shared" si="26"/>
        <v>399</v>
      </c>
      <c r="AO81" s="553">
        <f t="shared" si="27"/>
        <v>88658</v>
      </c>
      <c r="AP81" s="541">
        <f t="shared" si="17"/>
        <v>733</v>
      </c>
      <c r="AQ81" s="553">
        <f t="shared" si="28"/>
        <v>146747</v>
      </c>
      <c r="AR81" s="553">
        <f t="shared" si="29"/>
        <v>235405</v>
      </c>
      <c r="AS81" s="556"/>
      <c r="AT81" s="556"/>
      <c r="AU81" s="556"/>
      <c r="AV81" s="556">
        <f t="shared" si="30"/>
        <v>473405</v>
      </c>
      <c r="AW81" s="564">
        <f t="shared" si="18"/>
        <v>473405</v>
      </c>
      <c r="AX81" s="565"/>
      <c r="AY81" s="566">
        <f t="shared" si="31"/>
        <v>14.82</v>
      </c>
      <c r="AZ81" s="567"/>
    </row>
    <row r="82" spans="1:52" s="483" customFormat="1" ht="31.95" customHeight="1">
      <c r="A82" s="503">
        <v>73</v>
      </c>
      <c r="B82" s="504">
        <v>11</v>
      </c>
      <c r="C82" s="447">
        <v>449</v>
      </c>
      <c r="D82" s="506"/>
      <c r="E82" s="506"/>
      <c r="F82" s="507"/>
      <c r="G82" s="508" t="str">
        <f>'Tên Tháng 1'!E464</f>
        <v>ហ៊ីម ហ៊ី</v>
      </c>
      <c r="H82" s="509" t="str">
        <f>'Tên Tháng 1'!F464</f>
        <v>HIM HY</v>
      </c>
      <c r="I82" s="519" t="str">
        <f>'CHAM CONG'!G474</f>
        <v>x</v>
      </c>
      <c r="J82" s="519" t="str">
        <f>'CHAM CONG'!H474</f>
        <v>x</v>
      </c>
      <c r="K82" s="519" t="str">
        <f>'CHAM CONG'!I474</f>
        <v>x</v>
      </c>
      <c r="L82" s="519">
        <f>'CHAM CONG'!J474</f>
        <v>0</v>
      </c>
      <c r="M82" s="519" t="str">
        <f>'CHAM CONG'!K474</f>
        <v>x</v>
      </c>
      <c r="N82" s="519" t="str">
        <f>'CHAM CONG'!L474</f>
        <v>x</v>
      </c>
      <c r="O82" s="519" t="str">
        <f>'CHAM CONG'!M474</f>
        <v>x</v>
      </c>
      <c r="P82" s="519" t="str">
        <f>'CHAM CONG'!N474</f>
        <v>x</v>
      </c>
      <c r="Q82" s="519" t="str">
        <f>'CHAM CONG'!O474</f>
        <v>x</v>
      </c>
      <c r="R82" s="519" t="str">
        <f>'CHAM CONG'!P474</f>
        <v>x</v>
      </c>
      <c r="S82" s="519" t="str">
        <f>'CHAM CONG'!Q474</f>
        <v>x</v>
      </c>
      <c r="T82" s="519" t="str">
        <f>'CHAM CONG'!R474</f>
        <v>x</v>
      </c>
      <c r="U82" s="519" t="str">
        <f>'CHAM CONG'!S474</f>
        <v>x</v>
      </c>
      <c r="V82" s="519" t="str">
        <f>'CHAM CONG'!T474</f>
        <v>x</v>
      </c>
      <c r="W82" s="519" t="str">
        <f>'CHAM CONG'!U474</f>
        <v>x</v>
      </c>
      <c r="X82" s="525"/>
      <c r="Y82" s="525"/>
      <c r="Z82" s="535">
        <f t="shared" si="19"/>
        <v>14</v>
      </c>
      <c r="AA82" s="536"/>
      <c r="AB82" s="537">
        <f t="shared" si="20"/>
        <v>224000</v>
      </c>
      <c r="AC82" s="537"/>
      <c r="AD82" s="537" t="str">
        <f>'CHAM CONG'!Y474</f>
        <v>x</v>
      </c>
      <c r="AE82" s="535">
        <f t="shared" si="21"/>
        <v>1</v>
      </c>
      <c r="AF82" s="537">
        <f t="shared" si="22"/>
        <v>17000</v>
      </c>
      <c r="AG82" s="537">
        <f t="shared" si="23"/>
        <v>14</v>
      </c>
      <c r="AH82" s="537">
        <f t="shared" si="24"/>
        <v>14000</v>
      </c>
      <c r="AI82" s="537">
        <f t="shared" si="25"/>
        <v>255000</v>
      </c>
      <c r="AJ82" s="519">
        <f>'SAN LUONG'!AF475</f>
        <v>371</v>
      </c>
      <c r="AK82" s="519">
        <f>'SAN LUONG'!AG475</f>
        <v>438</v>
      </c>
      <c r="AL82" s="542">
        <f>'SAN LUONG'!AH475</f>
        <v>484</v>
      </c>
      <c r="AM82" s="542">
        <f>'SAN LUONG'!AI475</f>
        <v>320</v>
      </c>
      <c r="AN82" s="541">
        <f t="shared" si="26"/>
        <v>809</v>
      </c>
      <c r="AO82" s="553">
        <f t="shared" si="27"/>
        <v>179760</v>
      </c>
      <c r="AP82" s="541">
        <f t="shared" si="17"/>
        <v>804</v>
      </c>
      <c r="AQ82" s="553">
        <f t="shared" si="28"/>
        <v>160961</v>
      </c>
      <c r="AR82" s="553">
        <f t="shared" si="29"/>
        <v>340721</v>
      </c>
      <c r="AS82" s="556"/>
      <c r="AT82" s="556"/>
      <c r="AU82" s="556"/>
      <c r="AV82" s="556">
        <f t="shared" si="30"/>
        <v>595721</v>
      </c>
      <c r="AW82" s="564">
        <f t="shared" si="18"/>
        <v>595721</v>
      </c>
      <c r="AX82" s="565"/>
      <c r="AY82" s="566">
        <f t="shared" si="31"/>
        <v>18.649999999999999</v>
      </c>
      <c r="AZ82" s="567"/>
    </row>
    <row r="83" spans="1:52" s="483" customFormat="1" ht="31.95" customHeight="1">
      <c r="A83" s="503">
        <v>74</v>
      </c>
      <c r="B83" s="504">
        <v>11</v>
      </c>
      <c r="C83" s="447">
        <v>450</v>
      </c>
      <c r="D83" s="506"/>
      <c r="E83" s="506"/>
      <c r="F83" s="507"/>
      <c r="G83" s="508" t="str">
        <f>'Tên Tháng 1'!E465</f>
        <v>ហួត ផន</v>
      </c>
      <c r="H83" s="509" t="str">
        <f>'Tên Tháng 1'!F465</f>
        <v>HOUT PHORN</v>
      </c>
      <c r="I83" s="519">
        <f>'CHAM CONG'!G475</f>
        <v>0</v>
      </c>
      <c r="J83" s="519" t="str">
        <f>'CHAM CONG'!H475</f>
        <v>x</v>
      </c>
      <c r="K83" s="519" t="str">
        <f>'CHAM CONG'!I475</f>
        <v>x</v>
      </c>
      <c r="L83" s="519">
        <f>'CHAM CONG'!J475</f>
        <v>0</v>
      </c>
      <c r="M83" s="519" t="str">
        <f>'CHAM CONG'!K475</f>
        <v>x</v>
      </c>
      <c r="N83" s="519" t="str">
        <f>'CHAM CONG'!L475</f>
        <v>x</v>
      </c>
      <c r="O83" s="519" t="str">
        <f>'CHAM CONG'!M475</f>
        <v>x</v>
      </c>
      <c r="P83" s="519" t="str">
        <f>'CHAM CONG'!N475</f>
        <v>x</v>
      </c>
      <c r="Q83" s="519" t="str">
        <f>'CHAM CONG'!O475</f>
        <v>x</v>
      </c>
      <c r="R83" s="519" t="str">
        <f>'CHAM CONG'!P475</f>
        <v>x</v>
      </c>
      <c r="S83" s="519" t="str">
        <f>'CHAM CONG'!Q475</f>
        <v>x</v>
      </c>
      <c r="T83" s="519" t="str">
        <f>'CHAM CONG'!R475</f>
        <v>x</v>
      </c>
      <c r="U83" s="519" t="str">
        <f>'CHAM CONG'!S475</f>
        <v>x</v>
      </c>
      <c r="V83" s="519" t="str">
        <f>'CHAM CONG'!T475</f>
        <v>x</v>
      </c>
      <c r="W83" s="519" t="str">
        <f>'CHAM CONG'!U475</f>
        <v>x</v>
      </c>
      <c r="X83" s="525"/>
      <c r="Y83" s="525"/>
      <c r="Z83" s="535">
        <f t="shared" si="19"/>
        <v>13</v>
      </c>
      <c r="AA83" s="536"/>
      <c r="AB83" s="537">
        <f t="shared" si="20"/>
        <v>208000</v>
      </c>
      <c r="AC83" s="537"/>
      <c r="AD83" s="537" t="str">
        <f>'CHAM CONG'!Y475</f>
        <v>x</v>
      </c>
      <c r="AE83" s="535">
        <f t="shared" si="21"/>
        <v>1</v>
      </c>
      <c r="AF83" s="537">
        <f t="shared" si="22"/>
        <v>17000</v>
      </c>
      <c r="AG83" s="537">
        <f t="shared" si="23"/>
        <v>13</v>
      </c>
      <c r="AH83" s="537">
        <f t="shared" si="24"/>
        <v>13000</v>
      </c>
      <c r="AI83" s="537">
        <f t="shared" si="25"/>
        <v>238000</v>
      </c>
      <c r="AJ83" s="519">
        <f>'SAN LUONG'!AF476</f>
        <v>423</v>
      </c>
      <c r="AK83" s="519">
        <f>'SAN LUONG'!AG476</f>
        <v>458</v>
      </c>
      <c r="AL83" s="542">
        <f>'SAN LUONG'!AH476</f>
        <v>425</v>
      </c>
      <c r="AM83" s="542">
        <f>'SAN LUONG'!AI476</f>
        <v>409</v>
      </c>
      <c r="AN83" s="541">
        <f t="shared" si="26"/>
        <v>881</v>
      </c>
      <c r="AO83" s="553">
        <f t="shared" si="27"/>
        <v>195758</v>
      </c>
      <c r="AP83" s="541">
        <f t="shared" si="17"/>
        <v>834</v>
      </c>
      <c r="AQ83" s="553">
        <f t="shared" si="28"/>
        <v>166967</v>
      </c>
      <c r="AR83" s="553">
        <f t="shared" si="29"/>
        <v>362725</v>
      </c>
      <c r="AS83" s="556"/>
      <c r="AT83" s="556"/>
      <c r="AU83" s="556"/>
      <c r="AV83" s="556">
        <f t="shared" si="30"/>
        <v>600725</v>
      </c>
      <c r="AW83" s="564">
        <f t="shared" si="18"/>
        <v>600725</v>
      </c>
      <c r="AX83" s="565"/>
      <c r="AY83" s="566">
        <f t="shared" si="31"/>
        <v>18.8</v>
      </c>
      <c r="AZ83" s="567"/>
    </row>
    <row r="84" spans="1:52" s="483" customFormat="1" ht="31.95" customHeight="1">
      <c r="A84" s="503">
        <v>75</v>
      </c>
      <c r="B84" s="504">
        <v>11</v>
      </c>
      <c r="C84" s="447">
        <v>451</v>
      </c>
      <c r="D84" s="506"/>
      <c r="E84" s="506"/>
      <c r="F84" s="507"/>
      <c r="G84" s="508" t="str">
        <f>'Tên Tháng 1'!E466</f>
        <v>ម៉េត សុខផៃ</v>
      </c>
      <c r="H84" s="509" t="str">
        <f>'Tên Tháng 1'!F466</f>
        <v>MET SOKPHAI</v>
      </c>
      <c r="I84" s="519" t="str">
        <f>'CHAM CONG'!G476</f>
        <v>x</v>
      </c>
      <c r="J84" s="519" t="str">
        <f>'CHAM CONG'!H476</f>
        <v>x</v>
      </c>
      <c r="K84" s="519" t="str">
        <f>'CHAM CONG'!I476</f>
        <v>x</v>
      </c>
      <c r="L84" s="519">
        <f>'CHAM CONG'!J476</f>
        <v>0</v>
      </c>
      <c r="M84" s="519" t="str">
        <f>'CHAM CONG'!K476</f>
        <v>x</v>
      </c>
      <c r="N84" s="519" t="str">
        <f>'CHAM CONG'!L476</f>
        <v>x</v>
      </c>
      <c r="O84" s="519" t="str">
        <f>'CHAM CONG'!M476</f>
        <v>x</v>
      </c>
      <c r="P84" s="519" t="str">
        <f>'CHAM CONG'!N476</f>
        <v>x</v>
      </c>
      <c r="Q84" s="519" t="str">
        <f>'CHAM CONG'!O476</f>
        <v>x</v>
      </c>
      <c r="R84" s="519" t="str">
        <f>'CHAM CONG'!P476</f>
        <v>x</v>
      </c>
      <c r="S84" s="519" t="str">
        <f>'CHAM CONG'!Q476</f>
        <v>x</v>
      </c>
      <c r="T84" s="519" t="str">
        <f>'CHAM CONG'!R476</f>
        <v>x</v>
      </c>
      <c r="U84" s="519">
        <f>'CHAM CONG'!S476</f>
        <v>0</v>
      </c>
      <c r="V84" s="519" t="str">
        <f>'CHAM CONG'!T476</f>
        <v>x</v>
      </c>
      <c r="W84" s="519" t="str">
        <f>'CHAM CONG'!U476</f>
        <v>x</v>
      </c>
      <c r="X84" s="525"/>
      <c r="Y84" s="525"/>
      <c r="Z84" s="535">
        <f t="shared" si="19"/>
        <v>13</v>
      </c>
      <c r="AA84" s="536"/>
      <c r="AB84" s="537">
        <f t="shared" si="20"/>
        <v>208000</v>
      </c>
      <c r="AC84" s="537"/>
      <c r="AD84" s="537" t="str">
        <f>'CHAM CONG'!Y476</f>
        <v>x</v>
      </c>
      <c r="AE84" s="535">
        <f t="shared" si="21"/>
        <v>1</v>
      </c>
      <c r="AF84" s="537">
        <f t="shared" si="22"/>
        <v>17000</v>
      </c>
      <c r="AG84" s="537">
        <f t="shared" si="23"/>
        <v>13</v>
      </c>
      <c r="AH84" s="537">
        <f t="shared" si="24"/>
        <v>13000</v>
      </c>
      <c r="AI84" s="537">
        <f t="shared" si="25"/>
        <v>238000</v>
      </c>
      <c r="AJ84" s="519">
        <f>'SAN LUONG'!AF477</f>
        <v>381</v>
      </c>
      <c r="AK84" s="519">
        <f>'SAN LUONG'!AG477</f>
        <v>585</v>
      </c>
      <c r="AL84" s="542">
        <f>'SAN LUONG'!AH477</f>
        <v>331</v>
      </c>
      <c r="AM84" s="542">
        <f>'SAN LUONG'!AI477</f>
        <v>449</v>
      </c>
      <c r="AN84" s="541">
        <f t="shared" si="26"/>
        <v>966</v>
      </c>
      <c r="AO84" s="553">
        <f t="shared" si="27"/>
        <v>214645</v>
      </c>
      <c r="AP84" s="541">
        <f t="shared" si="17"/>
        <v>780</v>
      </c>
      <c r="AQ84" s="553">
        <f t="shared" si="28"/>
        <v>156156</v>
      </c>
      <c r="AR84" s="553">
        <f t="shared" si="29"/>
        <v>370801</v>
      </c>
      <c r="AS84" s="556"/>
      <c r="AT84" s="556"/>
      <c r="AU84" s="556"/>
      <c r="AV84" s="556">
        <f t="shared" si="30"/>
        <v>608801</v>
      </c>
      <c r="AW84" s="564">
        <f t="shared" si="18"/>
        <v>608801</v>
      </c>
      <c r="AX84" s="565"/>
      <c r="AY84" s="566">
        <f t="shared" si="31"/>
        <v>19.059999999999999</v>
      </c>
      <c r="AZ84" s="567"/>
    </row>
    <row r="85" spans="1:52" s="483" customFormat="1" ht="31.95" customHeight="1">
      <c r="A85" s="503">
        <v>76</v>
      </c>
      <c r="B85" s="504">
        <v>11</v>
      </c>
      <c r="C85" s="447">
        <v>452</v>
      </c>
      <c r="D85" s="506"/>
      <c r="E85" s="506"/>
      <c r="F85" s="507"/>
      <c r="G85" s="508" t="str">
        <f>'Tên Tháng 1'!E467</f>
        <v>ឆាង ឆើត</v>
      </c>
      <c r="H85" s="509" t="str">
        <f>'Tên Tháng 1'!F467</f>
        <v>CHHANG CHHEUT</v>
      </c>
      <c r="I85" s="519" t="str">
        <f>'CHAM CONG'!G477</f>
        <v>x</v>
      </c>
      <c r="J85" s="519" t="str">
        <f>'CHAM CONG'!H477</f>
        <v>x</v>
      </c>
      <c r="K85" s="519" t="str">
        <f>'CHAM CONG'!I477</f>
        <v>x</v>
      </c>
      <c r="L85" s="519">
        <f>'CHAM CONG'!J477</f>
        <v>0</v>
      </c>
      <c r="M85" s="519">
        <f>'CHAM CONG'!K477</f>
        <v>0</v>
      </c>
      <c r="N85" s="519" t="str">
        <f>'CHAM CONG'!L477</f>
        <v>x</v>
      </c>
      <c r="O85" s="519">
        <f>'CHAM CONG'!M477</f>
        <v>0</v>
      </c>
      <c r="P85" s="519" t="str">
        <f>'CHAM CONG'!N477</f>
        <v>x</v>
      </c>
      <c r="Q85" s="519" t="str">
        <f>'CHAM CONG'!O477</f>
        <v>x</v>
      </c>
      <c r="R85" s="519" t="str">
        <f>'CHAM CONG'!P477</f>
        <v>x</v>
      </c>
      <c r="S85" s="519" t="str">
        <f>'CHAM CONG'!Q477</f>
        <v>x</v>
      </c>
      <c r="T85" s="519" t="str">
        <f>'CHAM CONG'!R477</f>
        <v>x</v>
      </c>
      <c r="U85" s="519" t="str">
        <f>'CHAM CONG'!S477</f>
        <v>x</v>
      </c>
      <c r="V85" s="519" t="str">
        <f>'CHAM CONG'!T477</f>
        <v>x</v>
      </c>
      <c r="W85" s="519" t="str">
        <f>'CHAM CONG'!U477</f>
        <v>x</v>
      </c>
      <c r="X85" s="525"/>
      <c r="Y85" s="525"/>
      <c r="Z85" s="535">
        <f t="shared" si="19"/>
        <v>12</v>
      </c>
      <c r="AA85" s="536"/>
      <c r="AB85" s="537">
        <f t="shared" si="20"/>
        <v>192000</v>
      </c>
      <c r="AC85" s="537"/>
      <c r="AD85" s="537" t="str">
        <f>'CHAM CONG'!Y477</f>
        <v>x</v>
      </c>
      <c r="AE85" s="535">
        <f t="shared" si="21"/>
        <v>1</v>
      </c>
      <c r="AF85" s="537">
        <f t="shared" si="22"/>
        <v>17000</v>
      </c>
      <c r="AG85" s="537">
        <f t="shared" si="23"/>
        <v>12</v>
      </c>
      <c r="AH85" s="537">
        <f t="shared" si="24"/>
        <v>12000</v>
      </c>
      <c r="AI85" s="537">
        <f t="shared" si="25"/>
        <v>221000</v>
      </c>
      <c r="AJ85" s="519">
        <f>'SAN LUONG'!AF478</f>
        <v>189</v>
      </c>
      <c r="AK85" s="519">
        <f>'SAN LUONG'!AG478</f>
        <v>340</v>
      </c>
      <c r="AL85" s="542">
        <f>'SAN LUONG'!AH478</f>
        <v>211</v>
      </c>
      <c r="AM85" s="542">
        <f>'SAN LUONG'!AI478</f>
        <v>311</v>
      </c>
      <c r="AN85" s="541">
        <f t="shared" si="26"/>
        <v>529</v>
      </c>
      <c r="AO85" s="553">
        <f t="shared" si="27"/>
        <v>117544</v>
      </c>
      <c r="AP85" s="541">
        <f t="shared" si="17"/>
        <v>522</v>
      </c>
      <c r="AQ85" s="553">
        <f t="shared" si="28"/>
        <v>104504</v>
      </c>
      <c r="AR85" s="553">
        <f t="shared" si="29"/>
        <v>222048</v>
      </c>
      <c r="AS85" s="556"/>
      <c r="AT85" s="556"/>
      <c r="AU85" s="556"/>
      <c r="AV85" s="556">
        <f t="shared" si="30"/>
        <v>443048</v>
      </c>
      <c r="AW85" s="564">
        <f t="shared" si="18"/>
        <v>443048</v>
      </c>
      <c r="AX85" s="565"/>
      <c r="AY85" s="566">
        <f t="shared" si="31"/>
        <v>13.87</v>
      </c>
      <c r="AZ85" s="567"/>
    </row>
    <row r="86" spans="1:52" s="483" customFormat="1" ht="31.95" customHeight="1">
      <c r="A86" s="503">
        <v>77</v>
      </c>
      <c r="B86" s="504">
        <v>11</v>
      </c>
      <c r="C86" s="447">
        <v>453</v>
      </c>
      <c r="D86" s="506"/>
      <c r="E86" s="506"/>
      <c r="F86" s="507"/>
      <c r="G86" s="508" t="str">
        <f>'Tên Tháng 1'!E468</f>
        <v>ទ្រី អឹង</v>
      </c>
      <c r="H86" s="509" t="str">
        <f>'Tên Tháng 1'!F468</f>
        <v>TRY EUNG</v>
      </c>
      <c r="I86" s="519" t="str">
        <f>'CHAM CONG'!G478</f>
        <v>x</v>
      </c>
      <c r="J86" s="519" t="str">
        <f>'CHAM CONG'!H478</f>
        <v>x</v>
      </c>
      <c r="K86" s="519" t="str">
        <f>'CHAM CONG'!I478</f>
        <v>x</v>
      </c>
      <c r="L86" s="519">
        <f>'CHAM CONG'!J478</f>
        <v>0</v>
      </c>
      <c r="M86" s="519">
        <f>'CHAM CONG'!K478</f>
        <v>0</v>
      </c>
      <c r="N86" s="519" t="str">
        <f>'CHAM CONG'!L478</f>
        <v>x</v>
      </c>
      <c r="O86" s="519">
        <f>'CHAM CONG'!M478</f>
        <v>0</v>
      </c>
      <c r="P86" s="519" t="str">
        <f>'CHAM CONG'!N478</f>
        <v>x</v>
      </c>
      <c r="Q86" s="519" t="str">
        <f>'CHAM CONG'!O478</f>
        <v>x</v>
      </c>
      <c r="R86" s="519" t="str">
        <f>'CHAM CONG'!P478</f>
        <v>x</v>
      </c>
      <c r="S86" s="519" t="str">
        <f>'CHAM CONG'!Q478</f>
        <v>x</v>
      </c>
      <c r="T86" s="519" t="str">
        <f>'CHAM CONG'!R478</f>
        <v>x</v>
      </c>
      <c r="U86" s="519" t="str">
        <f>'CHAM CONG'!S478</f>
        <v>x</v>
      </c>
      <c r="V86" s="519" t="str">
        <f>'CHAM CONG'!T478</f>
        <v>x</v>
      </c>
      <c r="W86" s="519" t="str">
        <f>'CHAM CONG'!U478</f>
        <v>x</v>
      </c>
      <c r="X86" s="525"/>
      <c r="Y86" s="525"/>
      <c r="Z86" s="535">
        <f t="shared" si="19"/>
        <v>12</v>
      </c>
      <c r="AA86" s="536"/>
      <c r="AB86" s="537">
        <f t="shared" si="20"/>
        <v>192000</v>
      </c>
      <c r="AC86" s="537"/>
      <c r="AD86" s="537">
        <f>'CHAM CONG'!Y478</f>
        <v>0</v>
      </c>
      <c r="AE86" s="535">
        <f t="shared" si="21"/>
        <v>0</v>
      </c>
      <c r="AF86" s="537">
        <f t="shared" si="22"/>
        <v>0</v>
      </c>
      <c r="AG86" s="537">
        <f t="shared" si="23"/>
        <v>12</v>
      </c>
      <c r="AH86" s="537">
        <f t="shared" si="24"/>
        <v>12000</v>
      </c>
      <c r="AI86" s="537">
        <f t="shared" si="25"/>
        <v>204000</v>
      </c>
      <c r="AJ86" s="519">
        <f>'SAN LUONG'!AF479</f>
        <v>180</v>
      </c>
      <c r="AK86" s="519">
        <f>'SAN LUONG'!AG479</f>
        <v>336</v>
      </c>
      <c r="AL86" s="542">
        <f>'SAN LUONG'!AH479</f>
        <v>219</v>
      </c>
      <c r="AM86" s="542">
        <f>'SAN LUONG'!AI479</f>
        <v>376</v>
      </c>
      <c r="AN86" s="541">
        <f t="shared" si="26"/>
        <v>516</v>
      </c>
      <c r="AO86" s="553">
        <f t="shared" si="27"/>
        <v>114655</v>
      </c>
      <c r="AP86" s="541">
        <f t="shared" si="17"/>
        <v>595</v>
      </c>
      <c r="AQ86" s="553">
        <f t="shared" si="28"/>
        <v>119119</v>
      </c>
      <c r="AR86" s="553">
        <f t="shared" si="29"/>
        <v>233774</v>
      </c>
      <c r="AS86" s="556"/>
      <c r="AT86" s="556"/>
      <c r="AU86" s="556"/>
      <c r="AV86" s="556">
        <f t="shared" si="30"/>
        <v>437774</v>
      </c>
      <c r="AW86" s="564">
        <f t="shared" si="18"/>
        <v>437774</v>
      </c>
      <c r="AX86" s="565"/>
      <c r="AY86" s="566">
        <f t="shared" si="31"/>
        <v>13.7</v>
      </c>
      <c r="AZ86" s="567"/>
    </row>
    <row r="87" spans="1:52" s="483" customFormat="1" ht="31.95" customHeight="1">
      <c r="A87" s="503">
        <v>78</v>
      </c>
      <c r="B87" s="504">
        <v>11</v>
      </c>
      <c r="C87" s="447">
        <v>454</v>
      </c>
      <c r="D87" s="506"/>
      <c r="E87" s="506"/>
      <c r="F87" s="507"/>
      <c r="G87" s="508" t="str">
        <f>'Tên Tháng 1'!E469</f>
        <v>ជា ឡៃយ៉ុន</v>
      </c>
      <c r="H87" s="509" t="str">
        <f>'Tên Tháng 1'!F469</f>
        <v>CHEA LAIYON</v>
      </c>
      <c r="I87" s="519" t="str">
        <f>'CHAM CONG'!G479</f>
        <v>x</v>
      </c>
      <c r="J87" s="519" t="str">
        <f>'CHAM CONG'!H479</f>
        <v>x</v>
      </c>
      <c r="K87" s="519" t="str">
        <f>'CHAM CONG'!I479</f>
        <v>x</v>
      </c>
      <c r="L87" s="519">
        <f>'CHAM CONG'!J479</f>
        <v>0</v>
      </c>
      <c r="M87" s="519">
        <f>'CHAM CONG'!K479</f>
        <v>0</v>
      </c>
      <c r="N87" s="519" t="str">
        <f>'CHAM CONG'!L479</f>
        <v>x</v>
      </c>
      <c r="O87" s="519" t="str">
        <f>'CHAM CONG'!M479</f>
        <v>x</v>
      </c>
      <c r="P87" s="519" t="str">
        <f>'CHAM CONG'!N479</f>
        <v>x</v>
      </c>
      <c r="Q87" s="519" t="str">
        <f>'CHAM CONG'!O479</f>
        <v>x</v>
      </c>
      <c r="R87" s="519" t="str">
        <f>'CHAM CONG'!P479</f>
        <v>x</v>
      </c>
      <c r="S87" s="519" t="str">
        <f>'CHAM CONG'!Q479</f>
        <v>x</v>
      </c>
      <c r="T87" s="519" t="str">
        <f>'CHAM CONG'!R479</f>
        <v>x</v>
      </c>
      <c r="U87" s="519" t="str">
        <f>'CHAM CONG'!S479</f>
        <v>x</v>
      </c>
      <c r="V87" s="519" t="str">
        <f>'CHAM CONG'!T479</f>
        <v>x</v>
      </c>
      <c r="W87" s="519" t="str">
        <f>'CHAM CONG'!U479</f>
        <v>x</v>
      </c>
      <c r="X87" s="525"/>
      <c r="Y87" s="525"/>
      <c r="Z87" s="535">
        <f t="shared" si="19"/>
        <v>13</v>
      </c>
      <c r="AA87" s="536"/>
      <c r="AB87" s="537">
        <f t="shared" si="20"/>
        <v>208000</v>
      </c>
      <c r="AC87" s="537"/>
      <c r="AD87" s="537" t="str">
        <f>'CHAM CONG'!Y479</f>
        <v>x</v>
      </c>
      <c r="AE87" s="535">
        <f t="shared" si="21"/>
        <v>1</v>
      </c>
      <c r="AF87" s="537">
        <f t="shared" si="22"/>
        <v>17000</v>
      </c>
      <c r="AG87" s="537">
        <f t="shared" si="23"/>
        <v>13</v>
      </c>
      <c r="AH87" s="537">
        <f t="shared" si="24"/>
        <v>13000</v>
      </c>
      <c r="AI87" s="537">
        <f t="shared" si="25"/>
        <v>238000</v>
      </c>
      <c r="AJ87" s="519">
        <f>'SAN LUONG'!AF480</f>
        <v>294</v>
      </c>
      <c r="AK87" s="519">
        <f>'SAN LUONG'!AG480</f>
        <v>376</v>
      </c>
      <c r="AL87" s="542">
        <f>'SAN LUONG'!AH480</f>
        <v>492</v>
      </c>
      <c r="AM87" s="542">
        <f>'SAN LUONG'!AI480</f>
        <v>505</v>
      </c>
      <c r="AN87" s="541">
        <f t="shared" si="26"/>
        <v>670</v>
      </c>
      <c r="AO87" s="553">
        <f t="shared" si="27"/>
        <v>148874</v>
      </c>
      <c r="AP87" s="541">
        <f t="shared" si="17"/>
        <v>997</v>
      </c>
      <c r="AQ87" s="553">
        <f t="shared" si="28"/>
        <v>199599</v>
      </c>
      <c r="AR87" s="553">
        <f t="shared" si="29"/>
        <v>348473</v>
      </c>
      <c r="AS87" s="556"/>
      <c r="AT87" s="556"/>
      <c r="AU87" s="556"/>
      <c r="AV87" s="556">
        <f t="shared" si="30"/>
        <v>586473</v>
      </c>
      <c r="AW87" s="564">
        <f t="shared" si="18"/>
        <v>586473</v>
      </c>
      <c r="AX87" s="565"/>
      <c r="AY87" s="566">
        <f t="shared" si="31"/>
        <v>18.36</v>
      </c>
      <c r="AZ87" s="567"/>
    </row>
    <row r="88" spans="1:52" s="483" customFormat="1" ht="31.95" customHeight="1">
      <c r="A88" s="503">
        <v>79</v>
      </c>
      <c r="B88" s="504">
        <v>11</v>
      </c>
      <c r="C88" s="447">
        <v>455</v>
      </c>
      <c r="D88" s="506"/>
      <c r="E88" s="506"/>
      <c r="F88" s="507"/>
      <c r="G88" s="508" t="str">
        <f>'Tên Tháng 1'!E470</f>
        <v>តិប កី</v>
      </c>
      <c r="H88" s="509" t="str">
        <f>'Tên Tháng 1'!F470</f>
        <v>TOEB KIE</v>
      </c>
      <c r="I88" s="519" t="str">
        <f>'CHAM CONG'!G480</f>
        <v>x</v>
      </c>
      <c r="J88" s="519" t="str">
        <f>'CHAM CONG'!H480</f>
        <v>x</v>
      </c>
      <c r="K88" s="519" t="str">
        <f>'CHAM CONG'!I480</f>
        <v>x</v>
      </c>
      <c r="L88" s="519">
        <f>'CHAM CONG'!J480</f>
        <v>0</v>
      </c>
      <c r="M88" s="519" t="str">
        <f>'CHAM CONG'!K480</f>
        <v>x</v>
      </c>
      <c r="N88" s="519">
        <f>'CHAM CONG'!L480</f>
        <v>0</v>
      </c>
      <c r="O88" s="519" t="str">
        <f>'CHAM CONG'!M480</f>
        <v>x</v>
      </c>
      <c r="P88" s="519" t="str">
        <f>'CHAM CONG'!N480</f>
        <v>x</v>
      </c>
      <c r="Q88" s="519">
        <f>'CHAM CONG'!O480</f>
        <v>0</v>
      </c>
      <c r="R88" s="519" t="str">
        <f>'CHAM CONG'!P480</f>
        <v>x</v>
      </c>
      <c r="S88" s="519">
        <f>'CHAM CONG'!Q480</f>
        <v>0</v>
      </c>
      <c r="T88" s="519" t="str">
        <f>'CHAM CONG'!R480</f>
        <v>x</v>
      </c>
      <c r="U88" s="519" t="str">
        <f>'CHAM CONG'!S480</f>
        <v>x</v>
      </c>
      <c r="V88" s="519" t="str">
        <f>'CHAM CONG'!T480</f>
        <v>x</v>
      </c>
      <c r="W88" s="519">
        <f>'CHAM CONG'!U480</f>
        <v>0</v>
      </c>
      <c r="X88" s="525"/>
      <c r="Y88" s="525"/>
      <c r="Z88" s="535">
        <f t="shared" si="19"/>
        <v>10</v>
      </c>
      <c r="AA88" s="536"/>
      <c r="AB88" s="537">
        <f t="shared" si="20"/>
        <v>160000</v>
      </c>
      <c r="AC88" s="537"/>
      <c r="AD88" s="537">
        <f>'CHAM CONG'!Y480</f>
        <v>0</v>
      </c>
      <c r="AE88" s="535">
        <f t="shared" si="21"/>
        <v>0</v>
      </c>
      <c r="AF88" s="537">
        <f t="shared" si="22"/>
        <v>0</v>
      </c>
      <c r="AG88" s="537">
        <f t="shared" si="23"/>
        <v>10</v>
      </c>
      <c r="AH88" s="537">
        <f t="shared" si="24"/>
        <v>10000</v>
      </c>
      <c r="AI88" s="537">
        <f t="shared" si="25"/>
        <v>170000</v>
      </c>
      <c r="AJ88" s="519">
        <f>'SAN LUONG'!AF481</f>
        <v>109</v>
      </c>
      <c r="AK88" s="519">
        <f>'SAN LUONG'!AG481</f>
        <v>478</v>
      </c>
      <c r="AL88" s="542">
        <f>'SAN LUONG'!AH481</f>
        <v>319</v>
      </c>
      <c r="AM88" s="542">
        <f>'SAN LUONG'!AI481</f>
        <v>401</v>
      </c>
      <c r="AN88" s="541">
        <f t="shared" si="26"/>
        <v>587</v>
      </c>
      <c r="AO88" s="553">
        <f t="shared" si="27"/>
        <v>130431</v>
      </c>
      <c r="AP88" s="541">
        <f t="shared" si="17"/>
        <v>720</v>
      </c>
      <c r="AQ88" s="553">
        <f t="shared" si="28"/>
        <v>144144</v>
      </c>
      <c r="AR88" s="553">
        <f t="shared" si="29"/>
        <v>274575</v>
      </c>
      <c r="AS88" s="556"/>
      <c r="AT88" s="556"/>
      <c r="AU88" s="556"/>
      <c r="AV88" s="556">
        <f t="shared" si="30"/>
        <v>444575</v>
      </c>
      <c r="AW88" s="564">
        <f t="shared" si="18"/>
        <v>444575</v>
      </c>
      <c r="AX88" s="565"/>
      <c r="AY88" s="566">
        <f t="shared" si="31"/>
        <v>13.92</v>
      </c>
      <c r="AZ88" s="567"/>
    </row>
    <row r="89" spans="1:52" s="483" customFormat="1" ht="31.95" customHeight="1">
      <c r="A89" s="503">
        <v>80</v>
      </c>
      <c r="B89" s="504">
        <v>11</v>
      </c>
      <c r="C89" s="447">
        <v>456</v>
      </c>
      <c r="D89" s="506"/>
      <c r="E89" s="506"/>
      <c r="F89" s="507"/>
      <c r="G89" s="508" t="str">
        <f>'Tên Tháng 1'!E471</f>
        <v>ពរ​ ឡូ</v>
      </c>
      <c r="H89" s="509" t="str">
        <f>'Tên Tháng 1'!F471</f>
        <v>POR LO</v>
      </c>
      <c r="I89" s="519" t="str">
        <f>'CHAM CONG'!G481</f>
        <v>x</v>
      </c>
      <c r="J89" s="519" t="str">
        <f>'CHAM CONG'!H481</f>
        <v>x</v>
      </c>
      <c r="K89" s="519" t="str">
        <f>'CHAM CONG'!I481</f>
        <v>x</v>
      </c>
      <c r="L89" s="519">
        <f>'CHAM CONG'!J481</f>
        <v>0</v>
      </c>
      <c r="M89" s="519" t="str">
        <f>'CHAM CONG'!K481</f>
        <v>x</v>
      </c>
      <c r="N89" s="519" t="str">
        <f>'CHAM CONG'!L481</f>
        <v>x</v>
      </c>
      <c r="O89" s="519" t="str">
        <f>'CHAM CONG'!M481</f>
        <v>x</v>
      </c>
      <c r="P89" s="519" t="str">
        <f>'CHAM CONG'!N481</f>
        <v>x</v>
      </c>
      <c r="Q89" s="519" t="str">
        <f>'CHAM CONG'!O481</f>
        <v>x</v>
      </c>
      <c r="R89" s="519" t="str">
        <f>'CHAM CONG'!P481</f>
        <v>x</v>
      </c>
      <c r="S89" s="519" t="str">
        <f>'CHAM CONG'!Q481</f>
        <v>x</v>
      </c>
      <c r="T89" s="519" t="str">
        <f>'CHAM CONG'!R481</f>
        <v>x</v>
      </c>
      <c r="U89" s="519" t="str">
        <f>'CHAM CONG'!S481</f>
        <v>x</v>
      </c>
      <c r="V89" s="519" t="str">
        <f>'CHAM CONG'!T481</f>
        <v>x</v>
      </c>
      <c r="W89" s="519" t="str">
        <f>'CHAM CONG'!U481</f>
        <v>x</v>
      </c>
      <c r="X89" s="525"/>
      <c r="Y89" s="525"/>
      <c r="Z89" s="535">
        <f t="shared" si="19"/>
        <v>14</v>
      </c>
      <c r="AA89" s="536"/>
      <c r="AB89" s="537">
        <f t="shared" si="20"/>
        <v>224000</v>
      </c>
      <c r="AC89" s="537"/>
      <c r="AD89" s="537" t="str">
        <f>'CHAM CONG'!Y481</f>
        <v>x</v>
      </c>
      <c r="AE89" s="535">
        <f t="shared" si="21"/>
        <v>1</v>
      </c>
      <c r="AF89" s="537">
        <f t="shared" si="22"/>
        <v>17000</v>
      </c>
      <c r="AG89" s="537">
        <f t="shared" si="23"/>
        <v>14</v>
      </c>
      <c r="AH89" s="537">
        <f t="shared" si="24"/>
        <v>14000</v>
      </c>
      <c r="AI89" s="537">
        <f t="shared" si="25"/>
        <v>255000</v>
      </c>
      <c r="AJ89" s="519">
        <f>'SAN LUONG'!AF482</f>
        <v>365</v>
      </c>
      <c r="AK89" s="519">
        <f>'SAN LUONG'!AG482</f>
        <v>537</v>
      </c>
      <c r="AL89" s="542">
        <f>'SAN LUONG'!AH482</f>
        <v>405</v>
      </c>
      <c r="AM89" s="542">
        <f>'SAN LUONG'!AI482</f>
        <v>492</v>
      </c>
      <c r="AN89" s="541">
        <f t="shared" si="26"/>
        <v>902</v>
      </c>
      <c r="AO89" s="553">
        <f t="shared" si="27"/>
        <v>200424</v>
      </c>
      <c r="AP89" s="541">
        <f t="shared" si="17"/>
        <v>897</v>
      </c>
      <c r="AQ89" s="553">
        <f t="shared" si="28"/>
        <v>179579</v>
      </c>
      <c r="AR89" s="553">
        <f t="shared" si="29"/>
        <v>380003</v>
      </c>
      <c r="AS89" s="556"/>
      <c r="AT89" s="556"/>
      <c r="AU89" s="556"/>
      <c r="AV89" s="556">
        <f t="shared" si="30"/>
        <v>635003</v>
      </c>
      <c r="AW89" s="564">
        <f t="shared" si="18"/>
        <v>635003</v>
      </c>
      <c r="AX89" s="565"/>
      <c r="AY89" s="566">
        <f t="shared" si="31"/>
        <v>19.88</v>
      </c>
      <c r="AZ89" s="567"/>
    </row>
    <row r="90" spans="1:52" s="483" customFormat="1" ht="31.95" customHeight="1">
      <c r="A90" s="503">
        <v>81</v>
      </c>
      <c r="B90" s="504">
        <v>11</v>
      </c>
      <c r="C90" s="447">
        <v>457</v>
      </c>
      <c r="D90" s="506"/>
      <c r="E90" s="506"/>
      <c r="F90" s="507"/>
      <c r="G90" s="508" t="str">
        <f>'Tên Tháng 1'!E472</f>
        <v>ឈួន ឆេន</v>
      </c>
      <c r="H90" s="509" t="str">
        <f>'Tên Tháng 1'!F472</f>
        <v>CHHOUN CHHEN</v>
      </c>
      <c r="I90" s="519" t="str">
        <f>'CHAM CONG'!G482</f>
        <v>x</v>
      </c>
      <c r="J90" s="519" t="str">
        <f>'CHAM CONG'!H482</f>
        <v>x</v>
      </c>
      <c r="K90" s="519" t="str">
        <f>'CHAM CONG'!I482</f>
        <v>x</v>
      </c>
      <c r="L90" s="519">
        <f>'CHAM CONG'!J482</f>
        <v>0</v>
      </c>
      <c r="M90" s="519" t="str">
        <f>'CHAM CONG'!K482</f>
        <v>x</v>
      </c>
      <c r="N90" s="519" t="str">
        <f>'CHAM CONG'!L482</f>
        <v>x</v>
      </c>
      <c r="O90" s="519" t="str">
        <f>'CHAM CONG'!M482</f>
        <v>x</v>
      </c>
      <c r="P90" s="519" t="str">
        <f>'CHAM CONG'!N482</f>
        <v>x</v>
      </c>
      <c r="Q90" s="519" t="str">
        <f>'CHAM CONG'!O482</f>
        <v>x</v>
      </c>
      <c r="R90" s="519" t="str">
        <f>'CHAM CONG'!P482</f>
        <v>x</v>
      </c>
      <c r="S90" s="519" t="str">
        <f>'CHAM CONG'!Q482</f>
        <v>x</v>
      </c>
      <c r="T90" s="519" t="str">
        <f>'CHAM CONG'!R482</f>
        <v>x</v>
      </c>
      <c r="U90" s="519" t="str">
        <f>'CHAM CONG'!S482</f>
        <v>x</v>
      </c>
      <c r="V90" s="519" t="str">
        <f>'CHAM CONG'!T482</f>
        <v>x</v>
      </c>
      <c r="W90" s="519" t="str">
        <f>'CHAM CONG'!U482</f>
        <v>x</v>
      </c>
      <c r="X90" s="525"/>
      <c r="Y90" s="525"/>
      <c r="Z90" s="535">
        <f t="shared" si="19"/>
        <v>14</v>
      </c>
      <c r="AA90" s="536"/>
      <c r="AB90" s="537">
        <f t="shared" si="20"/>
        <v>224000</v>
      </c>
      <c r="AC90" s="537"/>
      <c r="AD90" s="537" t="str">
        <f>'CHAM CONG'!Y482</f>
        <v>x</v>
      </c>
      <c r="AE90" s="535">
        <f t="shared" si="21"/>
        <v>1</v>
      </c>
      <c r="AF90" s="537">
        <f t="shared" si="22"/>
        <v>17000</v>
      </c>
      <c r="AG90" s="537">
        <f t="shared" si="23"/>
        <v>14</v>
      </c>
      <c r="AH90" s="537">
        <f t="shared" si="24"/>
        <v>14000</v>
      </c>
      <c r="AI90" s="537">
        <f t="shared" si="25"/>
        <v>255000</v>
      </c>
      <c r="AJ90" s="519">
        <f>'SAN LUONG'!AF483</f>
        <v>304</v>
      </c>
      <c r="AK90" s="542">
        <f>'SAN LUONG'!AG483</f>
        <v>699</v>
      </c>
      <c r="AL90" s="542">
        <f>'SAN LUONG'!AH483</f>
        <v>466</v>
      </c>
      <c r="AM90" s="542">
        <f>'SAN LUONG'!AI483</f>
        <v>442</v>
      </c>
      <c r="AN90" s="541">
        <f t="shared" si="26"/>
        <v>304</v>
      </c>
      <c r="AO90" s="553">
        <f t="shared" si="27"/>
        <v>67549</v>
      </c>
      <c r="AP90" s="541">
        <f>AL90+AM90+AK90</f>
        <v>1607</v>
      </c>
      <c r="AQ90" s="553">
        <f t="shared" si="28"/>
        <v>321721</v>
      </c>
      <c r="AR90" s="553">
        <f t="shared" si="29"/>
        <v>389270</v>
      </c>
      <c r="AS90" s="556"/>
      <c r="AT90" s="556"/>
      <c r="AU90" s="556"/>
      <c r="AV90" s="556">
        <f t="shared" si="30"/>
        <v>644270</v>
      </c>
      <c r="AW90" s="564">
        <f t="shared" si="18"/>
        <v>644270</v>
      </c>
      <c r="AX90" s="565"/>
      <c r="AY90" s="566">
        <f t="shared" si="31"/>
        <v>20.170000000000002</v>
      </c>
      <c r="AZ90" s="567"/>
    </row>
    <row r="91" spans="1:52" s="483" customFormat="1" ht="31.95" customHeight="1">
      <c r="A91" s="503">
        <v>82</v>
      </c>
      <c r="B91" s="504">
        <v>11</v>
      </c>
      <c r="C91" s="447">
        <v>458</v>
      </c>
      <c r="D91" s="506"/>
      <c r="E91" s="506"/>
      <c r="F91" s="507"/>
      <c r="G91" s="508" t="str">
        <f>'Tên Tháng 1'!E473</f>
        <v>ស៊ុត សោន</v>
      </c>
      <c r="H91" s="509" t="str">
        <f>'Tên Tháng 1'!F473</f>
        <v>SUT SAON</v>
      </c>
      <c r="I91" s="519" t="str">
        <f>'CHAM CONG'!G483</f>
        <v>x</v>
      </c>
      <c r="J91" s="519" t="str">
        <f>'CHAM CONG'!H483</f>
        <v>x</v>
      </c>
      <c r="K91" s="519" t="str">
        <f>'CHAM CONG'!I483</f>
        <v>x</v>
      </c>
      <c r="L91" s="519">
        <f>'CHAM CONG'!J483</f>
        <v>0</v>
      </c>
      <c r="M91" s="519" t="str">
        <f>'CHAM CONG'!K483</f>
        <v>x</v>
      </c>
      <c r="N91" s="519" t="str">
        <f>'CHAM CONG'!L483</f>
        <v>x</v>
      </c>
      <c r="O91" s="519" t="str">
        <f>'CHAM CONG'!M483</f>
        <v>x</v>
      </c>
      <c r="P91" s="519" t="str">
        <f>'CHAM CONG'!N483</f>
        <v>x</v>
      </c>
      <c r="Q91" s="519" t="str">
        <f>'CHAM CONG'!O483</f>
        <v>x</v>
      </c>
      <c r="R91" s="519" t="str">
        <f>'CHAM CONG'!P483</f>
        <v>x</v>
      </c>
      <c r="S91" s="519" t="str">
        <f>'CHAM CONG'!Q483</f>
        <v>x</v>
      </c>
      <c r="T91" s="519" t="str">
        <f>'CHAM CONG'!R483</f>
        <v>x</v>
      </c>
      <c r="U91" s="519" t="str">
        <f>'CHAM CONG'!S483</f>
        <v>x</v>
      </c>
      <c r="V91" s="519" t="str">
        <f>'CHAM CONG'!T483</f>
        <v>x</v>
      </c>
      <c r="W91" s="519" t="str">
        <f>'CHAM CONG'!U483</f>
        <v>x</v>
      </c>
      <c r="X91" s="525"/>
      <c r="Y91" s="525"/>
      <c r="Z91" s="535">
        <f t="shared" si="19"/>
        <v>14</v>
      </c>
      <c r="AA91" s="536"/>
      <c r="AB91" s="537">
        <f t="shared" si="20"/>
        <v>224000</v>
      </c>
      <c r="AC91" s="537"/>
      <c r="AD91" s="537" t="str">
        <f>'CHAM CONG'!Y483</f>
        <v>x</v>
      </c>
      <c r="AE91" s="535">
        <f t="shared" si="21"/>
        <v>1</v>
      </c>
      <c r="AF91" s="537">
        <f t="shared" si="22"/>
        <v>17000</v>
      </c>
      <c r="AG91" s="537">
        <f t="shared" si="23"/>
        <v>14</v>
      </c>
      <c r="AH91" s="537">
        <f t="shared" si="24"/>
        <v>14000</v>
      </c>
      <c r="AI91" s="537">
        <f t="shared" si="25"/>
        <v>255000</v>
      </c>
      <c r="AJ91" s="519">
        <f>'SAN LUONG'!AF484</f>
        <v>297</v>
      </c>
      <c r="AK91" s="542">
        <f>'SAN LUONG'!AG484</f>
        <v>683</v>
      </c>
      <c r="AL91" s="542">
        <f>'SAN LUONG'!AH484</f>
        <v>399</v>
      </c>
      <c r="AM91" s="542">
        <f>'SAN LUONG'!AI484</f>
        <v>429</v>
      </c>
      <c r="AN91" s="541">
        <f t="shared" si="26"/>
        <v>297</v>
      </c>
      <c r="AO91" s="553">
        <f t="shared" si="27"/>
        <v>65993</v>
      </c>
      <c r="AP91" s="541">
        <f t="shared" ref="AP91:AP105" si="32">AL91+AM91+AK91</f>
        <v>1511</v>
      </c>
      <c r="AQ91" s="553">
        <f t="shared" si="28"/>
        <v>302502</v>
      </c>
      <c r="AR91" s="553">
        <f t="shared" si="29"/>
        <v>368495</v>
      </c>
      <c r="AS91" s="556"/>
      <c r="AT91" s="556"/>
      <c r="AU91" s="556"/>
      <c r="AV91" s="556">
        <f t="shared" si="30"/>
        <v>623495</v>
      </c>
      <c r="AW91" s="564">
        <f t="shared" si="18"/>
        <v>623495</v>
      </c>
      <c r="AX91" s="565"/>
      <c r="AY91" s="566">
        <f t="shared" si="31"/>
        <v>19.52</v>
      </c>
      <c r="AZ91" s="567"/>
    </row>
    <row r="92" spans="1:52" s="483" customFormat="1" ht="31.95" customHeight="1">
      <c r="A92" s="503">
        <v>83</v>
      </c>
      <c r="B92" s="504">
        <v>11</v>
      </c>
      <c r="C92" s="447">
        <v>459</v>
      </c>
      <c r="D92" s="506"/>
      <c r="E92" s="506"/>
      <c r="F92" s="507"/>
      <c r="G92" s="508" t="str">
        <f>'Tên Tháng 1'!E474</f>
        <v>ឈួន ឈី</v>
      </c>
      <c r="H92" s="509" t="str">
        <f>'Tên Tháng 1'!F474</f>
        <v>CHHUON CHHY</v>
      </c>
      <c r="I92" s="519" t="str">
        <f>'CHAM CONG'!G484</f>
        <v>x</v>
      </c>
      <c r="J92" s="519" t="str">
        <f>'CHAM CONG'!H484</f>
        <v>x</v>
      </c>
      <c r="K92" s="519" t="str">
        <f>'CHAM CONG'!I484</f>
        <v>x</v>
      </c>
      <c r="L92" s="519">
        <f>'CHAM CONG'!J484</f>
        <v>0</v>
      </c>
      <c r="M92" s="519" t="str">
        <f>'CHAM CONG'!K484</f>
        <v>x</v>
      </c>
      <c r="N92" s="519" t="str">
        <f>'CHAM CONG'!L484</f>
        <v>x</v>
      </c>
      <c r="O92" s="519" t="str">
        <f>'CHAM CONG'!M484</f>
        <v>x</v>
      </c>
      <c r="P92" s="519" t="str">
        <f>'CHAM CONG'!N484</f>
        <v>x</v>
      </c>
      <c r="Q92" s="519" t="str">
        <f>'CHAM CONG'!O484</f>
        <v>x</v>
      </c>
      <c r="R92" s="519" t="str">
        <f>'CHAM CONG'!P484</f>
        <v>x</v>
      </c>
      <c r="S92" s="519" t="str">
        <f>'CHAM CONG'!Q484</f>
        <v>x</v>
      </c>
      <c r="T92" s="519" t="str">
        <f>'CHAM CONG'!R484</f>
        <v>x</v>
      </c>
      <c r="U92" s="519" t="str">
        <f>'CHAM CONG'!S484</f>
        <v>x</v>
      </c>
      <c r="V92" s="519" t="str">
        <f>'CHAM CONG'!T484</f>
        <v>x</v>
      </c>
      <c r="W92" s="519" t="str">
        <f>'CHAM CONG'!U484</f>
        <v>x</v>
      </c>
      <c r="X92" s="525"/>
      <c r="Y92" s="525"/>
      <c r="Z92" s="535">
        <f t="shared" si="19"/>
        <v>14</v>
      </c>
      <c r="AA92" s="536"/>
      <c r="AB92" s="537">
        <f t="shared" si="20"/>
        <v>224000</v>
      </c>
      <c r="AC92" s="537"/>
      <c r="AD92" s="537" t="str">
        <f>'CHAM CONG'!Y484</f>
        <v>x</v>
      </c>
      <c r="AE92" s="535">
        <f t="shared" si="21"/>
        <v>1</v>
      </c>
      <c r="AF92" s="537">
        <f t="shared" si="22"/>
        <v>17000</v>
      </c>
      <c r="AG92" s="537">
        <f t="shared" si="23"/>
        <v>14</v>
      </c>
      <c r="AH92" s="537">
        <f t="shared" si="24"/>
        <v>14000</v>
      </c>
      <c r="AI92" s="537">
        <f t="shared" si="25"/>
        <v>255000</v>
      </c>
      <c r="AJ92" s="519">
        <f>'SAN LUONG'!AF485</f>
        <v>330</v>
      </c>
      <c r="AK92" s="542">
        <f>'SAN LUONG'!AG485</f>
        <v>444</v>
      </c>
      <c r="AL92" s="542">
        <f>'SAN LUONG'!AH485</f>
        <v>386</v>
      </c>
      <c r="AM92" s="542">
        <f>'SAN LUONG'!AI485</f>
        <v>345</v>
      </c>
      <c r="AN92" s="541">
        <f t="shared" si="26"/>
        <v>330</v>
      </c>
      <c r="AO92" s="553">
        <f t="shared" si="27"/>
        <v>73326</v>
      </c>
      <c r="AP92" s="541">
        <f t="shared" si="32"/>
        <v>1175</v>
      </c>
      <c r="AQ92" s="553">
        <f t="shared" si="28"/>
        <v>235235</v>
      </c>
      <c r="AR92" s="553">
        <f t="shared" si="29"/>
        <v>308561</v>
      </c>
      <c r="AS92" s="556"/>
      <c r="AT92" s="556"/>
      <c r="AU92" s="556"/>
      <c r="AV92" s="556">
        <f t="shared" si="30"/>
        <v>563561</v>
      </c>
      <c r="AW92" s="564">
        <f t="shared" si="18"/>
        <v>563561</v>
      </c>
      <c r="AX92" s="565"/>
      <c r="AY92" s="566">
        <f t="shared" si="31"/>
        <v>17.64</v>
      </c>
      <c r="AZ92" s="567"/>
    </row>
    <row r="93" spans="1:52" s="483" customFormat="1" ht="31.95" customHeight="1">
      <c r="A93" s="503">
        <v>84</v>
      </c>
      <c r="B93" s="504">
        <v>11</v>
      </c>
      <c r="C93" s="447">
        <v>460</v>
      </c>
      <c r="D93" s="506"/>
      <c r="E93" s="506"/>
      <c r="F93" s="507"/>
      <c r="G93" s="508" t="str">
        <f>'Tên Tháng 1'!E475</f>
        <v>ម៉េត សុផល</v>
      </c>
      <c r="H93" s="509" t="str">
        <f>'Tên Tháng 1'!F475</f>
        <v>MET SOPHALL</v>
      </c>
      <c r="I93" s="519">
        <f>'CHAM CONG'!G485</f>
        <v>0</v>
      </c>
      <c r="J93" s="519" t="str">
        <f>'CHAM CONG'!H485</f>
        <v>x</v>
      </c>
      <c r="K93" s="519" t="str">
        <f>'CHAM CONG'!I485</f>
        <v>x</v>
      </c>
      <c r="L93" s="519">
        <f>'CHAM CONG'!J485</f>
        <v>0</v>
      </c>
      <c r="M93" s="519" t="str">
        <f>'CHAM CONG'!K485</f>
        <v>x</v>
      </c>
      <c r="N93" s="519" t="str">
        <f>'CHAM CONG'!L485</f>
        <v>x</v>
      </c>
      <c r="O93" s="519" t="str">
        <f>'CHAM CONG'!M485</f>
        <v>x</v>
      </c>
      <c r="P93" s="519" t="str">
        <f>'CHAM CONG'!N485</f>
        <v>x</v>
      </c>
      <c r="Q93" s="519" t="str">
        <f>'CHAM CONG'!O485</f>
        <v>x</v>
      </c>
      <c r="R93" s="519" t="str">
        <f>'CHAM CONG'!P485</f>
        <v>x</v>
      </c>
      <c r="S93" s="519" t="str">
        <f>'CHAM CONG'!Q485</f>
        <v>x</v>
      </c>
      <c r="T93" s="519" t="str">
        <f>'CHAM CONG'!R485</f>
        <v>x</v>
      </c>
      <c r="U93" s="519">
        <f>'CHAM CONG'!S485</f>
        <v>0</v>
      </c>
      <c r="V93" s="519" t="str">
        <f>'CHAM CONG'!T485</f>
        <v>x</v>
      </c>
      <c r="W93" s="519" t="str">
        <f>'CHAM CONG'!U485</f>
        <v>x</v>
      </c>
      <c r="X93" s="525"/>
      <c r="Y93" s="525"/>
      <c r="Z93" s="535">
        <f t="shared" si="19"/>
        <v>12</v>
      </c>
      <c r="AA93" s="536"/>
      <c r="AB93" s="537">
        <f t="shared" si="20"/>
        <v>192000</v>
      </c>
      <c r="AC93" s="537"/>
      <c r="AD93" s="537" t="str">
        <f>'CHAM CONG'!Y485</f>
        <v>x</v>
      </c>
      <c r="AE93" s="535">
        <f t="shared" si="21"/>
        <v>1</v>
      </c>
      <c r="AF93" s="537">
        <f t="shared" si="22"/>
        <v>17000</v>
      </c>
      <c r="AG93" s="537">
        <f t="shared" si="23"/>
        <v>12</v>
      </c>
      <c r="AH93" s="537">
        <f t="shared" si="24"/>
        <v>12000</v>
      </c>
      <c r="AI93" s="537">
        <f t="shared" si="25"/>
        <v>221000</v>
      </c>
      <c r="AJ93" s="519">
        <f>'SAN LUONG'!AF486</f>
        <v>261</v>
      </c>
      <c r="AK93" s="542">
        <f>'SAN LUONG'!AG486</f>
        <v>352</v>
      </c>
      <c r="AL93" s="542">
        <f>'SAN LUONG'!AH486</f>
        <v>490</v>
      </c>
      <c r="AM93" s="542">
        <f>'SAN LUONG'!AI486</f>
        <v>366</v>
      </c>
      <c r="AN93" s="541">
        <f t="shared" si="26"/>
        <v>261</v>
      </c>
      <c r="AO93" s="553">
        <f t="shared" si="27"/>
        <v>57994</v>
      </c>
      <c r="AP93" s="541">
        <f t="shared" si="32"/>
        <v>1208</v>
      </c>
      <c r="AQ93" s="553">
        <f t="shared" si="28"/>
        <v>241842</v>
      </c>
      <c r="AR93" s="553">
        <f t="shared" si="29"/>
        <v>299836</v>
      </c>
      <c r="AS93" s="556"/>
      <c r="AT93" s="556"/>
      <c r="AU93" s="556"/>
      <c r="AV93" s="556">
        <f t="shared" si="30"/>
        <v>520836</v>
      </c>
      <c r="AW93" s="564">
        <f t="shared" si="18"/>
        <v>520836</v>
      </c>
      <c r="AX93" s="565"/>
      <c r="AY93" s="566">
        <f t="shared" si="31"/>
        <v>16.3</v>
      </c>
      <c r="AZ93" s="567"/>
    </row>
    <row r="94" spans="1:52" s="483" customFormat="1" ht="31.95" customHeight="1">
      <c r="A94" s="503">
        <v>85</v>
      </c>
      <c r="B94" s="504">
        <v>11</v>
      </c>
      <c r="C94" s="447">
        <v>461</v>
      </c>
      <c r="D94" s="506"/>
      <c r="E94" s="506"/>
      <c r="F94" s="507"/>
      <c r="G94" s="508" t="str">
        <f>'Tên Tháng 1'!E476</f>
        <v>អ៊ឹម ថូ</v>
      </c>
      <c r="H94" s="509" t="str">
        <f>'Tên Tháng 1'!F476</f>
        <v>OEM THO</v>
      </c>
      <c r="I94" s="519" t="str">
        <f>'CHAM CONG'!G486</f>
        <v>x</v>
      </c>
      <c r="J94" s="519">
        <f>'CHAM CONG'!H486</f>
        <v>0</v>
      </c>
      <c r="K94" s="519" t="str">
        <f>'CHAM CONG'!I486</f>
        <v>x</v>
      </c>
      <c r="L94" s="519" t="str">
        <f>'CHAM CONG'!J486</f>
        <v>x</v>
      </c>
      <c r="M94" s="519" t="str">
        <f>'CHAM CONG'!K486</f>
        <v>x</v>
      </c>
      <c r="N94" s="519" t="str">
        <f>'CHAM CONG'!L486</f>
        <v>x</v>
      </c>
      <c r="O94" s="519" t="str">
        <f>'CHAM CONG'!M486</f>
        <v>x</v>
      </c>
      <c r="P94" s="519" t="str">
        <f>'CHAM CONG'!N486</f>
        <v>x</v>
      </c>
      <c r="Q94" s="519" t="str">
        <f>'CHAM CONG'!O486</f>
        <v>x</v>
      </c>
      <c r="R94" s="519" t="str">
        <f>'CHAM CONG'!P486</f>
        <v>x</v>
      </c>
      <c r="S94" s="519" t="str">
        <f>'CHAM CONG'!Q486</f>
        <v>x</v>
      </c>
      <c r="T94" s="519" t="str">
        <f>'CHAM CONG'!R486</f>
        <v>x</v>
      </c>
      <c r="U94" s="519" t="str">
        <f>'CHAM CONG'!S486</f>
        <v>x</v>
      </c>
      <c r="V94" s="519" t="str">
        <f>'CHAM CONG'!T486</f>
        <v>x</v>
      </c>
      <c r="W94" s="519" t="str">
        <f>'CHAM CONG'!U486</f>
        <v>x</v>
      </c>
      <c r="X94" s="525"/>
      <c r="Y94" s="525"/>
      <c r="Z94" s="535">
        <f t="shared" si="19"/>
        <v>14</v>
      </c>
      <c r="AA94" s="536"/>
      <c r="AB94" s="537">
        <f t="shared" si="20"/>
        <v>224000</v>
      </c>
      <c r="AC94" s="537"/>
      <c r="AD94" s="537" t="str">
        <f>'CHAM CONG'!Y486</f>
        <v>x</v>
      </c>
      <c r="AE94" s="535">
        <f t="shared" si="21"/>
        <v>1</v>
      </c>
      <c r="AF94" s="537">
        <f t="shared" si="22"/>
        <v>17000</v>
      </c>
      <c r="AG94" s="537">
        <f t="shared" si="23"/>
        <v>14</v>
      </c>
      <c r="AH94" s="537">
        <f t="shared" si="24"/>
        <v>14000</v>
      </c>
      <c r="AI94" s="537">
        <f t="shared" si="25"/>
        <v>255000</v>
      </c>
      <c r="AJ94" s="519">
        <f>'SAN LUONG'!AF487</f>
        <v>337</v>
      </c>
      <c r="AK94" s="542">
        <f>'SAN LUONG'!AG487</f>
        <v>782</v>
      </c>
      <c r="AL94" s="542">
        <f>'SAN LUONG'!AH487</f>
        <v>422</v>
      </c>
      <c r="AM94" s="542">
        <f>'SAN LUONG'!AI487</f>
        <v>541</v>
      </c>
      <c r="AN94" s="541">
        <f t="shared" si="26"/>
        <v>337</v>
      </c>
      <c r="AO94" s="553">
        <f t="shared" si="27"/>
        <v>74881</v>
      </c>
      <c r="AP94" s="541">
        <f t="shared" si="32"/>
        <v>1745</v>
      </c>
      <c r="AQ94" s="553">
        <f t="shared" si="28"/>
        <v>349349</v>
      </c>
      <c r="AR94" s="553">
        <f t="shared" si="29"/>
        <v>424230</v>
      </c>
      <c r="AS94" s="556"/>
      <c r="AT94" s="556"/>
      <c r="AU94" s="556"/>
      <c r="AV94" s="556">
        <f t="shared" si="30"/>
        <v>679230</v>
      </c>
      <c r="AW94" s="564">
        <f t="shared" si="18"/>
        <v>679230</v>
      </c>
      <c r="AX94" s="565"/>
      <c r="AY94" s="566">
        <f t="shared" si="31"/>
        <v>21.26</v>
      </c>
      <c r="AZ94" s="567"/>
    </row>
    <row r="95" spans="1:52" s="483" customFormat="1" ht="31.95" customHeight="1">
      <c r="A95" s="503">
        <v>86</v>
      </c>
      <c r="B95" s="504">
        <v>11</v>
      </c>
      <c r="C95" s="447">
        <v>462</v>
      </c>
      <c r="D95" s="506"/>
      <c r="E95" s="506"/>
      <c r="F95" s="507"/>
      <c r="G95" s="508" t="str">
        <f>'Tên Tháng 1'!E477</f>
        <v>សៀវ រីណា</v>
      </c>
      <c r="H95" s="509" t="str">
        <f>'Tên Tháng 1'!F477</f>
        <v>SEAV RINA</v>
      </c>
      <c r="I95" s="519" t="str">
        <f>'CHAM CONG'!G487</f>
        <v>x</v>
      </c>
      <c r="J95" s="519" t="str">
        <f>'CHAM CONG'!H487</f>
        <v>x</v>
      </c>
      <c r="K95" s="519" t="str">
        <f>'CHAM CONG'!I487</f>
        <v>x</v>
      </c>
      <c r="L95" s="519">
        <f>'CHAM CONG'!J487</f>
        <v>0</v>
      </c>
      <c r="M95" s="519">
        <f>'CHAM CONG'!K487</f>
        <v>0</v>
      </c>
      <c r="N95" s="519" t="str">
        <f>'CHAM CONG'!L487</f>
        <v>x</v>
      </c>
      <c r="O95" s="519" t="str">
        <f>'CHAM CONG'!M487</f>
        <v>x</v>
      </c>
      <c r="P95" s="519" t="str">
        <f>'CHAM CONG'!N487</f>
        <v>x</v>
      </c>
      <c r="Q95" s="519" t="str">
        <f>'CHAM CONG'!O487</f>
        <v>x</v>
      </c>
      <c r="R95" s="519" t="str">
        <f>'CHAM CONG'!P487</f>
        <v>x</v>
      </c>
      <c r="S95" s="519" t="str">
        <f>'CHAM CONG'!Q487</f>
        <v>x</v>
      </c>
      <c r="T95" s="519" t="str">
        <f>'CHAM CONG'!R487</f>
        <v>x</v>
      </c>
      <c r="U95" s="519" t="str">
        <f>'CHAM CONG'!S487</f>
        <v>x</v>
      </c>
      <c r="V95" s="519" t="str">
        <f>'CHAM CONG'!T487</f>
        <v>x</v>
      </c>
      <c r="W95" s="519" t="str">
        <f>'CHAM CONG'!U487</f>
        <v>x</v>
      </c>
      <c r="X95" s="525"/>
      <c r="Y95" s="525"/>
      <c r="Z95" s="535">
        <f t="shared" si="19"/>
        <v>13</v>
      </c>
      <c r="AA95" s="536"/>
      <c r="AB95" s="537">
        <f t="shared" si="20"/>
        <v>208000</v>
      </c>
      <c r="AC95" s="537"/>
      <c r="AD95" s="537" t="str">
        <f>'CHAM CONG'!Y487</f>
        <v>x</v>
      </c>
      <c r="AE95" s="535">
        <f t="shared" si="21"/>
        <v>1</v>
      </c>
      <c r="AF95" s="537">
        <f t="shared" si="22"/>
        <v>17000</v>
      </c>
      <c r="AG95" s="537">
        <f t="shared" si="23"/>
        <v>13</v>
      </c>
      <c r="AH95" s="537">
        <f t="shared" si="24"/>
        <v>13000</v>
      </c>
      <c r="AI95" s="537">
        <f t="shared" si="25"/>
        <v>238000</v>
      </c>
      <c r="AJ95" s="519">
        <f>'SAN LUONG'!AF488</f>
        <v>354</v>
      </c>
      <c r="AK95" s="542">
        <f>'SAN LUONG'!AG488</f>
        <v>544</v>
      </c>
      <c r="AL95" s="542">
        <f>'SAN LUONG'!AH488</f>
        <v>466</v>
      </c>
      <c r="AM95" s="542">
        <f>'SAN LUONG'!AI488</f>
        <v>505</v>
      </c>
      <c r="AN95" s="541">
        <f t="shared" si="26"/>
        <v>354</v>
      </c>
      <c r="AO95" s="553">
        <f t="shared" si="27"/>
        <v>78659</v>
      </c>
      <c r="AP95" s="541">
        <f t="shared" si="32"/>
        <v>1515</v>
      </c>
      <c r="AQ95" s="553">
        <f t="shared" si="28"/>
        <v>303303</v>
      </c>
      <c r="AR95" s="553">
        <f t="shared" si="29"/>
        <v>381962</v>
      </c>
      <c r="AS95" s="556"/>
      <c r="AT95" s="556"/>
      <c r="AU95" s="556"/>
      <c r="AV95" s="556">
        <f t="shared" si="30"/>
        <v>619962</v>
      </c>
      <c r="AW95" s="564">
        <f t="shared" si="18"/>
        <v>619962</v>
      </c>
      <c r="AX95" s="565"/>
      <c r="AY95" s="566">
        <f t="shared" si="31"/>
        <v>19.41</v>
      </c>
      <c r="AZ95" s="567"/>
    </row>
    <row r="96" spans="1:52" s="483" customFormat="1" ht="31.95" customHeight="1">
      <c r="A96" s="503">
        <v>87</v>
      </c>
      <c r="B96" s="504">
        <v>11</v>
      </c>
      <c r="C96" s="447">
        <v>463</v>
      </c>
      <c r="D96" s="506"/>
      <c r="E96" s="506"/>
      <c r="F96" s="507"/>
      <c r="G96" s="508" t="str">
        <f>'Tên Tháng 1'!E478</f>
        <v>ផា សុសាយ</v>
      </c>
      <c r="H96" s="509" t="str">
        <f>'Tên Tháng 1'!F478</f>
        <v>PHA SOSAY</v>
      </c>
      <c r="I96" s="519" t="str">
        <f>'CHAM CONG'!G488</f>
        <v>x</v>
      </c>
      <c r="J96" s="519">
        <f>'CHAM CONG'!H488</f>
        <v>0</v>
      </c>
      <c r="K96" s="519" t="str">
        <f>'CHAM CONG'!I488</f>
        <v>x</v>
      </c>
      <c r="L96" s="519">
        <f>'CHAM CONG'!J488</f>
        <v>0</v>
      </c>
      <c r="M96" s="519" t="str">
        <f>'CHAM CONG'!K488</f>
        <v>x</v>
      </c>
      <c r="N96" s="519" t="str">
        <f>'CHAM CONG'!L488</f>
        <v>x</v>
      </c>
      <c r="O96" s="519" t="str">
        <f>'CHAM CONG'!M488</f>
        <v>x</v>
      </c>
      <c r="P96" s="519">
        <f>'CHAM CONG'!N488</f>
        <v>0</v>
      </c>
      <c r="Q96" s="519" t="str">
        <f>'CHAM CONG'!O488</f>
        <v>x</v>
      </c>
      <c r="R96" s="519" t="str">
        <f>'CHAM CONG'!P488</f>
        <v>x</v>
      </c>
      <c r="S96" s="519" t="str">
        <f>'CHAM CONG'!Q488</f>
        <v>x</v>
      </c>
      <c r="T96" s="519" t="str">
        <f>'CHAM CONG'!R488</f>
        <v>x</v>
      </c>
      <c r="U96" s="519" t="str">
        <f>'CHAM CONG'!S488</f>
        <v>x</v>
      </c>
      <c r="V96" s="519" t="str">
        <f>'CHAM CONG'!T488</f>
        <v>x</v>
      </c>
      <c r="W96" s="519" t="str">
        <f>'CHAM CONG'!U488</f>
        <v>x</v>
      </c>
      <c r="X96" s="525"/>
      <c r="Y96" s="525"/>
      <c r="Z96" s="535">
        <f t="shared" si="19"/>
        <v>12</v>
      </c>
      <c r="AA96" s="536"/>
      <c r="AB96" s="537">
        <f t="shared" si="20"/>
        <v>192000</v>
      </c>
      <c r="AC96" s="537"/>
      <c r="AD96" s="537">
        <f>'CHAM CONG'!Y488</f>
        <v>0</v>
      </c>
      <c r="AE96" s="535">
        <f t="shared" si="21"/>
        <v>0</v>
      </c>
      <c r="AF96" s="537">
        <f t="shared" si="22"/>
        <v>0</v>
      </c>
      <c r="AG96" s="537">
        <f t="shared" si="23"/>
        <v>12</v>
      </c>
      <c r="AH96" s="537">
        <f t="shared" si="24"/>
        <v>12000</v>
      </c>
      <c r="AI96" s="537">
        <f t="shared" si="25"/>
        <v>204000</v>
      </c>
      <c r="AJ96" s="519">
        <f>'SAN LUONG'!AF489</f>
        <v>315</v>
      </c>
      <c r="AK96" s="542">
        <f>'SAN LUONG'!AG489</f>
        <v>530</v>
      </c>
      <c r="AL96" s="542">
        <f>'SAN LUONG'!AH489</f>
        <v>375</v>
      </c>
      <c r="AM96" s="542">
        <f>'SAN LUONG'!AI489</f>
        <v>295</v>
      </c>
      <c r="AN96" s="541">
        <f t="shared" si="26"/>
        <v>315</v>
      </c>
      <c r="AO96" s="553">
        <f t="shared" si="27"/>
        <v>69993</v>
      </c>
      <c r="AP96" s="541">
        <f t="shared" si="32"/>
        <v>1200</v>
      </c>
      <c r="AQ96" s="553">
        <f t="shared" si="28"/>
        <v>240240</v>
      </c>
      <c r="AR96" s="553">
        <f t="shared" si="29"/>
        <v>310233</v>
      </c>
      <c r="AS96" s="556"/>
      <c r="AT96" s="556"/>
      <c r="AU96" s="556"/>
      <c r="AV96" s="556">
        <f t="shared" si="30"/>
        <v>514233</v>
      </c>
      <c r="AW96" s="564">
        <f t="shared" si="18"/>
        <v>514233</v>
      </c>
      <c r="AX96" s="565"/>
      <c r="AY96" s="566">
        <f t="shared" si="31"/>
        <v>16.100000000000001</v>
      </c>
      <c r="AZ96" s="567"/>
    </row>
    <row r="97" spans="1:55" s="483" customFormat="1" ht="31.95" customHeight="1">
      <c r="A97" s="503">
        <v>88</v>
      </c>
      <c r="B97" s="504">
        <v>11</v>
      </c>
      <c r="C97" s="447">
        <v>464</v>
      </c>
      <c r="D97" s="506"/>
      <c r="E97" s="506"/>
      <c r="F97" s="507"/>
      <c r="G97" s="508" t="str">
        <f>'Tên Tháng 1'!E479</f>
        <v>ធាន អូន</v>
      </c>
      <c r="H97" s="509" t="str">
        <f>'Tên Tháng 1'!F479</f>
        <v>THEAN OUN</v>
      </c>
      <c r="I97" s="519" t="str">
        <f>'CHAM CONG'!G489</f>
        <v>x</v>
      </c>
      <c r="J97" s="519" t="str">
        <f>'CHAM CONG'!H489</f>
        <v>x</v>
      </c>
      <c r="K97" s="519" t="str">
        <f>'CHAM CONG'!I489</f>
        <v>x</v>
      </c>
      <c r="L97" s="519">
        <f>'CHAM CONG'!J489</f>
        <v>0</v>
      </c>
      <c r="M97" s="519" t="str">
        <f>'CHAM CONG'!K489</f>
        <v>x</v>
      </c>
      <c r="N97" s="519" t="str">
        <f>'CHAM CONG'!L489</f>
        <v>x</v>
      </c>
      <c r="O97" s="519" t="str">
        <f>'CHAM CONG'!M489</f>
        <v>x</v>
      </c>
      <c r="P97" s="519" t="str">
        <f>'CHAM CONG'!N489</f>
        <v>x</v>
      </c>
      <c r="Q97" s="519" t="str">
        <f>'CHAM CONG'!O489</f>
        <v>x</v>
      </c>
      <c r="R97" s="519" t="str">
        <f>'CHAM CONG'!P489</f>
        <v>x</v>
      </c>
      <c r="S97" s="519" t="str">
        <f>'CHAM CONG'!Q489</f>
        <v>x</v>
      </c>
      <c r="T97" s="519" t="str">
        <f>'CHAM CONG'!R489</f>
        <v>x</v>
      </c>
      <c r="U97" s="519" t="str">
        <f>'CHAM CONG'!S489</f>
        <v>x</v>
      </c>
      <c r="V97" s="519" t="str">
        <f>'CHAM CONG'!T489</f>
        <v>x</v>
      </c>
      <c r="W97" s="519" t="str">
        <f>'CHAM CONG'!U489</f>
        <v>x</v>
      </c>
      <c r="X97" s="525"/>
      <c r="Y97" s="525"/>
      <c r="Z97" s="535">
        <f t="shared" si="19"/>
        <v>14</v>
      </c>
      <c r="AA97" s="536"/>
      <c r="AB97" s="537">
        <f t="shared" si="20"/>
        <v>224000</v>
      </c>
      <c r="AC97" s="537"/>
      <c r="AD97" s="537" t="str">
        <f>'CHAM CONG'!Y489</f>
        <v>x</v>
      </c>
      <c r="AE97" s="535">
        <f t="shared" si="21"/>
        <v>1</v>
      </c>
      <c r="AF97" s="537">
        <f t="shared" si="22"/>
        <v>17000</v>
      </c>
      <c r="AG97" s="537">
        <f t="shared" si="23"/>
        <v>14</v>
      </c>
      <c r="AH97" s="537">
        <f t="shared" si="24"/>
        <v>14000</v>
      </c>
      <c r="AI97" s="537">
        <f t="shared" si="25"/>
        <v>255000</v>
      </c>
      <c r="AJ97" s="519">
        <f>'SAN LUONG'!AF490</f>
        <v>503</v>
      </c>
      <c r="AK97" s="542">
        <f>'SAN LUONG'!AG490</f>
        <v>470</v>
      </c>
      <c r="AL97" s="542">
        <f>'SAN LUONG'!AH490</f>
        <v>418</v>
      </c>
      <c r="AM97" s="542">
        <f>'SAN LUONG'!AI490</f>
        <v>431</v>
      </c>
      <c r="AN97" s="541">
        <f t="shared" si="26"/>
        <v>503</v>
      </c>
      <c r="AO97" s="553">
        <f t="shared" si="27"/>
        <v>111767</v>
      </c>
      <c r="AP97" s="541">
        <f t="shared" si="32"/>
        <v>1319</v>
      </c>
      <c r="AQ97" s="553">
        <f t="shared" si="28"/>
        <v>264064</v>
      </c>
      <c r="AR97" s="553">
        <f t="shared" si="29"/>
        <v>375831</v>
      </c>
      <c r="AS97" s="556"/>
      <c r="AT97" s="556"/>
      <c r="AU97" s="556"/>
      <c r="AV97" s="556">
        <f t="shared" si="30"/>
        <v>630831</v>
      </c>
      <c r="AW97" s="564">
        <f t="shared" si="18"/>
        <v>630831</v>
      </c>
      <c r="AX97" s="565"/>
      <c r="AY97" s="566">
        <f t="shared" si="31"/>
        <v>19.75</v>
      </c>
      <c r="AZ97" s="567"/>
    </row>
    <row r="98" spans="1:55" s="483" customFormat="1" ht="31.95" customHeight="1">
      <c r="A98" s="503">
        <v>89</v>
      </c>
      <c r="B98" s="504">
        <v>11</v>
      </c>
      <c r="C98" s="447">
        <v>465</v>
      </c>
      <c r="D98" s="506"/>
      <c r="E98" s="506"/>
      <c r="F98" s="507"/>
      <c r="G98" s="508" t="str">
        <f>'Tên Tháng 1'!E480</f>
        <v>អ៊ឹម ធារ៉ា</v>
      </c>
      <c r="H98" s="509" t="str">
        <f>'Tên Tháng 1'!F480</f>
        <v>OEM THEARA</v>
      </c>
      <c r="I98" s="519" t="str">
        <f>'CHAM CONG'!G490</f>
        <v>x</v>
      </c>
      <c r="J98" s="519" t="str">
        <f>'CHAM CONG'!H490</f>
        <v>x</v>
      </c>
      <c r="K98" s="519" t="str">
        <f>'CHAM CONG'!I490</f>
        <v>x</v>
      </c>
      <c r="L98" s="519">
        <f>'CHAM CONG'!J490</f>
        <v>0</v>
      </c>
      <c r="M98" s="519" t="str">
        <f>'CHAM CONG'!K490</f>
        <v>x</v>
      </c>
      <c r="N98" s="519" t="str">
        <f>'CHAM CONG'!L490</f>
        <v>x</v>
      </c>
      <c r="O98" s="519" t="str">
        <f>'CHAM CONG'!M490</f>
        <v>x</v>
      </c>
      <c r="P98" s="519" t="str">
        <f>'CHAM CONG'!N490</f>
        <v>x</v>
      </c>
      <c r="Q98" s="519" t="str">
        <f>'CHAM CONG'!O490</f>
        <v>x</v>
      </c>
      <c r="R98" s="519" t="str">
        <f>'CHAM CONG'!P490</f>
        <v>x</v>
      </c>
      <c r="S98" s="519" t="str">
        <f>'CHAM CONG'!Q490</f>
        <v>x</v>
      </c>
      <c r="T98" s="519" t="str">
        <f>'CHAM CONG'!R490</f>
        <v>x</v>
      </c>
      <c r="U98" s="519" t="str">
        <f>'CHAM CONG'!S490</f>
        <v>x</v>
      </c>
      <c r="V98" s="519" t="str">
        <f>'CHAM CONG'!T490</f>
        <v>x</v>
      </c>
      <c r="W98" s="519" t="str">
        <f>'CHAM CONG'!U490</f>
        <v>x</v>
      </c>
      <c r="X98" s="525"/>
      <c r="Y98" s="525"/>
      <c r="Z98" s="535">
        <f t="shared" si="19"/>
        <v>14</v>
      </c>
      <c r="AA98" s="536"/>
      <c r="AB98" s="537">
        <f t="shared" si="20"/>
        <v>224000</v>
      </c>
      <c r="AC98" s="537"/>
      <c r="AD98" s="537" t="str">
        <f>'CHAM CONG'!Y490</f>
        <v>x</v>
      </c>
      <c r="AE98" s="535">
        <f t="shared" si="21"/>
        <v>1</v>
      </c>
      <c r="AF98" s="537">
        <f t="shared" si="22"/>
        <v>17000</v>
      </c>
      <c r="AG98" s="537">
        <f t="shared" si="23"/>
        <v>14</v>
      </c>
      <c r="AH98" s="537">
        <f t="shared" si="24"/>
        <v>14000</v>
      </c>
      <c r="AI98" s="537">
        <f t="shared" si="25"/>
        <v>255000</v>
      </c>
      <c r="AJ98" s="519">
        <f>'SAN LUONG'!AF491</f>
        <v>479</v>
      </c>
      <c r="AK98" s="542">
        <f>'SAN LUONG'!AG491</f>
        <v>541</v>
      </c>
      <c r="AL98" s="542">
        <f>'SAN LUONG'!AH491</f>
        <v>537</v>
      </c>
      <c r="AM98" s="542">
        <f>'SAN LUONG'!AI491</f>
        <v>501</v>
      </c>
      <c r="AN98" s="541">
        <f t="shared" si="26"/>
        <v>479</v>
      </c>
      <c r="AO98" s="553">
        <f t="shared" si="27"/>
        <v>106434</v>
      </c>
      <c r="AP98" s="541">
        <f t="shared" si="32"/>
        <v>1579</v>
      </c>
      <c r="AQ98" s="553">
        <f t="shared" si="28"/>
        <v>316116</v>
      </c>
      <c r="AR98" s="553">
        <f t="shared" si="29"/>
        <v>422550</v>
      </c>
      <c r="AS98" s="556"/>
      <c r="AT98" s="556"/>
      <c r="AU98" s="556"/>
      <c r="AV98" s="556">
        <f t="shared" si="30"/>
        <v>677550</v>
      </c>
      <c r="AW98" s="564">
        <f t="shared" si="18"/>
        <v>677550</v>
      </c>
      <c r="AX98" s="565"/>
      <c r="AY98" s="566">
        <f t="shared" si="31"/>
        <v>21.21</v>
      </c>
      <c r="AZ98" s="567"/>
    </row>
    <row r="99" spans="1:55" s="483" customFormat="1" ht="31.95" customHeight="1">
      <c r="A99" s="503">
        <v>90</v>
      </c>
      <c r="B99" s="504">
        <v>11</v>
      </c>
      <c r="C99" s="447">
        <v>466</v>
      </c>
      <c r="D99" s="506"/>
      <c r="E99" s="506"/>
      <c r="F99" s="507"/>
      <c r="G99" s="508" t="str">
        <f>'Tên Tháng 1'!E481</f>
        <v>ជី ប៊ុនរ៉ូ</v>
      </c>
      <c r="H99" s="509" t="str">
        <f>'Tên Tháng 1'!F481</f>
        <v>CHY BUNRO</v>
      </c>
      <c r="I99" s="519" t="str">
        <f>'CHAM CONG'!G491</f>
        <v>x</v>
      </c>
      <c r="J99" s="519" t="str">
        <f>'CHAM CONG'!H491</f>
        <v>x</v>
      </c>
      <c r="K99" s="519" t="str">
        <f>'CHAM CONG'!I491</f>
        <v>x</v>
      </c>
      <c r="L99" s="519">
        <f>'CHAM CONG'!J491</f>
        <v>0</v>
      </c>
      <c r="M99" s="519" t="str">
        <f>'CHAM CONG'!K491</f>
        <v>x</v>
      </c>
      <c r="N99" s="519" t="str">
        <f>'CHAM CONG'!L491</f>
        <v>x</v>
      </c>
      <c r="O99" s="519" t="str">
        <f>'CHAM CONG'!M491</f>
        <v>x</v>
      </c>
      <c r="P99" s="519">
        <f>'CHAM CONG'!N491</f>
        <v>0</v>
      </c>
      <c r="Q99" s="519" t="str">
        <f>'CHAM CONG'!O491</f>
        <v>x</v>
      </c>
      <c r="R99" s="519" t="str">
        <f>'CHAM CONG'!P491</f>
        <v>x</v>
      </c>
      <c r="S99" s="519" t="str">
        <f>'CHAM CONG'!Q491</f>
        <v>x</v>
      </c>
      <c r="T99" s="519" t="str">
        <f>'CHAM CONG'!R491</f>
        <v>x</v>
      </c>
      <c r="U99" s="519" t="str">
        <f>'CHAM CONG'!S491</f>
        <v>x</v>
      </c>
      <c r="V99" s="519" t="str">
        <f>'CHAM CONG'!T491</f>
        <v>x</v>
      </c>
      <c r="W99" s="519" t="str">
        <f>'CHAM CONG'!U491</f>
        <v>x</v>
      </c>
      <c r="X99" s="525"/>
      <c r="Y99" s="525"/>
      <c r="Z99" s="535">
        <f t="shared" si="19"/>
        <v>13</v>
      </c>
      <c r="AA99" s="536"/>
      <c r="AB99" s="537">
        <f t="shared" si="20"/>
        <v>208000</v>
      </c>
      <c r="AC99" s="537"/>
      <c r="AD99" s="537" t="str">
        <f>'CHAM CONG'!Y491</f>
        <v>x</v>
      </c>
      <c r="AE99" s="535">
        <f t="shared" si="21"/>
        <v>1</v>
      </c>
      <c r="AF99" s="537">
        <f t="shared" si="22"/>
        <v>17000</v>
      </c>
      <c r="AG99" s="537">
        <f t="shared" si="23"/>
        <v>13</v>
      </c>
      <c r="AH99" s="537">
        <f t="shared" si="24"/>
        <v>13000</v>
      </c>
      <c r="AI99" s="537">
        <f t="shared" si="25"/>
        <v>238000</v>
      </c>
      <c r="AJ99" s="519">
        <f>'SAN LUONG'!AF492</f>
        <v>380</v>
      </c>
      <c r="AK99" s="542">
        <f>'SAN LUONG'!AG492</f>
        <v>492</v>
      </c>
      <c r="AL99" s="542">
        <f>'SAN LUONG'!AH492</f>
        <v>377</v>
      </c>
      <c r="AM99" s="542">
        <f>'SAN LUONG'!AI492</f>
        <v>334</v>
      </c>
      <c r="AN99" s="541">
        <f t="shared" si="26"/>
        <v>380</v>
      </c>
      <c r="AO99" s="553">
        <f t="shared" si="27"/>
        <v>84436</v>
      </c>
      <c r="AP99" s="541">
        <f t="shared" si="32"/>
        <v>1203</v>
      </c>
      <c r="AQ99" s="553">
        <f t="shared" si="28"/>
        <v>240841</v>
      </c>
      <c r="AR99" s="553">
        <f t="shared" si="29"/>
        <v>325277</v>
      </c>
      <c r="AS99" s="556"/>
      <c r="AT99" s="556"/>
      <c r="AU99" s="556"/>
      <c r="AV99" s="556">
        <f t="shared" si="30"/>
        <v>563277</v>
      </c>
      <c r="AW99" s="564">
        <f t="shared" si="18"/>
        <v>563277</v>
      </c>
      <c r="AX99" s="565"/>
      <c r="AY99" s="566">
        <f t="shared" si="31"/>
        <v>17.63</v>
      </c>
      <c r="AZ99" s="567"/>
    </row>
    <row r="100" spans="1:55" s="483" customFormat="1" ht="31.95" customHeight="1">
      <c r="A100" s="503">
        <v>91</v>
      </c>
      <c r="B100" s="504">
        <v>11</v>
      </c>
      <c r="C100" s="447">
        <v>467</v>
      </c>
      <c r="D100" s="506"/>
      <c r="E100" s="506"/>
      <c r="F100" s="507"/>
      <c r="G100" s="508" t="str">
        <f>'Tên Tháng 1'!E482</f>
        <v>ហឿន ឡៃហឿ</v>
      </c>
      <c r="H100" s="509" t="str">
        <f>'Tên Tháng 1'!F482</f>
        <v>HOEUN LYHOEU</v>
      </c>
      <c r="I100" s="519" t="str">
        <f>'CHAM CONG'!G492</f>
        <v>x</v>
      </c>
      <c r="J100" s="519" t="str">
        <f>'CHAM CONG'!H492</f>
        <v>x</v>
      </c>
      <c r="K100" s="519" t="str">
        <f>'CHAM CONG'!I492</f>
        <v>x</v>
      </c>
      <c r="L100" s="519">
        <f>'CHAM CONG'!J492</f>
        <v>0</v>
      </c>
      <c r="M100" s="519">
        <f>'CHAM CONG'!K492</f>
        <v>0</v>
      </c>
      <c r="N100" s="519" t="str">
        <f>'CHAM CONG'!L492</f>
        <v>x</v>
      </c>
      <c r="O100" s="519" t="str">
        <f>'CHAM CONG'!M492</f>
        <v>x</v>
      </c>
      <c r="P100" s="519" t="str">
        <f>'CHAM CONG'!N492</f>
        <v>x</v>
      </c>
      <c r="Q100" s="519" t="str">
        <f>'CHAM CONG'!O492</f>
        <v>x</v>
      </c>
      <c r="R100" s="519" t="str">
        <f>'CHAM CONG'!P492</f>
        <v>x</v>
      </c>
      <c r="S100" s="519" t="str">
        <f>'CHAM CONG'!Q492</f>
        <v>x</v>
      </c>
      <c r="T100" s="519" t="str">
        <f>'CHAM CONG'!R492</f>
        <v>x</v>
      </c>
      <c r="U100" s="519" t="str">
        <f>'CHAM CONG'!S492</f>
        <v>x</v>
      </c>
      <c r="V100" s="519" t="str">
        <f>'CHAM CONG'!T492</f>
        <v>x</v>
      </c>
      <c r="W100" s="519" t="str">
        <f>'CHAM CONG'!U492</f>
        <v>x</v>
      </c>
      <c r="X100" s="525"/>
      <c r="Y100" s="525"/>
      <c r="Z100" s="535">
        <f t="shared" si="19"/>
        <v>13</v>
      </c>
      <c r="AA100" s="536"/>
      <c r="AB100" s="537">
        <f t="shared" si="20"/>
        <v>208000</v>
      </c>
      <c r="AC100" s="537"/>
      <c r="AD100" s="537" t="str">
        <f>'CHAM CONG'!Y492</f>
        <v>x</v>
      </c>
      <c r="AE100" s="535">
        <f t="shared" si="21"/>
        <v>1</v>
      </c>
      <c r="AF100" s="537">
        <f t="shared" si="22"/>
        <v>17000</v>
      </c>
      <c r="AG100" s="537">
        <f t="shared" si="23"/>
        <v>13</v>
      </c>
      <c r="AH100" s="537">
        <f t="shared" si="24"/>
        <v>13000</v>
      </c>
      <c r="AI100" s="537">
        <f t="shared" si="25"/>
        <v>238000</v>
      </c>
      <c r="AJ100" s="519">
        <f>'SAN LUONG'!AF493</f>
        <v>491</v>
      </c>
      <c r="AK100" s="542">
        <f>'SAN LUONG'!AG493</f>
        <v>574</v>
      </c>
      <c r="AL100" s="542">
        <f>'SAN LUONG'!AH493</f>
        <v>511</v>
      </c>
      <c r="AM100" s="542">
        <f>'SAN LUONG'!AI493</f>
        <v>544</v>
      </c>
      <c r="AN100" s="541">
        <f t="shared" si="26"/>
        <v>491</v>
      </c>
      <c r="AO100" s="553">
        <f t="shared" si="27"/>
        <v>109100</v>
      </c>
      <c r="AP100" s="541">
        <f t="shared" si="32"/>
        <v>1629</v>
      </c>
      <c r="AQ100" s="553">
        <f t="shared" si="28"/>
        <v>326126</v>
      </c>
      <c r="AR100" s="553">
        <f t="shared" si="29"/>
        <v>435226</v>
      </c>
      <c r="AS100" s="556"/>
      <c r="AT100" s="556"/>
      <c r="AU100" s="556"/>
      <c r="AV100" s="556">
        <f t="shared" si="30"/>
        <v>673226</v>
      </c>
      <c r="AW100" s="564">
        <f t="shared" si="18"/>
        <v>673226</v>
      </c>
      <c r="AX100" s="565"/>
      <c r="AY100" s="566">
        <f t="shared" si="31"/>
        <v>21.07</v>
      </c>
      <c r="AZ100" s="567"/>
      <c r="BB100" s="483" t="s">
        <v>1399</v>
      </c>
    </row>
    <row r="101" spans="1:55" s="483" customFormat="1" ht="31.95" customHeight="1">
      <c r="A101" s="503">
        <v>92</v>
      </c>
      <c r="B101" s="504">
        <v>11</v>
      </c>
      <c r="C101" s="447">
        <v>468</v>
      </c>
      <c r="D101" s="506"/>
      <c r="E101" s="506"/>
      <c r="F101" s="507"/>
      <c r="G101" s="508" t="str">
        <f>'Tên Tháng 1'!E483</f>
        <v>ព បៀវ</v>
      </c>
      <c r="H101" s="509" t="str">
        <f>'Tên Tháng 1'!F483</f>
        <v>POR BEAV</v>
      </c>
      <c r="I101" s="519" t="str">
        <f>'CHAM CONG'!G493</f>
        <v>x</v>
      </c>
      <c r="J101" s="519" t="str">
        <f>'CHAM CONG'!H493</f>
        <v>x</v>
      </c>
      <c r="K101" s="519" t="str">
        <f>'CHAM CONG'!I493</f>
        <v>x</v>
      </c>
      <c r="L101" s="519">
        <f>'CHAM CONG'!J493</f>
        <v>0</v>
      </c>
      <c r="M101" s="519" t="str">
        <f>'CHAM CONG'!K493</f>
        <v>x</v>
      </c>
      <c r="N101" s="519" t="str">
        <f>'CHAM CONG'!L493</f>
        <v>x</v>
      </c>
      <c r="O101" s="519" t="str">
        <f>'CHAM CONG'!M493</f>
        <v>x</v>
      </c>
      <c r="P101" s="519" t="str">
        <f>'CHAM CONG'!N493</f>
        <v>x</v>
      </c>
      <c r="Q101" s="519" t="str">
        <f>'CHAM CONG'!O493</f>
        <v>x</v>
      </c>
      <c r="R101" s="519" t="str">
        <f>'CHAM CONG'!P493</f>
        <v>x</v>
      </c>
      <c r="S101" s="519" t="str">
        <f>'CHAM CONG'!Q493</f>
        <v>x</v>
      </c>
      <c r="T101" s="519" t="str">
        <f>'CHAM CONG'!R493</f>
        <v>x</v>
      </c>
      <c r="U101" s="519" t="str">
        <f>'CHAM CONG'!S493</f>
        <v>x</v>
      </c>
      <c r="V101" s="519" t="str">
        <f>'CHAM CONG'!T493</f>
        <v>x</v>
      </c>
      <c r="W101" s="519" t="str">
        <f>'CHAM CONG'!U493</f>
        <v>x</v>
      </c>
      <c r="X101" s="525"/>
      <c r="Y101" s="525"/>
      <c r="Z101" s="535">
        <f t="shared" si="19"/>
        <v>14</v>
      </c>
      <c r="AA101" s="536"/>
      <c r="AB101" s="537">
        <f t="shared" si="20"/>
        <v>224000</v>
      </c>
      <c r="AC101" s="537"/>
      <c r="AD101" s="537" t="str">
        <f>'CHAM CONG'!Y493</f>
        <v>x</v>
      </c>
      <c r="AE101" s="535">
        <f t="shared" si="21"/>
        <v>1</v>
      </c>
      <c r="AF101" s="537">
        <f t="shared" si="22"/>
        <v>17000</v>
      </c>
      <c r="AG101" s="537">
        <f t="shared" si="23"/>
        <v>14</v>
      </c>
      <c r="AH101" s="537">
        <f t="shared" si="24"/>
        <v>14000</v>
      </c>
      <c r="AI101" s="537">
        <f t="shared" si="25"/>
        <v>255000</v>
      </c>
      <c r="AJ101" s="519">
        <f>'SAN LUONG'!AF494</f>
        <v>457</v>
      </c>
      <c r="AK101" s="542">
        <f>'SAN LUONG'!AG494</f>
        <v>603</v>
      </c>
      <c r="AL101" s="542">
        <f>'SAN LUONG'!AH494</f>
        <v>551</v>
      </c>
      <c r="AM101" s="542">
        <f>'SAN LUONG'!AI494</f>
        <v>656</v>
      </c>
      <c r="AN101" s="541">
        <f t="shared" si="26"/>
        <v>457</v>
      </c>
      <c r="AO101" s="553">
        <f t="shared" si="27"/>
        <v>101545</v>
      </c>
      <c r="AP101" s="541">
        <f t="shared" si="32"/>
        <v>1810</v>
      </c>
      <c r="AQ101" s="553">
        <f t="shared" si="28"/>
        <v>362362</v>
      </c>
      <c r="AR101" s="553">
        <f t="shared" si="29"/>
        <v>463907</v>
      </c>
      <c r="AS101" s="556"/>
      <c r="AT101" s="556"/>
      <c r="AU101" s="556"/>
      <c r="AV101" s="556">
        <f t="shared" si="30"/>
        <v>718907</v>
      </c>
      <c r="AW101" s="564">
        <f t="shared" si="18"/>
        <v>718907</v>
      </c>
      <c r="AX101" s="565"/>
      <c r="AY101" s="566">
        <f t="shared" si="31"/>
        <v>22.5</v>
      </c>
      <c r="AZ101" s="567"/>
      <c r="BA101" s="483">
        <v>555</v>
      </c>
      <c r="BB101" s="566">
        <f>'GA 2'!AP148+'GA 1'!AP178</f>
        <v>38698373</v>
      </c>
      <c r="BC101" s="595">
        <f>ROUND(BB101/31947,1)</f>
        <v>1211.3</v>
      </c>
    </row>
    <row r="102" spans="1:55" s="483" customFormat="1" ht="31.95" customHeight="1">
      <c r="A102" s="503">
        <v>93</v>
      </c>
      <c r="B102" s="504">
        <v>11</v>
      </c>
      <c r="C102" s="447">
        <v>469</v>
      </c>
      <c r="D102" s="506"/>
      <c r="E102" s="506"/>
      <c r="F102" s="507"/>
      <c r="G102" s="508" t="str">
        <f>'Tên Tháng 1'!E484</f>
        <v>សេង ស្រីមុំ</v>
      </c>
      <c r="H102" s="509" t="str">
        <f>'Tên Tháng 1'!F484</f>
        <v>SENG SREYMOM</v>
      </c>
      <c r="I102" s="519" t="str">
        <f>'CHAM CONG'!G494</f>
        <v>x</v>
      </c>
      <c r="J102" s="519" t="str">
        <f>'CHAM CONG'!H494</f>
        <v>x</v>
      </c>
      <c r="K102" s="519" t="str">
        <f>'CHAM CONG'!I494</f>
        <v>x</v>
      </c>
      <c r="L102" s="519">
        <f>'CHAM CONG'!J494</f>
        <v>0</v>
      </c>
      <c r="M102" s="519" t="str">
        <f>'CHAM CONG'!K494</f>
        <v>x</v>
      </c>
      <c r="N102" s="519" t="str">
        <f>'CHAM CONG'!L494</f>
        <v>x</v>
      </c>
      <c r="O102" s="519" t="str">
        <f>'CHAM CONG'!M494</f>
        <v>x</v>
      </c>
      <c r="P102" s="519" t="str">
        <f>'CHAM CONG'!N494</f>
        <v>x</v>
      </c>
      <c r="Q102" s="519" t="str">
        <f>'CHAM CONG'!O494</f>
        <v>x</v>
      </c>
      <c r="R102" s="519" t="str">
        <f>'CHAM CONG'!P494</f>
        <v>x</v>
      </c>
      <c r="S102" s="519" t="str">
        <f>'CHAM CONG'!Q494</f>
        <v>x</v>
      </c>
      <c r="T102" s="519" t="str">
        <f>'CHAM CONG'!R494</f>
        <v>x</v>
      </c>
      <c r="U102" s="519" t="str">
        <f>'CHAM CONG'!S494</f>
        <v>x</v>
      </c>
      <c r="V102" s="519" t="str">
        <f>'CHAM CONG'!T494</f>
        <v>x</v>
      </c>
      <c r="W102" s="519" t="str">
        <f>'CHAM CONG'!U494</f>
        <v>x</v>
      </c>
      <c r="X102" s="525"/>
      <c r="Y102" s="525"/>
      <c r="Z102" s="535">
        <f t="shared" si="19"/>
        <v>14</v>
      </c>
      <c r="AA102" s="536"/>
      <c r="AB102" s="537">
        <f t="shared" si="20"/>
        <v>224000</v>
      </c>
      <c r="AC102" s="537"/>
      <c r="AD102" s="537" t="str">
        <f>'CHAM CONG'!Y494</f>
        <v>x</v>
      </c>
      <c r="AE102" s="535">
        <f t="shared" si="21"/>
        <v>1</v>
      </c>
      <c r="AF102" s="537">
        <f t="shared" si="22"/>
        <v>17000</v>
      </c>
      <c r="AG102" s="537">
        <f t="shared" si="23"/>
        <v>14</v>
      </c>
      <c r="AH102" s="537">
        <f t="shared" si="24"/>
        <v>14000</v>
      </c>
      <c r="AI102" s="537">
        <f t="shared" si="25"/>
        <v>255000</v>
      </c>
      <c r="AJ102" s="519">
        <f>'SAN LUONG'!AF495</f>
        <v>500</v>
      </c>
      <c r="AK102" s="542">
        <f>'SAN LUONG'!AG495</f>
        <v>713</v>
      </c>
      <c r="AL102" s="542">
        <f>'SAN LUONG'!AH495</f>
        <v>679</v>
      </c>
      <c r="AM102" s="542">
        <f>'SAN LUONG'!AI495</f>
        <v>450</v>
      </c>
      <c r="AN102" s="541">
        <f t="shared" si="26"/>
        <v>500</v>
      </c>
      <c r="AO102" s="553">
        <f t="shared" si="27"/>
        <v>111100</v>
      </c>
      <c r="AP102" s="541">
        <f t="shared" si="32"/>
        <v>1842</v>
      </c>
      <c r="AQ102" s="553">
        <f t="shared" si="28"/>
        <v>368768</v>
      </c>
      <c r="AR102" s="553">
        <f t="shared" si="29"/>
        <v>479868</v>
      </c>
      <c r="AS102" s="556"/>
      <c r="AT102" s="556"/>
      <c r="AU102" s="556"/>
      <c r="AV102" s="556">
        <f t="shared" si="30"/>
        <v>734868</v>
      </c>
      <c r="AW102" s="564">
        <f t="shared" si="18"/>
        <v>734868</v>
      </c>
      <c r="AX102" s="565"/>
      <c r="AY102" s="566">
        <f t="shared" si="31"/>
        <v>23</v>
      </c>
      <c r="AZ102" s="567"/>
      <c r="BA102" s="483">
        <v>505</v>
      </c>
      <c r="BB102" s="566">
        <f>AO107+'GA 3'!AO95+'GA 1'!AR178</f>
        <v>24935950</v>
      </c>
      <c r="BC102" s="595">
        <f>ROUND(BB102/31947,1)</f>
        <v>780.5</v>
      </c>
    </row>
    <row r="103" spans="1:55" s="483" customFormat="1" ht="31.95" customHeight="1">
      <c r="A103" s="503">
        <v>94</v>
      </c>
      <c r="B103" s="504">
        <v>11</v>
      </c>
      <c r="C103" s="447">
        <v>470</v>
      </c>
      <c r="D103" s="506"/>
      <c r="E103" s="506"/>
      <c r="F103" s="507"/>
      <c r="G103" s="508" t="str">
        <f>'Tên Tháng 1'!E485</f>
        <v>ឆាយ គី</v>
      </c>
      <c r="H103" s="509" t="str">
        <f>'Tên Tháng 1'!F485</f>
        <v>CHHAY KY</v>
      </c>
      <c r="I103" s="519" t="str">
        <f>'CHAM CONG'!G495</f>
        <v>x</v>
      </c>
      <c r="J103" s="519" t="str">
        <f>'CHAM CONG'!H495</f>
        <v>x</v>
      </c>
      <c r="K103" s="519" t="str">
        <f>'CHAM CONG'!I495</f>
        <v>x</v>
      </c>
      <c r="L103" s="519">
        <f>'CHAM CONG'!J495</f>
        <v>0</v>
      </c>
      <c r="M103" s="519">
        <f>'CHAM CONG'!K495</f>
        <v>0</v>
      </c>
      <c r="N103" s="519" t="str">
        <f>'CHAM CONG'!L495</f>
        <v>x</v>
      </c>
      <c r="O103" s="519" t="str">
        <f>'CHAM CONG'!M495</f>
        <v>x</v>
      </c>
      <c r="P103" s="519" t="str">
        <f>'CHAM CONG'!N495</f>
        <v>x</v>
      </c>
      <c r="Q103" s="519" t="str">
        <f>'CHAM CONG'!O495</f>
        <v>x</v>
      </c>
      <c r="R103" s="519" t="str">
        <f>'CHAM CONG'!P495</f>
        <v>x</v>
      </c>
      <c r="S103" s="519" t="str">
        <f>'CHAM CONG'!Q495</f>
        <v>x</v>
      </c>
      <c r="T103" s="519" t="str">
        <f>'CHAM CONG'!R495</f>
        <v>x</v>
      </c>
      <c r="U103" s="519" t="str">
        <f>'CHAM CONG'!S495</f>
        <v>x</v>
      </c>
      <c r="V103" s="519" t="str">
        <f>'CHAM CONG'!T495</f>
        <v>x</v>
      </c>
      <c r="W103" s="519" t="str">
        <f>'CHAM CONG'!U495</f>
        <v>x</v>
      </c>
      <c r="X103" s="525"/>
      <c r="Y103" s="525"/>
      <c r="Z103" s="535">
        <f t="shared" si="19"/>
        <v>13</v>
      </c>
      <c r="AA103" s="536"/>
      <c r="AB103" s="537">
        <f t="shared" si="20"/>
        <v>208000</v>
      </c>
      <c r="AC103" s="537"/>
      <c r="AD103" s="537" t="str">
        <f>'CHAM CONG'!Y495</f>
        <v>x</v>
      </c>
      <c r="AE103" s="535">
        <f t="shared" si="21"/>
        <v>1</v>
      </c>
      <c r="AF103" s="537">
        <f t="shared" si="22"/>
        <v>17000</v>
      </c>
      <c r="AG103" s="537">
        <f t="shared" si="23"/>
        <v>13</v>
      </c>
      <c r="AH103" s="537">
        <f t="shared" si="24"/>
        <v>13000</v>
      </c>
      <c r="AI103" s="537">
        <f t="shared" si="25"/>
        <v>238000</v>
      </c>
      <c r="AJ103" s="519">
        <f>'SAN LUONG'!AF496</f>
        <v>196</v>
      </c>
      <c r="AK103" s="542">
        <f>'SAN LUONG'!AG496</f>
        <v>436</v>
      </c>
      <c r="AL103" s="542">
        <f>'SAN LUONG'!AH496</f>
        <v>508</v>
      </c>
      <c r="AM103" s="542">
        <f>'SAN LUONG'!AI496</f>
        <v>310</v>
      </c>
      <c r="AN103" s="541">
        <f t="shared" si="26"/>
        <v>196</v>
      </c>
      <c r="AO103" s="553">
        <f t="shared" si="27"/>
        <v>43551</v>
      </c>
      <c r="AP103" s="541">
        <f t="shared" si="32"/>
        <v>1254</v>
      </c>
      <c r="AQ103" s="553">
        <f t="shared" si="28"/>
        <v>251051</v>
      </c>
      <c r="AR103" s="553">
        <f t="shared" si="29"/>
        <v>294602</v>
      </c>
      <c r="AS103" s="556"/>
      <c r="AT103" s="556"/>
      <c r="AU103" s="556"/>
      <c r="AV103" s="556">
        <f t="shared" si="30"/>
        <v>532602</v>
      </c>
      <c r="AW103" s="564">
        <f t="shared" si="18"/>
        <v>532602</v>
      </c>
      <c r="AX103" s="565"/>
      <c r="AY103" s="566">
        <f t="shared" si="31"/>
        <v>16.670000000000002</v>
      </c>
      <c r="AZ103" s="567"/>
      <c r="BA103" s="483">
        <v>455</v>
      </c>
      <c r="BB103" s="566">
        <f>AQ107+'GA 3'!AQ95+'GA 2'!AR148+'GA 1'!AT178</f>
        <v>61318855</v>
      </c>
      <c r="BC103" s="595">
        <f>ROUND(BB103/31947,1)</f>
        <v>1919.4</v>
      </c>
    </row>
    <row r="104" spans="1:55" s="483" customFormat="1" ht="31.95" customHeight="1">
      <c r="A104" s="503">
        <v>95</v>
      </c>
      <c r="B104" s="504">
        <v>11</v>
      </c>
      <c r="C104" s="447">
        <v>471</v>
      </c>
      <c r="D104" s="506"/>
      <c r="E104" s="506"/>
      <c r="F104" s="507"/>
      <c r="G104" s="508" t="str">
        <f>'Tên Tháng 1'!E486</f>
        <v>ម៉ុក សង់</v>
      </c>
      <c r="H104" s="509" t="str">
        <f>'Tên Tháng 1'!F486</f>
        <v>MORK SONG</v>
      </c>
      <c r="I104" s="519">
        <f>'CHAM CONG'!G496</f>
        <v>0</v>
      </c>
      <c r="J104" s="519" t="str">
        <f>'CHAM CONG'!H496</f>
        <v>x</v>
      </c>
      <c r="K104" s="519" t="str">
        <f>'CHAM CONG'!I496</f>
        <v>x</v>
      </c>
      <c r="L104" s="519">
        <f>'CHAM CONG'!J496</f>
        <v>0</v>
      </c>
      <c r="M104" s="519" t="str">
        <f>'CHAM CONG'!K496</f>
        <v>x</v>
      </c>
      <c r="N104" s="519" t="str">
        <f>'CHAM CONG'!L496</f>
        <v>x</v>
      </c>
      <c r="O104" s="519">
        <f>'CHAM CONG'!M496</f>
        <v>0</v>
      </c>
      <c r="P104" s="519" t="str">
        <f>'CHAM CONG'!N496</f>
        <v>x</v>
      </c>
      <c r="Q104" s="519" t="str">
        <f>'CHAM CONG'!O496</f>
        <v>x</v>
      </c>
      <c r="R104" s="519" t="str">
        <f>'CHAM CONG'!P496</f>
        <v>x</v>
      </c>
      <c r="S104" s="519" t="str">
        <f>'CHAM CONG'!Q496</f>
        <v>x</v>
      </c>
      <c r="T104" s="519" t="str">
        <f>'CHAM CONG'!R496</f>
        <v>x</v>
      </c>
      <c r="U104" s="519" t="str">
        <f>'CHAM CONG'!S496</f>
        <v>x</v>
      </c>
      <c r="V104" s="519" t="str">
        <f>'CHAM CONG'!T496</f>
        <v>x</v>
      </c>
      <c r="W104" s="519" t="str">
        <f>'CHAM CONG'!U496</f>
        <v>x</v>
      </c>
      <c r="X104" s="525"/>
      <c r="Y104" s="525"/>
      <c r="Z104" s="535">
        <f t="shared" si="19"/>
        <v>12</v>
      </c>
      <c r="AA104" s="536"/>
      <c r="AB104" s="537">
        <f t="shared" si="20"/>
        <v>192000</v>
      </c>
      <c r="AC104" s="537"/>
      <c r="AD104" s="537" t="str">
        <f>'CHAM CONG'!Y496</f>
        <v>x</v>
      </c>
      <c r="AE104" s="535">
        <f t="shared" si="21"/>
        <v>1</v>
      </c>
      <c r="AF104" s="537">
        <f t="shared" si="22"/>
        <v>17000</v>
      </c>
      <c r="AG104" s="537">
        <f t="shared" si="23"/>
        <v>12</v>
      </c>
      <c r="AH104" s="537">
        <f t="shared" si="24"/>
        <v>12000</v>
      </c>
      <c r="AI104" s="537">
        <f t="shared" si="25"/>
        <v>221000</v>
      </c>
      <c r="AJ104" s="519">
        <f>'SAN LUONG'!AF497</f>
        <v>481</v>
      </c>
      <c r="AK104" s="542">
        <f>'SAN LUONG'!AG497</f>
        <v>544</v>
      </c>
      <c r="AL104" s="542">
        <f>'SAN LUONG'!AH497</f>
        <v>624</v>
      </c>
      <c r="AM104" s="542">
        <f>'SAN LUONG'!AI497</f>
        <v>479</v>
      </c>
      <c r="AN104" s="541">
        <f t="shared" si="26"/>
        <v>481</v>
      </c>
      <c r="AO104" s="553">
        <f t="shared" si="27"/>
        <v>106878</v>
      </c>
      <c r="AP104" s="541">
        <f t="shared" si="32"/>
        <v>1647</v>
      </c>
      <c r="AQ104" s="553">
        <f t="shared" si="28"/>
        <v>329729</v>
      </c>
      <c r="AR104" s="553">
        <f t="shared" si="29"/>
        <v>436607</v>
      </c>
      <c r="AS104" s="556"/>
      <c r="AT104" s="556"/>
      <c r="AU104" s="556"/>
      <c r="AV104" s="556">
        <f t="shared" si="30"/>
        <v>657607</v>
      </c>
      <c r="AW104" s="564">
        <f t="shared" si="18"/>
        <v>657607</v>
      </c>
      <c r="AX104" s="565"/>
      <c r="AY104" s="566">
        <f t="shared" si="31"/>
        <v>20.58</v>
      </c>
      <c r="AZ104" s="567"/>
      <c r="BA104" s="596" t="s">
        <v>1313</v>
      </c>
      <c r="BB104" s="597">
        <f>AF107+'GA 3'!AF95+'GA 2'!AF148+'GA 1'!AG178</f>
        <v>6188000</v>
      </c>
      <c r="BC104" s="595">
        <f>BB104/31947</f>
        <v>193.69580868313145</v>
      </c>
    </row>
    <row r="105" spans="1:55" s="483" customFormat="1" ht="31.95" customHeight="1">
      <c r="A105" s="503">
        <v>96</v>
      </c>
      <c r="B105" s="504">
        <v>11</v>
      </c>
      <c r="C105" s="447">
        <v>472</v>
      </c>
      <c r="D105" s="506"/>
      <c r="E105" s="506"/>
      <c r="F105" s="507"/>
      <c r="G105" s="508" t="str">
        <f>'Tên Tháng 1'!E487</f>
        <v>ហន ហូត</v>
      </c>
      <c r="H105" s="509" t="str">
        <f>'Tên Tháng 1'!F487</f>
        <v>HORN HOUT</v>
      </c>
      <c r="I105" s="519">
        <f>'CHAM CONG'!G497</f>
        <v>0</v>
      </c>
      <c r="J105" s="519" t="str">
        <f>'CHAM CONG'!H497</f>
        <v>x</v>
      </c>
      <c r="K105" s="519" t="str">
        <f>'CHAM CONG'!I497</f>
        <v>x</v>
      </c>
      <c r="L105" s="519">
        <f>'CHAM CONG'!J497</f>
        <v>0</v>
      </c>
      <c r="M105" s="519" t="str">
        <f>'CHAM CONG'!K497</f>
        <v>x</v>
      </c>
      <c r="N105" s="519" t="str">
        <f>'CHAM CONG'!L497</f>
        <v>x</v>
      </c>
      <c r="O105" s="519">
        <f>'CHAM CONG'!M497</f>
        <v>0</v>
      </c>
      <c r="P105" s="519" t="str">
        <f>'CHAM CONG'!N497</f>
        <v>x</v>
      </c>
      <c r="Q105" s="519" t="str">
        <f>'CHAM CONG'!O497</f>
        <v>x</v>
      </c>
      <c r="R105" s="519" t="str">
        <f>'CHAM CONG'!P497</f>
        <v>x</v>
      </c>
      <c r="S105" s="519" t="str">
        <f>'CHAM CONG'!Q497</f>
        <v>x</v>
      </c>
      <c r="T105" s="519" t="str">
        <f>'CHAM CONG'!R497</f>
        <v>x</v>
      </c>
      <c r="U105" s="519" t="str">
        <f>'CHAM CONG'!S497</f>
        <v>x</v>
      </c>
      <c r="V105" s="519" t="str">
        <f>'CHAM CONG'!T497</f>
        <v>x</v>
      </c>
      <c r="W105" s="519" t="str">
        <f>'CHAM CONG'!U497</f>
        <v>x</v>
      </c>
      <c r="X105" s="525"/>
      <c r="Y105" s="525"/>
      <c r="Z105" s="535">
        <f t="shared" si="19"/>
        <v>12</v>
      </c>
      <c r="AA105" s="536"/>
      <c r="AB105" s="537">
        <f t="shared" si="20"/>
        <v>192000</v>
      </c>
      <c r="AC105" s="537"/>
      <c r="AD105" s="537" t="str">
        <f>'CHAM CONG'!Y497</f>
        <v>x</v>
      </c>
      <c r="AE105" s="535">
        <f t="shared" si="21"/>
        <v>1</v>
      </c>
      <c r="AF105" s="537">
        <f t="shared" si="22"/>
        <v>17000</v>
      </c>
      <c r="AG105" s="537">
        <f t="shared" si="23"/>
        <v>12</v>
      </c>
      <c r="AH105" s="537">
        <f t="shared" si="24"/>
        <v>12000</v>
      </c>
      <c r="AI105" s="537">
        <f t="shared" si="25"/>
        <v>221000</v>
      </c>
      <c r="AJ105" s="519">
        <f>'SAN LUONG'!AF498</f>
        <v>493</v>
      </c>
      <c r="AK105" s="542">
        <f>'SAN LUONG'!AG498</f>
        <v>563</v>
      </c>
      <c r="AL105" s="542">
        <f>'SAN LUONG'!AH498</f>
        <v>496</v>
      </c>
      <c r="AM105" s="542">
        <f>'SAN LUONG'!AI498</f>
        <v>360</v>
      </c>
      <c r="AN105" s="541">
        <f t="shared" si="26"/>
        <v>493</v>
      </c>
      <c r="AO105" s="553">
        <f>ROUND(AN105*0.44*$AO$8,0)+1</f>
        <v>109546</v>
      </c>
      <c r="AP105" s="541">
        <f t="shared" si="32"/>
        <v>1419</v>
      </c>
      <c r="AQ105" s="553">
        <f t="shared" si="28"/>
        <v>284084</v>
      </c>
      <c r="AR105" s="553">
        <f t="shared" si="29"/>
        <v>393630</v>
      </c>
      <c r="AS105" s="556"/>
      <c r="AT105" s="556"/>
      <c r="AU105" s="556"/>
      <c r="AV105" s="556">
        <f t="shared" si="30"/>
        <v>614630</v>
      </c>
      <c r="AW105" s="564">
        <f t="shared" si="18"/>
        <v>614630</v>
      </c>
      <c r="AX105" s="565">
        <f>SUM(AW61:AW105)</f>
        <v>25821901</v>
      </c>
      <c r="AY105" s="566">
        <f t="shared" si="31"/>
        <v>19.239999999999998</v>
      </c>
      <c r="AZ105" s="567"/>
      <c r="BA105" s="483">
        <v>16000</v>
      </c>
      <c r="BB105" s="597">
        <f>AB107+'GA 3'!AB95+'GA 2'!AB148+'GA 1'!AB178</f>
        <v>99104000</v>
      </c>
      <c r="BC105" s="598">
        <f>ROUND(BB105/31947,1)</f>
        <v>3102.1</v>
      </c>
    </row>
    <row r="106" spans="1:55" s="483" customFormat="1" ht="9.6" customHeight="1">
      <c r="A106" s="569"/>
      <c r="B106" s="570"/>
      <c r="C106" s="570"/>
      <c r="D106" s="571"/>
      <c r="E106" s="571"/>
      <c r="F106" s="572"/>
      <c r="G106" s="571"/>
      <c r="H106" s="571"/>
      <c r="I106" s="574"/>
      <c r="J106" s="574"/>
      <c r="K106" s="574"/>
      <c r="L106" s="574"/>
      <c r="M106" s="575"/>
      <c r="N106" s="575"/>
      <c r="O106" s="575"/>
      <c r="P106" s="574"/>
      <c r="Q106" s="574"/>
      <c r="R106" s="574"/>
      <c r="S106" s="574"/>
      <c r="T106" s="574"/>
      <c r="U106" s="574"/>
      <c r="V106" s="574"/>
      <c r="W106" s="574"/>
      <c r="X106" s="577"/>
      <c r="Y106" s="577"/>
      <c r="Z106" s="535"/>
      <c r="AA106" s="536"/>
      <c r="AB106" s="537"/>
      <c r="AC106" s="537"/>
      <c r="AD106" s="537"/>
      <c r="AE106" s="580"/>
      <c r="AF106" s="537"/>
      <c r="AG106" s="537"/>
      <c r="AH106" s="580"/>
      <c r="AI106" s="537"/>
      <c r="AJ106" s="519"/>
      <c r="AK106" s="519"/>
      <c r="AL106" s="519"/>
      <c r="AM106" s="519"/>
      <c r="AN106" s="587"/>
      <c r="AO106" s="587"/>
      <c r="AP106" s="587"/>
      <c r="AQ106" s="587"/>
      <c r="AR106" s="590"/>
      <c r="AS106" s="591"/>
      <c r="AT106" s="591"/>
      <c r="AU106" s="591"/>
      <c r="AV106" s="591"/>
      <c r="AW106" s="599"/>
      <c r="AX106" s="600"/>
      <c r="AY106" s="566"/>
      <c r="AZ106" s="567"/>
      <c r="BC106" s="595"/>
    </row>
    <row r="107" spans="1:55" s="260" customFormat="1" ht="54.6" customHeight="1">
      <c r="A107" s="1379" t="s">
        <v>1432</v>
      </c>
      <c r="B107" s="1380"/>
      <c r="C107" s="1380"/>
      <c r="D107" s="1380"/>
      <c r="E107" s="1380"/>
      <c r="F107" s="1380"/>
      <c r="G107" s="1380"/>
      <c r="H107" s="1381"/>
      <c r="I107" s="576">
        <f t="shared" ref="I107:Y107" si="33">COUNTIF(I10:I106,"x")</f>
        <v>61</v>
      </c>
      <c r="J107" s="576">
        <f t="shared" si="33"/>
        <v>90</v>
      </c>
      <c r="K107" s="576">
        <f t="shared" si="33"/>
        <v>91</v>
      </c>
      <c r="L107" s="576">
        <f t="shared" si="33"/>
        <v>4</v>
      </c>
      <c r="M107" s="576">
        <f t="shared" si="33"/>
        <v>66</v>
      </c>
      <c r="N107" s="576">
        <f t="shared" si="33"/>
        <v>95</v>
      </c>
      <c r="O107" s="576">
        <f t="shared" si="33"/>
        <v>87</v>
      </c>
      <c r="P107" s="576">
        <f t="shared" si="33"/>
        <v>89</v>
      </c>
      <c r="Q107" s="576">
        <f t="shared" si="33"/>
        <v>92</v>
      </c>
      <c r="R107" s="576">
        <f t="shared" si="33"/>
        <v>93</v>
      </c>
      <c r="S107" s="576">
        <f t="shared" si="33"/>
        <v>91</v>
      </c>
      <c r="T107" s="576">
        <f t="shared" si="33"/>
        <v>94</v>
      </c>
      <c r="U107" s="576">
        <f t="shared" si="33"/>
        <v>92</v>
      </c>
      <c r="V107" s="576">
        <f t="shared" si="33"/>
        <v>93</v>
      </c>
      <c r="W107" s="576">
        <f t="shared" si="33"/>
        <v>88</v>
      </c>
      <c r="X107" s="578">
        <f t="shared" si="33"/>
        <v>0</v>
      </c>
      <c r="Y107" s="578">
        <f t="shared" si="33"/>
        <v>0</v>
      </c>
      <c r="Z107" s="581">
        <f t="shared" ref="Z107:AW107" si="34">SUM(Z10:Z106)</f>
        <v>1226</v>
      </c>
      <c r="AA107" s="582">
        <f t="shared" si="34"/>
        <v>0</v>
      </c>
      <c r="AB107" s="581">
        <f t="shared" si="34"/>
        <v>19616000</v>
      </c>
      <c r="AC107" s="576">
        <f>COUNTIF(AC10:AC106,"x")</f>
        <v>0</v>
      </c>
      <c r="AD107" s="576">
        <f>COUNTIF(AD10:AD106,"x")</f>
        <v>48</v>
      </c>
      <c r="AE107" s="583">
        <f t="shared" si="34"/>
        <v>48</v>
      </c>
      <c r="AF107" s="581">
        <f t="shared" si="34"/>
        <v>816000</v>
      </c>
      <c r="AG107" s="583">
        <f t="shared" si="34"/>
        <v>1226</v>
      </c>
      <c r="AH107" s="581">
        <f t="shared" si="34"/>
        <v>1226000</v>
      </c>
      <c r="AI107" s="581">
        <f t="shared" si="34"/>
        <v>21658000</v>
      </c>
      <c r="AJ107" s="588">
        <f t="shared" si="34"/>
        <v>29311</v>
      </c>
      <c r="AK107" s="588">
        <f t="shared" si="34"/>
        <v>36237</v>
      </c>
      <c r="AL107" s="588">
        <f t="shared" si="34"/>
        <v>36362</v>
      </c>
      <c r="AM107" s="588">
        <f t="shared" si="34"/>
        <v>33572</v>
      </c>
      <c r="AN107" s="589">
        <f t="shared" si="34"/>
        <v>74122</v>
      </c>
      <c r="AO107" s="592">
        <f t="shared" si="34"/>
        <v>16469908</v>
      </c>
      <c r="AP107" s="589">
        <f t="shared" si="34"/>
        <v>61360</v>
      </c>
      <c r="AQ107" s="592">
        <f t="shared" si="34"/>
        <v>12284269</v>
      </c>
      <c r="AR107" s="593">
        <f t="shared" si="34"/>
        <v>28754177</v>
      </c>
      <c r="AS107" s="593">
        <f t="shared" si="34"/>
        <v>0</v>
      </c>
      <c r="AT107" s="593">
        <f t="shared" si="34"/>
        <v>0</v>
      </c>
      <c r="AU107" s="593">
        <f t="shared" si="34"/>
        <v>0</v>
      </c>
      <c r="AV107" s="592">
        <f t="shared" si="34"/>
        <v>50412177</v>
      </c>
      <c r="AW107" s="593">
        <f t="shared" si="34"/>
        <v>50412177</v>
      </c>
      <c r="AX107" s="601">
        <f>AX105+AX60</f>
        <v>50412177</v>
      </c>
      <c r="AY107" s="602">
        <f>SUM(AY10:AY106)</f>
        <v>1578.0200000000004</v>
      </c>
      <c r="BA107" s="260">
        <v>1000</v>
      </c>
      <c r="BB107" s="603">
        <f>AH107+'GA 3'!AH95+'GA 2'!AH148+'GA 1'!AI178</f>
        <v>6194000</v>
      </c>
      <c r="BC107" s="604">
        <f>ROUND(BB107/31947,1)</f>
        <v>193.9</v>
      </c>
    </row>
    <row r="108" spans="1:55" ht="18.75" customHeight="1">
      <c r="I108" s="281">
        <f>$W$110-I107</f>
        <v>-22</v>
      </c>
      <c r="J108" s="281">
        <f t="shared" ref="J108:W108" si="35">$W$110-J107</f>
        <v>-51</v>
      </c>
      <c r="K108" s="281">
        <f t="shared" si="35"/>
        <v>-52</v>
      </c>
      <c r="L108" s="281">
        <f t="shared" si="35"/>
        <v>35</v>
      </c>
      <c r="M108" s="130">
        <f t="shared" si="35"/>
        <v>-27</v>
      </c>
      <c r="N108" s="130">
        <f t="shared" si="35"/>
        <v>-56</v>
      </c>
      <c r="O108" s="130">
        <f t="shared" si="35"/>
        <v>-48</v>
      </c>
      <c r="P108" s="281">
        <f t="shared" si="35"/>
        <v>-50</v>
      </c>
      <c r="Q108" s="281">
        <f t="shared" si="35"/>
        <v>-53</v>
      </c>
      <c r="R108" s="281">
        <f t="shared" si="35"/>
        <v>-54</v>
      </c>
      <c r="S108" s="281">
        <f t="shared" si="35"/>
        <v>-52</v>
      </c>
      <c r="T108" s="281">
        <f t="shared" si="35"/>
        <v>-55</v>
      </c>
      <c r="U108" s="281">
        <f t="shared" si="35"/>
        <v>-53</v>
      </c>
      <c r="V108" s="281">
        <f t="shared" si="35"/>
        <v>-54</v>
      </c>
      <c r="W108" s="281">
        <f t="shared" si="35"/>
        <v>-49</v>
      </c>
      <c r="AB108" s="584"/>
      <c r="AC108" s="584"/>
      <c r="AD108" s="584"/>
      <c r="AE108" s="585"/>
      <c r="AF108" s="584"/>
      <c r="AG108" s="584"/>
      <c r="AH108" s="585"/>
      <c r="AI108" s="584"/>
      <c r="BC108" s="130"/>
    </row>
    <row r="109" spans="1:55" ht="18" customHeight="1">
      <c r="I109" s="281" t="s">
        <v>186</v>
      </c>
      <c r="J109" s="281" t="s">
        <v>199</v>
      </c>
      <c r="K109" s="281" t="s">
        <v>228</v>
      </c>
      <c r="L109" s="281" t="s">
        <v>1322</v>
      </c>
      <c r="AB109" s="584"/>
      <c r="AC109" s="584"/>
      <c r="AD109" s="584"/>
      <c r="AE109" s="585"/>
      <c r="AF109" s="584"/>
      <c r="AG109" s="584"/>
      <c r="AH109" s="585"/>
      <c r="AI109" s="584"/>
      <c r="AS109" s="543"/>
      <c r="AT109" s="543"/>
      <c r="AU109" s="543"/>
      <c r="AV109" s="543"/>
      <c r="AW109" s="1343"/>
      <c r="AX109" s="1343"/>
      <c r="BC109" s="605"/>
    </row>
    <row r="110" spans="1:55">
      <c r="I110" s="281">
        <f>I107+M107+Q107+U107</f>
        <v>311</v>
      </c>
      <c r="J110" s="281">
        <f>J107+N107+R107+V107</f>
        <v>371</v>
      </c>
      <c r="K110" s="281">
        <f>K107+O107+S107+W107</f>
        <v>357</v>
      </c>
      <c r="L110" s="281">
        <f>L107+P107+T107</f>
        <v>187</v>
      </c>
      <c r="W110" s="281">
        <v>39</v>
      </c>
      <c r="AB110" s="584"/>
      <c r="AC110" s="584"/>
      <c r="AD110" s="584"/>
      <c r="AE110" s="585"/>
      <c r="AF110" s="584"/>
      <c r="AG110" s="584"/>
      <c r="AH110" s="585"/>
      <c r="AI110" s="584"/>
      <c r="AQ110" s="491" t="e">
        <f>AO107+#REF!+#REF!</f>
        <v>#REF!</v>
      </c>
      <c r="AS110" s="543"/>
      <c r="AT110" s="543"/>
      <c r="AU110" s="543"/>
      <c r="AV110" s="543"/>
      <c r="AW110" s="1403">
        <f>AW107+'GA 3'!AX95+'GA 2'!AX148+'GA 1'!BB178</f>
        <v>236439178</v>
      </c>
      <c r="AX110" s="1342"/>
      <c r="BC110" s="605">
        <f>BC101+BC102+BC103+BC105+BC107</f>
        <v>7207.1999999999989</v>
      </c>
    </row>
    <row r="111" spans="1:55">
      <c r="H111" s="573"/>
      <c r="I111" s="308"/>
      <c r="J111" s="308"/>
      <c r="K111" s="308"/>
      <c r="L111" s="308"/>
      <c r="M111" s="220"/>
      <c r="N111" s="220"/>
      <c r="O111" s="220"/>
      <c r="P111" s="308"/>
      <c r="Q111" s="308"/>
      <c r="R111" s="308"/>
      <c r="S111" s="308"/>
      <c r="T111" s="308"/>
      <c r="U111" s="308"/>
      <c r="V111" s="308"/>
      <c r="W111" s="308"/>
      <c r="X111" s="579"/>
      <c r="Y111" s="579"/>
      <c r="Z111" s="586"/>
      <c r="AA111" s="586"/>
      <c r="AB111" s="543"/>
      <c r="AC111" s="543"/>
      <c r="AD111" s="543"/>
      <c r="AE111" s="308"/>
      <c r="AF111" s="543"/>
      <c r="AG111" s="543"/>
      <c r="AH111" s="308"/>
      <c r="AI111" s="543"/>
      <c r="AQ111" s="491" t="e">
        <f>AQ107+#REF!+#REF!+#REF!+#REF!+#REF!+#REF!+#REF!</f>
        <v>#REF!</v>
      </c>
      <c r="AS111" s="543"/>
      <c r="AT111" s="543"/>
      <c r="AU111" s="543"/>
      <c r="AV111" s="543"/>
      <c r="AW111" s="543" t="s">
        <v>1440</v>
      </c>
      <c r="AX111" s="543">
        <f t="array" ref="AX111:AY111">'tổng hợp cty'!J22:K22</f>
        <v>236433357.59999999</v>
      </c>
      <c r="AY111" s="488">
        <v>0</v>
      </c>
      <c r="BA111" s="281" t="s">
        <v>270</v>
      </c>
      <c r="BB111" s="489">
        <f>'GA 1'!BB178</f>
        <v>78273213</v>
      </c>
    </row>
    <row r="112" spans="1:55">
      <c r="AX112" s="489">
        <f>AW110-AX111</f>
        <v>5820.4000000059605</v>
      </c>
      <c r="BA112" s="281" t="s">
        <v>619</v>
      </c>
      <c r="BB112" s="489">
        <f>'GA 2'!AX148</f>
        <v>65473923</v>
      </c>
    </row>
    <row r="113" spans="12:54">
      <c r="AO113" s="594"/>
      <c r="AP113" s="594"/>
      <c r="AQ113" s="594"/>
      <c r="AX113" s="488">
        <f>AW110/31947</f>
        <v>7400.9821892509472</v>
      </c>
      <c r="BA113" s="281" t="s">
        <v>923</v>
      </c>
      <c r="BB113" s="489">
        <f>'GA 3'!AX95</f>
        <v>42279865</v>
      </c>
    </row>
    <row r="114" spans="12:54">
      <c r="BA114" s="281" t="s">
        <v>1094</v>
      </c>
      <c r="BB114" s="489">
        <f>AW107</f>
        <v>50412177</v>
      </c>
    </row>
    <row r="115" spans="12:54">
      <c r="BB115" s="489">
        <f>SUM(BB111:BB114)</f>
        <v>236439178</v>
      </c>
    </row>
    <row r="116" spans="12:54">
      <c r="AW116" s="543"/>
      <c r="AX116" s="543"/>
      <c r="BB116" s="606">
        <f>BB115/31947</f>
        <v>7400.9821892509472</v>
      </c>
    </row>
    <row r="117" spans="12:54">
      <c r="P117" s="130"/>
      <c r="Q117" s="130"/>
      <c r="R117" s="130"/>
      <c r="S117" s="130"/>
      <c r="T117" s="130"/>
      <c r="U117" s="130"/>
      <c r="V117" s="130"/>
      <c r="W117" s="130"/>
      <c r="AW117" s="1342"/>
      <c r="AX117" s="1342"/>
      <c r="BB117" s="606"/>
    </row>
    <row r="118" spans="12:54">
      <c r="P118" s="130"/>
      <c r="Q118" s="130"/>
      <c r="R118" s="130"/>
      <c r="S118" s="130"/>
      <c r="T118" s="130"/>
      <c r="U118" s="130"/>
      <c r="V118" s="130"/>
      <c r="W118" s="130"/>
    </row>
    <row r="119" spans="12:54">
      <c r="L119" s="1345"/>
      <c r="M119" s="1345"/>
    </row>
    <row r="120" spans="12:54">
      <c r="L120" s="1345"/>
      <c r="M120" s="1343"/>
    </row>
    <row r="121" spans="12:54">
      <c r="L121" s="1364"/>
      <c r="M121" s="1365"/>
    </row>
    <row r="124" spans="12:54" ht="15" customHeight="1"/>
  </sheetData>
  <mergeCells count="34">
    <mergeCell ref="L120:M120"/>
    <mergeCell ref="L121:M121"/>
    <mergeCell ref="A6:A7"/>
    <mergeCell ref="B6:B7"/>
    <mergeCell ref="C6:C7"/>
    <mergeCell ref="D6:D7"/>
    <mergeCell ref="E6:E7"/>
    <mergeCell ref="F6:F7"/>
    <mergeCell ref="G6:G7"/>
    <mergeCell ref="H6:H7"/>
    <mergeCell ref="AA8:AB8"/>
    <mergeCell ref="A107:H107"/>
    <mergeCell ref="AW109:AX109"/>
    <mergeCell ref="AW110:AX110"/>
    <mergeCell ref="AB6:AB7"/>
    <mergeCell ref="AI6:AI7"/>
    <mergeCell ref="AV6:AV7"/>
    <mergeCell ref="AW6:AW7"/>
    <mergeCell ref="AW117:AX117"/>
    <mergeCell ref="L119:M119"/>
    <mergeCell ref="A4:AX4"/>
    <mergeCell ref="A5:AX5"/>
    <mergeCell ref="AC6:AF6"/>
    <mergeCell ref="AG6:AH6"/>
    <mergeCell ref="AJ6:AR6"/>
    <mergeCell ref="AS6:AU6"/>
    <mergeCell ref="Z6:Z7"/>
    <mergeCell ref="AA6:AA7"/>
    <mergeCell ref="A1:P1"/>
    <mergeCell ref="AW1:AX1"/>
    <mergeCell ref="A2:P2"/>
    <mergeCell ref="AW2:AX2"/>
    <mergeCell ref="A3:P3"/>
    <mergeCell ref="AW3:AX3"/>
  </mergeCells>
  <conditionalFormatting sqref="G6:G7">
    <cfRule type="duplicateValues" dxfId="56" priority="1" stopIfTrue="1"/>
    <cfRule type="duplicateValues" dxfId="55" priority="2" stopIfTrue="1"/>
    <cfRule type="duplicateValues" dxfId="54" priority="3" stopIfTrue="1"/>
    <cfRule type="duplicateValues" dxfId="50" priority="4" stopIfTrue="1"/>
    <cfRule type="duplicateValues" dxfId="49" priority="5" stopIfTrue="1"/>
  </conditionalFormatting>
  <conditionalFormatting sqref="H6:H7">
    <cfRule type="duplicateValues" dxfId="53" priority="6" stopIfTrue="1"/>
    <cfRule type="duplicateValues" dxfId="52" priority="7" stopIfTrue="1"/>
    <cfRule type="duplicateValues" dxfId="51" priority="8" stopIfTrue="1"/>
    <cfRule type="duplicateValues" dxfId="48" priority="9" stopIfTrue="1"/>
    <cfRule type="duplicateValues" dxfId="47" priority="10" stopIfTrue="1"/>
  </conditionalFormatting>
  <printOptions horizontalCentered="1"/>
  <pageMargins left="0.19685039370078741" right="0.19685039370078741" top="0.51181102362204722" bottom="0.23622047244094491" header="0" footer="0"/>
  <pageSetup paperSize="9" scale="62" orientation="landscape" r:id="rId1"/>
  <headerFooter>
    <oddFooter>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619C1-2DF2-4244-94CE-F47ABA7E0FC6}">
  <sheetPr>
    <tabColor rgb="FFFFFF00"/>
  </sheetPr>
  <dimension ref="A1:N30"/>
  <sheetViews>
    <sheetView view="pageBreakPreview" topLeftCell="A16" zoomScale="80" zoomScaleNormal="90" workbookViewId="0">
      <selection activeCell="G24" sqref="G24"/>
    </sheetView>
  </sheetViews>
  <sheetFormatPr defaultColWidth="8.69921875" defaultRowHeight="16.8"/>
  <cols>
    <col min="1" max="1" width="7.3984375" style="126" customWidth="1"/>
    <col min="2" max="2" width="33.19921875" style="9" customWidth="1"/>
    <col min="3" max="3" width="9.69921875" style="405" customWidth="1"/>
    <col min="4" max="4" width="12.3984375" style="126" customWidth="1"/>
    <col min="5" max="5" width="12.19921875" style="126" customWidth="1"/>
    <col min="6" max="6" width="13.59765625" style="246" customWidth="1"/>
    <col min="7" max="7" width="13.19921875" style="246" customWidth="1"/>
    <col min="8" max="8" width="11.8984375" style="126" customWidth="1"/>
    <col min="9" max="9" width="22.3984375" style="126" customWidth="1"/>
    <col min="10" max="10" width="14.59765625" style="126" customWidth="1"/>
    <col min="11" max="11" width="9" style="126" bestFit="1" customWidth="1"/>
    <col min="12" max="12" width="15.69921875" style="126" customWidth="1"/>
    <col min="13" max="13" width="12.19921875" style="126" customWidth="1"/>
    <col min="14" max="14" width="14.59765625" style="126" customWidth="1"/>
    <col min="15" max="15" width="13.19921875" style="126" customWidth="1"/>
    <col min="16" max="32" width="9" style="126" bestFit="1" customWidth="1"/>
    <col min="33" max="16384" width="8.69921875" style="126"/>
  </cols>
  <sheetData>
    <row r="1" spans="1:9" ht="41.4" customHeight="1">
      <c r="A1" s="1404" t="s">
        <v>1441</v>
      </c>
      <c r="B1" s="1404"/>
    </row>
    <row r="2" spans="1:9" ht="28.2" customHeight="1">
      <c r="A2" s="1404" t="s">
        <v>1442</v>
      </c>
      <c r="B2" s="1404"/>
    </row>
    <row r="3" spans="1:9">
      <c r="B3" s="410"/>
    </row>
    <row r="4" spans="1:9" s="403" customFormat="1" ht="40.200000000000003" customHeight="1">
      <c r="B4" s="411"/>
      <c r="C4" s="412"/>
      <c r="D4" s="413"/>
      <c r="E4" s="412" t="s">
        <v>1443</v>
      </c>
      <c r="F4" s="414"/>
      <c r="G4" s="414"/>
      <c r="H4" s="413"/>
      <c r="I4" s="413"/>
    </row>
    <row r="5" spans="1:9" s="403" customFormat="1" ht="31.95" customHeight="1">
      <c r="B5" s="411"/>
      <c r="C5" s="412"/>
      <c r="D5" s="413"/>
      <c r="E5" s="412" t="s">
        <v>1444</v>
      </c>
      <c r="F5" s="414"/>
      <c r="G5" s="414"/>
      <c r="H5" s="413"/>
      <c r="I5" s="413"/>
    </row>
    <row r="6" spans="1:9" s="403" customFormat="1" ht="40.950000000000003" customHeight="1">
      <c r="B6" s="415"/>
      <c r="C6" s="416"/>
      <c r="D6" s="417"/>
      <c r="E6" s="412" t="s">
        <v>1445</v>
      </c>
      <c r="F6" s="418"/>
      <c r="G6" s="418"/>
      <c r="H6" s="417"/>
      <c r="I6" s="417"/>
    </row>
    <row r="7" spans="1:9" s="404" customFormat="1" ht="31.95" customHeight="1">
      <c r="A7" s="1413" t="s">
        <v>262</v>
      </c>
      <c r="B7" s="1416" t="s">
        <v>1446</v>
      </c>
      <c r="C7" s="1419" t="s">
        <v>1447</v>
      </c>
      <c r="D7" s="1426" t="s">
        <v>1448</v>
      </c>
      <c r="E7" s="1427"/>
      <c r="F7" s="1405" t="s">
        <v>1449</v>
      </c>
      <c r="G7" s="1405"/>
      <c r="H7" s="1405"/>
      <c r="I7" s="1423" t="s">
        <v>1423</v>
      </c>
    </row>
    <row r="8" spans="1:9" s="404" customFormat="1" ht="31.95" customHeight="1">
      <c r="A8" s="1414"/>
      <c r="B8" s="1417"/>
      <c r="C8" s="1420"/>
      <c r="D8" s="1428"/>
      <c r="E8" s="1429"/>
      <c r="F8" s="1406" t="s">
        <v>1450</v>
      </c>
      <c r="G8" s="1407"/>
      <c r="H8" s="1422" t="s">
        <v>1432</v>
      </c>
      <c r="I8" s="1424"/>
    </row>
    <row r="9" spans="1:9" s="405" customFormat="1" ht="30.6" customHeight="1">
      <c r="A9" s="1415"/>
      <c r="B9" s="1418"/>
      <c r="C9" s="1421"/>
      <c r="D9" s="1430"/>
      <c r="E9" s="1431"/>
      <c r="F9" s="419" t="s">
        <v>1451</v>
      </c>
      <c r="G9" s="419" t="s">
        <v>1429</v>
      </c>
      <c r="H9" s="1418"/>
      <c r="I9" s="1425"/>
    </row>
    <row r="10" spans="1:9" s="406" customFormat="1" ht="34.950000000000003" customHeight="1">
      <c r="A10" s="420" t="s">
        <v>1338</v>
      </c>
      <c r="B10" s="421" t="s">
        <v>1452</v>
      </c>
      <c r="C10" s="422"/>
      <c r="D10" s="423"/>
      <c r="E10" s="424"/>
      <c r="F10" s="425"/>
      <c r="G10" s="425">
        <f>G12</f>
        <v>7400.8</v>
      </c>
      <c r="H10" s="426">
        <f>G10</f>
        <v>7400.8</v>
      </c>
      <c r="I10" s="473"/>
    </row>
    <row r="11" spans="1:9" ht="34.950000000000003" customHeight="1">
      <c r="A11" s="427" t="s">
        <v>186</v>
      </c>
      <c r="B11" s="428" t="s">
        <v>1453</v>
      </c>
      <c r="C11" s="429" t="s">
        <v>1454</v>
      </c>
      <c r="D11" s="430"/>
      <c r="E11" s="431"/>
      <c r="F11" s="432"/>
      <c r="G11" s="432"/>
      <c r="H11" s="433">
        <f>G11</f>
        <v>0</v>
      </c>
      <c r="I11" s="474"/>
    </row>
    <row r="12" spans="1:9" s="406" customFormat="1" ht="43.2" customHeight="1">
      <c r="A12" s="427" t="s">
        <v>199</v>
      </c>
      <c r="B12" s="428" t="s">
        <v>1455</v>
      </c>
      <c r="C12" s="434" t="s">
        <v>1454</v>
      </c>
      <c r="D12" s="430"/>
      <c r="E12" s="435"/>
      <c r="F12" s="436"/>
      <c r="G12" s="436">
        <f>G13</f>
        <v>7400.8</v>
      </c>
      <c r="H12" s="437">
        <f>G12</f>
        <v>7400.8</v>
      </c>
      <c r="I12" s="475"/>
    </row>
    <row r="13" spans="1:9" s="403" customFormat="1" ht="40.200000000000003" customHeight="1">
      <c r="A13" s="438">
        <v>1</v>
      </c>
      <c r="B13" s="439" t="s">
        <v>1456</v>
      </c>
      <c r="C13" s="429" t="s">
        <v>1454</v>
      </c>
      <c r="D13" s="440"/>
      <c r="E13" s="441"/>
      <c r="F13" s="442"/>
      <c r="G13" s="443">
        <f>SUM(G14:G19)</f>
        <v>7400.8</v>
      </c>
      <c r="H13" s="439"/>
      <c r="I13" s="476"/>
    </row>
    <row r="14" spans="1:9" s="130" customFormat="1" ht="45.6" customHeight="1">
      <c r="A14" s="438" t="s">
        <v>1324</v>
      </c>
      <c r="B14" s="444" t="s">
        <v>1457</v>
      </c>
      <c r="C14" s="429" t="s">
        <v>1458</v>
      </c>
      <c r="D14" s="445">
        <v>0.50080000000000002</v>
      </c>
      <c r="E14" s="446" t="s">
        <v>1459</v>
      </c>
      <c r="F14" s="432">
        <f>'CHAM CONG'!AQ500</f>
        <v>6194</v>
      </c>
      <c r="G14" s="443">
        <f>ROUND(F14*D14,1)</f>
        <v>3102</v>
      </c>
      <c r="H14" s="447"/>
      <c r="I14" s="474"/>
    </row>
    <row r="15" spans="1:9" s="130" customFormat="1" ht="45.6" customHeight="1">
      <c r="A15" s="438" t="s">
        <v>1324</v>
      </c>
      <c r="B15" s="444" t="s">
        <v>1460</v>
      </c>
      <c r="C15" s="429" t="s">
        <v>1458</v>
      </c>
      <c r="D15" s="445">
        <v>0.53210000000000002</v>
      </c>
      <c r="E15" s="446" t="s">
        <v>1459</v>
      </c>
      <c r="F15" s="432">
        <f>'CHAM CONG'!AR500</f>
        <v>364</v>
      </c>
      <c r="G15" s="443">
        <f>ROUND(F15*D15,1)</f>
        <v>193.7</v>
      </c>
      <c r="H15" s="447"/>
      <c r="I15" s="474"/>
    </row>
    <row r="16" spans="1:9" s="130" customFormat="1" ht="43.2" customHeight="1">
      <c r="A16" s="438" t="s">
        <v>1324</v>
      </c>
      <c r="B16" s="444" t="s">
        <v>1461</v>
      </c>
      <c r="C16" s="429" t="s">
        <v>1458</v>
      </c>
      <c r="D16" s="448">
        <v>1000</v>
      </c>
      <c r="E16" s="446" t="s">
        <v>1459</v>
      </c>
      <c r="F16" s="432">
        <f>F14</f>
        <v>6194</v>
      </c>
      <c r="G16" s="443">
        <f>ROUND(F16*D16/31947,1)</f>
        <v>193.9</v>
      </c>
      <c r="H16" s="447"/>
      <c r="I16" s="474"/>
    </row>
    <row r="17" spans="1:14" s="130" customFormat="1" ht="58.95" customHeight="1">
      <c r="A17" s="438" t="s">
        <v>1324</v>
      </c>
      <c r="B17" s="449" t="s">
        <v>1462</v>
      </c>
      <c r="C17" s="429" t="s">
        <v>1463</v>
      </c>
      <c r="D17" s="450">
        <v>455</v>
      </c>
      <c r="E17" s="451" t="s">
        <v>1464</v>
      </c>
      <c r="F17" s="432">
        <f>ROUND(J17*0.44,0)</f>
        <v>134767</v>
      </c>
      <c r="G17" s="443">
        <f>ROUND((F17*D17)/31947,1)</f>
        <v>1919.4</v>
      </c>
      <c r="H17" s="447"/>
      <c r="I17" s="475" t="s">
        <v>1465</v>
      </c>
      <c r="J17" s="132">
        <f>'SAN LUONG'!AK507</f>
        <v>306288</v>
      </c>
      <c r="L17" s="477"/>
    </row>
    <row r="18" spans="1:14" s="407" customFormat="1" ht="45" customHeight="1">
      <c r="A18" s="452" t="s">
        <v>1324</v>
      </c>
      <c r="B18" s="453" t="s">
        <v>1466</v>
      </c>
      <c r="C18" s="454" t="s">
        <v>1463</v>
      </c>
      <c r="D18" s="455">
        <v>505</v>
      </c>
      <c r="E18" s="456" t="s">
        <v>1464</v>
      </c>
      <c r="F18" s="432">
        <f>ROUND(J18*0.44,0)</f>
        <v>49378</v>
      </c>
      <c r="G18" s="457">
        <f>ROUND((F18*D18)/31947,1)</f>
        <v>780.5</v>
      </c>
      <c r="H18" s="458"/>
      <c r="I18" s="475" t="s">
        <v>1467</v>
      </c>
      <c r="J18" s="478">
        <f>'SAN LUONG'!AK506</f>
        <v>112223</v>
      </c>
      <c r="L18" s="479"/>
      <c r="N18" s="480"/>
    </row>
    <row r="19" spans="1:14" s="407" customFormat="1" ht="45" customHeight="1">
      <c r="A19" s="452" t="s">
        <v>1324</v>
      </c>
      <c r="B19" s="453" t="s">
        <v>1468</v>
      </c>
      <c r="C19" s="454" t="s">
        <v>1463</v>
      </c>
      <c r="D19" s="459">
        <v>555</v>
      </c>
      <c r="E19" s="456" t="s">
        <v>1464</v>
      </c>
      <c r="F19" s="432">
        <f>ROUND(J19*0.44,0)</f>
        <v>69727</v>
      </c>
      <c r="G19" s="457">
        <f>ROUND((F19*D19)/31947,1)</f>
        <v>1211.3</v>
      </c>
      <c r="H19" s="460"/>
      <c r="I19" s="475" t="s">
        <v>1469</v>
      </c>
      <c r="J19" s="478">
        <f>'SAN LUONG'!AK505</f>
        <v>158470</v>
      </c>
      <c r="L19" s="479"/>
      <c r="N19" s="480"/>
    </row>
    <row r="20" spans="1:14" s="406" customFormat="1" ht="71.400000000000006" customHeight="1">
      <c r="A20" s="1408" t="s">
        <v>9</v>
      </c>
      <c r="B20" s="1409"/>
      <c r="C20" s="461"/>
      <c r="D20" s="462"/>
      <c r="E20" s="463"/>
      <c r="F20" s="464"/>
      <c r="G20" s="464">
        <f>G10</f>
        <v>7400.8</v>
      </c>
      <c r="H20" s="465">
        <f>H10</f>
        <v>7400.8</v>
      </c>
      <c r="I20" s="481"/>
      <c r="J20" s="482">
        <f>SUM(J17:J19)</f>
        <v>576981</v>
      </c>
    </row>
    <row r="21" spans="1:14" s="408" customFormat="1" ht="57.75" customHeight="1">
      <c r="A21" s="466"/>
      <c r="B21" s="466"/>
      <c r="C21" s="466"/>
      <c r="D21" s="466"/>
      <c r="E21" s="466"/>
      <c r="F21" s="467"/>
      <c r="G21" s="1410" t="s">
        <v>1470</v>
      </c>
      <c r="H21" s="1410"/>
      <c r="I21" s="1410"/>
    </row>
    <row r="22" spans="1:14" s="409" customFormat="1" ht="46.2" customHeight="1">
      <c r="A22" s="97"/>
      <c r="B22" s="97" t="s">
        <v>1471</v>
      </c>
      <c r="C22" s="97"/>
      <c r="D22" s="97"/>
      <c r="E22" s="468" t="s">
        <v>1472</v>
      </c>
      <c r="F22" s="469"/>
      <c r="G22" s="469"/>
      <c r="H22" s="97" t="s">
        <v>1442</v>
      </c>
      <c r="I22" s="97"/>
      <c r="J22" s="1411">
        <f>G20*31947</f>
        <v>236433357.59999999</v>
      </c>
      <c r="K22" s="1412"/>
    </row>
    <row r="23" spans="1:14" ht="27" customHeight="1">
      <c r="A23" s="8"/>
      <c r="B23" s="8"/>
      <c r="C23" s="470"/>
      <c r="D23" s="8"/>
      <c r="E23" s="8"/>
      <c r="F23" s="471"/>
      <c r="G23" s="471"/>
      <c r="H23" s="8"/>
      <c r="I23" s="8"/>
    </row>
    <row r="24" spans="1:14" ht="51" customHeight="1">
      <c r="A24" s="8"/>
      <c r="B24" s="8"/>
      <c r="C24" s="470"/>
      <c r="D24" s="8"/>
      <c r="E24" s="8"/>
      <c r="F24" s="471"/>
      <c r="G24" s="471"/>
      <c r="H24" s="8"/>
      <c r="I24" s="8"/>
    </row>
    <row r="25" spans="1:14" ht="27" customHeight="1">
      <c r="A25" s="8"/>
      <c r="B25" s="8"/>
      <c r="C25" s="470"/>
      <c r="D25" s="8"/>
      <c r="E25" s="8"/>
      <c r="F25" s="471"/>
      <c r="G25" s="471"/>
      <c r="H25" s="8"/>
      <c r="I25" s="8"/>
    </row>
    <row r="26" spans="1:14" s="406" customFormat="1" ht="44.4" customHeight="1">
      <c r="A26" s="468"/>
      <c r="B26" s="388" t="s">
        <v>1473</v>
      </c>
      <c r="C26" s="97"/>
      <c r="D26" s="468"/>
      <c r="E26" s="468"/>
      <c r="F26" s="472"/>
      <c r="G26" s="472"/>
      <c r="H26" s="388" t="s">
        <v>1474</v>
      </c>
      <c r="I26" s="468"/>
    </row>
    <row r="30" spans="1:14" ht="17.399999999999999">
      <c r="H30" s="388" t="s">
        <v>1474</v>
      </c>
    </row>
  </sheetData>
  <mergeCells count="13">
    <mergeCell ref="J22:K22"/>
    <mergeCell ref="A7:A9"/>
    <mergeCell ref="B7:B9"/>
    <mergeCell ref="C7:C9"/>
    <mergeCell ref="H8:H9"/>
    <mergeCell ref="I7:I9"/>
    <mergeCell ref="D7:E9"/>
    <mergeCell ref="A1:B1"/>
    <mergeCell ref="A2:B2"/>
    <mergeCell ref="F7:H7"/>
    <mergeCell ref="F8:G8"/>
    <mergeCell ref="A20:B20"/>
    <mergeCell ref="G21:I21"/>
  </mergeCells>
  <printOptions horizontalCentered="1"/>
  <pageMargins left="0.39305555555555555" right="0.31458333333333333" top="0.35416666666666669" bottom="0.55069444444444449" header="0.31458333333333333" footer="0.31458333333333333"/>
  <pageSetup paperSize="9" scale="6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C5EAC-6B5E-446A-9738-714D4EDA3068}">
  <sheetPr>
    <tabColor rgb="FFFF0000"/>
  </sheetPr>
  <dimension ref="A1:I48"/>
  <sheetViews>
    <sheetView view="pageBreakPreview" topLeftCell="A19" zoomScale="90" zoomScaleNormal="77" workbookViewId="0">
      <selection activeCell="E22" sqref="E22"/>
    </sheetView>
  </sheetViews>
  <sheetFormatPr defaultColWidth="8.69921875" defaultRowHeight="16.8"/>
  <cols>
    <col min="1" max="1" width="6.8984375" style="328" customWidth="1"/>
    <col min="2" max="2" width="38.69921875" style="328" customWidth="1"/>
    <col min="3" max="3" width="10.8984375" style="328" customWidth="1"/>
    <col min="4" max="4" width="12.19921875" style="329" customWidth="1"/>
    <col min="5" max="6" width="21.59765625" style="328" customWidth="1"/>
    <col min="7" max="7" width="23.19921875" style="328" customWidth="1"/>
    <col min="8" max="8" width="20" style="330" customWidth="1"/>
    <col min="9" max="9" width="17.69921875" style="331" customWidth="1"/>
    <col min="10" max="32" width="9" style="330" bestFit="1" customWidth="1"/>
    <col min="33" max="16384" width="8.69921875" style="330"/>
  </cols>
  <sheetData>
    <row r="1" spans="1:9" s="319" customFormat="1" ht="45.6" customHeight="1">
      <c r="A1" s="1432" t="s">
        <v>1475</v>
      </c>
      <c r="B1" s="1432"/>
      <c r="C1" s="332"/>
      <c r="D1" s="333"/>
      <c r="F1" s="1432"/>
      <c r="G1" s="1432"/>
      <c r="I1" s="393"/>
    </row>
    <row r="2" spans="1:9" s="319" customFormat="1" ht="35.4" customHeight="1">
      <c r="A2" s="1433" t="s">
        <v>1476</v>
      </c>
      <c r="B2" s="1433"/>
      <c r="C2" s="334"/>
      <c r="D2" s="333"/>
      <c r="F2" s="1432"/>
      <c r="G2" s="1432"/>
      <c r="I2" s="393"/>
    </row>
    <row r="3" spans="1:9" s="319" customFormat="1" ht="33.6" customHeight="1">
      <c r="A3" s="1434" t="s">
        <v>1477</v>
      </c>
      <c r="B3" s="1434"/>
      <c r="C3" s="335"/>
      <c r="D3" s="336"/>
      <c r="F3" s="1435"/>
      <c r="G3" s="1435"/>
      <c r="I3" s="393"/>
    </row>
    <row r="4" spans="1:9" s="319" customFormat="1" ht="7.2" hidden="1" customHeight="1">
      <c r="A4" s="1436" t="s">
        <v>1478</v>
      </c>
      <c r="B4" s="1436"/>
      <c r="C4" s="337"/>
      <c r="D4" s="338"/>
      <c r="F4" s="1435"/>
      <c r="G4" s="1435"/>
      <c r="I4" s="393"/>
    </row>
    <row r="5" spans="1:9" s="320" customFormat="1" ht="33.6" customHeight="1">
      <c r="A5" s="1437" t="s">
        <v>1479</v>
      </c>
      <c r="B5" s="1437"/>
      <c r="C5" s="1437"/>
      <c r="D5" s="1437"/>
      <c r="E5" s="1437"/>
      <c r="F5" s="1437"/>
      <c r="G5" s="1437"/>
      <c r="I5" s="394"/>
    </row>
    <row r="6" spans="1:9" s="320" customFormat="1" ht="35.4" customHeight="1">
      <c r="A6" s="1437" t="s">
        <v>1480</v>
      </c>
      <c r="B6" s="1437"/>
      <c r="C6" s="1437"/>
      <c r="D6" s="1437"/>
      <c r="E6" s="1437"/>
      <c r="F6" s="1437"/>
      <c r="G6" s="1437"/>
      <c r="I6" s="394"/>
    </row>
    <row r="7" spans="1:9" s="319" customFormat="1" ht="29.4" customHeight="1">
      <c r="A7" s="1438" t="s">
        <v>1481</v>
      </c>
      <c r="B7" s="1438"/>
      <c r="C7" s="1438"/>
      <c r="D7" s="1438"/>
      <c r="E7" s="1438"/>
      <c r="F7" s="1438"/>
      <c r="G7" s="1438"/>
      <c r="I7" s="393"/>
    </row>
    <row r="8" spans="1:9" s="319" customFormat="1" ht="30" customHeight="1">
      <c r="A8" s="1438" t="s">
        <v>1482</v>
      </c>
      <c r="B8" s="1438"/>
      <c r="C8" s="1438"/>
      <c r="D8" s="1438"/>
      <c r="E8" s="1438"/>
      <c r="F8" s="1438"/>
      <c r="G8" s="1438"/>
      <c r="I8" s="393"/>
    </row>
    <row r="9" spans="1:9" s="319" customFormat="1" ht="7.5" customHeight="1">
      <c r="A9" s="339"/>
      <c r="B9" s="339"/>
      <c r="C9" s="339"/>
      <c r="D9" s="338"/>
      <c r="E9" s="339"/>
      <c r="F9" s="339"/>
      <c r="G9" s="339"/>
      <c r="I9" s="393"/>
    </row>
    <row r="10" spans="1:9" s="292" customFormat="1" ht="28.2" customHeight="1">
      <c r="A10" s="320"/>
      <c r="B10" s="320"/>
      <c r="C10" s="320"/>
      <c r="D10" s="340"/>
      <c r="E10" s="320"/>
      <c r="F10" s="341" t="s">
        <v>1483</v>
      </c>
      <c r="I10" s="395"/>
    </row>
    <row r="11" spans="1:9" s="321" customFormat="1" ht="55.2" customHeight="1">
      <c r="A11" s="342" t="s">
        <v>1484</v>
      </c>
      <c r="B11" s="343" t="s">
        <v>1485</v>
      </c>
      <c r="C11" s="344" t="s">
        <v>1486</v>
      </c>
      <c r="D11" s="1439" t="s">
        <v>1487</v>
      </c>
      <c r="E11" s="1439"/>
      <c r="F11" s="344" t="s">
        <v>1488</v>
      </c>
      <c r="G11" s="345" t="s">
        <v>1489</v>
      </c>
      <c r="I11" s="396"/>
    </row>
    <row r="12" spans="1:9" s="321" customFormat="1" ht="45.6" customHeight="1">
      <c r="A12" s="346" t="s">
        <v>262</v>
      </c>
      <c r="B12" s="347" t="s">
        <v>1490</v>
      </c>
      <c r="C12" s="347" t="s">
        <v>1491</v>
      </c>
      <c r="D12" s="347" t="s">
        <v>1492</v>
      </c>
      <c r="E12" s="347" t="s">
        <v>1493</v>
      </c>
      <c r="F12" s="348" t="s">
        <v>1494</v>
      </c>
      <c r="G12" s="349" t="s">
        <v>1495</v>
      </c>
      <c r="I12" s="396"/>
    </row>
    <row r="13" spans="1:9" s="322" customFormat="1" ht="37.200000000000003" customHeight="1">
      <c r="A13" s="350" t="s">
        <v>186</v>
      </c>
      <c r="B13" s="351" t="s">
        <v>199</v>
      </c>
      <c r="C13" s="351">
        <v>1</v>
      </c>
      <c r="D13" s="352">
        <v>2</v>
      </c>
      <c r="E13" s="351" t="s">
        <v>1496</v>
      </c>
      <c r="F13" s="351">
        <v>4</v>
      </c>
      <c r="G13" s="353">
        <v>5</v>
      </c>
      <c r="I13" s="397"/>
    </row>
    <row r="14" spans="1:9" s="323" customFormat="1" ht="57" customHeight="1">
      <c r="A14" s="354" t="s">
        <v>1338</v>
      </c>
      <c r="B14" s="355" t="s">
        <v>1497</v>
      </c>
      <c r="C14" s="356">
        <v>31947</v>
      </c>
      <c r="D14" s="357">
        <f>D15</f>
        <v>7400.8</v>
      </c>
      <c r="E14" s="357">
        <f>E15</f>
        <v>236433358</v>
      </c>
      <c r="F14" s="357">
        <f>E14</f>
        <v>236433358</v>
      </c>
      <c r="G14" s="358"/>
      <c r="I14" s="398"/>
    </row>
    <row r="15" spans="1:9" s="323" customFormat="1" ht="54" customHeight="1">
      <c r="A15" s="354">
        <v>1</v>
      </c>
      <c r="B15" s="355" t="s">
        <v>1498</v>
      </c>
      <c r="C15" s="356">
        <v>31947</v>
      </c>
      <c r="D15" s="357">
        <f>SUM(D16:D21)</f>
        <v>7400.8</v>
      </c>
      <c r="E15" s="357">
        <f>SUM(E16:E21)</f>
        <v>236433358</v>
      </c>
      <c r="F15" s="357">
        <f>SUM(F16:F21)</f>
        <v>236433358</v>
      </c>
      <c r="G15" s="358"/>
      <c r="I15" s="398"/>
    </row>
    <row r="16" spans="1:9" s="323" customFormat="1" ht="44.4" customHeight="1">
      <c r="A16" s="359" t="s">
        <v>1324</v>
      </c>
      <c r="B16" s="360" t="s">
        <v>1499</v>
      </c>
      <c r="C16" s="361">
        <v>31947</v>
      </c>
      <c r="D16" s="362">
        <f>'tổng hợp cty'!G14</f>
        <v>3102</v>
      </c>
      <c r="E16" s="362">
        <f t="shared" ref="E16:E21" si="0">ROUND(C16*D16,0)</f>
        <v>99099594</v>
      </c>
      <c r="F16" s="363">
        <f t="shared" ref="F16:F21" si="1">E16</f>
        <v>99099594</v>
      </c>
      <c r="G16" s="358"/>
      <c r="H16" s="364"/>
      <c r="I16" s="398"/>
    </row>
    <row r="17" spans="1:9" s="323" customFormat="1" ht="44.4" customHeight="1">
      <c r="A17" s="359" t="s">
        <v>1324</v>
      </c>
      <c r="B17" s="360" t="s">
        <v>1500</v>
      </c>
      <c r="C17" s="361">
        <v>31947</v>
      </c>
      <c r="D17" s="362">
        <f>'tổng hợp cty'!G15</f>
        <v>193.7</v>
      </c>
      <c r="E17" s="362">
        <f t="shared" si="0"/>
        <v>6188134</v>
      </c>
      <c r="F17" s="363">
        <f t="shared" si="1"/>
        <v>6188134</v>
      </c>
      <c r="G17" s="358"/>
      <c r="H17" s="364"/>
      <c r="I17" s="398"/>
    </row>
    <row r="18" spans="1:9" s="323" customFormat="1" ht="47.4" customHeight="1">
      <c r="A18" s="359" t="s">
        <v>1324</v>
      </c>
      <c r="B18" s="360" t="s">
        <v>1501</v>
      </c>
      <c r="C18" s="361">
        <v>31947</v>
      </c>
      <c r="D18" s="362">
        <f>'tổng hợp cty'!G16</f>
        <v>193.9</v>
      </c>
      <c r="E18" s="362">
        <f t="shared" si="0"/>
        <v>6194523</v>
      </c>
      <c r="F18" s="363">
        <f t="shared" si="1"/>
        <v>6194523</v>
      </c>
      <c r="G18" s="358"/>
      <c r="H18" s="364"/>
      <c r="I18" s="398"/>
    </row>
    <row r="19" spans="1:9" s="324" customFormat="1" ht="48.6" customHeight="1">
      <c r="A19" s="359" t="s">
        <v>1324</v>
      </c>
      <c r="B19" s="360" t="s">
        <v>1502</v>
      </c>
      <c r="C19" s="361">
        <v>31947</v>
      </c>
      <c r="D19" s="362">
        <f>'tổng hợp cty'!G17</f>
        <v>1919.4</v>
      </c>
      <c r="E19" s="365">
        <f t="shared" si="0"/>
        <v>61319072</v>
      </c>
      <c r="F19" s="363">
        <f t="shared" si="1"/>
        <v>61319072</v>
      </c>
      <c r="G19" s="366"/>
      <c r="I19" s="399"/>
    </row>
    <row r="20" spans="1:9" s="324" customFormat="1" ht="42" customHeight="1">
      <c r="A20" s="359" t="s">
        <v>1324</v>
      </c>
      <c r="B20" s="360" t="s">
        <v>1503</v>
      </c>
      <c r="C20" s="361">
        <v>31947</v>
      </c>
      <c r="D20" s="362">
        <f>'tổng hợp cty'!G18</f>
        <v>780.5</v>
      </c>
      <c r="E20" s="362">
        <f t="shared" si="0"/>
        <v>24934634</v>
      </c>
      <c r="F20" s="363">
        <f t="shared" si="1"/>
        <v>24934634</v>
      </c>
      <c r="G20" s="366"/>
      <c r="I20" s="399"/>
    </row>
    <row r="21" spans="1:9" s="324" customFormat="1" ht="42" customHeight="1">
      <c r="A21" s="367" t="s">
        <v>1324</v>
      </c>
      <c r="B21" s="368" t="s">
        <v>1504</v>
      </c>
      <c r="C21" s="369">
        <v>31947</v>
      </c>
      <c r="D21" s="370">
        <f>'tổng hợp cty'!G19</f>
        <v>1211.3</v>
      </c>
      <c r="E21" s="370">
        <f t="shared" si="0"/>
        <v>38697401</v>
      </c>
      <c r="F21" s="371">
        <f t="shared" si="1"/>
        <v>38697401</v>
      </c>
      <c r="G21" s="372"/>
      <c r="I21" s="399"/>
    </row>
    <row r="22" spans="1:9" s="323" customFormat="1" ht="39.6" customHeight="1">
      <c r="A22" s="1440" t="s">
        <v>1505</v>
      </c>
      <c r="B22" s="1441"/>
      <c r="C22" s="373"/>
      <c r="D22" s="374">
        <f>D14</f>
        <v>7400.8</v>
      </c>
      <c r="E22" s="374">
        <f>E14</f>
        <v>236433358</v>
      </c>
      <c r="F22" s="374">
        <f>F14</f>
        <v>236433358</v>
      </c>
      <c r="G22" s="375"/>
      <c r="H22" s="376"/>
      <c r="I22" s="398"/>
    </row>
    <row r="23" spans="1:9" s="325" customFormat="1" ht="33.6" customHeight="1">
      <c r="A23" s="1442" t="s">
        <v>1506</v>
      </c>
      <c r="B23" s="1442"/>
      <c r="C23" s="1442"/>
      <c r="D23" s="1442"/>
      <c r="E23" s="1442"/>
      <c r="F23" s="1442"/>
      <c r="G23" s="1442"/>
      <c r="H23" s="377">
        <f>D22*30456</f>
        <v>225398764.80000001</v>
      </c>
      <c r="I23" s="400"/>
    </row>
    <row r="24" spans="1:9" s="325" customFormat="1" ht="29.4" customHeight="1">
      <c r="A24" s="1443" t="s">
        <v>1507</v>
      </c>
      <c r="B24" s="1444"/>
      <c r="C24" s="1444"/>
      <c r="D24" s="1444"/>
      <c r="E24" s="1444"/>
      <c r="F24" s="1444"/>
      <c r="G24" s="1444"/>
      <c r="H24" s="378" t="e">
        <f>#REF!</f>
        <v>#REF!</v>
      </c>
      <c r="I24" s="400"/>
    </row>
    <row r="25" spans="1:9" ht="15.6" customHeight="1">
      <c r="A25" s="301"/>
      <c r="B25" s="301"/>
      <c r="C25" s="301"/>
      <c r="D25" s="301"/>
      <c r="E25" s="301"/>
      <c r="F25" s="301"/>
      <c r="G25" s="301"/>
    </row>
    <row r="26" spans="1:9" s="319" customFormat="1" ht="34.200000000000003" customHeight="1">
      <c r="D26" s="379"/>
      <c r="E26" s="304"/>
      <c r="F26" s="1445" t="s">
        <v>1508</v>
      </c>
      <c r="G26" s="1445"/>
      <c r="I26" s="393"/>
    </row>
    <row r="27" spans="1:9" s="326" customFormat="1">
      <c r="B27" s="380" t="s">
        <v>1509</v>
      </c>
      <c r="C27" s="381"/>
      <c r="D27" s="382"/>
      <c r="E27" s="383"/>
      <c r="F27" s="1446" t="s">
        <v>1510</v>
      </c>
      <c r="G27" s="1446"/>
      <c r="I27" s="401"/>
    </row>
    <row r="28" spans="1:9" s="319" customFormat="1" ht="21.75" customHeight="1">
      <c r="A28" s="384"/>
      <c r="B28" s="339" t="s">
        <v>1442</v>
      </c>
      <c r="C28" s="292"/>
      <c r="D28" s="333"/>
      <c r="E28" s="334"/>
      <c r="F28" s="1447" t="s">
        <v>1511</v>
      </c>
      <c r="G28" s="1447"/>
      <c r="I28" s="393"/>
    </row>
    <row r="29" spans="1:9" s="319" customFormat="1" ht="12.6" customHeight="1">
      <c r="A29" s="384"/>
      <c r="B29" s="384"/>
      <c r="C29" s="384"/>
      <c r="D29" s="385"/>
      <c r="E29" s="386"/>
      <c r="F29" s="386"/>
      <c r="G29" s="386"/>
      <c r="I29" s="393"/>
    </row>
    <row r="30" spans="1:9" s="319" customFormat="1" ht="3.6" hidden="1" customHeight="1">
      <c r="A30" s="384"/>
      <c r="B30" s="384"/>
      <c r="C30" s="384"/>
      <c r="D30" s="385"/>
      <c r="E30" s="386"/>
      <c r="F30" s="386"/>
      <c r="G30" s="386"/>
      <c r="I30" s="393"/>
    </row>
    <row r="31" spans="1:9" s="319" customFormat="1" ht="11.4" customHeight="1">
      <c r="A31" s="384"/>
      <c r="B31" s="384"/>
      <c r="C31" s="384"/>
      <c r="D31" s="385"/>
      <c r="E31" s="386"/>
      <c r="F31" s="386"/>
      <c r="G31" s="386"/>
      <c r="I31" s="393"/>
    </row>
    <row r="32" spans="1:9" s="319" customFormat="1" ht="15" customHeight="1">
      <c r="A32" s="384"/>
      <c r="B32" s="384"/>
      <c r="C32" s="384"/>
      <c r="D32" s="385"/>
      <c r="E32" s="386"/>
      <c r="F32" s="386"/>
      <c r="G32" s="386"/>
      <c r="I32" s="393"/>
    </row>
    <row r="33" spans="1:9" s="319" customFormat="1" ht="15" customHeight="1">
      <c r="A33" s="384"/>
      <c r="B33" s="384"/>
      <c r="C33" s="384"/>
      <c r="D33" s="385"/>
      <c r="E33" s="386"/>
      <c r="F33" s="386"/>
      <c r="G33" s="386"/>
      <c r="I33" s="393"/>
    </row>
    <row r="34" spans="1:9" s="319" customFormat="1" ht="12.6" customHeight="1">
      <c r="A34" s="384"/>
      <c r="B34" s="384"/>
      <c r="C34" s="384"/>
      <c r="D34" s="385"/>
      <c r="E34" s="386"/>
      <c r="F34" s="386"/>
      <c r="G34" s="386"/>
      <c r="I34" s="393"/>
    </row>
    <row r="35" spans="1:9" s="327" customFormat="1" ht="22.2" customHeight="1">
      <c r="A35" s="387"/>
      <c r="B35" s="388" t="s">
        <v>1474</v>
      </c>
      <c r="C35" s="387"/>
      <c r="D35" s="389"/>
      <c r="E35" s="387" t="s">
        <v>1512</v>
      </c>
      <c r="F35" s="1448" t="s">
        <v>1473</v>
      </c>
      <c r="G35" s="1448"/>
      <c r="I35" s="402"/>
    </row>
    <row r="36" spans="1:9" s="319" customFormat="1" ht="5.25" hidden="1" customHeight="1">
      <c r="A36" s="384"/>
      <c r="B36" s="339"/>
      <c r="C36" s="292"/>
      <c r="D36" s="333"/>
      <c r="E36" s="384"/>
      <c r="F36" s="384"/>
      <c r="G36" s="339"/>
      <c r="I36" s="393"/>
    </row>
    <row r="37" spans="1:9" s="326" customFormat="1" ht="26.25" customHeight="1">
      <c r="A37" s="390"/>
      <c r="B37" s="380" t="s">
        <v>1513</v>
      </c>
      <c r="C37" s="381"/>
      <c r="D37" s="382"/>
      <c r="E37" s="381"/>
      <c r="F37" s="1449" t="s">
        <v>1514</v>
      </c>
      <c r="G37" s="1449"/>
      <c r="I37" s="401"/>
    </row>
    <row r="38" spans="1:9" s="319" customFormat="1">
      <c r="B38" s="339" t="s">
        <v>1515</v>
      </c>
      <c r="C38" s="292"/>
      <c r="D38" s="333"/>
      <c r="E38" s="292"/>
      <c r="F38" s="1450" t="s">
        <v>1516</v>
      </c>
      <c r="G38" s="1450"/>
      <c r="I38" s="393"/>
    </row>
    <row r="39" spans="1:9" s="319" customFormat="1" ht="15.75" customHeight="1">
      <c r="B39" s="339"/>
      <c r="C39" s="292"/>
      <c r="D39" s="385"/>
      <c r="E39" s="384"/>
      <c r="F39" s="384"/>
      <c r="G39" s="339"/>
      <c r="I39" s="393"/>
    </row>
    <row r="40" spans="1:9" s="319" customFormat="1" ht="15.75" hidden="1" customHeight="1">
      <c r="B40" s="339"/>
      <c r="C40" s="292"/>
      <c r="D40" s="385"/>
      <c r="E40" s="384"/>
      <c r="F40" s="384"/>
      <c r="G40" s="339"/>
      <c r="I40" s="393"/>
    </row>
    <row r="41" spans="1:9" s="319" customFormat="1" ht="15.75" hidden="1" customHeight="1">
      <c r="B41" s="339"/>
      <c r="C41" s="292"/>
      <c r="D41" s="385"/>
      <c r="E41" s="384"/>
      <c r="F41" s="384"/>
      <c r="G41" s="339"/>
      <c r="I41" s="393"/>
    </row>
    <row r="42" spans="1:9" s="319" customFormat="1" ht="15.75" hidden="1" customHeight="1">
      <c r="B42" s="339"/>
      <c r="C42" s="292"/>
      <c r="D42" s="385"/>
      <c r="E42" s="384"/>
      <c r="F42" s="384"/>
      <c r="G42" s="339"/>
      <c r="I42" s="393"/>
    </row>
    <row r="43" spans="1:9" s="319" customFormat="1" ht="15.75" hidden="1" customHeight="1">
      <c r="B43" s="339"/>
      <c r="C43" s="292"/>
      <c r="D43" s="385"/>
      <c r="E43" s="384"/>
      <c r="F43" s="384"/>
      <c r="G43" s="339"/>
      <c r="I43" s="393"/>
    </row>
    <row r="44" spans="1:9" s="319" customFormat="1" ht="15.75" hidden="1" customHeight="1">
      <c r="B44" s="339"/>
      <c r="C44" s="292"/>
      <c r="D44" s="385"/>
      <c r="E44" s="384"/>
      <c r="F44" s="384"/>
      <c r="G44" s="339"/>
      <c r="I44" s="393"/>
    </row>
    <row r="45" spans="1:9" s="319" customFormat="1" ht="21.75" customHeight="1">
      <c r="A45" s="1451" t="s">
        <v>1517</v>
      </c>
      <c r="B45" s="1451"/>
      <c r="C45" s="1451"/>
      <c r="D45" s="1451"/>
      <c r="E45" s="1451"/>
      <c r="F45" s="1451"/>
      <c r="G45" s="1451"/>
      <c r="I45" s="393"/>
    </row>
    <row r="46" spans="1:9" s="319" customFormat="1" ht="16.5" customHeight="1">
      <c r="A46" s="1452" t="s">
        <v>1518</v>
      </c>
      <c r="B46" s="1452"/>
      <c r="C46" s="1452"/>
      <c r="D46" s="1452"/>
      <c r="E46" s="1452"/>
      <c r="F46" s="1452"/>
      <c r="G46" s="1452"/>
      <c r="I46" s="393"/>
    </row>
    <row r="47" spans="1:9" s="319" customFormat="1" ht="21.75" customHeight="1">
      <c r="A47" s="391"/>
      <c r="B47" s="391"/>
      <c r="C47" s="391"/>
      <c r="D47" s="391"/>
      <c r="E47" s="391"/>
      <c r="F47" s="391"/>
      <c r="G47" s="391"/>
      <c r="I47" s="393"/>
    </row>
    <row r="48" spans="1:9" s="319" customFormat="1" ht="16.5" customHeight="1">
      <c r="A48" s="392"/>
      <c r="B48" s="392"/>
      <c r="C48" s="392"/>
      <c r="D48" s="392"/>
      <c r="E48" s="392"/>
      <c r="F48" s="392"/>
      <c r="G48" s="392"/>
      <c r="I48" s="393"/>
    </row>
  </sheetData>
  <mergeCells count="24">
    <mergeCell ref="F28:G28"/>
    <mergeCell ref="F35:G35"/>
    <mergeCell ref="F37:G37"/>
    <mergeCell ref="F38:G38"/>
    <mergeCell ref="A45:G45"/>
    <mergeCell ref="A46:G46"/>
    <mergeCell ref="D11:E11"/>
    <mergeCell ref="A22:B22"/>
    <mergeCell ref="A23:G23"/>
    <mergeCell ref="A24:G24"/>
    <mergeCell ref="F26:G26"/>
    <mergeCell ref="F27:G27"/>
    <mergeCell ref="A4:B4"/>
    <mergeCell ref="F4:G4"/>
    <mergeCell ref="A5:G5"/>
    <mergeCell ref="A6:G6"/>
    <mergeCell ref="A7:G7"/>
    <mergeCell ref="A8:G8"/>
    <mergeCell ref="A1:B1"/>
    <mergeCell ref="F1:G1"/>
    <mergeCell ref="A2:B2"/>
    <mergeCell ref="F2:G2"/>
    <mergeCell ref="A3:B3"/>
    <mergeCell ref="F3:G3"/>
  </mergeCells>
  <printOptions horizontalCentered="1"/>
  <pageMargins left="0.39" right="0.2" top="0.35" bottom="0.2" header="0.16" footer="0.28000000000000003"/>
  <pageSetup paperSize="9" scale="6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596F1-B026-4232-A590-9B4D6CFC8EF6}">
  <sheetPr>
    <tabColor rgb="FFFF0000"/>
  </sheetPr>
  <dimension ref="A1:Z42"/>
  <sheetViews>
    <sheetView view="pageBreakPreview" topLeftCell="A19" zoomScale="80" zoomScaleNormal="100" workbookViewId="0">
      <selection activeCell="F28" sqref="F28"/>
    </sheetView>
  </sheetViews>
  <sheetFormatPr defaultColWidth="8.69921875" defaultRowHeight="17.399999999999999"/>
  <cols>
    <col min="1" max="1" width="3.69921875" style="262" customWidth="1"/>
    <col min="2" max="2" width="13" style="262" customWidth="1"/>
    <col min="3" max="3" width="12.09765625" style="262" customWidth="1"/>
    <col min="4" max="4" width="12.69921875" style="262" customWidth="1"/>
    <col min="5" max="5" width="16.59765625" style="262" customWidth="1"/>
    <col min="6" max="6" width="24.59765625" style="262" customWidth="1"/>
    <col min="7" max="7" width="16.5" style="263" customWidth="1"/>
    <col min="8" max="8" width="11.19921875" style="262" customWidth="1"/>
    <col min="9" max="9" width="9.59765625" style="262" customWidth="1"/>
    <col min="10" max="10" width="17.8984375" style="262" customWidth="1"/>
    <col min="11" max="11" width="16.19921875" style="130" customWidth="1"/>
    <col min="12" max="12" width="8.3984375" style="264" bestFit="1" customWidth="1"/>
    <col min="13" max="13" width="13" style="265" customWidth="1"/>
    <col min="14" max="14" width="4.69921875" style="266" bestFit="1" customWidth="1"/>
    <col min="15" max="15" width="8.8984375" style="266" bestFit="1" customWidth="1"/>
    <col min="16" max="26" width="9" style="130" bestFit="1" customWidth="1"/>
    <col min="27" max="32" width="9" style="262" bestFit="1" customWidth="1"/>
    <col min="33" max="16384" width="8.69921875" style="262"/>
  </cols>
  <sheetData>
    <row r="1" spans="1:26" s="256" customFormat="1" ht="18">
      <c r="A1" s="1453" t="s">
        <v>1475</v>
      </c>
      <c r="B1" s="1453"/>
      <c r="C1" s="1453"/>
      <c r="D1" s="1453"/>
      <c r="E1" s="1453"/>
      <c r="F1" s="1454" t="s">
        <v>1519</v>
      </c>
      <c r="G1" s="1454"/>
      <c r="H1" s="1454"/>
      <c r="J1" s="287"/>
      <c r="K1" s="281"/>
      <c r="L1" s="288"/>
      <c r="M1" s="289"/>
      <c r="N1" s="290"/>
      <c r="O1" s="290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</row>
    <row r="2" spans="1:26" s="256" customFormat="1" ht="18">
      <c r="A2" s="1342" t="s">
        <v>1476</v>
      </c>
      <c r="B2" s="1342"/>
      <c r="C2" s="1342"/>
      <c r="D2" s="1342"/>
      <c r="E2" s="1342"/>
      <c r="F2" s="1454" t="s">
        <v>1520</v>
      </c>
      <c r="G2" s="1454"/>
      <c r="H2" s="1454"/>
      <c r="J2" s="287"/>
      <c r="K2" s="281"/>
      <c r="L2" s="288"/>
      <c r="M2" s="289"/>
      <c r="N2" s="290"/>
      <c r="O2" s="290"/>
      <c r="P2" s="281"/>
      <c r="Q2" s="281"/>
      <c r="R2" s="281"/>
      <c r="S2" s="281"/>
      <c r="T2" s="281"/>
      <c r="U2" s="281"/>
      <c r="V2" s="281"/>
      <c r="W2" s="281"/>
      <c r="X2" s="281"/>
      <c r="Y2" s="281"/>
      <c r="Z2" s="281"/>
    </row>
    <row r="3" spans="1:26" s="256" customFormat="1" ht="20.399999999999999">
      <c r="A3" s="1455" t="s">
        <v>1477</v>
      </c>
      <c r="B3" s="1455"/>
      <c r="C3" s="1455"/>
      <c r="D3" s="1455"/>
      <c r="E3" s="1455"/>
      <c r="F3" s="1344" t="s">
        <v>1521</v>
      </c>
      <c r="G3" s="1344"/>
      <c r="H3" s="1344"/>
      <c r="J3" s="267"/>
      <c r="K3" s="281"/>
      <c r="L3" s="288"/>
      <c r="M3" s="289"/>
      <c r="N3" s="290"/>
      <c r="O3" s="290"/>
      <c r="P3" s="281"/>
      <c r="Q3" s="281"/>
      <c r="R3" s="281"/>
      <c r="S3" s="281"/>
      <c r="T3" s="281"/>
      <c r="U3" s="281"/>
      <c r="V3" s="281"/>
      <c r="W3" s="281"/>
      <c r="X3" s="281"/>
      <c r="Y3" s="281"/>
      <c r="Z3" s="281"/>
    </row>
    <row r="4" spans="1:26" s="256" customFormat="1" ht="15" customHeight="1">
      <c r="A4" s="1344" t="s">
        <v>1478</v>
      </c>
      <c r="B4" s="1344"/>
      <c r="C4" s="1344"/>
      <c r="D4" s="1344"/>
      <c r="E4" s="1344"/>
      <c r="F4" s="267"/>
      <c r="G4" s="267"/>
      <c r="H4" s="267"/>
      <c r="I4" s="267"/>
      <c r="J4" s="267"/>
      <c r="K4" s="281"/>
      <c r="L4" s="288"/>
      <c r="M4" s="289"/>
      <c r="N4" s="290"/>
      <c r="O4" s="290"/>
      <c r="P4" s="281"/>
      <c r="Q4" s="281"/>
      <c r="R4" s="281"/>
      <c r="S4" s="281"/>
      <c r="T4" s="281"/>
      <c r="U4" s="281"/>
      <c r="V4" s="281"/>
      <c r="W4" s="281"/>
      <c r="X4" s="281"/>
      <c r="Y4" s="281"/>
      <c r="Z4" s="281"/>
    </row>
    <row r="5" spans="1:26" s="256" customFormat="1" ht="28.5" customHeight="1">
      <c r="A5" s="1456" t="s">
        <v>1522</v>
      </c>
      <c r="B5" s="1456"/>
      <c r="C5" s="1456"/>
      <c r="D5" s="1456"/>
      <c r="E5" s="1456"/>
      <c r="F5" s="1456"/>
      <c r="G5" s="1456"/>
      <c r="H5" s="1456"/>
      <c r="I5" s="291"/>
      <c r="J5" s="291"/>
      <c r="K5" s="281"/>
      <c r="L5" s="288"/>
      <c r="M5" s="289"/>
      <c r="N5" s="290"/>
      <c r="O5" s="290"/>
      <c r="P5" s="281"/>
      <c r="Q5" s="281"/>
      <c r="R5" s="281"/>
      <c r="S5" s="281"/>
      <c r="T5" s="281"/>
      <c r="U5" s="281"/>
      <c r="V5" s="281"/>
      <c r="W5" s="281"/>
      <c r="X5" s="281"/>
      <c r="Y5" s="281"/>
      <c r="Z5" s="281"/>
    </row>
    <row r="6" spans="1:26" s="256" customFormat="1" ht="32.25" customHeight="1">
      <c r="A6" s="1456" t="s">
        <v>1523</v>
      </c>
      <c r="B6" s="1456"/>
      <c r="C6" s="1456"/>
      <c r="D6" s="1456"/>
      <c r="E6" s="1456"/>
      <c r="F6" s="1456"/>
      <c r="G6" s="1456"/>
      <c r="H6" s="1456"/>
      <c r="I6" s="291"/>
      <c r="J6" s="291"/>
      <c r="K6" s="281"/>
      <c r="L6" s="288"/>
      <c r="M6" s="289"/>
      <c r="N6" s="290"/>
      <c r="O6" s="290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</row>
    <row r="7" spans="1:26" s="256" customFormat="1" ht="22.5" customHeight="1">
      <c r="A7" s="1438" t="s">
        <v>1524</v>
      </c>
      <c r="B7" s="1438"/>
      <c r="C7" s="1438"/>
      <c r="D7" s="1438"/>
      <c r="E7" s="1438"/>
      <c r="F7" s="1438"/>
      <c r="G7" s="1438"/>
      <c r="H7" s="1438"/>
      <c r="I7" s="286"/>
      <c r="J7" s="292"/>
      <c r="K7" s="281"/>
      <c r="L7" s="288"/>
      <c r="M7" s="289"/>
      <c r="N7" s="290"/>
      <c r="O7" s="290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</row>
    <row r="8" spans="1:26" s="256" customFormat="1" ht="22.5" customHeight="1">
      <c r="A8" s="1438" t="s">
        <v>1525</v>
      </c>
      <c r="B8" s="1438"/>
      <c r="C8" s="1438"/>
      <c r="D8" s="1438"/>
      <c r="E8" s="1438"/>
      <c r="F8" s="1438"/>
      <c r="G8" s="1438"/>
      <c r="H8" s="1438"/>
      <c r="I8" s="286"/>
      <c r="J8" s="292"/>
      <c r="K8" s="281"/>
      <c r="L8" s="288"/>
      <c r="M8" s="289"/>
      <c r="N8" s="290"/>
      <c r="O8" s="290"/>
      <c r="P8" s="281"/>
      <c r="Q8" s="281"/>
      <c r="R8" s="281"/>
      <c r="S8" s="281"/>
      <c r="T8" s="281"/>
      <c r="U8" s="281"/>
      <c r="V8" s="281"/>
      <c r="W8" s="281"/>
      <c r="X8" s="281"/>
      <c r="Y8" s="281"/>
      <c r="Z8" s="281"/>
    </row>
    <row r="10" spans="1:26" ht="33.75" customHeight="1">
      <c r="B10" s="268" t="s">
        <v>1526</v>
      </c>
      <c r="G10" s="269">
        <f>G12+G11</f>
        <v>236433358</v>
      </c>
      <c r="H10" s="256" t="s">
        <v>1527</v>
      </c>
    </row>
    <row r="11" spans="1:26" ht="29.25" customHeight="1">
      <c r="B11" s="270" t="s">
        <v>1528</v>
      </c>
      <c r="G11" s="271">
        <f>'PTL T01-26'!E22</f>
        <v>236433358</v>
      </c>
      <c r="H11" s="256" t="s">
        <v>1527</v>
      </c>
      <c r="J11" s="263">
        <f>'TTL 01'!Q500</f>
        <v>236433358</v>
      </c>
    </row>
    <row r="12" spans="1:26" ht="29.25" hidden="1" customHeight="1">
      <c r="B12" s="270" t="s">
        <v>1529</v>
      </c>
      <c r="G12" s="271">
        <v>0</v>
      </c>
      <c r="H12" s="256" t="s">
        <v>1527</v>
      </c>
    </row>
    <row r="13" spans="1:26" ht="30" customHeight="1">
      <c r="A13" s="258"/>
      <c r="B13" s="268" t="s">
        <v>1530</v>
      </c>
      <c r="C13" s="258"/>
      <c r="D13" s="258"/>
      <c r="E13" s="272"/>
      <c r="F13" s="258"/>
      <c r="G13" s="273">
        <f>G14</f>
        <v>0</v>
      </c>
      <c r="H13" s="260" t="s">
        <v>1527</v>
      </c>
      <c r="I13" s="293"/>
      <c r="J13" s="294"/>
    </row>
    <row r="14" spans="1:26" ht="39" customHeight="1">
      <c r="A14" s="258"/>
      <c r="B14" s="274" t="s">
        <v>1531</v>
      </c>
      <c r="C14" s="275"/>
      <c r="D14" s="275"/>
      <c r="E14" s="258"/>
      <c r="F14" s="258"/>
      <c r="G14" s="276">
        <f>G12</f>
        <v>0</v>
      </c>
      <c r="H14" s="256" t="s">
        <v>1527</v>
      </c>
      <c r="I14" s="295"/>
      <c r="J14" s="296"/>
      <c r="K14" s="266"/>
    </row>
    <row r="15" spans="1:26" ht="28.5" customHeight="1">
      <c r="A15" s="258"/>
      <c r="B15" s="268" t="s">
        <v>1532</v>
      </c>
      <c r="C15" s="275"/>
      <c r="D15" s="275"/>
      <c r="E15" s="258"/>
      <c r="F15" s="258"/>
      <c r="G15" s="273">
        <f>G16+G17</f>
        <v>0</v>
      </c>
      <c r="H15" s="256" t="s">
        <v>1527</v>
      </c>
      <c r="I15" s="295"/>
      <c r="J15" s="296"/>
      <c r="K15" s="266"/>
    </row>
    <row r="16" spans="1:26" ht="36.75" customHeight="1">
      <c r="A16" s="258"/>
      <c r="B16" s="274" t="s">
        <v>1533</v>
      </c>
      <c r="C16" s="277"/>
      <c r="D16" s="277"/>
      <c r="E16" s="258"/>
      <c r="F16" s="258"/>
      <c r="G16" s="278">
        <v>0</v>
      </c>
      <c r="H16" s="256" t="s">
        <v>1527</v>
      </c>
      <c r="I16" s="295"/>
      <c r="J16" s="294"/>
      <c r="K16" s="266"/>
    </row>
    <row r="17" spans="1:26" ht="36.75" customHeight="1">
      <c r="A17" s="258"/>
      <c r="B17" s="274" t="s">
        <v>1534</v>
      </c>
      <c r="C17" s="258"/>
      <c r="D17" s="258"/>
      <c r="E17" s="258"/>
      <c r="F17" s="258"/>
      <c r="G17" s="278">
        <v>0</v>
      </c>
      <c r="H17" s="256" t="s">
        <v>1527</v>
      </c>
      <c r="I17" s="295"/>
    </row>
    <row r="18" spans="1:26" ht="39" customHeight="1">
      <c r="A18" s="258"/>
      <c r="B18" s="268" t="s">
        <v>1535</v>
      </c>
      <c r="C18" s="258"/>
      <c r="D18" s="258"/>
      <c r="E18" s="258"/>
      <c r="F18" s="258"/>
      <c r="G18" s="279">
        <f>G10-G13-G15</f>
        <v>236433358</v>
      </c>
      <c r="H18" s="256" t="s">
        <v>1527</v>
      </c>
      <c r="I18" s="295"/>
      <c r="J18" s="294"/>
      <c r="K18" s="266"/>
    </row>
    <row r="19" spans="1:26" s="257" customFormat="1" ht="37.5" customHeight="1">
      <c r="A19" s="258"/>
      <c r="B19" s="274" t="s">
        <v>1536</v>
      </c>
      <c r="C19" s="277"/>
      <c r="D19" s="258"/>
      <c r="E19" s="258"/>
      <c r="F19" s="258"/>
      <c r="G19" s="280">
        <f>G18</f>
        <v>236433358</v>
      </c>
      <c r="H19" s="256" t="s">
        <v>1527</v>
      </c>
      <c r="I19" s="297"/>
      <c r="J19" s="298"/>
      <c r="K19" s="281"/>
      <c r="L19" s="288"/>
      <c r="M19" s="289"/>
      <c r="N19" s="290"/>
      <c r="O19" s="290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281"/>
    </row>
    <row r="20" spans="1:26" s="257" customFormat="1" ht="15" customHeight="1">
      <c r="A20" s="258"/>
      <c r="B20" s="281"/>
      <c r="C20" s="258"/>
      <c r="D20" s="258"/>
      <c r="E20" s="258"/>
      <c r="F20" s="258"/>
      <c r="G20" s="282"/>
      <c r="H20" s="258"/>
      <c r="I20" s="298"/>
      <c r="K20" s="290"/>
      <c r="L20" s="288"/>
      <c r="M20" s="289"/>
      <c r="N20" s="290"/>
      <c r="O20" s="290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</row>
    <row r="21" spans="1:26" s="257" customFormat="1" ht="36.75" customHeight="1">
      <c r="A21" s="1457" t="s">
        <v>1506</v>
      </c>
      <c r="B21" s="1458"/>
      <c r="C21" s="1458"/>
      <c r="D21" s="1458"/>
      <c r="E21" s="1458"/>
      <c r="F21" s="1458"/>
      <c r="G21" s="1458"/>
      <c r="H21" s="1458"/>
      <c r="I21" s="299"/>
      <c r="J21" s="300"/>
      <c r="K21" s="290"/>
      <c r="L21" s="288"/>
      <c r="M21" s="289"/>
      <c r="N21" s="290"/>
      <c r="O21" s="290"/>
      <c r="P21" s="281"/>
      <c r="Q21" s="281"/>
      <c r="R21" s="281"/>
      <c r="S21" s="281"/>
      <c r="T21" s="281"/>
      <c r="U21" s="281"/>
      <c r="V21" s="281"/>
      <c r="W21" s="281"/>
      <c r="X21" s="281"/>
      <c r="Y21" s="281"/>
      <c r="Z21" s="281"/>
    </row>
    <row r="22" spans="1:26" s="258" customFormat="1" ht="24.75" customHeight="1">
      <c r="A22" s="1459" t="s">
        <v>1507</v>
      </c>
      <c r="B22" s="1460"/>
      <c r="C22" s="1460"/>
      <c r="D22" s="1460"/>
      <c r="E22" s="1460"/>
      <c r="F22" s="1460"/>
      <c r="G22" s="1460"/>
      <c r="H22" s="1460"/>
      <c r="I22" s="301"/>
      <c r="J22" s="302"/>
      <c r="K22" s="281"/>
      <c r="L22" s="288"/>
      <c r="M22" s="289"/>
      <c r="N22" s="290"/>
      <c r="O22" s="290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</row>
    <row r="23" spans="1:26">
      <c r="I23" s="301"/>
      <c r="J23" s="303"/>
      <c r="K23" s="301"/>
      <c r="L23" s="301"/>
      <c r="M23" s="301"/>
      <c r="N23" s="301"/>
      <c r="O23" s="301"/>
      <c r="P23" s="301"/>
    </row>
    <row r="24" spans="1:26" s="256" customFormat="1" ht="32.4" customHeight="1">
      <c r="F24" s="1461" t="s">
        <v>1537</v>
      </c>
      <c r="G24" s="1461"/>
      <c r="H24" s="1461"/>
      <c r="J24" s="304"/>
      <c r="K24" s="281"/>
      <c r="L24" s="288"/>
      <c r="M24" s="289"/>
      <c r="N24" s="290"/>
      <c r="O24" s="290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</row>
    <row r="25" spans="1:26" s="259" customFormat="1" ht="30" customHeight="1">
      <c r="A25" s="1454" t="s">
        <v>1509</v>
      </c>
      <c r="B25" s="1454"/>
      <c r="C25" s="1454"/>
      <c r="D25" s="1454"/>
      <c r="E25" s="1454" t="s">
        <v>1514</v>
      </c>
      <c r="F25" s="1454"/>
      <c r="G25" s="1454" t="s">
        <v>1510</v>
      </c>
      <c r="H25" s="1454"/>
      <c r="I25" s="287"/>
      <c r="J25" s="287"/>
      <c r="L25" s="305"/>
      <c r="M25" s="306"/>
      <c r="N25" s="307"/>
      <c r="O25" s="307"/>
    </row>
    <row r="26" spans="1:26" s="260" customFormat="1">
      <c r="A26" s="1342" t="s">
        <v>1442</v>
      </c>
      <c r="B26" s="1342"/>
      <c r="C26" s="1342"/>
      <c r="D26" s="1342"/>
      <c r="E26" s="1342" t="s">
        <v>1516</v>
      </c>
      <c r="F26" s="1342"/>
      <c r="G26" s="1342" t="s">
        <v>1511</v>
      </c>
      <c r="H26" s="1342"/>
      <c r="I26" s="308"/>
      <c r="J26" s="286"/>
      <c r="K26" s="283"/>
      <c r="L26" s="309"/>
      <c r="M26" s="310"/>
      <c r="N26" s="311"/>
      <c r="O26" s="311"/>
      <c r="P26" s="283"/>
      <c r="Q26" s="283"/>
      <c r="R26" s="283"/>
      <c r="S26" s="283"/>
      <c r="T26" s="283"/>
      <c r="U26" s="283"/>
      <c r="V26" s="283"/>
      <c r="W26" s="283"/>
      <c r="X26" s="283"/>
      <c r="Y26" s="283"/>
      <c r="Z26" s="283"/>
    </row>
    <row r="27" spans="1:26" s="260" customFormat="1">
      <c r="A27" s="283"/>
      <c r="B27" s="281"/>
      <c r="C27" s="281"/>
      <c r="D27" s="281"/>
      <c r="E27" s="281"/>
      <c r="F27" s="281"/>
      <c r="G27" s="281"/>
      <c r="H27" s="281"/>
      <c r="I27" s="283"/>
      <c r="K27" s="283"/>
      <c r="L27" s="309"/>
      <c r="M27" s="310"/>
      <c r="N27" s="311"/>
      <c r="O27" s="311"/>
      <c r="P27" s="283"/>
      <c r="Q27" s="283"/>
      <c r="R27" s="283"/>
      <c r="S27" s="283"/>
      <c r="T27" s="283"/>
      <c r="U27" s="283"/>
      <c r="V27" s="283"/>
      <c r="W27" s="283"/>
      <c r="X27" s="283"/>
      <c r="Y27" s="283"/>
      <c r="Z27" s="283"/>
    </row>
    <row r="28" spans="1:26" s="260" customFormat="1">
      <c r="A28" s="283"/>
      <c r="B28" s="281"/>
      <c r="C28" s="281"/>
      <c r="D28" s="281"/>
      <c r="E28" s="281"/>
      <c r="F28" s="281"/>
      <c r="G28" s="281"/>
      <c r="H28" s="281"/>
      <c r="I28" s="283"/>
      <c r="K28" s="283"/>
      <c r="L28" s="309"/>
      <c r="M28" s="310"/>
      <c r="N28" s="311"/>
      <c r="O28" s="311"/>
      <c r="P28" s="283"/>
      <c r="Q28" s="283"/>
      <c r="R28" s="283"/>
      <c r="S28" s="283"/>
      <c r="T28" s="283"/>
      <c r="U28" s="283"/>
      <c r="V28" s="283"/>
      <c r="W28" s="283"/>
      <c r="X28" s="283"/>
      <c r="Y28" s="283"/>
      <c r="Z28" s="283"/>
    </row>
    <row r="29" spans="1:26" s="260" customFormat="1">
      <c r="A29" s="283"/>
      <c r="B29" s="281"/>
      <c r="C29" s="281"/>
      <c r="D29" s="281"/>
      <c r="E29" s="281"/>
      <c r="F29" s="281"/>
      <c r="G29" s="281"/>
      <c r="H29" s="281"/>
      <c r="I29" s="283"/>
      <c r="K29" s="283"/>
      <c r="L29" s="309"/>
      <c r="M29" s="310"/>
      <c r="N29" s="311"/>
      <c r="O29" s="311"/>
      <c r="P29" s="283"/>
      <c r="Q29" s="283"/>
      <c r="R29" s="283"/>
      <c r="S29" s="283"/>
      <c r="T29" s="283"/>
      <c r="U29" s="283"/>
      <c r="V29" s="283"/>
      <c r="W29" s="283"/>
      <c r="X29" s="283"/>
      <c r="Y29" s="283"/>
      <c r="Z29" s="283"/>
    </row>
    <row r="30" spans="1:26" s="256" customFormat="1" ht="18">
      <c r="A30" s="281"/>
      <c r="B30" s="281"/>
      <c r="C30" s="281"/>
      <c r="D30" s="281"/>
      <c r="E30" s="281"/>
      <c r="F30" s="281"/>
      <c r="G30" s="284"/>
      <c r="H30" s="281"/>
      <c r="I30" s="281"/>
      <c r="K30" s="281"/>
      <c r="L30" s="288"/>
      <c r="M30" s="289"/>
      <c r="N30" s="290"/>
      <c r="O30" s="290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</row>
    <row r="31" spans="1:26" s="256" customFormat="1" ht="18">
      <c r="A31" s="281"/>
      <c r="B31" s="281"/>
      <c r="C31" s="281"/>
      <c r="D31" s="281"/>
      <c r="E31" s="281"/>
      <c r="F31" s="281"/>
      <c r="G31" s="284"/>
      <c r="H31" s="281"/>
      <c r="I31" s="281"/>
      <c r="K31" s="281"/>
      <c r="L31" s="288"/>
      <c r="M31" s="289"/>
      <c r="N31" s="290"/>
      <c r="O31" s="290"/>
      <c r="P31" s="281"/>
      <c r="Q31" s="281"/>
      <c r="R31" s="281"/>
      <c r="S31" s="281"/>
      <c r="T31" s="281"/>
      <c r="U31" s="281"/>
      <c r="V31" s="281"/>
      <c r="W31" s="281"/>
      <c r="X31" s="281"/>
      <c r="Y31" s="281"/>
      <c r="Z31" s="281"/>
    </row>
    <row r="32" spans="1:26" s="256" customFormat="1" ht="18">
      <c r="A32" s="281"/>
      <c r="B32" s="281"/>
      <c r="C32" s="281"/>
      <c r="D32" s="281"/>
      <c r="E32" s="281"/>
      <c r="F32" s="281"/>
      <c r="G32" s="284"/>
      <c r="H32" s="281"/>
      <c r="I32" s="281"/>
      <c r="K32" s="281"/>
      <c r="L32" s="288"/>
      <c r="M32" s="289"/>
      <c r="N32" s="290"/>
      <c r="O32" s="290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</row>
    <row r="33" spans="1:26" s="256" customFormat="1" ht="18">
      <c r="A33" s="1342" t="s">
        <v>1474</v>
      </c>
      <c r="B33" s="1342"/>
      <c r="C33" s="1342"/>
      <c r="D33" s="1342"/>
      <c r="E33" s="1342"/>
      <c r="F33" s="1342"/>
      <c r="G33" s="1448" t="s">
        <v>1473</v>
      </c>
      <c r="H33" s="1448"/>
      <c r="I33" s="308"/>
      <c r="J33" s="286"/>
      <c r="K33" s="281"/>
      <c r="L33" s="288"/>
      <c r="M33" s="289"/>
      <c r="N33" s="290"/>
      <c r="O33" s="290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</row>
    <row r="34" spans="1:26" s="256" customFormat="1" ht="18">
      <c r="A34" s="116"/>
      <c r="B34" s="116"/>
      <c r="C34" s="116"/>
      <c r="D34" s="116"/>
      <c r="E34" s="116"/>
      <c r="F34" s="116"/>
      <c r="G34" s="116"/>
      <c r="H34" s="116"/>
      <c r="I34" s="281"/>
      <c r="K34" s="281"/>
      <c r="L34" s="288"/>
      <c r="M34" s="289"/>
      <c r="N34" s="290"/>
      <c r="O34" s="290"/>
      <c r="P34" s="281"/>
      <c r="Q34" s="281"/>
      <c r="R34" s="281"/>
      <c r="S34" s="281"/>
      <c r="T34" s="281"/>
      <c r="U34" s="281"/>
      <c r="V34" s="281"/>
      <c r="W34" s="281"/>
      <c r="X34" s="281"/>
      <c r="Y34" s="281"/>
      <c r="Z34" s="281"/>
    </row>
    <row r="35" spans="1:26" s="261" customFormat="1" ht="21.75" customHeight="1">
      <c r="A35" s="1462" t="s">
        <v>1517</v>
      </c>
      <c r="B35" s="1462"/>
      <c r="C35" s="1462"/>
      <c r="D35" s="1462"/>
      <c r="E35" s="1462"/>
      <c r="F35" s="1462"/>
      <c r="G35" s="1462"/>
      <c r="H35" s="1462"/>
      <c r="I35" s="312"/>
      <c r="J35" s="313"/>
      <c r="K35" s="314"/>
      <c r="L35" s="315"/>
      <c r="M35" s="316"/>
      <c r="N35" s="317"/>
      <c r="O35" s="317"/>
      <c r="P35" s="314"/>
      <c r="Q35" s="314"/>
      <c r="R35" s="314"/>
      <c r="S35" s="314"/>
      <c r="T35" s="314"/>
      <c r="U35" s="314"/>
      <c r="V35" s="314"/>
      <c r="W35" s="314"/>
      <c r="X35" s="314"/>
      <c r="Y35" s="314"/>
      <c r="Z35" s="314"/>
    </row>
    <row r="36" spans="1:26" s="256" customFormat="1" ht="18.75" customHeight="1">
      <c r="A36" s="1463" t="s">
        <v>1518</v>
      </c>
      <c r="B36" s="1463"/>
      <c r="C36" s="1463"/>
      <c r="D36" s="1463"/>
      <c r="E36" s="1463"/>
      <c r="F36" s="1463"/>
      <c r="G36" s="1463"/>
      <c r="H36" s="1463"/>
      <c r="I36" s="318"/>
      <c r="J36" s="318"/>
      <c r="K36" s="281"/>
      <c r="L36" s="288"/>
      <c r="M36" s="289"/>
      <c r="N36" s="290"/>
      <c r="O36" s="290"/>
      <c r="P36" s="281"/>
      <c r="Q36" s="281"/>
      <c r="R36" s="281"/>
      <c r="S36" s="281"/>
      <c r="T36" s="281"/>
      <c r="U36" s="281"/>
      <c r="V36" s="281"/>
      <c r="W36" s="281"/>
      <c r="X36" s="281"/>
      <c r="Y36" s="281"/>
      <c r="Z36" s="281"/>
    </row>
    <row r="37" spans="1:26" s="256" customFormat="1" ht="18">
      <c r="A37" s="281"/>
      <c r="B37" s="281"/>
      <c r="C37" s="281"/>
      <c r="D37" s="281"/>
      <c r="E37" s="281"/>
      <c r="F37" s="281"/>
      <c r="G37" s="284"/>
      <c r="H37" s="281"/>
      <c r="I37" s="281"/>
      <c r="K37" s="281"/>
      <c r="L37" s="288"/>
      <c r="M37" s="289"/>
      <c r="N37" s="290"/>
      <c r="O37" s="290"/>
      <c r="P37" s="281"/>
      <c r="Q37" s="281"/>
      <c r="R37" s="281"/>
      <c r="S37" s="281"/>
      <c r="T37" s="281"/>
      <c r="U37" s="281"/>
      <c r="V37" s="281"/>
      <c r="W37" s="281"/>
      <c r="X37" s="281"/>
      <c r="Y37" s="281"/>
      <c r="Z37" s="281"/>
    </row>
    <row r="38" spans="1:26" s="256" customFormat="1" ht="18">
      <c r="G38" s="285"/>
      <c r="K38" s="281"/>
      <c r="L38" s="288"/>
      <c r="M38" s="289"/>
      <c r="N38" s="290"/>
      <c r="O38" s="290"/>
      <c r="P38" s="281"/>
      <c r="Q38" s="281"/>
      <c r="R38" s="281"/>
      <c r="S38" s="281"/>
      <c r="T38" s="281"/>
      <c r="U38" s="281"/>
      <c r="V38" s="281"/>
      <c r="W38" s="281"/>
      <c r="X38" s="281"/>
      <c r="Y38" s="281"/>
      <c r="Z38" s="281"/>
    </row>
    <row r="39" spans="1:26" s="256" customFormat="1" ht="18">
      <c r="G39" s="285"/>
      <c r="K39" s="281"/>
      <c r="L39" s="288"/>
      <c r="M39" s="289"/>
      <c r="N39" s="290"/>
      <c r="O39" s="290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</row>
    <row r="40" spans="1:26" s="256" customFormat="1" ht="18">
      <c r="G40" s="285"/>
      <c r="K40" s="281"/>
      <c r="L40" s="288"/>
      <c r="M40" s="289"/>
      <c r="N40" s="290"/>
      <c r="O40" s="290"/>
      <c r="P40" s="281"/>
      <c r="Q40" s="281"/>
      <c r="R40" s="281"/>
      <c r="S40" s="281"/>
      <c r="T40" s="281"/>
      <c r="U40" s="281"/>
      <c r="V40" s="281"/>
      <c r="W40" s="281"/>
      <c r="X40" s="281"/>
      <c r="Y40" s="281"/>
      <c r="Z40" s="281"/>
    </row>
    <row r="41" spans="1:26" s="256" customFormat="1" ht="18">
      <c r="G41" s="285"/>
      <c r="K41" s="281"/>
      <c r="L41" s="288"/>
      <c r="M41" s="289"/>
      <c r="N41" s="290"/>
      <c r="O41" s="290"/>
      <c r="P41" s="281"/>
      <c r="Q41" s="281"/>
      <c r="R41" s="281"/>
      <c r="S41" s="281"/>
      <c r="T41" s="281"/>
      <c r="U41" s="281"/>
      <c r="V41" s="281"/>
      <c r="W41" s="281"/>
      <c r="X41" s="281"/>
      <c r="Y41" s="281"/>
      <c r="Z41" s="281"/>
    </row>
    <row r="42" spans="1:26" s="256" customFormat="1" ht="18">
      <c r="A42" s="1438"/>
      <c r="B42" s="1438"/>
      <c r="C42" s="1438"/>
      <c r="D42" s="1438"/>
      <c r="F42" s="286"/>
      <c r="G42" s="286"/>
      <c r="H42" s="286"/>
      <c r="K42" s="281"/>
      <c r="L42" s="288"/>
      <c r="M42" s="289"/>
      <c r="N42" s="290"/>
      <c r="O42" s="290"/>
      <c r="P42" s="281"/>
      <c r="Q42" s="281"/>
      <c r="R42" s="281"/>
      <c r="S42" s="281"/>
      <c r="T42" s="281"/>
      <c r="U42" s="281"/>
      <c r="V42" s="281"/>
      <c r="W42" s="281"/>
      <c r="X42" s="281"/>
      <c r="Y42" s="281"/>
      <c r="Z42" s="281"/>
    </row>
  </sheetData>
  <mergeCells count="26">
    <mergeCell ref="A33:D33"/>
    <mergeCell ref="E33:F33"/>
    <mergeCell ref="G33:H33"/>
    <mergeCell ref="A35:H35"/>
    <mergeCell ref="A36:H36"/>
    <mergeCell ref="A42:D42"/>
    <mergeCell ref="A22:H22"/>
    <mergeCell ref="F24:H24"/>
    <mergeCell ref="A25:D25"/>
    <mergeCell ref="E25:F25"/>
    <mergeCell ref="G25:H25"/>
    <mergeCell ref="A26:D26"/>
    <mergeCell ref="E26:F26"/>
    <mergeCell ref="G26:H26"/>
    <mergeCell ref="A4:E4"/>
    <mergeCell ref="A5:H5"/>
    <mergeCell ref="A6:H6"/>
    <mergeCell ref="A7:H7"/>
    <mergeCell ref="A8:H8"/>
    <mergeCell ref="A21:H21"/>
    <mergeCell ref="A1:E1"/>
    <mergeCell ref="F1:H1"/>
    <mergeCell ref="A2:E2"/>
    <mergeCell ref="F2:H2"/>
    <mergeCell ref="A3:E3"/>
    <mergeCell ref="F3:H3"/>
  </mergeCells>
  <pageMargins left="0.62" right="0.56999999999999995" top="0.75" bottom="0.75" header="0.3" footer="0.3"/>
  <pageSetup paperSize="9" scale="7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A1F77-6D73-4EB4-AD58-59C7A5C6C9B3}">
  <sheetPr>
    <tabColor rgb="FF92D050"/>
    <pageSetUpPr autoPageBreaks="0"/>
  </sheetPr>
  <dimension ref="A1:HH512"/>
  <sheetViews>
    <sheetView view="pageBreakPreview" topLeftCell="A7" zoomScale="70" zoomScaleNormal="50" workbookViewId="0">
      <pane ySplit="9" topLeftCell="A498" activePane="bottomLeft" state="frozen"/>
      <selection pane="bottomLeft" activeCell="I504" sqref="I504:J504"/>
    </sheetView>
  </sheetViews>
  <sheetFormatPr defaultColWidth="8.69921875" defaultRowHeight="15.6"/>
  <cols>
    <col min="1" max="1" width="6.19921875" style="130" customWidth="1"/>
    <col min="2" max="3" width="18.3984375" style="130" hidden="1" customWidth="1"/>
    <col min="4" max="4" width="18.3984375" style="131" hidden="1" customWidth="1"/>
    <col min="5" max="5" width="14.19921875" style="130" customWidth="1"/>
    <col min="6" max="6" width="18.59765625" style="130" customWidth="1"/>
    <col min="7" max="7" width="7" style="130" customWidth="1"/>
    <col min="8" max="8" width="12.3984375" style="132" customWidth="1"/>
    <col min="9" max="10" width="10.19921875" style="132" customWidth="1"/>
    <col min="11" max="11" width="8.69921875" style="132" customWidth="1"/>
    <col min="12" max="12" width="10.8984375" style="132" customWidth="1"/>
    <col min="13" max="13" width="10.3984375" style="130" customWidth="1"/>
    <col min="14" max="14" width="7.3984375" style="130" customWidth="1"/>
    <col min="15" max="15" width="8.69921875" style="130" customWidth="1"/>
    <col min="16" max="16" width="9.19921875" style="130" customWidth="1"/>
    <col min="17" max="17" width="10.3984375" style="130" customWidth="1"/>
    <col min="18" max="18" width="9.09765625" style="133" customWidth="1"/>
    <col min="19" max="19" width="8.3984375" style="130" customWidth="1"/>
    <col min="20" max="21" width="11.69921875" style="130" hidden="1" customWidth="1"/>
    <col min="22" max="22" width="19.5" style="130" hidden="1" customWidth="1"/>
    <col min="23" max="23" width="22.3984375" style="134" hidden="1" customWidth="1"/>
    <col min="24" max="24" width="10.09765625" style="130" customWidth="1"/>
    <col min="25" max="25" width="12.8984375" style="130" customWidth="1"/>
    <col min="26" max="26" width="18.59765625" style="130" customWidth="1"/>
    <col min="27" max="27" width="12.3984375" style="130" hidden="1" customWidth="1"/>
    <col min="28" max="28" width="15.59765625" style="130" hidden="1" customWidth="1"/>
    <col min="29" max="29" width="10.69921875" style="130" hidden="1" customWidth="1"/>
    <col min="30" max="30" width="7.59765625" style="130" customWidth="1"/>
    <col min="31" max="31" width="9.3984375" style="132" customWidth="1"/>
    <col min="32" max="32" width="13" style="130" customWidth="1"/>
    <col min="33" max="33" width="4.59765625" style="130" customWidth="1"/>
    <col min="34" max="34" width="5.69921875" style="130" customWidth="1"/>
    <col min="35" max="35" width="10.3984375" style="130" customWidth="1"/>
    <col min="36" max="36" width="6.5" style="130" customWidth="1"/>
    <col min="37" max="37" width="5.19921875" style="130" customWidth="1"/>
    <col min="38" max="38" width="8.8984375" style="130" customWidth="1"/>
    <col min="39" max="41" width="11.69921875" style="135" bestFit="1" customWidth="1"/>
    <col min="42" max="42" width="11.3984375" style="135" customWidth="1"/>
    <col min="43" max="43" width="12.19921875" style="136" bestFit="1" customWidth="1"/>
    <col min="44" max="44" width="8.59765625" style="136" customWidth="1"/>
    <col min="45" max="45" width="15.09765625" style="136" customWidth="1"/>
    <col min="46" max="46" width="5.69921875" style="135" customWidth="1"/>
    <col min="47" max="47" width="7.8984375" style="135" customWidth="1"/>
    <col min="48" max="48" width="9.59765625" style="135" customWidth="1"/>
    <col min="49" max="49" width="7.09765625" style="135" customWidth="1"/>
    <col min="50" max="50" width="8.09765625" style="135" customWidth="1"/>
    <col min="51" max="51" width="10.3984375" style="135" customWidth="1"/>
    <col min="52" max="52" width="10.3984375" style="136" customWidth="1"/>
    <col min="53" max="53" width="16" style="135" bestFit="1" customWidth="1"/>
    <col min="54" max="54" width="10.5" style="135" customWidth="1"/>
    <col min="55" max="55" width="18" style="135" customWidth="1"/>
    <col min="56" max="56" width="16.5" style="135" customWidth="1"/>
    <col min="57" max="57" width="16.69921875" style="135" customWidth="1"/>
    <col min="58" max="58" width="22.3984375" style="130" customWidth="1"/>
    <col min="59" max="59" width="10.19921875" style="130" customWidth="1"/>
    <col min="60" max="60" width="8.3984375" style="130" customWidth="1"/>
    <col min="61" max="61" width="7" style="130" customWidth="1"/>
    <col min="62" max="62" width="6.59765625" style="130" customWidth="1"/>
    <col min="63" max="70" width="9" style="130" bestFit="1" customWidth="1"/>
    <col min="71" max="16384" width="8.69921875" style="130"/>
  </cols>
  <sheetData>
    <row r="1" spans="1:216" s="118" customFormat="1" ht="39" customHeight="1">
      <c r="A1" s="1469" t="s">
        <v>1538</v>
      </c>
      <c r="B1" s="1469"/>
      <c r="C1" s="1469"/>
      <c r="D1" s="1469"/>
      <c r="E1" s="1469"/>
      <c r="F1" s="1469"/>
      <c r="G1" s="1469"/>
      <c r="H1" s="1469"/>
      <c r="I1" s="1469"/>
      <c r="J1" s="1469"/>
      <c r="K1" s="1469"/>
      <c r="L1" s="1469"/>
      <c r="M1" s="1469"/>
      <c r="N1" s="137"/>
      <c r="O1" s="137"/>
      <c r="P1" s="160"/>
      <c r="Q1" s="160"/>
      <c r="R1" s="1470" t="s">
        <v>1539</v>
      </c>
      <c r="S1" s="1470"/>
      <c r="T1" s="1470"/>
      <c r="U1" s="1470"/>
      <c r="V1" s="1470"/>
      <c r="W1" s="1470"/>
      <c r="X1" s="1470"/>
      <c r="Y1" s="1470"/>
      <c r="Z1" s="169"/>
      <c r="AA1" s="160"/>
    </row>
    <row r="2" spans="1:216" s="118" customFormat="1" ht="33" customHeight="1">
      <c r="A2" s="1471" t="s">
        <v>1476</v>
      </c>
      <c r="B2" s="1471"/>
      <c r="C2" s="1471"/>
      <c r="D2" s="1471"/>
      <c r="E2" s="1471"/>
      <c r="F2" s="1471"/>
      <c r="G2" s="1471"/>
      <c r="H2" s="1471"/>
      <c r="I2" s="1471"/>
      <c r="J2" s="1471"/>
      <c r="K2" s="1471"/>
      <c r="L2" s="1471"/>
      <c r="M2" s="1471"/>
      <c r="N2" s="161"/>
      <c r="O2" s="161"/>
      <c r="P2" s="160"/>
      <c r="Q2" s="160"/>
      <c r="R2" s="1470" t="s">
        <v>1520</v>
      </c>
      <c r="S2" s="1470"/>
      <c r="T2" s="1470"/>
      <c r="U2" s="1470"/>
      <c r="V2" s="1470"/>
      <c r="W2" s="1470"/>
      <c r="X2" s="1470"/>
      <c r="Y2" s="1470"/>
      <c r="Z2" s="169"/>
      <c r="AA2" s="160"/>
    </row>
    <row r="3" spans="1:216" s="118" customFormat="1" ht="20.399999999999999">
      <c r="A3" s="1472" t="s">
        <v>1540</v>
      </c>
      <c r="B3" s="1472"/>
      <c r="C3" s="1472"/>
      <c r="D3" s="1472"/>
      <c r="E3" s="1472"/>
      <c r="F3" s="1472"/>
      <c r="G3" s="1472"/>
      <c r="H3" s="1472"/>
      <c r="I3" s="1472"/>
      <c r="J3" s="1472"/>
      <c r="K3" s="1472"/>
      <c r="L3" s="1472"/>
      <c r="M3" s="1472"/>
      <c r="N3" s="138"/>
      <c r="O3" s="138"/>
      <c r="P3" s="162"/>
      <c r="Q3" s="162"/>
      <c r="R3" s="170"/>
      <c r="S3" s="162"/>
      <c r="T3" s="162"/>
      <c r="U3" s="162"/>
      <c r="V3" s="162"/>
      <c r="W3" s="171"/>
      <c r="X3" s="162"/>
      <c r="Y3" s="162"/>
      <c r="Z3" s="164"/>
      <c r="AA3" s="162"/>
    </row>
    <row r="4" spans="1:216" s="119" customFormat="1" ht="15.75" customHeight="1">
      <c r="A4" s="139"/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63"/>
      <c r="O4" s="163"/>
      <c r="P4" s="164"/>
      <c r="Q4" s="164"/>
      <c r="R4" s="172"/>
      <c r="S4" s="164"/>
      <c r="T4" s="164"/>
      <c r="U4" s="164"/>
      <c r="V4" s="164"/>
      <c r="W4" s="173"/>
      <c r="X4" s="164"/>
      <c r="Y4" s="164"/>
      <c r="Z4" s="164"/>
      <c r="AA4" s="188"/>
    </row>
    <row r="5" spans="1:216" s="119" customFormat="1" ht="0.75" customHeight="1">
      <c r="A5" s="140"/>
      <c r="B5" s="140"/>
      <c r="C5" s="140"/>
      <c r="D5" s="141"/>
      <c r="E5" s="140"/>
      <c r="F5" s="140"/>
      <c r="G5" s="140"/>
      <c r="H5" s="142"/>
      <c r="I5" s="142"/>
      <c r="J5" s="142"/>
      <c r="K5" s="142"/>
      <c r="L5" s="142"/>
      <c r="M5" s="142"/>
      <c r="N5" s="142"/>
      <c r="O5" s="142"/>
      <c r="P5" s="140"/>
      <c r="Q5" s="140"/>
      <c r="R5" s="174"/>
      <c r="S5" s="140"/>
      <c r="T5" s="140"/>
      <c r="U5" s="140"/>
      <c r="V5" s="140"/>
      <c r="W5" s="175"/>
      <c r="X5" s="140"/>
      <c r="Y5" s="189"/>
      <c r="Z5" s="189"/>
      <c r="AA5" s="190"/>
    </row>
    <row r="6" spans="1:216" s="119" customFormat="1" ht="34.950000000000003" customHeight="1">
      <c r="A6" s="1473" t="s">
        <v>1541</v>
      </c>
      <c r="B6" s="1473"/>
      <c r="C6" s="1473"/>
      <c r="D6" s="1473"/>
      <c r="E6" s="1473"/>
      <c r="F6" s="1473"/>
      <c r="G6" s="1473"/>
      <c r="H6" s="1473"/>
      <c r="I6" s="1473"/>
      <c r="J6" s="1473"/>
      <c r="K6" s="1473"/>
      <c r="L6" s="1473"/>
      <c r="M6" s="1473"/>
      <c r="N6" s="1473"/>
      <c r="O6" s="1473"/>
      <c r="P6" s="1473"/>
      <c r="Q6" s="1473"/>
      <c r="R6" s="1473"/>
      <c r="S6" s="1473"/>
      <c r="T6" s="1473"/>
      <c r="U6" s="1473"/>
      <c r="V6" s="1473"/>
      <c r="W6" s="1473"/>
      <c r="X6" s="1473"/>
      <c r="Y6" s="1473"/>
      <c r="Z6" s="143"/>
      <c r="AA6" s="191"/>
      <c r="AB6" s="191"/>
      <c r="AC6" s="191"/>
      <c r="AD6" s="191"/>
      <c r="AE6" s="191"/>
      <c r="AF6" s="191"/>
      <c r="AG6" s="191"/>
      <c r="AH6" s="191"/>
      <c r="AI6" s="191"/>
      <c r="AJ6" s="191"/>
      <c r="AK6" s="191"/>
      <c r="AL6" s="191"/>
      <c r="AM6" s="191"/>
      <c r="AN6" s="191"/>
      <c r="AO6" s="191"/>
      <c r="AP6" s="191"/>
      <c r="AQ6" s="191"/>
      <c r="AR6" s="191"/>
      <c r="AS6" s="191"/>
      <c r="AT6" s="191"/>
      <c r="AU6" s="191"/>
      <c r="AV6" s="191"/>
      <c r="AW6" s="191"/>
      <c r="AX6" s="191"/>
      <c r="AY6" s="191"/>
      <c r="AZ6" s="191"/>
      <c r="BA6" s="191"/>
      <c r="BB6" s="191"/>
      <c r="BC6" s="191"/>
      <c r="BD6" s="191"/>
      <c r="BE6" s="191"/>
      <c r="BF6" s="191"/>
      <c r="BG6" s="191"/>
      <c r="BH6" s="191"/>
      <c r="BI6" s="191"/>
      <c r="BJ6" s="191"/>
      <c r="BK6" s="191"/>
      <c r="BL6" s="191"/>
      <c r="BM6" s="191"/>
      <c r="BN6" s="191"/>
      <c r="BO6" s="191"/>
      <c r="BP6" s="191"/>
      <c r="BQ6" s="191"/>
      <c r="BR6" s="191"/>
      <c r="BS6" s="191"/>
      <c r="BT6" s="191"/>
      <c r="BU6" s="191"/>
      <c r="BV6" s="191"/>
      <c r="BW6" s="191"/>
      <c r="BX6" s="191"/>
      <c r="BY6" s="191"/>
      <c r="BZ6" s="191"/>
      <c r="CA6" s="191"/>
      <c r="CB6" s="191"/>
      <c r="CC6" s="191"/>
      <c r="CD6" s="191"/>
      <c r="CE6" s="191"/>
      <c r="CF6" s="191"/>
      <c r="CG6" s="191"/>
      <c r="CH6" s="191"/>
      <c r="CI6" s="191"/>
      <c r="CJ6" s="191"/>
      <c r="CK6" s="191"/>
      <c r="CL6" s="191"/>
      <c r="CM6" s="191"/>
      <c r="CN6" s="191"/>
      <c r="CO6" s="191"/>
      <c r="CP6" s="191"/>
      <c r="CQ6" s="191"/>
      <c r="CR6" s="191"/>
      <c r="CS6" s="191"/>
      <c r="CT6" s="191"/>
      <c r="CU6" s="191"/>
      <c r="CV6" s="191"/>
      <c r="CW6" s="191"/>
      <c r="CX6" s="191"/>
      <c r="CY6" s="191"/>
      <c r="CZ6" s="191"/>
      <c r="DA6" s="191"/>
      <c r="DB6" s="191"/>
      <c r="DC6" s="191"/>
      <c r="DD6" s="191"/>
      <c r="DE6" s="191"/>
      <c r="DF6" s="191"/>
      <c r="DG6" s="191"/>
      <c r="DH6" s="191"/>
      <c r="DI6" s="191"/>
      <c r="DJ6" s="191"/>
      <c r="DK6" s="191"/>
      <c r="DL6" s="191"/>
      <c r="DM6" s="191"/>
      <c r="DN6" s="191"/>
      <c r="DO6" s="191"/>
      <c r="DP6" s="191"/>
      <c r="DQ6" s="191"/>
      <c r="DR6" s="191"/>
      <c r="DS6" s="191"/>
      <c r="DT6" s="191"/>
      <c r="DU6" s="191"/>
      <c r="DV6" s="191"/>
      <c r="DW6" s="191"/>
      <c r="DX6" s="191"/>
      <c r="DY6" s="191"/>
      <c r="DZ6" s="191"/>
      <c r="EA6" s="191"/>
      <c r="EB6" s="191"/>
      <c r="EC6" s="191"/>
      <c r="ED6" s="191"/>
      <c r="EE6" s="191"/>
      <c r="EF6" s="191"/>
      <c r="EG6" s="191"/>
      <c r="EH6" s="191"/>
      <c r="EI6" s="191"/>
      <c r="EJ6" s="191"/>
      <c r="EK6" s="191"/>
      <c r="EL6" s="191"/>
      <c r="EM6" s="191"/>
      <c r="EN6" s="191"/>
      <c r="EO6" s="191"/>
      <c r="EP6" s="191"/>
      <c r="EQ6" s="191"/>
      <c r="ER6" s="191"/>
      <c r="ES6" s="191"/>
      <c r="ET6" s="191"/>
      <c r="EU6" s="191"/>
      <c r="EV6" s="191"/>
      <c r="EW6" s="191"/>
      <c r="EX6" s="191"/>
      <c r="EY6" s="191"/>
      <c r="EZ6" s="191"/>
      <c r="FA6" s="191"/>
      <c r="FB6" s="191"/>
      <c r="FC6" s="191"/>
      <c r="FD6" s="191"/>
      <c r="FE6" s="191"/>
      <c r="FF6" s="191"/>
      <c r="FG6" s="191"/>
      <c r="FH6" s="191"/>
      <c r="FI6" s="191"/>
      <c r="FJ6" s="191"/>
      <c r="FK6" s="191"/>
      <c r="FL6" s="191"/>
      <c r="FM6" s="191"/>
      <c r="FN6" s="191"/>
      <c r="FO6" s="191"/>
      <c r="FP6" s="191"/>
      <c r="FQ6" s="191"/>
      <c r="FR6" s="191"/>
      <c r="FS6" s="191"/>
      <c r="FT6" s="191"/>
      <c r="FU6" s="191"/>
      <c r="FV6" s="191"/>
      <c r="FW6" s="191"/>
      <c r="FX6" s="191"/>
      <c r="FY6" s="191"/>
      <c r="FZ6" s="191"/>
      <c r="GA6" s="191"/>
      <c r="GB6" s="191"/>
      <c r="GC6" s="191"/>
      <c r="GD6" s="191"/>
      <c r="GE6" s="191"/>
      <c r="GF6" s="191"/>
      <c r="GG6" s="191"/>
      <c r="GH6" s="191"/>
      <c r="GI6" s="191"/>
      <c r="GJ6" s="191"/>
      <c r="GK6" s="191"/>
      <c r="GL6" s="191"/>
      <c r="GM6" s="191"/>
      <c r="GN6" s="191"/>
      <c r="GO6" s="191"/>
      <c r="GP6" s="191"/>
      <c r="GQ6" s="191"/>
      <c r="GR6" s="191"/>
      <c r="GS6" s="191"/>
      <c r="GT6" s="191"/>
      <c r="GU6" s="191"/>
      <c r="GV6" s="191"/>
      <c r="GW6" s="191"/>
      <c r="GX6" s="191"/>
      <c r="GY6" s="191"/>
      <c r="GZ6" s="191"/>
      <c r="HA6" s="191"/>
      <c r="HB6" s="191"/>
      <c r="HC6" s="191"/>
      <c r="HD6" s="191"/>
      <c r="HE6" s="191"/>
      <c r="HF6" s="191"/>
      <c r="HG6" s="191"/>
      <c r="HH6" s="191"/>
    </row>
    <row r="7" spans="1:216" s="120" customFormat="1" ht="22.8">
      <c r="A7" s="1477" t="s">
        <v>1542</v>
      </c>
      <c r="B7" s="1477"/>
      <c r="C7" s="1477"/>
      <c r="D7" s="1477"/>
      <c r="E7" s="1477"/>
      <c r="F7" s="1477"/>
      <c r="G7" s="1477"/>
      <c r="H7" s="1477"/>
      <c r="I7" s="1477"/>
      <c r="J7" s="1477"/>
      <c r="K7" s="1477"/>
      <c r="L7" s="1477"/>
      <c r="M7" s="1477"/>
      <c r="N7" s="1477"/>
      <c r="O7" s="1477"/>
      <c r="P7" s="1477"/>
      <c r="Q7" s="1477"/>
      <c r="R7" s="1477"/>
      <c r="S7" s="1477"/>
      <c r="T7" s="1477"/>
      <c r="U7" s="1477"/>
      <c r="V7" s="1477"/>
      <c r="W7" s="1477"/>
      <c r="X7" s="1477"/>
      <c r="Y7" s="1477"/>
      <c r="Z7" s="144"/>
      <c r="AA7" s="192"/>
      <c r="AB7" s="192"/>
      <c r="AC7" s="192"/>
      <c r="AD7" s="192"/>
      <c r="AE7" s="192"/>
      <c r="AF7" s="192"/>
      <c r="AG7" s="192"/>
      <c r="AH7" s="192"/>
      <c r="AI7" s="192"/>
      <c r="AJ7" s="192"/>
      <c r="AK7" s="192"/>
      <c r="AL7" s="192"/>
      <c r="AM7" s="192"/>
      <c r="AN7" s="192"/>
      <c r="AO7" s="192"/>
      <c r="AP7" s="192"/>
      <c r="AQ7" s="192"/>
      <c r="AR7" s="192"/>
      <c r="AS7" s="192"/>
      <c r="AT7" s="192"/>
      <c r="AU7" s="192"/>
      <c r="AV7" s="192"/>
      <c r="AW7" s="192"/>
      <c r="AX7" s="192"/>
      <c r="AY7" s="192"/>
      <c r="AZ7" s="192"/>
      <c r="BA7" s="192"/>
      <c r="BB7" s="192"/>
      <c r="BC7" s="192"/>
      <c r="BD7" s="192"/>
      <c r="BE7" s="192"/>
      <c r="BF7" s="192"/>
      <c r="BG7" s="192"/>
      <c r="BH7" s="192"/>
      <c r="BI7" s="192"/>
      <c r="BJ7" s="192"/>
      <c r="BK7" s="192"/>
      <c r="BL7" s="192"/>
      <c r="BM7" s="192"/>
      <c r="BN7" s="192"/>
      <c r="BO7" s="192"/>
      <c r="BP7" s="192"/>
      <c r="BQ7" s="192"/>
      <c r="BR7" s="192"/>
      <c r="BS7" s="192"/>
      <c r="BT7" s="192"/>
      <c r="BU7" s="192"/>
      <c r="BV7" s="192"/>
      <c r="BW7" s="192"/>
      <c r="BX7" s="192"/>
      <c r="BY7" s="192"/>
      <c r="BZ7" s="192"/>
      <c r="CA7" s="192"/>
      <c r="CB7" s="192"/>
      <c r="CC7" s="192"/>
      <c r="CD7" s="192"/>
      <c r="CE7" s="192"/>
      <c r="CF7" s="192"/>
      <c r="CG7" s="192"/>
      <c r="CH7" s="192"/>
      <c r="CI7" s="192"/>
      <c r="CJ7" s="192"/>
      <c r="CK7" s="192"/>
      <c r="CL7" s="192"/>
      <c r="CM7" s="192"/>
      <c r="CN7" s="192"/>
      <c r="CO7" s="192"/>
      <c r="CP7" s="192"/>
      <c r="CQ7" s="192"/>
      <c r="CR7" s="192"/>
      <c r="CS7" s="192"/>
      <c r="CT7" s="192"/>
      <c r="CU7" s="192"/>
      <c r="CV7" s="192"/>
      <c r="CW7" s="192"/>
      <c r="CX7" s="192"/>
      <c r="CY7" s="192"/>
      <c r="CZ7" s="192"/>
      <c r="DA7" s="192"/>
      <c r="DB7" s="192"/>
      <c r="DC7" s="192"/>
      <c r="DD7" s="192"/>
      <c r="DE7" s="192"/>
      <c r="DF7" s="192"/>
      <c r="DG7" s="192"/>
      <c r="DH7" s="192"/>
      <c r="DI7" s="192"/>
      <c r="DJ7" s="192"/>
      <c r="DK7" s="192"/>
      <c r="DL7" s="192"/>
      <c r="DM7" s="192"/>
      <c r="DN7" s="192"/>
      <c r="DO7" s="192"/>
      <c r="DP7" s="192"/>
      <c r="DQ7" s="192"/>
      <c r="DR7" s="192"/>
      <c r="DS7" s="192"/>
      <c r="DT7" s="192"/>
      <c r="DU7" s="192"/>
      <c r="DV7" s="192"/>
      <c r="DW7" s="192"/>
      <c r="DX7" s="192"/>
      <c r="DY7" s="192"/>
      <c r="DZ7" s="192"/>
      <c r="EA7" s="192"/>
      <c r="EB7" s="192"/>
      <c r="EC7" s="192"/>
      <c r="ED7" s="192"/>
      <c r="EE7" s="192"/>
      <c r="EF7" s="192"/>
      <c r="EG7" s="192"/>
      <c r="EH7" s="192"/>
      <c r="EI7" s="192"/>
      <c r="EJ7" s="192"/>
      <c r="EK7" s="192"/>
      <c r="EL7" s="192"/>
      <c r="EM7" s="192"/>
      <c r="EN7" s="192"/>
      <c r="EO7" s="192"/>
      <c r="EP7" s="192"/>
      <c r="EQ7" s="192"/>
      <c r="ER7" s="192"/>
      <c r="ES7" s="192"/>
      <c r="ET7" s="192"/>
      <c r="EU7" s="192"/>
      <c r="EV7" s="192"/>
      <c r="EW7" s="192"/>
      <c r="EX7" s="192"/>
      <c r="EY7" s="192"/>
      <c r="EZ7" s="192"/>
      <c r="FA7" s="192"/>
      <c r="FB7" s="192"/>
      <c r="FC7" s="192"/>
      <c r="FD7" s="192"/>
      <c r="FE7" s="192"/>
      <c r="FF7" s="192"/>
      <c r="FG7" s="192"/>
      <c r="FH7" s="192"/>
      <c r="FI7" s="192"/>
      <c r="FJ7" s="192"/>
      <c r="FK7" s="192"/>
      <c r="FL7" s="192"/>
      <c r="FM7" s="192"/>
      <c r="FN7" s="192"/>
      <c r="FO7" s="192"/>
      <c r="FP7" s="192"/>
      <c r="FQ7" s="192"/>
      <c r="FR7" s="192"/>
      <c r="FS7" s="192"/>
      <c r="FT7" s="192"/>
      <c r="FU7" s="192"/>
      <c r="FV7" s="192"/>
      <c r="FW7" s="192"/>
      <c r="FX7" s="192"/>
      <c r="FY7" s="192"/>
      <c r="FZ7" s="192"/>
      <c r="GA7" s="192"/>
      <c r="GB7" s="192"/>
      <c r="GC7" s="192"/>
      <c r="GD7" s="192"/>
      <c r="GE7" s="192"/>
      <c r="GF7" s="192"/>
      <c r="GG7" s="192"/>
      <c r="GH7" s="192"/>
      <c r="GI7" s="192"/>
      <c r="GJ7" s="192"/>
      <c r="GK7" s="192"/>
      <c r="GL7" s="192"/>
      <c r="GM7" s="192"/>
      <c r="GN7" s="192"/>
      <c r="GO7" s="192"/>
      <c r="GP7" s="192"/>
      <c r="GQ7" s="192"/>
      <c r="GR7" s="192"/>
      <c r="GS7" s="192"/>
      <c r="GT7" s="192"/>
      <c r="GU7" s="192"/>
      <c r="GV7" s="192"/>
      <c r="GW7" s="192"/>
      <c r="GX7" s="192"/>
      <c r="GY7" s="192"/>
      <c r="GZ7" s="192"/>
      <c r="HA7" s="192"/>
      <c r="HB7" s="192"/>
      <c r="HC7" s="192"/>
      <c r="HD7" s="192"/>
      <c r="HE7" s="192"/>
      <c r="HF7" s="192"/>
      <c r="HG7" s="192"/>
      <c r="HH7" s="192"/>
    </row>
    <row r="8" spans="1:216" s="120" customFormat="1" ht="22.8">
      <c r="A8" s="1478" t="s">
        <v>1543</v>
      </c>
      <c r="B8" s="1478"/>
      <c r="C8" s="1478"/>
      <c r="D8" s="1478"/>
      <c r="E8" s="1478"/>
      <c r="F8" s="1478"/>
      <c r="G8" s="1478"/>
      <c r="H8" s="1478"/>
      <c r="I8" s="1478"/>
      <c r="J8" s="1478"/>
      <c r="K8" s="1478"/>
      <c r="L8" s="1478"/>
      <c r="M8" s="1478"/>
      <c r="N8" s="1478"/>
      <c r="O8" s="1478"/>
      <c r="P8" s="1478"/>
      <c r="Q8" s="1478"/>
      <c r="R8" s="1478"/>
      <c r="S8" s="1478"/>
      <c r="T8" s="1478"/>
      <c r="U8" s="1478"/>
      <c r="V8" s="1478"/>
      <c r="W8" s="1478"/>
      <c r="X8" s="1478"/>
      <c r="Y8" s="1478"/>
      <c r="Z8" s="145"/>
      <c r="AA8" s="145"/>
    </row>
    <row r="9" spans="1:216" s="120" customFormat="1" ht="22.8">
      <c r="A9" s="1478" t="s">
        <v>1482</v>
      </c>
      <c r="B9" s="1478"/>
      <c r="C9" s="1478"/>
      <c r="D9" s="1478"/>
      <c r="E9" s="1478"/>
      <c r="F9" s="1478"/>
      <c r="G9" s="1478"/>
      <c r="H9" s="1478"/>
      <c r="I9" s="1478"/>
      <c r="J9" s="1478"/>
      <c r="K9" s="1478"/>
      <c r="L9" s="1478"/>
      <c r="M9" s="1478"/>
      <c r="N9" s="1478"/>
      <c r="O9" s="1478"/>
      <c r="P9" s="1478"/>
      <c r="Q9" s="1478"/>
      <c r="R9" s="1478"/>
      <c r="S9" s="1478"/>
      <c r="T9" s="1478"/>
      <c r="U9" s="1478"/>
      <c r="V9" s="1478"/>
      <c r="W9" s="1478"/>
      <c r="X9" s="1478"/>
      <c r="Y9" s="1478"/>
      <c r="Z9" s="145"/>
      <c r="AA9" s="193"/>
    </row>
    <row r="10" spans="1:216" s="119" customFormat="1" ht="18.75" customHeight="1">
      <c r="A10" s="146"/>
      <c r="B10" s="146"/>
      <c r="C10" s="146"/>
      <c r="D10" s="147"/>
      <c r="E10" s="146"/>
      <c r="F10" s="146"/>
      <c r="G10" s="146"/>
      <c r="H10" s="148"/>
      <c r="I10" s="148"/>
      <c r="J10" s="148"/>
      <c r="K10" s="148"/>
      <c r="L10" s="148"/>
      <c r="M10" s="148"/>
      <c r="N10" s="148"/>
      <c r="O10" s="148"/>
      <c r="P10" s="146"/>
      <c r="Q10" s="146"/>
      <c r="R10" s="176"/>
      <c r="S10" s="146"/>
      <c r="T10" s="146"/>
      <c r="U10" s="146"/>
      <c r="V10" s="146"/>
      <c r="W10" s="177"/>
      <c r="X10" s="146"/>
      <c r="Y10" s="194"/>
      <c r="Z10" s="194"/>
      <c r="AA10" s="146"/>
    </row>
    <row r="11" spans="1:216" s="121" customFormat="1" ht="31.2" customHeight="1">
      <c r="A11" s="1488" t="s">
        <v>1544</v>
      </c>
      <c r="B11" s="1466" t="s">
        <v>1410</v>
      </c>
      <c r="C11" s="1492" t="s">
        <v>1411</v>
      </c>
      <c r="D11" s="1495" t="s">
        <v>1412</v>
      </c>
      <c r="E11" s="1492" t="s">
        <v>1545</v>
      </c>
      <c r="F11" s="1466" t="s">
        <v>1546</v>
      </c>
      <c r="G11" s="1466" t="s">
        <v>1547</v>
      </c>
      <c r="H11" s="1479" t="s">
        <v>1548</v>
      </c>
      <c r="I11" s="1480"/>
      <c r="J11" s="1480"/>
      <c r="K11" s="1480"/>
      <c r="L11" s="1480"/>
      <c r="M11" s="1480"/>
      <c r="N11" s="1480"/>
      <c r="O11" s="1480"/>
      <c r="P11" s="1480"/>
      <c r="Q11" s="1480"/>
      <c r="R11" s="1480"/>
      <c r="S11" s="1480"/>
      <c r="T11" s="1480"/>
      <c r="U11" s="1480"/>
      <c r="V11" s="178"/>
      <c r="W11" s="1503" t="s">
        <v>1549</v>
      </c>
      <c r="X11" s="1466" t="s">
        <v>1550</v>
      </c>
      <c r="Y11" s="1506" t="s">
        <v>1551</v>
      </c>
      <c r="Z11" s="195"/>
      <c r="AA11" s="1509"/>
    </row>
    <row r="12" spans="1:216" s="121" customFormat="1" ht="30.6" customHeight="1">
      <c r="A12" s="1489"/>
      <c r="B12" s="1467"/>
      <c r="C12" s="1493"/>
      <c r="D12" s="1496"/>
      <c r="E12" s="1493"/>
      <c r="F12" s="1467"/>
      <c r="G12" s="1467"/>
      <c r="H12" s="1481" t="s">
        <v>1552</v>
      </c>
      <c r="I12" s="1482"/>
      <c r="J12" s="1482"/>
      <c r="K12" s="1482"/>
      <c r="L12" s="1482"/>
      <c r="M12" s="1483"/>
      <c r="N12" s="1484" t="s">
        <v>1313</v>
      </c>
      <c r="O12" s="1485"/>
      <c r="P12" s="1464" t="s">
        <v>1553</v>
      </c>
      <c r="Q12" s="1486"/>
      <c r="R12" s="1464" t="s">
        <v>1501</v>
      </c>
      <c r="S12" s="1486"/>
      <c r="T12" s="1464" t="s">
        <v>1554</v>
      </c>
      <c r="U12" s="1465"/>
      <c r="V12" s="179"/>
      <c r="W12" s="1504"/>
      <c r="X12" s="1467"/>
      <c r="Y12" s="1507"/>
      <c r="Z12" s="195"/>
      <c r="AA12" s="1509"/>
    </row>
    <row r="13" spans="1:216" s="122" customFormat="1" ht="57" customHeight="1">
      <c r="A13" s="1490"/>
      <c r="B13" s="1491"/>
      <c r="C13" s="1494"/>
      <c r="D13" s="1497"/>
      <c r="E13" s="1498"/>
      <c r="F13" s="1468"/>
      <c r="G13" s="1491"/>
      <c r="H13" s="149" t="s">
        <v>1555</v>
      </c>
      <c r="I13" s="149" t="s">
        <v>1556</v>
      </c>
      <c r="J13" s="149" t="s">
        <v>1555</v>
      </c>
      <c r="K13" s="149" t="s">
        <v>1556</v>
      </c>
      <c r="L13" s="149" t="s">
        <v>1555</v>
      </c>
      <c r="M13" s="149" t="s">
        <v>1556</v>
      </c>
      <c r="N13" s="165" t="s">
        <v>1557</v>
      </c>
      <c r="O13" s="149" t="s">
        <v>1556</v>
      </c>
      <c r="P13" s="149" t="s">
        <v>1555</v>
      </c>
      <c r="Q13" s="149" t="s">
        <v>1556</v>
      </c>
      <c r="R13" s="180" t="s">
        <v>1555</v>
      </c>
      <c r="S13" s="149" t="s">
        <v>1556</v>
      </c>
      <c r="T13" s="181" t="s">
        <v>1558</v>
      </c>
      <c r="U13" s="181" t="s">
        <v>1559</v>
      </c>
      <c r="V13" s="181" t="s">
        <v>1560</v>
      </c>
      <c r="W13" s="1505"/>
      <c r="X13" s="1491"/>
      <c r="Y13" s="1508"/>
      <c r="Z13" s="197"/>
      <c r="AA13" s="1509"/>
    </row>
    <row r="14" spans="1:216" s="123" customFormat="1" ht="33.6" customHeight="1">
      <c r="A14" s="1499"/>
      <c r="B14" s="1500"/>
      <c r="C14" s="1500"/>
      <c r="D14" s="1500"/>
      <c r="E14" s="1500"/>
      <c r="F14" s="1500"/>
      <c r="G14" s="150"/>
      <c r="H14" s="151"/>
      <c r="I14" s="151">
        <v>455</v>
      </c>
      <c r="J14" s="151"/>
      <c r="K14" s="151">
        <v>505</v>
      </c>
      <c r="L14" s="151"/>
      <c r="M14" s="150">
        <v>555</v>
      </c>
      <c r="N14" s="150"/>
      <c r="O14" s="150">
        <v>17000</v>
      </c>
      <c r="P14" s="150"/>
      <c r="Q14" s="182">
        <v>16000</v>
      </c>
      <c r="R14" s="183"/>
      <c r="S14" s="184">
        <v>1000</v>
      </c>
      <c r="T14" s="184"/>
      <c r="U14" s="150">
        <v>8000</v>
      </c>
      <c r="V14" s="150"/>
      <c r="W14" s="184"/>
      <c r="X14" s="150"/>
      <c r="Y14" s="198"/>
      <c r="Z14" s="199"/>
      <c r="AA14" s="196"/>
    </row>
    <row r="15" spans="1:216" s="123" customFormat="1" ht="29.4" hidden="1" customHeight="1">
      <c r="A15" s="1501"/>
      <c r="B15" s="1502"/>
      <c r="C15" s="1502"/>
      <c r="D15" s="1502"/>
      <c r="E15" s="1502"/>
      <c r="F15" s="1502"/>
      <c r="G15" s="152"/>
      <c r="H15" s="153"/>
      <c r="I15" s="153"/>
      <c r="J15" s="153"/>
      <c r="K15" s="153"/>
      <c r="L15" s="153"/>
      <c r="M15" s="152"/>
      <c r="N15" s="152"/>
      <c r="O15" s="152"/>
      <c r="P15" s="166"/>
      <c r="Q15" s="152"/>
      <c r="R15" s="185"/>
      <c r="S15" s="186"/>
      <c r="T15" s="186"/>
      <c r="U15" s="186"/>
      <c r="V15" s="186"/>
      <c r="W15" s="187"/>
      <c r="X15" s="152"/>
      <c r="Y15" s="200"/>
      <c r="Z15" s="199" t="s">
        <v>270</v>
      </c>
      <c r="AA15" s="196" t="s">
        <v>1561</v>
      </c>
    </row>
    <row r="16" spans="1:216" s="124" customFormat="1" ht="35.4" customHeight="1">
      <c r="A16" s="154">
        <v>1</v>
      </c>
      <c r="B16" s="155">
        <f>'Tên Tháng 1'!B4</f>
        <v>33030</v>
      </c>
      <c r="C16" s="155" t="str">
        <f>'Tên Tháng 1'!C4</f>
        <v>ស្រី</v>
      </c>
      <c r="D16" s="156">
        <f>'Tên Tháng 1'!D4</f>
        <v>150429518</v>
      </c>
      <c r="E16" s="155" t="str">
        <f>'Tên Tháng 1'!E4</f>
        <v>ឆែម ហុង</v>
      </c>
      <c r="F16" s="157" t="str">
        <f>'Tên Tháng 1'!F4</f>
        <v>CHHEM HONG</v>
      </c>
      <c r="G16" s="158">
        <v>1</v>
      </c>
      <c r="H16" s="159"/>
      <c r="I16" s="159">
        <f>ROUND(H16*$I$14/31947,2)</f>
        <v>0</v>
      </c>
      <c r="J16" s="159"/>
      <c r="K16" s="159">
        <f t="shared" ref="K16:K79" si="0">ROUND(J16*$K$14/31947,2)</f>
        <v>0</v>
      </c>
      <c r="L16" s="159">
        <f>'SAN LUONG'!AE9</f>
        <v>315.48</v>
      </c>
      <c r="M16" s="159">
        <f>ROUND(L16*$M$14/31947,2)</f>
        <v>5.48</v>
      </c>
      <c r="N16" s="167">
        <f>'CHAM CONG'!AR8</f>
        <v>0</v>
      </c>
      <c r="O16" s="159">
        <f>ROUND(N16*$O$14/31947,2)</f>
        <v>0</v>
      </c>
      <c r="P16" s="159">
        <f>'CHAM CONG'!AQ8</f>
        <v>10</v>
      </c>
      <c r="Q16" s="159">
        <f>ROUND(P16*$Q$14/31947,2)</f>
        <v>5.01</v>
      </c>
      <c r="R16" s="159">
        <f>P16</f>
        <v>10</v>
      </c>
      <c r="S16" s="159">
        <f>ROUND(R16*$S$14/31947,2)</f>
        <v>0.31</v>
      </c>
      <c r="T16" s="159"/>
      <c r="U16" s="159">
        <f t="shared" ref="U16:U35" si="1">ROUND(T16*$U$14/31947,2)</f>
        <v>0</v>
      </c>
      <c r="V16" s="159">
        <f t="shared" ref="V16:V35" si="2">ROUND(U16*30456,0)</f>
        <v>0</v>
      </c>
      <c r="W16" s="159"/>
      <c r="X16" s="159">
        <f>I16+K16+M16+Q16+S16+O16</f>
        <v>10.8</v>
      </c>
      <c r="Y16" s="201"/>
      <c r="Z16" s="199" t="s">
        <v>270</v>
      </c>
      <c r="AA16" s="202">
        <v>10.8</v>
      </c>
      <c r="AB16" s="203">
        <f>ROUND(AA16-X16,2)</f>
        <v>0</v>
      </c>
      <c r="AC16" s="124">
        <v>0.01</v>
      </c>
    </row>
    <row r="17" spans="1:29" s="124" customFormat="1" ht="35.4" customHeight="1">
      <c r="A17" s="154">
        <v>2</v>
      </c>
      <c r="B17" s="155">
        <f>'Tên Tháng 1'!B5</f>
        <v>35982</v>
      </c>
      <c r="C17" s="155" t="str">
        <f>'Tên Tháng 1'!C5</f>
        <v>ប្រុស</v>
      </c>
      <c r="D17" s="156">
        <f>'Tên Tháng 1'!D5</f>
        <v>220140698</v>
      </c>
      <c r="E17" s="155" t="str">
        <f>'Tên Tháng 1'!E5</f>
        <v>សុទ្ធ សីថា</v>
      </c>
      <c r="F17" s="157" t="str">
        <f>'Tên Tháng 1'!F5</f>
        <v>SOT SEYTHA</v>
      </c>
      <c r="G17" s="158">
        <v>2</v>
      </c>
      <c r="H17" s="159"/>
      <c r="I17" s="159">
        <f t="shared" ref="I17:I80" si="3">ROUND(H17*$I$14/31947,2)</f>
        <v>0</v>
      </c>
      <c r="J17" s="159"/>
      <c r="K17" s="159">
        <f t="shared" si="0"/>
        <v>0</v>
      </c>
      <c r="L17" s="159">
        <f>'SAN LUONG'!AE10</f>
        <v>455.4</v>
      </c>
      <c r="M17" s="159">
        <f t="shared" ref="M17:M80" si="4">ROUND(L17*$M$14/31947,2)</f>
        <v>7.91</v>
      </c>
      <c r="N17" s="167">
        <f>'CHAM CONG'!AR9</f>
        <v>0</v>
      </c>
      <c r="O17" s="159">
        <f t="shared" ref="O17:O80" si="5">ROUND(N17*$O$14/31947,2)</f>
        <v>0</v>
      </c>
      <c r="P17" s="159">
        <f>'CHAM CONG'!AQ9</f>
        <v>13</v>
      </c>
      <c r="Q17" s="159">
        <f t="shared" ref="Q17:Q80" si="6">ROUND(P17*$Q$14/31947,2)</f>
        <v>6.51</v>
      </c>
      <c r="R17" s="159">
        <f>P17</f>
        <v>13</v>
      </c>
      <c r="S17" s="159">
        <f t="shared" ref="S17:S80" si="7">ROUND(R17*$S$14/31947,2)</f>
        <v>0.41</v>
      </c>
      <c r="T17" s="159"/>
      <c r="U17" s="159">
        <f t="shared" si="1"/>
        <v>0</v>
      </c>
      <c r="V17" s="159">
        <f t="shared" si="2"/>
        <v>0</v>
      </c>
      <c r="W17" s="159"/>
      <c r="X17" s="159">
        <f t="shared" ref="X17:X80" si="8">I17+K17+M17+Q17+S17+O17</f>
        <v>14.83</v>
      </c>
      <c r="Y17" s="201"/>
      <c r="Z17" s="199" t="s">
        <v>270</v>
      </c>
      <c r="AA17" s="202">
        <v>14.83</v>
      </c>
      <c r="AB17" s="203">
        <f t="shared" ref="AB17:AB80" si="9">ROUND(AA17-X17,2)</f>
        <v>0</v>
      </c>
      <c r="AC17" s="124">
        <v>0</v>
      </c>
    </row>
    <row r="18" spans="1:29" s="124" customFormat="1" ht="35.4" customHeight="1">
      <c r="A18" s="154">
        <v>3</v>
      </c>
      <c r="B18" s="155">
        <f>'Tên Tháng 1'!B6</f>
        <v>38457</v>
      </c>
      <c r="C18" s="155" t="str">
        <f>'Tên Tháng 1'!C6</f>
        <v>ប្រុស</v>
      </c>
      <c r="D18" s="156">
        <f>'Tên Tháng 1'!D6</f>
        <v>151027370</v>
      </c>
      <c r="E18" s="155" t="str">
        <f>'Tên Tháng 1'!E6</f>
        <v>រ៉ន ចាន់រាជ</v>
      </c>
      <c r="F18" s="157" t="str">
        <f>'Tên Tháng 1'!F6</f>
        <v>RORN CHANREACH</v>
      </c>
      <c r="G18" s="158">
        <v>3</v>
      </c>
      <c r="H18" s="159"/>
      <c r="I18" s="159">
        <f t="shared" si="3"/>
        <v>0</v>
      </c>
      <c r="J18" s="159"/>
      <c r="K18" s="159">
        <f t="shared" si="0"/>
        <v>0</v>
      </c>
      <c r="L18" s="159">
        <f>'SAN LUONG'!AE11</f>
        <v>560.12</v>
      </c>
      <c r="M18" s="159">
        <f t="shared" si="4"/>
        <v>9.73</v>
      </c>
      <c r="N18" s="167">
        <f>'CHAM CONG'!AR10</f>
        <v>1</v>
      </c>
      <c r="O18" s="159">
        <f t="shared" si="5"/>
        <v>0.53</v>
      </c>
      <c r="P18" s="159">
        <f>'CHAM CONG'!AQ10</f>
        <v>14</v>
      </c>
      <c r="Q18" s="159">
        <f t="shared" si="6"/>
        <v>7.01</v>
      </c>
      <c r="R18" s="159">
        <f t="shared" ref="R18:R81" si="10">P18</f>
        <v>14</v>
      </c>
      <c r="S18" s="159">
        <f t="shared" si="7"/>
        <v>0.44</v>
      </c>
      <c r="T18" s="159"/>
      <c r="U18" s="159">
        <f t="shared" si="1"/>
        <v>0</v>
      </c>
      <c r="V18" s="159">
        <f t="shared" si="2"/>
        <v>0</v>
      </c>
      <c r="W18" s="159"/>
      <c r="X18" s="159">
        <f t="shared" si="8"/>
        <v>17.710000000000004</v>
      </c>
      <c r="Y18" s="201"/>
      <c r="Z18" s="199" t="s">
        <v>270</v>
      </c>
      <c r="AA18" s="202">
        <v>17.71</v>
      </c>
      <c r="AB18" s="203">
        <f t="shared" si="9"/>
        <v>0</v>
      </c>
      <c r="AC18" s="124">
        <v>0.04</v>
      </c>
    </row>
    <row r="19" spans="1:29" s="124" customFormat="1" ht="35.4" customHeight="1">
      <c r="A19" s="154">
        <v>4</v>
      </c>
      <c r="B19" s="155">
        <f>'Tên Tháng 1'!B7</f>
        <v>36175</v>
      </c>
      <c r="C19" s="155" t="str">
        <f>'Tên Tháng 1'!C7</f>
        <v>ស្រី</v>
      </c>
      <c r="D19" s="156" t="str">
        <f>'Tên Tháng 1'!D7</f>
        <v>150815265</v>
      </c>
      <c r="E19" s="155" t="str">
        <f>'Tên Tháng 1'!E7</f>
        <v>ណំ ធីងធីង</v>
      </c>
      <c r="F19" s="157" t="str">
        <f>'Tên Tháng 1'!F7</f>
        <v>NON THING THING</v>
      </c>
      <c r="G19" s="158">
        <v>4</v>
      </c>
      <c r="H19" s="159"/>
      <c r="I19" s="159">
        <f t="shared" si="3"/>
        <v>0</v>
      </c>
      <c r="J19" s="159"/>
      <c r="K19" s="159">
        <f t="shared" si="0"/>
        <v>0</v>
      </c>
      <c r="L19" s="159">
        <f>'SAN LUONG'!AE12</f>
        <v>426.8</v>
      </c>
      <c r="M19" s="159">
        <f t="shared" si="4"/>
        <v>7.41</v>
      </c>
      <c r="N19" s="167">
        <f>'CHAM CONG'!AR11</f>
        <v>0</v>
      </c>
      <c r="O19" s="159">
        <f t="shared" si="5"/>
        <v>0</v>
      </c>
      <c r="P19" s="159">
        <f>'CHAM CONG'!AQ11</f>
        <v>13</v>
      </c>
      <c r="Q19" s="159">
        <f t="shared" si="6"/>
        <v>6.51</v>
      </c>
      <c r="R19" s="159">
        <f t="shared" si="10"/>
        <v>13</v>
      </c>
      <c r="S19" s="159">
        <f t="shared" si="7"/>
        <v>0.41</v>
      </c>
      <c r="T19" s="159"/>
      <c r="U19" s="159">
        <f t="shared" si="1"/>
        <v>0</v>
      </c>
      <c r="V19" s="159">
        <f t="shared" si="2"/>
        <v>0</v>
      </c>
      <c r="W19" s="159"/>
      <c r="X19" s="159">
        <f t="shared" si="8"/>
        <v>14.33</v>
      </c>
      <c r="Y19" s="201"/>
      <c r="Z19" s="199" t="s">
        <v>270</v>
      </c>
      <c r="AA19" s="202">
        <v>14.33</v>
      </c>
      <c r="AB19" s="203">
        <f t="shared" si="9"/>
        <v>0</v>
      </c>
      <c r="AC19" s="124">
        <v>0.01</v>
      </c>
    </row>
    <row r="20" spans="1:29" s="124" customFormat="1" ht="35.4" customHeight="1">
      <c r="A20" s="154">
        <v>5</v>
      </c>
      <c r="B20" s="155">
        <f>'Tên Tháng 1'!B9</f>
        <v>35986</v>
      </c>
      <c r="C20" s="155" t="str">
        <f>'Tên Tháng 1'!C9</f>
        <v>ប្រុស</v>
      </c>
      <c r="D20" s="156">
        <f>'Tên Tháng 1'!D9</f>
        <v>220152906</v>
      </c>
      <c r="E20" s="155" t="str">
        <f>'Tên Tháng 1'!E8</f>
        <v>វ៉ាន់ បូរ៉ុង</v>
      </c>
      <c r="F20" s="157" t="str">
        <f>'Tên Tháng 1'!F8</f>
        <v>VANN BORONG</v>
      </c>
      <c r="G20" s="158">
        <v>5</v>
      </c>
      <c r="H20" s="159"/>
      <c r="I20" s="159">
        <f t="shared" si="3"/>
        <v>0</v>
      </c>
      <c r="J20" s="159"/>
      <c r="K20" s="159">
        <f t="shared" si="0"/>
        <v>0</v>
      </c>
      <c r="L20" s="159">
        <f>'SAN LUONG'!AE13</f>
        <v>521.4</v>
      </c>
      <c r="M20" s="159">
        <f t="shared" si="4"/>
        <v>9.06</v>
      </c>
      <c r="N20" s="167">
        <f>'CHAM CONG'!AR12</f>
        <v>1</v>
      </c>
      <c r="O20" s="159">
        <f t="shared" si="5"/>
        <v>0.53</v>
      </c>
      <c r="P20" s="159">
        <f>'CHAM CONG'!AQ12</f>
        <v>14</v>
      </c>
      <c r="Q20" s="159">
        <f t="shared" si="6"/>
        <v>7.01</v>
      </c>
      <c r="R20" s="159">
        <f t="shared" si="10"/>
        <v>14</v>
      </c>
      <c r="S20" s="159">
        <f t="shared" si="7"/>
        <v>0.44</v>
      </c>
      <c r="T20" s="159"/>
      <c r="U20" s="159">
        <f t="shared" si="1"/>
        <v>0</v>
      </c>
      <c r="V20" s="159">
        <f t="shared" si="2"/>
        <v>0</v>
      </c>
      <c r="W20" s="159"/>
      <c r="X20" s="159">
        <f t="shared" si="8"/>
        <v>17.040000000000003</v>
      </c>
      <c r="Y20" s="201"/>
      <c r="Z20" s="199" t="s">
        <v>270</v>
      </c>
      <c r="AA20" s="202">
        <v>17.04</v>
      </c>
      <c r="AB20" s="203">
        <f t="shared" si="9"/>
        <v>0</v>
      </c>
      <c r="AC20" s="124">
        <v>0</v>
      </c>
    </row>
    <row r="21" spans="1:29" s="124" customFormat="1" ht="35.4" customHeight="1">
      <c r="A21" s="154">
        <v>6</v>
      </c>
      <c r="B21" s="155">
        <f>'Tên Tháng 1'!B10</f>
        <v>36651</v>
      </c>
      <c r="C21" s="155" t="str">
        <f>'Tên Tháng 1'!C10</f>
        <v>ប្រុស</v>
      </c>
      <c r="D21" s="156">
        <f>'Tên Tháng 1'!D10</f>
        <v>220175364</v>
      </c>
      <c r="E21" s="155" t="str">
        <f>'Tên Tháng 1'!E9</f>
        <v>យឿង សុខជា</v>
      </c>
      <c r="F21" s="157" t="str">
        <f>'Tên Tháng 1'!F9</f>
        <v>YOEUNG SOKCHEA</v>
      </c>
      <c r="G21" s="158">
        <v>6</v>
      </c>
      <c r="H21" s="159"/>
      <c r="I21" s="159">
        <f t="shared" si="3"/>
        <v>0</v>
      </c>
      <c r="J21" s="159"/>
      <c r="K21" s="159">
        <f t="shared" si="0"/>
        <v>0</v>
      </c>
      <c r="L21" s="159">
        <f>'SAN LUONG'!AE14</f>
        <v>499.84</v>
      </c>
      <c r="M21" s="159">
        <f t="shared" si="4"/>
        <v>8.68</v>
      </c>
      <c r="N21" s="167">
        <f>'CHAM CONG'!AR13</f>
        <v>0</v>
      </c>
      <c r="O21" s="159">
        <f t="shared" si="5"/>
        <v>0</v>
      </c>
      <c r="P21" s="159">
        <f>'CHAM CONG'!AQ13</f>
        <v>13</v>
      </c>
      <c r="Q21" s="159">
        <f t="shared" si="6"/>
        <v>6.51</v>
      </c>
      <c r="R21" s="159">
        <f t="shared" si="10"/>
        <v>13</v>
      </c>
      <c r="S21" s="159">
        <f t="shared" si="7"/>
        <v>0.41</v>
      </c>
      <c r="T21" s="159"/>
      <c r="U21" s="159">
        <f t="shared" si="1"/>
        <v>0</v>
      </c>
      <c r="V21" s="159">
        <f t="shared" si="2"/>
        <v>0</v>
      </c>
      <c r="W21" s="159"/>
      <c r="X21" s="159">
        <f t="shared" si="8"/>
        <v>15.6</v>
      </c>
      <c r="Y21" s="201"/>
      <c r="Z21" s="199" t="s">
        <v>270</v>
      </c>
      <c r="AA21" s="202">
        <v>15.6</v>
      </c>
      <c r="AB21" s="203">
        <f t="shared" si="9"/>
        <v>0</v>
      </c>
      <c r="AC21" s="124">
        <v>0.01</v>
      </c>
    </row>
    <row r="22" spans="1:29" s="124" customFormat="1" ht="35.4" customHeight="1">
      <c r="A22" s="154">
        <v>7</v>
      </c>
      <c r="B22" s="155">
        <f>'Tên Tháng 1'!B11</f>
        <v>35950</v>
      </c>
      <c r="C22" s="155" t="str">
        <f>'Tên Tháng 1'!C11</f>
        <v>ប្រុស</v>
      </c>
      <c r="D22" s="156">
        <f>'Tên Tháng 1'!D11</f>
        <v>220209900</v>
      </c>
      <c r="E22" s="155" t="str">
        <f>'Tên Tháng 1'!E10</f>
        <v>អួន សុភាព</v>
      </c>
      <c r="F22" s="157" t="str">
        <f>'Tên Tháng 1'!F10</f>
        <v>OURN SOPHEAP</v>
      </c>
      <c r="G22" s="158">
        <v>7</v>
      </c>
      <c r="H22" s="159"/>
      <c r="I22" s="159">
        <f t="shared" si="3"/>
        <v>0</v>
      </c>
      <c r="J22" s="159"/>
      <c r="K22" s="159">
        <f t="shared" si="0"/>
        <v>0</v>
      </c>
      <c r="L22" s="159">
        <f>'SAN LUONG'!AE15</f>
        <v>389.4</v>
      </c>
      <c r="M22" s="159">
        <f t="shared" si="4"/>
        <v>6.76</v>
      </c>
      <c r="N22" s="167">
        <f>'CHAM CONG'!AR14</f>
        <v>1</v>
      </c>
      <c r="O22" s="159">
        <f t="shared" si="5"/>
        <v>0.53</v>
      </c>
      <c r="P22" s="159">
        <f>'CHAM CONG'!AQ14</f>
        <v>12</v>
      </c>
      <c r="Q22" s="159">
        <f t="shared" si="6"/>
        <v>6.01</v>
      </c>
      <c r="R22" s="159">
        <f t="shared" si="10"/>
        <v>12</v>
      </c>
      <c r="S22" s="159">
        <f t="shared" si="7"/>
        <v>0.38</v>
      </c>
      <c r="T22" s="159"/>
      <c r="U22" s="159">
        <f t="shared" si="1"/>
        <v>0</v>
      </c>
      <c r="V22" s="159">
        <f t="shared" si="2"/>
        <v>0</v>
      </c>
      <c r="W22" s="159"/>
      <c r="X22" s="159">
        <f t="shared" si="8"/>
        <v>13.68</v>
      </c>
      <c r="Y22" s="201"/>
      <c r="Z22" s="199" t="s">
        <v>270</v>
      </c>
      <c r="AA22" s="202">
        <v>13.68</v>
      </c>
      <c r="AB22" s="203">
        <f t="shared" si="9"/>
        <v>0</v>
      </c>
      <c r="AC22" s="124">
        <v>0.04</v>
      </c>
    </row>
    <row r="23" spans="1:29" s="124" customFormat="1" ht="35.4" customHeight="1">
      <c r="A23" s="154">
        <v>8</v>
      </c>
      <c r="B23" s="155">
        <f>'Tên Tháng 1'!B12</f>
        <v>36447</v>
      </c>
      <c r="C23" s="155" t="str">
        <f>'Tên Tháng 1'!C12</f>
        <v>ប្រុស</v>
      </c>
      <c r="D23" s="156">
        <f>'Tên Tháng 1'!D12</f>
        <v>150789799</v>
      </c>
      <c r="E23" s="155" t="str">
        <f>'Tên Tháng 1'!E11</f>
        <v>ភួន ភី</v>
      </c>
      <c r="F23" s="157" t="str">
        <f>'Tên Tháng 1'!F11</f>
        <v>PHUON PHY</v>
      </c>
      <c r="G23" s="158">
        <v>8</v>
      </c>
      <c r="H23" s="159"/>
      <c r="I23" s="159">
        <f t="shared" si="3"/>
        <v>0</v>
      </c>
      <c r="J23" s="159"/>
      <c r="K23" s="159">
        <f t="shared" si="0"/>
        <v>0</v>
      </c>
      <c r="L23" s="159">
        <f>'SAN LUONG'!AE16</f>
        <v>472.56</v>
      </c>
      <c r="M23" s="159">
        <f t="shared" si="4"/>
        <v>8.2100000000000009</v>
      </c>
      <c r="N23" s="167">
        <f>'CHAM CONG'!AR15</f>
        <v>0</v>
      </c>
      <c r="O23" s="159">
        <f t="shared" si="5"/>
        <v>0</v>
      </c>
      <c r="P23" s="159">
        <f>'CHAM CONG'!AQ15</f>
        <v>13</v>
      </c>
      <c r="Q23" s="159">
        <f t="shared" si="6"/>
        <v>6.51</v>
      </c>
      <c r="R23" s="159">
        <f t="shared" si="10"/>
        <v>13</v>
      </c>
      <c r="S23" s="159">
        <f t="shared" si="7"/>
        <v>0.41</v>
      </c>
      <c r="T23" s="159"/>
      <c r="U23" s="159">
        <f t="shared" si="1"/>
        <v>0</v>
      </c>
      <c r="V23" s="159">
        <f t="shared" si="2"/>
        <v>0</v>
      </c>
      <c r="W23" s="159"/>
      <c r="X23" s="159">
        <f t="shared" si="8"/>
        <v>15.13</v>
      </c>
      <c r="Y23" s="201"/>
      <c r="Z23" s="199" t="s">
        <v>270</v>
      </c>
      <c r="AA23" s="202">
        <v>15.13</v>
      </c>
      <c r="AB23" s="203">
        <f t="shared" si="9"/>
        <v>0</v>
      </c>
      <c r="AC23" s="124">
        <v>0.01</v>
      </c>
    </row>
    <row r="24" spans="1:29" s="124" customFormat="1" ht="35.4" customHeight="1">
      <c r="A24" s="154">
        <v>9</v>
      </c>
      <c r="B24" s="155">
        <f>'Tên Tháng 1'!B13</f>
        <v>38244</v>
      </c>
      <c r="C24" s="155" t="str">
        <f>'Tên Tháng 1'!C13</f>
        <v>ស្រី</v>
      </c>
      <c r="D24" s="156">
        <f>'Tên Tháng 1'!D13</f>
        <v>150983095</v>
      </c>
      <c r="E24" s="155" t="str">
        <f>'Tên Tháng 1'!E12</f>
        <v>ទូ គុលា</v>
      </c>
      <c r="F24" s="157" t="str">
        <f>'Tên Tháng 1'!F12</f>
        <v>TO TOKLA</v>
      </c>
      <c r="G24" s="158">
        <v>9</v>
      </c>
      <c r="H24" s="159"/>
      <c r="I24" s="159">
        <f t="shared" si="3"/>
        <v>0</v>
      </c>
      <c r="J24" s="159"/>
      <c r="K24" s="159">
        <f t="shared" si="0"/>
        <v>0</v>
      </c>
      <c r="L24" s="159">
        <f>'SAN LUONG'!AE17</f>
        <v>247.28</v>
      </c>
      <c r="M24" s="159">
        <f t="shared" si="4"/>
        <v>4.3</v>
      </c>
      <c r="N24" s="167">
        <f>'CHAM CONG'!AR16</f>
        <v>0</v>
      </c>
      <c r="O24" s="159">
        <f t="shared" si="5"/>
        <v>0</v>
      </c>
      <c r="P24" s="159">
        <f>'CHAM CONG'!AQ16</f>
        <v>12</v>
      </c>
      <c r="Q24" s="159">
        <f t="shared" si="6"/>
        <v>6.01</v>
      </c>
      <c r="R24" s="159">
        <f t="shared" si="10"/>
        <v>12</v>
      </c>
      <c r="S24" s="159">
        <f t="shared" si="7"/>
        <v>0.38</v>
      </c>
      <c r="T24" s="159"/>
      <c r="U24" s="159">
        <f t="shared" si="1"/>
        <v>0</v>
      </c>
      <c r="V24" s="159">
        <f t="shared" si="2"/>
        <v>0</v>
      </c>
      <c r="W24" s="159"/>
      <c r="X24" s="159">
        <f t="shared" si="8"/>
        <v>10.69</v>
      </c>
      <c r="Y24" s="201"/>
      <c r="Z24" s="199" t="s">
        <v>270</v>
      </c>
      <c r="AA24" s="202">
        <v>10.68</v>
      </c>
      <c r="AB24" s="203">
        <f t="shared" si="9"/>
        <v>-0.01</v>
      </c>
      <c r="AC24" s="124">
        <v>0</v>
      </c>
    </row>
    <row r="25" spans="1:29" s="124" customFormat="1" ht="35.4" customHeight="1">
      <c r="A25" s="154">
        <v>10</v>
      </c>
      <c r="B25" s="155">
        <f>'Tên Tháng 1'!B14</f>
        <v>29073</v>
      </c>
      <c r="C25" s="155" t="str">
        <f>'Tên Tháng 1'!C14</f>
        <v>ស្រី</v>
      </c>
      <c r="D25" s="156">
        <f>'Tên Tháng 1'!D14</f>
        <v>150814730</v>
      </c>
      <c r="E25" s="155" t="str">
        <f>'Tên Tháng 1'!E13</f>
        <v>ណំ សិទ្ធិ</v>
      </c>
      <c r="F25" s="157" t="str">
        <f>'Tên Tháng 1'!F13</f>
        <v>NOM SITH</v>
      </c>
      <c r="G25" s="158">
        <v>10</v>
      </c>
      <c r="H25" s="159"/>
      <c r="I25" s="159">
        <f t="shared" si="3"/>
        <v>0</v>
      </c>
      <c r="J25" s="159"/>
      <c r="K25" s="159">
        <f t="shared" si="0"/>
        <v>0</v>
      </c>
      <c r="L25" s="159">
        <f>'SAN LUONG'!AE18</f>
        <v>517.44000000000005</v>
      </c>
      <c r="M25" s="159">
        <f t="shared" si="4"/>
        <v>8.99</v>
      </c>
      <c r="N25" s="167">
        <f>'CHAM CONG'!AR17</f>
        <v>0</v>
      </c>
      <c r="O25" s="159">
        <f t="shared" si="5"/>
        <v>0</v>
      </c>
      <c r="P25" s="159">
        <f>'CHAM CONG'!AQ17</f>
        <v>13</v>
      </c>
      <c r="Q25" s="159">
        <f t="shared" si="6"/>
        <v>6.51</v>
      </c>
      <c r="R25" s="159">
        <f t="shared" si="10"/>
        <v>13</v>
      </c>
      <c r="S25" s="159">
        <f t="shared" si="7"/>
        <v>0.41</v>
      </c>
      <c r="T25" s="159"/>
      <c r="U25" s="159">
        <f t="shared" si="1"/>
        <v>0</v>
      </c>
      <c r="V25" s="159">
        <f t="shared" si="2"/>
        <v>0</v>
      </c>
      <c r="W25" s="159"/>
      <c r="X25" s="159">
        <f t="shared" si="8"/>
        <v>15.91</v>
      </c>
      <c r="Y25" s="201"/>
      <c r="Z25" s="199" t="s">
        <v>270</v>
      </c>
      <c r="AA25" s="202">
        <v>15.91</v>
      </c>
      <c r="AB25" s="203">
        <f t="shared" si="9"/>
        <v>0</v>
      </c>
      <c r="AC25" s="124">
        <v>0.04</v>
      </c>
    </row>
    <row r="26" spans="1:29" s="124" customFormat="1" ht="35.4" customHeight="1">
      <c r="A26" s="154">
        <v>11</v>
      </c>
      <c r="B26" s="155">
        <f>'Tên Tháng 1'!B15</f>
        <v>29082</v>
      </c>
      <c r="C26" s="155" t="str">
        <f>'Tên Tháng 1'!C15</f>
        <v>ស្រី</v>
      </c>
      <c r="D26" s="156">
        <f>'Tên Tháng 1'!D15</f>
        <v>150427542</v>
      </c>
      <c r="E26" s="155" t="str">
        <f>'Tên Tháng 1'!E14</f>
        <v>ធ្លក រាន់</v>
      </c>
      <c r="F26" s="157" t="str">
        <f>'Tên Tháng 1'!F14</f>
        <v>THLOK ROIN</v>
      </c>
      <c r="G26" s="158">
        <v>11</v>
      </c>
      <c r="H26" s="159"/>
      <c r="I26" s="159">
        <f t="shared" si="3"/>
        <v>0</v>
      </c>
      <c r="J26" s="159"/>
      <c r="K26" s="159">
        <f t="shared" si="0"/>
        <v>0</v>
      </c>
      <c r="L26" s="159">
        <f>'SAN LUONG'!AE19</f>
        <v>321.2</v>
      </c>
      <c r="M26" s="159">
        <f t="shared" si="4"/>
        <v>5.58</v>
      </c>
      <c r="N26" s="167">
        <f>'CHAM CONG'!AR18</f>
        <v>0</v>
      </c>
      <c r="O26" s="159">
        <f t="shared" si="5"/>
        <v>0</v>
      </c>
      <c r="P26" s="159">
        <f>'CHAM CONG'!AQ18</f>
        <v>12</v>
      </c>
      <c r="Q26" s="159">
        <f t="shared" si="6"/>
        <v>6.01</v>
      </c>
      <c r="R26" s="159">
        <f t="shared" si="10"/>
        <v>12</v>
      </c>
      <c r="S26" s="159">
        <f t="shared" si="7"/>
        <v>0.38</v>
      </c>
      <c r="T26" s="159"/>
      <c r="U26" s="159">
        <f t="shared" si="1"/>
        <v>0</v>
      </c>
      <c r="V26" s="159">
        <f t="shared" si="2"/>
        <v>0</v>
      </c>
      <c r="W26" s="159"/>
      <c r="X26" s="159">
        <f t="shared" si="8"/>
        <v>11.97</v>
      </c>
      <c r="Y26" s="201"/>
      <c r="Z26" s="199" t="s">
        <v>270</v>
      </c>
      <c r="AA26" s="202">
        <v>11.97</v>
      </c>
      <c r="AB26" s="203">
        <f t="shared" si="9"/>
        <v>0</v>
      </c>
      <c r="AC26" s="124">
        <v>0.04</v>
      </c>
    </row>
    <row r="27" spans="1:29" s="124" customFormat="1" ht="35.4" customHeight="1">
      <c r="A27" s="154">
        <v>12</v>
      </c>
      <c r="B27" s="155"/>
      <c r="C27" s="155"/>
      <c r="D27" s="156"/>
      <c r="E27" s="155" t="str">
        <f>'Tên Tháng 1'!E15</f>
        <v>យ៉ែម ឃឿន</v>
      </c>
      <c r="F27" s="157" t="str">
        <f>'Tên Tháng 1'!F15</f>
        <v>YEM KHOEUN</v>
      </c>
      <c r="G27" s="158">
        <v>12</v>
      </c>
      <c r="H27" s="159"/>
      <c r="I27" s="159">
        <f t="shared" si="3"/>
        <v>0</v>
      </c>
      <c r="J27" s="159"/>
      <c r="K27" s="159">
        <f t="shared" si="0"/>
        <v>0</v>
      </c>
      <c r="L27" s="159">
        <f>'SAN LUONG'!AE20</f>
        <v>238.92</v>
      </c>
      <c r="M27" s="159">
        <f t="shared" si="4"/>
        <v>4.1500000000000004</v>
      </c>
      <c r="N27" s="167">
        <f>'CHAM CONG'!AR19</f>
        <v>0</v>
      </c>
      <c r="O27" s="159">
        <f t="shared" si="5"/>
        <v>0</v>
      </c>
      <c r="P27" s="159">
        <f>'CHAM CONG'!AQ19</f>
        <v>12</v>
      </c>
      <c r="Q27" s="159">
        <f t="shared" si="6"/>
        <v>6.01</v>
      </c>
      <c r="R27" s="159">
        <f t="shared" si="10"/>
        <v>12</v>
      </c>
      <c r="S27" s="159">
        <f t="shared" si="7"/>
        <v>0.38</v>
      </c>
      <c r="T27" s="159"/>
      <c r="U27" s="159">
        <f t="shared" si="1"/>
        <v>0</v>
      </c>
      <c r="V27" s="159">
        <f t="shared" si="2"/>
        <v>0</v>
      </c>
      <c r="W27" s="159"/>
      <c r="X27" s="159">
        <f t="shared" si="8"/>
        <v>10.540000000000001</v>
      </c>
      <c r="Y27" s="201"/>
      <c r="Z27" s="199" t="s">
        <v>270</v>
      </c>
      <c r="AA27" s="202">
        <v>10.54</v>
      </c>
      <c r="AB27" s="203">
        <f t="shared" si="9"/>
        <v>0</v>
      </c>
      <c r="AC27" s="124">
        <v>0.01</v>
      </c>
    </row>
    <row r="28" spans="1:29" s="124" customFormat="1" ht="35.4" customHeight="1">
      <c r="A28" s="154">
        <v>13</v>
      </c>
      <c r="B28" s="155">
        <f>'Tên Tháng 1'!B17</f>
        <v>34127</v>
      </c>
      <c r="C28" s="155" t="str">
        <f>'Tên Tháng 1'!C17</f>
        <v>ប្រុស</v>
      </c>
      <c r="D28" s="156">
        <f>'Tên Tháng 1'!D17</f>
        <v>150468345</v>
      </c>
      <c r="E28" s="155" t="str">
        <f>'Tên Tháng 1'!E16</f>
        <v>យឿង រ៉ាឌី</v>
      </c>
      <c r="F28" s="157" t="str">
        <f>'Tên Tháng 1'!F16</f>
        <v>YOEUNG RADIN</v>
      </c>
      <c r="G28" s="158">
        <v>13</v>
      </c>
      <c r="H28" s="159"/>
      <c r="I28" s="159">
        <f t="shared" si="3"/>
        <v>0</v>
      </c>
      <c r="J28" s="159"/>
      <c r="K28" s="159">
        <f t="shared" si="0"/>
        <v>0</v>
      </c>
      <c r="L28" s="159">
        <f>'SAN LUONG'!AE21</f>
        <v>424.6</v>
      </c>
      <c r="M28" s="159">
        <f t="shared" si="4"/>
        <v>7.38</v>
      </c>
      <c r="N28" s="167">
        <f>'CHAM CONG'!AR20</f>
        <v>0</v>
      </c>
      <c r="O28" s="159">
        <f t="shared" si="5"/>
        <v>0</v>
      </c>
      <c r="P28" s="159">
        <f>'CHAM CONG'!AQ20</f>
        <v>11</v>
      </c>
      <c r="Q28" s="159">
        <f t="shared" si="6"/>
        <v>5.51</v>
      </c>
      <c r="R28" s="159">
        <f t="shared" si="10"/>
        <v>11</v>
      </c>
      <c r="S28" s="159">
        <f t="shared" si="7"/>
        <v>0.34</v>
      </c>
      <c r="T28" s="159"/>
      <c r="U28" s="159">
        <f t="shared" si="1"/>
        <v>0</v>
      </c>
      <c r="V28" s="159">
        <f t="shared" si="2"/>
        <v>0</v>
      </c>
      <c r="W28" s="159"/>
      <c r="X28" s="159">
        <f t="shared" si="8"/>
        <v>13.23</v>
      </c>
      <c r="Y28" s="201"/>
      <c r="Z28" s="199" t="s">
        <v>270</v>
      </c>
      <c r="AA28" s="202">
        <v>13.23</v>
      </c>
      <c r="AB28" s="203">
        <f t="shared" si="9"/>
        <v>0</v>
      </c>
      <c r="AC28" s="124">
        <v>0</v>
      </c>
    </row>
    <row r="29" spans="1:29" s="124" customFormat="1" ht="35.4" customHeight="1">
      <c r="A29" s="154">
        <v>14</v>
      </c>
      <c r="B29" s="155">
        <f>'Tên Tháng 1'!B18</f>
        <v>30477</v>
      </c>
      <c r="C29" s="155" t="str">
        <f>'Tên Tháng 1'!C18</f>
        <v>ស្រី</v>
      </c>
      <c r="D29" s="156">
        <f>'Tên Tháng 1'!D18</f>
        <v>250230683</v>
      </c>
      <c r="E29" s="155" t="str">
        <f>'Tên Tháng 1'!E17</f>
        <v>វ៉ាន់ បូរិទ្ធ</v>
      </c>
      <c r="F29" s="157" t="str">
        <f>'Tên Tháng 1'!F17</f>
        <v>VANN BORITH</v>
      </c>
      <c r="G29" s="158">
        <v>14</v>
      </c>
      <c r="H29" s="159"/>
      <c r="I29" s="159">
        <f t="shared" si="3"/>
        <v>0</v>
      </c>
      <c r="J29" s="159"/>
      <c r="K29" s="159">
        <f t="shared" si="0"/>
        <v>0</v>
      </c>
      <c r="L29" s="159">
        <f>'SAN LUONG'!AE22</f>
        <v>337.04</v>
      </c>
      <c r="M29" s="159">
        <f t="shared" si="4"/>
        <v>5.86</v>
      </c>
      <c r="N29" s="167">
        <f>'CHAM CONG'!AR21</f>
        <v>0</v>
      </c>
      <c r="O29" s="159">
        <f t="shared" si="5"/>
        <v>0</v>
      </c>
      <c r="P29" s="159">
        <f>'CHAM CONG'!AQ21</f>
        <v>10</v>
      </c>
      <c r="Q29" s="159">
        <f t="shared" si="6"/>
        <v>5.01</v>
      </c>
      <c r="R29" s="159">
        <f t="shared" si="10"/>
        <v>10</v>
      </c>
      <c r="S29" s="159">
        <f t="shared" si="7"/>
        <v>0.31</v>
      </c>
      <c r="T29" s="159"/>
      <c r="U29" s="159">
        <f t="shared" si="1"/>
        <v>0</v>
      </c>
      <c r="V29" s="159">
        <f t="shared" si="2"/>
        <v>0</v>
      </c>
      <c r="W29" s="159"/>
      <c r="X29" s="159">
        <f t="shared" si="8"/>
        <v>11.180000000000001</v>
      </c>
      <c r="Y29" s="201"/>
      <c r="Z29" s="199" t="s">
        <v>270</v>
      </c>
      <c r="AA29" s="202">
        <v>11.18</v>
      </c>
      <c r="AB29" s="203">
        <f t="shared" si="9"/>
        <v>0</v>
      </c>
      <c r="AC29" s="124">
        <v>0.01</v>
      </c>
    </row>
    <row r="30" spans="1:29" s="124" customFormat="1" ht="35.4" customHeight="1">
      <c r="A30" s="154">
        <v>15</v>
      </c>
      <c r="B30" s="155">
        <f>'Tên Tháng 1'!B19</f>
        <v>34095</v>
      </c>
      <c r="C30" s="155" t="str">
        <f>'Tên Tháng 1'!C19</f>
        <v>ប្រុស</v>
      </c>
      <c r="D30" s="156">
        <f>'Tên Tháng 1'!D19</f>
        <v>150523533</v>
      </c>
      <c r="E30" s="155" t="str">
        <f>'Tên Tháng 1'!E18</f>
        <v>ឆែម ហ៊ាច</v>
      </c>
      <c r="F30" s="157" t="str">
        <f>'Tên Tháng 1'!F18</f>
        <v>CHHEM HEACH</v>
      </c>
      <c r="G30" s="158">
        <v>15</v>
      </c>
      <c r="H30" s="159"/>
      <c r="I30" s="159">
        <f t="shared" si="3"/>
        <v>0</v>
      </c>
      <c r="J30" s="159"/>
      <c r="K30" s="159">
        <f t="shared" si="0"/>
        <v>0</v>
      </c>
      <c r="L30" s="159">
        <f>'SAN LUONG'!AE23</f>
        <v>493.24</v>
      </c>
      <c r="M30" s="159">
        <f t="shared" si="4"/>
        <v>8.57</v>
      </c>
      <c r="N30" s="167">
        <f>'CHAM CONG'!AR22</f>
        <v>0</v>
      </c>
      <c r="O30" s="159">
        <f t="shared" si="5"/>
        <v>0</v>
      </c>
      <c r="P30" s="159">
        <f>'CHAM CONG'!AQ22</f>
        <v>12</v>
      </c>
      <c r="Q30" s="159">
        <f t="shared" si="6"/>
        <v>6.01</v>
      </c>
      <c r="R30" s="159">
        <f t="shared" si="10"/>
        <v>12</v>
      </c>
      <c r="S30" s="159">
        <f t="shared" si="7"/>
        <v>0.38</v>
      </c>
      <c r="T30" s="159"/>
      <c r="U30" s="159">
        <f t="shared" si="1"/>
        <v>0</v>
      </c>
      <c r="V30" s="159">
        <f t="shared" si="2"/>
        <v>0</v>
      </c>
      <c r="W30" s="159"/>
      <c r="X30" s="159">
        <f t="shared" si="8"/>
        <v>14.96</v>
      </c>
      <c r="Y30" s="201"/>
      <c r="Z30" s="199" t="s">
        <v>270</v>
      </c>
      <c r="AA30" s="202">
        <v>14.95</v>
      </c>
      <c r="AB30" s="203">
        <f t="shared" si="9"/>
        <v>-0.01</v>
      </c>
      <c r="AC30" s="124">
        <v>-0.02</v>
      </c>
    </row>
    <row r="31" spans="1:29" s="124" customFormat="1" ht="35.4" customHeight="1">
      <c r="A31" s="154">
        <v>16</v>
      </c>
      <c r="B31" s="155">
        <f>'Tên Tháng 1'!B20</f>
        <v>34015</v>
      </c>
      <c r="C31" s="155" t="str">
        <f>'Tên Tháng 1'!C20</f>
        <v>ស្រី</v>
      </c>
      <c r="D31" s="156">
        <f>'Tên Tháng 1'!D20</f>
        <v>150483982</v>
      </c>
      <c r="E31" s="155" t="str">
        <f>'Tên Tháng 1'!E19</f>
        <v>ឆែម ឆុន</v>
      </c>
      <c r="F31" s="157" t="str">
        <f>'Tên Tháng 1'!F19</f>
        <v>CHHEN CHHON</v>
      </c>
      <c r="G31" s="158">
        <v>16</v>
      </c>
      <c r="H31" s="159"/>
      <c r="I31" s="159">
        <f t="shared" si="3"/>
        <v>0</v>
      </c>
      <c r="J31" s="159"/>
      <c r="K31" s="159">
        <f t="shared" si="0"/>
        <v>0</v>
      </c>
      <c r="L31" s="159">
        <f>'SAN LUONG'!AE24</f>
        <v>473</v>
      </c>
      <c r="M31" s="159">
        <f t="shared" si="4"/>
        <v>8.2200000000000006</v>
      </c>
      <c r="N31" s="167">
        <f>'CHAM CONG'!AR23</f>
        <v>1</v>
      </c>
      <c r="O31" s="159">
        <f t="shared" si="5"/>
        <v>0.53</v>
      </c>
      <c r="P31" s="159">
        <f>'CHAM CONG'!AQ23</f>
        <v>12</v>
      </c>
      <c r="Q31" s="159">
        <f t="shared" si="6"/>
        <v>6.01</v>
      </c>
      <c r="R31" s="159">
        <f t="shared" si="10"/>
        <v>12</v>
      </c>
      <c r="S31" s="159">
        <f t="shared" si="7"/>
        <v>0.38</v>
      </c>
      <c r="T31" s="159"/>
      <c r="U31" s="159">
        <f t="shared" si="1"/>
        <v>0</v>
      </c>
      <c r="V31" s="159">
        <f t="shared" si="2"/>
        <v>0</v>
      </c>
      <c r="W31" s="159"/>
      <c r="X31" s="159">
        <f t="shared" si="8"/>
        <v>15.14</v>
      </c>
      <c r="Y31" s="201"/>
      <c r="Z31" s="199" t="s">
        <v>270</v>
      </c>
      <c r="AA31" s="202">
        <v>15.13</v>
      </c>
      <c r="AB31" s="203">
        <f t="shared" si="9"/>
        <v>-0.01</v>
      </c>
      <c r="AC31" s="124">
        <v>0.01</v>
      </c>
    </row>
    <row r="32" spans="1:29" s="124" customFormat="1" ht="35.4" customHeight="1">
      <c r="A32" s="154">
        <v>17</v>
      </c>
      <c r="B32" s="155">
        <f>'Tên Tháng 1'!B21</f>
        <v>34125</v>
      </c>
      <c r="C32" s="155" t="str">
        <f>'Tên Tháng 1'!C21</f>
        <v>ប្រុស</v>
      </c>
      <c r="D32" s="156">
        <f>'Tên Tháng 1'!D21</f>
        <v>220102090</v>
      </c>
      <c r="E32" s="155" t="str">
        <f>'Tên Tháng 1'!E20</f>
        <v>មាស សំឡូត</v>
      </c>
      <c r="F32" s="157" t="str">
        <f>'Tên Tháng 1'!F20</f>
        <v>MEAS SOMLOT</v>
      </c>
      <c r="G32" s="158">
        <v>17</v>
      </c>
      <c r="H32" s="159"/>
      <c r="I32" s="159">
        <f t="shared" si="3"/>
        <v>0</v>
      </c>
      <c r="J32" s="159"/>
      <c r="K32" s="159">
        <f t="shared" si="0"/>
        <v>0</v>
      </c>
      <c r="L32" s="159">
        <f>'SAN LUONG'!AE25</f>
        <v>413.6</v>
      </c>
      <c r="M32" s="159">
        <f t="shared" si="4"/>
        <v>7.19</v>
      </c>
      <c r="N32" s="167">
        <f>'CHAM CONG'!AR24</f>
        <v>0</v>
      </c>
      <c r="O32" s="159">
        <f t="shared" si="5"/>
        <v>0</v>
      </c>
      <c r="P32" s="159">
        <f>'CHAM CONG'!AQ24</f>
        <v>11</v>
      </c>
      <c r="Q32" s="159">
        <f t="shared" si="6"/>
        <v>5.51</v>
      </c>
      <c r="R32" s="159">
        <f t="shared" si="10"/>
        <v>11</v>
      </c>
      <c r="S32" s="159">
        <f t="shared" si="7"/>
        <v>0.34</v>
      </c>
      <c r="T32" s="159"/>
      <c r="U32" s="159">
        <f t="shared" si="1"/>
        <v>0</v>
      </c>
      <c r="V32" s="159">
        <f t="shared" si="2"/>
        <v>0</v>
      </c>
      <c r="W32" s="159"/>
      <c r="X32" s="159">
        <f t="shared" si="8"/>
        <v>13.04</v>
      </c>
      <c r="Y32" s="201"/>
      <c r="Z32" s="199" t="s">
        <v>270</v>
      </c>
      <c r="AA32" s="202">
        <v>13.04</v>
      </c>
      <c r="AB32" s="203">
        <f t="shared" si="9"/>
        <v>0</v>
      </c>
      <c r="AC32" s="124">
        <v>0.01</v>
      </c>
    </row>
    <row r="33" spans="1:29" s="124" customFormat="1" ht="35.4" customHeight="1">
      <c r="A33" s="154">
        <v>18</v>
      </c>
      <c r="B33" s="155">
        <f>'Tên Tháng 1'!B22</f>
        <v>29474</v>
      </c>
      <c r="C33" s="155" t="str">
        <f>'Tên Tháng 1'!C22</f>
        <v>ប្រុស</v>
      </c>
      <c r="D33" s="156">
        <f>'Tên Tháng 1'!D22</f>
        <v>250230682</v>
      </c>
      <c r="E33" s="155" t="str">
        <f>'Tên Tháng 1'!E21</f>
        <v>ម៉ន វិចិត្រ</v>
      </c>
      <c r="F33" s="157" t="str">
        <f>'Tên Tháng 1'!F21</f>
        <v>MORN VICHET</v>
      </c>
      <c r="G33" s="158">
        <v>18</v>
      </c>
      <c r="H33" s="159"/>
      <c r="I33" s="159">
        <f t="shared" si="3"/>
        <v>0</v>
      </c>
      <c r="J33" s="159"/>
      <c r="K33" s="159">
        <f t="shared" si="0"/>
        <v>0</v>
      </c>
      <c r="L33" s="159">
        <f>'SAN LUONG'!AE26</f>
        <v>412.28</v>
      </c>
      <c r="M33" s="159">
        <f t="shared" si="4"/>
        <v>7.16</v>
      </c>
      <c r="N33" s="167">
        <f>'CHAM CONG'!AR25</f>
        <v>0</v>
      </c>
      <c r="O33" s="159">
        <f t="shared" si="5"/>
        <v>0</v>
      </c>
      <c r="P33" s="159">
        <f>'CHAM CONG'!AQ25</f>
        <v>11</v>
      </c>
      <c r="Q33" s="159">
        <f t="shared" si="6"/>
        <v>5.51</v>
      </c>
      <c r="R33" s="159">
        <f t="shared" si="10"/>
        <v>11</v>
      </c>
      <c r="S33" s="159">
        <f t="shared" si="7"/>
        <v>0.34</v>
      </c>
      <c r="T33" s="159"/>
      <c r="U33" s="159">
        <f t="shared" si="1"/>
        <v>0</v>
      </c>
      <c r="V33" s="159">
        <f t="shared" si="2"/>
        <v>0</v>
      </c>
      <c r="W33" s="159"/>
      <c r="X33" s="159">
        <f t="shared" si="8"/>
        <v>13.01</v>
      </c>
      <c r="Y33" s="201"/>
      <c r="Z33" s="199" t="s">
        <v>270</v>
      </c>
      <c r="AA33" s="202">
        <v>13.02</v>
      </c>
      <c r="AB33" s="203">
        <f t="shared" si="9"/>
        <v>0.01</v>
      </c>
      <c r="AC33" s="124">
        <v>-0.02</v>
      </c>
    </row>
    <row r="34" spans="1:29" s="124" customFormat="1" ht="35.4" customHeight="1">
      <c r="A34" s="154">
        <v>19</v>
      </c>
      <c r="B34" s="155">
        <f>'Tên Tháng 1'!B23</f>
        <v>34523</v>
      </c>
      <c r="C34" s="155" t="str">
        <f>'Tên Tháng 1'!C23</f>
        <v>ប្រុស</v>
      </c>
      <c r="D34" s="156">
        <f>'Tên Tháng 1'!D23</f>
        <v>220205841</v>
      </c>
      <c r="E34" s="155" t="str">
        <f>'Tên Tháng 1'!E22</f>
        <v>គ្រួច គ្រីន</v>
      </c>
      <c r="F34" s="157" t="str">
        <f>'Tên Tháng 1'!F22</f>
        <v>KRUOCH KRIN</v>
      </c>
      <c r="G34" s="158">
        <v>19</v>
      </c>
      <c r="H34" s="159"/>
      <c r="I34" s="159">
        <f t="shared" si="3"/>
        <v>0</v>
      </c>
      <c r="J34" s="159"/>
      <c r="K34" s="159">
        <f t="shared" si="0"/>
        <v>0</v>
      </c>
      <c r="L34" s="159">
        <f>'SAN LUONG'!AE27</f>
        <v>514.36</v>
      </c>
      <c r="M34" s="159">
        <f t="shared" si="4"/>
        <v>8.94</v>
      </c>
      <c r="N34" s="167">
        <f>'CHAM CONG'!AR26</f>
        <v>0</v>
      </c>
      <c r="O34" s="159">
        <f t="shared" si="5"/>
        <v>0</v>
      </c>
      <c r="P34" s="159">
        <f>'CHAM CONG'!AQ26</f>
        <v>12</v>
      </c>
      <c r="Q34" s="159">
        <f t="shared" si="6"/>
        <v>6.01</v>
      </c>
      <c r="R34" s="159">
        <f t="shared" si="10"/>
        <v>12</v>
      </c>
      <c r="S34" s="159">
        <f t="shared" si="7"/>
        <v>0.38</v>
      </c>
      <c r="T34" s="159"/>
      <c r="U34" s="159">
        <f t="shared" si="1"/>
        <v>0</v>
      </c>
      <c r="V34" s="159">
        <f t="shared" si="2"/>
        <v>0</v>
      </c>
      <c r="W34" s="159"/>
      <c r="X34" s="159">
        <f t="shared" si="8"/>
        <v>15.33</v>
      </c>
      <c r="Y34" s="201"/>
      <c r="Z34" s="199" t="s">
        <v>270</v>
      </c>
      <c r="AA34" s="202">
        <v>15.32</v>
      </c>
      <c r="AB34" s="203">
        <f t="shared" si="9"/>
        <v>-0.01</v>
      </c>
      <c r="AC34" s="124">
        <v>0</v>
      </c>
    </row>
    <row r="35" spans="1:29" s="124" customFormat="1" ht="35.4" customHeight="1">
      <c r="A35" s="154">
        <v>20</v>
      </c>
      <c r="B35" s="155"/>
      <c r="C35" s="155"/>
      <c r="D35" s="156"/>
      <c r="E35" s="155" t="str">
        <f>'Tên Tháng 1'!E23</f>
        <v>ស្រេង សំណាង</v>
      </c>
      <c r="F35" s="157" t="str">
        <f>'Tên Tháng 1'!F23</f>
        <v>SRENG SAMNANG</v>
      </c>
      <c r="G35" s="158">
        <v>20</v>
      </c>
      <c r="H35" s="159"/>
      <c r="I35" s="159">
        <f t="shared" si="3"/>
        <v>0</v>
      </c>
      <c r="J35" s="159"/>
      <c r="K35" s="159">
        <f t="shared" si="0"/>
        <v>0</v>
      </c>
      <c r="L35" s="159">
        <f>'SAN LUONG'!AE28</f>
        <v>498.96</v>
      </c>
      <c r="M35" s="159">
        <f t="shared" si="4"/>
        <v>8.67</v>
      </c>
      <c r="N35" s="167">
        <f>'CHAM CONG'!AR27</f>
        <v>0</v>
      </c>
      <c r="O35" s="159">
        <f t="shared" si="5"/>
        <v>0</v>
      </c>
      <c r="P35" s="159">
        <f>'CHAM CONG'!AQ27</f>
        <v>13</v>
      </c>
      <c r="Q35" s="159">
        <f t="shared" si="6"/>
        <v>6.51</v>
      </c>
      <c r="R35" s="159">
        <f t="shared" si="10"/>
        <v>13</v>
      </c>
      <c r="S35" s="159">
        <f t="shared" si="7"/>
        <v>0.41</v>
      </c>
      <c r="T35" s="159"/>
      <c r="U35" s="159">
        <f t="shared" si="1"/>
        <v>0</v>
      </c>
      <c r="V35" s="159">
        <f t="shared" si="2"/>
        <v>0</v>
      </c>
      <c r="W35" s="159"/>
      <c r="X35" s="159">
        <f t="shared" si="8"/>
        <v>15.59</v>
      </c>
      <c r="Y35" s="201"/>
      <c r="Z35" s="199" t="s">
        <v>270</v>
      </c>
      <c r="AA35" s="202">
        <v>15.59</v>
      </c>
      <c r="AB35" s="203">
        <f t="shared" si="9"/>
        <v>0</v>
      </c>
      <c r="AC35" s="124">
        <v>0.01</v>
      </c>
    </row>
    <row r="36" spans="1:29" s="124" customFormat="1" ht="35.4" customHeight="1">
      <c r="A36" s="154">
        <v>21</v>
      </c>
      <c r="B36" s="155">
        <f>'Tên Tháng 1'!B25</f>
        <v>34552</v>
      </c>
      <c r="C36" s="155" t="str">
        <f>'Tên Tháng 1'!C25</f>
        <v>ប្រុស</v>
      </c>
      <c r="D36" s="156">
        <f>'Tên Tháng 1'!D25</f>
        <v>220234353</v>
      </c>
      <c r="E36" s="155" t="str">
        <f>'Tên Tháng 1'!E24</f>
        <v>ហ៊ិក ងួន</v>
      </c>
      <c r="F36" s="157" t="str">
        <f>'Tên Tháng 1'!F24</f>
        <v>HIK NGUON</v>
      </c>
      <c r="G36" s="158">
        <v>21</v>
      </c>
      <c r="H36" s="159"/>
      <c r="I36" s="159">
        <f t="shared" si="3"/>
        <v>0</v>
      </c>
      <c r="J36" s="159"/>
      <c r="K36" s="159">
        <f t="shared" si="0"/>
        <v>0</v>
      </c>
      <c r="L36" s="159">
        <f>'SAN LUONG'!AE29</f>
        <v>593.55999999999995</v>
      </c>
      <c r="M36" s="159">
        <f t="shared" si="4"/>
        <v>10.31</v>
      </c>
      <c r="N36" s="167">
        <f>'CHAM CONG'!AR28</f>
        <v>0</v>
      </c>
      <c r="O36" s="159">
        <f t="shared" si="5"/>
        <v>0</v>
      </c>
      <c r="P36" s="159">
        <f>'CHAM CONG'!AQ28</f>
        <v>13</v>
      </c>
      <c r="Q36" s="159">
        <f t="shared" si="6"/>
        <v>6.51</v>
      </c>
      <c r="R36" s="159">
        <f t="shared" si="10"/>
        <v>13</v>
      </c>
      <c r="S36" s="159">
        <f t="shared" si="7"/>
        <v>0.41</v>
      </c>
      <c r="T36" s="159"/>
      <c r="U36" s="159">
        <f t="shared" ref="U36:U58" si="11">ROUND(T36*$U$14/31947,2)</f>
        <v>0</v>
      </c>
      <c r="V36" s="159">
        <f t="shared" ref="V36:V58" si="12">ROUND(U36*30456,0)</f>
        <v>0</v>
      </c>
      <c r="W36" s="159"/>
      <c r="X36" s="159">
        <f t="shared" si="8"/>
        <v>17.23</v>
      </c>
      <c r="Y36" s="201"/>
      <c r="Z36" s="199" t="s">
        <v>270</v>
      </c>
      <c r="AA36" s="202">
        <v>17.23</v>
      </c>
      <c r="AB36" s="203">
        <f t="shared" si="9"/>
        <v>0</v>
      </c>
      <c r="AC36" s="124">
        <v>0.04</v>
      </c>
    </row>
    <row r="37" spans="1:29" s="124" customFormat="1" ht="35.4" customHeight="1">
      <c r="A37" s="154">
        <v>22</v>
      </c>
      <c r="B37" s="155">
        <f>'Tên Tháng 1'!B26</f>
        <v>36692</v>
      </c>
      <c r="C37" s="155" t="str">
        <f>'Tên Tháng 1'!C26</f>
        <v>ប្រុស</v>
      </c>
      <c r="D37" s="156">
        <f>'Tên Tháng 1'!D26</f>
        <v>150836178</v>
      </c>
      <c r="E37" s="155" t="str">
        <f>'Tên Tháng 1'!E25</f>
        <v>សៀក សំ</v>
      </c>
      <c r="F37" s="157" t="str">
        <f>'Tên Tháng 1'!F25</f>
        <v>SIEK SAM</v>
      </c>
      <c r="G37" s="158">
        <v>22</v>
      </c>
      <c r="H37" s="159"/>
      <c r="I37" s="159">
        <f t="shared" si="3"/>
        <v>0</v>
      </c>
      <c r="J37" s="159"/>
      <c r="K37" s="159">
        <f t="shared" si="0"/>
        <v>0</v>
      </c>
      <c r="L37" s="159">
        <f>'SAN LUONG'!AE30</f>
        <v>188.76</v>
      </c>
      <c r="M37" s="159">
        <f t="shared" si="4"/>
        <v>3.28</v>
      </c>
      <c r="N37" s="167">
        <f>'CHAM CONG'!AR29</f>
        <v>0</v>
      </c>
      <c r="O37" s="159">
        <f t="shared" si="5"/>
        <v>0</v>
      </c>
      <c r="P37" s="159">
        <f>'CHAM CONG'!AQ29</f>
        <v>5</v>
      </c>
      <c r="Q37" s="159">
        <f t="shared" si="6"/>
        <v>2.5</v>
      </c>
      <c r="R37" s="159">
        <f t="shared" si="10"/>
        <v>5</v>
      </c>
      <c r="S37" s="159">
        <f t="shared" si="7"/>
        <v>0.16</v>
      </c>
      <c r="T37" s="159"/>
      <c r="U37" s="159">
        <f t="shared" si="11"/>
        <v>0</v>
      </c>
      <c r="V37" s="159">
        <f t="shared" si="12"/>
        <v>0</v>
      </c>
      <c r="W37" s="159"/>
      <c r="X37" s="159">
        <f t="shared" si="8"/>
        <v>5.9399999999999995</v>
      </c>
      <c r="Y37" s="201"/>
      <c r="Z37" s="199" t="s">
        <v>270</v>
      </c>
      <c r="AA37" s="202">
        <v>5.94</v>
      </c>
      <c r="AB37" s="203">
        <f t="shared" si="9"/>
        <v>0</v>
      </c>
      <c r="AC37" s="124">
        <v>0.04</v>
      </c>
    </row>
    <row r="38" spans="1:29" s="124" customFormat="1" ht="35.4" customHeight="1">
      <c r="A38" s="154">
        <v>23</v>
      </c>
      <c r="B38" s="155">
        <f>'Tên Tháng 1'!B28</f>
        <v>31200</v>
      </c>
      <c r="C38" s="155" t="str">
        <f>'Tên Tháng 1'!C28</f>
        <v>ស្រី</v>
      </c>
      <c r="D38" s="156" t="str">
        <f>'Tên Tháng 1'!D28</f>
        <v>060541171</v>
      </c>
      <c r="E38" s="155" t="str">
        <f>'Tên Tháng 1'!E26</f>
        <v>ឆែម ឆុំ</v>
      </c>
      <c r="F38" s="157" t="str">
        <f>'Tên Tháng 1'!F26</f>
        <v>CHHEIM CHHOM</v>
      </c>
      <c r="G38" s="158">
        <v>23</v>
      </c>
      <c r="H38" s="159"/>
      <c r="I38" s="159">
        <f t="shared" si="3"/>
        <v>0</v>
      </c>
      <c r="J38" s="159"/>
      <c r="K38" s="159">
        <f t="shared" si="0"/>
        <v>0</v>
      </c>
      <c r="L38" s="159">
        <f>'SAN LUONG'!AE31</f>
        <v>496.32</v>
      </c>
      <c r="M38" s="159">
        <f t="shared" si="4"/>
        <v>8.6199999999999992</v>
      </c>
      <c r="N38" s="167">
        <f>'CHAM CONG'!AR30</f>
        <v>0</v>
      </c>
      <c r="O38" s="159">
        <f t="shared" si="5"/>
        <v>0</v>
      </c>
      <c r="P38" s="159">
        <f>'CHAM CONG'!AQ30</f>
        <v>13</v>
      </c>
      <c r="Q38" s="159">
        <f t="shared" si="6"/>
        <v>6.51</v>
      </c>
      <c r="R38" s="159">
        <f t="shared" si="10"/>
        <v>13</v>
      </c>
      <c r="S38" s="159">
        <f t="shared" si="7"/>
        <v>0.41</v>
      </c>
      <c r="T38" s="159"/>
      <c r="U38" s="159">
        <f t="shared" si="11"/>
        <v>0</v>
      </c>
      <c r="V38" s="159">
        <f t="shared" si="12"/>
        <v>0</v>
      </c>
      <c r="W38" s="159"/>
      <c r="X38" s="159">
        <f t="shared" si="8"/>
        <v>15.54</v>
      </c>
      <c r="Y38" s="201"/>
      <c r="Z38" s="199" t="s">
        <v>270</v>
      </c>
      <c r="AA38" s="202">
        <v>15.54</v>
      </c>
      <c r="AB38" s="203">
        <f t="shared" si="9"/>
        <v>0</v>
      </c>
      <c r="AC38" s="124">
        <v>0.04</v>
      </c>
    </row>
    <row r="39" spans="1:29" s="124" customFormat="1" ht="35.4" customHeight="1">
      <c r="A39" s="154">
        <v>24</v>
      </c>
      <c r="B39" s="155">
        <f>'Tên Tháng 1'!B29</f>
        <v>30904</v>
      </c>
      <c r="C39" s="155" t="str">
        <f>'Tên Tháng 1'!C29</f>
        <v>ប្រុស</v>
      </c>
      <c r="D39" s="156" t="str">
        <f>'Tên Tháng 1'!D29</f>
        <v>060540793</v>
      </c>
      <c r="E39" s="155" t="str">
        <f>'Tên Tháng 1'!E27</f>
        <v>សុទ្ធ សុខជា</v>
      </c>
      <c r="F39" s="157" t="str">
        <f>'Tên Tháng 1'!F27</f>
        <v>SOTH SOKCHEA</v>
      </c>
      <c r="G39" s="158">
        <v>24</v>
      </c>
      <c r="H39" s="159"/>
      <c r="I39" s="159">
        <f t="shared" si="3"/>
        <v>0</v>
      </c>
      <c r="J39" s="159"/>
      <c r="K39" s="159">
        <f t="shared" si="0"/>
        <v>0</v>
      </c>
      <c r="L39" s="159">
        <f>'SAN LUONG'!AE32</f>
        <v>510.84</v>
      </c>
      <c r="M39" s="159">
        <f t="shared" si="4"/>
        <v>8.8699999999999992</v>
      </c>
      <c r="N39" s="167">
        <f>'CHAM CONG'!AR31</f>
        <v>2</v>
      </c>
      <c r="O39" s="159">
        <f t="shared" si="5"/>
        <v>1.06</v>
      </c>
      <c r="P39" s="159">
        <f>'CHAM CONG'!AQ31</f>
        <v>14</v>
      </c>
      <c r="Q39" s="159">
        <f t="shared" si="6"/>
        <v>7.01</v>
      </c>
      <c r="R39" s="159">
        <f t="shared" si="10"/>
        <v>14</v>
      </c>
      <c r="S39" s="159">
        <f t="shared" si="7"/>
        <v>0.44</v>
      </c>
      <c r="T39" s="159"/>
      <c r="U39" s="159">
        <f t="shared" si="11"/>
        <v>0</v>
      </c>
      <c r="V39" s="159">
        <f t="shared" si="12"/>
        <v>0</v>
      </c>
      <c r="W39" s="159"/>
      <c r="X39" s="159">
        <f t="shared" si="8"/>
        <v>17.38</v>
      </c>
      <c r="Y39" s="201"/>
      <c r="Z39" s="199" t="s">
        <v>270</v>
      </c>
      <c r="AA39" s="202">
        <v>17.39</v>
      </c>
      <c r="AB39" s="203">
        <f t="shared" si="9"/>
        <v>0.01</v>
      </c>
      <c r="AC39" s="124">
        <v>0.04</v>
      </c>
    </row>
    <row r="40" spans="1:29" s="124" customFormat="1" ht="35.4" customHeight="1">
      <c r="A40" s="154">
        <v>25</v>
      </c>
      <c r="B40" s="155">
        <f>'Tên Tháng 1'!B30</f>
        <v>38861</v>
      </c>
      <c r="C40" s="155" t="str">
        <f>'Tên Tháng 1'!C30</f>
        <v>ប្រុស</v>
      </c>
      <c r="D40" s="156">
        <f>'Tên Tháng 1'!D30</f>
        <v>250373915</v>
      </c>
      <c r="E40" s="155" t="str">
        <f>'Tên Tháng 1'!E28</f>
        <v>ពិន ឆេន</v>
      </c>
      <c r="F40" s="157" t="str">
        <f>'Tên Tháng 1'!F28</f>
        <v>PIN CHHEN</v>
      </c>
      <c r="G40" s="158">
        <v>25</v>
      </c>
      <c r="H40" s="159"/>
      <c r="I40" s="159">
        <f t="shared" si="3"/>
        <v>0</v>
      </c>
      <c r="J40" s="159"/>
      <c r="K40" s="159">
        <f t="shared" si="0"/>
        <v>0</v>
      </c>
      <c r="L40" s="159">
        <f>'SAN LUONG'!AE33</f>
        <v>499.4</v>
      </c>
      <c r="M40" s="159">
        <f t="shared" si="4"/>
        <v>8.68</v>
      </c>
      <c r="N40" s="167">
        <f>'CHAM CONG'!AR32</f>
        <v>1</v>
      </c>
      <c r="O40" s="159">
        <f t="shared" si="5"/>
        <v>0.53</v>
      </c>
      <c r="P40" s="159">
        <f>'CHAM CONG'!AQ32</f>
        <v>13</v>
      </c>
      <c r="Q40" s="159">
        <f t="shared" si="6"/>
        <v>6.51</v>
      </c>
      <c r="R40" s="159">
        <f t="shared" si="10"/>
        <v>13</v>
      </c>
      <c r="S40" s="159">
        <f t="shared" si="7"/>
        <v>0.41</v>
      </c>
      <c r="T40" s="159"/>
      <c r="U40" s="159">
        <f t="shared" si="11"/>
        <v>0</v>
      </c>
      <c r="V40" s="159">
        <f t="shared" si="12"/>
        <v>0</v>
      </c>
      <c r="W40" s="159"/>
      <c r="X40" s="159">
        <f t="shared" si="8"/>
        <v>16.13</v>
      </c>
      <c r="Y40" s="201"/>
      <c r="Z40" s="199" t="s">
        <v>270</v>
      </c>
      <c r="AA40" s="202">
        <v>16.13</v>
      </c>
      <c r="AB40" s="203">
        <f t="shared" si="9"/>
        <v>0</v>
      </c>
      <c r="AC40" s="124">
        <v>0.04</v>
      </c>
    </row>
    <row r="41" spans="1:29" s="124" customFormat="1" ht="35.4" customHeight="1">
      <c r="A41" s="154">
        <v>26</v>
      </c>
      <c r="B41" s="155">
        <f>'Tên Tháng 1'!B31</f>
        <v>39434</v>
      </c>
      <c r="C41" s="155" t="str">
        <f>'Tên Tháng 1'!C31</f>
        <v>ប្រុស</v>
      </c>
      <c r="D41" s="156">
        <f>'Tên Tháng 1'!D31</f>
        <v>151065238</v>
      </c>
      <c r="E41" s="155" t="str">
        <f>'Tên Tháng 1'!E29</f>
        <v>កេត នី</v>
      </c>
      <c r="F41" s="157" t="str">
        <f>'Tên Tháng 1'!F29</f>
        <v>KET NY</v>
      </c>
      <c r="G41" s="158">
        <v>26</v>
      </c>
      <c r="H41" s="159"/>
      <c r="I41" s="159">
        <f t="shared" si="3"/>
        <v>0</v>
      </c>
      <c r="J41" s="159"/>
      <c r="K41" s="159">
        <f t="shared" si="0"/>
        <v>0</v>
      </c>
      <c r="L41" s="159">
        <f>'SAN LUONG'!AE34</f>
        <v>484.88</v>
      </c>
      <c r="M41" s="159">
        <f t="shared" si="4"/>
        <v>8.42</v>
      </c>
      <c r="N41" s="167">
        <f>'CHAM CONG'!AR33</f>
        <v>1</v>
      </c>
      <c r="O41" s="159">
        <f t="shared" si="5"/>
        <v>0.53</v>
      </c>
      <c r="P41" s="159">
        <f>'CHAM CONG'!AQ33</f>
        <v>13</v>
      </c>
      <c r="Q41" s="159">
        <f t="shared" si="6"/>
        <v>6.51</v>
      </c>
      <c r="R41" s="159">
        <f t="shared" si="10"/>
        <v>13</v>
      </c>
      <c r="S41" s="159">
        <f t="shared" si="7"/>
        <v>0.41</v>
      </c>
      <c r="T41" s="159"/>
      <c r="U41" s="159">
        <f t="shared" si="11"/>
        <v>0</v>
      </c>
      <c r="V41" s="159">
        <f t="shared" si="12"/>
        <v>0</v>
      </c>
      <c r="W41" s="159"/>
      <c r="X41" s="159">
        <f t="shared" si="8"/>
        <v>15.87</v>
      </c>
      <c r="Y41" s="201"/>
      <c r="Z41" s="199" t="s">
        <v>270</v>
      </c>
      <c r="AA41" s="202">
        <v>15.87</v>
      </c>
      <c r="AB41" s="203">
        <f t="shared" si="9"/>
        <v>0</v>
      </c>
      <c r="AC41" s="124">
        <v>0.04</v>
      </c>
    </row>
    <row r="42" spans="1:29" s="124" customFormat="1" ht="35.4" customHeight="1">
      <c r="A42" s="154">
        <v>27</v>
      </c>
      <c r="B42" s="155">
        <f>'Tên Tháng 1'!B32</f>
        <v>39615</v>
      </c>
      <c r="C42" s="155" t="str">
        <f>'Tên Tháng 1'!C32</f>
        <v>ស្រី</v>
      </c>
      <c r="D42" s="156">
        <f>'Tên Tháng 1'!D32</f>
        <v>151057212</v>
      </c>
      <c r="E42" s="155" t="str">
        <f>'Tên Tháng 1'!E30</f>
        <v>គៀវ និ</v>
      </c>
      <c r="F42" s="157" t="str">
        <f>'Tên Tháng 1'!F30</f>
        <v>KIEV NIK</v>
      </c>
      <c r="G42" s="158">
        <v>27</v>
      </c>
      <c r="H42" s="159"/>
      <c r="I42" s="159">
        <f t="shared" si="3"/>
        <v>0</v>
      </c>
      <c r="J42" s="159"/>
      <c r="K42" s="159">
        <f t="shared" si="0"/>
        <v>0</v>
      </c>
      <c r="L42" s="159">
        <f>'SAN LUONG'!AE35</f>
        <v>495</v>
      </c>
      <c r="M42" s="159">
        <f t="shared" si="4"/>
        <v>8.6</v>
      </c>
      <c r="N42" s="167">
        <f>'CHAM CONG'!AR34</f>
        <v>1</v>
      </c>
      <c r="O42" s="159">
        <f t="shared" si="5"/>
        <v>0.53</v>
      </c>
      <c r="P42" s="159">
        <f>'CHAM CONG'!AQ34</f>
        <v>12</v>
      </c>
      <c r="Q42" s="159">
        <f t="shared" si="6"/>
        <v>6.01</v>
      </c>
      <c r="R42" s="159">
        <f t="shared" si="10"/>
        <v>12</v>
      </c>
      <c r="S42" s="159">
        <f t="shared" si="7"/>
        <v>0.38</v>
      </c>
      <c r="T42" s="159"/>
      <c r="U42" s="159">
        <f t="shared" si="11"/>
        <v>0</v>
      </c>
      <c r="V42" s="159">
        <f t="shared" si="12"/>
        <v>0</v>
      </c>
      <c r="W42" s="159"/>
      <c r="X42" s="159">
        <f t="shared" si="8"/>
        <v>15.52</v>
      </c>
      <c r="Y42" s="201"/>
      <c r="Z42" s="199" t="s">
        <v>270</v>
      </c>
      <c r="AA42" s="202">
        <v>15.52</v>
      </c>
      <c r="AB42" s="203">
        <f t="shared" si="9"/>
        <v>0</v>
      </c>
      <c r="AC42" s="124">
        <v>0.04</v>
      </c>
    </row>
    <row r="43" spans="1:29" s="124" customFormat="1" ht="35.4" customHeight="1">
      <c r="A43" s="154">
        <v>28</v>
      </c>
      <c r="B43" s="155">
        <f>'Tên Tháng 1'!B33</f>
        <v>28982</v>
      </c>
      <c r="C43" s="155" t="str">
        <f>'Tên Tháng 1'!C33</f>
        <v>ប្រុស</v>
      </c>
      <c r="D43" s="156">
        <f>'Tên Tháng 1'!D33</f>
        <v>150978869</v>
      </c>
      <c r="E43" s="155" t="str">
        <f>'Tên Tháng 1'!E31</f>
        <v>ដួត ដែន</v>
      </c>
      <c r="F43" s="157" t="str">
        <f>'Tên Tháng 1'!F31</f>
        <v>DOUT DEN</v>
      </c>
      <c r="G43" s="158">
        <v>28</v>
      </c>
      <c r="H43" s="159"/>
      <c r="I43" s="159">
        <f t="shared" si="3"/>
        <v>0</v>
      </c>
      <c r="J43" s="159"/>
      <c r="K43" s="159">
        <f t="shared" si="0"/>
        <v>0</v>
      </c>
      <c r="L43" s="159">
        <f>'SAN LUONG'!AE36</f>
        <v>381.04</v>
      </c>
      <c r="M43" s="159">
        <f t="shared" si="4"/>
        <v>6.62</v>
      </c>
      <c r="N43" s="167">
        <f>'CHAM CONG'!AR35</f>
        <v>0</v>
      </c>
      <c r="O43" s="159">
        <f t="shared" si="5"/>
        <v>0</v>
      </c>
      <c r="P43" s="159">
        <f>'CHAM CONG'!AQ35</f>
        <v>13</v>
      </c>
      <c r="Q43" s="159">
        <f t="shared" si="6"/>
        <v>6.51</v>
      </c>
      <c r="R43" s="159">
        <f t="shared" si="10"/>
        <v>13</v>
      </c>
      <c r="S43" s="159">
        <f t="shared" si="7"/>
        <v>0.41</v>
      </c>
      <c r="T43" s="159"/>
      <c r="U43" s="159">
        <f t="shared" si="11"/>
        <v>0</v>
      </c>
      <c r="V43" s="159">
        <f t="shared" si="12"/>
        <v>0</v>
      </c>
      <c r="W43" s="159"/>
      <c r="X43" s="159">
        <f t="shared" si="8"/>
        <v>13.54</v>
      </c>
      <c r="Y43" s="201"/>
      <c r="Z43" s="199" t="s">
        <v>270</v>
      </c>
      <c r="AA43" s="202">
        <v>13.54</v>
      </c>
      <c r="AB43" s="203">
        <f t="shared" si="9"/>
        <v>0</v>
      </c>
      <c r="AC43" s="124">
        <v>0.04</v>
      </c>
    </row>
    <row r="44" spans="1:29" s="124" customFormat="1" ht="35.4" customHeight="1">
      <c r="A44" s="154">
        <v>29</v>
      </c>
      <c r="B44" s="155"/>
      <c r="C44" s="155"/>
      <c r="D44" s="156"/>
      <c r="E44" s="155" t="str">
        <f>'Tên Tháng 1'!E32</f>
        <v>ចាយ ពន្លក</v>
      </c>
      <c r="F44" s="157" t="str">
        <f>'Tên Tháng 1'!F32</f>
        <v>CHAY PONLOK</v>
      </c>
      <c r="G44" s="158">
        <v>29</v>
      </c>
      <c r="H44" s="159"/>
      <c r="I44" s="159">
        <f t="shared" si="3"/>
        <v>0</v>
      </c>
      <c r="J44" s="159"/>
      <c r="K44" s="159">
        <f t="shared" si="0"/>
        <v>0</v>
      </c>
      <c r="L44" s="159">
        <f>'SAN LUONG'!AE37</f>
        <v>347.6</v>
      </c>
      <c r="M44" s="159">
        <f t="shared" si="4"/>
        <v>6.04</v>
      </c>
      <c r="N44" s="167">
        <f>'CHAM CONG'!AR36</f>
        <v>0</v>
      </c>
      <c r="O44" s="159">
        <f t="shared" si="5"/>
        <v>0</v>
      </c>
      <c r="P44" s="159">
        <f>'CHAM CONG'!AQ36</f>
        <v>11</v>
      </c>
      <c r="Q44" s="159">
        <f t="shared" si="6"/>
        <v>5.51</v>
      </c>
      <c r="R44" s="159">
        <f t="shared" si="10"/>
        <v>11</v>
      </c>
      <c r="S44" s="159">
        <f t="shared" si="7"/>
        <v>0.34</v>
      </c>
      <c r="T44" s="159"/>
      <c r="U44" s="159">
        <f t="shared" si="11"/>
        <v>0</v>
      </c>
      <c r="V44" s="159">
        <f t="shared" si="12"/>
        <v>0</v>
      </c>
      <c r="W44" s="159"/>
      <c r="X44" s="159">
        <f t="shared" si="8"/>
        <v>11.89</v>
      </c>
      <c r="Y44" s="201"/>
      <c r="Z44" s="199" t="s">
        <v>270</v>
      </c>
      <c r="AA44" s="202">
        <v>11.89</v>
      </c>
      <c r="AB44" s="203">
        <f t="shared" si="9"/>
        <v>0</v>
      </c>
      <c r="AC44" s="124">
        <v>0.04</v>
      </c>
    </row>
    <row r="45" spans="1:29" s="124" customFormat="1" ht="35.4" customHeight="1">
      <c r="A45" s="154">
        <v>30</v>
      </c>
      <c r="B45" s="155">
        <f>'Tên Tháng 1'!B35</f>
        <v>30503</v>
      </c>
      <c r="C45" s="155" t="str">
        <f>'Tên Tháng 1'!C35</f>
        <v>ប្រុស</v>
      </c>
      <c r="D45" s="156">
        <f>'Tên Tháng 1'!D35</f>
        <v>220175216</v>
      </c>
      <c r="E45" s="155" t="str">
        <f>'Tên Tháng 1'!E33</f>
        <v>សំ ផុន</v>
      </c>
      <c r="F45" s="157" t="str">
        <f>'Tên Tháng 1'!F33</f>
        <v>SOM PHON</v>
      </c>
      <c r="G45" s="158">
        <v>30</v>
      </c>
      <c r="H45" s="159"/>
      <c r="I45" s="159">
        <f t="shared" si="3"/>
        <v>0</v>
      </c>
      <c r="J45" s="159"/>
      <c r="K45" s="159">
        <f t="shared" si="0"/>
        <v>0</v>
      </c>
      <c r="L45" s="159">
        <f>'SAN LUONG'!AE38</f>
        <v>600.6</v>
      </c>
      <c r="M45" s="159">
        <f t="shared" si="4"/>
        <v>10.43</v>
      </c>
      <c r="N45" s="167">
        <f>'CHAM CONG'!AR37</f>
        <v>0</v>
      </c>
      <c r="O45" s="159">
        <f t="shared" si="5"/>
        <v>0</v>
      </c>
      <c r="P45" s="159">
        <f>'CHAM CONG'!AQ37</f>
        <v>14</v>
      </c>
      <c r="Q45" s="159">
        <f t="shared" si="6"/>
        <v>7.01</v>
      </c>
      <c r="R45" s="159">
        <f t="shared" si="10"/>
        <v>14</v>
      </c>
      <c r="S45" s="159">
        <f t="shared" si="7"/>
        <v>0.44</v>
      </c>
      <c r="T45" s="159"/>
      <c r="U45" s="159">
        <f t="shared" si="11"/>
        <v>0</v>
      </c>
      <c r="V45" s="159">
        <f t="shared" si="12"/>
        <v>0</v>
      </c>
      <c r="W45" s="159"/>
      <c r="X45" s="159">
        <f t="shared" si="8"/>
        <v>17.88</v>
      </c>
      <c r="Y45" s="201"/>
      <c r="Z45" s="199" t="s">
        <v>270</v>
      </c>
      <c r="AA45" s="202">
        <v>17.88</v>
      </c>
      <c r="AB45" s="203">
        <f t="shared" si="9"/>
        <v>0</v>
      </c>
      <c r="AC45" s="124">
        <v>0.01</v>
      </c>
    </row>
    <row r="46" spans="1:29" s="124" customFormat="1" ht="35.4" customHeight="1">
      <c r="A46" s="154">
        <v>31</v>
      </c>
      <c r="B46" s="155">
        <f>'Tên Tháng 1'!B36</f>
        <v>31663</v>
      </c>
      <c r="C46" s="155" t="str">
        <f>'Tên Tháng 1'!C36</f>
        <v>ប្រុស</v>
      </c>
      <c r="D46" s="156">
        <f>'Tên Tháng 1'!D36</f>
        <v>220175443</v>
      </c>
      <c r="E46" s="155" t="str">
        <f>'Tên Tháng 1'!E34</f>
        <v>អ៊ុន ឆវ័ន</v>
      </c>
      <c r="F46" s="157" t="str">
        <f>'Tên Tháng 1'!F34</f>
        <v>UN CHORVON</v>
      </c>
      <c r="G46" s="158">
        <v>31</v>
      </c>
      <c r="H46" s="159"/>
      <c r="I46" s="159">
        <f t="shared" si="3"/>
        <v>0</v>
      </c>
      <c r="J46" s="159"/>
      <c r="K46" s="159">
        <f t="shared" si="0"/>
        <v>0</v>
      </c>
      <c r="L46" s="159">
        <f>'SAN LUONG'!AE39</f>
        <v>561</v>
      </c>
      <c r="M46" s="159">
        <f t="shared" si="4"/>
        <v>9.75</v>
      </c>
      <c r="N46" s="167">
        <f>'CHAM CONG'!AR38</f>
        <v>0</v>
      </c>
      <c r="O46" s="159">
        <f t="shared" si="5"/>
        <v>0</v>
      </c>
      <c r="P46" s="159">
        <f>'CHAM CONG'!AQ38</f>
        <v>13</v>
      </c>
      <c r="Q46" s="159">
        <f t="shared" si="6"/>
        <v>6.51</v>
      </c>
      <c r="R46" s="159">
        <f t="shared" si="10"/>
        <v>13</v>
      </c>
      <c r="S46" s="159">
        <f t="shared" si="7"/>
        <v>0.41</v>
      </c>
      <c r="T46" s="159"/>
      <c r="U46" s="159">
        <f t="shared" si="11"/>
        <v>0</v>
      </c>
      <c r="V46" s="159">
        <f t="shared" si="12"/>
        <v>0</v>
      </c>
      <c r="W46" s="159"/>
      <c r="X46" s="159">
        <f t="shared" si="8"/>
        <v>16.669999999999998</v>
      </c>
      <c r="Y46" s="201"/>
      <c r="Z46" s="199" t="s">
        <v>270</v>
      </c>
      <c r="AA46" s="202">
        <v>16.66</v>
      </c>
      <c r="AB46" s="203">
        <f t="shared" si="9"/>
        <v>-0.01</v>
      </c>
      <c r="AC46" s="124">
        <v>0.04</v>
      </c>
    </row>
    <row r="47" spans="1:29" s="124" customFormat="1" ht="35.4" customHeight="1">
      <c r="A47" s="154">
        <v>32</v>
      </c>
      <c r="B47" s="155">
        <f>'Tên Tháng 1'!B37</f>
        <v>37412</v>
      </c>
      <c r="C47" s="155" t="str">
        <f>'Tên Tháng 1'!C37</f>
        <v>ប្រុស</v>
      </c>
      <c r="D47" s="156">
        <f>'Tên Tháng 1'!D37</f>
        <v>220208812</v>
      </c>
      <c r="E47" s="155" t="str">
        <f>'Tên Tháng 1'!E35</f>
        <v>ប៉ិល ថា</v>
      </c>
      <c r="F47" s="157" t="str">
        <f>'Tên Tháng 1'!F35</f>
        <v>PEL THA</v>
      </c>
      <c r="G47" s="158">
        <v>32</v>
      </c>
      <c r="H47" s="159"/>
      <c r="I47" s="159">
        <f t="shared" si="3"/>
        <v>0</v>
      </c>
      <c r="J47" s="159"/>
      <c r="K47" s="159">
        <f t="shared" si="0"/>
        <v>0</v>
      </c>
      <c r="L47" s="159">
        <f>'SAN LUONG'!AE40</f>
        <v>461.12</v>
      </c>
      <c r="M47" s="159">
        <f t="shared" si="4"/>
        <v>8.01</v>
      </c>
      <c r="N47" s="167">
        <f>'CHAM CONG'!AR39</f>
        <v>0</v>
      </c>
      <c r="O47" s="159">
        <f t="shared" si="5"/>
        <v>0</v>
      </c>
      <c r="P47" s="159">
        <f>'CHAM CONG'!AQ39</f>
        <v>14</v>
      </c>
      <c r="Q47" s="159">
        <f t="shared" si="6"/>
        <v>7.01</v>
      </c>
      <c r="R47" s="159">
        <f t="shared" si="10"/>
        <v>14</v>
      </c>
      <c r="S47" s="159">
        <f t="shared" si="7"/>
        <v>0.44</v>
      </c>
      <c r="T47" s="159"/>
      <c r="U47" s="159">
        <f t="shared" si="11"/>
        <v>0</v>
      </c>
      <c r="V47" s="159">
        <f t="shared" si="12"/>
        <v>0</v>
      </c>
      <c r="W47" s="159"/>
      <c r="X47" s="159">
        <f t="shared" si="8"/>
        <v>15.459999999999999</v>
      </c>
      <c r="Y47" s="201"/>
      <c r="Z47" s="199" t="s">
        <v>270</v>
      </c>
      <c r="AA47" s="202">
        <v>15.46</v>
      </c>
      <c r="AB47" s="203">
        <f t="shared" si="9"/>
        <v>0</v>
      </c>
      <c r="AC47" s="124">
        <v>0.04</v>
      </c>
    </row>
    <row r="48" spans="1:29" s="124" customFormat="1" ht="35.4" customHeight="1">
      <c r="A48" s="154">
        <v>33</v>
      </c>
      <c r="B48" s="155">
        <f>'Tên Tháng 1'!B39</f>
        <v>38777</v>
      </c>
      <c r="C48" s="155" t="str">
        <f>'Tên Tháng 1'!C39</f>
        <v>ស្រី</v>
      </c>
      <c r="D48" s="156">
        <f>'Tên Tháng 1'!D39</f>
        <v>220234356</v>
      </c>
      <c r="E48" s="155" t="str">
        <f>'Tên Tháng 1'!E36</f>
        <v>ប៉ិល ផល្លា</v>
      </c>
      <c r="F48" s="157" t="str">
        <f>'Tên Tháng 1'!F36</f>
        <v>PEL PHALLA</v>
      </c>
      <c r="G48" s="158">
        <v>33</v>
      </c>
      <c r="H48" s="159"/>
      <c r="I48" s="159">
        <f t="shared" si="3"/>
        <v>0</v>
      </c>
      <c r="J48" s="159"/>
      <c r="K48" s="159">
        <f t="shared" si="0"/>
        <v>0</v>
      </c>
      <c r="L48" s="159">
        <f>'SAN LUONG'!AE41</f>
        <v>568.91999999999996</v>
      </c>
      <c r="M48" s="159">
        <f t="shared" si="4"/>
        <v>9.8800000000000008</v>
      </c>
      <c r="N48" s="167">
        <f>'CHAM CONG'!AR40</f>
        <v>0</v>
      </c>
      <c r="O48" s="159">
        <f t="shared" si="5"/>
        <v>0</v>
      </c>
      <c r="P48" s="159">
        <f>'CHAM CONG'!AQ40</f>
        <v>14</v>
      </c>
      <c r="Q48" s="159">
        <f t="shared" si="6"/>
        <v>7.01</v>
      </c>
      <c r="R48" s="159">
        <f t="shared" si="10"/>
        <v>14</v>
      </c>
      <c r="S48" s="159">
        <f t="shared" si="7"/>
        <v>0.44</v>
      </c>
      <c r="T48" s="159"/>
      <c r="U48" s="159">
        <f t="shared" si="11"/>
        <v>0</v>
      </c>
      <c r="V48" s="159">
        <f t="shared" si="12"/>
        <v>0</v>
      </c>
      <c r="W48" s="159"/>
      <c r="X48" s="159">
        <f t="shared" si="8"/>
        <v>17.330000000000002</v>
      </c>
      <c r="Y48" s="201"/>
      <c r="Z48" s="199" t="s">
        <v>270</v>
      </c>
      <c r="AA48" s="202">
        <v>17.329999999999998</v>
      </c>
      <c r="AB48" s="203">
        <f t="shared" si="9"/>
        <v>0</v>
      </c>
      <c r="AC48" s="124">
        <v>0.04</v>
      </c>
    </row>
    <row r="49" spans="1:29" s="124" customFormat="1" ht="35.4" customHeight="1">
      <c r="A49" s="154">
        <v>34</v>
      </c>
      <c r="B49" s="155">
        <f>'Tên Tháng 1'!B40</f>
        <v>30835</v>
      </c>
      <c r="C49" s="155" t="str">
        <f>'Tên Tháng 1'!C40</f>
        <v>ប្រុស</v>
      </c>
      <c r="D49" s="156">
        <f>'Tên Tháng 1'!D40</f>
        <v>160485580</v>
      </c>
      <c r="E49" s="155" t="str">
        <f>'Tên Tháng 1'!E37</f>
        <v>យៀត ឌី</v>
      </c>
      <c r="F49" s="157" t="str">
        <f>'Tên Tháng 1'!F37</f>
        <v>YIEN DY</v>
      </c>
      <c r="G49" s="158">
        <v>34</v>
      </c>
      <c r="H49" s="159"/>
      <c r="I49" s="159">
        <f t="shared" si="3"/>
        <v>0</v>
      </c>
      <c r="J49" s="159"/>
      <c r="K49" s="159">
        <f t="shared" si="0"/>
        <v>0</v>
      </c>
      <c r="L49" s="159">
        <f>'SAN LUONG'!AE42</f>
        <v>509.96</v>
      </c>
      <c r="M49" s="159">
        <f t="shared" si="4"/>
        <v>8.86</v>
      </c>
      <c r="N49" s="167">
        <f>'CHAM CONG'!AR41</f>
        <v>0</v>
      </c>
      <c r="O49" s="159">
        <f t="shared" si="5"/>
        <v>0</v>
      </c>
      <c r="P49" s="159">
        <f>'CHAM CONG'!AQ41</f>
        <v>14</v>
      </c>
      <c r="Q49" s="159">
        <f t="shared" si="6"/>
        <v>7.01</v>
      </c>
      <c r="R49" s="159">
        <f t="shared" si="10"/>
        <v>14</v>
      </c>
      <c r="S49" s="159">
        <f t="shared" si="7"/>
        <v>0.44</v>
      </c>
      <c r="T49" s="159"/>
      <c r="U49" s="159">
        <f t="shared" si="11"/>
        <v>0</v>
      </c>
      <c r="V49" s="159">
        <f t="shared" si="12"/>
        <v>0</v>
      </c>
      <c r="W49" s="159"/>
      <c r="X49" s="159">
        <f t="shared" si="8"/>
        <v>16.309999999999999</v>
      </c>
      <c r="Y49" s="201"/>
      <c r="Z49" s="199" t="s">
        <v>270</v>
      </c>
      <c r="AA49" s="202">
        <v>16.309999999999999</v>
      </c>
      <c r="AB49" s="203">
        <f t="shared" si="9"/>
        <v>0</v>
      </c>
      <c r="AC49" s="124">
        <v>0.04</v>
      </c>
    </row>
    <row r="50" spans="1:29" s="124" customFormat="1" ht="35.4" customHeight="1">
      <c r="A50" s="154">
        <v>35</v>
      </c>
      <c r="B50" s="155">
        <f>'Tên Tháng 1'!B41</f>
        <v>35066</v>
      </c>
      <c r="C50" s="155" t="str">
        <f>'Tên Tháng 1'!C41</f>
        <v>ស្រី</v>
      </c>
      <c r="D50" s="156">
        <f>'Tên Tháng 1'!D41</f>
        <v>150523513</v>
      </c>
      <c r="E50" s="155" t="str">
        <f>'Tên Tháng 1'!E38</f>
        <v>រឿន ចាន់រ៉ា</v>
      </c>
      <c r="F50" s="157" t="str">
        <f>'Tên Tháng 1'!F38</f>
        <v>ROEUN CHANRA</v>
      </c>
      <c r="G50" s="158">
        <v>35</v>
      </c>
      <c r="H50" s="159"/>
      <c r="I50" s="159">
        <f t="shared" si="3"/>
        <v>0</v>
      </c>
      <c r="J50" s="159"/>
      <c r="K50" s="159">
        <f t="shared" si="0"/>
        <v>0</v>
      </c>
      <c r="L50" s="159">
        <f>'SAN LUONG'!AE43</f>
        <v>421.52</v>
      </c>
      <c r="M50" s="159">
        <f t="shared" si="4"/>
        <v>7.32</v>
      </c>
      <c r="N50" s="167">
        <f>'CHAM CONG'!AR42</f>
        <v>0</v>
      </c>
      <c r="O50" s="159">
        <f t="shared" si="5"/>
        <v>0</v>
      </c>
      <c r="P50" s="159">
        <f>'CHAM CONG'!AQ42</f>
        <v>14</v>
      </c>
      <c r="Q50" s="159">
        <f t="shared" si="6"/>
        <v>7.01</v>
      </c>
      <c r="R50" s="159">
        <f t="shared" si="10"/>
        <v>14</v>
      </c>
      <c r="S50" s="159">
        <f t="shared" si="7"/>
        <v>0.44</v>
      </c>
      <c r="T50" s="159"/>
      <c r="U50" s="159">
        <f t="shared" si="11"/>
        <v>0</v>
      </c>
      <c r="V50" s="159">
        <f t="shared" si="12"/>
        <v>0</v>
      </c>
      <c r="W50" s="159"/>
      <c r="X50" s="159">
        <f t="shared" si="8"/>
        <v>14.77</v>
      </c>
      <c r="Y50" s="201"/>
      <c r="Z50" s="199" t="s">
        <v>270</v>
      </c>
      <c r="AA50" s="202">
        <v>14.77</v>
      </c>
      <c r="AB50" s="203">
        <f t="shared" si="9"/>
        <v>0</v>
      </c>
      <c r="AC50" s="124">
        <v>0.04</v>
      </c>
    </row>
    <row r="51" spans="1:29" s="124" customFormat="1" ht="31.2" customHeight="1">
      <c r="A51" s="154">
        <v>36</v>
      </c>
      <c r="B51" s="155"/>
      <c r="C51" s="155"/>
      <c r="D51" s="156"/>
      <c r="E51" s="155" t="str">
        <f>'Tên Tháng 1'!E39</f>
        <v>អៀវ សុភ័ណ្ឌ</v>
      </c>
      <c r="F51" s="157" t="str">
        <f>'Tên Tháng 1'!F39</f>
        <v>IEV SOPHORN</v>
      </c>
      <c r="G51" s="158">
        <v>36</v>
      </c>
      <c r="H51" s="159"/>
      <c r="I51" s="159">
        <f t="shared" si="3"/>
        <v>0</v>
      </c>
      <c r="J51" s="159"/>
      <c r="K51" s="159">
        <f t="shared" si="0"/>
        <v>0</v>
      </c>
      <c r="L51" s="159">
        <f>'SAN LUONG'!AE44</f>
        <v>529.32000000000005</v>
      </c>
      <c r="M51" s="159">
        <f t="shared" si="4"/>
        <v>9.1999999999999993</v>
      </c>
      <c r="N51" s="167">
        <f>'CHAM CONG'!AR43</f>
        <v>0</v>
      </c>
      <c r="O51" s="159">
        <f t="shared" si="5"/>
        <v>0</v>
      </c>
      <c r="P51" s="159">
        <f>'CHAM CONG'!AQ43</f>
        <v>14</v>
      </c>
      <c r="Q51" s="159">
        <f t="shared" si="6"/>
        <v>7.01</v>
      </c>
      <c r="R51" s="159">
        <f t="shared" si="10"/>
        <v>14</v>
      </c>
      <c r="S51" s="159">
        <f t="shared" si="7"/>
        <v>0.44</v>
      </c>
      <c r="T51" s="159"/>
      <c r="U51" s="159">
        <f t="shared" si="11"/>
        <v>0</v>
      </c>
      <c r="V51" s="159">
        <f t="shared" si="12"/>
        <v>0</v>
      </c>
      <c r="W51" s="159"/>
      <c r="X51" s="159">
        <f t="shared" si="8"/>
        <v>16.650000000000002</v>
      </c>
      <c r="Y51" s="201"/>
      <c r="Z51" s="199" t="s">
        <v>270</v>
      </c>
      <c r="AA51" s="202">
        <v>16.649999999999999</v>
      </c>
      <c r="AB51" s="203">
        <f t="shared" si="9"/>
        <v>0</v>
      </c>
      <c r="AC51" s="124">
        <v>0.04</v>
      </c>
    </row>
    <row r="52" spans="1:29" s="124" customFormat="1" ht="31.2" customHeight="1">
      <c r="A52" s="154">
        <v>37</v>
      </c>
      <c r="B52" s="155">
        <f>'Tên Tháng 1'!B43</f>
        <v>38363</v>
      </c>
      <c r="C52" s="155" t="str">
        <f>'Tên Tháng 1'!C43</f>
        <v>ស្រី</v>
      </c>
      <c r="D52" s="156">
        <f>'Tên Tháng 1'!D43</f>
        <v>220220033</v>
      </c>
      <c r="E52" s="155" t="str">
        <f>'Tên Tháng 1'!E40</f>
        <v>គុយ សឿន</v>
      </c>
      <c r="F52" s="157" t="str">
        <f>'Tên Tháng 1'!F40</f>
        <v>KUY SOEUN</v>
      </c>
      <c r="G52" s="158">
        <v>37</v>
      </c>
      <c r="H52" s="159"/>
      <c r="I52" s="159">
        <f t="shared" si="3"/>
        <v>0</v>
      </c>
      <c r="J52" s="159"/>
      <c r="K52" s="159">
        <f t="shared" si="0"/>
        <v>0</v>
      </c>
      <c r="L52" s="159">
        <f>'SAN LUONG'!AE45</f>
        <v>496.76</v>
      </c>
      <c r="M52" s="159">
        <f t="shared" si="4"/>
        <v>8.6300000000000008</v>
      </c>
      <c r="N52" s="167">
        <f>'CHAM CONG'!AR44</f>
        <v>0</v>
      </c>
      <c r="O52" s="159">
        <f t="shared" si="5"/>
        <v>0</v>
      </c>
      <c r="P52" s="159">
        <f>'CHAM CONG'!AQ44</f>
        <v>14</v>
      </c>
      <c r="Q52" s="159">
        <f t="shared" si="6"/>
        <v>7.01</v>
      </c>
      <c r="R52" s="159">
        <f t="shared" si="10"/>
        <v>14</v>
      </c>
      <c r="S52" s="159">
        <f t="shared" si="7"/>
        <v>0.44</v>
      </c>
      <c r="T52" s="159"/>
      <c r="U52" s="159">
        <f t="shared" si="11"/>
        <v>0</v>
      </c>
      <c r="V52" s="159">
        <f t="shared" si="12"/>
        <v>0</v>
      </c>
      <c r="W52" s="159"/>
      <c r="X52" s="159">
        <f t="shared" si="8"/>
        <v>16.080000000000002</v>
      </c>
      <c r="Y52" s="201"/>
      <c r="Z52" s="199" t="s">
        <v>270</v>
      </c>
      <c r="AA52" s="202">
        <v>16.079999999999998</v>
      </c>
      <c r="AB52" s="203">
        <f t="shared" si="9"/>
        <v>0</v>
      </c>
      <c r="AC52" s="124">
        <v>0.04</v>
      </c>
    </row>
    <row r="53" spans="1:29" s="124" customFormat="1" ht="31.2" customHeight="1">
      <c r="A53" s="154">
        <v>38</v>
      </c>
      <c r="B53" s="155">
        <f>'Tên Tháng 1'!B44</f>
        <v>37441</v>
      </c>
      <c r="C53" s="155" t="str">
        <f>'Tên Tháng 1'!C44</f>
        <v>ប្រុស</v>
      </c>
      <c r="D53" s="156">
        <f>'Tên Tháng 1'!D44</f>
        <v>150935343</v>
      </c>
      <c r="E53" s="155" t="str">
        <f>'Tên Tháng 1'!E41</f>
        <v>សាំ សុរីសា</v>
      </c>
      <c r="F53" s="157" t="str">
        <f>'Tên Tháng 1'!F41</f>
        <v>SAM SORYSA</v>
      </c>
      <c r="G53" s="158">
        <v>38</v>
      </c>
      <c r="H53" s="159"/>
      <c r="I53" s="159">
        <f t="shared" si="3"/>
        <v>0</v>
      </c>
      <c r="J53" s="159"/>
      <c r="K53" s="159">
        <f t="shared" si="0"/>
        <v>0</v>
      </c>
      <c r="L53" s="159">
        <f>'SAN LUONG'!AE46</f>
        <v>511.72</v>
      </c>
      <c r="M53" s="159">
        <f t="shared" si="4"/>
        <v>8.89</v>
      </c>
      <c r="N53" s="167">
        <f>'CHAM CONG'!AR45</f>
        <v>0</v>
      </c>
      <c r="O53" s="159">
        <f t="shared" si="5"/>
        <v>0</v>
      </c>
      <c r="P53" s="159">
        <f>'CHAM CONG'!AQ45</f>
        <v>14</v>
      </c>
      <c r="Q53" s="159">
        <f t="shared" si="6"/>
        <v>7.01</v>
      </c>
      <c r="R53" s="159">
        <f t="shared" si="10"/>
        <v>14</v>
      </c>
      <c r="S53" s="159">
        <f t="shared" si="7"/>
        <v>0.44</v>
      </c>
      <c r="T53" s="159"/>
      <c r="U53" s="159">
        <f t="shared" si="11"/>
        <v>0</v>
      </c>
      <c r="V53" s="159">
        <f t="shared" si="12"/>
        <v>0</v>
      </c>
      <c r="W53" s="159"/>
      <c r="X53" s="159">
        <f t="shared" si="8"/>
        <v>16.34</v>
      </c>
      <c r="Y53" s="201"/>
      <c r="Z53" s="199" t="s">
        <v>270</v>
      </c>
      <c r="AA53" s="202">
        <v>16.34</v>
      </c>
      <c r="AB53" s="203">
        <f t="shared" si="9"/>
        <v>0</v>
      </c>
      <c r="AC53" s="124">
        <v>0.04</v>
      </c>
    </row>
    <row r="54" spans="1:29" s="124" customFormat="1" ht="31.2" customHeight="1">
      <c r="A54" s="154">
        <v>39</v>
      </c>
      <c r="B54" s="155">
        <f>'Tên Tháng 1'!B45</f>
        <v>33796</v>
      </c>
      <c r="C54" s="155" t="str">
        <f>'Tên Tháng 1'!C45</f>
        <v>ប្រុស</v>
      </c>
      <c r="D54" s="156">
        <f>'Tên Tháng 1'!D45</f>
        <v>150468460</v>
      </c>
      <c r="E54" s="155" t="str">
        <f>'Tên Tháng 1'!E42</f>
        <v>មាស សំបាន</v>
      </c>
      <c r="F54" s="157" t="str">
        <f>'Tên Tháng 1'!F42</f>
        <v>MEAS SOM BAN</v>
      </c>
      <c r="G54" s="158">
        <v>39</v>
      </c>
      <c r="H54" s="159"/>
      <c r="I54" s="159">
        <f t="shared" si="3"/>
        <v>0</v>
      </c>
      <c r="J54" s="159"/>
      <c r="K54" s="159">
        <f t="shared" si="0"/>
        <v>0</v>
      </c>
      <c r="L54" s="159">
        <f>'SAN LUONG'!AE47</f>
        <v>494.12</v>
      </c>
      <c r="M54" s="159">
        <f t="shared" si="4"/>
        <v>8.58</v>
      </c>
      <c r="N54" s="167">
        <f>'CHAM CONG'!AR46</f>
        <v>0</v>
      </c>
      <c r="O54" s="159">
        <f t="shared" si="5"/>
        <v>0</v>
      </c>
      <c r="P54" s="159">
        <f>'CHAM CONG'!AQ46</f>
        <v>13</v>
      </c>
      <c r="Q54" s="159">
        <f t="shared" si="6"/>
        <v>6.51</v>
      </c>
      <c r="R54" s="159">
        <f t="shared" si="10"/>
        <v>13</v>
      </c>
      <c r="S54" s="159">
        <f t="shared" si="7"/>
        <v>0.41</v>
      </c>
      <c r="T54" s="159"/>
      <c r="U54" s="159">
        <f t="shared" si="11"/>
        <v>0</v>
      </c>
      <c r="V54" s="159">
        <f t="shared" si="12"/>
        <v>0</v>
      </c>
      <c r="W54" s="159"/>
      <c r="X54" s="159">
        <f t="shared" si="8"/>
        <v>15.5</v>
      </c>
      <c r="Y54" s="201"/>
      <c r="Z54" s="199" t="s">
        <v>270</v>
      </c>
      <c r="AA54" s="202">
        <v>15.5</v>
      </c>
      <c r="AB54" s="203">
        <f t="shared" si="9"/>
        <v>0</v>
      </c>
      <c r="AC54" s="124">
        <v>0.01</v>
      </c>
    </row>
    <row r="55" spans="1:29" s="124" customFormat="1" ht="31.2" customHeight="1">
      <c r="A55" s="154">
        <v>40</v>
      </c>
      <c r="B55" s="155">
        <f>'Tên Tháng 1'!B46</f>
        <v>32968</v>
      </c>
      <c r="C55" s="155" t="str">
        <f>'Tên Tháng 1'!C46</f>
        <v>ប្រុស</v>
      </c>
      <c r="D55" s="156">
        <f>'Tên Tháng 1'!D46</f>
        <v>220175299</v>
      </c>
      <c r="E55" s="155" t="str">
        <f>'Tên Tháng 1'!E43</f>
        <v>សុទ្ធ ឡៃហ័ន</v>
      </c>
      <c r="F55" s="157" t="str">
        <f>'Tên Tháng 1'!F43</f>
        <v>SOT LAYHORN</v>
      </c>
      <c r="G55" s="158">
        <v>40</v>
      </c>
      <c r="H55" s="159"/>
      <c r="I55" s="159">
        <f t="shared" si="3"/>
        <v>0</v>
      </c>
      <c r="J55" s="159"/>
      <c r="K55" s="159">
        <f t="shared" si="0"/>
        <v>0</v>
      </c>
      <c r="L55" s="159">
        <f>'SAN LUONG'!AE48</f>
        <v>462</v>
      </c>
      <c r="M55" s="159">
        <f t="shared" si="4"/>
        <v>8.0299999999999994</v>
      </c>
      <c r="N55" s="167">
        <f>'CHAM CONG'!AR47</f>
        <v>1</v>
      </c>
      <c r="O55" s="159">
        <f t="shared" si="5"/>
        <v>0.53</v>
      </c>
      <c r="P55" s="159">
        <f>'CHAM CONG'!AQ47</f>
        <v>13</v>
      </c>
      <c r="Q55" s="159">
        <f t="shared" si="6"/>
        <v>6.51</v>
      </c>
      <c r="R55" s="159">
        <f t="shared" si="10"/>
        <v>13</v>
      </c>
      <c r="S55" s="159">
        <f t="shared" si="7"/>
        <v>0.41</v>
      </c>
      <c r="T55" s="159"/>
      <c r="U55" s="159">
        <f t="shared" si="11"/>
        <v>0</v>
      </c>
      <c r="V55" s="159">
        <f t="shared" si="12"/>
        <v>0</v>
      </c>
      <c r="W55" s="159"/>
      <c r="X55" s="159">
        <f t="shared" si="8"/>
        <v>15.479999999999999</v>
      </c>
      <c r="Y55" s="201"/>
      <c r="Z55" s="199" t="s">
        <v>270</v>
      </c>
      <c r="AA55" s="202">
        <v>15.48</v>
      </c>
      <c r="AB55" s="203">
        <f t="shared" si="9"/>
        <v>0</v>
      </c>
      <c r="AC55" s="124">
        <v>0.04</v>
      </c>
    </row>
    <row r="56" spans="1:29" s="124" customFormat="1" ht="31.2" customHeight="1">
      <c r="A56" s="154">
        <v>41</v>
      </c>
      <c r="B56" s="155">
        <f>'Tên Tháng 1'!B47</f>
        <v>36783</v>
      </c>
      <c r="C56" s="155" t="str">
        <f>'Tên Tháng 1'!C47</f>
        <v>ស្រី</v>
      </c>
      <c r="D56" s="156">
        <f>'Tên Tháng 1'!D47</f>
        <v>150982919</v>
      </c>
      <c r="E56" s="155" t="str">
        <f>'Tên Tháng 1'!E44</f>
        <v>អឿង សំអុល</v>
      </c>
      <c r="F56" s="157" t="str">
        <f>'Tên Tháng 1'!F44</f>
        <v>OENG SAMOL</v>
      </c>
      <c r="G56" s="158">
        <v>41</v>
      </c>
      <c r="H56" s="159"/>
      <c r="I56" s="159">
        <f t="shared" si="3"/>
        <v>0</v>
      </c>
      <c r="J56" s="159"/>
      <c r="K56" s="159">
        <f t="shared" si="0"/>
        <v>0</v>
      </c>
      <c r="L56" s="159">
        <f>'SAN LUONG'!AE49</f>
        <v>390.28</v>
      </c>
      <c r="M56" s="159">
        <f t="shared" si="4"/>
        <v>6.78</v>
      </c>
      <c r="N56" s="167">
        <f>'CHAM CONG'!AR48</f>
        <v>1</v>
      </c>
      <c r="O56" s="159">
        <f t="shared" si="5"/>
        <v>0.53</v>
      </c>
      <c r="P56" s="159">
        <f>'CHAM CONG'!AQ48</f>
        <v>13</v>
      </c>
      <c r="Q56" s="159">
        <f t="shared" si="6"/>
        <v>6.51</v>
      </c>
      <c r="R56" s="159">
        <f t="shared" si="10"/>
        <v>13</v>
      </c>
      <c r="S56" s="159">
        <f t="shared" si="7"/>
        <v>0.41</v>
      </c>
      <c r="T56" s="159"/>
      <c r="U56" s="159">
        <f t="shared" si="11"/>
        <v>0</v>
      </c>
      <c r="V56" s="159">
        <f t="shared" si="12"/>
        <v>0</v>
      </c>
      <c r="W56" s="159"/>
      <c r="X56" s="159">
        <f t="shared" si="8"/>
        <v>14.229999999999999</v>
      </c>
      <c r="Y56" s="201"/>
      <c r="Z56" s="199" t="s">
        <v>270</v>
      </c>
      <c r="AA56" s="202">
        <v>14.23</v>
      </c>
      <c r="AB56" s="203">
        <f t="shared" si="9"/>
        <v>0</v>
      </c>
      <c r="AC56" s="124">
        <v>0.04</v>
      </c>
    </row>
    <row r="57" spans="1:29" s="124" customFormat="1" ht="31.2" customHeight="1">
      <c r="A57" s="154">
        <v>42</v>
      </c>
      <c r="B57" s="155">
        <f>'Tên Tháng 1'!B48</f>
        <v>36670</v>
      </c>
      <c r="C57" s="155" t="str">
        <f>'Tên Tháng 1'!C48</f>
        <v>ប្រុស</v>
      </c>
      <c r="D57" s="156">
        <f>'Tên Tháng 1'!D48</f>
        <v>150865342</v>
      </c>
      <c r="E57" s="155" t="str">
        <f>'Tên Tháng 1'!E45</f>
        <v>ឡា​ឡច</v>
      </c>
      <c r="F57" s="157" t="str">
        <f>'Tên Tháng 1'!F45</f>
        <v>LA LOCH</v>
      </c>
      <c r="G57" s="158">
        <v>42</v>
      </c>
      <c r="H57" s="159"/>
      <c r="I57" s="159">
        <f t="shared" si="3"/>
        <v>0</v>
      </c>
      <c r="J57" s="159"/>
      <c r="K57" s="159">
        <f t="shared" si="0"/>
        <v>0</v>
      </c>
      <c r="L57" s="159">
        <f>'SAN LUONG'!AE50</f>
        <v>578.6</v>
      </c>
      <c r="M57" s="159">
        <f t="shared" si="4"/>
        <v>10.050000000000001</v>
      </c>
      <c r="N57" s="167">
        <f>'CHAM CONG'!AR49</f>
        <v>2</v>
      </c>
      <c r="O57" s="159">
        <f t="shared" si="5"/>
        <v>1.06</v>
      </c>
      <c r="P57" s="159">
        <f>'CHAM CONG'!AQ49</f>
        <v>13</v>
      </c>
      <c r="Q57" s="159">
        <f t="shared" si="6"/>
        <v>6.51</v>
      </c>
      <c r="R57" s="159">
        <f t="shared" si="10"/>
        <v>13</v>
      </c>
      <c r="S57" s="159">
        <f t="shared" si="7"/>
        <v>0.41</v>
      </c>
      <c r="T57" s="159"/>
      <c r="U57" s="159">
        <f t="shared" si="11"/>
        <v>0</v>
      </c>
      <c r="V57" s="159">
        <f t="shared" si="12"/>
        <v>0</v>
      </c>
      <c r="W57" s="159"/>
      <c r="X57" s="159">
        <f t="shared" si="8"/>
        <v>18.03</v>
      </c>
      <c r="Y57" s="201"/>
      <c r="Z57" s="199" t="s">
        <v>270</v>
      </c>
      <c r="AA57" s="202">
        <v>18.03</v>
      </c>
      <c r="AB57" s="203">
        <f t="shared" si="9"/>
        <v>0</v>
      </c>
      <c r="AC57" s="124">
        <v>0.04</v>
      </c>
    </row>
    <row r="58" spans="1:29" s="124" customFormat="1" ht="31.2" customHeight="1">
      <c r="A58" s="154">
        <v>43</v>
      </c>
      <c r="B58" s="155">
        <f>'Tên Tháng 1'!B49</f>
        <v>37842</v>
      </c>
      <c r="C58" s="155" t="str">
        <f>'Tên Tháng 1'!C49</f>
        <v>ប្រុស</v>
      </c>
      <c r="D58" s="156">
        <f>'Tên Tháng 1'!D49</f>
        <v>151016972</v>
      </c>
      <c r="E58" s="155" t="str">
        <f>'Tên Tháng 1'!E46</f>
        <v>សៀក សំ</v>
      </c>
      <c r="F58" s="157" t="str">
        <f>'Tên Tháng 1'!F46</f>
        <v>SIEK SOM</v>
      </c>
      <c r="G58" s="158">
        <v>43</v>
      </c>
      <c r="H58" s="159"/>
      <c r="I58" s="159">
        <f t="shared" si="3"/>
        <v>0</v>
      </c>
      <c r="J58" s="159"/>
      <c r="K58" s="159">
        <f t="shared" si="0"/>
        <v>0</v>
      </c>
      <c r="L58" s="159">
        <f>'SAN LUONG'!AE51</f>
        <v>473.44</v>
      </c>
      <c r="M58" s="159">
        <f t="shared" si="4"/>
        <v>8.2200000000000006</v>
      </c>
      <c r="N58" s="167">
        <f>'CHAM CONG'!AR50</f>
        <v>0</v>
      </c>
      <c r="O58" s="159">
        <f t="shared" si="5"/>
        <v>0</v>
      </c>
      <c r="P58" s="159">
        <f>'CHAM CONG'!AQ50</f>
        <v>11</v>
      </c>
      <c r="Q58" s="159">
        <f t="shared" si="6"/>
        <v>5.51</v>
      </c>
      <c r="R58" s="159">
        <f t="shared" si="10"/>
        <v>11</v>
      </c>
      <c r="S58" s="159">
        <f t="shared" si="7"/>
        <v>0.34</v>
      </c>
      <c r="T58" s="159"/>
      <c r="U58" s="159">
        <f t="shared" si="11"/>
        <v>0</v>
      </c>
      <c r="V58" s="159">
        <f t="shared" si="12"/>
        <v>0</v>
      </c>
      <c r="W58" s="159"/>
      <c r="X58" s="159">
        <f t="shared" si="8"/>
        <v>14.07</v>
      </c>
      <c r="Y58" s="201"/>
      <c r="Z58" s="199" t="s">
        <v>270</v>
      </c>
      <c r="AA58" s="202">
        <v>14.08</v>
      </c>
      <c r="AB58" s="203">
        <f t="shared" si="9"/>
        <v>0.01</v>
      </c>
      <c r="AC58" s="124">
        <v>0.04</v>
      </c>
    </row>
    <row r="59" spans="1:29" s="124" customFormat="1" ht="31.2" customHeight="1">
      <c r="A59" s="154">
        <v>44</v>
      </c>
      <c r="B59" s="155"/>
      <c r="C59" s="155"/>
      <c r="D59" s="156"/>
      <c r="E59" s="155" t="str">
        <f>'Tên Tháng 1'!E47</f>
        <v>អ៊ីម សារ៉ាន</v>
      </c>
      <c r="F59" s="157" t="str">
        <f>'Tên Tháng 1'!F47</f>
        <v>IM SARAN</v>
      </c>
      <c r="G59" s="158">
        <v>44</v>
      </c>
      <c r="H59" s="159"/>
      <c r="I59" s="159">
        <f t="shared" si="3"/>
        <v>0</v>
      </c>
      <c r="J59" s="159"/>
      <c r="K59" s="159">
        <f t="shared" si="0"/>
        <v>0</v>
      </c>
      <c r="L59" s="159">
        <f>'SAN LUONG'!AE52</f>
        <v>442.64</v>
      </c>
      <c r="M59" s="159">
        <f t="shared" si="4"/>
        <v>7.69</v>
      </c>
      <c r="N59" s="167">
        <f>'CHAM CONG'!AR51</f>
        <v>0</v>
      </c>
      <c r="O59" s="159">
        <f t="shared" si="5"/>
        <v>0</v>
      </c>
      <c r="P59" s="159">
        <f>'CHAM CONG'!AQ51</f>
        <v>13</v>
      </c>
      <c r="Q59" s="159">
        <f t="shared" si="6"/>
        <v>6.51</v>
      </c>
      <c r="R59" s="159">
        <f t="shared" si="10"/>
        <v>13</v>
      </c>
      <c r="S59" s="159">
        <f t="shared" si="7"/>
        <v>0.41</v>
      </c>
      <c r="T59" s="159"/>
      <c r="U59" s="159">
        <f t="shared" ref="U59:U122" si="13">ROUND(T59*$U$14/31947,2)</f>
        <v>0</v>
      </c>
      <c r="V59" s="159">
        <f t="shared" ref="V59:V122" si="14">ROUND(U59*30456,0)</f>
        <v>0</v>
      </c>
      <c r="W59" s="159"/>
      <c r="X59" s="159">
        <f t="shared" si="8"/>
        <v>14.61</v>
      </c>
      <c r="Y59" s="201"/>
      <c r="Z59" s="199" t="s">
        <v>270</v>
      </c>
      <c r="AA59" s="202">
        <v>14.61</v>
      </c>
      <c r="AB59" s="203">
        <f t="shared" si="9"/>
        <v>0</v>
      </c>
      <c r="AC59" s="124">
        <v>0.03</v>
      </c>
    </row>
    <row r="60" spans="1:29" s="124" customFormat="1" ht="31.2" customHeight="1">
      <c r="A60" s="154">
        <v>45</v>
      </c>
      <c r="B60" s="155"/>
      <c r="C60" s="155"/>
      <c r="D60" s="156"/>
      <c r="E60" s="155" t="str">
        <f>'Tên Tháng 1'!E48</f>
        <v>គាន ខេន</v>
      </c>
      <c r="F60" s="157" t="str">
        <f>'Tên Tháng 1'!F48</f>
        <v>KEAN KHEN</v>
      </c>
      <c r="G60" s="158">
        <v>45</v>
      </c>
      <c r="H60" s="159"/>
      <c r="I60" s="159">
        <f t="shared" si="3"/>
        <v>0</v>
      </c>
      <c r="J60" s="159"/>
      <c r="K60" s="159">
        <f t="shared" si="0"/>
        <v>0</v>
      </c>
      <c r="L60" s="159">
        <f>'SAN LUONG'!AE53</f>
        <v>470.8</v>
      </c>
      <c r="M60" s="159">
        <f t="shared" si="4"/>
        <v>8.18</v>
      </c>
      <c r="N60" s="167">
        <f>'CHAM CONG'!AR52</f>
        <v>0</v>
      </c>
      <c r="O60" s="159">
        <f t="shared" si="5"/>
        <v>0</v>
      </c>
      <c r="P60" s="159">
        <f>'CHAM CONG'!AQ52</f>
        <v>11</v>
      </c>
      <c r="Q60" s="159">
        <f t="shared" si="6"/>
        <v>5.51</v>
      </c>
      <c r="R60" s="159">
        <f t="shared" si="10"/>
        <v>11</v>
      </c>
      <c r="S60" s="159">
        <f t="shared" si="7"/>
        <v>0.34</v>
      </c>
      <c r="T60" s="159"/>
      <c r="U60" s="159">
        <f t="shared" si="13"/>
        <v>0</v>
      </c>
      <c r="V60" s="159">
        <f t="shared" si="14"/>
        <v>0</v>
      </c>
      <c r="W60" s="159"/>
      <c r="X60" s="159">
        <f t="shared" si="8"/>
        <v>14.03</v>
      </c>
      <c r="Y60" s="201"/>
      <c r="Z60" s="199" t="s">
        <v>270</v>
      </c>
      <c r="AA60" s="202">
        <v>14.03</v>
      </c>
      <c r="AB60" s="203">
        <f t="shared" si="9"/>
        <v>0</v>
      </c>
      <c r="AC60" s="124">
        <v>0.01</v>
      </c>
    </row>
    <row r="61" spans="1:29" s="124" customFormat="1" ht="37.950000000000003" customHeight="1">
      <c r="A61" s="154">
        <v>46</v>
      </c>
      <c r="B61" s="155"/>
      <c r="C61" s="155"/>
      <c r="D61" s="156"/>
      <c r="E61" s="155" t="str">
        <f>'Tên Tháng 1'!E49</f>
        <v>ទួច សុភាន់</v>
      </c>
      <c r="F61" s="157" t="str">
        <f>'Tên Tháng 1'!F49</f>
        <v>TUOCH SOPHOIN</v>
      </c>
      <c r="G61" s="158">
        <v>46</v>
      </c>
      <c r="H61" s="159"/>
      <c r="I61" s="159">
        <f t="shared" si="3"/>
        <v>0</v>
      </c>
      <c r="J61" s="159"/>
      <c r="K61" s="159">
        <f t="shared" si="0"/>
        <v>0</v>
      </c>
      <c r="L61" s="159">
        <f>'SAN LUONG'!AE54</f>
        <v>559.24</v>
      </c>
      <c r="M61" s="159">
        <f t="shared" si="4"/>
        <v>9.7200000000000006</v>
      </c>
      <c r="N61" s="167">
        <f>'CHAM CONG'!AR53</f>
        <v>1</v>
      </c>
      <c r="O61" s="159">
        <f t="shared" si="5"/>
        <v>0.53</v>
      </c>
      <c r="P61" s="159">
        <f>'CHAM CONG'!AQ53</f>
        <v>12</v>
      </c>
      <c r="Q61" s="159">
        <f t="shared" si="6"/>
        <v>6.01</v>
      </c>
      <c r="R61" s="159">
        <f t="shared" si="10"/>
        <v>12</v>
      </c>
      <c r="S61" s="159">
        <f t="shared" si="7"/>
        <v>0.38</v>
      </c>
      <c r="T61" s="159"/>
      <c r="U61" s="159">
        <f t="shared" si="13"/>
        <v>0</v>
      </c>
      <c r="V61" s="159">
        <f t="shared" si="14"/>
        <v>0</v>
      </c>
      <c r="W61" s="159"/>
      <c r="X61" s="159">
        <f t="shared" si="8"/>
        <v>16.64</v>
      </c>
      <c r="Y61" s="201"/>
      <c r="Z61" s="199" t="s">
        <v>270</v>
      </c>
      <c r="AA61" s="202">
        <v>16.63</v>
      </c>
      <c r="AB61" s="203">
        <f t="shared" si="9"/>
        <v>-0.01</v>
      </c>
      <c r="AC61" s="124">
        <v>0.03</v>
      </c>
    </row>
    <row r="62" spans="1:29" s="124" customFormat="1" ht="37.950000000000003" customHeight="1">
      <c r="A62" s="154">
        <v>47</v>
      </c>
      <c r="B62" s="155"/>
      <c r="C62" s="155"/>
      <c r="D62" s="156"/>
      <c r="E62" s="155" t="str">
        <f>'Tên Tháng 1'!E50</f>
        <v>ឆេង យីន</v>
      </c>
      <c r="F62" s="157" t="str">
        <f>'Tên Tháng 1'!F50</f>
        <v>CHHENG YIN</v>
      </c>
      <c r="G62" s="158">
        <v>47</v>
      </c>
      <c r="H62" s="159"/>
      <c r="I62" s="159">
        <f t="shared" si="3"/>
        <v>0</v>
      </c>
      <c r="J62" s="159"/>
      <c r="K62" s="159">
        <f t="shared" si="0"/>
        <v>0</v>
      </c>
      <c r="L62" s="159">
        <f>'SAN LUONG'!AE55</f>
        <v>260.92</v>
      </c>
      <c r="M62" s="159">
        <f t="shared" si="4"/>
        <v>4.53</v>
      </c>
      <c r="N62" s="167">
        <f>'CHAM CONG'!AR54</f>
        <v>0</v>
      </c>
      <c r="O62" s="159">
        <f t="shared" si="5"/>
        <v>0</v>
      </c>
      <c r="P62" s="159">
        <f>'CHAM CONG'!AQ54</f>
        <v>12</v>
      </c>
      <c r="Q62" s="159">
        <f t="shared" si="6"/>
        <v>6.01</v>
      </c>
      <c r="R62" s="159">
        <f t="shared" si="10"/>
        <v>12</v>
      </c>
      <c r="S62" s="159">
        <f t="shared" si="7"/>
        <v>0.38</v>
      </c>
      <c r="T62" s="159"/>
      <c r="U62" s="159">
        <f t="shared" si="13"/>
        <v>0</v>
      </c>
      <c r="V62" s="159">
        <f t="shared" si="14"/>
        <v>0</v>
      </c>
      <c r="W62" s="159"/>
      <c r="X62" s="159">
        <f t="shared" si="8"/>
        <v>10.92</v>
      </c>
      <c r="Y62" s="201"/>
      <c r="Z62" s="199" t="s">
        <v>270</v>
      </c>
      <c r="AA62" s="202">
        <v>10.92</v>
      </c>
      <c r="AB62" s="203">
        <f t="shared" si="9"/>
        <v>0</v>
      </c>
      <c r="AC62" s="124">
        <v>-0.02</v>
      </c>
    </row>
    <row r="63" spans="1:29" s="124" customFormat="1" ht="33" customHeight="1">
      <c r="A63" s="154">
        <v>48</v>
      </c>
      <c r="B63" s="155"/>
      <c r="C63" s="155"/>
      <c r="D63" s="156"/>
      <c r="E63" s="155" t="str">
        <f>'Tên Tháng 1'!E51</f>
        <v>ឆែម អ៊ិន</v>
      </c>
      <c r="F63" s="157" t="str">
        <f>'Tên Tháng 1'!F51</f>
        <v>CHHEM IN</v>
      </c>
      <c r="G63" s="158">
        <v>137</v>
      </c>
      <c r="H63" s="159">
        <f>ROUND('SAN LUONG'!W56*0.44,2)</f>
        <v>497.64</v>
      </c>
      <c r="I63" s="159">
        <f t="shared" si="3"/>
        <v>7.09</v>
      </c>
      <c r="J63" s="168"/>
      <c r="K63" s="159">
        <f t="shared" si="0"/>
        <v>0</v>
      </c>
      <c r="L63" s="159"/>
      <c r="M63" s="159">
        <f t="shared" si="4"/>
        <v>0</v>
      </c>
      <c r="N63" s="167">
        <f>'CHAM CONG'!AR55</f>
        <v>1</v>
      </c>
      <c r="O63" s="159">
        <f t="shared" si="5"/>
        <v>0.53</v>
      </c>
      <c r="P63" s="159">
        <f>'CHAM CONG'!AQ55</f>
        <v>15</v>
      </c>
      <c r="Q63" s="159">
        <f t="shared" si="6"/>
        <v>7.51</v>
      </c>
      <c r="R63" s="159">
        <f t="shared" si="10"/>
        <v>15</v>
      </c>
      <c r="S63" s="159">
        <f t="shared" si="7"/>
        <v>0.47</v>
      </c>
      <c r="T63" s="159"/>
      <c r="U63" s="159">
        <f t="shared" si="13"/>
        <v>0</v>
      </c>
      <c r="V63" s="159">
        <f t="shared" si="14"/>
        <v>0</v>
      </c>
      <c r="W63" s="159"/>
      <c r="X63" s="159">
        <f t="shared" si="8"/>
        <v>15.6</v>
      </c>
      <c r="Y63" s="201"/>
      <c r="Z63" s="199" t="s">
        <v>270</v>
      </c>
      <c r="AA63" s="202">
        <v>15.6</v>
      </c>
      <c r="AB63" s="203">
        <f t="shared" si="9"/>
        <v>0</v>
      </c>
      <c r="AC63" s="124">
        <v>0.04</v>
      </c>
    </row>
    <row r="64" spans="1:29" s="124" customFormat="1" ht="33" customHeight="1">
      <c r="A64" s="154">
        <v>49</v>
      </c>
      <c r="B64" s="155"/>
      <c r="C64" s="155"/>
      <c r="D64" s="156"/>
      <c r="E64" s="155" t="str">
        <f>'Tên Tháng 1'!E52</f>
        <v>វឿន លីម</v>
      </c>
      <c r="F64" s="157" t="str">
        <f>'Tên Tháng 1'!F52</f>
        <v>VOEUN LIM</v>
      </c>
      <c r="G64" s="158">
        <v>138</v>
      </c>
      <c r="H64" s="159">
        <f>ROUND('SAN LUONG'!W57*0.44,2)</f>
        <v>600.6</v>
      </c>
      <c r="I64" s="159">
        <f t="shared" si="3"/>
        <v>8.5500000000000007</v>
      </c>
      <c r="J64" s="168"/>
      <c r="K64" s="159">
        <f t="shared" si="0"/>
        <v>0</v>
      </c>
      <c r="L64" s="159"/>
      <c r="M64" s="159">
        <f t="shared" si="4"/>
        <v>0</v>
      </c>
      <c r="N64" s="167">
        <f>'CHAM CONG'!AR56</f>
        <v>1</v>
      </c>
      <c r="O64" s="159">
        <f t="shared" si="5"/>
        <v>0.53</v>
      </c>
      <c r="P64" s="159">
        <f>'CHAM CONG'!AQ56</f>
        <v>15</v>
      </c>
      <c r="Q64" s="159">
        <f t="shared" si="6"/>
        <v>7.51</v>
      </c>
      <c r="R64" s="159">
        <f t="shared" si="10"/>
        <v>15</v>
      </c>
      <c r="S64" s="159">
        <f t="shared" si="7"/>
        <v>0.47</v>
      </c>
      <c r="T64" s="159"/>
      <c r="U64" s="159">
        <f t="shared" si="13"/>
        <v>0</v>
      </c>
      <c r="V64" s="159">
        <f t="shared" si="14"/>
        <v>0</v>
      </c>
      <c r="W64" s="159"/>
      <c r="X64" s="159">
        <f t="shared" si="8"/>
        <v>17.060000000000002</v>
      </c>
      <c r="Y64" s="201"/>
      <c r="Z64" s="199" t="s">
        <v>270</v>
      </c>
      <c r="AA64" s="202">
        <v>17.07</v>
      </c>
      <c r="AB64" s="203">
        <f t="shared" si="9"/>
        <v>0.01</v>
      </c>
      <c r="AC64" s="124">
        <v>0.04</v>
      </c>
    </row>
    <row r="65" spans="1:29" s="124" customFormat="1" ht="33" customHeight="1">
      <c r="A65" s="154">
        <v>50</v>
      </c>
      <c r="B65" s="155"/>
      <c r="C65" s="155"/>
      <c r="D65" s="156"/>
      <c r="E65" s="155" t="str">
        <f>'Tên Tháng 1'!E53</f>
        <v>ហោ យ៉ាន</v>
      </c>
      <c r="F65" s="157" t="str">
        <f>'Tên Tháng 1'!F53</f>
        <v>HO YAN</v>
      </c>
      <c r="G65" s="158">
        <v>139</v>
      </c>
      <c r="H65" s="159">
        <f>ROUND('SAN LUONG'!W58*0.44,2)</f>
        <v>613.79999999999995</v>
      </c>
      <c r="I65" s="159">
        <f t="shared" si="3"/>
        <v>8.74</v>
      </c>
      <c r="J65" s="168"/>
      <c r="K65" s="159">
        <f t="shared" si="0"/>
        <v>0</v>
      </c>
      <c r="L65" s="159"/>
      <c r="M65" s="159">
        <f t="shared" si="4"/>
        <v>0</v>
      </c>
      <c r="N65" s="167">
        <f>'CHAM CONG'!AR57</f>
        <v>1</v>
      </c>
      <c r="O65" s="159">
        <f t="shared" si="5"/>
        <v>0.53</v>
      </c>
      <c r="P65" s="159">
        <f>'CHAM CONG'!AQ57</f>
        <v>15</v>
      </c>
      <c r="Q65" s="159">
        <f t="shared" si="6"/>
        <v>7.51</v>
      </c>
      <c r="R65" s="159">
        <f t="shared" si="10"/>
        <v>15</v>
      </c>
      <c r="S65" s="159">
        <f t="shared" si="7"/>
        <v>0.47</v>
      </c>
      <c r="T65" s="159"/>
      <c r="U65" s="159">
        <f t="shared" si="13"/>
        <v>0</v>
      </c>
      <c r="V65" s="159">
        <f t="shared" si="14"/>
        <v>0</v>
      </c>
      <c r="W65" s="159"/>
      <c r="X65" s="159">
        <f t="shared" si="8"/>
        <v>17.25</v>
      </c>
      <c r="Y65" s="201"/>
      <c r="Z65" s="199" t="s">
        <v>270</v>
      </c>
      <c r="AA65" s="202">
        <v>17.260000000000002</v>
      </c>
      <c r="AB65" s="203">
        <f t="shared" si="9"/>
        <v>0.01</v>
      </c>
      <c r="AC65" s="124">
        <v>0.04</v>
      </c>
    </row>
    <row r="66" spans="1:29" s="124" customFormat="1" ht="33" customHeight="1">
      <c r="A66" s="154">
        <v>51</v>
      </c>
      <c r="B66" s="155"/>
      <c r="C66" s="155"/>
      <c r="D66" s="156"/>
      <c r="E66" s="155" t="str">
        <f>'Tên Tháng 1'!E54</f>
        <v>តោ ទឿន</v>
      </c>
      <c r="F66" s="157" t="str">
        <f>'Tên Tháng 1'!F54</f>
        <v>TOR TOEUN</v>
      </c>
      <c r="G66" s="158">
        <v>140</v>
      </c>
      <c r="H66" s="159">
        <f>ROUND('SAN LUONG'!W59*0.44,2)</f>
        <v>451</v>
      </c>
      <c r="I66" s="159">
        <f t="shared" si="3"/>
        <v>6.42</v>
      </c>
      <c r="J66" s="168"/>
      <c r="K66" s="159">
        <f t="shared" si="0"/>
        <v>0</v>
      </c>
      <c r="L66" s="159"/>
      <c r="M66" s="159">
        <f t="shared" si="4"/>
        <v>0</v>
      </c>
      <c r="N66" s="167">
        <f>'CHAM CONG'!AR58</f>
        <v>1</v>
      </c>
      <c r="O66" s="159">
        <f t="shared" si="5"/>
        <v>0.53</v>
      </c>
      <c r="P66" s="159">
        <f>'CHAM CONG'!AQ58</f>
        <v>13</v>
      </c>
      <c r="Q66" s="159">
        <f t="shared" si="6"/>
        <v>6.51</v>
      </c>
      <c r="R66" s="159">
        <f t="shared" si="10"/>
        <v>13</v>
      </c>
      <c r="S66" s="159">
        <f t="shared" si="7"/>
        <v>0.41</v>
      </c>
      <c r="T66" s="159"/>
      <c r="U66" s="159">
        <f t="shared" si="13"/>
        <v>0</v>
      </c>
      <c r="V66" s="159">
        <f t="shared" si="14"/>
        <v>0</v>
      </c>
      <c r="W66" s="159"/>
      <c r="X66" s="159">
        <f t="shared" si="8"/>
        <v>13.87</v>
      </c>
      <c r="Y66" s="201"/>
      <c r="Z66" s="199" t="s">
        <v>270</v>
      </c>
      <c r="AA66" s="202">
        <v>13.87</v>
      </c>
      <c r="AB66" s="203">
        <f t="shared" si="9"/>
        <v>0</v>
      </c>
      <c r="AC66" s="124">
        <v>-0.03</v>
      </c>
    </row>
    <row r="67" spans="1:29" s="124" customFormat="1" ht="33" customHeight="1">
      <c r="A67" s="154">
        <v>52</v>
      </c>
      <c r="B67" s="155"/>
      <c r="C67" s="155"/>
      <c r="D67" s="156"/>
      <c r="E67" s="155" t="str">
        <f>'Tên Tháng 1'!E55</f>
        <v>ញ៉ុវ ញឹម</v>
      </c>
      <c r="F67" s="157" t="str">
        <f>'Tên Tháng 1'!F55</f>
        <v>NHOV NHIM</v>
      </c>
      <c r="G67" s="158">
        <v>141</v>
      </c>
      <c r="H67" s="159">
        <f>ROUND('SAN LUONG'!W60*0.44,2)</f>
        <v>424.6</v>
      </c>
      <c r="I67" s="159">
        <f t="shared" si="3"/>
        <v>6.05</v>
      </c>
      <c r="J67" s="168"/>
      <c r="K67" s="159">
        <f t="shared" si="0"/>
        <v>0</v>
      </c>
      <c r="L67" s="159"/>
      <c r="M67" s="159">
        <f t="shared" si="4"/>
        <v>0</v>
      </c>
      <c r="N67" s="167">
        <f>'CHAM CONG'!AR59</f>
        <v>1</v>
      </c>
      <c r="O67" s="159">
        <f t="shared" si="5"/>
        <v>0.53</v>
      </c>
      <c r="P67" s="159">
        <f>'CHAM CONG'!AQ59</f>
        <v>15</v>
      </c>
      <c r="Q67" s="159">
        <f t="shared" si="6"/>
        <v>7.51</v>
      </c>
      <c r="R67" s="159">
        <f t="shared" si="10"/>
        <v>15</v>
      </c>
      <c r="S67" s="159">
        <f t="shared" si="7"/>
        <v>0.47</v>
      </c>
      <c r="T67" s="159"/>
      <c r="U67" s="159">
        <f t="shared" si="13"/>
        <v>0</v>
      </c>
      <c r="V67" s="159">
        <f t="shared" si="14"/>
        <v>0</v>
      </c>
      <c r="W67" s="159"/>
      <c r="X67" s="159">
        <f t="shared" si="8"/>
        <v>14.559999999999999</v>
      </c>
      <c r="Y67" s="201"/>
      <c r="Z67" s="199" t="s">
        <v>270</v>
      </c>
      <c r="AA67" s="202">
        <v>14.56</v>
      </c>
      <c r="AB67" s="203">
        <f t="shared" si="9"/>
        <v>0</v>
      </c>
      <c r="AC67" s="124">
        <v>0.04</v>
      </c>
    </row>
    <row r="68" spans="1:29" s="124" customFormat="1" ht="33" customHeight="1">
      <c r="A68" s="154">
        <v>53</v>
      </c>
      <c r="B68" s="155"/>
      <c r="C68" s="155"/>
      <c r="D68" s="156"/>
      <c r="E68" s="155" t="str">
        <f>'Tên Tháng 1'!E56</f>
        <v>តូច ចាន់លី</v>
      </c>
      <c r="F68" s="157" t="str">
        <f>'Tên Tháng 1'!F56</f>
        <v>TOUCH CHANLY</v>
      </c>
      <c r="G68" s="158">
        <v>142</v>
      </c>
      <c r="H68" s="159">
        <f>ROUND('SAN LUONG'!W61*0.44,2)</f>
        <v>496.32</v>
      </c>
      <c r="I68" s="159">
        <f t="shared" si="3"/>
        <v>7.07</v>
      </c>
      <c r="J68" s="168"/>
      <c r="K68" s="159">
        <f t="shared" si="0"/>
        <v>0</v>
      </c>
      <c r="L68" s="159"/>
      <c r="M68" s="159">
        <f t="shared" si="4"/>
        <v>0</v>
      </c>
      <c r="N68" s="167">
        <f>'CHAM CONG'!AR60</f>
        <v>1</v>
      </c>
      <c r="O68" s="159">
        <f t="shared" si="5"/>
        <v>0.53</v>
      </c>
      <c r="P68" s="159">
        <f>'CHAM CONG'!AQ60</f>
        <v>14</v>
      </c>
      <c r="Q68" s="159">
        <f t="shared" si="6"/>
        <v>7.01</v>
      </c>
      <c r="R68" s="159">
        <f t="shared" si="10"/>
        <v>14</v>
      </c>
      <c r="S68" s="159">
        <f t="shared" si="7"/>
        <v>0.44</v>
      </c>
      <c r="T68" s="159"/>
      <c r="U68" s="159">
        <f t="shared" si="13"/>
        <v>0</v>
      </c>
      <c r="V68" s="159">
        <f t="shared" si="14"/>
        <v>0</v>
      </c>
      <c r="W68" s="159"/>
      <c r="X68" s="159">
        <f t="shared" si="8"/>
        <v>15.049999999999999</v>
      </c>
      <c r="Y68" s="201"/>
      <c r="Z68" s="199" t="s">
        <v>270</v>
      </c>
      <c r="AA68" s="202">
        <v>15.05</v>
      </c>
      <c r="AB68" s="203">
        <f t="shared" si="9"/>
        <v>0</v>
      </c>
      <c r="AC68" s="124">
        <v>0.04</v>
      </c>
    </row>
    <row r="69" spans="1:29" s="124" customFormat="1" ht="33" customHeight="1">
      <c r="A69" s="154">
        <v>54</v>
      </c>
      <c r="B69" s="155"/>
      <c r="C69" s="155"/>
      <c r="D69" s="156"/>
      <c r="E69" s="155" t="str">
        <f>'Tên Tháng 1'!E57</f>
        <v>ឡោ ហ៊ុន</v>
      </c>
      <c r="F69" s="157" t="str">
        <f>'Tên Tháng 1'!F57</f>
        <v>LAO HUN</v>
      </c>
      <c r="G69" s="158">
        <v>143</v>
      </c>
      <c r="H69" s="159">
        <f>ROUND('SAN LUONG'!W62*0.44,2)</f>
        <v>457.6</v>
      </c>
      <c r="I69" s="159">
        <f t="shared" si="3"/>
        <v>6.52</v>
      </c>
      <c r="J69" s="168"/>
      <c r="K69" s="159">
        <f t="shared" si="0"/>
        <v>0</v>
      </c>
      <c r="L69" s="159"/>
      <c r="M69" s="159">
        <f t="shared" si="4"/>
        <v>0</v>
      </c>
      <c r="N69" s="167">
        <f>'CHAM CONG'!AR61</f>
        <v>1</v>
      </c>
      <c r="O69" s="159">
        <f t="shared" si="5"/>
        <v>0.53</v>
      </c>
      <c r="P69" s="159">
        <f>'CHAM CONG'!AQ61</f>
        <v>15</v>
      </c>
      <c r="Q69" s="159">
        <f t="shared" si="6"/>
        <v>7.51</v>
      </c>
      <c r="R69" s="159">
        <f t="shared" si="10"/>
        <v>15</v>
      </c>
      <c r="S69" s="159">
        <f t="shared" si="7"/>
        <v>0.47</v>
      </c>
      <c r="T69" s="159"/>
      <c r="U69" s="159">
        <f t="shared" si="13"/>
        <v>0</v>
      </c>
      <c r="V69" s="159">
        <f t="shared" si="14"/>
        <v>0</v>
      </c>
      <c r="W69" s="159"/>
      <c r="X69" s="159">
        <f t="shared" si="8"/>
        <v>15.03</v>
      </c>
      <c r="Y69" s="201"/>
      <c r="Z69" s="199" t="s">
        <v>270</v>
      </c>
      <c r="AA69" s="202">
        <v>15.03</v>
      </c>
      <c r="AB69" s="203">
        <f t="shared" si="9"/>
        <v>0</v>
      </c>
      <c r="AC69" s="124">
        <v>0.04</v>
      </c>
    </row>
    <row r="70" spans="1:29" s="124" customFormat="1" ht="33" customHeight="1">
      <c r="A70" s="154">
        <v>55</v>
      </c>
      <c r="B70" s="155"/>
      <c r="C70" s="155"/>
      <c r="D70" s="156"/>
      <c r="E70" s="155" t="str">
        <f>'Tên Tháng 1'!E58</f>
        <v>ឈាន អន</v>
      </c>
      <c r="F70" s="157" t="str">
        <f>'Tên Tháng 1'!F58</f>
        <v>CHHEAN ORN</v>
      </c>
      <c r="G70" s="158">
        <v>144</v>
      </c>
      <c r="H70" s="159">
        <f>ROUND('SAN LUONG'!W63*0.44,2)</f>
        <v>589.16</v>
      </c>
      <c r="I70" s="159">
        <f t="shared" si="3"/>
        <v>8.39</v>
      </c>
      <c r="J70" s="168"/>
      <c r="K70" s="159">
        <f t="shared" si="0"/>
        <v>0</v>
      </c>
      <c r="L70" s="159"/>
      <c r="M70" s="159">
        <f t="shared" si="4"/>
        <v>0</v>
      </c>
      <c r="N70" s="167">
        <f>'CHAM CONG'!AR62</f>
        <v>1</v>
      </c>
      <c r="O70" s="159">
        <f t="shared" si="5"/>
        <v>0.53</v>
      </c>
      <c r="P70" s="159">
        <f>'CHAM CONG'!AQ62</f>
        <v>14</v>
      </c>
      <c r="Q70" s="159">
        <f t="shared" si="6"/>
        <v>7.01</v>
      </c>
      <c r="R70" s="159">
        <f t="shared" si="10"/>
        <v>14</v>
      </c>
      <c r="S70" s="159">
        <f t="shared" si="7"/>
        <v>0.44</v>
      </c>
      <c r="T70" s="159"/>
      <c r="U70" s="159">
        <f t="shared" si="13"/>
        <v>0</v>
      </c>
      <c r="V70" s="159">
        <f t="shared" si="14"/>
        <v>0</v>
      </c>
      <c r="W70" s="159"/>
      <c r="X70" s="159">
        <f t="shared" si="8"/>
        <v>16.37</v>
      </c>
      <c r="Y70" s="201"/>
      <c r="Z70" s="199" t="s">
        <v>270</v>
      </c>
      <c r="AA70" s="202">
        <v>16.37</v>
      </c>
      <c r="AB70" s="203">
        <f t="shared" si="9"/>
        <v>0</v>
      </c>
      <c r="AC70" s="124">
        <v>0.04</v>
      </c>
    </row>
    <row r="71" spans="1:29" s="124" customFormat="1" ht="33" customHeight="1">
      <c r="A71" s="154">
        <v>56</v>
      </c>
      <c r="B71" s="155"/>
      <c r="C71" s="155"/>
      <c r="D71" s="156"/>
      <c r="E71" s="155" t="str">
        <f>'Tên Tháng 1'!E59</f>
        <v>មាស ណាលីន</v>
      </c>
      <c r="F71" s="157" t="str">
        <f>'Tên Tháng 1'!F59</f>
        <v>MEAS NALIN</v>
      </c>
      <c r="G71" s="158">
        <v>145</v>
      </c>
      <c r="H71" s="159">
        <f>ROUND('SAN LUONG'!W64*0.44,2)</f>
        <v>476.52</v>
      </c>
      <c r="I71" s="159">
        <f t="shared" si="3"/>
        <v>6.79</v>
      </c>
      <c r="J71" s="168"/>
      <c r="K71" s="159">
        <f t="shared" si="0"/>
        <v>0</v>
      </c>
      <c r="L71" s="159"/>
      <c r="M71" s="159">
        <f t="shared" si="4"/>
        <v>0</v>
      </c>
      <c r="N71" s="167">
        <f>'CHAM CONG'!AR63</f>
        <v>1</v>
      </c>
      <c r="O71" s="159">
        <f t="shared" si="5"/>
        <v>0.53</v>
      </c>
      <c r="P71" s="159">
        <f>'CHAM CONG'!AQ63</f>
        <v>15</v>
      </c>
      <c r="Q71" s="159">
        <f t="shared" si="6"/>
        <v>7.51</v>
      </c>
      <c r="R71" s="159">
        <f t="shared" si="10"/>
        <v>15</v>
      </c>
      <c r="S71" s="159">
        <f t="shared" si="7"/>
        <v>0.47</v>
      </c>
      <c r="T71" s="159"/>
      <c r="U71" s="159">
        <f t="shared" si="13"/>
        <v>0</v>
      </c>
      <c r="V71" s="159">
        <f t="shared" si="14"/>
        <v>0</v>
      </c>
      <c r="W71" s="159"/>
      <c r="X71" s="159">
        <f t="shared" si="8"/>
        <v>15.3</v>
      </c>
      <c r="Y71" s="201"/>
      <c r="Z71" s="199" t="s">
        <v>270</v>
      </c>
      <c r="AA71" s="202">
        <v>15.3</v>
      </c>
      <c r="AB71" s="203">
        <f t="shared" si="9"/>
        <v>0</v>
      </c>
      <c r="AC71" s="124">
        <v>0.04</v>
      </c>
    </row>
    <row r="72" spans="1:29" s="124" customFormat="1" ht="33" customHeight="1">
      <c r="A72" s="154">
        <v>57</v>
      </c>
      <c r="B72" s="155"/>
      <c r="C72" s="155"/>
      <c r="D72" s="156"/>
      <c r="E72" s="155" t="str">
        <f>'Tên Tháng 1'!E60</f>
        <v>ម៉ួន ហ៊ាង</v>
      </c>
      <c r="F72" s="157" t="str">
        <f>'Tên Tháng 1'!F60</f>
        <v>MUON HEANG</v>
      </c>
      <c r="G72" s="158">
        <v>146</v>
      </c>
      <c r="H72" s="159">
        <f>ROUND('SAN LUONG'!W65*0.44,2)</f>
        <v>561.44000000000005</v>
      </c>
      <c r="I72" s="159">
        <f t="shared" si="3"/>
        <v>8</v>
      </c>
      <c r="J72" s="168"/>
      <c r="K72" s="159">
        <f t="shared" si="0"/>
        <v>0</v>
      </c>
      <c r="L72" s="159"/>
      <c r="M72" s="159">
        <f t="shared" si="4"/>
        <v>0</v>
      </c>
      <c r="N72" s="167">
        <f>'CHAM CONG'!AR64</f>
        <v>1</v>
      </c>
      <c r="O72" s="159">
        <f t="shared" si="5"/>
        <v>0.53</v>
      </c>
      <c r="P72" s="159">
        <f>'CHAM CONG'!AQ64</f>
        <v>14</v>
      </c>
      <c r="Q72" s="159">
        <f t="shared" si="6"/>
        <v>7.01</v>
      </c>
      <c r="R72" s="159">
        <f t="shared" si="10"/>
        <v>14</v>
      </c>
      <c r="S72" s="159">
        <f t="shared" si="7"/>
        <v>0.44</v>
      </c>
      <c r="T72" s="159"/>
      <c r="U72" s="159">
        <f t="shared" si="13"/>
        <v>0</v>
      </c>
      <c r="V72" s="159">
        <f t="shared" si="14"/>
        <v>0</v>
      </c>
      <c r="W72" s="159"/>
      <c r="X72" s="159">
        <f t="shared" si="8"/>
        <v>15.979999999999999</v>
      </c>
      <c r="Y72" s="201"/>
      <c r="Z72" s="199" t="s">
        <v>270</v>
      </c>
      <c r="AA72" s="202">
        <v>15.98</v>
      </c>
      <c r="AB72" s="203">
        <f t="shared" si="9"/>
        <v>0</v>
      </c>
      <c r="AC72" s="124">
        <v>0.04</v>
      </c>
    </row>
    <row r="73" spans="1:29" s="124" customFormat="1" ht="33" customHeight="1">
      <c r="A73" s="154">
        <v>58</v>
      </c>
      <c r="B73" s="155"/>
      <c r="C73" s="155"/>
      <c r="D73" s="156"/>
      <c r="E73" s="155" t="str">
        <f>'Tên Tháng 1'!E61</f>
        <v>យ៉េន ហៃ</v>
      </c>
      <c r="F73" s="157" t="str">
        <f>'Tên Tháng 1'!F61</f>
        <v>YEN HAI</v>
      </c>
      <c r="G73" s="158">
        <v>147</v>
      </c>
      <c r="H73" s="159">
        <f>ROUND('SAN LUONG'!W66*0.44,2)</f>
        <v>641.52</v>
      </c>
      <c r="I73" s="159">
        <f t="shared" si="3"/>
        <v>9.14</v>
      </c>
      <c r="J73" s="168"/>
      <c r="K73" s="159">
        <f t="shared" si="0"/>
        <v>0</v>
      </c>
      <c r="L73" s="159"/>
      <c r="M73" s="159">
        <f t="shared" si="4"/>
        <v>0</v>
      </c>
      <c r="N73" s="167">
        <f>'CHAM CONG'!AR65</f>
        <v>1</v>
      </c>
      <c r="O73" s="159">
        <f t="shared" si="5"/>
        <v>0.53</v>
      </c>
      <c r="P73" s="159">
        <f>'CHAM CONG'!AQ65</f>
        <v>14</v>
      </c>
      <c r="Q73" s="159">
        <f t="shared" si="6"/>
        <v>7.01</v>
      </c>
      <c r="R73" s="159">
        <f t="shared" si="10"/>
        <v>14</v>
      </c>
      <c r="S73" s="159">
        <f t="shared" si="7"/>
        <v>0.44</v>
      </c>
      <c r="T73" s="159"/>
      <c r="U73" s="159">
        <f t="shared" si="13"/>
        <v>0</v>
      </c>
      <c r="V73" s="159">
        <f t="shared" si="14"/>
        <v>0</v>
      </c>
      <c r="W73" s="159"/>
      <c r="X73" s="159">
        <f t="shared" si="8"/>
        <v>17.12</v>
      </c>
      <c r="Y73" s="201"/>
      <c r="Z73" s="199" t="s">
        <v>270</v>
      </c>
      <c r="AA73" s="202">
        <v>17.12</v>
      </c>
      <c r="AB73" s="203">
        <f t="shared" si="9"/>
        <v>0</v>
      </c>
      <c r="AC73" s="124">
        <v>0.04</v>
      </c>
    </row>
    <row r="74" spans="1:29" s="124" customFormat="1" ht="33" customHeight="1">
      <c r="A74" s="154">
        <v>59</v>
      </c>
      <c r="B74" s="155"/>
      <c r="C74" s="155"/>
      <c r="D74" s="156"/>
      <c r="E74" s="155" t="str">
        <f>'Tên Tháng 1'!E62</f>
        <v>ស្រី អ៊ឹម</v>
      </c>
      <c r="F74" s="157" t="str">
        <f>'Tên Tháng 1'!F62</f>
        <v>SREY OEM</v>
      </c>
      <c r="G74" s="158">
        <v>148</v>
      </c>
      <c r="H74" s="159">
        <f>ROUND('SAN LUONG'!W67*0.44,2)</f>
        <v>665.28</v>
      </c>
      <c r="I74" s="159">
        <f t="shared" si="3"/>
        <v>9.48</v>
      </c>
      <c r="J74" s="168"/>
      <c r="K74" s="159">
        <f t="shared" si="0"/>
        <v>0</v>
      </c>
      <c r="L74" s="159"/>
      <c r="M74" s="159">
        <f t="shared" si="4"/>
        <v>0</v>
      </c>
      <c r="N74" s="167">
        <f>'CHAM CONG'!AR66</f>
        <v>1</v>
      </c>
      <c r="O74" s="159">
        <f t="shared" si="5"/>
        <v>0.53</v>
      </c>
      <c r="P74" s="159">
        <f>'CHAM CONG'!AQ66</f>
        <v>15</v>
      </c>
      <c r="Q74" s="159">
        <f t="shared" si="6"/>
        <v>7.51</v>
      </c>
      <c r="R74" s="159">
        <f t="shared" si="10"/>
        <v>15</v>
      </c>
      <c r="S74" s="159">
        <f t="shared" si="7"/>
        <v>0.47</v>
      </c>
      <c r="T74" s="159"/>
      <c r="U74" s="159">
        <f t="shared" si="13"/>
        <v>0</v>
      </c>
      <c r="V74" s="159">
        <f t="shared" si="14"/>
        <v>0</v>
      </c>
      <c r="W74" s="159"/>
      <c r="X74" s="159">
        <f t="shared" si="8"/>
        <v>17.990000000000002</v>
      </c>
      <c r="Y74" s="201"/>
      <c r="Z74" s="199" t="s">
        <v>270</v>
      </c>
      <c r="AA74" s="202">
        <v>17.989999999999998</v>
      </c>
      <c r="AB74" s="203">
        <f t="shared" si="9"/>
        <v>0</v>
      </c>
      <c r="AC74" s="124">
        <v>0.04</v>
      </c>
    </row>
    <row r="75" spans="1:29" s="124" customFormat="1" ht="33" customHeight="1">
      <c r="A75" s="154">
        <v>60</v>
      </c>
      <c r="B75" s="155"/>
      <c r="C75" s="155"/>
      <c r="D75" s="156"/>
      <c r="E75" s="155" t="str">
        <f>'Tên Tháng 1'!E63</f>
        <v>ណេ សារ៉ាត់</v>
      </c>
      <c r="F75" s="157" t="str">
        <f>'Tên Tháng 1'!F63</f>
        <v>NE SARATH</v>
      </c>
      <c r="G75" s="158">
        <v>149</v>
      </c>
      <c r="H75" s="159">
        <f>ROUND('SAN LUONG'!W68*0.44,2)</f>
        <v>539.44000000000005</v>
      </c>
      <c r="I75" s="159">
        <f t="shared" si="3"/>
        <v>7.68</v>
      </c>
      <c r="J75" s="168"/>
      <c r="K75" s="159">
        <f t="shared" si="0"/>
        <v>0</v>
      </c>
      <c r="L75" s="159"/>
      <c r="M75" s="159">
        <f t="shared" si="4"/>
        <v>0</v>
      </c>
      <c r="N75" s="167">
        <f>'CHAM CONG'!AR67</f>
        <v>1</v>
      </c>
      <c r="O75" s="159">
        <f t="shared" si="5"/>
        <v>0.53</v>
      </c>
      <c r="P75" s="159">
        <f>'CHAM CONG'!AQ67</f>
        <v>13</v>
      </c>
      <c r="Q75" s="159">
        <f t="shared" si="6"/>
        <v>6.51</v>
      </c>
      <c r="R75" s="159">
        <f t="shared" si="10"/>
        <v>13</v>
      </c>
      <c r="S75" s="159">
        <f t="shared" si="7"/>
        <v>0.41</v>
      </c>
      <c r="T75" s="159"/>
      <c r="U75" s="159">
        <f t="shared" si="13"/>
        <v>0</v>
      </c>
      <c r="V75" s="159">
        <f t="shared" si="14"/>
        <v>0</v>
      </c>
      <c r="W75" s="159"/>
      <c r="X75" s="159">
        <f t="shared" si="8"/>
        <v>15.129999999999999</v>
      </c>
      <c r="Y75" s="201"/>
      <c r="Z75" s="199" t="s">
        <v>270</v>
      </c>
      <c r="AA75" s="202">
        <v>15.13</v>
      </c>
      <c r="AB75" s="203">
        <f t="shared" si="9"/>
        <v>0</v>
      </c>
      <c r="AC75" s="124">
        <v>-0.02</v>
      </c>
    </row>
    <row r="76" spans="1:29" s="124" customFormat="1" ht="33" customHeight="1">
      <c r="A76" s="154">
        <v>61</v>
      </c>
      <c r="B76" s="155"/>
      <c r="C76" s="155"/>
      <c r="D76" s="156"/>
      <c r="E76" s="155" t="str">
        <f>'Tên Tháng 1'!E64</f>
        <v>សន ធីន</v>
      </c>
      <c r="F76" s="157" t="str">
        <f>'Tên Tháng 1'!F64</f>
        <v>SORN THIN</v>
      </c>
      <c r="G76" s="158">
        <v>150</v>
      </c>
      <c r="H76" s="159">
        <f>ROUND('SAN LUONG'!W69*0.44,2)</f>
        <v>522.28</v>
      </c>
      <c r="I76" s="159">
        <f t="shared" si="3"/>
        <v>7.44</v>
      </c>
      <c r="J76" s="168"/>
      <c r="K76" s="159">
        <f t="shared" si="0"/>
        <v>0</v>
      </c>
      <c r="L76" s="159"/>
      <c r="M76" s="159">
        <f t="shared" si="4"/>
        <v>0</v>
      </c>
      <c r="N76" s="167">
        <f>'CHAM CONG'!AR68</f>
        <v>1</v>
      </c>
      <c r="O76" s="159">
        <f t="shared" si="5"/>
        <v>0.53</v>
      </c>
      <c r="P76" s="159">
        <f>'CHAM CONG'!AQ68</f>
        <v>13</v>
      </c>
      <c r="Q76" s="159">
        <f t="shared" si="6"/>
        <v>6.51</v>
      </c>
      <c r="R76" s="159">
        <f t="shared" si="10"/>
        <v>13</v>
      </c>
      <c r="S76" s="159">
        <f t="shared" si="7"/>
        <v>0.41</v>
      </c>
      <c r="T76" s="159"/>
      <c r="U76" s="159">
        <f t="shared" si="13"/>
        <v>0</v>
      </c>
      <c r="V76" s="159">
        <f t="shared" si="14"/>
        <v>0</v>
      </c>
      <c r="W76" s="159"/>
      <c r="X76" s="159">
        <f t="shared" si="8"/>
        <v>14.889999999999999</v>
      </c>
      <c r="Y76" s="201"/>
      <c r="Z76" s="199" t="s">
        <v>270</v>
      </c>
      <c r="AA76" s="202">
        <v>14.89</v>
      </c>
      <c r="AB76" s="203">
        <f t="shared" si="9"/>
        <v>0</v>
      </c>
      <c r="AC76" s="124">
        <v>0.04</v>
      </c>
    </row>
    <row r="77" spans="1:29" s="124" customFormat="1" ht="33" customHeight="1">
      <c r="A77" s="154">
        <v>62</v>
      </c>
      <c r="B77" s="155"/>
      <c r="C77" s="155"/>
      <c r="D77" s="156"/>
      <c r="E77" s="155" t="str">
        <f>'Tên Tháng 1'!E65</f>
        <v>ម៉ន ម៉ៃ</v>
      </c>
      <c r="F77" s="157" t="str">
        <f>'Tên Tháng 1'!F65</f>
        <v>MORN MAY</v>
      </c>
      <c r="G77" s="158">
        <v>151</v>
      </c>
      <c r="H77" s="159">
        <f>ROUND('SAN LUONG'!W70*0.44,2)</f>
        <v>470.36</v>
      </c>
      <c r="I77" s="159">
        <f t="shared" si="3"/>
        <v>6.7</v>
      </c>
      <c r="J77" s="168"/>
      <c r="K77" s="159">
        <f t="shared" si="0"/>
        <v>0</v>
      </c>
      <c r="L77" s="159"/>
      <c r="M77" s="159">
        <f t="shared" si="4"/>
        <v>0</v>
      </c>
      <c r="N77" s="167">
        <f>'CHAM CONG'!AR69</f>
        <v>1</v>
      </c>
      <c r="O77" s="159">
        <f t="shared" si="5"/>
        <v>0.53</v>
      </c>
      <c r="P77" s="159">
        <f>'CHAM CONG'!AQ69</f>
        <v>13</v>
      </c>
      <c r="Q77" s="159">
        <f t="shared" si="6"/>
        <v>6.51</v>
      </c>
      <c r="R77" s="159">
        <f t="shared" si="10"/>
        <v>13</v>
      </c>
      <c r="S77" s="159">
        <f t="shared" si="7"/>
        <v>0.41</v>
      </c>
      <c r="T77" s="159"/>
      <c r="U77" s="159">
        <f t="shared" si="13"/>
        <v>0</v>
      </c>
      <c r="V77" s="159">
        <f t="shared" si="14"/>
        <v>0</v>
      </c>
      <c r="W77" s="159"/>
      <c r="X77" s="159">
        <f t="shared" si="8"/>
        <v>14.15</v>
      </c>
      <c r="Y77" s="201"/>
      <c r="Z77" s="199" t="s">
        <v>270</v>
      </c>
      <c r="AA77" s="202">
        <v>14.15</v>
      </c>
      <c r="AB77" s="203">
        <f t="shared" si="9"/>
        <v>0</v>
      </c>
      <c r="AC77" s="124">
        <v>0.04</v>
      </c>
    </row>
    <row r="78" spans="1:29" s="124" customFormat="1" ht="33" customHeight="1">
      <c r="A78" s="154">
        <v>63</v>
      </c>
      <c r="B78" s="155"/>
      <c r="C78" s="155"/>
      <c r="D78" s="156"/>
      <c r="E78" s="155" t="str">
        <f>'Tên Tháng 1'!E66</f>
        <v>ជន សាមាក់</v>
      </c>
      <c r="F78" s="157" t="str">
        <f>'Tên Tháng 1'!F66</f>
        <v>CHORN SAMAK</v>
      </c>
      <c r="G78" s="158">
        <v>152</v>
      </c>
      <c r="H78" s="159">
        <f>ROUND('SAN LUONG'!W71*0.44,2)</f>
        <v>492.8</v>
      </c>
      <c r="I78" s="159">
        <f t="shared" si="3"/>
        <v>7.02</v>
      </c>
      <c r="J78" s="168"/>
      <c r="K78" s="159">
        <f t="shared" si="0"/>
        <v>0</v>
      </c>
      <c r="L78" s="159"/>
      <c r="M78" s="159">
        <f t="shared" si="4"/>
        <v>0</v>
      </c>
      <c r="N78" s="167">
        <f>'CHAM CONG'!AR70</f>
        <v>1</v>
      </c>
      <c r="O78" s="159">
        <f t="shared" si="5"/>
        <v>0.53</v>
      </c>
      <c r="P78" s="159">
        <f>'CHAM CONG'!AQ70</f>
        <v>14</v>
      </c>
      <c r="Q78" s="159">
        <f t="shared" si="6"/>
        <v>7.01</v>
      </c>
      <c r="R78" s="159">
        <f t="shared" si="10"/>
        <v>14</v>
      </c>
      <c r="S78" s="159">
        <f t="shared" si="7"/>
        <v>0.44</v>
      </c>
      <c r="T78" s="159"/>
      <c r="U78" s="159">
        <f t="shared" si="13"/>
        <v>0</v>
      </c>
      <c r="V78" s="159">
        <f t="shared" si="14"/>
        <v>0</v>
      </c>
      <c r="W78" s="159"/>
      <c r="X78" s="159">
        <f t="shared" si="8"/>
        <v>14.999999999999998</v>
      </c>
      <c r="Y78" s="201"/>
      <c r="Z78" s="199" t="s">
        <v>270</v>
      </c>
      <c r="AA78" s="202">
        <v>15</v>
      </c>
      <c r="AB78" s="203">
        <f t="shared" si="9"/>
        <v>0</v>
      </c>
      <c r="AC78" s="124">
        <v>0.04</v>
      </c>
    </row>
    <row r="79" spans="1:29" s="124" customFormat="1" ht="33" customHeight="1">
      <c r="A79" s="154">
        <v>64</v>
      </c>
      <c r="B79" s="155"/>
      <c r="C79" s="155"/>
      <c r="D79" s="156"/>
      <c r="E79" s="155" t="str">
        <f>'Tên Tháng 1'!E67</f>
        <v>សេង មករា</v>
      </c>
      <c r="F79" s="157" t="str">
        <f>'Tên Tháng 1'!F67</f>
        <v>SENG MEAKARA</v>
      </c>
      <c r="G79" s="158">
        <v>153</v>
      </c>
      <c r="H79" s="159">
        <f>ROUND('SAN LUONG'!W72*0.44,2)</f>
        <v>535.04</v>
      </c>
      <c r="I79" s="159">
        <f t="shared" si="3"/>
        <v>7.62</v>
      </c>
      <c r="J79" s="168"/>
      <c r="K79" s="159">
        <f t="shared" si="0"/>
        <v>0</v>
      </c>
      <c r="L79" s="159"/>
      <c r="M79" s="159">
        <f t="shared" si="4"/>
        <v>0</v>
      </c>
      <c r="N79" s="167">
        <f>'CHAM CONG'!AR71</f>
        <v>1</v>
      </c>
      <c r="O79" s="159">
        <f t="shared" si="5"/>
        <v>0.53</v>
      </c>
      <c r="P79" s="159">
        <f>'CHAM CONG'!AQ71</f>
        <v>14</v>
      </c>
      <c r="Q79" s="159">
        <f t="shared" si="6"/>
        <v>7.01</v>
      </c>
      <c r="R79" s="159">
        <f t="shared" si="10"/>
        <v>14</v>
      </c>
      <c r="S79" s="159">
        <f t="shared" si="7"/>
        <v>0.44</v>
      </c>
      <c r="T79" s="159"/>
      <c r="U79" s="159">
        <f t="shared" si="13"/>
        <v>0</v>
      </c>
      <c r="V79" s="159">
        <f t="shared" si="14"/>
        <v>0</v>
      </c>
      <c r="W79" s="159"/>
      <c r="X79" s="159">
        <f t="shared" si="8"/>
        <v>15.599999999999998</v>
      </c>
      <c r="Y79" s="201"/>
      <c r="Z79" s="199" t="s">
        <v>270</v>
      </c>
      <c r="AA79" s="202">
        <v>15.6</v>
      </c>
      <c r="AB79" s="203">
        <f t="shared" si="9"/>
        <v>0</v>
      </c>
      <c r="AC79" s="124">
        <v>0.04</v>
      </c>
    </row>
    <row r="80" spans="1:29" s="124" customFormat="1" ht="33" customHeight="1">
      <c r="A80" s="154">
        <v>65</v>
      </c>
      <c r="B80" s="155"/>
      <c r="C80" s="155"/>
      <c r="D80" s="156"/>
      <c r="E80" s="155" t="str">
        <f>'Tên Tháng 1'!E68</f>
        <v>ហ៊ាវ ហៃ</v>
      </c>
      <c r="F80" s="157" t="str">
        <f>'Tên Tháng 1'!F68</f>
        <v>HEAV HAI</v>
      </c>
      <c r="G80" s="158">
        <v>154</v>
      </c>
      <c r="H80" s="159">
        <f>ROUND('SAN LUONG'!W73*0.44,2)</f>
        <v>645.48</v>
      </c>
      <c r="I80" s="159">
        <f t="shared" si="3"/>
        <v>9.19</v>
      </c>
      <c r="J80" s="168"/>
      <c r="K80" s="159">
        <f t="shared" ref="K80:K143" si="15">ROUND(J80*$K$14/31947,2)</f>
        <v>0</v>
      </c>
      <c r="L80" s="159"/>
      <c r="M80" s="159">
        <f t="shared" si="4"/>
        <v>0</v>
      </c>
      <c r="N80" s="167">
        <f>'CHAM CONG'!AR72</f>
        <v>1</v>
      </c>
      <c r="O80" s="159">
        <f t="shared" si="5"/>
        <v>0.53</v>
      </c>
      <c r="P80" s="159">
        <f>'CHAM CONG'!AQ72</f>
        <v>15</v>
      </c>
      <c r="Q80" s="159">
        <f t="shared" si="6"/>
        <v>7.51</v>
      </c>
      <c r="R80" s="159">
        <f t="shared" si="10"/>
        <v>15</v>
      </c>
      <c r="S80" s="159">
        <f t="shared" si="7"/>
        <v>0.47</v>
      </c>
      <c r="T80" s="159"/>
      <c r="U80" s="159">
        <f t="shared" si="13"/>
        <v>0</v>
      </c>
      <c r="V80" s="159">
        <f t="shared" si="14"/>
        <v>0</v>
      </c>
      <c r="W80" s="159"/>
      <c r="X80" s="159">
        <f t="shared" si="8"/>
        <v>17.7</v>
      </c>
      <c r="Y80" s="201"/>
      <c r="Z80" s="199" t="s">
        <v>270</v>
      </c>
      <c r="AA80" s="202">
        <v>17.71</v>
      </c>
      <c r="AB80" s="203">
        <f t="shared" si="9"/>
        <v>0.01</v>
      </c>
      <c r="AC80" s="124">
        <v>0.04</v>
      </c>
    </row>
    <row r="81" spans="1:29" s="124" customFormat="1" ht="33" customHeight="1">
      <c r="A81" s="154">
        <v>66</v>
      </c>
      <c r="B81" s="155"/>
      <c r="C81" s="155"/>
      <c r="D81" s="156"/>
      <c r="E81" s="155" t="str">
        <f>'Tên Tháng 1'!E69</f>
        <v>មឿន សាវន</v>
      </c>
      <c r="F81" s="157" t="str">
        <f>'Tên Tháng 1'!F69</f>
        <v>MOEUN SAVON</v>
      </c>
      <c r="G81" s="158">
        <v>155</v>
      </c>
      <c r="H81" s="159">
        <f>ROUND('SAN LUONG'!W74*0.44,2)</f>
        <v>539.88</v>
      </c>
      <c r="I81" s="159">
        <f t="shared" ref="I81:I144" si="16">ROUND(H81*$I$14/31947,2)</f>
        <v>7.69</v>
      </c>
      <c r="J81" s="168"/>
      <c r="K81" s="159">
        <f t="shared" si="15"/>
        <v>0</v>
      </c>
      <c r="L81" s="159"/>
      <c r="M81" s="159">
        <f t="shared" ref="M81:M144" si="17">ROUND(L81*$M$14/31947,2)</f>
        <v>0</v>
      </c>
      <c r="N81" s="167">
        <f>'CHAM CONG'!AR73</f>
        <v>1</v>
      </c>
      <c r="O81" s="159">
        <f t="shared" ref="O81:O144" si="18">ROUND(N81*$O$14/31947,2)</f>
        <v>0.53</v>
      </c>
      <c r="P81" s="159">
        <f>'CHAM CONG'!AQ73</f>
        <v>14</v>
      </c>
      <c r="Q81" s="159">
        <f t="shared" ref="Q81:Q144" si="19">ROUND(P81*$Q$14/31947,2)</f>
        <v>7.01</v>
      </c>
      <c r="R81" s="159">
        <f t="shared" si="10"/>
        <v>14</v>
      </c>
      <c r="S81" s="159">
        <f t="shared" ref="S81:S144" si="20">ROUND(R81*$S$14/31947,2)</f>
        <v>0.44</v>
      </c>
      <c r="T81" s="159"/>
      <c r="U81" s="159">
        <f t="shared" si="13"/>
        <v>0</v>
      </c>
      <c r="V81" s="159">
        <f t="shared" si="14"/>
        <v>0</v>
      </c>
      <c r="W81" s="159"/>
      <c r="X81" s="159">
        <f t="shared" ref="X81:X144" si="21">I81+K81+M81+Q81+S81+O81</f>
        <v>15.669999999999998</v>
      </c>
      <c r="Y81" s="201"/>
      <c r="Z81" s="199" t="s">
        <v>270</v>
      </c>
      <c r="AA81" s="202">
        <v>15.67</v>
      </c>
      <c r="AB81" s="203">
        <f t="shared" ref="AB81:AB144" si="22">ROUND(AA81-X81,2)</f>
        <v>0</v>
      </c>
      <c r="AC81" s="124">
        <v>0.04</v>
      </c>
    </row>
    <row r="82" spans="1:29" s="124" customFormat="1" ht="33" customHeight="1">
      <c r="A82" s="154">
        <v>67</v>
      </c>
      <c r="B82" s="155"/>
      <c r="C82" s="155"/>
      <c r="D82" s="156"/>
      <c r="E82" s="155" t="str">
        <f>'Tên Tháng 1'!E70</f>
        <v>មឿន សុខា</v>
      </c>
      <c r="F82" s="157" t="str">
        <f>'Tên Tháng 1'!F70</f>
        <v>MAEUN SOKHA</v>
      </c>
      <c r="G82" s="158">
        <v>156</v>
      </c>
      <c r="H82" s="159">
        <f>ROUND('SAN LUONG'!W75*0.44,2)</f>
        <v>531.96</v>
      </c>
      <c r="I82" s="159">
        <f t="shared" si="16"/>
        <v>7.58</v>
      </c>
      <c r="J82" s="168"/>
      <c r="K82" s="159">
        <f t="shared" si="15"/>
        <v>0</v>
      </c>
      <c r="L82" s="159"/>
      <c r="M82" s="159">
        <f t="shared" si="17"/>
        <v>0</v>
      </c>
      <c r="N82" s="167">
        <f>'CHAM CONG'!AR74</f>
        <v>1</v>
      </c>
      <c r="O82" s="159">
        <f t="shared" si="18"/>
        <v>0.53</v>
      </c>
      <c r="P82" s="159">
        <f>'CHAM CONG'!AQ74</f>
        <v>13</v>
      </c>
      <c r="Q82" s="159">
        <f t="shared" si="19"/>
        <v>6.51</v>
      </c>
      <c r="R82" s="159">
        <f t="shared" ref="R82:R145" si="23">P82</f>
        <v>13</v>
      </c>
      <c r="S82" s="159">
        <f t="shared" si="20"/>
        <v>0.41</v>
      </c>
      <c r="T82" s="159"/>
      <c r="U82" s="159">
        <f t="shared" si="13"/>
        <v>0</v>
      </c>
      <c r="V82" s="159">
        <f t="shared" si="14"/>
        <v>0</v>
      </c>
      <c r="W82" s="159"/>
      <c r="X82" s="159">
        <f t="shared" si="21"/>
        <v>15.03</v>
      </c>
      <c r="Y82" s="201"/>
      <c r="Z82" s="199" t="s">
        <v>270</v>
      </c>
      <c r="AA82" s="202">
        <v>15.03</v>
      </c>
      <c r="AB82" s="203">
        <f t="shared" si="22"/>
        <v>0</v>
      </c>
      <c r="AC82" s="124">
        <v>0.04</v>
      </c>
    </row>
    <row r="83" spans="1:29" s="124" customFormat="1" ht="33" customHeight="1">
      <c r="A83" s="154">
        <v>68</v>
      </c>
      <c r="B83" s="155"/>
      <c r="C83" s="155"/>
      <c r="D83" s="156"/>
      <c r="E83" s="155" t="str">
        <f>'Tên Tháng 1'!E71</f>
        <v>ម៉ិក ស្រីលាក់</v>
      </c>
      <c r="F83" s="157" t="str">
        <f>'Tên Tháng 1'!F71</f>
        <v>MIK SREYLEAK</v>
      </c>
      <c r="G83" s="158">
        <v>157</v>
      </c>
      <c r="H83" s="159">
        <f>ROUND('SAN LUONG'!W76*0.44,2)</f>
        <v>526.67999999999995</v>
      </c>
      <c r="I83" s="159">
        <f t="shared" si="16"/>
        <v>7.5</v>
      </c>
      <c r="J83" s="168"/>
      <c r="K83" s="159">
        <f t="shared" si="15"/>
        <v>0</v>
      </c>
      <c r="L83" s="159"/>
      <c r="M83" s="159">
        <f t="shared" si="17"/>
        <v>0</v>
      </c>
      <c r="N83" s="167">
        <f>'CHAM CONG'!AR75</f>
        <v>1</v>
      </c>
      <c r="O83" s="159">
        <f t="shared" si="18"/>
        <v>0.53</v>
      </c>
      <c r="P83" s="159">
        <f>'CHAM CONG'!AQ75</f>
        <v>13</v>
      </c>
      <c r="Q83" s="159">
        <f t="shared" si="19"/>
        <v>6.51</v>
      </c>
      <c r="R83" s="159">
        <f t="shared" si="23"/>
        <v>13</v>
      </c>
      <c r="S83" s="159">
        <f t="shared" si="20"/>
        <v>0.41</v>
      </c>
      <c r="T83" s="159"/>
      <c r="U83" s="159">
        <f t="shared" si="13"/>
        <v>0</v>
      </c>
      <c r="V83" s="159">
        <f t="shared" si="14"/>
        <v>0</v>
      </c>
      <c r="W83" s="159"/>
      <c r="X83" s="159">
        <f t="shared" si="21"/>
        <v>14.95</v>
      </c>
      <c r="Y83" s="201"/>
      <c r="Z83" s="199" t="s">
        <v>270</v>
      </c>
      <c r="AA83" s="202">
        <v>14.95</v>
      </c>
      <c r="AB83" s="203">
        <f t="shared" si="22"/>
        <v>0</v>
      </c>
      <c r="AC83" s="124">
        <v>0.04</v>
      </c>
    </row>
    <row r="84" spans="1:29" s="124" customFormat="1" ht="33" customHeight="1">
      <c r="A84" s="154">
        <v>69</v>
      </c>
      <c r="B84" s="155"/>
      <c r="C84" s="155"/>
      <c r="D84" s="156"/>
      <c r="E84" s="155" t="str">
        <f>'Tên Tháng 1'!E72</f>
        <v>គង់ ពន្លឺ</v>
      </c>
      <c r="F84" s="157" t="str">
        <f>'Tên Tháng 1'!F72</f>
        <v>KONG PUNLEU</v>
      </c>
      <c r="G84" s="158">
        <v>158</v>
      </c>
      <c r="H84" s="159">
        <f>ROUND('SAN LUONG'!W77*0.44,2)</f>
        <v>553.96</v>
      </c>
      <c r="I84" s="159">
        <f t="shared" si="16"/>
        <v>7.89</v>
      </c>
      <c r="J84" s="168"/>
      <c r="K84" s="159">
        <f t="shared" si="15"/>
        <v>0</v>
      </c>
      <c r="L84" s="159"/>
      <c r="M84" s="159">
        <f t="shared" si="17"/>
        <v>0</v>
      </c>
      <c r="N84" s="167">
        <f>'CHAM CONG'!AR76</f>
        <v>0</v>
      </c>
      <c r="O84" s="159">
        <f t="shared" si="18"/>
        <v>0</v>
      </c>
      <c r="P84" s="159">
        <f>'CHAM CONG'!AQ76</f>
        <v>13</v>
      </c>
      <c r="Q84" s="159">
        <f t="shared" si="19"/>
        <v>6.51</v>
      </c>
      <c r="R84" s="159">
        <f t="shared" si="23"/>
        <v>13</v>
      </c>
      <c r="S84" s="159">
        <f t="shared" si="20"/>
        <v>0.41</v>
      </c>
      <c r="T84" s="159"/>
      <c r="U84" s="159">
        <f t="shared" si="13"/>
        <v>0</v>
      </c>
      <c r="V84" s="159">
        <f t="shared" si="14"/>
        <v>0</v>
      </c>
      <c r="W84" s="159"/>
      <c r="X84" s="159">
        <f t="shared" si="21"/>
        <v>14.809999999999999</v>
      </c>
      <c r="Y84" s="201"/>
      <c r="Z84" s="199" t="s">
        <v>270</v>
      </c>
      <c r="AA84" s="202">
        <v>14.81</v>
      </c>
      <c r="AB84" s="203">
        <f t="shared" si="22"/>
        <v>0</v>
      </c>
      <c r="AC84" s="124">
        <v>0.04</v>
      </c>
    </row>
    <row r="85" spans="1:29" s="124" customFormat="1" ht="33" customHeight="1">
      <c r="A85" s="154">
        <v>70</v>
      </c>
      <c r="B85" s="155"/>
      <c r="C85" s="155"/>
      <c r="D85" s="156"/>
      <c r="E85" s="155" t="str">
        <f>'Tên Tháng 1'!E73</f>
        <v>បាន សុខឿន</v>
      </c>
      <c r="F85" s="157" t="str">
        <f>'Tên Tháng 1'!F73</f>
        <v>BAN SOKHOEUN</v>
      </c>
      <c r="G85" s="158">
        <v>159</v>
      </c>
      <c r="H85" s="159">
        <f>ROUND('SAN LUONG'!W78*0.44,2)</f>
        <v>639.32000000000005</v>
      </c>
      <c r="I85" s="159">
        <f t="shared" si="16"/>
        <v>9.11</v>
      </c>
      <c r="J85" s="168"/>
      <c r="K85" s="159">
        <f t="shared" si="15"/>
        <v>0</v>
      </c>
      <c r="L85" s="159"/>
      <c r="M85" s="159">
        <f t="shared" si="17"/>
        <v>0</v>
      </c>
      <c r="N85" s="167">
        <f>'CHAM CONG'!AR77</f>
        <v>1</v>
      </c>
      <c r="O85" s="159">
        <f t="shared" si="18"/>
        <v>0.53</v>
      </c>
      <c r="P85" s="159">
        <f>'CHAM CONG'!AQ77</f>
        <v>15</v>
      </c>
      <c r="Q85" s="159">
        <f t="shared" si="19"/>
        <v>7.51</v>
      </c>
      <c r="R85" s="159">
        <f t="shared" si="23"/>
        <v>15</v>
      </c>
      <c r="S85" s="159">
        <f t="shared" si="20"/>
        <v>0.47</v>
      </c>
      <c r="T85" s="159"/>
      <c r="U85" s="159">
        <f t="shared" si="13"/>
        <v>0</v>
      </c>
      <c r="V85" s="159">
        <f t="shared" si="14"/>
        <v>0</v>
      </c>
      <c r="W85" s="159"/>
      <c r="X85" s="159">
        <f t="shared" si="21"/>
        <v>17.619999999999997</v>
      </c>
      <c r="Y85" s="201"/>
      <c r="Z85" s="199" t="s">
        <v>270</v>
      </c>
      <c r="AA85" s="202">
        <v>17.62</v>
      </c>
      <c r="AB85" s="203">
        <f t="shared" si="22"/>
        <v>0</v>
      </c>
      <c r="AC85" s="124">
        <v>0.04</v>
      </c>
    </row>
    <row r="86" spans="1:29" s="124" customFormat="1" ht="33" customHeight="1">
      <c r="A86" s="154">
        <v>71</v>
      </c>
      <c r="B86" s="155"/>
      <c r="C86" s="155"/>
      <c r="D86" s="156"/>
      <c r="E86" s="155" t="str">
        <f>'Tên Tháng 1'!E74</f>
        <v>ខុន ស្រីនាង</v>
      </c>
      <c r="F86" s="157" t="str">
        <f>'Tên Tháng 1'!F74</f>
        <v>KHON SREYNEANG</v>
      </c>
      <c r="G86" s="158">
        <v>160</v>
      </c>
      <c r="H86" s="159">
        <f>ROUND('SAN LUONG'!W79*0.44,2)</f>
        <v>598.4</v>
      </c>
      <c r="I86" s="159">
        <f t="shared" si="16"/>
        <v>8.52</v>
      </c>
      <c r="J86" s="168"/>
      <c r="K86" s="159">
        <f t="shared" si="15"/>
        <v>0</v>
      </c>
      <c r="L86" s="159"/>
      <c r="M86" s="159">
        <f t="shared" si="17"/>
        <v>0</v>
      </c>
      <c r="N86" s="167">
        <f>'CHAM CONG'!AR78</f>
        <v>1</v>
      </c>
      <c r="O86" s="159">
        <f t="shared" si="18"/>
        <v>0.53</v>
      </c>
      <c r="P86" s="159">
        <f>'CHAM CONG'!AQ78</f>
        <v>15</v>
      </c>
      <c r="Q86" s="159">
        <f t="shared" si="19"/>
        <v>7.51</v>
      </c>
      <c r="R86" s="159">
        <f t="shared" si="23"/>
        <v>15</v>
      </c>
      <c r="S86" s="159">
        <f t="shared" si="20"/>
        <v>0.47</v>
      </c>
      <c r="T86" s="159"/>
      <c r="U86" s="159">
        <f t="shared" si="13"/>
        <v>0</v>
      </c>
      <c r="V86" s="159">
        <f t="shared" si="14"/>
        <v>0</v>
      </c>
      <c r="W86" s="159"/>
      <c r="X86" s="159">
        <f t="shared" si="21"/>
        <v>17.03</v>
      </c>
      <c r="Y86" s="201"/>
      <c r="Z86" s="199" t="s">
        <v>270</v>
      </c>
      <c r="AA86" s="202">
        <v>17.04</v>
      </c>
      <c r="AB86" s="203">
        <f t="shared" si="22"/>
        <v>0.01</v>
      </c>
      <c r="AC86" s="124">
        <v>0.04</v>
      </c>
    </row>
    <row r="87" spans="1:29" s="124" customFormat="1" ht="33" customHeight="1">
      <c r="A87" s="154">
        <v>72</v>
      </c>
      <c r="B87" s="155"/>
      <c r="C87" s="155"/>
      <c r="D87" s="156"/>
      <c r="E87" s="155" t="str">
        <f>'Tên Tháng 1'!E75</f>
        <v>ត្រុចធីតា</v>
      </c>
      <c r="F87" s="157" t="str">
        <f>'Tên Tháng 1'!F75</f>
        <v>TROCH THYDA</v>
      </c>
      <c r="G87" s="158">
        <v>161</v>
      </c>
      <c r="H87" s="159">
        <f>ROUND('SAN LUONG'!W80*0.44,2)</f>
        <v>544.28</v>
      </c>
      <c r="I87" s="159">
        <f t="shared" si="16"/>
        <v>7.75</v>
      </c>
      <c r="J87" s="168"/>
      <c r="K87" s="159">
        <f t="shared" si="15"/>
        <v>0</v>
      </c>
      <c r="L87" s="159"/>
      <c r="M87" s="159">
        <f t="shared" si="17"/>
        <v>0</v>
      </c>
      <c r="N87" s="167">
        <f>'CHAM CONG'!AR79</f>
        <v>1</v>
      </c>
      <c r="O87" s="159">
        <f t="shared" si="18"/>
        <v>0.53</v>
      </c>
      <c r="P87" s="159">
        <f>'CHAM CONG'!AQ79</f>
        <v>14</v>
      </c>
      <c r="Q87" s="159">
        <f t="shared" si="19"/>
        <v>7.01</v>
      </c>
      <c r="R87" s="159">
        <f t="shared" si="23"/>
        <v>14</v>
      </c>
      <c r="S87" s="159">
        <f t="shared" si="20"/>
        <v>0.44</v>
      </c>
      <c r="T87" s="159"/>
      <c r="U87" s="159">
        <f t="shared" si="13"/>
        <v>0</v>
      </c>
      <c r="V87" s="159">
        <f t="shared" si="14"/>
        <v>0</v>
      </c>
      <c r="W87" s="159"/>
      <c r="X87" s="159">
        <f t="shared" si="21"/>
        <v>15.729999999999999</v>
      </c>
      <c r="Y87" s="201"/>
      <c r="Z87" s="199" t="s">
        <v>270</v>
      </c>
      <c r="AA87" s="202">
        <v>15.73</v>
      </c>
      <c r="AB87" s="203">
        <f t="shared" si="22"/>
        <v>0</v>
      </c>
      <c r="AC87" s="124">
        <v>0.04</v>
      </c>
    </row>
    <row r="88" spans="1:29" s="124" customFormat="1" ht="33" customHeight="1">
      <c r="A88" s="154">
        <v>73</v>
      </c>
      <c r="B88" s="155"/>
      <c r="C88" s="155"/>
      <c r="D88" s="156"/>
      <c r="E88" s="155" t="str">
        <f>'Tên Tháng 1'!E76</f>
        <v>ផល់ ណាត</v>
      </c>
      <c r="F88" s="157" t="str">
        <f>'Tên Tháng 1'!F76</f>
        <v>PHOL NAT</v>
      </c>
      <c r="G88" s="158">
        <v>162</v>
      </c>
      <c r="H88" s="159">
        <f>ROUND('SAN LUONG'!W81*0.44,2)</f>
        <v>549.55999999999995</v>
      </c>
      <c r="I88" s="159">
        <f t="shared" si="16"/>
        <v>7.83</v>
      </c>
      <c r="J88" s="168"/>
      <c r="K88" s="159">
        <f t="shared" si="15"/>
        <v>0</v>
      </c>
      <c r="L88" s="159"/>
      <c r="M88" s="159">
        <f t="shared" si="17"/>
        <v>0</v>
      </c>
      <c r="N88" s="167">
        <f>'CHAM CONG'!AR80</f>
        <v>1</v>
      </c>
      <c r="O88" s="159">
        <f t="shared" si="18"/>
        <v>0.53</v>
      </c>
      <c r="P88" s="159">
        <f>'CHAM CONG'!AQ80</f>
        <v>14</v>
      </c>
      <c r="Q88" s="159">
        <f t="shared" si="19"/>
        <v>7.01</v>
      </c>
      <c r="R88" s="159">
        <f t="shared" si="23"/>
        <v>14</v>
      </c>
      <c r="S88" s="159">
        <f t="shared" si="20"/>
        <v>0.44</v>
      </c>
      <c r="T88" s="159"/>
      <c r="U88" s="159">
        <f t="shared" si="13"/>
        <v>0</v>
      </c>
      <c r="V88" s="159">
        <f t="shared" si="14"/>
        <v>0</v>
      </c>
      <c r="W88" s="159"/>
      <c r="X88" s="159">
        <f t="shared" si="21"/>
        <v>15.809999999999999</v>
      </c>
      <c r="Y88" s="201"/>
      <c r="Z88" s="199" t="s">
        <v>270</v>
      </c>
      <c r="AA88" s="202">
        <v>15.81</v>
      </c>
      <c r="AB88" s="203">
        <f t="shared" si="22"/>
        <v>0</v>
      </c>
      <c r="AC88" s="124">
        <v>0.01</v>
      </c>
    </row>
    <row r="89" spans="1:29" s="124" customFormat="1" ht="33" customHeight="1">
      <c r="A89" s="154">
        <v>74</v>
      </c>
      <c r="B89" s="155"/>
      <c r="C89" s="155"/>
      <c r="D89" s="156"/>
      <c r="E89" s="155" t="str">
        <f>'Tên Tháng 1'!E77</f>
        <v>ពិន ចាន់នី</v>
      </c>
      <c r="F89" s="157" t="str">
        <f>'Tên Tháng 1'!F77</f>
        <v>PIN CHANNY</v>
      </c>
      <c r="G89" s="158">
        <v>163</v>
      </c>
      <c r="H89" s="159">
        <f>ROUND('SAN LUONG'!W82*0.44,2)</f>
        <v>590.04</v>
      </c>
      <c r="I89" s="159">
        <f t="shared" si="16"/>
        <v>8.4</v>
      </c>
      <c r="J89" s="168"/>
      <c r="K89" s="159">
        <f t="shared" si="15"/>
        <v>0</v>
      </c>
      <c r="L89" s="159"/>
      <c r="M89" s="159">
        <f t="shared" si="17"/>
        <v>0</v>
      </c>
      <c r="N89" s="167">
        <f>'CHAM CONG'!AR81</f>
        <v>1</v>
      </c>
      <c r="O89" s="159">
        <f t="shared" si="18"/>
        <v>0.53</v>
      </c>
      <c r="P89" s="159">
        <f>'CHAM CONG'!AQ81</f>
        <v>15</v>
      </c>
      <c r="Q89" s="159">
        <f t="shared" si="19"/>
        <v>7.51</v>
      </c>
      <c r="R89" s="159">
        <f t="shared" si="23"/>
        <v>15</v>
      </c>
      <c r="S89" s="159">
        <f t="shared" si="20"/>
        <v>0.47</v>
      </c>
      <c r="T89" s="159"/>
      <c r="U89" s="159">
        <f t="shared" si="13"/>
        <v>0</v>
      </c>
      <c r="V89" s="159">
        <f t="shared" si="14"/>
        <v>0</v>
      </c>
      <c r="W89" s="159"/>
      <c r="X89" s="159">
        <f t="shared" si="21"/>
        <v>16.91</v>
      </c>
      <c r="Y89" s="201"/>
      <c r="Z89" s="199" t="s">
        <v>270</v>
      </c>
      <c r="AA89" s="202">
        <v>16.920000000000002</v>
      </c>
      <c r="AB89" s="203">
        <f t="shared" si="22"/>
        <v>0.01</v>
      </c>
      <c r="AC89" s="124">
        <v>-0.02</v>
      </c>
    </row>
    <row r="90" spans="1:29" s="124" customFormat="1" ht="33" customHeight="1">
      <c r="A90" s="154">
        <v>75</v>
      </c>
      <c r="B90" s="155"/>
      <c r="C90" s="155"/>
      <c r="D90" s="156"/>
      <c r="E90" s="155" t="str">
        <f>'Tên Tháng 1'!E78</f>
        <v>ផា សុផុន</v>
      </c>
      <c r="F90" s="157" t="str">
        <f>'Tên Tháng 1'!F78</f>
        <v>PHA SOPHON</v>
      </c>
      <c r="G90" s="158">
        <v>164</v>
      </c>
      <c r="H90" s="159">
        <f>ROUND('SAN LUONG'!W83*0.44,2)</f>
        <v>500.72</v>
      </c>
      <c r="I90" s="159">
        <f t="shared" si="16"/>
        <v>7.13</v>
      </c>
      <c r="J90" s="168"/>
      <c r="K90" s="159">
        <f t="shared" si="15"/>
        <v>0</v>
      </c>
      <c r="L90" s="159"/>
      <c r="M90" s="159">
        <f t="shared" si="17"/>
        <v>0</v>
      </c>
      <c r="N90" s="167">
        <f>'CHAM CONG'!AR82</f>
        <v>1</v>
      </c>
      <c r="O90" s="159">
        <f t="shared" si="18"/>
        <v>0.53</v>
      </c>
      <c r="P90" s="159">
        <f>'CHAM CONG'!AQ82</f>
        <v>13</v>
      </c>
      <c r="Q90" s="159">
        <f t="shared" si="19"/>
        <v>6.51</v>
      </c>
      <c r="R90" s="159">
        <f t="shared" si="23"/>
        <v>13</v>
      </c>
      <c r="S90" s="159">
        <f t="shared" si="20"/>
        <v>0.41</v>
      </c>
      <c r="T90" s="159"/>
      <c r="U90" s="159">
        <f t="shared" si="13"/>
        <v>0</v>
      </c>
      <c r="V90" s="159">
        <f t="shared" si="14"/>
        <v>0</v>
      </c>
      <c r="W90" s="159"/>
      <c r="X90" s="159">
        <f t="shared" si="21"/>
        <v>14.58</v>
      </c>
      <c r="Y90" s="201"/>
      <c r="Z90" s="199" t="s">
        <v>270</v>
      </c>
      <c r="AA90" s="202">
        <v>14.58</v>
      </c>
      <c r="AB90" s="203">
        <f t="shared" si="22"/>
        <v>0</v>
      </c>
      <c r="AC90" s="124">
        <v>0.04</v>
      </c>
    </row>
    <row r="91" spans="1:29" s="124" customFormat="1" ht="33" customHeight="1">
      <c r="A91" s="154">
        <v>76</v>
      </c>
      <c r="B91" s="155"/>
      <c r="C91" s="155"/>
      <c r="D91" s="156"/>
      <c r="E91" s="155" t="str">
        <f>'Tên Tháng 1'!E79</f>
        <v>វ៉ា វាសនា</v>
      </c>
      <c r="F91" s="157" t="str">
        <f>'Tên Tháng 1'!F79</f>
        <v>VA VEASNA</v>
      </c>
      <c r="G91" s="158">
        <v>165</v>
      </c>
      <c r="H91" s="159">
        <f>ROUND('SAN LUONG'!W84*0.44,2)</f>
        <v>600.16</v>
      </c>
      <c r="I91" s="159">
        <f t="shared" si="16"/>
        <v>8.5500000000000007</v>
      </c>
      <c r="J91" s="168"/>
      <c r="K91" s="159">
        <f t="shared" si="15"/>
        <v>0</v>
      </c>
      <c r="L91" s="159"/>
      <c r="M91" s="159">
        <f t="shared" si="17"/>
        <v>0</v>
      </c>
      <c r="N91" s="167">
        <f>'CHAM CONG'!AR83</f>
        <v>1</v>
      </c>
      <c r="O91" s="159">
        <f t="shared" si="18"/>
        <v>0.53</v>
      </c>
      <c r="P91" s="159">
        <f>'CHAM CONG'!AQ83</f>
        <v>14</v>
      </c>
      <c r="Q91" s="159">
        <f t="shared" si="19"/>
        <v>7.01</v>
      </c>
      <c r="R91" s="159">
        <f t="shared" si="23"/>
        <v>14</v>
      </c>
      <c r="S91" s="159">
        <f t="shared" si="20"/>
        <v>0.44</v>
      </c>
      <c r="T91" s="159"/>
      <c r="U91" s="159">
        <f t="shared" si="13"/>
        <v>0</v>
      </c>
      <c r="V91" s="159">
        <f t="shared" si="14"/>
        <v>0</v>
      </c>
      <c r="W91" s="159"/>
      <c r="X91" s="159">
        <f t="shared" si="21"/>
        <v>16.53</v>
      </c>
      <c r="Y91" s="201"/>
      <c r="Z91" s="199" t="s">
        <v>270</v>
      </c>
      <c r="AA91" s="202">
        <v>16.53</v>
      </c>
      <c r="AB91" s="203">
        <f t="shared" si="22"/>
        <v>0</v>
      </c>
      <c r="AC91" s="124">
        <v>0.04</v>
      </c>
    </row>
    <row r="92" spans="1:29" s="124" customFormat="1" ht="33" customHeight="1">
      <c r="A92" s="154">
        <v>77</v>
      </c>
      <c r="B92" s="155"/>
      <c r="C92" s="155"/>
      <c r="D92" s="156"/>
      <c r="E92" s="155" t="str">
        <f>'Tên Tháng 1'!E80</f>
        <v>សុត តក់</v>
      </c>
      <c r="F92" s="157" t="str">
        <f>'Tên Tháng 1'!F80</f>
        <v>SOT TORK</v>
      </c>
      <c r="G92" s="158">
        <v>166</v>
      </c>
      <c r="H92" s="159">
        <f>ROUND('SAN LUONG'!W85*0.44,2)</f>
        <v>608.96</v>
      </c>
      <c r="I92" s="159">
        <f t="shared" si="16"/>
        <v>8.67</v>
      </c>
      <c r="J92" s="168"/>
      <c r="K92" s="159">
        <f t="shared" si="15"/>
        <v>0</v>
      </c>
      <c r="L92" s="159"/>
      <c r="M92" s="159">
        <f t="shared" si="17"/>
        <v>0</v>
      </c>
      <c r="N92" s="167">
        <f>'CHAM CONG'!AR84</f>
        <v>1</v>
      </c>
      <c r="O92" s="159">
        <f t="shared" si="18"/>
        <v>0.53</v>
      </c>
      <c r="P92" s="159">
        <f>'CHAM CONG'!AQ84</f>
        <v>15</v>
      </c>
      <c r="Q92" s="159">
        <f t="shared" si="19"/>
        <v>7.51</v>
      </c>
      <c r="R92" s="159">
        <f t="shared" si="23"/>
        <v>15</v>
      </c>
      <c r="S92" s="159">
        <f t="shared" si="20"/>
        <v>0.47</v>
      </c>
      <c r="T92" s="159"/>
      <c r="U92" s="159">
        <f t="shared" si="13"/>
        <v>0</v>
      </c>
      <c r="V92" s="159">
        <f t="shared" si="14"/>
        <v>0</v>
      </c>
      <c r="W92" s="159"/>
      <c r="X92" s="159">
        <f t="shared" si="21"/>
        <v>17.18</v>
      </c>
      <c r="Y92" s="201"/>
      <c r="Z92" s="199" t="s">
        <v>270</v>
      </c>
      <c r="AA92" s="202">
        <v>17.190000000000001</v>
      </c>
      <c r="AB92" s="203">
        <f t="shared" si="22"/>
        <v>0.01</v>
      </c>
      <c r="AC92" s="124">
        <v>0.04</v>
      </c>
    </row>
    <row r="93" spans="1:29" s="124" customFormat="1" ht="33" customHeight="1">
      <c r="A93" s="154">
        <v>78</v>
      </c>
      <c r="B93" s="155"/>
      <c r="C93" s="155"/>
      <c r="D93" s="156"/>
      <c r="E93" s="155" t="str">
        <f>'Tên Tháng 1'!E81</f>
        <v>បាន ល្អិត</v>
      </c>
      <c r="F93" s="157" t="str">
        <f>'Tên Tháng 1'!F81</f>
        <v>BAN LOITH</v>
      </c>
      <c r="G93" s="158">
        <v>167</v>
      </c>
      <c r="H93" s="159">
        <f>ROUND('SAN LUONG'!W86*0.44,2)</f>
        <v>694.76</v>
      </c>
      <c r="I93" s="159">
        <f t="shared" si="16"/>
        <v>9.9</v>
      </c>
      <c r="J93" s="168"/>
      <c r="K93" s="159">
        <f t="shared" si="15"/>
        <v>0</v>
      </c>
      <c r="L93" s="159"/>
      <c r="M93" s="159">
        <f t="shared" si="17"/>
        <v>0</v>
      </c>
      <c r="N93" s="167">
        <f>'CHAM CONG'!AR85</f>
        <v>1</v>
      </c>
      <c r="O93" s="159">
        <f t="shared" si="18"/>
        <v>0.53</v>
      </c>
      <c r="P93" s="159">
        <f>'CHAM CONG'!AQ85</f>
        <v>15</v>
      </c>
      <c r="Q93" s="159">
        <f t="shared" si="19"/>
        <v>7.51</v>
      </c>
      <c r="R93" s="159">
        <f t="shared" si="23"/>
        <v>15</v>
      </c>
      <c r="S93" s="159">
        <f t="shared" si="20"/>
        <v>0.47</v>
      </c>
      <c r="T93" s="159"/>
      <c r="U93" s="159">
        <f t="shared" si="13"/>
        <v>0</v>
      </c>
      <c r="V93" s="159">
        <f t="shared" si="14"/>
        <v>0</v>
      </c>
      <c r="W93" s="159"/>
      <c r="X93" s="159">
        <f t="shared" si="21"/>
        <v>18.41</v>
      </c>
      <c r="Y93" s="201"/>
      <c r="Z93" s="199" t="s">
        <v>270</v>
      </c>
      <c r="AA93" s="202">
        <v>18.41</v>
      </c>
      <c r="AB93" s="203">
        <f t="shared" si="22"/>
        <v>0</v>
      </c>
      <c r="AC93" s="124">
        <v>0.04</v>
      </c>
    </row>
    <row r="94" spans="1:29" s="124" customFormat="1" ht="33" customHeight="1">
      <c r="A94" s="154">
        <v>79</v>
      </c>
      <c r="B94" s="155"/>
      <c r="C94" s="155"/>
      <c r="D94" s="156"/>
      <c r="E94" s="155" t="str">
        <f>'Tên Tháng 1'!E82</f>
        <v>ដា វ៉ាន់ណា</v>
      </c>
      <c r="F94" s="157" t="str">
        <f>'Tên Tháng 1'!F82</f>
        <v>DA VANNA</v>
      </c>
      <c r="G94" s="158">
        <v>168</v>
      </c>
      <c r="H94" s="159">
        <f>ROUND('SAN LUONG'!W87*0.44,2)</f>
        <v>649.88</v>
      </c>
      <c r="I94" s="159">
        <f t="shared" si="16"/>
        <v>9.26</v>
      </c>
      <c r="J94" s="168"/>
      <c r="K94" s="159">
        <f t="shared" si="15"/>
        <v>0</v>
      </c>
      <c r="L94" s="159"/>
      <c r="M94" s="159">
        <f t="shared" si="17"/>
        <v>0</v>
      </c>
      <c r="N94" s="167">
        <f>'CHAM CONG'!AR86</f>
        <v>1</v>
      </c>
      <c r="O94" s="159">
        <f t="shared" si="18"/>
        <v>0.53</v>
      </c>
      <c r="P94" s="159">
        <f>'CHAM CONG'!AQ86</f>
        <v>15</v>
      </c>
      <c r="Q94" s="159">
        <f t="shared" si="19"/>
        <v>7.51</v>
      </c>
      <c r="R94" s="159">
        <f t="shared" si="23"/>
        <v>15</v>
      </c>
      <c r="S94" s="159">
        <f t="shared" si="20"/>
        <v>0.47</v>
      </c>
      <c r="T94" s="159"/>
      <c r="U94" s="159">
        <f t="shared" si="13"/>
        <v>0</v>
      </c>
      <c r="V94" s="159">
        <f t="shared" si="14"/>
        <v>0</v>
      </c>
      <c r="W94" s="159"/>
      <c r="X94" s="159">
        <f t="shared" si="21"/>
        <v>17.77</v>
      </c>
      <c r="Y94" s="201"/>
      <c r="Z94" s="199" t="s">
        <v>270</v>
      </c>
      <c r="AA94" s="202">
        <v>17.77</v>
      </c>
      <c r="AB94" s="203">
        <f t="shared" si="22"/>
        <v>0</v>
      </c>
      <c r="AC94" s="124">
        <v>0</v>
      </c>
    </row>
    <row r="95" spans="1:29" s="124" customFormat="1" ht="33" customHeight="1">
      <c r="A95" s="154">
        <v>80</v>
      </c>
      <c r="B95" s="155"/>
      <c r="C95" s="155"/>
      <c r="D95" s="156"/>
      <c r="E95" s="155" t="str">
        <f>'Tên Tháng 1'!E83</f>
        <v>ទៀន ចែម</v>
      </c>
      <c r="F95" s="157" t="str">
        <f>'Tên Tháng 1'!F83</f>
        <v>TEAN CHEM</v>
      </c>
      <c r="G95" s="158">
        <v>169</v>
      </c>
      <c r="H95" s="159">
        <f>ROUND('SAN LUONG'!W88*0.44,2)</f>
        <v>683.76</v>
      </c>
      <c r="I95" s="159">
        <f t="shared" si="16"/>
        <v>9.74</v>
      </c>
      <c r="J95" s="168"/>
      <c r="K95" s="159">
        <f t="shared" si="15"/>
        <v>0</v>
      </c>
      <c r="L95" s="159"/>
      <c r="M95" s="159">
        <f t="shared" si="17"/>
        <v>0</v>
      </c>
      <c r="N95" s="167">
        <f>'CHAM CONG'!AR87</f>
        <v>1</v>
      </c>
      <c r="O95" s="159">
        <f t="shared" si="18"/>
        <v>0.53</v>
      </c>
      <c r="P95" s="159">
        <f>'CHAM CONG'!AQ87</f>
        <v>15</v>
      </c>
      <c r="Q95" s="159">
        <f t="shared" si="19"/>
        <v>7.51</v>
      </c>
      <c r="R95" s="159">
        <f t="shared" si="23"/>
        <v>15</v>
      </c>
      <c r="S95" s="159">
        <f t="shared" si="20"/>
        <v>0.47</v>
      </c>
      <c r="T95" s="159"/>
      <c r="U95" s="159">
        <f t="shared" si="13"/>
        <v>0</v>
      </c>
      <c r="V95" s="159">
        <f t="shared" si="14"/>
        <v>0</v>
      </c>
      <c r="W95" s="159"/>
      <c r="X95" s="159">
        <f t="shared" si="21"/>
        <v>18.25</v>
      </c>
      <c r="Y95" s="201"/>
      <c r="Z95" s="199" t="s">
        <v>270</v>
      </c>
      <c r="AA95" s="202">
        <v>18.25</v>
      </c>
      <c r="AB95" s="203">
        <f t="shared" si="22"/>
        <v>0</v>
      </c>
      <c r="AC95" s="124">
        <v>0.04</v>
      </c>
    </row>
    <row r="96" spans="1:29" s="124" customFormat="1" ht="33" customHeight="1">
      <c r="A96" s="154">
        <v>81</v>
      </c>
      <c r="B96" s="155"/>
      <c r="C96" s="155"/>
      <c r="D96" s="156"/>
      <c r="E96" s="155" t="str">
        <f>'Tên Tháng 1'!E84</f>
        <v>លី ឡាត់</v>
      </c>
      <c r="F96" s="157" t="str">
        <f>'Tên Tháng 1'!F84</f>
        <v>LY LAYH</v>
      </c>
      <c r="G96" s="158">
        <v>170</v>
      </c>
      <c r="H96" s="159">
        <f>ROUND('SAN LUONG'!W89*0.44,2)</f>
        <v>647.67999999999995</v>
      </c>
      <c r="I96" s="159">
        <f t="shared" si="16"/>
        <v>9.2200000000000006</v>
      </c>
      <c r="J96" s="168"/>
      <c r="K96" s="159">
        <f t="shared" si="15"/>
        <v>0</v>
      </c>
      <c r="L96" s="159"/>
      <c r="M96" s="159">
        <f t="shared" si="17"/>
        <v>0</v>
      </c>
      <c r="N96" s="167">
        <f>'CHAM CONG'!AR88</f>
        <v>1</v>
      </c>
      <c r="O96" s="159">
        <f t="shared" si="18"/>
        <v>0.53</v>
      </c>
      <c r="P96" s="159">
        <f>'CHAM CONG'!AQ88</f>
        <v>15</v>
      </c>
      <c r="Q96" s="159">
        <f t="shared" si="19"/>
        <v>7.51</v>
      </c>
      <c r="R96" s="159">
        <f t="shared" si="23"/>
        <v>15</v>
      </c>
      <c r="S96" s="159">
        <f t="shared" si="20"/>
        <v>0.47</v>
      </c>
      <c r="T96" s="159"/>
      <c r="U96" s="159">
        <f t="shared" si="13"/>
        <v>0</v>
      </c>
      <c r="V96" s="159">
        <f t="shared" si="14"/>
        <v>0</v>
      </c>
      <c r="W96" s="159"/>
      <c r="X96" s="159">
        <f t="shared" si="21"/>
        <v>17.73</v>
      </c>
      <c r="Y96" s="201"/>
      <c r="Z96" s="199" t="s">
        <v>270</v>
      </c>
      <c r="AA96" s="202">
        <v>17.739999999999998</v>
      </c>
      <c r="AB96" s="203">
        <f t="shared" si="22"/>
        <v>0.01</v>
      </c>
      <c r="AC96" s="124">
        <v>0.04</v>
      </c>
    </row>
    <row r="97" spans="1:29" s="124" customFormat="1" ht="33" customHeight="1">
      <c r="A97" s="154">
        <v>82</v>
      </c>
      <c r="B97" s="155"/>
      <c r="C97" s="155"/>
      <c r="D97" s="156"/>
      <c r="E97" s="155" t="str">
        <f>'Tên Tháng 1'!E85</f>
        <v>ទូច ណាង</v>
      </c>
      <c r="F97" s="157" t="str">
        <f>'Tên Tháng 1'!F85</f>
        <v>TOUCH NANG</v>
      </c>
      <c r="G97" s="158">
        <v>171</v>
      </c>
      <c r="H97" s="159">
        <f>ROUND('SAN LUONG'!W90*0.44,2)</f>
        <v>599.72</v>
      </c>
      <c r="I97" s="159">
        <f t="shared" si="16"/>
        <v>8.5399999999999991</v>
      </c>
      <c r="J97" s="168"/>
      <c r="K97" s="159">
        <f t="shared" si="15"/>
        <v>0</v>
      </c>
      <c r="L97" s="159"/>
      <c r="M97" s="159">
        <f t="shared" si="17"/>
        <v>0</v>
      </c>
      <c r="N97" s="167">
        <f>'CHAM CONG'!AR89</f>
        <v>1</v>
      </c>
      <c r="O97" s="159">
        <f t="shared" si="18"/>
        <v>0.53</v>
      </c>
      <c r="P97" s="159">
        <f>'CHAM CONG'!AQ89</f>
        <v>15</v>
      </c>
      <c r="Q97" s="159">
        <f t="shared" si="19"/>
        <v>7.51</v>
      </c>
      <c r="R97" s="159">
        <f t="shared" si="23"/>
        <v>15</v>
      </c>
      <c r="S97" s="159">
        <f t="shared" si="20"/>
        <v>0.47</v>
      </c>
      <c r="T97" s="159"/>
      <c r="U97" s="159">
        <f t="shared" si="13"/>
        <v>0</v>
      </c>
      <c r="V97" s="159">
        <f t="shared" si="14"/>
        <v>0</v>
      </c>
      <c r="W97" s="159"/>
      <c r="X97" s="159">
        <f t="shared" si="21"/>
        <v>17.049999999999997</v>
      </c>
      <c r="Y97" s="201"/>
      <c r="Z97" s="199" t="s">
        <v>270</v>
      </c>
      <c r="AA97" s="202">
        <v>17.059999999999999</v>
      </c>
      <c r="AB97" s="203">
        <f t="shared" si="22"/>
        <v>0.01</v>
      </c>
      <c r="AC97" s="124">
        <v>0.04</v>
      </c>
    </row>
    <row r="98" spans="1:29" s="124" customFormat="1" ht="33" customHeight="1">
      <c r="A98" s="154">
        <v>83</v>
      </c>
      <c r="B98" s="155"/>
      <c r="C98" s="155"/>
      <c r="D98" s="156"/>
      <c r="E98" s="155" t="str">
        <f>'Tên Tháng 1'!E86</f>
        <v>មាំង ម៉ែន</v>
      </c>
      <c r="F98" s="157" t="str">
        <f>'Tên Tháng 1'!F86</f>
        <v>MANG MAN</v>
      </c>
      <c r="G98" s="158">
        <v>172</v>
      </c>
      <c r="H98" s="159">
        <f>ROUND('SAN LUONG'!W91*0.44,2)</f>
        <v>392.92</v>
      </c>
      <c r="I98" s="159">
        <f t="shared" si="16"/>
        <v>5.6</v>
      </c>
      <c r="J98" s="168"/>
      <c r="K98" s="159">
        <f t="shared" si="15"/>
        <v>0</v>
      </c>
      <c r="L98" s="159"/>
      <c r="M98" s="159">
        <f t="shared" si="17"/>
        <v>0</v>
      </c>
      <c r="N98" s="167">
        <f>'CHAM CONG'!AR90</f>
        <v>1</v>
      </c>
      <c r="O98" s="159">
        <f t="shared" si="18"/>
        <v>0.53</v>
      </c>
      <c r="P98" s="159">
        <f>'CHAM CONG'!AQ90</f>
        <v>14</v>
      </c>
      <c r="Q98" s="159">
        <f t="shared" si="19"/>
        <v>7.01</v>
      </c>
      <c r="R98" s="159">
        <f t="shared" si="23"/>
        <v>14</v>
      </c>
      <c r="S98" s="159">
        <f t="shared" si="20"/>
        <v>0.44</v>
      </c>
      <c r="T98" s="159"/>
      <c r="U98" s="159">
        <f t="shared" si="13"/>
        <v>0</v>
      </c>
      <c r="V98" s="159">
        <f t="shared" si="14"/>
        <v>0</v>
      </c>
      <c r="W98" s="159"/>
      <c r="X98" s="159">
        <f t="shared" si="21"/>
        <v>13.579999999999998</v>
      </c>
      <c r="Y98" s="201"/>
      <c r="Z98" s="199" t="s">
        <v>270</v>
      </c>
      <c r="AA98" s="202">
        <v>13.58</v>
      </c>
      <c r="AB98" s="203">
        <f t="shared" si="22"/>
        <v>0</v>
      </c>
      <c r="AC98" s="124">
        <v>0.04</v>
      </c>
    </row>
    <row r="99" spans="1:29" s="124" customFormat="1" ht="33" customHeight="1">
      <c r="A99" s="154">
        <v>84</v>
      </c>
      <c r="B99" s="155"/>
      <c r="C99" s="155"/>
      <c r="D99" s="156"/>
      <c r="E99" s="155" t="str">
        <f>'Tên Tháng 1'!E87</f>
        <v>សាត សុខណេង</v>
      </c>
      <c r="F99" s="157" t="str">
        <f>'Tên Tháng 1'!F87</f>
        <v>SAT SOKNENG</v>
      </c>
      <c r="G99" s="158">
        <v>173</v>
      </c>
      <c r="H99" s="159">
        <f>ROUND('SAN LUONG'!W92*0.44,2)</f>
        <v>453.64</v>
      </c>
      <c r="I99" s="159">
        <f t="shared" si="16"/>
        <v>6.46</v>
      </c>
      <c r="J99" s="168"/>
      <c r="K99" s="159">
        <f t="shared" si="15"/>
        <v>0</v>
      </c>
      <c r="L99" s="159"/>
      <c r="M99" s="159">
        <f t="shared" si="17"/>
        <v>0</v>
      </c>
      <c r="N99" s="167">
        <f>'CHAM CONG'!AR91</f>
        <v>1</v>
      </c>
      <c r="O99" s="159">
        <f t="shared" si="18"/>
        <v>0.53</v>
      </c>
      <c r="P99" s="159">
        <f>'CHAM CONG'!AQ91</f>
        <v>13</v>
      </c>
      <c r="Q99" s="159">
        <f t="shared" si="19"/>
        <v>6.51</v>
      </c>
      <c r="R99" s="159">
        <f t="shared" si="23"/>
        <v>13</v>
      </c>
      <c r="S99" s="159">
        <f t="shared" si="20"/>
        <v>0.41</v>
      </c>
      <c r="T99" s="159"/>
      <c r="U99" s="159">
        <f t="shared" si="13"/>
        <v>0</v>
      </c>
      <c r="V99" s="159">
        <f t="shared" si="14"/>
        <v>0</v>
      </c>
      <c r="W99" s="159"/>
      <c r="X99" s="159">
        <f t="shared" si="21"/>
        <v>13.909999999999998</v>
      </c>
      <c r="Y99" s="201"/>
      <c r="Z99" s="199" t="s">
        <v>270</v>
      </c>
      <c r="AA99" s="202">
        <v>13.91</v>
      </c>
      <c r="AB99" s="203">
        <f t="shared" si="22"/>
        <v>0</v>
      </c>
      <c r="AC99" s="124">
        <v>0.04</v>
      </c>
    </row>
    <row r="100" spans="1:29" s="124" customFormat="1" ht="33" customHeight="1">
      <c r="A100" s="154">
        <v>85</v>
      </c>
      <c r="B100" s="155"/>
      <c r="C100" s="155"/>
      <c r="D100" s="156"/>
      <c r="E100" s="155" t="str">
        <f>'Tên Tháng 1'!E88</f>
        <v>ស៊ុយ ចាន់នី</v>
      </c>
      <c r="F100" s="157" t="str">
        <f>'Tên Tháng 1'!F88</f>
        <v>SUY CHANNY</v>
      </c>
      <c r="G100" s="158">
        <v>174</v>
      </c>
      <c r="H100" s="159">
        <f>ROUND('SAN LUONG'!W93*0.44,2)</f>
        <v>374</v>
      </c>
      <c r="I100" s="159">
        <f t="shared" si="16"/>
        <v>5.33</v>
      </c>
      <c r="J100" s="168"/>
      <c r="K100" s="159">
        <f t="shared" si="15"/>
        <v>0</v>
      </c>
      <c r="L100" s="159"/>
      <c r="M100" s="159">
        <f t="shared" si="17"/>
        <v>0</v>
      </c>
      <c r="N100" s="167">
        <f>'CHAM CONG'!AR92</f>
        <v>1</v>
      </c>
      <c r="O100" s="159">
        <f t="shared" si="18"/>
        <v>0.53</v>
      </c>
      <c r="P100" s="159">
        <f>'CHAM CONG'!AQ92</f>
        <v>12</v>
      </c>
      <c r="Q100" s="159">
        <f t="shared" si="19"/>
        <v>6.01</v>
      </c>
      <c r="R100" s="159">
        <f t="shared" si="23"/>
        <v>12</v>
      </c>
      <c r="S100" s="159">
        <f t="shared" si="20"/>
        <v>0.38</v>
      </c>
      <c r="T100" s="159"/>
      <c r="U100" s="159">
        <f t="shared" si="13"/>
        <v>0</v>
      </c>
      <c r="V100" s="159">
        <f t="shared" si="14"/>
        <v>0</v>
      </c>
      <c r="W100" s="159"/>
      <c r="X100" s="159">
        <f t="shared" si="21"/>
        <v>12.25</v>
      </c>
      <c r="Y100" s="201"/>
      <c r="Z100" s="199" t="s">
        <v>270</v>
      </c>
      <c r="AA100" s="202">
        <v>12.24</v>
      </c>
      <c r="AB100" s="203">
        <f t="shared" si="22"/>
        <v>-0.01</v>
      </c>
      <c r="AC100" s="124">
        <v>0.04</v>
      </c>
    </row>
    <row r="101" spans="1:29" s="124" customFormat="1" ht="42.6" customHeight="1">
      <c r="A101" s="154">
        <v>86</v>
      </c>
      <c r="B101" s="155"/>
      <c r="C101" s="155"/>
      <c r="D101" s="156"/>
      <c r="E101" s="155" t="str">
        <f>'Tên Tháng 1'!E89</f>
        <v>ហង់ ហើយ</v>
      </c>
      <c r="F101" s="157" t="str">
        <f>'Tên Tháng 1'!F89</f>
        <v>HANG HAEUY</v>
      </c>
      <c r="G101" s="158">
        <v>175</v>
      </c>
      <c r="H101" s="159">
        <f>ROUND('SAN LUONG'!W94*0.44,2)</f>
        <v>488.4</v>
      </c>
      <c r="I101" s="159">
        <f t="shared" si="16"/>
        <v>6.96</v>
      </c>
      <c r="J101" s="168"/>
      <c r="K101" s="159">
        <f t="shared" si="15"/>
        <v>0</v>
      </c>
      <c r="L101" s="159"/>
      <c r="M101" s="159">
        <f t="shared" si="17"/>
        <v>0</v>
      </c>
      <c r="N101" s="167">
        <f>'CHAM CONG'!AR93</f>
        <v>1</v>
      </c>
      <c r="O101" s="159">
        <f t="shared" si="18"/>
        <v>0.53</v>
      </c>
      <c r="P101" s="159">
        <f>'CHAM CONG'!AQ93</f>
        <v>13</v>
      </c>
      <c r="Q101" s="159">
        <f t="shared" si="19"/>
        <v>6.51</v>
      </c>
      <c r="R101" s="159">
        <f t="shared" si="23"/>
        <v>13</v>
      </c>
      <c r="S101" s="159">
        <f t="shared" si="20"/>
        <v>0.41</v>
      </c>
      <c r="T101" s="159"/>
      <c r="U101" s="159">
        <f t="shared" si="13"/>
        <v>0</v>
      </c>
      <c r="V101" s="159">
        <f t="shared" si="14"/>
        <v>0</v>
      </c>
      <c r="W101" s="159"/>
      <c r="X101" s="159">
        <f t="shared" si="21"/>
        <v>14.409999999999998</v>
      </c>
      <c r="Y101" s="201"/>
      <c r="Z101" s="199" t="s">
        <v>270</v>
      </c>
      <c r="AA101" s="202">
        <v>14.41</v>
      </c>
      <c r="AB101" s="203">
        <f t="shared" si="22"/>
        <v>0</v>
      </c>
      <c r="AC101" s="124">
        <v>0</v>
      </c>
    </row>
    <row r="102" spans="1:29" s="124" customFormat="1" ht="33" customHeight="1">
      <c r="A102" s="154">
        <v>87</v>
      </c>
      <c r="B102" s="155"/>
      <c r="C102" s="155"/>
      <c r="D102" s="156"/>
      <c r="E102" s="155" t="str">
        <f>'Tên Tháng 1'!E90</f>
        <v>ឡៃ គុណ</v>
      </c>
      <c r="F102" s="157" t="str">
        <f>'Tên Tháng 1'!F90</f>
        <v>LAY KUN</v>
      </c>
      <c r="G102" s="158">
        <v>176</v>
      </c>
      <c r="H102" s="159">
        <f>ROUND('SAN LUONG'!W95*0.44,2)</f>
        <v>637.55999999999995</v>
      </c>
      <c r="I102" s="159">
        <f t="shared" si="16"/>
        <v>9.08</v>
      </c>
      <c r="J102" s="168"/>
      <c r="K102" s="159">
        <f t="shared" si="15"/>
        <v>0</v>
      </c>
      <c r="L102" s="159"/>
      <c r="M102" s="159">
        <f t="shared" si="17"/>
        <v>0</v>
      </c>
      <c r="N102" s="167">
        <f>'CHAM CONG'!AR94</f>
        <v>1</v>
      </c>
      <c r="O102" s="159">
        <f t="shared" si="18"/>
        <v>0.53</v>
      </c>
      <c r="P102" s="159">
        <f>'CHAM CONG'!AQ94</f>
        <v>15</v>
      </c>
      <c r="Q102" s="159">
        <f t="shared" si="19"/>
        <v>7.51</v>
      </c>
      <c r="R102" s="159">
        <f t="shared" si="23"/>
        <v>15</v>
      </c>
      <c r="S102" s="159">
        <f t="shared" si="20"/>
        <v>0.47</v>
      </c>
      <c r="T102" s="159"/>
      <c r="U102" s="159">
        <f t="shared" si="13"/>
        <v>0</v>
      </c>
      <c r="V102" s="159">
        <f t="shared" si="14"/>
        <v>0</v>
      </c>
      <c r="W102" s="159"/>
      <c r="X102" s="159">
        <f t="shared" si="21"/>
        <v>17.59</v>
      </c>
      <c r="Y102" s="201"/>
      <c r="Z102" s="199" t="s">
        <v>270</v>
      </c>
      <c r="AA102" s="202">
        <v>17.59</v>
      </c>
      <c r="AB102" s="203">
        <f t="shared" si="22"/>
        <v>0</v>
      </c>
      <c r="AC102" s="124">
        <v>0.04</v>
      </c>
    </row>
    <row r="103" spans="1:29" s="124" customFormat="1" ht="33.6" customHeight="1">
      <c r="A103" s="154">
        <v>88</v>
      </c>
      <c r="B103" s="155"/>
      <c r="C103" s="155"/>
      <c r="D103" s="156"/>
      <c r="E103" s="155" t="str">
        <f>'Tên Tháng 1'!E91</f>
        <v>ភា ស្រីភិច</v>
      </c>
      <c r="F103" s="157" t="str">
        <f>'Tên Tháng 1'!F91</f>
        <v>PHEA SREYPHICH</v>
      </c>
      <c r="G103" s="158">
        <v>177</v>
      </c>
      <c r="H103" s="159">
        <f>ROUND('SAN LUONG'!W96*0.44,2)</f>
        <v>551.76</v>
      </c>
      <c r="I103" s="159">
        <f t="shared" si="16"/>
        <v>7.86</v>
      </c>
      <c r="J103" s="168"/>
      <c r="K103" s="159">
        <f t="shared" si="15"/>
        <v>0</v>
      </c>
      <c r="L103" s="159"/>
      <c r="M103" s="159">
        <f t="shared" si="17"/>
        <v>0</v>
      </c>
      <c r="N103" s="167">
        <f>'CHAM CONG'!AR95</f>
        <v>1</v>
      </c>
      <c r="O103" s="159">
        <f t="shared" si="18"/>
        <v>0.53</v>
      </c>
      <c r="P103" s="159">
        <f>'CHAM CONG'!AQ95</f>
        <v>15</v>
      </c>
      <c r="Q103" s="159">
        <f t="shared" si="19"/>
        <v>7.51</v>
      </c>
      <c r="R103" s="159">
        <f t="shared" si="23"/>
        <v>15</v>
      </c>
      <c r="S103" s="159">
        <f t="shared" si="20"/>
        <v>0.47</v>
      </c>
      <c r="T103" s="159"/>
      <c r="U103" s="159">
        <f t="shared" si="13"/>
        <v>0</v>
      </c>
      <c r="V103" s="159">
        <f t="shared" si="14"/>
        <v>0</v>
      </c>
      <c r="W103" s="159"/>
      <c r="X103" s="159">
        <f t="shared" si="21"/>
        <v>16.37</v>
      </c>
      <c r="Y103" s="201"/>
      <c r="Z103" s="199" t="s">
        <v>270</v>
      </c>
      <c r="AA103" s="202">
        <v>16.37</v>
      </c>
      <c r="AB103" s="203">
        <f t="shared" si="22"/>
        <v>0</v>
      </c>
      <c r="AC103" s="124">
        <v>0.04</v>
      </c>
    </row>
    <row r="104" spans="1:29" s="124" customFormat="1" ht="33.6" customHeight="1">
      <c r="A104" s="154">
        <v>89</v>
      </c>
      <c r="B104" s="155"/>
      <c r="C104" s="155"/>
      <c r="D104" s="156"/>
      <c r="E104" s="155" t="str">
        <f>'Tên Tháng 1'!E92</f>
        <v>ពិន ចាន់ណា</v>
      </c>
      <c r="F104" s="157" t="str">
        <f>'Tên Tháng 1'!F92</f>
        <v>PIN CHANNA</v>
      </c>
      <c r="G104" s="158">
        <v>178</v>
      </c>
      <c r="H104" s="159">
        <f>ROUND('SAN LUONG'!W97*0.44,2)</f>
        <v>644.6</v>
      </c>
      <c r="I104" s="159">
        <f t="shared" si="16"/>
        <v>9.18</v>
      </c>
      <c r="J104" s="168"/>
      <c r="K104" s="159">
        <f t="shared" si="15"/>
        <v>0</v>
      </c>
      <c r="L104" s="159"/>
      <c r="M104" s="159">
        <f t="shared" si="17"/>
        <v>0</v>
      </c>
      <c r="N104" s="167">
        <f>'CHAM CONG'!AR96</f>
        <v>1</v>
      </c>
      <c r="O104" s="159">
        <f t="shared" si="18"/>
        <v>0.53</v>
      </c>
      <c r="P104" s="159">
        <f>'CHAM CONG'!AQ96</f>
        <v>15</v>
      </c>
      <c r="Q104" s="159">
        <f t="shared" si="19"/>
        <v>7.51</v>
      </c>
      <c r="R104" s="159">
        <f t="shared" si="23"/>
        <v>15</v>
      </c>
      <c r="S104" s="159">
        <f t="shared" si="20"/>
        <v>0.47</v>
      </c>
      <c r="T104" s="159"/>
      <c r="U104" s="159">
        <f t="shared" si="13"/>
        <v>0</v>
      </c>
      <c r="V104" s="159">
        <f t="shared" si="14"/>
        <v>0</v>
      </c>
      <c r="W104" s="159"/>
      <c r="X104" s="159">
        <f t="shared" si="21"/>
        <v>17.689999999999998</v>
      </c>
      <c r="Y104" s="201"/>
      <c r="Z104" s="199" t="s">
        <v>270</v>
      </c>
      <c r="AA104" s="202">
        <v>17.690000000000001</v>
      </c>
      <c r="AB104" s="203">
        <f t="shared" si="22"/>
        <v>0</v>
      </c>
      <c r="AC104" s="124">
        <v>0.01</v>
      </c>
    </row>
    <row r="105" spans="1:29" s="124" customFormat="1" ht="33.6" customHeight="1">
      <c r="A105" s="154">
        <v>90</v>
      </c>
      <c r="B105" s="155"/>
      <c r="C105" s="155"/>
      <c r="D105" s="156"/>
      <c r="E105" s="155" t="str">
        <f>'Tên Tháng 1'!E93</f>
        <v>ប៊ូ បៀន</v>
      </c>
      <c r="F105" s="157" t="str">
        <f>'Tên Tháng 1'!F93</f>
        <v>BO BEAN</v>
      </c>
      <c r="G105" s="158">
        <v>179</v>
      </c>
      <c r="H105" s="159">
        <f>ROUND('SAN LUONG'!W98*0.44,2)</f>
        <v>620.4</v>
      </c>
      <c r="I105" s="159">
        <f t="shared" si="16"/>
        <v>8.84</v>
      </c>
      <c r="J105" s="168"/>
      <c r="K105" s="159">
        <f t="shared" si="15"/>
        <v>0</v>
      </c>
      <c r="L105" s="159"/>
      <c r="M105" s="159">
        <f t="shared" si="17"/>
        <v>0</v>
      </c>
      <c r="N105" s="167">
        <f>'CHAM CONG'!AR97</f>
        <v>1</v>
      </c>
      <c r="O105" s="159">
        <f t="shared" si="18"/>
        <v>0.53</v>
      </c>
      <c r="P105" s="159">
        <f>'CHAM CONG'!AQ97</f>
        <v>13</v>
      </c>
      <c r="Q105" s="159">
        <f t="shared" si="19"/>
        <v>6.51</v>
      </c>
      <c r="R105" s="159">
        <f t="shared" si="23"/>
        <v>13</v>
      </c>
      <c r="S105" s="159">
        <f t="shared" si="20"/>
        <v>0.41</v>
      </c>
      <c r="T105" s="159"/>
      <c r="U105" s="159">
        <f t="shared" si="13"/>
        <v>0</v>
      </c>
      <c r="V105" s="159">
        <f t="shared" si="14"/>
        <v>0</v>
      </c>
      <c r="W105" s="159"/>
      <c r="X105" s="159">
        <f t="shared" si="21"/>
        <v>16.29</v>
      </c>
      <c r="Y105" s="201"/>
      <c r="Z105" s="199" t="s">
        <v>270</v>
      </c>
      <c r="AA105" s="202">
        <v>16.29</v>
      </c>
      <c r="AB105" s="203">
        <f t="shared" si="22"/>
        <v>0</v>
      </c>
      <c r="AC105" s="124">
        <v>0.04</v>
      </c>
    </row>
    <row r="106" spans="1:29" s="124" customFormat="1" ht="33.6" customHeight="1">
      <c r="A106" s="154">
        <v>91</v>
      </c>
      <c r="B106" s="155"/>
      <c r="C106" s="155"/>
      <c r="D106" s="156"/>
      <c r="E106" s="155" t="str">
        <f>'Tên Tháng 1'!E94</f>
        <v>មឿន ម៉ាក់</v>
      </c>
      <c r="F106" s="157" t="str">
        <f>'Tên Tháng 1'!F94</f>
        <v>MOEUN MAK</v>
      </c>
      <c r="G106" s="158">
        <v>180</v>
      </c>
      <c r="H106" s="159">
        <f>ROUND('SAN LUONG'!W99*0.44,2)</f>
        <v>629.20000000000005</v>
      </c>
      <c r="I106" s="159">
        <f t="shared" si="16"/>
        <v>8.9600000000000009</v>
      </c>
      <c r="J106" s="168"/>
      <c r="K106" s="159">
        <f t="shared" si="15"/>
        <v>0</v>
      </c>
      <c r="L106" s="159"/>
      <c r="M106" s="159">
        <f t="shared" si="17"/>
        <v>0</v>
      </c>
      <c r="N106" s="167">
        <f>'CHAM CONG'!AR98</f>
        <v>1</v>
      </c>
      <c r="O106" s="159">
        <f t="shared" si="18"/>
        <v>0.53</v>
      </c>
      <c r="P106" s="159">
        <f>'CHAM CONG'!AQ98</f>
        <v>15</v>
      </c>
      <c r="Q106" s="159">
        <f t="shared" si="19"/>
        <v>7.51</v>
      </c>
      <c r="R106" s="159">
        <f t="shared" si="23"/>
        <v>15</v>
      </c>
      <c r="S106" s="159">
        <f t="shared" si="20"/>
        <v>0.47</v>
      </c>
      <c r="T106" s="159"/>
      <c r="U106" s="159">
        <f t="shared" si="13"/>
        <v>0</v>
      </c>
      <c r="V106" s="159">
        <f t="shared" si="14"/>
        <v>0</v>
      </c>
      <c r="W106" s="159"/>
      <c r="X106" s="159">
        <f t="shared" si="21"/>
        <v>17.47</v>
      </c>
      <c r="Y106" s="201"/>
      <c r="Z106" s="199" t="s">
        <v>270</v>
      </c>
      <c r="AA106" s="202">
        <v>17.48</v>
      </c>
      <c r="AB106" s="203">
        <f t="shared" si="22"/>
        <v>0.01</v>
      </c>
      <c r="AC106" s="124">
        <v>0.04</v>
      </c>
    </row>
    <row r="107" spans="1:29" s="124" customFormat="1" ht="33.6" customHeight="1">
      <c r="A107" s="154">
        <v>92</v>
      </c>
      <c r="B107" s="155"/>
      <c r="C107" s="155"/>
      <c r="D107" s="156"/>
      <c r="E107" s="155" t="str">
        <f>'Tên Tháng 1'!E95</f>
        <v>ស សឿ</v>
      </c>
      <c r="F107" s="157" t="str">
        <f>'Tên Tháng 1'!F95</f>
        <v>SOR SOEU</v>
      </c>
      <c r="G107" s="158">
        <v>181</v>
      </c>
      <c r="H107" s="159">
        <f>ROUND('SAN LUONG'!W100*0.44,2)</f>
        <v>539.44000000000005</v>
      </c>
      <c r="I107" s="159">
        <f t="shared" si="16"/>
        <v>7.68</v>
      </c>
      <c r="J107" s="168"/>
      <c r="K107" s="159">
        <f t="shared" si="15"/>
        <v>0</v>
      </c>
      <c r="L107" s="159"/>
      <c r="M107" s="159">
        <f t="shared" si="17"/>
        <v>0</v>
      </c>
      <c r="N107" s="167">
        <f>'CHAM CONG'!AR99</f>
        <v>1</v>
      </c>
      <c r="O107" s="159">
        <f t="shared" si="18"/>
        <v>0.53</v>
      </c>
      <c r="P107" s="159">
        <f>'CHAM CONG'!AQ99</f>
        <v>15</v>
      </c>
      <c r="Q107" s="159">
        <f t="shared" si="19"/>
        <v>7.51</v>
      </c>
      <c r="R107" s="159">
        <f t="shared" si="23"/>
        <v>15</v>
      </c>
      <c r="S107" s="159">
        <f t="shared" si="20"/>
        <v>0.47</v>
      </c>
      <c r="T107" s="159"/>
      <c r="U107" s="159">
        <f t="shared" si="13"/>
        <v>0</v>
      </c>
      <c r="V107" s="159">
        <f t="shared" si="14"/>
        <v>0</v>
      </c>
      <c r="W107" s="159"/>
      <c r="X107" s="159">
        <f t="shared" si="21"/>
        <v>16.190000000000001</v>
      </c>
      <c r="Y107" s="201"/>
      <c r="Z107" s="199" t="s">
        <v>270</v>
      </c>
      <c r="AA107" s="202">
        <v>16.2</v>
      </c>
      <c r="AB107" s="203">
        <f t="shared" si="22"/>
        <v>0.01</v>
      </c>
      <c r="AC107" s="124">
        <v>0.04</v>
      </c>
    </row>
    <row r="108" spans="1:29" s="124" customFormat="1" ht="33.6" customHeight="1">
      <c r="A108" s="154">
        <v>93</v>
      </c>
      <c r="B108" s="155"/>
      <c r="C108" s="155"/>
      <c r="D108" s="156"/>
      <c r="E108" s="155" t="str">
        <f>'Tên Tháng 1'!E96</f>
        <v>ស៊ន សី</v>
      </c>
      <c r="F108" s="157" t="str">
        <f>'Tên Tháng 1'!F96</f>
        <v>SORN SEY</v>
      </c>
      <c r="G108" s="158">
        <v>182</v>
      </c>
      <c r="H108" s="159">
        <f>ROUND('SAN LUONG'!W101*0.44,2)</f>
        <v>674.96</v>
      </c>
      <c r="I108" s="159">
        <f t="shared" si="16"/>
        <v>9.61</v>
      </c>
      <c r="J108" s="168"/>
      <c r="K108" s="159">
        <f t="shared" si="15"/>
        <v>0</v>
      </c>
      <c r="L108" s="159"/>
      <c r="M108" s="159">
        <f t="shared" si="17"/>
        <v>0</v>
      </c>
      <c r="N108" s="167">
        <f>'CHAM CONG'!AR100</f>
        <v>1</v>
      </c>
      <c r="O108" s="159">
        <f t="shared" si="18"/>
        <v>0.53</v>
      </c>
      <c r="P108" s="159">
        <f>'CHAM CONG'!AQ100</f>
        <v>15</v>
      </c>
      <c r="Q108" s="159">
        <f t="shared" si="19"/>
        <v>7.51</v>
      </c>
      <c r="R108" s="159">
        <f t="shared" si="23"/>
        <v>15</v>
      </c>
      <c r="S108" s="159">
        <f t="shared" si="20"/>
        <v>0.47</v>
      </c>
      <c r="T108" s="159"/>
      <c r="U108" s="159">
        <f t="shared" si="13"/>
        <v>0</v>
      </c>
      <c r="V108" s="159">
        <f t="shared" si="14"/>
        <v>0</v>
      </c>
      <c r="W108" s="159"/>
      <c r="X108" s="159">
        <f t="shared" si="21"/>
        <v>18.119999999999997</v>
      </c>
      <c r="Y108" s="201"/>
      <c r="Z108" s="199" t="s">
        <v>270</v>
      </c>
      <c r="AA108" s="202">
        <v>18.13</v>
      </c>
      <c r="AB108" s="203">
        <f t="shared" si="22"/>
        <v>0.01</v>
      </c>
      <c r="AC108" s="124">
        <v>0.04</v>
      </c>
    </row>
    <row r="109" spans="1:29" s="124" customFormat="1" ht="33.6" customHeight="1">
      <c r="A109" s="154">
        <v>94</v>
      </c>
      <c r="B109" s="155"/>
      <c r="C109" s="155"/>
      <c r="D109" s="156"/>
      <c r="E109" s="155" t="str">
        <f>'Tên Tháng 1'!E97</f>
        <v>ឡុន លាង</v>
      </c>
      <c r="F109" s="157" t="str">
        <f>'Tên Tháng 1'!F97</f>
        <v>LAUN LENG</v>
      </c>
      <c r="G109" s="158">
        <v>183</v>
      </c>
      <c r="H109" s="159">
        <f>ROUND('SAN LUONG'!W102*0.44,2)</f>
        <v>573.32000000000005</v>
      </c>
      <c r="I109" s="159">
        <f t="shared" si="16"/>
        <v>8.17</v>
      </c>
      <c r="J109" s="168"/>
      <c r="K109" s="159">
        <f t="shared" si="15"/>
        <v>0</v>
      </c>
      <c r="L109" s="159"/>
      <c r="M109" s="159">
        <f t="shared" si="17"/>
        <v>0</v>
      </c>
      <c r="N109" s="167">
        <f>'CHAM CONG'!AR101</f>
        <v>1</v>
      </c>
      <c r="O109" s="159">
        <f t="shared" si="18"/>
        <v>0.53</v>
      </c>
      <c r="P109" s="159">
        <f>'CHAM CONG'!AQ101</f>
        <v>15</v>
      </c>
      <c r="Q109" s="159">
        <f t="shared" si="19"/>
        <v>7.51</v>
      </c>
      <c r="R109" s="159">
        <f t="shared" si="23"/>
        <v>15</v>
      </c>
      <c r="S109" s="159">
        <f t="shared" si="20"/>
        <v>0.47</v>
      </c>
      <c r="T109" s="159"/>
      <c r="U109" s="159">
        <f t="shared" si="13"/>
        <v>0</v>
      </c>
      <c r="V109" s="159">
        <f t="shared" si="14"/>
        <v>0</v>
      </c>
      <c r="W109" s="159"/>
      <c r="X109" s="159">
        <f t="shared" si="21"/>
        <v>16.68</v>
      </c>
      <c r="Y109" s="201"/>
      <c r="Z109" s="199" t="s">
        <v>270</v>
      </c>
      <c r="AA109" s="202">
        <v>16.68</v>
      </c>
      <c r="AB109" s="203">
        <f t="shared" si="22"/>
        <v>0</v>
      </c>
      <c r="AC109" s="124">
        <v>0.04</v>
      </c>
    </row>
    <row r="110" spans="1:29" s="124" customFormat="1" ht="33.6" customHeight="1">
      <c r="A110" s="154">
        <v>95</v>
      </c>
      <c r="B110" s="155"/>
      <c r="C110" s="155"/>
      <c r="D110" s="156"/>
      <c r="E110" s="155" t="str">
        <f>'Tên Tháng 1'!E98</f>
        <v>ស៊ាន ពិន</v>
      </c>
      <c r="F110" s="157" t="str">
        <f>'Tên Tháng 1'!F98</f>
        <v>SEAN PIN</v>
      </c>
      <c r="G110" s="158">
        <v>184</v>
      </c>
      <c r="H110" s="159">
        <f>ROUND('SAN LUONG'!W103*0.44,2)</f>
        <v>480.04</v>
      </c>
      <c r="I110" s="159">
        <f t="shared" si="16"/>
        <v>6.84</v>
      </c>
      <c r="J110" s="168"/>
      <c r="K110" s="159">
        <f t="shared" si="15"/>
        <v>0</v>
      </c>
      <c r="L110" s="159"/>
      <c r="M110" s="159">
        <f t="shared" si="17"/>
        <v>0</v>
      </c>
      <c r="N110" s="167">
        <f>'CHAM CONG'!AR102</f>
        <v>1</v>
      </c>
      <c r="O110" s="159">
        <f t="shared" si="18"/>
        <v>0.53</v>
      </c>
      <c r="P110" s="159">
        <f>'CHAM CONG'!AQ102</f>
        <v>14</v>
      </c>
      <c r="Q110" s="159">
        <f t="shared" si="19"/>
        <v>7.01</v>
      </c>
      <c r="R110" s="159">
        <f t="shared" si="23"/>
        <v>14</v>
      </c>
      <c r="S110" s="159">
        <f t="shared" si="20"/>
        <v>0.44</v>
      </c>
      <c r="T110" s="159"/>
      <c r="U110" s="159">
        <f t="shared" si="13"/>
        <v>0</v>
      </c>
      <c r="V110" s="159">
        <f t="shared" si="14"/>
        <v>0</v>
      </c>
      <c r="W110" s="159"/>
      <c r="X110" s="159">
        <f t="shared" si="21"/>
        <v>14.819999999999999</v>
      </c>
      <c r="Y110" s="201"/>
      <c r="Z110" s="199" t="s">
        <v>270</v>
      </c>
      <c r="AA110" s="202">
        <v>14.82</v>
      </c>
      <c r="AB110" s="203">
        <f t="shared" si="22"/>
        <v>0</v>
      </c>
      <c r="AC110" s="124">
        <v>0.01</v>
      </c>
    </row>
    <row r="111" spans="1:29" s="124" customFormat="1" ht="33.6" customHeight="1">
      <c r="A111" s="154">
        <v>96</v>
      </c>
      <c r="B111" s="155"/>
      <c r="C111" s="155"/>
      <c r="D111" s="156"/>
      <c r="E111" s="155" t="str">
        <f>'Tên Tháng 1'!E99</f>
        <v>ប៊ូ ផៃ</v>
      </c>
      <c r="F111" s="157" t="str">
        <f>'Tên Tháng 1'!F99</f>
        <v>BOU PHAY</v>
      </c>
      <c r="G111" s="158">
        <v>185</v>
      </c>
      <c r="H111" s="159">
        <f>ROUND('SAN LUONG'!W104*0.44,2)</f>
        <v>472.56</v>
      </c>
      <c r="I111" s="159">
        <f t="shared" si="16"/>
        <v>6.73</v>
      </c>
      <c r="J111" s="168"/>
      <c r="K111" s="159">
        <f t="shared" si="15"/>
        <v>0</v>
      </c>
      <c r="L111" s="159"/>
      <c r="M111" s="159">
        <f t="shared" si="17"/>
        <v>0</v>
      </c>
      <c r="N111" s="167">
        <f>'CHAM CONG'!AR103</f>
        <v>1</v>
      </c>
      <c r="O111" s="159">
        <f t="shared" si="18"/>
        <v>0.53</v>
      </c>
      <c r="P111" s="159">
        <f>'CHAM CONG'!AQ103</f>
        <v>14</v>
      </c>
      <c r="Q111" s="159">
        <f t="shared" si="19"/>
        <v>7.01</v>
      </c>
      <c r="R111" s="159">
        <f t="shared" si="23"/>
        <v>14</v>
      </c>
      <c r="S111" s="159">
        <f t="shared" si="20"/>
        <v>0.44</v>
      </c>
      <c r="T111" s="159"/>
      <c r="U111" s="159">
        <f t="shared" si="13"/>
        <v>0</v>
      </c>
      <c r="V111" s="159">
        <f t="shared" si="14"/>
        <v>0</v>
      </c>
      <c r="W111" s="159"/>
      <c r="X111" s="159">
        <f t="shared" si="21"/>
        <v>14.709999999999999</v>
      </c>
      <c r="Y111" s="201"/>
      <c r="Z111" s="199" t="s">
        <v>270</v>
      </c>
      <c r="AA111" s="202">
        <v>14.71</v>
      </c>
      <c r="AB111" s="203">
        <f t="shared" si="22"/>
        <v>0</v>
      </c>
      <c r="AC111" s="124">
        <v>0.04</v>
      </c>
    </row>
    <row r="112" spans="1:29" s="124" customFormat="1" ht="33.6" customHeight="1">
      <c r="A112" s="154">
        <v>97</v>
      </c>
      <c r="B112" s="155"/>
      <c r="C112" s="155"/>
      <c r="D112" s="156"/>
      <c r="E112" s="155" t="str">
        <f>'Tên Tháng 1'!E100</f>
        <v>ហួន​ ហ៊ាន</v>
      </c>
      <c r="F112" s="157" t="str">
        <f>'Tên Tháng 1'!F100</f>
        <v>HOURN HEAN</v>
      </c>
      <c r="G112" s="158">
        <v>186</v>
      </c>
      <c r="H112" s="159">
        <f>ROUND('SAN LUONG'!W105*0.44,2)</f>
        <v>761.2</v>
      </c>
      <c r="I112" s="159">
        <f t="shared" si="16"/>
        <v>10.84</v>
      </c>
      <c r="J112" s="168"/>
      <c r="K112" s="159">
        <f t="shared" si="15"/>
        <v>0</v>
      </c>
      <c r="L112" s="159"/>
      <c r="M112" s="159">
        <f t="shared" si="17"/>
        <v>0</v>
      </c>
      <c r="N112" s="167">
        <f>'CHAM CONG'!AR104</f>
        <v>1</v>
      </c>
      <c r="O112" s="159">
        <f t="shared" si="18"/>
        <v>0.53</v>
      </c>
      <c r="P112" s="159">
        <f>'CHAM CONG'!AQ104</f>
        <v>14</v>
      </c>
      <c r="Q112" s="159">
        <f t="shared" si="19"/>
        <v>7.01</v>
      </c>
      <c r="R112" s="159">
        <f t="shared" si="23"/>
        <v>14</v>
      </c>
      <c r="S112" s="159">
        <f t="shared" si="20"/>
        <v>0.44</v>
      </c>
      <c r="T112" s="159"/>
      <c r="U112" s="159">
        <f t="shared" si="13"/>
        <v>0</v>
      </c>
      <c r="V112" s="159">
        <f t="shared" si="14"/>
        <v>0</v>
      </c>
      <c r="W112" s="159"/>
      <c r="X112" s="159">
        <f t="shared" si="21"/>
        <v>18.820000000000004</v>
      </c>
      <c r="Y112" s="201"/>
      <c r="Z112" s="199" t="s">
        <v>270</v>
      </c>
      <c r="AA112" s="202">
        <v>18.82</v>
      </c>
      <c r="AB112" s="203">
        <f t="shared" si="22"/>
        <v>0</v>
      </c>
      <c r="AC112" s="124">
        <v>0.04</v>
      </c>
    </row>
    <row r="113" spans="1:29" s="124" customFormat="1" ht="33.6" customHeight="1">
      <c r="A113" s="154">
        <v>98</v>
      </c>
      <c r="B113" s="155"/>
      <c r="C113" s="155"/>
      <c r="D113" s="156"/>
      <c r="E113" s="155" t="str">
        <f>'Tên Tháng 1'!E101</f>
        <v>ហ៊ាន តុលា</v>
      </c>
      <c r="F113" s="157" t="str">
        <f>'Tên Tháng 1'!F101</f>
        <v>HAN TOLA</v>
      </c>
      <c r="G113" s="158">
        <v>187</v>
      </c>
      <c r="H113" s="159">
        <f>ROUND('SAN LUONG'!W106*0.44,2)</f>
        <v>706.64</v>
      </c>
      <c r="I113" s="159">
        <f t="shared" si="16"/>
        <v>10.06</v>
      </c>
      <c r="J113" s="168"/>
      <c r="K113" s="159">
        <f t="shared" si="15"/>
        <v>0</v>
      </c>
      <c r="L113" s="159"/>
      <c r="M113" s="159">
        <f t="shared" si="17"/>
        <v>0</v>
      </c>
      <c r="N113" s="167">
        <f>'CHAM CONG'!AR105</f>
        <v>1</v>
      </c>
      <c r="O113" s="159">
        <f t="shared" si="18"/>
        <v>0.53</v>
      </c>
      <c r="P113" s="159">
        <f>'CHAM CONG'!AQ105</f>
        <v>14</v>
      </c>
      <c r="Q113" s="159">
        <f t="shared" si="19"/>
        <v>7.01</v>
      </c>
      <c r="R113" s="159">
        <f t="shared" si="23"/>
        <v>14</v>
      </c>
      <c r="S113" s="159">
        <f t="shared" si="20"/>
        <v>0.44</v>
      </c>
      <c r="T113" s="159"/>
      <c r="U113" s="159">
        <f t="shared" si="13"/>
        <v>0</v>
      </c>
      <c r="V113" s="159">
        <f t="shared" si="14"/>
        <v>0</v>
      </c>
      <c r="W113" s="159"/>
      <c r="X113" s="159">
        <f t="shared" si="21"/>
        <v>18.040000000000003</v>
      </c>
      <c r="Y113" s="201"/>
      <c r="Z113" s="199" t="s">
        <v>270</v>
      </c>
      <c r="AA113" s="202">
        <v>18.05</v>
      </c>
      <c r="AB113" s="203">
        <f t="shared" si="22"/>
        <v>0.01</v>
      </c>
      <c r="AC113" s="124">
        <v>0.04</v>
      </c>
    </row>
    <row r="114" spans="1:29" s="124" customFormat="1" ht="33.6" customHeight="1">
      <c r="A114" s="154">
        <v>99</v>
      </c>
      <c r="B114" s="155"/>
      <c r="C114" s="155"/>
      <c r="D114" s="156"/>
      <c r="E114" s="155" t="str">
        <f>'Tên Tháng 1'!E102</f>
        <v>ទេព មឿន</v>
      </c>
      <c r="F114" s="157" t="str">
        <f>'Tên Tháng 1'!F102</f>
        <v>TEP MOEUN</v>
      </c>
      <c r="G114" s="158">
        <v>188</v>
      </c>
      <c r="H114" s="159">
        <f>ROUND('SAN LUONG'!W107*0.44,2)</f>
        <v>615.12</v>
      </c>
      <c r="I114" s="159">
        <f t="shared" si="16"/>
        <v>8.76</v>
      </c>
      <c r="J114" s="168"/>
      <c r="K114" s="159">
        <f t="shared" si="15"/>
        <v>0</v>
      </c>
      <c r="L114" s="159"/>
      <c r="M114" s="159">
        <f t="shared" si="17"/>
        <v>0</v>
      </c>
      <c r="N114" s="167">
        <f>'CHAM CONG'!AR106</f>
        <v>1</v>
      </c>
      <c r="O114" s="159">
        <f t="shared" si="18"/>
        <v>0.53</v>
      </c>
      <c r="P114" s="159">
        <f>'CHAM CONG'!AQ106</f>
        <v>14</v>
      </c>
      <c r="Q114" s="159">
        <f t="shared" si="19"/>
        <v>7.01</v>
      </c>
      <c r="R114" s="159">
        <f t="shared" si="23"/>
        <v>14</v>
      </c>
      <c r="S114" s="159">
        <f t="shared" si="20"/>
        <v>0.44</v>
      </c>
      <c r="T114" s="159"/>
      <c r="U114" s="159">
        <f t="shared" si="13"/>
        <v>0</v>
      </c>
      <c r="V114" s="159">
        <f t="shared" si="14"/>
        <v>0</v>
      </c>
      <c r="W114" s="159"/>
      <c r="X114" s="159">
        <f t="shared" si="21"/>
        <v>16.740000000000002</v>
      </c>
      <c r="Y114" s="201"/>
      <c r="Z114" s="199" t="s">
        <v>270</v>
      </c>
      <c r="AA114" s="202">
        <v>16.739999999999998</v>
      </c>
      <c r="AB114" s="203">
        <f t="shared" si="22"/>
        <v>0</v>
      </c>
      <c r="AC114" s="124">
        <v>0.04</v>
      </c>
    </row>
    <row r="115" spans="1:29" s="124" customFormat="1" ht="33.6" customHeight="1">
      <c r="A115" s="154">
        <v>100</v>
      </c>
      <c r="B115" s="155"/>
      <c r="C115" s="155"/>
      <c r="D115" s="156"/>
      <c r="E115" s="155" t="str">
        <f>'Tên Tháng 1'!E103</f>
        <v>ប៊ូ បឿន</v>
      </c>
      <c r="F115" s="157" t="str">
        <f>'Tên Tháng 1'!F103</f>
        <v>BOU BOEUN</v>
      </c>
      <c r="G115" s="158">
        <v>189</v>
      </c>
      <c r="H115" s="159">
        <f>ROUND('SAN LUONG'!W108*0.44,2)</f>
        <v>450.56</v>
      </c>
      <c r="I115" s="159">
        <f t="shared" si="16"/>
        <v>6.42</v>
      </c>
      <c r="J115" s="168"/>
      <c r="K115" s="159">
        <f t="shared" si="15"/>
        <v>0</v>
      </c>
      <c r="L115" s="159"/>
      <c r="M115" s="159">
        <f t="shared" si="17"/>
        <v>0</v>
      </c>
      <c r="N115" s="167">
        <f>'CHAM CONG'!AR107</f>
        <v>1</v>
      </c>
      <c r="O115" s="159">
        <f t="shared" si="18"/>
        <v>0.53</v>
      </c>
      <c r="P115" s="159">
        <f>'CHAM CONG'!AQ107</f>
        <v>14</v>
      </c>
      <c r="Q115" s="159">
        <f t="shared" si="19"/>
        <v>7.01</v>
      </c>
      <c r="R115" s="159">
        <f t="shared" si="23"/>
        <v>14</v>
      </c>
      <c r="S115" s="159">
        <f t="shared" si="20"/>
        <v>0.44</v>
      </c>
      <c r="T115" s="159"/>
      <c r="U115" s="159">
        <f t="shared" si="13"/>
        <v>0</v>
      </c>
      <c r="V115" s="159">
        <f t="shared" si="14"/>
        <v>0</v>
      </c>
      <c r="W115" s="159"/>
      <c r="X115" s="159">
        <f t="shared" si="21"/>
        <v>14.399999999999999</v>
      </c>
      <c r="Y115" s="201"/>
      <c r="Z115" s="199" t="s">
        <v>270</v>
      </c>
      <c r="AA115" s="202">
        <v>14.4</v>
      </c>
      <c r="AB115" s="203">
        <f t="shared" si="22"/>
        <v>0</v>
      </c>
      <c r="AC115" s="124">
        <v>0.04</v>
      </c>
    </row>
    <row r="116" spans="1:29" s="124" customFormat="1" ht="33.6" customHeight="1">
      <c r="A116" s="154">
        <v>101</v>
      </c>
      <c r="B116" s="155"/>
      <c r="C116" s="155"/>
      <c r="D116" s="156"/>
      <c r="E116" s="155" t="str">
        <f>'Tên Tháng 1'!E104</f>
        <v>ញ៉ីវ ហាន</v>
      </c>
      <c r="F116" s="157" t="str">
        <f>'Tên Tháng 1'!F104</f>
        <v>NHIV HAN</v>
      </c>
      <c r="G116" s="158">
        <v>190</v>
      </c>
      <c r="H116" s="159">
        <f>ROUND('SAN LUONG'!W109*0.44,2)</f>
        <v>647.67999999999995</v>
      </c>
      <c r="I116" s="159">
        <f t="shared" si="16"/>
        <v>9.2200000000000006</v>
      </c>
      <c r="J116" s="168"/>
      <c r="K116" s="159">
        <f t="shared" si="15"/>
        <v>0</v>
      </c>
      <c r="L116" s="159"/>
      <c r="M116" s="159">
        <f t="shared" si="17"/>
        <v>0</v>
      </c>
      <c r="N116" s="167">
        <f>'CHAM CONG'!AR108</f>
        <v>1</v>
      </c>
      <c r="O116" s="159">
        <f t="shared" si="18"/>
        <v>0.53</v>
      </c>
      <c r="P116" s="159">
        <f>'CHAM CONG'!AQ108</f>
        <v>14</v>
      </c>
      <c r="Q116" s="159">
        <f t="shared" si="19"/>
        <v>7.01</v>
      </c>
      <c r="R116" s="159">
        <f t="shared" si="23"/>
        <v>14</v>
      </c>
      <c r="S116" s="159">
        <f t="shared" si="20"/>
        <v>0.44</v>
      </c>
      <c r="T116" s="159"/>
      <c r="U116" s="159">
        <f t="shared" si="13"/>
        <v>0</v>
      </c>
      <c r="V116" s="159">
        <f t="shared" si="14"/>
        <v>0</v>
      </c>
      <c r="W116" s="159"/>
      <c r="X116" s="159">
        <f t="shared" si="21"/>
        <v>17.200000000000003</v>
      </c>
      <c r="Y116" s="201"/>
      <c r="Z116" s="199" t="s">
        <v>270</v>
      </c>
      <c r="AA116" s="202">
        <v>17.21</v>
      </c>
      <c r="AB116" s="203">
        <f t="shared" si="22"/>
        <v>0.01</v>
      </c>
      <c r="AC116" s="124">
        <v>0.01</v>
      </c>
    </row>
    <row r="117" spans="1:29" s="124" customFormat="1" ht="33.6" customHeight="1">
      <c r="A117" s="154">
        <v>102</v>
      </c>
      <c r="B117" s="155"/>
      <c r="C117" s="155"/>
      <c r="D117" s="156"/>
      <c r="E117" s="155" t="str">
        <f>'Tên Tháng 1'!E105</f>
        <v>ម៉ៅ អ៊ីម</v>
      </c>
      <c r="F117" s="157" t="str">
        <f>'Tên Tháng 1'!F105</f>
        <v>MAO IM</v>
      </c>
      <c r="G117" s="158">
        <v>191</v>
      </c>
      <c r="H117" s="159">
        <f>ROUND('SAN LUONG'!W110*0.44,2)</f>
        <v>630.08000000000004</v>
      </c>
      <c r="I117" s="159">
        <f t="shared" si="16"/>
        <v>8.9700000000000006</v>
      </c>
      <c r="J117" s="168"/>
      <c r="K117" s="159">
        <f t="shared" si="15"/>
        <v>0</v>
      </c>
      <c r="L117" s="159"/>
      <c r="M117" s="159">
        <f t="shared" si="17"/>
        <v>0</v>
      </c>
      <c r="N117" s="167">
        <f>'CHAM CONG'!AR109</f>
        <v>1</v>
      </c>
      <c r="O117" s="159">
        <f t="shared" si="18"/>
        <v>0.53</v>
      </c>
      <c r="P117" s="159">
        <f>'CHAM CONG'!AQ109</f>
        <v>14</v>
      </c>
      <c r="Q117" s="159">
        <f t="shared" si="19"/>
        <v>7.01</v>
      </c>
      <c r="R117" s="159">
        <f t="shared" si="23"/>
        <v>14</v>
      </c>
      <c r="S117" s="159">
        <f t="shared" si="20"/>
        <v>0.44</v>
      </c>
      <c r="T117" s="159"/>
      <c r="U117" s="159">
        <f t="shared" si="13"/>
        <v>0</v>
      </c>
      <c r="V117" s="159">
        <f t="shared" si="14"/>
        <v>0</v>
      </c>
      <c r="W117" s="159"/>
      <c r="X117" s="159">
        <f t="shared" si="21"/>
        <v>16.950000000000003</v>
      </c>
      <c r="Y117" s="201"/>
      <c r="Z117" s="199" t="s">
        <v>270</v>
      </c>
      <c r="AA117" s="202">
        <v>16.96</v>
      </c>
      <c r="AB117" s="203">
        <f t="shared" si="22"/>
        <v>0.01</v>
      </c>
      <c r="AC117" s="124">
        <v>0</v>
      </c>
    </row>
    <row r="118" spans="1:29" s="124" customFormat="1" ht="33.6" customHeight="1">
      <c r="A118" s="154">
        <v>103</v>
      </c>
      <c r="B118" s="155"/>
      <c r="C118" s="155"/>
      <c r="D118" s="156"/>
      <c r="E118" s="155" t="str">
        <f>'Tên Tháng 1'!E106</f>
        <v>អ៊ុង សុភ័ក្រ</v>
      </c>
      <c r="F118" s="157" t="str">
        <f>'Tên Tháng 1'!F106</f>
        <v>UNG SOPHEAK</v>
      </c>
      <c r="G118" s="158">
        <v>192</v>
      </c>
      <c r="H118" s="159">
        <f>ROUND('SAN LUONG'!W111*0.44,2)</f>
        <v>650.76</v>
      </c>
      <c r="I118" s="159">
        <f t="shared" si="16"/>
        <v>9.27</v>
      </c>
      <c r="J118" s="168"/>
      <c r="K118" s="159">
        <f t="shared" si="15"/>
        <v>0</v>
      </c>
      <c r="L118" s="159"/>
      <c r="M118" s="159">
        <f t="shared" si="17"/>
        <v>0</v>
      </c>
      <c r="N118" s="167">
        <f>'CHAM CONG'!AR110</f>
        <v>1</v>
      </c>
      <c r="O118" s="159">
        <f t="shared" si="18"/>
        <v>0.53</v>
      </c>
      <c r="P118" s="159">
        <f>'CHAM CONG'!AQ110</f>
        <v>14</v>
      </c>
      <c r="Q118" s="159">
        <f t="shared" si="19"/>
        <v>7.01</v>
      </c>
      <c r="R118" s="159">
        <f t="shared" si="23"/>
        <v>14</v>
      </c>
      <c r="S118" s="159">
        <f t="shared" si="20"/>
        <v>0.44</v>
      </c>
      <c r="T118" s="159"/>
      <c r="U118" s="159">
        <f t="shared" si="13"/>
        <v>0</v>
      </c>
      <c r="V118" s="159">
        <f t="shared" si="14"/>
        <v>0</v>
      </c>
      <c r="W118" s="159"/>
      <c r="X118" s="159">
        <f t="shared" si="21"/>
        <v>17.250000000000004</v>
      </c>
      <c r="Y118" s="201"/>
      <c r="Z118" s="199" t="s">
        <v>270</v>
      </c>
      <c r="AA118" s="202">
        <v>17.25</v>
      </c>
      <c r="AB118" s="203">
        <f t="shared" si="22"/>
        <v>0</v>
      </c>
      <c r="AC118" s="124">
        <v>0.04</v>
      </c>
    </row>
    <row r="119" spans="1:29" s="124" customFormat="1" ht="33.6" customHeight="1">
      <c r="A119" s="154">
        <v>104</v>
      </c>
      <c r="B119" s="155"/>
      <c r="C119" s="155"/>
      <c r="D119" s="156"/>
      <c r="E119" s="155" t="str">
        <f>'Tên Tháng 1'!E107</f>
        <v>លាង ចន្ធី</v>
      </c>
      <c r="F119" s="157" t="str">
        <f>'Tên Tháng 1'!F107</f>
        <v>LEANG CHATHY</v>
      </c>
      <c r="G119" s="158">
        <v>193</v>
      </c>
      <c r="H119" s="159">
        <f>ROUND('SAN LUONG'!W112*0.44,2)</f>
        <v>630.52</v>
      </c>
      <c r="I119" s="159">
        <f t="shared" si="16"/>
        <v>8.98</v>
      </c>
      <c r="J119" s="168"/>
      <c r="K119" s="159">
        <f t="shared" si="15"/>
        <v>0</v>
      </c>
      <c r="L119" s="159"/>
      <c r="M119" s="159">
        <f t="shared" si="17"/>
        <v>0</v>
      </c>
      <c r="N119" s="167">
        <f>'CHAM CONG'!AR111</f>
        <v>1</v>
      </c>
      <c r="O119" s="159">
        <f t="shared" si="18"/>
        <v>0.53</v>
      </c>
      <c r="P119" s="159">
        <f>'CHAM CONG'!AQ111</f>
        <v>14</v>
      </c>
      <c r="Q119" s="159">
        <f t="shared" si="19"/>
        <v>7.01</v>
      </c>
      <c r="R119" s="159">
        <f t="shared" si="23"/>
        <v>14</v>
      </c>
      <c r="S119" s="159">
        <f t="shared" si="20"/>
        <v>0.44</v>
      </c>
      <c r="T119" s="159"/>
      <c r="U119" s="159">
        <f t="shared" si="13"/>
        <v>0</v>
      </c>
      <c r="V119" s="159">
        <f t="shared" si="14"/>
        <v>0</v>
      </c>
      <c r="W119" s="159"/>
      <c r="X119" s="159">
        <f t="shared" si="21"/>
        <v>16.96</v>
      </c>
      <c r="Y119" s="201"/>
      <c r="Z119" s="199" t="s">
        <v>270</v>
      </c>
      <c r="AA119" s="202">
        <v>16.96</v>
      </c>
      <c r="AB119" s="203">
        <f t="shared" si="22"/>
        <v>0</v>
      </c>
      <c r="AC119" s="124">
        <v>0.04</v>
      </c>
    </row>
    <row r="120" spans="1:29" s="124" customFormat="1" ht="33.6" customHeight="1">
      <c r="A120" s="154">
        <v>105</v>
      </c>
      <c r="B120" s="155"/>
      <c r="C120" s="155"/>
      <c r="D120" s="156"/>
      <c r="E120" s="155" t="str">
        <f>'Tên Tháng 1'!E108</f>
        <v>ភូន ខេត</v>
      </c>
      <c r="F120" s="157" t="str">
        <f>'Tên Tháng 1'!F108</f>
        <v>PHOUN KHET</v>
      </c>
      <c r="G120" s="158">
        <v>194</v>
      </c>
      <c r="H120" s="159">
        <f>ROUND('SAN LUONG'!W113*0.44,2)</f>
        <v>815.76</v>
      </c>
      <c r="I120" s="159">
        <f t="shared" si="16"/>
        <v>11.62</v>
      </c>
      <c r="J120" s="168"/>
      <c r="K120" s="159">
        <f t="shared" si="15"/>
        <v>0</v>
      </c>
      <c r="L120" s="159"/>
      <c r="M120" s="159">
        <f t="shared" si="17"/>
        <v>0</v>
      </c>
      <c r="N120" s="167">
        <f>'CHAM CONG'!AR112</f>
        <v>1</v>
      </c>
      <c r="O120" s="159">
        <f t="shared" si="18"/>
        <v>0.53</v>
      </c>
      <c r="P120" s="159">
        <f>'CHAM CONG'!AQ112</f>
        <v>15</v>
      </c>
      <c r="Q120" s="159">
        <f t="shared" si="19"/>
        <v>7.51</v>
      </c>
      <c r="R120" s="159">
        <f t="shared" si="23"/>
        <v>15</v>
      </c>
      <c r="S120" s="159">
        <f t="shared" si="20"/>
        <v>0.47</v>
      </c>
      <c r="T120" s="159"/>
      <c r="U120" s="159">
        <f t="shared" si="13"/>
        <v>0</v>
      </c>
      <c r="V120" s="159">
        <f t="shared" si="14"/>
        <v>0</v>
      </c>
      <c r="W120" s="159"/>
      <c r="X120" s="159">
        <f t="shared" si="21"/>
        <v>20.13</v>
      </c>
      <c r="Y120" s="201"/>
      <c r="Z120" s="199" t="s">
        <v>270</v>
      </c>
      <c r="AA120" s="202">
        <v>20.13</v>
      </c>
      <c r="AB120" s="203">
        <f t="shared" si="22"/>
        <v>0</v>
      </c>
      <c r="AC120" s="124">
        <v>0.04</v>
      </c>
    </row>
    <row r="121" spans="1:29" s="124" customFormat="1" ht="33.6" customHeight="1">
      <c r="A121" s="154">
        <v>106</v>
      </c>
      <c r="B121" s="155"/>
      <c r="C121" s="155"/>
      <c r="D121" s="156"/>
      <c r="E121" s="155" t="str">
        <f>'Tên Tháng 1'!E109</f>
        <v>ហ៊ាន់ គី</v>
      </c>
      <c r="F121" s="157" t="str">
        <f>'Tên Tháng 1'!F109</f>
        <v>HOINN KY</v>
      </c>
      <c r="G121" s="158">
        <v>195</v>
      </c>
      <c r="H121" s="159">
        <f>ROUND('SAN LUONG'!W114*0.44,2)</f>
        <v>765.6</v>
      </c>
      <c r="I121" s="159">
        <f t="shared" si="16"/>
        <v>10.9</v>
      </c>
      <c r="J121" s="168"/>
      <c r="K121" s="159">
        <f t="shared" si="15"/>
        <v>0</v>
      </c>
      <c r="L121" s="159"/>
      <c r="M121" s="159">
        <f t="shared" si="17"/>
        <v>0</v>
      </c>
      <c r="N121" s="167">
        <f>'CHAM CONG'!AR113</f>
        <v>1</v>
      </c>
      <c r="O121" s="159">
        <f t="shared" si="18"/>
        <v>0.53</v>
      </c>
      <c r="P121" s="159">
        <f>'CHAM CONG'!AQ113</f>
        <v>15</v>
      </c>
      <c r="Q121" s="159">
        <f t="shared" si="19"/>
        <v>7.51</v>
      </c>
      <c r="R121" s="159">
        <f t="shared" si="23"/>
        <v>15</v>
      </c>
      <c r="S121" s="159">
        <f t="shared" si="20"/>
        <v>0.47</v>
      </c>
      <c r="T121" s="159"/>
      <c r="U121" s="159">
        <f t="shared" si="13"/>
        <v>0</v>
      </c>
      <c r="V121" s="159">
        <f t="shared" si="14"/>
        <v>0</v>
      </c>
      <c r="W121" s="159"/>
      <c r="X121" s="159">
        <f t="shared" si="21"/>
        <v>19.41</v>
      </c>
      <c r="Y121" s="201"/>
      <c r="Z121" s="199" t="s">
        <v>270</v>
      </c>
      <c r="AA121" s="202">
        <v>19.420000000000002</v>
      </c>
      <c r="AB121" s="203">
        <f t="shared" si="22"/>
        <v>0.01</v>
      </c>
      <c r="AC121" s="124">
        <v>0.04</v>
      </c>
    </row>
    <row r="122" spans="1:29" s="124" customFormat="1" ht="33.6" customHeight="1">
      <c r="A122" s="154">
        <v>107</v>
      </c>
      <c r="B122" s="155"/>
      <c r="C122" s="155"/>
      <c r="D122" s="156"/>
      <c r="E122" s="155" t="str">
        <f>'Tên Tháng 1'!E110</f>
        <v>ឃាន អំ</v>
      </c>
      <c r="F122" s="157" t="str">
        <f>'Tên Tháng 1'!F110</f>
        <v>KHEAN AM</v>
      </c>
      <c r="G122" s="158">
        <v>196</v>
      </c>
      <c r="H122" s="159">
        <f>ROUND('SAN LUONG'!W115*0.44,2)</f>
        <v>492.8</v>
      </c>
      <c r="I122" s="159">
        <f t="shared" si="16"/>
        <v>7.02</v>
      </c>
      <c r="J122" s="168"/>
      <c r="K122" s="159">
        <f t="shared" si="15"/>
        <v>0</v>
      </c>
      <c r="L122" s="159"/>
      <c r="M122" s="159">
        <f t="shared" si="17"/>
        <v>0</v>
      </c>
      <c r="N122" s="167">
        <f>'CHAM CONG'!AR114</f>
        <v>1</v>
      </c>
      <c r="O122" s="159">
        <f t="shared" si="18"/>
        <v>0.53</v>
      </c>
      <c r="P122" s="159">
        <f>'CHAM CONG'!AQ114</f>
        <v>14</v>
      </c>
      <c r="Q122" s="159">
        <f t="shared" si="19"/>
        <v>7.01</v>
      </c>
      <c r="R122" s="159">
        <f t="shared" si="23"/>
        <v>14</v>
      </c>
      <c r="S122" s="159">
        <f t="shared" si="20"/>
        <v>0.44</v>
      </c>
      <c r="T122" s="159"/>
      <c r="U122" s="159">
        <f t="shared" si="13"/>
        <v>0</v>
      </c>
      <c r="V122" s="159">
        <f t="shared" si="14"/>
        <v>0</v>
      </c>
      <c r="W122" s="159"/>
      <c r="X122" s="159">
        <f t="shared" si="21"/>
        <v>14.999999999999998</v>
      </c>
      <c r="Y122" s="201"/>
      <c r="Z122" s="199" t="s">
        <v>270</v>
      </c>
      <c r="AA122" s="202">
        <v>15</v>
      </c>
      <c r="AB122" s="203">
        <f t="shared" si="22"/>
        <v>0</v>
      </c>
      <c r="AC122" s="124">
        <v>0.04</v>
      </c>
    </row>
    <row r="123" spans="1:29" s="124" customFormat="1" ht="33.6" customHeight="1">
      <c r="A123" s="154">
        <v>108</v>
      </c>
      <c r="B123" s="155"/>
      <c r="C123" s="155"/>
      <c r="D123" s="156"/>
      <c r="E123" s="155" t="str">
        <f>'Tên Tháng 1'!E111</f>
        <v>សុខ ទ្រី</v>
      </c>
      <c r="F123" s="157" t="str">
        <f>'Tên Tháng 1'!F111</f>
        <v>SOK TRY</v>
      </c>
      <c r="G123" s="158">
        <v>197</v>
      </c>
      <c r="H123" s="159">
        <f>ROUND('SAN LUONG'!W116*0.44,2)</f>
        <v>386.32</v>
      </c>
      <c r="I123" s="159">
        <f t="shared" si="16"/>
        <v>5.5</v>
      </c>
      <c r="J123" s="168"/>
      <c r="K123" s="159">
        <f t="shared" si="15"/>
        <v>0</v>
      </c>
      <c r="L123" s="159"/>
      <c r="M123" s="159">
        <f t="shared" si="17"/>
        <v>0</v>
      </c>
      <c r="N123" s="167">
        <f>'CHAM CONG'!AR115</f>
        <v>1</v>
      </c>
      <c r="O123" s="159">
        <f t="shared" si="18"/>
        <v>0.53</v>
      </c>
      <c r="P123" s="159">
        <f>'CHAM CONG'!AQ115</f>
        <v>13</v>
      </c>
      <c r="Q123" s="159">
        <f t="shared" si="19"/>
        <v>6.51</v>
      </c>
      <c r="R123" s="159">
        <f t="shared" si="23"/>
        <v>13</v>
      </c>
      <c r="S123" s="159">
        <f t="shared" si="20"/>
        <v>0.41</v>
      </c>
      <c r="T123" s="159"/>
      <c r="U123" s="159">
        <f t="shared" ref="U123:U141" si="24">ROUND(T123*$S$14/31947,2)</f>
        <v>0</v>
      </c>
      <c r="V123" s="159">
        <f t="shared" ref="V123:V141" si="25">ROUND(U123*30456,0)</f>
        <v>0</v>
      </c>
      <c r="W123" s="159"/>
      <c r="X123" s="159">
        <f t="shared" si="21"/>
        <v>12.95</v>
      </c>
      <c r="Y123" s="201"/>
      <c r="Z123" s="199" t="s">
        <v>270</v>
      </c>
      <c r="AA123" s="202">
        <v>12.95</v>
      </c>
      <c r="AB123" s="203">
        <f t="shared" si="22"/>
        <v>0</v>
      </c>
      <c r="AC123" s="124">
        <v>0.04</v>
      </c>
    </row>
    <row r="124" spans="1:29" s="124" customFormat="1" ht="33.6" customHeight="1">
      <c r="A124" s="154">
        <v>109</v>
      </c>
      <c r="B124" s="155"/>
      <c r="C124" s="155"/>
      <c r="D124" s="156"/>
      <c r="E124" s="155" t="str">
        <f>'Tên Tháng 1'!E112</f>
        <v>ហួន​ ហេត</v>
      </c>
      <c r="F124" s="157" t="str">
        <f>'Tên Tháng 1'!F112</f>
        <v>HOUN HET</v>
      </c>
      <c r="G124" s="158">
        <v>198</v>
      </c>
      <c r="H124" s="159">
        <f>ROUND('SAN LUONG'!W117*0.44,2)</f>
        <v>571.12</v>
      </c>
      <c r="I124" s="159">
        <f t="shared" si="16"/>
        <v>8.1300000000000008</v>
      </c>
      <c r="J124" s="168"/>
      <c r="K124" s="159">
        <f t="shared" si="15"/>
        <v>0</v>
      </c>
      <c r="L124" s="159"/>
      <c r="M124" s="159">
        <f t="shared" si="17"/>
        <v>0</v>
      </c>
      <c r="N124" s="167">
        <f>'CHAM CONG'!AR116</f>
        <v>1</v>
      </c>
      <c r="O124" s="159">
        <f t="shared" si="18"/>
        <v>0.53</v>
      </c>
      <c r="P124" s="159">
        <f>'CHAM CONG'!AQ116</f>
        <v>14</v>
      </c>
      <c r="Q124" s="159">
        <f t="shared" si="19"/>
        <v>7.01</v>
      </c>
      <c r="R124" s="159">
        <f t="shared" si="23"/>
        <v>14</v>
      </c>
      <c r="S124" s="159">
        <f t="shared" si="20"/>
        <v>0.44</v>
      </c>
      <c r="T124" s="159"/>
      <c r="U124" s="159">
        <f t="shared" si="24"/>
        <v>0</v>
      </c>
      <c r="V124" s="159">
        <f t="shared" si="25"/>
        <v>0</v>
      </c>
      <c r="W124" s="159"/>
      <c r="X124" s="159">
        <f t="shared" si="21"/>
        <v>16.11</v>
      </c>
      <c r="Y124" s="201"/>
      <c r="Z124" s="199" t="s">
        <v>270</v>
      </c>
      <c r="AA124" s="202">
        <v>16.12</v>
      </c>
      <c r="AB124" s="203">
        <f t="shared" si="22"/>
        <v>0.01</v>
      </c>
      <c r="AC124" s="124">
        <v>0.04</v>
      </c>
    </row>
    <row r="125" spans="1:29" s="124" customFormat="1" ht="33.6" customHeight="1">
      <c r="A125" s="154">
        <v>110</v>
      </c>
      <c r="B125" s="155"/>
      <c r="C125" s="155"/>
      <c r="D125" s="156"/>
      <c r="E125" s="155" t="str">
        <f>'Tên Tháng 1'!E113</f>
        <v>សុក ចិន</v>
      </c>
      <c r="F125" s="157" t="str">
        <f>'Tên Tháng 1'!F113</f>
        <v>SOK CHIN</v>
      </c>
      <c r="G125" s="158">
        <v>199</v>
      </c>
      <c r="H125" s="159">
        <f>ROUND('SAN LUONG'!W118*0.44,2)</f>
        <v>576.84</v>
      </c>
      <c r="I125" s="159">
        <f t="shared" si="16"/>
        <v>8.2200000000000006</v>
      </c>
      <c r="J125" s="168"/>
      <c r="K125" s="159">
        <f t="shared" si="15"/>
        <v>0</v>
      </c>
      <c r="L125" s="159"/>
      <c r="M125" s="159">
        <f t="shared" si="17"/>
        <v>0</v>
      </c>
      <c r="N125" s="167">
        <f>'CHAM CONG'!AR117</f>
        <v>1</v>
      </c>
      <c r="O125" s="159">
        <f t="shared" si="18"/>
        <v>0.53</v>
      </c>
      <c r="P125" s="159">
        <f>'CHAM CONG'!AQ117</f>
        <v>13</v>
      </c>
      <c r="Q125" s="159">
        <f t="shared" si="19"/>
        <v>6.51</v>
      </c>
      <c r="R125" s="159">
        <f t="shared" si="23"/>
        <v>13</v>
      </c>
      <c r="S125" s="159">
        <f t="shared" si="20"/>
        <v>0.41</v>
      </c>
      <c r="T125" s="159"/>
      <c r="U125" s="159">
        <f t="shared" si="24"/>
        <v>0</v>
      </c>
      <c r="V125" s="159">
        <f t="shared" si="25"/>
        <v>0</v>
      </c>
      <c r="W125" s="159"/>
      <c r="X125" s="159">
        <f t="shared" si="21"/>
        <v>15.67</v>
      </c>
      <c r="Y125" s="201"/>
      <c r="Z125" s="199" t="s">
        <v>270</v>
      </c>
      <c r="AA125" s="202">
        <v>15.67</v>
      </c>
      <c r="AB125" s="203">
        <f t="shared" si="22"/>
        <v>0</v>
      </c>
      <c r="AC125" s="124">
        <v>0.04</v>
      </c>
    </row>
    <row r="126" spans="1:29" s="124" customFormat="1" ht="33.6" customHeight="1">
      <c r="A126" s="154">
        <v>111</v>
      </c>
      <c r="B126" s="155"/>
      <c r="C126" s="155"/>
      <c r="D126" s="156"/>
      <c r="E126" s="155" t="str">
        <f>'Tên Tháng 1'!E114</f>
        <v>ផាន់ ភឿន</v>
      </c>
      <c r="F126" s="157" t="str">
        <f>'Tên Tháng 1'!F114</f>
        <v>PHANN PHOEUN</v>
      </c>
      <c r="G126" s="158">
        <v>200</v>
      </c>
      <c r="H126" s="159">
        <f>ROUND('SAN LUONG'!W119*0.44,2)</f>
        <v>642.84</v>
      </c>
      <c r="I126" s="159">
        <f t="shared" si="16"/>
        <v>9.16</v>
      </c>
      <c r="J126" s="168"/>
      <c r="K126" s="159">
        <f t="shared" si="15"/>
        <v>0</v>
      </c>
      <c r="L126" s="159"/>
      <c r="M126" s="159">
        <f t="shared" si="17"/>
        <v>0</v>
      </c>
      <c r="N126" s="167">
        <f>'CHAM CONG'!AR118</f>
        <v>1</v>
      </c>
      <c r="O126" s="159">
        <f t="shared" si="18"/>
        <v>0.53</v>
      </c>
      <c r="P126" s="159">
        <f>'CHAM CONG'!AQ118</f>
        <v>14</v>
      </c>
      <c r="Q126" s="159">
        <f t="shared" si="19"/>
        <v>7.01</v>
      </c>
      <c r="R126" s="159">
        <f t="shared" si="23"/>
        <v>14</v>
      </c>
      <c r="S126" s="159">
        <f t="shared" si="20"/>
        <v>0.44</v>
      </c>
      <c r="T126" s="159"/>
      <c r="U126" s="159">
        <f t="shared" si="24"/>
        <v>0</v>
      </c>
      <c r="V126" s="159">
        <f t="shared" si="25"/>
        <v>0</v>
      </c>
      <c r="W126" s="159"/>
      <c r="X126" s="159">
        <f t="shared" si="21"/>
        <v>17.140000000000004</v>
      </c>
      <c r="Y126" s="201"/>
      <c r="Z126" s="199" t="s">
        <v>270</v>
      </c>
      <c r="AA126" s="202">
        <v>17.14</v>
      </c>
      <c r="AB126" s="203">
        <f t="shared" si="22"/>
        <v>0</v>
      </c>
      <c r="AC126" s="124">
        <v>0.04</v>
      </c>
    </row>
    <row r="127" spans="1:29" s="124" customFormat="1" ht="33.6" customHeight="1">
      <c r="A127" s="154">
        <v>112</v>
      </c>
      <c r="B127" s="155"/>
      <c r="C127" s="155"/>
      <c r="D127" s="156"/>
      <c r="E127" s="155" t="str">
        <f>'Tên Tháng 1'!E115</f>
        <v>ផន នាន</v>
      </c>
      <c r="F127" s="157" t="str">
        <f>'Tên Tháng 1'!F115</f>
        <v>PHON NEAN</v>
      </c>
      <c r="G127" s="158">
        <v>201</v>
      </c>
      <c r="H127" s="159">
        <f>ROUND('SAN LUONG'!W120*0.44,2)</f>
        <v>684.2</v>
      </c>
      <c r="I127" s="159">
        <f t="shared" si="16"/>
        <v>9.74</v>
      </c>
      <c r="J127" s="168"/>
      <c r="K127" s="159">
        <f t="shared" si="15"/>
        <v>0</v>
      </c>
      <c r="L127" s="159"/>
      <c r="M127" s="159">
        <f t="shared" si="17"/>
        <v>0</v>
      </c>
      <c r="N127" s="167">
        <f>'CHAM CONG'!AR119</f>
        <v>1</v>
      </c>
      <c r="O127" s="159">
        <f t="shared" si="18"/>
        <v>0.53</v>
      </c>
      <c r="P127" s="159">
        <f>'CHAM CONG'!AQ119</f>
        <v>14</v>
      </c>
      <c r="Q127" s="159">
        <f t="shared" si="19"/>
        <v>7.01</v>
      </c>
      <c r="R127" s="159">
        <f t="shared" si="23"/>
        <v>14</v>
      </c>
      <c r="S127" s="159">
        <f t="shared" si="20"/>
        <v>0.44</v>
      </c>
      <c r="T127" s="159"/>
      <c r="U127" s="159">
        <f t="shared" si="24"/>
        <v>0</v>
      </c>
      <c r="V127" s="159">
        <f t="shared" si="25"/>
        <v>0</v>
      </c>
      <c r="W127" s="159"/>
      <c r="X127" s="159">
        <f t="shared" si="21"/>
        <v>17.720000000000002</v>
      </c>
      <c r="Y127" s="201"/>
      <c r="Z127" s="199" t="s">
        <v>270</v>
      </c>
      <c r="AA127" s="202">
        <v>17.73</v>
      </c>
      <c r="AB127" s="203">
        <f t="shared" si="22"/>
        <v>0.01</v>
      </c>
      <c r="AC127" s="124">
        <v>0.04</v>
      </c>
    </row>
    <row r="128" spans="1:29" s="124" customFormat="1" ht="33.6" customHeight="1">
      <c r="A128" s="154">
        <v>113</v>
      </c>
      <c r="B128" s="155"/>
      <c r="C128" s="155"/>
      <c r="D128" s="156"/>
      <c r="E128" s="155" t="str">
        <f>'Tên Tháng 1'!E116</f>
        <v>ផាន់ សុភា</v>
      </c>
      <c r="F128" s="157" t="str">
        <f>'Tên Tháng 1'!F116</f>
        <v>PHANN SOPHEA</v>
      </c>
      <c r="G128" s="158">
        <v>202</v>
      </c>
      <c r="H128" s="159">
        <f>ROUND('SAN LUONG'!W121*0.44,2)</f>
        <v>602.36</v>
      </c>
      <c r="I128" s="159">
        <f t="shared" si="16"/>
        <v>8.58</v>
      </c>
      <c r="J128" s="168"/>
      <c r="K128" s="159">
        <f t="shared" si="15"/>
        <v>0</v>
      </c>
      <c r="L128" s="159"/>
      <c r="M128" s="159">
        <f t="shared" si="17"/>
        <v>0</v>
      </c>
      <c r="N128" s="167">
        <f>'CHAM CONG'!AR120</f>
        <v>1</v>
      </c>
      <c r="O128" s="159">
        <f t="shared" si="18"/>
        <v>0.53</v>
      </c>
      <c r="P128" s="159">
        <f>'CHAM CONG'!AQ120</f>
        <v>13</v>
      </c>
      <c r="Q128" s="159">
        <f t="shared" si="19"/>
        <v>6.51</v>
      </c>
      <c r="R128" s="159">
        <f t="shared" si="23"/>
        <v>13</v>
      </c>
      <c r="S128" s="159">
        <f t="shared" si="20"/>
        <v>0.41</v>
      </c>
      <c r="T128" s="159"/>
      <c r="U128" s="159">
        <f t="shared" si="24"/>
        <v>0</v>
      </c>
      <c r="V128" s="159">
        <f t="shared" si="25"/>
        <v>0</v>
      </c>
      <c r="W128" s="159"/>
      <c r="X128" s="159">
        <f t="shared" si="21"/>
        <v>16.03</v>
      </c>
      <c r="Y128" s="201"/>
      <c r="Z128" s="199" t="s">
        <v>270</v>
      </c>
      <c r="AA128" s="202">
        <v>16.03</v>
      </c>
      <c r="AB128" s="203">
        <f t="shared" si="22"/>
        <v>0</v>
      </c>
      <c r="AC128" s="124">
        <v>0.04</v>
      </c>
    </row>
    <row r="129" spans="1:29" s="124" customFormat="1" ht="33.6" customHeight="1">
      <c r="A129" s="154">
        <v>114</v>
      </c>
      <c r="B129" s="155"/>
      <c r="C129" s="155"/>
      <c r="D129" s="156"/>
      <c r="E129" s="155" t="str">
        <f>'Tên Tháng 1'!E117</f>
        <v>សៀន អេម</v>
      </c>
      <c r="F129" s="157" t="str">
        <f>'Tên Tháng 1'!F117</f>
        <v>SEAN EM</v>
      </c>
      <c r="G129" s="158">
        <v>203</v>
      </c>
      <c r="H129" s="159">
        <f>ROUND('SAN LUONG'!W122*0.44,2)</f>
        <v>583.88</v>
      </c>
      <c r="I129" s="159">
        <f t="shared" si="16"/>
        <v>8.32</v>
      </c>
      <c r="J129" s="168"/>
      <c r="K129" s="159">
        <f t="shared" si="15"/>
        <v>0</v>
      </c>
      <c r="L129" s="159"/>
      <c r="M129" s="159">
        <f t="shared" si="17"/>
        <v>0</v>
      </c>
      <c r="N129" s="167">
        <f>'CHAM CONG'!AR121</f>
        <v>1</v>
      </c>
      <c r="O129" s="159">
        <f t="shared" si="18"/>
        <v>0.53</v>
      </c>
      <c r="P129" s="159">
        <f>'CHAM CONG'!AQ121</f>
        <v>13</v>
      </c>
      <c r="Q129" s="159">
        <f t="shared" si="19"/>
        <v>6.51</v>
      </c>
      <c r="R129" s="159">
        <f t="shared" si="23"/>
        <v>13</v>
      </c>
      <c r="S129" s="159">
        <f t="shared" si="20"/>
        <v>0.41</v>
      </c>
      <c r="T129" s="159"/>
      <c r="U129" s="159">
        <f t="shared" si="24"/>
        <v>0</v>
      </c>
      <c r="V129" s="159">
        <f t="shared" si="25"/>
        <v>0</v>
      </c>
      <c r="W129" s="159"/>
      <c r="X129" s="159">
        <f t="shared" si="21"/>
        <v>15.77</v>
      </c>
      <c r="Y129" s="201"/>
      <c r="Z129" s="199" t="s">
        <v>270</v>
      </c>
      <c r="AA129" s="202">
        <v>15.77</v>
      </c>
      <c r="AB129" s="203">
        <f t="shared" si="22"/>
        <v>0</v>
      </c>
      <c r="AC129" s="124">
        <v>0.04</v>
      </c>
    </row>
    <row r="130" spans="1:29" s="124" customFormat="1" ht="33.6" customHeight="1">
      <c r="A130" s="154">
        <v>115</v>
      </c>
      <c r="B130" s="155"/>
      <c r="C130" s="155"/>
      <c r="D130" s="156"/>
      <c r="E130" s="155" t="str">
        <f>'Tên Tháng 1'!E118</f>
        <v>គឿន គា</v>
      </c>
      <c r="F130" s="157" t="str">
        <f>'Tên Tháng 1'!F118</f>
        <v>KOEURN KEA</v>
      </c>
      <c r="G130" s="158">
        <v>204</v>
      </c>
      <c r="H130" s="159">
        <f>ROUND('SAN LUONG'!W123*0.44,2)</f>
        <v>653.4</v>
      </c>
      <c r="I130" s="159">
        <f t="shared" si="16"/>
        <v>9.31</v>
      </c>
      <c r="J130" s="168"/>
      <c r="K130" s="159">
        <f t="shared" si="15"/>
        <v>0</v>
      </c>
      <c r="L130" s="159"/>
      <c r="M130" s="159">
        <f t="shared" si="17"/>
        <v>0</v>
      </c>
      <c r="N130" s="167">
        <f>'CHAM CONG'!AR122</f>
        <v>1</v>
      </c>
      <c r="O130" s="159">
        <f t="shared" si="18"/>
        <v>0.53</v>
      </c>
      <c r="P130" s="159">
        <f>'CHAM CONG'!AQ122</f>
        <v>14</v>
      </c>
      <c r="Q130" s="159">
        <f t="shared" si="19"/>
        <v>7.01</v>
      </c>
      <c r="R130" s="159">
        <f t="shared" si="23"/>
        <v>14</v>
      </c>
      <c r="S130" s="159">
        <f t="shared" si="20"/>
        <v>0.44</v>
      </c>
      <c r="T130" s="159"/>
      <c r="U130" s="159">
        <f t="shared" si="24"/>
        <v>0</v>
      </c>
      <c r="V130" s="159">
        <f t="shared" si="25"/>
        <v>0</v>
      </c>
      <c r="W130" s="159"/>
      <c r="X130" s="159">
        <f t="shared" si="21"/>
        <v>17.290000000000003</v>
      </c>
      <c r="Y130" s="201"/>
      <c r="Z130" s="199" t="s">
        <v>270</v>
      </c>
      <c r="AA130" s="202">
        <v>17.29</v>
      </c>
      <c r="AB130" s="203">
        <f t="shared" si="22"/>
        <v>0</v>
      </c>
      <c r="AC130" s="124">
        <v>-0.03</v>
      </c>
    </row>
    <row r="131" spans="1:29" s="124" customFormat="1" ht="33.6" customHeight="1">
      <c r="A131" s="154">
        <v>116</v>
      </c>
      <c r="B131" s="155"/>
      <c r="C131" s="155"/>
      <c r="D131" s="156"/>
      <c r="E131" s="155" t="str">
        <f>'Tên Tháng 1'!E119</f>
        <v>ផុន អឿន</v>
      </c>
      <c r="F131" s="157" t="str">
        <f>'Tên Tháng 1'!F119</f>
        <v>PON OEUN</v>
      </c>
      <c r="G131" s="158">
        <v>205</v>
      </c>
      <c r="H131" s="159">
        <f>ROUND('SAN LUONG'!W124*0.44,2)</f>
        <v>440</v>
      </c>
      <c r="I131" s="159">
        <f t="shared" si="16"/>
        <v>6.27</v>
      </c>
      <c r="J131" s="168"/>
      <c r="K131" s="159">
        <f t="shared" si="15"/>
        <v>0</v>
      </c>
      <c r="L131" s="159"/>
      <c r="M131" s="159">
        <f t="shared" si="17"/>
        <v>0</v>
      </c>
      <c r="N131" s="167">
        <f>'CHAM CONG'!AR123</f>
        <v>1</v>
      </c>
      <c r="O131" s="159">
        <f t="shared" si="18"/>
        <v>0.53</v>
      </c>
      <c r="P131" s="159">
        <f>'CHAM CONG'!AQ123</f>
        <v>14</v>
      </c>
      <c r="Q131" s="159">
        <f t="shared" si="19"/>
        <v>7.01</v>
      </c>
      <c r="R131" s="159">
        <f t="shared" si="23"/>
        <v>14</v>
      </c>
      <c r="S131" s="159">
        <f t="shared" si="20"/>
        <v>0.44</v>
      </c>
      <c r="T131" s="159"/>
      <c r="U131" s="159">
        <f t="shared" si="24"/>
        <v>0</v>
      </c>
      <c r="V131" s="159">
        <f t="shared" si="25"/>
        <v>0</v>
      </c>
      <c r="W131" s="159"/>
      <c r="X131" s="159">
        <f t="shared" si="21"/>
        <v>14.249999999999998</v>
      </c>
      <c r="Y131" s="201"/>
      <c r="Z131" s="199" t="s">
        <v>270</v>
      </c>
      <c r="AA131" s="202">
        <v>14.25</v>
      </c>
      <c r="AB131" s="203">
        <f t="shared" si="22"/>
        <v>0</v>
      </c>
      <c r="AC131" s="124">
        <v>0.04</v>
      </c>
    </row>
    <row r="132" spans="1:29" s="124" customFormat="1" ht="33.6" customHeight="1">
      <c r="A132" s="154">
        <v>117</v>
      </c>
      <c r="B132" s="155"/>
      <c r="C132" s="155"/>
      <c r="D132" s="156"/>
      <c r="E132" s="155" t="str">
        <f>'Tên Tháng 1'!E120</f>
        <v>ខា​ សុឃីម</v>
      </c>
      <c r="F132" s="157" t="str">
        <f>'Tên Tháng 1'!F120</f>
        <v>KHA SOKHIM</v>
      </c>
      <c r="G132" s="158">
        <v>206</v>
      </c>
      <c r="H132" s="159">
        <f>ROUND('SAN LUONG'!W125*0.44,2)</f>
        <v>640.20000000000005</v>
      </c>
      <c r="I132" s="159">
        <f t="shared" si="16"/>
        <v>9.1199999999999992</v>
      </c>
      <c r="J132" s="168"/>
      <c r="K132" s="159">
        <f t="shared" si="15"/>
        <v>0</v>
      </c>
      <c r="L132" s="159"/>
      <c r="M132" s="159">
        <f t="shared" si="17"/>
        <v>0</v>
      </c>
      <c r="N132" s="167">
        <f>'CHAM CONG'!AR124</f>
        <v>1</v>
      </c>
      <c r="O132" s="159">
        <f t="shared" si="18"/>
        <v>0.53</v>
      </c>
      <c r="P132" s="159">
        <f>'CHAM CONG'!AQ124</f>
        <v>14</v>
      </c>
      <c r="Q132" s="159">
        <f t="shared" si="19"/>
        <v>7.01</v>
      </c>
      <c r="R132" s="159">
        <f t="shared" si="23"/>
        <v>14</v>
      </c>
      <c r="S132" s="159">
        <f t="shared" si="20"/>
        <v>0.44</v>
      </c>
      <c r="T132" s="159"/>
      <c r="U132" s="159">
        <f t="shared" si="24"/>
        <v>0</v>
      </c>
      <c r="V132" s="159">
        <f t="shared" si="25"/>
        <v>0</v>
      </c>
      <c r="W132" s="159"/>
      <c r="X132" s="159">
        <f t="shared" si="21"/>
        <v>17.100000000000001</v>
      </c>
      <c r="Y132" s="201"/>
      <c r="Z132" s="199" t="s">
        <v>270</v>
      </c>
      <c r="AA132" s="202">
        <v>17.100000000000001</v>
      </c>
      <c r="AB132" s="203">
        <f t="shared" si="22"/>
        <v>0</v>
      </c>
      <c r="AC132" s="124">
        <v>-0.02</v>
      </c>
    </row>
    <row r="133" spans="1:29" s="124" customFormat="1" ht="33.6" customHeight="1">
      <c r="A133" s="154">
        <v>118</v>
      </c>
      <c r="B133" s="155"/>
      <c r="C133" s="155"/>
      <c r="D133" s="156"/>
      <c r="E133" s="155" t="str">
        <f>'Tên Tháng 1'!E121</f>
        <v>ភា សុផាត</v>
      </c>
      <c r="F133" s="157" t="str">
        <f>'Tên Tháng 1'!F121</f>
        <v>PHEA SOPHAT</v>
      </c>
      <c r="G133" s="158">
        <v>207</v>
      </c>
      <c r="H133" s="159">
        <f>ROUND('SAN LUONG'!W126*0.44,2)</f>
        <v>638</v>
      </c>
      <c r="I133" s="159">
        <f t="shared" si="16"/>
        <v>9.09</v>
      </c>
      <c r="J133" s="168"/>
      <c r="K133" s="159">
        <f t="shared" si="15"/>
        <v>0</v>
      </c>
      <c r="L133" s="159"/>
      <c r="M133" s="159">
        <f t="shared" si="17"/>
        <v>0</v>
      </c>
      <c r="N133" s="167">
        <f>'CHAM CONG'!AR125</f>
        <v>1</v>
      </c>
      <c r="O133" s="159">
        <f t="shared" si="18"/>
        <v>0.53</v>
      </c>
      <c r="P133" s="159">
        <f>'CHAM CONG'!AQ125</f>
        <v>12</v>
      </c>
      <c r="Q133" s="159">
        <f t="shared" si="19"/>
        <v>6.01</v>
      </c>
      <c r="R133" s="159">
        <f t="shared" si="23"/>
        <v>12</v>
      </c>
      <c r="S133" s="159">
        <f t="shared" si="20"/>
        <v>0.38</v>
      </c>
      <c r="T133" s="159"/>
      <c r="U133" s="159">
        <f t="shared" si="24"/>
        <v>0</v>
      </c>
      <c r="V133" s="159">
        <f t="shared" si="25"/>
        <v>0</v>
      </c>
      <c r="W133" s="159"/>
      <c r="X133" s="159">
        <f t="shared" si="21"/>
        <v>16.010000000000002</v>
      </c>
      <c r="Y133" s="201"/>
      <c r="Z133" s="199" t="s">
        <v>270</v>
      </c>
      <c r="AA133" s="202">
        <v>16</v>
      </c>
      <c r="AB133" s="203">
        <f t="shared" si="22"/>
        <v>-0.01</v>
      </c>
      <c r="AC133" s="124">
        <v>0.04</v>
      </c>
    </row>
    <row r="134" spans="1:29" s="124" customFormat="1" ht="33.6" customHeight="1">
      <c r="A134" s="154">
        <v>119</v>
      </c>
      <c r="B134" s="155"/>
      <c r="C134" s="155"/>
      <c r="D134" s="156"/>
      <c r="E134" s="155" t="str">
        <f>'Tên Tháng 1'!E122</f>
        <v>វឿត សុខនីន</v>
      </c>
      <c r="F134" s="157" t="str">
        <f>'Tên Tháng 1'!F122</f>
        <v>VOEUT SOKNIN</v>
      </c>
      <c r="G134" s="158">
        <v>208</v>
      </c>
      <c r="H134" s="159">
        <f>ROUND('SAN LUONG'!W127*0.44,2)</f>
        <v>561.44000000000005</v>
      </c>
      <c r="I134" s="159">
        <f t="shared" si="16"/>
        <v>8</v>
      </c>
      <c r="J134" s="168"/>
      <c r="K134" s="159">
        <f t="shared" si="15"/>
        <v>0</v>
      </c>
      <c r="L134" s="159"/>
      <c r="M134" s="159">
        <f t="shared" si="17"/>
        <v>0</v>
      </c>
      <c r="N134" s="167">
        <f>'CHAM CONG'!AR126</f>
        <v>1</v>
      </c>
      <c r="O134" s="159">
        <f t="shared" si="18"/>
        <v>0.53</v>
      </c>
      <c r="P134" s="159">
        <f>'CHAM CONG'!AQ126</f>
        <v>13</v>
      </c>
      <c r="Q134" s="159">
        <f t="shared" si="19"/>
        <v>6.51</v>
      </c>
      <c r="R134" s="159">
        <f t="shared" si="23"/>
        <v>13</v>
      </c>
      <c r="S134" s="159">
        <f t="shared" si="20"/>
        <v>0.41</v>
      </c>
      <c r="T134" s="159"/>
      <c r="U134" s="159">
        <f t="shared" si="24"/>
        <v>0</v>
      </c>
      <c r="V134" s="159">
        <f t="shared" si="25"/>
        <v>0</v>
      </c>
      <c r="W134" s="159"/>
      <c r="X134" s="159">
        <f t="shared" si="21"/>
        <v>15.45</v>
      </c>
      <c r="Y134" s="201"/>
      <c r="Z134" s="199" t="s">
        <v>270</v>
      </c>
      <c r="AA134" s="202">
        <v>15.45</v>
      </c>
      <c r="AB134" s="203">
        <f t="shared" si="22"/>
        <v>0</v>
      </c>
      <c r="AC134" s="124">
        <v>0.04</v>
      </c>
    </row>
    <row r="135" spans="1:29" s="124" customFormat="1" ht="33.6" customHeight="1">
      <c r="A135" s="154">
        <v>120</v>
      </c>
      <c r="B135" s="155"/>
      <c r="C135" s="155"/>
      <c r="D135" s="156"/>
      <c r="E135" s="155" t="str">
        <f>'Tên Tháng 1'!E123</f>
        <v>អឿ វឿត</v>
      </c>
      <c r="F135" s="157" t="str">
        <f>'Tên Tháng 1'!F123</f>
        <v>OEUR VOEURTH</v>
      </c>
      <c r="G135" s="158">
        <v>209</v>
      </c>
      <c r="H135" s="159">
        <f>ROUND('SAN LUONG'!W128*0.44,2)</f>
        <v>632.72</v>
      </c>
      <c r="I135" s="159">
        <f t="shared" si="16"/>
        <v>9.01</v>
      </c>
      <c r="J135" s="168"/>
      <c r="K135" s="159">
        <f t="shared" si="15"/>
        <v>0</v>
      </c>
      <c r="L135" s="159"/>
      <c r="M135" s="159">
        <f t="shared" si="17"/>
        <v>0</v>
      </c>
      <c r="N135" s="167">
        <f>'CHAM CONG'!AR127</f>
        <v>1</v>
      </c>
      <c r="O135" s="159">
        <f t="shared" si="18"/>
        <v>0.53</v>
      </c>
      <c r="P135" s="159">
        <f>'CHAM CONG'!AQ127</f>
        <v>13</v>
      </c>
      <c r="Q135" s="159">
        <f t="shared" si="19"/>
        <v>6.51</v>
      </c>
      <c r="R135" s="159">
        <f t="shared" si="23"/>
        <v>13</v>
      </c>
      <c r="S135" s="159">
        <f t="shared" si="20"/>
        <v>0.41</v>
      </c>
      <c r="T135" s="159"/>
      <c r="U135" s="159">
        <f t="shared" si="24"/>
        <v>0</v>
      </c>
      <c r="V135" s="159">
        <f t="shared" si="25"/>
        <v>0</v>
      </c>
      <c r="W135" s="159"/>
      <c r="X135" s="159">
        <f t="shared" si="21"/>
        <v>16.46</v>
      </c>
      <c r="Y135" s="201"/>
      <c r="Z135" s="199" t="s">
        <v>270</v>
      </c>
      <c r="AA135" s="202">
        <v>16.46</v>
      </c>
      <c r="AB135" s="203">
        <f t="shared" si="22"/>
        <v>0</v>
      </c>
      <c r="AC135" s="124">
        <v>0</v>
      </c>
    </row>
    <row r="136" spans="1:29" s="124" customFormat="1" ht="31.2" customHeight="1">
      <c r="A136" s="154">
        <v>121</v>
      </c>
      <c r="B136" s="155"/>
      <c r="C136" s="155"/>
      <c r="D136" s="156"/>
      <c r="E136" s="155" t="str">
        <f>'Tên Tháng 1'!E124</f>
        <v>លាង លីម</v>
      </c>
      <c r="F136" s="157" t="str">
        <f>'Tên Tháng 1'!F124</f>
        <v>LEANG LIM</v>
      </c>
      <c r="G136" s="158">
        <v>210</v>
      </c>
      <c r="H136" s="159">
        <f>ROUND('SAN LUONG'!W129*0.44,2)</f>
        <v>672.32</v>
      </c>
      <c r="I136" s="159">
        <f t="shared" si="16"/>
        <v>9.58</v>
      </c>
      <c r="J136" s="168"/>
      <c r="K136" s="159">
        <f t="shared" si="15"/>
        <v>0</v>
      </c>
      <c r="L136" s="159"/>
      <c r="M136" s="159">
        <f t="shared" si="17"/>
        <v>0</v>
      </c>
      <c r="N136" s="167">
        <f>'CHAM CONG'!AR128</f>
        <v>1</v>
      </c>
      <c r="O136" s="159">
        <f t="shared" si="18"/>
        <v>0.53</v>
      </c>
      <c r="P136" s="159">
        <f>'CHAM CONG'!AQ128</f>
        <v>15</v>
      </c>
      <c r="Q136" s="159">
        <f t="shared" si="19"/>
        <v>7.51</v>
      </c>
      <c r="R136" s="159">
        <f t="shared" si="23"/>
        <v>15</v>
      </c>
      <c r="S136" s="159">
        <f t="shared" si="20"/>
        <v>0.47</v>
      </c>
      <c r="T136" s="159"/>
      <c r="U136" s="159">
        <f t="shared" si="24"/>
        <v>0</v>
      </c>
      <c r="V136" s="159">
        <f t="shared" si="25"/>
        <v>0</v>
      </c>
      <c r="W136" s="159"/>
      <c r="X136" s="159">
        <f t="shared" si="21"/>
        <v>18.09</v>
      </c>
      <c r="Y136" s="201"/>
      <c r="Z136" s="199" t="s">
        <v>270</v>
      </c>
      <c r="AA136" s="202">
        <v>18.09</v>
      </c>
      <c r="AB136" s="203">
        <f t="shared" si="22"/>
        <v>0</v>
      </c>
      <c r="AC136" s="124">
        <v>0.01</v>
      </c>
    </row>
    <row r="137" spans="1:29" s="124" customFormat="1" ht="31.2" customHeight="1">
      <c r="A137" s="154">
        <v>122</v>
      </c>
      <c r="B137" s="155"/>
      <c r="C137" s="155"/>
      <c r="D137" s="156"/>
      <c r="E137" s="155" t="str">
        <f>'Tên Tháng 1'!E125</f>
        <v>ឃឹម ឡន</v>
      </c>
      <c r="F137" s="157" t="str">
        <f>'Tên Tháng 1'!F125</f>
        <v>KHOEM LAN</v>
      </c>
      <c r="G137" s="158">
        <v>211</v>
      </c>
      <c r="H137" s="159">
        <f>ROUND('SAN LUONG'!W130*0.44,2)</f>
        <v>607.64</v>
      </c>
      <c r="I137" s="159">
        <f t="shared" si="16"/>
        <v>8.65</v>
      </c>
      <c r="J137" s="168"/>
      <c r="K137" s="159">
        <f t="shared" si="15"/>
        <v>0</v>
      </c>
      <c r="L137" s="159"/>
      <c r="M137" s="159">
        <f t="shared" si="17"/>
        <v>0</v>
      </c>
      <c r="N137" s="167">
        <f>'CHAM CONG'!AR129</f>
        <v>1</v>
      </c>
      <c r="O137" s="159">
        <f t="shared" si="18"/>
        <v>0.53</v>
      </c>
      <c r="P137" s="159">
        <f>'CHAM CONG'!AQ129</f>
        <v>13</v>
      </c>
      <c r="Q137" s="159">
        <f t="shared" si="19"/>
        <v>6.51</v>
      </c>
      <c r="R137" s="159">
        <f t="shared" si="23"/>
        <v>13</v>
      </c>
      <c r="S137" s="159">
        <f t="shared" si="20"/>
        <v>0.41</v>
      </c>
      <c r="T137" s="159"/>
      <c r="U137" s="159">
        <f t="shared" si="24"/>
        <v>0</v>
      </c>
      <c r="V137" s="159">
        <f t="shared" si="25"/>
        <v>0</v>
      </c>
      <c r="W137" s="159"/>
      <c r="X137" s="159">
        <f t="shared" si="21"/>
        <v>16.100000000000001</v>
      </c>
      <c r="Y137" s="201"/>
      <c r="Z137" s="199" t="s">
        <v>270</v>
      </c>
      <c r="AA137" s="202">
        <v>16.100000000000001</v>
      </c>
      <c r="AB137" s="203">
        <f t="shared" si="22"/>
        <v>0</v>
      </c>
      <c r="AC137" s="124">
        <v>0.04</v>
      </c>
    </row>
    <row r="138" spans="1:29" s="124" customFormat="1" ht="31.2" customHeight="1">
      <c r="A138" s="154">
        <v>123</v>
      </c>
      <c r="B138" s="155"/>
      <c r="C138" s="155"/>
      <c r="D138" s="156"/>
      <c r="E138" s="155" t="str">
        <f>'Tên Tháng 1'!E126</f>
        <v>ឈឿន សារិន</v>
      </c>
      <c r="F138" s="157" t="str">
        <f>'Tên Tháng 1'!F126</f>
        <v>CHHOEUN SARIN</v>
      </c>
      <c r="G138" s="158">
        <v>212</v>
      </c>
      <c r="H138" s="159">
        <f>ROUND('SAN LUONG'!W131*0.44,2)</f>
        <v>519.20000000000005</v>
      </c>
      <c r="I138" s="159">
        <f t="shared" si="16"/>
        <v>7.39</v>
      </c>
      <c r="J138" s="168"/>
      <c r="K138" s="159">
        <f t="shared" si="15"/>
        <v>0</v>
      </c>
      <c r="L138" s="159"/>
      <c r="M138" s="159">
        <f t="shared" si="17"/>
        <v>0</v>
      </c>
      <c r="N138" s="167">
        <f>'CHAM CONG'!AR130</f>
        <v>1</v>
      </c>
      <c r="O138" s="159">
        <f t="shared" si="18"/>
        <v>0.53</v>
      </c>
      <c r="P138" s="159">
        <f>'CHAM CONG'!AQ130</f>
        <v>13</v>
      </c>
      <c r="Q138" s="159">
        <f t="shared" si="19"/>
        <v>6.51</v>
      </c>
      <c r="R138" s="159">
        <f t="shared" si="23"/>
        <v>13</v>
      </c>
      <c r="S138" s="159">
        <f t="shared" si="20"/>
        <v>0.41</v>
      </c>
      <c r="T138" s="159"/>
      <c r="U138" s="159">
        <f t="shared" si="24"/>
        <v>0</v>
      </c>
      <c r="V138" s="159">
        <f t="shared" si="25"/>
        <v>0</v>
      </c>
      <c r="W138" s="159"/>
      <c r="X138" s="159">
        <f t="shared" si="21"/>
        <v>14.839999999999998</v>
      </c>
      <c r="Y138" s="201"/>
      <c r="Z138" s="199" t="s">
        <v>270</v>
      </c>
      <c r="AA138" s="202">
        <v>14.84</v>
      </c>
      <c r="AB138" s="203">
        <f t="shared" si="22"/>
        <v>0</v>
      </c>
      <c r="AC138" s="124">
        <v>0.04</v>
      </c>
    </row>
    <row r="139" spans="1:29" s="124" customFormat="1" ht="31.2" customHeight="1">
      <c r="A139" s="154">
        <v>124</v>
      </c>
      <c r="B139" s="155"/>
      <c r="C139" s="155"/>
      <c r="D139" s="156"/>
      <c r="E139" s="155" t="str">
        <f>'Tên Tháng 1'!E127</f>
        <v>លាង ឡៃហេង</v>
      </c>
      <c r="F139" s="157" t="str">
        <f>'Tên Tháng 1'!F127</f>
        <v>LEANG LAIHENG</v>
      </c>
      <c r="G139" s="158">
        <v>213</v>
      </c>
      <c r="H139" s="159">
        <f>ROUND('SAN LUONG'!W132*0.44,2)</f>
        <v>547.79999999999995</v>
      </c>
      <c r="I139" s="159">
        <f t="shared" si="16"/>
        <v>7.8</v>
      </c>
      <c r="J139" s="168"/>
      <c r="K139" s="159">
        <f t="shared" si="15"/>
        <v>0</v>
      </c>
      <c r="L139" s="159"/>
      <c r="M139" s="159">
        <f t="shared" si="17"/>
        <v>0</v>
      </c>
      <c r="N139" s="167">
        <f>'CHAM CONG'!AR131</f>
        <v>1</v>
      </c>
      <c r="O139" s="159">
        <f t="shared" si="18"/>
        <v>0.53</v>
      </c>
      <c r="P139" s="159">
        <f>'CHAM CONG'!AQ131</f>
        <v>13</v>
      </c>
      <c r="Q139" s="159">
        <f t="shared" si="19"/>
        <v>6.51</v>
      </c>
      <c r="R139" s="159">
        <f t="shared" si="23"/>
        <v>13</v>
      </c>
      <c r="S139" s="159">
        <f t="shared" si="20"/>
        <v>0.41</v>
      </c>
      <c r="T139" s="159"/>
      <c r="U139" s="159">
        <f t="shared" si="24"/>
        <v>0</v>
      </c>
      <c r="V139" s="159">
        <f t="shared" si="25"/>
        <v>0</v>
      </c>
      <c r="W139" s="159"/>
      <c r="X139" s="159">
        <f t="shared" si="21"/>
        <v>15.249999999999998</v>
      </c>
      <c r="Y139" s="201"/>
      <c r="Z139" s="199" t="s">
        <v>270</v>
      </c>
      <c r="AA139" s="202">
        <v>15.25</v>
      </c>
      <c r="AB139" s="203">
        <f t="shared" si="22"/>
        <v>0</v>
      </c>
      <c r="AC139" s="124">
        <v>-0.02</v>
      </c>
    </row>
    <row r="140" spans="1:29" s="124" customFormat="1" ht="31.2" customHeight="1">
      <c r="A140" s="154">
        <v>125</v>
      </c>
      <c r="B140" s="155"/>
      <c r="C140" s="155"/>
      <c r="D140" s="156"/>
      <c r="E140" s="155" t="str">
        <f>'Tên Tháng 1'!E128</f>
        <v>ហួយ ភើក</v>
      </c>
      <c r="F140" s="157" t="str">
        <f>'Tên Tháng 1'!F128</f>
        <v>HOURY PHEAK</v>
      </c>
      <c r="G140" s="158">
        <v>214</v>
      </c>
      <c r="H140" s="159">
        <f>ROUND('SAN LUONG'!W133*0.44,2)</f>
        <v>652.96</v>
      </c>
      <c r="I140" s="159">
        <f t="shared" si="16"/>
        <v>9.3000000000000007</v>
      </c>
      <c r="J140" s="168"/>
      <c r="K140" s="159">
        <f t="shared" si="15"/>
        <v>0</v>
      </c>
      <c r="L140" s="159"/>
      <c r="M140" s="159">
        <f t="shared" si="17"/>
        <v>0</v>
      </c>
      <c r="N140" s="167">
        <f>'CHAM CONG'!AR132</f>
        <v>1</v>
      </c>
      <c r="O140" s="159">
        <f t="shared" si="18"/>
        <v>0.53</v>
      </c>
      <c r="P140" s="159">
        <f>'CHAM CONG'!AQ132</f>
        <v>15</v>
      </c>
      <c r="Q140" s="159">
        <f t="shared" si="19"/>
        <v>7.51</v>
      </c>
      <c r="R140" s="159">
        <f t="shared" si="23"/>
        <v>15</v>
      </c>
      <c r="S140" s="159">
        <f t="shared" si="20"/>
        <v>0.47</v>
      </c>
      <c r="T140" s="159"/>
      <c r="U140" s="159">
        <f t="shared" si="24"/>
        <v>0</v>
      </c>
      <c r="V140" s="159">
        <f t="shared" si="25"/>
        <v>0</v>
      </c>
      <c r="W140" s="159"/>
      <c r="X140" s="159">
        <f t="shared" si="21"/>
        <v>17.810000000000002</v>
      </c>
      <c r="Y140" s="201"/>
      <c r="Z140" s="199" t="s">
        <v>270</v>
      </c>
      <c r="AA140" s="202">
        <v>17.809999999999999</v>
      </c>
      <c r="AB140" s="203">
        <f t="shared" si="22"/>
        <v>0</v>
      </c>
      <c r="AC140" s="124">
        <v>0.04</v>
      </c>
    </row>
    <row r="141" spans="1:29" s="124" customFormat="1" ht="30.6" customHeight="1">
      <c r="A141" s="154">
        <v>126</v>
      </c>
      <c r="B141" s="155"/>
      <c r="C141" s="155"/>
      <c r="D141" s="156"/>
      <c r="E141" s="155" t="str">
        <f>'Tên Tháng 1'!E129</f>
        <v>ធឿន ​ធា</v>
      </c>
      <c r="F141" s="157" t="str">
        <f>'Tên Tháng 1'!F129</f>
        <v>THOEURN THEA</v>
      </c>
      <c r="G141" s="158">
        <v>251</v>
      </c>
      <c r="H141" s="159"/>
      <c r="I141" s="159">
        <f t="shared" si="16"/>
        <v>0</v>
      </c>
      <c r="J141" s="159">
        <f>'SAN LUONG'!AE134</f>
        <v>140.80000000000001</v>
      </c>
      <c r="K141" s="159">
        <f t="shared" si="15"/>
        <v>2.23</v>
      </c>
      <c r="L141" s="159"/>
      <c r="M141" s="159">
        <f t="shared" si="17"/>
        <v>0</v>
      </c>
      <c r="N141" s="167">
        <f>'CHAM CONG'!AR133</f>
        <v>0</v>
      </c>
      <c r="O141" s="159">
        <f t="shared" si="18"/>
        <v>0</v>
      </c>
      <c r="P141" s="159">
        <f>'CHAM CONG'!AQ133</f>
        <v>6</v>
      </c>
      <c r="Q141" s="159">
        <f t="shared" si="19"/>
        <v>3</v>
      </c>
      <c r="R141" s="159">
        <f t="shared" si="23"/>
        <v>6</v>
      </c>
      <c r="S141" s="159">
        <f t="shared" si="20"/>
        <v>0.19</v>
      </c>
      <c r="T141" s="159"/>
      <c r="U141" s="159">
        <f t="shared" si="24"/>
        <v>0</v>
      </c>
      <c r="V141" s="159">
        <f t="shared" si="25"/>
        <v>0</v>
      </c>
      <c r="W141" s="159"/>
      <c r="X141" s="159">
        <f t="shared" si="21"/>
        <v>5.4200000000000008</v>
      </c>
      <c r="Y141" s="201"/>
      <c r="Z141" s="199" t="s">
        <v>270</v>
      </c>
      <c r="AA141" s="202">
        <v>5.42</v>
      </c>
      <c r="AB141" s="203">
        <f t="shared" si="22"/>
        <v>0</v>
      </c>
      <c r="AC141" s="124">
        <v>0.01</v>
      </c>
    </row>
    <row r="142" spans="1:29" s="124" customFormat="1" ht="30.6" customHeight="1">
      <c r="A142" s="154">
        <v>127</v>
      </c>
      <c r="B142" s="155"/>
      <c r="C142" s="155"/>
      <c r="D142" s="156"/>
      <c r="E142" s="155" t="str">
        <f>'Tên Tháng 1'!E130</f>
        <v>យី ប៉ាង</v>
      </c>
      <c r="F142" s="157" t="str">
        <f>'Tên Tháng 1'!F130</f>
        <v>YI PANG</v>
      </c>
      <c r="G142" s="158">
        <v>252</v>
      </c>
      <c r="H142" s="159"/>
      <c r="I142" s="159">
        <f t="shared" si="16"/>
        <v>0</v>
      </c>
      <c r="J142" s="159">
        <f>'SAN LUONG'!AE135</f>
        <v>140.36000000000001</v>
      </c>
      <c r="K142" s="159">
        <f t="shared" si="15"/>
        <v>2.2200000000000002</v>
      </c>
      <c r="L142" s="159"/>
      <c r="M142" s="159">
        <f t="shared" si="17"/>
        <v>0</v>
      </c>
      <c r="N142" s="167">
        <f>'CHAM CONG'!AR134</f>
        <v>0</v>
      </c>
      <c r="O142" s="159">
        <f t="shared" si="18"/>
        <v>0</v>
      </c>
      <c r="P142" s="159">
        <f>'CHAM CONG'!AQ134</f>
        <v>5</v>
      </c>
      <c r="Q142" s="159">
        <f t="shared" si="19"/>
        <v>2.5</v>
      </c>
      <c r="R142" s="159">
        <f t="shared" si="23"/>
        <v>5</v>
      </c>
      <c r="S142" s="159">
        <f t="shared" si="20"/>
        <v>0.16</v>
      </c>
      <c r="T142" s="159"/>
      <c r="U142" s="159">
        <f t="shared" ref="U142:U182" si="26">ROUND(T142*$U$14/31947,2)</f>
        <v>0</v>
      </c>
      <c r="V142" s="159">
        <f t="shared" ref="V142:V182" si="27">ROUND(U142*30456,0)</f>
        <v>0</v>
      </c>
      <c r="W142" s="159"/>
      <c r="X142" s="159">
        <f t="shared" si="21"/>
        <v>4.8800000000000008</v>
      </c>
      <c r="Y142" s="201"/>
      <c r="Z142" s="199" t="s">
        <v>270</v>
      </c>
      <c r="AA142" s="202">
        <v>4.88</v>
      </c>
      <c r="AB142" s="203">
        <f t="shared" si="22"/>
        <v>0</v>
      </c>
      <c r="AC142" s="124">
        <v>0.04</v>
      </c>
    </row>
    <row r="143" spans="1:29" s="124" customFormat="1" ht="30.6" customHeight="1">
      <c r="A143" s="154">
        <v>128</v>
      </c>
      <c r="B143" s="155"/>
      <c r="C143" s="155"/>
      <c r="D143" s="156"/>
      <c r="E143" s="155" t="str">
        <f>'Tên Tháng 1'!E131</f>
        <v>វ៉ិត មីត</v>
      </c>
      <c r="F143" s="157" t="str">
        <f>'Tên Tháng 1'!F131</f>
        <v>VET MIT</v>
      </c>
      <c r="G143" s="158">
        <v>253</v>
      </c>
      <c r="H143" s="159"/>
      <c r="I143" s="159">
        <f t="shared" si="16"/>
        <v>0</v>
      </c>
      <c r="J143" s="159">
        <f>'SAN LUONG'!AE136</f>
        <v>134.63999999999999</v>
      </c>
      <c r="K143" s="159">
        <f t="shared" si="15"/>
        <v>2.13</v>
      </c>
      <c r="L143" s="159"/>
      <c r="M143" s="159">
        <f t="shared" si="17"/>
        <v>0</v>
      </c>
      <c r="N143" s="167">
        <f>'CHAM CONG'!AR135</f>
        <v>0</v>
      </c>
      <c r="O143" s="159">
        <f t="shared" si="18"/>
        <v>0</v>
      </c>
      <c r="P143" s="159">
        <f>'CHAM CONG'!AQ135</f>
        <v>5</v>
      </c>
      <c r="Q143" s="159">
        <f t="shared" si="19"/>
        <v>2.5</v>
      </c>
      <c r="R143" s="159">
        <f t="shared" si="23"/>
        <v>5</v>
      </c>
      <c r="S143" s="159">
        <f t="shared" si="20"/>
        <v>0.16</v>
      </c>
      <c r="T143" s="159"/>
      <c r="U143" s="159">
        <f t="shared" si="26"/>
        <v>0</v>
      </c>
      <c r="V143" s="159">
        <f t="shared" si="27"/>
        <v>0</v>
      </c>
      <c r="W143" s="159"/>
      <c r="X143" s="159">
        <f t="shared" si="21"/>
        <v>4.79</v>
      </c>
      <c r="Y143" s="201"/>
      <c r="Z143" s="199" t="s">
        <v>270</v>
      </c>
      <c r="AA143" s="202">
        <v>4.79</v>
      </c>
      <c r="AB143" s="203">
        <f t="shared" si="22"/>
        <v>0</v>
      </c>
      <c r="AC143" s="124">
        <v>0.01</v>
      </c>
    </row>
    <row r="144" spans="1:29" s="124" customFormat="1" ht="30.6" customHeight="1">
      <c r="A144" s="154">
        <v>129</v>
      </c>
      <c r="B144" s="155"/>
      <c r="C144" s="155"/>
      <c r="D144" s="156"/>
      <c r="E144" s="155" t="str">
        <f>'Tên Tháng 1'!E132</f>
        <v>ប៉ែន វណ្ណា</v>
      </c>
      <c r="F144" s="157" t="str">
        <f>'Tên Tháng 1'!F132</f>
        <v>BEN VANNA</v>
      </c>
      <c r="G144" s="158">
        <v>254</v>
      </c>
      <c r="H144" s="159"/>
      <c r="I144" s="159">
        <f t="shared" si="16"/>
        <v>0</v>
      </c>
      <c r="J144" s="159">
        <f>'SAN LUONG'!AE137</f>
        <v>193.16</v>
      </c>
      <c r="K144" s="159">
        <f t="shared" ref="K144:K207" si="28">ROUND(J144*$K$14/31947,2)</f>
        <v>3.05</v>
      </c>
      <c r="L144" s="159"/>
      <c r="M144" s="159">
        <f t="shared" si="17"/>
        <v>0</v>
      </c>
      <c r="N144" s="167">
        <f>'CHAM CONG'!AR136</f>
        <v>0</v>
      </c>
      <c r="O144" s="159">
        <f t="shared" si="18"/>
        <v>0</v>
      </c>
      <c r="P144" s="159">
        <f>'CHAM CONG'!AQ136</f>
        <v>10</v>
      </c>
      <c r="Q144" s="159">
        <f t="shared" si="19"/>
        <v>5.01</v>
      </c>
      <c r="R144" s="159">
        <f t="shared" si="23"/>
        <v>10</v>
      </c>
      <c r="S144" s="159">
        <f t="shared" si="20"/>
        <v>0.31</v>
      </c>
      <c r="T144" s="159"/>
      <c r="U144" s="159">
        <f t="shared" si="26"/>
        <v>0</v>
      </c>
      <c r="V144" s="159">
        <f t="shared" si="27"/>
        <v>0</v>
      </c>
      <c r="W144" s="159"/>
      <c r="X144" s="159">
        <f t="shared" si="21"/>
        <v>8.3699999999999992</v>
      </c>
      <c r="Y144" s="201"/>
      <c r="Z144" s="199" t="s">
        <v>270</v>
      </c>
      <c r="AA144" s="202">
        <v>8.3699999999999992</v>
      </c>
      <c r="AB144" s="203">
        <f t="shared" si="22"/>
        <v>0</v>
      </c>
      <c r="AC144" s="124">
        <v>0.04</v>
      </c>
    </row>
    <row r="145" spans="1:29" s="124" customFormat="1" ht="30.6" customHeight="1">
      <c r="A145" s="154">
        <v>130</v>
      </c>
      <c r="B145" s="155"/>
      <c r="C145" s="155"/>
      <c r="D145" s="156"/>
      <c r="E145" s="155" t="str">
        <f>'Tên Tháng 1'!E133</f>
        <v>លឿន ម៉ៅ</v>
      </c>
      <c r="F145" s="157" t="str">
        <f>'Tên Tháng 1'!F133</f>
        <v>LOEURN MAO</v>
      </c>
      <c r="G145" s="158">
        <v>255</v>
      </c>
      <c r="H145" s="159"/>
      <c r="I145" s="159">
        <f t="shared" ref="I145:I208" si="29">ROUND(H145*$I$14/31947,2)</f>
        <v>0</v>
      </c>
      <c r="J145" s="159">
        <f>'SAN LUONG'!AE138</f>
        <v>275.88</v>
      </c>
      <c r="K145" s="159">
        <f t="shared" si="28"/>
        <v>4.3600000000000003</v>
      </c>
      <c r="L145" s="159"/>
      <c r="M145" s="159">
        <f t="shared" ref="M145:M208" si="30">ROUND(L145*$M$14/31947,2)</f>
        <v>0</v>
      </c>
      <c r="N145" s="167">
        <f>'CHAM CONG'!AR137</f>
        <v>0</v>
      </c>
      <c r="O145" s="159">
        <f t="shared" ref="O145:O208" si="31">ROUND(N145*$O$14/31947,2)</f>
        <v>0</v>
      </c>
      <c r="P145" s="159">
        <f>'CHAM CONG'!AQ137</f>
        <v>14</v>
      </c>
      <c r="Q145" s="159">
        <f t="shared" ref="Q145:Q208" si="32">ROUND(P145*$Q$14/31947,2)</f>
        <v>7.01</v>
      </c>
      <c r="R145" s="159">
        <f t="shared" si="23"/>
        <v>14</v>
      </c>
      <c r="S145" s="159">
        <f t="shared" ref="S145:S208" si="33">ROUND(R145*$S$14/31947,2)</f>
        <v>0.44</v>
      </c>
      <c r="T145" s="159"/>
      <c r="U145" s="159">
        <f t="shared" si="26"/>
        <v>0</v>
      </c>
      <c r="V145" s="159">
        <f t="shared" si="27"/>
        <v>0</v>
      </c>
      <c r="W145" s="159"/>
      <c r="X145" s="159">
        <f t="shared" ref="X145:X208" si="34">I145+K145+M145+Q145+S145+O145</f>
        <v>11.81</v>
      </c>
      <c r="Y145" s="201"/>
      <c r="Z145" s="199" t="s">
        <v>270</v>
      </c>
      <c r="AA145" s="202">
        <v>11.81</v>
      </c>
      <c r="AB145" s="203">
        <f t="shared" ref="AB145:AB208" si="35">ROUND(AA145-X145,2)</f>
        <v>0</v>
      </c>
      <c r="AC145" s="124">
        <v>0.01</v>
      </c>
    </row>
    <row r="146" spans="1:29" s="124" customFormat="1" ht="30.6" customHeight="1">
      <c r="A146" s="154">
        <v>131</v>
      </c>
      <c r="B146" s="155"/>
      <c r="C146" s="155"/>
      <c r="D146" s="156"/>
      <c r="E146" s="155" t="str">
        <f>'Tên Tháng 1'!E134</f>
        <v>សុក ចូក</v>
      </c>
      <c r="F146" s="157" t="str">
        <f>'Tên Tháng 1'!F134</f>
        <v>SOK CHOUK</v>
      </c>
      <c r="G146" s="158">
        <v>256</v>
      </c>
      <c r="H146" s="159"/>
      <c r="I146" s="159">
        <f t="shared" si="29"/>
        <v>0</v>
      </c>
      <c r="J146" s="159">
        <f>'SAN LUONG'!AE139</f>
        <v>258.72000000000003</v>
      </c>
      <c r="K146" s="159">
        <f t="shared" si="28"/>
        <v>4.09</v>
      </c>
      <c r="L146" s="159"/>
      <c r="M146" s="159">
        <f t="shared" si="30"/>
        <v>0</v>
      </c>
      <c r="N146" s="167">
        <f>'CHAM CONG'!AR138</f>
        <v>0</v>
      </c>
      <c r="O146" s="159">
        <f t="shared" si="31"/>
        <v>0</v>
      </c>
      <c r="P146" s="159">
        <f>'CHAM CONG'!AQ138</f>
        <v>14</v>
      </c>
      <c r="Q146" s="159">
        <f t="shared" si="32"/>
        <v>7.01</v>
      </c>
      <c r="R146" s="159">
        <f t="shared" ref="R146:R209" si="36">P146</f>
        <v>14</v>
      </c>
      <c r="S146" s="159">
        <f t="shared" si="33"/>
        <v>0.44</v>
      </c>
      <c r="T146" s="159"/>
      <c r="U146" s="159">
        <f t="shared" si="26"/>
        <v>0</v>
      </c>
      <c r="V146" s="159">
        <f t="shared" si="27"/>
        <v>0</v>
      </c>
      <c r="W146" s="159"/>
      <c r="X146" s="159">
        <f t="shared" si="34"/>
        <v>11.54</v>
      </c>
      <c r="Y146" s="201"/>
      <c r="Z146" s="199" t="s">
        <v>270</v>
      </c>
      <c r="AA146" s="202">
        <v>11.54</v>
      </c>
      <c r="AB146" s="203">
        <f t="shared" si="35"/>
        <v>0</v>
      </c>
      <c r="AC146" s="124">
        <v>0.04</v>
      </c>
    </row>
    <row r="147" spans="1:29" s="124" customFormat="1" ht="30.6" customHeight="1">
      <c r="A147" s="154">
        <v>132</v>
      </c>
      <c r="B147" s="155"/>
      <c r="C147" s="155"/>
      <c r="D147" s="156"/>
      <c r="E147" s="155" t="str">
        <f>'Tên Tháng 1'!E135</f>
        <v>រី ឆេង</v>
      </c>
      <c r="F147" s="157" t="str">
        <f>'Tên Tháng 1'!F135</f>
        <v>RY CHHENG</v>
      </c>
      <c r="G147" s="158">
        <v>257</v>
      </c>
      <c r="H147" s="159"/>
      <c r="I147" s="159">
        <f t="shared" si="29"/>
        <v>0</v>
      </c>
      <c r="J147" s="159">
        <f>'SAN LUONG'!AE140</f>
        <v>287.32</v>
      </c>
      <c r="K147" s="159">
        <f t="shared" si="28"/>
        <v>4.54</v>
      </c>
      <c r="L147" s="159"/>
      <c r="M147" s="159">
        <f t="shared" si="30"/>
        <v>0</v>
      </c>
      <c r="N147" s="167">
        <f>'CHAM CONG'!AR139</f>
        <v>0</v>
      </c>
      <c r="O147" s="159">
        <f t="shared" si="31"/>
        <v>0</v>
      </c>
      <c r="P147" s="159">
        <f>'CHAM CONG'!AQ139</f>
        <v>13</v>
      </c>
      <c r="Q147" s="159">
        <f t="shared" si="32"/>
        <v>6.51</v>
      </c>
      <c r="R147" s="159">
        <f t="shared" si="36"/>
        <v>13</v>
      </c>
      <c r="S147" s="159">
        <f t="shared" si="33"/>
        <v>0.41</v>
      </c>
      <c r="T147" s="159"/>
      <c r="U147" s="159">
        <f t="shared" si="26"/>
        <v>0</v>
      </c>
      <c r="V147" s="159">
        <f t="shared" si="27"/>
        <v>0</v>
      </c>
      <c r="W147" s="159"/>
      <c r="X147" s="159">
        <f t="shared" si="34"/>
        <v>11.46</v>
      </c>
      <c r="Y147" s="201"/>
      <c r="Z147" s="199" t="s">
        <v>270</v>
      </c>
      <c r="AA147" s="202">
        <v>11.46</v>
      </c>
      <c r="AB147" s="203">
        <f t="shared" si="35"/>
        <v>0</v>
      </c>
      <c r="AC147" s="124">
        <v>-0.02</v>
      </c>
    </row>
    <row r="148" spans="1:29" s="124" customFormat="1" ht="30.6" customHeight="1">
      <c r="A148" s="154">
        <v>133</v>
      </c>
      <c r="B148" s="155"/>
      <c r="C148" s="155"/>
      <c r="D148" s="156"/>
      <c r="E148" s="155" t="str">
        <f>'Tên Tháng 1'!E136</f>
        <v>ហឿង រីន</v>
      </c>
      <c r="F148" s="157" t="str">
        <f>'Tên Tháng 1'!F136</f>
        <v>HOEUNG RIN</v>
      </c>
      <c r="G148" s="158">
        <v>258</v>
      </c>
      <c r="H148" s="159"/>
      <c r="I148" s="159">
        <f t="shared" si="29"/>
        <v>0</v>
      </c>
      <c r="J148" s="159">
        <f>'SAN LUONG'!AE141</f>
        <v>140.36000000000001</v>
      </c>
      <c r="K148" s="159">
        <f t="shared" si="28"/>
        <v>2.2200000000000002</v>
      </c>
      <c r="L148" s="159"/>
      <c r="M148" s="159">
        <f t="shared" si="30"/>
        <v>0</v>
      </c>
      <c r="N148" s="167">
        <f>'CHAM CONG'!AR140</f>
        <v>0</v>
      </c>
      <c r="O148" s="159">
        <f t="shared" si="31"/>
        <v>0</v>
      </c>
      <c r="P148" s="159">
        <f>'CHAM CONG'!AQ140</f>
        <v>5</v>
      </c>
      <c r="Q148" s="159">
        <f t="shared" si="32"/>
        <v>2.5</v>
      </c>
      <c r="R148" s="159">
        <f t="shared" si="36"/>
        <v>5</v>
      </c>
      <c r="S148" s="159">
        <f t="shared" si="33"/>
        <v>0.16</v>
      </c>
      <c r="T148" s="159"/>
      <c r="U148" s="159">
        <f t="shared" si="26"/>
        <v>0</v>
      </c>
      <c r="V148" s="159">
        <f t="shared" si="27"/>
        <v>0</v>
      </c>
      <c r="W148" s="159"/>
      <c r="X148" s="159">
        <f t="shared" si="34"/>
        <v>4.8800000000000008</v>
      </c>
      <c r="Y148" s="201"/>
      <c r="Z148" s="199" t="s">
        <v>270</v>
      </c>
      <c r="AA148" s="202">
        <v>4.88</v>
      </c>
      <c r="AB148" s="203">
        <f t="shared" si="35"/>
        <v>0</v>
      </c>
      <c r="AC148" s="124">
        <v>0.04</v>
      </c>
    </row>
    <row r="149" spans="1:29" s="124" customFormat="1" ht="30.6" customHeight="1">
      <c r="A149" s="154">
        <v>134</v>
      </c>
      <c r="B149" s="155"/>
      <c r="C149" s="155"/>
      <c r="D149" s="156"/>
      <c r="E149" s="155" t="str">
        <f>'Tên Tháng 1'!E137</f>
        <v>ធី សុខខៃ</v>
      </c>
      <c r="F149" s="157" t="str">
        <f>'Tên Tháng 1'!F137</f>
        <v>THY SOKKHAI</v>
      </c>
      <c r="G149" s="158">
        <v>259</v>
      </c>
      <c r="H149" s="159"/>
      <c r="I149" s="159">
        <f t="shared" si="29"/>
        <v>0</v>
      </c>
      <c r="J149" s="159">
        <f>'SAN LUONG'!AE142</f>
        <v>388.52</v>
      </c>
      <c r="K149" s="159">
        <f t="shared" si="28"/>
        <v>6.14</v>
      </c>
      <c r="L149" s="159"/>
      <c r="M149" s="159">
        <f t="shared" si="30"/>
        <v>0</v>
      </c>
      <c r="N149" s="167">
        <f>'CHAM CONG'!AR141</f>
        <v>0</v>
      </c>
      <c r="O149" s="159">
        <f t="shared" si="31"/>
        <v>0</v>
      </c>
      <c r="P149" s="159">
        <f>'CHAM CONG'!AQ141</f>
        <v>13</v>
      </c>
      <c r="Q149" s="159">
        <f t="shared" si="32"/>
        <v>6.51</v>
      </c>
      <c r="R149" s="159">
        <f t="shared" si="36"/>
        <v>13</v>
      </c>
      <c r="S149" s="159">
        <f t="shared" si="33"/>
        <v>0.41</v>
      </c>
      <c r="T149" s="159"/>
      <c r="U149" s="159">
        <f t="shared" si="26"/>
        <v>0</v>
      </c>
      <c r="V149" s="159">
        <f t="shared" si="27"/>
        <v>0</v>
      </c>
      <c r="W149" s="159"/>
      <c r="X149" s="159">
        <f t="shared" si="34"/>
        <v>13.059999999999999</v>
      </c>
      <c r="Y149" s="201"/>
      <c r="Z149" s="199" t="s">
        <v>270</v>
      </c>
      <c r="AA149" s="202">
        <v>13.06</v>
      </c>
      <c r="AB149" s="203">
        <f t="shared" si="35"/>
        <v>0</v>
      </c>
      <c r="AC149" s="124">
        <v>0.04</v>
      </c>
    </row>
    <row r="150" spans="1:29" s="124" customFormat="1" ht="30.6" customHeight="1">
      <c r="A150" s="154">
        <v>135</v>
      </c>
      <c r="B150" s="155"/>
      <c r="C150" s="155"/>
      <c r="D150" s="156"/>
      <c r="E150" s="155" t="str">
        <f>'Tên Tháng 1'!E138</f>
        <v>កើត អាត</v>
      </c>
      <c r="F150" s="157" t="str">
        <f>'Tên Tháng 1'!F138</f>
        <v>KOEUT AT</v>
      </c>
      <c r="G150" s="158">
        <v>260</v>
      </c>
      <c r="H150" s="159"/>
      <c r="I150" s="159">
        <f t="shared" si="29"/>
        <v>0</v>
      </c>
      <c r="J150" s="159">
        <f>'SAN LUONG'!AE143</f>
        <v>365.2</v>
      </c>
      <c r="K150" s="159">
        <f t="shared" si="28"/>
        <v>5.77</v>
      </c>
      <c r="L150" s="159"/>
      <c r="M150" s="159">
        <f t="shared" si="30"/>
        <v>0</v>
      </c>
      <c r="N150" s="167">
        <f>'CHAM CONG'!AR142</f>
        <v>0</v>
      </c>
      <c r="O150" s="159">
        <f t="shared" si="31"/>
        <v>0</v>
      </c>
      <c r="P150" s="159">
        <f>'CHAM CONG'!AQ142</f>
        <v>13</v>
      </c>
      <c r="Q150" s="159">
        <f t="shared" si="32"/>
        <v>6.51</v>
      </c>
      <c r="R150" s="159">
        <f t="shared" si="36"/>
        <v>13</v>
      </c>
      <c r="S150" s="159">
        <f t="shared" si="33"/>
        <v>0.41</v>
      </c>
      <c r="T150" s="159"/>
      <c r="U150" s="159">
        <f t="shared" si="26"/>
        <v>0</v>
      </c>
      <c r="V150" s="159">
        <f t="shared" si="27"/>
        <v>0</v>
      </c>
      <c r="W150" s="159"/>
      <c r="X150" s="159">
        <f t="shared" si="34"/>
        <v>12.69</v>
      </c>
      <c r="Y150" s="201"/>
      <c r="Z150" s="199" t="s">
        <v>270</v>
      </c>
      <c r="AA150" s="202">
        <v>12.69</v>
      </c>
      <c r="AB150" s="203">
        <f t="shared" si="35"/>
        <v>0</v>
      </c>
      <c r="AC150" s="124">
        <v>0.04</v>
      </c>
    </row>
    <row r="151" spans="1:29" s="124" customFormat="1" ht="30.6" customHeight="1">
      <c r="A151" s="154">
        <v>136</v>
      </c>
      <c r="B151" s="155"/>
      <c r="C151" s="155"/>
      <c r="D151" s="156"/>
      <c r="E151" s="155" t="str">
        <f>'Tên Tháng 1'!E139</f>
        <v>ឆ្លាម ឆ្លាត</v>
      </c>
      <c r="F151" s="157" t="str">
        <f>'Tên Tháng 1'!F139</f>
        <v>CHLAM CHLAT</v>
      </c>
      <c r="G151" s="158">
        <v>261</v>
      </c>
      <c r="H151" s="159"/>
      <c r="I151" s="159">
        <f t="shared" si="29"/>
        <v>0</v>
      </c>
      <c r="J151" s="159">
        <f>'SAN LUONG'!AE144</f>
        <v>252.12</v>
      </c>
      <c r="K151" s="159">
        <f t="shared" si="28"/>
        <v>3.99</v>
      </c>
      <c r="L151" s="159"/>
      <c r="M151" s="159">
        <f t="shared" si="30"/>
        <v>0</v>
      </c>
      <c r="N151" s="167">
        <f>'CHAM CONG'!AR143</f>
        <v>0</v>
      </c>
      <c r="O151" s="159">
        <f t="shared" si="31"/>
        <v>0</v>
      </c>
      <c r="P151" s="159">
        <f>'CHAM CONG'!AQ143</f>
        <v>14</v>
      </c>
      <c r="Q151" s="159">
        <f t="shared" si="32"/>
        <v>7.01</v>
      </c>
      <c r="R151" s="159">
        <f t="shared" si="36"/>
        <v>14</v>
      </c>
      <c r="S151" s="159">
        <f t="shared" si="33"/>
        <v>0.44</v>
      </c>
      <c r="T151" s="159"/>
      <c r="U151" s="159">
        <f t="shared" si="26"/>
        <v>0</v>
      </c>
      <c r="V151" s="159">
        <f t="shared" si="27"/>
        <v>0</v>
      </c>
      <c r="W151" s="159"/>
      <c r="X151" s="159">
        <f t="shared" si="34"/>
        <v>11.44</v>
      </c>
      <c r="Y151" s="201"/>
      <c r="Z151" s="199" t="s">
        <v>270</v>
      </c>
      <c r="AA151" s="202">
        <v>11.44</v>
      </c>
      <c r="AB151" s="203">
        <f t="shared" si="35"/>
        <v>0</v>
      </c>
      <c r="AC151" s="124">
        <v>0.04</v>
      </c>
    </row>
    <row r="152" spans="1:29" s="124" customFormat="1" ht="30.6" customHeight="1">
      <c r="A152" s="154">
        <v>137</v>
      </c>
      <c r="B152" s="155"/>
      <c r="C152" s="155"/>
      <c r="D152" s="156"/>
      <c r="E152" s="155" t="str">
        <f>'Tên Tháng 1'!E140</f>
        <v>សៅ​ ធី</v>
      </c>
      <c r="F152" s="157" t="str">
        <f>'Tên Tháng 1'!F140</f>
        <v>SOA THY</v>
      </c>
      <c r="G152" s="158">
        <v>262</v>
      </c>
      <c r="H152" s="159"/>
      <c r="I152" s="159">
        <f t="shared" si="29"/>
        <v>0</v>
      </c>
      <c r="J152" s="159">
        <f>'SAN LUONG'!AE145</f>
        <v>270.60000000000002</v>
      </c>
      <c r="K152" s="159">
        <f t="shared" si="28"/>
        <v>4.28</v>
      </c>
      <c r="L152" s="159"/>
      <c r="M152" s="159">
        <f t="shared" si="30"/>
        <v>0</v>
      </c>
      <c r="N152" s="167">
        <f>'CHAM CONG'!AR144</f>
        <v>0</v>
      </c>
      <c r="O152" s="159">
        <f t="shared" si="31"/>
        <v>0</v>
      </c>
      <c r="P152" s="159">
        <f>'CHAM CONG'!AQ144</f>
        <v>15</v>
      </c>
      <c r="Q152" s="159">
        <f t="shared" si="32"/>
        <v>7.51</v>
      </c>
      <c r="R152" s="159">
        <f t="shared" si="36"/>
        <v>15</v>
      </c>
      <c r="S152" s="159">
        <f t="shared" si="33"/>
        <v>0.47</v>
      </c>
      <c r="T152" s="159"/>
      <c r="U152" s="159">
        <f t="shared" si="26"/>
        <v>0</v>
      </c>
      <c r="V152" s="159">
        <f t="shared" si="27"/>
        <v>0</v>
      </c>
      <c r="W152" s="159"/>
      <c r="X152" s="159">
        <f t="shared" si="34"/>
        <v>12.26</v>
      </c>
      <c r="Y152" s="201"/>
      <c r="Z152" s="199" t="s">
        <v>270</v>
      </c>
      <c r="AA152" s="202">
        <v>12.26</v>
      </c>
      <c r="AB152" s="203">
        <f t="shared" si="35"/>
        <v>0</v>
      </c>
      <c r="AC152" s="124">
        <v>0.04</v>
      </c>
    </row>
    <row r="153" spans="1:29" s="124" customFormat="1" ht="30.6" customHeight="1">
      <c r="A153" s="154">
        <v>138</v>
      </c>
      <c r="B153" s="155"/>
      <c r="C153" s="155"/>
      <c r="D153" s="156"/>
      <c r="E153" s="155" t="str">
        <f>'Tên Tháng 1'!E141</f>
        <v>រី អឿន</v>
      </c>
      <c r="F153" s="157" t="str">
        <f>'Tên Tháng 1'!F141</f>
        <v>RY OEUN</v>
      </c>
      <c r="G153" s="158">
        <v>263</v>
      </c>
      <c r="H153" s="159"/>
      <c r="I153" s="159">
        <f t="shared" si="29"/>
        <v>0</v>
      </c>
      <c r="J153" s="159">
        <f>'SAN LUONG'!AE146</f>
        <v>286</v>
      </c>
      <c r="K153" s="159">
        <f t="shared" si="28"/>
        <v>4.5199999999999996</v>
      </c>
      <c r="L153" s="159"/>
      <c r="M153" s="159">
        <f t="shared" si="30"/>
        <v>0</v>
      </c>
      <c r="N153" s="167">
        <f>'CHAM CONG'!AR145</f>
        <v>0</v>
      </c>
      <c r="O153" s="159">
        <f t="shared" si="31"/>
        <v>0</v>
      </c>
      <c r="P153" s="159">
        <f>'CHAM CONG'!AQ145</f>
        <v>13</v>
      </c>
      <c r="Q153" s="159">
        <f t="shared" si="32"/>
        <v>6.51</v>
      </c>
      <c r="R153" s="159">
        <f t="shared" si="36"/>
        <v>13</v>
      </c>
      <c r="S153" s="159">
        <f t="shared" si="33"/>
        <v>0.41</v>
      </c>
      <c r="T153" s="159"/>
      <c r="U153" s="159">
        <f t="shared" si="26"/>
        <v>0</v>
      </c>
      <c r="V153" s="159">
        <f t="shared" si="27"/>
        <v>0</v>
      </c>
      <c r="W153" s="159"/>
      <c r="X153" s="159">
        <f t="shared" si="34"/>
        <v>11.44</v>
      </c>
      <c r="Y153" s="201"/>
      <c r="Z153" s="199" t="s">
        <v>270</v>
      </c>
      <c r="AA153" s="202">
        <v>11.44</v>
      </c>
      <c r="AB153" s="203">
        <f t="shared" si="35"/>
        <v>0</v>
      </c>
      <c r="AC153" s="124">
        <v>0.04</v>
      </c>
    </row>
    <row r="154" spans="1:29" s="124" customFormat="1" ht="30.6" customHeight="1">
      <c r="A154" s="154">
        <v>139</v>
      </c>
      <c r="B154" s="155"/>
      <c r="C154" s="155"/>
      <c r="D154" s="156"/>
      <c r="E154" s="155" t="str">
        <f>'Tên Tháng 1'!E142</f>
        <v>ប៊ុត សុគង់</v>
      </c>
      <c r="F154" s="157" t="str">
        <f>'Tên Tháng 1'!F142</f>
        <v>BUT SOKONG</v>
      </c>
      <c r="G154" s="158">
        <v>264</v>
      </c>
      <c r="H154" s="159"/>
      <c r="I154" s="159">
        <f t="shared" si="29"/>
        <v>0</v>
      </c>
      <c r="J154" s="159">
        <f>'SAN LUONG'!AE147</f>
        <v>214.28</v>
      </c>
      <c r="K154" s="159">
        <f t="shared" si="28"/>
        <v>3.39</v>
      </c>
      <c r="L154" s="159"/>
      <c r="M154" s="159">
        <f t="shared" si="30"/>
        <v>0</v>
      </c>
      <c r="N154" s="167">
        <f>'CHAM CONG'!AR146</f>
        <v>0</v>
      </c>
      <c r="O154" s="159">
        <f t="shared" si="31"/>
        <v>0</v>
      </c>
      <c r="P154" s="159">
        <f>'CHAM CONG'!AQ146</f>
        <v>14</v>
      </c>
      <c r="Q154" s="159">
        <f t="shared" si="32"/>
        <v>7.01</v>
      </c>
      <c r="R154" s="159">
        <f t="shared" si="36"/>
        <v>14</v>
      </c>
      <c r="S154" s="159">
        <f t="shared" si="33"/>
        <v>0.44</v>
      </c>
      <c r="T154" s="159"/>
      <c r="U154" s="159">
        <f t="shared" si="26"/>
        <v>0</v>
      </c>
      <c r="V154" s="159">
        <f t="shared" si="27"/>
        <v>0</v>
      </c>
      <c r="W154" s="159"/>
      <c r="X154" s="159">
        <f t="shared" si="34"/>
        <v>10.84</v>
      </c>
      <c r="Y154" s="201"/>
      <c r="Z154" s="199" t="s">
        <v>270</v>
      </c>
      <c r="AA154" s="202">
        <v>10.84</v>
      </c>
      <c r="AB154" s="203">
        <f t="shared" si="35"/>
        <v>0</v>
      </c>
      <c r="AC154" s="124">
        <v>-0.02</v>
      </c>
    </row>
    <row r="155" spans="1:29" s="124" customFormat="1" ht="30.6" customHeight="1">
      <c r="A155" s="154">
        <v>140</v>
      </c>
      <c r="B155" s="155"/>
      <c r="C155" s="155"/>
      <c r="D155" s="156"/>
      <c r="E155" s="155" t="str">
        <f>'Tên Tháng 1'!E143</f>
        <v>ឡាម វង្ស</v>
      </c>
      <c r="F155" s="157" t="str">
        <f>'Tên Tháng 1'!F143</f>
        <v>LAM VONG</v>
      </c>
      <c r="G155" s="158">
        <v>265</v>
      </c>
      <c r="H155" s="159"/>
      <c r="I155" s="159">
        <f t="shared" si="29"/>
        <v>0</v>
      </c>
      <c r="J155" s="159">
        <f>'SAN LUONG'!AE148</f>
        <v>362.12</v>
      </c>
      <c r="K155" s="159">
        <f t="shared" si="28"/>
        <v>5.72</v>
      </c>
      <c r="L155" s="159"/>
      <c r="M155" s="159">
        <f t="shared" si="30"/>
        <v>0</v>
      </c>
      <c r="N155" s="167">
        <f>'CHAM CONG'!AR147</f>
        <v>0</v>
      </c>
      <c r="O155" s="159">
        <f t="shared" si="31"/>
        <v>0</v>
      </c>
      <c r="P155" s="159">
        <f>'CHAM CONG'!AQ147</f>
        <v>11</v>
      </c>
      <c r="Q155" s="159">
        <f t="shared" si="32"/>
        <v>5.51</v>
      </c>
      <c r="R155" s="159">
        <f t="shared" si="36"/>
        <v>11</v>
      </c>
      <c r="S155" s="159">
        <f t="shared" si="33"/>
        <v>0.34</v>
      </c>
      <c r="T155" s="159"/>
      <c r="U155" s="159">
        <f t="shared" si="26"/>
        <v>0</v>
      </c>
      <c r="V155" s="159">
        <f t="shared" si="27"/>
        <v>0</v>
      </c>
      <c r="W155" s="159"/>
      <c r="X155" s="159">
        <f t="shared" si="34"/>
        <v>11.57</v>
      </c>
      <c r="Y155" s="201"/>
      <c r="Z155" s="199" t="s">
        <v>270</v>
      </c>
      <c r="AA155" s="202">
        <v>11.58</v>
      </c>
      <c r="AB155" s="203">
        <f t="shared" si="35"/>
        <v>0.01</v>
      </c>
      <c r="AC155" s="124">
        <v>0.04</v>
      </c>
    </row>
    <row r="156" spans="1:29" s="124" customFormat="1" ht="30.6" customHeight="1">
      <c r="A156" s="154">
        <v>141</v>
      </c>
      <c r="B156" s="155"/>
      <c r="C156" s="155"/>
      <c r="D156" s="156"/>
      <c r="E156" s="155" t="str">
        <f>'Tên Tháng 1'!E144</f>
        <v>លីម ធា</v>
      </c>
      <c r="F156" s="157" t="str">
        <f>'Tên Tháng 1'!F144</f>
        <v>LIM THEA</v>
      </c>
      <c r="G156" s="158">
        <v>266</v>
      </c>
      <c r="H156" s="159"/>
      <c r="I156" s="159">
        <f t="shared" si="29"/>
        <v>0</v>
      </c>
      <c r="J156" s="159">
        <f>'SAN LUONG'!AE149</f>
        <v>370.48</v>
      </c>
      <c r="K156" s="159">
        <f t="shared" si="28"/>
        <v>5.86</v>
      </c>
      <c r="L156" s="159"/>
      <c r="M156" s="159">
        <f t="shared" si="30"/>
        <v>0</v>
      </c>
      <c r="N156" s="167">
        <f>'CHAM CONG'!AR148</f>
        <v>0</v>
      </c>
      <c r="O156" s="159">
        <f t="shared" si="31"/>
        <v>0</v>
      </c>
      <c r="P156" s="159">
        <f>'CHAM CONG'!AQ148</f>
        <v>12</v>
      </c>
      <c r="Q156" s="159">
        <f t="shared" si="32"/>
        <v>6.01</v>
      </c>
      <c r="R156" s="159">
        <f t="shared" si="36"/>
        <v>12</v>
      </c>
      <c r="S156" s="159">
        <f t="shared" si="33"/>
        <v>0.38</v>
      </c>
      <c r="T156" s="159"/>
      <c r="U156" s="159">
        <f t="shared" si="26"/>
        <v>0</v>
      </c>
      <c r="V156" s="159">
        <f t="shared" si="27"/>
        <v>0</v>
      </c>
      <c r="W156" s="159"/>
      <c r="X156" s="159">
        <f t="shared" si="34"/>
        <v>12.250000000000002</v>
      </c>
      <c r="Y156" s="201"/>
      <c r="Z156" s="199" t="s">
        <v>270</v>
      </c>
      <c r="AA156" s="202">
        <v>12.24</v>
      </c>
      <c r="AB156" s="203">
        <f t="shared" si="35"/>
        <v>-0.01</v>
      </c>
      <c r="AC156" s="124">
        <v>-0.02</v>
      </c>
    </row>
    <row r="157" spans="1:29" s="124" customFormat="1" ht="30.6" customHeight="1">
      <c r="A157" s="154">
        <v>142</v>
      </c>
      <c r="B157" s="155"/>
      <c r="C157" s="155"/>
      <c r="D157" s="156"/>
      <c r="E157" s="155" t="str">
        <f>'Tên Tháng 1'!E145</f>
        <v>យ៉ុន ឆាយ</v>
      </c>
      <c r="F157" s="157" t="str">
        <f>'Tên Tháng 1'!F145</f>
        <v>YON CHHAY</v>
      </c>
      <c r="G157" s="158">
        <v>267</v>
      </c>
      <c r="H157" s="159"/>
      <c r="I157" s="159">
        <f t="shared" si="29"/>
        <v>0</v>
      </c>
      <c r="J157" s="159">
        <f>'SAN LUONG'!AE150</f>
        <v>370.92</v>
      </c>
      <c r="K157" s="159">
        <f t="shared" si="28"/>
        <v>5.86</v>
      </c>
      <c r="L157" s="159"/>
      <c r="M157" s="159">
        <f t="shared" si="30"/>
        <v>0</v>
      </c>
      <c r="N157" s="167">
        <f>'CHAM CONG'!AR149</f>
        <v>0</v>
      </c>
      <c r="O157" s="159">
        <f t="shared" si="31"/>
        <v>0</v>
      </c>
      <c r="P157" s="159">
        <f>'CHAM CONG'!AQ149</f>
        <v>15</v>
      </c>
      <c r="Q157" s="159">
        <f t="shared" si="32"/>
        <v>7.51</v>
      </c>
      <c r="R157" s="159">
        <f t="shared" si="36"/>
        <v>15</v>
      </c>
      <c r="S157" s="159">
        <f t="shared" si="33"/>
        <v>0.47</v>
      </c>
      <c r="T157" s="159"/>
      <c r="U157" s="159">
        <f t="shared" si="26"/>
        <v>0</v>
      </c>
      <c r="V157" s="159">
        <f t="shared" si="27"/>
        <v>0</v>
      </c>
      <c r="W157" s="159"/>
      <c r="X157" s="159">
        <f t="shared" si="34"/>
        <v>13.840000000000002</v>
      </c>
      <c r="Y157" s="201"/>
      <c r="Z157" s="199" t="s">
        <v>270</v>
      </c>
      <c r="AA157" s="202">
        <v>13.85</v>
      </c>
      <c r="AB157" s="203">
        <f t="shared" si="35"/>
        <v>0.01</v>
      </c>
      <c r="AC157" s="124">
        <v>0.04</v>
      </c>
    </row>
    <row r="158" spans="1:29" s="124" customFormat="1" ht="30.6" customHeight="1">
      <c r="A158" s="154">
        <v>143</v>
      </c>
      <c r="B158" s="155"/>
      <c r="C158" s="155"/>
      <c r="D158" s="156"/>
      <c r="E158" s="155" t="str">
        <f>'Tên Tháng 1'!E146</f>
        <v>យ៉ាត សុឃីម</v>
      </c>
      <c r="F158" s="157" t="str">
        <f>'Tên Tháng 1'!F146</f>
        <v>YAT SOKHIM</v>
      </c>
      <c r="G158" s="158">
        <v>268</v>
      </c>
      <c r="H158" s="159"/>
      <c r="I158" s="159">
        <f t="shared" si="29"/>
        <v>0</v>
      </c>
      <c r="J158" s="159">
        <f>'SAN LUONG'!AE151</f>
        <v>232.76</v>
      </c>
      <c r="K158" s="159">
        <f t="shared" si="28"/>
        <v>3.68</v>
      </c>
      <c r="L158" s="159"/>
      <c r="M158" s="159">
        <f t="shared" si="30"/>
        <v>0</v>
      </c>
      <c r="N158" s="167">
        <f>'CHAM CONG'!AR150</f>
        <v>0</v>
      </c>
      <c r="O158" s="159">
        <f t="shared" si="31"/>
        <v>0</v>
      </c>
      <c r="P158" s="159">
        <f>'CHAM CONG'!AQ150</f>
        <v>12</v>
      </c>
      <c r="Q158" s="159">
        <f t="shared" si="32"/>
        <v>6.01</v>
      </c>
      <c r="R158" s="159">
        <f t="shared" si="36"/>
        <v>12</v>
      </c>
      <c r="S158" s="159">
        <f t="shared" si="33"/>
        <v>0.38</v>
      </c>
      <c r="T158" s="159"/>
      <c r="U158" s="159">
        <f t="shared" si="26"/>
        <v>0</v>
      </c>
      <c r="V158" s="159">
        <f t="shared" si="27"/>
        <v>0</v>
      </c>
      <c r="W158" s="159"/>
      <c r="X158" s="159">
        <f t="shared" si="34"/>
        <v>10.07</v>
      </c>
      <c r="Y158" s="201"/>
      <c r="Z158" s="199" t="s">
        <v>270</v>
      </c>
      <c r="AA158" s="202">
        <v>10.06</v>
      </c>
      <c r="AB158" s="203">
        <f t="shared" si="35"/>
        <v>-0.01</v>
      </c>
      <c r="AC158" s="124">
        <v>-0.02</v>
      </c>
    </row>
    <row r="159" spans="1:29" s="124" customFormat="1" ht="30.6" customHeight="1">
      <c r="A159" s="154">
        <v>144</v>
      </c>
      <c r="B159" s="155"/>
      <c r="C159" s="155"/>
      <c r="D159" s="156"/>
      <c r="E159" s="155" t="str">
        <f>'Tên Tháng 1'!E147</f>
        <v>ឈន ប៊ន</v>
      </c>
      <c r="F159" s="157" t="str">
        <f>'Tên Tháng 1'!F147</f>
        <v>CHHON BORN</v>
      </c>
      <c r="G159" s="158">
        <v>269</v>
      </c>
      <c r="H159" s="159"/>
      <c r="I159" s="159">
        <f t="shared" si="29"/>
        <v>0</v>
      </c>
      <c r="J159" s="159">
        <f>'SAN LUONG'!AE152</f>
        <v>477.4</v>
      </c>
      <c r="K159" s="159">
        <f t="shared" si="28"/>
        <v>7.55</v>
      </c>
      <c r="L159" s="159"/>
      <c r="M159" s="159">
        <f t="shared" si="30"/>
        <v>0</v>
      </c>
      <c r="N159" s="167">
        <f>'CHAM CONG'!AR151</f>
        <v>0</v>
      </c>
      <c r="O159" s="159">
        <f t="shared" si="31"/>
        <v>0</v>
      </c>
      <c r="P159" s="159">
        <f>'CHAM CONG'!AQ151</f>
        <v>14</v>
      </c>
      <c r="Q159" s="159">
        <f t="shared" si="32"/>
        <v>7.01</v>
      </c>
      <c r="R159" s="159">
        <f t="shared" si="36"/>
        <v>14</v>
      </c>
      <c r="S159" s="159">
        <f t="shared" si="33"/>
        <v>0.44</v>
      </c>
      <c r="T159" s="159"/>
      <c r="U159" s="159">
        <f t="shared" si="26"/>
        <v>0</v>
      </c>
      <c r="V159" s="159">
        <f t="shared" si="27"/>
        <v>0</v>
      </c>
      <c r="W159" s="159"/>
      <c r="X159" s="159">
        <f t="shared" si="34"/>
        <v>14.999999999999998</v>
      </c>
      <c r="Y159" s="201"/>
      <c r="Z159" s="199" t="s">
        <v>270</v>
      </c>
      <c r="AA159" s="202">
        <v>15</v>
      </c>
      <c r="AB159" s="203">
        <f t="shared" si="35"/>
        <v>0</v>
      </c>
      <c r="AC159" s="124">
        <v>0.01</v>
      </c>
    </row>
    <row r="160" spans="1:29" s="124" customFormat="1" ht="30.6" customHeight="1">
      <c r="A160" s="154">
        <v>145</v>
      </c>
      <c r="B160" s="155"/>
      <c r="C160" s="155"/>
      <c r="D160" s="156"/>
      <c r="E160" s="155" t="str">
        <f>'Tên Tháng 1'!E148</f>
        <v>ចន អ៊ន់</v>
      </c>
      <c r="F160" s="157" t="str">
        <f>'Tên Tháng 1'!F148</f>
        <v>CHAN ON</v>
      </c>
      <c r="G160" s="158">
        <v>270</v>
      </c>
      <c r="H160" s="159"/>
      <c r="I160" s="159">
        <f t="shared" si="29"/>
        <v>0</v>
      </c>
      <c r="J160" s="159">
        <f>'SAN LUONG'!AE153</f>
        <v>493.68</v>
      </c>
      <c r="K160" s="159">
        <f t="shared" si="28"/>
        <v>7.8</v>
      </c>
      <c r="L160" s="159"/>
      <c r="M160" s="159">
        <f t="shared" si="30"/>
        <v>0</v>
      </c>
      <c r="N160" s="167">
        <f>'CHAM CONG'!AR152</f>
        <v>0</v>
      </c>
      <c r="O160" s="159">
        <f t="shared" si="31"/>
        <v>0</v>
      </c>
      <c r="P160" s="159">
        <f>'CHAM CONG'!AQ152</f>
        <v>13</v>
      </c>
      <c r="Q160" s="159">
        <f t="shared" si="32"/>
        <v>6.51</v>
      </c>
      <c r="R160" s="159">
        <f t="shared" si="36"/>
        <v>13</v>
      </c>
      <c r="S160" s="159">
        <f t="shared" si="33"/>
        <v>0.41</v>
      </c>
      <c r="T160" s="159"/>
      <c r="U160" s="159">
        <f t="shared" si="26"/>
        <v>0</v>
      </c>
      <c r="V160" s="159">
        <f t="shared" si="27"/>
        <v>0</v>
      </c>
      <c r="W160" s="159"/>
      <c r="X160" s="159">
        <f t="shared" si="34"/>
        <v>14.719999999999999</v>
      </c>
      <c r="Y160" s="201"/>
      <c r="Z160" s="199" t="s">
        <v>270</v>
      </c>
      <c r="AA160" s="202">
        <v>14.72</v>
      </c>
      <c r="AB160" s="203">
        <f t="shared" si="35"/>
        <v>0</v>
      </c>
      <c r="AC160" s="124">
        <v>0.01</v>
      </c>
    </row>
    <row r="161" spans="1:29" s="124" customFormat="1" ht="30.6" customHeight="1">
      <c r="A161" s="154">
        <v>146</v>
      </c>
      <c r="B161" s="155"/>
      <c r="C161" s="155"/>
      <c r="D161" s="156"/>
      <c r="E161" s="155" t="str">
        <f>'Tên Tháng 1'!E149</f>
        <v>សែម ធឿន</v>
      </c>
      <c r="F161" s="157" t="str">
        <f>'Tên Tháng 1'!F149</f>
        <v>SEM THOEURN</v>
      </c>
      <c r="G161" s="158">
        <v>271</v>
      </c>
      <c r="H161" s="159"/>
      <c r="I161" s="159">
        <f t="shared" si="29"/>
        <v>0</v>
      </c>
      <c r="J161" s="159">
        <f>'SAN LUONG'!AE154</f>
        <v>367.84</v>
      </c>
      <c r="K161" s="159">
        <f t="shared" si="28"/>
        <v>5.81</v>
      </c>
      <c r="L161" s="159"/>
      <c r="M161" s="159">
        <f t="shared" si="30"/>
        <v>0</v>
      </c>
      <c r="N161" s="167">
        <f>'CHAM CONG'!AR153</f>
        <v>0</v>
      </c>
      <c r="O161" s="159">
        <f t="shared" si="31"/>
        <v>0</v>
      </c>
      <c r="P161" s="159">
        <f>'CHAM CONG'!AQ153</f>
        <v>13</v>
      </c>
      <c r="Q161" s="159">
        <f t="shared" si="32"/>
        <v>6.51</v>
      </c>
      <c r="R161" s="159">
        <f t="shared" si="36"/>
        <v>13</v>
      </c>
      <c r="S161" s="159">
        <f t="shared" si="33"/>
        <v>0.41</v>
      </c>
      <c r="T161" s="159"/>
      <c r="U161" s="159">
        <f t="shared" si="26"/>
        <v>0</v>
      </c>
      <c r="V161" s="159">
        <f t="shared" si="27"/>
        <v>0</v>
      </c>
      <c r="W161" s="159"/>
      <c r="X161" s="159">
        <f t="shared" si="34"/>
        <v>12.73</v>
      </c>
      <c r="Y161" s="201"/>
      <c r="Z161" s="199" t="s">
        <v>270</v>
      </c>
      <c r="AA161" s="202">
        <v>12.73</v>
      </c>
      <c r="AB161" s="203">
        <f t="shared" si="35"/>
        <v>0</v>
      </c>
      <c r="AC161" s="124">
        <v>0.04</v>
      </c>
    </row>
    <row r="162" spans="1:29" s="124" customFormat="1" ht="30.6" customHeight="1">
      <c r="A162" s="154">
        <v>147</v>
      </c>
      <c r="B162" s="155"/>
      <c r="C162" s="155"/>
      <c r="D162" s="156"/>
      <c r="E162" s="155" t="str">
        <f>'Tên Tháng 1'!E150</f>
        <v>ហ៊ាន ភ័ក្រ</v>
      </c>
      <c r="F162" s="157" t="str">
        <f>'Tên Tháng 1'!F150</f>
        <v>HEAN PHEAK</v>
      </c>
      <c r="G162" s="158">
        <v>272</v>
      </c>
      <c r="H162" s="159"/>
      <c r="I162" s="159">
        <f t="shared" si="29"/>
        <v>0</v>
      </c>
      <c r="J162" s="159">
        <f>'SAN LUONG'!AE155</f>
        <v>469.48</v>
      </c>
      <c r="K162" s="159">
        <f t="shared" si="28"/>
        <v>7.42</v>
      </c>
      <c r="L162" s="159"/>
      <c r="M162" s="159">
        <f t="shared" si="30"/>
        <v>0</v>
      </c>
      <c r="N162" s="167">
        <f>'CHAM CONG'!AR154</f>
        <v>0</v>
      </c>
      <c r="O162" s="159">
        <f t="shared" si="31"/>
        <v>0</v>
      </c>
      <c r="P162" s="159">
        <f>'CHAM CONG'!AQ154</f>
        <v>12</v>
      </c>
      <c r="Q162" s="159">
        <f t="shared" si="32"/>
        <v>6.01</v>
      </c>
      <c r="R162" s="159">
        <f t="shared" si="36"/>
        <v>12</v>
      </c>
      <c r="S162" s="159">
        <f t="shared" si="33"/>
        <v>0.38</v>
      </c>
      <c r="T162" s="159"/>
      <c r="U162" s="159">
        <f t="shared" si="26"/>
        <v>0</v>
      </c>
      <c r="V162" s="159">
        <f t="shared" si="27"/>
        <v>0</v>
      </c>
      <c r="W162" s="159"/>
      <c r="X162" s="159">
        <f t="shared" si="34"/>
        <v>13.81</v>
      </c>
      <c r="Y162" s="201"/>
      <c r="Z162" s="199" t="s">
        <v>270</v>
      </c>
      <c r="AA162" s="202">
        <v>13.81</v>
      </c>
      <c r="AB162" s="203">
        <f t="shared" si="35"/>
        <v>0</v>
      </c>
      <c r="AC162" s="124">
        <v>0.04</v>
      </c>
    </row>
    <row r="163" spans="1:29" s="124" customFormat="1" ht="30.6" customHeight="1">
      <c r="A163" s="154">
        <v>148</v>
      </c>
      <c r="B163" s="155"/>
      <c r="C163" s="155"/>
      <c r="D163" s="156"/>
      <c r="E163" s="155" t="str">
        <f>'Tên Tháng 1'!E151</f>
        <v>ឆ្លាមឆ្លាត សុខេន</v>
      </c>
      <c r="F163" s="157" t="str">
        <f>'Tên Tháng 1'!F151</f>
        <v>CHHLAMCHHAT SOKHEN</v>
      </c>
      <c r="G163" s="158">
        <v>273</v>
      </c>
      <c r="H163" s="159"/>
      <c r="I163" s="159">
        <f t="shared" si="29"/>
        <v>0</v>
      </c>
      <c r="J163" s="159">
        <f>'SAN LUONG'!AE156</f>
        <v>356.84</v>
      </c>
      <c r="K163" s="159">
        <f t="shared" si="28"/>
        <v>5.64</v>
      </c>
      <c r="L163" s="159"/>
      <c r="M163" s="159">
        <f t="shared" si="30"/>
        <v>0</v>
      </c>
      <c r="N163" s="167">
        <f>'CHAM CONG'!AR155</f>
        <v>0</v>
      </c>
      <c r="O163" s="159">
        <f t="shared" si="31"/>
        <v>0</v>
      </c>
      <c r="P163" s="159">
        <f>'CHAM CONG'!AQ155</f>
        <v>13</v>
      </c>
      <c r="Q163" s="159">
        <f t="shared" si="32"/>
        <v>6.51</v>
      </c>
      <c r="R163" s="159">
        <f t="shared" si="36"/>
        <v>13</v>
      </c>
      <c r="S163" s="159">
        <f t="shared" si="33"/>
        <v>0.41</v>
      </c>
      <c r="T163" s="159"/>
      <c r="U163" s="159">
        <f t="shared" si="26"/>
        <v>0</v>
      </c>
      <c r="V163" s="159">
        <f t="shared" si="27"/>
        <v>0</v>
      </c>
      <c r="W163" s="159"/>
      <c r="X163" s="159">
        <f t="shared" si="34"/>
        <v>12.559999999999999</v>
      </c>
      <c r="Y163" s="201"/>
      <c r="Z163" s="199" t="s">
        <v>270</v>
      </c>
      <c r="AA163" s="202">
        <v>12.56</v>
      </c>
      <c r="AB163" s="203">
        <f t="shared" si="35"/>
        <v>0</v>
      </c>
      <c r="AC163" s="124">
        <v>0.04</v>
      </c>
    </row>
    <row r="164" spans="1:29" s="124" customFormat="1" ht="30.6" customHeight="1">
      <c r="A164" s="154">
        <v>149</v>
      </c>
      <c r="B164" s="155"/>
      <c r="C164" s="155"/>
      <c r="D164" s="156"/>
      <c r="E164" s="155" t="str">
        <f>'Tên Tháng 1'!E152</f>
        <v>ប៊ូ ស្រីណយ</v>
      </c>
      <c r="F164" s="157" t="str">
        <f>'Tên Tháng 1'!F152</f>
        <v>BOU SREYNOY</v>
      </c>
      <c r="G164" s="158">
        <v>274</v>
      </c>
      <c r="H164" s="159"/>
      <c r="I164" s="159">
        <f t="shared" si="29"/>
        <v>0</v>
      </c>
      <c r="J164" s="159">
        <f>'SAN LUONG'!AE157</f>
        <v>390.28</v>
      </c>
      <c r="K164" s="159">
        <f t="shared" si="28"/>
        <v>6.17</v>
      </c>
      <c r="L164" s="159"/>
      <c r="M164" s="159">
        <f t="shared" si="30"/>
        <v>0</v>
      </c>
      <c r="N164" s="167">
        <f>'CHAM CONG'!AR156</f>
        <v>0</v>
      </c>
      <c r="O164" s="159">
        <f t="shared" si="31"/>
        <v>0</v>
      </c>
      <c r="P164" s="159">
        <f>'CHAM CONG'!AQ156</f>
        <v>14</v>
      </c>
      <c r="Q164" s="159">
        <f t="shared" si="32"/>
        <v>7.01</v>
      </c>
      <c r="R164" s="159">
        <f t="shared" si="36"/>
        <v>14</v>
      </c>
      <c r="S164" s="159">
        <f t="shared" si="33"/>
        <v>0.44</v>
      </c>
      <c r="T164" s="159"/>
      <c r="U164" s="159">
        <f t="shared" si="26"/>
        <v>0</v>
      </c>
      <c r="V164" s="159">
        <f t="shared" si="27"/>
        <v>0</v>
      </c>
      <c r="W164" s="159"/>
      <c r="X164" s="159">
        <f t="shared" si="34"/>
        <v>13.62</v>
      </c>
      <c r="Y164" s="201"/>
      <c r="Z164" s="199" t="s">
        <v>270</v>
      </c>
      <c r="AA164" s="202">
        <v>13.62</v>
      </c>
      <c r="AB164" s="203">
        <f t="shared" si="35"/>
        <v>0</v>
      </c>
      <c r="AC164" s="124">
        <v>0.01</v>
      </c>
    </row>
    <row r="165" spans="1:29" s="124" customFormat="1" ht="30.6" customHeight="1">
      <c r="A165" s="154">
        <v>150</v>
      </c>
      <c r="B165" s="155"/>
      <c r="C165" s="155"/>
      <c r="D165" s="156"/>
      <c r="E165" s="155" t="str">
        <f>'Tên Tháng 1'!E153</f>
        <v>អ៊ីវ សាវុន</v>
      </c>
      <c r="F165" s="157" t="str">
        <f>'Tên Tháng 1'!F153</f>
        <v>IV SAVUN</v>
      </c>
      <c r="G165" s="158">
        <v>275</v>
      </c>
      <c r="H165" s="159"/>
      <c r="I165" s="159">
        <f t="shared" si="29"/>
        <v>0</v>
      </c>
      <c r="J165" s="159">
        <f>'SAN LUONG'!AE158</f>
        <v>396</v>
      </c>
      <c r="K165" s="159">
        <f t="shared" si="28"/>
        <v>6.26</v>
      </c>
      <c r="L165" s="159"/>
      <c r="M165" s="159">
        <f t="shared" si="30"/>
        <v>0</v>
      </c>
      <c r="N165" s="167">
        <f>'CHAM CONG'!AR157</f>
        <v>0</v>
      </c>
      <c r="O165" s="159">
        <f t="shared" si="31"/>
        <v>0</v>
      </c>
      <c r="P165" s="159">
        <f>'CHAM CONG'!AQ157</f>
        <v>13</v>
      </c>
      <c r="Q165" s="159">
        <f t="shared" si="32"/>
        <v>6.51</v>
      </c>
      <c r="R165" s="159">
        <f t="shared" si="36"/>
        <v>13</v>
      </c>
      <c r="S165" s="159">
        <f t="shared" si="33"/>
        <v>0.41</v>
      </c>
      <c r="T165" s="159"/>
      <c r="U165" s="159">
        <f t="shared" si="26"/>
        <v>0</v>
      </c>
      <c r="V165" s="159">
        <f t="shared" si="27"/>
        <v>0</v>
      </c>
      <c r="W165" s="159"/>
      <c r="X165" s="159">
        <f t="shared" si="34"/>
        <v>13.18</v>
      </c>
      <c r="Y165" s="201"/>
      <c r="Z165" s="199" t="s">
        <v>270</v>
      </c>
      <c r="AA165" s="202">
        <v>13.18</v>
      </c>
      <c r="AB165" s="203">
        <f t="shared" si="35"/>
        <v>0</v>
      </c>
      <c r="AC165" s="124">
        <v>0.01</v>
      </c>
    </row>
    <row r="166" spans="1:29" s="124" customFormat="1" ht="30.6" customHeight="1">
      <c r="A166" s="154">
        <v>151</v>
      </c>
      <c r="B166" s="155"/>
      <c r="C166" s="155"/>
      <c r="D166" s="156"/>
      <c r="E166" s="155" t="str">
        <f>'Tên Tháng 1'!E154</f>
        <v>សាត គឹមសេង</v>
      </c>
      <c r="F166" s="157" t="str">
        <f>'Tên Tháng 1'!F154</f>
        <v>SAT KIMSENG</v>
      </c>
      <c r="G166" s="158">
        <v>276</v>
      </c>
      <c r="H166" s="159"/>
      <c r="I166" s="159">
        <f t="shared" si="29"/>
        <v>0</v>
      </c>
      <c r="J166" s="159">
        <f>'SAN LUONG'!AE159</f>
        <v>336.6</v>
      </c>
      <c r="K166" s="159">
        <f t="shared" si="28"/>
        <v>5.32</v>
      </c>
      <c r="L166" s="159"/>
      <c r="M166" s="159">
        <f t="shared" si="30"/>
        <v>0</v>
      </c>
      <c r="N166" s="167">
        <f>'CHAM CONG'!AR158</f>
        <v>0</v>
      </c>
      <c r="O166" s="159">
        <f t="shared" si="31"/>
        <v>0</v>
      </c>
      <c r="P166" s="159">
        <f>'CHAM CONG'!AQ158</f>
        <v>13</v>
      </c>
      <c r="Q166" s="159">
        <f t="shared" si="32"/>
        <v>6.51</v>
      </c>
      <c r="R166" s="159">
        <f t="shared" si="36"/>
        <v>13</v>
      </c>
      <c r="S166" s="159">
        <f t="shared" si="33"/>
        <v>0.41</v>
      </c>
      <c r="T166" s="159"/>
      <c r="U166" s="159">
        <f t="shared" si="26"/>
        <v>0</v>
      </c>
      <c r="V166" s="159">
        <f t="shared" si="27"/>
        <v>0</v>
      </c>
      <c r="W166" s="159"/>
      <c r="X166" s="159">
        <f t="shared" si="34"/>
        <v>12.24</v>
      </c>
      <c r="Y166" s="201"/>
      <c r="Z166" s="199" t="s">
        <v>270</v>
      </c>
      <c r="AA166" s="202">
        <v>12.24</v>
      </c>
      <c r="AB166" s="203">
        <f t="shared" si="35"/>
        <v>0</v>
      </c>
      <c r="AC166" s="124">
        <v>0.01</v>
      </c>
    </row>
    <row r="167" spans="1:29" s="124" customFormat="1" ht="30.6" customHeight="1">
      <c r="A167" s="154">
        <v>152</v>
      </c>
      <c r="B167" s="155"/>
      <c r="C167" s="155"/>
      <c r="D167" s="156"/>
      <c r="E167" s="155" t="str">
        <f>'Tên Tháng 1'!E155</f>
        <v>ធី សៀងហេង</v>
      </c>
      <c r="F167" s="157" t="str">
        <f>'Tên Tháng 1'!F155</f>
        <v>THY SEANG HENG</v>
      </c>
      <c r="G167" s="158">
        <v>277</v>
      </c>
      <c r="H167" s="159"/>
      <c r="I167" s="159">
        <f t="shared" si="29"/>
        <v>0</v>
      </c>
      <c r="J167" s="159">
        <f>'SAN LUONG'!AE160</f>
        <v>333.96</v>
      </c>
      <c r="K167" s="159">
        <f t="shared" si="28"/>
        <v>5.28</v>
      </c>
      <c r="L167" s="159"/>
      <c r="M167" s="159">
        <f t="shared" si="30"/>
        <v>0</v>
      </c>
      <c r="N167" s="167">
        <f>'CHAM CONG'!AR159</f>
        <v>0</v>
      </c>
      <c r="O167" s="159">
        <f t="shared" si="31"/>
        <v>0</v>
      </c>
      <c r="P167" s="159">
        <f>'CHAM CONG'!AQ159</f>
        <v>13</v>
      </c>
      <c r="Q167" s="159">
        <f t="shared" si="32"/>
        <v>6.51</v>
      </c>
      <c r="R167" s="159">
        <f t="shared" si="36"/>
        <v>13</v>
      </c>
      <c r="S167" s="159">
        <f t="shared" si="33"/>
        <v>0.41</v>
      </c>
      <c r="T167" s="159"/>
      <c r="U167" s="159">
        <f t="shared" si="26"/>
        <v>0</v>
      </c>
      <c r="V167" s="159">
        <f t="shared" si="27"/>
        <v>0</v>
      </c>
      <c r="W167" s="159"/>
      <c r="X167" s="159">
        <f t="shared" si="34"/>
        <v>12.2</v>
      </c>
      <c r="Y167" s="201"/>
      <c r="Z167" s="199" t="s">
        <v>270</v>
      </c>
      <c r="AA167" s="202">
        <v>12.2</v>
      </c>
      <c r="AB167" s="203">
        <f t="shared" si="35"/>
        <v>0</v>
      </c>
      <c r="AC167" s="124">
        <v>0.01</v>
      </c>
    </row>
    <row r="168" spans="1:29" s="124" customFormat="1" ht="30.6" customHeight="1">
      <c r="A168" s="154">
        <v>153</v>
      </c>
      <c r="B168" s="155"/>
      <c r="C168" s="155"/>
      <c r="D168" s="156"/>
      <c r="E168" s="155" t="str">
        <f>'Tên Tháng 1'!E156</f>
        <v>វ៉ាត ចន្ធី</v>
      </c>
      <c r="F168" s="157" t="str">
        <f>'Tên Tháng 1'!F156</f>
        <v>VAT CHANTHY</v>
      </c>
      <c r="G168" s="158">
        <v>278</v>
      </c>
      <c r="H168" s="159"/>
      <c r="I168" s="159">
        <f t="shared" si="29"/>
        <v>0</v>
      </c>
      <c r="J168" s="159">
        <f>'SAN LUONG'!AE161</f>
        <v>458.48</v>
      </c>
      <c r="K168" s="159">
        <f t="shared" si="28"/>
        <v>7.25</v>
      </c>
      <c r="L168" s="159"/>
      <c r="M168" s="159">
        <f t="shared" si="30"/>
        <v>0</v>
      </c>
      <c r="N168" s="167">
        <f>'CHAM CONG'!AR160</f>
        <v>0</v>
      </c>
      <c r="O168" s="159">
        <f t="shared" si="31"/>
        <v>0</v>
      </c>
      <c r="P168" s="159">
        <f>'CHAM CONG'!AQ160</f>
        <v>14</v>
      </c>
      <c r="Q168" s="159">
        <f t="shared" si="32"/>
        <v>7.01</v>
      </c>
      <c r="R168" s="159">
        <f t="shared" si="36"/>
        <v>14</v>
      </c>
      <c r="S168" s="159">
        <f t="shared" si="33"/>
        <v>0.44</v>
      </c>
      <c r="T168" s="159"/>
      <c r="U168" s="159">
        <f t="shared" si="26"/>
        <v>0</v>
      </c>
      <c r="V168" s="159">
        <f t="shared" si="27"/>
        <v>0</v>
      </c>
      <c r="W168" s="159"/>
      <c r="X168" s="159">
        <f t="shared" si="34"/>
        <v>14.7</v>
      </c>
      <c r="Y168" s="201"/>
      <c r="Z168" s="199" t="s">
        <v>270</v>
      </c>
      <c r="AA168" s="202">
        <v>14.7</v>
      </c>
      <c r="AB168" s="203">
        <f t="shared" si="35"/>
        <v>0</v>
      </c>
      <c r="AC168" s="124">
        <v>0.01</v>
      </c>
    </row>
    <row r="169" spans="1:29" s="124" customFormat="1" ht="30.6" customHeight="1">
      <c r="A169" s="154">
        <v>154</v>
      </c>
      <c r="B169" s="155"/>
      <c r="C169" s="155"/>
      <c r="D169" s="156"/>
      <c r="E169" s="155" t="str">
        <f>'Tên Tháng 1'!E157</f>
        <v>តែ សុនាង</v>
      </c>
      <c r="F169" s="157" t="str">
        <f>'Tên Tháng 1'!F157</f>
        <v>TOE AONANG</v>
      </c>
      <c r="G169" s="158">
        <v>279</v>
      </c>
      <c r="H169" s="159"/>
      <c r="I169" s="159">
        <f t="shared" si="29"/>
        <v>0</v>
      </c>
      <c r="J169" s="159">
        <f>'SAN LUONG'!AE162</f>
        <v>443.08</v>
      </c>
      <c r="K169" s="159">
        <f t="shared" si="28"/>
        <v>7</v>
      </c>
      <c r="L169" s="159"/>
      <c r="M169" s="159">
        <f t="shared" si="30"/>
        <v>0</v>
      </c>
      <c r="N169" s="167">
        <f>'CHAM CONG'!AR161</f>
        <v>0</v>
      </c>
      <c r="O169" s="159">
        <f t="shared" si="31"/>
        <v>0</v>
      </c>
      <c r="P169" s="159">
        <f>'CHAM CONG'!AQ161</f>
        <v>14</v>
      </c>
      <c r="Q169" s="159">
        <f t="shared" si="32"/>
        <v>7.01</v>
      </c>
      <c r="R169" s="159">
        <f t="shared" si="36"/>
        <v>14</v>
      </c>
      <c r="S169" s="159">
        <f t="shared" si="33"/>
        <v>0.44</v>
      </c>
      <c r="T169" s="159"/>
      <c r="U169" s="159">
        <f t="shared" si="26"/>
        <v>0</v>
      </c>
      <c r="V169" s="159">
        <f t="shared" si="27"/>
        <v>0</v>
      </c>
      <c r="W169" s="159"/>
      <c r="X169" s="159">
        <f t="shared" si="34"/>
        <v>14.45</v>
      </c>
      <c r="Y169" s="201"/>
      <c r="Z169" s="199" t="s">
        <v>270</v>
      </c>
      <c r="AA169" s="202">
        <v>14.45</v>
      </c>
      <c r="AB169" s="203">
        <f t="shared" si="35"/>
        <v>0</v>
      </c>
      <c r="AC169" s="124">
        <v>-0.03</v>
      </c>
    </row>
    <row r="170" spans="1:29" s="124" customFormat="1" ht="30.6" customHeight="1">
      <c r="A170" s="154">
        <v>155</v>
      </c>
      <c r="B170" s="155"/>
      <c r="C170" s="155"/>
      <c r="D170" s="156"/>
      <c r="E170" s="155" t="str">
        <f>'Tên Tháng 1'!E158</f>
        <v>យ៉ុន ឈីន</v>
      </c>
      <c r="F170" s="157" t="str">
        <f>'Tên Tháng 1'!F158</f>
        <v>YON CHHIN</v>
      </c>
      <c r="G170" s="158">
        <v>280</v>
      </c>
      <c r="H170" s="159"/>
      <c r="I170" s="159">
        <f t="shared" si="29"/>
        <v>0</v>
      </c>
      <c r="J170" s="159">
        <f>'SAN LUONG'!AE163</f>
        <v>458.48</v>
      </c>
      <c r="K170" s="159">
        <f t="shared" si="28"/>
        <v>7.25</v>
      </c>
      <c r="L170" s="159"/>
      <c r="M170" s="159">
        <f t="shared" si="30"/>
        <v>0</v>
      </c>
      <c r="N170" s="167">
        <f>'CHAM CONG'!AR162</f>
        <v>0</v>
      </c>
      <c r="O170" s="159">
        <f t="shared" si="31"/>
        <v>0</v>
      </c>
      <c r="P170" s="159">
        <f>'CHAM CONG'!AQ162</f>
        <v>12</v>
      </c>
      <c r="Q170" s="159">
        <f t="shared" si="32"/>
        <v>6.01</v>
      </c>
      <c r="R170" s="159">
        <f t="shared" si="36"/>
        <v>12</v>
      </c>
      <c r="S170" s="159">
        <f t="shared" si="33"/>
        <v>0.38</v>
      </c>
      <c r="T170" s="159"/>
      <c r="U170" s="159">
        <f t="shared" si="26"/>
        <v>0</v>
      </c>
      <c r="V170" s="159">
        <f t="shared" si="27"/>
        <v>0</v>
      </c>
      <c r="W170" s="159"/>
      <c r="X170" s="159">
        <f t="shared" si="34"/>
        <v>13.64</v>
      </c>
      <c r="Y170" s="201"/>
      <c r="Z170" s="199" t="s">
        <v>270</v>
      </c>
      <c r="AA170" s="202">
        <v>13.63</v>
      </c>
      <c r="AB170" s="203">
        <f t="shared" si="35"/>
        <v>-0.01</v>
      </c>
      <c r="AC170" s="124">
        <v>0.01</v>
      </c>
    </row>
    <row r="171" spans="1:29" s="124" customFormat="1" ht="30.6" customHeight="1">
      <c r="A171" s="154">
        <v>156</v>
      </c>
      <c r="B171" s="155"/>
      <c r="C171" s="155"/>
      <c r="D171" s="156"/>
      <c r="E171" s="155" t="str">
        <f>'Tên Tháng 1'!E159</f>
        <v>ហេង សុខ​</v>
      </c>
      <c r="F171" s="157" t="str">
        <f>'Tên Tháng 1'!F159</f>
        <v>HENG SOK</v>
      </c>
      <c r="G171" s="158">
        <v>281</v>
      </c>
      <c r="H171" s="159"/>
      <c r="I171" s="159">
        <f t="shared" si="29"/>
        <v>0</v>
      </c>
      <c r="J171" s="159">
        <f>'SAN LUONG'!AE164</f>
        <v>362.56</v>
      </c>
      <c r="K171" s="159">
        <f t="shared" si="28"/>
        <v>5.73</v>
      </c>
      <c r="L171" s="159"/>
      <c r="M171" s="159">
        <f t="shared" si="30"/>
        <v>0</v>
      </c>
      <c r="N171" s="167">
        <f>'CHAM CONG'!AR163</f>
        <v>0</v>
      </c>
      <c r="O171" s="159">
        <f t="shared" si="31"/>
        <v>0</v>
      </c>
      <c r="P171" s="159">
        <f>'CHAM CONG'!AQ163</f>
        <v>12</v>
      </c>
      <c r="Q171" s="159">
        <f t="shared" si="32"/>
        <v>6.01</v>
      </c>
      <c r="R171" s="159">
        <f t="shared" si="36"/>
        <v>12</v>
      </c>
      <c r="S171" s="159">
        <f t="shared" si="33"/>
        <v>0.38</v>
      </c>
      <c r="T171" s="159"/>
      <c r="U171" s="159">
        <f t="shared" si="26"/>
        <v>0</v>
      </c>
      <c r="V171" s="159">
        <f t="shared" si="27"/>
        <v>0</v>
      </c>
      <c r="W171" s="159"/>
      <c r="X171" s="159">
        <f t="shared" si="34"/>
        <v>12.120000000000001</v>
      </c>
      <c r="Y171" s="201"/>
      <c r="Z171" s="199" t="s">
        <v>270</v>
      </c>
      <c r="AA171" s="202">
        <v>12.12</v>
      </c>
      <c r="AB171" s="203">
        <f t="shared" si="35"/>
        <v>0</v>
      </c>
      <c r="AC171" s="124">
        <v>0.04</v>
      </c>
    </row>
    <row r="172" spans="1:29" s="124" customFormat="1" ht="30.6" customHeight="1">
      <c r="A172" s="154">
        <v>157</v>
      </c>
      <c r="B172" s="155"/>
      <c r="C172" s="155"/>
      <c r="D172" s="156"/>
      <c r="E172" s="155" t="str">
        <f>'Tên Tháng 1'!E160</f>
        <v>មឿន រម្យ</v>
      </c>
      <c r="F172" s="157" t="str">
        <f>'Tên Tháng 1'!F160</f>
        <v>MOEUN RUM</v>
      </c>
      <c r="G172" s="158">
        <v>282</v>
      </c>
      <c r="H172" s="159"/>
      <c r="I172" s="159">
        <f t="shared" si="29"/>
        <v>0</v>
      </c>
      <c r="J172" s="159">
        <f>'SAN LUONG'!AE165</f>
        <v>322.08</v>
      </c>
      <c r="K172" s="159">
        <f t="shared" si="28"/>
        <v>5.09</v>
      </c>
      <c r="L172" s="159"/>
      <c r="M172" s="159">
        <f t="shared" si="30"/>
        <v>0</v>
      </c>
      <c r="N172" s="167">
        <f>'CHAM CONG'!AR164</f>
        <v>0</v>
      </c>
      <c r="O172" s="159">
        <f t="shared" si="31"/>
        <v>0</v>
      </c>
      <c r="P172" s="159">
        <f>'CHAM CONG'!AQ164</f>
        <v>12</v>
      </c>
      <c r="Q172" s="159">
        <f t="shared" si="32"/>
        <v>6.01</v>
      </c>
      <c r="R172" s="159">
        <f t="shared" si="36"/>
        <v>12</v>
      </c>
      <c r="S172" s="159">
        <f t="shared" si="33"/>
        <v>0.38</v>
      </c>
      <c r="T172" s="159"/>
      <c r="U172" s="159">
        <f t="shared" si="26"/>
        <v>0</v>
      </c>
      <c r="V172" s="159">
        <f t="shared" si="27"/>
        <v>0</v>
      </c>
      <c r="W172" s="159"/>
      <c r="X172" s="159">
        <f t="shared" si="34"/>
        <v>11.48</v>
      </c>
      <c r="Y172" s="201"/>
      <c r="Z172" s="199" t="s">
        <v>270</v>
      </c>
      <c r="AA172" s="202">
        <v>11.48</v>
      </c>
      <c r="AB172" s="203">
        <f t="shared" si="35"/>
        <v>0</v>
      </c>
      <c r="AC172" s="124">
        <v>0.04</v>
      </c>
    </row>
    <row r="173" spans="1:29" s="124" customFormat="1" ht="30.6" customHeight="1">
      <c r="A173" s="154">
        <v>158</v>
      </c>
      <c r="B173" s="155"/>
      <c r="C173" s="155"/>
      <c r="D173" s="156"/>
      <c r="E173" s="155" t="str">
        <f>'Tên Tháng 1'!E161</f>
        <v>សំ វិជ្ជា</v>
      </c>
      <c r="F173" s="157" t="str">
        <f>'Tên Tháng 1'!F161</f>
        <v>SAM VICHEA</v>
      </c>
      <c r="G173" s="158">
        <v>283</v>
      </c>
      <c r="H173" s="159"/>
      <c r="I173" s="159">
        <f t="shared" si="29"/>
        <v>0</v>
      </c>
      <c r="J173" s="159">
        <f>'SAN LUONG'!AE166</f>
        <v>391.16</v>
      </c>
      <c r="K173" s="159">
        <f t="shared" si="28"/>
        <v>6.18</v>
      </c>
      <c r="L173" s="159"/>
      <c r="M173" s="159">
        <f t="shared" si="30"/>
        <v>0</v>
      </c>
      <c r="N173" s="167">
        <f>'CHAM CONG'!AR165</f>
        <v>0</v>
      </c>
      <c r="O173" s="159">
        <f t="shared" si="31"/>
        <v>0</v>
      </c>
      <c r="P173" s="159">
        <f>'CHAM CONG'!AQ165</f>
        <v>14</v>
      </c>
      <c r="Q173" s="159">
        <f t="shared" si="32"/>
        <v>7.01</v>
      </c>
      <c r="R173" s="159">
        <f t="shared" si="36"/>
        <v>14</v>
      </c>
      <c r="S173" s="159">
        <f t="shared" si="33"/>
        <v>0.44</v>
      </c>
      <c r="T173" s="159"/>
      <c r="U173" s="159">
        <f t="shared" si="26"/>
        <v>0</v>
      </c>
      <c r="V173" s="159">
        <f t="shared" si="27"/>
        <v>0</v>
      </c>
      <c r="W173" s="159"/>
      <c r="X173" s="159">
        <f t="shared" si="34"/>
        <v>13.629999999999999</v>
      </c>
      <c r="Y173" s="201"/>
      <c r="Z173" s="199" t="s">
        <v>270</v>
      </c>
      <c r="AA173" s="202">
        <v>13.63</v>
      </c>
      <c r="AB173" s="203">
        <f t="shared" si="35"/>
        <v>0</v>
      </c>
      <c r="AC173" s="124">
        <v>0.04</v>
      </c>
    </row>
    <row r="174" spans="1:29" s="124" customFormat="1" ht="30.6" customHeight="1">
      <c r="A174" s="154">
        <v>159</v>
      </c>
      <c r="B174" s="155"/>
      <c r="C174" s="155"/>
      <c r="D174" s="156"/>
      <c r="E174" s="155" t="str">
        <f>'Tên Tháng 1'!E162</f>
        <v>គង់ កៀន</v>
      </c>
      <c r="F174" s="157" t="str">
        <f>'Tên Tháng 1'!F162</f>
        <v>KONG KIEN</v>
      </c>
      <c r="G174" s="158">
        <v>284</v>
      </c>
      <c r="H174" s="159"/>
      <c r="I174" s="159">
        <f t="shared" si="29"/>
        <v>0</v>
      </c>
      <c r="J174" s="159">
        <f>'SAN LUONG'!AE167</f>
        <v>397.32</v>
      </c>
      <c r="K174" s="159">
        <f t="shared" si="28"/>
        <v>6.28</v>
      </c>
      <c r="L174" s="159"/>
      <c r="M174" s="159">
        <f t="shared" si="30"/>
        <v>0</v>
      </c>
      <c r="N174" s="167">
        <f>'CHAM CONG'!AR166</f>
        <v>0</v>
      </c>
      <c r="O174" s="159">
        <f t="shared" si="31"/>
        <v>0</v>
      </c>
      <c r="P174" s="159">
        <f>'CHAM CONG'!AQ166</f>
        <v>12</v>
      </c>
      <c r="Q174" s="159">
        <f t="shared" si="32"/>
        <v>6.01</v>
      </c>
      <c r="R174" s="159">
        <f t="shared" si="36"/>
        <v>12</v>
      </c>
      <c r="S174" s="159">
        <f t="shared" si="33"/>
        <v>0.38</v>
      </c>
      <c r="T174" s="159"/>
      <c r="U174" s="159">
        <f t="shared" si="26"/>
        <v>0</v>
      </c>
      <c r="V174" s="159">
        <f t="shared" si="27"/>
        <v>0</v>
      </c>
      <c r="W174" s="159"/>
      <c r="X174" s="159">
        <f t="shared" si="34"/>
        <v>12.67</v>
      </c>
      <c r="Y174" s="201"/>
      <c r="Z174" s="199" t="s">
        <v>270</v>
      </c>
      <c r="AA174" s="202">
        <v>12.67</v>
      </c>
      <c r="AB174" s="203">
        <f t="shared" si="35"/>
        <v>0</v>
      </c>
      <c r="AC174" s="124">
        <v>0.01</v>
      </c>
    </row>
    <row r="175" spans="1:29" s="124" customFormat="1" ht="30.6" customHeight="1">
      <c r="A175" s="154">
        <v>160</v>
      </c>
      <c r="B175" s="155"/>
      <c r="C175" s="155"/>
      <c r="D175" s="156"/>
      <c r="E175" s="155" t="str">
        <f>'Tên Tháng 1'!E163</f>
        <v>បាវ ប៊ន</v>
      </c>
      <c r="F175" s="157" t="str">
        <f>'Tên Tháng 1'!F163</f>
        <v>BAV BORN</v>
      </c>
      <c r="G175" s="158">
        <v>285</v>
      </c>
      <c r="H175" s="159"/>
      <c r="I175" s="159">
        <f t="shared" si="29"/>
        <v>0</v>
      </c>
      <c r="J175" s="159">
        <f>'SAN LUONG'!AE168</f>
        <v>356.4</v>
      </c>
      <c r="K175" s="159">
        <f t="shared" si="28"/>
        <v>5.63</v>
      </c>
      <c r="L175" s="159"/>
      <c r="M175" s="159">
        <f t="shared" si="30"/>
        <v>0</v>
      </c>
      <c r="N175" s="167">
        <f>'CHAM CONG'!AR167</f>
        <v>0</v>
      </c>
      <c r="O175" s="159">
        <f t="shared" si="31"/>
        <v>0</v>
      </c>
      <c r="P175" s="159">
        <f>'CHAM CONG'!AQ167</f>
        <v>12</v>
      </c>
      <c r="Q175" s="159">
        <f t="shared" si="32"/>
        <v>6.01</v>
      </c>
      <c r="R175" s="159">
        <f t="shared" si="36"/>
        <v>12</v>
      </c>
      <c r="S175" s="159">
        <f t="shared" si="33"/>
        <v>0.38</v>
      </c>
      <c r="T175" s="159"/>
      <c r="U175" s="159">
        <f t="shared" si="26"/>
        <v>0</v>
      </c>
      <c r="V175" s="159">
        <f t="shared" si="27"/>
        <v>0</v>
      </c>
      <c r="W175" s="159"/>
      <c r="X175" s="159">
        <f t="shared" si="34"/>
        <v>12.020000000000001</v>
      </c>
      <c r="Y175" s="201"/>
      <c r="Z175" s="199" t="s">
        <v>270</v>
      </c>
      <c r="AA175" s="202">
        <v>12.02</v>
      </c>
      <c r="AB175" s="203">
        <f t="shared" si="35"/>
        <v>0</v>
      </c>
      <c r="AC175" s="124">
        <v>0.04</v>
      </c>
    </row>
    <row r="176" spans="1:29" s="124" customFormat="1" ht="30.6" customHeight="1">
      <c r="A176" s="154">
        <v>161</v>
      </c>
      <c r="B176" s="155"/>
      <c r="C176" s="155"/>
      <c r="D176" s="156"/>
      <c r="E176" s="155" t="str">
        <f>'Tên Tháng 1'!E164</f>
        <v>ខុន ចំរ៉ុង</v>
      </c>
      <c r="F176" s="157" t="str">
        <f>'Tên Tháng 1'!F164</f>
        <v>KHUN CHAMRONG</v>
      </c>
      <c r="G176" s="158">
        <v>286</v>
      </c>
      <c r="H176" s="159"/>
      <c r="I176" s="159">
        <f t="shared" si="29"/>
        <v>0</v>
      </c>
      <c r="J176" s="159">
        <f>'SAN LUONG'!AE169</f>
        <v>310.64</v>
      </c>
      <c r="K176" s="159">
        <f t="shared" si="28"/>
        <v>4.91</v>
      </c>
      <c r="L176" s="159"/>
      <c r="M176" s="159">
        <f t="shared" si="30"/>
        <v>0</v>
      </c>
      <c r="N176" s="167">
        <f>'CHAM CONG'!AR168</f>
        <v>0</v>
      </c>
      <c r="O176" s="159">
        <f t="shared" si="31"/>
        <v>0</v>
      </c>
      <c r="P176" s="159">
        <f>'CHAM CONG'!AQ168</f>
        <v>14</v>
      </c>
      <c r="Q176" s="159">
        <f t="shared" si="32"/>
        <v>7.01</v>
      </c>
      <c r="R176" s="159">
        <f t="shared" si="36"/>
        <v>14</v>
      </c>
      <c r="S176" s="159">
        <f t="shared" si="33"/>
        <v>0.44</v>
      </c>
      <c r="T176" s="159"/>
      <c r="U176" s="159">
        <f t="shared" si="26"/>
        <v>0</v>
      </c>
      <c r="V176" s="159">
        <f t="shared" si="27"/>
        <v>0</v>
      </c>
      <c r="W176" s="159"/>
      <c r="X176" s="159">
        <f t="shared" si="34"/>
        <v>12.36</v>
      </c>
      <c r="Y176" s="201"/>
      <c r="Z176" s="199" t="s">
        <v>270</v>
      </c>
      <c r="AA176" s="202">
        <v>12.36</v>
      </c>
      <c r="AB176" s="203">
        <f t="shared" si="35"/>
        <v>0</v>
      </c>
      <c r="AC176" s="124">
        <v>0</v>
      </c>
    </row>
    <row r="177" spans="1:29" s="124" customFormat="1" ht="30.6" customHeight="1">
      <c r="A177" s="154">
        <v>162</v>
      </c>
      <c r="B177" s="155"/>
      <c r="C177" s="155"/>
      <c r="D177" s="156"/>
      <c r="E177" s="155" t="str">
        <f>'Tên Tháng 1'!E165</f>
        <v>សែម មុំ</v>
      </c>
      <c r="F177" s="157" t="str">
        <f>'Tên Tháng 1'!F165</f>
        <v>SEM MOM</v>
      </c>
      <c r="G177" s="158">
        <v>287</v>
      </c>
      <c r="H177" s="159"/>
      <c r="I177" s="159">
        <f t="shared" si="29"/>
        <v>0</v>
      </c>
      <c r="J177" s="159">
        <f>'SAN LUONG'!AE170</f>
        <v>522.72</v>
      </c>
      <c r="K177" s="159">
        <f t="shared" si="28"/>
        <v>8.26</v>
      </c>
      <c r="L177" s="159"/>
      <c r="M177" s="159">
        <f t="shared" si="30"/>
        <v>0</v>
      </c>
      <c r="N177" s="167">
        <f>'CHAM CONG'!AR169</f>
        <v>0</v>
      </c>
      <c r="O177" s="159">
        <f t="shared" si="31"/>
        <v>0</v>
      </c>
      <c r="P177" s="159">
        <f>'CHAM CONG'!AQ169</f>
        <v>15</v>
      </c>
      <c r="Q177" s="159">
        <f t="shared" si="32"/>
        <v>7.51</v>
      </c>
      <c r="R177" s="159">
        <f t="shared" si="36"/>
        <v>15</v>
      </c>
      <c r="S177" s="159">
        <f t="shared" si="33"/>
        <v>0.47</v>
      </c>
      <c r="T177" s="159"/>
      <c r="U177" s="159">
        <f t="shared" si="26"/>
        <v>0</v>
      </c>
      <c r="V177" s="159">
        <f t="shared" si="27"/>
        <v>0</v>
      </c>
      <c r="W177" s="159"/>
      <c r="X177" s="159">
        <f t="shared" si="34"/>
        <v>16.239999999999998</v>
      </c>
      <c r="Y177" s="201"/>
      <c r="Z177" s="199" t="s">
        <v>270</v>
      </c>
      <c r="AA177" s="202">
        <v>16.239999999999998</v>
      </c>
      <c r="AB177" s="203">
        <f t="shared" si="35"/>
        <v>0</v>
      </c>
      <c r="AC177" s="124">
        <v>0.04</v>
      </c>
    </row>
    <row r="178" spans="1:29" s="124" customFormat="1" ht="30.6" customHeight="1">
      <c r="A178" s="154">
        <v>163</v>
      </c>
      <c r="B178" s="155"/>
      <c r="C178" s="155"/>
      <c r="D178" s="156"/>
      <c r="E178" s="155" t="str">
        <f>'Tên Tháng 1'!E166</f>
        <v>ឈិត លាង</v>
      </c>
      <c r="F178" s="157" t="str">
        <f>'Tên Tháng 1'!F166</f>
        <v>CHHET LEANG</v>
      </c>
      <c r="G178" s="158">
        <v>288</v>
      </c>
      <c r="H178" s="159"/>
      <c r="I178" s="159">
        <f t="shared" si="29"/>
        <v>0</v>
      </c>
      <c r="J178" s="159">
        <f>'SAN LUONG'!AE171</f>
        <v>329.56</v>
      </c>
      <c r="K178" s="159">
        <f t="shared" si="28"/>
        <v>5.21</v>
      </c>
      <c r="L178" s="159"/>
      <c r="M178" s="159">
        <f t="shared" si="30"/>
        <v>0</v>
      </c>
      <c r="N178" s="167">
        <f>'CHAM CONG'!AR170</f>
        <v>0</v>
      </c>
      <c r="O178" s="159">
        <f t="shared" si="31"/>
        <v>0</v>
      </c>
      <c r="P178" s="159">
        <f>'CHAM CONG'!AQ170</f>
        <v>12</v>
      </c>
      <c r="Q178" s="159">
        <f t="shared" si="32"/>
        <v>6.01</v>
      </c>
      <c r="R178" s="159">
        <f t="shared" si="36"/>
        <v>12</v>
      </c>
      <c r="S178" s="159">
        <f t="shared" si="33"/>
        <v>0.38</v>
      </c>
      <c r="T178" s="159"/>
      <c r="U178" s="159">
        <f t="shared" si="26"/>
        <v>0</v>
      </c>
      <c r="V178" s="159">
        <f t="shared" si="27"/>
        <v>0</v>
      </c>
      <c r="W178" s="159"/>
      <c r="X178" s="159">
        <f t="shared" si="34"/>
        <v>11.6</v>
      </c>
      <c r="Y178" s="201"/>
      <c r="Z178" s="199" t="s">
        <v>270</v>
      </c>
      <c r="AA178" s="202">
        <v>11.6</v>
      </c>
      <c r="AB178" s="203">
        <f t="shared" si="35"/>
        <v>0</v>
      </c>
      <c r="AC178" s="124">
        <v>0.04</v>
      </c>
    </row>
    <row r="179" spans="1:29" s="124" customFormat="1" ht="30.6" customHeight="1">
      <c r="A179" s="154">
        <v>164</v>
      </c>
      <c r="B179" s="155"/>
      <c r="C179" s="155"/>
      <c r="D179" s="156"/>
      <c r="E179" s="155" t="str">
        <f>'Tên Tháng 1'!E167</f>
        <v>ឡាម ពុំ</v>
      </c>
      <c r="F179" s="157" t="str">
        <f>'Tên Tháng 1'!F167</f>
        <v>LAM PUM</v>
      </c>
      <c r="G179" s="158">
        <v>289</v>
      </c>
      <c r="H179" s="159"/>
      <c r="I179" s="159">
        <f t="shared" si="29"/>
        <v>0</v>
      </c>
      <c r="J179" s="159">
        <f>'SAN LUONG'!AE172</f>
        <v>333.08</v>
      </c>
      <c r="K179" s="159">
        <f t="shared" si="28"/>
        <v>5.27</v>
      </c>
      <c r="L179" s="159"/>
      <c r="M179" s="159">
        <f t="shared" si="30"/>
        <v>0</v>
      </c>
      <c r="N179" s="167">
        <f>'CHAM CONG'!AR171</f>
        <v>0</v>
      </c>
      <c r="O179" s="159">
        <f t="shared" si="31"/>
        <v>0</v>
      </c>
      <c r="P179" s="159">
        <f>'CHAM CONG'!AQ171</f>
        <v>12</v>
      </c>
      <c r="Q179" s="159">
        <f t="shared" si="32"/>
        <v>6.01</v>
      </c>
      <c r="R179" s="159">
        <f t="shared" si="36"/>
        <v>12</v>
      </c>
      <c r="S179" s="159">
        <f t="shared" si="33"/>
        <v>0.38</v>
      </c>
      <c r="T179" s="159"/>
      <c r="U179" s="159">
        <f t="shared" si="26"/>
        <v>0</v>
      </c>
      <c r="V179" s="159">
        <f t="shared" si="27"/>
        <v>0</v>
      </c>
      <c r="W179" s="159"/>
      <c r="X179" s="159">
        <f t="shared" si="34"/>
        <v>11.66</v>
      </c>
      <c r="Y179" s="201"/>
      <c r="Z179" s="199" t="s">
        <v>270</v>
      </c>
      <c r="AA179" s="202">
        <v>11.65</v>
      </c>
      <c r="AB179" s="203">
        <f t="shared" si="35"/>
        <v>-0.01</v>
      </c>
      <c r="AC179" s="124">
        <v>0.04</v>
      </c>
    </row>
    <row r="180" spans="1:29" s="124" customFormat="1" ht="30.6" customHeight="1">
      <c r="A180" s="154">
        <v>165</v>
      </c>
      <c r="B180" s="155"/>
      <c r="C180" s="155"/>
      <c r="D180" s="156"/>
      <c r="E180" s="155" t="str">
        <f>'Tên Tháng 1'!E168</f>
        <v>ភ័ក្រ ធិ</v>
      </c>
      <c r="F180" s="157" t="str">
        <f>'Tên Tháng 1'!F168</f>
        <v>PHEAK THIK</v>
      </c>
      <c r="G180" s="158">
        <v>290</v>
      </c>
      <c r="H180" s="159"/>
      <c r="I180" s="159">
        <f t="shared" si="29"/>
        <v>0</v>
      </c>
      <c r="J180" s="159">
        <f>'SAN LUONG'!AE173</f>
        <v>442.64</v>
      </c>
      <c r="K180" s="159">
        <f t="shared" si="28"/>
        <v>7</v>
      </c>
      <c r="L180" s="159"/>
      <c r="M180" s="159">
        <f t="shared" si="30"/>
        <v>0</v>
      </c>
      <c r="N180" s="167">
        <f>'CHAM CONG'!AR172</f>
        <v>0</v>
      </c>
      <c r="O180" s="159">
        <f t="shared" si="31"/>
        <v>0</v>
      </c>
      <c r="P180" s="159">
        <f>'CHAM CONG'!AQ172</f>
        <v>11</v>
      </c>
      <c r="Q180" s="159">
        <f t="shared" si="32"/>
        <v>5.51</v>
      </c>
      <c r="R180" s="159">
        <f t="shared" si="36"/>
        <v>11</v>
      </c>
      <c r="S180" s="159">
        <f t="shared" si="33"/>
        <v>0.34</v>
      </c>
      <c r="T180" s="159"/>
      <c r="U180" s="159">
        <f t="shared" si="26"/>
        <v>0</v>
      </c>
      <c r="V180" s="159">
        <f t="shared" si="27"/>
        <v>0</v>
      </c>
      <c r="W180" s="159"/>
      <c r="X180" s="159">
        <f t="shared" si="34"/>
        <v>12.85</v>
      </c>
      <c r="Y180" s="201"/>
      <c r="Z180" s="199" t="s">
        <v>270</v>
      </c>
      <c r="AA180" s="202">
        <v>12.85</v>
      </c>
      <c r="AB180" s="203">
        <f t="shared" si="35"/>
        <v>0</v>
      </c>
      <c r="AC180" s="124">
        <v>0.05</v>
      </c>
    </row>
    <row r="181" spans="1:29" s="124" customFormat="1" ht="30.6" customHeight="1">
      <c r="A181" s="154">
        <v>166</v>
      </c>
      <c r="B181" s="155"/>
      <c r="C181" s="155"/>
      <c r="D181" s="156"/>
      <c r="E181" s="155" t="str">
        <f>'Tên Tháng 1'!E169</f>
        <v>ជុំ មី</v>
      </c>
      <c r="F181" s="157" t="str">
        <f>'Tên Tháng 1'!F169</f>
        <v>CHUM ME</v>
      </c>
      <c r="G181" s="158">
        <v>291</v>
      </c>
      <c r="H181" s="159"/>
      <c r="I181" s="159">
        <f t="shared" si="29"/>
        <v>0</v>
      </c>
      <c r="J181" s="159">
        <f>'SAN LUONG'!AE174</f>
        <v>285.56</v>
      </c>
      <c r="K181" s="159">
        <f t="shared" si="28"/>
        <v>4.51</v>
      </c>
      <c r="L181" s="159"/>
      <c r="M181" s="159">
        <f t="shared" si="30"/>
        <v>0</v>
      </c>
      <c r="N181" s="167">
        <f>'CHAM CONG'!AR173</f>
        <v>0</v>
      </c>
      <c r="O181" s="159">
        <f t="shared" si="31"/>
        <v>0</v>
      </c>
      <c r="P181" s="159">
        <f>'CHAM CONG'!AQ173</f>
        <v>13</v>
      </c>
      <c r="Q181" s="159">
        <f t="shared" si="32"/>
        <v>6.51</v>
      </c>
      <c r="R181" s="159">
        <f t="shared" si="36"/>
        <v>13</v>
      </c>
      <c r="S181" s="159">
        <f t="shared" si="33"/>
        <v>0.41</v>
      </c>
      <c r="T181" s="159"/>
      <c r="U181" s="159">
        <f t="shared" si="26"/>
        <v>0</v>
      </c>
      <c r="V181" s="159">
        <f t="shared" si="27"/>
        <v>0</v>
      </c>
      <c r="W181" s="159"/>
      <c r="X181" s="159">
        <f t="shared" si="34"/>
        <v>11.43</v>
      </c>
      <c r="Y181" s="201"/>
      <c r="Z181" s="199" t="s">
        <v>270</v>
      </c>
      <c r="AA181" s="202">
        <v>11.43</v>
      </c>
      <c r="AB181" s="203">
        <f t="shared" si="35"/>
        <v>0</v>
      </c>
      <c r="AC181" s="124">
        <v>0.04</v>
      </c>
    </row>
    <row r="182" spans="1:29" s="124" customFormat="1" ht="30.6" customHeight="1">
      <c r="A182" s="154">
        <v>167</v>
      </c>
      <c r="B182" s="155"/>
      <c r="C182" s="155"/>
      <c r="D182" s="156"/>
      <c r="E182" s="155" t="str">
        <f>'Tên Tháng 1'!E170</f>
        <v>សៀក សិទ្ធ</v>
      </c>
      <c r="F182" s="157" t="str">
        <f>'Tên Tháng 1'!F170</f>
        <v>SIEK SITH</v>
      </c>
      <c r="G182" s="158">
        <v>292</v>
      </c>
      <c r="H182" s="159"/>
      <c r="I182" s="159">
        <f t="shared" si="29"/>
        <v>0</v>
      </c>
      <c r="J182" s="159">
        <f>'SAN LUONG'!AE175</f>
        <v>294.8</v>
      </c>
      <c r="K182" s="159">
        <f t="shared" si="28"/>
        <v>4.66</v>
      </c>
      <c r="L182" s="159"/>
      <c r="M182" s="159">
        <f t="shared" si="30"/>
        <v>0</v>
      </c>
      <c r="N182" s="167">
        <f>'CHAM CONG'!AR174</f>
        <v>0</v>
      </c>
      <c r="O182" s="159">
        <f t="shared" si="31"/>
        <v>0</v>
      </c>
      <c r="P182" s="159">
        <f>'CHAM CONG'!AQ174</f>
        <v>12</v>
      </c>
      <c r="Q182" s="159">
        <f t="shared" si="32"/>
        <v>6.01</v>
      </c>
      <c r="R182" s="159">
        <f t="shared" si="36"/>
        <v>12</v>
      </c>
      <c r="S182" s="159">
        <f t="shared" si="33"/>
        <v>0.38</v>
      </c>
      <c r="T182" s="159"/>
      <c r="U182" s="159">
        <f t="shared" si="26"/>
        <v>0</v>
      </c>
      <c r="V182" s="159">
        <f t="shared" si="27"/>
        <v>0</v>
      </c>
      <c r="W182" s="159"/>
      <c r="X182" s="159">
        <f t="shared" si="34"/>
        <v>11.05</v>
      </c>
      <c r="Y182" s="201"/>
      <c r="Z182" s="199" t="s">
        <v>270</v>
      </c>
      <c r="AA182" s="202">
        <v>11.05</v>
      </c>
      <c r="AB182" s="203">
        <f t="shared" si="35"/>
        <v>0</v>
      </c>
      <c r="AC182" s="124">
        <v>0.04</v>
      </c>
    </row>
    <row r="183" spans="1:29" s="124" customFormat="1" ht="28.2" customHeight="1">
      <c r="A183" s="154">
        <v>168</v>
      </c>
      <c r="B183" s="204"/>
      <c r="C183" s="204"/>
      <c r="D183" s="205"/>
      <c r="E183" s="155" t="str">
        <f>'Tên Tháng 1'!E171</f>
        <v>ណាក់ ស៊ាក</v>
      </c>
      <c r="F183" s="157" t="str">
        <f>'Tên Tháng 1'!F171</f>
        <v>NAK SEAK</v>
      </c>
      <c r="G183" s="206">
        <v>48</v>
      </c>
      <c r="H183" s="207"/>
      <c r="I183" s="159">
        <f t="shared" si="29"/>
        <v>0</v>
      </c>
      <c r="J183" s="207"/>
      <c r="K183" s="159">
        <f t="shared" si="28"/>
        <v>0</v>
      </c>
      <c r="L183" s="207">
        <f>'SAN LUONG'!AE178</f>
        <v>301.39999999999998</v>
      </c>
      <c r="M183" s="159">
        <f t="shared" si="30"/>
        <v>5.24</v>
      </c>
      <c r="N183" s="208">
        <f>'CHAM CONG'!AR177</f>
        <v>0</v>
      </c>
      <c r="O183" s="159">
        <f t="shared" si="31"/>
        <v>0</v>
      </c>
      <c r="P183" s="159">
        <f>'CHAM CONG'!AQ177</f>
        <v>11</v>
      </c>
      <c r="Q183" s="159">
        <f t="shared" si="32"/>
        <v>5.51</v>
      </c>
      <c r="R183" s="159">
        <f t="shared" si="36"/>
        <v>11</v>
      </c>
      <c r="S183" s="159">
        <f t="shared" si="33"/>
        <v>0.34</v>
      </c>
      <c r="T183" s="159"/>
      <c r="U183" s="159"/>
      <c r="V183" s="159"/>
      <c r="W183" s="159"/>
      <c r="X183" s="159">
        <f t="shared" si="34"/>
        <v>11.09</v>
      </c>
      <c r="Y183" s="209"/>
      <c r="Z183" s="210" t="s">
        <v>619</v>
      </c>
      <c r="AA183" s="202">
        <v>11.09</v>
      </c>
      <c r="AB183" s="203">
        <f t="shared" si="35"/>
        <v>0</v>
      </c>
      <c r="AC183" s="124">
        <v>0.01</v>
      </c>
    </row>
    <row r="184" spans="1:29" s="124" customFormat="1" ht="28.2" customHeight="1">
      <c r="A184" s="154">
        <v>169</v>
      </c>
      <c r="B184" s="204"/>
      <c r="C184" s="204"/>
      <c r="D184" s="205"/>
      <c r="E184" s="155" t="str">
        <f>'Tên Tháng 1'!E172</f>
        <v>ឈុន សុខឃឿន</v>
      </c>
      <c r="F184" s="157" t="str">
        <f>'Tên Tháng 1'!F172</f>
        <v>CHHUN SOKHOEUN</v>
      </c>
      <c r="G184" s="206">
        <v>49</v>
      </c>
      <c r="H184" s="207"/>
      <c r="I184" s="159">
        <f t="shared" si="29"/>
        <v>0</v>
      </c>
      <c r="J184" s="207"/>
      <c r="K184" s="159">
        <f t="shared" si="28"/>
        <v>0</v>
      </c>
      <c r="L184" s="207">
        <f>'SAN LUONG'!AE179</f>
        <v>289.95999999999998</v>
      </c>
      <c r="M184" s="159">
        <f t="shared" si="30"/>
        <v>5.04</v>
      </c>
      <c r="N184" s="208">
        <f>'CHAM CONG'!AR178</f>
        <v>0</v>
      </c>
      <c r="O184" s="159">
        <f t="shared" si="31"/>
        <v>0</v>
      </c>
      <c r="P184" s="159">
        <f>'CHAM CONG'!AQ178</f>
        <v>11</v>
      </c>
      <c r="Q184" s="159">
        <f t="shared" si="32"/>
        <v>5.51</v>
      </c>
      <c r="R184" s="159">
        <f t="shared" si="36"/>
        <v>11</v>
      </c>
      <c r="S184" s="159">
        <f t="shared" si="33"/>
        <v>0.34</v>
      </c>
      <c r="T184" s="159"/>
      <c r="U184" s="159"/>
      <c r="V184" s="159"/>
      <c r="W184" s="159"/>
      <c r="X184" s="159">
        <f t="shared" si="34"/>
        <v>10.89</v>
      </c>
      <c r="Y184" s="209"/>
      <c r="Z184" s="210" t="s">
        <v>619</v>
      </c>
      <c r="AA184" s="202">
        <v>10.89</v>
      </c>
      <c r="AB184" s="203">
        <f t="shared" si="35"/>
        <v>0</v>
      </c>
      <c r="AC184" s="124">
        <v>0</v>
      </c>
    </row>
    <row r="185" spans="1:29" s="124" customFormat="1" ht="28.2" customHeight="1">
      <c r="A185" s="154">
        <v>170</v>
      </c>
      <c r="B185" s="204"/>
      <c r="C185" s="204"/>
      <c r="D185" s="205"/>
      <c r="E185" s="155" t="str">
        <f>'Tên Tháng 1'!E173</f>
        <v>កោ លីណា</v>
      </c>
      <c r="F185" s="157" t="str">
        <f>'Tên Tháng 1'!F173</f>
        <v>KOA LYNA</v>
      </c>
      <c r="G185" s="206">
        <v>50</v>
      </c>
      <c r="H185" s="207"/>
      <c r="I185" s="159">
        <f t="shared" si="29"/>
        <v>0</v>
      </c>
      <c r="J185" s="207"/>
      <c r="K185" s="159">
        <f t="shared" si="28"/>
        <v>0</v>
      </c>
      <c r="L185" s="207">
        <f>'SAN LUONG'!AE180</f>
        <v>417.56</v>
      </c>
      <c r="M185" s="159">
        <f t="shared" si="30"/>
        <v>7.25</v>
      </c>
      <c r="N185" s="208">
        <f>'CHAM CONG'!AR179</f>
        <v>0</v>
      </c>
      <c r="O185" s="159">
        <f t="shared" si="31"/>
        <v>0</v>
      </c>
      <c r="P185" s="159">
        <f>'CHAM CONG'!AQ179</f>
        <v>13</v>
      </c>
      <c r="Q185" s="159">
        <f t="shared" si="32"/>
        <v>6.51</v>
      </c>
      <c r="R185" s="159">
        <f t="shared" si="36"/>
        <v>13</v>
      </c>
      <c r="S185" s="159">
        <f t="shared" si="33"/>
        <v>0.41</v>
      </c>
      <c r="T185" s="159"/>
      <c r="U185" s="159"/>
      <c r="V185" s="159"/>
      <c r="W185" s="159"/>
      <c r="X185" s="159">
        <f t="shared" si="34"/>
        <v>14.17</v>
      </c>
      <c r="Y185" s="209"/>
      <c r="Z185" s="210" t="s">
        <v>619</v>
      </c>
      <c r="AA185" s="202">
        <v>14.17</v>
      </c>
      <c r="AB185" s="203">
        <f t="shared" si="35"/>
        <v>0</v>
      </c>
      <c r="AC185" s="124">
        <v>0.01</v>
      </c>
    </row>
    <row r="186" spans="1:29" s="124" customFormat="1" ht="28.2" customHeight="1">
      <c r="A186" s="154">
        <v>171</v>
      </c>
      <c r="B186" s="204"/>
      <c r="C186" s="204"/>
      <c r="D186" s="205"/>
      <c r="E186" s="155" t="str">
        <f>'Tên Tháng 1'!E174</f>
        <v>ទ្រី ចាន់ធូ</v>
      </c>
      <c r="F186" s="157" t="str">
        <f>'Tên Tháng 1'!F174</f>
        <v>TRY CHANTHOU</v>
      </c>
      <c r="G186" s="206">
        <v>51</v>
      </c>
      <c r="H186" s="207"/>
      <c r="I186" s="159">
        <f t="shared" si="29"/>
        <v>0</v>
      </c>
      <c r="J186" s="207"/>
      <c r="K186" s="159">
        <f t="shared" si="28"/>
        <v>0</v>
      </c>
      <c r="L186" s="207">
        <f>'SAN LUONG'!AE181</f>
        <v>394.24</v>
      </c>
      <c r="M186" s="159">
        <f t="shared" si="30"/>
        <v>6.85</v>
      </c>
      <c r="N186" s="208">
        <f>'CHAM CONG'!AR180</f>
        <v>0</v>
      </c>
      <c r="O186" s="159">
        <f t="shared" si="31"/>
        <v>0</v>
      </c>
      <c r="P186" s="159">
        <f>'CHAM CONG'!AQ180</f>
        <v>13</v>
      </c>
      <c r="Q186" s="159">
        <f t="shared" si="32"/>
        <v>6.51</v>
      </c>
      <c r="R186" s="159">
        <f t="shared" si="36"/>
        <v>13</v>
      </c>
      <c r="S186" s="159">
        <f t="shared" si="33"/>
        <v>0.41</v>
      </c>
      <c r="T186" s="159"/>
      <c r="U186" s="159"/>
      <c r="V186" s="159"/>
      <c r="W186" s="159"/>
      <c r="X186" s="159">
        <f t="shared" si="34"/>
        <v>13.77</v>
      </c>
      <c r="Y186" s="209"/>
      <c r="Z186" s="210" t="s">
        <v>619</v>
      </c>
      <c r="AA186" s="202">
        <v>13.77</v>
      </c>
      <c r="AB186" s="203">
        <f t="shared" si="35"/>
        <v>0</v>
      </c>
      <c r="AC186" s="124">
        <v>-0.06</v>
      </c>
    </row>
    <row r="187" spans="1:29" s="124" customFormat="1" ht="28.2" customHeight="1">
      <c r="A187" s="154">
        <v>172</v>
      </c>
      <c r="B187" s="204"/>
      <c r="C187" s="204"/>
      <c r="D187" s="205"/>
      <c r="E187" s="155" t="str">
        <f>'Tên Tháng 1'!E175</f>
        <v>កេរ្ត៍​ ថ្លម</v>
      </c>
      <c r="F187" s="157" t="str">
        <f>'Tên Tháng 1'!F175</f>
        <v>KE THNORM</v>
      </c>
      <c r="G187" s="206">
        <v>52</v>
      </c>
      <c r="H187" s="207"/>
      <c r="I187" s="159">
        <f t="shared" si="29"/>
        <v>0</v>
      </c>
      <c r="J187" s="207"/>
      <c r="K187" s="159">
        <f t="shared" si="28"/>
        <v>0</v>
      </c>
      <c r="L187" s="207">
        <f>'SAN LUONG'!AE182</f>
        <v>199.32</v>
      </c>
      <c r="M187" s="159">
        <f t="shared" si="30"/>
        <v>3.46</v>
      </c>
      <c r="N187" s="208">
        <f>'CHAM CONG'!AR181</f>
        <v>0</v>
      </c>
      <c r="O187" s="159">
        <f t="shared" si="31"/>
        <v>0</v>
      </c>
      <c r="P187" s="159">
        <f>'CHAM CONG'!AQ181</f>
        <v>11</v>
      </c>
      <c r="Q187" s="159">
        <f t="shared" si="32"/>
        <v>5.51</v>
      </c>
      <c r="R187" s="159">
        <f t="shared" si="36"/>
        <v>11</v>
      </c>
      <c r="S187" s="159">
        <f t="shared" si="33"/>
        <v>0.34</v>
      </c>
      <c r="T187" s="159"/>
      <c r="U187" s="159"/>
      <c r="V187" s="159"/>
      <c r="W187" s="159"/>
      <c r="X187" s="159">
        <f t="shared" si="34"/>
        <v>9.3099999999999987</v>
      </c>
      <c r="Y187" s="209"/>
      <c r="Z187" s="210" t="s">
        <v>619</v>
      </c>
      <c r="AA187" s="202">
        <v>9.32</v>
      </c>
      <c r="AB187" s="203">
        <f t="shared" si="35"/>
        <v>0.01</v>
      </c>
      <c r="AC187" s="124">
        <v>0</v>
      </c>
    </row>
    <row r="188" spans="1:29" s="124" customFormat="1" ht="28.2" customHeight="1">
      <c r="A188" s="154">
        <v>173</v>
      </c>
      <c r="B188" s="204"/>
      <c r="C188" s="204"/>
      <c r="D188" s="205"/>
      <c r="E188" s="155" t="str">
        <f>'Tên Tháng 1'!E176</f>
        <v>សាយ សេង</v>
      </c>
      <c r="F188" s="157" t="str">
        <f>'Tên Tháng 1'!F176</f>
        <v>SAY SENG</v>
      </c>
      <c r="G188" s="206">
        <v>53</v>
      </c>
      <c r="H188" s="207"/>
      <c r="I188" s="159">
        <f t="shared" si="29"/>
        <v>0</v>
      </c>
      <c r="J188" s="207"/>
      <c r="K188" s="159">
        <f t="shared" si="28"/>
        <v>0</v>
      </c>
      <c r="L188" s="207">
        <f>'SAN LUONG'!AE183</f>
        <v>436.92</v>
      </c>
      <c r="M188" s="159">
        <f t="shared" si="30"/>
        <v>7.59</v>
      </c>
      <c r="N188" s="208">
        <f>'CHAM CONG'!AR182</f>
        <v>0</v>
      </c>
      <c r="O188" s="159">
        <f t="shared" si="31"/>
        <v>0</v>
      </c>
      <c r="P188" s="159">
        <f>'CHAM CONG'!AQ182</f>
        <v>12</v>
      </c>
      <c r="Q188" s="159">
        <f t="shared" si="32"/>
        <v>6.01</v>
      </c>
      <c r="R188" s="159">
        <f t="shared" si="36"/>
        <v>12</v>
      </c>
      <c r="S188" s="159">
        <f t="shared" si="33"/>
        <v>0.38</v>
      </c>
      <c r="T188" s="159"/>
      <c r="U188" s="159"/>
      <c r="V188" s="159"/>
      <c r="W188" s="159"/>
      <c r="X188" s="159">
        <f t="shared" si="34"/>
        <v>13.98</v>
      </c>
      <c r="Y188" s="209"/>
      <c r="Z188" s="210" t="s">
        <v>619</v>
      </c>
      <c r="AA188" s="202">
        <v>13.98</v>
      </c>
      <c r="AB188" s="203">
        <f t="shared" si="35"/>
        <v>0</v>
      </c>
      <c r="AC188" s="124">
        <v>0.01</v>
      </c>
    </row>
    <row r="189" spans="1:29" s="124" customFormat="1" ht="28.2" customHeight="1">
      <c r="A189" s="154">
        <v>174</v>
      </c>
      <c r="B189" s="204"/>
      <c r="C189" s="204"/>
      <c r="D189" s="205"/>
      <c r="E189" s="155" t="str">
        <f>'Tên Tháng 1'!E177</f>
        <v>ឃឿន ហែ</v>
      </c>
      <c r="F189" s="157" t="str">
        <f>'Tên Tháng 1'!F177</f>
        <v>KHOEUN HE</v>
      </c>
      <c r="G189" s="206">
        <v>54</v>
      </c>
      <c r="H189" s="207"/>
      <c r="I189" s="159">
        <f t="shared" si="29"/>
        <v>0</v>
      </c>
      <c r="J189" s="207"/>
      <c r="K189" s="159">
        <f t="shared" si="28"/>
        <v>0</v>
      </c>
      <c r="L189" s="207">
        <f>'SAN LUONG'!AE184</f>
        <v>341</v>
      </c>
      <c r="M189" s="159">
        <f t="shared" si="30"/>
        <v>5.92</v>
      </c>
      <c r="N189" s="208">
        <f>'CHAM CONG'!AR183</f>
        <v>0</v>
      </c>
      <c r="O189" s="159">
        <f t="shared" si="31"/>
        <v>0</v>
      </c>
      <c r="P189" s="159">
        <f>'CHAM CONG'!AQ183</f>
        <v>10</v>
      </c>
      <c r="Q189" s="159">
        <f t="shared" si="32"/>
        <v>5.01</v>
      </c>
      <c r="R189" s="159">
        <f t="shared" si="36"/>
        <v>10</v>
      </c>
      <c r="S189" s="159">
        <f t="shared" si="33"/>
        <v>0.31</v>
      </c>
      <c r="T189" s="159"/>
      <c r="U189" s="159"/>
      <c r="V189" s="159"/>
      <c r="W189" s="159"/>
      <c r="X189" s="159">
        <f t="shared" si="34"/>
        <v>11.24</v>
      </c>
      <c r="Y189" s="209"/>
      <c r="Z189" s="210" t="s">
        <v>619</v>
      </c>
      <c r="AA189" s="202">
        <v>11.25</v>
      </c>
      <c r="AB189" s="203">
        <f t="shared" si="35"/>
        <v>0.01</v>
      </c>
      <c r="AC189" s="124">
        <v>0</v>
      </c>
    </row>
    <row r="190" spans="1:29" s="124" customFormat="1" ht="28.2" customHeight="1">
      <c r="A190" s="154">
        <v>175</v>
      </c>
      <c r="B190" s="204"/>
      <c r="C190" s="204"/>
      <c r="D190" s="205"/>
      <c r="E190" s="155" t="str">
        <f>'Tên Tháng 1'!E178</f>
        <v>ប៉ឹង ថា</v>
      </c>
      <c r="F190" s="157" t="str">
        <f>'Tên Tháng 1'!F178</f>
        <v>POENG THA</v>
      </c>
      <c r="G190" s="206">
        <v>55</v>
      </c>
      <c r="H190" s="207"/>
      <c r="I190" s="159">
        <f t="shared" si="29"/>
        <v>0</v>
      </c>
      <c r="J190" s="207"/>
      <c r="K190" s="159">
        <f t="shared" si="28"/>
        <v>0</v>
      </c>
      <c r="L190" s="207">
        <f>'SAN LUONG'!AE185</f>
        <v>431.2</v>
      </c>
      <c r="M190" s="159">
        <f t="shared" si="30"/>
        <v>7.49</v>
      </c>
      <c r="N190" s="208">
        <f>'CHAM CONG'!AR184</f>
        <v>1</v>
      </c>
      <c r="O190" s="159">
        <f t="shared" si="31"/>
        <v>0.53</v>
      </c>
      <c r="P190" s="159">
        <f>'CHAM CONG'!AQ184</f>
        <v>12</v>
      </c>
      <c r="Q190" s="159">
        <f t="shared" si="32"/>
        <v>6.01</v>
      </c>
      <c r="R190" s="159">
        <f t="shared" si="36"/>
        <v>12</v>
      </c>
      <c r="S190" s="159">
        <f t="shared" si="33"/>
        <v>0.38</v>
      </c>
      <c r="T190" s="159"/>
      <c r="U190" s="159"/>
      <c r="V190" s="159"/>
      <c r="W190" s="159"/>
      <c r="X190" s="159">
        <f t="shared" si="34"/>
        <v>14.41</v>
      </c>
      <c r="Y190" s="209"/>
      <c r="Z190" s="210" t="s">
        <v>619</v>
      </c>
      <c r="AA190" s="202">
        <v>14.41</v>
      </c>
      <c r="AB190" s="203">
        <f t="shared" si="35"/>
        <v>0</v>
      </c>
      <c r="AC190" s="124">
        <v>0.01</v>
      </c>
    </row>
    <row r="191" spans="1:29" s="124" customFormat="1" ht="28.2" customHeight="1">
      <c r="A191" s="154">
        <v>176</v>
      </c>
      <c r="B191" s="204"/>
      <c r="C191" s="204"/>
      <c r="D191" s="205"/>
      <c r="E191" s="155" t="str">
        <f>'Tên Tháng 1'!E179</f>
        <v>កោ គង្គា</v>
      </c>
      <c r="F191" s="157" t="str">
        <f>'Tên Tháng 1'!F179</f>
        <v>KOR KONGKEA</v>
      </c>
      <c r="G191" s="206">
        <v>56</v>
      </c>
      <c r="H191" s="207"/>
      <c r="I191" s="159">
        <f t="shared" si="29"/>
        <v>0</v>
      </c>
      <c r="J191" s="207"/>
      <c r="K191" s="159">
        <f t="shared" si="28"/>
        <v>0</v>
      </c>
      <c r="L191" s="207">
        <f>'SAN LUONG'!AE186</f>
        <v>370.48</v>
      </c>
      <c r="M191" s="159">
        <f t="shared" si="30"/>
        <v>6.44</v>
      </c>
      <c r="N191" s="208">
        <f>'CHAM CONG'!AR185</f>
        <v>1</v>
      </c>
      <c r="O191" s="159">
        <f t="shared" si="31"/>
        <v>0.53</v>
      </c>
      <c r="P191" s="159">
        <f>'CHAM CONG'!AQ185</f>
        <v>13</v>
      </c>
      <c r="Q191" s="159">
        <f t="shared" si="32"/>
        <v>6.51</v>
      </c>
      <c r="R191" s="159">
        <f t="shared" si="36"/>
        <v>13</v>
      </c>
      <c r="S191" s="159">
        <f t="shared" si="33"/>
        <v>0.41</v>
      </c>
      <c r="T191" s="159"/>
      <c r="U191" s="159"/>
      <c r="V191" s="159"/>
      <c r="W191" s="159"/>
      <c r="X191" s="159">
        <f t="shared" si="34"/>
        <v>13.889999999999999</v>
      </c>
      <c r="Y191" s="209"/>
      <c r="Z191" s="210" t="s">
        <v>619</v>
      </c>
      <c r="AA191" s="202">
        <v>13.89</v>
      </c>
      <c r="AB191" s="203">
        <f t="shared" si="35"/>
        <v>0</v>
      </c>
      <c r="AC191" s="124">
        <v>-0.02</v>
      </c>
    </row>
    <row r="192" spans="1:29" s="124" customFormat="1" ht="28.2" customHeight="1">
      <c r="A192" s="154">
        <v>177</v>
      </c>
      <c r="B192" s="204"/>
      <c r="C192" s="204"/>
      <c r="D192" s="205"/>
      <c r="E192" s="155" t="str">
        <f>'Tên Tháng 1'!E180</f>
        <v>សេង សីហា</v>
      </c>
      <c r="F192" s="157" t="str">
        <f>'Tên Tháng 1'!F180</f>
        <v>SENG SEYHA</v>
      </c>
      <c r="G192" s="206">
        <v>57</v>
      </c>
      <c r="H192" s="207"/>
      <c r="I192" s="159">
        <f t="shared" si="29"/>
        <v>0</v>
      </c>
      <c r="J192" s="207"/>
      <c r="K192" s="159">
        <f t="shared" si="28"/>
        <v>0</v>
      </c>
      <c r="L192" s="207">
        <f>'SAN LUONG'!AE187</f>
        <v>487.96</v>
      </c>
      <c r="M192" s="159">
        <f t="shared" si="30"/>
        <v>8.48</v>
      </c>
      <c r="N192" s="208">
        <f>'CHAM CONG'!AR186</f>
        <v>0</v>
      </c>
      <c r="O192" s="159">
        <f t="shared" si="31"/>
        <v>0</v>
      </c>
      <c r="P192" s="159">
        <f>'CHAM CONG'!AQ186</f>
        <v>12</v>
      </c>
      <c r="Q192" s="159">
        <f t="shared" si="32"/>
        <v>6.01</v>
      </c>
      <c r="R192" s="159">
        <f t="shared" si="36"/>
        <v>12</v>
      </c>
      <c r="S192" s="159">
        <f t="shared" si="33"/>
        <v>0.38</v>
      </c>
      <c r="T192" s="159"/>
      <c r="U192" s="159"/>
      <c r="V192" s="159"/>
      <c r="W192" s="159"/>
      <c r="X192" s="159">
        <f t="shared" si="34"/>
        <v>14.870000000000001</v>
      </c>
      <c r="Y192" s="209"/>
      <c r="Z192" s="210" t="s">
        <v>619</v>
      </c>
      <c r="AA192" s="202">
        <v>14.86</v>
      </c>
      <c r="AB192" s="203">
        <f t="shared" si="35"/>
        <v>-0.01</v>
      </c>
      <c r="AC192" s="124">
        <v>0.04</v>
      </c>
    </row>
    <row r="193" spans="1:29" s="124" customFormat="1" ht="28.2" customHeight="1">
      <c r="A193" s="154">
        <v>178</v>
      </c>
      <c r="B193" s="204"/>
      <c r="C193" s="204"/>
      <c r="D193" s="205"/>
      <c r="E193" s="155" t="str">
        <f>'Tên Tháng 1'!E181</f>
        <v>ថៃ លក្ខិណា</v>
      </c>
      <c r="F193" s="157" t="str">
        <f>'Tên Tháng 1'!F181</f>
        <v>THAI LEAKANA</v>
      </c>
      <c r="G193" s="206">
        <v>58</v>
      </c>
      <c r="H193" s="207"/>
      <c r="I193" s="159">
        <f t="shared" si="29"/>
        <v>0</v>
      </c>
      <c r="J193" s="207"/>
      <c r="K193" s="159">
        <f t="shared" si="28"/>
        <v>0</v>
      </c>
      <c r="L193" s="207">
        <f>'SAN LUONG'!AE188</f>
        <v>491.04</v>
      </c>
      <c r="M193" s="159">
        <f t="shared" si="30"/>
        <v>8.5299999999999994</v>
      </c>
      <c r="N193" s="208">
        <f>'CHAM CONG'!AR187</f>
        <v>0</v>
      </c>
      <c r="O193" s="159">
        <f t="shared" si="31"/>
        <v>0</v>
      </c>
      <c r="P193" s="159">
        <f>'CHAM CONG'!AQ187</f>
        <v>14</v>
      </c>
      <c r="Q193" s="159">
        <f t="shared" si="32"/>
        <v>7.01</v>
      </c>
      <c r="R193" s="159">
        <f t="shared" si="36"/>
        <v>14</v>
      </c>
      <c r="S193" s="159">
        <f t="shared" si="33"/>
        <v>0.44</v>
      </c>
      <c r="T193" s="159"/>
      <c r="U193" s="159"/>
      <c r="V193" s="159"/>
      <c r="W193" s="159"/>
      <c r="X193" s="159">
        <f t="shared" si="34"/>
        <v>15.979999999999999</v>
      </c>
      <c r="Y193" s="209"/>
      <c r="Z193" s="210" t="s">
        <v>619</v>
      </c>
      <c r="AA193" s="202">
        <v>15.98</v>
      </c>
      <c r="AB193" s="203">
        <f t="shared" si="35"/>
        <v>0</v>
      </c>
      <c r="AC193" s="124">
        <v>-0.02</v>
      </c>
    </row>
    <row r="194" spans="1:29" s="124" customFormat="1" ht="28.2" customHeight="1">
      <c r="A194" s="154">
        <v>179</v>
      </c>
      <c r="B194" s="204"/>
      <c r="C194" s="204"/>
      <c r="D194" s="205"/>
      <c r="E194" s="155" t="str">
        <f>'Tên Tháng 1'!E182</f>
        <v>ឈឿន សុខច័ន្ទ</v>
      </c>
      <c r="F194" s="157" t="str">
        <f>'Tên Tháng 1'!F182</f>
        <v>CHHOEUN SOKCHAN</v>
      </c>
      <c r="G194" s="206">
        <v>59</v>
      </c>
      <c r="H194" s="207"/>
      <c r="I194" s="159">
        <f t="shared" si="29"/>
        <v>0</v>
      </c>
      <c r="J194" s="207"/>
      <c r="K194" s="159">
        <f t="shared" si="28"/>
        <v>0</v>
      </c>
      <c r="L194" s="207">
        <f>'SAN LUONG'!AE189</f>
        <v>70.84</v>
      </c>
      <c r="M194" s="159">
        <f t="shared" si="30"/>
        <v>1.23</v>
      </c>
      <c r="N194" s="208">
        <f>'CHAM CONG'!AR188</f>
        <v>0</v>
      </c>
      <c r="O194" s="159">
        <f t="shared" si="31"/>
        <v>0</v>
      </c>
      <c r="P194" s="159">
        <f>'CHAM CONG'!AQ188</f>
        <v>1</v>
      </c>
      <c r="Q194" s="159">
        <f>ROUND(P194*$Q$14/31947,2)+0.23</f>
        <v>0.73</v>
      </c>
      <c r="R194" s="159">
        <f t="shared" si="36"/>
        <v>1</v>
      </c>
      <c r="S194" s="159">
        <f t="shared" si="33"/>
        <v>0.03</v>
      </c>
      <c r="T194" s="159"/>
      <c r="U194" s="159"/>
      <c r="V194" s="159"/>
      <c r="W194" s="159"/>
      <c r="X194" s="159">
        <f t="shared" si="34"/>
        <v>1.99</v>
      </c>
      <c r="Y194" s="209"/>
      <c r="Z194" s="210" t="s">
        <v>619</v>
      </c>
      <c r="AA194" s="202">
        <v>1.76</v>
      </c>
      <c r="AB194" s="203">
        <f t="shared" si="35"/>
        <v>-0.23</v>
      </c>
      <c r="AC194" s="124">
        <v>-0.02</v>
      </c>
    </row>
    <row r="195" spans="1:29" s="124" customFormat="1" ht="28.2" customHeight="1">
      <c r="A195" s="154">
        <v>180</v>
      </c>
      <c r="B195" s="204"/>
      <c r="C195" s="204"/>
      <c r="D195" s="205"/>
      <c r="E195" s="155" t="str">
        <f>'Tên Tháng 1'!E183</f>
        <v>សុទ្ធ សានី</v>
      </c>
      <c r="F195" s="157" t="str">
        <f>'Tên Tháng 1'!F183</f>
        <v>SOTH SANY</v>
      </c>
      <c r="G195" s="206">
        <v>60</v>
      </c>
      <c r="H195" s="207"/>
      <c r="I195" s="159">
        <f t="shared" si="29"/>
        <v>0</v>
      </c>
      <c r="J195" s="207"/>
      <c r="K195" s="159">
        <f t="shared" si="28"/>
        <v>0</v>
      </c>
      <c r="L195" s="207">
        <f>'SAN LUONG'!AE190</f>
        <v>315.04000000000002</v>
      </c>
      <c r="M195" s="159">
        <f t="shared" si="30"/>
        <v>5.47</v>
      </c>
      <c r="N195" s="208">
        <f>'CHAM CONG'!AR189</f>
        <v>0</v>
      </c>
      <c r="O195" s="159">
        <f t="shared" si="31"/>
        <v>0</v>
      </c>
      <c r="P195" s="159">
        <f>'CHAM CONG'!AQ189</f>
        <v>9</v>
      </c>
      <c r="Q195" s="159">
        <f t="shared" si="32"/>
        <v>4.51</v>
      </c>
      <c r="R195" s="159">
        <f t="shared" si="36"/>
        <v>9</v>
      </c>
      <c r="S195" s="159">
        <f t="shared" si="33"/>
        <v>0.28000000000000003</v>
      </c>
      <c r="T195" s="159"/>
      <c r="U195" s="159"/>
      <c r="V195" s="159"/>
      <c r="W195" s="159"/>
      <c r="X195" s="159">
        <f t="shared" si="34"/>
        <v>10.26</v>
      </c>
      <c r="Y195" s="209"/>
      <c r="Z195" s="210" t="s">
        <v>619</v>
      </c>
      <c r="AA195" s="202">
        <v>10.26</v>
      </c>
      <c r="AB195" s="203">
        <f t="shared" si="35"/>
        <v>0</v>
      </c>
      <c r="AC195" s="124">
        <v>0.05</v>
      </c>
    </row>
    <row r="196" spans="1:29" s="124" customFormat="1" ht="28.2" customHeight="1">
      <c r="A196" s="154">
        <v>181</v>
      </c>
      <c r="B196" s="204"/>
      <c r="C196" s="204"/>
      <c r="D196" s="205"/>
      <c r="E196" s="155" t="str">
        <f>'Tên Tháng 1'!E184</f>
        <v>យឿង សុខជាតិ</v>
      </c>
      <c r="F196" s="157" t="str">
        <f>'Tên Tháng 1'!F184</f>
        <v>YOEUNG SOCHEAT</v>
      </c>
      <c r="G196" s="206">
        <v>61</v>
      </c>
      <c r="H196" s="207"/>
      <c r="I196" s="159">
        <f t="shared" si="29"/>
        <v>0</v>
      </c>
      <c r="J196" s="207"/>
      <c r="K196" s="159">
        <f t="shared" si="28"/>
        <v>0</v>
      </c>
      <c r="L196" s="207">
        <f>'SAN LUONG'!AE191</f>
        <v>485.32</v>
      </c>
      <c r="M196" s="159">
        <f t="shared" si="30"/>
        <v>8.43</v>
      </c>
      <c r="N196" s="208">
        <f>'CHAM CONG'!AR190</f>
        <v>1</v>
      </c>
      <c r="O196" s="159">
        <f t="shared" si="31"/>
        <v>0.53</v>
      </c>
      <c r="P196" s="159">
        <f>'CHAM CONG'!AQ190</f>
        <v>13</v>
      </c>
      <c r="Q196" s="159">
        <f t="shared" si="32"/>
        <v>6.51</v>
      </c>
      <c r="R196" s="159">
        <f t="shared" si="36"/>
        <v>13</v>
      </c>
      <c r="S196" s="159">
        <f t="shared" si="33"/>
        <v>0.41</v>
      </c>
      <c r="T196" s="159"/>
      <c r="U196" s="159"/>
      <c r="V196" s="159"/>
      <c r="W196" s="159"/>
      <c r="X196" s="159">
        <f t="shared" si="34"/>
        <v>15.879999999999999</v>
      </c>
      <c r="Y196" s="209"/>
      <c r="Z196" s="210" t="s">
        <v>619</v>
      </c>
      <c r="AA196" s="202">
        <v>15.88</v>
      </c>
      <c r="AB196" s="203">
        <f t="shared" si="35"/>
        <v>0</v>
      </c>
      <c r="AC196" s="124">
        <v>0</v>
      </c>
    </row>
    <row r="197" spans="1:29" s="124" customFormat="1" ht="28.2" customHeight="1">
      <c r="A197" s="154">
        <v>182</v>
      </c>
      <c r="B197" s="204"/>
      <c r="C197" s="204"/>
      <c r="D197" s="205"/>
      <c r="E197" s="155" t="str">
        <f>'Tên Tháng 1'!E185</f>
        <v>ម៉ែន មឿន</v>
      </c>
      <c r="F197" s="157" t="str">
        <f>'Tên Tháng 1'!F185</f>
        <v>MEN MOEUN</v>
      </c>
      <c r="G197" s="206">
        <v>62</v>
      </c>
      <c r="H197" s="207"/>
      <c r="I197" s="159">
        <f t="shared" si="29"/>
        <v>0</v>
      </c>
      <c r="J197" s="207"/>
      <c r="K197" s="159">
        <f t="shared" si="28"/>
        <v>0</v>
      </c>
      <c r="L197" s="207">
        <f>'SAN LUONG'!AE192</f>
        <v>493.24</v>
      </c>
      <c r="M197" s="159">
        <f t="shared" si="30"/>
        <v>8.57</v>
      </c>
      <c r="N197" s="208">
        <f>'CHAM CONG'!AR191</f>
        <v>0</v>
      </c>
      <c r="O197" s="159">
        <f t="shared" si="31"/>
        <v>0</v>
      </c>
      <c r="P197" s="159">
        <f>'CHAM CONG'!AQ191</f>
        <v>13</v>
      </c>
      <c r="Q197" s="159">
        <f t="shared" si="32"/>
        <v>6.51</v>
      </c>
      <c r="R197" s="159">
        <f t="shared" si="36"/>
        <v>13</v>
      </c>
      <c r="S197" s="159">
        <f t="shared" si="33"/>
        <v>0.41</v>
      </c>
      <c r="T197" s="159"/>
      <c r="U197" s="159"/>
      <c r="V197" s="159"/>
      <c r="W197" s="159"/>
      <c r="X197" s="159">
        <f t="shared" si="34"/>
        <v>15.49</v>
      </c>
      <c r="Y197" s="209"/>
      <c r="Z197" s="210" t="s">
        <v>619</v>
      </c>
      <c r="AA197" s="202">
        <v>15.49</v>
      </c>
      <c r="AB197" s="203">
        <f t="shared" si="35"/>
        <v>0</v>
      </c>
      <c r="AC197" s="124">
        <v>0.01</v>
      </c>
    </row>
    <row r="198" spans="1:29" s="124" customFormat="1" ht="28.2" customHeight="1">
      <c r="A198" s="154">
        <v>183</v>
      </c>
      <c r="B198" s="204"/>
      <c r="C198" s="204"/>
      <c r="D198" s="205"/>
      <c r="E198" s="155" t="str">
        <f>'Tên Tháng 1'!E186</f>
        <v>យ៉ុង រី</v>
      </c>
      <c r="F198" s="157" t="str">
        <f>'Tên Tháng 1'!F186</f>
        <v>YONG RY</v>
      </c>
      <c r="G198" s="206">
        <v>63</v>
      </c>
      <c r="H198" s="207"/>
      <c r="I198" s="159">
        <f t="shared" si="29"/>
        <v>0</v>
      </c>
      <c r="J198" s="207"/>
      <c r="K198" s="159">
        <f t="shared" si="28"/>
        <v>0</v>
      </c>
      <c r="L198" s="207">
        <f>'SAN LUONG'!AE193</f>
        <v>379.28</v>
      </c>
      <c r="M198" s="159">
        <f t="shared" si="30"/>
        <v>6.59</v>
      </c>
      <c r="N198" s="208">
        <f>'CHAM CONG'!AR192</f>
        <v>0</v>
      </c>
      <c r="O198" s="159">
        <f t="shared" si="31"/>
        <v>0</v>
      </c>
      <c r="P198" s="159">
        <f>'CHAM CONG'!AQ192</f>
        <v>12</v>
      </c>
      <c r="Q198" s="159">
        <f t="shared" si="32"/>
        <v>6.01</v>
      </c>
      <c r="R198" s="159">
        <f t="shared" si="36"/>
        <v>12</v>
      </c>
      <c r="S198" s="159">
        <f t="shared" si="33"/>
        <v>0.38</v>
      </c>
      <c r="T198" s="159"/>
      <c r="U198" s="159"/>
      <c r="V198" s="159"/>
      <c r="W198" s="159"/>
      <c r="X198" s="159">
        <f t="shared" si="34"/>
        <v>12.98</v>
      </c>
      <c r="Y198" s="209"/>
      <c r="Z198" s="210" t="s">
        <v>619</v>
      </c>
      <c r="AA198" s="202">
        <v>12.97</v>
      </c>
      <c r="AB198" s="203">
        <f t="shared" si="35"/>
        <v>-0.01</v>
      </c>
      <c r="AC198" s="124">
        <v>-0.03</v>
      </c>
    </row>
    <row r="199" spans="1:29" s="124" customFormat="1" ht="28.2" customHeight="1">
      <c r="A199" s="154">
        <v>184</v>
      </c>
      <c r="B199" s="204"/>
      <c r="C199" s="204"/>
      <c r="D199" s="205"/>
      <c r="E199" s="155" t="str">
        <f>'Tên Tháng 1'!E187</f>
        <v>ហៃ អូន</v>
      </c>
      <c r="F199" s="157" t="str">
        <f>'Tên Tháng 1'!F187</f>
        <v>HAI ON</v>
      </c>
      <c r="G199" s="206">
        <v>64</v>
      </c>
      <c r="H199" s="207"/>
      <c r="I199" s="159">
        <f t="shared" si="29"/>
        <v>0</v>
      </c>
      <c r="J199" s="207"/>
      <c r="K199" s="159">
        <f t="shared" si="28"/>
        <v>0</v>
      </c>
      <c r="L199" s="207">
        <f>'SAN LUONG'!AE194</f>
        <v>417.56</v>
      </c>
      <c r="M199" s="159">
        <f t="shared" si="30"/>
        <v>7.25</v>
      </c>
      <c r="N199" s="208">
        <f>'CHAM CONG'!AR193</f>
        <v>0</v>
      </c>
      <c r="O199" s="159">
        <f t="shared" si="31"/>
        <v>0</v>
      </c>
      <c r="P199" s="159">
        <f>'CHAM CONG'!AQ193</f>
        <v>12</v>
      </c>
      <c r="Q199" s="159">
        <f t="shared" si="32"/>
        <v>6.01</v>
      </c>
      <c r="R199" s="159">
        <f t="shared" si="36"/>
        <v>12</v>
      </c>
      <c r="S199" s="159">
        <f t="shared" si="33"/>
        <v>0.38</v>
      </c>
      <c r="T199" s="159"/>
      <c r="U199" s="159"/>
      <c r="V199" s="159"/>
      <c r="W199" s="159"/>
      <c r="X199" s="159">
        <f t="shared" si="34"/>
        <v>13.64</v>
      </c>
      <c r="Y199" s="209"/>
      <c r="Z199" s="210" t="s">
        <v>619</v>
      </c>
      <c r="AA199" s="202">
        <v>13.64</v>
      </c>
      <c r="AB199" s="203">
        <f t="shared" si="35"/>
        <v>0</v>
      </c>
      <c r="AC199" s="124">
        <v>0.01</v>
      </c>
    </row>
    <row r="200" spans="1:29" s="124" customFormat="1" ht="28.2" customHeight="1">
      <c r="A200" s="154">
        <v>185</v>
      </c>
      <c r="B200" s="204"/>
      <c r="C200" s="204"/>
      <c r="D200" s="205"/>
      <c r="E200" s="155" t="str">
        <f>'Tên Tháng 1'!E188</f>
        <v>វ៉ាន់ គាត</v>
      </c>
      <c r="F200" s="157" t="str">
        <f>'Tên Tháng 1'!F188</f>
        <v>VANN KEAT</v>
      </c>
      <c r="G200" s="206">
        <v>65</v>
      </c>
      <c r="H200" s="207"/>
      <c r="I200" s="159">
        <f t="shared" si="29"/>
        <v>0</v>
      </c>
      <c r="J200" s="207"/>
      <c r="K200" s="159">
        <f t="shared" si="28"/>
        <v>0</v>
      </c>
      <c r="L200" s="207">
        <f>'SAN LUONG'!AE195</f>
        <v>382.8</v>
      </c>
      <c r="M200" s="159">
        <f t="shared" si="30"/>
        <v>6.65</v>
      </c>
      <c r="N200" s="208">
        <f>'CHAM CONG'!AR194</f>
        <v>0</v>
      </c>
      <c r="O200" s="159">
        <f t="shared" si="31"/>
        <v>0</v>
      </c>
      <c r="P200" s="159">
        <f>'CHAM CONG'!AQ194</f>
        <v>11</v>
      </c>
      <c r="Q200" s="159">
        <f t="shared" si="32"/>
        <v>5.51</v>
      </c>
      <c r="R200" s="159">
        <f t="shared" si="36"/>
        <v>11</v>
      </c>
      <c r="S200" s="159">
        <f t="shared" si="33"/>
        <v>0.34</v>
      </c>
      <c r="T200" s="159"/>
      <c r="U200" s="159"/>
      <c r="V200" s="159"/>
      <c r="W200" s="159"/>
      <c r="X200" s="159">
        <f t="shared" si="34"/>
        <v>12.5</v>
      </c>
      <c r="Y200" s="209"/>
      <c r="Z200" s="210" t="s">
        <v>619</v>
      </c>
      <c r="AA200" s="202">
        <v>12.5</v>
      </c>
      <c r="AB200" s="203">
        <f t="shared" si="35"/>
        <v>0</v>
      </c>
      <c r="AC200" s="124">
        <v>0.01</v>
      </c>
    </row>
    <row r="201" spans="1:29" s="124" customFormat="1" ht="28.2" customHeight="1">
      <c r="A201" s="154">
        <v>186</v>
      </c>
      <c r="B201" s="204"/>
      <c r="C201" s="204"/>
      <c r="D201" s="205"/>
      <c r="E201" s="155" t="str">
        <f>'Tên Tháng 1'!E189</f>
        <v>សេង សោភា</v>
      </c>
      <c r="F201" s="157" t="str">
        <f>'Tên Tháng 1'!F189</f>
        <v>SENG SOPHEA</v>
      </c>
      <c r="G201" s="206">
        <v>66</v>
      </c>
      <c r="H201" s="207"/>
      <c r="I201" s="159">
        <f t="shared" si="29"/>
        <v>0</v>
      </c>
      <c r="J201" s="207"/>
      <c r="K201" s="159">
        <f t="shared" si="28"/>
        <v>0</v>
      </c>
      <c r="L201" s="207">
        <f>'SAN LUONG'!AE196</f>
        <v>380.16</v>
      </c>
      <c r="M201" s="159">
        <f t="shared" si="30"/>
        <v>6.6</v>
      </c>
      <c r="N201" s="208">
        <f>'CHAM CONG'!AR195</f>
        <v>0</v>
      </c>
      <c r="O201" s="159">
        <f t="shared" si="31"/>
        <v>0</v>
      </c>
      <c r="P201" s="159">
        <f>'CHAM CONG'!AQ195</f>
        <v>10</v>
      </c>
      <c r="Q201" s="159">
        <f t="shared" si="32"/>
        <v>5.01</v>
      </c>
      <c r="R201" s="159">
        <f t="shared" si="36"/>
        <v>10</v>
      </c>
      <c r="S201" s="159">
        <f t="shared" si="33"/>
        <v>0.31</v>
      </c>
      <c r="T201" s="159"/>
      <c r="U201" s="159"/>
      <c r="V201" s="159"/>
      <c r="W201" s="159"/>
      <c r="X201" s="159">
        <f t="shared" si="34"/>
        <v>11.92</v>
      </c>
      <c r="Y201" s="209"/>
      <c r="Z201" s="210" t="s">
        <v>619</v>
      </c>
      <c r="AA201" s="202">
        <v>11.93</v>
      </c>
      <c r="AB201" s="203">
        <f t="shared" si="35"/>
        <v>0.01</v>
      </c>
      <c r="AC201" s="124">
        <v>0</v>
      </c>
    </row>
    <row r="202" spans="1:29" s="124" customFormat="1" ht="28.2" customHeight="1">
      <c r="A202" s="154">
        <v>187</v>
      </c>
      <c r="B202" s="204"/>
      <c r="C202" s="204"/>
      <c r="D202" s="205"/>
      <c r="E202" s="155" t="str">
        <f>'Tên Tháng 1'!E190</f>
        <v>ឃឿន សុក</v>
      </c>
      <c r="F202" s="157" t="str">
        <f>'Tên Tháng 1'!F190</f>
        <v>KHOEUN SOK</v>
      </c>
      <c r="G202" s="206">
        <v>67</v>
      </c>
      <c r="H202" s="207"/>
      <c r="I202" s="159">
        <f t="shared" si="29"/>
        <v>0</v>
      </c>
      <c r="J202" s="207"/>
      <c r="K202" s="159">
        <f t="shared" si="28"/>
        <v>0</v>
      </c>
      <c r="L202" s="207">
        <f>'SAN LUONG'!AE197</f>
        <v>358.16</v>
      </c>
      <c r="M202" s="159">
        <f t="shared" si="30"/>
        <v>6.22</v>
      </c>
      <c r="N202" s="208">
        <f>'CHAM CONG'!AR196</f>
        <v>0</v>
      </c>
      <c r="O202" s="159">
        <f t="shared" si="31"/>
        <v>0</v>
      </c>
      <c r="P202" s="159">
        <f>'CHAM CONG'!AQ196</f>
        <v>11</v>
      </c>
      <c r="Q202" s="159">
        <f t="shared" si="32"/>
        <v>5.51</v>
      </c>
      <c r="R202" s="159">
        <f t="shared" si="36"/>
        <v>11</v>
      </c>
      <c r="S202" s="159">
        <f t="shared" si="33"/>
        <v>0.34</v>
      </c>
      <c r="T202" s="159"/>
      <c r="U202" s="159"/>
      <c r="V202" s="159"/>
      <c r="W202" s="159"/>
      <c r="X202" s="159">
        <f t="shared" si="34"/>
        <v>12.07</v>
      </c>
      <c r="Y202" s="209"/>
      <c r="Z202" s="210" t="s">
        <v>619</v>
      </c>
      <c r="AA202" s="202">
        <v>12.08</v>
      </c>
      <c r="AB202" s="203">
        <f t="shared" si="35"/>
        <v>0.01</v>
      </c>
      <c r="AC202" s="124">
        <v>0.04</v>
      </c>
    </row>
    <row r="203" spans="1:29" s="124" customFormat="1" ht="28.2" customHeight="1">
      <c r="A203" s="154">
        <v>188</v>
      </c>
      <c r="B203" s="204"/>
      <c r="C203" s="204"/>
      <c r="D203" s="205"/>
      <c r="E203" s="155" t="str">
        <f>'Tên Tháng 1'!E191</f>
        <v>ណំ វ៉ាន់​ស៊ីង</v>
      </c>
      <c r="F203" s="157" t="str">
        <f>'Tên Tháng 1'!F191</f>
        <v>NOM VANSING</v>
      </c>
      <c r="G203" s="206">
        <v>68</v>
      </c>
      <c r="H203" s="207"/>
      <c r="I203" s="159">
        <f t="shared" si="29"/>
        <v>0</v>
      </c>
      <c r="J203" s="207"/>
      <c r="K203" s="159">
        <f t="shared" si="28"/>
        <v>0</v>
      </c>
      <c r="L203" s="207">
        <f>'SAN LUONG'!AE198</f>
        <v>350.24</v>
      </c>
      <c r="M203" s="159">
        <f t="shared" si="30"/>
        <v>6.08</v>
      </c>
      <c r="N203" s="208">
        <f>'CHAM CONG'!AR197</f>
        <v>0</v>
      </c>
      <c r="O203" s="159">
        <f t="shared" si="31"/>
        <v>0</v>
      </c>
      <c r="P203" s="159">
        <f>'CHAM CONG'!AQ197</f>
        <v>13</v>
      </c>
      <c r="Q203" s="159">
        <f t="shared" si="32"/>
        <v>6.51</v>
      </c>
      <c r="R203" s="159">
        <f t="shared" si="36"/>
        <v>13</v>
      </c>
      <c r="S203" s="159">
        <f t="shared" si="33"/>
        <v>0.41</v>
      </c>
      <c r="T203" s="159"/>
      <c r="U203" s="159"/>
      <c r="V203" s="159"/>
      <c r="W203" s="159"/>
      <c r="X203" s="159">
        <f t="shared" si="34"/>
        <v>13</v>
      </c>
      <c r="Y203" s="209"/>
      <c r="Z203" s="210" t="s">
        <v>619</v>
      </c>
      <c r="AA203" s="202">
        <v>13</v>
      </c>
      <c r="AB203" s="203">
        <f t="shared" si="35"/>
        <v>0</v>
      </c>
      <c r="AC203" s="124">
        <v>0.01</v>
      </c>
    </row>
    <row r="204" spans="1:29" s="124" customFormat="1" ht="28.2" customHeight="1">
      <c r="A204" s="154">
        <v>189</v>
      </c>
      <c r="B204" s="204"/>
      <c r="C204" s="204"/>
      <c r="D204" s="205"/>
      <c r="E204" s="155" t="str">
        <f>'Tên Tháng 1'!E192</f>
        <v>ដៀប ចាន់ណា</v>
      </c>
      <c r="F204" s="157" t="str">
        <f>'Tên Tháng 1'!F192</f>
        <v>DIEB CHANNA</v>
      </c>
      <c r="G204" s="206">
        <v>69</v>
      </c>
      <c r="H204" s="207"/>
      <c r="I204" s="159">
        <f t="shared" si="29"/>
        <v>0</v>
      </c>
      <c r="J204" s="207"/>
      <c r="K204" s="159">
        <f t="shared" si="28"/>
        <v>0</v>
      </c>
      <c r="L204" s="207">
        <f>'SAN LUONG'!AE199</f>
        <v>325.16000000000003</v>
      </c>
      <c r="M204" s="159">
        <f t="shared" si="30"/>
        <v>5.65</v>
      </c>
      <c r="N204" s="208">
        <f>'CHAM CONG'!AR198</f>
        <v>0</v>
      </c>
      <c r="O204" s="159">
        <f t="shared" si="31"/>
        <v>0</v>
      </c>
      <c r="P204" s="159">
        <f>'CHAM CONG'!AQ198</f>
        <v>12</v>
      </c>
      <c r="Q204" s="159">
        <f t="shared" si="32"/>
        <v>6.01</v>
      </c>
      <c r="R204" s="159">
        <f t="shared" si="36"/>
        <v>12</v>
      </c>
      <c r="S204" s="159">
        <f t="shared" si="33"/>
        <v>0.38</v>
      </c>
      <c r="T204" s="159"/>
      <c r="U204" s="159"/>
      <c r="V204" s="159"/>
      <c r="W204" s="159"/>
      <c r="X204" s="159">
        <f t="shared" si="34"/>
        <v>12.040000000000001</v>
      </c>
      <c r="Y204" s="209"/>
      <c r="Z204" s="210" t="s">
        <v>619</v>
      </c>
      <c r="AA204" s="202">
        <v>12.03</v>
      </c>
      <c r="AB204" s="203">
        <f t="shared" si="35"/>
        <v>-0.01</v>
      </c>
      <c r="AC204" s="124">
        <v>-0.03</v>
      </c>
    </row>
    <row r="205" spans="1:29" s="124" customFormat="1" ht="28.2" customHeight="1">
      <c r="A205" s="154">
        <v>190</v>
      </c>
      <c r="B205" s="204"/>
      <c r="C205" s="204"/>
      <c r="D205" s="205"/>
      <c r="E205" s="155" t="str">
        <f>'Tên Tháng 1'!E193</f>
        <v>ឆែម ឆាន</v>
      </c>
      <c r="F205" s="157" t="str">
        <f>'Tên Tháng 1'!F193</f>
        <v>CHHEM CHHAN</v>
      </c>
      <c r="G205" s="206">
        <v>70</v>
      </c>
      <c r="H205" s="207"/>
      <c r="I205" s="159">
        <f t="shared" si="29"/>
        <v>0</v>
      </c>
      <c r="J205" s="207"/>
      <c r="K205" s="159">
        <f t="shared" si="28"/>
        <v>0</v>
      </c>
      <c r="L205" s="207">
        <f>'SAN LUONG'!AE200</f>
        <v>299.64</v>
      </c>
      <c r="M205" s="159">
        <f t="shared" si="30"/>
        <v>5.21</v>
      </c>
      <c r="N205" s="208">
        <f>'CHAM CONG'!AR199</f>
        <v>0</v>
      </c>
      <c r="O205" s="159">
        <f t="shared" si="31"/>
        <v>0</v>
      </c>
      <c r="P205" s="159">
        <f>'CHAM CONG'!AQ199</f>
        <v>10</v>
      </c>
      <c r="Q205" s="159">
        <f t="shared" si="32"/>
        <v>5.01</v>
      </c>
      <c r="R205" s="159">
        <f t="shared" si="36"/>
        <v>10</v>
      </c>
      <c r="S205" s="159">
        <f t="shared" si="33"/>
        <v>0.31</v>
      </c>
      <c r="T205" s="159"/>
      <c r="U205" s="159"/>
      <c r="V205" s="159"/>
      <c r="W205" s="159"/>
      <c r="X205" s="159">
        <f t="shared" si="34"/>
        <v>10.53</v>
      </c>
      <c r="Y205" s="209"/>
      <c r="Z205" s="210" t="s">
        <v>619</v>
      </c>
      <c r="AA205" s="202">
        <v>10.53</v>
      </c>
      <c r="AB205" s="203">
        <f t="shared" si="35"/>
        <v>0</v>
      </c>
      <c r="AC205" s="124">
        <v>0.04</v>
      </c>
    </row>
    <row r="206" spans="1:29" s="124" customFormat="1" ht="28.2" customHeight="1">
      <c r="A206" s="154">
        <v>191</v>
      </c>
      <c r="B206" s="204"/>
      <c r="C206" s="204"/>
      <c r="D206" s="205"/>
      <c r="E206" s="155" t="str">
        <f>'Tên Tháng 1'!E194</f>
        <v>ហៃ សុខវី</v>
      </c>
      <c r="F206" s="157" t="str">
        <f>'Tên Tháng 1'!F194</f>
        <v>HAY SOK VY</v>
      </c>
      <c r="G206" s="206">
        <v>71</v>
      </c>
      <c r="H206" s="207"/>
      <c r="I206" s="159">
        <f t="shared" si="29"/>
        <v>0</v>
      </c>
      <c r="J206" s="207"/>
      <c r="K206" s="159">
        <f t="shared" si="28"/>
        <v>0</v>
      </c>
      <c r="L206" s="207">
        <f>'SAN LUONG'!AE201</f>
        <v>425.92</v>
      </c>
      <c r="M206" s="159">
        <f t="shared" si="30"/>
        <v>7.4</v>
      </c>
      <c r="N206" s="208">
        <f>'CHAM CONG'!AR200</f>
        <v>0</v>
      </c>
      <c r="O206" s="159">
        <f t="shared" si="31"/>
        <v>0</v>
      </c>
      <c r="P206" s="159">
        <f>'CHAM CONG'!AQ200</f>
        <v>11</v>
      </c>
      <c r="Q206" s="159">
        <f t="shared" si="32"/>
        <v>5.51</v>
      </c>
      <c r="R206" s="159">
        <f t="shared" si="36"/>
        <v>11</v>
      </c>
      <c r="S206" s="159">
        <f t="shared" si="33"/>
        <v>0.34</v>
      </c>
      <c r="T206" s="159"/>
      <c r="U206" s="159"/>
      <c r="V206" s="159"/>
      <c r="W206" s="159"/>
      <c r="X206" s="159">
        <f t="shared" si="34"/>
        <v>13.25</v>
      </c>
      <c r="Y206" s="209"/>
      <c r="Z206" s="210" t="s">
        <v>619</v>
      </c>
      <c r="AA206" s="202">
        <v>13.25</v>
      </c>
      <c r="AB206" s="203">
        <f t="shared" si="35"/>
        <v>0</v>
      </c>
      <c r="AC206" s="124">
        <v>0.01</v>
      </c>
    </row>
    <row r="207" spans="1:29" s="124" customFormat="1" ht="28.2" customHeight="1">
      <c r="A207" s="154">
        <v>192</v>
      </c>
      <c r="B207" s="204"/>
      <c r="C207" s="204"/>
      <c r="D207" s="205"/>
      <c r="E207" s="155" t="str">
        <f>'Tên Tháng 1'!E195</f>
        <v>ចយ សុខណា</v>
      </c>
      <c r="F207" s="157" t="str">
        <f>'Tên Tháng 1'!F195</f>
        <v>JOY SOKNA</v>
      </c>
      <c r="G207" s="206">
        <v>72</v>
      </c>
      <c r="H207" s="207"/>
      <c r="I207" s="159">
        <f t="shared" si="29"/>
        <v>0</v>
      </c>
      <c r="J207" s="207"/>
      <c r="K207" s="159">
        <f t="shared" si="28"/>
        <v>0</v>
      </c>
      <c r="L207" s="207">
        <f>'SAN LUONG'!AE202</f>
        <v>382.36</v>
      </c>
      <c r="M207" s="159">
        <f t="shared" si="30"/>
        <v>6.64</v>
      </c>
      <c r="N207" s="208">
        <f>'CHAM CONG'!AR201</f>
        <v>0</v>
      </c>
      <c r="O207" s="159">
        <f t="shared" si="31"/>
        <v>0</v>
      </c>
      <c r="P207" s="159">
        <f>'CHAM CONG'!AQ201</f>
        <v>11</v>
      </c>
      <c r="Q207" s="159">
        <f t="shared" si="32"/>
        <v>5.51</v>
      </c>
      <c r="R207" s="159">
        <f t="shared" si="36"/>
        <v>11</v>
      </c>
      <c r="S207" s="159">
        <f t="shared" si="33"/>
        <v>0.34</v>
      </c>
      <c r="T207" s="159"/>
      <c r="U207" s="159"/>
      <c r="V207" s="159"/>
      <c r="W207" s="159"/>
      <c r="X207" s="159">
        <f t="shared" si="34"/>
        <v>12.489999999999998</v>
      </c>
      <c r="Y207" s="209"/>
      <c r="Z207" s="210" t="s">
        <v>619</v>
      </c>
      <c r="AA207" s="202">
        <v>12.5</v>
      </c>
      <c r="AB207" s="203">
        <f t="shared" si="35"/>
        <v>0.01</v>
      </c>
      <c r="AC207" s="124">
        <v>0.01</v>
      </c>
    </row>
    <row r="208" spans="1:29" s="124" customFormat="1" ht="28.2" customHeight="1">
      <c r="A208" s="154">
        <v>193</v>
      </c>
      <c r="B208" s="204"/>
      <c r="C208" s="204"/>
      <c r="D208" s="205"/>
      <c r="E208" s="155" t="str">
        <f>'Tên Tháng 1'!E196</f>
        <v>តុប តង</v>
      </c>
      <c r="F208" s="157" t="str">
        <f>'Tên Tháng 1'!F196</f>
        <v>TOB TORNG</v>
      </c>
      <c r="G208" s="206">
        <v>73</v>
      </c>
      <c r="H208" s="207"/>
      <c r="I208" s="159">
        <f t="shared" si="29"/>
        <v>0</v>
      </c>
      <c r="J208" s="207"/>
      <c r="K208" s="159">
        <f t="shared" ref="K208:K271" si="37">ROUND(J208*$K$14/31947,2)</f>
        <v>0</v>
      </c>
      <c r="L208" s="207">
        <f>'SAN LUONG'!AE203</f>
        <v>372.24</v>
      </c>
      <c r="M208" s="159">
        <f t="shared" si="30"/>
        <v>6.47</v>
      </c>
      <c r="N208" s="208">
        <f>'CHAM CONG'!AR202</f>
        <v>0</v>
      </c>
      <c r="O208" s="159">
        <f t="shared" si="31"/>
        <v>0</v>
      </c>
      <c r="P208" s="159">
        <f>'CHAM CONG'!AQ202</f>
        <v>12</v>
      </c>
      <c r="Q208" s="159">
        <f t="shared" si="32"/>
        <v>6.01</v>
      </c>
      <c r="R208" s="159">
        <f t="shared" si="36"/>
        <v>12</v>
      </c>
      <c r="S208" s="159">
        <f t="shared" si="33"/>
        <v>0.38</v>
      </c>
      <c r="T208" s="159"/>
      <c r="U208" s="159"/>
      <c r="V208" s="159"/>
      <c r="W208" s="159"/>
      <c r="X208" s="159">
        <f t="shared" si="34"/>
        <v>12.860000000000001</v>
      </c>
      <c r="Y208" s="209"/>
      <c r="Z208" s="210" t="s">
        <v>619</v>
      </c>
      <c r="AA208" s="202">
        <v>12.85</v>
      </c>
      <c r="AB208" s="203">
        <f t="shared" si="35"/>
        <v>-0.01</v>
      </c>
      <c r="AC208" s="124">
        <v>-0.02</v>
      </c>
    </row>
    <row r="209" spans="1:29" s="124" customFormat="1" ht="28.2" customHeight="1">
      <c r="A209" s="154">
        <v>194</v>
      </c>
      <c r="B209" s="204"/>
      <c r="C209" s="204"/>
      <c r="D209" s="205"/>
      <c r="E209" s="155" t="str">
        <f>'Tên Tháng 1'!E197</f>
        <v>រ៉ែម រ៉ុម</v>
      </c>
      <c r="F209" s="157" t="str">
        <f>'Tên Tháng 1'!F197</f>
        <v>REM ROM</v>
      </c>
      <c r="G209" s="206">
        <v>74</v>
      </c>
      <c r="H209" s="207"/>
      <c r="I209" s="159">
        <f t="shared" ref="I209:I272" si="38">ROUND(H209*$I$14/31947,2)</f>
        <v>0</v>
      </c>
      <c r="J209" s="207"/>
      <c r="K209" s="159">
        <f t="shared" si="37"/>
        <v>0</v>
      </c>
      <c r="L209" s="207">
        <f>'SAN LUONG'!AE204</f>
        <v>435.6</v>
      </c>
      <c r="M209" s="159">
        <f t="shared" ref="M209:M272" si="39">ROUND(L209*$M$14/31947,2)</f>
        <v>7.57</v>
      </c>
      <c r="N209" s="208">
        <f>'CHAM CONG'!AR203</f>
        <v>0</v>
      </c>
      <c r="O209" s="159">
        <f t="shared" ref="O209:O272" si="40">ROUND(N209*$O$14/31947,2)</f>
        <v>0</v>
      </c>
      <c r="P209" s="159">
        <f>'CHAM CONG'!AQ203</f>
        <v>10</v>
      </c>
      <c r="Q209" s="159">
        <f t="shared" ref="Q209:Q272" si="41">ROUND(P209*$Q$14/31947,2)</f>
        <v>5.01</v>
      </c>
      <c r="R209" s="159">
        <f t="shared" si="36"/>
        <v>10</v>
      </c>
      <c r="S209" s="159">
        <f t="shared" ref="S209:S272" si="42">ROUND(R209*$S$14/31947,2)</f>
        <v>0.31</v>
      </c>
      <c r="T209" s="159"/>
      <c r="U209" s="159"/>
      <c r="V209" s="159"/>
      <c r="W209" s="159"/>
      <c r="X209" s="159">
        <f t="shared" ref="X209:X272" si="43">I209+K209+M209+Q209+S209+O209</f>
        <v>12.89</v>
      </c>
      <c r="Y209" s="209"/>
      <c r="Z209" s="210" t="s">
        <v>619</v>
      </c>
      <c r="AA209" s="202">
        <v>12.89</v>
      </c>
      <c r="AB209" s="203">
        <f t="shared" ref="AB209:AB272" si="44">ROUND(AA209-X209,2)</f>
        <v>0</v>
      </c>
      <c r="AC209" s="124">
        <v>0.04</v>
      </c>
    </row>
    <row r="210" spans="1:29" s="124" customFormat="1" ht="28.2" customHeight="1">
      <c r="A210" s="154">
        <v>195</v>
      </c>
      <c r="B210" s="204"/>
      <c r="C210" s="204"/>
      <c r="D210" s="205"/>
      <c r="E210" s="155" t="str">
        <f>'Tên Tháng 1'!E198</f>
        <v>ចយ សុខា</v>
      </c>
      <c r="F210" s="157" t="str">
        <f>'Tên Tháng 1'!F198</f>
        <v>CHORY SOKHA</v>
      </c>
      <c r="G210" s="206">
        <v>75</v>
      </c>
      <c r="H210" s="207"/>
      <c r="I210" s="159">
        <f t="shared" si="38"/>
        <v>0</v>
      </c>
      <c r="J210" s="207"/>
      <c r="K210" s="159">
        <f t="shared" si="37"/>
        <v>0</v>
      </c>
      <c r="L210" s="207">
        <f>'SAN LUONG'!AE205</f>
        <v>438.24</v>
      </c>
      <c r="M210" s="159">
        <f t="shared" si="39"/>
        <v>7.61</v>
      </c>
      <c r="N210" s="208">
        <f>'CHAM CONG'!AR204</f>
        <v>0</v>
      </c>
      <c r="O210" s="159">
        <f t="shared" si="40"/>
        <v>0</v>
      </c>
      <c r="P210" s="159">
        <f>'CHAM CONG'!AQ204</f>
        <v>10</v>
      </c>
      <c r="Q210" s="159">
        <f t="shared" si="41"/>
        <v>5.01</v>
      </c>
      <c r="R210" s="159">
        <f t="shared" ref="R210:R273" si="45">P210</f>
        <v>10</v>
      </c>
      <c r="S210" s="159">
        <f t="shared" si="42"/>
        <v>0.31</v>
      </c>
      <c r="T210" s="159"/>
      <c r="U210" s="159"/>
      <c r="V210" s="159"/>
      <c r="W210" s="159"/>
      <c r="X210" s="159">
        <f t="shared" si="43"/>
        <v>12.930000000000001</v>
      </c>
      <c r="Y210" s="209"/>
      <c r="Z210" s="210" t="s">
        <v>619</v>
      </c>
      <c r="AA210" s="202">
        <v>12.93</v>
      </c>
      <c r="AB210" s="203">
        <f t="shared" si="44"/>
        <v>0</v>
      </c>
      <c r="AC210" s="124">
        <v>0.04</v>
      </c>
    </row>
    <row r="211" spans="1:29" s="124" customFormat="1" ht="28.2" customHeight="1">
      <c r="A211" s="154">
        <v>196</v>
      </c>
      <c r="B211" s="204"/>
      <c r="C211" s="204"/>
      <c r="D211" s="205"/>
      <c r="E211" s="155" t="str">
        <f>'Tên Tháng 1'!E199</f>
        <v>ងិន ភា</v>
      </c>
      <c r="F211" s="157" t="str">
        <f>'Tên Tháng 1'!F199</f>
        <v>NGIN PHEA</v>
      </c>
      <c r="G211" s="206">
        <v>76</v>
      </c>
      <c r="H211" s="207"/>
      <c r="I211" s="159">
        <f t="shared" si="38"/>
        <v>0</v>
      </c>
      <c r="J211" s="207"/>
      <c r="K211" s="159">
        <f t="shared" si="37"/>
        <v>0</v>
      </c>
      <c r="L211" s="207">
        <f>'SAN LUONG'!AE206</f>
        <v>294.8</v>
      </c>
      <c r="M211" s="159">
        <f t="shared" si="39"/>
        <v>5.12</v>
      </c>
      <c r="N211" s="208">
        <f>'CHAM CONG'!AR205</f>
        <v>0</v>
      </c>
      <c r="O211" s="159">
        <f t="shared" si="40"/>
        <v>0</v>
      </c>
      <c r="P211" s="159">
        <f>'CHAM CONG'!AQ205</f>
        <v>13</v>
      </c>
      <c r="Q211" s="159">
        <f t="shared" si="41"/>
        <v>6.51</v>
      </c>
      <c r="R211" s="159">
        <f t="shared" si="45"/>
        <v>13</v>
      </c>
      <c r="S211" s="159">
        <f t="shared" si="42"/>
        <v>0.41</v>
      </c>
      <c r="T211" s="159"/>
      <c r="U211" s="159"/>
      <c r="V211" s="159"/>
      <c r="W211" s="159"/>
      <c r="X211" s="159">
        <f t="shared" si="43"/>
        <v>12.04</v>
      </c>
      <c r="Y211" s="209"/>
      <c r="Z211" s="210" t="s">
        <v>619</v>
      </c>
      <c r="AA211" s="202">
        <v>12.04</v>
      </c>
      <c r="AB211" s="203">
        <f t="shared" si="44"/>
        <v>0</v>
      </c>
      <c r="AC211" s="124">
        <v>-0.02</v>
      </c>
    </row>
    <row r="212" spans="1:29" s="124" customFormat="1" ht="28.2" customHeight="1">
      <c r="A212" s="154">
        <v>197</v>
      </c>
      <c r="B212" s="204"/>
      <c r="C212" s="204"/>
      <c r="D212" s="205"/>
      <c r="E212" s="155" t="str">
        <f>'Tên Tháng 1'!E200</f>
        <v>ប៉ិល សុដា</v>
      </c>
      <c r="F212" s="157" t="str">
        <f>'Tên Tháng 1'!F200</f>
        <v>PEL SODA</v>
      </c>
      <c r="G212" s="206">
        <v>77</v>
      </c>
      <c r="H212" s="207"/>
      <c r="I212" s="159">
        <f t="shared" si="38"/>
        <v>0</v>
      </c>
      <c r="J212" s="207"/>
      <c r="K212" s="159">
        <f t="shared" si="37"/>
        <v>0</v>
      </c>
      <c r="L212" s="207">
        <f>'SAN LUONG'!AE207</f>
        <v>422.4</v>
      </c>
      <c r="M212" s="159">
        <f t="shared" si="39"/>
        <v>7.34</v>
      </c>
      <c r="N212" s="208">
        <f>'CHAM CONG'!AR206</f>
        <v>0</v>
      </c>
      <c r="O212" s="159">
        <f t="shared" si="40"/>
        <v>0</v>
      </c>
      <c r="P212" s="159">
        <f>'CHAM CONG'!AQ206</f>
        <v>13</v>
      </c>
      <c r="Q212" s="159">
        <f t="shared" si="41"/>
        <v>6.51</v>
      </c>
      <c r="R212" s="159">
        <f t="shared" si="45"/>
        <v>13</v>
      </c>
      <c r="S212" s="159">
        <f t="shared" si="42"/>
        <v>0.41</v>
      </c>
      <c r="T212" s="159"/>
      <c r="U212" s="159"/>
      <c r="V212" s="159"/>
      <c r="W212" s="159"/>
      <c r="X212" s="159">
        <f t="shared" si="43"/>
        <v>14.26</v>
      </c>
      <c r="Y212" s="209"/>
      <c r="Z212" s="210" t="s">
        <v>619</v>
      </c>
      <c r="AA212" s="202">
        <v>14.26</v>
      </c>
      <c r="AB212" s="203">
        <f t="shared" si="44"/>
        <v>0</v>
      </c>
      <c r="AC212" s="124">
        <v>0</v>
      </c>
    </row>
    <row r="213" spans="1:29" s="124" customFormat="1" ht="28.2" customHeight="1">
      <c r="A213" s="154">
        <v>198</v>
      </c>
      <c r="B213" s="204"/>
      <c r="C213" s="204"/>
      <c r="D213" s="205"/>
      <c r="E213" s="155" t="str">
        <f>'Tên Tháng 1'!E201</f>
        <v>ទ្រី​ សុខខី</v>
      </c>
      <c r="F213" s="157" t="str">
        <f>'Tên Tháng 1'!F201</f>
        <v>TRY SOKKHEY</v>
      </c>
      <c r="G213" s="206">
        <v>78</v>
      </c>
      <c r="H213" s="207"/>
      <c r="I213" s="159">
        <f t="shared" si="38"/>
        <v>0</v>
      </c>
      <c r="J213" s="207"/>
      <c r="K213" s="159">
        <f t="shared" si="37"/>
        <v>0</v>
      </c>
      <c r="L213" s="207">
        <f>'SAN LUONG'!AE208</f>
        <v>286.44</v>
      </c>
      <c r="M213" s="159">
        <f t="shared" si="39"/>
        <v>4.9800000000000004</v>
      </c>
      <c r="N213" s="208">
        <f>'CHAM CONG'!AR207</f>
        <v>1</v>
      </c>
      <c r="O213" s="159">
        <f t="shared" si="40"/>
        <v>0.53</v>
      </c>
      <c r="P213" s="159">
        <f>'CHAM CONG'!AQ207</f>
        <v>11</v>
      </c>
      <c r="Q213" s="159">
        <f t="shared" si="41"/>
        <v>5.51</v>
      </c>
      <c r="R213" s="159">
        <f t="shared" si="45"/>
        <v>11</v>
      </c>
      <c r="S213" s="159">
        <f t="shared" si="42"/>
        <v>0.34</v>
      </c>
      <c r="T213" s="159"/>
      <c r="U213" s="159"/>
      <c r="V213" s="159"/>
      <c r="W213" s="159"/>
      <c r="X213" s="159">
        <f t="shared" si="43"/>
        <v>11.36</v>
      </c>
      <c r="Y213" s="209"/>
      <c r="Z213" s="210" t="s">
        <v>619</v>
      </c>
      <c r="AA213" s="202">
        <v>11.36</v>
      </c>
      <c r="AB213" s="203">
        <f t="shared" si="44"/>
        <v>0</v>
      </c>
      <c r="AC213" s="124">
        <v>-0.02</v>
      </c>
    </row>
    <row r="214" spans="1:29" s="124" customFormat="1" ht="28.2" customHeight="1">
      <c r="A214" s="154">
        <v>199</v>
      </c>
      <c r="B214" s="204"/>
      <c r="C214" s="204"/>
      <c r="D214" s="205"/>
      <c r="E214" s="155" t="str">
        <f>'Tên Tháng 1'!E202</f>
        <v>ដែង ស</v>
      </c>
      <c r="F214" s="157" t="str">
        <f>'Tên Tháng 1'!F202</f>
        <v>DENG SOR</v>
      </c>
      <c r="G214" s="206">
        <v>79</v>
      </c>
      <c r="H214" s="207"/>
      <c r="I214" s="159">
        <f t="shared" si="38"/>
        <v>0</v>
      </c>
      <c r="J214" s="207"/>
      <c r="K214" s="159">
        <f t="shared" si="37"/>
        <v>0</v>
      </c>
      <c r="L214" s="207">
        <f>'SAN LUONG'!AE209</f>
        <v>326.92</v>
      </c>
      <c r="M214" s="159">
        <f t="shared" si="39"/>
        <v>5.68</v>
      </c>
      <c r="N214" s="208">
        <f>'CHAM CONG'!AR208</f>
        <v>0</v>
      </c>
      <c r="O214" s="159">
        <f t="shared" si="40"/>
        <v>0</v>
      </c>
      <c r="P214" s="159">
        <f>'CHAM CONG'!AQ208</f>
        <v>11</v>
      </c>
      <c r="Q214" s="159">
        <f t="shared" si="41"/>
        <v>5.51</v>
      </c>
      <c r="R214" s="159">
        <f t="shared" si="45"/>
        <v>11</v>
      </c>
      <c r="S214" s="159">
        <f t="shared" si="42"/>
        <v>0.34</v>
      </c>
      <c r="T214" s="159"/>
      <c r="U214" s="159"/>
      <c r="V214" s="159"/>
      <c r="W214" s="159"/>
      <c r="X214" s="159">
        <f t="shared" si="43"/>
        <v>11.53</v>
      </c>
      <c r="Y214" s="209"/>
      <c r="Z214" s="210" t="s">
        <v>619</v>
      </c>
      <c r="AA214" s="202">
        <v>11.53</v>
      </c>
      <c r="AB214" s="203">
        <f t="shared" si="44"/>
        <v>0</v>
      </c>
      <c r="AC214" s="124">
        <v>0.01</v>
      </c>
    </row>
    <row r="215" spans="1:29" s="124" customFormat="1" ht="28.2" customHeight="1">
      <c r="A215" s="154">
        <v>200</v>
      </c>
      <c r="B215" s="204"/>
      <c r="C215" s="204"/>
      <c r="D215" s="205"/>
      <c r="E215" s="155" t="str">
        <f>'Tên Tháng 1'!E203</f>
        <v>អ៊ុក រដ្ឋ</v>
      </c>
      <c r="F215" s="157" t="str">
        <f>'Tên Tháng 1'!F203</f>
        <v>UK ROTH</v>
      </c>
      <c r="G215" s="206">
        <v>80</v>
      </c>
      <c r="H215" s="207"/>
      <c r="I215" s="159">
        <f t="shared" si="38"/>
        <v>0</v>
      </c>
      <c r="J215" s="207"/>
      <c r="K215" s="159">
        <f t="shared" si="37"/>
        <v>0</v>
      </c>
      <c r="L215" s="207">
        <f>'SAN LUONG'!AE210</f>
        <v>393.8</v>
      </c>
      <c r="M215" s="159">
        <f t="shared" si="39"/>
        <v>6.84</v>
      </c>
      <c r="N215" s="208">
        <f>'CHAM CONG'!AR209</f>
        <v>2</v>
      </c>
      <c r="O215" s="159">
        <f t="shared" si="40"/>
        <v>1.06</v>
      </c>
      <c r="P215" s="159">
        <f>'CHAM CONG'!AQ209</f>
        <v>11</v>
      </c>
      <c r="Q215" s="159">
        <f t="shared" si="41"/>
        <v>5.51</v>
      </c>
      <c r="R215" s="159">
        <f t="shared" si="45"/>
        <v>11</v>
      </c>
      <c r="S215" s="159">
        <f t="shared" si="42"/>
        <v>0.34</v>
      </c>
      <c r="T215" s="159"/>
      <c r="U215" s="159"/>
      <c r="V215" s="159"/>
      <c r="W215" s="159"/>
      <c r="X215" s="159">
        <f t="shared" si="43"/>
        <v>13.75</v>
      </c>
      <c r="Y215" s="209"/>
      <c r="Z215" s="210" t="s">
        <v>619</v>
      </c>
      <c r="AA215" s="202">
        <v>13.76</v>
      </c>
      <c r="AB215" s="203">
        <f t="shared" si="44"/>
        <v>0.01</v>
      </c>
      <c r="AC215" s="124">
        <v>0.05</v>
      </c>
    </row>
    <row r="216" spans="1:29" s="124" customFormat="1" ht="28.2" customHeight="1">
      <c r="A216" s="154">
        <v>201</v>
      </c>
      <c r="B216" s="204"/>
      <c r="C216" s="204"/>
      <c r="D216" s="205"/>
      <c r="E216" s="155" t="str">
        <f>'Tên Tháng 1'!E204</f>
        <v>ដែង សន</v>
      </c>
      <c r="F216" s="157" t="str">
        <f>'Tên Tháng 1'!F204</f>
        <v>DENG SAN</v>
      </c>
      <c r="G216" s="206">
        <v>81</v>
      </c>
      <c r="H216" s="207"/>
      <c r="I216" s="159">
        <f t="shared" si="38"/>
        <v>0</v>
      </c>
      <c r="J216" s="207"/>
      <c r="K216" s="159">
        <f t="shared" si="37"/>
        <v>0</v>
      </c>
      <c r="L216" s="207">
        <f>'SAN LUONG'!AE211</f>
        <v>414.04</v>
      </c>
      <c r="M216" s="159">
        <f t="shared" si="39"/>
        <v>7.19</v>
      </c>
      <c r="N216" s="208">
        <f>'CHAM CONG'!AR210</f>
        <v>2</v>
      </c>
      <c r="O216" s="159">
        <f t="shared" si="40"/>
        <v>1.06</v>
      </c>
      <c r="P216" s="159">
        <f>'CHAM CONG'!AQ210</f>
        <v>11</v>
      </c>
      <c r="Q216" s="159">
        <f t="shared" si="41"/>
        <v>5.51</v>
      </c>
      <c r="R216" s="159">
        <f t="shared" si="45"/>
        <v>11</v>
      </c>
      <c r="S216" s="159">
        <f t="shared" si="42"/>
        <v>0.34</v>
      </c>
      <c r="T216" s="159"/>
      <c r="U216" s="159"/>
      <c r="V216" s="159"/>
      <c r="W216" s="159"/>
      <c r="X216" s="159">
        <f t="shared" si="43"/>
        <v>14.1</v>
      </c>
      <c r="Y216" s="209"/>
      <c r="Z216" s="210" t="s">
        <v>619</v>
      </c>
      <c r="AA216" s="202">
        <v>14.11</v>
      </c>
      <c r="AB216" s="203">
        <f t="shared" si="44"/>
        <v>0.01</v>
      </c>
      <c r="AC216" s="124">
        <v>-0.02</v>
      </c>
    </row>
    <row r="217" spans="1:29" s="124" customFormat="1" ht="32.4" customHeight="1">
      <c r="A217" s="154">
        <v>202</v>
      </c>
      <c r="B217" s="204"/>
      <c r="C217" s="204"/>
      <c r="D217" s="205"/>
      <c r="E217" s="155" t="str">
        <f>'Tên Tháng 1'!E205</f>
        <v>ញូន ស្រីខួច</v>
      </c>
      <c r="F217" s="157" t="str">
        <f>'Tên Tháng 1'!F205</f>
        <v>NHOUN SREYKHOUCH</v>
      </c>
      <c r="G217" s="206">
        <v>82</v>
      </c>
      <c r="H217" s="207"/>
      <c r="I217" s="159">
        <f t="shared" si="38"/>
        <v>0</v>
      </c>
      <c r="J217" s="207"/>
      <c r="K217" s="159">
        <f t="shared" si="37"/>
        <v>0</v>
      </c>
      <c r="L217" s="207">
        <f>'SAN LUONG'!AE212</f>
        <v>286.44</v>
      </c>
      <c r="M217" s="159">
        <f t="shared" si="39"/>
        <v>4.9800000000000004</v>
      </c>
      <c r="N217" s="208">
        <f>'CHAM CONG'!AR211</f>
        <v>0</v>
      </c>
      <c r="O217" s="159">
        <f t="shared" si="40"/>
        <v>0</v>
      </c>
      <c r="P217" s="159">
        <f>'CHAM CONG'!AQ211</f>
        <v>11</v>
      </c>
      <c r="Q217" s="159">
        <f t="shared" si="41"/>
        <v>5.51</v>
      </c>
      <c r="R217" s="159">
        <f t="shared" si="45"/>
        <v>11</v>
      </c>
      <c r="S217" s="159">
        <f t="shared" si="42"/>
        <v>0.34</v>
      </c>
      <c r="T217" s="159"/>
      <c r="U217" s="159"/>
      <c r="V217" s="159"/>
      <c r="W217" s="159"/>
      <c r="X217" s="159">
        <f t="shared" si="43"/>
        <v>10.83</v>
      </c>
      <c r="Y217" s="209"/>
      <c r="Z217" s="210" t="s">
        <v>619</v>
      </c>
      <c r="AA217" s="202">
        <v>10.83</v>
      </c>
      <c r="AB217" s="203">
        <f t="shared" si="44"/>
        <v>0</v>
      </c>
      <c r="AC217" s="124">
        <v>0</v>
      </c>
    </row>
    <row r="218" spans="1:29" s="124" customFormat="1" ht="31.95" customHeight="1">
      <c r="A218" s="154">
        <v>203</v>
      </c>
      <c r="B218" s="204"/>
      <c r="C218" s="204"/>
      <c r="D218" s="205"/>
      <c r="E218" s="155" t="str">
        <f>'Tên Tháng 1'!E206</f>
        <v>សេក សាមន់</v>
      </c>
      <c r="F218" s="157" t="str">
        <f>'Tên Tháng 1'!F206</f>
        <v>SEK SAMON</v>
      </c>
      <c r="G218" s="206">
        <v>83</v>
      </c>
      <c r="H218" s="207"/>
      <c r="I218" s="159">
        <f t="shared" si="38"/>
        <v>0</v>
      </c>
      <c r="J218" s="207"/>
      <c r="K218" s="159">
        <f t="shared" si="37"/>
        <v>0</v>
      </c>
      <c r="L218" s="207">
        <f>'SAN LUONG'!AE213</f>
        <v>386.76</v>
      </c>
      <c r="M218" s="159">
        <f t="shared" si="39"/>
        <v>6.72</v>
      </c>
      <c r="N218" s="208">
        <f>'CHAM CONG'!AR212</f>
        <v>1</v>
      </c>
      <c r="O218" s="159">
        <f t="shared" si="40"/>
        <v>0.53</v>
      </c>
      <c r="P218" s="159">
        <f>'CHAM CONG'!AQ212</f>
        <v>11</v>
      </c>
      <c r="Q218" s="159">
        <f t="shared" si="41"/>
        <v>5.51</v>
      </c>
      <c r="R218" s="159">
        <f t="shared" si="45"/>
        <v>11</v>
      </c>
      <c r="S218" s="159">
        <f t="shared" si="42"/>
        <v>0.34</v>
      </c>
      <c r="T218" s="159"/>
      <c r="U218" s="159"/>
      <c r="V218" s="159"/>
      <c r="W218" s="159"/>
      <c r="X218" s="159">
        <f t="shared" si="43"/>
        <v>13.1</v>
      </c>
      <c r="Y218" s="209"/>
      <c r="Z218" s="210" t="s">
        <v>619</v>
      </c>
      <c r="AA218" s="202">
        <v>13.1</v>
      </c>
      <c r="AB218" s="203">
        <f t="shared" si="44"/>
        <v>0</v>
      </c>
      <c r="AC218" s="124">
        <v>-0.02</v>
      </c>
    </row>
    <row r="219" spans="1:29" s="124" customFormat="1" ht="31.95" customHeight="1">
      <c r="A219" s="154">
        <v>204</v>
      </c>
      <c r="B219" s="204"/>
      <c r="C219" s="204"/>
      <c r="D219" s="205"/>
      <c r="E219" s="155" t="str">
        <f>'Tên Tháng 1'!E207</f>
        <v>សាត ម៉េងហួង</v>
      </c>
      <c r="F219" s="157" t="str">
        <f>'Tên Tháng 1'!F207</f>
        <v>SAT MENGHOUR</v>
      </c>
      <c r="G219" s="206">
        <v>84</v>
      </c>
      <c r="H219" s="207"/>
      <c r="I219" s="159">
        <f t="shared" si="38"/>
        <v>0</v>
      </c>
      <c r="J219" s="207"/>
      <c r="K219" s="159">
        <f t="shared" si="37"/>
        <v>0</v>
      </c>
      <c r="L219" s="207">
        <f>'SAN LUONG'!AE214</f>
        <v>381.04</v>
      </c>
      <c r="M219" s="159">
        <f t="shared" si="39"/>
        <v>6.62</v>
      </c>
      <c r="N219" s="208">
        <f>'CHAM CONG'!AR213</f>
        <v>1</v>
      </c>
      <c r="O219" s="159">
        <f t="shared" si="40"/>
        <v>0.53</v>
      </c>
      <c r="P219" s="159">
        <f>'CHAM CONG'!AQ213</f>
        <v>10</v>
      </c>
      <c r="Q219" s="159">
        <f t="shared" si="41"/>
        <v>5.01</v>
      </c>
      <c r="R219" s="159">
        <f t="shared" si="45"/>
        <v>10</v>
      </c>
      <c r="S219" s="159">
        <f t="shared" si="42"/>
        <v>0.31</v>
      </c>
      <c r="T219" s="159"/>
      <c r="U219" s="159"/>
      <c r="V219" s="159"/>
      <c r="W219" s="159"/>
      <c r="X219" s="159">
        <f t="shared" si="43"/>
        <v>12.469999999999999</v>
      </c>
      <c r="Y219" s="209"/>
      <c r="Z219" s="210" t="s">
        <v>619</v>
      </c>
      <c r="AA219" s="202">
        <v>12.47</v>
      </c>
      <c r="AB219" s="203">
        <f t="shared" si="44"/>
        <v>0</v>
      </c>
      <c r="AC219" s="124">
        <v>0.04</v>
      </c>
    </row>
    <row r="220" spans="1:29" s="124" customFormat="1" ht="31.95" customHeight="1">
      <c r="A220" s="154">
        <v>205</v>
      </c>
      <c r="B220" s="204"/>
      <c r="C220" s="204"/>
      <c r="D220" s="205"/>
      <c r="E220" s="155" t="str">
        <f>'Tên Tháng 1'!E208</f>
        <v>ខ្វាន់ ណាក់</v>
      </c>
      <c r="F220" s="157" t="str">
        <f>'Tên Tháng 1'!F208</f>
        <v>KHVANN NAK</v>
      </c>
      <c r="G220" s="206">
        <v>85</v>
      </c>
      <c r="H220" s="207"/>
      <c r="I220" s="159">
        <f t="shared" si="38"/>
        <v>0</v>
      </c>
      <c r="J220" s="207"/>
      <c r="K220" s="159">
        <f t="shared" si="37"/>
        <v>0</v>
      </c>
      <c r="L220" s="207">
        <f>'SAN LUONG'!AE215</f>
        <v>371.36</v>
      </c>
      <c r="M220" s="159">
        <f t="shared" si="39"/>
        <v>6.45</v>
      </c>
      <c r="N220" s="208">
        <f>'CHAM CONG'!AR214</f>
        <v>0</v>
      </c>
      <c r="O220" s="159">
        <f t="shared" si="40"/>
        <v>0</v>
      </c>
      <c r="P220" s="159">
        <f>'CHAM CONG'!AQ214</f>
        <v>12</v>
      </c>
      <c r="Q220" s="159">
        <f t="shared" si="41"/>
        <v>6.01</v>
      </c>
      <c r="R220" s="159">
        <f t="shared" si="45"/>
        <v>12</v>
      </c>
      <c r="S220" s="159">
        <f t="shared" si="42"/>
        <v>0.38</v>
      </c>
      <c r="T220" s="159"/>
      <c r="U220" s="159"/>
      <c r="V220" s="159"/>
      <c r="W220" s="159"/>
      <c r="X220" s="159">
        <f t="shared" si="43"/>
        <v>12.840000000000002</v>
      </c>
      <c r="Y220" s="209"/>
      <c r="Z220" s="210" t="s">
        <v>619</v>
      </c>
      <c r="AA220" s="202">
        <v>12.84</v>
      </c>
      <c r="AB220" s="203">
        <f t="shared" si="44"/>
        <v>0</v>
      </c>
      <c r="AC220" s="124">
        <v>0</v>
      </c>
    </row>
    <row r="221" spans="1:29" s="124" customFormat="1" ht="31.95" customHeight="1">
      <c r="A221" s="154">
        <v>206</v>
      </c>
      <c r="B221" s="204"/>
      <c r="C221" s="204"/>
      <c r="D221" s="205"/>
      <c r="E221" s="155" t="str">
        <f>'Tên Tháng 1'!E209</f>
        <v>ខា សឿន</v>
      </c>
      <c r="F221" s="157" t="str">
        <f>'Tên Tháng 1'!F209</f>
        <v>KHA SOEUN</v>
      </c>
      <c r="G221" s="206">
        <v>86</v>
      </c>
      <c r="H221" s="207"/>
      <c r="I221" s="159">
        <f t="shared" si="38"/>
        <v>0</v>
      </c>
      <c r="J221" s="207"/>
      <c r="K221" s="159">
        <f t="shared" si="37"/>
        <v>0</v>
      </c>
      <c r="L221" s="207">
        <f>'SAN LUONG'!AE216</f>
        <v>379.72</v>
      </c>
      <c r="M221" s="159">
        <f t="shared" si="39"/>
        <v>6.6</v>
      </c>
      <c r="N221" s="208">
        <f>'CHAM CONG'!AR215</f>
        <v>0</v>
      </c>
      <c r="O221" s="159">
        <f t="shared" si="40"/>
        <v>0</v>
      </c>
      <c r="P221" s="159">
        <f>'CHAM CONG'!AQ215</f>
        <v>10</v>
      </c>
      <c r="Q221" s="159">
        <f t="shared" si="41"/>
        <v>5.01</v>
      </c>
      <c r="R221" s="159">
        <f t="shared" si="45"/>
        <v>10</v>
      </c>
      <c r="S221" s="159">
        <f t="shared" si="42"/>
        <v>0.31</v>
      </c>
      <c r="T221" s="159"/>
      <c r="U221" s="159"/>
      <c r="V221" s="159"/>
      <c r="W221" s="159"/>
      <c r="X221" s="159">
        <f t="shared" si="43"/>
        <v>11.92</v>
      </c>
      <c r="Y221" s="209"/>
      <c r="Z221" s="210" t="s">
        <v>619</v>
      </c>
      <c r="AA221" s="202">
        <v>11.92</v>
      </c>
      <c r="AB221" s="203">
        <f t="shared" si="44"/>
        <v>0</v>
      </c>
      <c r="AC221" s="124">
        <v>0</v>
      </c>
    </row>
    <row r="222" spans="1:29" s="124" customFormat="1" ht="34.950000000000003" customHeight="1">
      <c r="A222" s="154">
        <v>207</v>
      </c>
      <c r="B222" s="204"/>
      <c r="C222" s="204"/>
      <c r="D222" s="205"/>
      <c r="E222" s="155" t="str">
        <f>'Tên Tháng 1'!E210</f>
        <v>ឈូក ឆោម</v>
      </c>
      <c r="F222" s="157" t="str">
        <f>'Tên Tháng 1'!F210</f>
        <v>CHHOUK CHHAOM</v>
      </c>
      <c r="G222" s="206">
        <v>87</v>
      </c>
      <c r="H222" s="207"/>
      <c r="I222" s="159">
        <f t="shared" si="38"/>
        <v>0</v>
      </c>
      <c r="J222" s="207"/>
      <c r="K222" s="159">
        <f t="shared" si="37"/>
        <v>0</v>
      </c>
      <c r="L222" s="207">
        <f>'SAN LUONG'!AE217</f>
        <v>403.92</v>
      </c>
      <c r="M222" s="159">
        <f t="shared" si="39"/>
        <v>7.02</v>
      </c>
      <c r="N222" s="208">
        <f>'CHAM CONG'!AR216</f>
        <v>0</v>
      </c>
      <c r="O222" s="159">
        <f t="shared" si="40"/>
        <v>0</v>
      </c>
      <c r="P222" s="159">
        <f>'CHAM CONG'!AQ216</f>
        <v>14</v>
      </c>
      <c r="Q222" s="159">
        <f t="shared" si="41"/>
        <v>7.01</v>
      </c>
      <c r="R222" s="159">
        <f t="shared" si="45"/>
        <v>14</v>
      </c>
      <c r="S222" s="159">
        <f t="shared" si="42"/>
        <v>0.44</v>
      </c>
      <c r="T222" s="159"/>
      <c r="U222" s="159"/>
      <c r="V222" s="159"/>
      <c r="W222" s="159"/>
      <c r="X222" s="159">
        <f t="shared" si="43"/>
        <v>14.469999999999999</v>
      </c>
      <c r="Y222" s="209"/>
      <c r="Z222" s="210" t="s">
        <v>619</v>
      </c>
      <c r="AA222" s="202">
        <v>14.47</v>
      </c>
      <c r="AB222" s="203">
        <f t="shared" si="44"/>
        <v>0</v>
      </c>
      <c r="AC222" s="124">
        <v>0.04</v>
      </c>
    </row>
    <row r="223" spans="1:29" s="124" customFormat="1" ht="31.95" customHeight="1">
      <c r="A223" s="154">
        <v>208</v>
      </c>
      <c r="B223" s="204"/>
      <c r="C223" s="204"/>
      <c r="D223" s="205"/>
      <c r="E223" s="155" t="str">
        <f>'Tên Tháng 1'!E211</f>
        <v>ឡា រ៉ាសែន</v>
      </c>
      <c r="F223" s="157" t="str">
        <f>'Tên Tháng 1'!F211</f>
        <v>LA RASAEN</v>
      </c>
      <c r="G223" s="206">
        <v>88</v>
      </c>
      <c r="H223" s="207"/>
      <c r="I223" s="159">
        <f t="shared" si="38"/>
        <v>0</v>
      </c>
      <c r="J223" s="207"/>
      <c r="K223" s="159">
        <f t="shared" si="37"/>
        <v>0</v>
      </c>
      <c r="L223" s="207">
        <f>'SAN LUONG'!AE218</f>
        <v>417.56</v>
      </c>
      <c r="M223" s="159">
        <f t="shared" si="39"/>
        <v>7.25</v>
      </c>
      <c r="N223" s="208">
        <f>'CHAM CONG'!AR217</f>
        <v>1</v>
      </c>
      <c r="O223" s="159">
        <f t="shared" si="40"/>
        <v>0.53</v>
      </c>
      <c r="P223" s="159">
        <f>'CHAM CONG'!AQ217</f>
        <v>11</v>
      </c>
      <c r="Q223" s="159">
        <f t="shared" si="41"/>
        <v>5.51</v>
      </c>
      <c r="R223" s="159">
        <f t="shared" si="45"/>
        <v>11</v>
      </c>
      <c r="S223" s="159">
        <f t="shared" si="42"/>
        <v>0.34</v>
      </c>
      <c r="T223" s="159"/>
      <c r="U223" s="159"/>
      <c r="V223" s="159"/>
      <c r="W223" s="159"/>
      <c r="X223" s="159">
        <f t="shared" si="43"/>
        <v>13.629999999999999</v>
      </c>
      <c r="Y223" s="209"/>
      <c r="Z223" s="210" t="s">
        <v>619</v>
      </c>
      <c r="AA223" s="202">
        <v>13.64</v>
      </c>
      <c r="AB223" s="203">
        <f t="shared" si="44"/>
        <v>0.01</v>
      </c>
      <c r="AC223" s="124">
        <v>-0.02</v>
      </c>
    </row>
    <row r="224" spans="1:29" s="124" customFormat="1" ht="31.95" customHeight="1">
      <c r="A224" s="154">
        <v>209</v>
      </c>
      <c r="B224" s="204"/>
      <c r="C224" s="204"/>
      <c r="D224" s="205"/>
      <c r="E224" s="155" t="str">
        <f>'Tên Tháng 1'!E212</f>
        <v>អ៊ី សុខួច</v>
      </c>
      <c r="F224" s="157" t="str">
        <f>'Tên Tháng 1'!F212</f>
        <v>Y SOKHOUCH</v>
      </c>
      <c r="G224" s="206">
        <v>89</v>
      </c>
      <c r="H224" s="207"/>
      <c r="I224" s="159">
        <f t="shared" si="38"/>
        <v>0</v>
      </c>
      <c r="J224" s="207"/>
      <c r="K224" s="159">
        <f t="shared" si="37"/>
        <v>0</v>
      </c>
      <c r="L224" s="207">
        <f>'SAN LUONG'!AE219</f>
        <v>371.8</v>
      </c>
      <c r="M224" s="159">
        <f t="shared" si="39"/>
        <v>6.46</v>
      </c>
      <c r="N224" s="208">
        <f>'CHAM CONG'!AR218</f>
        <v>0</v>
      </c>
      <c r="O224" s="159">
        <f t="shared" si="40"/>
        <v>0</v>
      </c>
      <c r="P224" s="159">
        <f>'CHAM CONG'!AQ218</f>
        <v>11</v>
      </c>
      <c r="Q224" s="159">
        <f t="shared" si="41"/>
        <v>5.51</v>
      </c>
      <c r="R224" s="159">
        <f t="shared" si="45"/>
        <v>11</v>
      </c>
      <c r="S224" s="159">
        <f t="shared" si="42"/>
        <v>0.34</v>
      </c>
      <c r="T224" s="159"/>
      <c r="U224" s="159"/>
      <c r="V224" s="159"/>
      <c r="W224" s="159"/>
      <c r="X224" s="159">
        <f t="shared" si="43"/>
        <v>12.309999999999999</v>
      </c>
      <c r="Y224" s="209"/>
      <c r="Z224" s="210" t="s">
        <v>619</v>
      </c>
      <c r="AA224" s="202">
        <v>12.31</v>
      </c>
      <c r="AB224" s="203">
        <f t="shared" si="44"/>
        <v>0</v>
      </c>
      <c r="AC224" s="124">
        <v>-0.05</v>
      </c>
    </row>
    <row r="225" spans="1:29" s="124" customFormat="1" ht="32.4" customHeight="1">
      <c r="A225" s="154">
        <v>210</v>
      </c>
      <c r="B225" s="204"/>
      <c r="C225" s="204"/>
      <c r="D225" s="205"/>
      <c r="E225" s="155" t="str">
        <f>'Tên Tháng 1'!E213</f>
        <v>សាំ សាន</v>
      </c>
      <c r="F225" s="157" t="str">
        <f>'Tên Tháng 1'!F213</f>
        <v>SOM SAN</v>
      </c>
      <c r="G225" s="206">
        <v>90</v>
      </c>
      <c r="H225" s="207"/>
      <c r="I225" s="159">
        <f t="shared" si="38"/>
        <v>0</v>
      </c>
      <c r="J225" s="207"/>
      <c r="K225" s="159">
        <f t="shared" si="37"/>
        <v>0</v>
      </c>
      <c r="L225" s="207">
        <f>'SAN LUONG'!AE220</f>
        <v>527.55999999999995</v>
      </c>
      <c r="M225" s="159">
        <f t="shared" si="39"/>
        <v>9.17</v>
      </c>
      <c r="N225" s="208">
        <f>'CHAM CONG'!AR219</f>
        <v>0</v>
      </c>
      <c r="O225" s="159">
        <f t="shared" si="40"/>
        <v>0</v>
      </c>
      <c r="P225" s="159">
        <f>'CHAM CONG'!AQ219</f>
        <v>14</v>
      </c>
      <c r="Q225" s="159">
        <f t="shared" si="41"/>
        <v>7.01</v>
      </c>
      <c r="R225" s="159">
        <f t="shared" si="45"/>
        <v>14</v>
      </c>
      <c r="S225" s="159">
        <f t="shared" si="42"/>
        <v>0.44</v>
      </c>
      <c r="T225" s="159"/>
      <c r="U225" s="159"/>
      <c r="V225" s="159"/>
      <c r="W225" s="159"/>
      <c r="X225" s="159">
        <f t="shared" si="43"/>
        <v>16.62</v>
      </c>
      <c r="Y225" s="209"/>
      <c r="Z225" s="210" t="s">
        <v>619</v>
      </c>
      <c r="AA225" s="202">
        <v>16.61</v>
      </c>
      <c r="AB225" s="203">
        <f t="shared" si="44"/>
        <v>-0.01</v>
      </c>
      <c r="AC225" s="124">
        <v>-0.02</v>
      </c>
    </row>
    <row r="226" spans="1:29" s="124" customFormat="1" ht="32.4" customHeight="1">
      <c r="A226" s="154">
        <v>211</v>
      </c>
      <c r="B226" s="204"/>
      <c r="C226" s="204"/>
      <c r="D226" s="205"/>
      <c r="E226" s="155" t="str">
        <f>'Tên Tháng 1'!E214</f>
        <v>សំអុន កាសេន</v>
      </c>
      <c r="F226" s="157" t="str">
        <f>'Tên Tháng 1'!F214</f>
        <v>SAMUN KASEN</v>
      </c>
      <c r="G226" s="206">
        <v>91</v>
      </c>
      <c r="H226" s="207"/>
      <c r="I226" s="159">
        <f t="shared" si="38"/>
        <v>0</v>
      </c>
      <c r="J226" s="207"/>
      <c r="K226" s="159">
        <f t="shared" si="37"/>
        <v>0</v>
      </c>
      <c r="L226" s="207">
        <f>'SAN LUONG'!AE221</f>
        <v>513.04</v>
      </c>
      <c r="M226" s="159">
        <f t="shared" si="39"/>
        <v>8.91</v>
      </c>
      <c r="N226" s="208">
        <f>'CHAM CONG'!AR220</f>
        <v>0</v>
      </c>
      <c r="O226" s="159">
        <f t="shared" si="40"/>
        <v>0</v>
      </c>
      <c r="P226" s="159">
        <f>'CHAM CONG'!AQ220</f>
        <v>14</v>
      </c>
      <c r="Q226" s="159">
        <f t="shared" si="41"/>
        <v>7.01</v>
      </c>
      <c r="R226" s="159">
        <f t="shared" si="45"/>
        <v>14</v>
      </c>
      <c r="S226" s="159">
        <f t="shared" si="42"/>
        <v>0.44</v>
      </c>
      <c r="T226" s="159"/>
      <c r="U226" s="159"/>
      <c r="V226" s="159"/>
      <c r="W226" s="159"/>
      <c r="X226" s="159">
        <f t="shared" si="43"/>
        <v>16.36</v>
      </c>
      <c r="Y226" s="209"/>
      <c r="Z226" s="210" t="s">
        <v>619</v>
      </c>
      <c r="AA226" s="202">
        <v>16.36</v>
      </c>
      <c r="AB226" s="203">
        <f t="shared" si="44"/>
        <v>0</v>
      </c>
      <c r="AC226" s="124">
        <v>-0.03</v>
      </c>
    </row>
    <row r="227" spans="1:29" s="124" customFormat="1" ht="29.4" customHeight="1">
      <c r="A227" s="154">
        <v>212</v>
      </c>
      <c r="B227" s="204"/>
      <c r="C227" s="204"/>
      <c r="D227" s="205"/>
      <c r="E227" s="155" t="str">
        <f>'Tên Tháng 1'!E215</f>
        <v>ប៉ែន វី</v>
      </c>
      <c r="F227" s="157" t="str">
        <f>'Tên Tháng 1'!F215</f>
        <v>PEN VY</v>
      </c>
      <c r="G227" s="206">
        <v>92</v>
      </c>
      <c r="H227" s="207"/>
      <c r="I227" s="159">
        <f t="shared" si="38"/>
        <v>0</v>
      </c>
      <c r="J227" s="207"/>
      <c r="K227" s="159">
        <f t="shared" si="37"/>
        <v>0</v>
      </c>
      <c r="L227" s="207">
        <f>'SAN LUONG'!AE222</f>
        <v>507.76</v>
      </c>
      <c r="M227" s="159">
        <f t="shared" si="39"/>
        <v>8.82</v>
      </c>
      <c r="N227" s="208">
        <f>'CHAM CONG'!AR221</f>
        <v>0</v>
      </c>
      <c r="O227" s="159">
        <f t="shared" si="40"/>
        <v>0</v>
      </c>
      <c r="P227" s="159">
        <f>'CHAM CONG'!AQ221</f>
        <v>12</v>
      </c>
      <c r="Q227" s="159">
        <f t="shared" si="41"/>
        <v>6.01</v>
      </c>
      <c r="R227" s="159">
        <f t="shared" si="45"/>
        <v>12</v>
      </c>
      <c r="S227" s="159">
        <f t="shared" si="42"/>
        <v>0.38</v>
      </c>
      <c r="T227" s="159"/>
      <c r="U227" s="159"/>
      <c r="V227" s="159"/>
      <c r="W227" s="159"/>
      <c r="X227" s="159">
        <f t="shared" si="43"/>
        <v>15.21</v>
      </c>
      <c r="Y227" s="209"/>
      <c r="Z227" s="210" t="s">
        <v>619</v>
      </c>
      <c r="AA227" s="202">
        <v>15.21</v>
      </c>
      <c r="AB227" s="203">
        <f t="shared" si="44"/>
        <v>0</v>
      </c>
      <c r="AC227" s="124">
        <v>0</v>
      </c>
    </row>
    <row r="228" spans="1:29" s="124" customFormat="1" ht="29.4" customHeight="1">
      <c r="A228" s="154">
        <v>213</v>
      </c>
      <c r="B228" s="204"/>
      <c r="C228" s="204"/>
      <c r="D228" s="205"/>
      <c r="E228" s="155" t="str">
        <f>'Tên Tháng 1'!E216</f>
        <v>លី​ ភៀត</v>
      </c>
      <c r="F228" s="157" t="str">
        <f>'Tên Tháng 1'!F216</f>
        <v>LY PHIET</v>
      </c>
      <c r="G228" s="206">
        <v>93</v>
      </c>
      <c r="H228" s="207"/>
      <c r="I228" s="159">
        <f t="shared" si="38"/>
        <v>0</v>
      </c>
      <c r="J228" s="207"/>
      <c r="K228" s="159">
        <f t="shared" si="37"/>
        <v>0</v>
      </c>
      <c r="L228" s="207">
        <f>'SAN LUONG'!AE223</f>
        <v>483.12</v>
      </c>
      <c r="M228" s="159">
        <f t="shared" si="39"/>
        <v>8.39</v>
      </c>
      <c r="N228" s="208">
        <f>'CHAM CONG'!AR222</f>
        <v>2</v>
      </c>
      <c r="O228" s="159">
        <f t="shared" si="40"/>
        <v>1.06</v>
      </c>
      <c r="P228" s="159">
        <f>'CHAM CONG'!AQ222</f>
        <v>12</v>
      </c>
      <c r="Q228" s="159">
        <f t="shared" si="41"/>
        <v>6.01</v>
      </c>
      <c r="R228" s="159">
        <f t="shared" si="45"/>
        <v>12</v>
      </c>
      <c r="S228" s="159">
        <f t="shared" si="42"/>
        <v>0.38</v>
      </c>
      <c r="T228" s="159"/>
      <c r="U228" s="159"/>
      <c r="V228" s="159"/>
      <c r="W228" s="159"/>
      <c r="X228" s="159">
        <f t="shared" si="43"/>
        <v>15.840000000000002</v>
      </c>
      <c r="Y228" s="209"/>
      <c r="Z228" s="210" t="s">
        <v>619</v>
      </c>
      <c r="AA228" s="202">
        <v>15.84</v>
      </c>
      <c r="AB228" s="203">
        <f t="shared" si="44"/>
        <v>0</v>
      </c>
      <c r="AC228" s="124">
        <v>0.04</v>
      </c>
    </row>
    <row r="229" spans="1:29" s="124" customFormat="1" ht="29.4" customHeight="1">
      <c r="A229" s="154">
        <v>214</v>
      </c>
      <c r="B229" s="204"/>
      <c r="C229" s="204"/>
      <c r="D229" s="205"/>
      <c r="E229" s="155" t="str">
        <f>'Tên Tháng 1'!E217</f>
        <v>ហ៊ុយ ចយ</v>
      </c>
      <c r="F229" s="157" t="str">
        <f>'Tên Tháng 1'!F217</f>
        <v>HUY CHOY</v>
      </c>
      <c r="G229" s="206">
        <v>94</v>
      </c>
      <c r="H229" s="207"/>
      <c r="I229" s="159">
        <f t="shared" si="38"/>
        <v>0</v>
      </c>
      <c r="J229" s="207"/>
      <c r="K229" s="159">
        <f t="shared" si="37"/>
        <v>0</v>
      </c>
      <c r="L229" s="207">
        <f>'SAN LUONG'!AE224</f>
        <v>381.92</v>
      </c>
      <c r="M229" s="159">
        <f t="shared" si="39"/>
        <v>6.63</v>
      </c>
      <c r="N229" s="208">
        <f>'CHAM CONG'!AR223</f>
        <v>0</v>
      </c>
      <c r="O229" s="159">
        <f t="shared" si="40"/>
        <v>0</v>
      </c>
      <c r="P229" s="159">
        <f>'CHAM CONG'!AQ223</f>
        <v>10</v>
      </c>
      <c r="Q229" s="159">
        <f t="shared" si="41"/>
        <v>5.01</v>
      </c>
      <c r="R229" s="159">
        <f t="shared" si="45"/>
        <v>10</v>
      </c>
      <c r="S229" s="159">
        <f t="shared" si="42"/>
        <v>0.31</v>
      </c>
      <c r="T229" s="159"/>
      <c r="U229" s="159"/>
      <c r="V229" s="159"/>
      <c r="W229" s="159"/>
      <c r="X229" s="159">
        <f t="shared" si="43"/>
        <v>11.950000000000001</v>
      </c>
      <c r="Y229" s="209"/>
      <c r="Z229" s="210" t="s">
        <v>619</v>
      </c>
      <c r="AA229" s="202">
        <v>11.96</v>
      </c>
      <c r="AB229" s="203">
        <f t="shared" si="44"/>
        <v>0.01</v>
      </c>
      <c r="AC229" s="124">
        <v>0.01</v>
      </c>
    </row>
    <row r="230" spans="1:29" s="124" customFormat="1" ht="29.4" customHeight="1">
      <c r="A230" s="154">
        <v>215</v>
      </c>
      <c r="B230" s="204"/>
      <c r="C230" s="204"/>
      <c r="D230" s="205"/>
      <c r="E230" s="155" t="str">
        <f>'Tên Tháng 1'!E218</f>
        <v>ឈាង ឆេន</v>
      </c>
      <c r="F230" s="157" t="str">
        <f>'Tên Tháng 1'!F218</f>
        <v>CHHEANG CHHEN</v>
      </c>
      <c r="G230" s="206">
        <v>95</v>
      </c>
      <c r="H230" s="207"/>
      <c r="I230" s="159">
        <f t="shared" si="38"/>
        <v>0</v>
      </c>
      <c r="J230" s="207"/>
      <c r="K230" s="159">
        <f t="shared" si="37"/>
        <v>0</v>
      </c>
      <c r="L230" s="207">
        <f>'SAN LUONG'!AE225</f>
        <v>397.76</v>
      </c>
      <c r="M230" s="159">
        <f t="shared" si="39"/>
        <v>6.91</v>
      </c>
      <c r="N230" s="208">
        <f>'CHAM CONG'!AR224</f>
        <v>0</v>
      </c>
      <c r="O230" s="159">
        <f t="shared" si="40"/>
        <v>0</v>
      </c>
      <c r="P230" s="159">
        <f>'CHAM CONG'!AQ224</f>
        <v>12</v>
      </c>
      <c r="Q230" s="159">
        <f t="shared" si="41"/>
        <v>6.01</v>
      </c>
      <c r="R230" s="159">
        <f t="shared" si="45"/>
        <v>12</v>
      </c>
      <c r="S230" s="159">
        <f t="shared" si="42"/>
        <v>0.38</v>
      </c>
      <c r="T230" s="159"/>
      <c r="U230" s="159"/>
      <c r="V230" s="159"/>
      <c r="W230" s="159"/>
      <c r="X230" s="159">
        <f t="shared" si="43"/>
        <v>13.3</v>
      </c>
      <c r="Y230" s="209"/>
      <c r="Z230" s="210" t="s">
        <v>619</v>
      </c>
      <c r="AA230" s="202">
        <v>13.3</v>
      </c>
      <c r="AB230" s="203">
        <f t="shared" si="44"/>
        <v>0</v>
      </c>
      <c r="AC230" s="124">
        <v>-0.03</v>
      </c>
    </row>
    <row r="231" spans="1:29" s="124" customFormat="1" ht="29.4" customHeight="1">
      <c r="A231" s="154">
        <v>216</v>
      </c>
      <c r="B231" s="204"/>
      <c r="C231" s="204"/>
      <c r="D231" s="205"/>
      <c r="E231" s="155" t="str">
        <f>'Tên Tháng 1'!E219</f>
        <v>ប៉ឹង តូច</v>
      </c>
      <c r="F231" s="157" t="str">
        <f>'Tên Tháng 1'!F219</f>
        <v>POENG TOUCH</v>
      </c>
      <c r="G231" s="206">
        <v>96</v>
      </c>
      <c r="H231" s="207"/>
      <c r="I231" s="159">
        <f t="shared" si="38"/>
        <v>0</v>
      </c>
      <c r="J231" s="207"/>
      <c r="K231" s="159">
        <f t="shared" si="37"/>
        <v>0</v>
      </c>
      <c r="L231" s="207">
        <f>'SAN LUONG'!AE226</f>
        <v>595.76</v>
      </c>
      <c r="M231" s="159">
        <f t="shared" si="39"/>
        <v>10.35</v>
      </c>
      <c r="N231" s="208">
        <f>'CHAM CONG'!AR225</f>
        <v>1</v>
      </c>
      <c r="O231" s="159">
        <f t="shared" si="40"/>
        <v>0.53</v>
      </c>
      <c r="P231" s="159">
        <f>'CHAM CONG'!AQ225</f>
        <v>13</v>
      </c>
      <c r="Q231" s="159">
        <f t="shared" si="41"/>
        <v>6.51</v>
      </c>
      <c r="R231" s="159">
        <f t="shared" si="45"/>
        <v>13</v>
      </c>
      <c r="S231" s="159">
        <f t="shared" si="42"/>
        <v>0.41</v>
      </c>
      <c r="T231" s="159"/>
      <c r="U231" s="159"/>
      <c r="V231" s="159"/>
      <c r="W231" s="159"/>
      <c r="X231" s="159">
        <f t="shared" si="43"/>
        <v>17.8</v>
      </c>
      <c r="Y231" s="209"/>
      <c r="Z231" s="210" t="s">
        <v>619</v>
      </c>
      <c r="AA231" s="202">
        <v>17.8</v>
      </c>
      <c r="AB231" s="203">
        <f t="shared" si="44"/>
        <v>0</v>
      </c>
      <c r="AC231" s="124">
        <v>0.04</v>
      </c>
    </row>
    <row r="232" spans="1:29" s="124" customFormat="1" ht="29.4" customHeight="1">
      <c r="A232" s="154">
        <v>217</v>
      </c>
      <c r="B232" s="204"/>
      <c r="C232" s="204"/>
      <c r="D232" s="205"/>
      <c r="E232" s="155" t="str">
        <f>'Tên Tháng 1'!E220</f>
        <v>ម៉ន ស៊ីន</v>
      </c>
      <c r="F232" s="157" t="str">
        <f>'Tên Tháng 1'!F220</f>
        <v>MORN SIN</v>
      </c>
      <c r="G232" s="206">
        <v>97</v>
      </c>
      <c r="H232" s="207"/>
      <c r="I232" s="159">
        <f t="shared" si="38"/>
        <v>0</v>
      </c>
      <c r="J232" s="207"/>
      <c r="K232" s="159">
        <f t="shared" si="37"/>
        <v>0</v>
      </c>
      <c r="L232" s="207">
        <f>'SAN LUONG'!AE227</f>
        <v>445.72</v>
      </c>
      <c r="M232" s="159">
        <f t="shared" si="39"/>
        <v>7.74</v>
      </c>
      <c r="N232" s="208">
        <f>'CHAM CONG'!AR226</f>
        <v>0</v>
      </c>
      <c r="O232" s="159">
        <f t="shared" si="40"/>
        <v>0</v>
      </c>
      <c r="P232" s="159">
        <f>'CHAM CONG'!AQ226</f>
        <v>12</v>
      </c>
      <c r="Q232" s="159">
        <f t="shared" si="41"/>
        <v>6.01</v>
      </c>
      <c r="R232" s="159">
        <f t="shared" si="45"/>
        <v>12</v>
      </c>
      <c r="S232" s="159">
        <f t="shared" si="42"/>
        <v>0.38</v>
      </c>
      <c r="T232" s="159"/>
      <c r="U232" s="159"/>
      <c r="V232" s="159"/>
      <c r="W232" s="159"/>
      <c r="X232" s="159">
        <f t="shared" si="43"/>
        <v>14.13</v>
      </c>
      <c r="Y232" s="209"/>
      <c r="Z232" s="210" t="s">
        <v>619</v>
      </c>
      <c r="AA232" s="202">
        <v>14.13</v>
      </c>
      <c r="AB232" s="203">
        <f t="shared" si="44"/>
        <v>0</v>
      </c>
      <c r="AC232" s="124">
        <v>0.04</v>
      </c>
    </row>
    <row r="233" spans="1:29" s="124" customFormat="1" ht="29.4" customHeight="1">
      <c r="A233" s="154">
        <v>218</v>
      </c>
      <c r="B233" s="204"/>
      <c r="C233" s="204"/>
      <c r="D233" s="205"/>
      <c r="E233" s="155" t="str">
        <f>'Tên Tháng 1'!E221</f>
        <v>យឿន យួន</v>
      </c>
      <c r="F233" s="157" t="str">
        <f>'Tên Tháng 1'!F221</f>
        <v>YOEUN YOUN</v>
      </c>
      <c r="G233" s="206">
        <v>98</v>
      </c>
      <c r="H233" s="207"/>
      <c r="I233" s="159">
        <f t="shared" si="38"/>
        <v>0</v>
      </c>
      <c r="J233" s="207"/>
      <c r="K233" s="159">
        <f t="shared" si="37"/>
        <v>0</v>
      </c>
      <c r="L233" s="207">
        <f>'SAN LUONG'!AE228</f>
        <v>530.64</v>
      </c>
      <c r="M233" s="159">
        <f t="shared" si="39"/>
        <v>9.2200000000000006</v>
      </c>
      <c r="N233" s="208">
        <f>'CHAM CONG'!AR227</f>
        <v>1</v>
      </c>
      <c r="O233" s="159">
        <f t="shared" si="40"/>
        <v>0.53</v>
      </c>
      <c r="P233" s="159">
        <f>'CHAM CONG'!AQ227</f>
        <v>13</v>
      </c>
      <c r="Q233" s="159">
        <f t="shared" si="41"/>
        <v>6.51</v>
      </c>
      <c r="R233" s="159">
        <f t="shared" si="45"/>
        <v>13</v>
      </c>
      <c r="S233" s="159">
        <f t="shared" si="42"/>
        <v>0.41</v>
      </c>
      <c r="T233" s="159"/>
      <c r="U233" s="159"/>
      <c r="V233" s="159"/>
      <c r="W233" s="159"/>
      <c r="X233" s="159">
        <f t="shared" si="43"/>
        <v>16.670000000000002</v>
      </c>
      <c r="Y233" s="209"/>
      <c r="Z233" s="210" t="s">
        <v>619</v>
      </c>
      <c r="AA233" s="202">
        <v>16.670000000000002</v>
      </c>
      <c r="AB233" s="203">
        <f t="shared" si="44"/>
        <v>0</v>
      </c>
      <c r="AC233" s="124">
        <v>0.04</v>
      </c>
    </row>
    <row r="234" spans="1:29" s="124" customFormat="1" ht="29.4" customHeight="1">
      <c r="A234" s="154">
        <v>219</v>
      </c>
      <c r="B234" s="204"/>
      <c r="C234" s="204"/>
      <c r="D234" s="205"/>
      <c r="E234" s="155" t="str">
        <f>'Tên Tháng 1'!E222</f>
        <v>ណាក់ ញ៉ាញ់</v>
      </c>
      <c r="F234" s="157" t="str">
        <f>'Tên Tháng 1'!F222</f>
        <v>NAK NHANH</v>
      </c>
      <c r="G234" s="206">
        <v>99</v>
      </c>
      <c r="H234" s="207"/>
      <c r="I234" s="159">
        <f t="shared" si="38"/>
        <v>0</v>
      </c>
      <c r="J234" s="207"/>
      <c r="K234" s="159">
        <f t="shared" si="37"/>
        <v>0</v>
      </c>
      <c r="L234" s="207">
        <f>'SAN LUONG'!AE229</f>
        <v>521.84</v>
      </c>
      <c r="M234" s="159">
        <f t="shared" si="39"/>
        <v>9.07</v>
      </c>
      <c r="N234" s="208">
        <f>'CHAM CONG'!AR228</f>
        <v>1</v>
      </c>
      <c r="O234" s="159">
        <f t="shared" si="40"/>
        <v>0.53</v>
      </c>
      <c r="P234" s="159">
        <f>'CHAM CONG'!AQ228</f>
        <v>13</v>
      </c>
      <c r="Q234" s="159">
        <f t="shared" si="41"/>
        <v>6.51</v>
      </c>
      <c r="R234" s="159">
        <f t="shared" si="45"/>
        <v>13</v>
      </c>
      <c r="S234" s="159">
        <f t="shared" si="42"/>
        <v>0.41</v>
      </c>
      <c r="T234" s="159"/>
      <c r="U234" s="159"/>
      <c r="V234" s="159"/>
      <c r="W234" s="159"/>
      <c r="X234" s="159">
        <f t="shared" si="43"/>
        <v>16.52</v>
      </c>
      <c r="Y234" s="209"/>
      <c r="Z234" s="210" t="s">
        <v>619</v>
      </c>
      <c r="AA234" s="202">
        <v>16.52</v>
      </c>
      <c r="AB234" s="203">
        <f t="shared" si="44"/>
        <v>0</v>
      </c>
      <c r="AC234" s="124">
        <v>0.01</v>
      </c>
    </row>
    <row r="235" spans="1:29" s="124" customFormat="1" ht="29.4" customHeight="1">
      <c r="A235" s="154">
        <v>220</v>
      </c>
      <c r="B235" s="204"/>
      <c r="C235" s="204"/>
      <c r="D235" s="205"/>
      <c r="E235" s="155" t="str">
        <f>'Tên Tháng 1'!E223</f>
        <v>មាន រិទ្ធី</v>
      </c>
      <c r="F235" s="157" t="str">
        <f>'Tên Tháng 1'!F223</f>
        <v>MEAN RITHY</v>
      </c>
      <c r="G235" s="206">
        <v>100</v>
      </c>
      <c r="H235" s="207"/>
      <c r="I235" s="159">
        <f t="shared" si="38"/>
        <v>0</v>
      </c>
      <c r="J235" s="207"/>
      <c r="K235" s="159">
        <f t="shared" si="37"/>
        <v>0</v>
      </c>
      <c r="L235" s="207">
        <f>'SAN LUONG'!AE230</f>
        <v>498.52</v>
      </c>
      <c r="M235" s="159">
        <f t="shared" si="39"/>
        <v>8.66</v>
      </c>
      <c r="N235" s="208">
        <f>'CHAM CONG'!AR229</f>
        <v>1</v>
      </c>
      <c r="O235" s="159">
        <f t="shared" si="40"/>
        <v>0.53</v>
      </c>
      <c r="P235" s="159">
        <f>'CHAM CONG'!AQ229</f>
        <v>12</v>
      </c>
      <c r="Q235" s="159">
        <f t="shared" si="41"/>
        <v>6.01</v>
      </c>
      <c r="R235" s="159">
        <f t="shared" si="45"/>
        <v>12</v>
      </c>
      <c r="S235" s="159">
        <f t="shared" si="42"/>
        <v>0.38</v>
      </c>
      <c r="T235" s="159"/>
      <c r="U235" s="159"/>
      <c r="V235" s="159"/>
      <c r="W235" s="159"/>
      <c r="X235" s="159">
        <f t="shared" si="43"/>
        <v>15.58</v>
      </c>
      <c r="Y235" s="209"/>
      <c r="Z235" s="210" t="s">
        <v>619</v>
      </c>
      <c r="AA235" s="202">
        <v>15.58</v>
      </c>
      <c r="AB235" s="203">
        <f t="shared" si="44"/>
        <v>0</v>
      </c>
      <c r="AC235" s="124">
        <v>0</v>
      </c>
    </row>
    <row r="236" spans="1:29" s="124" customFormat="1" ht="29.4" customHeight="1">
      <c r="A236" s="154">
        <v>221</v>
      </c>
      <c r="B236" s="204"/>
      <c r="C236" s="204"/>
      <c r="D236" s="205"/>
      <c r="E236" s="155" t="str">
        <f>'Tên Tháng 1'!E224</f>
        <v>ក្រឹង រ៉ែម</v>
      </c>
      <c r="F236" s="157" t="str">
        <f>'Tên Tháng 1'!F224</f>
        <v>KROENG REM</v>
      </c>
      <c r="G236" s="206">
        <v>101</v>
      </c>
      <c r="H236" s="207"/>
      <c r="I236" s="159">
        <f t="shared" si="38"/>
        <v>0</v>
      </c>
      <c r="J236" s="207"/>
      <c r="K236" s="159">
        <f t="shared" si="37"/>
        <v>0</v>
      </c>
      <c r="L236" s="207">
        <f>'SAN LUONG'!AE231</f>
        <v>533.28</v>
      </c>
      <c r="M236" s="159">
        <f t="shared" si="39"/>
        <v>9.26</v>
      </c>
      <c r="N236" s="208">
        <f>'CHAM CONG'!AR230</f>
        <v>1</v>
      </c>
      <c r="O236" s="159">
        <f t="shared" si="40"/>
        <v>0.53</v>
      </c>
      <c r="P236" s="159">
        <f>'CHAM CONG'!AQ230</f>
        <v>14</v>
      </c>
      <c r="Q236" s="159">
        <f t="shared" si="41"/>
        <v>7.01</v>
      </c>
      <c r="R236" s="159">
        <f t="shared" si="45"/>
        <v>14</v>
      </c>
      <c r="S236" s="159">
        <f t="shared" si="42"/>
        <v>0.44</v>
      </c>
      <c r="T236" s="159"/>
      <c r="U236" s="159"/>
      <c r="V236" s="159"/>
      <c r="W236" s="159"/>
      <c r="X236" s="159">
        <f t="shared" si="43"/>
        <v>17.240000000000002</v>
      </c>
      <c r="Y236" s="209"/>
      <c r="Z236" s="210" t="s">
        <v>619</v>
      </c>
      <c r="AA236" s="202">
        <v>17.25</v>
      </c>
      <c r="AB236" s="203">
        <f t="shared" si="44"/>
        <v>0.01</v>
      </c>
      <c r="AC236" s="124">
        <v>0</v>
      </c>
    </row>
    <row r="237" spans="1:29" s="124" customFormat="1" ht="29.4" customHeight="1">
      <c r="A237" s="154">
        <v>222</v>
      </c>
      <c r="B237" s="204"/>
      <c r="C237" s="204"/>
      <c r="D237" s="205"/>
      <c r="E237" s="155" t="str">
        <f>'Tên Tháng 1'!E225</f>
        <v>អ៊ុក សុខគួន</v>
      </c>
      <c r="F237" s="157" t="str">
        <f>'Tên Tháng 1'!F225</f>
        <v>UK SOKOURN</v>
      </c>
      <c r="G237" s="206">
        <v>102</v>
      </c>
      <c r="H237" s="207"/>
      <c r="I237" s="159">
        <f t="shared" si="38"/>
        <v>0</v>
      </c>
      <c r="J237" s="207"/>
      <c r="K237" s="159">
        <f t="shared" si="37"/>
        <v>0</v>
      </c>
      <c r="L237" s="207">
        <f>'SAN LUONG'!AE232</f>
        <v>474.32</v>
      </c>
      <c r="M237" s="159">
        <f t="shared" si="39"/>
        <v>8.24</v>
      </c>
      <c r="N237" s="208">
        <f>'CHAM CONG'!AR231</f>
        <v>1</v>
      </c>
      <c r="O237" s="159">
        <f t="shared" si="40"/>
        <v>0.53</v>
      </c>
      <c r="P237" s="159">
        <f>'CHAM CONG'!AQ231</f>
        <v>12</v>
      </c>
      <c r="Q237" s="159">
        <f t="shared" si="41"/>
        <v>6.01</v>
      </c>
      <c r="R237" s="159">
        <f t="shared" si="45"/>
        <v>12</v>
      </c>
      <c r="S237" s="159">
        <f t="shared" si="42"/>
        <v>0.38</v>
      </c>
      <c r="T237" s="159"/>
      <c r="U237" s="159"/>
      <c r="V237" s="159"/>
      <c r="W237" s="159"/>
      <c r="X237" s="159">
        <f t="shared" si="43"/>
        <v>15.16</v>
      </c>
      <c r="Y237" s="209"/>
      <c r="Z237" s="210" t="s">
        <v>619</v>
      </c>
      <c r="AA237" s="202">
        <v>15.16</v>
      </c>
      <c r="AB237" s="203">
        <f t="shared" si="44"/>
        <v>0</v>
      </c>
      <c r="AC237" s="124">
        <v>0.01</v>
      </c>
    </row>
    <row r="238" spans="1:29" s="124" customFormat="1" ht="29.4" customHeight="1">
      <c r="A238" s="154">
        <v>223</v>
      </c>
      <c r="B238" s="204"/>
      <c r="C238" s="204"/>
      <c r="D238" s="205"/>
      <c r="E238" s="155" t="str">
        <f>'Tên Tháng 1'!E226</f>
        <v>ហ៊ាង ហេន</v>
      </c>
      <c r="F238" s="157" t="str">
        <f>'Tên Tháng 1'!F226</f>
        <v>HEANG HEN</v>
      </c>
      <c r="G238" s="206">
        <v>103</v>
      </c>
      <c r="H238" s="207"/>
      <c r="I238" s="159">
        <f t="shared" si="38"/>
        <v>0</v>
      </c>
      <c r="J238" s="207"/>
      <c r="K238" s="159">
        <f t="shared" si="37"/>
        <v>0</v>
      </c>
      <c r="L238" s="207">
        <f>'SAN LUONG'!AE233</f>
        <v>594.44000000000005</v>
      </c>
      <c r="M238" s="159">
        <f t="shared" si="39"/>
        <v>10.33</v>
      </c>
      <c r="N238" s="208">
        <f>'CHAM CONG'!AR232</f>
        <v>1</v>
      </c>
      <c r="O238" s="159">
        <f t="shared" si="40"/>
        <v>0.53</v>
      </c>
      <c r="P238" s="159">
        <f>'CHAM CONG'!AQ232</f>
        <v>14</v>
      </c>
      <c r="Q238" s="159">
        <f t="shared" si="41"/>
        <v>7.01</v>
      </c>
      <c r="R238" s="159">
        <f t="shared" si="45"/>
        <v>14</v>
      </c>
      <c r="S238" s="159">
        <f t="shared" si="42"/>
        <v>0.44</v>
      </c>
      <c r="T238" s="159"/>
      <c r="U238" s="159"/>
      <c r="V238" s="159"/>
      <c r="W238" s="159"/>
      <c r="X238" s="159">
        <f t="shared" si="43"/>
        <v>18.310000000000002</v>
      </c>
      <c r="Y238" s="209"/>
      <c r="Z238" s="210" t="s">
        <v>619</v>
      </c>
      <c r="AA238" s="202">
        <v>18.309999999999999</v>
      </c>
      <c r="AB238" s="203">
        <f t="shared" si="44"/>
        <v>0</v>
      </c>
      <c r="AC238" s="124">
        <v>0.04</v>
      </c>
    </row>
    <row r="239" spans="1:29" s="124" customFormat="1" ht="29.4" customHeight="1">
      <c r="A239" s="154">
        <v>224</v>
      </c>
      <c r="B239" s="204"/>
      <c r="C239" s="204"/>
      <c r="D239" s="205"/>
      <c r="E239" s="155" t="str">
        <f>'Tên Tháng 1'!E227</f>
        <v>ហួន យ៉េ</v>
      </c>
      <c r="F239" s="157" t="str">
        <f>'Tên Tháng 1'!F227</f>
        <v>HOURN YE</v>
      </c>
      <c r="G239" s="206">
        <v>104</v>
      </c>
      <c r="H239" s="207"/>
      <c r="I239" s="159">
        <f t="shared" si="38"/>
        <v>0</v>
      </c>
      <c r="J239" s="207"/>
      <c r="K239" s="159">
        <f t="shared" si="37"/>
        <v>0</v>
      </c>
      <c r="L239" s="207">
        <f>'SAN LUONG'!AE234</f>
        <v>453.2</v>
      </c>
      <c r="M239" s="159">
        <f t="shared" si="39"/>
        <v>7.87</v>
      </c>
      <c r="N239" s="208">
        <f>'CHAM CONG'!AR233</f>
        <v>0</v>
      </c>
      <c r="O239" s="159">
        <f t="shared" si="40"/>
        <v>0</v>
      </c>
      <c r="P239" s="159">
        <f>'CHAM CONG'!AQ233</f>
        <v>11</v>
      </c>
      <c r="Q239" s="159">
        <f t="shared" si="41"/>
        <v>5.51</v>
      </c>
      <c r="R239" s="159">
        <f t="shared" si="45"/>
        <v>11</v>
      </c>
      <c r="S239" s="159">
        <f t="shared" si="42"/>
        <v>0.34</v>
      </c>
      <c r="T239" s="159"/>
      <c r="U239" s="159"/>
      <c r="V239" s="159"/>
      <c r="W239" s="159"/>
      <c r="X239" s="159">
        <f t="shared" si="43"/>
        <v>13.719999999999999</v>
      </c>
      <c r="Y239" s="209"/>
      <c r="Z239" s="210" t="s">
        <v>619</v>
      </c>
      <c r="AA239" s="202">
        <v>13.73</v>
      </c>
      <c r="AB239" s="203">
        <f t="shared" si="44"/>
        <v>0.01</v>
      </c>
      <c r="AC239" s="124">
        <v>0.04</v>
      </c>
    </row>
    <row r="240" spans="1:29" s="124" customFormat="1" ht="29.4" customHeight="1">
      <c r="A240" s="154">
        <v>225</v>
      </c>
      <c r="B240" s="204"/>
      <c r="C240" s="204"/>
      <c r="D240" s="205"/>
      <c r="E240" s="155" t="str">
        <f>'Tên Tháng 1'!E228</f>
        <v>លី ចិត្តត្រា</v>
      </c>
      <c r="F240" s="157" t="str">
        <f>'Tên Tháng 1'!F228</f>
        <v>LY CHITRA</v>
      </c>
      <c r="G240" s="206">
        <v>105</v>
      </c>
      <c r="H240" s="207"/>
      <c r="I240" s="159">
        <f t="shared" si="38"/>
        <v>0</v>
      </c>
      <c r="J240" s="207"/>
      <c r="K240" s="159">
        <f t="shared" si="37"/>
        <v>0</v>
      </c>
      <c r="L240" s="207">
        <f>'SAN LUONG'!AE235</f>
        <v>504.24</v>
      </c>
      <c r="M240" s="159">
        <f t="shared" si="39"/>
        <v>8.76</v>
      </c>
      <c r="N240" s="208">
        <f>'CHAM CONG'!AR234</f>
        <v>0</v>
      </c>
      <c r="O240" s="159">
        <f t="shared" si="40"/>
        <v>0</v>
      </c>
      <c r="P240" s="159">
        <f>'CHAM CONG'!AQ234</f>
        <v>13</v>
      </c>
      <c r="Q240" s="159">
        <f t="shared" si="41"/>
        <v>6.51</v>
      </c>
      <c r="R240" s="159">
        <f t="shared" si="45"/>
        <v>13</v>
      </c>
      <c r="S240" s="159">
        <f t="shared" si="42"/>
        <v>0.41</v>
      </c>
      <c r="T240" s="159"/>
      <c r="U240" s="159"/>
      <c r="V240" s="159"/>
      <c r="W240" s="159"/>
      <c r="X240" s="159">
        <f t="shared" si="43"/>
        <v>15.68</v>
      </c>
      <c r="Y240" s="209"/>
      <c r="Z240" s="210" t="s">
        <v>619</v>
      </c>
      <c r="AA240" s="202">
        <v>15.68</v>
      </c>
      <c r="AB240" s="203">
        <f t="shared" si="44"/>
        <v>0</v>
      </c>
      <c r="AC240" s="124">
        <v>0.01</v>
      </c>
    </row>
    <row r="241" spans="1:29" s="124" customFormat="1" ht="29.4" customHeight="1">
      <c r="A241" s="154">
        <v>226</v>
      </c>
      <c r="B241" s="204"/>
      <c r="C241" s="204"/>
      <c r="D241" s="205"/>
      <c r="E241" s="155" t="str">
        <f>'Tên Tháng 1'!E229</f>
        <v>សល់ សុភី</v>
      </c>
      <c r="F241" s="157" t="str">
        <f>'Tên Tháng 1'!F229</f>
        <v>SAL SOPHY</v>
      </c>
      <c r="G241" s="206">
        <v>106</v>
      </c>
      <c r="H241" s="207"/>
      <c r="I241" s="159">
        <f t="shared" si="38"/>
        <v>0</v>
      </c>
      <c r="J241" s="207"/>
      <c r="K241" s="159">
        <f t="shared" si="37"/>
        <v>0</v>
      </c>
      <c r="L241" s="207">
        <f>'SAN LUONG'!AE236</f>
        <v>443.96</v>
      </c>
      <c r="M241" s="159">
        <f t="shared" si="39"/>
        <v>7.71</v>
      </c>
      <c r="N241" s="208">
        <f>'CHAM CONG'!AR235</f>
        <v>1</v>
      </c>
      <c r="O241" s="159">
        <f t="shared" si="40"/>
        <v>0.53</v>
      </c>
      <c r="P241" s="159">
        <f>'CHAM CONG'!AQ235</f>
        <v>11</v>
      </c>
      <c r="Q241" s="159">
        <f t="shared" si="41"/>
        <v>5.51</v>
      </c>
      <c r="R241" s="159">
        <f t="shared" si="45"/>
        <v>11</v>
      </c>
      <c r="S241" s="159">
        <f t="shared" si="42"/>
        <v>0.34</v>
      </c>
      <c r="T241" s="159"/>
      <c r="U241" s="159"/>
      <c r="V241" s="159"/>
      <c r="W241" s="159"/>
      <c r="X241" s="159">
        <f t="shared" si="43"/>
        <v>14.089999999999998</v>
      </c>
      <c r="Y241" s="209"/>
      <c r="Z241" s="210" t="s">
        <v>619</v>
      </c>
      <c r="AA241" s="202">
        <v>14.1</v>
      </c>
      <c r="AB241" s="203">
        <f t="shared" si="44"/>
        <v>0.01</v>
      </c>
      <c r="AC241" s="124">
        <v>-0.02</v>
      </c>
    </row>
    <row r="242" spans="1:29" s="124" customFormat="1" ht="29.4" customHeight="1">
      <c r="A242" s="154">
        <v>227</v>
      </c>
      <c r="B242" s="204"/>
      <c r="C242" s="204"/>
      <c r="D242" s="205"/>
      <c r="E242" s="155" t="str">
        <f>'Tên Tháng 1'!E230</f>
        <v>ម៉ោន ហ៊ុំ</v>
      </c>
      <c r="F242" s="157" t="str">
        <f>'Tên Tháng 1'!F230</f>
        <v>MORN HUM</v>
      </c>
      <c r="G242" s="206">
        <v>107</v>
      </c>
      <c r="H242" s="207"/>
      <c r="I242" s="159">
        <f t="shared" si="38"/>
        <v>0</v>
      </c>
      <c r="J242" s="207"/>
      <c r="K242" s="159">
        <f t="shared" si="37"/>
        <v>0</v>
      </c>
      <c r="L242" s="207">
        <f>'SAN LUONG'!AE237</f>
        <v>503.36</v>
      </c>
      <c r="M242" s="159">
        <f t="shared" si="39"/>
        <v>8.74</v>
      </c>
      <c r="N242" s="208">
        <f>'CHAM CONG'!AR236</f>
        <v>1</v>
      </c>
      <c r="O242" s="159">
        <f t="shared" si="40"/>
        <v>0.53</v>
      </c>
      <c r="P242" s="159">
        <f>'CHAM CONG'!AQ236</f>
        <v>12</v>
      </c>
      <c r="Q242" s="159">
        <f t="shared" si="41"/>
        <v>6.01</v>
      </c>
      <c r="R242" s="159">
        <f t="shared" si="45"/>
        <v>12</v>
      </c>
      <c r="S242" s="159">
        <f t="shared" si="42"/>
        <v>0.38</v>
      </c>
      <c r="T242" s="159"/>
      <c r="U242" s="159"/>
      <c r="V242" s="159"/>
      <c r="W242" s="159"/>
      <c r="X242" s="159">
        <f t="shared" si="43"/>
        <v>15.66</v>
      </c>
      <c r="Y242" s="209"/>
      <c r="Z242" s="210" t="s">
        <v>619</v>
      </c>
      <c r="AA242" s="202">
        <v>15.66</v>
      </c>
      <c r="AB242" s="203">
        <f t="shared" si="44"/>
        <v>0</v>
      </c>
      <c r="AC242" s="124">
        <v>0.04</v>
      </c>
    </row>
    <row r="243" spans="1:29" s="124" customFormat="1" ht="29.4" customHeight="1">
      <c r="A243" s="154">
        <v>228</v>
      </c>
      <c r="B243" s="204"/>
      <c r="C243" s="204"/>
      <c r="D243" s="205"/>
      <c r="E243" s="155" t="str">
        <f>'Tên Tháng 1'!E231</f>
        <v>លី សឹង</v>
      </c>
      <c r="F243" s="157" t="str">
        <f>'Tên Tháng 1'!F231</f>
        <v>LY SOENG</v>
      </c>
      <c r="G243" s="206">
        <v>108</v>
      </c>
      <c r="H243" s="207"/>
      <c r="I243" s="159">
        <f t="shared" si="38"/>
        <v>0</v>
      </c>
      <c r="J243" s="207"/>
      <c r="K243" s="159">
        <f t="shared" si="37"/>
        <v>0</v>
      </c>
      <c r="L243" s="207">
        <f>'SAN LUONG'!AE238</f>
        <v>571.55999999999995</v>
      </c>
      <c r="M243" s="159">
        <f t="shared" si="39"/>
        <v>9.93</v>
      </c>
      <c r="N243" s="208">
        <f>'CHAM CONG'!AR237</f>
        <v>0</v>
      </c>
      <c r="O243" s="159">
        <f t="shared" si="40"/>
        <v>0</v>
      </c>
      <c r="P243" s="159">
        <f>'CHAM CONG'!AQ237</f>
        <v>13</v>
      </c>
      <c r="Q243" s="159">
        <f t="shared" si="41"/>
        <v>6.51</v>
      </c>
      <c r="R243" s="159">
        <f t="shared" si="45"/>
        <v>13</v>
      </c>
      <c r="S243" s="159">
        <f t="shared" si="42"/>
        <v>0.41</v>
      </c>
      <c r="T243" s="159"/>
      <c r="U243" s="159"/>
      <c r="V243" s="159"/>
      <c r="W243" s="159"/>
      <c r="X243" s="159">
        <f t="shared" si="43"/>
        <v>16.849999999999998</v>
      </c>
      <c r="Y243" s="209"/>
      <c r="Z243" s="210" t="s">
        <v>619</v>
      </c>
      <c r="AA243" s="202">
        <v>16.850000000000001</v>
      </c>
      <c r="AB243" s="203">
        <f t="shared" si="44"/>
        <v>0</v>
      </c>
      <c r="AC243" s="124">
        <v>0.01</v>
      </c>
    </row>
    <row r="244" spans="1:29" s="124" customFormat="1" ht="29.4" customHeight="1">
      <c r="A244" s="154">
        <v>229</v>
      </c>
      <c r="B244" s="204"/>
      <c r="C244" s="204"/>
      <c r="D244" s="205"/>
      <c r="E244" s="155" t="str">
        <f>'Tên Tháng 1'!E232</f>
        <v>ងិន ម៉ុត</v>
      </c>
      <c r="F244" s="157" t="str">
        <f>'Tên Tháng 1'!F232</f>
        <v>NGIN MOT</v>
      </c>
      <c r="G244" s="206">
        <v>109</v>
      </c>
      <c r="H244" s="207"/>
      <c r="I244" s="159">
        <f t="shared" si="38"/>
        <v>0</v>
      </c>
      <c r="J244" s="207"/>
      <c r="K244" s="159">
        <f t="shared" si="37"/>
        <v>0</v>
      </c>
      <c r="L244" s="207">
        <f>'SAN LUONG'!AE239</f>
        <v>495.44</v>
      </c>
      <c r="M244" s="159">
        <f t="shared" si="39"/>
        <v>8.61</v>
      </c>
      <c r="N244" s="208">
        <f>'CHAM CONG'!AR238</f>
        <v>0</v>
      </c>
      <c r="O244" s="159">
        <f t="shared" si="40"/>
        <v>0</v>
      </c>
      <c r="P244" s="159">
        <f>'CHAM CONG'!AQ238</f>
        <v>10</v>
      </c>
      <c r="Q244" s="159">
        <f t="shared" si="41"/>
        <v>5.01</v>
      </c>
      <c r="R244" s="159">
        <f t="shared" si="45"/>
        <v>10</v>
      </c>
      <c r="S244" s="159">
        <f t="shared" si="42"/>
        <v>0.31</v>
      </c>
      <c r="T244" s="159"/>
      <c r="U244" s="159"/>
      <c r="V244" s="159"/>
      <c r="W244" s="159"/>
      <c r="X244" s="159">
        <f t="shared" si="43"/>
        <v>13.93</v>
      </c>
      <c r="Y244" s="209"/>
      <c r="Z244" s="210" t="s">
        <v>619</v>
      </c>
      <c r="AA244" s="202">
        <v>13.93</v>
      </c>
      <c r="AB244" s="203">
        <f t="shared" si="44"/>
        <v>0</v>
      </c>
      <c r="AC244" s="124">
        <v>-0.02</v>
      </c>
    </row>
    <row r="245" spans="1:29" s="124" customFormat="1" ht="29.4" customHeight="1">
      <c r="A245" s="154">
        <v>230</v>
      </c>
      <c r="B245" s="204"/>
      <c r="C245" s="204"/>
      <c r="D245" s="205"/>
      <c r="E245" s="155" t="str">
        <f>'Tên Tháng 1'!E233</f>
        <v>វ៉ន សុភី</v>
      </c>
      <c r="F245" s="157" t="str">
        <f>'Tên Tháng 1'!F233</f>
        <v>VORN SOPHY</v>
      </c>
      <c r="G245" s="206">
        <v>110</v>
      </c>
      <c r="H245" s="207"/>
      <c r="I245" s="159">
        <f t="shared" si="38"/>
        <v>0</v>
      </c>
      <c r="J245" s="207"/>
      <c r="K245" s="159">
        <f t="shared" si="37"/>
        <v>0</v>
      </c>
      <c r="L245" s="207">
        <f>'SAN LUONG'!AE240</f>
        <v>410.96</v>
      </c>
      <c r="M245" s="159">
        <f t="shared" si="39"/>
        <v>7.14</v>
      </c>
      <c r="N245" s="208">
        <f>'CHAM CONG'!AR239</f>
        <v>0</v>
      </c>
      <c r="O245" s="159">
        <f t="shared" si="40"/>
        <v>0</v>
      </c>
      <c r="P245" s="159">
        <f>'CHAM CONG'!AQ239</f>
        <v>10</v>
      </c>
      <c r="Q245" s="159">
        <f t="shared" si="41"/>
        <v>5.01</v>
      </c>
      <c r="R245" s="159">
        <f t="shared" si="45"/>
        <v>10</v>
      </c>
      <c r="S245" s="159">
        <f t="shared" si="42"/>
        <v>0.31</v>
      </c>
      <c r="T245" s="159"/>
      <c r="U245" s="159"/>
      <c r="V245" s="159"/>
      <c r="W245" s="159"/>
      <c r="X245" s="159">
        <f t="shared" si="43"/>
        <v>12.459999999999999</v>
      </c>
      <c r="Y245" s="209"/>
      <c r="Z245" s="210" t="s">
        <v>619</v>
      </c>
      <c r="AA245" s="202">
        <v>12.46</v>
      </c>
      <c r="AB245" s="203">
        <f t="shared" si="44"/>
        <v>0</v>
      </c>
      <c r="AC245" s="124">
        <v>-0.02</v>
      </c>
    </row>
    <row r="246" spans="1:29" s="124" customFormat="1" ht="29.4" customHeight="1">
      <c r="A246" s="154">
        <v>231</v>
      </c>
      <c r="B246" s="204"/>
      <c r="C246" s="204"/>
      <c r="D246" s="205"/>
      <c r="E246" s="155" t="str">
        <f>'Tên Tháng 1'!E234</f>
        <v>កោ វុទ្ធី</v>
      </c>
      <c r="F246" s="157" t="str">
        <f>'Tên Tháng 1'!F234</f>
        <v>KOR VUTHY</v>
      </c>
      <c r="G246" s="206">
        <v>111</v>
      </c>
      <c r="H246" s="207"/>
      <c r="I246" s="159">
        <f t="shared" si="38"/>
        <v>0</v>
      </c>
      <c r="J246" s="207"/>
      <c r="K246" s="159">
        <f t="shared" si="37"/>
        <v>0</v>
      </c>
      <c r="L246" s="207">
        <f>'SAN LUONG'!AE241</f>
        <v>485.76</v>
      </c>
      <c r="M246" s="159">
        <f t="shared" si="39"/>
        <v>8.44</v>
      </c>
      <c r="N246" s="208">
        <f>'CHAM CONG'!AR240</f>
        <v>0</v>
      </c>
      <c r="O246" s="159">
        <f t="shared" si="40"/>
        <v>0</v>
      </c>
      <c r="P246" s="159">
        <f>'CHAM CONG'!AQ240</f>
        <v>11</v>
      </c>
      <c r="Q246" s="159">
        <f t="shared" si="41"/>
        <v>5.51</v>
      </c>
      <c r="R246" s="159">
        <f t="shared" si="45"/>
        <v>11</v>
      </c>
      <c r="S246" s="159">
        <f t="shared" si="42"/>
        <v>0.34</v>
      </c>
      <c r="T246" s="159"/>
      <c r="U246" s="159"/>
      <c r="V246" s="159"/>
      <c r="W246" s="159"/>
      <c r="X246" s="159">
        <f t="shared" si="43"/>
        <v>14.29</v>
      </c>
      <c r="Y246" s="209"/>
      <c r="Z246" s="210" t="s">
        <v>619</v>
      </c>
      <c r="AA246" s="202">
        <v>14.29</v>
      </c>
      <c r="AB246" s="203">
        <f t="shared" si="44"/>
        <v>0</v>
      </c>
      <c r="AC246" s="124">
        <v>-0.02</v>
      </c>
    </row>
    <row r="247" spans="1:29" s="124" customFormat="1" ht="29.4" customHeight="1">
      <c r="A247" s="154">
        <v>232</v>
      </c>
      <c r="B247" s="204"/>
      <c r="C247" s="204"/>
      <c r="D247" s="205"/>
      <c r="E247" s="155" t="str">
        <f>'Tên Tháng 1'!E235</f>
        <v>ហាយ សុភី</v>
      </c>
      <c r="F247" s="157" t="str">
        <f>'Tên Tháng 1'!F235</f>
        <v>HAY SOPHY</v>
      </c>
      <c r="G247" s="206">
        <v>112</v>
      </c>
      <c r="H247" s="207"/>
      <c r="I247" s="159">
        <f t="shared" si="38"/>
        <v>0</v>
      </c>
      <c r="J247" s="207"/>
      <c r="K247" s="159">
        <f t="shared" si="37"/>
        <v>0</v>
      </c>
      <c r="L247" s="207">
        <f>'SAN LUONG'!AE242</f>
        <v>492.8</v>
      </c>
      <c r="M247" s="159">
        <f t="shared" si="39"/>
        <v>8.56</v>
      </c>
      <c r="N247" s="208">
        <f>'CHAM CONG'!AR241</f>
        <v>0</v>
      </c>
      <c r="O247" s="159">
        <f t="shared" si="40"/>
        <v>0</v>
      </c>
      <c r="P247" s="159">
        <f>'CHAM CONG'!AQ241</f>
        <v>11</v>
      </c>
      <c r="Q247" s="159">
        <f t="shared" si="41"/>
        <v>5.51</v>
      </c>
      <c r="R247" s="159">
        <f t="shared" si="45"/>
        <v>11</v>
      </c>
      <c r="S247" s="159">
        <f t="shared" si="42"/>
        <v>0.34</v>
      </c>
      <c r="T247" s="159"/>
      <c r="U247" s="159"/>
      <c r="V247" s="159"/>
      <c r="W247" s="159"/>
      <c r="X247" s="159">
        <f t="shared" si="43"/>
        <v>14.41</v>
      </c>
      <c r="Y247" s="209"/>
      <c r="Z247" s="210" t="s">
        <v>619</v>
      </c>
      <c r="AA247" s="202">
        <v>14.41</v>
      </c>
      <c r="AB247" s="203">
        <f t="shared" si="44"/>
        <v>0</v>
      </c>
      <c r="AC247" s="124">
        <v>-0.03</v>
      </c>
    </row>
    <row r="248" spans="1:29" s="124" customFormat="1" ht="29.4" customHeight="1">
      <c r="A248" s="154">
        <v>233</v>
      </c>
      <c r="B248" s="204"/>
      <c r="C248" s="204"/>
      <c r="D248" s="205"/>
      <c r="E248" s="155" t="str">
        <f>'Tên Tháng 1'!E236</f>
        <v>សែ ពីពី</v>
      </c>
      <c r="F248" s="157" t="str">
        <f>'Tên Tháng 1'!F236</f>
        <v>SE PIPY</v>
      </c>
      <c r="G248" s="206">
        <v>113</v>
      </c>
      <c r="H248" s="207"/>
      <c r="I248" s="159">
        <f t="shared" si="38"/>
        <v>0</v>
      </c>
      <c r="J248" s="207"/>
      <c r="K248" s="159">
        <f t="shared" si="37"/>
        <v>0</v>
      </c>
      <c r="L248" s="207">
        <f>'SAN LUONG'!AE243</f>
        <v>442.64</v>
      </c>
      <c r="M248" s="159">
        <f t="shared" si="39"/>
        <v>7.69</v>
      </c>
      <c r="N248" s="208">
        <f>'CHAM CONG'!AR242</f>
        <v>0</v>
      </c>
      <c r="O248" s="159">
        <f t="shared" si="40"/>
        <v>0</v>
      </c>
      <c r="P248" s="159">
        <f>'CHAM CONG'!AQ242</f>
        <v>11</v>
      </c>
      <c r="Q248" s="159">
        <f t="shared" si="41"/>
        <v>5.51</v>
      </c>
      <c r="R248" s="159">
        <f t="shared" si="45"/>
        <v>11</v>
      </c>
      <c r="S248" s="159">
        <f t="shared" si="42"/>
        <v>0.34</v>
      </c>
      <c r="T248" s="159"/>
      <c r="U248" s="159"/>
      <c r="V248" s="159"/>
      <c r="W248" s="159"/>
      <c r="X248" s="159">
        <f t="shared" si="43"/>
        <v>13.54</v>
      </c>
      <c r="Y248" s="209"/>
      <c r="Z248" s="210" t="s">
        <v>619</v>
      </c>
      <c r="AA248" s="202">
        <v>13.54</v>
      </c>
      <c r="AB248" s="203">
        <f t="shared" si="44"/>
        <v>0</v>
      </c>
      <c r="AC248" s="124">
        <v>-0.03</v>
      </c>
    </row>
    <row r="249" spans="1:29" s="124" customFormat="1" ht="29.4" customHeight="1">
      <c r="A249" s="154">
        <v>234</v>
      </c>
      <c r="B249" s="204"/>
      <c r="C249" s="204"/>
      <c r="D249" s="205"/>
      <c r="E249" s="155" t="str">
        <f>'Tên Tháng 1'!E237</f>
        <v>ឈីវ ភាត</v>
      </c>
      <c r="F249" s="157" t="str">
        <f>'Tên Tháng 1'!F237</f>
        <v>CHHIV PHEAT</v>
      </c>
      <c r="G249" s="206">
        <v>114</v>
      </c>
      <c r="H249" s="207"/>
      <c r="I249" s="159">
        <f t="shared" si="38"/>
        <v>0</v>
      </c>
      <c r="J249" s="207"/>
      <c r="K249" s="159">
        <f t="shared" si="37"/>
        <v>0</v>
      </c>
      <c r="L249" s="207">
        <f>'SAN LUONG'!AE244</f>
        <v>459.8</v>
      </c>
      <c r="M249" s="159">
        <f t="shared" si="39"/>
        <v>7.99</v>
      </c>
      <c r="N249" s="208">
        <f>'CHAM CONG'!AR243</f>
        <v>1</v>
      </c>
      <c r="O249" s="159">
        <f t="shared" si="40"/>
        <v>0.53</v>
      </c>
      <c r="P249" s="159">
        <f>'CHAM CONG'!AQ243</f>
        <v>12</v>
      </c>
      <c r="Q249" s="159">
        <f t="shared" si="41"/>
        <v>6.01</v>
      </c>
      <c r="R249" s="159">
        <f t="shared" si="45"/>
        <v>12</v>
      </c>
      <c r="S249" s="159">
        <f t="shared" si="42"/>
        <v>0.38</v>
      </c>
      <c r="T249" s="159"/>
      <c r="U249" s="159"/>
      <c r="V249" s="159"/>
      <c r="W249" s="159"/>
      <c r="X249" s="159">
        <f t="shared" si="43"/>
        <v>14.91</v>
      </c>
      <c r="Y249" s="209"/>
      <c r="Z249" s="210" t="s">
        <v>619</v>
      </c>
      <c r="AA249" s="202">
        <v>14.91</v>
      </c>
      <c r="AB249" s="203">
        <f t="shared" si="44"/>
        <v>0</v>
      </c>
      <c r="AC249" s="124">
        <v>0.04</v>
      </c>
    </row>
    <row r="250" spans="1:29" s="124" customFormat="1" ht="29.4" customHeight="1">
      <c r="A250" s="154">
        <v>235</v>
      </c>
      <c r="B250" s="204"/>
      <c r="C250" s="204"/>
      <c r="D250" s="205"/>
      <c r="E250" s="155" t="str">
        <f>'Tên Tháng 1'!E238</f>
        <v>សុខ ណេ</v>
      </c>
      <c r="F250" s="157" t="str">
        <f>'Tên Tháng 1'!F238</f>
        <v>SOK NE</v>
      </c>
      <c r="G250" s="206">
        <v>115</v>
      </c>
      <c r="H250" s="207"/>
      <c r="I250" s="159">
        <f t="shared" si="38"/>
        <v>0</v>
      </c>
      <c r="J250" s="207"/>
      <c r="K250" s="159">
        <f t="shared" si="37"/>
        <v>0</v>
      </c>
      <c r="L250" s="207">
        <f>'SAN LUONG'!AE245</f>
        <v>512.6</v>
      </c>
      <c r="M250" s="159">
        <f t="shared" si="39"/>
        <v>8.91</v>
      </c>
      <c r="N250" s="208">
        <f>'CHAM CONG'!AR244</f>
        <v>0</v>
      </c>
      <c r="O250" s="159">
        <f t="shared" si="40"/>
        <v>0</v>
      </c>
      <c r="P250" s="159">
        <f>'CHAM CONG'!AQ244</f>
        <v>13</v>
      </c>
      <c r="Q250" s="159">
        <f t="shared" si="41"/>
        <v>6.51</v>
      </c>
      <c r="R250" s="159">
        <f t="shared" si="45"/>
        <v>13</v>
      </c>
      <c r="S250" s="159">
        <f t="shared" si="42"/>
        <v>0.41</v>
      </c>
      <c r="T250" s="159"/>
      <c r="U250" s="159"/>
      <c r="V250" s="159"/>
      <c r="W250" s="159"/>
      <c r="X250" s="159">
        <f t="shared" si="43"/>
        <v>15.83</v>
      </c>
      <c r="Y250" s="209"/>
      <c r="Z250" s="210" t="s">
        <v>619</v>
      </c>
      <c r="AA250" s="202">
        <v>15.82</v>
      </c>
      <c r="AB250" s="203">
        <f t="shared" si="44"/>
        <v>-0.01</v>
      </c>
      <c r="AC250" s="124">
        <v>0</v>
      </c>
    </row>
    <row r="251" spans="1:29" s="124" customFormat="1" ht="29.4" customHeight="1">
      <c r="A251" s="154">
        <v>236</v>
      </c>
      <c r="B251" s="204"/>
      <c r="C251" s="204"/>
      <c r="D251" s="205"/>
      <c r="E251" s="155" t="str">
        <f>'Tên Tháng 1'!E239</f>
        <v>កាន់ សុគីន</v>
      </c>
      <c r="F251" s="157" t="str">
        <f>'Tên Tháng 1'!F239</f>
        <v>KAN SOKIN</v>
      </c>
      <c r="G251" s="206">
        <v>116</v>
      </c>
      <c r="H251" s="207"/>
      <c r="I251" s="159">
        <f t="shared" si="38"/>
        <v>0</v>
      </c>
      <c r="J251" s="207"/>
      <c r="K251" s="159">
        <f t="shared" si="37"/>
        <v>0</v>
      </c>
      <c r="L251" s="207">
        <f>'SAN LUONG'!AE246</f>
        <v>495.88</v>
      </c>
      <c r="M251" s="159">
        <f t="shared" si="39"/>
        <v>8.61</v>
      </c>
      <c r="N251" s="208">
        <f>'CHAM CONG'!AR245</f>
        <v>0</v>
      </c>
      <c r="O251" s="159">
        <f t="shared" si="40"/>
        <v>0</v>
      </c>
      <c r="P251" s="159">
        <f>'CHAM CONG'!AQ245</f>
        <v>13</v>
      </c>
      <c r="Q251" s="159">
        <f t="shared" si="41"/>
        <v>6.51</v>
      </c>
      <c r="R251" s="159">
        <f t="shared" si="45"/>
        <v>13</v>
      </c>
      <c r="S251" s="159">
        <f t="shared" si="42"/>
        <v>0.41</v>
      </c>
      <c r="T251" s="159"/>
      <c r="U251" s="159"/>
      <c r="V251" s="159"/>
      <c r="W251" s="159"/>
      <c r="X251" s="159">
        <f t="shared" si="43"/>
        <v>15.53</v>
      </c>
      <c r="Y251" s="209"/>
      <c r="Z251" s="210" t="s">
        <v>619</v>
      </c>
      <c r="AA251" s="202">
        <v>15.53</v>
      </c>
      <c r="AB251" s="203">
        <f t="shared" si="44"/>
        <v>0</v>
      </c>
      <c r="AC251" s="124">
        <v>0.01</v>
      </c>
    </row>
    <row r="252" spans="1:29" s="124" customFormat="1" ht="29.4" customHeight="1">
      <c r="A252" s="154">
        <v>237</v>
      </c>
      <c r="B252" s="204"/>
      <c r="C252" s="204"/>
      <c r="D252" s="205"/>
      <c r="E252" s="155" t="str">
        <f>'Tên Tháng 1'!E240</f>
        <v>ដែង តូច</v>
      </c>
      <c r="F252" s="157" t="str">
        <f>'Tên Tháng 1'!F240</f>
        <v>DENG TOUCH</v>
      </c>
      <c r="G252" s="206">
        <v>117</v>
      </c>
      <c r="H252" s="207"/>
      <c r="I252" s="159">
        <f t="shared" si="38"/>
        <v>0</v>
      </c>
      <c r="J252" s="207"/>
      <c r="K252" s="159">
        <f t="shared" si="37"/>
        <v>0</v>
      </c>
      <c r="L252" s="207">
        <f>'SAN LUONG'!AE247</f>
        <v>520.52</v>
      </c>
      <c r="M252" s="159">
        <f t="shared" si="39"/>
        <v>9.0399999999999991</v>
      </c>
      <c r="N252" s="208">
        <f>'CHAM CONG'!AR246</f>
        <v>1</v>
      </c>
      <c r="O252" s="159">
        <f t="shared" si="40"/>
        <v>0.53</v>
      </c>
      <c r="P252" s="159">
        <f>'CHAM CONG'!AQ246</f>
        <v>13</v>
      </c>
      <c r="Q252" s="159">
        <f t="shared" si="41"/>
        <v>6.51</v>
      </c>
      <c r="R252" s="159">
        <f t="shared" si="45"/>
        <v>13</v>
      </c>
      <c r="S252" s="159">
        <f t="shared" si="42"/>
        <v>0.41</v>
      </c>
      <c r="T252" s="159"/>
      <c r="U252" s="159"/>
      <c r="V252" s="159"/>
      <c r="W252" s="159"/>
      <c r="X252" s="159">
        <f t="shared" si="43"/>
        <v>16.489999999999998</v>
      </c>
      <c r="Y252" s="209"/>
      <c r="Z252" s="210" t="s">
        <v>619</v>
      </c>
      <c r="AA252" s="202">
        <v>16.489999999999998</v>
      </c>
      <c r="AB252" s="203">
        <f t="shared" si="44"/>
        <v>0</v>
      </c>
      <c r="AC252" s="124">
        <v>0.01</v>
      </c>
    </row>
    <row r="253" spans="1:29" s="124" customFormat="1" ht="29.4" customHeight="1">
      <c r="A253" s="154">
        <v>238</v>
      </c>
      <c r="B253" s="204"/>
      <c r="C253" s="204"/>
      <c r="D253" s="205"/>
      <c r="E253" s="155" t="str">
        <f>'Tên Tháng 1'!E241</f>
        <v>ហេត គឹមលីង</v>
      </c>
      <c r="F253" s="157" t="str">
        <f>'Tên Tháng 1'!F241</f>
        <v>HET KIMLING</v>
      </c>
      <c r="G253" s="206">
        <v>118</v>
      </c>
      <c r="H253" s="207"/>
      <c r="I253" s="159">
        <f t="shared" si="38"/>
        <v>0</v>
      </c>
      <c r="J253" s="207"/>
      <c r="K253" s="159">
        <f t="shared" si="37"/>
        <v>0</v>
      </c>
      <c r="L253" s="207">
        <f>'SAN LUONG'!AE248</f>
        <v>421.08</v>
      </c>
      <c r="M253" s="159">
        <f t="shared" si="39"/>
        <v>7.32</v>
      </c>
      <c r="N253" s="208">
        <f>'CHAM CONG'!AR247</f>
        <v>1</v>
      </c>
      <c r="O253" s="159">
        <f t="shared" si="40"/>
        <v>0.53</v>
      </c>
      <c r="P253" s="159">
        <f>'CHAM CONG'!AQ247</f>
        <v>12</v>
      </c>
      <c r="Q253" s="159">
        <f t="shared" si="41"/>
        <v>6.01</v>
      </c>
      <c r="R253" s="159">
        <f t="shared" si="45"/>
        <v>12</v>
      </c>
      <c r="S253" s="159">
        <f t="shared" si="42"/>
        <v>0.38</v>
      </c>
      <c r="T253" s="159"/>
      <c r="U253" s="159"/>
      <c r="V253" s="159"/>
      <c r="W253" s="159"/>
      <c r="X253" s="159">
        <f t="shared" si="43"/>
        <v>14.24</v>
      </c>
      <c r="Y253" s="209"/>
      <c r="Z253" s="210" t="s">
        <v>619</v>
      </c>
      <c r="AA253" s="202">
        <v>14.23</v>
      </c>
      <c r="AB253" s="203">
        <f t="shared" si="44"/>
        <v>-0.01</v>
      </c>
      <c r="AC253" s="124">
        <v>0.01</v>
      </c>
    </row>
    <row r="254" spans="1:29" s="124" customFormat="1" ht="29.4" customHeight="1">
      <c r="A254" s="154">
        <v>239</v>
      </c>
      <c r="B254" s="204"/>
      <c r="C254" s="204"/>
      <c r="D254" s="205"/>
      <c r="E254" s="155" t="str">
        <f>'Tên Tháng 1'!E242</f>
        <v>យៀត សុជឿន</v>
      </c>
      <c r="F254" s="157" t="str">
        <f>'Tên Tháng 1'!F242</f>
        <v>YIET SOCHOEUN</v>
      </c>
      <c r="G254" s="206">
        <v>119</v>
      </c>
      <c r="H254" s="207"/>
      <c r="I254" s="159">
        <f t="shared" si="38"/>
        <v>0</v>
      </c>
      <c r="J254" s="207"/>
      <c r="K254" s="159">
        <f t="shared" si="37"/>
        <v>0</v>
      </c>
      <c r="L254" s="207">
        <f>'SAN LUONG'!AE249</f>
        <v>523.16</v>
      </c>
      <c r="M254" s="159">
        <f t="shared" si="39"/>
        <v>9.09</v>
      </c>
      <c r="N254" s="208">
        <f>'CHAM CONG'!AR248</f>
        <v>0</v>
      </c>
      <c r="O254" s="159">
        <f t="shared" si="40"/>
        <v>0</v>
      </c>
      <c r="P254" s="159">
        <f>'CHAM CONG'!AQ248</f>
        <v>14</v>
      </c>
      <c r="Q254" s="159">
        <f t="shared" si="41"/>
        <v>7.01</v>
      </c>
      <c r="R254" s="159">
        <f t="shared" si="45"/>
        <v>14</v>
      </c>
      <c r="S254" s="159">
        <f t="shared" si="42"/>
        <v>0.44</v>
      </c>
      <c r="T254" s="159"/>
      <c r="U254" s="159"/>
      <c r="V254" s="159"/>
      <c r="W254" s="159"/>
      <c r="X254" s="159">
        <f t="shared" si="43"/>
        <v>16.540000000000003</v>
      </c>
      <c r="Y254" s="209"/>
      <c r="Z254" s="210" t="s">
        <v>619</v>
      </c>
      <c r="AA254" s="202">
        <v>16.54</v>
      </c>
      <c r="AB254" s="203">
        <f t="shared" si="44"/>
        <v>0</v>
      </c>
      <c r="AC254" s="124">
        <v>-0.02</v>
      </c>
    </row>
    <row r="255" spans="1:29" s="124" customFormat="1" ht="29.4" customHeight="1">
      <c r="A255" s="154">
        <v>240</v>
      </c>
      <c r="B255" s="204"/>
      <c r="C255" s="204"/>
      <c r="D255" s="205"/>
      <c r="E255" s="155" t="str">
        <f>'Tên Tháng 1'!E243</f>
        <v>ឈីវ ផល</v>
      </c>
      <c r="F255" s="157" t="str">
        <f>'Tên Tháng 1'!F243</f>
        <v>CHHIV PHALL</v>
      </c>
      <c r="G255" s="206">
        <v>120</v>
      </c>
      <c r="H255" s="207"/>
      <c r="I255" s="159">
        <f t="shared" si="38"/>
        <v>0</v>
      </c>
      <c r="J255" s="207"/>
      <c r="K255" s="159">
        <f t="shared" si="37"/>
        <v>0</v>
      </c>
      <c r="L255" s="207">
        <f>'SAN LUONG'!AE250</f>
        <v>417.56</v>
      </c>
      <c r="M255" s="159">
        <f t="shared" si="39"/>
        <v>7.25</v>
      </c>
      <c r="N255" s="208">
        <f>'CHAM CONG'!AR249</f>
        <v>0</v>
      </c>
      <c r="O255" s="159">
        <f t="shared" si="40"/>
        <v>0</v>
      </c>
      <c r="P255" s="159">
        <f>'CHAM CONG'!AQ249</f>
        <v>13</v>
      </c>
      <c r="Q255" s="159">
        <f t="shared" si="41"/>
        <v>6.51</v>
      </c>
      <c r="R255" s="159">
        <f t="shared" si="45"/>
        <v>13</v>
      </c>
      <c r="S255" s="159">
        <f t="shared" si="42"/>
        <v>0.41</v>
      </c>
      <c r="T255" s="159"/>
      <c r="U255" s="159"/>
      <c r="V255" s="159"/>
      <c r="W255" s="159"/>
      <c r="X255" s="159">
        <f t="shared" si="43"/>
        <v>14.17</v>
      </c>
      <c r="Y255" s="209"/>
      <c r="Z255" s="210" t="s">
        <v>619</v>
      </c>
      <c r="AA255" s="202">
        <v>14.17</v>
      </c>
      <c r="AB255" s="203">
        <f t="shared" si="44"/>
        <v>0</v>
      </c>
      <c r="AC255" s="124">
        <v>0.01</v>
      </c>
    </row>
    <row r="256" spans="1:29" s="124" customFormat="1" ht="29.4" customHeight="1">
      <c r="A256" s="154">
        <v>241</v>
      </c>
      <c r="B256" s="204"/>
      <c r="C256" s="204"/>
      <c r="D256" s="205"/>
      <c r="E256" s="155" t="str">
        <f>'Tên Tháng 1'!E244</f>
        <v>កែវ សុខគង់</v>
      </c>
      <c r="F256" s="157" t="str">
        <f>'Tên Tháng 1'!F244</f>
        <v>KEO SOKONG</v>
      </c>
      <c r="G256" s="206">
        <v>121</v>
      </c>
      <c r="H256" s="207"/>
      <c r="I256" s="159">
        <f t="shared" si="38"/>
        <v>0</v>
      </c>
      <c r="J256" s="207"/>
      <c r="K256" s="159">
        <f t="shared" si="37"/>
        <v>0</v>
      </c>
      <c r="L256" s="207">
        <f>'SAN LUONG'!AE251</f>
        <v>458.04</v>
      </c>
      <c r="M256" s="159">
        <f t="shared" si="39"/>
        <v>7.96</v>
      </c>
      <c r="N256" s="208">
        <f>'CHAM CONG'!AR250</f>
        <v>1</v>
      </c>
      <c r="O256" s="159">
        <f t="shared" si="40"/>
        <v>0.53</v>
      </c>
      <c r="P256" s="159">
        <f>'CHAM CONG'!AQ250</f>
        <v>12</v>
      </c>
      <c r="Q256" s="159">
        <f t="shared" si="41"/>
        <v>6.01</v>
      </c>
      <c r="R256" s="159">
        <f t="shared" si="45"/>
        <v>12</v>
      </c>
      <c r="S256" s="159">
        <f t="shared" si="42"/>
        <v>0.38</v>
      </c>
      <c r="T256" s="159"/>
      <c r="U256" s="159"/>
      <c r="V256" s="159"/>
      <c r="W256" s="159"/>
      <c r="X256" s="159">
        <f t="shared" si="43"/>
        <v>14.879999999999999</v>
      </c>
      <c r="Y256" s="209"/>
      <c r="Z256" s="210" t="s">
        <v>619</v>
      </c>
      <c r="AA256" s="202">
        <v>14.88</v>
      </c>
      <c r="AB256" s="203">
        <f t="shared" si="44"/>
        <v>0</v>
      </c>
      <c r="AC256" s="124">
        <v>0.01</v>
      </c>
    </row>
    <row r="257" spans="1:29" s="124" customFormat="1" ht="29.4" customHeight="1">
      <c r="A257" s="154">
        <v>242</v>
      </c>
      <c r="B257" s="204"/>
      <c r="C257" s="204"/>
      <c r="D257" s="205"/>
      <c r="E257" s="155" t="str">
        <f>'Tên Tháng 1'!E245</f>
        <v>បូ បូត</v>
      </c>
      <c r="F257" s="157" t="str">
        <f>'Tên Tháng 1'!F245</f>
        <v>BO BOUT</v>
      </c>
      <c r="G257" s="206">
        <v>122</v>
      </c>
      <c r="H257" s="207"/>
      <c r="I257" s="159">
        <f t="shared" si="38"/>
        <v>0</v>
      </c>
      <c r="J257" s="207"/>
      <c r="K257" s="159">
        <f t="shared" si="37"/>
        <v>0</v>
      </c>
      <c r="L257" s="207">
        <f>'SAN LUONG'!AE252</f>
        <v>689.04</v>
      </c>
      <c r="M257" s="159">
        <f t="shared" si="39"/>
        <v>11.97</v>
      </c>
      <c r="N257" s="208">
        <f>'CHAM CONG'!AR251</f>
        <v>2</v>
      </c>
      <c r="O257" s="159">
        <f t="shared" si="40"/>
        <v>1.06</v>
      </c>
      <c r="P257" s="159">
        <f>'CHAM CONG'!AQ251</f>
        <v>13</v>
      </c>
      <c r="Q257" s="159">
        <f t="shared" si="41"/>
        <v>6.51</v>
      </c>
      <c r="R257" s="159">
        <f t="shared" si="45"/>
        <v>13</v>
      </c>
      <c r="S257" s="159">
        <f t="shared" si="42"/>
        <v>0.41</v>
      </c>
      <c r="T257" s="159"/>
      <c r="U257" s="159"/>
      <c r="V257" s="159"/>
      <c r="W257" s="159"/>
      <c r="X257" s="159">
        <f t="shared" si="43"/>
        <v>19.95</v>
      </c>
      <c r="Y257" s="209"/>
      <c r="Z257" s="210" t="s">
        <v>619</v>
      </c>
      <c r="AA257" s="202">
        <v>19.95</v>
      </c>
      <c r="AB257" s="203">
        <f t="shared" si="44"/>
        <v>0</v>
      </c>
      <c r="AC257" s="124">
        <v>0.01</v>
      </c>
    </row>
    <row r="258" spans="1:29" s="124" customFormat="1" ht="29.4" customHeight="1">
      <c r="A258" s="154">
        <v>243</v>
      </c>
      <c r="B258" s="204"/>
      <c r="C258" s="204"/>
      <c r="D258" s="205"/>
      <c r="E258" s="155" t="str">
        <f>'Tên Tháng 1'!E246</f>
        <v>ធា ចាន់</v>
      </c>
      <c r="F258" s="157" t="str">
        <f>'Tên Tháng 1'!F246</f>
        <v>THEA CHANN</v>
      </c>
      <c r="G258" s="206">
        <v>123</v>
      </c>
      <c r="H258" s="207"/>
      <c r="I258" s="159">
        <f t="shared" si="38"/>
        <v>0</v>
      </c>
      <c r="J258" s="207"/>
      <c r="K258" s="159">
        <f t="shared" si="37"/>
        <v>0</v>
      </c>
      <c r="L258" s="207">
        <f>'SAN LUONG'!AE253</f>
        <v>356.84</v>
      </c>
      <c r="M258" s="159">
        <f t="shared" si="39"/>
        <v>6.2</v>
      </c>
      <c r="N258" s="208">
        <f>'CHAM CONG'!AR252</f>
        <v>0</v>
      </c>
      <c r="O258" s="159">
        <f t="shared" si="40"/>
        <v>0</v>
      </c>
      <c r="P258" s="159">
        <f>'CHAM CONG'!AQ252</f>
        <v>12</v>
      </c>
      <c r="Q258" s="159">
        <f t="shared" si="41"/>
        <v>6.01</v>
      </c>
      <c r="R258" s="159">
        <f t="shared" si="45"/>
        <v>12</v>
      </c>
      <c r="S258" s="159">
        <f t="shared" si="42"/>
        <v>0.38</v>
      </c>
      <c r="T258" s="159"/>
      <c r="U258" s="159"/>
      <c r="V258" s="159"/>
      <c r="W258" s="159"/>
      <c r="X258" s="159">
        <f t="shared" si="43"/>
        <v>12.590000000000002</v>
      </c>
      <c r="Y258" s="209"/>
      <c r="Z258" s="210" t="s">
        <v>619</v>
      </c>
      <c r="AA258" s="202">
        <v>12.58</v>
      </c>
      <c r="AB258" s="203">
        <f t="shared" si="44"/>
        <v>-0.01</v>
      </c>
      <c r="AC258" s="124">
        <v>-0.02</v>
      </c>
    </row>
    <row r="259" spans="1:29" s="124" customFormat="1" ht="29.4" customHeight="1">
      <c r="A259" s="154">
        <v>244</v>
      </c>
      <c r="B259" s="204"/>
      <c r="C259" s="204"/>
      <c r="D259" s="205"/>
      <c r="E259" s="155" t="str">
        <f>'Tên Tháng 1'!E247</f>
        <v>គីន ចន្ថា</v>
      </c>
      <c r="F259" s="157" t="str">
        <f>'Tên Tháng 1'!F247</f>
        <v>KIN CHANTHA</v>
      </c>
      <c r="G259" s="206">
        <v>124</v>
      </c>
      <c r="H259" s="207"/>
      <c r="I259" s="159">
        <f t="shared" si="38"/>
        <v>0</v>
      </c>
      <c r="J259" s="207"/>
      <c r="K259" s="159">
        <f t="shared" si="37"/>
        <v>0</v>
      </c>
      <c r="L259" s="207">
        <f>'SAN LUONG'!AE254</f>
        <v>505.12</v>
      </c>
      <c r="M259" s="159">
        <f t="shared" si="39"/>
        <v>8.7799999999999994</v>
      </c>
      <c r="N259" s="208">
        <f>'CHAM CONG'!AR253</f>
        <v>0</v>
      </c>
      <c r="O259" s="159">
        <f t="shared" si="40"/>
        <v>0</v>
      </c>
      <c r="P259" s="159">
        <f>'CHAM CONG'!AQ253</f>
        <v>11</v>
      </c>
      <c r="Q259" s="159">
        <f t="shared" si="41"/>
        <v>5.51</v>
      </c>
      <c r="R259" s="159">
        <f t="shared" si="45"/>
        <v>11</v>
      </c>
      <c r="S259" s="159">
        <f t="shared" si="42"/>
        <v>0.34</v>
      </c>
      <c r="T259" s="159"/>
      <c r="U259" s="159"/>
      <c r="V259" s="159"/>
      <c r="W259" s="159"/>
      <c r="X259" s="159">
        <f t="shared" si="43"/>
        <v>14.629999999999999</v>
      </c>
      <c r="Y259" s="209"/>
      <c r="Z259" s="210" t="s">
        <v>619</v>
      </c>
      <c r="AA259" s="202">
        <v>14.63</v>
      </c>
      <c r="AB259" s="203">
        <f t="shared" si="44"/>
        <v>0</v>
      </c>
      <c r="AC259" s="124">
        <v>0</v>
      </c>
    </row>
    <row r="260" spans="1:29" s="124" customFormat="1" ht="29.4" customHeight="1">
      <c r="A260" s="154">
        <v>245</v>
      </c>
      <c r="B260" s="204"/>
      <c r="C260" s="204"/>
      <c r="D260" s="205"/>
      <c r="E260" s="155" t="str">
        <f>'Tên Tháng 1'!E248</f>
        <v>តូច លីម</v>
      </c>
      <c r="F260" s="157" t="str">
        <f>'Tên Tháng 1'!F248</f>
        <v>TOUCH LIM</v>
      </c>
      <c r="G260" s="206">
        <v>125</v>
      </c>
      <c r="H260" s="207"/>
      <c r="I260" s="159">
        <f t="shared" si="38"/>
        <v>0</v>
      </c>
      <c r="J260" s="207"/>
      <c r="K260" s="159">
        <f t="shared" si="37"/>
        <v>0</v>
      </c>
      <c r="L260" s="207">
        <f>'SAN LUONG'!AE255</f>
        <v>441.32</v>
      </c>
      <c r="M260" s="159">
        <f t="shared" si="39"/>
        <v>7.67</v>
      </c>
      <c r="N260" s="208">
        <f>'CHAM CONG'!AR254</f>
        <v>1</v>
      </c>
      <c r="O260" s="159">
        <f t="shared" si="40"/>
        <v>0.53</v>
      </c>
      <c r="P260" s="159">
        <f>'CHAM CONG'!AQ254</f>
        <v>12</v>
      </c>
      <c r="Q260" s="159">
        <f t="shared" si="41"/>
        <v>6.01</v>
      </c>
      <c r="R260" s="159">
        <f t="shared" si="45"/>
        <v>12</v>
      </c>
      <c r="S260" s="159">
        <f t="shared" si="42"/>
        <v>0.38</v>
      </c>
      <c r="T260" s="159"/>
      <c r="U260" s="159"/>
      <c r="V260" s="159"/>
      <c r="W260" s="159"/>
      <c r="X260" s="159">
        <f t="shared" si="43"/>
        <v>14.59</v>
      </c>
      <c r="Y260" s="209"/>
      <c r="Z260" s="210" t="s">
        <v>619</v>
      </c>
      <c r="AA260" s="202">
        <v>14.58</v>
      </c>
      <c r="AB260" s="203">
        <f t="shared" si="44"/>
        <v>-0.01</v>
      </c>
      <c r="AC260" s="124">
        <v>-0.03</v>
      </c>
    </row>
    <row r="261" spans="1:29" s="124" customFormat="1" ht="29.4" customHeight="1">
      <c r="A261" s="154">
        <v>246</v>
      </c>
      <c r="B261" s="204"/>
      <c r="C261" s="204"/>
      <c r="D261" s="205"/>
      <c r="E261" s="155" t="str">
        <f>'Tên Tháng 1'!E249</f>
        <v>ស្រឿន ស្រីហាន់</v>
      </c>
      <c r="F261" s="157" t="str">
        <f>'Tên Tháng 1'!F249</f>
        <v>SROEUN SREYHANN</v>
      </c>
      <c r="G261" s="206">
        <v>126</v>
      </c>
      <c r="H261" s="207"/>
      <c r="I261" s="159">
        <f t="shared" si="38"/>
        <v>0</v>
      </c>
      <c r="J261" s="207"/>
      <c r="K261" s="159">
        <f t="shared" si="37"/>
        <v>0</v>
      </c>
      <c r="L261" s="207">
        <f>'SAN LUONG'!AE256</f>
        <v>480.92</v>
      </c>
      <c r="M261" s="159">
        <f t="shared" si="39"/>
        <v>8.35</v>
      </c>
      <c r="N261" s="208">
        <f>'CHAM CONG'!AR255</f>
        <v>1</v>
      </c>
      <c r="O261" s="159">
        <f t="shared" si="40"/>
        <v>0.53</v>
      </c>
      <c r="P261" s="159">
        <f>'CHAM CONG'!AQ255</f>
        <v>11</v>
      </c>
      <c r="Q261" s="159">
        <f t="shared" si="41"/>
        <v>5.51</v>
      </c>
      <c r="R261" s="159">
        <f t="shared" si="45"/>
        <v>11</v>
      </c>
      <c r="S261" s="159">
        <f t="shared" si="42"/>
        <v>0.34</v>
      </c>
      <c r="T261" s="159"/>
      <c r="U261" s="159"/>
      <c r="V261" s="159"/>
      <c r="W261" s="159"/>
      <c r="X261" s="159">
        <f t="shared" si="43"/>
        <v>14.729999999999999</v>
      </c>
      <c r="Y261" s="209"/>
      <c r="Z261" s="210" t="s">
        <v>619</v>
      </c>
      <c r="AA261" s="202">
        <v>14.74</v>
      </c>
      <c r="AB261" s="203">
        <f t="shared" si="44"/>
        <v>0.01</v>
      </c>
      <c r="AC261" s="124">
        <v>-0.02</v>
      </c>
    </row>
    <row r="262" spans="1:29" s="124" customFormat="1" ht="29.4" customHeight="1">
      <c r="A262" s="154">
        <v>247</v>
      </c>
      <c r="B262" s="204"/>
      <c r="C262" s="204"/>
      <c r="D262" s="205"/>
      <c r="E262" s="155" t="str">
        <f>'Tên Tháng 1'!E250</f>
        <v>ហង់ យ៉ាត់</v>
      </c>
      <c r="F262" s="157" t="str">
        <f>'Tên Tháng 1'!F250</f>
        <v>HANG YATH</v>
      </c>
      <c r="G262" s="206">
        <v>127</v>
      </c>
      <c r="H262" s="207"/>
      <c r="I262" s="159">
        <f t="shared" si="38"/>
        <v>0</v>
      </c>
      <c r="J262" s="207"/>
      <c r="K262" s="159">
        <f t="shared" si="37"/>
        <v>0</v>
      </c>
      <c r="L262" s="207">
        <f>'SAN LUONG'!AE257</f>
        <v>473.88</v>
      </c>
      <c r="M262" s="159">
        <f t="shared" si="39"/>
        <v>8.23</v>
      </c>
      <c r="N262" s="208">
        <f>'CHAM CONG'!AR256</f>
        <v>2</v>
      </c>
      <c r="O262" s="159">
        <f t="shared" si="40"/>
        <v>1.06</v>
      </c>
      <c r="P262" s="159">
        <f>'CHAM CONG'!AQ256</f>
        <v>12</v>
      </c>
      <c r="Q262" s="159">
        <f t="shared" si="41"/>
        <v>6.01</v>
      </c>
      <c r="R262" s="159">
        <f t="shared" si="45"/>
        <v>12</v>
      </c>
      <c r="S262" s="159">
        <f t="shared" si="42"/>
        <v>0.38</v>
      </c>
      <c r="T262" s="159"/>
      <c r="U262" s="159"/>
      <c r="V262" s="159"/>
      <c r="W262" s="159"/>
      <c r="X262" s="159">
        <f t="shared" si="43"/>
        <v>15.680000000000001</v>
      </c>
      <c r="Y262" s="209"/>
      <c r="Z262" s="210" t="s">
        <v>619</v>
      </c>
      <c r="AA262" s="202">
        <v>15.68</v>
      </c>
      <c r="AB262" s="203">
        <f t="shared" si="44"/>
        <v>0</v>
      </c>
      <c r="AC262" s="124">
        <v>0.04</v>
      </c>
    </row>
    <row r="263" spans="1:29" s="124" customFormat="1" ht="29.4" customHeight="1">
      <c r="A263" s="154">
        <v>248</v>
      </c>
      <c r="B263" s="204"/>
      <c r="C263" s="204"/>
      <c r="D263" s="205"/>
      <c r="E263" s="155" t="str">
        <f>'Tên Tháng 1'!E251</f>
        <v>សែម សាមេន</v>
      </c>
      <c r="F263" s="157" t="str">
        <f>'Tên Tháng 1'!F251</f>
        <v>SEM SAMEN</v>
      </c>
      <c r="G263" s="206">
        <v>128</v>
      </c>
      <c r="H263" s="207"/>
      <c r="I263" s="159">
        <f t="shared" si="38"/>
        <v>0</v>
      </c>
      <c r="J263" s="207"/>
      <c r="K263" s="159">
        <f t="shared" si="37"/>
        <v>0</v>
      </c>
      <c r="L263" s="207">
        <f>'SAN LUONG'!AE258</f>
        <v>465.08</v>
      </c>
      <c r="M263" s="159">
        <f t="shared" si="39"/>
        <v>8.08</v>
      </c>
      <c r="N263" s="208">
        <f>'CHAM CONG'!AR257</f>
        <v>0</v>
      </c>
      <c r="O263" s="159">
        <f t="shared" si="40"/>
        <v>0</v>
      </c>
      <c r="P263" s="159">
        <f>'CHAM CONG'!AQ257</f>
        <v>12</v>
      </c>
      <c r="Q263" s="159">
        <f t="shared" si="41"/>
        <v>6.01</v>
      </c>
      <c r="R263" s="159">
        <f t="shared" si="45"/>
        <v>12</v>
      </c>
      <c r="S263" s="159">
        <f t="shared" si="42"/>
        <v>0.38</v>
      </c>
      <c r="T263" s="159"/>
      <c r="U263" s="159"/>
      <c r="V263" s="159"/>
      <c r="W263" s="159"/>
      <c r="X263" s="159">
        <f t="shared" si="43"/>
        <v>14.47</v>
      </c>
      <c r="Y263" s="209"/>
      <c r="Z263" s="210" t="s">
        <v>619</v>
      </c>
      <c r="AA263" s="202">
        <v>14.47</v>
      </c>
      <c r="AB263" s="203">
        <f t="shared" si="44"/>
        <v>0</v>
      </c>
      <c r="AC263" s="124">
        <v>0</v>
      </c>
    </row>
    <row r="264" spans="1:29" s="124" customFormat="1" ht="29.4" customHeight="1">
      <c r="A264" s="154">
        <v>249</v>
      </c>
      <c r="B264" s="204"/>
      <c r="C264" s="204"/>
      <c r="D264" s="205"/>
      <c r="E264" s="155" t="str">
        <f>'Tên Tháng 1'!E252</f>
        <v>ជី ឆេងលាង</v>
      </c>
      <c r="F264" s="157" t="str">
        <f>'Tên Tháng 1'!F252</f>
        <v>CHY CHHENGLENG</v>
      </c>
      <c r="G264" s="206">
        <v>129</v>
      </c>
      <c r="H264" s="207"/>
      <c r="I264" s="159">
        <f t="shared" si="38"/>
        <v>0</v>
      </c>
      <c r="J264" s="207"/>
      <c r="K264" s="159">
        <f t="shared" si="37"/>
        <v>0</v>
      </c>
      <c r="L264" s="207">
        <f>'SAN LUONG'!AE259</f>
        <v>429.88</v>
      </c>
      <c r="M264" s="159">
        <f t="shared" si="39"/>
        <v>7.47</v>
      </c>
      <c r="N264" s="208">
        <f>'CHAM CONG'!AR258</f>
        <v>1</v>
      </c>
      <c r="O264" s="159">
        <f t="shared" si="40"/>
        <v>0.53</v>
      </c>
      <c r="P264" s="159">
        <f>'CHAM CONG'!AQ258</f>
        <v>11</v>
      </c>
      <c r="Q264" s="159">
        <f t="shared" si="41"/>
        <v>5.51</v>
      </c>
      <c r="R264" s="159">
        <f t="shared" si="45"/>
        <v>11</v>
      </c>
      <c r="S264" s="159">
        <f t="shared" si="42"/>
        <v>0.34</v>
      </c>
      <c r="T264" s="159"/>
      <c r="U264" s="159"/>
      <c r="V264" s="159"/>
      <c r="W264" s="159"/>
      <c r="X264" s="159">
        <f t="shared" si="43"/>
        <v>13.85</v>
      </c>
      <c r="Y264" s="209"/>
      <c r="Z264" s="210" t="s">
        <v>619</v>
      </c>
      <c r="AA264" s="202">
        <v>13.85</v>
      </c>
      <c r="AB264" s="203">
        <f t="shared" si="44"/>
        <v>0</v>
      </c>
      <c r="AC264" s="124">
        <v>-0.02</v>
      </c>
    </row>
    <row r="265" spans="1:29" s="124" customFormat="1" ht="29.4" customHeight="1">
      <c r="A265" s="154">
        <v>250</v>
      </c>
      <c r="B265" s="204"/>
      <c r="C265" s="204"/>
      <c r="D265" s="205"/>
      <c r="E265" s="155" t="str">
        <f>'Tên Tháng 1'!E253</f>
        <v>ផាន់ ខេ</v>
      </c>
      <c r="F265" s="157" t="str">
        <f>'Tên Tháng 1'!F253</f>
        <v>PHANN KHE</v>
      </c>
      <c r="G265" s="206">
        <v>130</v>
      </c>
      <c r="H265" s="207"/>
      <c r="I265" s="159">
        <f t="shared" si="38"/>
        <v>0</v>
      </c>
      <c r="J265" s="207"/>
      <c r="K265" s="159">
        <f t="shared" si="37"/>
        <v>0</v>
      </c>
      <c r="L265" s="207">
        <f>'SAN LUONG'!AE260</f>
        <v>77.88</v>
      </c>
      <c r="M265" s="159">
        <f t="shared" si="39"/>
        <v>1.35</v>
      </c>
      <c r="N265" s="208">
        <f>'CHAM CONG'!AR259</f>
        <v>0</v>
      </c>
      <c r="O265" s="159">
        <f t="shared" si="40"/>
        <v>0</v>
      </c>
      <c r="P265" s="159">
        <f>'CHAM CONG'!AQ259</f>
        <v>7</v>
      </c>
      <c r="Q265" s="159">
        <f t="shared" si="41"/>
        <v>3.51</v>
      </c>
      <c r="R265" s="159">
        <f t="shared" si="45"/>
        <v>7</v>
      </c>
      <c r="S265" s="159">
        <f t="shared" si="42"/>
        <v>0.22</v>
      </c>
      <c r="T265" s="159"/>
      <c r="U265" s="159"/>
      <c r="V265" s="159"/>
      <c r="W265" s="159"/>
      <c r="X265" s="159">
        <f t="shared" si="43"/>
        <v>5.0799999999999992</v>
      </c>
      <c r="Y265" s="209"/>
      <c r="Z265" s="210" t="s">
        <v>619</v>
      </c>
      <c r="AA265" s="202">
        <v>5.08</v>
      </c>
      <c r="AB265" s="203">
        <f t="shared" si="44"/>
        <v>0</v>
      </c>
      <c r="AC265" s="124">
        <v>0.04</v>
      </c>
    </row>
    <row r="266" spans="1:29" s="124" customFormat="1" ht="29.4" customHeight="1">
      <c r="A266" s="154">
        <v>251</v>
      </c>
      <c r="B266" s="204"/>
      <c r="C266" s="204"/>
      <c r="D266" s="205"/>
      <c r="E266" s="155" t="str">
        <f>'Tên Tháng 1'!E254</f>
        <v>លន លៀម</v>
      </c>
      <c r="F266" s="157" t="str">
        <f>'Tên Tháng 1'!F254</f>
        <v>LON LEAM</v>
      </c>
      <c r="G266" s="206">
        <v>131</v>
      </c>
      <c r="H266" s="207"/>
      <c r="I266" s="159">
        <f t="shared" si="38"/>
        <v>0</v>
      </c>
      <c r="J266" s="207"/>
      <c r="K266" s="159">
        <f t="shared" si="37"/>
        <v>0</v>
      </c>
      <c r="L266" s="207">
        <f>'SAN LUONG'!AE261</f>
        <v>50.16</v>
      </c>
      <c r="M266" s="159">
        <f t="shared" si="39"/>
        <v>0.87</v>
      </c>
      <c r="N266" s="208">
        <f>'CHAM CONG'!AR260</f>
        <v>0</v>
      </c>
      <c r="O266" s="159">
        <f t="shared" si="40"/>
        <v>0</v>
      </c>
      <c r="P266" s="159">
        <f>'CHAM CONG'!AQ260</f>
        <v>5</v>
      </c>
      <c r="Q266" s="159">
        <f t="shared" si="41"/>
        <v>2.5</v>
      </c>
      <c r="R266" s="159">
        <f t="shared" si="45"/>
        <v>5</v>
      </c>
      <c r="S266" s="159">
        <f t="shared" si="42"/>
        <v>0.16</v>
      </c>
      <c r="T266" s="159"/>
      <c r="U266" s="159"/>
      <c r="V266" s="159"/>
      <c r="W266" s="159"/>
      <c r="X266" s="159">
        <f t="shared" si="43"/>
        <v>3.5300000000000002</v>
      </c>
      <c r="Y266" s="209"/>
      <c r="Z266" s="210" t="s">
        <v>619</v>
      </c>
      <c r="AA266" s="202">
        <v>3.53</v>
      </c>
      <c r="AB266" s="203">
        <f t="shared" si="44"/>
        <v>0</v>
      </c>
      <c r="AC266" s="124">
        <v>0.04</v>
      </c>
    </row>
    <row r="267" spans="1:29" s="124" customFormat="1" ht="29.4" customHeight="1">
      <c r="A267" s="154">
        <v>252</v>
      </c>
      <c r="B267" s="204"/>
      <c r="C267" s="204"/>
      <c r="D267" s="205"/>
      <c r="E267" s="155" t="str">
        <f>'Tên Tháng 1'!E255</f>
        <v>ចាន់ ណារ៉ុង</v>
      </c>
      <c r="F267" s="157" t="str">
        <f>'Tên Tháng 1'!F255</f>
        <v>CHAN NARONG</v>
      </c>
      <c r="G267" s="206">
        <v>132</v>
      </c>
      <c r="H267" s="207"/>
      <c r="I267" s="159">
        <f t="shared" si="38"/>
        <v>0</v>
      </c>
      <c r="J267" s="207"/>
      <c r="K267" s="159">
        <f t="shared" si="37"/>
        <v>0</v>
      </c>
      <c r="L267" s="207">
        <f>'SAN LUONG'!AE262</f>
        <v>428.56</v>
      </c>
      <c r="M267" s="159">
        <f t="shared" si="39"/>
        <v>7.45</v>
      </c>
      <c r="N267" s="208">
        <f>'CHAM CONG'!AR261</f>
        <v>0</v>
      </c>
      <c r="O267" s="159">
        <f t="shared" si="40"/>
        <v>0</v>
      </c>
      <c r="P267" s="159">
        <f>'CHAM CONG'!AQ261</f>
        <v>14</v>
      </c>
      <c r="Q267" s="159">
        <f t="shared" si="41"/>
        <v>7.01</v>
      </c>
      <c r="R267" s="159">
        <f t="shared" si="45"/>
        <v>14</v>
      </c>
      <c r="S267" s="159">
        <f t="shared" si="42"/>
        <v>0.44</v>
      </c>
      <c r="T267" s="159"/>
      <c r="U267" s="159"/>
      <c r="V267" s="159"/>
      <c r="W267" s="159"/>
      <c r="X267" s="159">
        <f t="shared" si="43"/>
        <v>14.9</v>
      </c>
      <c r="Y267" s="209"/>
      <c r="Z267" s="210" t="s">
        <v>619</v>
      </c>
      <c r="AA267" s="202">
        <v>14.9</v>
      </c>
      <c r="AB267" s="203">
        <f t="shared" si="44"/>
        <v>0</v>
      </c>
      <c r="AC267" s="124">
        <v>0.01</v>
      </c>
    </row>
    <row r="268" spans="1:29" s="124" customFormat="1" ht="29.4" customHeight="1">
      <c r="A268" s="154">
        <v>253</v>
      </c>
      <c r="B268" s="204"/>
      <c r="C268" s="204"/>
      <c r="D268" s="205"/>
      <c r="E268" s="155" t="str">
        <f>'Tên Tháng 1'!E256</f>
        <v>ង៉ា អ៊ាត</v>
      </c>
      <c r="F268" s="157" t="str">
        <f>'Tên Tháng 1'!F256</f>
        <v>NGAR EAT</v>
      </c>
      <c r="G268" s="206">
        <v>133</v>
      </c>
      <c r="H268" s="207"/>
      <c r="I268" s="159">
        <f t="shared" si="38"/>
        <v>0</v>
      </c>
      <c r="J268" s="207"/>
      <c r="K268" s="159">
        <f t="shared" si="37"/>
        <v>0</v>
      </c>
      <c r="L268" s="207">
        <f>'SAN LUONG'!AE263</f>
        <v>484.88</v>
      </c>
      <c r="M268" s="159">
        <f t="shared" si="39"/>
        <v>8.42</v>
      </c>
      <c r="N268" s="208">
        <f>'CHAM CONG'!AR262</f>
        <v>0</v>
      </c>
      <c r="O268" s="159">
        <f t="shared" si="40"/>
        <v>0</v>
      </c>
      <c r="P268" s="159">
        <f>'CHAM CONG'!AQ262</f>
        <v>13</v>
      </c>
      <c r="Q268" s="159">
        <f t="shared" si="41"/>
        <v>6.51</v>
      </c>
      <c r="R268" s="159">
        <f t="shared" si="45"/>
        <v>13</v>
      </c>
      <c r="S268" s="159">
        <f t="shared" si="42"/>
        <v>0.41</v>
      </c>
      <c r="T268" s="159"/>
      <c r="U268" s="159"/>
      <c r="V268" s="159"/>
      <c r="W268" s="159"/>
      <c r="X268" s="159">
        <f t="shared" si="43"/>
        <v>15.34</v>
      </c>
      <c r="Y268" s="209"/>
      <c r="Z268" s="210" t="s">
        <v>619</v>
      </c>
      <c r="AA268" s="202">
        <v>15.34</v>
      </c>
      <c r="AB268" s="203">
        <f t="shared" si="44"/>
        <v>0</v>
      </c>
      <c r="AC268" s="124">
        <v>0.01</v>
      </c>
    </row>
    <row r="269" spans="1:29" s="124" customFormat="1" ht="29.4" customHeight="1">
      <c r="A269" s="154">
        <v>254</v>
      </c>
      <c r="B269" s="204"/>
      <c r="C269" s="204"/>
      <c r="D269" s="205"/>
      <c r="E269" s="155" t="str">
        <f>'Tên Tháng 1'!E257</f>
        <v>ហង់ ស៊ីយាន</v>
      </c>
      <c r="F269" s="157" t="str">
        <f>'Tên Tháng 1'!F257</f>
        <v>HONG SIYEAN</v>
      </c>
      <c r="G269" s="206">
        <v>134</v>
      </c>
      <c r="H269" s="207"/>
      <c r="I269" s="159">
        <f t="shared" si="38"/>
        <v>0</v>
      </c>
      <c r="J269" s="207"/>
      <c r="K269" s="159">
        <f t="shared" si="37"/>
        <v>0</v>
      </c>
      <c r="L269" s="207">
        <f>'SAN LUONG'!AE264</f>
        <v>368.72</v>
      </c>
      <c r="M269" s="159">
        <f t="shared" si="39"/>
        <v>6.41</v>
      </c>
      <c r="N269" s="208">
        <f>'CHAM CONG'!AR263</f>
        <v>2</v>
      </c>
      <c r="O269" s="159">
        <f t="shared" si="40"/>
        <v>1.06</v>
      </c>
      <c r="P269" s="159">
        <f>'CHAM CONG'!AQ263</f>
        <v>12</v>
      </c>
      <c r="Q269" s="159">
        <f t="shared" si="41"/>
        <v>6.01</v>
      </c>
      <c r="R269" s="159">
        <f t="shared" si="45"/>
        <v>12</v>
      </c>
      <c r="S269" s="159">
        <f t="shared" si="42"/>
        <v>0.38</v>
      </c>
      <c r="T269" s="159"/>
      <c r="U269" s="159"/>
      <c r="V269" s="159"/>
      <c r="W269" s="159"/>
      <c r="X269" s="159">
        <f t="shared" si="43"/>
        <v>13.860000000000001</v>
      </c>
      <c r="Y269" s="209"/>
      <c r="Z269" s="210" t="s">
        <v>619</v>
      </c>
      <c r="AA269" s="202">
        <v>13.86</v>
      </c>
      <c r="AB269" s="203">
        <f t="shared" si="44"/>
        <v>0</v>
      </c>
      <c r="AC269" s="124">
        <v>0.04</v>
      </c>
    </row>
    <row r="270" spans="1:29" s="124" customFormat="1" ht="29.4" customHeight="1">
      <c r="A270" s="154">
        <v>255</v>
      </c>
      <c r="B270" s="204"/>
      <c r="C270" s="204"/>
      <c r="D270" s="205"/>
      <c r="E270" s="155" t="str">
        <f>'Tên Tháng 1'!E258</f>
        <v>បួ សុខជា</v>
      </c>
      <c r="F270" s="157" t="str">
        <f>'Tên Tháng 1'!F258</f>
        <v>BOUR SOKCHEA</v>
      </c>
      <c r="G270" s="206">
        <v>135</v>
      </c>
      <c r="H270" s="207"/>
      <c r="I270" s="159">
        <f t="shared" si="38"/>
        <v>0</v>
      </c>
      <c r="J270" s="207"/>
      <c r="K270" s="159">
        <f t="shared" si="37"/>
        <v>0</v>
      </c>
      <c r="L270" s="207">
        <f>'SAN LUONG'!AE265</f>
        <v>438.24</v>
      </c>
      <c r="M270" s="159">
        <f t="shared" si="39"/>
        <v>7.61</v>
      </c>
      <c r="N270" s="208">
        <f>'CHAM CONG'!AR264</f>
        <v>1</v>
      </c>
      <c r="O270" s="159">
        <f t="shared" si="40"/>
        <v>0.53</v>
      </c>
      <c r="P270" s="159">
        <f>'CHAM CONG'!AQ264</f>
        <v>12</v>
      </c>
      <c r="Q270" s="159">
        <f t="shared" si="41"/>
        <v>6.01</v>
      </c>
      <c r="R270" s="159">
        <f t="shared" si="45"/>
        <v>12</v>
      </c>
      <c r="S270" s="159">
        <f t="shared" si="42"/>
        <v>0.38</v>
      </c>
      <c r="T270" s="159"/>
      <c r="U270" s="159"/>
      <c r="V270" s="159"/>
      <c r="W270" s="159"/>
      <c r="X270" s="159">
        <f t="shared" si="43"/>
        <v>14.530000000000001</v>
      </c>
      <c r="Y270" s="209"/>
      <c r="Z270" s="210" t="s">
        <v>619</v>
      </c>
      <c r="AA270" s="202">
        <v>14.53</v>
      </c>
      <c r="AB270" s="203">
        <f t="shared" si="44"/>
        <v>0</v>
      </c>
      <c r="AC270" s="124">
        <v>0.04</v>
      </c>
    </row>
    <row r="271" spans="1:29" s="124" customFormat="1" ht="29.4" customHeight="1">
      <c r="A271" s="154">
        <v>256</v>
      </c>
      <c r="B271" s="204"/>
      <c r="C271" s="204"/>
      <c r="D271" s="205"/>
      <c r="E271" s="155" t="str">
        <f>'Tên Tháng 1'!E259</f>
        <v>ឃឹម ធឿន</v>
      </c>
      <c r="F271" s="157" t="str">
        <f>'Tên Tháng 1'!F259</f>
        <v>KHOEM THOEUN</v>
      </c>
      <c r="G271" s="206">
        <v>136</v>
      </c>
      <c r="H271" s="207"/>
      <c r="I271" s="159">
        <f t="shared" si="38"/>
        <v>0</v>
      </c>
      <c r="J271" s="207"/>
      <c r="K271" s="159">
        <f t="shared" si="37"/>
        <v>0</v>
      </c>
      <c r="L271" s="207">
        <f>'SAN LUONG'!AE266</f>
        <v>487.52</v>
      </c>
      <c r="M271" s="159">
        <f t="shared" si="39"/>
        <v>8.4700000000000006</v>
      </c>
      <c r="N271" s="208">
        <f>'CHAM CONG'!AR265</f>
        <v>1</v>
      </c>
      <c r="O271" s="159">
        <f t="shared" si="40"/>
        <v>0.53</v>
      </c>
      <c r="P271" s="159">
        <f>'CHAM CONG'!AQ265</f>
        <v>10</v>
      </c>
      <c r="Q271" s="159">
        <f t="shared" si="41"/>
        <v>5.01</v>
      </c>
      <c r="R271" s="159">
        <f t="shared" si="45"/>
        <v>10</v>
      </c>
      <c r="S271" s="159">
        <f t="shared" si="42"/>
        <v>0.31</v>
      </c>
      <c r="T271" s="159"/>
      <c r="U271" s="159"/>
      <c r="V271" s="159"/>
      <c r="W271" s="159"/>
      <c r="X271" s="159">
        <f t="shared" si="43"/>
        <v>14.32</v>
      </c>
      <c r="Y271" s="209"/>
      <c r="Z271" s="210" t="s">
        <v>619</v>
      </c>
      <c r="AA271" s="202">
        <v>14.32</v>
      </c>
      <c r="AB271" s="203">
        <f t="shared" si="44"/>
        <v>0</v>
      </c>
      <c r="AC271" s="124">
        <v>-0.02</v>
      </c>
    </row>
    <row r="272" spans="1:29" s="124" customFormat="1" ht="27" customHeight="1">
      <c r="A272" s="154">
        <v>257</v>
      </c>
      <c r="B272" s="204"/>
      <c r="C272" s="204"/>
      <c r="D272" s="205"/>
      <c r="E272" s="155" t="str">
        <f>'Tên Tháng 1'!E260</f>
        <v>ហន ហាយ</v>
      </c>
      <c r="F272" s="157" t="str">
        <f>'Tên Tháng 1'!F260</f>
        <v>HORN HAY</v>
      </c>
      <c r="G272" s="206">
        <v>215</v>
      </c>
      <c r="H272" s="207">
        <f>'SAN LUONG'!AP267</f>
        <v>550.88</v>
      </c>
      <c r="I272" s="159">
        <f t="shared" si="38"/>
        <v>7.85</v>
      </c>
      <c r="J272" s="207"/>
      <c r="K272" s="159">
        <f t="shared" ref="K272:K335" si="46">ROUND(J272*$K$14/31947,2)</f>
        <v>0</v>
      </c>
      <c r="L272" s="207">
        <f>'SAN LUONG'!AQ267</f>
        <v>45.76</v>
      </c>
      <c r="M272" s="159">
        <f t="shared" si="39"/>
        <v>0.79</v>
      </c>
      <c r="N272" s="208">
        <f>'CHAM CONG'!AR266</f>
        <v>2</v>
      </c>
      <c r="O272" s="159">
        <f t="shared" si="40"/>
        <v>1.06</v>
      </c>
      <c r="P272" s="159">
        <f>'CHAM CONG'!AQ266</f>
        <v>12</v>
      </c>
      <c r="Q272" s="159">
        <f t="shared" si="41"/>
        <v>6.01</v>
      </c>
      <c r="R272" s="159">
        <f t="shared" si="45"/>
        <v>12</v>
      </c>
      <c r="S272" s="159">
        <f t="shared" si="42"/>
        <v>0.38</v>
      </c>
      <c r="T272" s="159"/>
      <c r="U272" s="159"/>
      <c r="V272" s="159"/>
      <c r="W272" s="159"/>
      <c r="X272" s="159">
        <f t="shared" si="43"/>
        <v>16.09</v>
      </c>
      <c r="Y272" s="209"/>
      <c r="Z272" s="210" t="s">
        <v>619</v>
      </c>
      <c r="AA272" s="202">
        <v>16.09</v>
      </c>
      <c r="AB272" s="203">
        <f t="shared" si="44"/>
        <v>0</v>
      </c>
      <c r="AC272" s="124">
        <v>0</v>
      </c>
    </row>
    <row r="273" spans="1:29" s="124" customFormat="1" ht="27" customHeight="1">
      <c r="A273" s="154">
        <v>258</v>
      </c>
      <c r="B273" s="204"/>
      <c r="C273" s="204"/>
      <c r="D273" s="205"/>
      <c r="E273" s="155" t="str">
        <f>'Tên Tháng 1'!E261</f>
        <v>លាង ផា</v>
      </c>
      <c r="F273" s="157" t="str">
        <f>'Tên Tháng 1'!F261</f>
        <v>LEANG PHA</v>
      </c>
      <c r="G273" s="206">
        <v>216</v>
      </c>
      <c r="H273" s="207">
        <f>'SAN LUONG'!AP268</f>
        <v>405.24</v>
      </c>
      <c r="I273" s="159">
        <f t="shared" ref="I273:I336" si="47">ROUND(H273*$I$14/31947,2)</f>
        <v>5.77</v>
      </c>
      <c r="J273" s="207"/>
      <c r="K273" s="159">
        <f t="shared" si="46"/>
        <v>0</v>
      </c>
      <c r="L273" s="207">
        <f>'SAN LUONG'!AQ268</f>
        <v>109.12</v>
      </c>
      <c r="M273" s="159">
        <f t="shared" ref="M273:M319" si="48">ROUND(L273*$M$14/31947,2)</f>
        <v>1.9</v>
      </c>
      <c r="N273" s="208">
        <f>'CHAM CONG'!AR267</f>
        <v>2</v>
      </c>
      <c r="O273" s="159">
        <f t="shared" ref="O273:O336" si="49">ROUND(N273*$O$14/31947,2)</f>
        <v>1.06</v>
      </c>
      <c r="P273" s="159">
        <f>'CHAM CONG'!AQ267</f>
        <v>10</v>
      </c>
      <c r="Q273" s="159">
        <f t="shared" ref="Q273:Q336" si="50">ROUND(P273*$Q$14/31947,2)</f>
        <v>5.01</v>
      </c>
      <c r="R273" s="159">
        <f t="shared" si="45"/>
        <v>10</v>
      </c>
      <c r="S273" s="159">
        <f t="shared" ref="S273:S336" si="51">ROUND(R273*$S$14/31947,2)</f>
        <v>0.31</v>
      </c>
      <c r="T273" s="159"/>
      <c r="U273" s="159"/>
      <c r="V273" s="159"/>
      <c r="W273" s="159"/>
      <c r="X273" s="159">
        <f t="shared" ref="X273:X336" si="52">I273+K273+M273+Q273+S273+O273</f>
        <v>14.05</v>
      </c>
      <c r="Y273" s="209"/>
      <c r="Z273" s="210" t="s">
        <v>619</v>
      </c>
      <c r="AA273" s="202">
        <v>14.05</v>
      </c>
      <c r="AB273" s="203">
        <f t="shared" ref="AB273:AB336" si="53">ROUND(AA273-X273,2)</f>
        <v>0</v>
      </c>
      <c r="AC273" s="124">
        <v>-0.03</v>
      </c>
    </row>
    <row r="274" spans="1:29" s="124" customFormat="1" ht="27" customHeight="1">
      <c r="A274" s="154">
        <v>259</v>
      </c>
      <c r="B274" s="204"/>
      <c r="C274" s="204"/>
      <c r="D274" s="205"/>
      <c r="E274" s="155" t="str">
        <f>'Tên Tháng 1'!E262</f>
        <v>អ៊ឹម ចាន់ណា</v>
      </c>
      <c r="F274" s="157" t="str">
        <f>'Tên Tháng 1'!F262</f>
        <v>OEM CHANNA</v>
      </c>
      <c r="G274" s="206">
        <v>217</v>
      </c>
      <c r="H274" s="207">
        <f>'SAN LUONG'!AP269</f>
        <v>496.76</v>
      </c>
      <c r="I274" s="159">
        <f t="shared" si="47"/>
        <v>7.08</v>
      </c>
      <c r="J274" s="207"/>
      <c r="K274" s="159">
        <f t="shared" si="46"/>
        <v>0</v>
      </c>
      <c r="L274" s="207">
        <f>'SAN LUONG'!AQ269</f>
        <v>162.36000000000001</v>
      </c>
      <c r="M274" s="159">
        <f t="shared" si="48"/>
        <v>2.82</v>
      </c>
      <c r="N274" s="208">
        <f>'CHAM CONG'!AR268</f>
        <v>0</v>
      </c>
      <c r="O274" s="159">
        <f t="shared" si="49"/>
        <v>0</v>
      </c>
      <c r="P274" s="159">
        <f>'CHAM CONG'!AQ268</f>
        <v>12</v>
      </c>
      <c r="Q274" s="159">
        <f t="shared" si="50"/>
        <v>6.01</v>
      </c>
      <c r="R274" s="159">
        <f t="shared" ref="R274:R337" si="54">P274</f>
        <v>12</v>
      </c>
      <c r="S274" s="159">
        <f t="shared" si="51"/>
        <v>0.38</v>
      </c>
      <c r="T274" s="159"/>
      <c r="U274" s="159"/>
      <c r="V274" s="159"/>
      <c r="W274" s="159"/>
      <c r="X274" s="159">
        <f t="shared" si="52"/>
        <v>16.29</v>
      </c>
      <c r="Y274" s="209"/>
      <c r="Z274" s="210" t="s">
        <v>619</v>
      </c>
      <c r="AA274" s="202">
        <v>16.28</v>
      </c>
      <c r="AB274" s="203">
        <f t="shared" si="53"/>
        <v>-0.01</v>
      </c>
      <c r="AC274" s="124">
        <v>0.01</v>
      </c>
    </row>
    <row r="275" spans="1:29" s="124" customFormat="1" ht="27" customHeight="1">
      <c r="A275" s="154">
        <v>260</v>
      </c>
      <c r="B275" s="204"/>
      <c r="C275" s="204"/>
      <c r="D275" s="205"/>
      <c r="E275" s="155" t="str">
        <f>'Tên Tháng 1'!E263</f>
        <v>អៀង វី</v>
      </c>
      <c r="F275" s="157" t="str">
        <f>'Tên Tháng 1'!F263</f>
        <v>EANG VY</v>
      </c>
      <c r="G275" s="206">
        <v>218</v>
      </c>
      <c r="H275" s="207">
        <f>'SAN LUONG'!AP270</f>
        <v>549.12</v>
      </c>
      <c r="I275" s="159">
        <f t="shared" si="47"/>
        <v>7.82</v>
      </c>
      <c r="J275" s="207"/>
      <c r="K275" s="159">
        <f t="shared" si="46"/>
        <v>0</v>
      </c>
      <c r="L275" s="207">
        <f>'SAN LUONG'!AQ270</f>
        <v>164.56</v>
      </c>
      <c r="M275" s="159">
        <f t="shared" si="48"/>
        <v>2.86</v>
      </c>
      <c r="N275" s="208">
        <f>'CHAM CONG'!AR269</f>
        <v>1</v>
      </c>
      <c r="O275" s="159">
        <f t="shared" si="49"/>
        <v>0.53</v>
      </c>
      <c r="P275" s="159">
        <f>'CHAM CONG'!AQ269</f>
        <v>13</v>
      </c>
      <c r="Q275" s="159">
        <f t="shared" si="50"/>
        <v>6.51</v>
      </c>
      <c r="R275" s="159">
        <f t="shared" si="54"/>
        <v>13</v>
      </c>
      <c r="S275" s="159">
        <f t="shared" si="51"/>
        <v>0.41</v>
      </c>
      <c r="T275" s="159"/>
      <c r="U275" s="159"/>
      <c r="V275" s="159"/>
      <c r="W275" s="159"/>
      <c r="X275" s="159">
        <f t="shared" si="52"/>
        <v>18.13</v>
      </c>
      <c r="Y275" s="209"/>
      <c r="Z275" s="210" t="s">
        <v>619</v>
      </c>
      <c r="AA275" s="202">
        <v>18.13</v>
      </c>
      <c r="AB275" s="203">
        <f t="shared" si="53"/>
        <v>0</v>
      </c>
      <c r="AC275" s="124">
        <v>0.04</v>
      </c>
    </row>
    <row r="276" spans="1:29" s="124" customFormat="1" ht="27" customHeight="1">
      <c r="A276" s="154">
        <v>261</v>
      </c>
      <c r="B276" s="204"/>
      <c r="C276" s="204"/>
      <c r="D276" s="205"/>
      <c r="E276" s="155" t="str">
        <f>'Tên Tháng 1'!E264</f>
        <v>បុន បួត</v>
      </c>
      <c r="F276" s="157" t="str">
        <f>'Tên Tháng 1'!F264</f>
        <v>BON BUOT</v>
      </c>
      <c r="G276" s="206">
        <v>219</v>
      </c>
      <c r="H276" s="207">
        <f>'SAN LUONG'!AP271</f>
        <v>554.4</v>
      </c>
      <c r="I276" s="159">
        <f t="shared" si="47"/>
        <v>7.9</v>
      </c>
      <c r="J276" s="207"/>
      <c r="K276" s="159">
        <f t="shared" si="46"/>
        <v>0</v>
      </c>
      <c r="L276" s="207">
        <f>'SAN LUONG'!AQ271</f>
        <v>151.36000000000001</v>
      </c>
      <c r="M276" s="159">
        <f t="shared" si="48"/>
        <v>2.63</v>
      </c>
      <c r="N276" s="208">
        <f>'CHAM CONG'!AR270</f>
        <v>1</v>
      </c>
      <c r="O276" s="159">
        <f t="shared" si="49"/>
        <v>0.53</v>
      </c>
      <c r="P276" s="159">
        <f>'CHAM CONG'!AQ270</f>
        <v>13</v>
      </c>
      <c r="Q276" s="159">
        <f t="shared" si="50"/>
        <v>6.51</v>
      </c>
      <c r="R276" s="159">
        <f t="shared" si="54"/>
        <v>13</v>
      </c>
      <c r="S276" s="159">
        <f t="shared" si="51"/>
        <v>0.41</v>
      </c>
      <c r="T276" s="159"/>
      <c r="U276" s="159"/>
      <c r="V276" s="159"/>
      <c r="W276" s="159"/>
      <c r="X276" s="159">
        <f t="shared" si="52"/>
        <v>17.98</v>
      </c>
      <c r="Y276" s="209"/>
      <c r="Z276" s="210" t="s">
        <v>619</v>
      </c>
      <c r="AA276" s="202">
        <v>17.98</v>
      </c>
      <c r="AB276" s="203">
        <f t="shared" si="53"/>
        <v>0</v>
      </c>
      <c r="AC276" s="124">
        <v>0.01</v>
      </c>
    </row>
    <row r="277" spans="1:29" s="124" customFormat="1" ht="27" customHeight="1">
      <c r="A277" s="154">
        <v>262</v>
      </c>
      <c r="B277" s="204"/>
      <c r="C277" s="204"/>
      <c r="D277" s="205"/>
      <c r="E277" s="155" t="str">
        <f>'Tên Tháng 1'!E265</f>
        <v>អ៊ួន ខ្មិក</v>
      </c>
      <c r="F277" s="157" t="str">
        <f>'Tên Tháng 1'!F265</f>
        <v>OUN KHMEK</v>
      </c>
      <c r="G277" s="206">
        <v>220</v>
      </c>
      <c r="H277" s="207">
        <f>'SAN LUONG'!AP272</f>
        <v>417.56</v>
      </c>
      <c r="I277" s="159">
        <f t="shared" si="47"/>
        <v>5.95</v>
      </c>
      <c r="J277" s="207"/>
      <c r="K277" s="159">
        <f t="shared" si="46"/>
        <v>0</v>
      </c>
      <c r="L277" s="207">
        <f>'SAN LUONG'!AQ272</f>
        <v>152.24</v>
      </c>
      <c r="M277" s="159">
        <f t="shared" si="48"/>
        <v>2.64</v>
      </c>
      <c r="N277" s="208">
        <f>'CHAM CONG'!AR271</f>
        <v>1</v>
      </c>
      <c r="O277" s="159">
        <f t="shared" si="49"/>
        <v>0.53</v>
      </c>
      <c r="P277" s="159">
        <f>'CHAM CONG'!AQ271</f>
        <v>12</v>
      </c>
      <c r="Q277" s="159">
        <f t="shared" si="50"/>
        <v>6.01</v>
      </c>
      <c r="R277" s="159">
        <f t="shared" si="54"/>
        <v>12</v>
      </c>
      <c r="S277" s="159">
        <f t="shared" si="51"/>
        <v>0.38</v>
      </c>
      <c r="T277" s="159"/>
      <c r="U277" s="159"/>
      <c r="V277" s="159"/>
      <c r="W277" s="159"/>
      <c r="X277" s="159">
        <f t="shared" si="52"/>
        <v>15.51</v>
      </c>
      <c r="Y277" s="209"/>
      <c r="Z277" s="210" t="s">
        <v>619</v>
      </c>
      <c r="AA277" s="202">
        <v>15.51</v>
      </c>
      <c r="AB277" s="203">
        <f t="shared" si="53"/>
        <v>0</v>
      </c>
      <c r="AC277" s="124">
        <v>0</v>
      </c>
    </row>
    <row r="278" spans="1:29" s="124" customFormat="1" ht="27" customHeight="1">
      <c r="A278" s="154">
        <v>263</v>
      </c>
      <c r="B278" s="204"/>
      <c r="C278" s="204"/>
      <c r="D278" s="205"/>
      <c r="E278" s="155" t="str">
        <f>'Tên Tháng 1'!E266</f>
        <v>ឡាញ់ រ៉ុម</v>
      </c>
      <c r="F278" s="157" t="str">
        <f>'Tên Tháng 1'!F266</f>
        <v>LANG ROM</v>
      </c>
      <c r="G278" s="206">
        <v>221</v>
      </c>
      <c r="H278" s="207">
        <f>'SAN LUONG'!AP273</f>
        <v>643.72</v>
      </c>
      <c r="I278" s="159">
        <f t="shared" si="47"/>
        <v>9.17</v>
      </c>
      <c r="J278" s="207"/>
      <c r="K278" s="159">
        <f t="shared" si="46"/>
        <v>0</v>
      </c>
      <c r="L278" s="207">
        <f>'SAN LUONG'!AQ273</f>
        <v>213.84</v>
      </c>
      <c r="M278" s="159">
        <f t="shared" si="48"/>
        <v>3.71</v>
      </c>
      <c r="N278" s="208">
        <f>'CHAM CONG'!AR272</f>
        <v>2</v>
      </c>
      <c r="O278" s="159">
        <f t="shared" si="49"/>
        <v>1.06</v>
      </c>
      <c r="P278" s="159">
        <f>'CHAM CONG'!AQ272</f>
        <v>14</v>
      </c>
      <c r="Q278" s="159">
        <f t="shared" si="50"/>
        <v>7.01</v>
      </c>
      <c r="R278" s="159">
        <f t="shared" si="54"/>
        <v>14</v>
      </c>
      <c r="S278" s="159">
        <f t="shared" si="51"/>
        <v>0.44</v>
      </c>
      <c r="T278" s="159"/>
      <c r="U278" s="159"/>
      <c r="V278" s="159"/>
      <c r="W278" s="159"/>
      <c r="X278" s="159">
        <f t="shared" si="52"/>
        <v>21.39</v>
      </c>
      <c r="Y278" s="209"/>
      <c r="Z278" s="210" t="s">
        <v>619</v>
      </c>
      <c r="AA278" s="202">
        <v>21.4</v>
      </c>
      <c r="AB278" s="203">
        <f t="shared" si="53"/>
        <v>0.01</v>
      </c>
      <c r="AC278" s="124">
        <v>0.04</v>
      </c>
    </row>
    <row r="279" spans="1:29" s="124" customFormat="1" ht="27" customHeight="1">
      <c r="A279" s="154">
        <v>264</v>
      </c>
      <c r="B279" s="204"/>
      <c r="C279" s="204"/>
      <c r="D279" s="205"/>
      <c r="E279" s="155" t="str">
        <f>'Tên Tháng 1'!E267</f>
        <v>ឡាញ់ លី</v>
      </c>
      <c r="F279" s="157" t="str">
        <f>'Tên Tháng 1'!F267</f>
        <v>LANH LY</v>
      </c>
      <c r="G279" s="206">
        <v>222</v>
      </c>
      <c r="H279" s="207">
        <f>'SAN LUONG'!AP274</f>
        <v>585.20000000000005</v>
      </c>
      <c r="I279" s="159">
        <f t="shared" si="47"/>
        <v>8.33</v>
      </c>
      <c r="J279" s="207"/>
      <c r="K279" s="159">
        <f t="shared" si="46"/>
        <v>0</v>
      </c>
      <c r="L279" s="207">
        <f>'SAN LUONG'!AQ274</f>
        <v>197.56</v>
      </c>
      <c r="M279" s="159">
        <f t="shared" si="48"/>
        <v>3.43</v>
      </c>
      <c r="N279" s="208">
        <f>'CHAM CONG'!AR273</f>
        <v>1</v>
      </c>
      <c r="O279" s="159">
        <f t="shared" si="49"/>
        <v>0.53</v>
      </c>
      <c r="P279" s="159">
        <f>'CHAM CONG'!AQ273</f>
        <v>14</v>
      </c>
      <c r="Q279" s="159">
        <f t="shared" si="50"/>
        <v>7.01</v>
      </c>
      <c r="R279" s="159">
        <f t="shared" si="54"/>
        <v>14</v>
      </c>
      <c r="S279" s="159">
        <f t="shared" si="51"/>
        <v>0.44</v>
      </c>
      <c r="T279" s="159"/>
      <c r="U279" s="159"/>
      <c r="V279" s="159"/>
      <c r="W279" s="159"/>
      <c r="X279" s="159">
        <f t="shared" si="52"/>
        <v>19.740000000000002</v>
      </c>
      <c r="Y279" s="209"/>
      <c r="Z279" s="210" t="s">
        <v>619</v>
      </c>
      <c r="AA279" s="202">
        <v>19.75</v>
      </c>
      <c r="AB279" s="203">
        <f t="shared" si="53"/>
        <v>0.01</v>
      </c>
      <c r="AC279" s="124">
        <v>0.04</v>
      </c>
    </row>
    <row r="280" spans="1:29" s="124" customFormat="1" ht="27" customHeight="1">
      <c r="A280" s="154">
        <v>265</v>
      </c>
      <c r="B280" s="204"/>
      <c r="C280" s="204"/>
      <c r="D280" s="205"/>
      <c r="E280" s="155" t="str">
        <f>'Tên Tháng 1'!E268</f>
        <v>ប៊ិន យ៉ូត</v>
      </c>
      <c r="F280" s="157" t="str">
        <f>'Tên Tháng 1'!F268</f>
        <v>BIN YOUT</v>
      </c>
      <c r="G280" s="206">
        <v>223</v>
      </c>
      <c r="H280" s="207">
        <f>'SAN LUONG'!AP275</f>
        <v>501.16</v>
      </c>
      <c r="I280" s="159">
        <f t="shared" si="47"/>
        <v>7.14</v>
      </c>
      <c r="J280" s="207"/>
      <c r="K280" s="159">
        <f t="shared" si="46"/>
        <v>0</v>
      </c>
      <c r="L280" s="207">
        <f>'SAN LUONG'!AQ275</f>
        <v>150.91999999999999</v>
      </c>
      <c r="M280" s="159">
        <f t="shared" si="48"/>
        <v>2.62</v>
      </c>
      <c r="N280" s="208">
        <f>'CHAM CONG'!AR274</f>
        <v>2</v>
      </c>
      <c r="O280" s="159">
        <f t="shared" si="49"/>
        <v>1.06</v>
      </c>
      <c r="P280" s="159">
        <f>'CHAM CONG'!AQ274</f>
        <v>13</v>
      </c>
      <c r="Q280" s="159">
        <f t="shared" si="50"/>
        <v>6.51</v>
      </c>
      <c r="R280" s="159">
        <f t="shared" si="54"/>
        <v>13</v>
      </c>
      <c r="S280" s="159">
        <f t="shared" si="51"/>
        <v>0.41</v>
      </c>
      <c r="T280" s="159"/>
      <c r="U280" s="159"/>
      <c r="V280" s="159"/>
      <c r="W280" s="159"/>
      <c r="X280" s="159">
        <f t="shared" si="52"/>
        <v>17.739999999999998</v>
      </c>
      <c r="Y280" s="209"/>
      <c r="Z280" s="210" t="s">
        <v>619</v>
      </c>
      <c r="AA280" s="202">
        <v>17.739999999999998</v>
      </c>
      <c r="AB280" s="203">
        <f t="shared" si="53"/>
        <v>0</v>
      </c>
      <c r="AC280" s="124">
        <v>0.05</v>
      </c>
    </row>
    <row r="281" spans="1:29" s="124" customFormat="1" ht="27" customHeight="1">
      <c r="A281" s="154">
        <v>266</v>
      </c>
      <c r="B281" s="204"/>
      <c r="C281" s="204"/>
      <c r="D281" s="205"/>
      <c r="E281" s="155" t="str">
        <f>'Tên Tháng 1'!E269</f>
        <v>ជ្រឹម សាត</v>
      </c>
      <c r="F281" s="157" t="str">
        <f>'Tên Tháng 1'!F269</f>
        <v>CHRIM SATH</v>
      </c>
      <c r="G281" s="206">
        <v>224</v>
      </c>
      <c r="H281" s="207">
        <f>'SAN LUONG'!AP276</f>
        <v>485.32</v>
      </c>
      <c r="I281" s="159">
        <f t="shared" si="47"/>
        <v>6.91</v>
      </c>
      <c r="J281" s="207"/>
      <c r="K281" s="159">
        <f t="shared" si="46"/>
        <v>0</v>
      </c>
      <c r="L281" s="207">
        <f>'SAN LUONG'!AQ276</f>
        <v>176</v>
      </c>
      <c r="M281" s="159">
        <f t="shared" si="48"/>
        <v>3.06</v>
      </c>
      <c r="N281" s="208">
        <f>'CHAM CONG'!AR275</f>
        <v>2</v>
      </c>
      <c r="O281" s="159">
        <f t="shared" si="49"/>
        <v>1.06</v>
      </c>
      <c r="P281" s="159">
        <f>'CHAM CONG'!AQ275</f>
        <v>13</v>
      </c>
      <c r="Q281" s="159">
        <f t="shared" si="50"/>
        <v>6.51</v>
      </c>
      <c r="R281" s="159">
        <f t="shared" si="54"/>
        <v>13</v>
      </c>
      <c r="S281" s="159">
        <f t="shared" si="51"/>
        <v>0.41</v>
      </c>
      <c r="T281" s="159"/>
      <c r="U281" s="159"/>
      <c r="V281" s="159"/>
      <c r="W281" s="159"/>
      <c r="X281" s="159">
        <f t="shared" si="52"/>
        <v>17.95</v>
      </c>
      <c r="Y281" s="209"/>
      <c r="Z281" s="210" t="s">
        <v>619</v>
      </c>
      <c r="AA281" s="202">
        <v>17.95</v>
      </c>
      <c r="AB281" s="203">
        <f t="shared" si="53"/>
        <v>0</v>
      </c>
      <c r="AC281" s="124">
        <v>0.05</v>
      </c>
    </row>
    <row r="282" spans="1:29" s="124" customFormat="1" ht="27" customHeight="1">
      <c r="A282" s="154">
        <v>267</v>
      </c>
      <c r="B282" s="204"/>
      <c r="C282" s="204"/>
      <c r="D282" s="205"/>
      <c r="E282" s="155" t="str">
        <f>'Tên Tháng 1'!E270</f>
        <v>មិក ម៉ាច</v>
      </c>
      <c r="F282" s="157" t="str">
        <f>'Tên Tháng 1'!F270</f>
        <v>MIK MACH</v>
      </c>
      <c r="G282" s="206">
        <v>225</v>
      </c>
      <c r="H282" s="207">
        <f>'SAN LUONG'!AP277</f>
        <v>581.24</v>
      </c>
      <c r="I282" s="159">
        <f t="shared" si="47"/>
        <v>8.2799999999999994</v>
      </c>
      <c r="J282" s="207"/>
      <c r="K282" s="159">
        <f t="shared" si="46"/>
        <v>0</v>
      </c>
      <c r="L282" s="207">
        <f>'SAN LUONG'!AQ277</f>
        <v>56.32</v>
      </c>
      <c r="M282" s="159">
        <f t="shared" si="48"/>
        <v>0.98</v>
      </c>
      <c r="N282" s="208">
        <f>'CHAM CONG'!AR276</f>
        <v>2</v>
      </c>
      <c r="O282" s="159">
        <f t="shared" si="49"/>
        <v>1.06</v>
      </c>
      <c r="P282" s="159">
        <f>'CHAM CONG'!AQ276</f>
        <v>12</v>
      </c>
      <c r="Q282" s="159">
        <f t="shared" si="50"/>
        <v>6.01</v>
      </c>
      <c r="R282" s="159">
        <f t="shared" si="54"/>
        <v>12</v>
      </c>
      <c r="S282" s="159">
        <f t="shared" si="51"/>
        <v>0.38</v>
      </c>
      <c r="T282" s="159"/>
      <c r="U282" s="159"/>
      <c r="V282" s="159"/>
      <c r="W282" s="159"/>
      <c r="X282" s="159">
        <f t="shared" si="52"/>
        <v>16.71</v>
      </c>
      <c r="Y282" s="209"/>
      <c r="Z282" s="210" t="s">
        <v>619</v>
      </c>
      <c r="AA282" s="202">
        <v>16.71</v>
      </c>
      <c r="AB282" s="203">
        <f t="shared" si="53"/>
        <v>0</v>
      </c>
      <c r="AC282" s="124">
        <v>0.01</v>
      </c>
    </row>
    <row r="283" spans="1:29" s="124" customFormat="1" ht="27" customHeight="1">
      <c r="A283" s="154">
        <v>268</v>
      </c>
      <c r="B283" s="204"/>
      <c r="C283" s="204"/>
      <c r="D283" s="205"/>
      <c r="E283" s="155" t="str">
        <f>'Tên Tháng 1'!E271</f>
        <v>សៃ ឆាយា</v>
      </c>
      <c r="F283" s="157" t="str">
        <f>'Tên Tháng 1'!F271</f>
        <v>SAI CHHAYA</v>
      </c>
      <c r="G283" s="206">
        <v>226</v>
      </c>
      <c r="H283" s="207">
        <f>'SAN LUONG'!AP278</f>
        <v>406.12</v>
      </c>
      <c r="I283" s="159">
        <f t="shared" si="47"/>
        <v>5.78</v>
      </c>
      <c r="J283" s="207"/>
      <c r="K283" s="159">
        <f t="shared" si="46"/>
        <v>0</v>
      </c>
      <c r="L283" s="207">
        <f>'SAN LUONG'!AQ278</f>
        <v>171.6</v>
      </c>
      <c r="M283" s="159">
        <f t="shared" si="48"/>
        <v>2.98</v>
      </c>
      <c r="N283" s="208">
        <f>'CHAM CONG'!AR277</f>
        <v>1</v>
      </c>
      <c r="O283" s="159">
        <f t="shared" si="49"/>
        <v>0.53</v>
      </c>
      <c r="P283" s="159">
        <f>'CHAM CONG'!AQ277</f>
        <v>12</v>
      </c>
      <c r="Q283" s="159">
        <f t="shared" si="50"/>
        <v>6.01</v>
      </c>
      <c r="R283" s="159">
        <f t="shared" si="54"/>
        <v>12</v>
      </c>
      <c r="S283" s="159">
        <f t="shared" si="51"/>
        <v>0.38</v>
      </c>
      <c r="T283" s="159"/>
      <c r="U283" s="159"/>
      <c r="V283" s="159"/>
      <c r="W283" s="159"/>
      <c r="X283" s="159">
        <f t="shared" si="52"/>
        <v>15.68</v>
      </c>
      <c r="Y283" s="209"/>
      <c r="Z283" s="210" t="s">
        <v>619</v>
      </c>
      <c r="AA283" s="202">
        <v>15.68</v>
      </c>
      <c r="AB283" s="203">
        <f t="shared" si="53"/>
        <v>0</v>
      </c>
      <c r="AC283" s="124">
        <v>0.05</v>
      </c>
    </row>
    <row r="284" spans="1:29" s="124" customFormat="1" ht="27" customHeight="1">
      <c r="A284" s="154">
        <v>269</v>
      </c>
      <c r="B284" s="204"/>
      <c r="C284" s="204"/>
      <c r="D284" s="205"/>
      <c r="E284" s="155" t="str">
        <f>'Tên Tháng 1'!E272</f>
        <v>ធី ភិរក្ស</v>
      </c>
      <c r="F284" s="157" t="str">
        <f>'Tên Tháng 1'!F272</f>
        <v>THY PHY REAK</v>
      </c>
      <c r="G284" s="206">
        <v>227</v>
      </c>
      <c r="H284" s="207">
        <f>'SAN LUONG'!AP279</f>
        <v>599.72</v>
      </c>
      <c r="I284" s="159">
        <f t="shared" si="47"/>
        <v>8.5399999999999991</v>
      </c>
      <c r="J284" s="207"/>
      <c r="K284" s="159">
        <f t="shared" si="46"/>
        <v>0</v>
      </c>
      <c r="L284" s="207">
        <f>'SAN LUONG'!AQ279</f>
        <v>218.68</v>
      </c>
      <c r="M284" s="159">
        <f t="shared" si="48"/>
        <v>3.8</v>
      </c>
      <c r="N284" s="208">
        <f>'CHAM CONG'!AR278</f>
        <v>2</v>
      </c>
      <c r="O284" s="159">
        <f t="shared" si="49"/>
        <v>1.06</v>
      </c>
      <c r="P284" s="159">
        <f>'CHAM CONG'!AQ278</f>
        <v>13</v>
      </c>
      <c r="Q284" s="159">
        <f t="shared" si="50"/>
        <v>6.51</v>
      </c>
      <c r="R284" s="159">
        <f t="shared" si="54"/>
        <v>13</v>
      </c>
      <c r="S284" s="159">
        <f t="shared" si="51"/>
        <v>0.41</v>
      </c>
      <c r="T284" s="159"/>
      <c r="U284" s="159"/>
      <c r="V284" s="159"/>
      <c r="W284" s="159"/>
      <c r="X284" s="159">
        <f t="shared" si="52"/>
        <v>20.32</v>
      </c>
      <c r="Y284" s="209"/>
      <c r="Z284" s="210" t="s">
        <v>619</v>
      </c>
      <c r="AA284" s="202">
        <v>20.32</v>
      </c>
      <c r="AB284" s="203">
        <f t="shared" si="53"/>
        <v>0</v>
      </c>
      <c r="AC284" s="124">
        <v>0.04</v>
      </c>
    </row>
    <row r="285" spans="1:29" s="124" customFormat="1" ht="27" customHeight="1">
      <c r="A285" s="154">
        <v>270</v>
      </c>
      <c r="B285" s="204"/>
      <c r="C285" s="204"/>
      <c r="D285" s="205"/>
      <c r="E285" s="155" t="str">
        <f>'Tên Tháng 1'!E273</f>
        <v>ភី ភ័ក្រ</v>
      </c>
      <c r="F285" s="157" t="str">
        <f>'Tên Tháng 1'!F273</f>
        <v>PHY PHAEK</v>
      </c>
      <c r="G285" s="206">
        <v>228</v>
      </c>
      <c r="H285" s="207">
        <f>'SAN LUONG'!AP280</f>
        <v>526.24</v>
      </c>
      <c r="I285" s="159">
        <f t="shared" si="47"/>
        <v>7.49</v>
      </c>
      <c r="J285" s="207"/>
      <c r="K285" s="159">
        <f t="shared" si="46"/>
        <v>0</v>
      </c>
      <c r="L285" s="207">
        <f>'SAN LUONG'!AQ280</f>
        <v>205.92</v>
      </c>
      <c r="M285" s="159">
        <f t="shared" si="48"/>
        <v>3.58</v>
      </c>
      <c r="N285" s="208">
        <f>'CHAM CONG'!AR279</f>
        <v>2</v>
      </c>
      <c r="O285" s="159">
        <f t="shared" si="49"/>
        <v>1.06</v>
      </c>
      <c r="P285" s="159">
        <f>'CHAM CONG'!AQ279</f>
        <v>13</v>
      </c>
      <c r="Q285" s="159">
        <f t="shared" si="50"/>
        <v>6.51</v>
      </c>
      <c r="R285" s="159">
        <f t="shared" si="54"/>
        <v>13</v>
      </c>
      <c r="S285" s="159">
        <f t="shared" si="51"/>
        <v>0.41</v>
      </c>
      <c r="T285" s="159"/>
      <c r="U285" s="159"/>
      <c r="V285" s="159"/>
      <c r="W285" s="159"/>
      <c r="X285" s="159">
        <f t="shared" si="52"/>
        <v>19.049999999999997</v>
      </c>
      <c r="Y285" s="209"/>
      <c r="Z285" s="210" t="s">
        <v>619</v>
      </c>
      <c r="AA285" s="202">
        <v>19.05</v>
      </c>
      <c r="AB285" s="203">
        <f t="shared" si="53"/>
        <v>0</v>
      </c>
      <c r="AC285" s="124">
        <v>0.04</v>
      </c>
    </row>
    <row r="286" spans="1:29" s="124" customFormat="1" ht="27" customHeight="1">
      <c r="A286" s="154">
        <v>271</v>
      </c>
      <c r="B286" s="204"/>
      <c r="C286" s="204"/>
      <c r="D286" s="205"/>
      <c r="E286" s="155" t="str">
        <f>'Tên Tháng 1'!E274</f>
        <v>ឈួន ធី</v>
      </c>
      <c r="F286" s="157" t="str">
        <f>'Tên Tháng 1'!F274</f>
        <v>CHHUON THY</v>
      </c>
      <c r="G286" s="206">
        <v>229</v>
      </c>
      <c r="H286" s="207">
        <f>'SAN LUONG'!AP281</f>
        <v>498.52</v>
      </c>
      <c r="I286" s="159">
        <f t="shared" si="47"/>
        <v>7.1</v>
      </c>
      <c r="J286" s="207"/>
      <c r="K286" s="159">
        <f t="shared" si="46"/>
        <v>0</v>
      </c>
      <c r="L286" s="207">
        <f>'SAN LUONG'!AQ281</f>
        <v>172.48</v>
      </c>
      <c r="M286" s="159">
        <f t="shared" si="48"/>
        <v>3</v>
      </c>
      <c r="N286" s="208">
        <f>'CHAM CONG'!AR280</f>
        <v>2</v>
      </c>
      <c r="O286" s="159">
        <f t="shared" si="49"/>
        <v>1.06</v>
      </c>
      <c r="P286" s="159">
        <f>'CHAM CONG'!AQ280</f>
        <v>13</v>
      </c>
      <c r="Q286" s="159">
        <f t="shared" si="50"/>
        <v>6.51</v>
      </c>
      <c r="R286" s="159">
        <f t="shared" si="54"/>
        <v>13</v>
      </c>
      <c r="S286" s="159">
        <f t="shared" si="51"/>
        <v>0.41</v>
      </c>
      <c r="T286" s="159"/>
      <c r="U286" s="159"/>
      <c r="V286" s="159"/>
      <c r="W286" s="159"/>
      <c r="X286" s="159">
        <f t="shared" si="52"/>
        <v>18.079999999999998</v>
      </c>
      <c r="Y286" s="209"/>
      <c r="Z286" s="210" t="s">
        <v>619</v>
      </c>
      <c r="AA286" s="202">
        <v>18.079999999999998</v>
      </c>
      <c r="AB286" s="203">
        <f t="shared" si="53"/>
        <v>0</v>
      </c>
      <c r="AC286" s="124">
        <v>0.04</v>
      </c>
    </row>
    <row r="287" spans="1:29" s="124" customFormat="1" ht="27" customHeight="1">
      <c r="A287" s="154">
        <v>272</v>
      </c>
      <c r="B287" s="204"/>
      <c r="C287" s="204"/>
      <c r="D287" s="205"/>
      <c r="E287" s="155" t="str">
        <f>'Tên Tháng 1'!E275</f>
        <v>អ៊ាង ឈីន</v>
      </c>
      <c r="F287" s="157" t="str">
        <f>'Tên Tháng 1'!F275</f>
        <v>EANG CHHIN</v>
      </c>
      <c r="G287" s="206">
        <v>230</v>
      </c>
      <c r="H287" s="207">
        <f>'SAN LUONG'!AP282</f>
        <v>434.28</v>
      </c>
      <c r="I287" s="159">
        <f t="shared" si="47"/>
        <v>6.19</v>
      </c>
      <c r="J287" s="207"/>
      <c r="K287" s="159">
        <f t="shared" si="46"/>
        <v>0</v>
      </c>
      <c r="L287" s="207">
        <f>'SAN LUONG'!AQ282</f>
        <v>195.36</v>
      </c>
      <c r="M287" s="159">
        <f t="shared" si="48"/>
        <v>3.39</v>
      </c>
      <c r="N287" s="208">
        <f>'CHAM CONG'!AR281</f>
        <v>2</v>
      </c>
      <c r="O287" s="159">
        <f t="shared" si="49"/>
        <v>1.06</v>
      </c>
      <c r="P287" s="159">
        <f>'CHAM CONG'!AQ281</f>
        <v>13</v>
      </c>
      <c r="Q287" s="159">
        <f t="shared" si="50"/>
        <v>6.51</v>
      </c>
      <c r="R287" s="159">
        <f t="shared" si="54"/>
        <v>13</v>
      </c>
      <c r="S287" s="159">
        <f t="shared" si="51"/>
        <v>0.41</v>
      </c>
      <c r="T287" s="159"/>
      <c r="U287" s="159"/>
      <c r="V287" s="159"/>
      <c r="W287" s="159"/>
      <c r="X287" s="159">
        <f t="shared" si="52"/>
        <v>17.559999999999999</v>
      </c>
      <c r="Y287" s="209"/>
      <c r="Z287" s="210" t="s">
        <v>619</v>
      </c>
      <c r="AA287" s="202">
        <v>17.559999999999999</v>
      </c>
      <c r="AB287" s="203">
        <f t="shared" si="53"/>
        <v>0</v>
      </c>
      <c r="AC287" s="124">
        <v>0.04</v>
      </c>
    </row>
    <row r="288" spans="1:29" s="124" customFormat="1" ht="27" customHeight="1">
      <c r="A288" s="154">
        <v>273</v>
      </c>
      <c r="B288" s="204"/>
      <c r="C288" s="204"/>
      <c r="D288" s="205"/>
      <c r="E288" s="155" t="str">
        <f>'Tên Tháng 1'!E276</f>
        <v>លី គី</v>
      </c>
      <c r="F288" s="157" t="str">
        <f>'Tên Tháng 1'!F276</f>
        <v>LY KY</v>
      </c>
      <c r="G288" s="206">
        <v>231</v>
      </c>
      <c r="H288" s="207">
        <f>'SAN LUONG'!AP283</f>
        <v>505.12</v>
      </c>
      <c r="I288" s="159">
        <f t="shared" si="47"/>
        <v>7.19</v>
      </c>
      <c r="J288" s="207"/>
      <c r="K288" s="159">
        <f t="shared" si="46"/>
        <v>0</v>
      </c>
      <c r="L288" s="207">
        <f>'SAN LUONG'!AQ283</f>
        <v>59.84</v>
      </c>
      <c r="M288" s="159">
        <f t="shared" si="48"/>
        <v>1.04</v>
      </c>
      <c r="N288" s="208">
        <f>'CHAM CONG'!AR282</f>
        <v>2</v>
      </c>
      <c r="O288" s="159">
        <f t="shared" si="49"/>
        <v>1.06</v>
      </c>
      <c r="P288" s="159">
        <f>'CHAM CONG'!AQ282</f>
        <v>14</v>
      </c>
      <c r="Q288" s="159">
        <f t="shared" si="50"/>
        <v>7.01</v>
      </c>
      <c r="R288" s="159">
        <f t="shared" si="54"/>
        <v>14</v>
      </c>
      <c r="S288" s="159">
        <f t="shared" si="51"/>
        <v>0.44</v>
      </c>
      <c r="T288" s="159"/>
      <c r="U288" s="159"/>
      <c r="V288" s="159"/>
      <c r="W288" s="159"/>
      <c r="X288" s="159">
        <f t="shared" si="52"/>
        <v>16.739999999999998</v>
      </c>
      <c r="Y288" s="209"/>
      <c r="Z288" s="210" t="s">
        <v>619</v>
      </c>
      <c r="AA288" s="202">
        <v>16.75</v>
      </c>
      <c r="AB288" s="203">
        <f t="shared" si="53"/>
        <v>0.01</v>
      </c>
      <c r="AC288" s="124">
        <v>0.01</v>
      </c>
    </row>
    <row r="289" spans="1:29" s="124" customFormat="1" ht="27" customHeight="1">
      <c r="A289" s="154">
        <v>274</v>
      </c>
      <c r="B289" s="204"/>
      <c r="C289" s="204"/>
      <c r="D289" s="205"/>
      <c r="E289" s="155" t="str">
        <f>'Tên Tháng 1'!E277</f>
        <v>សឿង ថេង</v>
      </c>
      <c r="F289" s="157" t="str">
        <f>'Tên Tháng 1'!F277</f>
        <v>SOEUNG THENG</v>
      </c>
      <c r="G289" s="206">
        <v>232</v>
      </c>
      <c r="H289" s="207">
        <f>'SAN LUONG'!AP284</f>
        <v>495</v>
      </c>
      <c r="I289" s="159">
        <f t="shared" si="47"/>
        <v>7.05</v>
      </c>
      <c r="J289" s="207"/>
      <c r="K289" s="159">
        <f t="shared" si="46"/>
        <v>0</v>
      </c>
      <c r="L289" s="207">
        <f>'SAN LUONG'!AQ284</f>
        <v>284.24</v>
      </c>
      <c r="M289" s="159">
        <f t="shared" si="48"/>
        <v>4.9400000000000004</v>
      </c>
      <c r="N289" s="208">
        <f>'CHAM CONG'!AR283</f>
        <v>2</v>
      </c>
      <c r="O289" s="159">
        <f t="shared" si="49"/>
        <v>1.06</v>
      </c>
      <c r="P289" s="159">
        <f>'CHAM CONG'!AQ283</f>
        <v>13</v>
      </c>
      <c r="Q289" s="159">
        <f t="shared" si="50"/>
        <v>6.51</v>
      </c>
      <c r="R289" s="159">
        <f t="shared" si="54"/>
        <v>13</v>
      </c>
      <c r="S289" s="159">
        <f t="shared" si="51"/>
        <v>0.41</v>
      </c>
      <c r="T289" s="159"/>
      <c r="U289" s="159"/>
      <c r="V289" s="159"/>
      <c r="W289" s="159"/>
      <c r="X289" s="159">
        <f t="shared" si="52"/>
        <v>19.97</v>
      </c>
      <c r="Y289" s="209"/>
      <c r="Z289" s="210" t="s">
        <v>619</v>
      </c>
      <c r="AA289" s="202">
        <v>19.97</v>
      </c>
      <c r="AB289" s="203">
        <f t="shared" si="53"/>
        <v>0</v>
      </c>
      <c r="AC289" s="124">
        <v>0</v>
      </c>
    </row>
    <row r="290" spans="1:29" s="124" customFormat="1" ht="27" customHeight="1">
      <c r="A290" s="154">
        <v>275</v>
      </c>
      <c r="B290" s="204"/>
      <c r="C290" s="204"/>
      <c r="D290" s="205"/>
      <c r="E290" s="155" t="str">
        <f>'Tên Tháng 1'!E278</f>
        <v>សឿន ចាន់</v>
      </c>
      <c r="F290" s="157" t="str">
        <f>'Tên Tháng 1'!F278</f>
        <v>SOEUN CHAN</v>
      </c>
      <c r="G290" s="206">
        <v>233</v>
      </c>
      <c r="H290" s="207">
        <f>'SAN LUONG'!AP285</f>
        <v>674.08</v>
      </c>
      <c r="I290" s="159">
        <f t="shared" si="47"/>
        <v>9.6</v>
      </c>
      <c r="J290" s="207"/>
      <c r="K290" s="159">
        <f t="shared" si="46"/>
        <v>0</v>
      </c>
      <c r="L290" s="207">
        <f>'SAN LUONG'!AQ285</f>
        <v>0</v>
      </c>
      <c r="M290" s="159">
        <f t="shared" si="48"/>
        <v>0</v>
      </c>
      <c r="N290" s="208">
        <f>'CHAM CONG'!AR284</f>
        <v>1</v>
      </c>
      <c r="O290" s="159">
        <f t="shared" si="49"/>
        <v>0.53</v>
      </c>
      <c r="P290" s="159">
        <f>'CHAM CONG'!AQ284</f>
        <v>13</v>
      </c>
      <c r="Q290" s="159">
        <f t="shared" si="50"/>
        <v>6.51</v>
      </c>
      <c r="R290" s="159">
        <f t="shared" si="54"/>
        <v>13</v>
      </c>
      <c r="S290" s="159">
        <f t="shared" si="51"/>
        <v>0.41</v>
      </c>
      <c r="T290" s="159"/>
      <c r="U290" s="159"/>
      <c r="V290" s="159"/>
      <c r="W290" s="159"/>
      <c r="X290" s="159">
        <f t="shared" si="52"/>
        <v>17.05</v>
      </c>
      <c r="Y290" s="209"/>
      <c r="Z290" s="210" t="s">
        <v>619</v>
      </c>
      <c r="AA290" s="202">
        <v>17.05</v>
      </c>
      <c r="AB290" s="203">
        <f t="shared" si="53"/>
        <v>0</v>
      </c>
      <c r="AC290" s="124">
        <v>0.01</v>
      </c>
    </row>
    <row r="291" spans="1:29" s="124" customFormat="1" ht="27" customHeight="1">
      <c r="A291" s="154">
        <v>276</v>
      </c>
      <c r="B291" s="204"/>
      <c r="C291" s="204"/>
      <c r="D291" s="205"/>
      <c r="E291" s="155" t="str">
        <f>'Tên Tháng 1'!E279</f>
        <v>ពយ នីន</v>
      </c>
      <c r="F291" s="157" t="str">
        <f>'Tên Tháng 1'!F279</f>
        <v>POY NIN</v>
      </c>
      <c r="G291" s="206">
        <v>234</v>
      </c>
      <c r="H291" s="207">
        <f>'SAN LUONG'!AP286</f>
        <v>635.36</v>
      </c>
      <c r="I291" s="159">
        <f t="shared" si="47"/>
        <v>9.0500000000000007</v>
      </c>
      <c r="J291" s="207"/>
      <c r="K291" s="159">
        <f t="shared" si="46"/>
        <v>0</v>
      </c>
      <c r="L291" s="207">
        <f>'SAN LUONG'!AQ286</f>
        <v>0</v>
      </c>
      <c r="M291" s="159">
        <f t="shared" si="48"/>
        <v>0</v>
      </c>
      <c r="N291" s="208">
        <f>'CHAM CONG'!AR285</f>
        <v>1</v>
      </c>
      <c r="O291" s="159">
        <f t="shared" si="49"/>
        <v>0.53</v>
      </c>
      <c r="P291" s="159">
        <f>'CHAM CONG'!AQ285</f>
        <v>13</v>
      </c>
      <c r="Q291" s="159">
        <f t="shared" si="50"/>
        <v>6.51</v>
      </c>
      <c r="R291" s="159">
        <f t="shared" si="54"/>
        <v>13</v>
      </c>
      <c r="S291" s="159">
        <f t="shared" si="51"/>
        <v>0.41</v>
      </c>
      <c r="T291" s="159"/>
      <c r="U291" s="159"/>
      <c r="V291" s="159"/>
      <c r="W291" s="159"/>
      <c r="X291" s="159">
        <f t="shared" si="52"/>
        <v>16.5</v>
      </c>
      <c r="Y291" s="209"/>
      <c r="Z291" s="210" t="s">
        <v>619</v>
      </c>
      <c r="AA291" s="202">
        <v>16.5</v>
      </c>
      <c r="AB291" s="203">
        <f t="shared" si="53"/>
        <v>0</v>
      </c>
      <c r="AC291" s="124">
        <v>0</v>
      </c>
    </row>
    <row r="292" spans="1:29" s="124" customFormat="1" ht="27" customHeight="1">
      <c r="A292" s="154">
        <v>277</v>
      </c>
      <c r="B292" s="204"/>
      <c r="C292" s="204"/>
      <c r="D292" s="205"/>
      <c r="E292" s="155" t="str">
        <f>'Tên Tháng 1'!E280</f>
        <v>សោម ច័ន្ធសុភា</v>
      </c>
      <c r="F292" s="157" t="str">
        <f>'Tên Tháng 1'!F280</f>
        <v>SAOM CHAN SOPHEA</v>
      </c>
      <c r="G292" s="206">
        <v>235</v>
      </c>
      <c r="H292" s="207">
        <f>'SAN LUONG'!AP287</f>
        <v>574.20000000000005</v>
      </c>
      <c r="I292" s="159">
        <f t="shared" si="47"/>
        <v>8.18</v>
      </c>
      <c r="J292" s="207"/>
      <c r="K292" s="159">
        <f t="shared" si="46"/>
        <v>0</v>
      </c>
      <c r="L292" s="207">
        <f>'SAN LUONG'!AQ287</f>
        <v>0</v>
      </c>
      <c r="M292" s="159">
        <f t="shared" si="48"/>
        <v>0</v>
      </c>
      <c r="N292" s="208">
        <f>'CHAM CONG'!AR286</f>
        <v>2</v>
      </c>
      <c r="O292" s="159">
        <f t="shared" si="49"/>
        <v>1.06</v>
      </c>
      <c r="P292" s="159">
        <f>'CHAM CONG'!AQ286</f>
        <v>14</v>
      </c>
      <c r="Q292" s="159">
        <f t="shared" si="50"/>
        <v>7.01</v>
      </c>
      <c r="R292" s="159">
        <f t="shared" si="54"/>
        <v>14</v>
      </c>
      <c r="S292" s="159">
        <f t="shared" si="51"/>
        <v>0.44</v>
      </c>
      <c r="T292" s="159"/>
      <c r="U292" s="159"/>
      <c r="V292" s="159"/>
      <c r="W292" s="159"/>
      <c r="X292" s="159">
        <f t="shared" si="52"/>
        <v>16.689999999999998</v>
      </c>
      <c r="Y292" s="209"/>
      <c r="Z292" s="210" t="s">
        <v>619</v>
      </c>
      <c r="AA292" s="202">
        <v>16.690000000000001</v>
      </c>
      <c r="AB292" s="203">
        <f t="shared" si="53"/>
        <v>0</v>
      </c>
      <c r="AC292" s="124">
        <v>0.04</v>
      </c>
    </row>
    <row r="293" spans="1:29" s="124" customFormat="1" ht="27" customHeight="1">
      <c r="A293" s="154">
        <v>278</v>
      </c>
      <c r="B293" s="204"/>
      <c r="C293" s="204"/>
      <c r="D293" s="205"/>
      <c r="E293" s="155" t="str">
        <f>'Tên Tháng 1'!E281</f>
        <v>គង់ សុផាន</v>
      </c>
      <c r="F293" s="157" t="str">
        <f>'Tên Tháng 1'!F281</f>
        <v>KONG SOPHAN</v>
      </c>
      <c r="G293" s="206">
        <v>236</v>
      </c>
      <c r="H293" s="207">
        <f>'SAN LUONG'!AP288</f>
        <v>571.12</v>
      </c>
      <c r="I293" s="159">
        <f t="shared" si="47"/>
        <v>8.1300000000000008</v>
      </c>
      <c r="J293" s="207"/>
      <c r="K293" s="159">
        <f t="shared" si="46"/>
        <v>0</v>
      </c>
      <c r="L293" s="207">
        <f>'SAN LUONG'!AQ288</f>
        <v>0</v>
      </c>
      <c r="M293" s="159">
        <f t="shared" si="48"/>
        <v>0</v>
      </c>
      <c r="N293" s="208">
        <f>'CHAM CONG'!AR287</f>
        <v>2</v>
      </c>
      <c r="O293" s="159">
        <f t="shared" si="49"/>
        <v>1.06</v>
      </c>
      <c r="P293" s="159">
        <f>'CHAM CONG'!AQ287</f>
        <v>14</v>
      </c>
      <c r="Q293" s="159">
        <f t="shared" si="50"/>
        <v>7.01</v>
      </c>
      <c r="R293" s="159">
        <f t="shared" si="54"/>
        <v>14</v>
      </c>
      <c r="S293" s="159">
        <f t="shared" si="51"/>
        <v>0.44</v>
      </c>
      <c r="T293" s="159"/>
      <c r="U293" s="159"/>
      <c r="V293" s="159"/>
      <c r="W293" s="159"/>
      <c r="X293" s="159">
        <f t="shared" si="52"/>
        <v>16.64</v>
      </c>
      <c r="Y293" s="209"/>
      <c r="Z293" s="210" t="s">
        <v>619</v>
      </c>
      <c r="AA293" s="202">
        <v>16.649999999999999</v>
      </c>
      <c r="AB293" s="203">
        <f t="shared" si="53"/>
        <v>0.01</v>
      </c>
      <c r="AC293" s="124">
        <v>0.04</v>
      </c>
    </row>
    <row r="294" spans="1:29" s="124" customFormat="1" ht="27" customHeight="1">
      <c r="A294" s="154">
        <v>279</v>
      </c>
      <c r="B294" s="204"/>
      <c r="C294" s="204"/>
      <c r="D294" s="205"/>
      <c r="E294" s="155" t="str">
        <f>'Tên Tháng 1'!E282</f>
        <v>ពាង ដែន</v>
      </c>
      <c r="F294" s="157" t="str">
        <f>'Tên Tháng 1'!F282</f>
        <v>PEANG DEN</v>
      </c>
      <c r="G294" s="206">
        <v>237</v>
      </c>
      <c r="H294" s="207">
        <f>'SAN LUONG'!AP289</f>
        <v>501.6</v>
      </c>
      <c r="I294" s="159">
        <f t="shared" si="47"/>
        <v>7.14</v>
      </c>
      <c r="J294" s="207"/>
      <c r="K294" s="159">
        <f t="shared" si="46"/>
        <v>0</v>
      </c>
      <c r="L294" s="207">
        <f>'SAN LUONG'!AQ289</f>
        <v>0</v>
      </c>
      <c r="M294" s="159">
        <f t="shared" si="48"/>
        <v>0</v>
      </c>
      <c r="N294" s="208">
        <f>'CHAM CONG'!AR288</f>
        <v>1</v>
      </c>
      <c r="O294" s="159">
        <f t="shared" si="49"/>
        <v>0.53</v>
      </c>
      <c r="P294" s="159">
        <f>'CHAM CONG'!AQ288</f>
        <v>12</v>
      </c>
      <c r="Q294" s="159">
        <f t="shared" si="50"/>
        <v>6.01</v>
      </c>
      <c r="R294" s="159">
        <f t="shared" si="54"/>
        <v>12</v>
      </c>
      <c r="S294" s="159">
        <f t="shared" si="51"/>
        <v>0.38</v>
      </c>
      <c r="T294" s="159"/>
      <c r="U294" s="159"/>
      <c r="V294" s="159"/>
      <c r="W294" s="159"/>
      <c r="X294" s="159">
        <f t="shared" si="52"/>
        <v>14.059999999999999</v>
      </c>
      <c r="Y294" s="209"/>
      <c r="Z294" s="210" t="s">
        <v>619</v>
      </c>
      <c r="AA294" s="202">
        <v>14.06</v>
      </c>
      <c r="AB294" s="203">
        <f t="shared" si="53"/>
        <v>0</v>
      </c>
      <c r="AC294" s="124">
        <v>-0.02</v>
      </c>
    </row>
    <row r="295" spans="1:29" s="124" customFormat="1" ht="27" customHeight="1">
      <c r="A295" s="154">
        <v>280</v>
      </c>
      <c r="B295" s="204"/>
      <c r="C295" s="204"/>
      <c r="D295" s="205"/>
      <c r="E295" s="155" t="str">
        <f>'Tên Tháng 1'!E283</f>
        <v>ពៅ ផាត</v>
      </c>
      <c r="F295" s="157" t="str">
        <f>'Tên Tháng 1'!F283</f>
        <v>POV PHAT</v>
      </c>
      <c r="G295" s="206">
        <v>238</v>
      </c>
      <c r="H295" s="207">
        <f>'SAN LUONG'!AP290</f>
        <v>495.44</v>
      </c>
      <c r="I295" s="159">
        <f t="shared" si="47"/>
        <v>7.06</v>
      </c>
      <c r="J295" s="207"/>
      <c r="K295" s="159">
        <f t="shared" si="46"/>
        <v>0</v>
      </c>
      <c r="L295" s="207">
        <f>'SAN LUONG'!AQ290</f>
        <v>0</v>
      </c>
      <c r="M295" s="159">
        <f t="shared" si="48"/>
        <v>0</v>
      </c>
      <c r="N295" s="208">
        <f>'CHAM CONG'!AR289</f>
        <v>1</v>
      </c>
      <c r="O295" s="159">
        <f t="shared" si="49"/>
        <v>0.53</v>
      </c>
      <c r="P295" s="159">
        <f>'CHAM CONG'!AQ289</f>
        <v>12</v>
      </c>
      <c r="Q295" s="159">
        <f t="shared" si="50"/>
        <v>6.01</v>
      </c>
      <c r="R295" s="159">
        <f t="shared" si="54"/>
        <v>12</v>
      </c>
      <c r="S295" s="159">
        <f t="shared" si="51"/>
        <v>0.38</v>
      </c>
      <c r="T295" s="159"/>
      <c r="U295" s="159"/>
      <c r="V295" s="159"/>
      <c r="W295" s="159"/>
      <c r="X295" s="159">
        <f t="shared" si="52"/>
        <v>13.98</v>
      </c>
      <c r="Y295" s="209"/>
      <c r="Z295" s="210" t="s">
        <v>619</v>
      </c>
      <c r="AA295" s="202">
        <v>13.97</v>
      </c>
      <c r="AB295" s="203">
        <f t="shared" si="53"/>
        <v>-0.01</v>
      </c>
      <c r="AC295" s="124">
        <v>0.01</v>
      </c>
    </row>
    <row r="296" spans="1:29" s="124" customFormat="1" ht="27" customHeight="1">
      <c r="A296" s="154">
        <v>281</v>
      </c>
      <c r="B296" s="204"/>
      <c r="C296" s="204"/>
      <c r="D296" s="205"/>
      <c r="E296" s="155" t="str">
        <f>'Tên Tháng 1'!E284</f>
        <v>តុត យាង</v>
      </c>
      <c r="F296" s="157" t="str">
        <f>'Tên Tháng 1'!F284</f>
        <v>TOT YEANG</v>
      </c>
      <c r="G296" s="206">
        <v>239</v>
      </c>
      <c r="H296" s="207">
        <f>'SAN LUONG'!AP291</f>
        <v>498.96</v>
      </c>
      <c r="I296" s="159">
        <f t="shared" si="47"/>
        <v>7.11</v>
      </c>
      <c r="J296" s="207"/>
      <c r="K296" s="159">
        <f t="shared" si="46"/>
        <v>0</v>
      </c>
      <c r="L296" s="207">
        <f>'SAN LUONG'!AQ291</f>
        <v>0</v>
      </c>
      <c r="M296" s="159">
        <f t="shared" si="48"/>
        <v>0</v>
      </c>
      <c r="N296" s="208">
        <f>'CHAM CONG'!AR290</f>
        <v>2</v>
      </c>
      <c r="O296" s="159">
        <f t="shared" si="49"/>
        <v>1.06</v>
      </c>
      <c r="P296" s="159">
        <f>'CHAM CONG'!AQ290</f>
        <v>13</v>
      </c>
      <c r="Q296" s="159">
        <f t="shared" si="50"/>
        <v>6.51</v>
      </c>
      <c r="R296" s="159">
        <f t="shared" si="54"/>
        <v>13</v>
      </c>
      <c r="S296" s="159">
        <f t="shared" si="51"/>
        <v>0.41</v>
      </c>
      <c r="T296" s="159"/>
      <c r="U296" s="159"/>
      <c r="V296" s="159"/>
      <c r="W296" s="159"/>
      <c r="X296" s="159">
        <f t="shared" si="52"/>
        <v>15.090000000000002</v>
      </c>
      <c r="Y296" s="209"/>
      <c r="Z296" s="210" t="s">
        <v>619</v>
      </c>
      <c r="AA296" s="202">
        <v>15.09</v>
      </c>
      <c r="AB296" s="203">
        <f t="shared" si="53"/>
        <v>0</v>
      </c>
      <c r="AC296" s="124">
        <v>0.04</v>
      </c>
    </row>
    <row r="297" spans="1:29" s="124" customFormat="1" ht="27" customHeight="1">
      <c r="A297" s="154">
        <v>282</v>
      </c>
      <c r="B297" s="204"/>
      <c r="C297" s="204"/>
      <c r="D297" s="205"/>
      <c r="E297" s="155" t="str">
        <f>'Tên Tháng 1'!E285</f>
        <v>ថន សាន</v>
      </c>
      <c r="F297" s="157" t="str">
        <f>'Tên Tháng 1'!F285</f>
        <v>THAN SAN</v>
      </c>
      <c r="G297" s="206">
        <v>240</v>
      </c>
      <c r="H297" s="207">
        <f>'SAN LUONG'!AP292</f>
        <v>523.16</v>
      </c>
      <c r="I297" s="159">
        <f t="shared" si="47"/>
        <v>7.45</v>
      </c>
      <c r="J297" s="207"/>
      <c r="K297" s="159">
        <f t="shared" si="46"/>
        <v>0</v>
      </c>
      <c r="L297" s="207">
        <f>'SAN LUONG'!AQ292</f>
        <v>0</v>
      </c>
      <c r="M297" s="159">
        <f t="shared" si="48"/>
        <v>0</v>
      </c>
      <c r="N297" s="208">
        <f>'CHAM CONG'!AR291</f>
        <v>1</v>
      </c>
      <c r="O297" s="159">
        <f t="shared" si="49"/>
        <v>0.53</v>
      </c>
      <c r="P297" s="159">
        <f>'CHAM CONG'!AQ291</f>
        <v>13</v>
      </c>
      <c r="Q297" s="159">
        <f t="shared" si="50"/>
        <v>6.51</v>
      </c>
      <c r="R297" s="159">
        <f t="shared" si="54"/>
        <v>13</v>
      </c>
      <c r="S297" s="159">
        <f t="shared" si="51"/>
        <v>0.41</v>
      </c>
      <c r="T297" s="159"/>
      <c r="U297" s="159"/>
      <c r="V297" s="159"/>
      <c r="W297" s="159"/>
      <c r="X297" s="159">
        <f t="shared" si="52"/>
        <v>14.9</v>
      </c>
      <c r="Y297" s="209"/>
      <c r="Z297" s="210" t="s">
        <v>619</v>
      </c>
      <c r="AA297" s="202">
        <v>14.9</v>
      </c>
      <c r="AB297" s="203">
        <f t="shared" si="53"/>
        <v>0</v>
      </c>
      <c r="AC297" s="124">
        <v>-0.03</v>
      </c>
    </row>
    <row r="298" spans="1:29" s="124" customFormat="1" ht="27" customHeight="1">
      <c r="A298" s="154">
        <v>283</v>
      </c>
      <c r="B298" s="204"/>
      <c r="C298" s="204"/>
      <c r="D298" s="205"/>
      <c r="E298" s="155" t="str">
        <f>'Tên Tháng 1'!E286</f>
        <v>គឿន សុខអន</v>
      </c>
      <c r="F298" s="157" t="str">
        <f>'Tên Tháng 1'!F286</f>
        <v>KOEUN SOH ON</v>
      </c>
      <c r="G298" s="206">
        <v>241</v>
      </c>
      <c r="H298" s="207">
        <f>'SAN LUONG'!AP293</f>
        <v>165.88</v>
      </c>
      <c r="I298" s="159">
        <f t="shared" si="47"/>
        <v>2.36</v>
      </c>
      <c r="J298" s="207"/>
      <c r="K298" s="159">
        <f t="shared" si="46"/>
        <v>0</v>
      </c>
      <c r="L298" s="207">
        <f>'SAN LUONG'!AQ293</f>
        <v>227.92</v>
      </c>
      <c r="M298" s="159">
        <f t="shared" si="48"/>
        <v>3.96</v>
      </c>
      <c r="N298" s="208">
        <f>'CHAM CONG'!AR292</f>
        <v>0</v>
      </c>
      <c r="O298" s="159">
        <f t="shared" si="49"/>
        <v>0</v>
      </c>
      <c r="P298" s="159">
        <f>'CHAM CONG'!AQ292</f>
        <v>11</v>
      </c>
      <c r="Q298" s="159">
        <f t="shared" si="50"/>
        <v>5.51</v>
      </c>
      <c r="R298" s="159">
        <f t="shared" si="54"/>
        <v>11</v>
      </c>
      <c r="S298" s="159">
        <f t="shared" si="51"/>
        <v>0.34</v>
      </c>
      <c r="T298" s="159"/>
      <c r="U298" s="159"/>
      <c r="V298" s="159"/>
      <c r="W298" s="159"/>
      <c r="X298" s="159">
        <f t="shared" si="52"/>
        <v>12.17</v>
      </c>
      <c r="Y298" s="209"/>
      <c r="Z298" s="210" t="s">
        <v>619</v>
      </c>
      <c r="AA298" s="202">
        <v>12.18</v>
      </c>
      <c r="AB298" s="203">
        <f t="shared" si="53"/>
        <v>0.01</v>
      </c>
      <c r="AC298" s="124">
        <v>-0.02</v>
      </c>
    </row>
    <row r="299" spans="1:29" s="124" customFormat="1" ht="27" customHeight="1">
      <c r="A299" s="154">
        <v>284</v>
      </c>
      <c r="B299" s="204"/>
      <c r="C299" s="204"/>
      <c r="D299" s="205"/>
      <c r="E299" s="155" t="str">
        <f>'Tên Tháng 1'!E287</f>
        <v>ជិន ជឿន</v>
      </c>
      <c r="F299" s="157" t="str">
        <f>'Tên Tháng 1'!F287</f>
        <v>CHIN CHOEUNG</v>
      </c>
      <c r="G299" s="206">
        <v>242</v>
      </c>
      <c r="H299" s="207">
        <f>'SAN LUONG'!AP294</f>
        <v>190.08</v>
      </c>
      <c r="I299" s="159">
        <f t="shared" si="47"/>
        <v>2.71</v>
      </c>
      <c r="J299" s="207"/>
      <c r="K299" s="159">
        <f t="shared" si="46"/>
        <v>0</v>
      </c>
      <c r="L299" s="207">
        <f>'SAN LUONG'!AQ294</f>
        <v>240.24</v>
      </c>
      <c r="M299" s="159">
        <f t="shared" si="48"/>
        <v>4.17</v>
      </c>
      <c r="N299" s="208">
        <f>'CHAM CONG'!AR293</f>
        <v>0</v>
      </c>
      <c r="O299" s="159">
        <f t="shared" si="49"/>
        <v>0</v>
      </c>
      <c r="P299" s="159">
        <f>'CHAM CONG'!AQ293</f>
        <v>11</v>
      </c>
      <c r="Q299" s="159">
        <f t="shared" si="50"/>
        <v>5.51</v>
      </c>
      <c r="R299" s="159">
        <f t="shared" si="54"/>
        <v>11</v>
      </c>
      <c r="S299" s="159">
        <f t="shared" si="51"/>
        <v>0.34</v>
      </c>
      <c r="T299" s="159"/>
      <c r="U299" s="159"/>
      <c r="V299" s="159"/>
      <c r="W299" s="159"/>
      <c r="X299" s="159">
        <f t="shared" si="52"/>
        <v>12.73</v>
      </c>
      <c r="Y299" s="209"/>
      <c r="Z299" s="210" t="s">
        <v>619</v>
      </c>
      <c r="AA299" s="202">
        <v>12.73</v>
      </c>
      <c r="AB299" s="203">
        <f t="shared" si="53"/>
        <v>0</v>
      </c>
      <c r="AC299" s="124">
        <v>-0.02</v>
      </c>
    </row>
    <row r="300" spans="1:29" s="124" customFormat="1" ht="27" customHeight="1">
      <c r="A300" s="154">
        <v>285</v>
      </c>
      <c r="B300" s="204"/>
      <c r="C300" s="204"/>
      <c r="D300" s="205"/>
      <c r="E300" s="155" t="str">
        <f>'Tên Tháng 1'!E288</f>
        <v>កុង នេត្រា</v>
      </c>
      <c r="F300" s="157" t="str">
        <f>'Tên Tháng 1'!F288</f>
        <v>KONG NETRA</v>
      </c>
      <c r="G300" s="206">
        <v>243</v>
      </c>
      <c r="H300" s="207">
        <f>'SAN LUONG'!AP295</f>
        <v>430.76</v>
      </c>
      <c r="I300" s="159">
        <f t="shared" si="47"/>
        <v>6.14</v>
      </c>
      <c r="J300" s="207"/>
      <c r="K300" s="159">
        <f t="shared" si="46"/>
        <v>0</v>
      </c>
      <c r="L300" s="207">
        <f>'SAN LUONG'!AQ295</f>
        <v>293.04000000000002</v>
      </c>
      <c r="M300" s="159">
        <f t="shared" si="48"/>
        <v>5.09</v>
      </c>
      <c r="N300" s="208">
        <f>'CHAM CONG'!AR294</f>
        <v>2</v>
      </c>
      <c r="O300" s="159">
        <f t="shared" si="49"/>
        <v>1.06</v>
      </c>
      <c r="P300" s="159">
        <f>'CHAM CONG'!AQ294</f>
        <v>13</v>
      </c>
      <c r="Q300" s="159">
        <f t="shared" si="50"/>
        <v>6.51</v>
      </c>
      <c r="R300" s="159">
        <f t="shared" si="54"/>
        <v>13</v>
      </c>
      <c r="S300" s="159">
        <f t="shared" si="51"/>
        <v>0.41</v>
      </c>
      <c r="T300" s="159"/>
      <c r="U300" s="159"/>
      <c r="V300" s="159"/>
      <c r="W300" s="159"/>
      <c r="X300" s="159">
        <f t="shared" si="52"/>
        <v>19.21</v>
      </c>
      <c r="Y300" s="209"/>
      <c r="Z300" s="210" t="s">
        <v>619</v>
      </c>
      <c r="AA300" s="202">
        <v>19.21</v>
      </c>
      <c r="AB300" s="203">
        <f t="shared" si="53"/>
        <v>0</v>
      </c>
      <c r="AC300" s="124">
        <v>0.04</v>
      </c>
    </row>
    <row r="301" spans="1:29" s="124" customFormat="1" ht="27" customHeight="1">
      <c r="A301" s="154">
        <v>286</v>
      </c>
      <c r="B301" s="204"/>
      <c r="C301" s="204"/>
      <c r="D301" s="205"/>
      <c r="E301" s="155" t="str">
        <f>'Tên Tháng 1'!E289</f>
        <v>យាង យេង</v>
      </c>
      <c r="F301" s="157" t="str">
        <f>'Tên Tháng 1'!F289</f>
        <v>YEANG YENG</v>
      </c>
      <c r="G301" s="206">
        <v>244</v>
      </c>
      <c r="H301" s="207">
        <f>'SAN LUONG'!AP296</f>
        <v>255.64</v>
      </c>
      <c r="I301" s="159">
        <f t="shared" si="47"/>
        <v>3.64</v>
      </c>
      <c r="J301" s="207"/>
      <c r="K301" s="159">
        <f t="shared" si="46"/>
        <v>0</v>
      </c>
      <c r="L301" s="207">
        <f>'SAN LUONG'!AQ296</f>
        <v>454.52</v>
      </c>
      <c r="M301" s="159">
        <f t="shared" si="48"/>
        <v>7.9</v>
      </c>
      <c r="N301" s="208">
        <f>'CHAM CONG'!AR295</f>
        <v>1</v>
      </c>
      <c r="O301" s="159">
        <f t="shared" si="49"/>
        <v>0.53</v>
      </c>
      <c r="P301" s="159">
        <f>'CHAM CONG'!AQ295</f>
        <v>14</v>
      </c>
      <c r="Q301" s="159">
        <f t="shared" si="50"/>
        <v>7.01</v>
      </c>
      <c r="R301" s="159">
        <f t="shared" si="54"/>
        <v>14</v>
      </c>
      <c r="S301" s="159">
        <f t="shared" si="51"/>
        <v>0.44</v>
      </c>
      <c r="T301" s="159"/>
      <c r="U301" s="159"/>
      <c r="V301" s="159"/>
      <c r="W301" s="159"/>
      <c r="X301" s="159">
        <f t="shared" si="52"/>
        <v>19.520000000000003</v>
      </c>
      <c r="Y301" s="209"/>
      <c r="Z301" s="210" t="s">
        <v>619</v>
      </c>
      <c r="AA301" s="202">
        <v>19.52</v>
      </c>
      <c r="AB301" s="203">
        <f t="shared" si="53"/>
        <v>0</v>
      </c>
      <c r="AC301" s="124">
        <v>0.05</v>
      </c>
    </row>
    <row r="302" spans="1:29" s="124" customFormat="1" ht="27" customHeight="1">
      <c r="A302" s="154">
        <v>287</v>
      </c>
      <c r="B302" s="204"/>
      <c r="C302" s="204"/>
      <c r="D302" s="205"/>
      <c r="E302" s="155" t="str">
        <f>'Tên Tháng 1'!E290</f>
        <v>សេង​ ធឿ</v>
      </c>
      <c r="F302" s="157" t="str">
        <f>'Tên Tháng 1'!F290</f>
        <v>SENG THOEU</v>
      </c>
      <c r="G302" s="206">
        <v>245</v>
      </c>
      <c r="H302" s="207">
        <f>'SAN LUONG'!AP297</f>
        <v>314.16000000000003</v>
      </c>
      <c r="I302" s="159">
        <f t="shared" si="47"/>
        <v>4.47</v>
      </c>
      <c r="J302" s="207"/>
      <c r="K302" s="159">
        <f t="shared" si="46"/>
        <v>0</v>
      </c>
      <c r="L302" s="207">
        <f>'SAN LUONG'!AQ297</f>
        <v>296.56</v>
      </c>
      <c r="M302" s="159">
        <f t="shared" si="48"/>
        <v>5.15</v>
      </c>
      <c r="N302" s="208">
        <f>'CHAM CONG'!AR296</f>
        <v>1</v>
      </c>
      <c r="O302" s="159">
        <f t="shared" si="49"/>
        <v>0.53</v>
      </c>
      <c r="P302" s="159">
        <f>'CHAM CONG'!AQ296</f>
        <v>9</v>
      </c>
      <c r="Q302" s="159">
        <f t="shared" si="50"/>
        <v>4.51</v>
      </c>
      <c r="R302" s="159">
        <f t="shared" si="54"/>
        <v>9</v>
      </c>
      <c r="S302" s="159">
        <f t="shared" si="51"/>
        <v>0.28000000000000003</v>
      </c>
      <c r="T302" s="159"/>
      <c r="U302" s="159"/>
      <c r="V302" s="159"/>
      <c r="W302" s="159"/>
      <c r="X302" s="159">
        <f t="shared" si="52"/>
        <v>14.94</v>
      </c>
      <c r="Y302" s="209"/>
      <c r="Z302" s="210" t="s">
        <v>619</v>
      </c>
      <c r="AA302" s="202">
        <v>14.95</v>
      </c>
      <c r="AB302" s="203">
        <f t="shared" si="53"/>
        <v>0.01</v>
      </c>
      <c r="AC302" s="124">
        <v>0.05</v>
      </c>
    </row>
    <row r="303" spans="1:29" s="124" customFormat="1" ht="27" customHeight="1">
      <c r="A303" s="154">
        <v>288</v>
      </c>
      <c r="B303" s="204"/>
      <c r="C303" s="204"/>
      <c r="D303" s="205"/>
      <c r="E303" s="155" t="str">
        <f>'Tên Tháng 1'!E291</f>
        <v>យ៉ាំ ឡត</v>
      </c>
      <c r="F303" s="157" t="str">
        <f>'Tên Tháng 1'!F291</f>
        <v>YAM LOTH</v>
      </c>
      <c r="G303" s="206">
        <v>246</v>
      </c>
      <c r="H303" s="207">
        <f>'SAN LUONG'!AP298</f>
        <v>235.84</v>
      </c>
      <c r="I303" s="159">
        <f t="shared" si="47"/>
        <v>3.36</v>
      </c>
      <c r="J303" s="207"/>
      <c r="K303" s="159">
        <f t="shared" si="46"/>
        <v>0</v>
      </c>
      <c r="L303" s="207">
        <f>'SAN LUONG'!AQ298</f>
        <v>516.55999999999995</v>
      </c>
      <c r="M303" s="159">
        <f t="shared" si="48"/>
        <v>8.9700000000000006</v>
      </c>
      <c r="N303" s="208">
        <f>'CHAM CONG'!AR297</f>
        <v>1</v>
      </c>
      <c r="O303" s="159">
        <f t="shared" si="49"/>
        <v>0.53</v>
      </c>
      <c r="P303" s="159">
        <f>'CHAM CONG'!AQ297</f>
        <v>14</v>
      </c>
      <c r="Q303" s="159">
        <f t="shared" si="50"/>
        <v>7.01</v>
      </c>
      <c r="R303" s="159">
        <f t="shared" si="54"/>
        <v>14</v>
      </c>
      <c r="S303" s="159">
        <f t="shared" si="51"/>
        <v>0.44</v>
      </c>
      <c r="T303" s="159"/>
      <c r="U303" s="159"/>
      <c r="V303" s="159"/>
      <c r="W303" s="159"/>
      <c r="X303" s="159">
        <f t="shared" si="52"/>
        <v>20.310000000000002</v>
      </c>
      <c r="Y303" s="209"/>
      <c r="Z303" s="210" t="s">
        <v>619</v>
      </c>
      <c r="AA303" s="202">
        <v>20.309999999999999</v>
      </c>
      <c r="AB303" s="203">
        <f t="shared" si="53"/>
        <v>0</v>
      </c>
      <c r="AC303" s="124">
        <v>0.04</v>
      </c>
    </row>
    <row r="304" spans="1:29" s="124" customFormat="1" ht="27" customHeight="1">
      <c r="A304" s="154">
        <v>289</v>
      </c>
      <c r="B304" s="204"/>
      <c r="C304" s="204"/>
      <c r="D304" s="205"/>
      <c r="E304" s="155" t="str">
        <f>'Tên Tháng 1'!E292</f>
        <v>វី ភក្កី</v>
      </c>
      <c r="F304" s="157" t="str">
        <f>'Tên Tháng 1'!F292</f>
        <v>VY PHEAKDEY</v>
      </c>
      <c r="G304" s="206">
        <v>247</v>
      </c>
      <c r="H304" s="207">
        <f>'SAN LUONG'!AP299</f>
        <v>235.84</v>
      </c>
      <c r="I304" s="159">
        <f t="shared" si="47"/>
        <v>3.36</v>
      </c>
      <c r="J304" s="207"/>
      <c r="K304" s="159">
        <f t="shared" si="46"/>
        <v>0</v>
      </c>
      <c r="L304" s="207">
        <f>'SAN LUONG'!AQ299</f>
        <v>538.12</v>
      </c>
      <c r="M304" s="159">
        <f t="shared" si="48"/>
        <v>9.35</v>
      </c>
      <c r="N304" s="208">
        <f>'CHAM CONG'!AR298</f>
        <v>1</v>
      </c>
      <c r="O304" s="159">
        <f t="shared" si="49"/>
        <v>0.53</v>
      </c>
      <c r="P304" s="159">
        <f>'CHAM CONG'!AQ298</f>
        <v>14</v>
      </c>
      <c r="Q304" s="159">
        <f t="shared" si="50"/>
        <v>7.01</v>
      </c>
      <c r="R304" s="159">
        <f t="shared" si="54"/>
        <v>14</v>
      </c>
      <c r="S304" s="159">
        <f t="shared" si="51"/>
        <v>0.44</v>
      </c>
      <c r="T304" s="159"/>
      <c r="U304" s="159"/>
      <c r="V304" s="159"/>
      <c r="W304" s="159"/>
      <c r="X304" s="159">
        <f t="shared" si="52"/>
        <v>20.69</v>
      </c>
      <c r="Y304" s="209"/>
      <c r="Z304" s="210" t="s">
        <v>619</v>
      </c>
      <c r="AA304" s="202">
        <v>20.69</v>
      </c>
      <c r="AB304" s="203">
        <f t="shared" si="53"/>
        <v>0</v>
      </c>
      <c r="AC304" s="124">
        <v>0.01</v>
      </c>
    </row>
    <row r="305" spans="1:29" s="124" customFormat="1" ht="27" customHeight="1">
      <c r="A305" s="154">
        <v>290</v>
      </c>
      <c r="B305" s="204"/>
      <c r="C305" s="204"/>
      <c r="D305" s="205"/>
      <c r="E305" s="155" t="str">
        <f>'Tên Tháng 1'!E293</f>
        <v>ហាប់ វឿ</v>
      </c>
      <c r="F305" s="157" t="str">
        <f>'Tên Tháng 1'!F293</f>
        <v>HAB VOR</v>
      </c>
      <c r="G305" s="206">
        <v>248</v>
      </c>
      <c r="H305" s="207">
        <f>'SAN LUONG'!AP300</f>
        <v>374.88</v>
      </c>
      <c r="I305" s="159">
        <f t="shared" si="47"/>
        <v>5.34</v>
      </c>
      <c r="J305" s="207"/>
      <c r="K305" s="159">
        <f t="shared" si="46"/>
        <v>0</v>
      </c>
      <c r="L305" s="207">
        <f>'SAN LUONG'!AQ300</f>
        <v>291.72000000000003</v>
      </c>
      <c r="M305" s="159">
        <f t="shared" si="48"/>
        <v>5.07</v>
      </c>
      <c r="N305" s="208">
        <f>'CHAM CONG'!AR299</f>
        <v>2</v>
      </c>
      <c r="O305" s="159">
        <f t="shared" si="49"/>
        <v>1.06</v>
      </c>
      <c r="P305" s="159">
        <f>'CHAM CONG'!AQ299</f>
        <v>13</v>
      </c>
      <c r="Q305" s="159">
        <f t="shared" si="50"/>
        <v>6.51</v>
      </c>
      <c r="R305" s="159">
        <f t="shared" si="54"/>
        <v>13</v>
      </c>
      <c r="S305" s="159">
        <f t="shared" si="51"/>
        <v>0.41</v>
      </c>
      <c r="T305" s="159"/>
      <c r="U305" s="159"/>
      <c r="V305" s="159"/>
      <c r="W305" s="159"/>
      <c r="X305" s="159">
        <f t="shared" si="52"/>
        <v>18.39</v>
      </c>
      <c r="Y305" s="209"/>
      <c r="Z305" s="210" t="s">
        <v>619</v>
      </c>
      <c r="AA305" s="202">
        <v>18.39</v>
      </c>
      <c r="AB305" s="203">
        <f t="shared" si="53"/>
        <v>0</v>
      </c>
      <c r="AC305" s="124">
        <v>0.04</v>
      </c>
    </row>
    <row r="306" spans="1:29" s="124" customFormat="1" ht="27" customHeight="1">
      <c r="A306" s="154">
        <v>291</v>
      </c>
      <c r="B306" s="204"/>
      <c r="C306" s="204"/>
      <c r="D306" s="205"/>
      <c r="E306" s="155" t="str">
        <f>'Tên Tháng 1'!E294</f>
        <v>ឃុន សុខខៃ</v>
      </c>
      <c r="F306" s="157" t="str">
        <f>'Tên Tháng 1'!F294</f>
        <v>KHOEN SOKKHEY</v>
      </c>
      <c r="G306" s="206">
        <v>249</v>
      </c>
      <c r="H306" s="207">
        <f>'SAN LUONG'!AP301</f>
        <v>261.36</v>
      </c>
      <c r="I306" s="159">
        <f t="shared" si="47"/>
        <v>3.72</v>
      </c>
      <c r="J306" s="207"/>
      <c r="K306" s="159">
        <f t="shared" si="46"/>
        <v>0</v>
      </c>
      <c r="L306" s="207">
        <f>'SAN LUONG'!AQ301</f>
        <v>588.28</v>
      </c>
      <c r="M306" s="159">
        <f t="shared" si="48"/>
        <v>10.220000000000001</v>
      </c>
      <c r="N306" s="208">
        <f>'CHAM CONG'!AR300</f>
        <v>2</v>
      </c>
      <c r="O306" s="159">
        <f t="shared" si="49"/>
        <v>1.06</v>
      </c>
      <c r="P306" s="159">
        <f>'CHAM CONG'!AQ300</f>
        <v>14</v>
      </c>
      <c r="Q306" s="159">
        <f t="shared" si="50"/>
        <v>7.01</v>
      </c>
      <c r="R306" s="159">
        <f t="shared" si="54"/>
        <v>14</v>
      </c>
      <c r="S306" s="159">
        <f t="shared" si="51"/>
        <v>0.44</v>
      </c>
      <c r="T306" s="159"/>
      <c r="U306" s="159"/>
      <c r="V306" s="159"/>
      <c r="W306" s="159"/>
      <c r="X306" s="159">
        <f t="shared" si="52"/>
        <v>22.450000000000003</v>
      </c>
      <c r="Y306" s="209"/>
      <c r="Z306" s="210" t="s">
        <v>619</v>
      </c>
      <c r="AA306" s="202">
        <v>22.46</v>
      </c>
      <c r="AB306" s="203">
        <f t="shared" si="53"/>
        <v>0.01</v>
      </c>
      <c r="AC306" s="124">
        <v>0.04</v>
      </c>
    </row>
    <row r="307" spans="1:29" s="124" customFormat="1" ht="27" customHeight="1">
      <c r="A307" s="154">
        <v>292</v>
      </c>
      <c r="B307" s="204"/>
      <c r="C307" s="204"/>
      <c r="D307" s="205"/>
      <c r="E307" s="155" t="str">
        <f>'Tên Tháng 1'!E295</f>
        <v>ហាន គឹមហុង</v>
      </c>
      <c r="F307" s="157" t="str">
        <f>'Tên Tháng 1'!F295</f>
        <v>HEAN KIMHONG</v>
      </c>
      <c r="G307" s="206">
        <v>250</v>
      </c>
      <c r="H307" s="207">
        <f>'SAN LUONG'!AP302</f>
        <v>289.95999999999998</v>
      </c>
      <c r="I307" s="159">
        <f t="shared" si="47"/>
        <v>4.13</v>
      </c>
      <c r="J307" s="207"/>
      <c r="K307" s="159">
        <f t="shared" si="46"/>
        <v>0</v>
      </c>
      <c r="L307" s="207">
        <f>'SAN LUONG'!AQ302</f>
        <v>318.12</v>
      </c>
      <c r="M307" s="159">
        <f t="shared" si="48"/>
        <v>5.53</v>
      </c>
      <c r="N307" s="208">
        <f>'CHAM CONG'!AR301</f>
        <v>0</v>
      </c>
      <c r="O307" s="159">
        <f t="shared" si="49"/>
        <v>0</v>
      </c>
      <c r="P307" s="159">
        <f>'CHAM CONG'!AQ301</f>
        <v>11</v>
      </c>
      <c r="Q307" s="159">
        <f t="shared" si="50"/>
        <v>5.51</v>
      </c>
      <c r="R307" s="159">
        <f t="shared" si="54"/>
        <v>11</v>
      </c>
      <c r="S307" s="159">
        <f t="shared" si="51"/>
        <v>0.34</v>
      </c>
      <c r="T307" s="159"/>
      <c r="U307" s="159"/>
      <c r="V307" s="159"/>
      <c r="W307" s="159"/>
      <c r="X307" s="159">
        <f t="shared" si="52"/>
        <v>15.51</v>
      </c>
      <c r="Y307" s="209"/>
      <c r="Z307" s="210" t="s">
        <v>619</v>
      </c>
      <c r="AA307" s="202">
        <v>15.51</v>
      </c>
      <c r="AB307" s="203">
        <f t="shared" si="53"/>
        <v>0</v>
      </c>
      <c r="AC307" s="124">
        <v>-0.03</v>
      </c>
    </row>
    <row r="308" spans="1:29" s="124" customFormat="1" ht="27" customHeight="1">
      <c r="A308" s="154">
        <v>293</v>
      </c>
      <c r="B308" s="204"/>
      <c r="C308" s="204"/>
      <c r="D308" s="205"/>
      <c r="E308" s="155" t="str">
        <f>'Tên Tháng 1'!E296</f>
        <v>ឃាន ជាង</v>
      </c>
      <c r="F308" s="157" t="str">
        <f>'Tên Tháng 1'!F296</f>
        <v>KHEAN CHIENG</v>
      </c>
      <c r="G308" s="206">
        <v>499</v>
      </c>
      <c r="H308" s="207">
        <f>'SAN LUONG'!AP303</f>
        <v>434.28</v>
      </c>
      <c r="I308" s="159">
        <f t="shared" si="47"/>
        <v>6.19</v>
      </c>
      <c r="J308" s="207"/>
      <c r="K308" s="159">
        <f t="shared" si="46"/>
        <v>0</v>
      </c>
      <c r="L308" s="207">
        <f>'SAN LUONG'!AQ303</f>
        <v>297.88</v>
      </c>
      <c r="M308" s="159">
        <f t="shared" si="48"/>
        <v>5.17</v>
      </c>
      <c r="N308" s="208">
        <f>'CHAM CONG'!AR302</f>
        <v>1</v>
      </c>
      <c r="O308" s="159">
        <f t="shared" si="49"/>
        <v>0.53</v>
      </c>
      <c r="P308" s="159">
        <f>'CHAM CONG'!AQ302</f>
        <v>12</v>
      </c>
      <c r="Q308" s="159">
        <f t="shared" si="50"/>
        <v>6.01</v>
      </c>
      <c r="R308" s="159">
        <f t="shared" si="54"/>
        <v>12</v>
      </c>
      <c r="S308" s="159">
        <f t="shared" si="51"/>
        <v>0.38</v>
      </c>
      <c r="T308" s="159"/>
      <c r="U308" s="159"/>
      <c r="V308" s="159"/>
      <c r="W308" s="159"/>
      <c r="X308" s="159">
        <f t="shared" si="52"/>
        <v>18.279999999999998</v>
      </c>
      <c r="Y308" s="209"/>
      <c r="Z308" s="210" t="s">
        <v>619</v>
      </c>
      <c r="AA308" s="202">
        <v>18.28</v>
      </c>
      <c r="AB308" s="203">
        <f t="shared" si="53"/>
        <v>0</v>
      </c>
      <c r="AC308" s="124">
        <v>-0.02</v>
      </c>
    </row>
    <row r="309" spans="1:29" s="124" customFormat="1" ht="27" customHeight="1">
      <c r="A309" s="154">
        <v>294</v>
      </c>
      <c r="B309" s="204"/>
      <c r="C309" s="204"/>
      <c r="D309" s="205"/>
      <c r="E309" s="155" t="str">
        <f>'Tên Tháng 1'!E297</f>
        <v>ឃន សាវី</v>
      </c>
      <c r="F309" s="157" t="str">
        <f>'Tên Tháng 1'!F297</f>
        <v>KHORN SAVY</v>
      </c>
      <c r="G309" s="206">
        <v>500</v>
      </c>
      <c r="H309" s="207">
        <f>'SAN LUONG'!AP304</f>
        <v>299.2</v>
      </c>
      <c r="I309" s="159">
        <f t="shared" si="47"/>
        <v>4.26</v>
      </c>
      <c r="J309" s="207"/>
      <c r="K309" s="159">
        <f t="shared" si="46"/>
        <v>0</v>
      </c>
      <c r="L309" s="207">
        <f>'SAN LUONG'!AQ304</f>
        <v>469.48</v>
      </c>
      <c r="M309" s="159">
        <f t="shared" si="48"/>
        <v>8.16</v>
      </c>
      <c r="N309" s="208">
        <f>'CHAM CONG'!AR303</f>
        <v>2</v>
      </c>
      <c r="O309" s="159">
        <f t="shared" si="49"/>
        <v>1.06</v>
      </c>
      <c r="P309" s="159">
        <f>'CHAM CONG'!AQ303</f>
        <v>14</v>
      </c>
      <c r="Q309" s="159">
        <f t="shared" si="50"/>
        <v>7.01</v>
      </c>
      <c r="R309" s="159">
        <f t="shared" si="54"/>
        <v>14</v>
      </c>
      <c r="S309" s="159">
        <f t="shared" si="51"/>
        <v>0.44</v>
      </c>
      <c r="T309" s="159"/>
      <c r="U309" s="159"/>
      <c r="V309" s="159"/>
      <c r="W309" s="159"/>
      <c r="X309" s="159">
        <f t="shared" si="52"/>
        <v>20.93</v>
      </c>
      <c r="Y309" s="209"/>
      <c r="Z309" s="210" t="s">
        <v>619</v>
      </c>
      <c r="AA309" s="202">
        <v>20.93</v>
      </c>
      <c r="AB309" s="203">
        <f t="shared" si="53"/>
        <v>0</v>
      </c>
      <c r="AC309" s="124">
        <v>0.04</v>
      </c>
    </row>
    <row r="310" spans="1:29" s="124" customFormat="1" ht="27" customHeight="1">
      <c r="A310" s="154">
        <v>295</v>
      </c>
      <c r="B310" s="204"/>
      <c r="C310" s="204"/>
      <c r="D310" s="205"/>
      <c r="E310" s="155" t="str">
        <f>'Tên Tháng 1'!E298</f>
        <v>ផាវ ផាន់</v>
      </c>
      <c r="F310" s="157" t="str">
        <f>'Tên Tháng 1'!F298</f>
        <v>PHAV PHANN</v>
      </c>
      <c r="G310" s="206">
        <v>501</v>
      </c>
      <c r="H310" s="207">
        <f>'SAN LUONG'!AP305</f>
        <v>234.96</v>
      </c>
      <c r="I310" s="159">
        <f t="shared" si="47"/>
        <v>3.35</v>
      </c>
      <c r="J310" s="207"/>
      <c r="K310" s="159">
        <f t="shared" si="46"/>
        <v>0</v>
      </c>
      <c r="L310" s="207">
        <f>'SAN LUONG'!AQ305</f>
        <v>507.32</v>
      </c>
      <c r="M310" s="159">
        <f t="shared" si="48"/>
        <v>8.81</v>
      </c>
      <c r="N310" s="208">
        <f>'CHAM CONG'!AR304</f>
        <v>1</v>
      </c>
      <c r="O310" s="159">
        <f t="shared" si="49"/>
        <v>0.53</v>
      </c>
      <c r="P310" s="159">
        <f>'CHAM CONG'!AQ304</f>
        <v>14</v>
      </c>
      <c r="Q310" s="159">
        <f t="shared" si="50"/>
        <v>7.01</v>
      </c>
      <c r="R310" s="159">
        <f t="shared" si="54"/>
        <v>14</v>
      </c>
      <c r="S310" s="159">
        <f t="shared" si="51"/>
        <v>0.44</v>
      </c>
      <c r="T310" s="159"/>
      <c r="U310" s="159"/>
      <c r="V310" s="159"/>
      <c r="W310" s="159"/>
      <c r="X310" s="159">
        <f t="shared" si="52"/>
        <v>20.140000000000004</v>
      </c>
      <c r="Y310" s="209"/>
      <c r="Z310" s="210" t="s">
        <v>619</v>
      </c>
      <c r="AA310" s="202">
        <v>20.14</v>
      </c>
      <c r="AB310" s="203">
        <f t="shared" si="53"/>
        <v>0</v>
      </c>
      <c r="AC310" s="124">
        <v>0.04</v>
      </c>
    </row>
    <row r="311" spans="1:29" s="124" customFormat="1" ht="27" customHeight="1">
      <c r="A311" s="154">
        <v>296</v>
      </c>
      <c r="B311" s="204"/>
      <c r="C311" s="204"/>
      <c r="D311" s="205"/>
      <c r="E311" s="155" t="str">
        <f>'Tên Tháng 1'!E299</f>
        <v>ជិន សីឡា</v>
      </c>
      <c r="F311" s="157" t="str">
        <f>'Tên Tháng 1'!F299</f>
        <v>CHIN SEYLA</v>
      </c>
      <c r="G311" s="206">
        <v>502</v>
      </c>
      <c r="H311" s="207">
        <f>'SAN LUONG'!AP306</f>
        <v>276.76</v>
      </c>
      <c r="I311" s="159">
        <f t="shared" si="47"/>
        <v>3.94</v>
      </c>
      <c r="J311" s="207"/>
      <c r="K311" s="159">
        <f t="shared" si="46"/>
        <v>0</v>
      </c>
      <c r="L311" s="207">
        <f>'SAN LUONG'!AQ306</f>
        <v>463.76</v>
      </c>
      <c r="M311" s="159">
        <f t="shared" si="48"/>
        <v>8.06</v>
      </c>
      <c r="N311" s="208">
        <f>'CHAM CONG'!AR305</f>
        <v>1</v>
      </c>
      <c r="O311" s="159">
        <f t="shared" si="49"/>
        <v>0.53</v>
      </c>
      <c r="P311" s="159">
        <f>'CHAM CONG'!AQ305</f>
        <v>14</v>
      </c>
      <c r="Q311" s="159">
        <f t="shared" si="50"/>
        <v>7.01</v>
      </c>
      <c r="R311" s="159">
        <f t="shared" si="54"/>
        <v>14</v>
      </c>
      <c r="S311" s="159">
        <f t="shared" si="51"/>
        <v>0.44</v>
      </c>
      <c r="T311" s="159"/>
      <c r="U311" s="159"/>
      <c r="V311" s="159"/>
      <c r="W311" s="159"/>
      <c r="X311" s="159">
        <f t="shared" si="52"/>
        <v>19.98</v>
      </c>
      <c r="Y311" s="209"/>
      <c r="Z311" s="210" t="s">
        <v>619</v>
      </c>
      <c r="AA311" s="202">
        <v>19.98</v>
      </c>
      <c r="AB311" s="203">
        <f t="shared" si="53"/>
        <v>0</v>
      </c>
      <c r="AC311" s="124">
        <v>0.03</v>
      </c>
    </row>
    <row r="312" spans="1:29" s="124" customFormat="1" ht="27" customHeight="1">
      <c r="A312" s="154">
        <v>297</v>
      </c>
      <c r="B312" s="204"/>
      <c r="C312" s="204"/>
      <c r="D312" s="205"/>
      <c r="E312" s="155" t="str">
        <f>'Tên Tháng 1'!E300</f>
        <v>ជិន ឡូត</v>
      </c>
      <c r="F312" s="157" t="str">
        <f>'Tên Tháng 1'!F300</f>
        <v>CHIN LOT</v>
      </c>
      <c r="G312" s="206">
        <v>503</v>
      </c>
      <c r="H312" s="207">
        <f>'SAN LUONG'!AP307</f>
        <v>249.04</v>
      </c>
      <c r="I312" s="159">
        <f t="shared" si="47"/>
        <v>3.55</v>
      </c>
      <c r="J312" s="207"/>
      <c r="K312" s="159">
        <f t="shared" si="46"/>
        <v>0</v>
      </c>
      <c r="L312" s="207">
        <f>'SAN LUONG'!AQ307</f>
        <v>430.32</v>
      </c>
      <c r="M312" s="159">
        <f t="shared" si="48"/>
        <v>7.48</v>
      </c>
      <c r="N312" s="208">
        <f>'CHAM CONG'!AR306</f>
        <v>0</v>
      </c>
      <c r="O312" s="159">
        <f t="shared" si="49"/>
        <v>0</v>
      </c>
      <c r="P312" s="159">
        <f>'CHAM CONG'!AQ306</f>
        <v>14</v>
      </c>
      <c r="Q312" s="159">
        <f t="shared" si="50"/>
        <v>7.01</v>
      </c>
      <c r="R312" s="159">
        <f t="shared" si="54"/>
        <v>14</v>
      </c>
      <c r="S312" s="159">
        <f t="shared" si="51"/>
        <v>0.44</v>
      </c>
      <c r="T312" s="159"/>
      <c r="U312" s="159"/>
      <c r="V312" s="159"/>
      <c r="W312" s="159"/>
      <c r="X312" s="159">
        <f t="shared" si="52"/>
        <v>18.48</v>
      </c>
      <c r="Y312" s="209"/>
      <c r="Z312" s="210" t="s">
        <v>619</v>
      </c>
      <c r="AA312" s="202">
        <v>18.47</v>
      </c>
      <c r="AB312" s="203">
        <f t="shared" si="53"/>
        <v>-0.01</v>
      </c>
      <c r="AC312" s="124">
        <v>-0.02</v>
      </c>
    </row>
    <row r="313" spans="1:29" s="124" customFormat="1" ht="27" customHeight="1">
      <c r="A313" s="154">
        <v>298</v>
      </c>
      <c r="B313" s="204"/>
      <c r="C313" s="204"/>
      <c r="D313" s="205"/>
      <c r="E313" s="155" t="str">
        <f>'Tên Tháng 1'!E301</f>
        <v>អឿង សុឃាក់</v>
      </c>
      <c r="F313" s="157" t="str">
        <f>'Tên Tháng 1'!F301</f>
        <v>EURNG SOKEAK</v>
      </c>
      <c r="G313" s="206">
        <v>504</v>
      </c>
      <c r="H313" s="207">
        <f>'SAN LUONG'!AP308</f>
        <v>62.04</v>
      </c>
      <c r="I313" s="159">
        <f t="shared" si="47"/>
        <v>0.88</v>
      </c>
      <c r="J313" s="207"/>
      <c r="K313" s="159">
        <f t="shared" si="46"/>
        <v>0</v>
      </c>
      <c r="L313" s="207">
        <f>'SAN LUONG'!AQ308</f>
        <v>274.56</v>
      </c>
      <c r="M313" s="159">
        <f t="shared" si="48"/>
        <v>4.7699999999999996</v>
      </c>
      <c r="N313" s="208">
        <f>'CHAM CONG'!AR307</f>
        <v>0</v>
      </c>
      <c r="O313" s="159">
        <f t="shared" si="49"/>
        <v>0</v>
      </c>
      <c r="P313" s="159">
        <f>'CHAM CONG'!AQ307</f>
        <v>9</v>
      </c>
      <c r="Q313" s="159">
        <f t="shared" si="50"/>
        <v>4.51</v>
      </c>
      <c r="R313" s="159">
        <f t="shared" si="54"/>
        <v>9</v>
      </c>
      <c r="S313" s="159">
        <f t="shared" si="51"/>
        <v>0.28000000000000003</v>
      </c>
      <c r="T313" s="159"/>
      <c r="U313" s="159"/>
      <c r="V313" s="159"/>
      <c r="W313" s="159"/>
      <c r="X313" s="159">
        <f t="shared" si="52"/>
        <v>10.44</v>
      </c>
      <c r="Y313" s="209"/>
      <c r="Z313" s="210" t="s">
        <v>619</v>
      </c>
      <c r="AA313" s="202">
        <v>10.44</v>
      </c>
      <c r="AB313" s="203">
        <f t="shared" si="53"/>
        <v>0</v>
      </c>
      <c r="AC313" s="124">
        <v>0.04</v>
      </c>
    </row>
    <row r="314" spans="1:29" s="124" customFormat="1" ht="27" customHeight="1">
      <c r="A314" s="154">
        <v>299</v>
      </c>
      <c r="B314" s="204"/>
      <c r="C314" s="204"/>
      <c r="D314" s="205"/>
      <c r="E314" s="155" t="str">
        <f>'Tên Tháng 1'!E302</f>
        <v>ឡន លី</v>
      </c>
      <c r="F314" s="157" t="str">
        <f>'Tên Tháng 1'!F302</f>
        <v>LORN LY</v>
      </c>
      <c r="G314" s="206">
        <v>505</v>
      </c>
      <c r="H314" s="207">
        <f>'SAN LUONG'!AP309</f>
        <v>230.56</v>
      </c>
      <c r="I314" s="159">
        <f t="shared" si="47"/>
        <v>3.28</v>
      </c>
      <c r="J314" s="207"/>
      <c r="K314" s="159">
        <f t="shared" si="46"/>
        <v>0</v>
      </c>
      <c r="L314" s="207">
        <f>'SAN LUONG'!AQ309</f>
        <v>328.68</v>
      </c>
      <c r="M314" s="159">
        <f t="shared" si="48"/>
        <v>5.71</v>
      </c>
      <c r="N314" s="208">
        <f>'CHAM CONG'!AR308</f>
        <v>0</v>
      </c>
      <c r="O314" s="159">
        <f t="shared" si="49"/>
        <v>0</v>
      </c>
      <c r="P314" s="159">
        <f>'CHAM CONG'!AQ308</f>
        <v>12</v>
      </c>
      <c r="Q314" s="159">
        <f t="shared" si="50"/>
        <v>6.01</v>
      </c>
      <c r="R314" s="159">
        <f t="shared" si="54"/>
        <v>12</v>
      </c>
      <c r="S314" s="159">
        <f t="shared" si="51"/>
        <v>0.38</v>
      </c>
      <c r="T314" s="159"/>
      <c r="U314" s="159"/>
      <c r="V314" s="159"/>
      <c r="W314" s="159"/>
      <c r="X314" s="159">
        <f t="shared" si="52"/>
        <v>15.38</v>
      </c>
      <c r="Y314" s="209"/>
      <c r="Z314" s="210" t="s">
        <v>619</v>
      </c>
      <c r="AA314" s="202">
        <v>15.38</v>
      </c>
      <c r="AB314" s="203">
        <f t="shared" si="53"/>
        <v>0</v>
      </c>
      <c r="AC314" s="124">
        <v>0.01</v>
      </c>
    </row>
    <row r="315" spans="1:29" s="124" customFormat="1" ht="27" customHeight="1">
      <c r="A315" s="154">
        <v>300</v>
      </c>
      <c r="B315" s="204"/>
      <c r="C315" s="204"/>
      <c r="D315" s="205"/>
      <c r="E315" s="155" t="str">
        <f>'Tên Tháng 1'!E303</f>
        <v>ឃួន លា</v>
      </c>
      <c r="F315" s="157" t="str">
        <f>'Tên Tháng 1'!F303</f>
        <v>KHUN LEA</v>
      </c>
      <c r="G315" s="206">
        <v>506</v>
      </c>
      <c r="H315" s="207">
        <f>'SAN LUONG'!AP310</f>
        <v>259.60000000000002</v>
      </c>
      <c r="I315" s="159">
        <f t="shared" si="47"/>
        <v>3.7</v>
      </c>
      <c r="J315" s="207"/>
      <c r="K315" s="159">
        <f t="shared" si="46"/>
        <v>0</v>
      </c>
      <c r="L315" s="207">
        <f>'SAN LUONG'!AQ310</f>
        <v>375.32</v>
      </c>
      <c r="M315" s="159">
        <f t="shared" si="48"/>
        <v>6.52</v>
      </c>
      <c r="N315" s="208">
        <f>'CHAM CONG'!AR309</f>
        <v>2</v>
      </c>
      <c r="O315" s="159">
        <f t="shared" si="49"/>
        <v>1.06</v>
      </c>
      <c r="P315" s="159">
        <f>'CHAM CONG'!AQ309</f>
        <v>13</v>
      </c>
      <c r="Q315" s="159">
        <f t="shared" si="50"/>
        <v>6.51</v>
      </c>
      <c r="R315" s="159">
        <f t="shared" si="54"/>
        <v>13</v>
      </c>
      <c r="S315" s="159">
        <f t="shared" si="51"/>
        <v>0.41</v>
      </c>
      <c r="T315" s="159"/>
      <c r="U315" s="159"/>
      <c r="V315" s="159"/>
      <c r="W315" s="159"/>
      <c r="X315" s="159">
        <f t="shared" si="52"/>
        <v>18.199999999999996</v>
      </c>
      <c r="Y315" s="209"/>
      <c r="Z315" s="210" t="s">
        <v>619</v>
      </c>
      <c r="AA315" s="202">
        <v>18.2</v>
      </c>
      <c r="AB315" s="203">
        <f t="shared" si="53"/>
        <v>0</v>
      </c>
      <c r="AC315" s="124">
        <v>0.03</v>
      </c>
    </row>
    <row r="316" spans="1:29" s="124" customFormat="1" ht="27" customHeight="1">
      <c r="A316" s="154">
        <v>301</v>
      </c>
      <c r="B316" s="204"/>
      <c r="C316" s="204"/>
      <c r="D316" s="205"/>
      <c r="E316" s="155" t="str">
        <f>'Tên Tháng 1'!E304</f>
        <v>ញាន សំបុក</v>
      </c>
      <c r="F316" s="157" t="str">
        <f>'Tên Tháng 1'!F304</f>
        <v>NHAN SAMBOK</v>
      </c>
      <c r="G316" s="206">
        <v>507</v>
      </c>
      <c r="H316" s="207">
        <f>'SAN LUONG'!AP311</f>
        <v>237.6</v>
      </c>
      <c r="I316" s="159">
        <f t="shared" si="47"/>
        <v>3.38</v>
      </c>
      <c r="J316" s="207"/>
      <c r="K316" s="159">
        <f t="shared" si="46"/>
        <v>0</v>
      </c>
      <c r="L316" s="207">
        <f>'SAN LUONG'!AQ311</f>
        <v>335.28</v>
      </c>
      <c r="M316" s="159">
        <f>ROUND(L316*$M$14/31947,1)</f>
        <v>5.8</v>
      </c>
      <c r="N316" s="208">
        <f>'CHAM CONG'!AR310</f>
        <v>2</v>
      </c>
      <c r="O316" s="159">
        <f t="shared" si="49"/>
        <v>1.06</v>
      </c>
      <c r="P316" s="159">
        <f>'CHAM CONG'!AQ310</f>
        <v>13</v>
      </c>
      <c r="Q316" s="159">
        <f t="shared" si="50"/>
        <v>6.51</v>
      </c>
      <c r="R316" s="159">
        <f t="shared" si="54"/>
        <v>13</v>
      </c>
      <c r="S316" s="159">
        <f t="shared" si="51"/>
        <v>0.41</v>
      </c>
      <c r="T316" s="159"/>
      <c r="U316" s="159"/>
      <c r="V316" s="159"/>
      <c r="W316" s="159"/>
      <c r="X316" s="159">
        <f t="shared" si="52"/>
        <v>17.159999999999997</v>
      </c>
      <c r="Y316" s="209"/>
      <c r="Z316" s="210" t="s">
        <v>619</v>
      </c>
      <c r="AA316" s="202">
        <v>17.190000000000001</v>
      </c>
      <c r="AB316" s="203">
        <f t="shared" si="53"/>
        <v>0.03</v>
      </c>
      <c r="AC316" s="124">
        <v>0.04</v>
      </c>
    </row>
    <row r="317" spans="1:29" s="124" customFormat="1" ht="27" customHeight="1">
      <c r="A317" s="154">
        <v>302</v>
      </c>
      <c r="B317" s="204"/>
      <c r="C317" s="204"/>
      <c r="D317" s="205"/>
      <c r="E317" s="155" t="str">
        <f>'Tên Tháng 1'!E305</f>
        <v>ឆាង លាស</v>
      </c>
      <c r="F317" s="157" t="str">
        <f>'Tên Tháng 1'!F305</f>
        <v>CHHANG LEAS</v>
      </c>
      <c r="G317" s="206">
        <v>508</v>
      </c>
      <c r="H317" s="207">
        <f>'SAN LUONG'!AP312</f>
        <v>373.12</v>
      </c>
      <c r="I317" s="159">
        <f t="shared" si="47"/>
        <v>5.31</v>
      </c>
      <c r="J317" s="207"/>
      <c r="K317" s="159">
        <f t="shared" si="46"/>
        <v>0</v>
      </c>
      <c r="L317" s="207">
        <f>'SAN LUONG'!AQ312</f>
        <v>210.76</v>
      </c>
      <c r="M317" s="159">
        <f t="shared" si="48"/>
        <v>3.66</v>
      </c>
      <c r="N317" s="208">
        <f>'CHAM CONG'!AR311</f>
        <v>2</v>
      </c>
      <c r="O317" s="159">
        <f t="shared" si="49"/>
        <v>1.06</v>
      </c>
      <c r="P317" s="159">
        <f>'CHAM CONG'!AQ311</f>
        <v>12</v>
      </c>
      <c r="Q317" s="159">
        <f t="shared" si="50"/>
        <v>6.01</v>
      </c>
      <c r="R317" s="159">
        <f t="shared" si="54"/>
        <v>12</v>
      </c>
      <c r="S317" s="159">
        <f t="shared" si="51"/>
        <v>0.38</v>
      </c>
      <c r="T317" s="159"/>
      <c r="U317" s="159"/>
      <c r="V317" s="159"/>
      <c r="W317" s="159"/>
      <c r="X317" s="159">
        <f t="shared" si="52"/>
        <v>16.419999999999998</v>
      </c>
      <c r="Y317" s="209"/>
      <c r="Z317" s="210" t="s">
        <v>619</v>
      </c>
      <c r="AA317" s="202">
        <v>16.43</v>
      </c>
      <c r="AB317" s="203">
        <f t="shared" si="53"/>
        <v>0.01</v>
      </c>
      <c r="AC317" s="124">
        <v>0</v>
      </c>
    </row>
    <row r="318" spans="1:29" s="124" customFormat="1" ht="27" customHeight="1">
      <c r="A318" s="154">
        <v>303</v>
      </c>
      <c r="B318" s="204"/>
      <c r="C318" s="204"/>
      <c r="D318" s="205"/>
      <c r="E318" s="155" t="str">
        <f>'Tên Tháng 1'!E306</f>
        <v>ឆែម ភាព</v>
      </c>
      <c r="F318" s="157" t="str">
        <f>'Tên Tháng 1'!F306</f>
        <v>CHHEM PHEAP</v>
      </c>
      <c r="G318" s="206">
        <v>509</v>
      </c>
      <c r="H318" s="207">
        <f>'SAN LUONG'!AP313</f>
        <v>256.08</v>
      </c>
      <c r="I318" s="159">
        <f t="shared" si="47"/>
        <v>3.65</v>
      </c>
      <c r="J318" s="207"/>
      <c r="K318" s="159">
        <f t="shared" si="46"/>
        <v>0</v>
      </c>
      <c r="L318" s="207">
        <f>'SAN LUONG'!AQ313</f>
        <v>344.08</v>
      </c>
      <c r="M318" s="159">
        <f t="shared" si="48"/>
        <v>5.98</v>
      </c>
      <c r="N318" s="208">
        <f>'CHAM CONG'!AR312</f>
        <v>2</v>
      </c>
      <c r="O318" s="159">
        <f t="shared" si="49"/>
        <v>1.06</v>
      </c>
      <c r="P318" s="159">
        <f>'CHAM CONG'!AQ312</f>
        <v>14</v>
      </c>
      <c r="Q318" s="159">
        <f t="shared" si="50"/>
        <v>7.01</v>
      </c>
      <c r="R318" s="159">
        <f t="shared" si="54"/>
        <v>14</v>
      </c>
      <c r="S318" s="159">
        <f t="shared" si="51"/>
        <v>0.44</v>
      </c>
      <c r="T318" s="159"/>
      <c r="U318" s="159"/>
      <c r="V318" s="159"/>
      <c r="W318" s="159"/>
      <c r="X318" s="159">
        <f t="shared" si="52"/>
        <v>18.14</v>
      </c>
      <c r="Y318" s="209"/>
      <c r="Z318" s="210" t="s">
        <v>619</v>
      </c>
      <c r="AA318" s="202">
        <v>18.14</v>
      </c>
      <c r="AB318" s="203">
        <f t="shared" si="53"/>
        <v>0</v>
      </c>
      <c r="AC318" s="124">
        <v>0.04</v>
      </c>
    </row>
    <row r="319" spans="1:29" s="124" customFormat="1" ht="27" customHeight="1">
      <c r="A319" s="154">
        <v>304</v>
      </c>
      <c r="B319" s="204"/>
      <c r="C319" s="204"/>
      <c r="D319" s="205"/>
      <c r="E319" s="155" t="str">
        <f>'Tên Tháng 1'!E307</f>
        <v>ចាន់ រស់</v>
      </c>
      <c r="F319" s="157" t="str">
        <f>'Tên Tháng 1'!F307</f>
        <v>CHAN ROS</v>
      </c>
      <c r="G319" s="206">
        <v>510</v>
      </c>
      <c r="H319" s="207">
        <f>'SAN LUONG'!AP314</f>
        <v>356.84</v>
      </c>
      <c r="I319" s="159">
        <f t="shared" si="47"/>
        <v>5.08</v>
      </c>
      <c r="J319" s="207"/>
      <c r="K319" s="159">
        <f t="shared" si="46"/>
        <v>0</v>
      </c>
      <c r="L319" s="207">
        <f>'SAN LUONG'!AQ314</f>
        <v>306.88</v>
      </c>
      <c r="M319" s="159">
        <f t="shared" si="48"/>
        <v>5.33</v>
      </c>
      <c r="N319" s="208">
        <f>'CHAM CONG'!AR313</f>
        <v>1</v>
      </c>
      <c r="O319" s="159">
        <f t="shared" si="49"/>
        <v>0.53</v>
      </c>
      <c r="P319" s="159">
        <f>'CHAM CONG'!AQ313</f>
        <v>12</v>
      </c>
      <c r="Q319" s="159">
        <f t="shared" si="50"/>
        <v>6.01</v>
      </c>
      <c r="R319" s="159">
        <f t="shared" si="54"/>
        <v>12</v>
      </c>
      <c r="S319" s="159">
        <f t="shared" si="51"/>
        <v>0.38</v>
      </c>
      <c r="T319" s="159"/>
      <c r="U319" s="159"/>
      <c r="V319" s="159"/>
      <c r="W319" s="159"/>
      <c r="X319" s="159">
        <f t="shared" si="52"/>
        <v>17.330000000000002</v>
      </c>
      <c r="Y319" s="209"/>
      <c r="Z319" s="210" t="s">
        <v>619</v>
      </c>
      <c r="AA319" s="202">
        <v>17.329999999999998</v>
      </c>
      <c r="AB319" s="203">
        <f t="shared" si="53"/>
        <v>0</v>
      </c>
      <c r="AC319" s="124">
        <v>0.03</v>
      </c>
    </row>
    <row r="320" spans="1:29" s="124" customFormat="1" ht="30.6" customHeight="1">
      <c r="A320" s="154">
        <v>305</v>
      </c>
      <c r="B320" s="204"/>
      <c r="C320" s="204"/>
      <c r="D320" s="205"/>
      <c r="E320" s="155" t="str">
        <f>'Tên Tháng 1'!E308</f>
        <v>សួស ថេ</v>
      </c>
      <c r="F320" s="157" t="str">
        <f>'Tên Tháng 1'!F308</f>
        <v>SOUS THE</v>
      </c>
      <c r="G320" s="206">
        <v>344</v>
      </c>
      <c r="H320" s="207">
        <f>'SAN LUONG'!AS317</f>
        <v>445.28</v>
      </c>
      <c r="I320" s="159">
        <f t="shared" si="47"/>
        <v>6.34</v>
      </c>
      <c r="J320" s="207">
        <f>'SAN LUONG'!AT317</f>
        <v>139.04</v>
      </c>
      <c r="K320" s="159">
        <f t="shared" si="46"/>
        <v>2.2000000000000002</v>
      </c>
      <c r="L320" s="207"/>
      <c r="M320" s="159">
        <f t="shared" ref="M320:M336" si="55">ROUND(L320*$M$14/31947,2)</f>
        <v>0</v>
      </c>
      <c r="N320" s="208">
        <f>'CHAM CONG'!AR316</f>
        <v>2</v>
      </c>
      <c r="O320" s="159">
        <f t="shared" si="49"/>
        <v>1.06</v>
      </c>
      <c r="P320" s="207">
        <f>'CHAM CONG'!AQ316</f>
        <v>14</v>
      </c>
      <c r="Q320" s="159">
        <f t="shared" si="50"/>
        <v>7.01</v>
      </c>
      <c r="R320" s="159">
        <f t="shared" si="54"/>
        <v>14</v>
      </c>
      <c r="S320" s="159">
        <f t="shared" si="51"/>
        <v>0.44</v>
      </c>
      <c r="T320" s="159"/>
      <c r="U320" s="159"/>
      <c r="V320" s="159"/>
      <c r="W320" s="159"/>
      <c r="X320" s="159">
        <f t="shared" si="52"/>
        <v>17.049999999999997</v>
      </c>
      <c r="Y320" s="209"/>
      <c r="Z320" s="210" t="s">
        <v>923</v>
      </c>
      <c r="AA320" s="202">
        <v>17.05</v>
      </c>
      <c r="AB320" s="203">
        <f t="shared" si="53"/>
        <v>0</v>
      </c>
      <c r="AC320" s="124">
        <v>0</v>
      </c>
    </row>
    <row r="321" spans="1:29" s="124" customFormat="1" ht="30.6" customHeight="1">
      <c r="A321" s="154">
        <v>306</v>
      </c>
      <c r="B321" s="204"/>
      <c r="C321" s="204"/>
      <c r="D321" s="205"/>
      <c r="E321" s="155" t="str">
        <f>'Tên Tháng 1'!E309</f>
        <v>ហំ គា</v>
      </c>
      <c r="F321" s="157" t="str">
        <f>'Tên Tháng 1'!F309</f>
        <v>HOM KEA</v>
      </c>
      <c r="G321" s="206">
        <v>345</v>
      </c>
      <c r="H321" s="207">
        <f>'SAN LUONG'!AS318</f>
        <v>390.28</v>
      </c>
      <c r="I321" s="159">
        <f t="shared" si="47"/>
        <v>5.56</v>
      </c>
      <c r="J321" s="207">
        <f>'SAN LUONG'!AT318</f>
        <v>116.16</v>
      </c>
      <c r="K321" s="159">
        <f t="shared" si="46"/>
        <v>1.84</v>
      </c>
      <c r="L321" s="207"/>
      <c r="M321" s="159">
        <f t="shared" si="55"/>
        <v>0</v>
      </c>
      <c r="N321" s="208">
        <f>'CHAM CONG'!AR317</f>
        <v>2</v>
      </c>
      <c r="O321" s="159">
        <f t="shared" si="49"/>
        <v>1.06</v>
      </c>
      <c r="P321" s="207">
        <f>'CHAM CONG'!AQ317</f>
        <v>13</v>
      </c>
      <c r="Q321" s="159">
        <f t="shared" si="50"/>
        <v>6.51</v>
      </c>
      <c r="R321" s="159">
        <f t="shared" si="54"/>
        <v>13</v>
      </c>
      <c r="S321" s="159">
        <f t="shared" si="51"/>
        <v>0.41</v>
      </c>
      <c r="T321" s="159"/>
      <c r="U321" s="159"/>
      <c r="V321" s="159"/>
      <c r="W321" s="159"/>
      <c r="X321" s="159">
        <f t="shared" si="52"/>
        <v>15.38</v>
      </c>
      <c r="Y321" s="209"/>
      <c r="Z321" s="210" t="s">
        <v>923</v>
      </c>
      <c r="AA321" s="202">
        <v>15.38</v>
      </c>
      <c r="AB321" s="203">
        <f t="shared" si="53"/>
        <v>0</v>
      </c>
      <c r="AC321" s="124">
        <v>0.04</v>
      </c>
    </row>
    <row r="322" spans="1:29" s="124" customFormat="1" ht="30.6" customHeight="1">
      <c r="A322" s="211">
        <v>307</v>
      </c>
      <c r="B322" s="204"/>
      <c r="C322" s="204"/>
      <c r="D322" s="205"/>
      <c r="E322" s="155" t="str">
        <f>'Tên Tháng 1'!E310</f>
        <v>លី ភាក់</v>
      </c>
      <c r="F322" s="157" t="str">
        <f>'Tên Tháng 1'!F310</f>
        <v>LY PHEAK</v>
      </c>
      <c r="G322" s="206">
        <v>346</v>
      </c>
      <c r="H322" s="207">
        <f>'SAN LUONG'!AS319</f>
        <v>404.36</v>
      </c>
      <c r="I322" s="159">
        <f t="shared" si="47"/>
        <v>5.76</v>
      </c>
      <c r="J322" s="207">
        <f>'SAN LUONG'!AT319</f>
        <v>106.92</v>
      </c>
      <c r="K322" s="159">
        <f t="shared" si="46"/>
        <v>1.69</v>
      </c>
      <c r="L322" s="207"/>
      <c r="M322" s="159">
        <f t="shared" si="55"/>
        <v>0</v>
      </c>
      <c r="N322" s="208">
        <f>'CHAM CONG'!AR318</f>
        <v>1</v>
      </c>
      <c r="O322" s="159">
        <f t="shared" si="49"/>
        <v>0.53</v>
      </c>
      <c r="P322" s="207">
        <f>'CHAM CONG'!AQ318</f>
        <v>14</v>
      </c>
      <c r="Q322" s="159">
        <f t="shared" si="50"/>
        <v>7.01</v>
      </c>
      <c r="R322" s="159">
        <f t="shared" si="54"/>
        <v>14</v>
      </c>
      <c r="S322" s="159">
        <f t="shared" si="51"/>
        <v>0.44</v>
      </c>
      <c r="T322" s="159"/>
      <c r="U322" s="159"/>
      <c r="V322" s="159"/>
      <c r="W322" s="159"/>
      <c r="X322" s="159">
        <f t="shared" si="52"/>
        <v>15.429999999999998</v>
      </c>
      <c r="Y322" s="209"/>
      <c r="Z322" s="210" t="s">
        <v>923</v>
      </c>
      <c r="AA322" s="202">
        <v>15.43</v>
      </c>
      <c r="AB322" s="203">
        <f t="shared" si="53"/>
        <v>0</v>
      </c>
      <c r="AC322" s="124">
        <v>0.04</v>
      </c>
    </row>
    <row r="323" spans="1:29" s="124" customFormat="1" ht="30.6" customHeight="1">
      <c r="A323" s="154">
        <v>308</v>
      </c>
      <c r="B323" s="204"/>
      <c r="C323" s="204"/>
      <c r="D323" s="205"/>
      <c r="E323" s="155" t="str">
        <f>'Tên Tháng 1'!E311</f>
        <v>រ៉ុន​ ម៉ៃ</v>
      </c>
      <c r="F323" s="157" t="str">
        <f>'Tên Tháng 1'!F311</f>
        <v>RON MAY</v>
      </c>
      <c r="G323" s="206">
        <v>347</v>
      </c>
      <c r="H323" s="207">
        <f>'SAN LUONG'!AS320</f>
        <v>406.56</v>
      </c>
      <c r="I323" s="159">
        <f t="shared" si="47"/>
        <v>5.79</v>
      </c>
      <c r="J323" s="207">
        <f>'SAN LUONG'!AT320</f>
        <v>102.08</v>
      </c>
      <c r="K323" s="159">
        <f t="shared" si="46"/>
        <v>1.61</v>
      </c>
      <c r="L323" s="207"/>
      <c r="M323" s="159">
        <f t="shared" si="55"/>
        <v>0</v>
      </c>
      <c r="N323" s="208">
        <f>'CHAM CONG'!AR319</f>
        <v>1</v>
      </c>
      <c r="O323" s="159">
        <f t="shared" si="49"/>
        <v>0.53</v>
      </c>
      <c r="P323" s="207">
        <f>'CHAM CONG'!AQ319</f>
        <v>14</v>
      </c>
      <c r="Q323" s="159">
        <f t="shared" si="50"/>
        <v>7.01</v>
      </c>
      <c r="R323" s="159">
        <f t="shared" si="54"/>
        <v>14</v>
      </c>
      <c r="S323" s="159">
        <f t="shared" si="51"/>
        <v>0.44</v>
      </c>
      <c r="T323" s="159"/>
      <c r="U323" s="159"/>
      <c r="V323" s="159"/>
      <c r="W323" s="159"/>
      <c r="X323" s="159">
        <f t="shared" si="52"/>
        <v>15.379999999999999</v>
      </c>
      <c r="Y323" s="209"/>
      <c r="Z323" s="210" t="s">
        <v>923</v>
      </c>
      <c r="AA323" s="202">
        <v>15.39</v>
      </c>
      <c r="AB323" s="203">
        <f t="shared" si="53"/>
        <v>0.01</v>
      </c>
      <c r="AC323" s="124">
        <v>0.04</v>
      </c>
    </row>
    <row r="324" spans="1:29" s="124" customFormat="1" ht="30.6" customHeight="1">
      <c r="A324" s="211">
        <v>309</v>
      </c>
      <c r="B324" s="204"/>
      <c r="C324" s="204"/>
      <c r="D324" s="205"/>
      <c r="E324" s="155" t="str">
        <f>'Tên Tháng 1'!E312</f>
        <v>ហួត ហ៊ាញ</v>
      </c>
      <c r="F324" s="157" t="str">
        <f>'Tên Tháng 1'!F312</f>
        <v>HUOT HEANH</v>
      </c>
      <c r="G324" s="206">
        <v>348</v>
      </c>
      <c r="H324" s="207">
        <f>'SAN LUONG'!AS321</f>
        <v>453.2</v>
      </c>
      <c r="I324" s="159">
        <f t="shared" si="47"/>
        <v>6.45</v>
      </c>
      <c r="J324" s="207">
        <f>'SAN LUONG'!AT321</f>
        <v>99.88</v>
      </c>
      <c r="K324" s="159">
        <f t="shared" si="46"/>
        <v>1.58</v>
      </c>
      <c r="L324" s="207"/>
      <c r="M324" s="159">
        <f t="shared" si="55"/>
        <v>0</v>
      </c>
      <c r="N324" s="208">
        <f>'CHAM CONG'!AR320</f>
        <v>2</v>
      </c>
      <c r="O324" s="159">
        <f t="shared" si="49"/>
        <v>1.06</v>
      </c>
      <c r="P324" s="207">
        <f>'CHAM CONG'!AQ320</f>
        <v>13</v>
      </c>
      <c r="Q324" s="159">
        <f t="shared" si="50"/>
        <v>6.51</v>
      </c>
      <c r="R324" s="159">
        <f t="shared" si="54"/>
        <v>13</v>
      </c>
      <c r="S324" s="159">
        <f t="shared" si="51"/>
        <v>0.41</v>
      </c>
      <c r="T324" s="159"/>
      <c r="U324" s="159"/>
      <c r="V324" s="159"/>
      <c r="W324" s="159"/>
      <c r="X324" s="159">
        <f t="shared" si="52"/>
        <v>16.010000000000002</v>
      </c>
      <c r="Y324" s="209"/>
      <c r="Z324" s="210" t="s">
        <v>923</v>
      </c>
      <c r="AA324" s="202">
        <v>16.02</v>
      </c>
      <c r="AB324" s="203">
        <f t="shared" si="53"/>
        <v>0.01</v>
      </c>
      <c r="AC324" s="124">
        <v>0.01</v>
      </c>
    </row>
    <row r="325" spans="1:29" s="124" customFormat="1" ht="30.6" customHeight="1">
      <c r="A325" s="154">
        <v>310</v>
      </c>
      <c r="B325" s="204"/>
      <c r="C325" s="204"/>
      <c r="D325" s="205"/>
      <c r="E325" s="155" t="str">
        <f>'Tên Tháng 1'!E313</f>
        <v>ថាន់ ណារី</v>
      </c>
      <c r="F325" s="157" t="str">
        <f>'Tên Tháng 1'!F313</f>
        <v>THANN NARY</v>
      </c>
      <c r="G325" s="206">
        <v>349</v>
      </c>
      <c r="H325" s="207">
        <f>'SAN LUONG'!AS322</f>
        <v>451.44</v>
      </c>
      <c r="I325" s="159">
        <f t="shared" si="47"/>
        <v>6.43</v>
      </c>
      <c r="J325" s="207">
        <f>'SAN LUONG'!AT322</f>
        <v>97.24</v>
      </c>
      <c r="K325" s="159">
        <f t="shared" si="46"/>
        <v>1.54</v>
      </c>
      <c r="L325" s="207"/>
      <c r="M325" s="159">
        <f t="shared" si="55"/>
        <v>0</v>
      </c>
      <c r="N325" s="208">
        <f>'CHAM CONG'!AR321</f>
        <v>1</v>
      </c>
      <c r="O325" s="159">
        <f t="shared" si="49"/>
        <v>0.53</v>
      </c>
      <c r="P325" s="207">
        <f>'CHAM CONG'!AQ321</f>
        <v>13</v>
      </c>
      <c r="Q325" s="159">
        <f t="shared" si="50"/>
        <v>6.51</v>
      </c>
      <c r="R325" s="159">
        <f t="shared" si="54"/>
        <v>13</v>
      </c>
      <c r="S325" s="159">
        <f t="shared" si="51"/>
        <v>0.41</v>
      </c>
      <c r="T325" s="159"/>
      <c r="U325" s="159"/>
      <c r="V325" s="159"/>
      <c r="W325" s="159"/>
      <c r="X325" s="159">
        <f t="shared" si="52"/>
        <v>15.42</v>
      </c>
      <c r="Y325" s="209"/>
      <c r="Z325" s="210" t="s">
        <v>923</v>
      </c>
      <c r="AA325" s="202">
        <v>15.42</v>
      </c>
      <c r="AB325" s="203">
        <f t="shared" si="53"/>
        <v>0</v>
      </c>
      <c r="AC325" s="124">
        <v>0.01</v>
      </c>
    </row>
    <row r="326" spans="1:29" s="124" customFormat="1" ht="30.6" customHeight="1">
      <c r="A326" s="211">
        <v>311</v>
      </c>
      <c r="B326" s="204"/>
      <c r="C326" s="204"/>
      <c r="D326" s="205"/>
      <c r="E326" s="155" t="str">
        <f>'Tên Tháng 1'!E314</f>
        <v>ហ៊ី សុន</v>
      </c>
      <c r="F326" s="157" t="str">
        <f>'Tên Tháng 1'!F314</f>
        <v>HY SON</v>
      </c>
      <c r="G326" s="206">
        <v>350</v>
      </c>
      <c r="H326" s="207">
        <f>'SAN LUONG'!AS323</f>
        <v>543.84</v>
      </c>
      <c r="I326" s="159">
        <f t="shared" si="47"/>
        <v>7.75</v>
      </c>
      <c r="J326" s="207">
        <f>'SAN LUONG'!AT323</f>
        <v>0</v>
      </c>
      <c r="K326" s="159">
        <f t="shared" si="46"/>
        <v>0</v>
      </c>
      <c r="L326" s="207"/>
      <c r="M326" s="159">
        <f t="shared" si="55"/>
        <v>0</v>
      </c>
      <c r="N326" s="208">
        <f>'CHAM CONG'!AR322</f>
        <v>1</v>
      </c>
      <c r="O326" s="159">
        <f t="shared" si="49"/>
        <v>0.53</v>
      </c>
      <c r="P326" s="207">
        <f>'CHAM CONG'!AQ322</f>
        <v>13</v>
      </c>
      <c r="Q326" s="159">
        <f t="shared" si="50"/>
        <v>6.51</v>
      </c>
      <c r="R326" s="159">
        <f t="shared" si="54"/>
        <v>13</v>
      </c>
      <c r="S326" s="159">
        <f t="shared" si="51"/>
        <v>0.41</v>
      </c>
      <c r="T326" s="159"/>
      <c r="U326" s="159"/>
      <c r="V326" s="159"/>
      <c r="W326" s="159"/>
      <c r="X326" s="159">
        <f t="shared" si="52"/>
        <v>15.2</v>
      </c>
      <c r="Y326" s="209"/>
      <c r="Z326" s="210" t="s">
        <v>923</v>
      </c>
      <c r="AA326" s="202">
        <v>15.2</v>
      </c>
      <c r="AB326" s="203">
        <f t="shared" si="53"/>
        <v>0</v>
      </c>
      <c r="AC326" s="124">
        <v>0.04</v>
      </c>
    </row>
    <row r="327" spans="1:29" s="124" customFormat="1" ht="30.6" customHeight="1">
      <c r="A327" s="154">
        <v>312</v>
      </c>
      <c r="B327" s="204"/>
      <c r="C327" s="204"/>
      <c r="D327" s="205"/>
      <c r="E327" s="155" t="str">
        <f>'Tên Tháng 1'!E315</f>
        <v>ហោ នាង</v>
      </c>
      <c r="F327" s="157" t="str">
        <f>'Tên Tháng 1'!F315</f>
        <v>HAO NEANG</v>
      </c>
      <c r="G327" s="206">
        <v>351</v>
      </c>
      <c r="H327" s="207">
        <f>'SAN LUONG'!AS324</f>
        <v>551.76</v>
      </c>
      <c r="I327" s="159">
        <f t="shared" si="47"/>
        <v>7.86</v>
      </c>
      <c r="J327" s="207">
        <f>'SAN LUONG'!AT324</f>
        <v>0</v>
      </c>
      <c r="K327" s="159">
        <f t="shared" si="46"/>
        <v>0</v>
      </c>
      <c r="L327" s="207"/>
      <c r="M327" s="159">
        <f t="shared" si="55"/>
        <v>0</v>
      </c>
      <c r="N327" s="208">
        <f>'CHAM CONG'!AR323</f>
        <v>1</v>
      </c>
      <c r="O327" s="159">
        <f t="shared" si="49"/>
        <v>0.53</v>
      </c>
      <c r="P327" s="207">
        <f>'CHAM CONG'!AQ323</f>
        <v>13</v>
      </c>
      <c r="Q327" s="159">
        <f t="shared" si="50"/>
        <v>6.51</v>
      </c>
      <c r="R327" s="159">
        <f t="shared" si="54"/>
        <v>13</v>
      </c>
      <c r="S327" s="159">
        <f t="shared" si="51"/>
        <v>0.41</v>
      </c>
      <c r="T327" s="159"/>
      <c r="U327" s="159"/>
      <c r="V327" s="159"/>
      <c r="W327" s="159"/>
      <c r="X327" s="159">
        <f t="shared" si="52"/>
        <v>15.31</v>
      </c>
      <c r="Y327" s="209"/>
      <c r="Z327" s="210" t="s">
        <v>923</v>
      </c>
      <c r="AA327" s="202">
        <v>15.31</v>
      </c>
      <c r="AB327" s="203">
        <f t="shared" si="53"/>
        <v>0</v>
      </c>
      <c r="AC327" s="124">
        <v>0.04</v>
      </c>
    </row>
    <row r="328" spans="1:29" s="124" customFormat="1" ht="30.6" customHeight="1">
      <c r="A328" s="211">
        <v>313</v>
      </c>
      <c r="B328" s="204"/>
      <c r="C328" s="204"/>
      <c r="D328" s="205"/>
      <c r="E328" s="155" t="str">
        <f>'Tên Tháng 1'!E316</f>
        <v>ប៉ិន ប៉ីន</v>
      </c>
      <c r="F328" s="157" t="str">
        <f>'Tên Tháng 1'!F316</f>
        <v>BIN BEN</v>
      </c>
      <c r="G328" s="206">
        <v>352</v>
      </c>
      <c r="H328" s="207">
        <f>'SAN LUONG'!AS325</f>
        <v>725.56</v>
      </c>
      <c r="I328" s="159">
        <f t="shared" si="47"/>
        <v>10.33</v>
      </c>
      <c r="J328" s="207">
        <f>'SAN LUONG'!AT325</f>
        <v>0</v>
      </c>
      <c r="K328" s="159">
        <f t="shared" si="46"/>
        <v>0</v>
      </c>
      <c r="L328" s="207"/>
      <c r="M328" s="159">
        <f t="shared" si="55"/>
        <v>0</v>
      </c>
      <c r="N328" s="208">
        <f>'CHAM CONG'!AR324</f>
        <v>2</v>
      </c>
      <c r="O328" s="159">
        <f t="shared" si="49"/>
        <v>1.06</v>
      </c>
      <c r="P328" s="207">
        <f>'CHAM CONG'!AQ324</f>
        <v>14</v>
      </c>
      <c r="Q328" s="159">
        <f t="shared" si="50"/>
        <v>7.01</v>
      </c>
      <c r="R328" s="159">
        <f t="shared" si="54"/>
        <v>14</v>
      </c>
      <c r="S328" s="159">
        <f t="shared" si="51"/>
        <v>0.44</v>
      </c>
      <c r="T328" s="159"/>
      <c r="U328" s="159"/>
      <c r="V328" s="159"/>
      <c r="W328" s="159"/>
      <c r="X328" s="159">
        <f t="shared" si="52"/>
        <v>18.84</v>
      </c>
      <c r="Y328" s="209"/>
      <c r="Z328" s="210" t="s">
        <v>923</v>
      </c>
      <c r="AA328" s="202">
        <v>18.850000000000001</v>
      </c>
      <c r="AB328" s="203">
        <f t="shared" si="53"/>
        <v>0.01</v>
      </c>
      <c r="AC328" s="124">
        <v>0.01</v>
      </c>
    </row>
    <row r="329" spans="1:29" s="124" customFormat="1" ht="30.6" customHeight="1">
      <c r="A329" s="154">
        <v>314</v>
      </c>
      <c r="B329" s="204"/>
      <c r="C329" s="204"/>
      <c r="D329" s="205"/>
      <c r="E329" s="155" t="str">
        <f>'Tên Tháng 1'!E317</f>
        <v>ហង់ ទីន</v>
      </c>
      <c r="F329" s="157" t="str">
        <f>'Tên Tháng 1'!F317</f>
        <v>HANG TIN</v>
      </c>
      <c r="G329" s="206">
        <v>353</v>
      </c>
      <c r="H329" s="207">
        <f>'SAN LUONG'!AS326</f>
        <v>585.64</v>
      </c>
      <c r="I329" s="159">
        <f t="shared" si="47"/>
        <v>8.34</v>
      </c>
      <c r="J329" s="207">
        <f>'SAN LUONG'!AT326</f>
        <v>0</v>
      </c>
      <c r="K329" s="159">
        <f t="shared" si="46"/>
        <v>0</v>
      </c>
      <c r="L329" s="207"/>
      <c r="M329" s="159">
        <f t="shared" si="55"/>
        <v>0</v>
      </c>
      <c r="N329" s="208">
        <f>'CHAM CONG'!AR325</f>
        <v>1</v>
      </c>
      <c r="O329" s="159">
        <f t="shared" si="49"/>
        <v>0.53</v>
      </c>
      <c r="P329" s="207">
        <f>'CHAM CONG'!AQ325</f>
        <v>13</v>
      </c>
      <c r="Q329" s="159">
        <f t="shared" si="50"/>
        <v>6.51</v>
      </c>
      <c r="R329" s="159">
        <f t="shared" si="54"/>
        <v>13</v>
      </c>
      <c r="S329" s="159">
        <f t="shared" si="51"/>
        <v>0.41</v>
      </c>
      <c r="T329" s="159"/>
      <c r="U329" s="159"/>
      <c r="V329" s="159"/>
      <c r="W329" s="159"/>
      <c r="X329" s="159">
        <f t="shared" si="52"/>
        <v>15.79</v>
      </c>
      <c r="Y329" s="209"/>
      <c r="Z329" s="210" t="s">
        <v>923</v>
      </c>
      <c r="AA329" s="202">
        <v>15.79</v>
      </c>
      <c r="AB329" s="203">
        <f t="shared" si="53"/>
        <v>0</v>
      </c>
      <c r="AC329" s="124">
        <v>0.04</v>
      </c>
    </row>
    <row r="330" spans="1:29" s="124" customFormat="1" ht="30.6" customHeight="1">
      <c r="A330" s="211">
        <v>315</v>
      </c>
      <c r="B330" s="204"/>
      <c r="C330" s="204"/>
      <c r="D330" s="205"/>
      <c r="E330" s="155" t="str">
        <f>'Tên Tháng 1'!E318</f>
        <v>ខឿន ខេន</v>
      </c>
      <c r="F330" s="157" t="str">
        <f>'Tên Tháng 1'!F318</f>
        <v>KHOEUN KHEN</v>
      </c>
      <c r="G330" s="206">
        <v>354</v>
      </c>
      <c r="H330" s="207">
        <f>'SAN LUONG'!AS327</f>
        <v>563.20000000000005</v>
      </c>
      <c r="I330" s="159">
        <f t="shared" si="47"/>
        <v>8.02</v>
      </c>
      <c r="J330" s="207">
        <f>'SAN LUONG'!AT327</f>
        <v>0</v>
      </c>
      <c r="K330" s="159">
        <f t="shared" si="46"/>
        <v>0</v>
      </c>
      <c r="L330" s="207"/>
      <c r="M330" s="159">
        <f t="shared" si="55"/>
        <v>0</v>
      </c>
      <c r="N330" s="208">
        <f>'CHAM CONG'!AR326</f>
        <v>1</v>
      </c>
      <c r="O330" s="159">
        <f t="shared" si="49"/>
        <v>0.53</v>
      </c>
      <c r="P330" s="207">
        <f>'CHAM CONG'!AQ326</f>
        <v>13</v>
      </c>
      <c r="Q330" s="159">
        <f t="shared" si="50"/>
        <v>6.51</v>
      </c>
      <c r="R330" s="159">
        <f t="shared" si="54"/>
        <v>13</v>
      </c>
      <c r="S330" s="159">
        <f t="shared" si="51"/>
        <v>0.41</v>
      </c>
      <c r="T330" s="159"/>
      <c r="U330" s="159"/>
      <c r="V330" s="159"/>
      <c r="W330" s="159"/>
      <c r="X330" s="159">
        <f t="shared" si="52"/>
        <v>15.469999999999999</v>
      </c>
      <c r="Y330" s="209"/>
      <c r="Z330" s="210" t="s">
        <v>923</v>
      </c>
      <c r="AA330" s="202">
        <v>15.47</v>
      </c>
      <c r="AB330" s="203">
        <f t="shared" si="53"/>
        <v>0</v>
      </c>
      <c r="AC330" s="124">
        <v>0.04</v>
      </c>
    </row>
    <row r="331" spans="1:29" s="124" customFormat="1" ht="30.6" customHeight="1">
      <c r="A331" s="154">
        <v>316</v>
      </c>
      <c r="B331" s="204"/>
      <c r="C331" s="204"/>
      <c r="D331" s="205"/>
      <c r="E331" s="155" t="str">
        <f>'Tên Tháng 1'!E319</f>
        <v>យ៉ុង កាញ់</v>
      </c>
      <c r="F331" s="157" t="str">
        <f>'Tên Tháng 1'!F319</f>
        <v>YONG KANH</v>
      </c>
      <c r="G331" s="206">
        <v>355</v>
      </c>
      <c r="H331" s="207">
        <f>'SAN LUONG'!AS328</f>
        <v>511.28</v>
      </c>
      <c r="I331" s="159">
        <f t="shared" si="47"/>
        <v>7.28</v>
      </c>
      <c r="J331" s="207">
        <f>'SAN LUONG'!AT328</f>
        <v>0</v>
      </c>
      <c r="K331" s="159">
        <f t="shared" si="46"/>
        <v>0</v>
      </c>
      <c r="L331" s="207"/>
      <c r="M331" s="159">
        <f t="shared" si="55"/>
        <v>0</v>
      </c>
      <c r="N331" s="208">
        <f>'CHAM CONG'!AR327</f>
        <v>1</v>
      </c>
      <c r="O331" s="159">
        <f t="shared" si="49"/>
        <v>0.53</v>
      </c>
      <c r="P331" s="207">
        <f>'CHAM CONG'!AQ327</f>
        <v>13</v>
      </c>
      <c r="Q331" s="159">
        <f t="shared" si="50"/>
        <v>6.51</v>
      </c>
      <c r="R331" s="159">
        <f t="shared" si="54"/>
        <v>13</v>
      </c>
      <c r="S331" s="159">
        <f t="shared" si="51"/>
        <v>0.41</v>
      </c>
      <c r="T331" s="159"/>
      <c r="U331" s="159"/>
      <c r="V331" s="159"/>
      <c r="W331" s="159"/>
      <c r="X331" s="159">
        <f t="shared" si="52"/>
        <v>14.729999999999999</v>
      </c>
      <c r="Y331" s="209"/>
      <c r="Z331" s="210" t="s">
        <v>923</v>
      </c>
      <c r="AA331" s="202">
        <v>14.73</v>
      </c>
      <c r="AB331" s="203">
        <f t="shared" si="53"/>
        <v>0</v>
      </c>
      <c r="AC331" s="124">
        <v>0.01</v>
      </c>
    </row>
    <row r="332" spans="1:29" s="124" customFormat="1" ht="30.6" customHeight="1">
      <c r="A332" s="211">
        <v>317</v>
      </c>
      <c r="B332" s="204"/>
      <c r="C332" s="204"/>
      <c r="D332" s="205"/>
      <c r="E332" s="155" t="str">
        <f>'Tên Tháng 1'!E320</f>
        <v>ញ៉ិប អេន</v>
      </c>
      <c r="F332" s="157" t="str">
        <f>'Tên Tháng 1'!F320</f>
        <v>NHIB EN</v>
      </c>
      <c r="G332" s="206">
        <v>356</v>
      </c>
      <c r="H332" s="207">
        <f>'SAN LUONG'!AS329</f>
        <v>593.12</v>
      </c>
      <c r="I332" s="159">
        <f t="shared" si="47"/>
        <v>8.4499999999999993</v>
      </c>
      <c r="J332" s="207">
        <f>'SAN LUONG'!AT329</f>
        <v>0</v>
      </c>
      <c r="K332" s="159">
        <f t="shared" si="46"/>
        <v>0</v>
      </c>
      <c r="L332" s="207"/>
      <c r="M332" s="159">
        <f t="shared" si="55"/>
        <v>0</v>
      </c>
      <c r="N332" s="208">
        <f>'CHAM CONG'!AR328</f>
        <v>2</v>
      </c>
      <c r="O332" s="159">
        <f t="shared" si="49"/>
        <v>1.06</v>
      </c>
      <c r="P332" s="207">
        <f>'CHAM CONG'!AQ328</f>
        <v>13</v>
      </c>
      <c r="Q332" s="159">
        <f t="shared" si="50"/>
        <v>6.51</v>
      </c>
      <c r="R332" s="159">
        <f t="shared" si="54"/>
        <v>13</v>
      </c>
      <c r="S332" s="159">
        <f t="shared" si="51"/>
        <v>0.41</v>
      </c>
      <c r="T332" s="159"/>
      <c r="U332" s="159"/>
      <c r="V332" s="159"/>
      <c r="W332" s="159"/>
      <c r="X332" s="159">
        <f t="shared" si="52"/>
        <v>16.43</v>
      </c>
      <c r="Y332" s="209"/>
      <c r="Z332" s="210" t="s">
        <v>923</v>
      </c>
      <c r="AA332" s="202">
        <v>16.43</v>
      </c>
      <c r="AB332" s="203">
        <f t="shared" si="53"/>
        <v>0</v>
      </c>
      <c r="AC332" s="124">
        <v>0.04</v>
      </c>
    </row>
    <row r="333" spans="1:29" s="124" customFormat="1" ht="30.6" customHeight="1">
      <c r="A333" s="154">
        <v>318</v>
      </c>
      <c r="B333" s="204"/>
      <c r="C333" s="204"/>
      <c r="D333" s="205"/>
      <c r="E333" s="155" t="str">
        <f>'Tên Tháng 1'!E321</f>
        <v>ងិន យុត</v>
      </c>
      <c r="F333" s="157" t="str">
        <f>'Tên Tháng 1'!F321</f>
        <v>NGIN YUT</v>
      </c>
      <c r="G333" s="206">
        <v>357</v>
      </c>
      <c r="H333" s="207">
        <f>'SAN LUONG'!AS330</f>
        <v>643.72</v>
      </c>
      <c r="I333" s="159">
        <f t="shared" si="47"/>
        <v>9.17</v>
      </c>
      <c r="J333" s="207">
        <f>'SAN LUONG'!AT330</f>
        <v>0</v>
      </c>
      <c r="K333" s="159">
        <f t="shared" si="46"/>
        <v>0</v>
      </c>
      <c r="L333" s="207"/>
      <c r="M333" s="159">
        <f t="shared" si="55"/>
        <v>0</v>
      </c>
      <c r="N333" s="208">
        <f>'CHAM CONG'!AR329</f>
        <v>2</v>
      </c>
      <c r="O333" s="159">
        <f t="shared" si="49"/>
        <v>1.06</v>
      </c>
      <c r="P333" s="207">
        <f>'CHAM CONG'!AQ329</f>
        <v>14</v>
      </c>
      <c r="Q333" s="159">
        <f t="shared" si="50"/>
        <v>7.01</v>
      </c>
      <c r="R333" s="159">
        <f t="shared" si="54"/>
        <v>14</v>
      </c>
      <c r="S333" s="159">
        <f t="shared" si="51"/>
        <v>0.44</v>
      </c>
      <c r="T333" s="159"/>
      <c r="U333" s="159"/>
      <c r="V333" s="159"/>
      <c r="W333" s="159"/>
      <c r="X333" s="159">
        <f t="shared" si="52"/>
        <v>17.68</v>
      </c>
      <c r="Y333" s="209"/>
      <c r="Z333" s="210" t="s">
        <v>923</v>
      </c>
      <c r="AA333" s="202">
        <v>17.68</v>
      </c>
      <c r="AB333" s="203">
        <f t="shared" si="53"/>
        <v>0</v>
      </c>
      <c r="AC333" s="124">
        <v>0.04</v>
      </c>
    </row>
    <row r="334" spans="1:29" s="124" customFormat="1" ht="30.6" customHeight="1">
      <c r="A334" s="211">
        <v>319</v>
      </c>
      <c r="B334" s="204"/>
      <c r="C334" s="204"/>
      <c r="D334" s="205"/>
      <c r="E334" s="155" t="str">
        <f>'Tên Tháng 1'!E322</f>
        <v>ឃួន ឃីម</v>
      </c>
      <c r="F334" s="157" t="str">
        <f>'Tên Tháng 1'!F322</f>
        <v>KHOUN KHIM</v>
      </c>
      <c r="G334" s="206">
        <v>358</v>
      </c>
      <c r="H334" s="207">
        <f>'SAN LUONG'!AS331</f>
        <v>722.92</v>
      </c>
      <c r="I334" s="159">
        <f t="shared" si="47"/>
        <v>10.3</v>
      </c>
      <c r="J334" s="207">
        <f>'SAN LUONG'!AT331</f>
        <v>0</v>
      </c>
      <c r="K334" s="159">
        <f t="shared" si="46"/>
        <v>0</v>
      </c>
      <c r="L334" s="207"/>
      <c r="M334" s="159">
        <f t="shared" si="55"/>
        <v>0</v>
      </c>
      <c r="N334" s="208">
        <f>'CHAM CONG'!AR330</f>
        <v>2</v>
      </c>
      <c r="O334" s="159">
        <f t="shared" si="49"/>
        <v>1.06</v>
      </c>
      <c r="P334" s="207">
        <f>'CHAM CONG'!AQ330</f>
        <v>15</v>
      </c>
      <c r="Q334" s="159">
        <f t="shared" si="50"/>
        <v>7.51</v>
      </c>
      <c r="R334" s="159">
        <f t="shared" si="54"/>
        <v>15</v>
      </c>
      <c r="S334" s="159">
        <f t="shared" si="51"/>
        <v>0.47</v>
      </c>
      <c r="T334" s="159"/>
      <c r="U334" s="159"/>
      <c r="V334" s="159"/>
      <c r="W334" s="159"/>
      <c r="X334" s="159">
        <f t="shared" si="52"/>
        <v>19.34</v>
      </c>
      <c r="Y334" s="209"/>
      <c r="Z334" s="210" t="s">
        <v>923</v>
      </c>
      <c r="AA334" s="202">
        <v>19.34</v>
      </c>
      <c r="AB334" s="203">
        <f t="shared" si="53"/>
        <v>0</v>
      </c>
      <c r="AC334" s="124">
        <v>0.04</v>
      </c>
    </row>
    <row r="335" spans="1:29" s="124" customFormat="1" ht="30.6" customHeight="1">
      <c r="A335" s="154">
        <v>320</v>
      </c>
      <c r="B335" s="204"/>
      <c r="C335" s="204"/>
      <c r="D335" s="205"/>
      <c r="E335" s="155" t="str">
        <f>'Tên Tháng 1'!E323</f>
        <v>រីម យ៉ុម</v>
      </c>
      <c r="F335" s="157" t="str">
        <f>'Tên Tháng 1'!F323</f>
        <v>RIM YOM</v>
      </c>
      <c r="G335" s="206">
        <v>359</v>
      </c>
      <c r="H335" s="207">
        <f>'SAN LUONG'!AS332</f>
        <v>505.56</v>
      </c>
      <c r="I335" s="159">
        <f t="shared" si="47"/>
        <v>7.2</v>
      </c>
      <c r="J335" s="207">
        <f>'SAN LUONG'!AT332</f>
        <v>0</v>
      </c>
      <c r="K335" s="159">
        <f t="shared" si="46"/>
        <v>0</v>
      </c>
      <c r="L335" s="207"/>
      <c r="M335" s="159">
        <f t="shared" si="55"/>
        <v>0</v>
      </c>
      <c r="N335" s="208">
        <f>'CHAM CONG'!AR331</f>
        <v>1</v>
      </c>
      <c r="O335" s="159">
        <f t="shared" si="49"/>
        <v>0.53</v>
      </c>
      <c r="P335" s="207">
        <f>'CHAM CONG'!AQ331</f>
        <v>12</v>
      </c>
      <c r="Q335" s="159">
        <f t="shared" si="50"/>
        <v>6.01</v>
      </c>
      <c r="R335" s="159">
        <f t="shared" si="54"/>
        <v>12</v>
      </c>
      <c r="S335" s="159">
        <f t="shared" si="51"/>
        <v>0.38</v>
      </c>
      <c r="T335" s="159"/>
      <c r="U335" s="159"/>
      <c r="V335" s="159"/>
      <c r="W335" s="159"/>
      <c r="X335" s="159">
        <f t="shared" si="52"/>
        <v>14.120000000000001</v>
      </c>
      <c r="Y335" s="209"/>
      <c r="Z335" s="210" t="s">
        <v>923</v>
      </c>
      <c r="AA335" s="202">
        <v>14.12</v>
      </c>
      <c r="AB335" s="203">
        <f t="shared" si="53"/>
        <v>0</v>
      </c>
      <c r="AC335" s="124">
        <v>0.04</v>
      </c>
    </row>
    <row r="336" spans="1:29" s="124" customFormat="1" ht="30.6" customHeight="1">
      <c r="A336" s="211">
        <v>321</v>
      </c>
      <c r="B336" s="204"/>
      <c r="C336" s="204"/>
      <c r="D336" s="205"/>
      <c r="E336" s="155" t="str">
        <f>'Tên Tháng 1'!E324</f>
        <v>ហឿន សារ៉េ</v>
      </c>
      <c r="F336" s="157" t="str">
        <f>'Tên Tháng 1'!F324</f>
        <v>HOEUN SAREN</v>
      </c>
      <c r="G336" s="206">
        <v>360</v>
      </c>
      <c r="H336" s="207">
        <f>'SAN LUONG'!AS333</f>
        <v>435.16</v>
      </c>
      <c r="I336" s="159">
        <f t="shared" si="47"/>
        <v>6.2</v>
      </c>
      <c r="J336" s="207">
        <f>'SAN LUONG'!AT333</f>
        <v>0</v>
      </c>
      <c r="K336" s="159">
        <f t="shared" ref="K336:K399" si="56">ROUND(J336*$K$14/31947,2)</f>
        <v>0</v>
      </c>
      <c r="L336" s="207"/>
      <c r="M336" s="159">
        <f t="shared" si="55"/>
        <v>0</v>
      </c>
      <c r="N336" s="208">
        <f>'CHAM CONG'!AR332</f>
        <v>1</v>
      </c>
      <c r="O336" s="159">
        <f t="shared" si="49"/>
        <v>0.53</v>
      </c>
      <c r="P336" s="207">
        <f>'CHAM CONG'!AQ332</f>
        <v>13</v>
      </c>
      <c r="Q336" s="159">
        <f t="shared" si="50"/>
        <v>6.51</v>
      </c>
      <c r="R336" s="159">
        <f t="shared" si="54"/>
        <v>13</v>
      </c>
      <c r="S336" s="159">
        <f t="shared" si="51"/>
        <v>0.41</v>
      </c>
      <c r="T336" s="159"/>
      <c r="U336" s="159"/>
      <c r="V336" s="159"/>
      <c r="W336" s="159"/>
      <c r="X336" s="159">
        <f t="shared" si="52"/>
        <v>13.65</v>
      </c>
      <c r="Y336" s="209"/>
      <c r="Z336" s="210" t="s">
        <v>923</v>
      </c>
      <c r="AA336" s="202">
        <v>13.65</v>
      </c>
      <c r="AB336" s="203">
        <f t="shared" si="53"/>
        <v>0</v>
      </c>
      <c r="AC336" s="124">
        <v>0.04</v>
      </c>
    </row>
    <row r="337" spans="1:29" s="124" customFormat="1" ht="30.6" customHeight="1">
      <c r="A337" s="154">
        <v>322</v>
      </c>
      <c r="B337" s="204"/>
      <c r="C337" s="204"/>
      <c r="D337" s="205"/>
      <c r="E337" s="155" t="str">
        <f>'Tên Tháng 1'!E325</f>
        <v>វន តាត</v>
      </c>
      <c r="F337" s="157" t="str">
        <f>'Tên Tháng 1'!F325</f>
        <v>VON TATH</v>
      </c>
      <c r="G337" s="206">
        <v>361</v>
      </c>
      <c r="H337" s="207">
        <f>'SAN LUONG'!AS334</f>
        <v>462</v>
      </c>
      <c r="I337" s="159">
        <f t="shared" ref="I337:I400" si="57">ROUND(H337*$I$14/31947,2)</f>
        <v>6.58</v>
      </c>
      <c r="J337" s="207">
        <f>'SAN LUONG'!AT334</f>
        <v>0</v>
      </c>
      <c r="K337" s="159">
        <f t="shared" si="56"/>
        <v>0</v>
      </c>
      <c r="L337" s="207"/>
      <c r="M337" s="159">
        <f t="shared" ref="M337:M400" si="58">ROUND(L337*$M$14/31947,2)</f>
        <v>0</v>
      </c>
      <c r="N337" s="208">
        <f>'CHAM CONG'!AR333</f>
        <v>1</v>
      </c>
      <c r="O337" s="159">
        <f t="shared" ref="O337:O356" si="59">ROUND(N337*$O$14/31947,2)</f>
        <v>0.53</v>
      </c>
      <c r="P337" s="207">
        <f>'CHAM CONG'!AQ333</f>
        <v>13</v>
      </c>
      <c r="Q337" s="159">
        <f t="shared" ref="Q337:Q400" si="60">ROUND(P337*$Q$14/31947,2)</f>
        <v>6.51</v>
      </c>
      <c r="R337" s="159">
        <f t="shared" si="54"/>
        <v>13</v>
      </c>
      <c r="S337" s="159">
        <f t="shared" ref="S337:S400" si="61">ROUND(R337*$S$14/31947,2)</f>
        <v>0.41</v>
      </c>
      <c r="T337" s="159"/>
      <c r="U337" s="159"/>
      <c r="V337" s="159"/>
      <c r="W337" s="159"/>
      <c r="X337" s="159">
        <f t="shared" ref="X337:X400" si="62">I337+K337+M337+Q337+S337+O337</f>
        <v>14.03</v>
      </c>
      <c r="Y337" s="209"/>
      <c r="Z337" s="210" t="s">
        <v>923</v>
      </c>
      <c r="AA337" s="202">
        <v>14.03</v>
      </c>
      <c r="AB337" s="203">
        <f t="shared" ref="AB337:AB400" si="63">ROUND(AA337-X337,2)</f>
        <v>0</v>
      </c>
      <c r="AC337" s="124">
        <v>0.04</v>
      </c>
    </row>
    <row r="338" spans="1:29" s="124" customFormat="1" ht="30.6" customHeight="1">
      <c r="A338" s="211">
        <v>323</v>
      </c>
      <c r="B338" s="204"/>
      <c r="C338" s="204"/>
      <c r="D338" s="205"/>
      <c r="E338" s="155" t="str">
        <f>'Tên Tháng 1'!E326</f>
        <v>គួន រ៉ាល់</v>
      </c>
      <c r="F338" s="157" t="str">
        <f>'Tên Tháng 1'!F326</f>
        <v>KUON RAL</v>
      </c>
      <c r="G338" s="206">
        <v>362</v>
      </c>
      <c r="H338" s="207">
        <f>'SAN LUONG'!AS335</f>
        <v>114.84</v>
      </c>
      <c r="I338" s="159">
        <f t="shared" si="57"/>
        <v>1.64</v>
      </c>
      <c r="J338" s="207">
        <f>'SAN LUONG'!AT335</f>
        <v>0</v>
      </c>
      <c r="K338" s="159">
        <f t="shared" si="56"/>
        <v>0</v>
      </c>
      <c r="L338" s="207"/>
      <c r="M338" s="159">
        <f t="shared" si="58"/>
        <v>0</v>
      </c>
      <c r="N338" s="208">
        <f>'CHAM CONG'!AR334</f>
        <v>1</v>
      </c>
      <c r="O338" s="159">
        <f t="shared" si="59"/>
        <v>0.53</v>
      </c>
      <c r="P338" s="207">
        <f>'CHAM CONG'!AQ334</f>
        <v>10</v>
      </c>
      <c r="Q338" s="159">
        <f t="shared" si="60"/>
        <v>5.01</v>
      </c>
      <c r="R338" s="159">
        <f t="shared" ref="R338:R401" si="64">P338</f>
        <v>10</v>
      </c>
      <c r="S338" s="159">
        <f t="shared" si="61"/>
        <v>0.31</v>
      </c>
      <c r="T338" s="159"/>
      <c r="U338" s="159"/>
      <c r="V338" s="159"/>
      <c r="W338" s="159"/>
      <c r="X338" s="159">
        <f t="shared" si="62"/>
        <v>7.4899999999999993</v>
      </c>
      <c r="Y338" s="209"/>
      <c r="Z338" s="210" t="s">
        <v>923</v>
      </c>
      <c r="AA338" s="202">
        <v>7.49</v>
      </c>
      <c r="AB338" s="203">
        <f t="shared" si="63"/>
        <v>0</v>
      </c>
      <c r="AC338" s="124">
        <v>0.04</v>
      </c>
    </row>
    <row r="339" spans="1:29" s="124" customFormat="1" ht="30.6" customHeight="1">
      <c r="A339" s="154">
        <v>324</v>
      </c>
      <c r="B339" s="204"/>
      <c r="C339" s="204"/>
      <c r="D339" s="205"/>
      <c r="E339" s="155" t="str">
        <f>'Tên Tháng 1'!E327</f>
        <v>ឃុន ស៊ីសា</v>
      </c>
      <c r="F339" s="157" t="str">
        <f>'Tên Tháng 1'!F327</f>
        <v>KHOUNSY SA</v>
      </c>
      <c r="G339" s="206">
        <v>363</v>
      </c>
      <c r="H339" s="207">
        <f>'SAN LUONG'!AS336</f>
        <v>396.88</v>
      </c>
      <c r="I339" s="159">
        <f t="shared" si="57"/>
        <v>5.65</v>
      </c>
      <c r="J339" s="207">
        <f>'SAN LUONG'!AT336</f>
        <v>76.12</v>
      </c>
      <c r="K339" s="159">
        <f t="shared" si="56"/>
        <v>1.2</v>
      </c>
      <c r="L339" s="207"/>
      <c r="M339" s="159">
        <f t="shared" si="58"/>
        <v>0</v>
      </c>
      <c r="N339" s="208">
        <f>'CHAM CONG'!AR335</f>
        <v>0</v>
      </c>
      <c r="O339" s="159">
        <f t="shared" si="59"/>
        <v>0</v>
      </c>
      <c r="P339" s="207">
        <f>'CHAM CONG'!AQ335</f>
        <v>13</v>
      </c>
      <c r="Q339" s="159">
        <f t="shared" si="60"/>
        <v>6.51</v>
      </c>
      <c r="R339" s="159">
        <f t="shared" si="64"/>
        <v>13</v>
      </c>
      <c r="S339" s="159">
        <f t="shared" si="61"/>
        <v>0.41</v>
      </c>
      <c r="T339" s="159"/>
      <c r="U339" s="159"/>
      <c r="V339" s="159"/>
      <c r="W339" s="159"/>
      <c r="X339" s="159">
        <f t="shared" si="62"/>
        <v>13.77</v>
      </c>
      <c r="Y339" s="209"/>
      <c r="Z339" s="210" t="s">
        <v>923</v>
      </c>
      <c r="AA339" s="202">
        <v>13.77</v>
      </c>
      <c r="AB339" s="203">
        <f t="shared" si="63"/>
        <v>0</v>
      </c>
      <c r="AC339" s="124">
        <v>0.04</v>
      </c>
    </row>
    <row r="340" spans="1:29" s="124" customFormat="1" ht="30.6" customHeight="1">
      <c r="A340" s="211">
        <v>325</v>
      </c>
      <c r="B340" s="204"/>
      <c r="C340" s="204"/>
      <c r="D340" s="205"/>
      <c r="E340" s="155" t="str">
        <f>'Tên Tháng 1'!E328</f>
        <v>អៀម យ៉េន</v>
      </c>
      <c r="F340" s="157" t="str">
        <f>'Tên Tháng 1'!F328</f>
        <v>EAM YEN</v>
      </c>
      <c r="G340" s="206">
        <v>364</v>
      </c>
      <c r="H340" s="207">
        <f>'SAN LUONG'!AS337</f>
        <v>332.64</v>
      </c>
      <c r="I340" s="159">
        <f t="shared" si="57"/>
        <v>4.74</v>
      </c>
      <c r="J340" s="207">
        <f>'SAN LUONG'!AT337</f>
        <v>55.44</v>
      </c>
      <c r="K340" s="159">
        <f t="shared" si="56"/>
        <v>0.88</v>
      </c>
      <c r="L340" s="207"/>
      <c r="M340" s="159">
        <f t="shared" si="58"/>
        <v>0</v>
      </c>
      <c r="N340" s="208">
        <f>'CHAM CONG'!AR336</f>
        <v>0</v>
      </c>
      <c r="O340" s="159">
        <f t="shared" si="59"/>
        <v>0</v>
      </c>
      <c r="P340" s="207">
        <f>'CHAM CONG'!AQ336</f>
        <v>13</v>
      </c>
      <c r="Q340" s="159">
        <f t="shared" si="60"/>
        <v>6.51</v>
      </c>
      <c r="R340" s="159">
        <f t="shared" si="64"/>
        <v>13</v>
      </c>
      <c r="S340" s="159">
        <f t="shared" si="61"/>
        <v>0.41</v>
      </c>
      <c r="T340" s="159"/>
      <c r="U340" s="159"/>
      <c r="V340" s="159"/>
      <c r="W340" s="159"/>
      <c r="X340" s="159">
        <f t="shared" si="62"/>
        <v>12.54</v>
      </c>
      <c r="Y340" s="209"/>
      <c r="Z340" s="210" t="s">
        <v>923</v>
      </c>
      <c r="AA340" s="202">
        <v>12.53</v>
      </c>
      <c r="AB340" s="203">
        <f t="shared" si="63"/>
        <v>-0.01</v>
      </c>
      <c r="AC340" s="124">
        <v>0.03</v>
      </c>
    </row>
    <row r="341" spans="1:29" s="124" customFormat="1" ht="30.6" customHeight="1">
      <c r="A341" s="154">
        <v>326</v>
      </c>
      <c r="B341" s="204"/>
      <c r="C341" s="204"/>
      <c r="D341" s="205"/>
      <c r="E341" s="155" t="str">
        <f>'Tên Tháng 1'!E329</f>
        <v>លាន ស៊ីដា</v>
      </c>
      <c r="F341" s="157" t="str">
        <f>'Tên Tháng 1'!F329</f>
        <v>LEAN SIDA</v>
      </c>
      <c r="G341" s="206">
        <v>365</v>
      </c>
      <c r="H341" s="207">
        <f>'SAN LUONG'!AS338</f>
        <v>480.48</v>
      </c>
      <c r="I341" s="159">
        <f t="shared" si="57"/>
        <v>6.84</v>
      </c>
      <c r="J341" s="207">
        <f>'SAN LUONG'!AT338</f>
        <v>105.6</v>
      </c>
      <c r="K341" s="159">
        <f t="shared" si="56"/>
        <v>1.67</v>
      </c>
      <c r="L341" s="207"/>
      <c r="M341" s="159">
        <f t="shared" si="58"/>
        <v>0</v>
      </c>
      <c r="N341" s="208">
        <f>'CHAM CONG'!AR337</f>
        <v>2</v>
      </c>
      <c r="O341" s="159">
        <f t="shared" si="59"/>
        <v>1.06</v>
      </c>
      <c r="P341" s="207">
        <f>'CHAM CONG'!AQ337</f>
        <v>15</v>
      </c>
      <c r="Q341" s="159">
        <f t="shared" si="60"/>
        <v>7.51</v>
      </c>
      <c r="R341" s="159">
        <f t="shared" si="64"/>
        <v>15</v>
      </c>
      <c r="S341" s="159">
        <f t="shared" si="61"/>
        <v>0.47</v>
      </c>
      <c r="T341" s="159"/>
      <c r="U341" s="159"/>
      <c r="V341" s="159"/>
      <c r="W341" s="159"/>
      <c r="X341" s="159">
        <f t="shared" si="62"/>
        <v>17.549999999999997</v>
      </c>
      <c r="Y341" s="209"/>
      <c r="Z341" s="210" t="s">
        <v>923</v>
      </c>
      <c r="AA341" s="202">
        <v>17.559999999999999</v>
      </c>
      <c r="AB341" s="203">
        <f t="shared" si="63"/>
        <v>0.01</v>
      </c>
      <c r="AC341" s="124">
        <v>0.05</v>
      </c>
    </row>
    <row r="342" spans="1:29" s="124" customFormat="1" ht="30.6" customHeight="1">
      <c r="A342" s="211">
        <v>327</v>
      </c>
      <c r="B342" s="204"/>
      <c r="C342" s="204"/>
      <c r="D342" s="205"/>
      <c r="E342" s="155" t="str">
        <f>'Tên Tháng 1'!E330</f>
        <v>គីន ធី</v>
      </c>
      <c r="F342" s="157" t="str">
        <f>'Tên Tháng 1'!F330</f>
        <v>KIN THY</v>
      </c>
      <c r="G342" s="206">
        <v>366</v>
      </c>
      <c r="H342" s="207">
        <f>'SAN LUONG'!AS339</f>
        <v>421.52</v>
      </c>
      <c r="I342" s="159">
        <f t="shared" si="57"/>
        <v>6</v>
      </c>
      <c r="J342" s="207">
        <f>'SAN LUONG'!AT339</f>
        <v>110.88</v>
      </c>
      <c r="K342" s="159">
        <f t="shared" si="56"/>
        <v>1.75</v>
      </c>
      <c r="L342" s="207"/>
      <c r="M342" s="159">
        <f t="shared" si="58"/>
        <v>0</v>
      </c>
      <c r="N342" s="208">
        <f>'CHAM CONG'!AR338</f>
        <v>2</v>
      </c>
      <c r="O342" s="159">
        <f t="shared" si="59"/>
        <v>1.06</v>
      </c>
      <c r="P342" s="207">
        <f>'CHAM CONG'!AQ338</f>
        <v>13</v>
      </c>
      <c r="Q342" s="159">
        <f t="shared" si="60"/>
        <v>6.51</v>
      </c>
      <c r="R342" s="159">
        <f t="shared" si="64"/>
        <v>13</v>
      </c>
      <c r="S342" s="159">
        <f t="shared" si="61"/>
        <v>0.41</v>
      </c>
      <c r="T342" s="159"/>
      <c r="U342" s="159"/>
      <c r="V342" s="159"/>
      <c r="W342" s="159"/>
      <c r="X342" s="159">
        <f t="shared" si="62"/>
        <v>15.73</v>
      </c>
      <c r="Y342" s="209"/>
      <c r="Z342" s="210" t="s">
        <v>923</v>
      </c>
      <c r="AA342" s="202">
        <v>15.74</v>
      </c>
      <c r="AB342" s="203">
        <f t="shared" si="63"/>
        <v>0.01</v>
      </c>
      <c r="AC342" s="124">
        <v>0.04</v>
      </c>
    </row>
    <row r="343" spans="1:29" s="124" customFormat="1" ht="30.6" customHeight="1">
      <c r="A343" s="154">
        <v>328</v>
      </c>
      <c r="B343" s="204"/>
      <c r="C343" s="204"/>
      <c r="D343" s="205"/>
      <c r="E343" s="155" t="str">
        <f>'Tên Tháng 1'!E331</f>
        <v>ខ្វាន់ ឡាត់</v>
      </c>
      <c r="F343" s="157" t="str">
        <f>'Tên Tháng 1'!F331</f>
        <v>KHVAN LATH</v>
      </c>
      <c r="G343" s="206">
        <v>367</v>
      </c>
      <c r="H343" s="207">
        <f>'SAN LUONG'!AS340</f>
        <v>471.68</v>
      </c>
      <c r="I343" s="159">
        <f t="shared" si="57"/>
        <v>6.72</v>
      </c>
      <c r="J343" s="207">
        <f>'SAN LUONG'!AT340</f>
        <v>117.04</v>
      </c>
      <c r="K343" s="159">
        <f t="shared" si="56"/>
        <v>1.85</v>
      </c>
      <c r="L343" s="207"/>
      <c r="M343" s="159">
        <f t="shared" si="58"/>
        <v>0</v>
      </c>
      <c r="N343" s="208">
        <f>'CHAM CONG'!AR339</f>
        <v>2</v>
      </c>
      <c r="O343" s="159">
        <f t="shared" si="59"/>
        <v>1.06</v>
      </c>
      <c r="P343" s="207">
        <f>'CHAM CONG'!AQ339</f>
        <v>14</v>
      </c>
      <c r="Q343" s="159">
        <f t="shared" si="60"/>
        <v>7.01</v>
      </c>
      <c r="R343" s="159">
        <f t="shared" si="64"/>
        <v>14</v>
      </c>
      <c r="S343" s="159">
        <f t="shared" si="61"/>
        <v>0.44</v>
      </c>
      <c r="T343" s="159"/>
      <c r="U343" s="159"/>
      <c r="V343" s="159"/>
      <c r="W343" s="159"/>
      <c r="X343" s="159">
        <f t="shared" si="62"/>
        <v>17.079999999999998</v>
      </c>
      <c r="Y343" s="209"/>
      <c r="Z343" s="210" t="s">
        <v>923</v>
      </c>
      <c r="AA343" s="202">
        <v>17.079999999999998</v>
      </c>
      <c r="AB343" s="203">
        <f t="shared" si="63"/>
        <v>0</v>
      </c>
      <c r="AC343" s="124">
        <v>0.05</v>
      </c>
    </row>
    <row r="344" spans="1:29" s="124" customFormat="1" ht="30.6" customHeight="1">
      <c r="A344" s="211">
        <v>329</v>
      </c>
      <c r="B344" s="204"/>
      <c r="C344" s="204"/>
      <c r="D344" s="205"/>
      <c r="E344" s="155" t="str">
        <f>'Tên Tháng 1'!E332</f>
        <v>ងី វីន</v>
      </c>
      <c r="F344" s="157" t="str">
        <f>'Tên Tháng 1'!F332</f>
        <v>NGY VIN</v>
      </c>
      <c r="G344" s="206">
        <v>368</v>
      </c>
      <c r="H344" s="207">
        <f>'SAN LUONG'!AS341</f>
        <v>406.56</v>
      </c>
      <c r="I344" s="159">
        <f t="shared" si="57"/>
        <v>5.79</v>
      </c>
      <c r="J344" s="207">
        <f>'SAN LUONG'!AT341</f>
        <v>88</v>
      </c>
      <c r="K344" s="159">
        <f t="shared" si="56"/>
        <v>1.39</v>
      </c>
      <c r="L344" s="207"/>
      <c r="M344" s="159">
        <f t="shared" si="58"/>
        <v>0</v>
      </c>
      <c r="N344" s="208">
        <f>'CHAM CONG'!AR340</f>
        <v>2</v>
      </c>
      <c r="O344" s="159">
        <f t="shared" si="59"/>
        <v>1.06</v>
      </c>
      <c r="P344" s="207">
        <f>'CHAM CONG'!AQ340</f>
        <v>14</v>
      </c>
      <c r="Q344" s="159">
        <f t="shared" si="60"/>
        <v>7.01</v>
      </c>
      <c r="R344" s="159">
        <f t="shared" si="64"/>
        <v>14</v>
      </c>
      <c r="S344" s="159">
        <f t="shared" si="61"/>
        <v>0.44</v>
      </c>
      <c r="T344" s="159"/>
      <c r="U344" s="159"/>
      <c r="V344" s="159"/>
      <c r="W344" s="159"/>
      <c r="X344" s="159">
        <f t="shared" si="62"/>
        <v>15.69</v>
      </c>
      <c r="Y344" s="209"/>
      <c r="Z344" s="210" t="s">
        <v>923</v>
      </c>
      <c r="AA344" s="202">
        <v>15.7</v>
      </c>
      <c r="AB344" s="203">
        <f t="shared" si="63"/>
        <v>0.01</v>
      </c>
      <c r="AC344" s="124">
        <v>0.03</v>
      </c>
    </row>
    <row r="345" spans="1:29" s="124" customFormat="1" ht="30.6" customHeight="1">
      <c r="A345" s="154">
        <v>330</v>
      </c>
      <c r="B345" s="204"/>
      <c r="C345" s="204"/>
      <c r="D345" s="205"/>
      <c r="E345" s="155" t="str">
        <f>'Tên Tháng 1'!E333</f>
        <v>ឆេង ផល្លា</v>
      </c>
      <c r="F345" s="157" t="str">
        <f>'Tên Tháng 1'!F333</f>
        <v>CHHENG PHALLA</v>
      </c>
      <c r="G345" s="206">
        <v>369</v>
      </c>
      <c r="H345" s="207">
        <f>'SAN LUONG'!AS342</f>
        <v>362.12</v>
      </c>
      <c r="I345" s="159">
        <f t="shared" si="57"/>
        <v>5.16</v>
      </c>
      <c r="J345" s="207">
        <f>'SAN LUONG'!AT342</f>
        <v>77.88</v>
      </c>
      <c r="K345" s="159">
        <f t="shared" si="56"/>
        <v>1.23</v>
      </c>
      <c r="L345" s="207"/>
      <c r="M345" s="159">
        <f t="shared" si="58"/>
        <v>0</v>
      </c>
      <c r="N345" s="208">
        <f>'CHAM CONG'!AR341</f>
        <v>1</v>
      </c>
      <c r="O345" s="159">
        <f t="shared" si="59"/>
        <v>0.53</v>
      </c>
      <c r="P345" s="207">
        <f>'CHAM CONG'!AQ341</f>
        <v>13</v>
      </c>
      <c r="Q345" s="159">
        <f t="shared" si="60"/>
        <v>6.51</v>
      </c>
      <c r="R345" s="159">
        <f t="shared" si="64"/>
        <v>13</v>
      </c>
      <c r="S345" s="159">
        <f t="shared" si="61"/>
        <v>0.41</v>
      </c>
      <c r="T345" s="159"/>
      <c r="U345" s="159"/>
      <c r="V345" s="159"/>
      <c r="W345" s="159"/>
      <c r="X345" s="159">
        <f t="shared" si="62"/>
        <v>13.84</v>
      </c>
      <c r="Y345" s="209"/>
      <c r="Z345" s="210" t="s">
        <v>923</v>
      </c>
      <c r="AA345" s="202">
        <v>13.84</v>
      </c>
      <c r="AB345" s="203">
        <f t="shared" si="63"/>
        <v>0</v>
      </c>
      <c r="AC345" s="124">
        <v>0</v>
      </c>
    </row>
    <row r="346" spans="1:29" s="124" customFormat="1" ht="30.6" customHeight="1">
      <c r="A346" s="211">
        <v>331</v>
      </c>
      <c r="B346" s="204"/>
      <c r="C346" s="204"/>
      <c r="D346" s="205"/>
      <c r="E346" s="155" t="str">
        <f>'Tên Tháng 1'!E334</f>
        <v>ហោន វាសនា</v>
      </c>
      <c r="F346" s="157" t="str">
        <f>'Tên Tháng 1'!F334</f>
        <v>HORN VEASNA</v>
      </c>
      <c r="G346" s="206">
        <v>370</v>
      </c>
      <c r="H346" s="207">
        <f>'SAN LUONG'!AS343</f>
        <v>341.88</v>
      </c>
      <c r="I346" s="159">
        <f t="shared" si="57"/>
        <v>4.87</v>
      </c>
      <c r="J346" s="207">
        <f>'SAN LUONG'!AT343</f>
        <v>91.08</v>
      </c>
      <c r="K346" s="159">
        <f t="shared" si="56"/>
        <v>1.44</v>
      </c>
      <c r="L346" s="207"/>
      <c r="M346" s="159">
        <f t="shared" si="58"/>
        <v>0</v>
      </c>
      <c r="N346" s="208">
        <f>'CHAM CONG'!AR342</f>
        <v>2</v>
      </c>
      <c r="O346" s="159">
        <f t="shared" si="59"/>
        <v>1.06</v>
      </c>
      <c r="P346" s="207">
        <f>'CHAM CONG'!AQ342</f>
        <v>13</v>
      </c>
      <c r="Q346" s="159">
        <f t="shared" si="60"/>
        <v>6.51</v>
      </c>
      <c r="R346" s="159">
        <f t="shared" si="64"/>
        <v>13</v>
      </c>
      <c r="S346" s="159">
        <f t="shared" si="61"/>
        <v>0.41</v>
      </c>
      <c r="T346" s="159"/>
      <c r="U346" s="159"/>
      <c r="V346" s="159"/>
      <c r="W346" s="159"/>
      <c r="X346" s="159">
        <f t="shared" si="62"/>
        <v>14.290000000000001</v>
      </c>
      <c r="Y346" s="209"/>
      <c r="Z346" s="210" t="s">
        <v>923</v>
      </c>
      <c r="AA346" s="202">
        <v>14.29</v>
      </c>
      <c r="AB346" s="203">
        <f t="shared" si="63"/>
        <v>0</v>
      </c>
      <c r="AC346" s="124">
        <v>0.01</v>
      </c>
    </row>
    <row r="347" spans="1:29" s="124" customFormat="1" ht="30.6" customHeight="1">
      <c r="A347" s="154">
        <v>332</v>
      </c>
      <c r="B347" s="204"/>
      <c r="C347" s="204"/>
      <c r="D347" s="205"/>
      <c r="E347" s="155" t="str">
        <f>'Tên Tháng 1'!E335</f>
        <v>ឡាម ហេង</v>
      </c>
      <c r="F347" s="157" t="str">
        <f>'Tên Tháng 1'!F335</f>
        <v>LAM HENG</v>
      </c>
      <c r="G347" s="206">
        <v>371</v>
      </c>
      <c r="H347" s="207">
        <f>'SAN LUONG'!AS344</f>
        <v>272.8</v>
      </c>
      <c r="I347" s="159">
        <f t="shared" si="57"/>
        <v>3.89</v>
      </c>
      <c r="J347" s="207">
        <f>'SAN LUONG'!AT344</f>
        <v>62.04</v>
      </c>
      <c r="K347" s="159">
        <f t="shared" si="56"/>
        <v>0.98</v>
      </c>
      <c r="L347" s="207"/>
      <c r="M347" s="159">
        <f t="shared" si="58"/>
        <v>0</v>
      </c>
      <c r="N347" s="208">
        <f>'CHAM CONG'!AR343</f>
        <v>1</v>
      </c>
      <c r="O347" s="159">
        <f t="shared" si="59"/>
        <v>0.53</v>
      </c>
      <c r="P347" s="207">
        <f>'CHAM CONG'!AQ343</f>
        <v>12</v>
      </c>
      <c r="Q347" s="159">
        <f t="shared" si="60"/>
        <v>6.01</v>
      </c>
      <c r="R347" s="159">
        <f t="shared" si="64"/>
        <v>12</v>
      </c>
      <c r="S347" s="159">
        <f t="shared" si="61"/>
        <v>0.38</v>
      </c>
      <c r="T347" s="159"/>
      <c r="U347" s="159"/>
      <c r="V347" s="159"/>
      <c r="W347" s="159"/>
      <c r="X347" s="159">
        <f t="shared" si="62"/>
        <v>11.79</v>
      </c>
      <c r="Y347" s="209"/>
      <c r="Z347" s="210" t="s">
        <v>923</v>
      </c>
      <c r="AA347" s="202">
        <v>11.78</v>
      </c>
      <c r="AB347" s="203">
        <f t="shared" si="63"/>
        <v>-0.01</v>
      </c>
      <c r="AC347" s="124">
        <v>0.04</v>
      </c>
    </row>
    <row r="348" spans="1:29" s="124" customFormat="1" ht="30.6" customHeight="1">
      <c r="A348" s="211">
        <v>333</v>
      </c>
      <c r="B348" s="204"/>
      <c r="C348" s="204"/>
      <c r="D348" s="205"/>
      <c r="E348" s="155" t="str">
        <f>'Tên Tháng 1'!E336</f>
        <v>សឿន ចំរើន</v>
      </c>
      <c r="F348" s="157" t="str">
        <f>'Tên Tháng 1'!F336</f>
        <v>SOEUN CHAMRAEUN</v>
      </c>
      <c r="G348" s="206">
        <v>372</v>
      </c>
      <c r="H348" s="207">
        <f>'SAN LUONG'!AS345</f>
        <v>377.96</v>
      </c>
      <c r="I348" s="159">
        <f t="shared" si="57"/>
        <v>5.38</v>
      </c>
      <c r="J348" s="207">
        <f>'SAN LUONG'!AT345</f>
        <v>56.32</v>
      </c>
      <c r="K348" s="159">
        <f t="shared" si="56"/>
        <v>0.89</v>
      </c>
      <c r="L348" s="207"/>
      <c r="M348" s="159">
        <f t="shared" si="58"/>
        <v>0</v>
      </c>
      <c r="N348" s="208">
        <f>'CHAM CONG'!AR344</f>
        <v>1</v>
      </c>
      <c r="O348" s="159">
        <f t="shared" si="59"/>
        <v>0.53</v>
      </c>
      <c r="P348" s="207">
        <f>'CHAM CONG'!AQ344</f>
        <v>13</v>
      </c>
      <c r="Q348" s="159">
        <f t="shared" si="60"/>
        <v>6.51</v>
      </c>
      <c r="R348" s="159">
        <f t="shared" si="64"/>
        <v>13</v>
      </c>
      <c r="S348" s="159">
        <f t="shared" si="61"/>
        <v>0.41</v>
      </c>
      <c r="T348" s="159"/>
      <c r="U348" s="159"/>
      <c r="V348" s="159"/>
      <c r="W348" s="159"/>
      <c r="X348" s="159">
        <f t="shared" si="62"/>
        <v>13.719999999999999</v>
      </c>
      <c r="Y348" s="209"/>
      <c r="Z348" s="210" t="s">
        <v>923</v>
      </c>
      <c r="AA348" s="202">
        <v>13.72</v>
      </c>
      <c r="AB348" s="203">
        <f t="shared" si="63"/>
        <v>0</v>
      </c>
      <c r="AC348" s="124">
        <v>0.05</v>
      </c>
    </row>
    <row r="349" spans="1:29" s="124" customFormat="1" ht="30.6" customHeight="1">
      <c r="A349" s="154">
        <v>334</v>
      </c>
      <c r="B349" s="204"/>
      <c r="C349" s="204"/>
      <c r="D349" s="205"/>
      <c r="E349" s="155" t="str">
        <f>'Tên Tháng 1'!E337</f>
        <v>ខា ខន</v>
      </c>
      <c r="F349" s="157" t="str">
        <f>'Tên Tháng 1'!F337</f>
        <v>KHA KHORN</v>
      </c>
      <c r="G349" s="206">
        <v>373</v>
      </c>
      <c r="H349" s="207">
        <f>'SAN LUONG'!AS346</f>
        <v>280.27999999999997</v>
      </c>
      <c r="I349" s="159">
        <f t="shared" si="57"/>
        <v>3.99</v>
      </c>
      <c r="J349" s="207">
        <f>'SAN LUONG'!AT346</f>
        <v>103.4</v>
      </c>
      <c r="K349" s="159">
        <f t="shared" si="56"/>
        <v>1.63</v>
      </c>
      <c r="L349" s="207"/>
      <c r="M349" s="159">
        <f t="shared" si="58"/>
        <v>0</v>
      </c>
      <c r="N349" s="208">
        <f>'CHAM CONG'!AR345</f>
        <v>1</v>
      </c>
      <c r="O349" s="159">
        <f t="shared" si="59"/>
        <v>0.53</v>
      </c>
      <c r="P349" s="207">
        <f>'CHAM CONG'!AQ345</f>
        <v>12</v>
      </c>
      <c r="Q349" s="159">
        <f t="shared" si="60"/>
        <v>6.01</v>
      </c>
      <c r="R349" s="159">
        <f t="shared" si="64"/>
        <v>12</v>
      </c>
      <c r="S349" s="159">
        <f t="shared" si="61"/>
        <v>0.38</v>
      </c>
      <c r="T349" s="159"/>
      <c r="U349" s="159"/>
      <c r="V349" s="159"/>
      <c r="W349" s="159"/>
      <c r="X349" s="159">
        <f t="shared" si="62"/>
        <v>12.54</v>
      </c>
      <c r="Y349" s="209"/>
      <c r="Z349" s="210" t="s">
        <v>923</v>
      </c>
      <c r="AA349" s="202">
        <v>12.54</v>
      </c>
      <c r="AB349" s="203">
        <f t="shared" si="63"/>
        <v>0</v>
      </c>
      <c r="AC349" s="124">
        <v>0.01</v>
      </c>
    </row>
    <row r="350" spans="1:29" s="124" customFormat="1" ht="30.6" customHeight="1">
      <c r="A350" s="211">
        <v>335</v>
      </c>
      <c r="B350" s="204"/>
      <c r="C350" s="204"/>
      <c r="D350" s="205"/>
      <c r="E350" s="155" t="str">
        <f>'Tên Tháng 1'!E338</f>
        <v>ជុំ ជាតិ</v>
      </c>
      <c r="F350" s="157" t="str">
        <f>'Tên Tháng 1'!F338</f>
        <v>CHUM CHEAT</v>
      </c>
      <c r="G350" s="206">
        <v>374</v>
      </c>
      <c r="H350" s="207">
        <f>'SAN LUONG'!AS347</f>
        <v>322.52</v>
      </c>
      <c r="I350" s="159">
        <f t="shared" si="57"/>
        <v>4.59</v>
      </c>
      <c r="J350" s="207">
        <f>'SAN LUONG'!AT347</f>
        <v>110.44</v>
      </c>
      <c r="K350" s="159">
        <f t="shared" si="56"/>
        <v>1.75</v>
      </c>
      <c r="L350" s="207"/>
      <c r="M350" s="159">
        <f t="shared" si="58"/>
        <v>0</v>
      </c>
      <c r="N350" s="208">
        <f>'CHAM CONG'!AR346</f>
        <v>2</v>
      </c>
      <c r="O350" s="159">
        <f t="shared" si="59"/>
        <v>1.06</v>
      </c>
      <c r="P350" s="207">
        <f>'CHAM CONG'!AQ346</f>
        <v>13</v>
      </c>
      <c r="Q350" s="159">
        <f t="shared" si="60"/>
        <v>6.51</v>
      </c>
      <c r="R350" s="159">
        <f t="shared" si="64"/>
        <v>13</v>
      </c>
      <c r="S350" s="159">
        <f t="shared" si="61"/>
        <v>0.41</v>
      </c>
      <c r="T350" s="159"/>
      <c r="U350" s="159"/>
      <c r="V350" s="159"/>
      <c r="W350" s="159"/>
      <c r="X350" s="159">
        <f t="shared" si="62"/>
        <v>14.32</v>
      </c>
      <c r="Y350" s="209"/>
      <c r="Z350" s="210" t="s">
        <v>923</v>
      </c>
      <c r="AA350" s="202">
        <v>14.32</v>
      </c>
      <c r="AB350" s="203">
        <f t="shared" si="63"/>
        <v>0</v>
      </c>
      <c r="AC350" s="124">
        <v>0.04</v>
      </c>
    </row>
    <row r="351" spans="1:29" s="124" customFormat="1" ht="30.6" customHeight="1">
      <c r="A351" s="154">
        <v>336</v>
      </c>
      <c r="B351" s="204"/>
      <c r="C351" s="204"/>
      <c r="D351" s="205"/>
      <c r="E351" s="155" t="str">
        <f>'Tên Tháng 1'!E339</f>
        <v>គឿន ភាក់</v>
      </c>
      <c r="F351" s="157" t="str">
        <f>'Tên Tháng 1'!F339</f>
        <v>KOEUN PHEAK</v>
      </c>
      <c r="G351" s="206">
        <v>375</v>
      </c>
      <c r="H351" s="207">
        <f>'SAN LUONG'!AS348</f>
        <v>332.64</v>
      </c>
      <c r="I351" s="159">
        <f t="shared" si="57"/>
        <v>4.74</v>
      </c>
      <c r="J351" s="207">
        <f>'SAN LUONG'!AT348</f>
        <v>91.08</v>
      </c>
      <c r="K351" s="159">
        <f t="shared" si="56"/>
        <v>1.44</v>
      </c>
      <c r="L351" s="207"/>
      <c r="M351" s="159">
        <f t="shared" si="58"/>
        <v>0</v>
      </c>
      <c r="N351" s="208">
        <f>'CHAM CONG'!AR347</f>
        <v>2</v>
      </c>
      <c r="O351" s="159">
        <f t="shared" si="59"/>
        <v>1.06</v>
      </c>
      <c r="P351" s="207">
        <f>'CHAM CONG'!AQ347</f>
        <v>13</v>
      </c>
      <c r="Q351" s="159">
        <f t="shared" si="60"/>
        <v>6.51</v>
      </c>
      <c r="R351" s="159">
        <f t="shared" si="64"/>
        <v>13</v>
      </c>
      <c r="S351" s="159">
        <f t="shared" si="61"/>
        <v>0.41</v>
      </c>
      <c r="T351" s="159"/>
      <c r="U351" s="159"/>
      <c r="V351" s="159"/>
      <c r="W351" s="159"/>
      <c r="X351" s="159">
        <f t="shared" si="62"/>
        <v>14.16</v>
      </c>
      <c r="Y351" s="209"/>
      <c r="Z351" s="210" t="s">
        <v>923</v>
      </c>
      <c r="AA351" s="202">
        <v>14.16</v>
      </c>
      <c r="AB351" s="203">
        <f t="shared" si="63"/>
        <v>0</v>
      </c>
      <c r="AC351" s="124">
        <v>0.01</v>
      </c>
    </row>
    <row r="352" spans="1:29" s="124" customFormat="1" ht="30.6" customHeight="1">
      <c r="A352" s="211">
        <v>337</v>
      </c>
      <c r="B352" s="204"/>
      <c r="C352" s="204"/>
      <c r="D352" s="205"/>
      <c r="E352" s="155" t="str">
        <f>'Tên Tháng 1'!E340</f>
        <v>ផាក់ វ៉ង់</v>
      </c>
      <c r="F352" s="157" t="str">
        <f>'Tên Tháng 1'!F340</f>
        <v>PHAK VORNG</v>
      </c>
      <c r="G352" s="206">
        <v>376</v>
      </c>
      <c r="H352" s="207">
        <f>'SAN LUONG'!AS349</f>
        <v>166.76</v>
      </c>
      <c r="I352" s="159">
        <f t="shared" si="57"/>
        <v>2.38</v>
      </c>
      <c r="J352" s="207">
        <f>'SAN LUONG'!AT349</f>
        <v>31.68</v>
      </c>
      <c r="K352" s="159">
        <f t="shared" si="56"/>
        <v>0.5</v>
      </c>
      <c r="L352" s="207"/>
      <c r="M352" s="159">
        <f t="shared" si="58"/>
        <v>0</v>
      </c>
      <c r="N352" s="208">
        <f>'CHAM CONG'!AR348</f>
        <v>0</v>
      </c>
      <c r="O352" s="159">
        <f t="shared" si="59"/>
        <v>0</v>
      </c>
      <c r="P352" s="207">
        <f>'CHAM CONG'!AQ348</f>
        <v>9</v>
      </c>
      <c r="Q352" s="159">
        <f t="shared" si="60"/>
        <v>4.51</v>
      </c>
      <c r="R352" s="159">
        <f t="shared" si="64"/>
        <v>9</v>
      </c>
      <c r="S352" s="159">
        <f t="shared" si="61"/>
        <v>0.28000000000000003</v>
      </c>
      <c r="T352" s="159"/>
      <c r="U352" s="159"/>
      <c r="V352" s="159"/>
      <c r="W352" s="159"/>
      <c r="X352" s="159">
        <f t="shared" si="62"/>
        <v>7.67</v>
      </c>
      <c r="Y352" s="209"/>
      <c r="Z352" s="210" t="s">
        <v>923</v>
      </c>
      <c r="AA352" s="202">
        <v>7.67</v>
      </c>
      <c r="AB352" s="203">
        <f t="shared" si="63"/>
        <v>0</v>
      </c>
      <c r="AC352" s="124">
        <v>0.04</v>
      </c>
    </row>
    <row r="353" spans="1:29" s="124" customFormat="1" ht="30.6" customHeight="1">
      <c r="A353" s="154">
        <v>338</v>
      </c>
      <c r="B353" s="204"/>
      <c r="C353" s="204"/>
      <c r="D353" s="205"/>
      <c r="E353" s="155" t="str">
        <f>'Tên Tháng 1'!E341</f>
        <v>ហោន លីដា</v>
      </c>
      <c r="F353" s="157" t="str">
        <f>'Tên Tháng 1'!F341</f>
        <v>HORN LIDA</v>
      </c>
      <c r="G353" s="206">
        <v>377</v>
      </c>
      <c r="H353" s="207">
        <f>'SAN LUONG'!AS350</f>
        <v>355.52</v>
      </c>
      <c r="I353" s="159">
        <f t="shared" si="57"/>
        <v>5.0599999999999996</v>
      </c>
      <c r="J353" s="207">
        <f>'SAN LUONG'!AT350</f>
        <v>58.96</v>
      </c>
      <c r="K353" s="159">
        <f t="shared" si="56"/>
        <v>0.93</v>
      </c>
      <c r="L353" s="207"/>
      <c r="M353" s="159">
        <f t="shared" si="58"/>
        <v>0</v>
      </c>
      <c r="N353" s="208">
        <f>'CHAM CONG'!AR349</f>
        <v>1</v>
      </c>
      <c r="O353" s="159">
        <f t="shared" si="59"/>
        <v>0.53</v>
      </c>
      <c r="P353" s="207">
        <f>'CHAM CONG'!AQ349</f>
        <v>12</v>
      </c>
      <c r="Q353" s="159">
        <f t="shared" si="60"/>
        <v>6.01</v>
      </c>
      <c r="R353" s="159">
        <f t="shared" si="64"/>
        <v>12</v>
      </c>
      <c r="S353" s="159">
        <f t="shared" si="61"/>
        <v>0.38</v>
      </c>
      <c r="T353" s="159"/>
      <c r="U353" s="159"/>
      <c r="V353" s="159"/>
      <c r="W353" s="159"/>
      <c r="X353" s="159">
        <f t="shared" si="62"/>
        <v>12.91</v>
      </c>
      <c r="Y353" s="209"/>
      <c r="Z353" s="210" t="s">
        <v>923</v>
      </c>
      <c r="AA353" s="202">
        <v>12.91</v>
      </c>
      <c r="AB353" s="203">
        <f t="shared" si="63"/>
        <v>0</v>
      </c>
      <c r="AC353" s="124">
        <v>-0.03</v>
      </c>
    </row>
    <row r="354" spans="1:29" s="124" customFormat="1" ht="30.6" customHeight="1">
      <c r="A354" s="211">
        <v>339</v>
      </c>
      <c r="B354" s="204"/>
      <c r="C354" s="204"/>
      <c r="D354" s="205"/>
      <c r="E354" s="155" t="str">
        <f>'Tên Tháng 1'!E342</f>
        <v>ផល អេ</v>
      </c>
      <c r="F354" s="157" t="str">
        <f>'Tên Tháng 1'!F342</f>
        <v>PHAL E</v>
      </c>
      <c r="G354" s="206">
        <v>378</v>
      </c>
      <c r="H354" s="207">
        <f>'SAN LUONG'!AS351</f>
        <v>400.84</v>
      </c>
      <c r="I354" s="159">
        <f t="shared" si="57"/>
        <v>5.71</v>
      </c>
      <c r="J354" s="207">
        <f>'SAN LUONG'!AT351</f>
        <v>115.72</v>
      </c>
      <c r="K354" s="159">
        <f t="shared" si="56"/>
        <v>1.83</v>
      </c>
      <c r="L354" s="207"/>
      <c r="M354" s="159">
        <f t="shared" si="58"/>
        <v>0</v>
      </c>
      <c r="N354" s="208">
        <f>'CHAM CONG'!AR350</f>
        <v>2</v>
      </c>
      <c r="O354" s="159">
        <f t="shared" si="59"/>
        <v>1.06</v>
      </c>
      <c r="P354" s="207">
        <f>'CHAM CONG'!AQ350</f>
        <v>14</v>
      </c>
      <c r="Q354" s="159">
        <f t="shared" si="60"/>
        <v>7.01</v>
      </c>
      <c r="R354" s="159">
        <f t="shared" si="64"/>
        <v>14</v>
      </c>
      <c r="S354" s="159">
        <f t="shared" si="61"/>
        <v>0.44</v>
      </c>
      <c r="T354" s="159"/>
      <c r="U354" s="159"/>
      <c r="V354" s="159"/>
      <c r="W354" s="159"/>
      <c r="X354" s="159">
        <f t="shared" si="62"/>
        <v>16.05</v>
      </c>
      <c r="Y354" s="209"/>
      <c r="Z354" s="210" t="s">
        <v>923</v>
      </c>
      <c r="AA354" s="202">
        <v>16.05</v>
      </c>
      <c r="AB354" s="203">
        <f t="shared" si="63"/>
        <v>0</v>
      </c>
      <c r="AC354" s="124">
        <v>0</v>
      </c>
    </row>
    <row r="355" spans="1:29" s="124" customFormat="1" ht="30.6" customHeight="1">
      <c r="A355" s="154">
        <v>340</v>
      </c>
      <c r="B355" s="204"/>
      <c r="C355" s="204"/>
      <c r="D355" s="205"/>
      <c r="E355" s="155" t="str">
        <f>'Tên Tháng 1'!E343</f>
        <v>ខឹង យ៉ាត់</v>
      </c>
      <c r="F355" s="157" t="str">
        <f>'Tên Tháng 1'!F343</f>
        <v>KHING YATH</v>
      </c>
      <c r="G355" s="206">
        <v>379</v>
      </c>
      <c r="H355" s="207">
        <f>'SAN LUONG'!AS352</f>
        <v>373.12</v>
      </c>
      <c r="I355" s="159">
        <f t="shared" si="57"/>
        <v>5.31</v>
      </c>
      <c r="J355" s="207">
        <f>'SAN LUONG'!AT352</f>
        <v>108.68</v>
      </c>
      <c r="K355" s="159">
        <f t="shared" si="56"/>
        <v>1.72</v>
      </c>
      <c r="L355" s="207"/>
      <c r="M355" s="159">
        <f t="shared" si="58"/>
        <v>0</v>
      </c>
      <c r="N355" s="208">
        <f>'CHAM CONG'!AR351</f>
        <v>2</v>
      </c>
      <c r="O355" s="159">
        <f t="shared" si="59"/>
        <v>1.06</v>
      </c>
      <c r="P355" s="207">
        <f>'CHAM CONG'!AQ351</f>
        <v>14</v>
      </c>
      <c r="Q355" s="159">
        <f t="shared" si="60"/>
        <v>7.01</v>
      </c>
      <c r="R355" s="159">
        <f t="shared" si="64"/>
        <v>14</v>
      </c>
      <c r="S355" s="159">
        <f t="shared" si="61"/>
        <v>0.44</v>
      </c>
      <c r="T355" s="159"/>
      <c r="U355" s="159"/>
      <c r="V355" s="159"/>
      <c r="W355" s="159"/>
      <c r="X355" s="159">
        <f t="shared" si="62"/>
        <v>15.54</v>
      </c>
      <c r="Y355" s="209"/>
      <c r="Z355" s="210" t="s">
        <v>923</v>
      </c>
      <c r="AA355" s="202">
        <v>15.55</v>
      </c>
      <c r="AB355" s="203">
        <f t="shared" si="63"/>
        <v>0.01</v>
      </c>
      <c r="AC355" s="124">
        <v>0.04</v>
      </c>
    </row>
    <row r="356" spans="1:29" s="124" customFormat="1" ht="30.6" customHeight="1">
      <c r="A356" s="211">
        <v>341</v>
      </c>
      <c r="B356" s="204"/>
      <c r="C356" s="204"/>
      <c r="D356" s="205"/>
      <c r="E356" s="155" t="str">
        <f>'Tên Tháng 1'!E344</f>
        <v>ថា ស្រីអែម</v>
      </c>
      <c r="F356" s="157" t="str">
        <f>'Tên Tháng 1'!F344</f>
        <v>THA SREY EM</v>
      </c>
      <c r="G356" s="206">
        <v>380</v>
      </c>
      <c r="H356" s="207">
        <f>'SAN LUONG'!AS353</f>
        <v>477.4</v>
      </c>
      <c r="I356" s="159">
        <f t="shared" si="57"/>
        <v>6.8</v>
      </c>
      <c r="J356" s="207">
        <f>'SAN LUONG'!AT353</f>
        <v>90.2</v>
      </c>
      <c r="K356" s="159">
        <f t="shared" si="56"/>
        <v>1.43</v>
      </c>
      <c r="L356" s="207"/>
      <c r="M356" s="159">
        <f t="shared" si="58"/>
        <v>0</v>
      </c>
      <c r="N356" s="208">
        <f>'CHAM CONG'!AR352</f>
        <v>2</v>
      </c>
      <c r="O356" s="159">
        <f t="shared" si="59"/>
        <v>1.06</v>
      </c>
      <c r="P356" s="207">
        <f>'CHAM CONG'!AQ352</f>
        <v>13</v>
      </c>
      <c r="Q356" s="159">
        <f t="shared" si="60"/>
        <v>6.51</v>
      </c>
      <c r="R356" s="159">
        <f t="shared" si="64"/>
        <v>13</v>
      </c>
      <c r="S356" s="159">
        <f t="shared" si="61"/>
        <v>0.41</v>
      </c>
      <c r="T356" s="159"/>
      <c r="U356" s="159"/>
      <c r="V356" s="159"/>
      <c r="W356" s="159"/>
      <c r="X356" s="159">
        <f t="shared" si="62"/>
        <v>16.21</v>
      </c>
      <c r="Y356" s="209"/>
      <c r="Z356" s="210" t="s">
        <v>923</v>
      </c>
      <c r="AA356" s="202">
        <v>16.21</v>
      </c>
      <c r="AB356" s="203">
        <f t="shared" si="63"/>
        <v>0</v>
      </c>
      <c r="AC356" s="124">
        <v>0.04</v>
      </c>
    </row>
    <row r="357" spans="1:29" s="124" customFormat="1" ht="30.6" customHeight="1">
      <c r="A357" s="154">
        <v>342</v>
      </c>
      <c r="B357" s="204"/>
      <c r="C357" s="204"/>
      <c r="D357" s="205"/>
      <c r="E357" s="155" t="str">
        <f>'Tên Tháng 1'!E345</f>
        <v>ឆាន ណាន់</v>
      </c>
      <c r="F357" s="157" t="str">
        <f>'Tên Tháng 1'!F345</f>
        <v>CHHAN NANN</v>
      </c>
      <c r="G357" s="206">
        <v>381</v>
      </c>
      <c r="H357" s="207">
        <f>'SAN LUONG'!AS354</f>
        <v>412.72</v>
      </c>
      <c r="I357" s="159">
        <f t="shared" si="57"/>
        <v>5.88</v>
      </c>
      <c r="J357" s="207">
        <f>'SAN LUONG'!AT354</f>
        <v>111.76</v>
      </c>
      <c r="K357" s="159">
        <f t="shared" si="56"/>
        <v>1.77</v>
      </c>
      <c r="L357" s="207"/>
      <c r="M357" s="159">
        <f t="shared" si="58"/>
        <v>0</v>
      </c>
      <c r="N357" s="208">
        <f>'CHAM CONG'!AR353</f>
        <v>2</v>
      </c>
      <c r="O357" s="159">
        <f t="shared" ref="O357:O389" si="65">ROUND(N357*$O$14/31947,1)</f>
        <v>1.1000000000000001</v>
      </c>
      <c r="P357" s="207">
        <f>'CHAM CONG'!AQ353</f>
        <v>14</v>
      </c>
      <c r="Q357" s="159">
        <f t="shared" si="60"/>
        <v>7.01</v>
      </c>
      <c r="R357" s="159">
        <f t="shared" si="64"/>
        <v>14</v>
      </c>
      <c r="S357" s="159">
        <f t="shared" si="61"/>
        <v>0.44</v>
      </c>
      <c r="T357" s="159"/>
      <c r="U357" s="159"/>
      <c r="V357" s="159"/>
      <c r="W357" s="159"/>
      <c r="X357" s="159">
        <f t="shared" si="62"/>
        <v>16.2</v>
      </c>
      <c r="Y357" s="209"/>
      <c r="Z357" s="210" t="s">
        <v>923</v>
      </c>
      <c r="AA357" s="202">
        <v>16.16</v>
      </c>
      <c r="AB357" s="203">
        <f t="shared" si="63"/>
        <v>-0.04</v>
      </c>
      <c r="AC357" s="124">
        <v>0.04</v>
      </c>
    </row>
    <row r="358" spans="1:29" s="124" customFormat="1" ht="30.6" customHeight="1">
      <c r="A358" s="211">
        <v>343</v>
      </c>
      <c r="B358" s="204"/>
      <c r="C358" s="204"/>
      <c r="D358" s="205"/>
      <c r="E358" s="155" t="str">
        <f>'Tên Tháng 1'!E346</f>
        <v>គន នឿន</v>
      </c>
      <c r="F358" s="157" t="str">
        <f>'Tên Tháng 1'!F346</f>
        <v>KON NOEUN</v>
      </c>
      <c r="G358" s="206">
        <v>382</v>
      </c>
      <c r="H358" s="207">
        <f>'SAN LUONG'!AS355</f>
        <v>419.76</v>
      </c>
      <c r="I358" s="159">
        <f t="shared" si="57"/>
        <v>5.98</v>
      </c>
      <c r="J358" s="207">
        <f>'SAN LUONG'!AT355</f>
        <v>108.24</v>
      </c>
      <c r="K358" s="159">
        <f t="shared" si="56"/>
        <v>1.71</v>
      </c>
      <c r="L358" s="207"/>
      <c r="M358" s="159">
        <f t="shared" si="58"/>
        <v>0</v>
      </c>
      <c r="N358" s="208">
        <f>'CHAM CONG'!AR354</f>
        <v>2</v>
      </c>
      <c r="O358" s="159">
        <f t="shared" si="65"/>
        <v>1.1000000000000001</v>
      </c>
      <c r="P358" s="207">
        <f>'CHAM CONG'!AQ354</f>
        <v>14</v>
      </c>
      <c r="Q358" s="159">
        <f t="shared" si="60"/>
        <v>7.01</v>
      </c>
      <c r="R358" s="159">
        <f t="shared" si="64"/>
        <v>14</v>
      </c>
      <c r="S358" s="159">
        <f t="shared" si="61"/>
        <v>0.44</v>
      </c>
      <c r="T358" s="159"/>
      <c r="U358" s="159"/>
      <c r="V358" s="159"/>
      <c r="W358" s="159"/>
      <c r="X358" s="159">
        <f t="shared" si="62"/>
        <v>16.239999999999998</v>
      </c>
      <c r="Y358" s="209"/>
      <c r="Z358" s="210" t="s">
        <v>923</v>
      </c>
      <c r="AA358" s="202">
        <v>16.2</v>
      </c>
      <c r="AB358" s="203">
        <f t="shared" si="63"/>
        <v>-0.04</v>
      </c>
      <c r="AC358" s="124">
        <v>0.04</v>
      </c>
    </row>
    <row r="359" spans="1:29" s="124" customFormat="1" ht="30.6" customHeight="1">
      <c r="A359" s="154">
        <v>344</v>
      </c>
      <c r="B359" s="204"/>
      <c r="C359" s="204"/>
      <c r="D359" s="205"/>
      <c r="E359" s="155" t="str">
        <f>'Tên Tháng 1'!E347</f>
        <v>ណាន ពន្លក</v>
      </c>
      <c r="F359" s="157" t="str">
        <f>'Tên Tháng 1'!F347</f>
        <v>NAN POLORK</v>
      </c>
      <c r="G359" s="206">
        <v>383</v>
      </c>
      <c r="H359" s="207">
        <f>'SAN LUONG'!AS356</f>
        <v>420.2</v>
      </c>
      <c r="I359" s="159">
        <f t="shared" si="57"/>
        <v>5.98</v>
      </c>
      <c r="J359" s="207">
        <f>'SAN LUONG'!AT356</f>
        <v>113.96</v>
      </c>
      <c r="K359" s="159">
        <f t="shared" si="56"/>
        <v>1.8</v>
      </c>
      <c r="L359" s="207"/>
      <c r="M359" s="159">
        <f t="shared" si="58"/>
        <v>0</v>
      </c>
      <c r="N359" s="208">
        <f>'CHAM CONG'!AR355</f>
        <v>2</v>
      </c>
      <c r="O359" s="159">
        <f t="shared" si="65"/>
        <v>1.1000000000000001</v>
      </c>
      <c r="P359" s="207">
        <f>'CHAM CONG'!AQ355</f>
        <v>14</v>
      </c>
      <c r="Q359" s="159">
        <f t="shared" si="60"/>
        <v>7.01</v>
      </c>
      <c r="R359" s="159">
        <f t="shared" si="64"/>
        <v>14</v>
      </c>
      <c r="S359" s="159">
        <f t="shared" si="61"/>
        <v>0.44</v>
      </c>
      <c r="T359" s="159"/>
      <c r="U359" s="159"/>
      <c r="V359" s="159"/>
      <c r="W359" s="159"/>
      <c r="X359" s="159">
        <f t="shared" si="62"/>
        <v>16.329999999999998</v>
      </c>
      <c r="Y359" s="209"/>
      <c r="Z359" s="210" t="s">
        <v>923</v>
      </c>
      <c r="AA359" s="202">
        <v>16.3</v>
      </c>
      <c r="AB359" s="203">
        <f t="shared" si="63"/>
        <v>-0.03</v>
      </c>
      <c r="AC359" s="124">
        <v>0.04</v>
      </c>
    </row>
    <row r="360" spans="1:29" s="124" customFormat="1" ht="30.6" customHeight="1">
      <c r="A360" s="211">
        <v>345</v>
      </c>
      <c r="B360" s="204"/>
      <c r="C360" s="204"/>
      <c r="D360" s="205"/>
      <c r="E360" s="155" t="str">
        <f>'Tên Tháng 1'!E348</f>
        <v>ត្រុច ម៉ាច</v>
      </c>
      <c r="F360" s="157" t="str">
        <f>'Tên Tháng 1'!F348</f>
        <v>TROCH MACH</v>
      </c>
      <c r="G360" s="206">
        <v>384</v>
      </c>
      <c r="H360" s="207">
        <f>'SAN LUONG'!AS357</f>
        <v>351.56</v>
      </c>
      <c r="I360" s="159">
        <f t="shared" si="57"/>
        <v>5.01</v>
      </c>
      <c r="J360" s="207">
        <f>'SAN LUONG'!AT357</f>
        <v>91.96</v>
      </c>
      <c r="K360" s="159">
        <f t="shared" si="56"/>
        <v>1.45</v>
      </c>
      <c r="L360" s="207"/>
      <c r="M360" s="159">
        <f t="shared" si="58"/>
        <v>0</v>
      </c>
      <c r="N360" s="208">
        <f>'CHAM CONG'!AR356</f>
        <v>1</v>
      </c>
      <c r="O360" s="159">
        <f t="shared" si="65"/>
        <v>0.5</v>
      </c>
      <c r="P360" s="207">
        <f>'CHAM CONG'!AQ356</f>
        <v>13</v>
      </c>
      <c r="Q360" s="159">
        <f t="shared" si="60"/>
        <v>6.51</v>
      </c>
      <c r="R360" s="159">
        <f t="shared" si="64"/>
        <v>13</v>
      </c>
      <c r="S360" s="159">
        <f t="shared" si="61"/>
        <v>0.41</v>
      </c>
      <c r="T360" s="159"/>
      <c r="U360" s="159"/>
      <c r="V360" s="159"/>
      <c r="W360" s="159"/>
      <c r="X360" s="159">
        <f t="shared" si="62"/>
        <v>13.879999999999999</v>
      </c>
      <c r="Y360" s="209"/>
      <c r="Z360" s="210" t="s">
        <v>923</v>
      </c>
      <c r="AA360" s="202">
        <v>13.91</v>
      </c>
      <c r="AB360" s="203">
        <f t="shared" si="63"/>
        <v>0.03</v>
      </c>
      <c r="AC360" s="124">
        <v>0.02</v>
      </c>
    </row>
    <row r="361" spans="1:29" s="124" customFormat="1" ht="30.6" customHeight="1">
      <c r="A361" s="154">
        <v>346</v>
      </c>
      <c r="B361" s="204"/>
      <c r="C361" s="204"/>
      <c r="D361" s="205"/>
      <c r="E361" s="155" t="str">
        <f>'Tên Tháng 1'!E349</f>
        <v>យ៉ុន ស្រីរ័ត្ន</v>
      </c>
      <c r="F361" s="157" t="str">
        <f>'Tên Tháng 1'!F349</f>
        <v>YON SREYROTH</v>
      </c>
      <c r="G361" s="206">
        <v>385</v>
      </c>
      <c r="H361" s="207">
        <f>'SAN LUONG'!AS358</f>
        <v>418.44</v>
      </c>
      <c r="I361" s="159">
        <f t="shared" si="57"/>
        <v>5.96</v>
      </c>
      <c r="J361" s="207">
        <f>'SAN LUONG'!AT358</f>
        <v>111.76</v>
      </c>
      <c r="K361" s="159">
        <f t="shared" si="56"/>
        <v>1.77</v>
      </c>
      <c r="L361" s="207"/>
      <c r="M361" s="159">
        <f t="shared" si="58"/>
        <v>0</v>
      </c>
      <c r="N361" s="208">
        <f>'CHAM CONG'!AR357</f>
        <v>2</v>
      </c>
      <c r="O361" s="159">
        <f t="shared" si="65"/>
        <v>1.1000000000000001</v>
      </c>
      <c r="P361" s="207">
        <f>'CHAM CONG'!AQ357</f>
        <v>14</v>
      </c>
      <c r="Q361" s="159">
        <f t="shared" si="60"/>
        <v>7.01</v>
      </c>
      <c r="R361" s="159">
        <f t="shared" si="64"/>
        <v>14</v>
      </c>
      <c r="S361" s="159">
        <f t="shared" si="61"/>
        <v>0.44</v>
      </c>
      <c r="T361" s="159"/>
      <c r="U361" s="159"/>
      <c r="V361" s="159"/>
      <c r="W361" s="159"/>
      <c r="X361" s="159">
        <f t="shared" si="62"/>
        <v>16.28</v>
      </c>
      <c r="Y361" s="209"/>
      <c r="Z361" s="210" t="s">
        <v>923</v>
      </c>
      <c r="AA361" s="202">
        <v>16.239999999999998</v>
      </c>
      <c r="AB361" s="203">
        <f t="shared" si="63"/>
        <v>-0.04</v>
      </c>
      <c r="AC361" s="124">
        <v>0.04</v>
      </c>
    </row>
    <row r="362" spans="1:29" s="124" customFormat="1" ht="30.6" customHeight="1">
      <c r="A362" s="211">
        <v>347</v>
      </c>
      <c r="B362" s="204"/>
      <c r="C362" s="204"/>
      <c r="D362" s="205"/>
      <c r="E362" s="155" t="str">
        <f>'Tên Tháng 1'!E350</f>
        <v>អ៊ាង ទិត</v>
      </c>
      <c r="F362" s="157" t="str">
        <f>'Tên Tháng 1'!F350</f>
        <v>EANG TITH</v>
      </c>
      <c r="G362" s="206">
        <v>386</v>
      </c>
      <c r="H362" s="207">
        <f>'SAN LUONG'!AS359</f>
        <v>714.12</v>
      </c>
      <c r="I362" s="159">
        <f t="shared" si="57"/>
        <v>10.17</v>
      </c>
      <c r="J362" s="207">
        <f>'SAN LUONG'!AT359</f>
        <v>0</v>
      </c>
      <c r="K362" s="159">
        <f t="shared" si="56"/>
        <v>0</v>
      </c>
      <c r="L362" s="207"/>
      <c r="M362" s="159">
        <f t="shared" si="58"/>
        <v>0</v>
      </c>
      <c r="N362" s="208">
        <f>'CHAM CONG'!AR358</f>
        <v>2</v>
      </c>
      <c r="O362" s="159">
        <f t="shared" si="65"/>
        <v>1.1000000000000001</v>
      </c>
      <c r="P362" s="207">
        <f>'CHAM CONG'!AQ358</f>
        <v>14</v>
      </c>
      <c r="Q362" s="159">
        <f t="shared" si="60"/>
        <v>7.01</v>
      </c>
      <c r="R362" s="159">
        <f t="shared" si="64"/>
        <v>14</v>
      </c>
      <c r="S362" s="159">
        <f t="shared" si="61"/>
        <v>0.44</v>
      </c>
      <c r="T362" s="159"/>
      <c r="U362" s="159"/>
      <c r="V362" s="159"/>
      <c r="W362" s="159"/>
      <c r="X362" s="159">
        <f t="shared" si="62"/>
        <v>18.720000000000002</v>
      </c>
      <c r="Y362" s="209"/>
      <c r="Z362" s="210" t="s">
        <v>923</v>
      </c>
      <c r="AA362" s="202">
        <v>18.68</v>
      </c>
      <c r="AB362" s="203">
        <f t="shared" si="63"/>
        <v>-0.04</v>
      </c>
      <c r="AC362" s="124">
        <v>0.04</v>
      </c>
    </row>
    <row r="363" spans="1:29" s="124" customFormat="1" ht="30.6" customHeight="1">
      <c r="A363" s="154">
        <v>348</v>
      </c>
      <c r="B363" s="204"/>
      <c r="C363" s="204"/>
      <c r="D363" s="205"/>
      <c r="E363" s="155" t="str">
        <f>'Tên Tháng 1'!E351</f>
        <v>យ៉ុន ណែត</v>
      </c>
      <c r="F363" s="157" t="str">
        <f>'Tên Tháng 1'!F351</f>
        <v>YON NEIT</v>
      </c>
      <c r="G363" s="206">
        <v>387</v>
      </c>
      <c r="H363" s="207">
        <f>'SAN LUONG'!AS360</f>
        <v>643.72</v>
      </c>
      <c r="I363" s="159">
        <f t="shared" si="57"/>
        <v>9.17</v>
      </c>
      <c r="J363" s="207">
        <f>'SAN LUONG'!AT360</f>
        <v>0</v>
      </c>
      <c r="K363" s="159">
        <f t="shared" si="56"/>
        <v>0</v>
      </c>
      <c r="L363" s="207"/>
      <c r="M363" s="159">
        <f t="shared" si="58"/>
        <v>0</v>
      </c>
      <c r="N363" s="208">
        <f>'CHAM CONG'!AR359</f>
        <v>2</v>
      </c>
      <c r="O363" s="159">
        <f t="shared" si="65"/>
        <v>1.1000000000000001</v>
      </c>
      <c r="P363" s="207">
        <f>'CHAM CONG'!AQ359</f>
        <v>14</v>
      </c>
      <c r="Q363" s="159">
        <f t="shared" si="60"/>
        <v>7.01</v>
      </c>
      <c r="R363" s="159">
        <f t="shared" si="64"/>
        <v>14</v>
      </c>
      <c r="S363" s="159">
        <f t="shared" si="61"/>
        <v>0.44</v>
      </c>
      <c r="T363" s="159"/>
      <c r="U363" s="159"/>
      <c r="V363" s="159"/>
      <c r="W363" s="159"/>
      <c r="X363" s="159">
        <f t="shared" si="62"/>
        <v>17.720000000000002</v>
      </c>
      <c r="Y363" s="209"/>
      <c r="Z363" s="210" t="s">
        <v>923</v>
      </c>
      <c r="AA363" s="202">
        <v>17.68</v>
      </c>
      <c r="AB363" s="203">
        <f t="shared" si="63"/>
        <v>-0.04</v>
      </c>
      <c r="AC363" s="124">
        <v>0.04</v>
      </c>
    </row>
    <row r="364" spans="1:29" s="124" customFormat="1" ht="30.6" customHeight="1">
      <c r="A364" s="211">
        <v>349</v>
      </c>
      <c r="B364" s="204"/>
      <c r="C364" s="204"/>
      <c r="D364" s="205"/>
      <c r="E364" s="155" t="str">
        <f>'Tên Tháng 1'!E352</f>
        <v>អឿន វិចិត្រ</v>
      </c>
      <c r="F364" s="157" t="str">
        <f>'Tên Tháng 1'!F352</f>
        <v>AEURN VECHET</v>
      </c>
      <c r="G364" s="206">
        <v>388</v>
      </c>
      <c r="H364" s="207">
        <f>'SAN LUONG'!AS361</f>
        <v>662.64</v>
      </c>
      <c r="I364" s="159">
        <f t="shared" si="57"/>
        <v>9.44</v>
      </c>
      <c r="J364" s="207">
        <f>'SAN LUONG'!AT361</f>
        <v>0</v>
      </c>
      <c r="K364" s="159">
        <f t="shared" si="56"/>
        <v>0</v>
      </c>
      <c r="L364" s="207"/>
      <c r="M364" s="159">
        <f t="shared" si="58"/>
        <v>0</v>
      </c>
      <c r="N364" s="208">
        <f>'CHAM CONG'!AR360</f>
        <v>2</v>
      </c>
      <c r="O364" s="159">
        <f t="shared" si="65"/>
        <v>1.1000000000000001</v>
      </c>
      <c r="P364" s="207">
        <f>'CHAM CONG'!AQ360</f>
        <v>15</v>
      </c>
      <c r="Q364" s="159">
        <f t="shared" si="60"/>
        <v>7.51</v>
      </c>
      <c r="R364" s="159">
        <f t="shared" si="64"/>
        <v>15</v>
      </c>
      <c r="S364" s="159">
        <f t="shared" si="61"/>
        <v>0.47</v>
      </c>
      <c r="T364" s="159"/>
      <c r="U364" s="159"/>
      <c r="V364" s="159"/>
      <c r="W364" s="159"/>
      <c r="X364" s="159">
        <f t="shared" si="62"/>
        <v>18.52</v>
      </c>
      <c r="Y364" s="209"/>
      <c r="Z364" s="210" t="s">
        <v>923</v>
      </c>
      <c r="AA364" s="202">
        <v>18.48</v>
      </c>
      <c r="AB364" s="203">
        <f t="shared" si="63"/>
        <v>-0.04</v>
      </c>
      <c r="AC364" s="124">
        <v>0.04</v>
      </c>
    </row>
    <row r="365" spans="1:29" s="124" customFormat="1" ht="30.6" customHeight="1">
      <c r="A365" s="154">
        <v>350</v>
      </c>
      <c r="B365" s="204"/>
      <c r="C365" s="204"/>
      <c r="D365" s="205"/>
      <c r="E365" s="155" t="str">
        <f>'Tên Tháng 1'!E353</f>
        <v>ឈិត ម៉ៅ</v>
      </c>
      <c r="F365" s="157" t="str">
        <f>'Tên Tháng 1'!F353</f>
        <v>CHHIT MOA</v>
      </c>
      <c r="G365" s="206">
        <v>389</v>
      </c>
      <c r="H365" s="207">
        <f>'SAN LUONG'!AS362</f>
        <v>548.24</v>
      </c>
      <c r="I365" s="159">
        <f t="shared" si="57"/>
        <v>7.81</v>
      </c>
      <c r="J365" s="207">
        <f>'SAN LUONG'!AT362</f>
        <v>0</v>
      </c>
      <c r="K365" s="159">
        <f t="shared" si="56"/>
        <v>0</v>
      </c>
      <c r="L365" s="207"/>
      <c r="M365" s="159">
        <f t="shared" si="58"/>
        <v>0</v>
      </c>
      <c r="N365" s="208">
        <f>'CHAM CONG'!AR361</f>
        <v>2</v>
      </c>
      <c r="O365" s="159">
        <f t="shared" si="65"/>
        <v>1.1000000000000001</v>
      </c>
      <c r="P365" s="207">
        <f>'CHAM CONG'!AQ361</f>
        <v>13</v>
      </c>
      <c r="Q365" s="159">
        <f t="shared" si="60"/>
        <v>6.51</v>
      </c>
      <c r="R365" s="159">
        <f t="shared" si="64"/>
        <v>13</v>
      </c>
      <c r="S365" s="159">
        <f t="shared" si="61"/>
        <v>0.41</v>
      </c>
      <c r="T365" s="159"/>
      <c r="U365" s="159"/>
      <c r="V365" s="159"/>
      <c r="W365" s="159"/>
      <c r="X365" s="159">
        <f t="shared" si="62"/>
        <v>15.83</v>
      </c>
      <c r="Y365" s="209"/>
      <c r="Z365" s="210" t="s">
        <v>923</v>
      </c>
      <c r="AA365" s="202">
        <v>15.79</v>
      </c>
      <c r="AB365" s="203">
        <f t="shared" si="63"/>
        <v>-0.04</v>
      </c>
      <c r="AC365" s="124">
        <v>0.04</v>
      </c>
    </row>
    <row r="366" spans="1:29" s="124" customFormat="1" ht="30.6" customHeight="1">
      <c r="A366" s="211">
        <v>351</v>
      </c>
      <c r="B366" s="204"/>
      <c r="C366" s="204"/>
      <c r="D366" s="205"/>
      <c r="E366" s="155" t="str">
        <f>'Tên Tháng 1'!E354</f>
        <v>ស៊ឹម យ៉ង់</v>
      </c>
      <c r="F366" s="157" t="str">
        <f>'Tên Tháng 1'!F354</f>
        <v>SIM YANG</v>
      </c>
      <c r="G366" s="206">
        <v>390</v>
      </c>
      <c r="H366" s="207">
        <f>'SAN LUONG'!AS363</f>
        <v>581.24</v>
      </c>
      <c r="I366" s="159">
        <f t="shared" si="57"/>
        <v>8.2799999999999994</v>
      </c>
      <c r="J366" s="207">
        <f>'SAN LUONG'!AT363</f>
        <v>0</v>
      </c>
      <c r="K366" s="159">
        <f t="shared" si="56"/>
        <v>0</v>
      </c>
      <c r="L366" s="207"/>
      <c r="M366" s="159">
        <f t="shared" si="58"/>
        <v>0</v>
      </c>
      <c r="N366" s="208">
        <f>'CHAM CONG'!AR362</f>
        <v>1</v>
      </c>
      <c r="O366" s="159">
        <f t="shared" si="65"/>
        <v>0.5</v>
      </c>
      <c r="P366" s="207">
        <f>'CHAM CONG'!AQ362</f>
        <v>14</v>
      </c>
      <c r="Q366" s="159">
        <f t="shared" si="60"/>
        <v>7.01</v>
      </c>
      <c r="R366" s="159">
        <f t="shared" si="64"/>
        <v>14</v>
      </c>
      <c r="S366" s="159">
        <f t="shared" si="61"/>
        <v>0.44</v>
      </c>
      <c r="T366" s="159"/>
      <c r="U366" s="159"/>
      <c r="V366" s="159"/>
      <c r="W366" s="159"/>
      <c r="X366" s="159">
        <f t="shared" si="62"/>
        <v>16.229999999999997</v>
      </c>
      <c r="Y366" s="209"/>
      <c r="Z366" s="210" t="s">
        <v>923</v>
      </c>
      <c r="AA366" s="202">
        <v>16.260000000000002</v>
      </c>
      <c r="AB366" s="203">
        <f t="shared" si="63"/>
        <v>0.03</v>
      </c>
      <c r="AC366" s="124">
        <v>0.04</v>
      </c>
    </row>
    <row r="367" spans="1:29" s="124" customFormat="1" ht="30.6" customHeight="1">
      <c r="A367" s="154">
        <v>352</v>
      </c>
      <c r="B367" s="204"/>
      <c r="C367" s="204"/>
      <c r="D367" s="205"/>
      <c r="E367" s="155" t="str">
        <f>'Tên Tháng 1'!E355</f>
        <v>លឹម ឡាច</v>
      </c>
      <c r="F367" s="157" t="str">
        <f>'Tên Tháng 1'!F355</f>
        <v>LOEM LACH</v>
      </c>
      <c r="G367" s="206">
        <v>391</v>
      </c>
      <c r="H367" s="207">
        <f>'SAN LUONG'!AS364</f>
        <v>715.88</v>
      </c>
      <c r="I367" s="159">
        <f t="shared" si="57"/>
        <v>10.199999999999999</v>
      </c>
      <c r="J367" s="207">
        <f>'SAN LUONG'!AT364</f>
        <v>0</v>
      </c>
      <c r="K367" s="159">
        <f t="shared" si="56"/>
        <v>0</v>
      </c>
      <c r="L367" s="207"/>
      <c r="M367" s="159">
        <f t="shared" si="58"/>
        <v>0</v>
      </c>
      <c r="N367" s="208">
        <f>'CHAM CONG'!AR363</f>
        <v>2</v>
      </c>
      <c r="O367" s="159">
        <f t="shared" si="65"/>
        <v>1.1000000000000001</v>
      </c>
      <c r="P367" s="207">
        <f>'CHAM CONG'!AQ363</f>
        <v>13</v>
      </c>
      <c r="Q367" s="159">
        <f t="shared" si="60"/>
        <v>6.51</v>
      </c>
      <c r="R367" s="159">
        <f t="shared" si="64"/>
        <v>13</v>
      </c>
      <c r="S367" s="159">
        <f t="shared" si="61"/>
        <v>0.41</v>
      </c>
      <c r="T367" s="159"/>
      <c r="U367" s="159"/>
      <c r="V367" s="159"/>
      <c r="W367" s="159"/>
      <c r="X367" s="159">
        <f t="shared" si="62"/>
        <v>18.220000000000002</v>
      </c>
      <c r="Y367" s="209"/>
      <c r="Z367" s="210" t="s">
        <v>923</v>
      </c>
      <c r="AA367" s="202">
        <v>18.18</v>
      </c>
      <c r="AB367" s="203">
        <f t="shared" si="63"/>
        <v>-0.04</v>
      </c>
      <c r="AC367" s="124">
        <v>0.01</v>
      </c>
    </row>
    <row r="368" spans="1:29" s="124" customFormat="1" ht="30.6" customHeight="1">
      <c r="A368" s="211">
        <v>353</v>
      </c>
      <c r="B368" s="204"/>
      <c r="C368" s="204"/>
      <c r="D368" s="205"/>
      <c r="E368" s="155" t="str">
        <f>'Tên Tháng 1'!E356</f>
        <v>ឈុន សុខខុម</v>
      </c>
      <c r="F368" s="157" t="str">
        <f>'Tên Tháng 1'!F356</f>
        <v>CHHUN SOKHOM</v>
      </c>
      <c r="G368" s="206">
        <v>392</v>
      </c>
      <c r="H368" s="207">
        <f>'SAN LUONG'!AS365</f>
        <v>582.12</v>
      </c>
      <c r="I368" s="159">
        <f t="shared" si="57"/>
        <v>8.2899999999999991</v>
      </c>
      <c r="J368" s="207">
        <f>'SAN LUONG'!AT365</f>
        <v>0</v>
      </c>
      <c r="K368" s="159">
        <f t="shared" si="56"/>
        <v>0</v>
      </c>
      <c r="L368" s="207"/>
      <c r="M368" s="159">
        <f t="shared" si="58"/>
        <v>0</v>
      </c>
      <c r="N368" s="208">
        <f>'CHAM CONG'!AR364</f>
        <v>2</v>
      </c>
      <c r="O368" s="159">
        <f t="shared" si="65"/>
        <v>1.1000000000000001</v>
      </c>
      <c r="P368" s="207">
        <f>'CHAM CONG'!AQ364</f>
        <v>13</v>
      </c>
      <c r="Q368" s="159">
        <f t="shared" si="60"/>
        <v>6.51</v>
      </c>
      <c r="R368" s="159">
        <f t="shared" si="64"/>
        <v>13</v>
      </c>
      <c r="S368" s="159">
        <f t="shared" si="61"/>
        <v>0.41</v>
      </c>
      <c r="T368" s="159"/>
      <c r="U368" s="159"/>
      <c r="V368" s="159"/>
      <c r="W368" s="159"/>
      <c r="X368" s="159">
        <f t="shared" si="62"/>
        <v>16.309999999999999</v>
      </c>
      <c r="Y368" s="209"/>
      <c r="Z368" s="210" t="s">
        <v>923</v>
      </c>
      <c r="AA368" s="202">
        <v>16.27</v>
      </c>
      <c r="AB368" s="203">
        <f t="shared" si="63"/>
        <v>-0.04</v>
      </c>
      <c r="AC368" s="124">
        <v>0.04</v>
      </c>
    </row>
    <row r="369" spans="1:29" s="124" customFormat="1" ht="30.6" customHeight="1">
      <c r="A369" s="154">
        <v>354</v>
      </c>
      <c r="B369" s="204"/>
      <c r="C369" s="204"/>
      <c r="D369" s="205"/>
      <c r="E369" s="155" t="str">
        <f>'Tên Tháng 1'!E357</f>
        <v>ទិត ចំរើន</v>
      </c>
      <c r="F369" s="157" t="str">
        <f>'Tên Tháng 1'!F357</f>
        <v>TET CHAMRAEUN</v>
      </c>
      <c r="G369" s="206">
        <v>393</v>
      </c>
      <c r="H369" s="207">
        <f>'SAN LUONG'!AS366</f>
        <v>551.32000000000005</v>
      </c>
      <c r="I369" s="159">
        <f t="shared" si="57"/>
        <v>7.85</v>
      </c>
      <c r="J369" s="207">
        <f>'SAN LUONG'!AT366</f>
        <v>0</v>
      </c>
      <c r="K369" s="159">
        <f t="shared" si="56"/>
        <v>0</v>
      </c>
      <c r="L369" s="207"/>
      <c r="M369" s="159">
        <f t="shared" si="58"/>
        <v>0</v>
      </c>
      <c r="N369" s="208">
        <f>'CHAM CONG'!AR365</f>
        <v>2</v>
      </c>
      <c r="O369" s="159">
        <f t="shared" si="65"/>
        <v>1.1000000000000001</v>
      </c>
      <c r="P369" s="207">
        <f>'CHAM CONG'!AQ365</f>
        <v>13</v>
      </c>
      <c r="Q369" s="159">
        <f t="shared" si="60"/>
        <v>6.51</v>
      </c>
      <c r="R369" s="159">
        <f t="shared" si="64"/>
        <v>13</v>
      </c>
      <c r="S369" s="159">
        <f t="shared" si="61"/>
        <v>0.41</v>
      </c>
      <c r="T369" s="159"/>
      <c r="U369" s="159"/>
      <c r="V369" s="159"/>
      <c r="W369" s="159"/>
      <c r="X369" s="159">
        <f t="shared" si="62"/>
        <v>15.87</v>
      </c>
      <c r="Y369" s="209"/>
      <c r="Z369" s="210" t="s">
        <v>923</v>
      </c>
      <c r="AA369" s="202">
        <v>15.83</v>
      </c>
      <c r="AB369" s="203">
        <f t="shared" si="63"/>
        <v>-0.04</v>
      </c>
      <c r="AC369" s="124">
        <v>0.04</v>
      </c>
    </row>
    <row r="370" spans="1:29" s="124" customFormat="1" ht="30.6" customHeight="1">
      <c r="A370" s="211">
        <v>355</v>
      </c>
      <c r="B370" s="204"/>
      <c r="C370" s="204"/>
      <c r="D370" s="205"/>
      <c r="E370" s="155" t="str">
        <f>'Tên Tháng 1'!E358</f>
        <v>លី ចាន់នី</v>
      </c>
      <c r="F370" s="157" t="str">
        <f>'Tên Tháng 1'!F358</f>
        <v>LY CHANNY</v>
      </c>
      <c r="G370" s="206">
        <v>394</v>
      </c>
      <c r="H370" s="207">
        <f>'SAN LUONG'!AS367</f>
        <v>657.36</v>
      </c>
      <c r="I370" s="159">
        <f t="shared" si="57"/>
        <v>9.36</v>
      </c>
      <c r="J370" s="207">
        <f>'SAN LUONG'!AT367</f>
        <v>0</v>
      </c>
      <c r="K370" s="159">
        <f t="shared" si="56"/>
        <v>0</v>
      </c>
      <c r="L370" s="207"/>
      <c r="M370" s="159">
        <f t="shared" si="58"/>
        <v>0</v>
      </c>
      <c r="N370" s="208">
        <f>'CHAM CONG'!AR366</f>
        <v>2</v>
      </c>
      <c r="O370" s="159">
        <f t="shared" si="65"/>
        <v>1.1000000000000001</v>
      </c>
      <c r="P370" s="207">
        <f>'CHAM CONG'!AQ366</f>
        <v>13</v>
      </c>
      <c r="Q370" s="159">
        <f t="shared" si="60"/>
        <v>6.51</v>
      </c>
      <c r="R370" s="159">
        <f t="shared" si="64"/>
        <v>13</v>
      </c>
      <c r="S370" s="159">
        <f t="shared" si="61"/>
        <v>0.41</v>
      </c>
      <c r="T370" s="159"/>
      <c r="U370" s="159"/>
      <c r="V370" s="159"/>
      <c r="W370" s="159"/>
      <c r="X370" s="159">
        <f t="shared" si="62"/>
        <v>17.38</v>
      </c>
      <c r="Y370" s="209"/>
      <c r="Z370" s="210" t="s">
        <v>923</v>
      </c>
      <c r="AA370" s="202">
        <v>17.34</v>
      </c>
      <c r="AB370" s="203">
        <f t="shared" si="63"/>
        <v>-0.04</v>
      </c>
      <c r="AC370" s="124">
        <v>0.04</v>
      </c>
    </row>
    <row r="371" spans="1:29" s="124" customFormat="1" ht="30.6" customHeight="1">
      <c r="A371" s="154">
        <v>356</v>
      </c>
      <c r="B371" s="204"/>
      <c r="C371" s="204"/>
      <c r="D371" s="205"/>
      <c r="E371" s="155" t="str">
        <f>'Tên Tháng 1'!E359</f>
        <v>ហេង ចាន់</v>
      </c>
      <c r="F371" s="157" t="str">
        <f>'Tên Tháng 1'!F359</f>
        <v>HENG CHANN</v>
      </c>
      <c r="G371" s="206">
        <v>395</v>
      </c>
      <c r="H371" s="207">
        <f>'SAN LUONG'!AS368</f>
        <v>669.24</v>
      </c>
      <c r="I371" s="159">
        <f t="shared" si="57"/>
        <v>9.5299999999999994</v>
      </c>
      <c r="J371" s="207">
        <f>'SAN LUONG'!AT368</f>
        <v>0</v>
      </c>
      <c r="K371" s="159">
        <f t="shared" si="56"/>
        <v>0</v>
      </c>
      <c r="L371" s="207"/>
      <c r="M371" s="159">
        <f t="shared" si="58"/>
        <v>0</v>
      </c>
      <c r="N371" s="208">
        <f>'CHAM CONG'!AR367</f>
        <v>2</v>
      </c>
      <c r="O371" s="159">
        <f t="shared" si="65"/>
        <v>1.1000000000000001</v>
      </c>
      <c r="P371" s="207">
        <f>'CHAM CONG'!AQ367</f>
        <v>13</v>
      </c>
      <c r="Q371" s="159">
        <f t="shared" si="60"/>
        <v>6.51</v>
      </c>
      <c r="R371" s="159">
        <f t="shared" si="64"/>
        <v>13</v>
      </c>
      <c r="S371" s="159">
        <f t="shared" si="61"/>
        <v>0.41</v>
      </c>
      <c r="T371" s="159"/>
      <c r="U371" s="159"/>
      <c r="V371" s="159"/>
      <c r="W371" s="159"/>
      <c r="X371" s="159">
        <f t="shared" si="62"/>
        <v>17.55</v>
      </c>
      <c r="Y371" s="209"/>
      <c r="Z371" s="210" t="s">
        <v>923</v>
      </c>
      <c r="AA371" s="202">
        <v>17.510000000000002</v>
      </c>
      <c r="AB371" s="203">
        <f t="shared" si="63"/>
        <v>-0.04</v>
      </c>
      <c r="AC371" s="124">
        <v>0.04</v>
      </c>
    </row>
    <row r="372" spans="1:29" s="124" customFormat="1" ht="30.6" customHeight="1">
      <c r="A372" s="211">
        <v>357</v>
      </c>
      <c r="B372" s="204"/>
      <c r="C372" s="204"/>
      <c r="D372" s="205"/>
      <c r="E372" s="155" t="str">
        <f>'Tên Tháng 1'!E360</f>
        <v>ខុន ឃាង</v>
      </c>
      <c r="F372" s="157" t="str">
        <f>'Tên Tháng 1'!F360</f>
        <v>KHON KHEARNG</v>
      </c>
      <c r="G372" s="206">
        <v>396</v>
      </c>
      <c r="H372" s="207">
        <f>'SAN LUONG'!AS369</f>
        <v>465.08</v>
      </c>
      <c r="I372" s="159">
        <f t="shared" si="57"/>
        <v>6.62</v>
      </c>
      <c r="J372" s="207">
        <f>'SAN LUONG'!AT369</f>
        <v>0</v>
      </c>
      <c r="K372" s="159">
        <f t="shared" si="56"/>
        <v>0</v>
      </c>
      <c r="L372" s="207"/>
      <c r="M372" s="159">
        <f t="shared" si="58"/>
        <v>0</v>
      </c>
      <c r="N372" s="208">
        <f>'CHAM CONG'!AR368</f>
        <v>0</v>
      </c>
      <c r="O372" s="159">
        <f t="shared" si="65"/>
        <v>0</v>
      </c>
      <c r="P372" s="207">
        <f>'CHAM CONG'!AQ368</f>
        <v>13</v>
      </c>
      <c r="Q372" s="159">
        <f t="shared" si="60"/>
        <v>6.51</v>
      </c>
      <c r="R372" s="159">
        <f t="shared" si="64"/>
        <v>13</v>
      </c>
      <c r="S372" s="159">
        <f t="shared" si="61"/>
        <v>0.41</v>
      </c>
      <c r="T372" s="159"/>
      <c r="U372" s="159"/>
      <c r="V372" s="159"/>
      <c r="W372" s="159"/>
      <c r="X372" s="159">
        <f t="shared" si="62"/>
        <v>13.54</v>
      </c>
      <c r="Y372" s="209"/>
      <c r="Z372" s="210" t="s">
        <v>923</v>
      </c>
      <c r="AA372" s="202">
        <v>13.54</v>
      </c>
      <c r="AB372" s="203">
        <f t="shared" si="63"/>
        <v>0</v>
      </c>
      <c r="AC372" s="124">
        <v>0.04</v>
      </c>
    </row>
    <row r="373" spans="1:29" s="124" customFormat="1" ht="30.6" customHeight="1">
      <c r="A373" s="154">
        <v>358</v>
      </c>
      <c r="B373" s="204"/>
      <c r="C373" s="204"/>
      <c r="D373" s="205"/>
      <c r="E373" s="155" t="str">
        <f>'Tên Tháng 1'!E361</f>
        <v>គ្រីប ថេត</v>
      </c>
      <c r="F373" s="157" t="str">
        <f>'Tên Tháng 1'!F361</f>
        <v>KRIP THET</v>
      </c>
      <c r="G373" s="206">
        <v>397</v>
      </c>
      <c r="H373" s="207">
        <f>'SAN LUONG'!AS370</f>
        <v>460.24</v>
      </c>
      <c r="I373" s="159">
        <f t="shared" si="57"/>
        <v>6.55</v>
      </c>
      <c r="J373" s="207">
        <f>'SAN LUONG'!AT370</f>
        <v>0</v>
      </c>
      <c r="K373" s="159">
        <f t="shared" si="56"/>
        <v>0</v>
      </c>
      <c r="L373" s="207"/>
      <c r="M373" s="159">
        <f t="shared" si="58"/>
        <v>0</v>
      </c>
      <c r="N373" s="208">
        <f>'CHAM CONG'!AR369</f>
        <v>0</v>
      </c>
      <c r="O373" s="159">
        <f t="shared" si="65"/>
        <v>0</v>
      </c>
      <c r="P373" s="207">
        <f>'CHAM CONG'!AQ369</f>
        <v>13</v>
      </c>
      <c r="Q373" s="159">
        <f t="shared" si="60"/>
        <v>6.51</v>
      </c>
      <c r="R373" s="159">
        <f t="shared" si="64"/>
        <v>13</v>
      </c>
      <c r="S373" s="159">
        <f t="shared" si="61"/>
        <v>0.41</v>
      </c>
      <c r="T373" s="159"/>
      <c r="U373" s="159"/>
      <c r="V373" s="159"/>
      <c r="W373" s="159"/>
      <c r="X373" s="159">
        <f t="shared" si="62"/>
        <v>13.469999999999999</v>
      </c>
      <c r="Y373" s="209"/>
      <c r="Z373" s="210" t="s">
        <v>923</v>
      </c>
      <c r="AA373" s="202">
        <v>13.47</v>
      </c>
      <c r="AB373" s="203">
        <f t="shared" si="63"/>
        <v>0</v>
      </c>
      <c r="AC373" s="124">
        <v>0.04</v>
      </c>
    </row>
    <row r="374" spans="1:29" s="124" customFormat="1" ht="30.6" customHeight="1">
      <c r="A374" s="211">
        <v>359</v>
      </c>
      <c r="B374" s="204"/>
      <c r="C374" s="204"/>
      <c r="D374" s="205"/>
      <c r="E374" s="155" t="str">
        <f>'Tên Tháng 1'!E362</f>
        <v>ធាន​ ញ៉ាញ់</v>
      </c>
      <c r="F374" s="157" t="str">
        <f>'Tên Tháng 1'!F362</f>
        <v>THEAN NHANH</v>
      </c>
      <c r="G374" s="206">
        <v>398</v>
      </c>
      <c r="H374" s="207">
        <f>'SAN LUONG'!AS371</f>
        <v>602.79999999999995</v>
      </c>
      <c r="I374" s="159">
        <f t="shared" si="57"/>
        <v>8.59</v>
      </c>
      <c r="J374" s="207">
        <f>'SAN LUONG'!AT371</f>
        <v>0</v>
      </c>
      <c r="K374" s="159">
        <f t="shared" si="56"/>
        <v>0</v>
      </c>
      <c r="L374" s="207"/>
      <c r="M374" s="159">
        <f t="shared" si="58"/>
        <v>0</v>
      </c>
      <c r="N374" s="208">
        <f>'CHAM CONG'!AR370</f>
        <v>1</v>
      </c>
      <c r="O374" s="159">
        <f t="shared" si="65"/>
        <v>0.5</v>
      </c>
      <c r="P374" s="207">
        <f>'CHAM CONG'!AQ370</f>
        <v>14</v>
      </c>
      <c r="Q374" s="159">
        <f t="shared" si="60"/>
        <v>7.01</v>
      </c>
      <c r="R374" s="159">
        <f t="shared" si="64"/>
        <v>14</v>
      </c>
      <c r="S374" s="159">
        <f t="shared" si="61"/>
        <v>0.44</v>
      </c>
      <c r="T374" s="159"/>
      <c r="U374" s="159"/>
      <c r="V374" s="159"/>
      <c r="W374" s="159"/>
      <c r="X374" s="159">
        <f t="shared" si="62"/>
        <v>16.54</v>
      </c>
      <c r="Y374" s="209"/>
      <c r="Z374" s="210" t="s">
        <v>923</v>
      </c>
      <c r="AA374" s="202">
        <v>16.57</v>
      </c>
      <c r="AB374" s="203">
        <f t="shared" si="63"/>
        <v>0.03</v>
      </c>
      <c r="AC374" s="124">
        <v>0.04</v>
      </c>
    </row>
    <row r="375" spans="1:29" s="124" customFormat="1" ht="30.6" customHeight="1">
      <c r="A375" s="154">
        <v>360</v>
      </c>
      <c r="B375" s="204"/>
      <c r="C375" s="204"/>
      <c r="D375" s="205"/>
      <c r="E375" s="155" t="str">
        <f>'Tên Tháng 1'!E363</f>
        <v>ក ប៉ា</v>
      </c>
      <c r="F375" s="157" t="str">
        <f>'Tên Tháng 1'!F363</f>
        <v>KOR PA</v>
      </c>
      <c r="G375" s="206">
        <v>399</v>
      </c>
      <c r="H375" s="207">
        <f>'SAN LUONG'!AS372</f>
        <v>533.72</v>
      </c>
      <c r="I375" s="159">
        <f t="shared" si="57"/>
        <v>7.6</v>
      </c>
      <c r="J375" s="207">
        <f>'SAN LUONG'!AT372</f>
        <v>0</v>
      </c>
      <c r="K375" s="159">
        <f t="shared" si="56"/>
        <v>0</v>
      </c>
      <c r="L375" s="207"/>
      <c r="M375" s="159">
        <f t="shared" si="58"/>
        <v>0</v>
      </c>
      <c r="N375" s="208">
        <f>'CHAM CONG'!AR371</f>
        <v>1</v>
      </c>
      <c r="O375" s="159">
        <f t="shared" si="65"/>
        <v>0.5</v>
      </c>
      <c r="P375" s="207">
        <f>'CHAM CONG'!AQ371</f>
        <v>14</v>
      </c>
      <c r="Q375" s="159">
        <f t="shared" si="60"/>
        <v>7.01</v>
      </c>
      <c r="R375" s="159">
        <f t="shared" si="64"/>
        <v>14</v>
      </c>
      <c r="S375" s="159">
        <f t="shared" si="61"/>
        <v>0.44</v>
      </c>
      <c r="T375" s="159"/>
      <c r="U375" s="159"/>
      <c r="V375" s="159"/>
      <c r="W375" s="159"/>
      <c r="X375" s="159">
        <f t="shared" si="62"/>
        <v>15.549999999999999</v>
      </c>
      <c r="Y375" s="209"/>
      <c r="Z375" s="210" t="s">
        <v>923</v>
      </c>
      <c r="AA375" s="202">
        <v>15.58</v>
      </c>
      <c r="AB375" s="203">
        <f t="shared" si="63"/>
        <v>0.03</v>
      </c>
      <c r="AC375" s="124">
        <v>0.04</v>
      </c>
    </row>
    <row r="376" spans="1:29" s="124" customFormat="1" ht="30.6" customHeight="1">
      <c r="A376" s="211">
        <v>361</v>
      </c>
      <c r="B376" s="204"/>
      <c r="C376" s="204"/>
      <c r="D376" s="205"/>
      <c r="E376" s="155" t="str">
        <f>'Tên Tháng 1'!E364</f>
        <v>ឡុង ឡុំ</v>
      </c>
      <c r="F376" s="157" t="str">
        <f>'Tên Tháng 1'!F364</f>
        <v>LONG LOM</v>
      </c>
      <c r="G376" s="206">
        <v>400</v>
      </c>
      <c r="H376" s="207">
        <f>'SAN LUONG'!AS373</f>
        <v>528.88</v>
      </c>
      <c r="I376" s="159">
        <f t="shared" si="57"/>
        <v>7.53</v>
      </c>
      <c r="J376" s="207">
        <f>'SAN LUONG'!AT373</f>
        <v>0</v>
      </c>
      <c r="K376" s="159">
        <f t="shared" si="56"/>
        <v>0</v>
      </c>
      <c r="L376" s="207"/>
      <c r="M376" s="159">
        <f t="shared" si="58"/>
        <v>0</v>
      </c>
      <c r="N376" s="208">
        <f>'CHAM CONG'!AR372</f>
        <v>1</v>
      </c>
      <c r="O376" s="159">
        <f t="shared" si="65"/>
        <v>0.5</v>
      </c>
      <c r="P376" s="207">
        <f>'CHAM CONG'!AQ372</f>
        <v>14</v>
      </c>
      <c r="Q376" s="159">
        <f t="shared" si="60"/>
        <v>7.01</v>
      </c>
      <c r="R376" s="159">
        <f t="shared" si="64"/>
        <v>14</v>
      </c>
      <c r="S376" s="159">
        <f t="shared" si="61"/>
        <v>0.44</v>
      </c>
      <c r="T376" s="159"/>
      <c r="U376" s="159"/>
      <c r="V376" s="159"/>
      <c r="W376" s="159"/>
      <c r="X376" s="159">
        <f t="shared" si="62"/>
        <v>15.479999999999999</v>
      </c>
      <c r="Y376" s="209"/>
      <c r="Z376" s="210" t="s">
        <v>923</v>
      </c>
      <c r="AA376" s="202">
        <v>15.51</v>
      </c>
      <c r="AB376" s="203">
        <f t="shared" si="63"/>
        <v>0.03</v>
      </c>
      <c r="AC376" s="124">
        <v>0.04</v>
      </c>
    </row>
    <row r="377" spans="1:29" s="124" customFormat="1" ht="30.6" customHeight="1">
      <c r="A377" s="154">
        <v>362</v>
      </c>
      <c r="B377" s="204"/>
      <c r="C377" s="204"/>
      <c r="D377" s="205"/>
      <c r="E377" s="155" t="str">
        <f>'Tên Tháng 1'!E365</f>
        <v>ក កុល</v>
      </c>
      <c r="F377" s="157" t="str">
        <f>'Tên Tháng 1'!F365</f>
        <v>KOR KOL</v>
      </c>
      <c r="G377" s="206">
        <v>401</v>
      </c>
      <c r="H377" s="207">
        <f>'SAN LUONG'!AS374</f>
        <v>459.36</v>
      </c>
      <c r="I377" s="159">
        <f t="shared" si="57"/>
        <v>6.54</v>
      </c>
      <c r="J377" s="207">
        <f>'SAN LUONG'!AT374</f>
        <v>0</v>
      </c>
      <c r="K377" s="159">
        <f t="shared" si="56"/>
        <v>0</v>
      </c>
      <c r="L377" s="207"/>
      <c r="M377" s="159">
        <f t="shared" si="58"/>
        <v>0</v>
      </c>
      <c r="N377" s="208">
        <f>'CHAM CONG'!AR373</f>
        <v>1</v>
      </c>
      <c r="O377" s="159">
        <f t="shared" si="65"/>
        <v>0.5</v>
      </c>
      <c r="P377" s="207">
        <f>'CHAM CONG'!AQ373</f>
        <v>12</v>
      </c>
      <c r="Q377" s="159">
        <f t="shared" si="60"/>
        <v>6.01</v>
      </c>
      <c r="R377" s="159">
        <f t="shared" si="64"/>
        <v>12</v>
      </c>
      <c r="S377" s="159">
        <f t="shared" si="61"/>
        <v>0.38</v>
      </c>
      <c r="T377" s="159"/>
      <c r="U377" s="159"/>
      <c r="V377" s="159"/>
      <c r="W377" s="159"/>
      <c r="X377" s="159">
        <f t="shared" si="62"/>
        <v>13.430000000000001</v>
      </c>
      <c r="Y377" s="209"/>
      <c r="Z377" s="210" t="s">
        <v>923</v>
      </c>
      <c r="AA377" s="202">
        <v>13.46</v>
      </c>
      <c r="AB377" s="203">
        <f t="shared" si="63"/>
        <v>0.03</v>
      </c>
      <c r="AC377" s="124">
        <v>0.04</v>
      </c>
    </row>
    <row r="378" spans="1:29" s="124" customFormat="1" ht="30.6" customHeight="1">
      <c r="A378" s="211">
        <v>363</v>
      </c>
      <c r="B378" s="204"/>
      <c r="C378" s="204"/>
      <c r="D378" s="205"/>
      <c r="E378" s="155" t="str">
        <f>'Tên Tháng 1'!E366</f>
        <v>ឃី ស៊ីណា</v>
      </c>
      <c r="F378" s="157" t="str">
        <f>'Tên Tháng 1'!F366</f>
        <v>KHY SINA</v>
      </c>
      <c r="G378" s="206">
        <v>402</v>
      </c>
      <c r="H378" s="207">
        <f>'SAN LUONG'!AS375</f>
        <v>675.4</v>
      </c>
      <c r="I378" s="159">
        <f t="shared" si="57"/>
        <v>9.6199999999999992</v>
      </c>
      <c r="J378" s="207">
        <f>'SAN LUONG'!AT375</f>
        <v>0</v>
      </c>
      <c r="K378" s="159">
        <f t="shared" si="56"/>
        <v>0</v>
      </c>
      <c r="L378" s="207"/>
      <c r="M378" s="159">
        <f t="shared" si="58"/>
        <v>0</v>
      </c>
      <c r="N378" s="208">
        <f>'CHAM CONG'!AR374</f>
        <v>2</v>
      </c>
      <c r="O378" s="159">
        <f t="shared" si="65"/>
        <v>1.1000000000000001</v>
      </c>
      <c r="P378" s="207">
        <f>'CHAM CONG'!AQ374</f>
        <v>13</v>
      </c>
      <c r="Q378" s="159">
        <f t="shared" si="60"/>
        <v>6.51</v>
      </c>
      <c r="R378" s="159">
        <f t="shared" si="64"/>
        <v>13</v>
      </c>
      <c r="S378" s="159">
        <f t="shared" si="61"/>
        <v>0.41</v>
      </c>
      <c r="T378" s="159"/>
      <c r="U378" s="159"/>
      <c r="V378" s="159"/>
      <c r="W378" s="159"/>
      <c r="X378" s="159">
        <f t="shared" si="62"/>
        <v>17.64</v>
      </c>
      <c r="Y378" s="209"/>
      <c r="Z378" s="210" t="s">
        <v>923</v>
      </c>
      <c r="AA378" s="202">
        <v>17.600000000000001</v>
      </c>
      <c r="AB378" s="203">
        <f t="shared" si="63"/>
        <v>-0.04</v>
      </c>
      <c r="AC378" s="124">
        <v>0</v>
      </c>
    </row>
    <row r="379" spans="1:29" s="124" customFormat="1" ht="30.6" customHeight="1">
      <c r="A379" s="154">
        <v>364</v>
      </c>
      <c r="B379" s="204"/>
      <c r="C379" s="204"/>
      <c r="D379" s="205"/>
      <c r="E379" s="155" t="str">
        <f>'Tên Tháng 1'!E367</f>
        <v>ទូច ចន្ថា</v>
      </c>
      <c r="F379" s="157" t="str">
        <f>'Tên Tháng 1'!F367</f>
        <v>TOCH CHANTHA</v>
      </c>
      <c r="G379" s="206">
        <v>403</v>
      </c>
      <c r="H379" s="207">
        <f>'SAN LUONG'!AS376</f>
        <v>582.55999999999995</v>
      </c>
      <c r="I379" s="159">
        <f t="shared" si="57"/>
        <v>8.3000000000000007</v>
      </c>
      <c r="J379" s="207">
        <f>'SAN LUONG'!AT376</f>
        <v>0</v>
      </c>
      <c r="K379" s="159">
        <f t="shared" si="56"/>
        <v>0</v>
      </c>
      <c r="L379" s="207"/>
      <c r="M379" s="159">
        <f t="shared" si="58"/>
        <v>0</v>
      </c>
      <c r="N379" s="208">
        <f>'CHAM CONG'!AR375</f>
        <v>1</v>
      </c>
      <c r="O379" s="159">
        <f t="shared" si="65"/>
        <v>0.5</v>
      </c>
      <c r="P379" s="207">
        <f>'CHAM CONG'!AQ375</f>
        <v>14</v>
      </c>
      <c r="Q379" s="159">
        <f t="shared" si="60"/>
        <v>7.01</v>
      </c>
      <c r="R379" s="159">
        <f t="shared" si="64"/>
        <v>14</v>
      </c>
      <c r="S379" s="159">
        <f t="shared" si="61"/>
        <v>0.44</v>
      </c>
      <c r="T379" s="159"/>
      <c r="U379" s="159"/>
      <c r="V379" s="159"/>
      <c r="W379" s="159"/>
      <c r="X379" s="159">
        <f t="shared" si="62"/>
        <v>16.25</v>
      </c>
      <c r="Y379" s="209"/>
      <c r="Z379" s="210" t="s">
        <v>923</v>
      </c>
      <c r="AA379" s="202">
        <v>16.28</v>
      </c>
      <c r="AB379" s="203">
        <f t="shared" si="63"/>
        <v>0.03</v>
      </c>
      <c r="AC379" s="124">
        <v>0.04</v>
      </c>
    </row>
    <row r="380" spans="1:29" s="124" customFormat="1" ht="30.6" customHeight="1">
      <c r="A380" s="211">
        <v>365</v>
      </c>
      <c r="B380" s="204"/>
      <c r="C380" s="204"/>
      <c r="D380" s="205"/>
      <c r="E380" s="155" t="str">
        <f>'Tên Tháng 1'!E368</f>
        <v>ប៊ិន ចាន់</v>
      </c>
      <c r="F380" s="157" t="str">
        <f>'Tên Tháng 1'!F368</f>
        <v>BEN CHANN</v>
      </c>
      <c r="G380" s="206">
        <v>404</v>
      </c>
      <c r="H380" s="207">
        <f>'SAN LUONG'!AS377</f>
        <v>596.64</v>
      </c>
      <c r="I380" s="159">
        <f t="shared" si="57"/>
        <v>8.5</v>
      </c>
      <c r="J380" s="207">
        <f>'SAN LUONG'!AT377</f>
        <v>0</v>
      </c>
      <c r="K380" s="159">
        <f t="shared" si="56"/>
        <v>0</v>
      </c>
      <c r="L380" s="207"/>
      <c r="M380" s="159">
        <f t="shared" si="58"/>
        <v>0</v>
      </c>
      <c r="N380" s="208">
        <f>'CHAM CONG'!AR376</f>
        <v>2</v>
      </c>
      <c r="O380" s="159">
        <f t="shared" si="65"/>
        <v>1.1000000000000001</v>
      </c>
      <c r="P380" s="207">
        <f>'CHAM CONG'!AQ376</f>
        <v>14</v>
      </c>
      <c r="Q380" s="159">
        <f t="shared" si="60"/>
        <v>7.01</v>
      </c>
      <c r="R380" s="159">
        <f t="shared" si="64"/>
        <v>14</v>
      </c>
      <c r="S380" s="159">
        <f t="shared" si="61"/>
        <v>0.44</v>
      </c>
      <c r="T380" s="159"/>
      <c r="U380" s="159"/>
      <c r="V380" s="159"/>
      <c r="W380" s="159"/>
      <c r="X380" s="159">
        <f t="shared" si="62"/>
        <v>17.05</v>
      </c>
      <c r="Y380" s="209"/>
      <c r="Z380" s="210" t="s">
        <v>923</v>
      </c>
      <c r="AA380" s="202">
        <v>17.010000000000002</v>
      </c>
      <c r="AB380" s="203">
        <f t="shared" si="63"/>
        <v>-0.04</v>
      </c>
      <c r="AC380" s="124">
        <v>0.04</v>
      </c>
    </row>
    <row r="381" spans="1:29" s="124" customFormat="1" ht="30.6" customHeight="1">
      <c r="A381" s="154">
        <v>366</v>
      </c>
      <c r="B381" s="204"/>
      <c r="C381" s="204"/>
      <c r="D381" s="205"/>
      <c r="E381" s="155" t="str">
        <f>'Tên Tháng 1'!E369</f>
        <v>ធាន ថេង</v>
      </c>
      <c r="F381" s="157" t="str">
        <f>'Tên Tháng 1'!F369</f>
        <v>THEAN THENG</v>
      </c>
      <c r="G381" s="206">
        <v>405</v>
      </c>
      <c r="H381" s="207">
        <f>'SAN LUONG'!AS378</f>
        <v>440.88</v>
      </c>
      <c r="I381" s="159">
        <f t="shared" si="57"/>
        <v>6.28</v>
      </c>
      <c r="J381" s="207">
        <f>'SAN LUONG'!AT378</f>
        <v>0</v>
      </c>
      <c r="K381" s="159">
        <f t="shared" si="56"/>
        <v>0</v>
      </c>
      <c r="L381" s="207"/>
      <c r="M381" s="159">
        <f t="shared" si="58"/>
        <v>0</v>
      </c>
      <c r="N381" s="208">
        <f>'CHAM CONG'!AR377</f>
        <v>0</v>
      </c>
      <c r="O381" s="159">
        <f t="shared" si="65"/>
        <v>0</v>
      </c>
      <c r="P381" s="207">
        <f>'CHAM CONG'!AQ377</f>
        <v>12</v>
      </c>
      <c r="Q381" s="159">
        <f t="shared" si="60"/>
        <v>6.01</v>
      </c>
      <c r="R381" s="159">
        <f t="shared" si="64"/>
        <v>12</v>
      </c>
      <c r="S381" s="159">
        <f t="shared" si="61"/>
        <v>0.38</v>
      </c>
      <c r="T381" s="159"/>
      <c r="U381" s="159"/>
      <c r="V381" s="159"/>
      <c r="W381" s="159"/>
      <c r="X381" s="159">
        <f t="shared" si="62"/>
        <v>12.67</v>
      </c>
      <c r="Y381" s="209"/>
      <c r="Z381" s="210" t="s">
        <v>923</v>
      </c>
      <c r="AA381" s="202">
        <v>12.66</v>
      </c>
      <c r="AB381" s="203">
        <f t="shared" si="63"/>
        <v>-0.01</v>
      </c>
      <c r="AC381" s="124">
        <v>0.04</v>
      </c>
    </row>
    <row r="382" spans="1:29" s="124" customFormat="1" ht="30.6" customHeight="1">
      <c r="A382" s="211">
        <v>367</v>
      </c>
      <c r="B382" s="204"/>
      <c r="C382" s="204"/>
      <c r="D382" s="205"/>
      <c r="E382" s="155" t="str">
        <f>'Tên Tháng 1'!E370</f>
        <v>ហ៊ន់ ហ៊ីម</v>
      </c>
      <c r="F382" s="157" t="str">
        <f>'Tên Tháng 1'!F370</f>
        <v>HOUN HIM</v>
      </c>
      <c r="G382" s="206">
        <v>406</v>
      </c>
      <c r="H382" s="207">
        <f>'SAN LUONG'!AS379</f>
        <v>688.16</v>
      </c>
      <c r="I382" s="159">
        <f t="shared" si="57"/>
        <v>9.8000000000000007</v>
      </c>
      <c r="J382" s="207">
        <f>'SAN LUONG'!AT379</f>
        <v>0</v>
      </c>
      <c r="K382" s="159">
        <f t="shared" si="56"/>
        <v>0</v>
      </c>
      <c r="L382" s="207"/>
      <c r="M382" s="159">
        <f t="shared" si="58"/>
        <v>0</v>
      </c>
      <c r="N382" s="208">
        <f>'CHAM CONG'!AR378</f>
        <v>2</v>
      </c>
      <c r="O382" s="159">
        <f t="shared" si="65"/>
        <v>1.1000000000000001</v>
      </c>
      <c r="P382" s="207">
        <f>'CHAM CONG'!AQ378</f>
        <v>15</v>
      </c>
      <c r="Q382" s="159">
        <f t="shared" si="60"/>
        <v>7.51</v>
      </c>
      <c r="R382" s="159">
        <f t="shared" si="64"/>
        <v>15</v>
      </c>
      <c r="S382" s="159">
        <f t="shared" si="61"/>
        <v>0.47</v>
      </c>
      <c r="T382" s="159"/>
      <c r="U382" s="159"/>
      <c r="V382" s="159"/>
      <c r="W382" s="159"/>
      <c r="X382" s="159">
        <f t="shared" si="62"/>
        <v>18.880000000000003</v>
      </c>
      <c r="Y382" s="209"/>
      <c r="Z382" s="210" t="s">
        <v>923</v>
      </c>
      <c r="AA382" s="202">
        <v>18.850000000000001</v>
      </c>
      <c r="AB382" s="203">
        <f t="shared" si="63"/>
        <v>-0.03</v>
      </c>
      <c r="AC382" s="124">
        <v>0.04</v>
      </c>
    </row>
    <row r="383" spans="1:29" s="124" customFormat="1" ht="30.6" customHeight="1">
      <c r="A383" s="154">
        <v>368</v>
      </c>
      <c r="B383" s="204"/>
      <c r="C383" s="204"/>
      <c r="D383" s="205"/>
      <c r="E383" s="155" t="str">
        <f>'Tên Tháng 1'!E371</f>
        <v>ឈុន សុឃីម</v>
      </c>
      <c r="F383" s="157" t="str">
        <f>'Tên Tháng 1'!F371</f>
        <v>CHHUN SOKHIM</v>
      </c>
      <c r="G383" s="206">
        <v>407</v>
      </c>
      <c r="H383" s="207">
        <f>'SAN LUONG'!AS380</f>
        <v>558.36</v>
      </c>
      <c r="I383" s="159">
        <f t="shared" si="57"/>
        <v>7.95</v>
      </c>
      <c r="J383" s="207">
        <f>'SAN LUONG'!AT380</f>
        <v>0</v>
      </c>
      <c r="K383" s="159">
        <f t="shared" si="56"/>
        <v>0</v>
      </c>
      <c r="L383" s="207"/>
      <c r="M383" s="159">
        <f t="shared" si="58"/>
        <v>0</v>
      </c>
      <c r="N383" s="208">
        <f>'CHAM CONG'!AR379</f>
        <v>2</v>
      </c>
      <c r="O383" s="159">
        <f t="shared" si="65"/>
        <v>1.1000000000000001</v>
      </c>
      <c r="P383" s="207">
        <f>'CHAM CONG'!AQ379</f>
        <v>13</v>
      </c>
      <c r="Q383" s="159">
        <f t="shared" si="60"/>
        <v>6.51</v>
      </c>
      <c r="R383" s="159">
        <f t="shared" si="64"/>
        <v>13</v>
      </c>
      <c r="S383" s="159">
        <f t="shared" si="61"/>
        <v>0.41</v>
      </c>
      <c r="T383" s="159"/>
      <c r="U383" s="159"/>
      <c r="V383" s="159"/>
      <c r="W383" s="159"/>
      <c r="X383" s="159">
        <f t="shared" si="62"/>
        <v>15.97</v>
      </c>
      <c r="Y383" s="209"/>
      <c r="Z383" s="210" t="s">
        <v>923</v>
      </c>
      <c r="AA383" s="202">
        <v>15.93</v>
      </c>
      <c r="AB383" s="203">
        <f t="shared" si="63"/>
        <v>-0.04</v>
      </c>
      <c r="AC383" s="124">
        <v>0.04</v>
      </c>
    </row>
    <row r="384" spans="1:29" s="124" customFormat="1" ht="30.6" customHeight="1">
      <c r="A384" s="211">
        <v>369</v>
      </c>
      <c r="B384" s="204"/>
      <c r="C384" s="204"/>
      <c r="D384" s="205"/>
      <c r="E384" s="155" t="str">
        <f>'Tên Tháng 1'!E372</f>
        <v>អ៊ី​ សុខេង</v>
      </c>
      <c r="F384" s="157" t="str">
        <f>'Tên Tháng 1'!F372</f>
        <v>IY SOHKENG</v>
      </c>
      <c r="G384" s="206">
        <v>408</v>
      </c>
      <c r="H384" s="207">
        <f>'SAN LUONG'!AS381</f>
        <v>552.64</v>
      </c>
      <c r="I384" s="159">
        <f t="shared" si="57"/>
        <v>7.87</v>
      </c>
      <c r="J384" s="207">
        <f>'SAN LUONG'!AT381</f>
        <v>0</v>
      </c>
      <c r="K384" s="159">
        <f t="shared" si="56"/>
        <v>0</v>
      </c>
      <c r="L384" s="207"/>
      <c r="M384" s="159">
        <f t="shared" si="58"/>
        <v>0</v>
      </c>
      <c r="N384" s="208">
        <f>'CHAM CONG'!AR380</f>
        <v>2</v>
      </c>
      <c r="O384" s="159">
        <f t="shared" si="65"/>
        <v>1.1000000000000001</v>
      </c>
      <c r="P384" s="207">
        <f>'CHAM CONG'!AQ380</f>
        <v>13</v>
      </c>
      <c r="Q384" s="159">
        <f t="shared" si="60"/>
        <v>6.51</v>
      </c>
      <c r="R384" s="159">
        <f t="shared" si="64"/>
        <v>13</v>
      </c>
      <c r="S384" s="159">
        <f t="shared" si="61"/>
        <v>0.41</v>
      </c>
      <c r="T384" s="159"/>
      <c r="U384" s="159"/>
      <c r="V384" s="159"/>
      <c r="W384" s="159"/>
      <c r="X384" s="159">
        <f t="shared" si="62"/>
        <v>15.889999999999999</v>
      </c>
      <c r="Y384" s="209"/>
      <c r="Z384" s="210" t="s">
        <v>923</v>
      </c>
      <c r="AA384" s="202">
        <v>15.85</v>
      </c>
      <c r="AB384" s="203">
        <f t="shared" si="63"/>
        <v>-0.04</v>
      </c>
      <c r="AC384" s="124">
        <v>0.04</v>
      </c>
    </row>
    <row r="385" spans="1:29" s="124" customFormat="1" ht="30.6" customHeight="1">
      <c r="A385" s="154">
        <v>370</v>
      </c>
      <c r="B385" s="204"/>
      <c r="C385" s="204"/>
      <c r="D385" s="205"/>
      <c r="E385" s="155" t="str">
        <f>'Tên Tháng 1'!E373</f>
        <v>អ៊ាង ផាត</v>
      </c>
      <c r="F385" s="157" t="str">
        <f>'Tên Tháng 1'!F373</f>
        <v>IENG PHAT</v>
      </c>
      <c r="G385" s="206">
        <v>409</v>
      </c>
      <c r="H385" s="207">
        <f>'SAN LUONG'!AS382</f>
        <v>360.36</v>
      </c>
      <c r="I385" s="159">
        <f t="shared" si="57"/>
        <v>5.13</v>
      </c>
      <c r="J385" s="207">
        <f>'SAN LUONG'!AT382</f>
        <v>0</v>
      </c>
      <c r="K385" s="159">
        <f t="shared" si="56"/>
        <v>0</v>
      </c>
      <c r="L385" s="207"/>
      <c r="M385" s="159">
        <f t="shared" si="58"/>
        <v>0</v>
      </c>
      <c r="N385" s="208">
        <f>'CHAM CONG'!AR381</f>
        <v>2</v>
      </c>
      <c r="O385" s="159">
        <f t="shared" si="65"/>
        <v>1.1000000000000001</v>
      </c>
      <c r="P385" s="207">
        <f>'CHAM CONG'!AQ381</f>
        <v>14</v>
      </c>
      <c r="Q385" s="159">
        <f t="shared" si="60"/>
        <v>7.01</v>
      </c>
      <c r="R385" s="159">
        <f t="shared" si="64"/>
        <v>14</v>
      </c>
      <c r="S385" s="159">
        <f t="shared" si="61"/>
        <v>0.44</v>
      </c>
      <c r="T385" s="159"/>
      <c r="U385" s="159"/>
      <c r="V385" s="159"/>
      <c r="W385" s="159"/>
      <c r="X385" s="159">
        <f t="shared" si="62"/>
        <v>13.68</v>
      </c>
      <c r="Y385" s="209"/>
      <c r="Z385" s="210" t="s">
        <v>923</v>
      </c>
      <c r="AA385" s="202">
        <v>13.65</v>
      </c>
      <c r="AB385" s="203">
        <f t="shared" si="63"/>
        <v>-0.03</v>
      </c>
      <c r="AC385" s="124">
        <v>0.04</v>
      </c>
    </row>
    <row r="386" spans="1:29" s="124" customFormat="1" ht="30.6" customHeight="1">
      <c r="A386" s="211">
        <v>371</v>
      </c>
      <c r="B386" s="204"/>
      <c r="C386" s="204"/>
      <c r="D386" s="205"/>
      <c r="E386" s="155" t="str">
        <f>'Tên Tháng 1'!E374</f>
        <v>ហ៊ន់ ស្រីហ៊ាង</v>
      </c>
      <c r="F386" s="157" t="str">
        <f>'Tên Tháng 1'!F374</f>
        <v>HORN SREYHEANG</v>
      </c>
      <c r="G386" s="206">
        <v>410</v>
      </c>
      <c r="H386" s="207">
        <f>'SAN LUONG'!AS383</f>
        <v>345.84</v>
      </c>
      <c r="I386" s="159">
        <f t="shared" si="57"/>
        <v>4.93</v>
      </c>
      <c r="J386" s="207">
        <f>'SAN LUONG'!AT383</f>
        <v>0</v>
      </c>
      <c r="K386" s="159">
        <f t="shared" si="56"/>
        <v>0</v>
      </c>
      <c r="L386" s="207"/>
      <c r="M386" s="159">
        <f t="shared" si="58"/>
        <v>0</v>
      </c>
      <c r="N386" s="208">
        <f>'CHAM CONG'!AR382</f>
        <v>2</v>
      </c>
      <c r="O386" s="159">
        <f t="shared" si="65"/>
        <v>1.1000000000000001</v>
      </c>
      <c r="P386" s="207">
        <f>'CHAM CONG'!AQ382</f>
        <v>14</v>
      </c>
      <c r="Q386" s="159">
        <f t="shared" si="60"/>
        <v>7.01</v>
      </c>
      <c r="R386" s="159">
        <f t="shared" si="64"/>
        <v>14</v>
      </c>
      <c r="S386" s="159">
        <f t="shared" si="61"/>
        <v>0.44</v>
      </c>
      <c r="T386" s="159"/>
      <c r="U386" s="159"/>
      <c r="V386" s="159"/>
      <c r="W386" s="159"/>
      <c r="X386" s="159">
        <f t="shared" si="62"/>
        <v>13.479999999999999</v>
      </c>
      <c r="Y386" s="209"/>
      <c r="Z386" s="210" t="s">
        <v>923</v>
      </c>
      <c r="AA386" s="202">
        <v>13.44</v>
      </c>
      <c r="AB386" s="203">
        <f t="shared" si="63"/>
        <v>-0.04</v>
      </c>
      <c r="AC386" s="124">
        <v>0.04</v>
      </c>
    </row>
    <row r="387" spans="1:29" s="124" customFormat="1" ht="30.6" customHeight="1">
      <c r="A387" s="154">
        <v>372</v>
      </c>
      <c r="B387" s="204"/>
      <c r="C387" s="204"/>
      <c r="D387" s="205"/>
      <c r="E387" s="155" t="str">
        <f>'Tên Tháng 1'!E375</f>
        <v>ត្រុច ចិត្រ្តា</v>
      </c>
      <c r="F387" s="157" t="str">
        <f>'Tên Tháng 1'!F375</f>
        <v>TROCH CHET TRA</v>
      </c>
      <c r="G387" s="206">
        <v>411</v>
      </c>
      <c r="H387" s="207">
        <f>'SAN LUONG'!AS384</f>
        <v>525.36</v>
      </c>
      <c r="I387" s="159">
        <f t="shared" si="57"/>
        <v>7.48</v>
      </c>
      <c r="J387" s="207">
        <f>'SAN LUONG'!AT384</f>
        <v>0</v>
      </c>
      <c r="K387" s="159">
        <f t="shared" si="56"/>
        <v>0</v>
      </c>
      <c r="L387" s="207"/>
      <c r="M387" s="159">
        <f t="shared" si="58"/>
        <v>0</v>
      </c>
      <c r="N387" s="208">
        <f>'CHAM CONG'!AR383</f>
        <v>0</v>
      </c>
      <c r="O387" s="159">
        <f t="shared" si="65"/>
        <v>0</v>
      </c>
      <c r="P387" s="207">
        <f>'CHAM CONG'!AQ383</f>
        <v>14</v>
      </c>
      <c r="Q387" s="159">
        <f t="shared" si="60"/>
        <v>7.01</v>
      </c>
      <c r="R387" s="159">
        <f t="shared" si="64"/>
        <v>14</v>
      </c>
      <c r="S387" s="159">
        <f t="shared" si="61"/>
        <v>0.44</v>
      </c>
      <c r="T387" s="159"/>
      <c r="U387" s="159"/>
      <c r="V387" s="159"/>
      <c r="W387" s="159"/>
      <c r="X387" s="159">
        <f t="shared" si="62"/>
        <v>14.93</v>
      </c>
      <c r="Y387" s="209"/>
      <c r="Z387" s="210" t="s">
        <v>923</v>
      </c>
      <c r="AA387" s="202">
        <v>14.93</v>
      </c>
      <c r="AB387" s="203">
        <f t="shared" si="63"/>
        <v>0</v>
      </c>
      <c r="AC387" s="124">
        <v>0.04</v>
      </c>
    </row>
    <row r="388" spans="1:29" s="124" customFormat="1" ht="30.6" customHeight="1">
      <c r="A388" s="211">
        <v>373</v>
      </c>
      <c r="B388" s="204"/>
      <c r="C388" s="204"/>
      <c r="D388" s="205"/>
      <c r="E388" s="155" t="str">
        <f>'Tên Tháng 1'!E376</f>
        <v>ឈុន សុខធា</v>
      </c>
      <c r="F388" s="157" t="str">
        <f>'Tên Tháng 1'!F376</f>
        <v>CHHUN SOKTHEA</v>
      </c>
      <c r="G388" s="206">
        <v>412</v>
      </c>
      <c r="H388" s="207">
        <f>'SAN LUONG'!AS385</f>
        <v>456.72</v>
      </c>
      <c r="I388" s="159">
        <f t="shared" si="57"/>
        <v>6.5</v>
      </c>
      <c r="J388" s="207">
        <f>'SAN LUONG'!AT385</f>
        <v>0</v>
      </c>
      <c r="K388" s="159">
        <f t="shared" si="56"/>
        <v>0</v>
      </c>
      <c r="L388" s="207"/>
      <c r="M388" s="159">
        <f t="shared" si="58"/>
        <v>0</v>
      </c>
      <c r="N388" s="208">
        <f>'CHAM CONG'!AR384</f>
        <v>0</v>
      </c>
      <c r="O388" s="159">
        <f t="shared" si="65"/>
        <v>0</v>
      </c>
      <c r="P388" s="207">
        <f>'CHAM CONG'!AQ384</f>
        <v>14</v>
      </c>
      <c r="Q388" s="159">
        <f t="shared" si="60"/>
        <v>7.01</v>
      </c>
      <c r="R388" s="159">
        <f t="shared" si="64"/>
        <v>14</v>
      </c>
      <c r="S388" s="159">
        <f t="shared" si="61"/>
        <v>0.44</v>
      </c>
      <c r="T388" s="159"/>
      <c r="U388" s="159"/>
      <c r="V388" s="159"/>
      <c r="W388" s="159"/>
      <c r="X388" s="159">
        <f t="shared" si="62"/>
        <v>13.95</v>
      </c>
      <c r="Y388" s="209"/>
      <c r="Z388" s="210" t="s">
        <v>923</v>
      </c>
      <c r="AA388" s="202">
        <v>13.95</v>
      </c>
      <c r="AB388" s="203">
        <f t="shared" si="63"/>
        <v>0</v>
      </c>
      <c r="AC388" s="124">
        <v>0.04</v>
      </c>
    </row>
    <row r="389" spans="1:29" s="124" customFormat="1" ht="30.6" customHeight="1">
      <c r="A389" s="154">
        <v>374</v>
      </c>
      <c r="B389" s="204"/>
      <c r="C389" s="204"/>
      <c r="D389" s="205"/>
      <c r="E389" s="155" t="str">
        <f>'Tên Tháng 1'!E377</f>
        <v>ថាវ ផា</v>
      </c>
      <c r="F389" s="157" t="str">
        <f>'Tên Tháng 1'!F377</f>
        <v>THAV PHA</v>
      </c>
      <c r="G389" s="206">
        <v>413</v>
      </c>
      <c r="H389" s="207">
        <f>'SAN LUONG'!AS386</f>
        <v>777.04</v>
      </c>
      <c r="I389" s="159">
        <f t="shared" si="57"/>
        <v>11.07</v>
      </c>
      <c r="J389" s="207">
        <f>'SAN LUONG'!AT386</f>
        <v>0</v>
      </c>
      <c r="K389" s="159">
        <f t="shared" si="56"/>
        <v>0</v>
      </c>
      <c r="L389" s="207"/>
      <c r="M389" s="159">
        <f t="shared" si="58"/>
        <v>0</v>
      </c>
      <c r="N389" s="208">
        <f>'CHAM CONG'!AR385</f>
        <v>2</v>
      </c>
      <c r="O389" s="159">
        <f t="shared" si="65"/>
        <v>1.1000000000000001</v>
      </c>
      <c r="P389" s="207">
        <f>'CHAM CONG'!AQ385</f>
        <v>15</v>
      </c>
      <c r="Q389" s="159">
        <f t="shared" si="60"/>
        <v>7.51</v>
      </c>
      <c r="R389" s="159">
        <f t="shared" si="64"/>
        <v>15</v>
      </c>
      <c r="S389" s="159">
        <f t="shared" si="61"/>
        <v>0.47</v>
      </c>
      <c r="T389" s="159"/>
      <c r="U389" s="159"/>
      <c r="V389" s="159"/>
      <c r="W389" s="159"/>
      <c r="X389" s="159">
        <f t="shared" si="62"/>
        <v>20.149999999999999</v>
      </c>
      <c r="Y389" s="209"/>
      <c r="Z389" s="210" t="s">
        <v>923</v>
      </c>
      <c r="AA389" s="202">
        <v>20.11</v>
      </c>
      <c r="AB389" s="203">
        <f t="shared" si="63"/>
        <v>-0.04</v>
      </c>
      <c r="AC389" s="124">
        <v>0.04</v>
      </c>
    </row>
    <row r="390" spans="1:29" s="124" customFormat="1" ht="30.6" customHeight="1">
      <c r="A390" s="211">
        <v>375</v>
      </c>
      <c r="B390" s="204"/>
      <c r="C390" s="204"/>
      <c r="D390" s="205"/>
      <c r="E390" s="155" t="str">
        <f>'Tên Tháng 1'!E378</f>
        <v>លន វុត</v>
      </c>
      <c r="F390" s="157" t="str">
        <f>'Tên Tháng 1'!F378</f>
        <v>LORN VUT</v>
      </c>
      <c r="G390" s="206">
        <v>414</v>
      </c>
      <c r="H390" s="207">
        <f>'SAN LUONG'!AS387</f>
        <v>694.76</v>
      </c>
      <c r="I390" s="159">
        <f t="shared" si="57"/>
        <v>9.9</v>
      </c>
      <c r="J390" s="207">
        <f>'SAN LUONG'!AT387</f>
        <v>0</v>
      </c>
      <c r="K390" s="159">
        <f t="shared" si="56"/>
        <v>0</v>
      </c>
      <c r="L390" s="207"/>
      <c r="M390" s="159">
        <f t="shared" si="58"/>
        <v>0</v>
      </c>
      <c r="N390" s="208">
        <f>'CHAM CONG'!AR386</f>
        <v>2</v>
      </c>
      <c r="O390" s="159">
        <f t="shared" ref="O390:O408" si="66">ROUND(N390*$O$14/31947,1)</f>
        <v>1.1000000000000001</v>
      </c>
      <c r="P390" s="207">
        <f>'CHAM CONG'!AQ386</f>
        <v>15</v>
      </c>
      <c r="Q390" s="159">
        <f t="shared" si="60"/>
        <v>7.51</v>
      </c>
      <c r="R390" s="159">
        <f t="shared" si="64"/>
        <v>15</v>
      </c>
      <c r="S390" s="159">
        <f t="shared" si="61"/>
        <v>0.47</v>
      </c>
      <c r="T390" s="159"/>
      <c r="U390" s="159"/>
      <c r="V390" s="159"/>
      <c r="W390" s="159"/>
      <c r="X390" s="159">
        <f t="shared" si="62"/>
        <v>18.98</v>
      </c>
      <c r="Y390" s="209"/>
      <c r="Z390" s="210" t="s">
        <v>923</v>
      </c>
      <c r="AA390" s="202">
        <v>18.940000000000001</v>
      </c>
      <c r="AB390" s="203">
        <f t="shared" si="63"/>
        <v>-0.04</v>
      </c>
      <c r="AC390" s="124">
        <v>0.04</v>
      </c>
    </row>
    <row r="391" spans="1:29" s="124" customFormat="1" ht="30.6" customHeight="1">
      <c r="A391" s="154">
        <v>376</v>
      </c>
      <c r="B391" s="204"/>
      <c r="C391" s="204"/>
      <c r="D391" s="205"/>
      <c r="E391" s="155" t="str">
        <f>'Tên Tháng 1'!E379</f>
        <v>លីន ចាន់</v>
      </c>
      <c r="F391" s="157" t="str">
        <f>'Tên Tháng 1'!F379</f>
        <v>LIN CHAN</v>
      </c>
      <c r="G391" s="206">
        <v>415</v>
      </c>
      <c r="H391" s="207">
        <f>'SAN LUONG'!AS388</f>
        <v>685.08</v>
      </c>
      <c r="I391" s="159">
        <f t="shared" si="57"/>
        <v>9.76</v>
      </c>
      <c r="J391" s="207">
        <f>'SAN LUONG'!AT388</f>
        <v>0</v>
      </c>
      <c r="K391" s="159">
        <f t="shared" si="56"/>
        <v>0</v>
      </c>
      <c r="L391" s="207"/>
      <c r="M391" s="159">
        <f t="shared" si="58"/>
        <v>0</v>
      </c>
      <c r="N391" s="208">
        <f>'CHAM CONG'!AR387</f>
        <v>2</v>
      </c>
      <c r="O391" s="159">
        <f t="shared" si="66"/>
        <v>1.1000000000000001</v>
      </c>
      <c r="P391" s="207">
        <f>'CHAM CONG'!AQ387</f>
        <v>15</v>
      </c>
      <c r="Q391" s="159">
        <f t="shared" si="60"/>
        <v>7.51</v>
      </c>
      <c r="R391" s="159">
        <f t="shared" si="64"/>
        <v>15</v>
      </c>
      <c r="S391" s="159">
        <f t="shared" si="61"/>
        <v>0.47</v>
      </c>
      <c r="T391" s="159"/>
      <c r="U391" s="159"/>
      <c r="V391" s="159"/>
      <c r="W391" s="159"/>
      <c r="X391" s="159">
        <f t="shared" si="62"/>
        <v>18.84</v>
      </c>
      <c r="Y391" s="209"/>
      <c r="Z391" s="210" t="s">
        <v>923</v>
      </c>
      <c r="AA391" s="202">
        <v>18.8</v>
      </c>
      <c r="AB391" s="203">
        <f t="shared" si="63"/>
        <v>-0.04</v>
      </c>
      <c r="AC391" s="124">
        <v>0.04</v>
      </c>
    </row>
    <row r="392" spans="1:29" s="124" customFormat="1" ht="30.6" customHeight="1">
      <c r="A392" s="211">
        <v>377</v>
      </c>
      <c r="B392" s="204"/>
      <c r="C392" s="204"/>
      <c r="D392" s="205"/>
      <c r="E392" s="155" t="str">
        <f>'Tên Tháng 1'!E380</f>
        <v>ប៊ុណ្ណា ចាន់ទ្រា</v>
      </c>
      <c r="F392" s="157" t="str">
        <f>'Tên Tháng 1'!F380</f>
        <v>BUNNA CHAN TREA</v>
      </c>
      <c r="G392" s="206">
        <v>416</v>
      </c>
      <c r="H392" s="207">
        <f>'SAN LUONG'!AS389</f>
        <v>534.6</v>
      </c>
      <c r="I392" s="159">
        <f t="shared" si="57"/>
        <v>7.61</v>
      </c>
      <c r="J392" s="207">
        <f>'SAN LUONG'!AT389</f>
        <v>0</v>
      </c>
      <c r="K392" s="159">
        <f t="shared" si="56"/>
        <v>0</v>
      </c>
      <c r="L392" s="207"/>
      <c r="M392" s="159">
        <f t="shared" si="58"/>
        <v>0</v>
      </c>
      <c r="N392" s="208">
        <f>'CHAM CONG'!AR388</f>
        <v>2</v>
      </c>
      <c r="O392" s="159">
        <f t="shared" si="66"/>
        <v>1.1000000000000001</v>
      </c>
      <c r="P392" s="207">
        <f>'CHAM CONG'!AQ388</f>
        <v>14</v>
      </c>
      <c r="Q392" s="159">
        <f t="shared" si="60"/>
        <v>7.01</v>
      </c>
      <c r="R392" s="159">
        <f t="shared" si="64"/>
        <v>14</v>
      </c>
      <c r="S392" s="159">
        <f t="shared" si="61"/>
        <v>0.44</v>
      </c>
      <c r="T392" s="159"/>
      <c r="U392" s="159"/>
      <c r="V392" s="159"/>
      <c r="W392" s="159"/>
      <c r="X392" s="159">
        <f t="shared" si="62"/>
        <v>16.16</v>
      </c>
      <c r="Y392" s="209"/>
      <c r="Z392" s="210" t="s">
        <v>923</v>
      </c>
      <c r="AA392" s="202">
        <v>16.13</v>
      </c>
      <c r="AB392" s="203">
        <f t="shared" si="63"/>
        <v>-0.03</v>
      </c>
      <c r="AC392" s="124">
        <v>0.02</v>
      </c>
    </row>
    <row r="393" spans="1:29" s="124" customFormat="1" ht="30.6" customHeight="1">
      <c r="A393" s="154">
        <v>378</v>
      </c>
      <c r="B393" s="204"/>
      <c r="C393" s="204"/>
      <c r="D393" s="205"/>
      <c r="E393" s="155" t="str">
        <f>'Tên Tháng 1'!E381</f>
        <v>ទិត ភឿន</v>
      </c>
      <c r="F393" s="157" t="str">
        <f>'Tên Tháng 1'!F381</f>
        <v>TITH PHOEUN</v>
      </c>
      <c r="G393" s="206">
        <v>417</v>
      </c>
      <c r="H393" s="207">
        <f>'SAN LUONG'!AS390</f>
        <v>578.6</v>
      </c>
      <c r="I393" s="159">
        <f t="shared" si="57"/>
        <v>8.24</v>
      </c>
      <c r="J393" s="207">
        <f>'SAN LUONG'!AT390</f>
        <v>0</v>
      </c>
      <c r="K393" s="159">
        <f t="shared" si="56"/>
        <v>0</v>
      </c>
      <c r="L393" s="207"/>
      <c r="M393" s="159">
        <f t="shared" si="58"/>
        <v>0</v>
      </c>
      <c r="N393" s="208">
        <f>'CHAM CONG'!AR389</f>
        <v>2</v>
      </c>
      <c r="O393" s="159">
        <f t="shared" si="66"/>
        <v>1.1000000000000001</v>
      </c>
      <c r="P393" s="207">
        <f>'CHAM CONG'!AQ389</f>
        <v>13</v>
      </c>
      <c r="Q393" s="159">
        <f t="shared" si="60"/>
        <v>6.51</v>
      </c>
      <c r="R393" s="159">
        <f t="shared" si="64"/>
        <v>13</v>
      </c>
      <c r="S393" s="159">
        <f t="shared" si="61"/>
        <v>0.41</v>
      </c>
      <c r="T393" s="159"/>
      <c r="U393" s="159"/>
      <c r="V393" s="159"/>
      <c r="W393" s="159"/>
      <c r="X393" s="159">
        <f t="shared" si="62"/>
        <v>16.260000000000002</v>
      </c>
      <c r="Y393" s="209"/>
      <c r="Z393" s="210" t="s">
        <v>923</v>
      </c>
      <c r="AA393" s="202">
        <v>16.22</v>
      </c>
      <c r="AB393" s="203">
        <f t="shared" si="63"/>
        <v>-0.04</v>
      </c>
      <c r="AC393" s="124">
        <v>0.04</v>
      </c>
    </row>
    <row r="394" spans="1:29" s="124" customFormat="1" ht="30.6" customHeight="1">
      <c r="A394" s="211">
        <v>379</v>
      </c>
      <c r="B394" s="204"/>
      <c r="C394" s="204"/>
      <c r="D394" s="205"/>
      <c r="E394" s="155" t="str">
        <f>'Tên Tháng 1'!E382</f>
        <v>យេត​ យ៉ឺ</v>
      </c>
      <c r="F394" s="157" t="str">
        <f>'Tên Tháng 1'!F382</f>
        <v>YET YEV</v>
      </c>
      <c r="G394" s="206">
        <v>418</v>
      </c>
      <c r="H394" s="207">
        <f>'SAN LUONG'!AS391</f>
        <v>668.8</v>
      </c>
      <c r="I394" s="159">
        <f t="shared" si="57"/>
        <v>9.5299999999999994</v>
      </c>
      <c r="J394" s="207">
        <f>'SAN LUONG'!AT391</f>
        <v>0</v>
      </c>
      <c r="K394" s="159">
        <f t="shared" si="56"/>
        <v>0</v>
      </c>
      <c r="L394" s="207"/>
      <c r="M394" s="159">
        <f t="shared" si="58"/>
        <v>0</v>
      </c>
      <c r="N394" s="208">
        <f>'CHAM CONG'!AR390</f>
        <v>2</v>
      </c>
      <c r="O394" s="159">
        <f t="shared" si="66"/>
        <v>1.1000000000000001</v>
      </c>
      <c r="P394" s="207">
        <f>'CHAM CONG'!AQ390</f>
        <v>15</v>
      </c>
      <c r="Q394" s="159">
        <f t="shared" si="60"/>
        <v>7.51</v>
      </c>
      <c r="R394" s="159">
        <f t="shared" si="64"/>
        <v>15</v>
      </c>
      <c r="S394" s="159">
        <f t="shared" si="61"/>
        <v>0.47</v>
      </c>
      <c r="T394" s="159"/>
      <c r="U394" s="159"/>
      <c r="V394" s="159"/>
      <c r="W394" s="159"/>
      <c r="X394" s="159">
        <f t="shared" si="62"/>
        <v>18.61</v>
      </c>
      <c r="Y394" s="209"/>
      <c r="Z394" s="210" t="s">
        <v>923</v>
      </c>
      <c r="AA394" s="202">
        <v>18.57</v>
      </c>
      <c r="AB394" s="203">
        <f t="shared" si="63"/>
        <v>-0.04</v>
      </c>
      <c r="AC394" s="124">
        <v>0.04</v>
      </c>
    </row>
    <row r="395" spans="1:29" s="124" customFormat="1" ht="30.6" customHeight="1">
      <c r="A395" s="154">
        <v>380</v>
      </c>
      <c r="B395" s="204"/>
      <c r="C395" s="204"/>
      <c r="D395" s="205"/>
      <c r="E395" s="155" t="str">
        <f>'Tên Tháng 1'!E383</f>
        <v>ប៊ុនណា មករា</v>
      </c>
      <c r="F395" s="157" t="str">
        <f>'Tên Tháng 1'!F383</f>
        <v>BUNNA MAKARA</v>
      </c>
      <c r="G395" s="206">
        <v>419</v>
      </c>
      <c r="H395" s="207">
        <f>'SAN LUONG'!AS392</f>
        <v>663.96</v>
      </c>
      <c r="I395" s="159">
        <f t="shared" si="57"/>
        <v>9.4600000000000009</v>
      </c>
      <c r="J395" s="207">
        <f>'SAN LUONG'!AT392</f>
        <v>0</v>
      </c>
      <c r="K395" s="159">
        <f t="shared" si="56"/>
        <v>0</v>
      </c>
      <c r="L395" s="207"/>
      <c r="M395" s="159">
        <f t="shared" si="58"/>
        <v>0</v>
      </c>
      <c r="N395" s="208">
        <f>'CHAM CONG'!AR391</f>
        <v>2</v>
      </c>
      <c r="O395" s="159">
        <f t="shared" si="66"/>
        <v>1.1000000000000001</v>
      </c>
      <c r="P395" s="207">
        <f>'CHAM CONG'!AQ391</f>
        <v>15</v>
      </c>
      <c r="Q395" s="159">
        <f t="shared" si="60"/>
        <v>7.51</v>
      </c>
      <c r="R395" s="159">
        <f t="shared" si="64"/>
        <v>15</v>
      </c>
      <c r="S395" s="159">
        <f t="shared" si="61"/>
        <v>0.47</v>
      </c>
      <c r="T395" s="159"/>
      <c r="U395" s="159"/>
      <c r="V395" s="159"/>
      <c r="W395" s="159"/>
      <c r="X395" s="159">
        <f t="shared" si="62"/>
        <v>18.54</v>
      </c>
      <c r="Y395" s="209"/>
      <c r="Z395" s="210" t="s">
        <v>923</v>
      </c>
      <c r="AA395" s="202">
        <v>18.5</v>
      </c>
      <c r="AB395" s="203">
        <f t="shared" si="63"/>
        <v>-0.04</v>
      </c>
      <c r="AC395" s="124">
        <v>0.04</v>
      </c>
    </row>
    <row r="396" spans="1:29" s="124" customFormat="1" ht="30.6" customHeight="1">
      <c r="A396" s="211">
        <v>381</v>
      </c>
      <c r="B396" s="204"/>
      <c r="C396" s="204"/>
      <c r="D396" s="205"/>
      <c r="E396" s="155" t="str">
        <f>'Tên Tháng 1'!E384</f>
        <v>ប៉ិច រក្សា</v>
      </c>
      <c r="F396" s="157" t="str">
        <f>'Tên Tháng 1'!F384</f>
        <v>PECH REAKSA</v>
      </c>
      <c r="G396" s="206">
        <v>420</v>
      </c>
      <c r="H396" s="207">
        <f>'SAN LUONG'!AS393</f>
        <v>619.08000000000004</v>
      </c>
      <c r="I396" s="159">
        <f t="shared" si="57"/>
        <v>8.82</v>
      </c>
      <c r="J396" s="207">
        <f>'SAN LUONG'!AT393</f>
        <v>0</v>
      </c>
      <c r="K396" s="159">
        <f t="shared" si="56"/>
        <v>0</v>
      </c>
      <c r="L396" s="207"/>
      <c r="M396" s="159">
        <f t="shared" si="58"/>
        <v>0</v>
      </c>
      <c r="N396" s="208">
        <f>'CHAM CONG'!AR392</f>
        <v>2</v>
      </c>
      <c r="O396" s="159">
        <f t="shared" si="66"/>
        <v>1.1000000000000001</v>
      </c>
      <c r="P396" s="207">
        <f>'CHAM CONG'!AQ392</f>
        <v>14</v>
      </c>
      <c r="Q396" s="159">
        <f t="shared" si="60"/>
        <v>7.01</v>
      </c>
      <c r="R396" s="159">
        <f t="shared" si="64"/>
        <v>14</v>
      </c>
      <c r="S396" s="159">
        <f t="shared" si="61"/>
        <v>0.44</v>
      </c>
      <c r="T396" s="159"/>
      <c r="U396" s="159"/>
      <c r="V396" s="159"/>
      <c r="W396" s="159"/>
      <c r="X396" s="159">
        <f t="shared" si="62"/>
        <v>17.37</v>
      </c>
      <c r="Y396" s="209"/>
      <c r="Z396" s="210" t="s">
        <v>923</v>
      </c>
      <c r="AA396" s="202">
        <v>17.329999999999998</v>
      </c>
      <c r="AB396" s="203">
        <f t="shared" si="63"/>
        <v>-0.04</v>
      </c>
      <c r="AC396" s="124">
        <v>0.04</v>
      </c>
    </row>
    <row r="397" spans="1:29" s="124" customFormat="1" ht="30.6" customHeight="1">
      <c r="A397" s="154">
        <v>382</v>
      </c>
      <c r="B397" s="204"/>
      <c r="C397" s="204"/>
      <c r="D397" s="205"/>
      <c r="E397" s="155" t="str">
        <f>'Tên Tháng 1'!E385</f>
        <v>គ្រីប គន្ធា</v>
      </c>
      <c r="F397" s="157" t="str">
        <f>'Tên Tháng 1'!F385</f>
        <v>KRIB KUNTHEA</v>
      </c>
      <c r="G397" s="206">
        <v>421</v>
      </c>
      <c r="H397" s="207">
        <f>'SAN LUONG'!AS394</f>
        <v>621.28</v>
      </c>
      <c r="I397" s="159">
        <f t="shared" si="57"/>
        <v>8.85</v>
      </c>
      <c r="J397" s="207">
        <f>'SAN LUONG'!AT394</f>
        <v>0</v>
      </c>
      <c r="K397" s="159">
        <f t="shared" si="56"/>
        <v>0</v>
      </c>
      <c r="L397" s="207"/>
      <c r="M397" s="159">
        <f t="shared" si="58"/>
        <v>0</v>
      </c>
      <c r="N397" s="208">
        <f>'CHAM CONG'!AR393</f>
        <v>2</v>
      </c>
      <c r="O397" s="159">
        <f t="shared" si="66"/>
        <v>1.1000000000000001</v>
      </c>
      <c r="P397" s="207">
        <f>'CHAM CONG'!AQ393</f>
        <v>14</v>
      </c>
      <c r="Q397" s="159">
        <f t="shared" si="60"/>
        <v>7.01</v>
      </c>
      <c r="R397" s="159">
        <f t="shared" si="64"/>
        <v>14</v>
      </c>
      <c r="S397" s="159">
        <f t="shared" si="61"/>
        <v>0.44</v>
      </c>
      <c r="T397" s="159"/>
      <c r="U397" s="159"/>
      <c r="V397" s="159"/>
      <c r="W397" s="159"/>
      <c r="X397" s="159">
        <f t="shared" si="62"/>
        <v>17.400000000000002</v>
      </c>
      <c r="Y397" s="209"/>
      <c r="Z397" s="210" t="s">
        <v>923</v>
      </c>
      <c r="AA397" s="202">
        <v>17.36</v>
      </c>
      <c r="AB397" s="203">
        <f t="shared" si="63"/>
        <v>-0.04</v>
      </c>
      <c r="AC397" s="124">
        <v>0.04</v>
      </c>
    </row>
    <row r="398" spans="1:29" s="124" customFormat="1" ht="30.6" customHeight="1">
      <c r="A398" s="211">
        <v>383</v>
      </c>
      <c r="B398" s="204"/>
      <c r="C398" s="204"/>
      <c r="D398" s="205"/>
      <c r="E398" s="155" t="str">
        <f>'Tên Tháng 1'!E386</f>
        <v>គ្រីប ស្រិន</v>
      </c>
      <c r="F398" s="157" t="str">
        <f>'Tên Tháng 1'!F386</f>
        <v>KRIB SRIN</v>
      </c>
      <c r="G398" s="206">
        <v>422</v>
      </c>
      <c r="H398" s="207">
        <f>'SAN LUONG'!AS395</f>
        <v>601.48</v>
      </c>
      <c r="I398" s="159">
        <f t="shared" si="57"/>
        <v>8.57</v>
      </c>
      <c r="J398" s="207">
        <f>'SAN LUONG'!AT395</f>
        <v>0</v>
      </c>
      <c r="K398" s="159">
        <f t="shared" si="56"/>
        <v>0</v>
      </c>
      <c r="L398" s="207"/>
      <c r="M398" s="159">
        <f t="shared" si="58"/>
        <v>0</v>
      </c>
      <c r="N398" s="208">
        <f>'CHAM CONG'!AR394</f>
        <v>1</v>
      </c>
      <c r="O398" s="159">
        <f t="shared" si="66"/>
        <v>0.5</v>
      </c>
      <c r="P398" s="207">
        <f>'CHAM CONG'!AQ394</f>
        <v>15</v>
      </c>
      <c r="Q398" s="159">
        <f t="shared" si="60"/>
        <v>7.51</v>
      </c>
      <c r="R398" s="159">
        <f t="shared" si="64"/>
        <v>15</v>
      </c>
      <c r="S398" s="159">
        <f t="shared" si="61"/>
        <v>0.47</v>
      </c>
      <c r="T398" s="159"/>
      <c r="U398" s="159"/>
      <c r="V398" s="159"/>
      <c r="W398" s="159"/>
      <c r="X398" s="159">
        <f t="shared" si="62"/>
        <v>17.049999999999997</v>
      </c>
      <c r="Y398" s="209"/>
      <c r="Z398" s="210" t="s">
        <v>923</v>
      </c>
      <c r="AA398" s="202">
        <v>17.079999999999998</v>
      </c>
      <c r="AB398" s="203">
        <f t="shared" si="63"/>
        <v>0.03</v>
      </c>
      <c r="AC398" s="124">
        <v>0.04</v>
      </c>
    </row>
    <row r="399" spans="1:29" s="124" customFormat="1" ht="30.6" customHeight="1">
      <c r="A399" s="154">
        <v>384</v>
      </c>
      <c r="B399" s="204"/>
      <c r="C399" s="204"/>
      <c r="D399" s="205"/>
      <c r="E399" s="155" t="str">
        <f>'Tên Tháng 1'!E387</f>
        <v>យូន ថាញ់</v>
      </c>
      <c r="F399" s="157" t="str">
        <f>'Tên Tháng 1'!F387</f>
        <v>YOUN THANH</v>
      </c>
      <c r="G399" s="206">
        <v>423</v>
      </c>
      <c r="H399" s="207">
        <f>'SAN LUONG'!AS396</f>
        <v>589.16</v>
      </c>
      <c r="I399" s="159">
        <f t="shared" si="57"/>
        <v>8.39</v>
      </c>
      <c r="J399" s="207">
        <f>'SAN LUONG'!AT396</f>
        <v>0</v>
      </c>
      <c r="K399" s="159">
        <f t="shared" si="56"/>
        <v>0</v>
      </c>
      <c r="L399" s="207"/>
      <c r="M399" s="159">
        <f t="shared" si="58"/>
        <v>0</v>
      </c>
      <c r="N399" s="208">
        <f>'CHAM CONG'!AR395</f>
        <v>2</v>
      </c>
      <c r="O399" s="159">
        <f t="shared" si="66"/>
        <v>1.1000000000000001</v>
      </c>
      <c r="P399" s="207">
        <f>'CHAM CONG'!AQ395</f>
        <v>15</v>
      </c>
      <c r="Q399" s="159">
        <f t="shared" si="60"/>
        <v>7.51</v>
      </c>
      <c r="R399" s="159">
        <f t="shared" si="64"/>
        <v>15</v>
      </c>
      <c r="S399" s="159">
        <f t="shared" si="61"/>
        <v>0.47</v>
      </c>
      <c r="T399" s="159"/>
      <c r="U399" s="159"/>
      <c r="V399" s="159"/>
      <c r="W399" s="159"/>
      <c r="X399" s="159">
        <f t="shared" si="62"/>
        <v>17.470000000000002</v>
      </c>
      <c r="Y399" s="209"/>
      <c r="Z399" s="210" t="s">
        <v>923</v>
      </c>
      <c r="AA399" s="202">
        <v>17.440000000000001</v>
      </c>
      <c r="AB399" s="203">
        <f t="shared" si="63"/>
        <v>-0.03</v>
      </c>
      <c r="AC399" s="124">
        <v>0.04</v>
      </c>
    </row>
    <row r="400" spans="1:29" s="124" customFormat="1" ht="30.6" customHeight="1">
      <c r="A400" s="211">
        <v>385</v>
      </c>
      <c r="B400" s="204"/>
      <c r="C400" s="204"/>
      <c r="D400" s="205"/>
      <c r="E400" s="155" t="str">
        <f>'Tên Tháng 1'!E388</f>
        <v>រត សារិ</v>
      </c>
      <c r="F400" s="157" t="str">
        <f>'Tên Tháng 1'!F388</f>
        <v>ROT SARIK</v>
      </c>
      <c r="G400" s="206">
        <v>424</v>
      </c>
      <c r="H400" s="207">
        <f>'SAN LUONG'!AS397</f>
        <v>486.2</v>
      </c>
      <c r="I400" s="159">
        <f t="shared" si="57"/>
        <v>6.92</v>
      </c>
      <c r="J400" s="207">
        <f>'SAN LUONG'!AT397</f>
        <v>0</v>
      </c>
      <c r="K400" s="159">
        <f t="shared" ref="K400:K463" si="67">ROUND(J400*$K$14/31947,2)</f>
        <v>0</v>
      </c>
      <c r="L400" s="207"/>
      <c r="M400" s="159">
        <f t="shared" si="58"/>
        <v>0</v>
      </c>
      <c r="N400" s="208">
        <f>'CHAM CONG'!AR396</f>
        <v>0</v>
      </c>
      <c r="O400" s="159">
        <f t="shared" si="66"/>
        <v>0</v>
      </c>
      <c r="P400" s="207">
        <f>'CHAM CONG'!AQ396</f>
        <v>12</v>
      </c>
      <c r="Q400" s="159">
        <f t="shared" si="60"/>
        <v>6.01</v>
      </c>
      <c r="R400" s="159">
        <f t="shared" si="64"/>
        <v>12</v>
      </c>
      <c r="S400" s="159">
        <f t="shared" si="61"/>
        <v>0.38</v>
      </c>
      <c r="T400" s="159"/>
      <c r="U400" s="159"/>
      <c r="V400" s="159"/>
      <c r="W400" s="159"/>
      <c r="X400" s="159">
        <f t="shared" si="62"/>
        <v>13.31</v>
      </c>
      <c r="Y400" s="209"/>
      <c r="Z400" s="210" t="s">
        <v>923</v>
      </c>
      <c r="AA400" s="202">
        <v>13.31</v>
      </c>
      <c r="AB400" s="203">
        <f t="shared" si="63"/>
        <v>0</v>
      </c>
      <c r="AC400" s="124">
        <v>0.01</v>
      </c>
    </row>
    <row r="401" spans="1:29" s="124" customFormat="1" ht="30.6" customHeight="1">
      <c r="A401" s="154">
        <v>386</v>
      </c>
      <c r="B401" s="204"/>
      <c r="C401" s="204"/>
      <c r="D401" s="205"/>
      <c r="E401" s="155" t="str">
        <f>'Tên Tháng 1'!E389</f>
        <v>គា គន្ធា</v>
      </c>
      <c r="F401" s="157" t="str">
        <f>'Tên Tháng 1'!F389</f>
        <v>KHEA KUNTHEA</v>
      </c>
      <c r="G401" s="206">
        <v>425</v>
      </c>
      <c r="H401" s="207">
        <f>'SAN LUONG'!AS398</f>
        <v>743.6</v>
      </c>
      <c r="I401" s="159">
        <f t="shared" ref="I401:I464" si="68">ROUND(H401*$I$14/31947,2)</f>
        <v>10.59</v>
      </c>
      <c r="J401" s="207">
        <f>'SAN LUONG'!AT398</f>
        <v>0</v>
      </c>
      <c r="K401" s="159">
        <f t="shared" si="67"/>
        <v>0</v>
      </c>
      <c r="L401" s="207"/>
      <c r="M401" s="159">
        <f t="shared" ref="M401:M464" si="69">ROUND(L401*$M$14/31947,2)</f>
        <v>0</v>
      </c>
      <c r="N401" s="208">
        <f>'CHAM CONG'!AR397</f>
        <v>2</v>
      </c>
      <c r="O401" s="159">
        <f t="shared" si="66"/>
        <v>1.1000000000000001</v>
      </c>
      <c r="P401" s="207">
        <f>'CHAM CONG'!AQ397</f>
        <v>14</v>
      </c>
      <c r="Q401" s="159">
        <f t="shared" ref="Q401:Q464" si="70">ROUND(P401*$Q$14/31947,2)</f>
        <v>7.01</v>
      </c>
      <c r="R401" s="159">
        <f t="shared" si="64"/>
        <v>14</v>
      </c>
      <c r="S401" s="159">
        <f t="shared" ref="S401:S433" si="71">ROUND(R401*$S$14/31947,2)</f>
        <v>0.44</v>
      </c>
      <c r="T401" s="159"/>
      <c r="U401" s="159"/>
      <c r="V401" s="159"/>
      <c r="W401" s="159"/>
      <c r="X401" s="159">
        <f t="shared" ref="X401:X464" si="72">I401+K401+M401+Q401+S401+O401</f>
        <v>19.140000000000004</v>
      </c>
      <c r="Y401" s="209"/>
      <c r="Z401" s="210" t="s">
        <v>923</v>
      </c>
      <c r="AA401" s="202">
        <v>19.100000000000001</v>
      </c>
      <c r="AB401" s="203">
        <f t="shared" ref="AB401:AB464" si="73">ROUND(AA401-X401,2)</f>
        <v>-0.04</v>
      </c>
      <c r="AC401" s="124">
        <v>0.04</v>
      </c>
    </row>
    <row r="402" spans="1:29" s="124" customFormat="1" ht="30.6" customHeight="1">
      <c r="A402" s="211">
        <v>387</v>
      </c>
      <c r="B402" s="204"/>
      <c r="C402" s="204"/>
      <c r="D402" s="205"/>
      <c r="E402" s="155" t="str">
        <f>'Tên Tháng 1'!E390</f>
        <v>សេង ត្រុច</v>
      </c>
      <c r="F402" s="157" t="str">
        <f>'Tên Tháng 1'!F390</f>
        <v>SENG TROCH</v>
      </c>
      <c r="G402" s="206">
        <v>426</v>
      </c>
      <c r="H402" s="207">
        <f>'SAN LUONG'!AS399</f>
        <v>636.67999999999995</v>
      </c>
      <c r="I402" s="159">
        <f t="shared" si="68"/>
        <v>9.07</v>
      </c>
      <c r="J402" s="207">
        <f>'SAN LUONG'!AT399</f>
        <v>0</v>
      </c>
      <c r="K402" s="159">
        <f t="shared" si="67"/>
        <v>0</v>
      </c>
      <c r="L402" s="207"/>
      <c r="M402" s="159">
        <f t="shared" si="69"/>
        <v>0</v>
      </c>
      <c r="N402" s="208">
        <f>'CHAM CONG'!AR398</f>
        <v>2</v>
      </c>
      <c r="O402" s="159">
        <f t="shared" si="66"/>
        <v>1.1000000000000001</v>
      </c>
      <c r="P402" s="207">
        <f>'CHAM CONG'!AQ398</f>
        <v>14</v>
      </c>
      <c r="Q402" s="159">
        <f t="shared" si="70"/>
        <v>7.01</v>
      </c>
      <c r="R402" s="159">
        <f t="shared" ref="R402:R465" si="74">P402</f>
        <v>14</v>
      </c>
      <c r="S402" s="159">
        <f t="shared" si="71"/>
        <v>0.44</v>
      </c>
      <c r="T402" s="159"/>
      <c r="U402" s="159"/>
      <c r="V402" s="159"/>
      <c r="W402" s="159"/>
      <c r="X402" s="159">
        <f t="shared" si="72"/>
        <v>17.62</v>
      </c>
      <c r="Y402" s="209"/>
      <c r="Z402" s="210" t="s">
        <v>923</v>
      </c>
      <c r="AA402" s="202">
        <v>17.579999999999998</v>
      </c>
      <c r="AB402" s="203">
        <f t="shared" si="73"/>
        <v>-0.04</v>
      </c>
      <c r="AC402" s="124">
        <v>0.05</v>
      </c>
    </row>
    <row r="403" spans="1:29" s="124" customFormat="1" ht="30.6" customHeight="1">
      <c r="A403" s="154">
        <v>388</v>
      </c>
      <c r="B403" s="204"/>
      <c r="C403" s="204"/>
      <c r="D403" s="205"/>
      <c r="E403" s="155" t="str">
        <f>'Tên Tháng 1'!E391</f>
        <v>ឡាក់ ចំរើន</v>
      </c>
      <c r="F403" s="157" t="str">
        <f>'Tên Tháng 1'!F391</f>
        <v>LAK CHAMRERN</v>
      </c>
      <c r="G403" s="206">
        <v>427</v>
      </c>
      <c r="H403" s="207">
        <f>'SAN LUONG'!AS400</f>
        <v>815.76</v>
      </c>
      <c r="I403" s="159">
        <f t="shared" si="68"/>
        <v>11.62</v>
      </c>
      <c r="J403" s="207">
        <f>'SAN LUONG'!AT400</f>
        <v>0</v>
      </c>
      <c r="K403" s="159">
        <f t="shared" si="67"/>
        <v>0</v>
      </c>
      <c r="L403" s="207"/>
      <c r="M403" s="159">
        <f t="shared" si="69"/>
        <v>0</v>
      </c>
      <c r="N403" s="208">
        <f>'CHAM CONG'!AR399</f>
        <v>1</v>
      </c>
      <c r="O403" s="159">
        <f t="shared" si="66"/>
        <v>0.5</v>
      </c>
      <c r="P403" s="207">
        <f>'CHAM CONG'!AQ399</f>
        <v>14</v>
      </c>
      <c r="Q403" s="159">
        <f t="shared" si="70"/>
        <v>7.01</v>
      </c>
      <c r="R403" s="159">
        <f t="shared" si="74"/>
        <v>14</v>
      </c>
      <c r="S403" s="159">
        <f t="shared" si="71"/>
        <v>0.44</v>
      </c>
      <c r="T403" s="159"/>
      <c r="U403" s="159"/>
      <c r="V403" s="159"/>
      <c r="W403" s="159"/>
      <c r="X403" s="159">
        <f t="shared" si="72"/>
        <v>19.57</v>
      </c>
      <c r="Y403" s="209"/>
      <c r="Z403" s="210" t="s">
        <v>923</v>
      </c>
      <c r="AA403" s="202">
        <v>19.600000000000001</v>
      </c>
      <c r="AB403" s="203">
        <f t="shared" si="73"/>
        <v>0.03</v>
      </c>
      <c r="AC403" s="124">
        <v>0.01</v>
      </c>
    </row>
    <row r="404" spans="1:29" s="124" customFormat="1" ht="25.2" customHeight="1">
      <c r="A404" s="211">
        <v>389</v>
      </c>
      <c r="B404" s="204"/>
      <c r="C404" s="204"/>
      <c r="D404" s="205"/>
      <c r="E404" s="155" t="str">
        <f>'Tên Tháng 1'!E392</f>
        <v>ធី ចាន់</v>
      </c>
      <c r="F404" s="157" t="str">
        <f>'Tên Tháng 1'!F392</f>
        <v>THY CHAN</v>
      </c>
      <c r="G404" s="206">
        <v>293</v>
      </c>
      <c r="H404" s="207">
        <f>'SAN LUONG'!AT403</f>
        <v>0</v>
      </c>
      <c r="I404" s="159">
        <f t="shared" si="68"/>
        <v>0</v>
      </c>
      <c r="J404" s="207">
        <f>'SAN LUONG'!AS403</f>
        <v>390.72</v>
      </c>
      <c r="K404" s="159">
        <f t="shared" si="67"/>
        <v>6.18</v>
      </c>
      <c r="L404" s="207"/>
      <c r="M404" s="159">
        <f t="shared" si="69"/>
        <v>0</v>
      </c>
      <c r="N404" s="208">
        <f>'CHAM CONG'!AR402</f>
        <v>0</v>
      </c>
      <c r="O404" s="159">
        <f t="shared" si="66"/>
        <v>0</v>
      </c>
      <c r="P404" s="207">
        <f>'CHAM CONG'!AQ402</f>
        <v>12</v>
      </c>
      <c r="Q404" s="159">
        <f t="shared" si="70"/>
        <v>6.01</v>
      </c>
      <c r="R404" s="159">
        <f t="shared" si="74"/>
        <v>12</v>
      </c>
      <c r="S404" s="159">
        <f t="shared" si="71"/>
        <v>0.38</v>
      </c>
      <c r="T404" s="159"/>
      <c r="U404" s="159"/>
      <c r="V404" s="159"/>
      <c r="W404" s="159"/>
      <c r="X404" s="159">
        <f t="shared" si="72"/>
        <v>12.57</v>
      </c>
      <c r="Y404" s="209"/>
      <c r="Z404" s="210" t="s">
        <v>1094</v>
      </c>
      <c r="AA404" s="202">
        <v>12.56</v>
      </c>
      <c r="AB404" s="203">
        <f t="shared" si="73"/>
        <v>-0.01</v>
      </c>
      <c r="AC404" s="124">
        <v>0.03</v>
      </c>
    </row>
    <row r="405" spans="1:29" s="124" customFormat="1" ht="25.2" customHeight="1">
      <c r="A405" s="154">
        <v>390</v>
      </c>
      <c r="B405" s="204"/>
      <c r="C405" s="204"/>
      <c r="D405" s="205"/>
      <c r="E405" s="155" t="str">
        <f>'Tên Tháng 1'!E393</f>
        <v>ស៊ុត សុផល</v>
      </c>
      <c r="F405" s="157" t="str">
        <f>'Tên Tháng 1'!F393</f>
        <v>SUT SOPHAL</v>
      </c>
      <c r="G405" s="206">
        <v>294</v>
      </c>
      <c r="H405" s="207">
        <f>'SAN LUONG'!AT404</f>
        <v>0</v>
      </c>
      <c r="I405" s="159">
        <f t="shared" si="68"/>
        <v>0</v>
      </c>
      <c r="J405" s="207">
        <f>'SAN LUONG'!AS404</f>
        <v>500.28</v>
      </c>
      <c r="K405" s="159">
        <f t="shared" si="67"/>
        <v>7.91</v>
      </c>
      <c r="L405" s="207"/>
      <c r="M405" s="159">
        <f t="shared" si="69"/>
        <v>0</v>
      </c>
      <c r="N405" s="208">
        <f>'CHAM CONG'!AR403</f>
        <v>0</v>
      </c>
      <c r="O405" s="159">
        <f t="shared" si="66"/>
        <v>0</v>
      </c>
      <c r="P405" s="207">
        <f>'CHAM CONG'!AQ403</f>
        <v>12</v>
      </c>
      <c r="Q405" s="159">
        <f t="shared" si="70"/>
        <v>6.01</v>
      </c>
      <c r="R405" s="159">
        <f t="shared" si="74"/>
        <v>12</v>
      </c>
      <c r="S405" s="159">
        <f t="shared" si="71"/>
        <v>0.38</v>
      </c>
      <c r="T405" s="159"/>
      <c r="U405" s="159"/>
      <c r="V405" s="159"/>
      <c r="W405" s="159"/>
      <c r="X405" s="159">
        <f t="shared" si="72"/>
        <v>14.3</v>
      </c>
      <c r="Y405" s="209"/>
      <c r="Z405" s="210" t="s">
        <v>1094</v>
      </c>
      <c r="AA405" s="202">
        <v>14.29</v>
      </c>
      <c r="AB405" s="203">
        <f t="shared" si="73"/>
        <v>-0.01</v>
      </c>
      <c r="AC405" s="124">
        <v>0.04</v>
      </c>
    </row>
    <row r="406" spans="1:29" s="124" customFormat="1" ht="25.2" customHeight="1">
      <c r="A406" s="154">
        <v>391</v>
      </c>
      <c r="B406" s="204"/>
      <c r="C406" s="204"/>
      <c r="D406" s="205"/>
      <c r="E406" s="155" t="str">
        <f>'Tên Tháng 1'!E394</f>
        <v>ហៃ អុល</v>
      </c>
      <c r="F406" s="157" t="str">
        <f>'Tên Tháng 1'!F394</f>
        <v>HAI OL</v>
      </c>
      <c r="G406" s="206">
        <v>295</v>
      </c>
      <c r="H406" s="207">
        <f>'SAN LUONG'!AT405</f>
        <v>0</v>
      </c>
      <c r="I406" s="159">
        <f t="shared" si="68"/>
        <v>0</v>
      </c>
      <c r="J406" s="207">
        <f>'SAN LUONG'!AS405</f>
        <v>671.44</v>
      </c>
      <c r="K406" s="159">
        <f t="shared" si="67"/>
        <v>10.61</v>
      </c>
      <c r="L406" s="207"/>
      <c r="M406" s="159">
        <f t="shared" si="69"/>
        <v>0</v>
      </c>
      <c r="N406" s="208">
        <f>'CHAM CONG'!AR404</f>
        <v>0</v>
      </c>
      <c r="O406" s="159">
        <f t="shared" si="66"/>
        <v>0</v>
      </c>
      <c r="P406" s="207">
        <f>'CHAM CONG'!AQ404</f>
        <v>12</v>
      </c>
      <c r="Q406" s="159">
        <f t="shared" si="70"/>
        <v>6.01</v>
      </c>
      <c r="R406" s="159">
        <f t="shared" si="74"/>
        <v>12</v>
      </c>
      <c r="S406" s="159">
        <f t="shared" si="71"/>
        <v>0.38</v>
      </c>
      <c r="T406" s="159"/>
      <c r="U406" s="159"/>
      <c r="V406" s="159"/>
      <c r="W406" s="159"/>
      <c r="X406" s="159">
        <f t="shared" si="72"/>
        <v>16.999999999999996</v>
      </c>
      <c r="Y406" s="209"/>
      <c r="Z406" s="210" t="s">
        <v>1094</v>
      </c>
      <c r="AA406" s="202">
        <v>17</v>
      </c>
      <c r="AB406" s="203">
        <f t="shared" si="73"/>
        <v>0</v>
      </c>
      <c r="AC406" s="124">
        <v>0.04</v>
      </c>
    </row>
    <row r="407" spans="1:29" s="124" customFormat="1" ht="25.2" customHeight="1">
      <c r="A407" s="154">
        <v>392</v>
      </c>
      <c r="B407" s="204"/>
      <c r="C407" s="204"/>
      <c r="D407" s="205"/>
      <c r="E407" s="155" t="str">
        <f>'Tên Tháng 1'!E395</f>
        <v>អាង សី</v>
      </c>
      <c r="F407" s="157" t="str">
        <f>'Tên Tháng 1'!F395</f>
        <v>ANG SEY</v>
      </c>
      <c r="G407" s="206">
        <v>296</v>
      </c>
      <c r="H407" s="207">
        <f>'SAN LUONG'!AT406</f>
        <v>0</v>
      </c>
      <c r="I407" s="159">
        <f t="shared" si="68"/>
        <v>0</v>
      </c>
      <c r="J407" s="207">
        <f>'SAN LUONG'!AS406</f>
        <v>515.67999999999995</v>
      </c>
      <c r="K407" s="159">
        <f t="shared" si="67"/>
        <v>8.15</v>
      </c>
      <c r="L407" s="207"/>
      <c r="M407" s="159">
        <f t="shared" si="69"/>
        <v>0</v>
      </c>
      <c r="N407" s="208">
        <f>'CHAM CONG'!AR405</f>
        <v>0</v>
      </c>
      <c r="O407" s="159">
        <f t="shared" si="66"/>
        <v>0</v>
      </c>
      <c r="P407" s="207">
        <f>'CHAM CONG'!AQ405</f>
        <v>12</v>
      </c>
      <c r="Q407" s="159">
        <f t="shared" si="70"/>
        <v>6.01</v>
      </c>
      <c r="R407" s="159">
        <f t="shared" si="74"/>
        <v>12</v>
      </c>
      <c r="S407" s="159">
        <f t="shared" si="71"/>
        <v>0.38</v>
      </c>
      <c r="T407" s="159"/>
      <c r="U407" s="159"/>
      <c r="V407" s="159"/>
      <c r="W407" s="159"/>
      <c r="X407" s="159">
        <f t="shared" si="72"/>
        <v>14.540000000000001</v>
      </c>
      <c r="Y407" s="209"/>
      <c r="Z407" s="210" t="s">
        <v>1094</v>
      </c>
      <c r="AA407" s="202">
        <v>14.54</v>
      </c>
      <c r="AB407" s="203">
        <f t="shared" si="73"/>
        <v>0</v>
      </c>
      <c r="AC407" s="124">
        <v>0.01</v>
      </c>
    </row>
    <row r="408" spans="1:29" s="124" customFormat="1" ht="25.2" customHeight="1">
      <c r="A408" s="154">
        <v>393</v>
      </c>
      <c r="B408" s="204"/>
      <c r="C408" s="204"/>
      <c r="D408" s="205"/>
      <c r="E408" s="155" t="str">
        <f>'Tên Tháng 1'!E396</f>
        <v>អាន់ សំអូន</v>
      </c>
      <c r="F408" s="157" t="str">
        <f>'Tên Tháng 1'!F396</f>
        <v>ANN SAMOUN</v>
      </c>
      <c r="G408" s="206">
        <v>297</v>
      </c>
      <c r="H408" s="207">
        <f>'SAN LUONG'!AT407</f>
        <v>0</v>
      </c>
      <c r="I408" s="159">
        <f t="shared" si="68"/>
        <v>0</v>
      </c>
      <c r="J408" s="207">
        <f>'SAN LUONG'!AS407</f>
        <v>683.76</v>
      </c>
      <c r="K408" s="159">
        <f t="shared" si="67"/>
        <v>10.81</v>
      </c>
      <c r="L408" s="207"/>
      <c r="M408" s="159">
        <f t="shared" si="69"/>
        <v>0</v>
      </c>
      <c r="N408" s="208">
        <f>'CHAM CONG'!AR406</f>
        <v>1</v>
      </c>
      <c r="O408" s="159">
        <f t="shared" si="66"/>
        <v>0.5</v>
      </c>
      <c r="P408" s="207">
        <f>'CHAM CONG'!AQ406</f>
        <v>13</v>
      </c>
      <c r="Q408" s="159">
        <f t="shared" si="70"/>
        <v>6.51</v>
      </c>
      <c r="R408" s="159">
        <f t="shared" si="74"/>
        <v>13</v>
      </c>
      <c r="S408" s="159">
        <f t="shared" si="71"/>
        <v>0.41</v>
      </c>
      <c r="T408" s="159"/>
      <c r="U408" s="159"/>
      <c r="V408" s="159"/>
      <c r="W408" s="159"/>
      <c r="X408" s="159">
        <f t="shared" si="72"/>
        <v>18.23</v>
      </c>
      <c r="Y408" s="209"/>
      <c r="Z408" s="210" t="s">
        <v>1094</v>
      </c>
      <c r="AA408" s="202">
        <v>18.260000000000002</v>
      </c>
      <c r="AB408" s="203">
        <f t="shared" si="73"/>
        <v>0.03</v>
      </c>
      <c r="AC408" s="124">
        <v>0.04</v>
      </c>
    </row>
    <row r="409" spans="1:29" s="124" customFormat="1" ht="25.2" customHeight="1">
      <c r="A409" s="154">
        <v>394</v>
      </c>
      <c r="B409" s="204"/>
      <c r="C409" s="204"/>
      <c r="D409" s="205"/>
      <c r="E409" s="155" t="str">
        <f>'Tên Tháng 1'!E397</f>
        <v>ឡូត សុភ័ក្រ</v>
      </c>
      <c r="F409" s="157" t="str">
        <f>'Tên Tháng 1'!F397</f>
        <v>LOT SOPHEAK</v>
      </c>
      <c r="G409" s="206">
        <v>298</v>
      </c>
      <c r="H409" s="207">
        <f>'SAN LUONG'!AT408</f>
        <v>0</v>
      </c>
      <c r="I409" s="159">
        <f t="shared" si="68"/>
        <v>0</v>
      </c>
      <c r="J409" s="207">
        <f>'SAN LUONG'!AS408</f>
        <v>364.76</v>
      </c>
      <c r="K409" s="159">
        <f t="shared" si="67"/>
        <v>5.77</v>
      </c>
      <c r="L409" s="207"/>
      <c r="M409" s="159">
        <f t="shared" si="69"/>
        <v>0</v>
      </c>
      <c r="N409" s="208">
        <f>'CHAM CONG'!AR407</f>
        <v>0</v>
      </c>
      <c r="O409" s="159">
        <f t="shared" ref="O409:O464" si="75">ROUND(N409*$O$14/31947,2)</f>
        <v>0</v>
      </c>
      <c r="P409" s="207">
        <f>'CHAM CONG'!AQ407</f>
        <v>13</v>
      </c>
      <c r="Q409" s="159">
        <f t="shared" si="70"/>
        <v>6.51</v>
      </c>
      <c r="R409" s="159">
        <f t="shared" si="74"/>
        <v>13</v>
      </c>
      <c r="S409" s="159">
        <f t="shared" si="71"/>
        <v>0.41</v>
      </c>
      <c r="T409" s="159"/>
      <c r="U409" s="159"/>
      <c r="V409" s="159"/>
      <c r="W409" s="159"/>
      <c r="X409" s="159">
        <f t="shared" si="72"/>
        <v>12.69</v>
      </c>
      <c r="Y409" s="209"/>
      <c r="Z409" s="210" t="s">
        <v>1094</v>
      </c>
      <c r="AA409" s="202">
        <v>12.68</v>
      </c>
      <c r="AB409" s="203">
        <f t="shared" si="73"/>
        <v>-0.01</v>
      </c>
      <c r="AC409" s="124">
        <v>0.01</v>
      </c>
    </row>
    <row r="410" spans="1:29" s="124" customFormat="1" ht="25.2" customHeight="1">
      <c r="A410" s="154">
        <v>395</v>
      </c>
      <c r="B410" s="204"/>
      <c r="C410" s="204"/>
      <c r="D410" s="205"/>
      <c r="E410" s="155" t="str">
        <f>'Tên Tháng 1'!E398</f>
        <v>យ៉ុន ផល</v>
      </c>
      <c r="F410" s="157" t="str">
        <f>'Tên Tháng 1'!F398</f>
        <v>YON PHAL</v>
      </c>
      <c r="G410" s="206">
        <v>299</v>
      </c>
      <c r="H410" s="207">
        <f>'SAN LUONG'!AT409</f>
        <v>0</v>
      </c>
      <c r="I410" s="159">
        <f t="shared" si="68"/>
        <v>0</v>
      </c>
      <c r="J410" s="207">
        <f>'SAN LUONG'!AS409</f>
        <v>691.24</v>
      </c>
      <c r="K410" s="159">
        <f t="shared" si="67"/>
        <v>10.93</v>
      </c>
      <c r="L410" s="207"/>
      <c r="M410" s="159">
        <f t="shared" si="69"/>
        <v>0</v>
      </c>
      <c r="N410" s="208">
        <f>'CHAM CONG'!AR408</f>
        <v>0</v>
      </c>
      <c r="O410" s="159">
        <f t="shared" si="75"/>
        <v>0</v>
      </c>
      <c r="P410" s="207">
        <f>'CHAM CONG'!AQ408</f>
        <v>13</v>
      </c>
      <c r="Q410" s="159">
        <f t="shared" si="70"/>
        <v>6.51</v>
      </c>
      <c r="R410" s="159">
        <f t="shared" si="74"/>
        <v>13</v>
      </c>
      <c r="S410" s="159">
        <f t="shared" si="71"/>
        <v>0.41</v>
      </c>
      <c r="T410" s="159"/>
      <c r="U410" s="159"/>
      <c r="V410" s="159"/>
      <c r="W410" s="159"/>
      <c r="X410" s="159">
        <f t="shared" si="72"/>
        <v>17.849999999999998</v>
      </c>
      <c r="Y410" s="209"/>
      <c r="Z410" s="210" t="s">
        <v>1094</v>
      </c>
      <c r="AA410" s="202">
        <v>17.84</v>
      </c>
      <c r="AB410" s="203">
        <f t="shared" si="73"/>
        <v>-0.01</v>
      </c>
      <c r="AC410" s="124">
        <v>0.04</v>
      </c>
    </row>
    <row r="411" spans="1:29" s="124" customFormat="1" ht="25.2" customHeight="1">
      <c r="A411" s="154">
        <v>396</v>
      </c>
      <c r="B411" s="204"/>
      <c r="C411" s="204"/>
      <c r="D411" s="205"/>
      <c r="E411" s="155" t="str">
        <f>'Tên Tháng 1'!E399</f>
        <v>រឹម ធីម</v>
      </c>
      <c r="F411" s="157" t="str">
        <f>'Tên Tháng 1'!F399</f>
        <v>ROEM THIM</v>
      </c>
      <c r="G411" s="206">
        <v>300</v>
      </c>
      <c r="H411" s="207">
        <f>'SAN LUONG'!AT410</f>
        <v>0</v>
      </c>
      <c r="I411" s="159">
        <f t="shared" si="68"/>
        <v>0</v>
      </c>
      <c r="J411" s="207">
        <f>'SAN LUONG'!AS410</f>
        <v>581.67999999999995</v>
      </c>
      <c r="K411" s="159">
        <f t="shared" si="67"/>
        <v>9.19</v>
      </c>
      <c r="L411" s="207"/>
      <c r="M411" s="159">
        <f t="shared" si="69"/>
        <v>0</v>
      </c>
      <c r="N411" s="208">
        <f>'CHAM CONG'!AR409</f>
        <v>1</v>
      </c>
      <c r="O411" s="159">
        <f t="shared" si="75"/>
        <v>0.53</v>
      </c>
      <c r="P411" s="207">
        <f>'CHAM CONG'!AQ409</f>
        <v>14</v>
      </c>
      <c r="Q411" s="159">
        <f t="shared" si="70"/>
        <v>7.01</v>
      </c>
      <c r="R411" s="159">
        <f t="shared" si="74"/>
        <v>14</v>
      </c>
      <c r="S411" s="159">
        <f t="shared" si="71"/>
        <v>0.44</v>
      </c>
      <c r="T411" s="159"/>
      <c r="U411" s="159"/>
      <c r="V411" s="159"/>
      <c r="W411" s="159"/>
      <c r="X411" s="159">
        <f t="shared" si="72"/>
        <v>17.170000000000002</v>
      </c>
      <c r="Y411" s="209"/>
      <c r="Z411" s="210" t="s">
        <v>1094</v>
      </c>
      <c r="AA411" s="202">
        <v>17.18</v>
      </c>
      <c r="AB411" s="203">
        <f t="shared" si="73"/>
        <v>0.01</v>
      </c>
      <c r="AC411" s="124">
        <v>0.04</v>
      </c>
    </row>
    <row r="412" spans="1:29" s="124" customFormat="1" ht="25.2" customHeight="1">
      <c r="A412" s="154">
        <v>397</v>
      </c>
      <c r="B412" s="204"/>
      <c r="C412" s="204"/>
      <c r="D412" s="205"/>
      <c r="E412" s="155" t="str">
        <f>'Tên Tháng 1'!E400</f>
        <v>យ៉ុន ធា</v>
      </c>
      <c r="F412" s="157" t="str">
        <f>'Tên Tháng 1'!F400</f>
        <v>YON THEA</v>
      </c>
      <c r="G412" s="206">
        <v>301</v>
      </c>
      <c r="H412" s="207">
        <f>'SAN LUONG'!AT411</f>
        <v>121.88</v>
      </c>
      <c r="I412" s="159">
        <f t="shared" si="68"/>
        <v>1.74</v>
      </c>
      <c r="J412" s="207">
        <f>'SAN LUONG'!AS411</f>
        <v>385.88</v>
      </c>
      <c r="K412" s="159">
        <f t="shared" si="67"/>
        <v>6.1</v>
      </c>
      <c r="L412" s="207"/>
      <c r="M412" s="159">
        <f t="shared" si="69"/>
        <v>0</v>
      </c>
      <c r="N412" s="208">
        <f>'CHAM CONG'!AR410</f>
        <v>0</v>
      </c>
      <c r="O412" s="159">
        <f t="shared" si="75"/>
        <v>0</v>
      </c>
      <c r="P412" s="207">
        <f>'CHAM CONG'!AQ410</f>
        <v>13</v>
      </c>
      <c r="Q412" s="159">
        <f t="shared" si="70"/>
        <v>6.51</v>
      </c>
      <c r="R412" s="159">
        <f t="shared" si="74"/>
        <v>13</v>
      </c>
      <c r="S412" s="159">
        <f t="shared" si="71"/>
        <v>0.41</v>
      </c>
      <c r="T412" s="159"/>
      <c r="U412" s="159"/>
      <c r="V412" s="159"/>
      <c r="W412" s="159"/>
      <c r="X412" s="159">
        <f t="shared" si="72"/>
        <v>14.76</v>
      </c>
      <c r="Y412" s="209"/>
      <c r="Z412" s="210" t="s">
        <v>1094</v>
      </c>
      <c r="AA412" s="202">
        <v>14.75</v>
      </c>
      <c r="AB412" s="203">
        <f t="shared" si="73"/>
        <v>-0.01</v>
      </c>
      <c r="AC412" s="124">
        <v>0.01</v>
      </c>
    </row>
    <row r="413" spans="1:29" s="124" customFormat="1" ht="25.2" customHeight="1">
      <c r="A413" s="154">
        <v>398</v>
      </c>
      <c r="B413" s="204"/>
      <c r="C413" s="204"/>
      <c r="D413" s="205"/>
      <c r="E413" s="155" t="str">
        <f>'Tên Tháng 1'!E401</f>
        <v>ហួន ហេង</v>
      </c>
      <c r="F413" s="157" t="str">
        <f>'Tên Tháng 1'!F401</f>
        <v>HOUN HENG</v>
      </c>
      <c r="G413" s="206">
        <v>302</v>
      </c>
      <c r="H413" s="207">
        <f>'SAN LUONG'!AT412</f>
        <v>179.08</v>
      </c>
      <c r="I413" s="159">
        <f t="shared" si="68"/>
        <v>2.5499999999999998</v>
      </c>
      <c r="J413" s="207">
        <f>'SAN LUONG'!AS412</f>
        <v>553.96</v>
      </c>
      <c r="K413" s="159">
        <f t="shared" si="67"/>
        <v>8.76</v>
      </c>
      <c r="L413" s="207"/>
      <c r="M413" s="159">
        <f t="shared" si="69"/>
        <v>0</v>
      </c>
      <c r="N413" s="208">
        <f>'CHAM CONG'!AR411</f>
        <v>1</v>
      </c>
      <c r="O413" s="159">
        <f t="shared" si="75"/>
        <v>0.53</v>
      </c>
      <c r="P413" s="207">
        <f>'CHAM CONG'!AQ411</f>
        <v>13</v>
      </c>
      <c r="Q413" s="159">
        <f t="shared" si="70"/>
        <v>6.51</v>
      </c>
      <c r="R413" s="159">
        <f t="shared" si="74"/>
        <v>13</v>
      </c>
      <c r="S413" s="159">
        <f t="shared" si="71"/>
        <v>0.41</v>
      </c>
      <c r="T413" s="159"/>
      <c r="U413" s="159"/>
      <c r="V413" s="159"/>
      <c r="W413" s="159"/>
      <c r="X413" s="159">
        <f t="shared" si="72"/>
        <v>18.760000000000002</v>
      </c>
      <c r="Y413" s="209"/>
      <c r="Z413" s="210" t="s">
        <v>1094</v>
      </c>
      <c r="AA413" s="202">
        <v>18.760000000000002</v>
      </c>
      <c r="AB413" s="203">
        <f t="shared" si="73"/>
        <v>0</v>
      </c>
      <c r="AC413" s="124">
        <v>0.05</v>
      </c>
    </row>
    <row r="414" spans="1:29" s="124" customFormat="1" ht="25.2" customHeight="1">
      <c r="A414" s="154">
        <v>399</v>
      </c>
      <c r="B414" s="204"/>
      <c r="C414" s="204"/>
      <c r="D414" s="205"/>
      <c r="E414" s="155" t="str">
        <f>'Tên Tháng 1'!E402</f>
        <v>ភួន ភា</v>
      </c>
      <c r="F414" s="157" t="str">
        <f>'Tên Tháng 1'!F402</f>
        <v>PHUON PHEA</v>
      </c>
      <c r="G414" s="206">
        <v>303</v>
      </c>
      <c r="H414" s="207">
        <f>'SAN LUONG'!AT413</f>
        <v>99.44</v>
      </c>
      <c r="I414" s="159">
        <f t="shared" si="68"/>
        <v>1.42</v>
      </c>
      <c r="J414" s="207">
        <f>'SAN LUONG'!AS413</f>
        <v>510.84</v>
      </c>
      <c r="K414" s="159">
        <f t="shared" si="67"/>
        <v>8.08</v>
      </c>
      <c r="L414" s="207"/>
      <c r="M414" s="159">
        <f t="shared" si="69"/>
        <v>0</v>
      </c>
      <c r="N414" s="208">
        <f>'CHAM CONG'!AR412</f>
        <v>0</v>
      </c>
      <c r="O414" s="159">
        <f t="shared" si="75"/>
        <v>0</v>
      </c>
      <c r="P414" s="207">
        <f>'CHAM CONG'!AQ412</f>
        <v>13</v>
      </c>
      <c r="Q414" s="159">
        <f t="shared" si="70"/>
        <v>6.51</v>
      </c>
      <c r="R414" s="159">
        <f t="shared" si="74"/>
        <v>13</v>
      </c>
      <c r="S414" s="159">
        <f t="shared" si="71"/>
        <v>0.41</v>
      </c>
      <c r="T414" s="159"/>
      <c r="U414" s="159"/>
      <c r="V414" s="159"/>
      <c r="W414" s="159"/>
      <c r="X414" s="159">
        <f t="shared" si="72"/>
        <v>16.419999999999998</v>
      </c>
      <c r="Y414" s="209"/>
      <c r="Z414" s="210" t="s">
        <v>1094</v>
      </c>
      <c r="AA414" s="202">
        <v>16.41</v>
      </c>
      <c r="AB414" s="203">
        <f t="shared" si="73"/>
        <v>-0.01</v>
      </c>
      <c r="AC414" s="124">
        <v>0.04</v>
      </c>
    </row>
    <row r="415" spans="1:29" s="124" customFormat="1" ht="25.2" customHeight="1">
      <c r="A415" s="154">
        <v>400</v>
      </c>
      <c r="B415" s="204"/>
      <c r="C415" s="204"/>
      <c r="D415" s="205"/>
      <c r="E415" s="155" t="str">
        <f>'Tên Tháng 1'!E403</f>
        <v>ងី តំ</v>
      </c>
      <c r="F415" s="157" t="str">
        <f>'Tên Tháng 1'!F403</f>
        <v>NGY TOM</v>
      </c>
      <c r="G415" s="206">
        <v>304</v>
      </c>
      <c r="H415" s="207">
        <f>'SAN LUONG'!AT414</f>
        <v>170.28</v>
      </c>
      <c r="I415" s="159">
        <f t="shared" si="68"/>
        <v>2.4300000000000002</v>
      </c>
      <c r="J415" s="207">
        <f>'SAN LUONG'!AS414</f>
        <v>544.28</v>
      </c>
      <c r="K415" s="159">
        <f t="shared" si="67"/>
        <v>8.6</v>
      </c>
      <c r="L415" s="207"/>
      <c r="M415" s="159">
        <f t="shared" si="69"/>
        <v>0</v>
      </c>
      <c r="N415" s="208">
        <f>'CHAM CONG'!AR413</f>
        <v>1</v>
      </c>
      <c r="O415" s="159">
        <f t="shared" si="75"/>
        <v>0.53</v>
      </c>
      <c r="P415" s="207">
        <f>'CHAM CONG'!AQ413</f>
        <v>13</v>
      </c>
      <c r="Q415" s="159">
        <f t="shared" si="70"/>
        <v>6.51</v>
      </c>
      <c r="R415" s="159">
        <f t="shared" si="74"/>
        <v>13</v>
      </c>
      <c r="S415" s="159">
        <f t="shared" si="71"/>
        <v>0.41</v>
      </c>
      <c r="T415" s="159"/>
      <c r="U415" s="159"/>
      <c r="V415" s="159"/>
      <c r="W415" s="159"/>
      <c r="X415" s="159">
        <f t="shared" si="72"/>
        <v>18.48</v>
      </c>
      <c r="Y415" s="209"/>
      <c r="Z415" s="210" t="s">
        <v>1094</v>
      </c>
      <c r="AA415" s="202">
        <v>18.48</v>
      </c>
      <c r="AB415" s="203">
        <f t="shared" si="73"/>
        <v>0</v>
      </c>
      <c r="AC415" s="124">
        <v>0</v>
      </c>
    </row>
    <row r="416" spans="1:29" s="124" customFormat="1" ht="25.2" customHeight="1">
      <c r="A416" s="154">
        <v>401</v>
      </c>
      <c r="B416" s="204"/>
      <c r="C416" s="204"/>
      <c r="D416" s="205"/>
      <c r="E416" s="155" t="str">
        <f>'Tên Tháng 1'!E404</f>
        <v>ហូយ វាសនា</v>
      </c>
      <c r="F416" s="157" t="str">
        <f>'Tên Tháng 1'!F404</f>
        <v>HAUY VEASNA</v>
      </c>
      <c r="G416" s="206">
        <v>305</v>
      </c>
      <c r="H416" s="207">
        <f>'SAN LUONG'!AT415</f>
        <v>69.08</v>
      </c>
      <c r="I416" s="159">
        <f t="shared" si="68"/>
        <v>0.98</v>
      </c>
      <c r="J416" s="207">
        <f>'SAN LUONG'!AS415</f>
        <v>208.12</v>
      </c>
      <c r="K416" s="159">
        <f t="shared" si="67"/>
        <v>3.29</v>
      </c>
      <c r="L416" s="207"/>
      <c r="M416" s="159">
        <f t="shared" si="69"/>
        <v>0</v>
      </c>
      <c r="N416" s="208">
        <f>'CHAM CONG'!AR414</f>
        <v>0</v>
      </c>
      <c r="O416" s="159">
        <f t="shared" si="75"/>
        <v>0</v>
      </c>
      <c r="P416" s="207">
        <f>'CHAM CONG'!AQ414</f>
        <v>12</v>
      </c>
      <c r="Q416" s="159">
        <f t="shared" si="70"/>
        <v>6.01</v>
      </c>
      <c r="R416" s="159">
        <f t="shared" si="74"/>
        <v>12</v>
      </c>
      <c r="S416" s="159">
        <f t="shared" si="71"/>
        <v>0.38</v>
      </c>
      <c r="T416" s="159"/>
      <c r="U416" s="159"/>
      <c r="V416" s="159"/>
      <c r="W416" s="159"/>
      <c r="X416" s="159">
        <f t="shared" si="72"/>
        <v>10.66</v>
      </c>
      <c r="Y416" s="209"/>
      <c r="Z416" s="210" t="s">
        <v>1094</v>
      </c>
      <c r="AA416" s="202">
        <v>10.66</v>
      </c>
      <c r="AB416" s="203">
        <f t="shared" si="73"/>
        <v>0</v>
      </c>
      <c r="AC416" s="124">
        <v>-0.03</v>
      </c>
    </row>
    <row r="417" spans="1:29" s="124" customFormat="1" ht="25.2" customHeight="1">
      <c r="A417" s="154">
        <v>402</v>
      </c>
      <c r="B417" s="204"/>
      <c r="C417" s="204"/>
      <c r="D417" s="205"/>
      <c r="E417" s="155" t="str">
        <f>'Tên Tháng 1'!E405</f>
        <v>សឿន ចែម</v>
      </c>
      <c r="F417" s="157" t="str">
        <f>'Tên Tháng 1'!F405</f>
        <v>SOEUN CHEM</v>
      </c>
      <c r="G417" s="206">
        <v>306</v>
      </c>
      <c r="H417" s="207">
        <f>'SAN LUONG'!AT416</f>
        <v>133.32</v>
      </c>
      <c r="I417" s="159">
        <f t="shared" si="68"/>
        <v>1.9</v>
      </c>
      <c r="J417" s="207">
        <f>'SAN LUONG'!AS416</f>
        <v>246.4</v>
      </c>
      <c r="K417" s="159">
        <f t="shared" si="67"/>
        <v>3.89</v>
      </c>
      <c r="L417" s="207"/>
      <c r="M417" s="159">
        <f t="shared" si="69"/>
        <v>0</v>
      </c>
      <c r="N417" s="208">
        <f>'CHAM CONG'!AR415</f>
        <v>0</v>
      </c>
      <c r="O417" s="159">
        <f t="shared" si="75"/>
        <v>0</v>
      </c>
      <c r="P417" s="207">
        <f>'CHAM CONG'!AQ415</f>
        <v>11</v>
      </c>
      <c r="Q417" s="159">
        <f t="shared" si="70"/>
        <v>5.51</v>
      </c>
      <c r="R417" s="159">
        <f t="shared" si="74"/>
        <v>11</v>
      </c>
      <c r="S417" s="159">
        <f t="shared" si="71"/>
        <v>0.34</v>
      </c>
      <c r="T417" s="159"/>
      <c r="U417" s="159"/>
      <c r="V417" s="159"/>
      <c r="W417" s="159"/>
      <c r="X417" s="159">
        <f t="shared" si="72"/>
        <v>11.64</v>
      </c>
      <c r="Y417" s="209"/>
      <c r="Z417" s="210" t="s">
        <v>1094</v>
      </c>
      <c r="AA417" s="202">
        <v>11.65</v>
      </c>
      <c r="AB417" s="203">
        <f t="shared" si="73"/>
        <v>0.01</v>
      </c>
      <c r="AC417" s="124">
        <v>0</v>
      </c>
    </row>
    <row r="418" spans="1:29" s="124" customFormat="1" ht="25.2" customHeight="1">
      <c r="A418" s="154">
        <v>403</v>
      </c>
      <c r="B418" s="204"/>
      <c r="C418" s="204"/>
      <c r="D418" s="205"/>
      <c r="E418" s="155" t="str">
        <f>'Tên Tháng 1'!E406</f>
        <v>អាន អឿន</v>
      </c>
      <c r="F418" s="157" t="str">
        <f>'Tên Tháng 1'!F406</f>
        <v>AN OEURN</v>
      </c>
      <c r="G418" s="206">
        <v>307</v>
      </c>
      <c r="H418" s="207">
        <f>'SAN LUONG'!AT417</f>
        <v>117.92</v>
      </c>
      <c r="I418" s="159">
        <f t="shared" si="68"/>
        <v>1.68</v>
      </c>
      <c r="J418" s="207">
        <f>'SAN LUONG'!AS417</f>
        <v>282.48</v>
      </c>
      <c r="K418" s="159">
        <f t="shared" si="67"/>
        <v>4.47</v>
      </c>
      <c r="L418" s="207"/>
      <c r="M418" s="159">
        <f t="shared" si="69"/>
        <v>0</v>
      </c>
      <c r="N418" s="208">
        <f>'CHAM CONG'!AR416</f>
        <v>0</v>
      </c>
      <c r="O418" s="159">
        <f t="shared" si="75"/>
        <v>0</v>
      </c>
      <c r="P418" s="207">
        <f>'CHAM CONG'!AQ416</f>
        <v>12</v>
      </c>
      <c r="Q418" s="159">
        <f t="shared" si="70"/>
        <v>6.01</v>
      </c>
      <c r="R418" s="159">
        <f t="shared" si="74"/>
        <v>12</v>
      </c>
      <c r="S418" s="159">
        <f t="shared" si="71"/>
        <v>0.38</v>
      </c>
      <c r="T418" s="159"/>
      <c r="U418" s="159"/>
      <c r="V418" s="159"/>
      <c r="W418" s="159"/>
      <c r="X418" s="159">
        <f t="shared" si="72"/>
        <v>12.540000000000001</v>
      </c>
      <c r="Y418" s="209"/>
      <c r="Z418" s="210" t="s">
        <v>1094</v>
      </c>
      <c r="AA418" s="202">
        <v>12.53</v>
      </c>
      <c r="AB418" s="203">
        <f t="shared" si="73"/>
        <v>-0.01</v>
      </c>
      <c r="AC418" s="124">
        <v>0.01</v>
      </c>
    </row>
    <row r="419" spans="1:29" s="124" customFormat="1" ht="25.2" customHeight="1">
      <c r="A419" s="154">
        <v>404</v>
      </c>
      <c r="B419" s="204"/>
      <c r="C419" s="204"/>
      <c r="D419" s="205"/>
      <c r="E419" s="155" t="str">
        <f>'Tên Tháng 1'!E407</f>
        <v>ភួន ធារី</v>
      </c>
      <c r="F419" s="157" t="str">
        <f>'Tên Tháng 1'!F407</f>
        <v>PHUON THEARY</v>
      </c>
      <c r="G419" s="206">
        <v>308</v>
      </c>
      <c r="H419" s="207">
        <f>'SAN LUONG'!AT418</f>
        <v>135.96</v>
      </c>
      <c r="I419" s="159">
        <f t="shared" si="68"/>
        <v>1.94</v>
      </c>
      <c r="J419" s="207">
        <f>'SAN LUONG'!AS418</f>
        <v>430.76</v>
      </c>
      <c r="K419" s="159">
        <f t="shared" si="67"/>
        <v>6.81</v>
      </c>
      <c r="L419" s="207"/>
      <c r="M419" s="159">
        <f t="shared" si="69"/>
        <v>0</v>
      </c>
      <c r="N419" s="208">
        <f>'CHAM CONG'!AR417</f>
        <v>0</v>
      </c>
      <c r="O419" s="159">
        <f t="shared" si="75"/>
        <v>0</v>
      </c>
      <c r="P419" s="207">
        <f>'CHAM CONG'!AQ417</f>
        <v>13</v>
      </c>
      <c r="Q419" s="159">
        <f t="shared" si="70"/>
        <v>6.51</v>
      </c>
      <c r="R419" s="159">
        <f t="shared" si="74"/>
        <v>13</v>
      </c>
      <c r="S419" s="159">
        <f t="shared" si="71"/>
        <v>0.41</v>
      </c>
      <c r="T419" s="159"/>
      <c r="U419" s="159"/>
      <c r="V419" s="159"/>
      <c r="W419" s="159"/>
      <c r="X419" s="159">
        <f t="shared" si="72"/>
        <v>15.67</v>
      </c>
      <c r="Y419" s="209"/>
      <c r="Z419" s="210" t="s">
        <v>1094</v>
      </c>
      <c r="AA419" s="202">
        <v>15.66</v>
      </c>
      <c r="AB419" s="203">
        <f t="shared" si="73"/>
        <v>-0.01</v>
      </c>
      <c r="AC419" s="124">
        <v>0.01</v>
      </c>
    </row>
    <row r="420" spans="1:29" s="124" customFormat="1" ht="25.2" customHeight="1">
      <c r="A420" s="154">
        <v>405</v>
      </c>
      <c r="B420" s="204"/>
      <c r="C420" s="204"/>
      <c r="D420" s="205"/>
      <c r="E420" s="155" t="str">
        <f>'Tên Tháng 1'!E408</f>
        <v>ឈិន ឈឿន</v>
      </c>
      <c r="F420" s="157" t="str">
        <f>'Tên Tháng 1'!F408</f>
        <v>CHHIN CHHOEUN</v>
      </c>
      <c r="G420" s="206">
        <v>309</v>
      </c>
      <c r="H420" s="207">
        <f>'SAN LUONG'!AT419</f>
        <v>72.599999999999994</v>
      </c>
      <c r="I420" s="159">
        <f t="shared" si="68"/>
        <v>1.03</v>
      </c>
      <c r="J420" s="207">
        <f>'SAN LUONG'!AS419</f>
        <v>305.8</v>
      </c>
      <c r="K420" s="159">
        <f t="shared" si="67"/>
        <v>4.83</v>
      </c>
      <c r="L420" s="207"/>
      <c r="M420" s="159">
        <f t="shared" si="69"/>
        <v>0</v>
      </c>
      <c r="N420" s="208">
        <f>'CHAM CONG'!AR418</f>
        <v>0</v>
      </c>
      <c r="O420" s="159">
        <f t="shared" si="75"/>
        <v>0</v>
      </c>
      <c r="P420" s="207">
        <f>'CHAM CONG'!AQ418</f>
        <v>13</v>
      </c>
      <c r="Q420" s="159">
        <f t="shared" si="70"/>
        <v>6.51</v>
      </c>
      <c r="R420" s="159">
        <f t="shared" si="74"/>
        <v>13</v>
      </c>
      <c r="S420" s="159">
        <f t="shared" si="71"/>
        <v>0.41</v>
      </c>
      <c r="T420" s="159"/>
      <c r="U420" s="159"/>
      <c r="V420" s="159"/>
      <c r="W420" s="159"/>
      <c r="X420" s="159">
        <f t="shared" si="72"/>
        <v>12.780000000000001</v>
      </c>
      <c r="Y420" s="209"/>
      <c r="Z420" s="210" t="s">
        <v>1094</v>
      </c>
      <c r="AA420" s="202">
        <v>12.79</v>
      </c>
      <c r="AB420" s="203">
        <f t="shared" si="73"/>
        <v>0.01</v>
      </c>
      <c r="AC420" s="124">
        <v>0</v>
      </c>
    </row>
    <row r="421" spans="1:29" s="124" customFormat="1" ht="25.2" customHeight="1">
      <c r="A421" s="154">
        <v>406</v>
      </c>
      <c r="B421" s="204"/>
      <c r="C421" s="204"/>
      <c r="D421" s="205"/>
      <c r="E421" s="155" t="str">
        <f>'Tên Tháng 1'!E409</f>
        <v>យ៉ាន ត្រប់</v>
      </c>
      <c r="F421" s="157" t="str">
        <f>'Tên Tháng 1'!F409</f>
        <v>YAN TROB</v>
      </c>
      <c r="G421" s="206">
        <v>310</v>
      </c>
      <c r="H421" s="207">
        <f>'SAN LUONG'!AT420</f>
        <v>80.52</v>
      </c>
      <c r="I421" s="159">
        <f t="shared" si="68"/>
        <v>1.1499999999999999</v>
      </c>
      <c r="J421" s="207">
        <f>'SAN LUONG'!AS420</f>
        <v>429.88</v>
      </c>
      <c r="K421" s="159">
        <f t="shared" si="67"/>
        <v>6.8</v>
      </c>
      <c r="L421" s="207"/>
      <c r="M421" s="159">
        <f t="shared" si="69"/>
        <v>0</v>
      </c>
      <c r="N421" s="208">
        <f>'CHAM CONG'!AR419</f>
        <v>0</v>
      </c>
      <c r="O421" s="159">
        <f t="shared" si="75"/>
        <v>0</v>
      </c>
      <c r="P421" s="207">
        <f>'CHAM CONG'!AQ419</f>
        <v>14</v>
      </c>
      <c r="Q421" s="159">
        <f t="shared" si="70"/>
        <v>7.01</v>
      </c>
      <c r="R421" s="159">
        <f t="shared" si="74"/>
        <v>14</v>
      </c>
      <c r="S421" s="159">
        <f>ROUND(R421*$S$14/31947,1)</f>
        <v>0.4</v>
      </c>
      <c r="T421" s="159"/>
      <c r="U421" s="159"/>
      <c r="V421" s="159"/>
      <c r="W421" s="159"/>
      <c r="X421" s="159">
        <f t="shared" si="72"/>
        <v>15.36</v>
      </c>
      <c r="Y421" s="209"/>
      <c r="Z421" s="210" t="s">
        <v>1094</v>
      </c>
      <c r="AA421" s="202">
        <v>15.39</v>
      </c>
      <c r="AB421" s="203">
        <f t="shared" si="73"/>
        <v>0.03</v>
      </c>
      <c r="AC421" s="124">
        <v>0.03</v>
      </c>
    </row>
    <row r="422" spans="1:29" s="124" customFormat="1" ht="25.2" customHeight="1">
      <c r="A422" s="154">
        <v>407</v>
      </c>
      <c r="B422" s="204"/>
      <c r="C422" s="204"/>
      <c r="D422" s="205"/>
      <c r="E422" s="155" t="str">
        <f>'Tên Tháng 1'!E410</f>
        <v>ឃឹម បញ្ញា</v>
      </c>
      <c r="F422" s="157" t="str">
        <f>'Tên Tháng 1'!F410</f>
        <v>KHOEM PHANHA</v>
      </c>
      <c r="G422" s="206">
        <v>311</v>
      </c>
      <c r="H422" s="207">
        <f>'SAN LUONG'!AT421</f>
        <v>121.88</v>
      </c>
      <c r="I422" s="159">
        <f t="shared" si="68"/>
        <v>1.74</v>
      </c>
      <c r="J422" s="207">
        <f>'SAN LUONG'!AS421</f>
        <v>272.8</v>
      </c>
      <c r="K422" s="159">
        <f t="shared" si="67"/>
        <v>4.3099999999999996</v>
      </c>
      <c r="L422" s="207"/>
      <c r="M422" s="159">
        <f t="shared" si="69"/>
        <v>0</v>
      </c>
      <c r="N422" s="208">
        <f>'CHAM CONG'!AR420</f>
        <v>0</v>
      </c>
      <c r="O422" s="159">
        <f t="shared" si="75"/>
        <v>0</v>
      </c>
      <c r="P422" s="207">
        <f>'CHAM CONG'!AQ420</f>
        <v>11</v>
      </c>
      <c r="Q422" s="159">
        <f t="shared" si="70"/>
        <v>5.51</v>
      </c>
      <c r="R422" s="159">
        <f t="shared" si="74"/>
        <v>11</v>
      </c>
      <c r="S422" s="159">
        <f t="shared" si="71"/>
        <v>0.34</v>
      </c>
      <c r="T422" s="159"/>
      <c r="U422" s="159"/>
      <c r="V422" s="159"/>
      <c r="W422" s="159"/>
      <c r="X422" s="159">
        <f t="shared" si="72"/>
        <v>11.899999999999999</v>
      </c>
      <c r="Y422" s="209"/>
      <c r="Z422" s="210" t="s">
        <v>1094</v>
      </c>
      <c r="AA422" s="202">
        <v>11.9</v>
      </c>
      <c r="AB422" s="203">
        <f t="shared" si="73"/>
        <v>0</v>
      </c>
      <c r="AC422" s="124">
        <v>0.05</v>
      </c>
    </row>
    <row r="423" spans="1:29" s="124" customFormat="1" ht="25.2" customHeight="1">
      <c r="A423" s="154">
        <v>408</v>
      </c>
      <c r="B423" s="204"/>
      <c r="C423" s="204"/>
      <c r="D423" s="205"/>
      <c r="E423" s="155" t="str">
        <f>'Tên Tháng 1'!E411</f>
        <v>ឈឿន ឈួយ</v>
      </c>
      <c r="F423" s="157" t="str">
        <f>'Tên Tháng 1'!F411</f>
        <v>CHHOEUN CHHUOY</v>
      </c>
      <c r="G423" s="206">
        <v>312</v>
      </c>
      <c r="H423" s="207">
        <f>'SAN LUONG'!AT422</f>
        <v>205.92</v>
      </c>
      <c r="I423" s="159">
        <f t="shared" si="68"/>
        <v>2.93</v>
      </c>
      <c r="J423" s="207">
        <f>'SAN LUONG'!AS422</f>
        <v>354.2</v>
      </c>
      <c r="K423" s="159">
        <f t="shared" si="67"/>
        <v>5.6</v>
      </c>
      <c r="L423" s="207"/>
      <c r="M423" s="159">
        <f t="shared" si="69"/>
        <v>0</v>
      </c>
      <c r="N423" s="208">
        <f>'CHAM CONG'!AR421</f>
        <v>0</v>
      </c>
      <c r="O423" s="159">
        <f t="shared" si="75"/>
        <v>0</v>
      </c>
      <c r="P423" s="207">
        <f>'CHAM CONG'!AQ421</f>
        <v>11</v>
      </c>
      <c r="Q423" s="159">
        <f t="shared" si="70"/>
        <v>5.51</v>
      </c>
      <c r="R423" s="159">
        <f t="shared" si="74"/>
        <v>11</v>
      </c>
      <c r="S423" s="159">
        <f t="shared" si="71"/>
        <v>0.34</v>
      </c>
      <c r="T423" s="159"/>
      <c r="U423" s="159"/>
      <c r="V423" s="159"/>
      <c r="W423" s="159"/>
      <c r="X423" s="159">
        <f t="shared" si="72"/>
        <v>14.379999999999999</v>
      </c>
      <c r="Y423" s="209"/>
      <c r="Z423" s="210" t="s">
        <v>1094</v>
      </c>
      <c r="AA423" s="202">
        <v>14.39</v>
      </c>
      <c r="AB423" s="203">
        <f t="shared" si="73"/>
        <v>0.01</v>
      </c>
      <c r="AC423" s="124">
        <v>0.01</v>
      </c>
    </row>
    <row r="424" spans="1:29" s="124" customFormat="1" ht="25.2" customHeight="1">
      <c r="A424" s="154">
        <v>409</v>
      </c>
      <c r="B424" s="204"/>
      <c r="C424" s="204"/>
      <c r="D424" s="205"/>
      <c r="E424" s="155" t="str">
        <f>'Tên Tháng 1'!E412</f>
        <v>ក្រឹង រ៉ៃ</v>
      </c>
      <c r="F424" s="157" t="str">
        <f>'Tên Tháng 1'!F412</f>
        <v>KRENG REY</v>
      </c>
      <c r="G424" s="206">
        <v>313</v>
      </c>
      <c r="H424" s="207">
        <f>'SAN LUONG'!AT423</f>
        <v>170.72</v>
      </c>
      <c r="I424" s="159">
        <f t="shared" si="68"/>
        <v>2.4300000000000002</v>
      </c>
      <c r="J424" s="207">
        <f>'SAN LUONG'!AS423</f>
        <v>305.8</v>
      </c>
      <c r="K424" s="159">
        <f t="shared" si="67"/>
        <v>4.83</v>
      </c>
      <c r="L424" s="207"/>
      <c r="M424" s="159">
        <f t="shared" si="69"/>
        <v>0</v>
      </c>
      <c r="N424" s="208">
        <f>'CHAM CONG'!AR422</f>
        <v>0</v>
      </c>
      <c r="O424" s="159">
        <f t="shared" si="75"/>
        <v>0</v>
      </c>
      <c r="P424" s="207">
        <f>'CHAM CONG'!AQ422</f>
        <v>11</v>
      </c>
      <c r="Q424" s="159">
        <f t="shared" si="70"/>
        <v>5.51</v>
      </c>
      <c r="R424" s="159">
        <f t="shared" si="74"/>
        <v>11</v>
      </c>
      <c r="S424" s="159">
        <f t="shared" si="71"/>
        <v>0.34</v>
      </c>
      <c r="T424" s="159"/>
      <c r="U424" s="159"/>
      <c r="V424" s="159"/>
      <c r="W424" s="159"/>
      <c r="X424" s="159">
        <f t="shared" si="72"/>
        <v>13.11</v>
      </c>
      <c r="Y424" s="209"/>
      <c r="Z424" s="210" t="s">
        <v>1094</v>
      </c>
      <c r="AA424" s="202">
        <v>13.12</v>
      </c>
      <c r="AB424" s="203">
        <f t="shared" si="73"/>
        <v>0.01</v>
      </c>
      <c r="AC424" s="124">
        <v>0</v>
      </c>
    </row>
    <row r="425" spans="1:29" s="124" customFormat="1" ht="25.2" customHeight="1">
      <c r="A425" s="154">
        <v>410</v>
      </c>
      <c r="B425" s="204"/>
      <c r="C425" s="204"/>
      <c r="D425" s="205"/>
      <c r="E425" s="155" t="str">
        <f>'Tên Tháng 1'!E413</f>
        <v>សេន សេត</v>
      </c>
      <c r="F425" s="157" t="str">
        <f>'Tên Tháng 1'!F413</f>
        <v>SEN SET</v>
      </c>
      <c r="G425" s="206">
        <v>314</v>
      </c>
      <c r="H425" s="207">
        <f>'SAN LUONG'!AT424</f>
        <v>122.76</v>
      </c>
      <c r="I425" s="159">
        <f t="shared" si="68"/>
        <v>1.75</v>
      </c>
      <c r="J425" s="207">
        <f>'SAN LUONG'!AS424</f>
        <v>462.44</v>
      </c>
      <c r="K425" s="159">
        <f t="shared" si="67"/>
        <v>7.31</v>
      </c>
      <c r="L425" s="207"/>
      <c r="M425" s="159">
        <f t="shared" si="69"/>
        <v>0</v>
      </c>
      <c r="N425" s="208">
        <f>'CHAM CONG'!AR423</f>
        <v>1</v>
      </c>
      <c r="O425" s="159">
        <f t="shared" si="75"/>
        <v>0.53</v>
      </c>
      <c r="P425" s="207">
        <f>'CHAM CONG'!AQ423</f>
        <v>14</v>
      </c>
      <c r="Q425" s="159">
        <f t="shared" si="70"/>
        <v>7.01</v>
      </c>
      <c r="R425" s="159">
        <f t="shared" si="74"/>
        <v>14</v>
      </c>
      <c r="S425" s="159">
        <f t="shared" si="71"/>
        <v>0.44</v>
      </c>
      <c r="T425" s="159"/>
      <c r="U425" s="159"/>
      <c r="V425" s="159"/>
      <c r="W425" s="159"/>
      <c r="X425" s="159">
        <f t="shared" si="72"/>
        <v>17.040000000000003</v>
      </c>
      <c r="Y425" s="209"/>
      <c r="Z425" s="210" t="s">
        <v>1094</v>
      </c>
      <c r="AA425" s="202">
        <v>17.04</v>
      </c>
      <c r="AB425" s="203">
        <f t="shared" si="73"/>
        <v>0</v>
      </c>
      <c r="AC425" s="124">
        <v>0.01</v>
      </c>
    </row>
    <row r="426" spans="1:29" s="124" customFormat="1" ht="25.2" customHeight="1">
      <c r="A426" s="154">
        <v>411</v>
      </c>
      <c r="B426" s="204"/>
      <c r="C426" s="204"/>
      <c r="D426" s="205"/>
      <c r="E426" s="155" t="str">
        <f>'Tên Tháng 1'!E414</f>
        <v>សឿន សុគឿន</v>
      </c>
      <c r="F426" s="157" t="str">
        <f>'Tên Tháng 1'!F414</f>
        <v>SOEUN SO KOEUN</v>
      </c>
      <c r="G426" s="206">
        <v>315</v>
      </c>
      <c r="H426" s="207">
        <f>'SAN LUONG'!AT425</f>
        <v>165</v>
      </c>
      <c r="I426" s="159">
        <f t="shared" si="68"/>
        <v>2.35</v>
      </c>
      <c r="J426" s="207">
        <f>'SAN LUONG'!AS425</f>
        <v>507.76</v>
      </c>
      <c r="K426" s="159">
        <f t="shared" si="67"/>
        <v>8.0299999999999994</v>
      </c>
      <c r="L426" s="207"/>
      <c r="M426" s="159">
        <f t="shared" si="69"/>
        <v>0</v>
      </c>
      <c r="N426" s="208">
        <f>'CHAM CONG'!AR424</f>
        <v>0</v>
      </c>
      <c r="O426" s="159">
        <f t="shared" si="75"/>
        <v>0</v>
      </c>
      <c r="P426" s="207">
        <f>'CHAM CONG'!AQ424</f>
        <v>14</v>
      </c>
      <c r="Q426" s="159">
        <f t="shared" si="70"/>
        <v>7.01</v>
      </c>
      <c r="R426" s="159">
        <f t="shared" si="74"/>
        <v>14</v>
      </c>
      <c r="S426" s="159">
        <f t="shared" si="71"/>
        <v>0.44</v>
      </c>
      <c r="T426" s="159"/>
      <c r="U426" s="159"/>
      <c r="V426" s="159"/>
      <c r="W426" s="159"/>
      <c r="X426" s="159">
        <f t="shared" si="72"/>
        <v>17.830000000000002</v>
      </c>
      <c r="Y426" s="209"/>
      <c r="Z426" s="210" t="s">
        <v>1094</v>
      </c>
      <c r="AA426" s="202">
        <v>17.829999999999998</v>
      </c>
      <c r="AB426" s="203">
        <f t="shared" si="73"/>
        <v>0</v>
      </c>
      <c r="AC426" s="124">
        <v>0.04</v>
      </c>
    </row>
    <row r="427" spans="1:29" s="124" customFormat="1" ht="25.2" customHeight="1">
      <c r="A427" s="154">
        <v>412</v>
      </c>
      <c r="B427" s="204"/>
      <c r="C427" s="204"/>
      <c r="D427" s="205"/>
      <c r="E427" s="155" t="str">
        <f>'Tên Tháng 1'!E415</f>
        <v>ហ៊ាប យ៉ាន</v>
      </c>
      <c r="F427" s="157" t="str">
        <f>'Tên Tháng 1'!F415</f>
        <v>HEAB YAN</v>
      </c>
      <c r="G427" s="206">
        <v>316</v>
      </c>
      <c r="H427" s="207">
        <f>'SAN LUONG'!AT426</f>
        <v>145.63999999999999</v>
      </c>
      <c r="I427" s="159">
        <f t="shared" si="68"/>
        <v>2.0699999999999998</v>
      </c>
      <c r="J427" s="207">
        <f>'SAN LUONG'!AS426</f>
        <v>408.32</v>
      </c>
      <c r="K427" s="159">
        <f t="shared" si="67"/>
        <v>6.45</v>
      </c>
      <c r="L427" s="207"/>
      <c r="M427" s="159">
        <f t="shared" si="69"/>
        <v>0</v>
      </c>
      <c r="N427" s="208">
        <f>'CHAM CONG'!AR425</f>
        <v>0</v>
      </c>
      <c r="O427" s="159">
        <f t="shared" si="75"/>
        <v>0</v>
      </c>
      <c r="P427" s="207">
        <f>'CHAM CONG'!AQ425</f>
        <v>14</v>
      </c>
      <c r="Q427" s="159">
        <f t="shared" si="70"/>
        <v>7.01</v>
      </c>
      <c r="R427" s="159">
        <f t="shared" si="74"/>
        <v>14</v>
      </c>
      <c r="S427" s="159">
        <f t="shared" si="71"/>
        <v>0.44</v>
      </c>
      <c r="T427" s="159"/>
      <c r="U427" s="159"/>
      <c r="V427" s="159"/>
      <c r="W427" s="159"/>
      <c r="X427" s="159">
        <f t="shared" si="72"/>
        <v>15.969999999999999</v>
      </c>
      <c r="Y427" s="209"/>
      <c r="Z427" s="210" t="s">
        <v>1094</v>
      </c>
      <c r="AA427" s="202">
        <v>15.98</v>
      </c>
      <c r="AB427" s="203">
        <f t="shared" si="73"/>
        <v>0.01</v>
      </c>
      <c r="AC427" s="124">
        <v>0.04</v>
      </c>
    </row>
    <row r="428" spans="1:29" s="124" customFormat="1" ht="25.2" customHeight="1">
      <c r="A428" s="154">
        <v>413</v>
      </c>
      <c r="B428" s="204"/>
      <c r="C428" s="204"/>
      <c r="D428" s="205"/>
      <c r="E428" s="155" t="str">
        <f>'Tên Tháng 1'!E416</f>
        <v>ធី ​ពៅ</v>
      </c>
      <c r="F428" s="157" t="str">
        <f>'Tên Tháng 1'!F416</f>
        <v>THY POV</v>
      </c>
      <c r="G428" s="206">
        <v>317</v>
      </c>
      <c r="H428" s="207">
        <f>'SAN LUONG'!AT427</f>
        <v>89.32</v>
      </c>
      <c r="I428" s="159">
        <f t="shared" si="68"/>
        <v>1.27</v>
      </c>
      <c r="J428" s="207">
        <f>'SAN LUONG'!AS427</f>
        <v>465.52</v>
      </c>
      <c r="K428" s="159">
        <f t="shared" si="67"/>
        <v>7.36</v>
      </c>
      <c r="L428" s="207"/>
      <c r="M428" s="159">
        <f t="shared" si="69"/>
        <v>0</v>
      </c>
      <c r="N428" s="208">
        <f>'CHAM CONG'!AR426</f>
        <v>0</v>
      </c>
      <c r="O428" s="159">
        <f t="shared" si="75"/>
        <v>0</v>
      </c>
      <c r="P428" s="207">
        <f>'CHAM CONG'!AQ426</f>
        <v>13</v>
      </c>
      <c r="Q428" s="159">
        <f t="shared" si="70"/>
        <v>6.51</v>
      </c>
      <c r="R428" s="159">
        <f t="shared" si="74"/>
        <v>13</v>
      </c>
      <c r="S428" s="159">
        <f t="shared" si="71"/>
        <v>0.41</v>
      </c>
      <c r="T428" s="159"/>
      <c r="U428" s="159"/>
      <c r="V428" s="159"/>
      <c r="W428" s="159"/>
      <c r="X428" s="159">
        <f t="shared" si="72"/>
        <v>15.55</v>
      </c>
      <c r="Y428" s="209"/>
      <c r="Z428" s="210" t="s">
        <v>1094</v>
      </c>
      <c r="AA428" s="202">
        <v>15.55</v>
      </c>
      <c r="AB428" s="203">
        <f t="shared" si="73"/>
        <v>0</v>
      </c>
      <c r="AC428" s="124">
        <v>-0.02</v>
      </c>
    </row>
    <row r="429" spans="1:29" s="124" customFormat="1" ht="25.2" customHeight="1">
      <c r="A429" s="154">
        <v>414</v>
      </c>
      <c r="B429" s="204"/>
      <c r="C429" s="204"/>
      <c r="D429" s="205"/>
      <c r="E429" s="155" t="str">
        <f>'Tên Tháng 1'!E417</f>
        <v>ផា បូរី</v>
      </c>
      <c r="F429" s="157" t="str">
        <f>'Tên Tháng 1'!F417</f>
        <v>PHAA BOREY</v>
      </c>
      <c r="G429" s="206">
        <v>318</v>
      </c>
      <c r="H429" s="207">
        <f>'SAN LUONG'!AT428</f>
        <v>107.8</v>
      </c>
      <c r="I429" s="159">
        <f t="shared" si="68"/>
        <v>1.54</v>
      </c>
      <c r="J429" s="207">
        <f>'SAN LUONG'!AS428</f>
        <v>473.44</v>
      </c>
      <c r="K429" s="159">
        <f t="shared" si="67"/>
        <v>7.48</v>
      </c>
      <c r="L429" s="207"/>
      <c r="M429" s="159">
        <f t="shared" si="69"/>
        <v>0</v>
      </c>
      <c r="N429" s="208">
        <f>'CHAM CONG'!AR427</f>
        <v>0</v>
      </c>
      <c r="O429" s="159">
        <f t="shared" si="75"/>
        <v>0</v>
      </c>
      <c r="P429" s="207">
        <f>'CHAM CONG'!AQ427</f>
        <v>13</v>
      </c>
      <c r="Q429" s="159">
        <f t="shared" si="70"/>
        <v>6.51</v>
      </c>
      <c r="R429" s="159">
        <f t="shared" si="74"/>
        <v>13</v>
      </c>
      <c r="S429" s="159">
        <f t="shared" si="71"/>
        <v>0.41</v>
      </c>
      <c r="T429" s="159"/>
      <c r="U429" s="159"/>
      <c r="V429" s="159"/>
      <c r="W429" s="159"/>
      <c r="X429" s="159">
        <f t="shared" si="72"/>
        <v>15.94</v>
      </c>
      <c r="Y429" s="209"/>
      <c r="Z429" s="210" t="s">
        <v>1094</v>
      </c>
      <c r="AA429" s="202">
        <v>15.94</v>
      </c>
      <c r="AB429" s="203">
        <f t="shared" si="73"/>
        <v>0</v>
      </c>
      <c r="AC429" s="124">
        <v>-0.03</v>
      </c>
    </row>
    <row r="430" spans="1:29" s="124" customFormat="1" ht="25.2" customHeight="1">
      <c r="A430" s="154">
        <v>415</v>
      </c>
      <c r="B430" s="204"/>
      <c r="C430" s="204"/>
      <c r="D430" s="205"/>
      <c r="E430" s="155" t="str">
        <f>'Tên Tháng 1'!E418</f>
        <v>ងី នីម</v>
      </c>
      <c r="F430" s="157" t="str">
        <f>'Tên Tháng 1'!F418</f>
        <v>NGI NIM</v>
      </c>
      <c r="G430" s="206">
        <v>319</v>
      </c>
      <c r="H430" s="207">
        <f>'SAN LUONG'!AT429</f>
        <v>154.44</v>
      </c>
      <c r="I430" s="159">
        <f t="shared" si="68"/>
        <v>2.2000000000000002</v>
      </c>
      <c r="J430" s="207">
        <f>'SAN LUONG'!AS429</f>
        <v>405.68</v>
      </c>
      <c r="K430" s="159">
        <f t="shared" si="67"/>
        <v>6.41</v>
      </c>
      <c r="L430" s="207"/>
      <c r="M430" s="159">
        <f t="shared" si="69"/>
        <v>0</v>
      </c>
      <c r="N430" s="208">
        <f>'CHAM CONG'!AR428</f>
        <v>1</v>
      </c>
      <c r="O430" s="159">
        <f t="shared" si="75"/>
        <v>0.53</v>
      </c>
      <c r="P430" s="207">
        <f>'CHAM CONG'!AQ428</f>
        <v>14</v>
      </c>
      <c r="Q430" s="159">
        <f t="shared" si="70"/>
        <v>7.01</v>
      </c>
      <c r="R430" s="159">
        <f t="shared" si="74"/>
        <v>14</v>
      </c>
      <c r="S430" s="159">
        <f t="shared" si="71"/>
        <v>0.44</v>
      </c>
      <c r="T430" s="159"/>
      <c r="U430" s="159"/>
      <c r="V430" s="159"/>
      <c r="W430" s="159"/>
      <c r="X430" s="159">
        <f t="shared" si="72"/>
        <v>16.59</v>
      </c>
      <c r="Y430" s="209"/>
      <c r="Z430" s="210" t="s">
        <v>1094</v>
      </c>
      <c r="AA430" s="202">
        <v>16.59</v>
      </c>
      <c r="AB430" s="203">
        <f t="shared" si="73"/>
        <v>0</v>
      </c>
      <c r="AC430" s="124">
        <v>0.04</v>
      </c>
    </row>
    <row r="431" spans="1:29" s="124" customFormat="1" ht="25.2" customHeight="1">
      <c r="A431" s="154">
        <v>416</v>
      </c>
      <c r="B431" s="204"/>
      <c r="C431" s="204"/>
      <c r="D431" s="205"/>
      <c r="E431" s="155" t="str">
        <f>'Tên Tháng 1'!E419</f>
        <v>រ៉ុន រឿម</v>
      </c>
      <c r="F431" s="157" t="str">
        <f>'Tên Tháng 1'!F419</f>
        <v>RON ROEURM</v>
      </c>
      <c r="G431" s="206">
        <v>320</v>
      </c>
      <c r="H431" s="207">
        <f>'SAN LUONG'!AT430</f>
        <v>173.36</v>
      </c>
      <c r="I431" s="159">
        <f t="shared" si="68"/>
        <v>2.4700000000000002</v>
      </c>
      <c r="J431" s="207">
        <f>'SAN LUONG'!AS430</f>
        <v>440.88</v>
      </c>
      <c r="K431" s="159">
        <f t="shared" si="67"/>
        <v>6.97</v>
      </c>
      <c r="L431" s="207"/>
      <c r="M431" s="159">
        <f t="shared" si="69"/>
        <v>0</v>
      </c>
      <c r="N431" s="208">
        <f>'CHAM CONG'!AR429</f>
        <v>0</v>
      </c>
      <c r="O431" s="159">
        <f t="shared" si="75"/>
        <v>0</v>
      </c>
      <c r="P431" s="207">
        <f>'CHAM CONG'!AQ429</f>
        <v>14</v>
      </c>
      <c r="Q431" s="159">
        <f t="shared" si="70"/>
        <v>7.01</v>
      </c>
      <c r="R431" s="159">
        <f t="shared" si="74"/>
        <v>14</v>
      </c>
      <c r="S431" s="159">
        <f>ROUND(R431*$S$14/31947,1)</f>
        <v>0.4</v>
      </c>
      <c r="T431" s="159"/>
      <c r="U431" s="159"/>
      <c r="V431" s="159"/>
      <c r="W431" s="159"/>
      <c r="X431" s="159">
        <f t="shared" si="72"/>
        <v>16.849999999999998</v>
      </c>
      <c r="Y431" s="209"/>
      <c r="Z431" s="210" t="s">
        <v>1094</v>
      </c>
      <c r="AA431" s="202">
        <v>16.89</v>
      </c>
      <c r="AB431" s="203">
        <f t="shared" si="73"/>
        <v>0.04</v>
      </c>
      <c r="AC431" s="124">
        <v>0</v>
      </c>
    </row>
    <row r="432" spans="1:29" s="124" customFormat="1" ht="25.2" customHeight="1">
      <c r="A432" s="154">
        <v>417</v>
      </c>
      <c r="B432" s="204"/>
      <c r="C432" s="204"/>
      <c r="D432" s="205"/>
      <c r="E432" s="155" t="str">
        <f>'Tên Tháng 1'!E420</f>
        <v>ទឹត្យ បូរី</v>
      </c>
      <c r="F432" s="157" t="str">
        <f>'Tên Tháng 1'!F420</f>
        <v>TOET BOUREY</v>
      </c>
      <c r="G432" s="206">
        <v>321</v>
      </c>
      <c r="H432" s="207">
        <f>'SAN LUONG'!AT431</f>
        <v>165.44</v>
      </c>
      <c r="I432" s="159">
        <f t="shared" si="68"/>
        <v>2.36</v>
      </c>
      <c r="J432" s="207">
        <f>'SAN LUONG'!AS431</f>
        <v>414.04</v>
      </c>
      <c r="K432" s="159">
        <f t="shared" si="67"/>
        <v>6.54</v>
      </c>
      <c r="L432" s="207"/>
      <c r="M432" s="159">
        <f t="shared" si="69"/>
        <v>0</v>
      </c>
      <c r="N432" s="208">
        <f>'CHAM CONG'!AR430</f>
        <v>0</v>
      </c>
      <c r="O432" s="159">
        <f t="shared" si="75"/>
        <v>0</v>
      </c>
      <c r="P432" s="207">
        <f>'CHAM CONG'!AQ430</f>
        <v>14</v>
      </c>
      <c r="Q432" s="159">
        <f t="shared" si="70"/>
        <v>7.01</v>
      </c>
      <c r="R432" s="159">
        <f t="shared" si="74"/>
        <v>14</v>
      </c>
      <c r="S432" s="159">
        <f>ROUND(R432*$S$14/31947,1)</f>
        <v>0.4</v>
      </c>
      <c r="T432" s="159"/>
      <c r="U432" s="159"/>
      <c r="V432" s="159"/>
      <c r="W432" s="159"/>
      <c r="X432" s="159">
        <f t="shared" si="72"/>
        <v>16.309999999999999</v>
      </c>
      <c r="Y432" s="209"/>
      <c r="Z432" s="210" t="s">
        <v>1094</v>
      </c>
      <c r="AA432" s="202">
        <v>16.350000000000001</v>
      </c>
      <c r="AB432" s="203">
        <f t="shared" si="73"/>
        <v>0.04</v>
      </c>
      <c r="AC432" s="124">
        <v>0.01</v>
      </c>
    </row>
    <row r="433" spans="1:29" s="124" customFormat="1" ht="25.2" customHeight="1">
      <c r="A433" s="154">
        <v>418</v>
      </c>
      <c r="B433" s="204"/>
      <c r="C433" s="204"/>
      <c r="D433" s="205"/>
      <c r="E433" s="155" t="str">
        <f>'Tên Tháng 1'!E421</f>
        <v>វិន មុំ</v>
      </c>
      <c r="F433" s="157" t="str">
        <f>'Tên Tháng 1'!F421</f>
        <v>VIN MOM</v>
      </c>
      <c r="G433" s="206">
        <v>322</v>
      </c>
      <c r="H433" s="207">
        <f>'SAN LUONG'!AT432</f>
        <v>156.63999999999999</v>
      </c>
      <c r="I433" s="159">
        <f t="shared" si="68"/>
        <v>2.23</v>
      </c>
      <c r="J433" s="207">
        <f>'SAN LUONG'!AS432</f>
        <v>353.76</v>
      </c>
      <c r="K433" s="159">
        <f t="shared" si="67"/>
        <v>5.59</v>
      </c>
      <c r="L433" s="207"/>
      <c r="M433" s="159">
        <f t="shared" si="69"/>
        <v>0</v>
      </c>
      <c r="N433" s="208">
        <f>'CHAM CONG'!AR431</f>
        <v>1</v>
      </c>
      <c r="O433" s="159">
        <f t="shared" si="75"/>
        <v>0.53</v>
      </c>
      <c r="P433" s="207">
        <f>'CHAM CONG'!AQ431</f>
        <v>12</v>
      </c>
      <c r="Q433" s="159">
        <f t="shared" si="70"/>
        <v>6.01</v>
      </c>
      <c r="R433" s="159">
        <f t="shared" si="74"/>
        <v>12</v>
      </c>
      <c r="S433" s="159">
        <f t="shared" si="71"/>
        <v>0.38</v>
      </c>
      <c r="T433" s="159"/>
      <c r="U433" s="159"/>
      <c r="V433" s="159"/>
      <c r="W433" s="159"/>
      <c r="X433" s="159">
        <f t="shared" si="72"/>
        <v>14.74</v>
      </c>
      <c r="Y433" s="209"/>
      <c r="Z433" s="210" t="s">
        <v>1094</v>
      </c>
      <c r="AA433" s="202">
        <v>14.74</v>
      </c>
      <c r="AB433" s="203">
        <f t="shared" si="73"/>
        <v>0</v>
      </c>
      <c r="AC433" s="124">
        <v>0</v>
      </c>
    </row>
    <row r="434" spans="1:29" s="124" customFormat="1" ht="25.2" customHeight="1">
      <c r="A434" s="154">
        <v>419</v>
      </c>
      <c r="B434" s="204"/>
      <c r="C434" s="204"/>
      <c r="D434" s="205"/>
      <c r="E434" s="155" t="str">
        <f>'Tên Tháng 1'!E422</f>
        <v>មន ម៉ុក</v>
      </c>
      <c r="F434" s="157" t="str">
        <f>'Tên Tháng 1'!F422</f>
        <v>MON MOK</v>
      </c>
      <c r="G434" s="206">
        <v>323</v>
      </c>
      <c r="H434" s="207">
        <f>'SAN LUONG'!AT433</f>
        <v>169.84</v>
      </c>
      <c r="I434" s="159">
        <f t="shared" si="68"/>
        <v>2.42</v>
      </c>
      <c r="J434" s="207">
        <f>'SAN LUONG'!AS433</f>
        <v>342.76</v>
      </c>
      <c r="K434" s="159">
        <f t="shared" si="67"/>
        <v>5.42</v>
      </c>
      <c r="L434" s="207"/>
      <c r="M434" s="159">
        <f t="shared" si="69"/>
        <v>0</v>
      </c>
      <c r="N434" s="208">
        <f>'CHAM CONG'!AR432</f>
        <v>1</v>
      </c>
      <c r="O434" s="159">
        <f t="shared" si="75"/>
        <v>0.53</v>
      </c>
      <c r="P434" s="207">
        <f>'CHAM CONG'!AQ432</f>
        <v>13</v>
      </c>
      <c r="Q434" s="159">
        <f t="shared" si="70"/>
        <v>6.51</v>
      </c>
      <c r="R434" s="159">
        <f t="shared" si="74"/>
        <v>13</v>
      </c>
      <c r="S434" s="159">
        <f t="shared" ref="S434:S472" si="76">ROUND(R434*$S$14/31947,1)</f>
        <v>0.4</v>
      </c>
      <c r="T434" s="159"/>
      <c r="U434" s="159"/>
      <c r="V434" s="159"/>
      <c r="W434" s="159"/>
      <c r="X434" s="159">
        <f t="shared" si="72"/>
        <v>15.28</v>
      </c>
      <c r="Y434" s="209"/>
      <c r="Z434" s="210" t="s">
        <v>1094</v>
      </c>
      <c r="AA434" s="202">
        <v>15.29</v>
      </c>
      <c r="AB434" s="203">
        <f t="shared" si="73"/>
        <v>0.01</v>
      </c>
      <c r="AC434" s="124">
        <v>0.01</v>
      </c>
    </row>
    <row r="435" spans="1:29" s="124" customFormat="1" ht="25.2" customHeight="1">
      <c r="A435" s="154">
        <v>420</v>
      </c>
      <c r="B435" s="204"/>
      <c r="C435" s="204"/>
      <c r="D435" s="205"/>
      <c r="E435" s="155" t="str">
        <f>'Tên Tháng 1'!E423</f>
        <v>ឡេង ឡៃហួត</v>
      </c>
      <c r="F435" s="157" t="str">
        <f>'Tên Tháng 1'!F423</f>
        <v>LENG LAYHUOT</v>
      </c>
      <c r="G435" s="206">
        <v>324</v>
      </c>
      <c r="H435" s="207">
        <f>'SAN LUONG'!AT434</f>
        <v>135.52000000000001</v>
      </c>
      <c r="I435" s="159">
        <f t="shared" si="68"/>
        <v>1.93</v>
      </c>
      <c r="J435" s="207">
        <f>'SAN LUONG'!AS434</f>
        <v>299.64</v>
      </c>
      <c r="K435" s="159">
        <f t="shared" si="67"/>
        <v>4.74</v>
      </c>
      <c r="L435" s="207"/>
      <c r="M435" s="159">
        <f t="shared" si="69"/>
        <v>0</v>
      </c>
      <c r="N435" s="208">
        <f>'CHAM CONG'!AR433</f>
        <v>1</v>
      </c>
      <c r="O435" s="159">
        <f t="shared" si="75"/>
        <v>0.53</v>
      </c>
      <c r="P435" s="207">
        <f>'CHAM CONG'!AQ433</f>
        <v>13</v>
      </c>
      <c r="Q435" s="159">
        <f t="shared" si="70"/>
        <v>6.51</v>
      </c>
      <c r="R435" s="159">
        <f t="shared" si="74"/>
        <v>13</v>
      </c>
      <c r="S435" s="159">
        <f t="shared" si="76"/>
        <v>0.4</v>
      </c>
      <c r="T435" s="159"/>
      <c r="U435" s="159"/>
      <c r="V435" s="159"/>
      <c r="W435" s="159"/>
      <c r="X435" s="159">
        <f t="shared" si="72"/>
        <v>14.11</v>
      </c>
      <c r="Y435" s="209"/>
      <c r="Z435" s="210" t="s">
        <v>1094</v>
      </c>
      <c r="AA435" s="202">
        <v>14.12</v>
      </c>
      <c r="AB435" s="203">
        <f t="shared" si="73"/>
        <v>0.01</v>
      </c>
      <c r="AC435" s="124">
        <v>0.01</v>
      </c>
    </row>
    <row r="436" spans="1:29" s="124" customFormat="1" ht="25.2" customHeight="1">
      <c r="A436" s="154">
        <v>421</v>
      </c>
      <c r="B436" s="204"/>
      <c r="C436" s="204"/>
      <c r="D436" s="205"/>
      <c r="E436" s="155" t="str">
        <f>'Tên Tháng 1'!E424</f>
        <v>កាន់ថេត</v>
      </c>
      <c r="F436" s="157" t="str">
        <f>'Tên Tháng 1'!F424</f>
        <v>KANN THET</v>
      </c>
      <c r="G436" s="206">
        <v>325</v>
      </c>
      <c r="H436" s="207">
        <f>'SAN LUONG'!AT435</f>
        <v>223.96</v>
      </c>
      <c r="I436" s="159">
        <f t="shared" si="68"/>
        <v>3.19</v>
      </c>
      <c r="J436" s="207">
        <f>'SAN LUONG'!AS435</f>
        <v>338.8</v>
      </c>
      <c r="K436" s="159">
        <f t="shared" si="67"/>
        <v>5.36</v>
      </c>
      <c r="L436" s="207"/>
      <c r="M436" s="159">
        <f t="shared" si="69"/>
        <v>0</v>
      </c>
      <c r="N436" s="208">
        <f>'CHAM CONG'!AR434</f>
        <v>1</v>
      </c>
      <c r="O436" s="159">
        <f t="shared" si="75"/>
        <v>0.53</v>
      </c>
      <c r="P436" s="207">
        <f>'CHAM CONG'!AQ434</f>
        <v>14</v>
      </c>
      <c r="Q436" s="159">
        <f t="shared" si="70"/>
        <v>7.01</v>
      </c>
      <c r="R436" s="159">
        <f t="shared" si="74"/>
        <v>14</v>
      </c>
      <c r="S436" s="159">
        <f t="shared" si="76"/>
        <v>0.4</v>
      </c>
      <c r="T436" s="159"/>
      <c r="U436" s="159"/>
      <c r="V436" s="159"/>
      <c r="W436" s="159"/>
      <c r="X436" s="159">
        <f t="shared" si="72"/>
        <v>16.490000000000002</v>
      </c>
      <c r="Y436" s="209"/>
      <c r="Z436" s="210" t="s">
        <v>1094</v>
      </c>
      <c r="AA436" s="202">
        <v>16.53</v>
      </c>
      <c r="AB436" s="203">
        <f t="shared" si="73"/>
        <v>0.04</v>
      </c>
      <c r="AC436" s="124">
        <v>0.01</v>
      </c>
    </row>
    <row r="437" spans="1:29" s="124" customFormat="1" ht="25.2" customHeight="1">
      <c r="A437" s="154">
        <v>422</v>
      </c>
      <c r="B437" s="204"/>
      <c r="C437" s="204"/>
      <c r="D437" s="205"/>
      <c r="E437" s="155" t="str">
        <f>'Tên Tháng 1'!E425</f>
        <v>ឡាក់ ចាក់</v>
      </c>
      <c r="F437" s="157" t="str">
        <f>'Tên Tháng 1'!F425</f>
        <v>LAK CHHAK</v>
      </c>
      <c r="G437" s="206">
        <v>326</v>
      </c>
      <c r="H437" s="207">
        <f>'SAN LUONG'!AT436</f>
        <v>179.52</v>
      </c>
      <c r="I437" s="159">
        <f t="shared" si="68"/>
        <v>2.56</v>
      </c>
      <c r="J437" s="207">
        <f>'SAN LUONG'!AS436</f>
        <v>240.24</v>
      </c>
      <c r="K437" s="159">
        <f t="shared" si="67"/>
        <v>3.8</v>
      </c>
      <c r="L437" s="207"/>
      <c r="M437" s="159">
        <f t="shared" si="69"/>
        <v>0</v>
      </c>
      <c r="N437" s="208">
        <f>'CHAM CONG'!AR435</f>
        <v>1</v>
      </c>
      <c r="O437" s="159">
        <f t="shared" si="75"/>
        <v>0.53</v>
      </c>
      <c r="P437" s="207">
        <f>'CHAM CONG'!AQ435</f>
        <v>14</v>
      </c>
      <c r="Q437" s="159">
        <f t="shared" si="70"/>
        <v>7.01</v>
      </c>
      <c r="R437" s="159">
        <f t="shared" si="74"/>
        <v>14</v>
      </c>
      <c r="S437" s="159">
        <f t="shared" si="76"/>
        <v>0.4</v>
      </c>
      <c r="T437" s="159"/>
      <c r="U437" s="159"/>
      <c r="V437" s="159"/>
      <c r="W437" s="159"/>
      <c r="X437" s="159">
        <f t="shared" si="72"/>
        <v>14.299999999999999</v>
      </c>
      <c r="Y437" s="209"/>
      <c r="Z437" s="210" t="s">
        <v>1094</v>
      </c>
      <c r="AA437" s="202">
        <v>14.34</v>
      </c>
      <c r="AB437" s="203">
        <f t="shared" si="73"/>
        <v>0.04</v>
      </c>
      <c r="AC437" s="124">
        <v>0</v>
      </c>
    </row>
    <row r="438" spans="1:29" s="124" customFormat="1" ht="25.2" customHeight="1">
      <c r="A438" s="154">
        <v>423</v>
      </c>
      <c r="B438" s="204"/>
      <c r="C438" s="204"/>
      <c r="D438" s="205"/>
      <c r="E438" s="155" t="str">
        <f>'Tên Tháng 1'!E426</f>
        <v>ឆាង ហ៊ឺ</v>
      </c>
      <c r="F438" s="157" t="str">
        <f>'Tên Tháng 1'!F426</f>
        <v>CHHANG HEU</v>
      </c>
      <c r="G438" s="206">
        <v>327</v>
      </c>
      <c r="H438" s="207">
        <f>'SAN LUONG'!AT437</f>
        <v>216.48</v>
      </c>
      <c r="I438" s="159">
        <f t="shared" si="68"/>
        <v>3.08</v>
      </c>
      <c r="J438" s="207">
        <f>'SAN LUONG'!AS437</f>
        <v>426.36</v>
      </c>
      <c r="K438" s="159">
        <f t="shared" si="67"/>
        <v>6.74</v>
      </c>
      <c r="L438" s="207"/>
      <c r="M438" s="159">
        <f t="shared" si="69"/>
        <v>0</v>
      </c>
      <c r="N438" s="208">
        <f>'CHAM CONG'!AR436</f>
        <v>0</v>
      </c>
      <c r="O438" s="159">
        <f t="shared" si="75"/>
        <v>0</v>
      </c>
      <c r="P438" s="207">
        <f>'CHAM CONG'!AQ436</f>
        <v>13</v>
      </c>
      <c r="Q438" s="159">
        <f t="shared" si="70"/>
        <v>6.51</v>
      </c>
      <c r="R438" s="159">
        <f t="shared" si="74"/>
        <v>13</v>
      </c>
      <c r="S438" s="159">
        <f t="shared" si="76"/>
        <v>0.4</v>
      </c>
      <c r="T438" s="159"/>
      <c r="U438" s="159"/>
      <c r="V438" s="159"/>
      <c r="W438" s="159"/>
      <c r="X438" s="159">
        <f t="shared" si="72"/>
        <v>16.729999999999997</v>
      </c>
      <c r="Y438" s="209"/>
      <c r="Z438" s="210" t="s">
        <v>1094</v>
      </c>
      <c r="AA438" s="202">
        <v>16.739999999999998</v>
      </c>
      <c r="AB438" s="203">
        <f t="shared" si="73"/>
        <v>0.01</v>
      </c>
      <c r="AC438" s="124">
        <v>-0.01</v>
      </c>
    </row>
    <row r="439" spans="1:29" s="124" customFormat="1" ht="25.2" customHeight="1">
      <c r="A439" s="154">
        <v>424</v>
      </c>
      <c r="B439" s="204"/>
      <c r="C439" s="204"/>
      <c r="D439" s="205"/>
      <c r="E439" s="155" t="str">
        <f>'Tên Tháng 1'!E427</f>
        <v>ឡេង ឡុញ</v>
      </c>
      <c r="F439" s="157" t="str">
        <f>'Tên Tháng 1'!F427</f>
        <v>LENG LONH</v>
      </c>
      <c r="G439" s="206">
        <v>328</v>
      </c>
      <c r="H439" s="207">
        <f>'SAN LUONG'!AT438</f>
        <v>214.72</v>
      </c>
      <c r="I439" s="159">
        <f t="shared" si="68"/>
        <v>3.06</v>
      </c>
      <c r="J439" s="207">
        <f>'SAN LUONG'!AS438</f>
        <v>367.84</v>
      </c>
      <c r="K439" s="159">
        <f t="shared" si="67"/>
        <v>5.81</v>
      </c>
      <c r="L439" s="207"/>
      <c r="M439" s="159">
        <f t="shared" si="69"/>
        <v>0</v>
      </c>
      <c r="N439" s="208">
        <f>'CHAM CONG'!AR437</f>
        <v>0</v>
      </c>
      <c r="O439" s="159">
        <f t="shared" si="75"/>
        <v>0</v>
      </c>
      <c r="P439" s="207">
        <f>'CHAM CONG'!AQ437</f>
        <v>14</v>
      </c>
      <c r="Q439" s="159">
        <f t="shared" si="70"/>
        <v>7.01</v>
      </c>
      <c r="R439" s="159">
        <f t="shared" si="74"/>
        <v>14</v>
      </c>
      <c r="S439" s="159">
        <f t="shared" si="76"/>
        <v>0.4</v>
      </c>
      <c r="T439" s="159"/>
      <c r="U439" s="159"/>
      <c r="V439" s="159"/>
      <c r="W439" s="159"/>
      <c r="X439" s="159">
        <f t="shared" si="72"/>
        <v>16.279999999999998</v>
      </c>
      <c r="Y439" s="209"/>
      <c r="Z439" s="210" t="s">
        <v>1094</v>
      </c>
      <c r="AA439" s="202">
        <v>16.32</v>
      </c>
      <c r="AB439" s="203">
        <f t="shared" si="73"/>
        <v>0.04</v>
      </c>
      <c r="AC439" s="124">
        <v>0</v>
      </c>
    </row>
    <row r="440" spans="1:29" s="124" customFormat="1" ht="25.2" customHeight="1">
      <c r="A440" s="154">
        <v>425</v>
      </c>
      <c r="B440" s="204"/>
      <c r="C440" s="204"/>
      <c r="D440" s="205"/>
      <c r="E440" s="155" t="str">
        <f>'Tên Tháng 1'!E428</f>
        <v>ធី សៀក</v>
      </c>
      <c r="F440" s="157" t="str">
        <f>'Tên Tháng 1'!F428</f>
        <v>THY SEAK</v>
      </c>
      <c r="G440" s="206">
        <v>329</v>
      </c>
      <c r="H440" s="207">
        <f>'SAN LUONG'!AT439</f>
        <v>136.84</v>
      </c>
      <c r="I440" s="159">
        <f t="shared" si="68"/>
        <v>1.95</v>
      </c>
      <c r="J440" s="207">
        <f>'SAN LUONG'!AS439</f>
        <v>420.64</v>
      </c>
      <c r="K440" s="159">
        <f t="shared" si="67"/>
        <v>6.65</v>
      </c>
      <c r="L440" s="207"/>
      <c r="M440" s="159">
        <f t="shared" si="69"/>
        <v>0</v>
      </c>
      <c r="N440" s="208">
        <f>'CHAM CONG'!AR438</f>
        <v>0</v>
      </c>
      <c r="O440" s="159">
        <f t="shared" si="75"/>
        <v>0</v>
      </c>
      <c r="P440" s="207">
        <f>'CHAM CONG'!AQ438</f>
        <v>13</v>
      </c>
      <c r="Q440" s="159">
        <f t="shared" si="70"/>
        <v>6.51</v>
      </c>
      <c r="R440" s="159">
        <f t="shared" si="74"/>
        <v>13</v>
      </c>
      <c r="S440" s="159">
        <f t="shared" si="76"/>
        <v>0.4</v>
      </c>
      <c r="T440" s="159"/>
      <c r="U440" s="159"/>
      <c r="V440" s="159"/>
      <c r="W440" s="159"/>
      <c r="X440" s="159">
        <f t="shared" si="72"/>
        <v>15.51</v>
      </c>
      <c r="Y440" s="209"/>
      <c r="Z440" s="210" t="s">
        <v>1094</v>
      </c>
      <c r="AA440" s="202">
        <v>15.52</v>
      </c>
      <c r="AB440" s="203">
        <f t="shared" si="73"/>
        <v>0.01</v>
      </c>
      <c r="AC440" s="124">
        <v>0</v>
      </c>
    </row>
    <row r="441" spans="1:29" s="124" customFormat="1" ht="25.2" customHeight="1">
      <c r="A441" s="154">
        <v>426</v>
      </c>
      <c r="B441" s="204"/>
      <c r="C441" s="204"/>
      <c r="D441" s="205"/>
      <c r="E441" s="155" t="str">
        <f>'Tên Tháng 1'!E429</f>
        <v>រ៉ាត សារី</v>
      </c>
      <c r="F441" s="157" t="str">
        <f>'Tên Tháng 1'!F429</f>
        <v>RATH SARY</v>
      </c>
      <c r="G441" s="206">
        <v>330</v>
      </c>
      <c r="H441" s="207">
        <f>'SAN LUONG'!AT440</f>
        <v>66</v>
      </c>
      <c r="I441" s="159">
        <f t="shared" si="68"/>
        <v>0.94</v>
      </c>
      <c r="J441" s="207">
        <f>'SAN LUONG'!AS440</f>
        <v>289.52</v>
      </c>
      <c r="K441" s="159">
        <f t="shared" si="67"/>
        <v>4.58</v>
      </c>
      <c r="L441" s="207"/>
      <c r="M441" s="159">
        <f t="shared" si="69"/>
        <v>0</v>
      </c>
      <c r="N441" s="208">
        <f>'CHAM CONG'!AR439</f>
        <v>0</v>
      </c>
      <c r="O441" s="159">
        <f t="shared" si="75"/>
        <v>0</v>
      </c>
      <c r="P441" s="207">
        <f>'CHAM CONG'!AQ439</f>
        <v>11</v>
      </c>
      <c r="Q441" s="159">
        <f t="shared" si="70"/>
        <v>5.51</v>
      </c>
      <c r="R441" s="159">
        <f t="shared" si="74"/>
        <v>11</v>
      </c>
      <c r="S441" s="159">
        <f t="shared" si="76"/>
        <v>0.3</v>
      </c>
      <c r="T441" s="159"/>
      <c r="U441" s="159"/>
      <c r="V441" s="159"/>
      <c r="W441" s="159"/>
      <c r="X441" s="159">
        <f t="shared" si="72"/>
        <v>11.33</v>
      </c>
      <c r="Y441" s="209"/>
      <c r="Z441" s="210" t="s">
        <v>1094</v>
      </c>
      <c r="AA441" s="202">
        <v>11.37</v>
      </c>
      <c r="AB441" s="203">
        <f t="shared" si="73"/>
        <v>0.04</v>
      </c>
      <c r="AC441" s="124">
        <v>0</v>
      </c>
    </row>
    <row r="442" spans="1:29" s="124" customFormat="1" ht="25.2" customHeight="1">
      <c r="A442" s="154">
        <v>427</v>
      </c>
      <c r="B442" s="204"/>
      <c r="C442" s="204"/>
      <c r="D442" s="205"/>
      <c r="E442" s="155" t="str">
        <f>'Tên Tháng 1'!E430</f>
        <v>សឿន ផាត</v>
      </c>
      <c r="F442" s="157" t="str">
        <f>'Tên Tháng 1'!F430</f>
        <v>SOEUN PHAT</v>
      </c>
      <c r="G442" s="206">
        <v>331</v>
      </c>
      <c r="H442" s="207">
        <f>'SAN LUONG'!AT441</f>
        <v>63.8</v>
      </c>
      <c r="I442" s="159">
        <f t="shared" si="68"/>
        <v>0.91</v>
      </c>
      <c r="J442" s="207">
        <f>'SAN LUONG'!AS441</f>
        <v>294.36</v>
      </c>
      <c r="K442" s="159">
        <f t="shared" si="67"/>
        <v>4.6500000000000004</v>
      </c>
      <c r="L442" s="207"/>
      <c r="M442" s="159">
        <f t="shared" si="69"/>
        <v>0</v>
      </c>
      <c r="N442" s="208">
        <f>'CHAM CONG'!AR440</f>
        <v>0</v>
      </c>
      <c r="O442" s="159">
        <f t="shared" si="75"/>
        <v>0</v>
      </c>
      <c r="P442" s="207">
        <f>'CHAM CONG'!AQ440</f>
        <v>11</v>
      </c>
      <c r="Q442" s="159">
        <f t="shared" si="70"/>
        <v>5.51</v>
      </c>
      <c r="R442" s="159">
        <f t="shared" si="74"/>
        <v>11</v>
      </c>
      <c r="S442" s="159">
        <f t="shared" si="76"/>
        <v>0.3</v>
      </c>
      <c r="T442" s="159"/>
      <c r="U442" s="159"/>
      <c r="V442" s="159"/>
      <c r="W442" s="159"/>
      <c r="X442" s="159">
        <f t="shared" si="72"/>
        <v>11.370000000000001</v>
      </c>
      <c r="Y442" s="209"/>
      <c r="Z442" s="210" t="s">
        <v>1094</v>
      </c>
      <c r="AA442" s="202">
        <v>11.42</v>
      </c>
      <c r="AB442" s="203">
        <f t="shared" si="73"/>
        <v>0.05</v>
      </c>
      <c r="AC442" s="124">
        <v>-0.01</v>
      </c>
    </row>
    <row r="443" spans="1:29" s="124" customFormat="1" ht="25.2" customHeight="1">
      <c r="A443" s="154">
        <v>428</v>
      </c>
      <c r="B443" s="204"/>
      <c r="C443" s="204"/>
      <c r="D443" s="205"/>
      <c r="E443" s="155" t="str">
        <f>'Tên Tháng 1'!E431</f>
        <v>ហាត់ ធីតា</v>
      </c>
      <c r="F443" s="157" t="str">
        <f>'Tên Tháng 1'!F431</f>
        <v>HAT THYDA</v>
      </c>
      <c r="G443" s="206">
        <v>332</v>
      </c>
      <c r="H443" s="207">
        <f>'SAN LUONG'!AT442</f>
        <v>0</v>
      </c>
      <c r="I443" s="159">
        <f t="shared" si="68"/>
        <v>0</v>
      </c>
      <c r="J443" s="207">
        <f>'SAN LUONG'!AS442</f>
        <v>464.64</v>
      </c>
      <c r="K443" s="159">
        <f t="shared" si="67"/>
        <v>7.34</v>
      </c>
      <c r="L443" s="207"/>
      <c r="M443" s="159">
        <f t="shared" si="69"/>
        <v>0</v>
      </c>
      <c r="N443" s="208">
        <f>'CHAM CONG'!AR441</f>
        <v>0</v>
      </c>
      <c r="O443" s="159">
        <f t="shared" si="75"/>
        <v>0</v>
      </c>
      <c r="P443" s="207">
        <f>'CHAM CONG'!AQ441</f>
        <v>12</v>
      </c>
      <c r="Q443" s="159">
        <f t="shared" si="70"/>
        <v>6.01</v>
      </c>
      <c r="R443" s="159">
        <f t="shared" si="74"/>
        <v>12</v>
      </c>
      <c r="S443" s="159">
        <f t="shared" si="76"/>
        <v>0.4</v>
      </c>
      <c r="T443" s="159"/>
      <c r="U443" s="159"/>
      <c r="V443" s="159"/>
      <c r="W443" s="159"/>
      <c r="X443" s="159">
        <f t="shared" si="72"/>
        <v>13.75</v>
      </c>
      <c r="Y443" s="209"/>
      <c r="Z443" s="210" t="s">
        <v>1094</v>
      </c>
      <c r="AA443" s="202">
        <v>13.73</v>
      </c>
      <c r="AB443" s="203">
        <f t="shared" si="73"/>
        <v>-0.02</v>
      </c>
      <c r="AC443" s="124">
        <v>0</v>
      </c>
    </row>
    <row r="444" spans="1:29" s="124" customFormat="1" ht="25.2" customHeight="1">
      <c r="A444" s="154">
        <v>429</v>
      </c>
      <c r="B444" s="204"/>
      <c r="C444" s="204"/>
      <c r="D444" s="205"/>
      <c r="E444" s="155" t="str">
        <f>'Tên Tháng 1'!E432</f>
        <v>ពី ប៉ាត់</v>
      </c>
      <c r="F444" s="157" t="str">
        <f>'Tên Tháng 1'!F432</f>
        <v>PY PATH</v>
      </c>
      <c r="G444" s="206">
        <v>333</v>
      </c>
      <c r="H444" s="207">
        <f>'SAN LUONG'!AT443</f>
        <v>0</v>
      </c>
      <c r="I444" s="159">
        <f t="shared" si="68"/>
        <v>0</v>
      </c>
      <c r="J444" s="207">
        <f>'SAN LUONG'!AS443</f>
        <v>548.24</v>
      </c>
      <c r="K444" s="159">
        <f t="shared" si="67"/>
        <v>8.67</v>
      </c>
      <c r="L444" s="207"/>
      <c r="M444" s="159">
        <f t="shared" si="69"/>
        <v>0</v>
      </c>
      <c r="N444" s="208">
        <f>'CHAM CONG'!AR442</f>
        <v>0</v>
      </c>
      <c r="O444" s="159">
        <f t="shared" si="75"/>
        <v>0</v>
      </c>
      <c r="P444" s="207">
        <f>'CHAM CONG'!AQ442</f>
        <v>13</v>
      </c>
      <c r="Q444" s="159">
        <f t="shared" si="70"/>
        <v>6.51</v>
      </c>
      <c r="R444" s="159">
        <f t="shared" si="74"/>
        <v>13</v>
      </c>
      <c r="S444" s="159">
        <f t="shared" si="76"/>
        <v>0.4</v>
      </c>
      <c r="T444" s="159"/>
      <c r="U444" s="159"/>
      <c r="V444" s="159"/>
      <c r="W444" s="159"/>
      <c r="X444" s="159">
        <f t="shared" si="72"/>
        <v>15.58</v>
      </c>
      <c r="Y444" s="209"/>
      <c r="Z444" s="210" t="s">
        <v>1094</v>
      </c>
      <c r="AA444" s="202">
        <v>15.58</v>
      </c>
      <c r="AB444" s="203">
        <f t="shared" si="73"/>
        <v>0</v>
      </c>
      <c r="AC444" s="124">
        <v>0</v>
      </c>
    </row>
    <row r="445" spans="1:29" s="124" customFormat="1" ht="25.2" customHeight="1">
      <c r="A445" s="154">
        <v>430</v>
      </c>
      <c r="B445" s="204"/>
      <c r="C445" s="204"/>
      <c r="D445" s="205"/>
      <c r="E445" s="155" t="str">
        <f>'Tên Tháng 1'!E433</f>
        <v>សរ ធាង</v>
      </c>
      <c r="F445" s="157" t="str">
        <f>'Tên Tháng 1'!F433</f>
        <v>SOR THEANG</v>
      </c>
      <c r="G445" s="206">
        <v>334</v>
      </c>
      <c r="H445" s="207">
        <f>'SAN LUONG'!AT444</f>
        <v>119.68</v>
      </c>
      <c r="I445" s="159">
        <f t="shared" si="68"/>
        <v>1.7</v>
      </c>
      <c r="J445" s="207">
        <f>'SAN LUONG'!AS444</f>
        <v>399.96</v>
      </c>
      <c r="K445" s="159">
        <f t="shared" si="67"/>
        <v>6.32</v>
      </c>
      <c r="L445" s="207"/>
      <c r="M445" s="159">
        <f t="shared" si="69"/>
        <v>0</v>
      </c>
      <c r="N445" s="208">
        <f>'CHAM CONG'!AR443</f>
        <v>0</v>
      </c>
      <c r="O445" s="159">
        <f t="shared" si="75"/>
        <v>0</v>
      </c>
      <c r="P445" s="207">
        <f>'CHAM CONG'!AQ443</f>
        <v>13</v>
      </c>
      <c r="Q445" s="159">
        <f t="shared" si="70"/>
        <v>6.51</v>
      </c>
      <c r="R445" s="159">
        <f t="shared" si="74"/>
        <v>13</v>
      </c>
      <c r="S445" s="159">
        <f t="shared" si="76"/>
        <v>0.4</v>
      </c>
      <c r="T445" s="159"/>
      <c r="U445" s="159"/>
      <c r="V445" s="159"/>
      <c r="W445" s="159"/>
      <c r="X445" s="159">
        <f t="shared" si="72"/>
        <v>14.93</v>
      </c>
      <c r="Y445" s="209"/>
      <c r="Z445" s="210" t="s">
        <v>1094</v>
      </c>
      <c r="AA445" s="202">
        <v>14.94</v>
      </c>
      <c r="AB445" s="203">
        <f t="shared" si="73"/>
        <v>0.01</v>
      </c>
      <c r="AC445" s="124">
        <v>0</v>
      </c>
    </row>
    <row r="446" spans="1:29" s="124" customFormat="1" ht="25.2" customHeight="1">
      <c r="A446" s="154">
        <v>431</v>
      </c>
      <c r="B446" s="204"/>
      <c r="C446" s="204"/>
      <c r="D446" s="205"/>
      <c r="E446" s="155" t="str">
        <f>'Tên Tháng 1'!E434</f>
        <v>អ៊ាង អាន់</v>
      </c>
      <c r="F446" s="157" t="str">
        <f>'Tên Tháng 1'!F434</f>
        <v>EANG ANN</v>
      </c>
      <c r="G446" s="206">
        <v>335</v>
      </c>
      <c r="H446" s="207">
        <f>'SAN LUONG'!AT445</f>
        <v>168.08</v>
      </c>
      <c r="I446" s="159">
        <f t="shared" si="68"/>
        <v>2.39</v>
      </c>
      <c r="J446" s="207">
        <f>'SAN LUONG'!AS445</f>
        <v>474.32</v>
      </c>
      <c r="K446" s="159">
        <f t="shared" si="67"/>
        <v>7.5</v>
      </c>
      <c r="L446" s="207"/>
      <c r="M446" s="159">
        <f t="shared" si="69"/>
        <v>0</v>
      </c>
      <c r="N446" s="208">
        <f>'CHAM CONG'!AR444</f>
        <v>1</v>
      </c>
      <c r="O446" s="159">
        <f t="shared" si="75"/>
        <v>0.53</v>
      </c>
      <c r="P446" s="207">
        <f>'CHAM CONG'!AQ444</f>
        <v>13</v>
      </c>
      <c r="Q446" s="159">
        <f t="shared" si="70"/>
        <v>6.51</v>
      </c>
      <c r="R446" s="159">
        <f t="shared" si="74"/>
        <v>13</v>
      </c>
      <c r="S446" s="159">
        <f t="shared" si="76"/>
        <v>0.4</v>
      </c>
      <c r="T446" s="159"/>
      <c r="U446" s="159"/>
      <c r="V446" s="159"/>
      <c r="W446" s="159"/>
      <c r="X446" s="159">
        <f t="shared" si="72"/>
        <v>17.329999999999998</v>
      </c>
      <c r="Y446" s="209"/>
      <c r="Z446" s="210" t="s">
        <v>1094</v>
      </c>
      <c r="AA446" s="202">
        <v>17.34</v>
      </c>
      <c r="AB446" s="203">
        <f t="shared" si="73"/>
        <v>0.01</v>
      </c>
      <c r="AC446" s="124">
        <v>0</v>
      </c>
    </row>
    <row r="447" spans="1:29" s="124" customFormat="1" ht="25.2" customHeight="1">
      <c r="A447" s="154">
        <v>432</v>
      </c>
      <c r="B447" s="204"/>
      <c r="C447" s="204"/>
      <c r="D447" s="205"/>
      <c r="E447" s="155" t="str">
        <f>'Tên Tháng 1'!E435</f>
        <v>អៀង ផុន</v>
      </c>
      <c r="F447" s="157" t="str">
        <f>'Tên Tháng 1'!F435</f>
        <v>EANG PHON</v>
      </c>
      <c r="G447" s="206">
        <v>336</v>
      </c>
      <c r="H447" s="207">
        <f>'SAN LUONG'!AT446</f>
        <v>168.96</v>
      </c>
      <c r="I447" s="159">
        <f t="shared" si="68"/>
        <v>2.41</v>
      </c>
      <c r="J447" s="207">
        <f>'SAN LUONG'!AS446</f>
        <v>472.56</v>
      </c>
      <c r="K447" s="159">
        <f t="shared" si="67"/>
        <v>7.47</v>
      </c>
      <c r="L447" s="207"/>
      <c r="M447" s="159">
        <f t="shared" si="69"/>
        <v>0</v>
      </c>
      <c r="N447" s="208">
        <f>'CHAM CONG'!AR445</f>
        <v>1</v>
      </c>
      <c r="O447" s="159">
        <f t="shared" si="75"/>
        <v>0.53</v>
      </c>
      <c r="P447" s="207">
        <f>'CHAM CONG'!AQ445</f>
        <v>13</v>
      </c>
      <c r="Q447" s="159">
        <f t="shared" si="70"/>
        <v>6.51</v>
      </c>
      <c r="R447" s="159">
        <f t="shared" si="74"/>
        <v>13</v>
      </c>
      <c r="S447" s="159">
        <f t="shared" si="76"/>
        <v>0.4</v>
      </c>
      <c r="T447" s="159"/>
      <c r="U447" s="159"/>
      <c r="V447" s="159"/>
      <c r="W447" s="159"/>
      <c r="X447" s="159">
        <f t="shared" si="72"/>
        <v>17.32</v>
      </c>
      <c r="Y447" s="209"/>
      <c r="Z447" s="210" t="s">
        <v>1094</v>
      </c>
      <c r="AA447" s="202">
        <v>17.329999999999998</v>
      </c>
      <c r="AB447" s="203">
        <f t="shared" si="73"/>
        <v>0.01</v>
      </c>
      <c r="AC447" s="124">
        <v>-0.01</v>
      </c>
    </row>
    <row r="448" spans="1:29" s="124" customFormat="1" ht="25.2" customHeight="1">
      <c r="A448" s="154">
        <v>433</v>
      </c>
      <c r="B448" s="204"/>
      <c r="C448" s="204"/>
      <c r="D448" s="205"/>
      <c r="E448" s="155" t="str">
        <f>'Tên Tháng 1'!E436</f>
        <v>ធី ធើយ</v>
      </c>
      <c r="F448" s="157" t="str">
        <f>'Tên Tháng 1'!F436</f>
        <v>THY THOEUY</v>
      </c>
      <c r="G448" s="206">
        <v>337</v>
      </c>
      <c r="H448" s="207">
        <f>'SAN LUONG'!AT447</f>
        <v>117.92</v>
      </c>
      <c r="I448" s="159">
        <f t="shared" si="68"/>
        <v>1.68</v>
      </c>
      <c r="J448" s="207">
        <f>'SAN LUONG'!AS447</f>
        <v>399.52</v>
      </c>
      <c r="K448" s="159">
        <f t="shared" si="67"/>
        <v>6.32</v>
      </c>
      <c r="L448" s="207"/>
      <c r="M448" s="159">
        <f t="shared" si="69"/>
        <v>0</v>
      </c>
      <c r="N448" s="208">
        <f>'CHAM CONG'!AR446</f>
        <v>0</v>
      </c>
      <c r="O448" s="159">
        <f t="shared" si="75"/>
        <v>0</v>
      </c>
      <c r="P448" s="207">
        <f>'CHAM CONG'!AQ446</f>
        <v>12</v>
      </c>
      <c r="Q448" s="159">
        <f t="shared" si="70"/>
        <v>6.01</v>
      </c>
      <c r="R448" s="159">
        <f t="shared" si="74"/>
        <v>12</v>
      </c>
      <c r="S448" s="159">
        <f t="shared" si="76"/>
        <v>0.4</v>
      </c>
      <c r="T448" s="159"/>
      <c r="U448" s="159"/>
      <c r="V448" s="159"/>
      <c r="W448" s="159"/>
      <c r="X448" s="159">
        <f t="shared" si="72"/>
        <v>14.41</v>
      </c>
      <c r="Y448" s="209"/>
      <c r="Z448" s="210" t="s">
        <v>1094</v>
      </c>
      <c r="AA448" s="202">
        <v>14.38</v>
      </c>
      <c r="AB448" s="203">
        <f t="shared" si="73"/>
        <v>-0.03</v>
      </c>
      <c r="AC448" s="124">
        <v>0</v>
      </c>
    </row>
    <row r="449" spans="1:29" s="124" customFormat="1" ht="25.2" customHeight="1">
      <c r="A449" s="154">
        <v>434</v>
      </c>
      <c r="B449" s="204"/>
      <c r="C449" s="204"/>
      <c r="D449" s="205"/>
      <c r="E449" s="155" t="str">
        <f>'Tên Tháng 1'!E437</f>
        <v>ចយ ជឿន</v>
      </c>
      <c r="F449" s="157" t="str">
        <f>'Tên Tháng 1'!F437</f>
        <v>CHAY CHOEUN</v>
      </c>
      <c r="G449" s="206">
        <v>338</v>
      </c>
      <c r="H449" s="207">
        <f>'SAN LUONG'!AT448</f>
        <v>158.84</v>
      </c>
      <c r="I449" s="159">
        <f t="shared" si="68"/>
        <v>2.2599999999999998</v>
      </c>
      <c r="J449" s="207">
        <f>'SAN LUONG'!AS448</f>
        <v>336.16</v>
      </c>
      <c r="K449" s="159">
        <f t="shared" si="67"/>
        <v>5.31</v>
      </c>
      <c r="L449" s="207"/>
      <c r="M449" s="159">
        <f t="shared" si="69"/>
        <v>0</v>
      </c>
      <c r="N449" s="208">
        <f>'CHAM CONG'!AR447</f>
        <v>0</v>
      </c>
      <c r="O449" s="159">
        <f t="shared" si="75"/>
        <v>0</v>
      </c>
      <c r="P449" s="207">
        <f>'CHAM CONG'!AQ447</f>
        <v>12</v>
      </c>
      <c r="Q449" s="159">
        <f t="shared" si="70"/>
        <v>6.01</v>
      </c>
      <c r="R449" s="159">
        <f t="shared" si="74"/>
        <v>12</v>
      </c>
      <c r="S449" s="159">
        <f t="shared" si="76"/>
        <v>0.4</v>
      </c>
      <c r="T449" s="159"/>
      <c r="U449" s="159"/>
      <c r="V449" s="159"/>
      <c r="W449" s="159"/>
      <c r="X449" s="159">
        <f t="shared" si="72"/>
        <v>13.979999999999999</v>
      </c>
      <c r="Y449" s="209"/>
      <c r="Z449" s="210" t="s">
        <v>1094</v>
      </c>
      <c r="AA449" s="202">
        <v>13.96</v>
      </c>
      <c r="AB449" s="203">
        <f t="shared" si="73"/>
        <v>-0.02</v>
      </c>
      <c r="AC449" s="124">
        <v>0</v>
      </c>
    </row>
    <row r="450" spans="1:29" s="124" customFormat="1" ht="25.2" customHeight="1">
      <c r="A450" s="154">
        <v>435</v>
      </c>
      <c r="B450" s="204"/>
      <c r="C450" s="204"/>
      <c r="D450" s="205"/>
      <c r="E450" s="155" t="str">
        <f>'Tên Tháng 1'!E438</f>
        <v>ឈូក ស្រីម៉ៅ</v>
      </c>
      <c r="F450" s="157" t="str">
        <f>'Tên Tháng 1'!F438</f>
        <v>CHHOUK SREY MAO</v>
      </c>
      <c r="G450" s="206">
        <v>339</v>
      </c>
      <c r="H450" s="207">
        <f>'SAN LUONG'!AT449</f>
        <v>155.76</v>
      </c>
      <c r="I450" s="159">
        <f t="shared" si="68"/>
        <v>2.2200000000000002</v>
      </c>
      <c r="J450" s="207">
        <f>'SAN LUONG'!AS449</f>
        <v>338.8</v>
      </c>
      <c r="K450" s="159">
        <f t="shared" si="67"/>
        <v>5.36</v>
      </c>
      <c r="L450" s="207"/>
      <c r="M450" s="159">
        <f t="shared" si="69"/>
        <v>0</v>
      </c>
      <c r="N450" s="208">
        <f>'CHAM CONG'!AR448</f>
        <v>0</v>
      </c>
      <c r="O450" s="159">
        <f t="shared" si="75"/>
        <v>0</v>
      </c>
      <c r="P450" s="207">
        <f>'CHAM CONG'!AQ448</f>
        <v>11</v>
      </c>
      <c r="Q450" s="159">
        <f t="shared" si="70"/>
        <v>5.51</v>
      </c>
      <c r="R450" s="159">
        <f t="shared" si="74"/>
        <v>11</v>
      </c>
      <c r="S450" s="159">
        <f t="shared" si="76"/>
        <v>0.3</v>
      </c>
      <c r="T450" s="159"/>
      <c r="U450" s="159"/>
      <c r="V450" s="159"/>
      <c r="W450" s="159"/>
      <c r="X450" s="159">
        <f t="shared" si="72"/>
        <v>13.39</v>
      </c>
      <c r="Y450" s="209"/>
      <c r="Z450" s="210" t="s">
        <v>1094</v>
      </c>
      <c r="AA450" s="202">
        <v>13.43</v>
      </c>
      <c r="AB450" s="203">
        <f t="shared" si="73"/>
        <v>0.04</v>
      </c>
      <c r="AC450" s="124">
        <v>0.01</v>
      </c>
    </row>
    <row r="451" spans="1:29" s="124" customFormat="1" ht="25.2" customHeight="1">
      <c r="A451" s="154">
        <v>436</v>
      </c>
      <c r="B451" s="204"/>
      <c r="C451" s="204"/>
      <c r="D451" s="205"/>
      <c r="E451" s="155" t="str">
        <f>'Tên Tháng 1'!E439</f>
        <v>ភួន ឡែម</v>
      </c>
      <c r="F451" s="157" t="str">
        <f>'Tên Tháng 1'!F439</f>
        <v>PHUON LEM</v>
      </c>
      <c r="G451" s="206">
        <v>340</v>
      </c>
      <c r="H451" s="207">
        <f>'SAN LUONG'!AT450</f>
        <v>236.28</v>
      </c>
      <c r="I451" s="159">
        <f t="shared" si="68"/>
        <v>3.37</v>
      </c>
      <c r="J451" s="207">
        <f>'SAN LUONG'!AS450</f>
        <v>366.08</v>
      </c>
      <c r="K451" s="159">
        <f t="shared" si="67"/>
        <v>5.79</v>
      </c>
      <c r="L451" s="207"/>
      <c r="M451" s="159">
        <f t="shared" si="69"/>
        <v>0</v>
      </c>
      <c r="N451" s="208">
        <f>'CHAM CONG'!AR449</f>
        <v>0</v>
      </c>
      <c r="O451" s="159">
        <f t="shared" si="75"/>
        <v>0</v>
      </c>
      <c r="P451" s="207">
        <f>'CHAM CONG'!AQ449</f>
        <v>13</v>
      </c>
      <c r="Q451" s="159">
        <f t="shared" si="70"/>
        <v>6.51</v>
      </c>
      <c r="R451" s="159">
        <f t="shared" si="74"/>
        <v>13</v>
      </c>
      <c r="S451" s="159">
        <f t="shared" si="76"/>
        <v>0.4</v>
      </c>
      <c r="T451" s="159"/>
      <c r="U451" s="159"/>
      <c r="V451" s="159"/>
      <c r="W451" s="159"/>
      <c r="X451" s="159">
        <f t="shared" si="72"/>
        <v>16.07</v>
      </c>
      <c r="Y451" s="209"/>
      <c r="Z451" s="210" t="s">
        <v>1094</v>
      </c>
      <c r="AA451" s="202">
        <v>16.07</v>
      </c>
      <c r="AB451" s="203">
        <f t="shared" si="73"/>
        <v>0</v>
      </c>
      <c r="AC451" s="124">
        <v>0.01</v>
      </c>
    </row>
    <row r="452" spans="1:29" s="124" customFormat="1" ht="25.2" customHeight="1">
      <c r="A452" s="154">
        <v>437</v>
      </c>
      <c r="B452" s="204"/>
      <c r="C452" s="204"/>
      <c r="D452" s="205"/>
      <c r="E452" s="155" t="str">
        <f>'Tên Tháng 1'!E440</f>
        <v>ធីម ម៉ាប់</v>
      </c>
      <c r="F452" s="157" t="str">
        <f>'Tên Tháng 1'!F440</f>
        <v>THIM MAB</v>
      </c>
      <c r="G452" s="206">
        <v>341</v>
      </c>
      <c r="H452" s="207">
        <f>'SAN LUONG'!AT451</f>
        <v>141.68</v>
      </c>
      <c r="I452" s="159">
        <f t="shared" si="68"/>
        <v>2.02</v>
      </c>
      <c r="J452" s="207">
        <f>'SAN LUONG'!AS451</f>
        <v>410.96</v>
      </c>
      <c r="K452" s="159">
        <f t="shared" si="67"/>
        <v>6.5</v>
      </c>
      <c r="L452" s="207"/>
      <c r="M452" s="159">
        <f t="shared" si="69"/>
        <v>0</v>
      </c>
      <c r="N452" s="208">
        <f>'CHAM CONG'!AR450</f>
        <v>0</v>
      </c>
      <c r="O452" s="159">
        <f t="shared" si="75"/>
        <v>0</v>
      </c>
      <c r="P452" s="207">
        <f>'CHAM CONG'!AQ450</f>
        <v>12</v>
      </c>
      <c r="Q452" s="159">
        <f t="shared" si="70"/>
        <v>6.01</v>
      </c>
      <c r="R452" s="159">
        <f t="shared" si="74"/>
        <v>12</v>
      </c>
      <c r="S452" s="159">
        <f t="shared" si="76"/>
        <v>0.4</v>
      </c>
      <c r="T452" s="159"/>
      <c r="U452" s="159"/>
      <c r="V452" s="159"/>
      <c r="W452" s="159"/>
      <c r="X452" s="159">
        <f t="shared" si="72"/>
        <v>14.93</v>
      </c>
      <c r="Y452" s="209"/>
      <c r="Z452" s="210" t="s">
        <v>1094</v>
      </c>
      <c r="AA452" s="202">
        <v>14.9</v>
      </c>
      <c r="AB452" s="203">
        <f t="shared" si="73"/>
        <v>-0.03</v>
      </c>
      <c r="AC452" s="124">
        <v>0</v>
      </c>
    </row>
    <row r="453" spans="1:29" s="124" customFormat="1" ht="30.6" customHeight="1">
      <c r="A453" s="154">
        <v>438</v>
      </c>
      <c r="B453" s="204"/>
      <c r="C453" s="204"/>
      <c r="D453" s="205"/>
      <c r="E453" s="155" t="str">
        <f>'Tên Tháng 1'!E441</f>
        <v>ឆែម ហៀក</v>
      </c>
      <c r="F453" s="157" t="str">
        <f>'Tên Tháng 1'!F441</f>
        <v>CHHEM HEAK</v>
      </c>
      <c r="G453" s="206">
        <v>342</v>
      </c>
      <c r="H453" s="207">
        <f>'SAN LUONG'!AT452</f>
        <v>161.04</v>
      </c>
      <c r="I453" s="159">
        <f t="shared" si="68"/>
        <v>2.29</v>
      </c>
      <c r="J453" s="207">
        <f>'SAN LUONG'!AS452</f>
        <v>414.92</v>
      </c>
      <c r="K453" s="159">
        <f t="shared" si="67"/>
        <v>6.56</v>
      </c>
      <c r="L453" s="207"/>
      <c r="M453" s="159">
        <f t="shared" si="69"/>
        <v>0</v>
      </c>
      <c r="N453" s="208">
        <f>'CHAM CONG'!AR451</f>
        <v>1</v>
      </c>
      <c r="O453" s="159">
        <f t="shared" si="75"/>
        <v>0.53</v>
      </c>
      <c r="P453" s="207">
        <f>'CHAM CONG'!AQ451</f>
        <v>14</v>
      </c>
      <c r="Q453" s="159">
        <f t="shared" si="70"/>
        <v>7.01</v>
      </c>
      <c r="R453" s="159">
        <f t="shared" si="74"/>
        <v>14</v>
      </c>
      <c r="S453" s="159">
        <f t="shared" si="76"/>
        <v>0.4</v>
      </c>
      <c r="T453" s="159"/>
      <c r="U453" s="159"/>
      <c r="V453" s="159"/>
      <c r="W453" s="159"/>
      <c r="X453" s="159">
        <f t="shared" si="72"/>
        <v>16.79</v>
      </c>
      <c r="Y453" s="209"/>
      <c r="Z453" s="210" t="s">
        <v>1094</v>
      </c>
      <c r="AA453" s="202">
        <v>16.829999999999998</v>
      </c>
      <c r="AB453" s="203">
        <f t="shared" si="73"/>
        <v>0.04</v>
      </c>
      <c r="AC453" s="124">
        <v>0</v>
      </c>
    </row>
    <row r="454" spans="1:29" s="124" customFormat="1" ht="29.4" customHeight="1">
      <c r="A454" s="154">
        <v>439</v>
      </c>
      <c r="B454" s="204"/>
      <c r="C454" s="204"/>
      <c r="D454" s="205"/>
      <c r="E454" s="155" t="str">
        <f>'Tên Tháng 1'!E442</f>
        <v>ហេន ហាត</v>
      </c>
      <c r="F454" s="157" t="str">
        <f>'Tên Tháng 1'!F442</f>
        <v>HEN HAT</v>
      </c>
      <c r="G454" s="206">
        <v>343</v>
      </c>
      <c r="H454" s="207">
        <f>'SAN LUONG'!AT453</f>
        <v>104.28</v>
      </c>
      <c r="I454" s="159">
        <f t="shared" si="68"/>
        <v>1.49</v>
      </c>
      <c r="J454" s="207">
        <f>'SAN LUONG'!AS453</f>
        <v>386.32</v>
      </c>
      <c r="K454" s="159">
        <f t="shared" si="67"/>
        <v>6.11</v>
      </c>
      <c r="L454" s="207"/>
      <c r="M454" s="159">
        <f t="shared" si="69"/>
        <v>0</v>
      </c>
      <c r="N454" s="208">
        <f>'CHAM CONG'!AR452</f>
        <v>0</v>
      </c>
      <c r="O454" s="159">
        <f t="shared" si="75"/>
        <v>0</v>
      </c>
      <c r="P454" s="207">
        <f>'CHAM CONG'!AQ452</f>
        <v>8</v>
      </c>
      <c r="Q454" s="159">
        <f t="shared" si="70"/>
        <v>4.01</v>
      </c>
      <c r="R454" s="159">
        <f t="shared" si="74"/>
        <v>8</v>
      </c>
      <c r="S454" s="159">
        <f t="shared" si="76"/>
        <v>0.3</v>
      </c>
      <c r="T454" s="159"/>
      <c r="U454" s="159"/>
      <c r="V454" s="159"/>
      <c r="W454" s="159"/>
      <c r="X454" s="159">
        <f t="shared" si="72"/>
        <v>11.91</v>
      </c>
      <c r="Y454" s="209"/>
      <c r="Z454" s="210" t="s">
        <v>1094</v>
      </c>
      <c r="AA454" s="202">
        <v>11.85</v>
      </c>
      <c r="AB454" s="203">
        <f t="shared" si="73"/>
        <v>-0.06</v>
      </c>
      <c r="AC454" s="124">
        <v>0.01</v>
      </c>
    </row>
    <row r="455" spans="1:29" s="124" customFormat="1" ht="34.950000000000003" customHeight="1">
      <c r="A455" s="154">
        <v>440</v>
      </c>
      <c r="B455" s="204"/>
      <c r="C455" s="204"/>
      <c r="D455" s="205"/>
      <c r="E455" s="155" t="str">
        <f>'Tên Tháng 1'!E443</f>
        <v>ថន អន</v>
      </c>
      <c r="F455" s="157" t="str">
        <f>'Tên Tháng 1'!F443</f>
        <v>THORN ORN</v>
      </c>
      <c r="G455" s="206">
        <v>428</v>
      </c>
      <c r="H455" s="207">
        <f>'SAN LUONG'!AT454</f>
        <v>317.24</v>
      </c>
      <c r="I455" s="159">
        <f t="shared" si="68"/>
        <v>4.5199999999999996</v>
      </c>
      <c r="J455" s="207">
        <f>'SAN LUONG'!AS454</f>
        <v>232.76</v>
      </c>
      <c r="K455" s="159">
        <f t="shared" si="67"/>
        <v>3.68</v>
      </c>
      <c r="L455" s="207"/>
      <c r="M455" s="159">
        <f t="shared" si="69"/>
        <v>0</v>
      </c>
      <c r="N455" s="208">
        <f>'CHAM CONG'!AR453</f>
        <v>0</v>
      </c>
      <c r="O455" s="159">
        <f t="shared" si="75"/>
        <v>0</v>
      </c>
      <c r="P455" s="207">
        <f>'CHAM CONG'!AQ453</f>
        <v>11</v>
      </c>
      <c r="Q455" s="159">
        <f t="shared" si="70"/>
        <v>5.51</v>
      </c>
      <c r="R455" s="159">
        <f t="shared" si="74"/>
        <v>11</v>
      </c>
      <c r="S455" s="159">
        <f t="shared" si="76"/>
        <v>0.3</v>
      </c>
      <c r="T455" s="159"/>
      <c r="U455" s="159"/>
      <c r="V455" s="159"/>
      <c r="W455" s="159"/>
      <c r="X455" s="159">
        <f t="shared" si="72"/>
        <v>14.01</v>
      </c>
      <c r="Y455" s="209"/>
      <c r="Z455" s="210" t="s">
        <v>1094</v>
      </c>
      <c r="AA455" s="202">
        <v>14.05</v>
      </c>
      <c r="AB455" s="203">
        <f t="shared" si="73"/>
        <v>0.04</v>
      </c>
      <c r="AC455" s="124">
        <v>0</v>
      </c>
    </row>
    <row r="456" spans="1:29" s="124" customFormat="1" ht="34.950000000000003" customHeight="1">
      <c r="A456" s="154">
        <v>441</v>
      </c>
      <c r="B456" s="204"/>
      <c r="C456" s="204"/>
      <c r="D456" s="205"/>
      <c r="E456" s="155" t="str">
        <f>'Tên Tháng 1'!E444</f>
        <v>យី​ សុខដា</v>
      </c>
      <c r="F456" s="157" t="str">
        <f>'Tên Tháng 1'!F444</f>
        <v>YI SOKDA</v>
      </c>
      <c r="G456" s="206">
        <v>429</v>
      </c>
      <c r="H456" s="207">
        <f>'SAN LUONG'!AT455</f>
        <v>364.76</v>
      </c>
      <c r="I456" s="159">
        <f t="shared" si="68"/>
        <v>5.2</v>
      </c>
      <c r="J456" s="207">
        <f>'SAN LUONG'!AS455</f>
        <v>284.68</v>
      </c>
      <c r="K456" s="159">
        <f t="shared" si="67"/>
        <v>4.5</v>
      </c>
      <c r="L456" s="207"/>
      <c r="M456" s="159">
        <f t="shared" si="69"/>
        <v>0</v>
      </c>
      <c r="N456" s="208">
        <f>'CHAM CONG'!AR454</f>
        <v>1</v>
      </c>
      <c r="O456" s="159">
        <f t="shared" si="75"/>
        <v>0.53</v>
      </c>
      <c r="P456" s="207">
        <f>'CHAM CONG'!AQ454</f>
        <v>14</v>
      </c>
      <c r="Q456" s="159">
        <f t="shared" si="70"/>
        <v>7.01</v>
      </c>
      <c r="R456" s="159">
        <f t="shared" si="74"/>
        <v>14</v>
      </c>
      <c r="S456" s="159">
        <f t="shared" si="76"/>
        <v>0.4</v>
      </c>
      <c r="T456" s="159"/>
      <c r="U456" s="159"/>
      <c r="V456" s="159"/>
      <c r="W456" s="159"/>
      <c r="X456" s="159">
        <f t="shared" si="72"/>
        <v>17.64</v>
      </c>
      <c r="Y456" s="209"/>
      <c r="Z456" s="210" t="s">
        <v>1094</v>
      </c>
      <c r="AA456" s="202">
        <v>17.68</v>
      </c>
      <c r="AB456" s="203">
        <f t="shared" si="73"/>
        <v>0.04</v>
      </c>
      <c r="AC456" s="124">
        <v>0</v>
      </c>
    </row>
    <row r="457" spans="1:29" s="124" customFormat="1" ht="34.950000000000003" customHeight="1">
      <c r="A457" s="154">
        <v>442</v>
      </c>
      <c r="B457" s="204"/>
      <c r="C457" s="204"/>
      <c r="D457" s="205"/>
      <c r="E457" s="155" t="str">
        <f>'Tên Tháng 1'!E445</f>
        <v>អ៊ឹម អាន</v>
      </c>
      <c r="F457" s="157" t="str">
        <f>'Tên Tháng 1'!F445</f>
        <v>OEM AN</v>
      </c>
      <c r="G457" s="206">
        <v>430</v>
      </c>
      <c r="H457" s="207">
        <f>'SAN LUONG'!AT456</f>
        <v>360.8</v>
      </c>
      <c r="I457" s="159">
        <f t="shared" si="68"/>
        <v>5.14</v>
      </c>
      <c r="J457" s="207">
        <f>'SAN LUONG'!AS456</f>
        <v>262.24</v>
      </c>
      <c r="K457" s="159">
        <f t="shared" si="67"/>
        <v>4.1500000000000004</v>
      </c>
      <c r="L457" s="207"/>
      <c r="M457" s="159">
        <f t="shared" si="69"/>
        <v>0</v>
      </c>
      <c r="N457" s="208">
        <f>'CHAM CONG'!AR455</f>
        <v>1</v>
      </c>
      <c r="O457" s="159">
        <f t="shared" si="75"/>
        <v>0.53</v>
      </c>
      <c r="P457" s="207">
        <f>'CHAM CONG'!AQ455</f>
        <v>14</v>
      </c>
      <c r="Q457" s="159">
        <f t="shared" si="70"/>
        <v>7.01</v>
      </c>
      <c r="R457" s="159">
        <f t="shared" si="74"/>
        <v>14</v>
      </c>
      <c r="S457" s="159">
        <f t="shared" si="76"/>
        <v>0.4</v>
      </c>
      <c r="T457" s="159"/>
      <c r="U457" s="159"/>
      <c r="V457" s="159"/>
      <c r="W457" s="159"/>
      <c r="X457" s="159">
        <f t="shared" si="72"/>
        <v>17.229999999999997</v>
      </c>
      <c r="Y457" s="209"/>
      <c r="Z457" s="210" t="s">
        <v>1094</v>
      </c>
      <c r="AA457" s="202">
        <v>17.27</v>
      </c>
      <c r="AB457" s="203">
        <f t="shared" si="73"/>
        <v>0.04</v>
      </c>
      <c r="AC457" s="124">
        <v>0</v>
      </c>
    </row>
    <row r="458" spans="1:29" s="124" customFormat="1" ht="34.950000000000003" customHeight="1">
      <c r="A458" s="154">
        <v>443</v>
      </c>
      <c r="B458" s="204"/>
      <c r="C458" s="204"/>
      <c r="D458" s="205"/>
      <c r="E458" s="155" t="str">
        <f>'Tên Tháng 1'!E446</f>
        <v>យី អាន់</v>
      </c>
      <c r="F458" s="157" t="str">
        <f>'Tên Tháng 1'!F446</f>
        <v>YI ANN</v>
      </c>
      <c r="G458" s="206">
        <v>431</v>
      </c>
      <c r="H458" s="207">
        <f>'SAN LUONG'!AT457</f>
        <v>337.04</v>
      </c>
      <c r="I458" s="159">
        <f t="shared" si="68"/>
        <v>4.8</v>
      </c>
      <c r="J458" s="207">
        <f>'SAN LUONG'!AS457</f>
        <v>341.88</v>
      </c>
      <c r="K458" s="159">
        <f t="shared" si="67"/>
        <v>5.4</v>
      </c>
      <c r="L458" s="207"/>
      <c r="M458" s="159">
        <f t="shared" si="69"/>
        <v>0</v>
      </c>
      <c r="N458" s="208">
        <f>'CHAM CONG'!AR456</f>
        <v>1</v>
      </c>
      <c r="O458" s="159">
        <f t="shared" si="75"/>
        <v>0.53</v>
      </c>
      <c r="P458" s="207">
        <f>'CHAM CONG'!AQ456</f>
        <v>14</v>
      </c>
      <c r="Q458" s="159">
        <f t="shared" si="70"/>
        <v>7.01</v>
      </c>
      <c r="R458" s="159">
        <f t="shared" si="74"/>
        <v>14</v>
      </c>
      <c r="S458" s="159">
        <f t="shared" si="76"/>
        <v>0.4</v>
      </c>
      <c r="T458" s="159"/>
      <c r="U458" s="159"/>
      <c r="V458" s="159"/>
      <c r="W458" s="159"/>
      <c r="X458" s="159">
        <f t="shared" si="72"/>
        <v>18.14</v>
      </c>
      <c r="Y458" s="209"/>
      <c r="Z458" s="210" t="s">
        <v>1094</v>
      </c>
      <c r="AA458" s="202">
        <v>18.190000000000001</v>
      </c>
      <c r="AB458" s="203">
        <f t="shared" si="73"/>
        <v>0.05</v>
      </c>
      <c r="AC458" s="124">
        <v>0</v>
      </c>
    </row>
    <row r="459" spans="1:29" s="124" customFormat="1" ht="34.950000000000003" customHeight="1">
      <c r="A459" s="154">
        <v>444</v>
      </c>
      <c r="B459" s="204"/>
      <c r="C459" s="204"/>
      <c r="D459" s="205"/>
      <c r="E459" s="155" t="str">
        <f>'Tên Tháng 1'!E447</f>
        <v>ជិន ជុំ</v>
      </c>
      <c r="F459" s="157" t="str">
        <f>'Tên Tháng 1'!F447</f>
        <v>CHIN CHUM</v>
      </c>
      <c r="G459" s="206">
        <v>432</v>
      </c>
      <c r="H459" s="207">
        <f>'SAN LUONG'!AT458</f>
        <v>436.04</v>
      </c>
      <c r="I459" s="159">
        <f t="shared" si="68"/>
        <v>6.21</v>
      </c>
      <c r="J459" s="207">
        <f>'SAN LUONG'!AS458</f>
        <v>438.68</v>
      </c>
      <c r="K459" s="159">
        <f t="shared" si="67"/>
        <v>6.93</v>
      </c>
      <c r="L459" s="207"/>
      <c r="M459" s="159">
        <f t="shared" si="69"/>
        <v>0</v>
      </c>
      <c r="N459" s="208">
        <f>'CHAM CONG'!AR457</f>
        <v>0</v>
      </c>
      <c r="O459" s="159">
        <f t="shared" si="75"/>
        <v>0</v>
      </c>
      <c r="P459" s="207">
        <f>'CHAM CONG'!AQ457</f>
        <v>14</v>
      </c>
      <c r="Q459" s="159">
        <f t="shared" si="70"/>
        <v>7.01</v>
      </c>
      <c r="R459" s="159">
        <f t="shared" si="74"/>
        <v>14</v>
      </c>
      <c r="S459" s="159">
        <f t="shared" si="76"/>
        <v>0.4</v>
      </c>
      <c r="T459" s="159"/>
      <c r="U459" s="159"/>
      <c r="V459" s="159"/>
      <c r="W459" s="159"/>
      <c r="X459" s="159">
        <f t="shared" si="72"/>
        <v>20.549999999999997</v>
      </c>
      <c r="Y459" s="209"/>
      <c r="Z459" s="210" t="s">
        <v>1094</v>
      </c>
      <c r="AA459" s="202">
        <v>20.59</v>
      </c>
      <c r="AB459" s="203">
        <f t="shared" si="73"/>
        <v>0.04</v>
      </c>
      <c r="AC459" s="124">
        <v>0</v>
      </c>
    </row>
    <row r="460" spans="1:29" s="124" customFormat="1" ht="34.950000000000003" customHeight="1">
      <c r="A460" s="154">
        <v>445</v>
      </c>
      <c r="B460" s="204"/>
      <c r="C460" s="204"/>
      <c r="D460" s="205"/>
      <c r="E460" s="155" t="str">
        <f>'Tên Tháng 1'!E448</f>
        <v>ស៊ុំ សាលី</v>
      </c>
      <c r="F460" s="157" t="str">
        <f>'Tên Tháng 1'!F448</f>
        <v>SUM SALY</v>
      </c>
      <c r="G460" s="206">
        <v>433</v>
      </c>
      <c r="H460" s="207">
        <f>'SAN LUONG'!AT459</f>
        <v>461.12</v>
      </c>
      <c r="I460" s="159">
        <f t="shared" si="68"/>
        <v>6.57</v>
      </c>
      <c r="J460" s="207">
        <f>'SAN LUONG'!AS459</f>
        <v>394.24</v>
      </c>
      <c r="K460" s="159">
        <f t="shared" si="67"/>
        <v>6.23</v>
      </c>
      <c r="L460" s="207"/>
      <c r="M460" s="159">
        <f t="shared" si="69"/>
        <v>0</v>
      </c>
      <c r="N460" s="208">
        <f>'CHAM CONG'!AR458</f>
        <v>0</v>
      </c>
      <c r="O460" s="159">
        <f t="shared" si="75"/>
        <v>0</v>
      </c>
      <c r="P460" s="207">
        <f>'CHAM CONG'!AQ458</f>
        <v>14</v>
      </c>
      <c r="Q460" s="159">
        <f t="shared" si="70"/>
        <v>7.01</v>
      </c>
      <c r="R460" s="159">
        <f t="shared" si="74"/>
        <v>14</v>
      </c>
      <c r="S460" s="159">
        <f t="shared" si="76"/>
        <v>0.4</v>
      </c>
      <c r="T460" s="159"/>
      <c r="U460" s="159"/>
      <c r="V460" s="159"/>
      <c r="W460" s="159"/>
      <c r="X460" s="159">
        <f t="shared" si="72"/>
        <v>20.21</v>
      </c>
      <c r="Y460" s="209"/>
      <c r="Z460" s="210" t="s">
        <v>1094</v>
      </c>
      <c r="AA460" s="202">
        <v>20.25</v>
      </c>
      <c r="AB460" s="203">
        <f t="shared" si="73"/>
        <v>0.04</v>
      </c>
      <c r="AC460" s="124">
        <v>0</v>
      </c>
    </row>
    <row r="461" spans="1:29" s="124" customFormat="1" ht="34.950000000000003" customHeight="1">
      <c r="A461" s="154">
        <v>446</v>
      </c>
      <c r="B461" s="204"/>
      <c r="C461" s="204"/>
      <c r="D461" s="205"/>
      <c r="E461" s="155" t="str">
        <f>'Tên Tháng 1'!E449</f>
        <v>យី​ វណ្ណី</v>
      </c>
      <c r="F461" s="157" t="str">
        <f>'Tên Tháng 1'!F449</f>
        <v>YI VANNY</v>
      </c>
      <c r="G461" s="206">
        <v>434</v>
      </c>
      <c r="H461" s="207">
        <f>'SAN LUONG'!AT460</f>
        <v>359.48</v>
      </c>
      <c r="I461" s="159">
        <f t="shared" si="68"/>
        <v>5.12</v>
      </c>
      <c r="J461" s="207">
        <f>'SAN LUONG'!AS460</f>
        <v>234.08</v>
      </c>
      <c r="K461" s="159">
        <f t="shared" si="67"/>
        <v>3.7</v>
      </c>
      <c r="L461" s="207"/>
      <c r="M461" s="159">
        <f t="shared" si="69"/>
        <v>0</v>
      </c>
      <c r="N461" s="208">
        <f>'CHAM CONG'!AR459</f>
        <v>1</v>
      </c>
      <c r="O461" s="159">
        <f t="shared" si="75"/>
        <v>0.53</v>
      </c>
      <c r="P461" s="207">
        <f>'CHAM CONG'!AQ459</f>
        <v>12</v>
      </c>
      <c r="Q461" s="159">
        <f t="shared" si="70"/>
        <v>6.01</v>
      </c>
      <c r="R461" s="159">
        <f t="shared" si="74"/>
        <v>12</v>
      </c>
      <c r="S461" s="159">
        <f t="shared" si="76"/>
        <v>0.4</v>
      </c>
      <c r="T461" s="159"/>
      <c r="U461" s="159"/>
      <c r="V461" s="159"/>
      <c r="W461" s="159"/>
      <c r="X461" s="159">
        <f t="shared" si="72"/>
        <v>15.76</v>
      </c>
      <c r="Y461" s="209"/>
      <c r="Z461" s="210" t="s">
        <v>1094</v>
      </c>
      <c r="AA461" s="202">
        <v>15.74</v>
      </c>
      <c r="AB461" s="203">
        <f t="shared" si="73"/>
        <v>-0.02</v>
      </c>
      <c r="AC461" s="124">
        <v>0</v>
      </c>
    </row>
    <row r="462" spans="1:29" s="124" customFormat="1" ht="34.950000000000003" customHeight="1">
      <c r="A462" s="154">
        <v>447</v>
      </c>
      <c r="B462" s="204"/>
      <c r="C462" s="204"/>
      <c r="D462" s="205"/>
      <c r="E462" s="155" t="str">
        <f>'Tên Tháng 1'!E450</f>
        <v>ស្រី ឈួង</v>
      </c>
      <c r="F462" s="157" t="str">
        <f>'Tên Tháng 1'!F450</f>
        <v>SREY CHHUONG</v>
      </c>
      <c r="G462" s="206">
        <v>435</v>
      </c>
      <c r="H462" s="207">
        <f>'SAN LUONG'!AT461</f>
        <v>449.68</v>
      </c>
      <c r="I462" s="159">
        <f t="shared" si="68"/>
        <v>6.4</v>
      </c>
      <c r="J462" s="207">
        <f>'SAN LUONG'!AS461</f>
        <v>209.44</v>
      </c>
      <c r="K462" s="159">
        <f t="shared" si="67"/>
        <v>3.31</v>
      </c>
      <c r="L462" s="207"/>
      <c r="M462" s="159">
        <f t="shared" si="69"/>
        <v>0</v>
      </c>
      <c r="N462" s="208">
        <f>'CHAM CONG'!AR460</f>
        <v>1</v>
      </c>
      <c r="O462" s="159">
        <f t="shared" si="75"/>
        <v>0.53</v>
      </c>
      <c r="P462" s="207">
        <f>'CHAM CONG'!AQ460</f>
        <v>12</v>
      </c>
      <c r="Q462" s="159">
        <f t="shared" si="70"/>
        <v>6.01</v>
      </c>
      <c r="R462" s="159">
        <f t="shared" si="74"/>
        <v>12</v>
      </c>
      <c r="S462" s="159">
        <f t="shared" si="76"/>
        <v>0.4</v>
      </c>
      <c r="T462" s="159"/>
      <c r="U462" s="159"/>
      <c r="V462" s="159"/>
      <c r="W462" s="159"/>
      <c r="X462" s="159">
        <f t="shared" si="72"/>
        <v>16.650000000000002</v>
      </c>
      <c r="Y462" s="209"/>
      <c r="Z462" s="210" t="s">
        <v>1094</v>
      </c>
      <c r="AA462" s="202">
        <v>16.63</v>
      </c>
      <c r="AB462" s="203">
        <f t="shared" si="73"/>
        <v>-0.02</v>
      </c>
      <c r="AC462" s="124">
        <v>0</v>
      </c>
    </row>
    <row r="463" spans="1:29" s="124" customFormat="1" ht="34.950000000000003" customHeight="1">
      <c r="A463" s="154">
        <v>448</v>
      </c>
      <c r="B463" s="204"/>
      <c r="C463" s="204"/>
      <c r="D463" s="205"/>
      <c r="E463" s="155" t="str">
        <f>'Tên Tháng 1'!E451</f>
        <v>សឿន សាន</v>
      </c>
      <c r="F463" s="157" t="str">
        <f>'Tên Tháng 1'!F451</f>
        <v>SOEUN SAN</v>
      </c>
      <c r="G463" s="206">
        <v>436</v>
      </c>
      <c r="H463" s="207">
        <f>'SAN LUONG'!AT462</f>
        <v>380.16</v>
      </c>
      <c r="I463" s="159">
        <f t="shared" si="68"/>
        <v>5.41</v>
      </c>
      <c r="J463" s="207">
        <f>'SAN LUONG'!AS462</f>
        <v>199.76</v>
      </c>
      <c r="K463" s="159">
        <f t="shared" si="67"/>
        <v>3.16</v>
      </c>
      <c r="L463" s="207"/>
      <c r="M463" s="159">
        <f t="shared" si="69"/>
        <v>0</v>
      </c>
      <c r="N463" s="208">
        <f>'CHAM CONG'!AR461</f>
        <v>1</v>
      </c>
      <c r="O463" s="159">
        <f t="shared" si="75"/>
        <v>0.53</v>
      </c>
      <c r="P463" s="207">
        <f>'CHAM CONG'!AQ461</f>
        <v>12</v>
      </c>
      <c r="Q463" s="159">
        <f t="shared" si="70"/>
        <v>6.01</v>
      </c>
      <c r="R463" s="159">
        <f t="shared" si="74"/>
        <v>12</v>
      </c>
      <c r="S463" s="159">
        <f t="shared" si="76"/>
        <v>0.4</v>
      </c>
      <c r="T463" s="159"/>
      <c r="U463" s="159"/>
      <c r="V463" s="159"/>
      <c r="W463" s="159"/>
      <c r="X463" s="159">
        <f t="shared" si="72"/>
        <v>15.51</v>
      </c>
      <c r="Y463" s="209"/>
      <c r="Z463" s="210" t="s">
        <v>1094</v>
      </c>
      <c r="AA463" s="202">
        <v>15.49</v>
      </c>
      <c r="AB463" s="203">
        <f t="shared" si="73"/>
        <v>-0.02</v>
      </c>
      <c r="AC463" s="124">
        <v>0</v>
      </c>
    </row>
    <row r="464" spans="1:29" s="124" customFormat="1" ht="34.950000000000003" customHeight="1">
      <c r="A464" s="154">
        <v>449</v>
      </c>
      <c r="B464" s="204"/>
      <c r="C464" s="204"/>
      <c r="D464" s="205"/>
      <c r="E464" s="155" t="str">
        <f>'Tên Tháng 1'!E452</f>
        <v>យួត លៀ</v>
      </c>
      <c r="F464" s="157" t="str">
        <f>'Tên Tháng 1'!F452</f>
        <v>YOUT LEA</v>
      </c>
      <c r="G464" s="206">
        <v>437</v>
      </c>
      <c r="H464" s="207">
        <f>'SAN LUONG'!AT463</f>
        <v>383.68</v>
      </c>
      <c r="I464" s="159">
        <f t="shared" si="68"/>
        <v>5.46</v>
      </c>
      <c r="J464" s="207">
        <f>'SAN LUONG'!AS463</f>
        <v>212.96</v>
      </c>
      <c r="K464" s="159">
        <f t="shared" ref="K464:K491" si="77">ROUND(J464*$K$14/31947,2)</f>
        <v>3.37</v>
      </c>
      <c r="L464" s="207"/>
      <c r="M464" s="159">
        <f t="shared" si="69"/>
        <v>0</v>
      </c>
      <c r="N464" s="208">
        <f>'CHAM CONG'!AR462</f>
        <v>1</v>
      </c>
      <c r="O464" s="159">
        <f t="shared" si="75"/>
        <v>0.53</v>
      </c>
      <c r="P464" s="207">
        <f>'CHAM CONG'!AQ462</f>
        <v>13</v>
      </c>
      <c r="Q464" s="159">
        <f t="shared" si="70"/>
        <v>6.51</v>
      </c>
      <c r="R464" s="159">
        <f t="shared" si="74"/>
        <v>13</v>
      </c>
      <c r="S464" s="159">
        <f t="shared" si="76"/>
        <v>0.4</v>
      </c>
      <c r="T464" s="159"/>
      <c r="U464" s="159"/>
      <c r="V464" s="159"/>
      <c r="W464" s="159"/>
      <c r="X464" s="159">
        <f t="shared" si="72"/>
        <v>16.27</v>
      </c>
      <c r="Y464" s="209"/>
      <c r="Z464" s="210" t="s">
        <v>1094</v>
      </c>
      <c r="AA464" s="202">
        <v>16.28</v>
      </c>
      <c r="AB464" s="203">
        <f t="shared" si="73"/>
        <v>0.01</v>
      </c>
      <c r="AC464" s="124">
        <v>0</v>
      </c>
    </row>
    <row r="465" spans="1:29" s="124" customFormat="1" ht="34.950000000000003" customHeight="1">
      <c r="A465" s="154">
        <v>450</v>
      </c>
      <c r="B465" s="204"/>
      <c r="C465" s="204"/>
      <c r="D465" s="205"/>
      <c r="E465" s="155" t="str">
        <f>'Tên Tháng 1'!E453</f>
        <v>ទី វេន</v>
      </c>
      <c r="F465" s="157" t="str">
        <f>'Tên Tháng 1'!F453</f>
        <v>TY VEN</v>
      </c>
      <c r="G465" s="206">
        <v>438</v>
      </c>
      <c r="H465" s="207">
        <f>'SAN LUONG'!AT464</f>
        <v>453.64</v>
      </c>
      <c r="I465" s="159">
        <f t="shared" ref="I465:I489" si="78">ROUND(H465*$I$14/31947,2)</f>
        <v>6.46</v>
      </c>
      <c r="J465" s="207">
        <f>'SAN LUONG'!AS464</f>
        <v>335.72</v>
      </c>
      <c r="K465" s="159">
        <f t="shared" si="77"/>
        <v>5.31</v>
      </c>
      <c r="L465" s="207"/>
      <c r="M465" s="159">
        <f t="shared" ref="M465:M499" si="79">ROUND(L465*$M$14/31947,2)</f>
        <v>0</v>
      </c>
      <c r="N465" s="208">
        <f>'CHAM CONG'!AR463</f>
        <v>0</v>
      </c>
      <c r="O465" s="159">
        <f t="shared" ref="O465:O499" si="80">ROUND(N465*$O$14/31947,2)</f>
        <v>0</v>
      </c>
      <c r="P465" s="207">
        <f>'CHAM CONG'!AQ463</f>
        <v>13</v>
      </c>
      <c r="Q465" s="159">
        <f t="shared" ref="Q465:Q499" si="81">ROUND(P465*$Q$14/31947,2)</f>
        <v>6.51</v>
      </c>
      <c r="R465" s="159">
        <f t="shared" si="74"/>
        <v>13</v>
      </c>
      <c r="S465" s="159">
        <f t="shared" si="76"/>
        <v>0.4</v>
      </c>
      <c r="T465" s="159"/>
      <c r="U465" s="159"/>
      <c r="V465" s="159"/>
      <c r="W465" s="159"/>
      <c r="X465" s="159">
        <f t="shared" ref="X465:X499" si="82">I465+K465+M465+Q465+S465+O465</f>
        <v>18.68</v>
      </c>
      <c r="Y465" s="209"/>
      <c r="Z465" s="210" t="s">
        <v>1094</v>
      </c>
      <c r="AA465" s="202">
        <v>18.690000000000001</v>
      </c>
      <c r="AB465" s="203">
        <f t="shared" ref="AB465:AB500" si="83">ROUND(AA465-X465,2)</f>
        <v>0.01</v>
      </c>
      <c r="AC465" s="124">
        <v>0</v>
      </c>
    </row>
    <row r="466" spans="1:29" s="124" customFormat="1" ht="34.950000000000003" customHeight="1">
      <c r="A466" s="154">
        <v>451</v>
      </c>
      <c r="B466" s="204"/>
      <c r="C466" s="204"/>
      <c r="D466" s="205"/>
      <c r="E466" s="155" t="str">
        <f>'Tên Tháng 1'!E454</f>
        <v>យៀង សុលី</v>
      </c>
      <c r="F466" s="157" t="str">
        <f>'Tên Tháng 1'!F454</f>
        <v>YEANG SOLY</v>
      </c>
      <c r="G466" s="206">
        <v>439</v>
      </c>
      <c r="H466" s="207">
        <f>'SAN LUONG'!AT465</f>
        <v>360.8</v>
      </c>
      <c r="I466" s="159">
        <f t="shared" si="78"/>
        <v>5.14</v>
      </c>
      <c r="J466" s="207">
        <f>'SAN LUONG'!AS465</f>
        <v>223.96</v>
      </c>
      <c r="K466" s="159">
        <f t="shared" si="77"/>
        <v>3.54</v>
      </c>
      <c r="L466" s="207"/>
      <c r="M466" s="159">
        <f t="shared" si="79"/>
        <v>0</v>
      </c>
      <c r="N466" s="208">
        <f>'CHAM CONG'!AR464</f>
        <v>0</v>
      </c>
      <c r="O466" s="159">
        <f t="shared" si="80"/>
        <v>0</v>
      </c>
      <c r="P466" s="207">
        <f>'CHAM CONG'!AQ464</f>
        <v>13</v>
      </c>
      <c r="Q466" s="159">
        <f t="shared" si="81"/>
        <v>6.51</v>
      </c>
      <c r="R466" s="159">
        <f t="shared" ref="R466:R499" si="84">P466</f>
        <v>13</v>
      </c>
      <c r="S466" s="159">
        <f t="shared" si="76"/>
        <v>0.4</v>
      </c>
      <c r="T466" s="159"/>
      <c r="U466" s="159"/>
      <c r="V466" s="159"/>
      <c r="W466" s="159"/>
      <c r="X466" s="159">
        <f t="shared" si="82"/>
        <v>15.59</v>
      </c>
      <c r="Y466" s="209"/>
      <c r="Z466" s="210" t="s">
        <v>1094</v>
      </c>
      <c r="AA466" s="202">
        <v>15.6</v>
      </c>
      <c r="AB466" s="203">
        <f t="shared" si="83"/>
        <v>0.01</v>
      </c>
      <c r="AC466" s="124">
        <v>-0.01</v>
      </c>
    </row>
    <row r="467" spans="1:29" s="124" customFormat="1" ht="34.950000000000003" customHeight="1">
      <c r="A467" s="154">
        <v>452</v>
      </c>
      <c r="B467" s="204"/>
      <c r="C467" s="204"/>
      <c r="D467" s="205"/>
      <c r="E467" s="155" t="str">
        <f>'Tên Tháng 1'!E455</f>
        <v>អ៊ឹម អ៊ីន</v>
      </c>
      <c r="F467" s="157" t="str">
        <f>'Tên Tháng 1'!F455</f>
        <v>OEM IN</v>
      </c>
      <c r="G467" s="206">
        <v>440</v>
      </c>
      <c r="H467" s="207">
        <f>'SAN LUONG'!AT466</f>
        <v>366.96</v>
      </c>
      <c r="I467" s="159">
        <f t="shared" si="78"/>
        <v>5.23</v>
      </c>
      <c r="J467" s="207">
        <f>'SAN LUONG'!AS466</f>
        <v>276.76</v>
      </c>
      <c r="K467" s="159">
        <f t="shared" si="77"/>
        <v>4.37</v>
      </c>
      <c r="L467" s="207"/>
      <c r="M467" s="159">
        <f t="shared" si="79"/>
        <v>0</v>
      </c>
      <c r="N467" s="208">
        <f>'CHAM CONG'!AR465</f>
        <v>1</v>
      </c>
      <c r="O467" s="159">
        <f t="shared" si="80"/>
        <v>0.53</v>
      </c>
      <c r="P467" s="207">
        <f>'CHAM CONG'!AQ465</f>
        <v>13</v>
      </c>
      <c r="Q467" s="159">
        <f t="shared" si="81"/>
        <v>6.51</v>
      </c>
      <c r="R467" s="159">
        <f t="shared" si="84"/>
        <v>13</v>
      </c>
      <c r="S467" s="159">
        <f t="shared" si="76"/>
        <v>0.4</v>
      </c>
      <c r="T467" s="159"/>
      <c r="U467" s="159"/>
      <c r="V467" s="159"/>
      <c r="W467" s="159"/>
      <c r="X467" s="159">
        <f t="shared" si="82"/>
        <v>17.04</v>
      </c>
      <c r="Y467" s="209"/>
      <c r="Z467" s="210" t="s">
        <v>1094</v>
      </c>
      <c r="AA467" s="202">
        <v>17.05</v>
      </c>
      <c r="AB467" s="203">
        <f t="shared" si="83"/>
        <v>0.01</v>
      </c>
      <c r="AC467" s="124">
        <v>0.01</v>
      </c>
    </row>
    <row r="468" spans="1:29" s="124" customFormat="1" ht="34.950000000000003" customHeight="1">
      <c r="A468" s="154">
        <v>453</v>
      </c>
      <c r="B468" s="204"/>
      <c r="C468" s="204"/>
      <c r="D468" s="205"/>
      <c r="E468" s="155" t="str">
        <f>'Tên Tháng 1'!E456</f>
        <v>លាង សុឃា</v>
      </c>
      <c r="F468" s="157" t="str">
        <f>'Tên Tháng 1'!F456</f>
        <v>LEANG SOKHEA</v>
      </c>
      <c r="G468" s="206">
        <v>441</v>
      </c>
      <c r="H468" s="207">
        <f>'SAN LUONG'!AT467</f>
        <v>463.76</v>
      </c>
      <c r="I468" s="159">
        <f t="shared" si="78"/>
        <v>6.61</v>
      </c>
      <c r="J468" s="207">
        <f>'SAN LUONG'!AS467</f>
        <v>359.92</v>
      </c>
      <c r="K468" s="159">
        <f t="shared" si="77"/>
        <v>5.69</v>
      </c>
      <c r="L468" s="207"/>
      <c r="M468" s="159">
        <f t="shared" si="79"/>
        <v>0</v>
      </c>
      <c r="N468" s="208">
        <f>'CHAM CONG'!AR466</f>
        <v>0</v>
      </c>
      <c r="O468" s="159">
        <f t="shared" si="80"/>
        <v>0</v>
      </c>
      <c r="P468" s="207">
        <f>'CHAM CONG'!AQ466</f>
        <v>13</v>
      </c>
      <c r="Q468" s="159">
        <f t="shared" si="81"/>
        <v>6.51</v>
      </c>
      <c r="R468" s="159">
        <f t="shared" si="84"/>
        <v>13</v>
      </c>
      <c r="S468" s="159">
        <f t="shared" si="76"/>
        <v>0.4</v>
      </c>
      <c r="T468" s="159"/>
      <c r="U468" s="159"/>
      <c r="V468" s="159"/>
      <c r="W468" s="159"/>
      <c r="X468" s="159">
        <f t="shared" si="82"/>
        <v>19.21</v>
      </c>
      <c r="Y468" s="209"/>
      <c r="Z468" s="210" t="s">
        <v>1094</v>
      </c>
      <c r="AA468" s="202">
        <v>19.21</v>
      </c>
      <c r="AB468" s="203">
        <f t="shared" si="83"/>
        <v>0</v>
      </c>
      <c r="AC468" s="124">
        <v>0</v>
      </c>
    </row>
    <row r="469" spans="1:29" s="124" customFormat="1" ht="34.950000000000003" customHeight="1">
      <c r="A469" s="154">
        <v>454</v>
      </c>
      <c r="B469" s="204"/>
      <c r="C469" s="204"/>
      <c r="D469" s="205"/>
      <c r="E469" s="155" t="str">
        <f>'Tên Tháng 1'!E457</f>
        <v>មឿន ភាព</v>
      </c>
      <c r="F469" s="157" t="str">
        <f>'Tên Tháng 1'!F457</f>
        <v>MOEUN PHEP</v>
      </c>
      <c r="G469" s="206">
        <v>442</v>
      </c>
      <c r="H469" s="207">
        <f>'SAN LUONG'!AT468</f>
        <v>464.2</v>
      </c>
      <c r="I469" s="159">
        <f t="shared" si="78"/>
        <v>6.61</v>
      </c>
      <c r="J469" s="207">
        <f>'SAN LUONG'!AS468</f>
        <v>389.84</v>
      </c>
      <c r="K469" s="159">
        <f t="shared" si="77"/>
        <v>6.16</v>
      </c>
      <c r="L469" s="207"/>
      <c r="M469" s="159">
        <f t="shared" si="79"/>
        <v>0</v>
      </c>
      <c r="N469" s="208">
        <f>'CHAM CONG'!AR467</f>
        <v>1</v>
      </c>
      <c r="O469" s="159">
        <f t="shared" si="80"/>
        <v>0.53</v>
      </c>
      <c r="P469" s="207">
        <f>'CHAM CONG'!AQ467</f>
        <v>13</v>
      </c>
      <c r="Q469" s="159">
        <f t="shared" si="81"/>
        <v>6.51</v>
      </c>
      <c r="R469" s="159">
        <f t="shared" si="84"/>
        <v>13</v>
      </c>
      <c r="S469" s="159">
        <f t="shared" si="76"/>
        <v>0.4</v>
      </c>
      <c r="T469" s="159"/>
      <c r="U469" s="159"/>
      <c r="V469" s="159"/>
      <c r="W469" s="159"/>
      <c r="X469" s="159">
        <f t="shared" si="82"/>
        <v>20.21</v>
      </c>
      <c r="Y469" s="209"/>
      <c r="Z469" s="210" t="s">
        <v>1094</v>
      </c>
      <c r="AA469" s="202">
        <v>20.22</v>
      </c>
      <c r="AB469" s="203">
        <f t="shared" si="83"/>
        <v>0.01</v>
      </c>
      <c r="AC469" s="124">
        <v>0</v>
      </c>
    </row>
    <row r="470" spans="1:29" s="124" customFormat="1" ht="34.950000000000003" customHeight="1">
      <c r="A470" s="154">
        <v>455</v>
      </c>
      <c r="B470" s="204"/>
      <c r="C470" s="204"/>
      <c r="D470" s="205"/>
      <c r="E470" s="155" t="str">
        <f>'Tên Tháng 1'!E458</f>
        <v>ហ៊ី ទីន</v>
      </c>
      <c r="F470" s="157" t="str">
        <f>'Tên Tháng 1'!F458</f>
        <v>HY TIN</v>
      </c>
      <c r="G470" s="206">
        <v>443</v>
      </c>
      <c r="H470" s="207">
        <f>'SAN LUONG'!AT469</f>
        <v>400.84</v>
      </c>
      <c r="I470" s="159">
        <f t="shared" si="78"/>
        <v>5.71</v>
      </c>
      <c r="J470" s="207">
        <f>'SAN LUONG'!AS469</f>
        <v>274.56</v>
      </c>
      <c r="K470" s="159">
        <f t="shared" si="77"/>
        <v>4.34</v>
      </c>
      <c r="L470" s="207"/>
      <c r="M470" s="159">
        <f t="shared" si="79"/>
        <v>0</v>
      </c>
      <c r="N470" s="208">
        <f>'CHAM CONG'!AR468</f>
        <v>0</v>
      </c>
      <c r="O470" s="159">
        <f t="shared" si="80"/>
        <v>0</v>
      </c>
      <c r="P470" s="207">
        <f>'CHAM CONG'!AQ468</f>
        <v>11</v>
      </c>
      <c r="Q470" s="159">
        <f t="shared" si="81"/>
        <v>5.51</v>
      </c>
      <c r="R470" s="159">
        <f t="shared" si="84"/>
        <v>11</v>
      </c>
      <c r="S470" s="159">
        <f t="shared" si="76"/>
        <v>0.3</v>
      </c>
      <c r="T470" s="159"/>
      <c r="U470" s="159"/>
      <c r="V470" s="159"/>
      <c r="W470" s="159"/>
      <c r="X470" s="159">
        <f t="shared" si="82"/>
        <v>15.860000000000001</v>
      </c>
      <c r="Y470" s="209"/>
      <c r="Z470" s="210" t="s">
        <v>1094</v>
      </c>
      <c r="AA470" s="202">
        <v>15.9</v>
      </c>
      <c r="AB470" s="203">
        <f t="shared" si="83"/>
        <v>0.04</v>
      </c>
      <c r="AC470" s="124">
        <v>-0.01</v>
      </c>
    </row>
    <row r="471" spans="1:29" s="124" customFormat="1" ht="34.950000000000003" customHeight="1">
      <c r="A471" s="154">
        <v>456</v>
      </c>
      <c r="B471" s="204"/>
      <c r="C471" s="204"/>
      <c r="D471" s="205"/>
      <c r="E471" s="155" t="str">
        <f>'Tên Tháng 1'!E459</f>
        <v>អឹម អន</v>
      </c>
      <c r="F471" s="157" t="str">
        <f>'Tên Tháng 1'!F459</f>
        <v>IM ON</v>
      </c>
      <c r="G471" s="206">
        <v>444</v>
      </c>
      <c r="H471" s="207">
        <f>'SAN LUONG'!AT470</f>
        <v>301.39999999999998</v>
      </c>
      <c r="I471" s="159">
        <f t="shared" si="78"/>
        <v>4.29</v>
      </c>
      <c r="J471" s="207">
        <f>'SAN LUONG'!AS470</f>
        <v>402.16</v>
      </c>
      <c r="K471" s="159">
        <f t="shared" si="77"/>
        <v>6.36</v>
      </c>
      <c r="L471" s="207"/>
      <c r="M471" s="159">
        <f t="shared" si="79"/>
        <v>0</v>
      </c>
      <c r="N471" s="208">
        <f>'CHAM CONG'!AR469</f>
        <v>1</v>
      </c>
      <c r="O471" s="159">
        <f t="shared" si="80"/>
        <v>0.53</v>
      </c>
      <c r="P471" s="207">
        <f>'CHAM CONG'!AQ469</f>
        <v>13</v>
      </c>
      <c r="Q471" s="159">
        <f t="shared" si="81"/>
        <v>6.51</v>
      </c>
      <c r="R471" s="159">
        <f t="shared" si="84"/>
        <v>13</v>
      </c>
      <c r="S471" s="159">
        <f t="shared" si="76"/>
        <v>0.4</v>
      </c>
      <c r="T471" s="159"/>
      <c r="U471" s="159"/>
      <c r="V471" s="159"/>
      <c r="W471" s="159"/>
      <c r="X471" s="159">
        <f t="shared" si="82"/>
        <v>18.09</v>
      </c>
      <c r="Y471" s="209"/>
      <c r="Z471" s="210" t="s">
        <v>1094</v>
      </c>
      <c r="AA471" s="202">
        <v>18.100000000000001</v>
      </c>
      <c r="AB471" s="203">
        <f t="shared" si="83"/>
        <v>0.01</v>
      </c>
      <c r="AC471" s="124">
        <v>0</v>
      </c>
    </row>
    <row r="472" spans="1:29" s="124" customFormat="1" ht="34.950000000000003" customHeight="1">
      <c r="A472" s="154">
        <v>457</v>
      </c>
      <c r="B472" s="204"/>
      <c r="C472" s="204"/>
      <c r="D472" s="205"/>
      <c r="E472" s="155" t="str">
        <f>'Tên Tháng 1'!E460</f>
        <v>ហ៊ីម សុភក្តី</v>
      </c>
      <c r="F472" s="157" t="str">
        <f>'Tên Tháng 1'!F460</f>
        <v>HIM SOPHEAKDEY</v>
      </c>
      <c r="G472" s="206">
        <v>445</v>
      </c>
      <c r="H472" s="207">
        <f>'SAN LUONG'!AT471</f>
        <v>363.44</v>
      </c>
      <c r="I472" s="159">
        <f t="shared" si="78"/>
        <v>5.18</v>
      </c>
      <c r="J472" s="207">
        <f>'SAN LUONG'!AS471</f>
        <v>352.88</v>
      </c>
      <c r="K472" s="159">
        <f t="shared" si="77"/>
        <v>5.58</v>
      </c>
      <c r="L472" s="207"/>
      <c r="M472" s="159">
        <f t="shared" si="79"/>
        <v>0</v>
      </c>
      <c r="N472" s="208">
        <f>'CHAM CONG'!AR470</f>
        <v>1</v>
      </c>
      <c r="O472" s="159">
        <f t="shared" si="80"/>
        <v>0.53</v>
      </c>
      <c r="P472" s="207">
        <f>'CHAM CONG'!AQ470</f>
        <v>13</v>
      </c>
      <c r="Q472" s="159">
        <f t="shared" si="81"/>
        <v>6.51</v>
      </c>
      <c r="R472" s="159">
        <f t="shared" si="84"/>
        <v>13</v>
      </c>
      <c r="S472" s="159">
        <f t="shared" si="76"/>
        <v>0.4</v>
      </c>
      <c r="T472" s="159"/>
      <c r="U472" s="159"/>
      <c r="V472" s="159"/>
      <c r="W472" s="159"/>
      <c r="X472" s="159">
        <f t="shared" si="82"/>
        <v>18.2</v>
      </c>
      <c r="Y472" s="209"/>
      <c r="Z472" s="210" t="s">
        <v>1094</v>
      </c>
      <c r="AA472" s="202">
        <v>18.2</v>
      </c>
      <c r="AB472" s="203">
        <f t="shared" si="83"/>
        <v>0</v>
      </c>
      <c r="AC472" s="124">
        <v>0</v>
      </c>
    </row>
    <row r="473" spans="1:29" s="124" customFormat="1" ht="34.950000000000003" customHeight="1">
      <c r="A473" s="154">
        <v>458</v>
      </c>
      <c r="B473" s="204"/>
      <c r="C473" s="204"/>
      <c r="D473" s="205"/>
      <c r="E473" s="155" t="str">
        <f>'Tên Tháng 1'!E461</f>
        <v>ម៉េត សុគន្ធា</v>
      </c>
      <c r="F473" s="157" t="str">
        <f>'Tên Tháng 1'!F461</f>
        <v>MET SOKUNTHEA</v>
      </c>
      <c r="G473" s="206">
        <v>446</v>
      </c>
      <c r="H473" s="207">
        <f>'SAN LUONG'!AT472</f>
        <v>396.88</v>
      </c>
      <c r="I473" s="159">
        <f t="shared" si="78"/>
        <v>5.65</v>
      </c>
      <c r="J473" s="207">
        <f>'SAN LUONG'!AS472</f>
        <v>337.92</v>
      </c>
      <c r="K473" s="159">
        <f t="shared" si="77"/>
        <v>5.34</v>
      </c>
      <c r="L473" s="207"/>
      <c r="M473" s="159">
        <f t="shared" si="79"/>
        <v>0</v>
      </c>
      <c r="N473" s="208">
        <f>'CHAM CONG'!AR471</f>
        <v>1</v>
      </c>
      <c r="O473" s="159">
        <f t="shared" si="80"/>
        <v>0.53</v>
      </c>
      <c r="P473" s="207">
        <f>'CHAM CONG'!AQ471</f>
        <v>13</v>
      </c>
      <c r="Q473" s="159">
        <f t="shared" si="81"/>
        <v>6.51</v>
      </c>
      <c r="R473" s="159">
        <f t="shared" si="84"/>
        <v>13</v>
      </c>
      <c r="S473" s="159">
        <f t="shared" ref="S473:S499" si="85">ROUND(R473*$S$14/31947,1)</f>
        <v>0.4</v>
      </c>
      <c r="T473" s="159"/>
      <c r="U473" s="159"/>
      <c r="V473" s="159"/>
      <c r="W473" s="159"/>
      <c r="X473" s="159">
        <f t="shared" si="82"/>
        <v>18.43</v>
      </c>
      <c r="Y473" s="209"/>
      <c r="Z473" s="210" t="s">
        <v>1094</v>
      </c>
      <c r="AA473" s="202">
        <v>18.440000000000001</v>
      </c>
      <c r="AB473" s="203">
        <f t="shared" si="83"/>
        <v>0.01</v>
      </c>
      <c r="AC473" s="124">
        <v>0</v>
      </c>
    </row>
    <row r="474" spans="1:29" s="124" customFormat="1" ht="34.950000000000003" customHeight="1">
      <c r="A474" s="154">
        <v>459</v>
      </c>
      <c r="B474" s="204"/>
      <c r="C474" s="204"/>
      <c r="D474" s="205"/>
      <c r="E474" s="155" t="str">
        <f>'Tên Tháng 1'!E462</f>
        <v>ម៉ៅ ស្រីណុច</v>
      </c>
      <c r="F474" s="157" t="str">
        <f>'Tên Tháng 1'!F462</f>
        <v>MAO SREYNOCH</v>
      </c>
      <c r="G474" s="206">
        <v>447</v>
      </c>
      <c r="H474" s="207">
        <f>'SAN LUONG'!AT473</f>
        <v>238.48</v>
      </c>
      <c r="I474" s="159">
        <f t="shared" si="78"/>
        <v>3.4</v>
      </c>
      <c r="J474" s="207">
        <f>'SAN LUONG'!AS473</f>
        <v>181.72</v>
      </c>
      <c r="K474" s="159">
        <f t="shared" si="77"/>
        <v>2.87</v>
      </c>
      <c r="L474" s="207"/>
      <c r="M474" s="159">
        <f t="shared" si="79"/>
        <v>0</v>
      </c>
      <c r="N474" s="208">
        <f>'CHAM CONG'!AR472</f>
        <v>0</v>
      </c>
      <c r="O474" s="159">
        <f t="shared" si="80"/>
        <v>0</v>
      </c>
      <c r="P474" s="207">
        <f>'CHAM CONG'!AQ472</f>
        <v>10</v>
      </c>
      <c r="Q474" s="159">
        <f t="shared" si="81"/>
        <v>5.01</v>
      </c>
      <c r="R474" s="159">
        <f t="shared" si="84"/>
        <v>10</v>
      </c>
      <c r="S474" s="159">
        <f t="shared" si="85"/>
        <v>0.3</v>
      </c>
      <c r="T474" s="159"/>
      <c r="U474" s="159"/>
      <c r="V474" s="159"/>
      <c r="W474" s="159"/>
      <c r="X474" s="159">
        <f t="shared" si="82"/>
        <v>11.58</v>
      </c>
      <c r="Y474" s="209"/>
      <c r="Z474" s="210" t="s">
        <v>1094</v>
      </c>
      <c r="AA474" s="202">
        <v>11.59</v>
      </c>
      <c r="AB474" s="203">
        <f t="shared" si="83"/>
        <v>0.01</v>
      </c>
      <c r="AC474" s="124">
        <v>0</v>
      </c>
    </row>
    <row r="475" spans="1:29" s="124" customFormat="1" ht="34.950000000000003" customHeight="1">
      <c r="A475" s="154">
        <v>460</v>
      </c>
      <c r="B475" s="204"/>
      <c r="C475" s="204"/>
      <c r="D475" s="205"/>
      <c r="E475" s="155" t="str">
        <f>'Tên Tháng 1'!E463</f>
        <v>ឡេង ហ៊ីម</v>
      </c>
      <c r="F475" s="157" t="str">
        <f>'Tên Tháng 1'!F463</f>
        <v>LENG HIM</v>
      </c>
      <c r="G475" s="206">
        <v>448</v>
      </c>
      <c r="H475" s="207">
        <f>'SAN LUONG'!AT474</f>
        <v>322.52</v>
      </c>
      <c r="I475" s="159">
        <f t="shared" si="78"/>
        <v>4.59</v>
      </c>
      <c r="J475" s="207">
        <f>'SAN LUONG'!AS474</f>
        <v>175.56</v>
      </c>
      <c r="K475" s="159">
        <f t="shared" si="77"/>
        <v>2.78</v>
      </c>
      <c r="L475" s="207"/>
      <c r="M475" s="159">
        <f t="shared" si="79"/>
        <v>0</v>
      </c>
      <c r="N475" s="208">
        <f>'CHAM CONG'!AR473</f>
        <v>1</v>
      </c>
      <c r="O475" s="159">
        <f t="shared" si="80"/>
        <v>0.53</v>
      </c>
      <c r="P475" s="207">
        <f>'CHAM CONG'!AQ473</f>
        <v>13</v>
      </c>
      <c r="Q475" s="159">
        <f t="shared" si="81"/>
        <v>6.51</v>
      </c>
      <c r="R475" s="159">
        <f t="shared" si="84"/>
        <v>13</v>
      </c>
      <c r="S475" s="159">
        <f t="shared" si="85"/>
        <v>0.4</v>
      </c>
      <c r="T475" s="159"/>
      <c r="U475" s="159"/>
      <c r="V475" s="159"/>
      <c r="W475" s="159"/>
      <c r="X475" s="159">
        <f t="shared" si="82"/>
        <v>14.809999999999999</v>
      </c>
      <c r="Y475" s="209"/>
      <c r="Z475" s="210" t="s">
        <v>1094</v>
      </c>
      <c r="AA475" s="202">
        <v>14.82</v>
      </c>
      <c r="AB475" s="203">
        <f t="shared" si="83"/>
        <v>0.01</v>
      </c>
      <c r="AC475" s="124">
        <v>0</v>
      </c>
    </row>
    <row r="476" spans="1:29" s="124" customFormat="1" ht="34.950000000000003" customHeight="1">
      <c r="A476" s="154">
        <v>461</v>
      </c>
      <c r="B476" s="204"/>
      <c r="C476" s="204"/>
      <c r="D476" s="205"/>
      <c r="E476" s="155" t="str">
        <f>'Tên Tháng 1'!E464</f>
        <v>ហ៊ីម ហ៊ី</v>
      </c>
      <c r="F476" s="157" t="str">
        <f>'Tên Tháng 1'!F464</f>
        <v>HIM HY</v>
      </c>
      <c r="G476" s="206">
        <v>449</v>
      </c>
      <c r="H476" s="207">
        <f>'SAN LUONG'!AT475</f>
        <v>353.76</v>
      </c>
      <c r="I476" s="159">
        <f t="shared" si="78"/>
        <v>5.04</v>
      </c>
      <c r="J476" s="207">
        <f>'SAN LUONG'!AS475</f>
        <v>355.96</v>
      </c>
      <c r="K476" s="159">
        <f t="shared" si="77"/>
        <v>5.63</v>
      </c>
      <c r="L476" s="207"/>
      <c r="M476" s="159">
        <f t="shared" si="79"/>
        <v>0</v>
      </c>
      <c r="N476" s="208">
        <f>'CHAM CONG'!AR474</f>
        <v>1</v>
      </c>
      <c r="O476" s="159">
        <f t="shared" si="80"/>
        <v>0.53</v>
      </c>
      <c r="P476" s="207">
        <f>'CHAM CONG'!AQ474</f>
        <v>14</v>
      </c>
      <c r="Q476" s="159">
        <f t="shared" si="81"/>
        <v>7.01</v>
      </c>
      <c r="R476" s="159">
        <f t="shared" si="84"/>
        <v>14</v>
      </c>
      <c r="S476" s="159">
        <f t="shared" si="85"/>
        <v>0.4</v>
      </c>
      <c r="T476" s="159"/>
      <c r="U476" s="159"/>
      <c r="V476" s="159"/>
      <c r="W476" s="159"/>
      <c r="X476" s="159">
        <f t="shared" si="82"/>
        <v>18.61</v>
      </c>
      <c r="Y476" s="209"/>
      <c r="Z476" s="210" t="s">
        <v>1094</v>
      </c>
      <c r="AA476" s="202">
        <v>18.649999999999999</v>
      </c>
      <c r="AB476" s="203">
        <f t="shared" si="83"/>
        <v>0.04</v>
      </c>
      <c r="AC476" s="124">
        <v>0</v>
      </c>
    </row>
    <row r="477" spans="1:29" s="124" customFormat="1" ht="34.950000000000003" customHeight="1">
      <c r="A477" s="154">
        <v>462</v>
      </c>
      <c r="B477" s="204"/>
      <c r="C477" s="204"/>
      <c r="D477" s="205"/>
      <c r="E477" s="155" t="str">
        <f>'Tên Tháng 1'!E465</f>
        <v>ហួត ផន</v>
      </c>
      <c r="F477" s="157" t="str">
        <f>'Tên Tháng 1'!F465</f>
        <v>HOUT PHORN</v>
      </c>
      <c r="G477" s="206">
        <v>450</v>
      </c>
      <c r="H477" s="207">
        <f>'SAN LUONG'!AT476</f>
        <v>366.96</v>
      </c>
      <c r="I477" s="159">
        <f t="shared" si="78"/>
        <v>5.23</v>
      </c>
      <c r="J477" s="207">
        <f>'SAN LUONG'!AS476</f>
        <v>387.64</v>
      </c>
      <c r="K477" s="159">
        <f t="shared" si="77"/>
        <v>6.13</v>
      </c>
      <c r="L477" s="207"/>
      <c r="M477" s="159">
        <f t="shared" si="79"/>
        <v>0</v>
      </c>
      <c r="N477" s="208">
        <f>'CHAM CONG'!AR475</f>
        <v>1</v>
      </c>
      <c r="O477" s="159">
        <f t="shared" si="80"/>
        <v>0.53</v>
      </c>
      <c r="P477" s="207">
        <f>'CHAM CONG'!AQ475</f>
        <v>13</v>
      </c>
      <c r="Q477" s="159">
        <f t="shared" si="81"/>
        <v>6.51</v>
      </c>
      <c r="R477" s="159">
        <f t="shared" si="84"/>
        <v>13</v>
      </c>
      <c r="S477" s="159">
        <f t="shared" si="85"/>
        <v>0.4</v>
      </c>
      <c r="T477" s="159"/>
      <c r="U477" s="159"/>
      <c r="V477" s="159"/>
      <c r="W477" s="159"/>
      <c r="X477" s="159">
        <f t="shared" si="82"/>
        <v>18.799999999999997</v>
      </c>
      <c r="Y477" s="209"/>
      <c r="Z477" s="210" t="s">
        <v>1094</v>
      </c>
      <c r="AA477" s="202">
        <v>18.8</v>
      </c>
      <c r="AB477" s="203">
        <f t="shared" si="83"/>
        <v>0</v>
      </c>
      <c r="AC477" s="124">
        <v>0</v>
      </c>
    </row>
    <row r="478" spans="1:29" s="124" customFormat="1" ht="34.950000000000003" customHeight="1">
      <c r="A478" s="154">
        <v>463</v>
      </c>
      <c r="B478" s="204"/>
      <c r="C478" s="204"/>
      <c r="D478" s="205"/>
      <c r="E478" s="155" t="str">
        <f>'Tên Tháng 1'!E466</f>
        <v>ម៉េត សុខផៃ</v>
      </c>
      <c r="F478" s="157" t="str">
        <f>'Tên Tháng 1'!F466</f>
        <v>MET SOKPHAI</v>
      </c>
      <c r="G478" s="206">
        <v>451</v>
      </c>
      <c r="H478" s="207">
        <f>'SAN LUONG'!AT477</f>
        <v>343.2</v>
      </c>
      <c r="I478" s="159">
        <f t="shared" si="78"/>
        <v>4.8899999999999997</v>
      </c>
      <c r="J478" s="207">
        <f>'SAN LUONG'!AS477</f>
        <v>425.04</v>
      </c>
      <c r="K478" s="159">
        <f t="shared" si="77"/>
        <v>6.72</v>
      </c>
      <c r="L478" s="207"/>
      <c r="M478" s="159">
        <f t="shared" si="79"/>
        <v>0</v>
      </c>
      <c r="N478" s="208">
        <f>'CHAM CONG'!AR476</f>
        <v>1</v>
      </c>
      <c r="O478" s="159">
        <f t="shared" si="80"/>
        <v>0.53</v>
      </c>
      <c r="P478" s="207">
        <f>'CHAM CONG'!AQ476</f>
        <v>13</v>
      </c>
      <c r="Q478" s="159">
        <f t="shared" si="81"/>
        <v>6.51</v>
      </c>
      <c r="R478" s="159">
        <f t="shared" si="84"/>
        <v>13</v>
      </c>
      <c r="S478" s="159">
        <f t="shared" si="85"/>
        <v>0.4</v>
      </c>
      <c r="T478" s="159"/>
      <c r="U478" s="159"/>
      <c r="V478" s="159"/>
      <c r="W478" s="159"/>
      <c r="X478" s="159">
        <f t="shared" si="82"/>
        <v>19.049999999999997</v>
      </c>
      <c r="Y478" s="209"/>
      <c r="Z478" s="210" t="s">
        <v>1094</v>
      </c>
      <c r="AA478" s="202">
        <v>19.059999999999999</v>
      </c>
      <c r="AB478" s="203">
        <f t="shared" si="83"/>
        <v>0.01</v>
      </c>
      <c r="AC478" s="124">
        <v>0</v>
      </c>
    </row>
    <row r="479" spans="1:29" s="124" customFormat="1" ht="34.950000000000003" customHeight="1">
      <c r="A479" s="154">
        <v>464</v>
      </c>
      <c r="B479" s="204"/>
      <c r="C479" s="204"/>
      <c r="D479" s="205"/>
      <c r="E479" s="155" t="str">
        <f>'Tên Tháng 1'!E467</f>
        <v>ឆាង ឆើត</v>
      </c>
      <c r="F479" s="157" t="str">
        <f>'Tên Tháng 1'!F467</f>
        <v>CHHANG CHHEUT</v>
      </c>
      <c r="G479" s="206">
        <v>452</v>
      </c>
      <c r="H479" s="207">
        <f>'SAN LUONG'!AT478</f>
        <v>229.68</v>
      </c>
      <c r="I479" s="159">
        <f t="shared" si="78"/>
        <v>3.27</v>
      </c>
      <c r="J479" s="207">
        <f>'SAN LUONG'!AS478</f>
        <v>232.76</v>
      </c>
      <c r="K479" s="159">
        <f t="shared" si="77"/>
        <v>3.68</v>
      </c>
      <c r="L479" s="207"/>
      <c r="M479" s="159">
        <f t="shared" si="79"/>
        <v>0</v>
      </c>
      <c r="N479" s="208">
        <f>'CHAM CONG'!AR477</f>
        <v>1</v>
      </c>
      <c r="O479" s="159">
        <f t="shared" si="80"/>
        <v>0.53</v>
      </c>
      <c r="P479" s="207">
        <f>'CHAM CONG'!AQ477</f>
        <v>12</v>
      </c>
      <c r="Q479" s="159">
        <f t="shared" si="81"/>
        <v>6.01</v>
      </c>
      <c r="R479" s="159">
        <f t="shared" si="84"/>
        <v>12</v>
      </c>
      <c r="S479" s="159">
        <f t="shared" si="85"/>
        <v>0.4</v>
      </c>
      <c r="T479" s="159"/>
      <c r="U479" s="159"/>
      <c r="V479" s="159"/>
      <c r="W479" s="159"/>
      <c r="X479" s="159">
        <f t="shared" si="82"/>
        <v>13.89</v>
      </c>
      <c r="Y479" s="209"/>
      <c r="Z479" s="210" t="s">
        <v>1094</v>
      </c>
      <c r="AA479" s="202">
        <v>13.87</v>
      </c>
      <c r="AB479" s="203">
        <f t="shared" si="83"/>
        <v>-0.02</v>
      </c>
      <c r="AC479" s="124">
        <v>-0.01</v>
      </c>
    </row>
    <row r="480" spans="1:29" s="124" customFormat="1" ht="34.950000000000003" customHeight="1">
      <c r="A480" s="154">
        <v>465</v>
      </c>
      <c r="B480" s="204"/>
      <c r="C480" s="204"/>
      <c r="D480" s="205"/>
      <c r="E480" s="155" t="str">
        <f>'Tên Tháng 1'!E468</f>
        <v>ទ្រី អឹង</v>
      </c>
      <c r="F480" s="157" t="str">
        <f>'Tên Tháng 1'!F468</f>
        <v>TRY EUNG</v>
      </c>
      <c r="G480" s="206">
        <v>453</v>
      </c>
      <c r="H480" s="207">
        <f>'SAN LUONG'!AT479</f>
        <v>261.8</v>
      </c>
      <c r="I480" s="159">
        <f t="shared" si="78"/>
        <v>3.73</v>
      </c>
      <c r="J480" s="207">
        <f>'SAN LUONG'!AS479</f>
        <v>227.04</v>
      </c>
      <c r="K480" s="159">
        <f t="shared" si="77"/>
        <v>3.59</v>
      </c>
      <c r="L480" s="207"/>
      <c r="M480" s="159">
        <f t="shared" si="79"/>
        <v>0</v>
      </c>
      <c r="N480" s="208">
        <f>'CHAM CONG'!AR478</f>
        <v>0</v>
      </c>
      <c r="O480" s="159">
        <f t="shared" si="80"/>
        <v>0</v>
      </c>
      <c r="P480" s="207">
        <f>'CHAM CONG'!AQ478</f>
        <v>12</v>
      </c>
      <c r="Q480" s="159">
        <f t="shared" si="81"/>
        <v>6.01</v>
      </c>
      <c r="R480" s="159">
        <f t="shared" si="84"/>
        <v>12</v>
      </c>
      <c r="S480" s="159">
        <f t="shared" si="85"/>
        <v>0.4</v>
      </c>
      <c r="T480" s="159"/>
      <c r="U480" s="159"/>
      <c r="V480" s="159"/>
      <c r="W480" s="159"/>
      <c r="X480" s="159">
        <f t="shared" si="82"/>
        <v>13.73</v>
      </c>
      <c r="Y480" s="209"/>
      <c r="Z480" s="210" t="s">
        <v>1094</v>
      </c>
      <c r="AA480" s="202">
        <v>13.7</v>
      </c>
      <c r="AB480" s="203">
        <f t="shared" si="83"/>
        <v>-0.03</v>
      </c>
      <c r="AC480" s="124">
        <v>0</v>
      </c>
    </row>
    <row r="481" spans="1:29" s="124" customFormat="1" ht="34.950000000000003" customHeight="1">
      <c r="A481" s="154">
        <v>466</v>
      </c>
      <c r="B481" s="204"/>
      <c r="C481" s="204"/>
      <c r="D481" s="205"/>
      <c r="E481" s="155" t="str">
        <f>'Tên Tháng 1'!E469</f>
        <v>ជា ឡៃយ៉ុន</v>
      </c>
      <c r="F481" s="157" t="str">
        <f>'Tên Tháng 1'!F469</f>
        <v>CHEA LAIYON</v>
      </c>
      <c r="G481" s="206">
        <v>454</v>
      </c>
      <c r="H481" s="207">
        <f>'SAN LUONG'!AT480</f>
        <v>438.68</v>
      </c>
      <c r="I481" s="159">
        <f t="shared" si="78"/>
        <v>6.25</v>
      </c>
      <c r="J481" s="207">
        <f>'SAN LUONG'!AS480</f>
        <v>294.8</v>
      </c>
      <c r="K481" s="159">
        <f t="shared" si="77"/>
        <v>4.66</v>
      </c>
      <c r="L481" s="207"/>
      <c r="M481" s="159">
        <f t="shared" si="79"/>
        <v>0</v>
      </c>
      <c r="N481" s="208">
        <f>'CHAM CONG'!AR479</f>
        <v>1</v>
      </c>
      <c r="O481" s="159">
        <f t="shared" si="80"/>
        <v>0.53</v>
      </c>
      <c r="P481" s="207">
        <f>'CHAM CONG'!AQ479</f>
        <v>13</v>
      </c>
      <c r="Q481" s="159">
        <f t="shared" si="81"/>
        <v>6.51</v>
      </c>
      <c r="R481" s="159">
        <f t="shared" si="84"/>
        <v>13</v>
      </c>
      <c r="S481" s="159">
        <f t="shared" si="85"/>
        <v>0.4</v>
      </c>
      <c r="T481" s="159"/>
      <c r="U481" s="159"/>
      <c r="V481" s="159"/>
      <c r="W481" s="159"/>
      <c r="X481" s="159">
        <f t="shared" si="82"/>
        <v>18.350000000000001</v>
      </c>
      <c r="Y481" s="209"/>
      <c r="Z481" s="210" t="s">
        <v>1094</v>
      </c>
      <c r="AA481" s="202">
        <v>18.36</v>
      </c>
      <c r="AB481" s="203">
        <f t="shared" si="83"/>
        <v>0.01</v>
      </c>
      <c r="AC481" s="124">
        <v>0</v>
      </c>
    </row>
    <row r="482" spans="1:29" s="124" customFormat="1" ht="34.950000000000003" customHeight="1">
      <c r="A482" s="154">
        <v>467</v>
      </c>
      <c r="B482" s="204"/>
      <c r="C482" s="204"/>
      <c r="D482" s="205"/>
      <c r="E482" s="155" t="str">
        <f>'Tên Tháng 1'!E470</f>
        <v>តិប កី</v>
      </c>
      <c r="F482" s="157" t="str">
        <f>'Tên Tháng 1'!F470</f>
        <v>TOEB KIE</v>
      </c>
      <c r="G482" s="206">
        <v>455</v>
      </c>
      <c r="H482" s="207">
        <f>'SAN LUONG'!AT481</f>
        <v>316.8</v>
      </c>
      <c r="I482" s="159">
        <f t="shared" si="78"/>
        <v>4.51</v>
      </c>
      <c r="J482" s="207">
        <f>'SAN LUONG'!AS481</f>
        <v>258.27999999999997</v>
      </c>
      <c r="K482" s="159">
        <f t="shared" si="77"/>
        <v>4.08</v>
      </c>
      <c r="L482" s="207"/>
      <c r="M482" s="159">
        <f t="shared" si="79"/>
        <v>0</v>
      </c>
      <c r="N482" s="208">
        <f>'CHAM CONG'!AR480</f>
        <v>0</v>
      </c>
      <c r="O482" s="159">
        <f t="shared" si="80"/>
        <v>0</v>
      </c>
      <c r="P482" s="207">
        <f>'CHAM CONG'!AQ480</f>
        <v>10</v>
      </c>
      <c r="Q482" s="159">
        <f t="shared" si="81"/>
        <v>5.01</v>
      </c>
      <c r="R482" s="159">
        <f t="shared" si="84"/>
        <v>10</v>
      </c>
      <c r="S482" s="159">
        <f t="shared" si="85"/>
        <v>0.3</v>
      </c>
      <c r="T482" s="159"/>
      <c r="U482" s="159"/>
      <c r="V482" s="159"/>
      <c r="W482" s="159"/>
      <c r="X482" s="159">
        <f t="shared" si="82"/>
        <v>13.9</v>
      </c>
      <c r="Y482" s="209"/>
      <c r="Z482" s="210" t="s">
        <v>1094</v>
      </c>
      <c r="AA482" s="202">
        <v>13.92</v>
      </c>
      <c r="AB482" s="203">
        <f t="shared" si="83"/>
        <v>0.02</v>
      </c>
      <c r="AC482" s="124">
        <v>-0.01</v>
      </c>
    </row>
    <row r="483" spans="1:29" s="124" customFormat="1" ht="34.950000000000003" customHeight="1">
      <c r="A483" s="154">
        <v>468</v>
      </c>
      <c r="B483" s="204"/>
      <c r="C483" s="204"/>
      <c r="D483" s="205"/>
      <c r="E483" s="155" t="str">
        <f>'Tên Tháng 1'!E471</f>
        <v>ពរ​ ឡូ</v>
      </c>
      <c r="F483" s="157" t="str">
        <f>'Tên Tháng 1'!F471</f>
        <v>POR LO</v>
      </c>
      <c r="G483" s="206">
        <v>456</v>
      </c>
      <c r="H483" s="207">
        <f>'SAN LUONG'!AT482</f>
        <v>394.68</v>
      </c>
      <c r="I483" s="159">
        <f t="shared" si="78"/>
        <v>5.62</v>
      </c>
      <c r="J483" s="207">
        <f>'SAN LUONG'!AS482</f>
        <v>396.88</v>
      </c>
      <c r="K483" s="159">
        <f t="shared" si="77"/>
        <v>6.27</v>
      </c>
      <c r="L483" s="207"/>
      <c r="M483" s="159">
        <f t="shared" si="79"/>
        <v>0</v>
      </c>
      <c r="N483" s="208">
        <f>'CHAM CONG'!AR481</f>
        <v>1</v>
      </c>
      <c r="O483" s="159">
        <f t="shared" si="80"/>
        <v>0.53</v>
      </c>
      <c r="P483" s="207">
        <f>'CHAM CONG'!AQ481</f>
        <v>14</v>
      </c>
      <c r="Q483" s="159">
        <f t="shared" si="81"/>
        <v>7.01</v>
      </c>
      <c r="R483" s="159">
        <f t="shared" si="84"/>
        <v>14</v>
      </c>
      <c r="S483" s="159">
        <f t="shared" si="85"/>
        <v>0.4</v>
      </c>
      <c r="T483" s="159"/>
      <c r="U483" s="159"/>
      <c r="V483" s="159"/>
      <c r="W483" s="159"/>
      <c r="X483" s="159">
        <f t="shared" si="82"/>
        <v>19.829999999999998</v>
      </c>
      <c r="Y483" s="209"/>
      <c r="Z483" s="210" t="s">
        <v>1094</v>
      </c>
      <c r="AA483" s="202">
        <v>19.88</v>
      </c>
      <c r="AB483" s="203">
        <f t="shared" si="83"/>
        <v>0.05</v>
      </c>
      <c r="AC483" s="124">
        <v>-0.01</v>
      </c>
    </row>
    <row r="484" spans="1:29" s="124" customFormat="1" ht="34.950000000000003" customHeight="1">
      <c r="A484" s="154">
        <v>469</v>
      </c>
      <c r="B484" s="204"/>
      <c r="C484" s="204"/>
      <c r="D484" s="205"/>
      <c r="E484" s="155" t="str">
        <f>'Tên Tháng 1'!E472</f>
        <v>ឈួន ឆេន</v>
      </c>
      <c r="F484" s="157" t="str">
        <f>'Tên Tháng 1'!F472</f>
        <v>CHHOUN CHHEN</v>
      </c>
      <c r="G484" s="206">
        <v>457</v>
      </c>
      <c r="H484" s="207">
        <f>'SAN LUONG'!AT483</f>
        <v>707.08</v>
      </c>
      <c r="I484" s="159">
        <f t="shared" si="78"/>
        <v>10.07</v>
      </c>
      <c r="J484" s="207">
        <f>'SAN LUONG'!AS483</f>
        <v>133.76</v>
      </c>
      <c r="K484" s="159">
        <f t="shared" si="77"/>
        <v>2.11</v>
      </c>
      <c r="L484" s="207"/>
      <c r="M484" s="159">
        <f t="shared" si="79"/>
        <v>0</v>
      </c>
      <c r="N484" s="208">
        <f>'CHAM CONG'!AR482</f>
        <v>1</v>
      </c>
      <c r="O484" s="159">
        <f t="shared" si="80"/>
        <v>0.53</v>
      </c>
      <c r="P484" s="207">
        <f>'CHAM CONG'!AQ482</f>
        <v>14</v>
      </c>
      <c r="Q484" s="159">
        <f t="shared" si="81"/>
        <v>7.01</v>
      </c>
      <c r="R484" s="159">
        <f t="shared" si="84"/>
        <v>14</v>
      </c>
      <c r="S484" s="159">
        <f t="shared" si="85"/>
        <v>0.4</v>
      </c>
      <c r="T484" s="159"/>
      <c r="U484" s="159"/>
      <c r="V484" s="159"/>
      <c r="W484" s="159"/>
      <c r="X484" s="159">
        <f t="shared" si="82"/>
        <v>20.119999999999997</v>
      </c>
      <c r="Y484" s="209"/>
      <c r="Z484" s="210" t="s">
        <v>1094</v>
      </c>
      <c r="AA484" s="202">
        <v>20.170000000000002</v>
      </c>
      <c r="AB484" s="203">
        <f t="shared" si="83"/>
        <v>0.05</v>
      </c>
      <c r="AC484" s="124">
        <v>0</v>
      </c>
    </row>
    <row r="485" spans="1:29" s="124" customFormat="1" ht="34.950000000000003" customHeight="1">
      <c r="A485" s="154">
        <v>470</v>
      </c>
      <c r="B485" s="204"/>
      <c r="C485" s="204"/>
      <c r="D485" s="205"/>
      <c r="E485" s="155" t="str">
        <f>'Tên Tháng 1'!E473</f>
        <v>ស៊ុត សោន</v>
      </c>
      <c r="F485" s="157" t="str">
        <f>'Tên Tháng 1'!F473</f>
        <v>SUT SAON</v>
      </c>
      <c r="G485" s="206">
        <v>458</v>
      </c>
      <c r="H485" s="207">
        <f>'SAN LUONG'!AT484</f>
        <v>664.84</v>
      </c>
      <c r="I485" s="159">
        <f t="shared" si="78"/>
        <v>9.4700000000000006</v>
      </c>
      <c r="J485" s="207">
        <f>'SAN LUONG'!AS484</f>
        <v>130.68</v>
      </c>
      <c r="K485" s="159">
        <f t="shared" si="77"/>
        <v>2.0699999999999998</v>
      </c>
      <c r="L485" s="207"/>
      <c r="M485" s="159">
        <f t="shared" si="79"/>
        <v>0</v>
      </c>
      <c r="N485" s="208">
        <f>'CHAM CONG'!AR483</f>
        <v>1</v>
      </c>
      <c r="O485" s="159">
        <f t="shared" si="80"/>
        <v>0.53</v>
      </c>
      <c r="P485" s="207">
        <f>'CHAM CONG'!AQ483</f>
        <v>14</v>
      </c>
      <c r="Q485" s="159">
        <f t="shared" si="81"/>
        <v>7.01</v>
      </c>
      <c r="R485" s="159">
        <f t="shared" si="84"/>
        <v>14</v>
      </c>
      <c r="S485" s="159">
        <f t="shared" si="85"/>
        <v>0.4</v>
      </c>
      <c r="T485" s="159"/>
      <c r="U485" s="159"/>
      <c r="V485" s="159"/>
      <c r="W485" s="159"/>
      <c r="X485" s="159">
        <f t="shared" si="82"/>
        <v>19.48</v>
      </c>
      <c r="Y485" s="209"/>
      <c r="Z485" s="210" t="s">
        <v>1094</v>
      </c>
      <c r="AA485" s="202">
        <v>19.52</v>
      </c>
      <c r="AB485" s="203">
        <f t="shared" si="83"/>
        <v>0.04</v>
      </c>
      <c r="AC485" s="124">
        <v>-0.01</v>
      </c>
    </row>
    <row r="486" spans="1:29" s="124" customFormat="1" ht="34.950000000000003" customHeight="1">
      <c r="A486" s="154">
        <v>471</v>
      </c>
      <c r="B486" s="204"/>
      <c r="C486" s="204"/>
      <c r="D486" s="205"/>
      <c r="E486" s="155" t="str">
        <f>'Tên Tháng 1'!E474</f>
        <v>ឈួន ឈី</v>
      </c>
      <c r="F486" s="157" t="str">
        <f>'Tên Tháng 1'!F474</f>
        <v>CHHUON CHHY</v>
      </c>
      <c r="G486" s="206">
        <v>459</v>
      </c>
      <c r="H486" s="207">
        <f>'SAN LUONG'!AT485</f>
        <v>517</v>
      </c>
      <c r="I486" s="159">
        <f t="shared" si="78"/>
        <v>7.36</v>
      </c>
      <c r="J486" s="207">
        <f>'SAN LUONG'!AS485</f>
        <v>145.19999999999999</v>
      </c>
      <c r="K486" s="159">
        <f t="shared" si="77"/>
        <v>2.2999999999999998</v>
      </c>
      <c r="L486" s="207"/>
      <c r="M486" s="159">
        <f t="shared" si="79"/>
        <v>0</v>
      </c>
      <c r="N486" s="208">
        <f>'CHAM CONG'!AR484</f>
        <v>1</v>
      </c>
      <c r="O486" s="159">
        <f t="shared" si="80"/>
        <v>0.53</v>
      </c>
      <c r="P486" s="207">
        <f>'CHAM CONG'!AQ484</f>
        <v>14</v>
      </c>
      <c r="Q486" s="159">
        <f t="shared" si="81"/>
        <v>7.01</v>
      </c>
      <c r="R486" s="159">
        <f t="shared" si="84"/>
        <v>14</v>
      </c>
      <c r="S486" s="159">
        <f t="shared" si="85"/>
        <v>0.4</v>
      </c>
      <c r="T486" s="159"/>
      <c r="U486" s="159"/>
      <c r="V486" s="159"/>
      <c r="W486" s="159"/>
      <c r="X486" s="159">
        <f t="shared" si="82"/>
        <v>17.600000000000001</v>
      </c>
      <c r="Y486" s="209"/>
      <c r="Z486" s="210" t="s">
        <v>1094</v>
      </c>
      <c r="AA486" s="202">
        <v>17.64</v>
      </c>
      <c r="AB486" s="203">
        <f t="shared" si="83"/>
        <v>0.04</v>
      </c>
      <c r="AC486" s="124">
        <v>-0.01</v>
      </c>
    </row>
    <row r="487" spans="1:29" s="124" customFormat="1" ht="34.950000000000003" customHeight="1">
      <c r="A487" s="154">
        <v>472</v>
      </c>
      <c r="B487" s="204"/>
      <c r="C487" s="204"/>
      <c r="D487" s="205"/>
      <c r="E487" s="155" t="str">
        <f>'Tên Tháng 1'!E475</f>
        <v>ម៉េត សុផល</v>
      </c>
      <c r="F487" s="157" t="str">
        <f>'Tên Tháng 1'!F475</f>
        <v>MET SOPHALL</v>
      </c>
      <c r="G487" s="206">
        <v>460</v>
      </c>
      <c r="H487" s="207">
        <f>'SAN LUONG'!AT486</f>
        <v>531.52</v>
      </c>
      <c r="I487" s="159">
        <f t="shared" si="78"/>
        <v>7.57</v>
      </c>
      <c r="J487" s="207">
        <f>'SAN LUONG'!AS486</f>
        <v>114.84</v>
      </c>
      <c r="K487" s="159">
        <f t="shared" si="77"/>
        <v>1.82</v>
      </c>
      <c r="L487" s="207"/>
      <c r="M487" s="159">
        <f t="shared" si="79"/>
        <v>0</v>
      </c>
      <c r="N487" s="208">
        <f>'CHAM CONG'!AR485</f>
        <v>1</v>
      </c>
      <c r="O487" s="159">
        <f t="shared" si="80"/>
        <v>0.53</v>
      </c>
      <c r="P487" s="207">
        <f>'CHAM CONG'!AQ485</f>
        <v>12</v>
      </c>
      <c r="Q487" s="159">
        <f t="shared" si="81"/>
        <v>6.01</v>
      </c>
      <c r="R487" s="159">
        <f t="shared" si="84"/>
        <v>12</v>
      </c>
      <c r="S487" s="159">
        <f t="shared" si="85"/>
        <v>0.4</v>
      </c>
      <c r="T487" s="159"/>
      <c r="U487" s="159"/>
      <c r="V487" s="159"/>
      <c r="W487" s="159"/>
      <c r="X487" s="159">
        <f t="shared" si="82"/>
        <v>16.330000000000002</v>
      </c>
      <c r="Y487" s="209"/>
      <c r="Z487" s="210" t="s">
        <v>1094</v>
      </c>
      <c r="AA487" s="202">
        <v>16.3</v>
      </c>
      <c r="AB487" s="203">
        <f t="shared" si="83"/>
        <v>-0.03</v>
      </c>
      <c r="AC487" s="124">
        <v>-0.01</v>
      </c>
    </row>
    <row r="488" spans="1:29" s="124" customFormat="1" ht="34.950000000000003" customHeight="1">
      <c r="A488" s="154">
        <v>473</v>
      </c>
      <c r="B488" s="204"/>
      <c r="C488" s="204"/>
      <c r="D488" s="205"/>
      <c r="E488" s="155" t="str">
        <f>'Tên Tháng 1'!E476</f>
        <v>អ៊ឹម ថូ</v>
      </c>
      <c r="F488" s="157" t="str">
        <f>'Tên Tháng 1'!F476</f>
        <v>OEM THO</v>
      </c>
      <c r="G488" s="206">
        <v>461</v>
      </c>
      <c r="H488" s="207">
        <f>'SAN LUONG'!AT487</f>
        <v>767.8</v>
      </c>
      <c r="I488" s="159">
        <f t="shared" si="78"/>
        <v>10.94</v>
      </c>
      <c r="J488" s="207">
        <f>'SAN LUONG'!AS487</f>
        <v>148.28</v>
      </c>
      <c r="K488" s="159">
        <f t="shared" si="77"/>
        <v>2.34</v>
      </c>
      <c r="L488" s="207"/>
      <c r="M488" s="159">
        <f t="shared" si="79"/>
        <v>0</v>
      </c>
      <c r="N488" s="208">
        <f>'CHAM CONG'!AR486</f>
        <v>1</v>
      </c>
      <c r="O488" s="159">
        <f t="shared" si="80"/>
        <v>0.53</v>
      </c>
      <c r="P488" s="207">
        <f>'CHAM CONG'!AQ486</f>
        <v>14</v>
      </c>
      <c r="Q488" s="159">
        <f t="shared" si="81"/>
        <v>7.01</v>
      </c>
      <c r="R488" s="159">
        <f t="shared" si="84"/>
        <v>14</v>
      </c>
      <c r="S488" s="159">
        <f t="shared" si="85"/>
        <v>0.4</v>
      </c>
      <c r="T488" s="159"/>
      <c r="U488" s="159"/>
      <c r="V488" s="159"/>
      <c r="W488" s="159"/>
      <c r="X488" s="159">
        <f t="shared" si="82"/>
        <v>21.22</v>
      </c>
      <c r="Y488" s="209"/>
      <c r="Z488" s="210" t="s">
        <v>1094</v>
      </c>
      <c r="AA488" s="202">
        <v>21.26</v>
      </c>
      <c r="AB488" s="203">
        <f t="shared" si="83"/>
        <v>0.04</v>
      </c>
      <c r="AC488" s="124">
        <v>0</v>
      </c>
    </row>
    <row r="489" spans="1:29" s="124" customFormat="1" ht="34.950000000000003" customHeight="1">
      <c r="A489" s="154">
        <v>474</v>
      </c>
      <c r="B489" s="204"/>
      <c r="C489" s="204"/>
      <c r="D489" s="205"/>
      <c r="E489" s="155" t="str">
        <f>'Tên Tháng 1'!E477</f>
        <v>សៀវ រីណា</v>
      </c>
      <c r="F489" s="157" t="str">
        <f>'Tên Tháng 1'!F477</f>
        <v>SEAV RINA</v>
      </c>
      <c r="G489" s="206">
        <v>462</v>
      </c>
      <c r="H489" s="207">
        <f>'SAN LUONG'!AT488</f>
        <v>666.6</v>
      </c>
      <c r="I489" s="159">
        <f t="shared" si="78"/>
        <v>9.49</v>
      </c>
      <c r="J489" s="207">
        <f>'SAN LUONG'!AS488</f>
        <v>155.76</v>
      </c>
      <c r="K489" s="159">
        <f t="shared" si="77"/>
        <v>2.46</v>
      </c>
      <c r="L489" s="207"/>
      <c r="M489" s="159">
        <f t="shared" si="79"/>
        <v>0</v>
      </c>
      <c r="N489" s="208">
        <f>'CHAM CONG'!AR487</f>
        <v>1</v>
      </c>
      <c r="O489" s="159">
        <f t="shared" si="80"/>
        <v>0.53</v>
      </c>
      <c r="P489" s="207">
        <f>'CHAM CONG'!AQ487</f>
        <v>13</v>
      </c>
      <c r="Q489" s="159">
        <f t="shared" si="81"/>
        <v>6.51</v>
      </c>
      <c r="R489" s="159">
        <f t="shared" si="84"/>
        <v>13</v>
      </c>
      <c r="S489" s="159">
        <f t="shared" si="85"/>
        <v>0.4</v>
      </c>
      <c r="T489" s="159"/>
      <c r="U489" s="159"/>
      <c r="V489" s="159"/>
      <c r="W489" s="159"/>
      <c r="X489" s="159">
        <f t="shared" si="82"/>
        <v>19.39</v>
      </c>
      <c r="Y489" s="209"/>
      <c r="Z489" s="210" t="s">
        <v>1094</v>
      </c>
      <c r="AA489" s="202">
        <v>19.41</v>
      </c>
      <c r="AB489" s="203">
        <f t="shared" si="83"/>
        <v>0.02</v>
      </c>
      <c r="AC489" s="124">
        <v>-0.01</v>
      </c>
    </row>
    <row r="490" spans="1:29" s="124" customFormat="1" ht="34.950000000000003" customHeight="1">
      <c r="A490" s="154">
        <v>475</v>
      </c>
      <c r="B490" s="204"/>
      <c r="C490" s="204"/>
      <c r="D490" s="205"/>
      <c r="E490" s="155" t="str">
        <f>'Tên Tháng 1'!E478</f>
        <v>ផា សុសាយ</v>
      </c>
      <c r="F490" s="157" t="str">
        <f>'Tên Tháng 1'!F478</f>
        <v>PHA SOSAY</v>
      </c>
      <c r="G490" s="206">
        <v>463</v>
      </c>
      <c r="H490" s="207">
        <f>'SAN LUONG'!AT489</f>
        <v>528</v>
      </c>
      <c r="I490" s="159">
        <f t="shared" ref="I490:I499" si="86">ROUND(H490*$I$14/31947,1)</f>
        <v>7.5</v>
      </c>
      <c r="J490" s="207">
        <f>'SAN LUONG'!AS489</f>
        <v>138.6</v>
      </c>
      <c r="K490" s="159">
        <f t="shared" si="77"/>
        <v>2.19</v>
      </c>
      <c r="L490" s="207"/>
      <c r="M490" s="159">
        <f t="shared" si="79"/>
        <v>0</v>
      </c>
      <c r="N490" s="208">
        <f>'CHAM CONG'!AR488</f>
        <v>0</v>
      </c>
      <c r="O490" s="159">
        <f t="shared" si="80"/>
        <v>0</v>
      </c>
      <c r="P490" s="207">
        <f>'CHAM CONG'!AQ488</f>
        <v>12</v>
      </c>
      <c r="Q490" s="159">
        <f t="shared" si="81"/>
        <v>6.01</v>
      </c>
      <c r="R490" s="159">
        <f t="shared" si="84"/>
        <v>12</v>
      </c>
      <c r="S490" s="159">
        <f t="shared" si="85"/>
        <v>0.4</v>
      </c>
      <c r="T490" s="159"/>
      <c r="U490" s="159"/>
      <c r="V490" s="159"/>
      <c r="W490" s="159"/>
      <c r="X490" s="159">
        <f t="shared" si="82"/>
        <v>16.099999999999998</v>
      </c>
      <c r="Y490" s="209"/>
      <c r="Z490" s="210" t="s">
        <v>1094</v>
      </c>
      <c r="AA490" s="202">
        <v>16.100000000000001</v>
      </c>
      <c r="AB490" s="203">
        <f t="shared" si="83"/>
        <v>0</v>
      </c>
      <c r="AC490" s="124">
        <v>-0.01</v>
      </c>
    </row>
    <row r="491" spans="1:29" s="124" customFormat="1" ht="34.950000000000003" customHeight="1">
      <c r="A491" s="154">
        <v>476</v>
      </c>
      <c r="B491" s="204"/>
      <c r="C491" s="204"/>
      <c r="D491" s="205"/>
      <c r="E491" s="155" t="str">
        <f>'Tên Tháng 1'!E479</f>
        <v>ធាន អូន</v>
      </c>
      <c r="F491" s="157" t="str">
        <f>'Tên Tháng 1'!F479</f>
        <v>THEAN OUN</v>
      </c>
      <c r="G491" s="206">
        <v>464</v>
      </c>
      <c r="H491" s="207">
        <f>'SAN LUONG'!AT490</f>
        <v>580.36</v>
      </c>
      <c r="I491" s="159">
        <f t="shared" si="86"/>
        <v>8.3000000000000007</v>
      </c>
      <c r="J491" s="207">
        <f>'SAN LUONG'!AS490</f>
        <v>221.32</v>
      </c>
      <c r="K491" s="159">
        <f t="shared" si="77"/>
        <v>3.5</v>
      </c>
      <c r="L491" s="207"/>
      <c r="M491" s="159">
        <f t="shared" si="79"/>
        <v>0</v>
      </c>
      <c r="N491" s="208">
        <f>'CHAM CONG'!AR489</f>
        <v>1</v>
      </c>
      <c r="O491" s="159">
        <f t="shared" si="80"/>
        <v>0.53</v>
      </c>
      <c r="P491" s="207">
        <f>'CHAM CONG'!AQ489</f>
        <v>14</v>
      </c>
      <c r="Q491" s="159">
        <f t="shared" si="81"/>
        <v>7.01</v>
      </c>
      <c r="R491" s="159">
        <f t="shared" si="84"/>
        <v>14</v>
      </c>
      <c r="S491" s="159">
        <f t="shared" si="85"/>
        <v>0.4</v>
      </c>
      <c r="T491" s="159"/>
      <c r="U491" s="159"/>
      <c r="V491" s="159"/>
      <c r="W491" s="159"/>
      <c r="X491" s="159">
        <f t="shared" si="82"/>
        <v>19.740000000000002</v>
      </c>
      <c r="Y491" s="209"/>
      <c r="Z491" s="210" t="s">
        <v>1094</v>
      </c>
      <c r="AA491" s="202">
        <v>19.75</v>
      </c>
      <c r="AB491" s="203">
        <f t="shared" si="83"/>
        <v>0.01</v>
      </c>
      <c r="AC491" s="124">
        <v>-0.01</v>
      </c>
    </row>
    <row r="492" spans="1:29" s="124" customFormat="1" ht="34.950000000000003" customHeight="1">
      <c r="A492" s="154">
        <v>477</v>
      </c>
      <c r="B492" s="204"/>
      <c r="C492" s="204"/>
      <c r="D492" s="205"/>
      <c r="E492" s="155" t="str">
        <f>'Tên Tháng 1'!E480</f>
        <v>អ៊ឹម ធារ៉ា</v>
      </c>
      <c r="F492" s="157" t="str">
        <f>'Tên Tháng 1'!F480</f>
        <v>OEM THEARA</v>
      </c>
      <c r="G492" s="206">
        <v>465</v>
      </c>
      <c r="H492" s="207">
        <f>'SAN LUONG'!AT491</f>
        <v>694.76</v>
      </c>
      <c r="I492" s="159">
        <f t="shared" si="86"/>
        <v>9.9</v>
      </c>
      <c r="J492" s="207">
        <f>'SAN LUONG'!AS491</f>
        <v>210.76</v>
      </c>
      <c r="K492" s="159">
        <f>ROUND(J492*$K$14/31947,2)-0.01</f>
        <v>3.3200000000000003</v>
      </c>
      <c r="L492" s="207"/>
      <c r="M492" s="159">
        <f t="shared" si="79"/>
        <v>0</v>
      </c>
      <c r="N492" s="208">
        <f>'CHAM CONG'!AR490</f>
        <v>1</v>
      </c>
      <c r="O492" s="159">
        <f t="shared" si="80"/>
        <v>0.53</v>
      </c>
      <c r="P492" s="207">
        <f>'CHAM CONG'!AQ490</f>
        <v>14</v>
      </c>
      <c r="Q492" s="159">
        <f t="shared" si="81"/>
        <v>7.01</v>
      </c>
      <c r="R492" s="159">
        <f t="shared" si="84"/>
        <v>14</v>
      </c>
      <c r="S492" s="159">
        <f t="shared" si="85"/>
        <v>0.4</v>
      </c>
      <c r="T492" s="159"/>
      <c r="U492" s="159"/>
      <c r="V492" s="159"/>
      <c r="W492" s="159"/>
      <c r="X492" s="159">
        <f t="shared" si="82"/>
        <v>21.16</v>
      </c>
      <c r="Y492" s="209"/>
      <c r="Z492" s="210" t="s">
        <v>1094</v>
      </c>
      <c r="AA492" s="202">
        <v>21.21</v>
      </c>
      <c r="AB492" s="203">
        <f t="shared" si="83"/>
        <v>0.05</v>
      </c>
      <c r="AC492" s="124">
        <v>-0.01</v>
      </c>
    </row>
    <row r="493" spans="1:29" s="124" customFormat="1" ht="34.950000000000003" customHeight="1">
      <c r="A493" s="154">
        <v>478</v>
      </c>
      <c r="B493" s="204"/>
      <c r="C493" s="204"/>
      <c r="D493" s="205"/>
      <c r="E493" s="155" t="str">
        <f>'Tên Tháng 1'!E481</f>
        <v>ជី ប៊ុនរ៉ូ</v>
      </c>
      <c r="F493" s="157" t="str">
        <f>'Tên Tháng 1'!F481</f>
        <v>CHY BUNRO</v>
      </c>
      <c r="G493" s="206">
        <v>466</v>
      </c>
      <c r="H493" s="207">
        <f>'SAN LUONG'!AT492</f>
        <v>529.32000000000005</v>
      </c>
      <c r="I493" s="159">
        <f t="shared" si="86"/>
        <v>7.5</v>
      </c>
      <c r="J493" s="207">
        <f>'SAN LUONG'!AS492</f>
        <v>167.2</v>
      </c>
      <c r="K493" s="159">
        <f t="shared" ref="K493:K499" si="87">ROUND(J493*$K$14/31947,1)</f>
        <v>2.6</v>
      </c>
      <c r="L493" s="207"/>
      <c r="M493" s="159">
        <f t="shared" si="79"/>
        <v>0</v>
      </c>
      <c r="N493" s="208">
        <f>'CHAM CONG'!AR491</f>
        <v>1</v>
      </c>
      <c r="O493" s="159">
        <f t="shared" si="80"/>
        <v>0.53</v>
      </c>
      <c r="P493" s="207">
        <f>'CHAM CONG'!AQ491</f>
        <v>13</v>
      </c>
      <c r="Q493" s="159">
        <f t="shared" si="81"/>
        <v>6.51</v>
      </c>
      <c r="R493" s="159">
        <f t="shared" si="84"/>
        <v>13</v>
      </c>
      <c r="S493" s="159">
        <f t="shared" si="85"/>
        <v>0.4</v>
      </c>
      <c r="T493" s="159"/>
      <c r="U493" s="159"/>
      <c r="V493" s="159"/>
      <c r="W493" s="159"/>
      <c r="X493" s="159">
        <f t="shared" si="82"/>
        <v>17.54</v>
      </c>
      <c r="Y493" s="209"/>
      <c r="Z493" s="210" t="s">
        <v>1094</v>
      </c>
      <c r="AA493" s="202">
        <v>17.63</v>
      </c>
      <c r="AB493" s="203">
        <f t="shared" si="83"/>
        <v>0.09</v>
      </c>
      <c r="AC493" s="124">
        <v>0</v>
      </c>
    </row>
    <row r="494" spans="1:29" s="124" customFormat="1" ht="34.950000000000003" customHeight="1">
      <c r="A494" s="154">
        <v>479</v>
      </c>
      <c r="B494" s="204"/>
      <c r="C494" s="204"/>
      <c r="D494" s="205"/>
      <c r="E494" s="155" t="str">
        <f>'Tên Tháng 1'!E482</f>
        <v>ហឿន ឡៃហឿ</v>
      </c>
      <c r="F494" s="157" t="str">
        <f>'Tên Tháng 1'!F482</f>
        <v>HOEUN LYHOEU</v>
      </c>
      <c r="G494" s="206">
        <v>467</v>
      </c>
      <c r="H494" s="207">
        <f>'SAN LUONG'!AT493</f>
        <v>716.76</v>
      </c>
      <c r="I494" s="159">
        <f t="shared" si="86"/>
        <v>10.199999999999999</v>
      </c>
      <c r="J494" s="207">
        <f>'SAN LUONG'!AS493</f>
        <v>216.04</v>
      </c>
      <c r="K494" s="159">
        <f t="shared" si="87"/>
        <v>3.4</v>
      </c>
      <c r="L494" s="207"/>
      <c r="M494" s="159">
        <f t="shared" si="79"/>
        <v>0</v>
      </c>
      <c r="N494" s="208">
        <f>'CHAM CONG'!AR492</f>
        <v>1</v>
      </c>
      <c r="O494" s="159">
        <f t="shared" si="80"/>
        <v>0.53</v>
      </c>
      <c r="P494" s="207">
        <f>'CHAM CONG'!AQ492</f>
        <v>13</v>
      </c>
      <c r="Q494" s="159">
        <f t="shared" si="81"/>
        <v>6.51</v>
      </c>
      <c r="R494" s="159">
        <f t="shared" si="84"/>
        <v>13</v>
      </c>
      <c r="S494" s="159">
        <f t="shared" si="85"/>
        <v>0.4</v>
      </c>
      <c r="T494" s="159"/>
      <c r="U494" s="159"/>
      <c r="V494" s="159"/>
      <c r="W494" s="159"/>
      <c r="X494" s="159">
        <f t="shared" si="82"/>
        <v>21.04</v>
      </c>
      <c r="Y494" s="209"/>
      <c r="Z494" s="210" t="s">
        <v>1094</v>
      </c>
      <c r="AA494" s="202">
        <v>21.07</v>
      </c>
      <c r="AB494" s="203">
        <f t="shared" si="83"/>
        <v>0.03</v>
      </c>
      <c r="AC494" s="124">
        <v>-0.01</v>
      </c>
    </row>
    <row r="495" spans="1:29" s="124" customFormat="1" ht="34.950000000000003" customHeight="1">
      <c r="A495" s="154">
        <v>480</v>
      </c>
      <c r="B495" s="204"/>
      <c r="C495" s="204"/>
      <c r="D495" s="205"/>
      <c r="E495" s="155" t="str">
        <f>'Tên Tháng 1'!E483</f>
        <v>ព បៀវ</v>
      </c>
      <c r="F495" s="157" t="str">
        <f>'Tên Tháng 1'!F483</f>
        <v>POR BEAV</v>
      </c>
      <c r="G495" s="206">
        <v>468</v>
      </c>
      <c r="H495" s="207">
        <f>'SAN LUONG'!AT494</f>
        <v>796.4</v>
      </c>
      <c r="I495" s="159">
        <f t="shared" si="86"/>
        <v>11.3</v>
      </c>
      <c r="J495" s="207">
        <f>'SAN LUONG'!AS494</f>
        <v>201.08</v>
      </c>
      <c r="K495" s="159">
        <f t="shared" si="87"/>
        <v>3.2</v>
      </c>
      <c r="L495" s="207"/>
      <c r="M495" s="159">
        <f t="shared" si="79"/>
        <v>0</v>
      </c>
      <c r="N495" s="208">
        <f>'CHAM CONG'!AR493</f>
        <v>1</v>
      </c>
      <c r="O495" s="159">
        <f t="shared" si="80"/>
        <v>0.53</v>
      </c>
      <c r="P495" s="207">
        <f>'CHAM CONG'!AQ493</f>
        <v>14</v>
      </c>
      <c r="Q495" s="159">
        <f t="shared" si="81"/>
        <v>7.01</v>
      </c>
      <c r="R495" s="159">
        <f t="shared" si="84"/>
        <v>14</v>
      </c>
      <c r="S495" s="159">
        <f t="shared" si="85"/>
        <v>0.4</v>
      </c>
      <c r="T495" s="159"/>
      <c r="U495" s="159"/>
      <c r="V495" s="159"/>
      <c r="W495" s="159"/>
      <c r="X495" s="159">
        <f t="shared" si="82"/>
        <v>22.439999999999998</v>
      </c>
      <c r="Y495" s="209"/>
      <c r="Z495" s="210" t="s">
        <v>1094</v>
      </c>
      <c r="AA495" s="202">
        <v>22.5</v>
      </c>
      <c r="AB495" s="203">
        <f t="shared" si="83"/>
        <v>0.06</v>
      </c>
      <c r="AC495" s="124">
        <v>-0.01</v>
      </c>
    </row>
    <row r="496" spans="1:29" s="124" customFormat="1" ht="34.950000000000003" customHeight="1">
      <c r="A496" s="154">
        <v>481</v>
      </c>
      <c r="B496" s="204"/>
      <c r="C496" s="204"/>
      <c r="D496" s="205"/>
      <c r="E496" s="155" t="str">
        <f>'Tên Tháng 1'!E484</f>
        <v>សេង ស្រីមុំ</v>
      </c>
      <c r="F496" s="157" t="str">
        <f>'Tên Tháng 1'!F484</f>
        <v>SENG SREYMOM</v>
      </c>
      <c r="G496" s="206">
        <v>469</v>
      </c>
      <c r="H496" s="207">
        <f>'SAN LUONG'!AT495</f>
        <v>810.48</v>
      </c>
      <c r="I496" s="159">
        <f t="shared" si="86"/>
        <v>11.5</v>
      </c>
      <c r="J496" s="207">
        <f>'SAN LUONG'!AS495</f>
        <v>220</v>
      </c>
      <c r="K496" s="159">
        <f t="shared" si="87"/>
        <v>3.5</v>
      </c>
      <c r="L496" s="207"/>
      <c r="M496" s="159">
        <f t="shared" si="79"/>
        <v>0</v>
      </c>
      <c r="N496" s="208">
        <f>'CHAM CONG'!AR494</f>
        <v>1</v>
      </c>
      <c r="O496" s="159">
        <f t="shared" si="80"/>
        <v>0.53</v>
      </c>
      <c r="P496" s="207">
        <f>'CHAM CONG'!AQ494</f>
        <v>14</v>
      </c>
      <c r="Q496" s="159">
        <f t="shared" si="81"/>
        <v>7.01</v>
      </c>
      <c r="R496" s="159">
        <f t="shared" si="84"/>
        <v>14</v>
      </c>
      <c r="S496" s="159">
        <f t="shared" si="85"/>
        <v>0.4</v>
      </c>
      <c r="T496" s="159"/>
      <c r="U496" s="159"/>
      <c r="V496" s="159"/>
      <c r="W496" s="159"/>
      <c r="X496" s="159">
        <f t="shared" si="82"/>
        <v>22.939999999999998</v>
      </c>
      <c r="Y496" s="209"/>
      <c r="Z496" s="210" t="s">
        <v>1094</v>
      </c>
      <c r="AA496" s="202">
        <v>23</v>
      </c>
      <c r="AB496" s="203">
        <f t="shared" si="83"/>
        <v>0.06</v>
      </c>
      <c r="AC496" s="124">
        <v>-0.01</v>
      </c>
    </row>
    <row r="497" spans="1:59" s="124" customFormat="1" ht="34.950000000000003" customHeight="1">
      <c r="A497" s="154">
        <v>482</v>
      </c>
      <c r="B497" s="204"/>
      <c r="C497" s="204"/>
      <c r="D497" s="205"/>
      <c r="E497" s="155" t="str">
        <f>'Tên Tháng 1'!E485</f>
        <v>ឆាយ គី</v>
      </c>
      <c r="F497" s="157" t="str">
        <f>'Tên Tháng 1'!F485</f>
        <v>CHHAY KY</v>
      </c>
      <c r="G497" s="206">
        <v>470</v>
      </c>
      <c r="H497" s="207">
        <f>'SAN LUONG'!AT496</f>
        <v>551.76</v>
      </c>
      <c r="I497" s="159">
        <f t="shared" si="86"/>
        <v>7.9</v>
      </c>
      <c r="J497" s="207">
        <f>'SAN LUONG'!AS496</f>
        <v>86.24</v>
      </c>
      <c r="K497" s="159">
        <f t="shared" si="87"/>
        <v>1.4</v>
      </c>
      <c r="L497" s="207"/>
      <c r="M497" s="159">
        <f t="shared" si="79"/>
        <v>0</v>
      </c>
      <c r="N497" s="208">
        <f>'CHAM CONG'!AR495</f>
        <v>1</v>
      </c>
      <c r="O497" s="159">
        <f t="shared" si="80"/>
        <v>0.53</v>
      </c>
      <c r="P497" s="207">
        <f>'CHAM CONG'!AQ495</f>
        <v>13</v>
      </c>
      <c r="Q497" s="159">
        <f t="shared" si="81"/>
        <v>6.51</v>
      </c>
      <c r="R497" s="159">
        <f t="shared" si="84"/>
        <v>13</v>
      </c>
      <c r="S497" s="159">
        <f t="shared" si="85"/>
        <v>0.4</v>
      </c>
      <c r="T497" s="159"/>
      <c r="U497" s="159"/>
      <c r="V497" s="159"/>
      <c r="W497" s="159"/>
      <c r="X497" s="159">
        <f t="shared" si="82"/>
        <v>16.740000000000002</v>
      </c>
      <c r="Y497" s="209"/>
      <c r="Z497" s="210" t="s">
        <v>1094</v>
      </c>
      <c r="AA497" s="202">
        <v>16.670000000000002</v>
      </c>
      <c r="AB497" s="203">
        <f t="shared" si="83"/>
        <v>-7.0000000000000007E-2</v>
      </c>
      <c r="AC497" s="124">
        <v>-0.01</v>
      </c>
    </row>
    <row r="498" spans="1:59" s="124" customFormat="1" ht="34.950000000000003" customHeight="1">
      <c r="A498" s="154">
        <v>483</v>
      </c>
      <c r="B498" s="204"/>
      <c r="C498" s="204"/>
      <c r="D498" s="205"/>
      <c r="E498" s="155" t="str">
        <f>'Tên Tháng 1'!E486</f>
        <v>ម៉ុក សង់</v>
      </c>
      <c r="F498" s="157" t="str">
        <f>'Tên Tháng 1'!F486</f>
        <v>MORK SONG</v>
      </c>
      <c r="G498" s="206">
        <v>471</v>
      </c>
      <c r="H498" s="207">
        <f>'SAN LUONG'!AT497</f>
        <v>724.68</v>
      </c>
      <c r="I498" s="159">
        <f t="shared" si="86"/>
        <v>10.3</v>
      </c>
      <c r="J498" s="207">
        <f>'SAN LUONG'!AS497</f>
        <v>211.64</v>
      </c>
      <c r="K498" s="159">
        <f t="shared" si="87"/>
        <v>3.3</v>
      </c>
      <c r="L498" s="207"/>
      <c r="M498" s="159">
        <f t="shared" si="79"/>
        <v>0</v>
      </c>
      <c r="N498" s="208">
        <f>'CHAM CONG'!AR496</f>
        <v>1</v>
      </c>
      <c r="O498" s="159">
        <f t="shared" si="80"/>
        <v>0.53</v>
      </c>
      <c r="P498" s="207">
        <f>'CHAM CONG'!AQ496</f>
        <v>12</v>
      </c>
      <c r="Q498" s="159">
        <f t="shared" si="81"/>
        <v>6.01</v>
      </c>
      <c r="R498" s="159">
        <f t="shared" si="84"/>
        <v>12</v>
      </c>
      <c r="S498" s="159">
        <f t="shared" si="85"/>
        <v>0.4</v>
      </c>
      <c r="T498" s="159"/>
      <c r="U498" s="159"/>
      <c r="V498" s="159"/>
      <c r="W498" s="159"/>
      <c r="X498" s="159">
        <f t="shared" si="82"/>
        <v>20.54</v>
      </c>
      <c r="Y498" s="209"/>
      <c r="Z498" s="210" t="s">
        <v>1094</v>
      </c>
      <c r="AA498" s="202">
        <v>20.58</v>
      </c>
      <c r="AB498" s="203">
        <f t="shared" si="83"/>
        <v>0.04</v>
      </c>
      <c r="AC498" s="124">
        <v>0</v>
      </c>
    </row>
    <row r="499" spans="1:59" s="124" customFormat="1" ht="34.950000000000003" customHeight="1">
      <c r="A499" s="154">
        <v>484</v>
      </c>
      <c r="B499" s="204"/>
      <c r="C499" s="204"/>
      <c r="D499" s="205"/>
      <c r="E499" s="155" t="str">
        <f>'Tên Tháng 1'!E487</f>
        <v>ហន ហូត</v>
      </c>
      <c r="F499" s="157" t="str">
        <f>'Tên Tháng 1'!F487</f>
        <v>HORN HOUT</v>
      </c>
      <c r="G499" s="206">
        <v>472</v>
      </c>
      <c r="H499" s="207">
        <f>'SAN LUONG'!AT498</f>
        <v>624.64</v>
      </c>
      <c r="I499" s="159">
        <f t="shared" si="86"/>
        <v>8.9</v>
      </c>
      <c r="J499" s="207">
        <f>'SAN LUONG'!AS498</f>
        <v>216.83999999999997</v>
      </c>
      <c r="K499" s="159">
        <f t="shared" si="87"/>
        <v>3.4</v>
      </c>
      <c r="L499" s="207"/>
      <c r="M499" s="159">
        <f t="shared" si="79"/>
        <v>0</v>
      </c>
      <c r="N499" s="208">
        <f>'CHAM CONG'!AR497</f>
        <v>1</v>
      </c>
      <c r="O499" s="159">
        <f t="shared" si="80"/>
        <v>0.53</v>
      </c>
      <c r="P499" s="207">
        <f>'CHAM CONG'!AQ497</f>
        <v>12</v>
      </c>
      <c r="Q499" s="159">
        <f t="shared" si="81"/>
        <v>6.01</v>
      </c>
      <c r="R499" s="159">
        <f t="shared" si="84"/>
        <v>12</v>
      </c>
      <c r="S499" s="159">
        <f t="shared" si="85"/>
        <v>0.4</v>
      </c>
      <c r="T499" s="159"/>
      <c r="U499" s="159"/>
      <c r="V499" s="159"/>
      <c r="W499" s="159"/>
      <c r="X499" s="159">
        <f t="shared" si="82"/>
        <v>19.240000000000002</v>
      </c>
      <c r="Y499" s="209"/>
      <c r="Z499" s="210" t="s">
        <v>1094</v>
      </c>
      <c r="AA499" s="202">
        <v>19.239999999999998</v>
      </c>
      <c r="AB499" s="203">
        <f t="shared" si="83"/>
        <v>0</v>
      </c>
      <c r="AC499" s="124">
        <v>-0.33</v>
      </c>
    </row>
    <row r="500" spans="1:59" s="125" customFormat="1" ht="13.95" customHeight="1">
      <c r="A500" s="212"/>
      <c r="B500" s="213"/>
      <c r="C500" s="213"/>
      <c r="D500" s="214"/>
      <c r="E500" s="215"/>
      <c r="F500" s="216"/>
      <c r="G500" s="217"/>
      <c r="H500" s="218"/>
      <c r="I500" s="227"/>
      <c r="J500" s="227"/>
      <c r="K500" s="227"/>
      <c r="L500" s="227"/>
      <c r="M500" s="228"/>
      <c r="N500" s="229"/>
      <c r="O500" s="228"/>
      <c r="P500" s="230"/>
      <c r="Q500" s="228"/>
      <c r="R500" s="233"/>
      <c r="S500" s="228"/>
      <c r="T500" s="230"/>
      <c r="U500" s="228"/>
      <c r="V500" s="230"/>
      <c r="W500" s="234"/>
      <c r="X500" s="228"/>
      <c r="Y500" s="242"/>
      <c r="AA500" s="202"/>
      <c r="AB500" s="203">
        <f t="shared" si="83"/>
        <v>0</v>
      </c>
      <c r="AC500" s="125">
        <v>0</v>
      </c>
      <c r="AI500" s="251"/>
    </row>
    <row r="501" spans="1:59" s="126" customFormat="1" ht="28.95" customHeight="1">
      <c r="A501" s="1510" t="s">
        <v>1562</v>
      </c>
      <c r="B501" s="1511"/>
      <c r="C501" s="1511"/>
      <c r="D501" s="1511"/>
      <c r="E501" s="1511"/>
      <c r="F501" s="1511"/>
      <c r="G501" s="1511"/>
      <c r="H501" s="219">
        <f>SUM(H16:H499)</f>
        <v>134767</v>
      </c>
      <c r="I501" s="231">
        <f t="shared" ref="I501:X501" si="88">SUM(I16:I499)</f>
        <v>1919.4000000000005</v>
      </c>
      <c r="J501" s="232">
        <f t="shared" si="88"/>
        <v>49378.039999999964</v>
      </c>
      <c r="K501" s="231">
        <f t="shared" si="88"/>
        <v>780.50000000000011</v>
      </c>
      <c r="L501" s="232">
        <f t="shared" si="88"/>
        <v>69726.999999999985</v>
      </c>
      <c r="M501" s="231">
        <f t="shared" si="88"/>
        <v>1211.3000000000006</v>
      </c>
      <c r="N501" s="232">
        <f t="shared" si="88"/>
        <v>364</v>
      </c>
      <c r="O501" s="231">
        <f t="shared" si="88"/>
        <v>193.90000000000009</v>
      </c>
      <c r="P501" s="232">
        <f t="shared" si="88"/>
        <v>6194</v>
      </c>
      <c r="Q501" s="231">
        <f t="shared" si="88"/>
        <v>3102.0000000000323</v>
      </c>
      <c r="R501" s="232">
        <f t="shared" si="88"/>
        <v>6194</v>
      </c>
      <c r="S501" s="231">
        <f t="shared" si="88"/>
        <v>193.69999999999973</v>
      </c>
      <c r="T501" s="219">
        <f t="shared" si="88"/>
        <v>0</v>
      </c>
      <c r="U501" s="219">
        <f t="shared" si="88"/>
        <v>0</v>
      </c>
      <c r="V501" s="219">
        <f t="shared" si="88"/>
        <v>0</v>
      </c>
      <c r="W501" s="219">
        <f t="shared" si="88"/>
        <v>0</v>
      </c>
      <c r="X501" s="219">
        <f t="shared" si="88"/>
        <v>7400.7999999999965</v>
      </c>
      <c r="Y501" s="243"/>
      <c r="Z501" s="244"/>
      <c r="AA501" s="245">
        <f>SUM(AA16:AA500)</f>
        <v>7401.0200000000023</v>
      </c>
      <c r="AB501" s="245">
        <f>SUM(AB16:AB182)</f>
        <v>9.9999999999999992E-2</v>
      </c>
      <c r="AC501" s="245">
        <f>SUM(AC16:AC182)</f>
        <v>4.5299999999999994</v>
      </c>
      <c r="AE501" s="246"/>
      <c r="AQ501" s="246"/>
      <c r="AR501" s="246"/>
      <c r="AS501" s="246"/>
      <c r="AY501" s="254"/>
      <c r="AZ501" s="254"/>
      <c r="BA501" s="254"/>
      <c r="BB501" s="254"/>
      <c r="BC501" s="254"/>
      <c r="BD501" s="254"/>
      <c r="BE501" s="254"/>
      <c r="BF501" s="254"/>
    </row>
    <row r="502" spans="1:59" ht="12" customHeight="1">
      <c r="F502" s="220"/>
      <c r="G502" s="220"/>
      <c r="H502" s="221"/>
      <c r="I502" s="221"/>
      <c r="J502" s="221"/>
      <c r="K502" s="221"/>
      <c r="L502" s="221"/>
      <c r="M502" s="220"/>
      <c r="N502" s="220"/>
      <c r="O502" s="220"/>
      <c r="P502" s="220"/>
      <c r="Q502" s="220"/>
      <c r="R502" s="235"/>
      <c r="S502" s="220"/>
      <c r="T502" s="220"/>
      <c r="U502" s="220"/>
      <c r="V502" s="220"/>
      <c r="W502" s="236"/>
      <c r="X502" s="220"/>
      <c r="Y502" s="220"/>
      <c r="Z502" s="220"/>
      <c r="AA502" s="220"/>
      <c r="AB502" s="203">
        <f>ROUND(AA502-X502,2)</f>
        <v>0</v>
      </c>
      <c r="AC502" s="220">
        <v>0</v>
      </c>
      <c r="AD502" s="220"/>
      <c r="AE502" s="221"/>
      <c r="AF502" s="220"/>
      <c r="AG502" s="220"/>
      <c r="AH502" s="220"/>
      <c r="AI502" s="220"/>
      <c r="AJ502" s="220"/>
      <c r="AK502" s="220"/>
      <c r="AL502" s="220"/>
      <c r="AR502" s="221"/>
      <c r="AS502" s="221"/>
      <c r="AT502" s="220"/>
      <c r="AU502" s="220"/>
      <c r="AV502" s="220"/>
      <c r="AW502" s="220"/>
      <c r="AX502" s="220"/>
      <c r="AY502" s="220"/>
      <c r="AZ502" s="221"/>
      <c r="BA502" s="220"/>
      <c r="BB502" s="220"/>
      <c r="BC502" s="220"/>
      <c r="BD502" s="220"/>
      <c r="BE502" s="220"/>
      <c r="BF502" s="220"/>
      <c r="BG502" s="255"/>
    </row>
    <row r="503" spans="1:59" s="127" customFormat="1" ht="30.6" customHeight="1">
      <c r="D503" s="222"/>
      <c r="H503" s="223"/>
      <c r="I503" s="223"/>
      <c r="J503" s="223"/>
      <c r="K503" s="223"/>
      <c r="L503" s="223"/>
      <c r="Q503" s="1512" t="s">
        <v>1563</v>
      </c>
      <c r="R503" s="1512"/>
      <c r="S503" s="1512"/>
      <c r="T503" s="1512"/>
      <c r="U503" s="1512"/>
      <c r="V503" s="1512"/>
      <c r="W503" s="1512"/>
      <c r="X503" s="1512"/>
      <c r="Y503" s="1512"/>
      <c r="Z503" s="237"/>
      <c r="AB503" s="203">
        <f>ROUND(AA503-X503,2)</f>
        <v>0</v>
      </c>
      <c r="AC503" s="247">
        <v>0</v>
      </c>
      <c r="AL503" s="252"/>
      <c r="AM503" s="252"/>
      <c r="AN503" s="252"/>
      <c r="AO503" s="252"/>
      <c r="AP503" s="253"/>
      <c r="AQ503" s="253"/>
      <c r="AR503" s="253"/>
      <c r="AS503" s="252"/>
      <c r="AT503" s="252"/>
      <c r="AU503" s="252"/>
      <c r="AV503" s="252"/>
      <c r="AW503" s="252"/>
      <c r="AX503" s="252"/>
      <c r="AY503" s="253"/>
      <c r="AZ503" s="252"/>
      <c r="BA503" s="252"/>
      <c r="BB503" s="252"/>
      <c r="BC503" s="252"/>
      <c r="BD503" s="252"/>
    </row>
    <row r="504" spans="1:59" s="128" customFormat="1" ht="34.950000000000003" customHeight="1">
      <c r="A504" s="1476" t="s">
        <v>1509</v>
      </c>
      <c r="B504" s="1475"/>
      <c r="C504" s="1475"/>
      <c r="D504" s="1475"/>
      <c r="E504" s="1475"/>
      <c r="F504" s="1475"/>
      <c r="G504" s="1475"/>
      <c r="H504" s="1475"/>
      <c r="I504" s="1474">
        <f>I501+K501+M501+O501+Q501+S501</f>
        <v>7400.8000000000329</v>
      </c>
      <c r="J504" s="1475"/>
      <c r="K504" s="224"/>
      <c r="L504" s="224"/>
      <c r="M504" s="224"/>
      <c r="N504" s="224"/>
      <c r="O504" s="224"/>
      <c r="R504" s="238"/>
      <c r="W504" s="1476" t="s">
        <v>1510</v>
      </c>
      <c r="X504" s="1475"/>
      <c r="Y504" s="1475"/>
      <c r="Z504" s="224"/>
      <c r="AB504" s="203">
        <f>ROUND(AA504-X504,2)</f>
        <v>0</v>
      </c>
      <c r="AC504" s="248">
        <v>0</v>
      </c>
      <c r="AD504" s="248"/>
      <c r="AP504" s="249"/>
      <c r="AQ504" s="249"/>
      <c r="AR504" s="249"/>
      <c r="AY504" s="249"/>
    </row>
    <row r="505" spans="1:59" s="128" customFormat="1" ht="24.9" customHeight="1">
      <c r="A505" s="1475" t="s">
        <v>1442</v>
      </c>
      <c r="B505" s="1475"/>
      <c r="C505" s="1475"/>
      <c r="D505" s="1475"/>
      <c r="E505" s="1475"/>
      <c r="F505" s="1475"/>
      <c r="G505" s="1475"/>
      <c r="H505" s="1475"/>
      <c r="I505" s="224"/>
      <c r="J505" s="224"/>
      <c r="K505" s="224"/>
      <c r="L505" s="224"/>
      <c r="M505" s="224"/>
      <c r="N505" s="224"/>
      <c r="O505" s="224"/>
      <c r="R505" s="238"/>
      <c r="W505" s="1475" t="s">
        <v>1511</v>
      </c>
      <c r="X505" s="1475"/>
      <c r="Y505" s="1475"/>
      <c r="Z505" s="224"/>
      <c r="AD505" s="249"/>
      <c r="AP505" s="249"/>
      <c r="AQ505" s="249"/>
      <c r="AR505" s="249"/>
      <c r="AY505" s="249"/>
    </row>
    <row r="506" spans="1:59" s="129" customFormat="1" ht="24.9" customHeight="1">
      <c r="D506" s="225"/>
      <c r="H506" s="226"/>
      <c r="I506" s="226"/>
      <c r="J506" s="226"/>
      <c r="K506" s="226"/>
      <c r="L506" s="226"/>
      <c r="R506" s="239"/>
      <c r="W506" s="1487"/>
      <c r="X506" s="1487"/>
      <c r="Y506" s="1487"/>
      <c r="Z506" s="240"/>
      <c r="AD506" s="226"/>
      <c r="AP506" s="226"/>
      <c r="AQ506" s="226"/>
      <c r="AR506" s="226"/>
      <c r="AY506" s="226"/>
    </row>
    <row r="507" spans="1:59" s="129" customFormat="1" ht="24.9" customHeight="1">
      <c r="D507" s="225"/>
      <c r="H507" s="226"/>
      <c r="I507" s="226"/>
      <c r="J507" s="226"/>
      <c r="K507" s="226"/>
      <c r="L507" s="226"/>
      <c r="R507" s="239"/>
      <c r="W507" s="241"/>
      <c r="AD507" s="226"/>
      <c r="AP507" s="226"/>
      <c r="AQ507" s="226"/>
      <c r="AR507" s="226"/>
      <c r="AY507" s="226"/>
    </row>
    <row r="508" spans="1:59" s="129" customFormat="1" ht="24.9" customHeight="1">
      <c r="D508" s="225"/>
      <c r="H508" s="226"/>
      <c r="I508" s="226"/>
      <c r="J508" s="226"/>
      <c r="K508" s="226"/>
      <c r="L508" s="226"/>
      <c r="R508" s="239"/>
      <c r="W508" s="241"/>
      <c r="AD508" s="226"/>
      <c r="AP508" s="226"/>
      <c r="AQ508" s="226"/>
      <c r="AR508" s="226"/>
      <c r="AY508" s="226"/>
    </row>
    <row r="509" spans="1:59" s="129" customFormat="1" ht="24.9" customHeight="1">
      <c r="A509" s="1475" t="s">
        <v>1474</v>
      </c>
      <c r="B509" s="1475"/>
      <c r="C509" s="1475"/>
      <c r="D509" s="1475"/>
      <c r="E509" s="1475"/>
      <c r="F509" s="1475"/>
      <c r="G509" s="1475"/>
      <c r="H509" s="1475"/>
      <c r="I509" s="224"/>
      <c r="J509" s="224"/>
      <c r="K509" s="224"/>
      <c r="L509" s="224"/>
      <c r="R509" s="239"/>
      <c r="W509" s="1475" t="s">
        <v>1473</v>
      </c>
      <c r="X509" s="1475"/>
      <c r="Y509" s="1475"/>
      <c r="Z509" s="224"/>
      <c r="AA509" s="250"/>
      <c r="AD509" s="226"/>
      <c r="AP509" s="226"/>
      <c r="AQ509" s="226"/>
      <c r="AR509" s="226"/>
      <c r="AY509" s="226"/>
    </row>
    <row r="512" spans="1:59" ht="15" customHeight="1"/>
  </sheetData>
  <mergeCells count="38">
    <mergeCell ref="X11:X13"/>
    <mergeCell ref="Y11:Y13"/>
    <mergeCell ref="AA11:AA13"/>
    <mergeCell ref="A505:H505"/>
    <mergeCell ref="W505:Y505"/>
    <mergeCell ref="A501:G501"/>
    <mergeCell ref="Q503:Y503"/>
    <mergeCell ref="A504:H504"/>
    <mergeCell ref="W506:Y506"/>
    <mergeCell ref="A509:H509"/>
    <mergeCell ref="W509:Y509"/>
    <mergeCell ref="A11:A13"/>
    <mergeCell ref="B11:B13"/>
    <mergeCell ref="C11:C13"/>
    <mergeCell ref="D11:D13"/>
    <mergeCell ref="E11:E13"/>
    <mergeCell ref="A14:F14"/>
    <mergeCell ref="A15:F15"/>
    <mergeCell ref="I504:J504"/>
    <mergeCell ref="W504:Y504"/>
    <mergeCell ref="A7:Y7"/>
    <mergeCell ref="A8:Y8"/>
    <mergeCell ref="A9:Y9"/>
    <mergeCell ref="H11:U11"/>
    <mergeCell ref="H12:M12"/>
    <mergeCell ref="N12:O12"/>
    <mergeCell ref="P12:Q12"/>
    <mergeCell ref="R12:S12"/>
    <mergeCell ref="T12:U12"/>
    <mergeCell ref="F11:F13"/>
    <mergeCell ref="A1:M1"/>
    <mergeCell ref="R1:Y1"/>
    <mergeCell ref="A2:M2"/>
    <mergeCell ref="R2:Y2"/>
    <mergeCell ref="A3:M3"/>
    <mergeCell ref="A6:Y6"/>
    <mergeCell ref="G11:G13"/>
    <mergeCell ref="W11:W13"/>
  </mergeCells>
  <conditionalFormatting sqref="E11:E13">
    <cfRule type="duplicateValues" dxfId="46" priority="1" stopIfTrue="1"/>
    <cfRule type="duplicateValues" dxfId="45" priority="2" stopIfTrue="1"/>
    <cfRule type="duplicateValues" dxfId="44" priority="3" stopIfTrue="1"/>
    <cfRule type="duplicateValues" dxfId="33" priority="4" stopIfTrue="1"/>
    <cfRule type="duplicateValues" dxfId="32" priority="5" stopIfTrue="1"/>
  </conditionalFormatting>
  <conditionalFormatting sqref="F11:F13">
    <cfRule type="duplicateValues" dxfId="43" priority="6" stopIfTrue="1"/>
    <cfRule type="duplicateValues" dxfId="42" priority="7" stopIfTrue="1"/>
    <cfRule type="duplicateValues" dxfId="41" priority="8" stopIfTrue="1"/>
    <cfRule type="duplicateValues" dxfId="31" priority="9" stopIfTrue="1"/>
    <cfRule type="duplicateValues" dxfId="30" priority="10" stopIfTrue="1"/>
  </conditionalFormatting>
  <conditionalFormatting sqref="G16:G500">
    <cfRule type="duplicateValues" dxfId="40" priority="28" stopIfTrue="1"/>
  </conditionalFormatting>
  <conditionalFormatting sqref="F2:G9">
    <cfRule type="duplicateValues" dxfId="39" priority="11" stopIfTrue="1"/>
    <cfRule type="duplicateValues" dxfId="38" priority="12" stopIfTrue="1"/>
    <cfRule type="duplicateValues" dxfId="37" priority="13" stopIfTrue="1"/>
    <cfRule type="duplicateValues" dxfId="29" priority="14" stopIfTrue="1"/>
    <cfRule type="duplicateValues" dxfId="28" priority="15" stopIfTrue="1"/>
  </conditionalFormatting>
  <conditionalFormatting sqref="F10:G10 G11:G12 G16:G500">
    <cfRule type="expression" dxfId="36" priority="25" stopIfTrue="1">
      <formula>AND(COUNTIF($F$500:$G$500,F10)+COUNTIF($F$10:$G$10,F10)+COUNTIF($G$11:$G$11,F10)+COUNTIF($G$16:$G$182,F10)&gt;1,NOT(ISBLANK(F10)))</formula>
    </cfRule>
    <cfRule type="expression" dxfId="35" priority="26" stopIfTrue="1">
      <formula>AND(COUNTIF($F$500:$G$500,F10)+COUNTIF($F$10:$G$10,F10)+COUNTIF($G$11:$G$11,F10)+COUNTIF($G$16:$G$182,F10)&gt;1,NOT(ISBLANK(F10)))</formula>
    </cfRule>
    <cfRule type="expression" dxfId="34" priority="27" stopIfTrue="1">
      <formula>AND(COUNTIF($F$500:$G$500,F10)+COUNTIF($F$10:$G$10,F10)+COUNTIF($G$11:$G$11,F10)+COUNTIF($G$16:$G$182,F10)&gt;1,NOT(ISBLANK(F10)))</formula>
    </cfRule>
  </conditionalFormatting>
  <printOptions horizontalCentered="1"/>
  <pageMargins left="0.31" right="0.31" top="0.43000000000000005" bottom="0.31" header="0.23999999999999996" footer="0.16"/>
  <pageSetup paperSize="9" scale="70" orientation="landscape" r:id="rId1"/>
  <headerFooter>
    <oddFooter>Page &amp;P of &amp;N</oddFooter>
  </headerFooter>
  <colBreaks count="1" manualBreakCount="1">
    <brk id="26" max="70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4966C-5E4C-499C-BE7B-106E9D8FFFBE}">
  <dimension ref="A2:I486"/>
  <sheetViews>
    <sheetView workbookViewId="0">
      <selection activeCell="G484" sqref="G1:G65536"/>
    </sheetView>
  </sheetViews>
  <sheetFormatPr defaultColWidth="8.69921875" defaultRowHeight="13.8"/>
  <cols>
    <col min="2" max="4" width="20.69921875" customWidth="1"/>
    <col min="5" max="5" width="9.09765625" customWidth="1"/>
    <col min="7" max="9" width="17.8984375" customWidth="1"/>
  </cols>
  <sheetData>
    <row r="2" spans="1:9" ht="25.2" customHeight="1">
      <c r="C2" s="1513" t="s">
        <v>1564</v>
      </c>
      <c r="D2" s="1513"/>
      <c r="E2" s="117"/>
      <c r="H2" s="1513" t="s">
        <v>1565</v>
      </c>
      <c r="I2" s="1513"/>
    </row>
    <row r="3" spans="1:9">
      <c r="A3">
        <v>1</v>
      </c>
      <c r="B3" t="s">
        <v>268</v>
      </c>
      <c r="C3" t="s">
        <v>269</v>
      </c>
      <c r="D3">
        <v>1</v>
      </c>
      <c r="E3">
        <v>1</v>
      </c>
      <c r="G3" t="s">
        <v>268</v>
      </c>
      <c r="H3" t="s">
        <v>269</v>
      </c>
      <c r="I3">
        <v>1</v>
      </c>
    </row>
    <row r="4" spans="1:9">
      <c r="B4" t="s">
        <v>273</v>
      </c>
      <c r="C4" t="s">
        <v>274</v>
      </c>
      <c r="D4">
        <v>2</v>
      </c>
      <c r="E4">
        <v>2</v>
      </c>
      <c r="G4" t="s">
        <v>273</v>
      </c>
      <c r="H4" t="s">
        <v>274</v>
      </c>
      <c r="I4">
        <v>2</v>
      </c>
    </row>
    <row r="5" spans="1:9">
      <c r="B5" t="s">
        <v>1566</v>
      </c>
      <c r="C5" t="s">
        <v>1567</v>
      </c>
      <c r="D5">
        <v>3</v>
      </c>
      <c r="E5">
        <v>3</v>
      </c>
      <c r="G5" t="s">
        <v>1566</v>
      </c>
      <c r="H5" t="s">
        <v>1567</v>
      </c>
      <c r="I5">
        <v>3</v>
      </c>
    </row>
    <row r="6" spans="1:9">
      <c r="B6" t="s">
        <v>279</v>
      </c>
      <c r="C6" t="s">
        <v>280</v>
      </c>
      <c r="D6">
        <v>4</v>
      </c>
      <c r="E6">
        <v>4</v>
      </c>
      <c r="G6" t="s">
        <v>279</v>
      </c>
      <c r="H6" t="s">
        <v>280</v>
      </c>
      <c r="I6">
        <v>4</v>
      </c>
    </row>
    <row r="7" spans="1:9">
      <c r="B7" t="s">
        <v>1568</v>
      </c>
      <c r="C7" t="s">
        <v>1569</v>
      </c>
      <c r="D7">
        <v>5</v>
      </c>
      <c r="E7">
        <v>5</v>
      </c>
      <c r="G7" t="s">
        <v>1568</v>
      </c>
      <c r="H7" t="s">
        <v>1569</v>
      </c>
      <c r="I7">
        <v>5</v>
      </c>
    </row>
    <row r="8" spans="1:9">
      <c r="B8" t="s">
        <v>283</v>
      </c>
      <c r="C8" t="s">
        <v>284</v>
      </c>
      <c r="D8">
        <v>6</v>
      </c>
      <c r="E8">
        <v>6</v>
      </c>
      <c r="G8" t="s">
        <v>283</v>
      </c>
      <c r="H8" t="s">
        <v>284</v>
      </c>
      <c r="I8">
        <v>6</v>
      </c>
    </row>
    <row r="9" spans="1:9">
      <c r="B9" t="s">
        <v>285</v>
      </c>
      <c r="C9" t="s">
        <v>286</v>
      </c>
      <c r="D9">
        <v>7</v>
      </c>
      <c r="E9">
        <v>7</v>
      </c>
      <c r="G9" t="s">
        <v>285</v>
      </c>
      <c r="H9" t="s">
        <v>286</v>
      </c>
      <c r="I9">
        <v>7</v>
      </c>
    </row>
    <row r="10" spans="1:9">
      <c r="B10" t="s">
        <v>287</v>
      </c>
      <c r="C10" t="s">
        <v>288</v>
      </c>
      <c r="D10">
        <v>8</v>
      </c>
      <c r="E10">
        <v>8</v>
      </c>
      <c r="G10" t="s">
        <v>287</v>
      </c>
      <c r="H10" t="s">
        <v>288</v>
      </c>
      <c r="I10">
        <v>8</v>
      </c>
    </row>
    <row r="11" spans="1:9">
      <c r="B11" t="s">
        <v>1570</v>
      </c>
      <c r="C11" t="s">
        <v>1571</v>
      </c>
      <c r="D11">
        <v>9</v>
      </c>
      <c r="E11">
        <v>9</v>
      </c>
      <c r="G11" t="s">
        <v>1570</v>
      </c>
      <c r="H11" t="s">
        <v>1571</v>
      </c>
      <c r="I11">
        <v>9</v>
      </c>
    </row>
    <row r="12" spans="1:9">
      <c r="B12" t="s">
        <v>1572</v>
      </c>
      <c r="C12" t="s">
        <v>292</v>
      </c>
      <c r="D12">
        <v>10</v>
      </c>
      <c r="E12">
        <v>10</v>
      </c>
      <c r="G12" t="s">
        <v>1572</v>
      </c>
      <c r="H12" t="s">
        <v>292</v>
      </c>
      <c r="I12">
        <v>10</v>
      </c>
    </row>
    <row r="13" spans="1:9">
      <c r="B13" t="s">
        <v>293</v>
      </c>
      <c r="C13" t="s">
        <v>294</v>
      </c>
      <c r="D13">
        <v>11</v>
      </c>
      <c r="E13">
        <v>11</v>
      </c>
      <c r="G13" t="s">
        <v>293</v>
      </c>
      <c r="H13" t="s">
        <v>294</v>
      </c>
      <c r="I13">
        <v>11</v>
      </c>
    </row>
    <row r="14" spans="1:9">
      <c r="B14" t="s">
        <v>1573</v>
      </c>
      <c r="C14" t="s">
        <v>1574</v>
      </c>
      <c r="D14">
        <v>12</v>
      </c>
      <c r="E14">
        <v>12</v>
      </c>
      <c r="G14" t="s">
        <v>1573</v>
      </c>
      <c r="H14" t="s">
        <v>1574</v>
      </c>
      <c r="I14">
        <v>12</v>
      </c>
    </row>
    <row r="15" spans="1:9">
      <c r="B15" t="s">
        <v>1575</v>
      </c>
      <c r="C15" t="s">
        <v>1576</v>
      </c>
      <c r="D15">
        <v>13</v>
      </c>
      <c r="E15">
        <v>13</v>
      </c>
      <c r="G15" t="s">
        <v>1575</v>
      </c>
      <c r="H15" t="s">
        <v>1576</v>
      </c>
      <c r="I15">
        <v>13</v>
      </c>
    </row>
    <row r="16" spans="1:9">
      <c r="B16" t="s">
        <v>1577</v>
      </c>
      <c r="C16" t="s">
        <v>300</v>
      </c>
      <c r="D16">
        <v>14</v>
      </c>
      <c r="E16">
        <v>14</v>
      </c>
      <c r="G16" t="s">
        <v>1577</v>
      </c>
      <c r="H16" t="s">
        <v>300</v>
      </c>
      <c r="I16">
        <v>14</v>
      </c>
    </row>
    <row r="17" spans="2:9">
      <c r="B17" t="s">
        <v>1578</v>
      </c>
      <c r="C17" t="s">
        <v>1579</v>
      </c>
      <c r="D17">
        <v>15</v>
      </c>
      <c r="E17">
        <v>15</v>
      </c>
      <c r="G17" t="s">
        <v>1578</v>
      </c>
      <c r="H17" t="s">
        <v>1579</v>
      </c>
      <c r="I17">
        <v>15</v>
      </c>
    </row>
    <row r="18" spans="2:9">
      <c r="B18" t="s">
        <v>1580</v>
      </c>
      <c r="C18" t="s">
        <v>304</v>
      </c>
      <c r="D18">
        <v>16</v>
      </c>
      <c r="E18">
        <v>16</v>
      </c>
      <c r="G18" t="s">
        <v>1580</v>
      </c>
      <c r="H18" t="s">
        <v>304</v>
      </c>
      <c r="I18">
        <v>16</v>
      </c>
    </row>
    <row r="19" spans="2:9">
      <c r="B19" t="s">
        <v>1581</v>
      </c>
      <c r="C19" t="s">
        <v>306</v>
      </c>
      <c r="D19">
        <v>17</v>
      </c>
      <c r="E19">
        <v>17</v>
      </c>
      <c r="G19" t="s">
        <v>1581</v>
      </c>
      <c r="H19" t="s">
        <v>306</v>
      </c>
      <c r="I19">
        <v>17</v>
      </c>
    </row>
    <row r="20" spans="2:9">
      <c r="B20" t="s">
        <v>1582</v>
      </c>
      <c r="C20" t="s">
        <v>1583</v>
      </c>
      <c r="D20">
        <v>18</v>
      </c>
      <c r="E20">
        <v>18</v>
      </c>
      <c r="G20" t="s">
        <v>1582</v>
      </c>
      <c r="H20" t="s">
        <v>1583</v>
      </c>
      <c r="I20">
        <v>18</v>
      </c>
    </row>
    <row r="21" spans="2:9">
      <c r="B21" t="s">
        <v>309</v>
      </c>
      <c r="C21" t="s">
        <v>310</v>
      </c>
      <c r="D21">
        <v>19</v>
      </c>
      <c r="E21">
        <v>19</v>
      </c>
      <c r="G21" t="s">
        <v>309</v>
      </c>
      <c r="H21" t="s">
        <v>310</v>
      </c>
      <c r="I21">
        <v>19</v>
      </c>
    </row>
    <row r="22" spans="2:9">
      <c r="B22" t="s">
        <v>311</v>
      </c>
      <c r="C22" t="s">
        <v>312</v>
      </c>
      <c r="D22">
        <v>20</v>
      </c>
      <c r="E22">
        <v>20</v>
      </c>
      <c r="G22" t="s">
        <v>311</v>
      </c>
      <c r="H22" t="s">
        <v>312</v>
      </c>
      <c r="I22">
        <v>20</v>
      </c>
    </row>
    <row r="23" spans="2:9">
      <c r="B23" t="s">
        <v>1584</v>
      </c>
      <c r="C23" t="s">
        <v>314</v>
      </c>
      <c r="D23">
        <v>21</v>
      </c>
      <c r="E23">
        <v>21</v>
      </c>
      <c r="G23" t="s">
        <v>1584</v>
      </c>
      <c r="H23" t="s">
        <v>314</v>
      </c>
      <c r="I23">
        <v>21</v>
      </c>
    </row>
    <row r="24" spans="2:9">
      <c r="B24" t="s">
        <v>315</v>
      </c>
      <c r="C24" t="s">
        <v>316</v>
      </c>
      <c r="D24">
        <v>22</v>
      </c>
      <c r="E24">
        <v>22</v>
      </c>
      <c r="G24" t="s">
        <v>315</v>
      </c>
      <c r="H24" t="s">
        <v>316</v>
      </c>
      <c r="I24">
        <v>22</v>
      </c>
    </row>
    <row r="25" spans="2:9">
      <c r="B25" t="s">
        <v>658</v>
      </c>
      <c r="C25" t="s">
        <v>659</v>
      </c>
      <c r="D25">
        <v>23</v>
      </c>
      <c r="E25">
        <v>23</v>
      </c>
      <c r="G25" t="s">
        <v>658</v>
      </c>
      <c r="H25" t="s">
        <v>659</v>
      </c>
      <c r="I25">
        <v>23</v>
      </c>
    </row>
    <row r="26" spans="2:9">
      <c r="B26" t="s">
        <v>319</v>
      </c>
      <c r="C26" t="s">
        <v>320</v>
      </c>
      <c r="D26">
        <v>24</v>
      </c>
      <c r="E26">
        <v>24</v>
      </c>
      <c r="G26" t="s">
        <v>319</v>
      </c>
      <c r="H26" t="s">
        <v>320</v>
      </c>
      <c r="I26">
        <v>24</v>
      </c>
    </row>
    <row r="27" spans="2:9">
      <c r="B27" t="s">
        <v>322</v>
      </c>
      <c r="C27" t="s">
        <v>323</v>
      </c>
      <c r="D27">
        <v>25</v>
      </c>
      <c r="E27">
        <v>25</v>
      </c>
      <c r="G27" t="s">
        <v>322</v>
      </c>
      <c r="H27" t="s">
        <v>323</v>
      </c>
      <c r="I27">
        <v>25</v>
      </c>
    </row>
    <row r="28" spans="2:9">
      <c r="B28" t="s">
        <v>325</v>
      </c>
      <c r="C28" t="s">
        <v>326</v>
      </c>
      <c r="D28">
        <v>26</v>
      </c>
      <c r="E28">
        <v>26</v>
      </c>
      <c r="G28" t="s">
        <v>325</v>
      </c>
      <c r="H28" t="s">
        <v>326</v>
      </c>
      <c r="I28">
        <v>26</v>
      </c>
    </row>
    <row r="29" spans="2:9">
      <c r="B29" t="s">
        <v>327</v>
      </c>
      <c r="C29" t="s">
        <v>328</v>
      </c>
      <c r="D29">
        <v>27</v>
      </c>
      <c r="E29">
        <v>27</v>
      </c>
      <c r="G29" t="s">
        <v>327</v>
      </c>
      <c r="H29" t="s">
        <v>328</v>
      </c>
      <c r="I29">
        <v>27</v>
      </c>
    </row>
    <row r="30" spans="2:9">
      <c r="B30" t="s">
        <v>1585</v>
      </c>
      <c r="C30" t="s">
        <v>1586</v>
      </c>
      <c r="D30">
        <v>28</v>
      </c>
      <c r="E30">
        <v>28</v>
      </c>
      <c r="G30" t="s">
        <v>1585</v>
      </c>
      <c r="H30" t="s">
        <v>1586</v>
      </c>
      <c r="I30">
        <v>28</v>
      </c>
    </row>
    <row r="31" spans="2:9">
      <c r="B31" t="s">
        <v>331</v>
      </c>
      <c r="C31" t="s">
        <v>332</v>
      </c>
      <c r="D31">
        <v>29</v>
      </c>
      <c r="E31">
        <v>29</v>
      </c>
      <c r="G31" t="s">
        <v>331</v>
      </c>
      <c r="H31" t="s">
        <v>332</v>
      </c>
      <c r="I31">
        <v>29</v>
      </c>
    </row>
    <row r="32" spans="2:9">
      <c r="B32" t="s">
        <v>333</v>
      </c>
      <c r="C32" t="s">
        <v>334</v>
      </c>
      <c r="D32">
        <v>30</v>
      </c>
      <c r="E32">
        <v>30</v>
      </c>
      <c r="G32" t="s">
        <v>333</v>
      </c>
      <c r="H32" t="s">
        <v>334</v>
      </c>
      <c r="I32">
        <v>30</v>
      </c>
    </row>
    <row r="33" spans="2:9">
      <c r="B33" t="s">
        <v>335</v>
      </c>
      <c r="C33" t="s">
        <v>336</v>
      </c>
      <c r="D33">
        <v>31</v>
      </c>
      <c r="E33">
        <v>31</v>
      </c>
      <c r="G33" t="s">
        <v>335</v>
      </c>
      <c r="H33" t="s">
        <v>336</v>
      </c>
      <c r="I33">
        <v>31</v>
      </c>
    </row>
    <row r="34" spans="2:9">
      <c r="B34" t="s">
        <v>337</v>
      </c>
      <c r="C34" t="s">
        <v>338</v>
      </c>
      <c r="D34">
        <v>32</v>
      </c>
      <c r="E34">
        <v>32</v>
      </c>
      <c r="G34" t="s">
        <v>337</v>
      </c>
      <c r="H34" t="s">
        <v>338</v>
      </c>
      <c r="I34">
        <v>32</v>
      </c>
    </row>
    <row r="35" spans="2:9">
      <c r="B35" t="s">
        <v>339</v>
      </c>
      <c r="C35" t="s">
        <v>340</v>
      </c>
      <c r="D35">
        <v>33</v>
      </c>
      <c r="E35">
        <v>33</v>
      </c>
      <c r="G35" t="s">
        <v>339</v>
      </c>
      <c r="H35" t="s">
        <v>340</v>
      </c>
      <c r="I35">
        <v>33</v>
      </c>
    </row>
    <row r="36" spans="2:9">
      <c r="B36" t="s">
        <v>1587</v>
      </c>
      <c r="C36" t="s">
        <v>342</v>
      </c>
      <c r="D36">
        <v>34</v>
      </c>
      <c r="E36">
        <v>34</v>
      </c>
      <c r="G36" t="s">
        <v>1587</v>
      </c>
      <c r="H36" t="s">
        <v>342</v>
      </c>
      <c r="I36">
        <v>34</v>
      </c>
    </row>
    <row r="37" spans="2:9">
      <c r="B37" t="s">
        <v>707</v>
      </c>
      <c r="C37" t="s">
        <v>708</v>
      </c>
      <c r="D37">
        <v>35</v>
      </c>
      <c r="E37">
        <v>35</v>
      </c>
      <c r="G37" t="s">
        <v>707</v>
      </c>
      <c r="H37" t="s">
        <v>708</v>
      </c>
      <c r="I37">
        <v>35</v>
      </c>
    </row>
    <row r="38" spans="2:9">
      <c r="B38" t="s">
        <v>1588</v>
      </c>
      <c r="C38" t="s">
        <v>346</v>
      </c>
      <c r="D38">
        <v>36</v>
      </c>
      <c r="E38">
        <v>36</v>
      </c>
      <c r="G38" t="s">
        <v>1588</v>
      </c>
      <c r="H38" t="s">
        <v>346</v>
      </c>
      <c r="I38">
        <v>36</v>
      </c>
    </row>
    <row r="39" spans="2:9">
      <c r="B39" t="s">
        <v>347</v>
      </c>
      <c r="C39" t="s">
        <v>348</v>
      </c>
      <c r="D39">
        <v>37</v>
      </c>
      <c r="E39">
        <v>37</v>
      </c>
      <c r="G39" t="s">
        <v>347</v>
      </c>
      <c r="H39" t="s">
        <v>348</v>
      </c>
      <c r="I39">
        <v>37</v>
      </c>
    </row>
    <row r="40" spans="2:9">
      <c r="B40" t="s">
        <v>349</v>
      </c>
      <c r="C40" t="s">
        <v>350</v>
      </c>
      <c r="D40">
        <v>38</v>
      </c>
      <c r="E40">
        <v>38</v>
      </c>
      <c r="G40" t="s">
        <v>349</v>
      </c>
      <c r="H40" t="s">
        <v>350</v>
      </c>
      <c r="I40">
        <v>38</v>
      </c>
    </row>
    <row r="41" spans="2:9">
      <c r="B41" t="s">
        <v>351</v>
      </c>
      <c r="C41" t="s">
        <v>352</v>
      </c>
      <c r="D41">
        <v>39</v>
      </c>
      <c r="E41">
        <v>39</v>
      </c>
      <c r="G41" t="s">
        <v>351</v>
      </c>
      <c r="H41" t="s">
        <v>352</v>
      </c>
      <c r="I41">
        <v>39</v>
      </c>
    </row>
    <row r="42" spans="2:9">
      <c r="B42" t="s">
        <v>353</v>
      </c>
      <c r="C42" t="s">
        <v>354</v>
      </c>
      <c r="D42">
        <v>40</v>
      </c>
      <c r="E42">
        <v>40</v>
      </c>
      <c r="G42" t="s">
        <v>353</v>
      </c>
      <c r="H42" t="s">
        <v>354</v>
      </c>
      <c r="I42">
        <v>40</v>
      </c>
    </row>
    <row r="43" spans="2:9">
      <c r="B43" t="s">
        <v>355</v>
      </c>
      <c r="C43" t="s">
        <v>356</v>
      </c>
      <c r="D43">
        <v>41</v>
      </c>
      <c r="E43">
        <v>41</v>
      </c>
      <c r="G43" t="s">
        <v>355</v>
      </c>
      <c r="H43" t="s">
        <v>356</v>
      </c>
      <c r="I43">
        <v>41</v>
      </c>
    </row>
    <row r="44" spans="2:9">
      <c r="B44" t="s">
        <v>1589</v>
      </c>
      <c r="C44" t="s">
        <v>1590</v>
      </c>
      <c r="D44">
        <v>42</v>
      </c>
      <c r="E44">
        <v>42</v>
      </c>
      <c r="G44" t="s">
        <v>1589</v>
      </c>
      <c r="H44" t="s">
        <v>1590</v>
      </c>
      <c r="I44">
        <v>42</v>
      </c>
    </row>
    <row r="45" spans="2:9">
      <c r="B45" t="s">
        <v>315</v>
      </c>
      <c r="C45" t="s">
        <v>359</v>
      </c>
      <c r="D45">
        <v>43</v>
      </c>
      <c r="E45">
        <v>43</v>
      </c>
      <c r="G45" t="s">
        <v>315</v>
      </c>
      <c r="H45" t="s">
        <v>359</v>
      </c>
      <c r="I45">
        <v>43</v>
      </c>
    </row>
    <row r="46" spans="2:9">
      <c r="B46" t="s">
        <v>1591</v>
      </c>
      <c r="C46" t="s">
        <v>1592</v>
      </c>
      <c r="D46">
        <v>44</v>
      </c>
      <c r="E46">
        <v>44</v>
      </c>
      <c r="G46" t="s">
        <v>1591</v>
      </c>
      <c r="H46" t="s">
        <v>1592</v>
      </c>
      <c r="I46">
        <v>44</v>
      </c>
    </row>
    <row r="47" spans="2:9">
      <c r="B47" t="s">
        <v>362</v>
      </c>
      <c r="C47" t="s">
        <v>363</v>
      </c>
      <c r="D47">
        <v>45</v>
      </c>
      <c r="E47">
        <v>45</v>
      </c>
      <c r="G47" t="s">
        <v>362</v>
      </c>
      <c r="H47" t="s">
        <v>363</v>
      </c>
      <c r="I47">
        <v>45</v>
      </c>
    </row>
    <row r="48" spans="2:9">
      <c r="B48" t="s">
        <v>1593</v>
      </c>
      <c r="C48" t="s">
        <v>1594</v>
      </c>
      <c r="D48">
        <v>46</v>
      </c>
      <c r="E48">
        <v>46</v>
      </c>
      <c r="G48" t="s">
        <v>1593</v>
      </c>
      <c r="H48" t="s">
        <v>1594</v>
      </c>
      <c r="I48">
        <v>46</v>
      </c>
    </row>
    <row r="49" spans="1:9">
      <c r="B49" t="s">
        <v>366</v>
      </c>
      <c r="C49" t="s">
        <v>367</v>
      </c>
      <c r="D49">
        <v>47</v>
      </c>
      <c r="E49">
        <v>47</v>
      </c>
      <c r="G49" t="s">
        <v>366</v>
      </c>
      <c r="H49" t="s">
        <v>367</v>
      </c>
      <c r="I49">
        <v>47</v>
      </c>
    </row>
    <row r="50" spans="1:9">
      <c r="A50">
        <v>2</v>
      </c>
      <c r="B50" t="s">
        <v>368</v>
      </c>
      <c r="C50" t="s">
        <v>369</v>
      </c>
      <c r="D50">
        <v>48</v>
      </c>
      <c r="E50">
        <v>48</v>
      </c>
      <c r="G50" t="s">
        <v>368</v>
      </c>
      <c r="H50" t="s">
        <v>369</v>
      </c>
      <c r="I50">
        <v>48</v>
      </c>
    </row>
    <row r="51" spans="1:9">
      <c r="B51" t="s">
        <v>1595</v>
      </c>
      <c r="C51" t="s">
        <v>371</v>
      </c>
      <c r="D51">
        <v>49</v>
      </c>
      <c r="E51">
        <v>49</v>
      </c>
      <c r="G51" t="s">
        <v>1595</v>
      </c>
      <c r="H51" t="s">
        <v>371</v>
      </c>
      <c r="I51">
        <v>49</v>
      </c>
    </row>
    <row r="52" spans="1:9">
      <c r="B52" t="s">
        <v>1596</v>
      </c>
      <c r="C52" t="s">
        <v>1597</v>
      </c>
      <c r="D52">
        <v>50</v>
      </c>
      <c r="E52">
        <v>50</v>
      </c>
      <c r="G52" t="s">
        <v>1596</v>
      </c>
      <c r="H52" t="s">
        <v>1597</v>
      </c>
      <c r="I52">
        <v>50</v>
      </c>
    </row>
    <row r="53" spans="1:9">
      <c r="B53" t="s">
        <v>374</v>
      </c>
      <c r="C53" t="s">
        <v>375</v>
      </c>
      <c r="D53">
        <v>51</v>
      </c>
      <c r="E53">
        <v>51</v>
      </c>
      <c r="G53" t="s">
        <v>374</v>
      </c>
      <c r="H53" t="s">
        <v>375</v>
      </c>
      <c r="I53">
        <v>51</v>
      </c>
    </row>
    <row r="54" spans="1:9">
      <c r="B54" t="s">
        <v>1598</v>
      </c>
      <c r="C54" t="s">
        <v>377</v>
      </c>
      <c r="D54">
        <v>52</v>
      </c>
      <c r="E54">
        <v>52</v>
      </c>
      <c r="G54" t="s">
        <v>1598</v>
      </c>
      <c r="H54" t="s">
        <v>377</v>
      </c>
      <c r="I54">
        <v>52</v>
      </c>
    </row>
    <row r="55" spans="1:9">
      <c r="B55" t="s">
        <v>1599</v>
      </c>
      <c r="C55" t="s">
        <v>379</v>
      </c>
      <c r="D55">
        <v>53</v>
      </c>
      <c r="E55">
        <v>53</v>
      </c>
      <c r="G55" t="s">
        <v>1599</v>
      </c>
      <c r="H55" t="s">
        <v>379</v>
      </c>
      <c r="I55">
        <v>53</v>
      </c>
    </row>
    <row r="56" spans="1:9">
      <c r="B56" t="s">
        <v>1600</v>
      </c>
      <c r="C56" t="s">
        <v>1601</v>
      </c>
      <c r="D56">
        <v>54</v>
      </c>
      <c r="E56">
        <v>54</v>
      </c>
      <c r="G56" t="s">
        <v>1600</v>
      </c>
      <c r="H56" t="s">
        <v>1601</v>
      </c>
      <c r="I56">
        <v>54</v>
      </c>
    </row>
    <row r="57" spans="1:9">
      <c r="B57" t="s">
        <v>382</v>
      </c>
      <c r="C57" t="s">
        <v>383</v>
      </c>
      <c r="D57">
        <v>55</v>
      </c>
      <c r="E57">
        <v>55</v>
      </c>
      <c r="G57" t="s">
        <v>382</v>
      </c>
      <c r="H57" t="s">
        <v>383</v>
      </c>
      <c r="I57">
        <v>55</v>
      </c>
    </row>
    <row r="58" spans="1:9">
      <c r="B58" t="s">
        <v>384</v>
      </c>
      <c r="C58" t="s">
        <v>385</v>
      </c>
      <c r="D58">
        <v>56</v>
      </c>
      <c r="E58">
        <v>56</v>
      </c>
      <c r="G58" t="s">
        <v>384</v>
      </c>
      <c r="H58" t="s">
        <v>385</v>
      </c>
      <c r="I58">
        <v>56</v>
      </c>
    </row>
    <row r="59" spans="1:9">
      <c r="B59" t="s">
        <v>386</v>
      </c>
      <c r="C59" t="s">
        <v>387</v>
      </c>
      <c r="D59">
        <v>57</v>
      </c>
      <c r="E59">
        <v>57</v>
      </c>
      <c r="G59" t="s">
        <v>386</v>
      </c>
      <c r="H59" t="s">
        <v>387</v>
      </c>
      <c r="I59">
        <v>57</v>
      </c>
    </row>
    <row r="60" spans="1:9">
      <c r="B60" t="s">
        <v>389</v>
      </c>
      <c r="C60" t="s">
        <v>390</v>
      </c>
      <c r="D60">
        <v>58</v>
      </c>
      <c r="E60">
        <v>58</v>
      </c>
      <c r="G60" t="s">
        <v>389</v>
      </c>
      <c r="H60" t="s">
        <v>390</v>
      </c>
      <c r="I60">
        <v>58</v>
      </c>
    </row>
    <row r="61" spans="1:9">
      <c r="B61" t="s">
        <v>391</v>
      </c>
      <c r="C61" t="s">
        <v>392</v>
      </c>
      <c r="D61">
        <v>59</v>
      </c>
      <c r="E61">
        <v>59</v>
      </c>
      <c r="G61" t="s">
        <v>391</v>
      </c>
      <c r="H61" t="s">
        <v>392</v>
      </c>
      <c r="I61">
        <v>59</v>
      </c>
    </row>
    <row r="62" spans="1:9">
      <c r="B62" t="s">
        <v>393</v>
      </c>
      <c r="C62" t="s">
        <v>394</v>
      </c>
      <c r="D62">
        <v>60</v>
      </c>
      <c r="E62">
        <v>60</v>
      </c>
      <c r="G62" t="s">
        <v>393</v>
      </c>
      <c r="H62" t="s">
        <v>394</v>
      </c>
      <c r="I62">
        <v>60</v>
      </c>
    </row>
    <row r="63" spans="1:9">
      <c r="B63" t="s">
        <v>395</v>
      </c>
      <c r="C63" t="s">
        <v>396</v>
      </c>
      <c r="D63">
        <v>61</v>
      </c>
      <c r="E63">
        <v>61</v>
      </c>
      <c r="G63" t="s">
        <v>395</v>
      </c>
      <c r="H63" t="s">
        <v>396</v>
      </c>
      <c r="I63">
        <v>61</v>
      </c>
    </row>
    <row r="64" spans="1:9">
      <c r="B64" t="s">
        <v>397</v>
      </c>
      <c r="C64" t="s">
        <v>398</v>
      </c>
      <c r="D64">
        <v>62</v>
      </c>
      <c r="E64">
        <v>62</v>
      </c>
      <c r="G64" t="s">
        <v>397</v>
      </c>
      <c r="H64" t="s">
        <v>398</v>
      </c>
      <c r="I64">
        <v>62</v>
      </c>
    </row>
    <row r="65" spans="2:9">
      <c r="B65" t="s">
        <v>399</v>
      </c>
      <c r="C65" t="s">
        <v>400</v>
      </c>
      <c r="D65">
        <v>63</v>
      </c>
      <c r="E65">
        <v>63</v>
      </c>
      <c r="G65" t="s">
        <v>399</v>
      </c>
      <c r="H65" t="s">
        <v>400</v>
      </c>
      <c r="I65">
        <v>63</v>
      </c>
    </row>
    <row r="66" spans="2:9">
      <c r="B66" t="s">
        <v>401</v>
      </c>
      <c r="C66" t="s">
        <v>402</v>
      </c>
      <c r="D66">
        <v>64</v>
      </c>
      <c r="E66">
        <v>64</v>
      </c>
      <c r="G66" t="s">
        <v>401</v>
      </c>
      <c r="H66" t="s">
        <v>402</v>
      </c>
      <c r="I66">
        <v>64</v>
      </c>
    </row>
    <row r="67" spans="2:9">
      <c r="B67" t="s">
        <v>403</v>
      </c>
      <c r="C67" t="s">
        <v>404</v>
      </c>
      <c r="D67">
        <v>65</v>
      </c>
      <c r="E67">
        <v>65</v>
      </c>
      <c r="G67" t="s">
        <v>403</v>
      </c>
      <c r="H67" t="s">
        <v>404</v>
      </c>
      <c r="I67">
        <v>65</v>
      </c>
    </row>
    <row r="68" spans="2:9">
      <c r="B68" t="s">
        <v>405</v>
      </c>
      <c r="C68" t="s">
        <v>406</v>
      </c>
      <c r="D68">
        <v>66</v>
      </c>
      <c r="E68">
        <v>66</v>
      </c>
      <c r="G68" t="s">
        <v>405</v>
      </c>
      <c r="H68" t="s">
        <v>406</v>
      </c>
      <c r="I68">
        <v>66</v>
      </c>
    </row>
    <row r="69" spans="2:9">
      <c r="B69" t="s">
        <v>1602</v>
      </c>
      <c r="C69" t="s">
        <v>1603</v>
      </c>
      <c r="D69">
        <v>67</v>
      </c>
      <c r="E69">
        <v>67</v>
      </c>
      <c r="G69" t="s">
        <v>1602</v>
      </c>
      <c r="H69" t="s">
        <v>1603</v>
      </c>
      <c r="I69">
        <v>67</v>
      </c>
    </row>
    <row r="70" spans="2:9">
      <c r="B70" t="s">
        <v>409</v>
      </c>
      <c r="C70" t="s">
        <v>410</v>
      </c>
      <c r="D70">
        <v>68</v>
      </c>
      <c r="E70">
        <v>68</v>
      </c>
      <c r="G70" t="s">
        <v>409</v>
      </c>
      <c r="H70" t="s">
        <v>410</v>
      </c>
      <c r="I70">
        <v>68</v>
      </c>
    </row>
    <row r="71" spans="2:9">
      <c r="B71" t="s">
        <v>1604</v>
      </c>
      <c r="C71" t="s">
        <v>412</v>
      </c>
      <c r="D71">
        <v>69</v>
      </c>
      <c r="E71">
        <v>69</v>
      </c>
      <c r="G71" t="s">
        <v>1604</v>
      </c>
      <c r="H71" t="s">
        <v>412</v>
      </c>
      <c r="I71">
        <v>69</v>
      </c>
    </row>
    <row r="72" spans="2:9">
      <c r="B72" t="s">
        <v>413</v>
      </c>
      <c r="C72" t="s">
        <v>414</v>
      </c>
      <c r="D72">
        <v>70</v>
      </c>
      <c r="E72">
        <v>70</v>
      </c>
      <c r="G72" t="s">
        <v>413</v>
      </c>
      <c r="H72" t="s">
        <v>414</v>
      </c>
      <c r="I72">
        <v>70</v>
      </c>
    </row>
    <row r="73" spans="2:9">
      <c r="B73" t="s">
        <v>415</v>
      </c>
      <c r="C73" t="s">
        <v>416</v>
      </c>
      <c r="D73">
        <v>71</v>
      </c>
      <c r="E73">
        <v>71</v>
      </c>
      <c r="G73" t="s">
        <v>415</v>
      </c>
      <c r="H73" t="s">
        <v>416</v>
      </c>
      <c r="I73">
        <v>71</v>
      </c>
    </row>
    <row r="74" spans="2:9">
      <c r="B74" t="s">
        <v>1605</v>
      </c>
      <c r="C74" t="s">
        <v>418</v>
      </c>
      <c r="D74">
        <v>72</v>
      </c>
      <c r="E74">
        <v>72</v>
      </c>
      <c r="G74" t="s">
        <v>1605</v>
      </c>
      <c r="H74" t="s">
        <v>418</v>
      </c>
      <c r="I74">
        <v>72</v>
      </c>
    </row>
    <row r="75" spans="2:9">
      <c r="B75" t="s">
        <v>1606</v>
      </c>
      <c r="C75" t="s">
        <v>1607</v>
      </c>
      <c r="D75">
        <v>73</v>
      </c>
      <c r="E75">
        <v>73</v>
      </c>
      <c r="G75" t="s">
        <v>1606</v>
      </c>
      <c r="H75" t="s">
        <v>1607</v>
      </c>
      <c r="I75">
        <v>73</v>
      </c>
    </row>
    <row r="76" spans="2:9">
      <c r="B76" t="s">
        <v>421</v>
      </c>
      <c r="C76" t="s">
        <v>422</v>
      </c>
      <c r="D76">
        <v>74</v>
      </c>
      <c r="E76">
        <v>74</v>
      </c>
      <c r="G76" t="s">
        <v>421</v>
      </c>
      <c r="H76" t="s">
        <v>422</v>
      </c>
      <c r="I76">
        <v>74</v>
      </c>
    </row>
    <row r="77" spans="2:9">
      <c r="B77" t="s">
        <v>423</v>
      </c>
      <c r="C77" t="s">
        <v>424</v>
      </c>
      <c r="D77">
        <v>75</v>
      </c>
      <c r="E77">
        <v>75</v>
      </c>
      <c r="G77" t="s">
        <v>423</v>
      </c>
      <c r="H77" t="s">
        <v>424</v>
      </c>
      <c r="I77">
        <v>75</v>
      </c>
    </row>
    <row r="78" spans="2:9">
      <c r="B78" t="s">
        <v>425</v>
      </c>
      <c r="C78" t="s">
        <v>426</v>
      </c>
      <c r="D78">
        <v>76</v>
      </c>
      <c r="E78">
        <v>76</v>
      </c>
      <c r="G78" t="s">
        <v>425</v>
      </c>
      <c r="H78" t="s">
        <v>426</v>
      </c>
      <c r="I78">
        <v>76</v>
      </c>
    </row>
    <row r="79" spans="2:9">
      <c r="B79" t="s">
        <v>428</v>
      </c>
      <c r="C79" t="s">
        <v>429</v>
      </c>
      <c r="D79">
        <v>77</v>
      </c>
      <c r="E79">
        <v>77</v>
      </c>
      <c r="G79" t="s">
        <v>428</v>
      </c>
      <c r="H79" t="s">
        <v>429</v>
      </c>
      <c r="I79">
        <v>77</v>
      </c>
    </row>
    <row r="80" spans="2:9">
      <c r="B80" t="s">
        <v>430</v>
      </c>
      <c r="C80" t="s">
        <v>431</v>
      </c>
      <c r="D80">
        <v>78</v>
      </c>
      <c r="E80">
        <v>78</v>
      </c>
      <c r="G80" t="s">
        <v>430</v>
      </c>
      <c r="H80" t="s">
        <v>431</v>
      </c>
      <c r="I80">
        <v>78</v>
      </c>
    </row>
    <row r="81" spans="1:9">
      <c r="B81" t="s">
        <v>432</v>
      </c>
      <c r="C81" t="s">
        <v>433</v>
      </c>
      <c r="D81">
        <v>79</v>
      </c>
      <c r="E81">
        <v>79</v>
      </c>
      <c r="G81" t="s">
        <v>432</v>
      </c>
      <c r="H81" t="s">
        <v>433</v>
      </c>
      <c r="I81">
        <v>79</v>
      </c>
    </row>
    <row r="82" spans="1:9">
      <c r="B82" t="s">
        <v>434</v>
      </c>
      <c r="C82" t="s">
        <v>435</v>
      </c>
      <c r="D82">
        <v>80</v>
      </c>
      <c r="E82">
        <v>80</v>
      </c>
      <c r="G82" t="s">
        <v>434</v>
      </c>
      <c r="H82" t="s">
        <v>435</v>
      </c>
      <c r="I82">
        <v>80</v>
      </c>
    </row>
    <row r="83" spans="1:9">
      <c r="B83" t="s">
        <v>436</v>
      </c>
      <c r="C83" t="s">
        <v>437</v>
      </c>
      <c r="D83">
        <v>81</v>
      </c>
      <c r="E83">
        <v>81</v>
      </c>
      <c r="G83" t="s">
        <v>436</v>
      </c>
      <c r="H83" t="s">
        <v>437</v>
      </c>
      <c r="I83">
        <v>81</v>
      </c>
    </row>
    <row r="84" spans="1:9">
      <c r="B84" t="s">
        <v>438</v>
      </c>
      <c r="C84" t="s">
        <v>439</v>
      </c>
      <c r="D84">
        <v>82</v>
      </c>
      <c r="E84">
        <v>82</v>
      </c>
      <c r="G84" t="s">
        <v>438</v>
      </c>
      <c r="H84" t="s">
        <v>439</v>
      </c>
      <c r="I84">
        <v>82</v>
      </c>
    </row>
    <row r="85" spans="1:9">
      <c r="B85" t="s">
        <v>440</v>
      </c>
      <c r="C85" t="s">
        <v>441</v>
      </c>
      <c r="D85">
        <v>83</v>
      </c>
      <c r="E85">
        <v>83</v>
      </c>
      <c r="G85" t="s">
        <v>440</v>
      </c>
      <c r="H85" t="s">
        <v>441</v>
      </c>
      <c r="I85">
        <v>83</v>
      </c>
    </row>
    <row r="86" spans="1:9">
      <c r="B86" t="s">
        <v>442</v>
      </c>
      <c r="C86" t="s">
        <v>443</v>
      </c>
      <c r="D86">
        <v>84</v>
      </c>
      <c r="E86">
        <v>84</v>
      </c>
      <c r="G86" t="s">
        <v>442</v>
      </c>
      <c r="H86" t="s">
        <v>443</v>
      </c>
      <c r="I86">
        <v>84</v>
      </c>
    </row>
    <row r="87" spans="1:9">
      <c r="B87" t="s">
        <v>444</v>
      </c>
      <c r="C87" t="s">
        <v>445</v>
      </c>
      <c r="D87">
        <v>85</v>
      </c>
      <c r="E87">
        <v>85</v>
      </c>
      <c r="G87" t="s">
        <v>444</v>
      </c>
      <c r="H87" t="s">
        <v>445</v>
      </c>
      <c r="I87">
        <v>85</v>
      </c>
    </row>
    <row r="88" spans="1:9">
      <c r="B88" t="s">
        <v>1608</v>
      </c>
      <c r="C88" t="s">
        <v>447</v>
      </c>
      <c r="D88">
        <v>86</v>
      </c>
      <c r="E88">
        <v>86</v>
      </c>
      <c r="G88" t="s">
        <v>1608</v>
      </c>
      <c r="H88" t="s">
        <v>447</v>
      </c>
      <c r="I88">
        <v>86</v>
      </c>
    </row>
    <row r="89" spans="1:9">
      <c r="B89" t="s">
        <v>448</v>
      </c>
      <c r="C89" t="s">
        <v>449</v>
      </c>
      <c r="D89">
        <v>87</v>
      </c>
      <c r="E89">
        <v>87</v>
      </c>
      <c r="G89" t="s">
        <v>448</v>
      </c>
      <c r="H89" t="s">
        <v>449</v>
      </c>
      <c r="I89">
        <v>87</v>
      </c>
    </row>
    <row r="90" spans="1:9">
      <c r="B90" t="s">
        <v>450</v>
      </c>
      <c r="C90" t="s">
        <v>451</v>
      </c>
      <c r="D90">
        <v>88</v>
      </c>
      <c r="E90">
        <v>88</v>
      </c>
      <c r="G90" t="s">
        <v>450</v>
      </c>
      <c r="H90" t="s">
        <v>451</v>
      </c>
      <c r="I90">
        <v>88</v>
      </c>
    </row>
    <row r="91" spans="1:9">
      <c r="B91" t="s">
        <v>452</v>
      </c>
      <c r="C91" t="s">
        <v>453</v>
      </c>
      <c r="D91">
        <v>89</v>
      </c>
      <c r="E91">
        <v>89</v>
      </c>
      <c r="G91" t="s">
        <v>452</v>
      </c>
      <c r="H91" t="s">
        <v>453</v>
      </c>
      <c r="I91">
        <v>89</v>
      </c>
    </row>
    <row r="92" spans="1:9">
      <c r="B92" t="s">
        <v>454</v>
      </c>
      <c r="C92" t="s">
        <v>455</v>
      </c>
      <c r="D92">
        <v>90</v>
      </c>
      <c r="E92">
        <v>90</v>
      </c>
      <c r="G92" t="s">
        <v>454</v>
      </c>
      <c r="H92" t="s">
        <v>455</v>
      </c>
      <c r="I92">
        <v>90</v>
      </c>
    </row>
    <row r="93" spans="1:9">
      <c r="B93" t="s">
        <v>456</v>
      </c>
      <c r="C93" t="s">
        <v>457</v>
      </c>
      <c r="D93">
        <v>91</v>
      </c>
      <c r="E93">
        <v>91</v>
      </c>
      <c r="G93" t="s">
        <v>456</v>
      </c>
      <c r="H93" t="s">
        <v>457</v>
      </c>
      <c r="I93">
        <v>91</v>
      </c>
    </row>
    <row r="94" spans="1:9">
      <c r="B94" t="s">
        <v>459</v>
      </c>
      <c r="C94" t="s">
        <v>460</v>
      </c>
      <c r="D94">
        <v>92</v>
      </c>
      <c r="E94">
        <v>92</v>
      </c>
      <c r="G94" t="s">
        <v>459</v>
      </c>
      <c r="H94" t="s">
        <v>460</v>
      </c>
      <c r="I94">
        <v>92</v>
      </c>
    </row>
    <row r="95" spans="1:9">
      <c r="A95">
        <v>3</v>
      </c>
      <c r="B95" t="s">
        <v>461</v>
      </c>
      <c r="C95" t="s">
        <v>462</v>
      </c>
      <c r="D95">
        <v>93</v>
      </c>
      <c r="E95">
        <v>93</v>
      </c>
      <c r="G95" t="s">
        <v>461</v>
      </c>
      <c r="H95" t="s">
        <v>462</v>
      </c>
      <c r="I95">
        <v>93</v>
      </c>
    </row>
    <row r="96" spans="1:9">
      <c r="B96" t="s">
        <v>1609</v>
      </c>
      <c r="C96" t="s">
        <v>464</v>
      </c>
      <c r="D96">
        <v>94</v>
      </c>
      <c r="E96">
        <v>94</v>
      </c>
      <c r="G96" t="s">
        <v>1609</v>
      </c>
      <c r="H96" t="s">
        <v>464</v>
      </c>
      <c r="I96">
        <v>94</v>
      </c>
    </row>
    <row r="97" spans="2:9">
      <c r="B97" t="s">
        <v>465</v>
      </c>
      <c r="C97" t="s">
        <v>466</v>
      </c>
      <c r="D97">
        <v>95</v>
      </c>
      <c r="E97">
        <v>95</v>
      </c>
      <c r="G97" t="s">
        <v>465</v>
      </c>
      <c r="H97" t="s">
        <v>466</v>
      </c>
      <c r="I97">
        <v>95</v>
      </c>
    </row>
    <row r="98" spans="2:9">
      <c r="B98" t="s">
        <v>467</v>
      </c>
      <c r="C98" t="s">
        <v>468</v>
      </c>
      <c r="D98">
        <v>96</v>
      </c>
      <c r="E98">
        <v>96</v>
      </c>
      <c r="G98" t="s">
        <v>467</v>
      </c>
      <c r="H98" t="s">
        <v>468</v>
      </c>
      <c r="I98">
        <v>96</v>
      </c>
    </row>
    <row r="99" spans="2:9">
      <c r="B99" t="s">
        <v>469</v>
      </c>
      <c r="C99" t="s">
        <v>470</v>
      </c>
      <c r="D99">
        <v>97</v>
      </c>
      <c r="E99">
        <v>97</v>
      </c>
      <c r="G99" t="s">
        <v>469</v>
      </c>
      <c r="H99" t="s">
        <v>470</v>
      </c>
      <c r="I99">
        <v>97</v>
      </c>
    </row>
    <row r="100" spans="2:9">
      <c r="B100" t="s">
        <v>471</v>
      </c>
      <c r="C100" t="s">
        <v>472</v>
      </c>
      <c r="D100">
        <v>98</v>
      </c>
      <c r="E100">
        <v>98</v>
      </c>
      <c r="G100" t="s">
        <v>471</v>
      </c>
      <c r="H100" t="s">
        <v>472</v>
      </c>
      <c r="I100">
        <v>98</v>
      </c>
    </row>
    <row r="101" spans="2:9">
      <c r="B101" t="s">
        <v>473</v>
      </c>
      <c r="C101" t="s">
        <v>474</v>
      </c>
      <c r="D101">
        <v>99</v>
      </c>
      <c r="E101">
        <v>99</v>
      </c>
      <c r="G101" t="s">
        <v>473</v>
      </c>
      <c r="H101" t="s">
        <v>474</v>
      </c>
      <c r="I101">
        <v>99</v>
      </c>
    </row>
    <row r="102" spans="2:9">
      <c r="B102" t="s">
        <v>475</v>
      </c>
      <c r="C102" t="s">
        <v>476</v>
      </c>
      <c r="D102">
        <v>100</v>
      </c>
      <c r="E102">
        <v>100</v>
      </c>
      <c r="G102" t="s">
        <v>475</v>
      </c>
      <c r="H102" t="s">
        <v>476</v>
      </c>
      <c r="I102">
        <v>100</v>
      </c>
    </row>
    <row r="103" spans="2:9">
      <c r="B103" t="s">
        <v>1610</v>
      </c>
      <c r="C103" t="s">
        <v>478</v>
      </c>
      <c r="D103">
        <v>101</v>
      </c>
      <c r="E103">
        <v>101</v>
      </c>
      <c r="G103" t="s">
        <v>1610</v>
      </c>
      <c r="H103" t="s">
        <v>478</v>
      </c>
      <c r="I103">
        <v>101</v>
      </c>
    </row>
    <row r="104" spans="2:9">
      <c r="B104" t="s">
        <v>479</v>
      </c>
      <c r="C104" t="s">
        <v>480</v>
      </c>
      <c r="D104">
        <v>102</v>
      </c>
      <c r="E104">
        <v>102</v>
      </c>
      <c r="G104" t="s">
        <v>479</v>
      </c>
      <c r="H104" t="s">
        <v>480</v>
      </c>
      <c r="I104">
        <v>102</v>
      </c>
    </row>
    <row r="105" spans="2:9">
      <c r="B105" t="s">
        <v>1611</v>
      </c>
      <c r="C105" t="s">
        <v>482</v>
      </c>
      <c r="D105">
        <v>103</v>
      </c>
      <c r="E105">
        <v>103</v>
      </c>
      <c r="G105" t="s">
        <v>1611</v>
      </c>
      <c r="H105" t="s">
        <v>482</v>
      </c>
      <c r="I105">
        <v>103</v>
      </c>
    </row>
    <row r="106" spans="2:9">
      <c r="B106" t="s">
        <v>1612</v>
      </c>
      <c r="C106" t="s">
        <v>484</v>
      </c>
      <c r="D106">
        <v>104</v>
      </c>
      <c r="E106">
        <v>104</v>
      </c>
      <c r="G106" t="s">
        <v>1612</v>
      </c>
      <c r="H106" t="s">
        <v>484</v>
      </c>
      <c r="I106">
        <v>104</v>
      </c>
    </row>
    <row r="107" spans="2:9">
      <c r="B107" t="s">
        <v>485</v>
      </c>
      <c r="C107" t="s">
        <v>486</v>
      </c>
      <c r="D107">
        <v>105</v>
      </c>
      <c r="E107">
        <v>105</v>
      </c>
      <c r="G107" t="s">
        <v>485</v>
      </c>
      <c r="H107" t="s">
        <v>486</v>
      </c>
      <c r="I107">
        <v>105</v>
      </c>
    </row>
    <row r="108" spans="2:9">
      <c r="B108" t="s">
        <v>487</v>
      </c>
      <c r="C108" t="s">
        <v>488</v>
      </c>
      <c r="D108">
        <v>106</v>
      </c>
      <c r="E108">
        <v>106</v>
      </c>
      <c r="G108" t="s">
        <v>487</v>
      </c>
      <c r="H108" t="s">
        <v>488</v>
      </c>
      <c r="I108">
        <v>106</v>
      </c>
    </row>
    <row r="109" spans="2:9">
      <c r="B109" t="s">
        <v>489</v>
      </c>
      <c r="C109" t="s">
        <v>490</v>
      </c>
      <c r="D109">
        <v>107</v>
      </c>
      <c r="E109">
        <v>107</v>
      </c>
      <c r="G109" t="s">
        <v>489</v>
      </c>
      <c r="H109" t="s">
        <v>490</v>
      </c>
      <c r="I109">
        <v>107</v>
      </c>
    </row>
    <row r="110" spans="2:9">
      <c r="B110" t="s">
        <v>491</v>
      </c>
      <c r="C110" t="s">
        <v>492</v>
      </c>
      <c r="D110">
        <v>108</v>
      </c>
      <c r="E110">
        <v>108</v>
      </c>
      <c r="G110" t="s">
        <v>491</v>
      </c>
      <c r="H110" t="s">
        <v>492</v>
      </c>
      <c r="I110">
        <v>108</v>
      </c>
    </row>
    <row r="111" spans="2:9">
      <c r="B111" t="s">
        <v>493</v>
      </c>
      <c r="C111" t="s">
        <v>494</v>
      </c>
      <c r="D111">
        <v>109</v>
      </c>
      <c r="E111">
        <v>109</v>
      </c>
      <c r="G111" t="s">
        <v>493</v>
      </c>
      <c r="H111" t="s">
        <v>494</v>
      </c>
      <c r="I111">
        <v>109</v>
      </c>
    </row>
    <row r="112" spans="2:9">
      <c r="B112" t="s">
        <v>495</v>
      </c>
      <c r="C112" t="s">
        <v>496</v>
      </c>
      <c r="D112">
        <v>110</v>
      </c>
      <c r="E112">
        <v>110</v>
      </c>
      <c r="G112" t="s">
        <v>495</v>
      </c>
      <c r="H112" t="s">
        <v>496</v>
      </c>
      <c r="I112">
        <v>110</v>
      </c>
    </row>
    <row r="113" spans="2:9">
      <c r="B113" t="s">
        <v>497</v>
      </c>
      <c r="C113" t="s">
        <v>498</v>
      </c>
      <c r="D113">
        <v>111</v>
      </c>
      <c r="E113">
        <v>111</v>
      </c>
      <c r="G113" t="s">
        <v>497</v>
      </c>
      <c r="H113" t="s">
        <v>498</v>
      </c>
      <c r="I113">
        <v>111</v>
      </c>
    </row>
    <row r="114" spans="2:9">
      <c r="B114" t="s">
        <v>499</v>
      </c>
      <c r="C114" t="s">
        <v>500</v>
      </c>
      <c r="D114">
        <v>112</v>
      </c>
      <c r="E114">
        <v>112</v>
      </c>
      <c r="G114" t="s">
        <v>499</v>
      </c>
      <c r="H114" t="s">
        <v>500</v>
      </c>
      <c r="I114">
        <v>112</v>
      </c>
    </row>
    <row r="115" spans="2:9">
      <c r="B115" t="s">
        <v>1613</v>
      </c>
      <c r="C115" t="s">
        <v>502</v>
      </c>
      <c r="D115">
        <v>113</v>
      </c>
      <c r="E115">
        <v>113</v>
      </c>
      <c r="G115" t="s">
        <v>1613</v>
      </c>
      <c r="H115" t="s">
        <v>502</v>
      </c>
      <c r="I115">
        <v>113</v>
      </c>
    </row>
    <row r="116" spans="2:9">
      <c r="B116" t="s">
        <v>1614</v>
      </c>
      <c r="C116" t="s">
        <v>1615</v>
      </c>
      <c r="D116">
        <v>114</v>
      </c>
      <c r="E116">
        <v>114</v>
      </c>
      <c r="G116" t="s">
        <v>1614</v>
      </c>
      <c r="H116" t="s">
        <v>1615</v>
      </c>
      <c r="I116">
        <v>114</v>
      </c>
    </row>
    <row r="117" spans="2:9">
      <c r="B117" t="s">
        <v>1616</v>
      </c>
      <c r="C117" t="s">
        <v>1617</v>
      </c>
      <c r="D117">
        <v>115</v>
      </c>
      <c r="E117">
        <v>115</v>
      </c>
      <c r="G117" t="s">
        <v>1616</v>
      </c>
      <c r="H117" t="s">
        <v>1617</v>
      </c>
      <c r="I117">
        <v>115</v>
      </c>
    </row>
    <row r="118" spans="2:9">
      <c r="B118" t="s">
        <v>515</v>
      </c>
      <c r="C118" t="s">
        <v>516</v>
      </c>
      <c r="D118">
        <v>116</v>
      </c>
      <c r="E118">
        <v>116</v>
      </c>
      <c r="G118" t="s">
        <v>515</v>
      </c>
      <c r="H118" t="s">
        <v>516</v>
      </c>
      <c r="I118">
        <v>116</v>
      </c>
    </row>
    <row r="119" spans="2:9">
      <c r="B119" t="s">
        <v>509</v>
      </c>
      <c r="C119" t="s">
        <v>510</v>
      </c>
      <c r="D119">
        <v>117</v>
      </c>
      <c r="E119">
        <v>117</v>
      </c>
      <c r="G119" t="s">
        <v>509</v>
      </c>
      <c r="H119" t="s">
        <v>510</v>
      </c>
      <c r="I119">
        <v>117</v>
      </c>
    </row>
    <row r="120" spans="2:9">
      <c r="B120" t="s">
        <v>511</v>
      </c>
      <c r="C120" t="s">
        <v>512</v>
      </c>
      <c r="D120">
        <v>118</v>
      </c>
      <c r="E120">
        <v>118</v>
      </c>
      <c r="G120" t="s">
        <v>511</v>
      </c>
      <c r="H120" t="s">
        <v>512</v>
      </c>
      <c r="I120">
        <v>118</v>
      </c>
    </row>
    <row r="121" spans="2:9">
      <c r="B121" t="s">
        <v>513</v>
      </c>
      <c r="C121" t="s">
        <v>514</v>
      </c>
      <c r="D121">
        <v>119</v>
      </c>
      <c r="E121">
        <v>119</v>
      </c>
      <c r="G121" t="s">
        <v>513</v>
      </c>
      <c r="H121" t="s">
        <v>514</v>
      </c>
      <c r="I121">
        <v>119</v>
      </c>
    </row>
    <row r="122" spans="2:9">
      <c r="B122" t="s">
        <v>1618</v>
      </c>
      <c r="C122" t="s">
        <v>1619</v>
      </c>
      <c r="D122">
        <v>120</v>
      </c>
      <c r="E122">
        <v>120</v>
      </c>
      <c r="G122" t="s">
        <v>1618</v>
      </c>
      <c r="H122" t="s">
        <v>1619</v>
      </c>
      <c r="I122">
        <v>120</v>
      </c>
    </row>
    <row r="123" spans="2:9">
      <c r="B123" t="s">
        <v>1620</v>
      </c>
      <c r="C123" t="s">
        <v>1621</v>
      </c>
      <c r="D123">
        <v>121</v>
      </c>
      <c r="E123">
        <v>121</v>
      </c>
      <c r="G123" t="s">
        <v>1620</v>
      </c>
      <c r="H123" t="s">
        <v>1621</v>
      </c>
      <c r="I123">
        <v>121</v>
      </c>
    </row>
    <row r="124" spans="2:9">
      <c r="B124" t="s">
        <v>519</v>
      </c>
      <c r="C124" t="s">
        <v>520</v>
      </c>
      <c r="D124">
        <v>122</v>
      </c>
      <c r="E124">
        <v>122</v>
      </c>
      <c r="G124" t="s">
        <v>519</v>
      </c>
      <c r="H124" t="s">
        <v>520</v>
      </c>
      <c r="I124">
        <v>122</v>
      </c>
    </row>
    <row r="125" spans="2:9">
      <c r="B125" t="s">
        <v>521</v>
      </c>
      <c r="C125" t="s">
        <v>522</v>
      </c>
      <c r="D125">
        <v>123</v>
      </c>
      <c r="E125">
        <v>123</v>
      </c>
      <c r="G125" t="s">
        <v>521</v>
      </c>
      <c r="H125" t="s">
        <v>522</v>
      </c>
      <c r="I125">
        <v>123</v>
      </c>
    </row>
    <row r="126" spans="2:9">
      <c r="B126" t="s">
        <v>523</v>
      </c>
      <c r="C126" t="s">
        <v>524</v>
      </c>
      <c r="D126">
        <v>124</v>
      </c>
      <c r="E126">
        <v>124</v>
      </c>
      <c r="G126" t="s">
        <v>523</v>
      </c>
      <c r="H126" t="s">
        <v>524</v>
      </c>
      <c r="I126">
        <v>124</v>
      </c>
    </row>
    <row r="127" spans="2:9">
      <c r="B127" t="s">
        <v>525</v>
      </c>
      <c r="C127" t="s">
        <v>526</v>
      </c>
      <c r="D127">
        <v>125</v>
      </c>
      <c r="E127">
        <v>125</v>
      </c>
      <c r="G127" t="s">
        <v>525</v>
      </c>
      <c r="H127" t="s">
        <v>526</v>
      </c>
      <c r="I127">
        <v>125</v>
      </c>
    </row>
    <row r="128" spans="2:9">
      <c r="B128" t="s">
        <v>527</v>
      </c>
      <c r="C128" t="s">
        <v>528</v>
      </c>
      <c r="D128">
        <v>126</v>
      </c>
      <c r="E128">
        <v>126</v>
      </c>
      <c r="G128" t="s">
        <v>527</v>
      </c>
      <c r="H128" t="s">
        <v>528</v>
      </c>
      <c r="I128">
        <v>126</v>
      </c>
    </row>
    <row r="129" spans="1:9">
      <c r="B129" t="s">
        <v>529</v>
      </c>
      <c r="C129" t="s">
        <v>530</v>
      </c>
      <c r="D129">
        <v>127</v>
      </c>
      <c r="E129">
        <v>127</v>
      </c>
      <c r="G129" t="s">
        <v>529</v>
      </c>
      <c r="H129" t="s">
        <v>530</v>
      </c>
      <c r="I129">
        <v>127</v>
      </c>
    </row>
    <row r="130" spans="1:9">
      <c r="B130" t="s">
        <v>531</v>
      </c>
      <c r="C130" t="s">
        <v>532</v>
      </c>
      <c r="D130">
        <v>128</v>
      </c>
      <c r="E130">
        <v>128</v>
      </c>
      <c r="G130" t="s">
        <v>531</v>
      </c>
      <c r="H130" t="s">
        <v>532</v>
      </c>
      <c r="I130">
        <v>128</v>
      </c>
    </row>
    <row r="131" spans="1:9">
      <c r="B131" t="s">
        <v>533</v>
      </c>
      <c r="C131" t="s">
        <v>534</v>
      </c>
      <c r="D131">
        <v>129</v>
      </c>
      <c r="E131">
        <v>129</v>
      </c>
      <c r="G131" t="s">
        <v>533</v>
      </c>
      <c r="H131" t="s">
        <v>534</v>
      </c>
      <c r="I131">
        <v>129</v>
      </c>
    </row>
    <row r="132" spans="1:9">
      <c r="B132" t="s">
        <v>1622</v>
      </c>
      <c r="C132" t="s">
        <v>536</v>
      </c>
      <c r="D132">
        <v>130</v>
      </c>
      <c r="E132">
        <v>130</v>
      </c>
      <c r="G132" t="s">
        <v>1622</v>
      </c>
      <c r="H132" t="s">
        <v>536</v>
      </c>
      <c r="I132">
        <v>130</v>
      </c>
    </row>
    <row r="133" spans="1:9">
      <c r="B133" t="s">
        <v>1623</v>
      </c>
      <c r="C133" t="s">
        <v>1624</v>
      </c>
      <c r="D133">
        <v>131</v>
      </c>
      <c r="E133">
        <v>131</v>
      </c>
      <c r="G133" t="s">
        <v>1623</v>
      </c>
      <c r="H133" t="s">
        <v>1624</v>
      </c>
      <c r="I133">
        <v>131</v>
      </c>
    </row>
    <row r="134" spans="1:9">
      <c r="B134" t="s">
        <v>539</v>
      </c>
      <c r="C134" t="s">
        <v>540</v>
      </c>
      <c r="D134">
        <v>132</v>
      </c>
      <c r="E134">
        <v>132</v>
      </c>
      <c r="G134" t="s">
        <v>539</v>
      </c>
      <c r="H134" t="s">
        <v>540</v>
      </c>
      <c r="I134">
        <v>132</v>
      </c>
    </row>
    <row r="135" spans="1:9">
      <c r="B135" t="s">
        <v>1625</v>
      </c>
      <c r="C135" t="s">
        <v>542</v>
      </c>
      <c r="D135">
        <v>133</v>
      </c>
      <c r="E135">
        <v>133</v>
      </c>
      <c r="G135" t="s">
        <v>1625</v>
      </c>
      <c r="H135" t="s">
        <v>542</v>
      </c>
      <c r="I135">
        <v>133</v>
      </c>
    </row>
    <row r="136" spans="1:9">
      <c r="B136" t="s">
        <v>543</v>
      </c>
      <c r="C136" t="s">
        <v>544</v>
      </c>
      <c r="D136">
        <v>134</v>
      </c>
      <c r="E136">
        <v>134</v>
      </c>
      <c r="G136" t="s">
        <v>543</v>
      </c>
      <c r="H136" t="s">
        <v>544</v>
      </c>
      <c r="I136">
        <v>134</v>
      </c>
    </row>
    <row r="137" spans="1:9">
      <c r="B137" t="s">
        <v>545</v>
      </c>
      <c r="C137" t="s">
        <v>546</v>
      </c>
      <c r="D137">
        <v>135</v>
      </c>
      <c r="E137">
        <v>135</v>
      </c>
      <c r="G137" t="s">
        <v>545</v>
      </c>
      <c r="H137" t="s">
        <v>546</v>
      </c>
      <c r="I137">
        <v>135</v>
      </c>
    </row>
    <row r="138" spans="1:9">
      <c r="B138" t="s">
        <v>548</v>
      </c>
      <c r="C138" t="s">
        <v>549</v>
      </c>
      <c r="D138">
        <v>136</v>
      </c>
      <c r="E138">
        <v>136</v>
      </c>
      <c r="G138" t="s">
        <v>548</v>
      </c>
      <c r="H138" t="s">
        <v>549</v>
      </c>
      <c r="I138">
        <v>136</v>
      </c>
    </row>
    <row r="139" spans="1:9">
      <c r="A139">
        <v>4</v>
      </c>
      <c r="B139" t="s">
        <v>1626</v>
      </c>
      <c r="C139" t="s">
        <v>552</v>
      </c>
      <c r="D139">
        <v>137</v>
      </c>
      <c r="E139">
        <v>137</v>
      </c>
      <c r="G139" t="s">
        <v>1626</v>
      </c>
      <c r="H139" t="s">
        <v>552</v>
      </c>
      <c r="I139">
        <v>137</v>
      </c>
    </row>
    <row r="140" spans="1:9">
      <c r="B140" t="s">
        <v>553</v>
      </c>
      <c r="C140" t="s">
        <v>554</v>
      </c>
      <c r="D140">
        <v>138</v>
      </c>
      <c r="E140">
        <v>138</v>
      </c>
      <c r="G140" t="s">
        <v>553</v>
      </c>
      <c r="H140" t="s">
        <v>554</v>
      </c>
      <c r="I140">
        <v>138</v>
      </c>
    </row>
    <row r="141" spans="1:9">
      <c r="B141" t="s">
        <v>1627</v>
      </c>
      <c r="C141" t="s">
        <v>556</v>
      </c>
      <c r="D141">
        <v>139</v>
      </c>
      <c r="E141">
        <v>139</v>
      </c>
      <c r="G141" t="s">
        <v>1627</v>
      </c>
      <c r="H141" t="s">
        <v>556</v>
      </c>
      <c r="I141">
        <v>139</v>
      </c>
    </row>
    <row r="142" spans="1:9">
      <c r="B142" t="s">
        <v>557</v>
      </c>
      <c r="C142" t="s">
        <v>558</v>
      </c>
      <c r="D142">
        <v>140</v>
      </c>
      <c r="E142">
        <v>140</v>
      </c>
      <c r="G142" t="s">
        <v>557</v>
      </c>
      <c r="H142" t="s">
        <v>558</v>
      </c>
      <c r="I142">
        <v>140</v>
      </c>
    </row>
    <row r="143" spans="1:9">
      <c r="B143" t="s">
        <v>559</v>
      </c>
      <c r="C143" t="s">
        <v>560</v>
      </c>
      <c r="D143">
        <v>141</v>
      </c>
      <c r="E143">
        <v>141</v>
      </c>
      <c r="G143" t="s">
        <v>559</v>
      </c>
      <c r="H143" t="s">
        <v>560</v>
      </c>
      <c r="I143">
        <v>141</v>
      </c>
    </row>
    <row r="144" spans="1:9">
      <c r="B144" t="s">
        <v>562</v>
      </c>
      <c r="C144" t="s">
        <v>563</v>
      </c>
      <c r="D144">
        <v>142</v>
      </c>
      <c r="E144">
        <v>142</v>
      </c>
      <c r="G144" t="s">
        <v>562</v>
      </c>
      <c r="H144" t="s">
        <v>563</v>
      </c>
      <c r="I144">
        <v>142</v>
      </c>
    </row>
    <row r="145" spans="2:9">
      <c r="B145" t="s">
        <v>1628</v>
      </c>
      <c r="C145" t="s">
        <v>565</v>
      </c>
      <c r="D145">
        <v>143</v>
      </c>
      <c r="E145">
        <v>143</v>
      </c>
      <c r="G145" t="s">
        <v>1628</v>
      </c>
      <c r="H145" t="s">
        <v>565</v>
      </c>
      <c r="I145">
        <v>143</v>
      </c>
    </row>
    <row r="146" spans="2:9">
      <c r="B146" t="s">
        <v>566</v>
      </c>
      <c r="C146" t="s">
        <v>567</v>
      </c>
      <c r="D146">
        <v>144</v>
      </c>
      <c r="E146">
        <v>144</v>
      </c>
      <c r="G146" t="s">
        <v>566</v>
      </c>
      <c r="H146" t="s">
        <v>567</v>
      </c>
      <c r="I146">
        <v>144</v>
      </c>
    </row>
    <row r="147" spans="2:9">
      <c r="B147" t="s">
        <v>569</v>
      </c>
      <c r="C147" t="s">
        <v>570</v>
      </c>
      <c r="D147">
        <v>145</v>
      </c>
      <c r="E147">
        <v>145</v>
      </c>
      <c r="G147" t="s">
        <v>569</v>
      </c>
      <c r="H147" t="s">
        <v>570</v>
      </c>
      <c r="I147">
        <v>145</v>
      </c>
    </row>
    <row r="148" spans="2:9">
      <c r="B148" t="s">
        <v>1629</v>
      </c>
      <c r="C148" t="s">
        <v>1630</v>
      </c>
      <c r="D148">
        <v>146</v>
      </c>
      <c r="E148">
        <v>146</v>
      </c>
      <c r="G148" t="s">
        <v>1629</v>
      </c>
      <c r="H148" t="s">
        <v>1630</v>
      </c>
      <c r="I148">
        <v>146</v>
      </c>
    </row>
    <row r="149" spans="2:9">
      <c r="B149" t="s">
        <v>573</v>
      </c>
      <c r="C149" t="s">
        <v>574</v>
      </c>
      <c r="D149">
        <v>147</v>
      </c>
      <c r="E149">
        <v>147</v>
      </c>
      <c r="G149" t="s">
        <v>573</v>
      </c>
      <c r="H149" t="s">
        <v>574</v>
      </c>
      <c r="I149">
        <v>147</v>
      </c>
    </row>
    <row r="150" spans="2:9">
      <c r="B150" t="s">
        <v>1631</v>
      </c>
      <c r="C150" t="s">
        <v>1632</v>
      </c>
      <c r="D150">
        <v>148</v>
      </c>
      <c r="E150">
        <v>148</v>
      </c>
      <c r="G150" t="s">
        <v>1631</v>
      </c>
      <c r="H150" t="s">
        <v>1632</v>
      </c>
      <c r="I150">
        <v>148</v>
      </c>
    </row>
    <row r="151" spans="2:9">
      <c r="B151" t="s">
        <v>1633</v>
      </c>
      <c r="C151" t="s">
        <v>578</v>
      </c>
      <c r="D151">
        <v>149</v>
      </c>
      <c r="E151">
        <v>149</v>
      </c>
      <c r="G151" t="s">
        <v>1633</v>
      </c>
      <c r="H151" t="s">
        <v>578</v>
      </c>
      <c r="I151">
        <v>149</v>
      </c>
    </row>
    <row r="152" spans="2:9">
      <c r="B152" t="s">
        <v>1634</v>
      </c>
      <c r="C152" t="s">
        <v>580</v>
      </c>
      <c r="D152">
        <v>150</v>
      </c>
      <c r="E152">
        <v>150</v>
      </c>
      <c r="G152" t="s">
        <v>1634</v>
      </c>
      <c r="H152" t="s">
        <v>580</v>
      </c>
      <c r="I152">
        <v>150</v>
      </c>
    </row>
    <row r="153" spans="2:9">
      <c r="B153" t="s">
        <v>1635</v>
      </c>
      <c r="C153" t="s">
        <v>582</v>
      </c>
      <c r="D153">
        <v>151</v>
      </c>
      <c r="E153">
        <v>151</v>
      </c>
      <c r="G153" t="s">
        <v>1635</v>
      </c>
      <c r="H153" t="s">
        <v>582</v>
      </c>
      <c r="I153">
        <v>151</v>
      </c>
    </row>
    <row r="154" spans="2:9">
      <c r="B154" t="s">
        <v>583</v>
      </c>
      <c r="C154" t="s">
        <v>584</v>
      </c>
      <c r="D154">
        <v>152</v>
      </c>
      <c r="E154">
        <v>152</v>
      </c>
      <c r="G154" t="s">
        <v>583</v>
      </c>
      <c r="H154" t="s">
        <v>584</v>
      </c>
      <c r="I154">
        <v>152</v>
      </c>
    </row>
    <row r="155" spans="2:9">
      <c r="B155" t="s">
        <v>585</v>
      </c>
      <c r="C155" t="s">
        <v>586</v>
      </c>
      <c r="D155">
        <v>153</v>
      </c>
      <c r="E155">
        <v>153</v>
      </c>
      <c r="G155" t="s">
        <v>585</v>
      </c>
      <c r="H155" t="s">
        <v>586</v>
      </c>
      <c r="I155">
        <v>153</v>
      </c>
    </row>
    <row r="156" spans="2:9">
      <c r="B156" t="s">
        <v>1636</v>
      </c>
      <c r="C156" t="s">
        <v>1637</v>
      </c>
      <c r="D156">
        <v>154</v>
      </c>
      <c r="E156">
        <v>154</v>
      </c>
      <c r="G156" t="s">
        <v>1636</v>
      </c>
      <c r="H156" t="s">
        <v>1637</v>
      </c>
      <c r="I156">
        <v>154</v>
      </c>
    </row>
    <row r="157" spans="2:9">
      <c r="B157" t="s">
        <v>590</v>
      </c>
      <c r="C157" t="s">
        <v>591</v>
      </c>
      <c r="D157">
        <v>155</v>
      </c>
      <c r="E157">
        <v>155</v>
      </c>
      <c r="G157" t="s">
        <v>590</v>
      </c>
      <c r="H157" t="s">
        <v>591</v>
      </c>
      <c r="I157">
        <v>155</v>
      </c>
    </row>
    <row r="158" spans="2:9">
      <c r="B158" t="s">
        <v>592</v>
      </c>
      <c r="C158" t="s">
        <v>593</v>
      </c>
      <c r="D158">
        <v>156</v>
      </c>
      <c r="E158">
        <v>156</v>
      </c>
      <c r="G158" t="s">
        <v>592</v>
      </c>
      <c r="H158" t="s">
        <v>593</v>
      </c>
      <c r="I158">
        <v>156</v>
      </c>
    </row>
    <row r="159" spans="2:9">
      <c r="B159" t="s">
        <v>1638</v>
      </c>
      <c r="C159" t="s">
        <v>596</v>
      </c>
      <c r="D159">
        <v>157</v>
      </c>
      <c r="E159">
        <v>157</v>
      </c>
      <c r="G159" t="s">
        <v>1638</v>
      </c>
      <c r="H159" t="s">
        <v>596</v>
      </c>
      <c r="I159">
        <v>157</v>
      </c>
    </row>
    <row r="160" spans="2:9">
      <c r="B160" t="s">
        <v>597</v>
      </c>
      <c r="C160" t="s">
        <v>598</v>
      </c>
      <c r="D160">
        <v>158</v>
      </c>
      <c r="E160">
        <v>158</v>
      </c>
      <c r="G160" t="s">
        <v>597</v>
      </c>
      <c r="H160" t="s">
        <v>598</v>
      </c>
      <c r="I160">
        <v>158</v>
      </c>
    </row>
    <row r="161" spans="2:9">
      <c r="B161" t="s">
        <v>599</v>
      </c>
      <c r="C161" t="s">
        <v>600</v>
      </c>
      <c r="D161">
        <v>159</v>
      </c>
      <c r="E161">
        <v>159</v>
      </c>
      <c r="G161" t="s">
        <v>599</v>
      </c>
      <c r="H161" t="s">
        <v>600</v>
      </c>
      <c r="I161">
        <v>159</v>
      </c>
    </row>
    <row r="162" spans="2:9">
      <c r="B162" t="s">
        <v>1639</v>
      </c>
      <c r="C162" t="s">
        <v>1640</v>
      </c>
      <c r="D162">
        <v>160</v>
      </c>
      <c r="E162">
        <v>160</v>
      </c>
      <c r="G162" t="s">
        <v>1639</v>
      </c>
      <c r="H162" t="s">
        <v>1640</v>
      </c>
      <c r="I162">
        <v>160</v>
      </c>
    </row>
    <row r="163" spans="2:9">
      <c r="B163" t="s">
        <v>1641</v>
      </c>
      <c r="C163" t="s">
        <v>1642</v>
      </c>
      <c r="D163">
        <v>161</v>
      </c>
      <c r="E163">
        <v>161</v>
      </c>
      <c r="G163" t="s">
        <v>1641</v>
      </c>
      <c r="H163" t="s">
        <v>1642</v>
      </c>
      <c r="I163">
        <v>161</v>
      </c>
    </row>
    <row r="164" spans="2:9">
      <c r="B164" t="s">
        <v>1643</v>
      </c>
      <c r="C164" t="s">
        <v>1644</v>
      </c>
      <c r="D164">
        <v>162</v>
      </c>
      <c r="E164">
        <v>162</v>
      </c>
      <c r="G164" t="s">
        <v>1643</v>
      </c>
      <c r="H164" t="s">
        <v>1644</v>
      </c>
      <c r="I164">
        <v>162</v>
      </c>
    </row>
    <row r="165" spans="2:9">
      <c r="B165" t="s">
        <v>607</v>
      </c>
      <c r="C165" t="s">
        <v>608</v>
      </c>
      <c r="D165">
        <v>163</v>
      </c>
      <c r="E165">
        <v>163</v>
      </c>
      <c r="G165" t="s">
        <v>607</v>
      </c>
      <c r="H165" t="s">
        <v>608</v>
      </c>
      <c r="I165">
        <v>163</v>
      </c>
    </row>
    <row r="166" spans="2:9">
      <c r="B166" t="s">
        <v>609</v>
      </c>
      <c r="C166" t="s">
        <v>610</v>
      </c>
      <c r="D166">
        <v>164</v>
      </c>
      <c r="E166">
        <v>164</v>
      </c>
      <c r="G166" t="s">
        <v>609</v>
      </c>
      <c r="H166" t="s">
        <v>610</v>
      </c>
      <c r="I166">
        <v>164</v>
      </c>
    </row>
    <row r="167" spans="2:9">
      <c r="B167" t="s">
        <v>611</v>
      </c>
      <c r="C167" t="s">
        <v>612</v>
      </c>
      <c r="D167">
        <v>165</v>
      </c>
      <c r="E167">
        <v>165</v>
      </c>
      <c r="G167" t="s">
        <v>611</v>
      </c>
      <c r="H167" t="s">
        <v>612</v>
      </c>
      <c r="I167">
        <v>165</v>
      </c>
    </row>
    <row r="168" spans="2:9">
      <c r="B168" t="s">
        <v>1645</v>
      </c>
      <c r="C168" t="s">
        <v>1646</v>
      </c>
      <c r="D168">
        <v>166</v>
      </c>
      <c r="E168">
        <v>166</v>
      </c>
      <c r="G168" t="s">
        <v>1645</v>
      </c>
      <c r="H168" t="s">
        <v>1646</v>
      </c>
      <c r="I168">
        <v>166</v>
      </c>
    </row>
    <row r="169" spans="2:9">
      <c r="B169" t="s">
        <v>1647</v>
      </c>
      <c r="C169" t="s">
        <v>616</v>
      </c>
      <c r="D169">
        <v>167</v>
      </c>
      <c r="E169">
        <v>167</v>
      </c>
      <c r="G169" t="s">
        <v>1647</v>
      </c>
      <c r="H169" t="s">
        <v>616</v>
      </c>
      <c r="I169">
        <v>167</v>
      </c>
    </row>
    <row r="170" spans="2:9">
      <c r="B170" t="s">
        <v>617</v>
      </c>
      <c r="C170" t="s">
        <v>618</v>
      </c>
      <c r="D170">
        <v>168</v>
      </c>
      <c r="E170">
        <v>168</v>
      </c>
      <c r="G170" t="s">
        <v>617</v>
      </c>
      <c r="H170" t="s">
        <v>618</v>
      </c>
      <c r="I170">
        <v>168</v>
      </c>
    </row>
    <row r="171" spans="2:9">
      <c r="B171" t="s">
        <v>620</v>
      </c>
      <c r="C171" t="s">
        <v>621</v>
      </c>
      <c r="D171">
        <v>169</v>
      </c>
      <c r="E171">
        <v>169</v>
      </c>
      <c r="G171" t="s">
        <v>620</v>
      </c>
      <c r="H171" t="s">
        <v>621</v>
      </c>
      <c r="I171">
        <v>169</v>
      </c>
    </row>
    <row r="172" spans="2:9">
      <c r="B172" t="s">
        <v>622</v>
      </c>
      <c r="C172" t="s">
        <v>623</v>
      </c>
      <c r="D172">
        <v>170</v>
      </c>
      <c r="E172">
        <v>170</v>
      </c>
      <c r="G172" t="s">
        <v>622</v>
      </c>
      <c r="H172" t="s">
        <v>623</v>
      </c>
      <c r="I172">
        <v>170</v>
      </c>
    </row>
    <row r="173" spans="2:9">
      <c r="B173" t="s">
        <v>624</v>
      </c>
      <c r="C173" t="s">
        <v>625</v>
      </c>
      <c r="D173">
        <v>171</v>
      </c>
      <c r="E173">
        <v>171</v>
      </c>
      <c r="G173" t="s">
        <v>624</v>
      </c>
      <c r="H173" t="s">
        <v>625</v>
      </c>
      <c r="I173">
        <v>171</v>
      </c>
    </row>
    <row r="174" spans="2:9">
      <c r="B174" t="s">
        <v>1648</v>
      </c>
      <c r="C174" t="s">
        <v>629</v>
      </c>
      <c r="D174">
        <v>172</v>
      </c>
      <c r="E174">
        <v>172</v>
      </c>
      <c r="G174" t="s">
        <v>1648</v>
      </c>
      <c r="H174" t="s">
        <v>629</v>
      </c>
      <c r="I174">
        <v>172</v>
      </c>
    </row>
    <row r="175" spans="2:9">
      <c r="B175" t="s">
        <v>1649</v>
      </c>
      <c r="C175" t="s">
        <v>1650</v>
      </c>
      <c r="D175">
        <v>173</v>
      </c>
      <c r="E175">
        <v>173</v>
      </c>
      <c r="G175" t="s">
        <v>1649</v>
      </c>
      <c r="H175" t="s">
        <v>1650</v>
      </c>
      <c r="I175">
        <v>173</v>
      </c>
    </row>
    <row r="176" spans="2:9">
      <c r="B176" t="s">
        <v>632</v>
      </c>
      <c r="C176" t="s">
        <v>633</v>
      </c>
      <c r="D176">
        <v>174</v>
      </c>
      <c r="E176">
        <v>174</v>
      </c>
      <c r="G176" t="s">
        <v>632</v>
      </c>
      <c r="H176" t="s">
        <v>633</v>
      </c>
      <c r="I176">
        <v>174</v>
      </c>
    </row>
    <row r="177" spans="1:9">
      <c r="B177" t="s">
        <v>1651</v>
      </c>
      <c r="C177" t="s">
        <v>635</v>
      </c>
      <c r="D177">
        <v>175</v>
      </c>
      <c r="E177">
        <v>175</v>
      </c>
      <c r="G177" t="s">
        <v>1651</v>
      </c>
      <c r="H177" t="s">
        <v>635</v>
      </c>
      <c r="I177">
        <v>175</v>
      </c>
    </row>
    <row r="178" spans="1:9">
      <c r="B178" t="s">
        <v>636</v>
      </c>
      <c r="C178" t="s">
        <v>637</v>
      </c>
      <c r="D178">
        <v>176</v>
      </c>
      <c r="E178">
        <v>176</v>
      </c>
      <c r="G178" t="s">
        <v>636</v>
      </c>
      <c r="H178" t="s">
        <v>637</v>
      </c>
      <c r="I178">
        <v>176</v>
      </c>
    </row>
    <row r="179" spans="1:9">
      <c r="B179" t="s">
        <v>638</v>
      </c>
      <c r="C179" t="s">
        <v>639</v>
      </c>
      <c r="D179">
        <v>177</v>
      </c>
      <c r="E179">
        <v>177</v>
      </c>
      <c r="G179" t="s">
        <v>638</v>
      </c>
      <c r="H179" t="s">
        <v>639</v>
      </c>
      <c r="I179">
        <v>177</v>
      </c>
    </row>
    <row r="180" spans="1:9">
      <c r="B180" t="s">
        <v>640</v>
      </c>
      <c r="C180" t="s">
        <v>641</v>
      </c>
      <c r="D180">
        <v>178</v>
      </c>
      <c r="E180">
        <v>178</v>
      </c>
      <c r="G180" t="s">
        <v>640</v>
      </c>
      <c r="H180" t="s">
        <v>641</v>
      </c>
      <c r="I180">
        <v>178</v>
      </c>
    </row>
    <row r="181" spans="1:9">
      <c r="B181" t="s">
        <v>642</v>
      </c>
      <c r="C181" t="s">
        <v>643</v>
      </c>
      <c r="D181">
        <v>179</v>
      </c>
      <c r="E181">
        <v>179</v>
      </c>
      <c r="G181" t="s">
        <v>642</v>
      </c>
      <c r="H181" t="s">
        <v>643</v>
      </c>
      <c r="I181">
        <v>179</v>
      </c>
    </row>
    <row r="182" spans="1:9">
      <c r="B182" t="s">
        <v>644</v>
      </c>
      <c r="C182" t="s">
        <v>645</v>
      </c>
      <c r="D182">
        <v>180</v>
      </c>
      <c r="E182">
        <v>180</v>
      </c>
      <c r="G182" t="s">
        <v>644</v>
      </c>
      <c r="H182" t="s">
        <v>645</v>
      </c>
      <c r="I182">
        <v>180</v>
      </c>
    </row>
    <row r="183" spans="1:9">
      <c r="B183" t="s">
        <v>647</v>
      </c>
      <c r="C183" t="s">
        <v>648</v>
      </c>
      <c r="D183">
        <v>181</v>
      </c>
      <c r="E183">
        <v>181</v>
      </c>
      <c r="G183" t="s">
        <v>647</v>
      </c>
      <c r="H183" t="s">
        <v>648</v>
      </c>
      <c r="I183">
        <v>181</v>
      </c>
    </row>
    <row r="184" spans="1:9">
      <c r="B184" t="s">
        <v>649</v>
      </c>
      <c r="C184" t="s">
        <v>650</v>
      </c>
      <c r="D184">
        <v>182</v>
      </c>
      <c r="E184">
        <v>182</v>
      </c>
      <c r="G184" t="s">
        <v>649</v>
      </c>
      <c r="H184" t="s">
        <v>650</v>
      </c>
      <c r="I184">
        <v>182</v>
      </c>
    </row>
    <row r="185" spans="1:9">
      <c r="B185" t="s">
        <v>652</v>
      </c>
      <c r="C185" t="s">
        <v>653</v>
      </c>
      <c r="D185">
        <v>183</v>
      </c>
      <c r="E185">
        <v>183</v>
      </c>
      <c r="G185" t="s">
        <v>652</v>
      </c>
      <c r="H185" t="s">
        <v>653</v>
      </c>
      <c r="I185">
        <v>183</v>
      </c>
    </row>
    <row r="186" spans="1:9">
      <c r="B186" t="s">
        <v>654</v>
      </c>
      <c r="C186" t="s">
        <v>655</v>
      </c>
      <c r="D186">
        <v>184</v>
      </c>
      <c r="E186">
        <v>184</v>
      </c>
      <c r="G186" t="s">
        <v>654</v>
      </c>
      <c r="H186" t="s">
        <v>655</v>
      </c>
      <c r="I186">
        <v>184</v>
      </c>
    </row>
    <row r="187" spans="1:9">
      <c r="B187" t="s">
        <v>656</v>
      </c>
      <c r="C187" t="s">
        <v>657</v>
      </c>
      <c r="D187">
        <v>185</v>
      </c>
      <c r="E187">
        <v>185</v>
      </c>
      <c r="G187" t="s">
        <v>656</v>
      </c>
      <c r="H187" t="s">
        <v>657</v>
      </c>
      <c r="I187">
        <v>185</v>
      </c>
    </row>
    <row r="188" spans="1:9">
      <c r="B188" t="s">
        <v>317</v>
      </c>
      <c r="C188" t="s">
        <v>318</v>
      </c>
      <c r="D188">
        <v>186</v>
      </c>
      <c r="E188">
        <v>186</v>
      </c>
      <c r="G188" t="s">
        <v>317</v>
      </c>
      <c r="H188" t="s">
        <v>318</v>
      </c>
      <c r="I188">
        <v>186</v>
      </c>
    </row>
    <row r="189" spans="1:9">
      <c r="B189" t="s">
        <v>660</v>
      </c>
      <c r="C189" t="s">
        <v>661</v>
      </c>
      <c r="D189">
        <v>187</v>
      </c>
      <c r="E189">
        <v>187</v>
      </c>
      <c r="G189" t="s">
        <v>660</v>
      </c>
      <c r="H189" t="s">
        <v>661</v>
      </c>
      <c r="I189">
        <v>187</v>
      </c>
    </row>
    <row r="190" spans="1:9">
      <c r="B190" t="s">
        <v>1652</v>
      </c>
      <c r="C190" t="s">
        <v>663</v>
      </c>
      <c r="D190">
        <v>188</v>
      </c>
      <c r="E190">
        <v>188</v>
      </c>
      <c r="G190" t="s">
        <v>1652</v>
      </c>
      <c r="H190" t="s">
        <v>663</v>
      </c>
      <c r="I190">
        <v>188</v>
      </c>
    </row>
    <row r="191" spans="1:9">
      <c r="A191">
        <v>5</v>
      </c>
      <c r="B191" t="s">
        <v>1653</v>
      </c>
      <c r="C191" t="s">
        <v>665</v>
      </c>
      <c r="D191">
        <v>189</v>
      </c>
      <c r="E191">
        <v>189</v>
      </c>
      <c r="G191" t="s">
        <v>1653</v>
      </c>
      <c r="H191" t="s">
        <v>665</v>
      </c>
      <c r="I191">
        <v>189</v>
      </c>
    </row>
    <row r="192" spans="1:9">
      <c r="B192" t="s">
        <v>666</v>
      </c>
      <c r="C192" t="s">
        <v>667</v>
      </c>
      <c r="D192">
        <v>190</v>
      </c>
      <c r="E192">
        <v>190</v>
      </c>
      <c r="G192" t="s">
        <v>666</v>
      </c>
      <c r="H192" t="s">
        <v>667</v>
      </c>
      <c r="I192">
        <v>190</v>
      </c>
    </row>
    <row r="193" spans="2:9">
      <c r="B193" t="s">
        <v>668</v>
      </c>
      <c r="C193" t="s">
        <v>669</v>
      </c>
      <c r="D193">
        <v>191</v>
      </c>
      <c r="E193">
        <v>191</v>
      </c>
      <c r="G193" t="s">
        <v>668</v>
      </c>
      <c r="H193" t="s">
        <v>669</v>
      </c>
      <c r="I193">
        <v>191</v>
      </c>
    </row>
    <row r="194" spans="2:9">
      <c r="B194" t="s">
        <v>670</v>
      </c>
      <c r="C194" t="s">
        <v>671</v>
      </c>
      <c r="D194">
        <v>192</v>
      </c>
      <c r="E194">
        <v>192</v>
      </c>
      <c r="G194" t="s">
        <v>670</v>
      </c>
      <c r="H194" t="s">
        <v>671</v>
      </c>
      <c r="I194">
        <v>192</v>
      </c>
    </row>
    <row r="195" spans="2:9">
      <c r="B195" t="s">
        <v>672</v>
      </c>
      <c r="C195" t="s">
        <v>673</v>
      </c>
      <c r="D195">
        <v>193</v>
      </c>
      <c r="E195">
        <v>193</v>
      </c>
      <c r="G195" t="s">
        <v>672</v>
      </c>
      <c r="H195" t="s">
        <v>673</v>
      </c>
      <c r="I195">
        <v>193</v>
      </c>
    </row>
    <row r="196" spans="2:9">
      <c r="B196" t="s">
        <v>674</v>
      </c>
      <c r="C196" t="s">
        <v>675</v>
      </c>
      <c r="D196">
        <v>194</v>
      </c>
      <c r="E196">
        <v>194</v>
      </c>
      <c r="G196" t="s">
        <v>674</v>
      </c>
      <c r="H196" t="s">
        <v>675</v>
      </c>
      <c r="I196">
        <v>194</v>
      </c>
    </row>
    <row r="197" spans="2:9">
      <c r="B197" t="s">
        <v>676</v>
      </c>
      <c r="C197" t="s">
        <v>677</v>
      </c>
      <c r="D197">
        <v>195</v>
      </c>
      <c r="E197">
        <v>195</v>
      </c>
      <c r="G197" t="s">
        <v>676</v>
      </c>
      <c r="H197" t="s">
        <v>677</v>
      </c>
      <c r="I197">
        <v>195</v>
      </c>
    </row>
    <row r="198" spans="2:9">
      <c r="B198" t="s">
        <v>1654</v>
      </c>
      <c r="C198" t="s">
        <v>697</v>
      </c>
      <c r="D198">
        <v>196</v>
      </c>
      <c r="E198">
        <v>196</v>
      </c>
      <c r="G198" t="s">
        <v>1654</v>
      </c>
      <c r="H198" t="s">
        <v>697</v>
      </c>
      <c r="I198">
        <v>196</v>
      </c>
    </row>
    <row r="199" spans="2:9">
      <c r="B199" t="s">
        <v>1655</v>
      </c>
      <c r="C199" t="s">
        <v>681</v>
      </c>
      <c r="D199">
        <v>197</v>
      </c>
      <c r="E199">
        <v>197</v>
      </c>
      <c r="G199" t="s">
        <v>1655</v>
      </c>
      <c r="H199" t="s">
        <v>681</v>
      </c>
      <c r="I199">
        <v>197</v>
      </c>
    </row>
    <row r="200" spans="2:9">
      <c r="B200" t="s">
        <v>682</v>
      </c>
      <c r="C200" t="s">
        <v>683</v>
      </c>
      <c r="D200">
        <v>198</v>
      </c>
      <c r="E200">
        <v>198</v>
      </c>
      <c r="G200" t="s">
        <v>682</v>
      </c>
      <c r="H200" t="s">
        <v>683</v>
      </c>
      <c r="I200">
        <v>198</v>
      </c>
    </row>
    <row r="201" spans="2:9">
      <c r="B201" t="s">
        <v>684</v>
      </c>
      <c r="C201" t="s">
        <v>685</v>
      </c>
      <c r="D201">
        <v>199</v>
      </c>
      <c r="E201">
        <v>199</v>
      </c>
      <c r="G201" t="s">
        <v>684</v>
      </c>
      <c r="H201" t="s">
        <v>685</v>
      </c>
      <c r="I201">
        <v>199</v>
      </c>
    </row>
    <row r="202" spans="2:9">
      <c r="B202" t="s">
        <v>686</v>
      </c>
      <c r="C202" t="s">
        <v>687</v>
      </c>
      <c r="D202">
        <v>200</v>
      </c>
      <c r="E202">
        <v>200</v>
      </c>
      <c r="G202" t="s">
        <v>686</v>
      </c>
      <c r="H202" t="s">
        <v>687</v>
      </c>
      <c r="I202">
        <v>200</v>
      </c>
    </row>
    <row r="203" spans="2:9">
      <c r="B203" t="s">
        <v>689</v>
      </c>
      <c r="C203" t="s">
        <v>1656</v>
      </c>
      <c r="D203">
        <v>201</v>
      </c>
      <c r="E203">
        <v>201</v>
      </c>
      <c r="G203" t="s">
        <v>689</v>
      </c>
      <c r="H203" t="s">
        <v>1656</v>
      </c>
      <c r="I203">
        <v>201</v>
      </c>
    </row>
    <row r="204" spans="2:9">
      <c r="B204" t="s">
        <v>692</v>
      </c>
      <c r="C204" t="s">
        <v>693</v>
      </c>
      <c r="D204">
        <v>202</v>
      </c>
      <c r="E204">
        <v>202</v>
      </c>
      <c r="G204" t="s">
        <v>692</v>
      </c>
      <c r="H204" t="s">
        <v>693</v>
      </c>
      <c r="I204">
        <v>202</v>
      </c>
    </row>
    <row r="205" spans="2:9">
      <c r="B205" t="s">
        <v>694</v>
      </c>
      <c r="C205" t="s">
        <v>695</v>
      </c>
      <c r="D205">
        <v>203</v>
      </c>
      <c r="E205">
        <v>203</v>
      </c>
      <c r="G205" t="s">
        <v>694</v>
      </c>
      <c r="H205" t="s">
        <v>695</v>
      </c>
      <c r="I205">
        <v>203</v>
      </c>
    </row>
    <row r="206" spans="2:9">
      <c r="B206" t="s">
        <v>1657</v>
      </c>
      <c r="C206" t="s">
        <v>1658</v>
      </c>
      <c r="D206">
        <v>204</v>
      </c>
      <c r="E206">
        <v>204</v>
      </c>
      <c r="G206" t="s">
        <v>1657</v>
      </c>
      <c r="H206" t="s">
        <v>1658</v>
      </c>
      <c r="I206">
        <v>204</v>
      </c>
    </row>
    <row r="207" spans="2:9">
      <c r="B207" t="s">
        <v>699</v>
      </c>
      <c r="C207" t="s">
        <v>700</v>
      </c>
      <c r="D207">
        <v>205</v>
      </c>
      <c r="E207">
        <v>205</v>
      </c>
      <c r="G207" t="s">
        <v>699</v>
      </c>
      <c r="H207" t="s">
        <v>700</v>
      </c>
      <c r="I207">
        <v>289</v>
      </c>
    </row>
    <row r="208" spans="2:9">
      <c r="B208" t="s">
        <v>701</v>
      </c>
      <c r="C208" t="s">
        <v>702</v>
      </c>
      <c r="D208">
        <v>206</v>
      </c>
      <c r="E208">
        <v>206</v>
      </c>
      <c r="G208" t="s">
        <v>701</v>
      </c>
      <c r="H208" t="s">
        <v>702</v>
      </c>
      <c r="I208">
        <v>290</v>
      </c>
    </row>
    <row r="209" spans="2:9">
      <c r="B209" t="s">
        <v>703</v>
      </c>
      <c r="C209" t="s">
        <v>704</v>
      </c>
      <c r="D209">
        <v>207</v>
      </c>
      <c r="E209">
        <v>207</v>
      </c>
      <c r="G209" t="s">
        <v>703</v>
      </c>
      <c r="H209" t="s">
        <v>704</v>
      </c>
      <c r="I209">
        <v>291</v>
      </c>
    </row>
    <row r="210" spans="2:9">
      <c r="B210" t="s">
        <v>1659</v>
      </c>
      <c r="C210" t="s">
        <v>706</v>
      </c>
      <c r="D210">
        <v>208</v>
      </c>
      <c r="E210">
        <v>208</v>
      </c>
      <c r="G210" t="s">
        <v>1659</v>
      </c>
      <c r="H210" t="s">
        <v>706</v>
      </c>
      <c r="I210">
        <v>292</v>
      </c>
    </row>
    <row r="211" spans="2:9">
      <c r="B211" t="s">
        <v>1660</v>
      </c>
      <c r="C211" t="s">
        <v>1661</v>
      </c>
      <c r="D211">
        <v>209</v>
      </c>
      <c r="E211">
        <v>209</v>
      </c>
      <c r="G211" t="s">
        <v>1660</v>
      </c>
      <c r="H211" t="s">
        <v>1661</v>
      </c>
      <c r="I211">
        <v>293</v>
      </c>
    </row>
    <row r="212" spans="2:9">
      <c r="B212" t="s">
        <v>709</v>
      </c>
      <c r="C212" t="s">
        <v>710</v>
      </c>
      <c r="D212">
        <v>210</v>
      </c>
      <c r="E212">
        <v>210</v>
      </c>
      <c r="G212" t="s">
        <v>709</v>
      </c>
      <c r="H212" t="s">
        <v>710</v>
      </c>
      <c r="I212">
        <v>294</v>
      </c>
    </row>
    <row r="213" spans="2:9">
      <c r="B213" t="s">
        <v>712</v>
      </c>
      <c r="C213" t="s">
        <v>713</v>
      </c>
      <c r="D213">
        <v>211</v>
      </c>
      <c r="E213">
        <v>211</v>
      </c>
      <c r="G213" t="s">
        <v>712</v>
      </c>
      <c r="H213" t="s">
        <v>713</v>
      </c>
      <c r="I213">
        <v>295</v>
      </c>
    </row>
    <row r="214" spans="2:9">
      <c r="B214" t="s">
        <v>1662</v>
      </c>
      <c r="C214" t="s">
        <v>1663</v>
      </c>
      <c r="D214">
        <v>212</v>
      </c>
      <c r="E214">
        <v>212</v>
      </c>
      <c r="G214" t="s">
        <v>1662</v>
      </c>
      <c r="H214" t="s">
        <v>1663</v>
      </c>
      <c r="I214">
        <v>296</v>
      </c>
    </row>
    <row r="215" spans="2:9">
      <c r="B215" t="s">
        <v>716</v>
      </c>
      <c r="C215" t="s">
        <v>717</v>
      </c>
      <c r="D215">
        <v>213</v>
      </c>
      <c r="E215">
        <v>213</v>
      </c>
      <c r="G215" t="s">
        <v>716</v>
      </c>
      <c r="H215" t="s">
        <v>717</v>
      </c>
      <c r="I215">
        <v>297</v>
      </c>
    </row>
    <row r="216" spans="2:9">
      <c r="B216" t="s">
        <v>718</v>
      </c>
      <c r="C216" t="s">
        <v>719</v>
      </c>
      <c r="D216">
        <v>214</v>
      </c>
      <c r="E216">
        <v>214</v>
      </c>
      <c r="G216" t="s">
        <v>718</v>
      </c>
      <c r="H216" t="s">
        <v>719</v>
      </c>
      <c r="I216">
        <v>298</v>
      </c>
    </row>
    <row r="217" spans="2:9">
      <c r="B217" t="s">
        <v>720</v>
      </c>
      <c r="C217" t="s">
        <v>721</v>
      </c>
      <c r="D217">
        <v>215</v>
      </c>
      <c r="E217">
        <v>215</v>
      </c>
      <c r="G217" t="s">
        <v>720</v>
      </c>
      <c r="H217" t="s">
        <v>721</v>
      </c>
      <c r="I217">
        <v>205</v>
      </c>
    </row>
    <row r="218" spans="2:9">
      <c r="B218" t="s">
        <v>722</v>
      </c>
      <c r="C218" t="s">
        <v>723</v>
      </c>
      <c r="D218">
        <v>216</v>
      </c>
      <c r="E218">
        <v>216</v>
      </c>
      <c r="G218" t="s">
        <v>722</v>
      </c>
      <c r="H218" t="s">
        <v>723</v>
      </c>
      <c r="I218">
        <v>206</v>
      </c>
    </row>
    <row r="219" spans="2:9">
      <c r="B219" t="s">
        <v>724</v>
      </c>
      <c r="C219" t="s">
        <v>725</v>
      </c>
      <c r="D219">
        <v>217</v>
      </c>
      <c r="E219">
        <v>217</v>
      </c>
      <c r="G219" t="s">
        <v>724</v>
      </c>
      <c r="H219" t="s">
        <v>725</v>
      </c>
      <c r="I219">
        <v>207</v>
      </c>
    </row>
    <row r="220" spans="2:9">
      <c r="B220" t="s">
        <v>726</v>
      </c>
      <c r="C220" t="s">
        <v>727</v>
      </c>
      <c r="D220">
        <v>218</v>
      </c>
      <c r="E220">
        <v>218</v>
      </c>
      <c r="G220" t="s">
        <v>726</v>
      </c>
      <c r="H220" t="s">
        <v>727</v>
      </c>
      <c r="I220">
        <v>208</v>
      </c>
    </row>
    <row r="221" spans="2:9">
      <c r="B221" t="s">
        <v>728</v>
      </c>
      <c r="C221" t="s">
        <v>729</v>
      </c>
      <c r="D221">
        <v>219</v>
      </c>
      <c r="E221">
        <v>219</v>
      </c>
      <c r="G221" t="s">
        <v>728</v>
      </c>
      <c r="H221" t="s">
        <v>729</v>
      </c>
      <c r="I221">
        <v>209</v>
      </c>
    </row>
    <row r="222" spans="2:9">
      <c r="B222" t="s">
        <v>730</v>
      </c>
      <c r="C222" t="s">
        <v>731</v>
      </c>
      <c r="D222">
        <v>220</v>
      </c>
      <c r="E222">
        <v>220</v>
      </c>
      <c r="G222" t="s">
        <v>730</v>
      </c>
      <c r="H222" t="s">
        <v>731</v>
      </c>
      <c r="I222">
        <v>210</v>
      </c>
    </row>
    <row r="223" spans="2:9">
      <c r="B223" t="s">
        <v>1664</v>
      </c>
      <c r="C223" t="s">
        <v>733</v>
      </c>
      <c r="D223">
        <v>221</v>
      </c>
      <c r="E223">
        <v>221</v>
      </c>
      <c r="G223" t="s">
        <v>1664</v>
      </c>
      <c r="H223" t="s">
        <v>733</v>
      </c>
      <c r="I223">
        <v>211</v>
      </c>
    </row>
    <row r="224" spans="2:9">
      <c r="B224" t="s">
        <v>1665</v>
      </c>
      <c r="C224" t="s">
        <v>736</v>
      </c>
      <c r="D224">
        <v>222</v>
      </c>
      <c r="E224">
        <v>222</v>
      </c>
      <c r="G224" t="s">
        <v>1665</v>
      </c>
      <c r="H224" t="s">
        <v>736</v>
      </c>
      <c r="I224">
        <v>212</v>
      </c>
    </row>
    <row r="225" spans="2:9">
      <c r="B225" t="s">
        <v>738</v>
      </c>
      <c r="C225" t="s">
        <v>739</v>
      </c>
      <c r="D225">
        <v>223</v>
      </c>
      <c r="E225">
        <v>223</v>
      </c>
      <c r="G225" t="s">
        <v>738</v>
      </c>
      <c r="H225" t="s">
        <v>739</v>
      </c>
      <c r="I225">
        <v>213</v>
      </c>
    </row>
    <row r="226" spans="2:9">
      <c r="B226" t="s">
        <v>740</v>
      </c>
      <c r="C226" t="s">
        <v>741</v>
      </c>
      <c r="D226">
        <v>224</v>
      </c>
      <c r="E226">
        <v>224</v>
      </c>
      <c r="G226" t="s">
        <v>740</v>
      </c>
      <c r="H226" t="s">
        <v>741</v>
      </c>
      <c r="I226">
        <v>214</v>
      </c>
    </row>
    <row r="227" spans="2:9">
      <c r="B227" t="s">
        <v>742</v>
      </c>
      <c r="C227" t="s">
        <v>743</v>
      </c>
      <c r="D227">
        <v>225</v>
      </c>
      <c r="E227">
        <v>225</v>
      </c>
      <c r="G227" t="s">
        <v>742</v>
      </c>
      <c r="H227" t="s">
        <v>743</v>
      </c>
      <c r="I227">
        <v>215</v>
      </c>
    </row>
    <row r="228" spans="2:9">
      <c r="B228" t="s">
        <v>1666</v>
      </c>
      <c r="C228" t="s">
        <v>1667</v>
      </c>
      <c r="D228">
        <v>226</v>
      </c>
      <c r="E228">
        <v>226</v>
      </c>
      <c r="G228" t="s">
        <v>1666</v>
      </c>
      <c r="H228" t="s">
        <v>1667</v>
      </c>
      <c r="I228">
        <v>216</v>
      </c>
    </row>
    <row r="229" spans="2:9">
      <c r="B229" t="s">
        <v>746</v>
      </c>
      <c r="C229" t="s">
        <v>747</v>
      </c>
      <c r="D229">
        <v>227</v>
      </c>
      <c r="E229">
        <v>227</v>
      </c>
      <c r="G229" t="s">
        <v>746</v>
      </c>
      <c r="H229" t="s">
        <v>747</v>
      </c>
      <c r="I229">
        <v>217</v>
      </c>
    </row>
    <row r="230" spans="2:9">
      <c r="B230" t="s">
        <v>748</v>
      </c>
      <c r="C230" t="s">
        <v>749</v>
      </c>
      <c r="D230">
        <v>228</v>
      </c>
      <c r="E230">
        <v>228</v>
      </c>
      <c r="G230" t="s">
        <v>748</v>
      </c>
      <c r="H230" t="s">
        <v>749</v>
      </c>
      <c r="I230">
        <v>218</v>
      </c>
    </row>
    <row r="231" spans="2:9">
      <c r="B231" t="s">
        <v>751</v>
      </c>
      <c r="C231" t="s">
        <v>752</v>
      </c>
      <c r="D231">
        <v>229</v>
      </c>
      <c r="E231">
        <v>229</v>
      </c>
      <c r="G231" t="s">
        <v>751</v>
      </c>
      <c r="H231" t="s">
        <v>752</v>
      </c>
      <c r="I231">
        <v>219</v>
      </c>
    </row>
    <row r="232" spans="2:9">
      <c r="B232" t="s">
        <v>754</v>
      </c>
      <c r="C232" t="s">
        <v>755</v>
      </c>
      <c r="D232">
        <v>230</v>
      </c>
      <c r="E232">
        <v>230</v>
      </c>
      <c r="G232" t="s">
        <v>754</v>
      </c>
      <c r="H232" t="s">
        <v>755</v>
      </c>
      <c r="I232">
        <v>220</v>
      </c>
    </row>
    <row r="233" spans="2:9">
      <c r="B233" t="s">
        <v>756</v>
      </c>
      <c r="C233" t="s">
        <v>757</v>
      </c>
      <c r="D233">
        <v>231</v>
      </c>
      <c r="E233">
        <v>231</v>
      </c>
      <c r="G233" t="s">
        <v>756</v>
      </c>
      <c r="H233" t="s">
        <v>757</v>
      </c>
      <c r="I233">
        <v>221</v>
      </c>
    </row>
    <row r="234" spans="2:9">
      <c r="B234" t="s">
        <v>758</v>
      </c>
      <c r="C234" t="s">
        <v>759</v>
      </c>
      <c r="D234">
        <v>232</v>
      </c>
      <c r="E234">
        <v>232</v>
      </c>
      <c r="G234" t="s">
        <v>758</v>
      </c>
      <c r="H234" t="s">
        <v>759</v>
      </c>
      <c r="I234">
        <v>222</v>
      </c>
    </row>
    <row r="235" spans="2:9">
      <c r="B235" t="s">
        <v>1668</v>
      </c>
      <c r="C235" t="s">
        <v>761</v>
      </c>
      <c r="D235">
        <v>233</v>
      </c>
      <c r="E235">
        <v>233</v>
      </c>
      <c r="G235" t="s">
        <v>1668</v>
      </c>
      <c r="H235" t="s">
        <v>761</v>
      </c>
      <c r="I235">
        <v>223</v>
      </c>
    </row>
    <row r="236" spans="2:9">
      <c r="B236" t="s">
        <v>763</v>
      </c>
      <c r="C236" t="s">
        <v>764</v>
      </c>
      <c r="D236">
        <v>234</v>
      </c>
      <c r="E236">
        <v>234</v>
      </c>
      <c r="G236" t="s">
        <v>763</v>
      </c>
      <c r="H236" t="s">
        <v>764</v>
      </c>
      <c r="I236">
        <v>224</v>
      </c>
    </row>
    <row r="237" spans="2:9">
      <c r="B237" t="s">
        <v>765</v>
      </c>
      <c r="C237" t="s">
        <v>766</v>
      </c>
      <c r="D237">
        <v>235</v>
      </c>
      <c r="E237">
        <v>235</v>
      </c>
      <c r="G237" t="s">
        <v>765</v>
      </c>
      <c r="H237" t="s">
        <v>766</v>
      </c>
      <c r="I237">
        <v>225</v>
      </c>
    </row>
    <row r="238" spans="2:9">
      <c r="B238" t="s">
        <v>767</v>
      </c>
      <c r="C238" t="s">
        <v>768</v>
      </c>
      <c r="D238">
        <v>236</v>
      </c>
      <c r="E238">
        <v>236</v>
      </c>
      <c r="G238" t="s">
        <v>767</v>
      </c>
      <c r="H238" t="s">
        <v>768</v>
      </c>
      <c r="I238">
        <v>226</v>
      </c>
    </row>
    <row r="239" spans="2:9">
      <c r="B239" t="s">
        <v>770</v>
      </c>
      <c r="C239" t="s">
        <v>771</v>
      </c>
      <c r="D239">
        <v>237</v>
      </c>
      <c r="E239">
        <v>237</v>
      </c>
      <c r="G239" t="s">
        <v>770</v>
      </c>
      <c r="H239" t="s">
        <v>771</v>
      </c>
      <c r="I239">
        <v>227</v>
      </c>
    </row>
    <row r="240" spans="2:9">
      <c r="B240" t="s">
        <v>1669</v>
      </c>
      <c r="C240" t="s">
        <v>1670</v>
      </c>
      <c r="D240">
        <v>238</v>
      </c>
      <c r="E240">
        <v>238</v>
      </c>
      <c r="G240" t="s">
        <v>1669</v>
      </c>
      <c r="H240" t="s">
        <v>1670</v>
      </c>
      <c r="I240">
        <v>228</v>
      </c>
    </row>
    <row r="241" spans="1:9">
      <c r="B241" t="s">
        <v>1671</v>
      </c>
      <c r="C241" t="s">
        <v>1672</v>
      </c>
      <c r="D241">
        <v>239</v>
      </c>
      <c r="E241">
        <v>239</v>
      </c>
      <c r="G241" t="s">
        <v>1671</v>
      </c>
      <c r="H241" t="s">
        <v>1672</v>
      </c>
      <c r="I241">
        <v>229</v>
      </c>
    </row>
    <row r="242" spans="1:9">
      <c r="B242" t="s">
        <v>777</v>
      </c>
      <c r="C242" t="s">
        <v>778</v>
      </c>
      <c r="D242">
        <v>240</v>
      </c>
      <c r="E242">
        <v>240</v>
      </c>
      <c r="G242" t="s">
        <v>777</v>
      </c>
      <c r="H242" t="s">
        <v>778</v>
      </c>
      <c r="I242">
        <v>230</v>
      </c>
    </row>
    <row r="243" spans="1:9">
      <c r="A243">
        <v>6</v>
      </c>
      <c r="B243" t="s">
        <v>780</v>
      </c>
      <c r="C243" t="s">
        <v>781</v>
      </c>
      <c r="D243">
        <v>241</v>
      </c>
      <c r="E243">
        <v>241</v>
      </c>
      <c r="G243" t="s">
        <v>780</v>
      </c>
      <c r="H243" t="s">
        <v>781</v>
      </c>
      <c r="I243">
        <v>231</v>
      </c>
    </row>
    <row r="244" spans="1:9">
      <c r="B244" t="s">
        <v>1673</v>
      </c>
      <c r="C244" t="s">
        <v>1674</v>
      </c>
      <c r="D244">
        <v>242</v>
      </c>
      <c r="E244">
        <v>242</v>
      </c>
      <c r="G244" t="s">
        <v>1673</v>
      </c>
      <c r="H244" t="s">
        <v>1674</v>
      </c>
      <c r="I244">
        <v>232</v>
      </c>
    </row>
    <row r="245" spans="1:9">
      <c r="B245" t="s">
        <v>1675</v>
      </c>
      <c r="C245" t="s">
        <v>1676</v>
      </c>
      <c r="D245">
        <v>243</v>
      </c>
      <c r="E245">
        <v>243</v>
      </c>
      <c r="G245" t="s">
        <v>1675</v>
      </c>
      <c r="H245" t="s">
        <v>1676</v>
      </c>
      <c r="I245">
        <v>233</v>
      </c>
    </row>
    <row r="246" spans="1:9">
      <c r="B246" t="s">
        <v>790</v>
      </c>
      <c r="C246" t="s">
        <v>791</v>
      </c>
      <c r="D246">
        <v>244</v>
      </c>
      <c r="E246">
        <v>244</v>
      </c>
      <c r="G246" t="s">
        <v>790</v>
      </c>
      <c r="H246" t="s">
        <v>791</v>
      </c>
      <c r="I246">
        <v>234</v>
      </c>
    </row>
    <row r="247" spans="1:9">
      <c r="B247" t="s">
        <v>792</v>
      </c>
      <c r="C247" t="s">
        <v>793</v>
      </c>
      <c r="D247">
        <v>245</v>
      </c>
      <c r="E247">
        <v>245</v>
      </c>
      <c r="G247" t="s">
        <v>792</v>
      </c>
      <c r="H247" t="s">
        <v>793</v>
      </c>
      <c r="I247">
        <v>235</v>
      </c>
    </row>
    <row r="248" spans="1:9">
      <c r="B248" t="s">
        <v>1677</v>
      </c>
      <c r="C248" t="s">
        <v>1678</v>
      </c>
      <c r="D248">
        <v>246</v>
      </c>
      <c r="E248">
        <v>246</v>
      </c>
      <c r="G248" t="s">
        <v>1677</v>
      </c>
      <c r="H248" t="s">
        <v>1678</v>
      </c>
      <c r="I248">
        <v>236</v>
      </c>
    </row>
    <row r="249" spans="1:9">
      <c r="B249" t="s">
        <v>1679</v>
      </c>
      <c r="C249" t="s">
        <v>798</v>
      </c>
      <c r="D249">
        <v>247</v>
      </c>
      <c r="E249">
        <v>247</v>
      </c>
      <c r="G249" t="s">
        <v>1679</v>
      </c>
      <c r="H249" t="s">
        <v>798</v>
      </c>
      <c r="I249">
        <v>237</v>
      </c>
    </row>
    <row r="250" spans="1:9">
      <c r="B250" t="s">
        <v>799</v>
      </c>
      <c r="C250" t="s">
        <v>800</v>
      </c>
      <c r="D250">
        <v>248</v>
      </c>
      <c r="E250">
        <v>248</v>
      </c>
      <c r="G250" t="s">
        <v>799</v>
      </c>
      <c r="H250" t="s">
        <v>800</v>
      </c>
      <c r="I250">
        <v>238</v>
      </c>
    </row>
    <row r="251" spans="1:9">
      <c r="B251" t="s">
        <v>1680</v>
      </c>
      <c r="C251" t="s">
        <v>1681</v>
      </c>
      <c r="D251">
        <v>249</v>
      </c>
      <c r="E251">
        <v>249</v>
      </c>
      <c r="G251" t="s">
        <v>1680</v>
      </c>
      <c r="H251" t="s">
        <v>1681</v>
      </c>
      <c r="I251">
        <v>239</v>
      </c>
    </row>
    <row r="252" spans="1:9">
      <c r="B252" t="s">
        <v>804</v>
      </c>
      <c r="C252" t="s">
        <v>805</v>
      </c>
      <c r="D252">
        <v>250</v>
      </c>
      <c r="E252">
        <v>250</v>
      </c>
      <c r="G252" t="s">
        <v>804</v>
      </c>
      <c r="H252" t="s">
        <v>805</v>
      </c>
      <c r="I252">
        <v>240</v>
      </c>
    </row>
    <row r="253" spans="1:9">
      <c r="B253" t="s">
        <v>806</v>
      </c>
      <c r="C253" t="s">
        <v>807</v>
      </c>
      <c r="D253">
        <v>251</v>
      </c>
      <c r="E253">
        <v>251</v>
      </c>
      <c r="G253" t="s">
        <v>806</v>
      </c>
      <c r="H253" t="s">
        <v>807</v>
      </c>
      <c r="I253">
        <v>241</v>
      </c>
    </row>
    <row r="254" spans="1:9">
      <c r="B254" t="s">
        <v>809</v>
      </c>
      <c r="C254" t="s">
        <v>810</v>
      </c>
      <c r="D254">
        <v>252</v>
      </c>
      <c r="E254">
        <v>252</v>
      </c>
      <c r="G254" t="s">
        <v>809</v>
      </c>
      <c r="H254" t="s">
        <v>810</v>
      </c>
      <c r="I254">
        <v>242</v>
      </c>
    </row>
    <row r="255" spans="1:9">
      <c r="B255" t="s">
        <v>811</v>
      </c>
      <c r="C255" t="s">
        <v>812</v>
      </c>
      <c r="D255">
        <v>253</v>
      </c>
      <c r="E255">
        <v>253</v>
      </c>
      <c r="G255" t="s">
        <v>811</v>
      </c>
      <c r="H255" t="s">
        <v>812</v>
      </c>
      <c r="I255">
        <v>243</v>
      </c>
    </row>
    <row r="256" spans="1:9">
      <c r="B256" t="s">
        <v>1682</v>
      </c>
      <c r="C256" t="s">
        <v>1683</v>
      </c>
      <c r="D256">
        <v>254</v>
      </c>
      <c r="E256">
        <v>254</v>
      </c>
      <c r="G256" t="s">
        <v>1682</v>
      </c>
      <c r="H256" t="s">
        <v>1683</v>
      </c>
      <c r="I256">
        <v>244</v>
      </c>
    </row>
    <row r="257" spans="2:9">
      <c r="B257" t="s">
        <v>815</v>
      </c>
      <c r="C257" t="s">
        <v>816</v>
      </c>
      <c r="D257">
        <v>255</v>
      </c>
      <c r="E257">
        <v>255</v>
      </c>
      <c r="G257" t="s">
        <v>815</v>
      </c>
      <c r="H257" t="s">
        <v>816</v>
      </c>
      <c r="I257">
        <v>245</v>
      </c>
    </row>
    <row r="258" spans="2:9">
      <c r="B258" t="s">
        <v>818</v>
      </c>
      <c r="C258" t="s">
        <v>819</v>
      </c>
      <c r="D258">
        <v>256</v>
      </c>
      <c r="E258">
        <v>256</v>
      </c>
      <c r="G258" t="s">
        <v>818</v>
      </c>
      <c r="H258" t="s">
        <v>819</v>
      </c>
      <c r="I258">
        <v>246</v>
      </c>
    </row>
    <row r="259" spans="2:9">
      <c r="B259" t="s">
        <v>820</v>
      </c>
      <c r="C259" t="s">
        <v>821</v>
      </c>
      <c r="D259">
        <v>257</v>
      </c>
      <c r="E259">
        <v>257</v>
      </c>
      <c r="G259" t="s">
        <v>820</v>
      </c>
      <c r="H259" t="s">
        <v>821</v>
      </c>
      <c r="I259">
        <v>247</v>
      </c>
    </row>
    <row r="260" spans="2:9">
      <c r="B260" t="s">
        <v>822</v>
      </c>
      <c r="C260" t="s">
        <v>823</v>
      </c>
      <c r="D260">
        <v>258</v>
      </c>
      <c r="E260">
        <v>258</v>
      </c>
      <c r="G260" t="s">
        <v>822</v>
      </c>
      <c r="H260" t="s">
        <v>823</v>
      </c>
      <c r="I260">
        <v>248</v>
      </c>
    </row>
    <row r="261" spans="2:9">
      <c r="B261" t="s">
        <v>824</v>
      </c>
      <c r="C261" t="s">
        <v>825</v>
      </c>
      <c r="D261">
        <v>259</v>
      </c>
      <c r="E261">
        <v>259</v>
      </c>
      <c r="G261" t="s">
        <v>824</v>
      </c>
      <c r="H261" t="s">
        <v>825</v>
      </c>
      <c r="I261">
        <v>249</v>
      </c>
    </row>
    <row r="262" spans="2:9">
      <c r="B262" t="s">
        <v>826</v>
      </c>
      <c r="C262" t="s">
        <v>827</v>
      </c>
      <c r="D262">
        <v>260</v>
      </c>
      <c r="E262">
        <v>260</v>
      </c>
      <c r="G262" t="s">
        <v>826</v>
      </c>
      <c r="H262" t="s">
        <v>827</v>
      </c>
      <c r="I262">
        <v>250</v>
      </c>
    </row>
    <row r="263" spans="2:9">
      <c r="B263" t="s">
        <v>828</v>
      </c>
      <c r="C263" t="s">
        <v>829</v>
      </c>
      <c r="D263">
        <v>261</v>
      </c>
      <c r="E263">
        <v>261</v>
      </c>
      <c r="G263" t="s">
        <v>828</v>
      </c>
      <c r="H263" t="s">
        <v>829</v>
      </c>
      <c r="I263">
        <v>251</v>
      </c>
    </row>
    <row r="264" spans="2:9">
      <c r="B264" t="s">
        <v>1684</v>
      </c>
      <c r="C264" t="s">
        <v>831</v>
      </c>
      <c r="D264">
        <v>262</v>
      </c>
      <c r="E264">
        <v>262</v>
      </c>
      <c r="G264" t="s">
        <v>1684</v>
      </c>
      <c r="H264" t="s">
        <v>831</v>
      </c>
      <c r="I264">
        <v>252</v>
      </c>
    </row>
    <row r="265" spans="2:9">
      <c r="B265" t="s">
        <v>832</v>
      </c>
      <c r="C265" t="s">
        <v>833</v>
      </c>
      <c r="D265">
        <v>263</v>
      </c>
      <c r="E265">
        <v>263</v>
      </c>
      <c r="G265" t="s">
        <v>832</v>
      </c>
      <c r="H265" t="s">
        <v>833</v>
      </c>
      <c r="I265">
        <v>253</v>
      </c>
    </row>
    <row r="266" spans="2:9">
      <c r="B266" t="s">
        <v>834</v>
      </c>
      <c r="C266" t="s">
        <v>835</v>
      </c>
      <c r="D266">
        <v>264</v>
      </c>
      <c r="E266">
        <v>264</v>
      </c>
      <c r="G266" t="s">
        <v>834</v>
      </c>
      <c r="H266" t="s">
        <v>835</v>
      </c>
      <c r="I266">
        <v>254</v>
      </c>
    </row>
    <row r="267" spans="2:9">
      <c r="B267" t="s">
        <v>1685</v>
      </c>
      <c r="C267" t="s">
        <v>838</v>
      </c>
      <c r="D267">
        <v>265</v>
      </c>
      <c r="E267">
        <v>265</v>
      </c>
      <c r="G267" t="s">
        <v>1685</v>
      </c>
      <c r="H267" t="s">
        <v>838</v>
      </c>
      <c r="I267">
        <v>255</v>
      </c>
    </row>
    <row r="268" spans="2:9">
      <c r="B268" t="s">
        <v>839</v>
      </c>
      <c r="C268" t="s">
        <v>840</v>
      </c>
      <c r="D268">
        <v>266</v>
      </c>
      <c r="E268">
        <v>266</v>
      </c>
      <c r="G268" t="s">
        <v>839</v>
      </c>
      <c r="H268" t="s">
        <v>840</v>
      </c>
      <c r="I268">
        <v>256</v>
      </c>
    </row>
    <row r="269" spans="2:9">
      <c r="B269" t="s">
        <v>1686</v>
      </c>
      <c r="C269" t="s">
        <v>1687</v>
      </c>
      <c r="D269">
        <v>267</v>
      </c>
      <c r="E269">
        <v>267</v>
      </c>
      <c r="G269" t="s">
        <v>1686</v>
      </c>
      <c r="H269" t="s">
        <v>1687</v>
      </c>
      <c r="I269">
        <v>257</v>
      </c>
    </row>
    <row r="270" spans="2:9">
      <c r="B270" t="s">
        <v>843</v>
      </c>
      <c r="C270" t="s">
        <v>844</v>
      </c>
      <c r="D270">
        <v>268</v>
      </c>
      <c r="E270">
        <v>268</v>
      </c>
      <c r="G270" t="s">
        <v>843</v>
      </c>
      <c r="H270" t="s">
        <v>844</v>
      </c>
      <c r="I270">
        <v>258</v>
      </c>
    </row>
    <row r="271" spans="2:9">
      <c r="B271" t="s">
        <v>1688</v>
      </c>
      <c r="C271" t="s">
        <v>846</v>
      </c>
      <c r="D271">
        <v>269</v>
      </c>
      <c r="E271">
        <v>269</v>
      </c>
      <c r="G271" t="s">
        <v>1688</v>
      </c>
      <c r="H271" t="s">
        <v>846</v>
      </c>
      <c r="I271">
        <v>259</v>
      </c>
    </row>
    <row r="272" spans="2:9">
      <c r="B272" t="s">
        <v>847</v>
      </c>
      <c r="C272" t="s">
        <v>848</v>
      </c>
      <c r="D272">
        <v>270</v>
      </c>
      <c r="E272">
        <v>270</v>
      </c>
      <c r="G272" t="s">
        <v>847</v>
      </c>
      <c r="H272" t="s">
        <v>848</v>
      </c>
      <c r="I272">
        <v>260</v>
      </c>
    </row>
    <row r="273" spans="2:9">
      <c r="B273" t="s">
        <v>849</v>
      </c>
      <c r="C273" t="s">
        <v>850</v>
      </c>
      <c r="D273">
        <v>271</v>
      </c>
      <c r="E273">
        <v>271</v>
      </c>
      <c r="G273" t="s">
        <v>849</v>
      </c>
      <c r="H273" t="s">
        <v>850</v>
      </c>
      <c r="I273">
        <v>261</v>
      </c>
    </row>
    <row r="274" spans="2:9">
      <c r="B274" t="s">
        <v>1689</v>
      </c>
      <c r="C274" t="s">
        <v>852</v>
      </c>
      <c r="D274">
        <v>272</v>
      </c>
      <c r="E274">
        <v>272</v>
      </c>
      <c r="G274" t="s">
        <v>1689</v>
      </c>
      <c r="H274" t="s">
        <v>852</v>
      </c>
      <c r="I274">
        <v>262</v>
      </c>
    </row>
    <row r="275" spans="2:9">
      <c r="B275" t="s">
        <v>853</v>
      </c>
      <c r="C275" t="s">
        <v>854</v>
      </c>
      <c r="D275">
        <v>273</v>
      </c>
      <c r="E275">
        <v>273</v>
      </c>
      <c r="G275" t="s">
        <v>853</v>
      </c>
      <c r="H275" t="s">
        <v>854</v>
      </c>
      <c r="I275">
        <v>263</v>
      </c>
    </row>
    <row r="276" spans="2:9">
      <c r="B276" t="s">
        <v>856</v>
      </c>
      <c r="C276" t="s">
        <v>857</v>
      </c>
      <c r="D276">
        <v>274</v>
      </c>
      <c r="E276">
        <v>274</v>
      </c>
      <c r="G276" t="s">
        <v>856</v>
      </c>
      <c r="H276" t="s">
        <v>857</v>
      </c>
      <c r="I276">
        <v>264</v>
      </c>
    </row>
    <row r="277" spans="2:9">
      <c r="B277" t="s">
        <v>858</v>
      </c>
      <c r="C277" t="s">
        <v>859</v>
      </c>
      <c r="D277">
        <v>275</v>
      </c>
      <c r="E277">
        <v>275</v>
      </c>
      <c r="G277" t="s">
        <v>858</v>
      </c>
      <c r="H277" t="s">
        <v>859</v>
      </c>
      <c r="I277">
        <v>265</v>
      </c>
    </row>
    <row r="278" spans="2:9">
      <c r="B278" t="s">
        <v>1690</v>
      </c>
      <c r="C278" t="s">
        <v>1691</v>
      </c>
      <c r="D278">
        <v>276</v>
      </c>
      <c r="E278">
        <v>276</v>
      </c>
      <c r="G278" t="s">
        <v>1690</v>
      </c>
      <c r="H278" t="s">
        <v>1691</v>
      </c>
      <c r="I278">
        <v>266</v>
      </c>
    </row>
    <row r="279" spans="2:9">
      <c r="B279" t="s">
        <v>863</v>
      </c>
      <c r="C279" t="s">
        <v>864</v>
      </c>
      <c r="D279">
        <v>277</v>
      </c>
      <c r="E279">
        <v>277</v>
      </c>
      <c r="G279" t="s">
        <v>863</v>
      </c>
      <c r="H279" t="s">
        <v>864</v>
      </c>
      <c r="I279">
        <v>267</v>
      </c>
    </row>
    <row r="280" spans="2:9">
      <c r="B280" t="s">
        <v>865</v>
      </c>
      <c r="C280" t="s">
        <v>866</v>
      </c>
      <c r="D280">
        <v>278</v>
      </c>
      <c r="E280">
        <v>278</v>
      </c>
      <c r="G280" t="s">
        <v>865</v>
      </c>
      <c r="H280" t="s">
        <v>866</v>
      </c>
      <c r="I280">
        <v>268</v>
      </c>
    </row>
    <row r="281" spans="2:9">
      <c r="B281" t="s">
        <v>868</v>
      </c>
      <c r="C281" t="s">
        <v>869</v>
      </c>
      <c r="D281">
        <v>279</v>
      </c>
      <c r="E281">
        <v>279</v>
      </c>
      <c r="G281" t="s">
        <v>868</v>
      </c>
      <c r="H281" t="s">
        <v>869</v>
      </c>
      <c r="I281">
        <v>269</v>
      </c>
    </row>
    <row r="282" spans="2:9">
      <c r="B282" t="s">
        <v>1692</v>
      </c>
      <c r="C282" t="s">
        <v>1693</v>
      </c>
      <c r="D282">
        <v>280</v>
      </c>
      <c r="E282">
        <v>280</v>
      </c>
      <c r="G282" t="s">
        <v>1692</v>
      </c>
      <c r="H282" t="s">
        <v>1693</v>
      </c>
      <c r="I282">
        <v>270</v>
      </c>
    </row>
    <row r="283" spans="2:9">
      <c r="B283" t="s">
        <v>872</v>
      </c>
      <c r="C283" t="s">
        <v>873</v>
      </c>
      <c r="D283">
        <v>281</v>
      </c>
      <c r="E283">
        <v>281</v>
      </c>
      <c r="G283" t="s">
        <v>872</v>
      </c>
      <c r="H283" t="s">
        <v>873</v>
      </c>
      <c r="I283">
        <v>271</v>
      </c>
    </row>
    <row r="284" spans="2:9">
      <c r="B284" t="s">
        <v>874</v>
      </c>
      <c r="C284" t="s">
        <v>875</v>
      </c>
      <c r="D284">
        <v>282</v>
      </c>
      <c r="E284">
        <v>282</v>
      </c>
      <c r="G284" t="s">
        <v>874</v>
      </c>
      <c r="H284" t="s">
        <v>875</v>
      </c>
      <c r="I284">
        <v>272</v>
      </c>
    </row>
    <row r="285" spans="2:9">
      <c r="B285" t="s">
        <v>876</v>
      </c>
      <c r="C285" t="s">
        <v>877</v>
      </c>
      <c r="D285">
        <v>283</v>
      </c>
      <c r="E285">
        <v>283</v>
      </c>
      <c r="G285" t="s">
        <v>876</v>
      </c>
      <c r="H285" t="s">
        <v>877</v>
      </c>
      <c r="I285">
        <v>273</v>
      </c>
    </row>
    <row r="286" spans="2:9">
      <c r="B286" t="s">
        <v>878</v>
      </c>
      <c r="C286" t="s">
        <v>879</v>
      </c>
      <c r="D286">
        <v>284</v>
      </c>
      <c r="E286">
        <v>284</v>
      </c>
      <c r="G286" t="s">
        <v>878</v>
      </c>
      <c r="H286" t="s">
        <v>879</v>
      </c>
      <c r="I286">
        <v>274</v>
      </c>
    </row>
    <row r="287" spans="2:9">
      <c r="B287" t="s">
        <v>880</v>
      </c>
      <c r="C287" t="s">
        <v>881</v>
      </c>
      <c r="D287">
        <v>285</v>
      </c>
      <c r="E287">
        <v>285</v>
      </c>
      <c r="G287" t="s">
        <v>880</v>
      </c>
      <c r="H287" t="s">
        <v>881</v>
      </c>
      <c r="I287">
        <v>275</v>
      </c>
    </row>
    <row r="288" spans="2:9">
      <c r="B288" t="s">
        <v>882</v>
      </c>
      <c r="C288" t="s">
        <v>883</v>
      </c>
      <c r="D288">
        <v>286</v>
      </c>
      <c r="E288">
        <v>286</v>
      </c>
      <c r="G288" t="s">
        <v>882</v>
      </c>
      <c r="H288" t="s">
        <v>883</v>
      </c>
      <c r="I288">
        <v>276</v>
      </c>
    </row>
    <row r="289" spans="1:9">
      <c r="B289" t="s">
        <v>1694</v>
      </c>
      <c r="C289" t="s">
        <v>1695</v>
      </c>
      <c r="D289">
        <v>287</v>
      </c>
      <c r="E289">
        <v>287</v>
      </c>
      <c r="G289" t="s">
        <v>1694</v>
      </c>
      <c r="H289" t="s">
        <v>1695</v>
      </c>
      <c r="I289">
        <v>277</v>
      </c>
    </row>
    <row r="290" spans="1:9">
      <c r="B290" t="s">
        <v>1696</v>
      </c>
      <c r="C290" t="s">
        <v>1697</v>
      </c>
      <c r="D290">
        <v>288</v>
      </c>
      <c r="E290">
        <v>288</v>
      </c>
      <c r="G290" t="s">
        <v>1696</v>
      </c>
      <c r="H290" t="s">
        <v>1697</v>
      </c>
      <c r="I290">
        <v>278</v>
      </c>
    </row>
    <row r="291" spans="1:9">
      <c r="A291">
        <v>7</v>
      </c>
      <c r="B291" t="s">
        <v>1698</v>
      </c>
      <c r="C291" t="s">
        <v>1699</v>
      </c>
      <c r="D291">
        <v>289</v>
      </c>
      <c r="E291">
        <v>289</v>
      </c>
      <c r="G291" t="s">
        <v>1698</v>
      </c>
      <c r="H291" t="s">
        <v>1699</v>
      </c>
      <c r="I291">
        <v>279</v>
      </c>
    </row>
    <row r="292" spans="1:9">
      <c r="B292" t="s">
        <v>890</v>
      </c>
      <c r="C292" t="s">
        <v>891</v>
      </c>
      <c r="D292">
        <v>290</v>
      </c>
      <c r="E292">
        <v>290</v>
      </c>
      <c r="G292" t="s">
        <v>890</v>
      </c>
      <c r="H292" t="s">
        <v>891</v>
      </c>
      <c r="I292">
        <v>280</v>
      </c>
    </row>
    <row r="293" spans="1:9">
      <c r="B293" t="s">
        <v>1700</v>
      </c>
      <c r="C293" t="s">
        <v>1701</v>
      </c>
      <c r="D293">
        <v>291</v>
      </c>
      <c r="E293">
        <v>291</v>
      </c>
      <c r="G293" t="s">
        <v>1700</v>
      </c>
      <c r="H293" t="s">
        <v>1701</v>
      </c>
      <c r="I293">
        <v>281</v>
      </c>
    </row>
    <row r="294" spans="1:9">
      <c r="B294" t="s">
        <v>1702</v>
      </c>
      <c r="C294" t="s">
        <v>1703</v>
      </c>
      <c r="D294">
        <v>292</v>
      </c>
      <c r="E294">
        <v>292</v>
      </c>
      <c r="G294" t="s">
        <v>1702</v>
      </c>
      <c r="H294" t="s">
        <v>1703</v>
      </c>
      <c r="I294">
        <v>282</v>
      </c>
    </row>
    <row r="295" spans="1:9">
      <c r="B295" t="s">
        <v>714</v>
      </c>
      <c r="C295" t="s">
        <v>715</v>
      </c>
      <c r="D295">
        <v>293</v>
      </c>
      <c r="E295">
        <v>293</v>
      </c>
      <c r="G295" t="s">
        <v>714</v>
      </c>
      <c r="H295" t="s">
        <v>715</v>
      </c>
      <c r="I295">
        <v>283</v>
      </c>
    </row>
    <row r="296" spans="1:9">
      <c r="B296" t="s">
        <v>899</v>
      </c>
      <c r="C296" t="s">
        <v>900</v>
      </c>
      <c r="D296">
        <v>294</v>
      </c>
      <c r="E296">
        <v>294</v>
      </c>
      <c r="G296" t="s">
        <v>899</v>
      </c>
      <c r="H296" t="s">
        <v>900</v>
      </c>
      <c r="I296">
        <v>284</v>
      </c>
    </row>
    <row r="297" spans="1:9">
      <c r="B297" t="s">
        <v>1704</v>
      </c>
      <c r="C297" t="s">
        <v>1705</v>
      </c>
      <c r="D297">
        <v>295</v>
      </c>
      <c r="E297">
        <v>295</v>
      </c>
      <c r="G297" t="s">
        <v>1704</v>
      </c>
      <c r="H297" t="s">
        <v>1705</v>
      </c>
      <c r="I297">
        <v>285</v>
      </c>
    </row>
    <row r="298" spans="1:9">
      <c r="B298" t="s">
        <v>903</v>
      </c>
      <c r="C298" t="s">
        <v>904</v>
      </c>
      <c r="D298">
        <v>296</v>
      </c>
      <c r="E298">
        <v>296</v>
      </c>
      <c r="G298" t="s">
        <v>903</v>
      </c>
      <c r="H298" t="s">
        <v>904</v>
      </c>
      <c r="I298">
        <v>286</v>
      </c>
    </row>
    <row r="299" spans="1:9">
      <c r="B299" t="s">
        <v>1706</v>
      </c>
      <c r="C299" t="s">
        <v>906</v>
      </c>
      <c r="D299">
        <v>297</v>
      </c>
      <c r="E299">
        <v>297</v>
      </c>
      <c r="G299" t="s">
        <v>1706</v>
      </c>
      <c r="H299" t="s">
        <v>906</v>
      </c>
      <c r="I299">
        <v>287</v>
      </c>
    </row>
    <row r="300" spans="1:9">
      <c r="B300" t="s">
        <v>907</v>
      </c>
      <c r="C300" t="s">
        <v>908</v>
      </c>
      <c r="D300">
        <v>298</v>
      </c>
      <c r="E300">
        <v>298</v>
      </c>
      <c r="G300" t="s">
        <v>907</v>
      </c>
      <c r="H300" t="s">
        <v>908</v>
      </c>
      <c r="I300">
        <v>288</v>
      </c>
    </row>
    <row r="301" spans="1:9">
      <c r="B301" t="s">
        <v>909</v>
      </c>
      <c r="C301" t="s">
        <v>910</v>
      </c>
      <c r="D301">
        <v>299</v>
      </c>
      <c r="E301">
        <v>299</v>
      </c>
      <c r="G301" t="s">
        <v>909</v>
      </c>
      <c r="H301" t="s">
        <v>910</v>
      </c>
      <c r="I301">
        <v>299</v>
      </c>
    </row>
    <row r="302" spans="1:9">
      <c r="B302" t="s">
        <v>911</v>
      </c>
      <c r="C302" t="s">
        <v>912</v>
      </c>
      <c r="D302">
        <v>300</v>
      </c>
      <c r="E302">
        <v>300</v>
      </c>
      <c r="G302" t="s">
        <v>911</v>
      </c>
      <c r="H302" t="s">
        <v>912</v>
      </c>
      <c r="I302">
        <v>300</v>
      </c>
    </row>
    <row r="303" spans="1:9">
      <c r="B303" t="s">
        <v>913</v>
      </c>
      <c r="C303" t="s">
        <v>914</v>
      </c>
      <c r="D303">
        <v>301</v>
      </c>
      <c r="E303">
        <v>301</v>
      </c>
      <c r="G303" t="s">
        <v>913</v>
      </c>
      <c r="H303" t="s">
        <v>914</v>
      </c>
      <c r="I303">
        <v>301</v>
      </c>
    </row>
    <row r="304" spans="1:9">
      <c r="B304" t="s">
        <v>915</v>
      </c>
      <c r="C304" t="s">
        <v>916</v>
      </c>
      <c r="D304">
        <v>302</v>
      </c>
      <c r="E304">
        <v>302</v>
      </c>
      <c r="G304" t="s">
        <v>915</v>
      </c>
      <c r="H304" t="s">
        <v>916</v>
      </c>
      <c r="I304">
        <v>302</v>
      </c>
    </row>
    <row r="305" spans="2:9">
      <c r="B305" t="s">
        <v>917</v>
      </c>
      <c r="C305" t="s">
        <v>918</v>
      </c>
      <c r="D305">
        <v>303</v>
      </c>
      <c r="E305">
        <v>303</v>
      </c>
      <c r="G305" t="s">
        <v>917</v>
      </c>
      <c r="H305" t="s">
        <v>918</v>
      </c>
      <c r="I305">
        <v>303</v>
      </c>
    </row>
    <row r="306" spans="2:9">
      <c r="B306" t="s">
        <v>919</v>
      </c>
      <c r="C306" t="s">
        <v>920</v>
      </c>
      <c r="D306">
        <v>304</v>
      </c>
      <c r="E306">
        <v>304</v>
      </c>
      <c r="G306" t="s">
        <v>919</v>
      </c>
      <c r="H306" t="s">
        <v>920</v>
      </c>
      <c r="I306">
        <v>304</v>
      </c>
    </row>
    <row r="307" spans="2:9">
      <c r="B307" t="s">
        <v>1707</v>
      </c>
      <c r="C307" t="s">
        <v>1708</v>
      </c>
      <c r="D307">
        <v>305</v>
      </c>
      <c r="E307">
        <v>305</v>
      </c>
      <c r="G307" t="s">
        <v>1707</v>
      </c>
      <c r="H307" t="s">
        <v>1708</v>
      </c>
      <c r="I307">
        <v>305</v>
      </c>
    </row>
    <row r="308" spans="2:9">
      <c r="B308" t="s">
        <v>924</v>
      </c>
      <c r="C308" t="s">
        <v>925</v>
      </c>
      <c r="D308">
        <v>306</v>
      </c>
      <c r="E308">
        <v>306</v>
      </c>
      <c r="G308" t="s">
        <v>924</v>
      </c>
      <c r="H308" t="s">
        <v>925</v>
      </c>
      <c r="I308">
        <v>306</v>
      </c>
    </row>
    <row r="309" spans="2:9">
      <c r="B309" t="s">
        <v>926</v>
      </c>
      <c r="C309" t="s">
        <v>927</v>
      </c>
      <c r="D309">
        <v>307</v>
      </c>
      <c r="E309">
        <v>307</v>
      </c>
      <c r="G309" t="s">
        <v>926</v>
      </c>
      <c r="H309" t="s">
        <v>927</v>
      </c>
      <c r="I309">
        <v>307</v>
      </c>
    </row>
    <row r="310" spans="2:9">
      <c r="B310" t="s">
        <v>928</v>
      </c>
      <c r="C310" t="s">
        <v>929</v>
      </c>
      <c r="D310">
        <v>308</v>
      </c>
      <c r="E310">
        <v>308</v>
      </c>
      <c r="G310" t="s">
        <v>928</v>
      </c>
      <c r="H310" t="s">
        <v>929</v>
      </c>
      <c r="I310">
        <v>308</v>
      </c>
    </row>
    <row r="311" spans="2:9">
      <c r="B311" t="s">
        <v>930</v>
      </c>
      <c r="C311" t="s">
        <v>931</v>
      </c>
      <c r="D311">
        <v>309</v>
      </c>
      <c r="E311">
        <v>309</v>
      </c>
      <c r="G311" t="s">
        <v>930</v>
      </c>
      <c r="H311" t="s">
        <v>931</v>
      </c>
      <c r="I311">
        <v>309</v>
      </c>
    </row>
    <row r="312" spans="2:9">
      <c r="B312" t="s">
        <v>932</v>
      </c>
      <c r="C312" t="s">
        <v>933</v>
      </c>
      <c r="D312">
        <v>310</v>
      </c>
      <c r="E312">
        <v>310</v>
      </c>
      <c r="G312" t="s">
        <v>932</v>
      </c>
      <c r="H312" t="s">
        <v>933</v>
      </c>
      <c r="I312">
        <v>310</v>
      </c>
    </row>
    <row r="313" spans="2:9">
      <c r="B313" t="s">
        <v>1709</v>
      </c>
      <c r="C313" t="s">
        <v>1710</v>
      </c>
      <c r="D313">
        <v>311</v>
      </c>
      <c r="E313">
        <v>311</v>
      </c>
      <c r="G313" t="s">
        <v>1709</v>
      </c>
      <c r="H313" t="s">
        <v>1710</v>
      </c>
      <c r="I313">
        <v>311</v>
      </c>
    </row>
    <row r="314" spans="2:9">
      <c r="B314" t="s">
        <v>936</v>
      </c>
      <c r="C314" t="s">
        <v>937</v>
      </c>
      <c r="D314">
        <v>312</v>
      </c>
      <c r="E314">
        <v>312</v>
      </c>
      <c r="G314" t="s">
        <v>936</v>
      </c>
      <c r="H314" t="s">
        <v>937</v>
      </c>
      <c r="I314">
        <v>312</v>
      </c>
    </row>
    <row r="315" spans="2:9">
      <c r="B315" t="s">
        <v>1711</v>
      </c>
      <c r="C315" t="s">
        <v>939</v>
      </c>
      <c r="D315">
        <v>313</v>
      </c>
      <c r="E315">
        <v>313</v>
      </c>
      <c r="G315" t="s">
        <v>1711</v>
      </c>
      <c r="H315" t="s">
        <v>939</v>
      </c>
      <c r="I315">
        <v>313</v>
      </c>
    </row>
    <row r="316" spans="2:9">
      <c r="B316" t="s">
        <v>1712</v>
      </c>
      <c r="C316" t="s">
        <v>1713</v>
      </c>
      <c r="D316">
        <v>314</v>
      </c>
      <c r="E316">
        <v>314</v>
      </c>
      <c r="G316" t="s">
        <v>1712</v>
      </c>
      <c r="H316" t="s">
        <v>1713</v>
      </c>
      <c r="I316">
        <v>314</v>
      </c>
    </row>
    <row r="317" spans="2:9">
      <c r="B317" t="s">
        <v>1714</v>
      </c>
      <c r="C317" t="s">
        <v>1715</v>
      </c>
      <c r="D317">
        <v>315</v>
      </c>
      <c r="E317">
        <v>315</v>
      </c>
      <c r="G317" t="s">
        <v>1714</v>
      </c>
      <c r="H317" t="s">
        <v>1715</v>
      </c>
      <c r="I317">
        <v>315</v>
      </c>
    </row>
    <row r="318" spans="2:9">
      <c r="B318" t="s">
        <v>1716</v>
      </c>
      <c r="C318" t="s">
        <v>1717</v>
      </c>
      <c r="D318">
        <v>316</v>
      </c>
      <c r="E318">
        <v>316</v>
      </c>
      <c r="G318" t="s">
        <v>1716</v>
      </c>
      <c r="H318" t="s">
        <v>1717</v>
      </c>
      <c r="I318">
        <v>316</v>
      </c>
    </row>
    <row r="319" spans="2:9">
      <c r="B319" t="s">
        <v>1718</v>
      </c>
      <c r="C319" t="s">
        <v>1719</v>
      </c>
      <c r="D319">
        <v>317</v>
      </c>
      <c r="E319">
        <v>317</v>
      </c>
      <c r="G319" t="s">
        <v>1718</v>
      </c>
      <c r="H319" t="s">
        <v>1719</v>
      </c>
      <c r="I319">
        <v>317</v>
      </c>
    </row>
    <row r="320" spans="2:9">
      <c r="B320" t="s">
        <v>948</v>
      </c>
      <c r="C320" t="s">
        <v>949</v>
      </c>
      <c r="D320">
        <v>318</v>
      </c>
      <c r="E320">
        <v>318</v>
      </c>
      <c r="G320" t="s">
        <v>948</v>
      </c>
      <c r="H320" t="s">
        <v>949</v>
      </c>
      <c r="I320">
        <v>318</v>
      </c>
    </row>
    <row r="321" spans="2:9">
      <c r="B321" t="s">
        <v>950</v>
      </c>
      <c r="C321" t="s">
        <v>951</v>
      </c>
      <c r="D321">
        <v>319</v>
      </c>
      <c r="E321">
        <v>319</v>
      </c>
      <c r="G321" t="s">
        <v>950</v>
      </c>
      <c r="H321" t="s">
        <v>951</v>
      </c>
      <c r="I321">
        <v>319</v>
      </c>
    </row>
    <row r="322" spans="2:9">
      <c r="B322" t="s">
        <v>986</v>
      </c>
      <c r="C322" t="s">
        <v>987</v>
      </c>
      <c r="D322">
        <v>320</v>
      </c>
      <c r="E322">
        <v>320</v>
      </c>
      <c r="G322" t="s">
        <v>986</v>
      </c>
      <c r="H322" t="s">
        <v>987</v>
      </c>
      <c r="I322">
        <v>320</v>
      </c>
    </row>
    <row r="323" spans="2:9">
      <c r="B323" t="s">
        <v>1720</v>
      </c>
      <c r="C323" t="s">
        <v>1721</v>
      </c>
      <c r="D323">
        <v>321</v>
      </c>
      <c r="E323">
        <v>321</v>
      </c>
      <c r="G323" t="s">
        <v>1720</v>
      </c>
      <c r="H323" t="s">
        <v>1721</v>
      </c>
      <c r="I323">
        <v>321</v>
      </c>
    </row>
    <row r="324" spans="2:9">
      <c r="B324" t="s">
        <v>956</v>
      </c>
      <c r="C324" t="s">
        <v>957</v>
      </c>
      <c r="D324">
        <v>322</v>
      </c>
      <c r="E324">
        <v>322</v>
      </c>
      <c r="G324" t="s">
        <v>956</v>
      </c>
      <c r="H324" t="s">
        <v>957</v>
      </c>
      <c r="I324">
        <v>322</v>
      </c>
    </row>
    <row r="325" spans="2:9">
      <c r="B325" t="s">
        <v>1722</v>
      </c>
      <c r="C325" t="s">
        <v>959</v>
      </c>
      <c r="D325">
        <v>323</v>
      </c>
      <c r="E325">
        <v>323</v>
      </c>
      <c r="G325" t="s">
        <v>1722</v>
      </c>
      <c r="H325" t="s">
        <v>959</v>
      </c>
      <c r="I325">
        <v>323</v>
      </c>
    </row>
    <row r="326" spans="2:9">
      <c r="B326" t="s">
        <v>1723</v>
      </c>
      <c r="C326" t="s">
        <v>961</v>
      </c>
      <c r="D326">
        <v>324</v>
      </c>
      <c r="E326">
        <v>324</v>
      </c>
      <c r="G326" t="s">
        <v>1723</v>
      </c>
      <c r="H326" t="s">
        <v>961</v>
      </c>
      <c r="I326">
        <v>324</v>
      </c>
    </row>
    <row r="327" spans="2:9">
      <c r="B327" t="s">
        <v>1724</v>
      </c>
      <c r="C327" t="s">
        <v>1725</v>
      </c>
      <c r="D327">
        <v>325</v>
      </c>
      <c r="E327">
        <v>325</v>
      </c>
      <c r="G327" t="s">
        <v>1724</v>
      </c>
      <c r="H327" t="s">
        <v>1725</v>
      </c>
      <c r="I327">
        <v>325</v>
      </c>
    </row>
    <row r="328" spans="2:9">
      <c r="B328" t="s">
        <v>964</v>
      </c>
      <c r="C328" t="s">
        <v>965</v>
      </c>
      <c r="D328">
        <v>326</v>
      </c>
      <c r="E328">
        <v>326</v>
      </c>
      <c r="G328" t="s">
        <v>964</v>
      </c>
      <c r="H328" t="s">
        <v>965</v>
      </c>
      <c r="I328">
        <v>326</v>
      </c>
    </row>
    <row r="329" spans="2:9">
      <c r="B329" t="s">
        <v>966</v>
      </c>
      <c r="C329" t="s">
        <v>967</v>
      </c>
      <c r="D329">
        <v>327</v>
      </c>
      <c r="E329">
        <v>327</v>
      </c>
      <c r="G329" t="s">
        <v>966</v>
      </c>
      <c r="H329" t="s">
        <v>967</v>
      </c>
      <c r="I329">
        <v>327</v>
      </c>
    </row>
    <row r="330" spans="2:9">
      <c r="B330" t="s">
        <v>1726</v>
      </c>
      <c r="C330" t="s">
        <v>969</v>
      </c>
      <c r="D330">
        <v>328</v>
      </c>
      <c r="E330">
        <v>328</v>
      </c>
      <c r="G330" t="s">
        <v>1726</v>
      </c>
      <c r="H330" t="s">
        <v>969</v>
      </c>
      <c r="I330">
        <v>328</v>
      </c>
    </row>
    <row r="331" spans="2:9">
      <c r="B331" t="s">
        <v>970</v>
      </c>
      <c r="C331" t="s">
        <v>971</v>
      </c>
      <c r="D331">
        <v>329</v>
      </c>
      <c r="E331">
        <v>329</v>
      </c>
      <c r="G331" t="s">
        <v>970</v>
      </c>
      <c r="H331" t="s">
        <v>971</v>
      </c>
      <c r="I331">
        <v>329</v>
      </c>
    </row>
    <row r="332" spans="2:9">
      <c r="B332" t="s">
        <v>972</v>
      </c>
      <c r="C332" t="s">
        <v>973</v>
      </c>
      <c r="D332">
        <v>330</v>
      </c>
      <c r="E332">
        <v>330</v>
      </c>
      <c r="G332" t="s">
        <v>972</v>
      </c>
      <c r="H332" t="s">
        <v>973</v>
      </c>
      <c r="I332">
        <v>330</v>
      </c>
    </row>
    <row r="333" spans="2:9">
      <c r="B333" t="s">
        <v>974</v>
      </c>
      <c r="C333" t="s">
        <v>975</v>
      </c>
      <c r="D333">
        <v>331</v>
      </c>
      <c r="E333">
        <v>331</v>
      </c>
      <c r="G333" t="s">
        <v>974</v>
      </c>
      <c r="H333" t="s">
        <v>975</v>
      </c>
      <c r="I333">
        <v>331</v>
      </c>
    </row>
    <row r="334" spans="2:9">
      <c r="B334" t="s">
        <v>1727</v>
      </c>
      <c r="C334" t="s">
        <v>1728</v>
      </c>
      <c r="D334">
        <v>332</v>
      </c>
      <c r="E334">
        <v>332</v>
      </c>
      <c r="G334" t="s">
        <v>1727</v>
      </c>
      <c r="H334" t="s">
        <v>1728</v>
      </c>
      <c r="I334">
        <v>332</v>
      </c>
    </row>
    <row r="335" spans="2:9">
      <c r="B335" t="s">
        <v>1729</v>
      </c>
      <c r="C335" t="s">
        <v>1730</v>
      </c>
      <c r="D335">
        <v>333</v>
      </c>
      <c r="E335">
        <v>333</v>
      </c>
      <c r="G335" t="s">
        <v>1729</v>
      </c>
      <c r="H335" t="s">
        <v>1730</v>
      </c>
      <c r="I335">
        <v>406</v>
      </c>
    </row>
    <row r="336" spans="2:9">
      <c r="B336" t="s">
        <v>980</v>
      </c>
      <c r="C336" t="s">
        <v>981</v>
      </c>
      <c r="D336">
        <v>334</v>
      </c>
      <c r="E336">
        <v>334</v>
      </c>
      <c r="G336" t="s">
        <v>980</v>
      </c>
      <c r="H336" t="s">
        <v>981</v>
      </c>
      <c r="I336">
        <v>333</v>
      </c>
    </row>
    <row r="337" spans="1:9">
      <c r="B337" t="s">
        <v>1731</v>
      </c>
      <c r="C337" t="s">
        <v>1732</v>
      </c>
      <c r="D337">
        <v>335</v>
      </c>
      <c r="E337">
        <v>335</v>
      </c>
      <c r="G337" t="s">
        <v>1731</v>
      </c>
      <c r="H337" t="s">
        <v>1732</v>
      </c>
      <c r="I337">
        <v>334</v>
      </c>
    </row>
    <row r="338" spans="1:9">
      <c r="B338" t="s">
        <v>1231</v>
      </c>
      <c r="C338" t="s">
        <v>1232</v>
      </c>
      <c r="D338">
        <v>336</v>
      </c>
      <c r="E338">
        <v>336</v>
      </c>
      <c r="G338" t="s">
        <v>1231</v>
      </c>
      <c r="H338" t="s">
        <v>1232</v>
      </c>
      <c r="I338">
        <v>335</v>
      </c>
    </row>
    <row r="339" spans="1:9">
      <c r="B339" t="s">
        <v>1733</v>
      </c>
      <c r="C339" t="s">
        <v>1734</v>
      </c>
      <c r="D339">
        <v>337</v>
      </c>
      <c r="E339">
        <v>337</v>
      </c>
      <c r="G339" t="s">
        <v>1733</v>
      </c>
      <c r="H339" t="s">
        <v>1734</v>
      </c>
      <c r="I339">
        <v>336</v>
      </c>
    </row>
    <row r="340" spans="1:9">
      <c r="B340" t="s">
        <v>988</v>
      </c>
      <c r="C340" t="s">
        <v>989</v>
      </c>
      <c r="D340">
        <v>338</v>
      </c>
      <c r="E340">
        <v>338</v>
      </c>
      <c r="G340" t="s">
        <v>988</v>
      </c>
      <c r="H340" t="s">
        <v>989</v>
      </c>
      <c r="I340">
        <v>337</v>
      </c>
    </row>
    <row r="341" spans="1:9">
      <c r="B341" t="s">
        <v>990</v>
      </c>
      <c r="C341" t="s">
        <v>991</v>
      </c>
      <c r="D341">
        <v>339</v>
      </c>
      <c r="E341">
        <v>339</v>
      </c>
      <c r="G341" t="s">
        <v>990</v>
      </c>
      <c r="H341" t="s">
        <v>991</v>
      </c>
      <c r="I341">
        <v>338</v>
      </c>
    </row>
    <row r="342" spans="1:9">
      <c r="B342" t="s">
        <v>992</v>
      </c>
      <c r="C342" t="s">
        <v>993</v>
      </c>
      <c r="D342">
        <v>340</v>
      </c>
      <c r="E342">
        <v>340</v>
      </c>
      <c r="G342" t="s">
        <v>992</v>
      </c>
      <c r="H342" t="s">
        <v>993</v>
      </c>
      <c r="I342">
        <v>339</v>
      </c>
    </row>
    <row r="343" spans="1:9">
      <c r="B343" t="s">
        <v>994</v>
      </c>
      <c r="C343" t="s">
        <v>995</v>
      </c>
      <c r="D343">
        <v>341</v>
      </c>
      <c r="E343">
        <v>341</v>
      </c>
      <c r="G343" t="s">
        <v>994</v>
      </c>
      <c r="H343" t="s">
        <v>995</v>
      </c>
      <c r="I343">
        <v>340</v>
      </c>
    </row>
    <row r="344" spans="1:9">
      <c r="B344" t="s">
        <v>996</v>
      </c>
      <c r="C344" t="s">
        <v>997</v>
      </c>
      <c r="D344">
        <v>342</v>
      </c>
      <c r="E344">
        <v>342</v>
      </c>
      <c r="G344" t="s">
        <v>996</v>
      </c>
      <c r="H344" t="s">
        <v>997</v>
      </c>
      <c r="I344">
        <v>341</v>
      </c>
    </row>
    <row r="345" spans="1:9">
      <c r="B345" t="s">
        <v>1735</v>
      </c>
      <c r="C345" t="s">
        <v>999</v>
      </c>
      <c r="D345">
        <v>343</v>
      </c>
      <c r="E345">
        <v>343</v>
      </c>
      <c r="G345" t="s">
        <v>1735</v>
      </c>
      <c r="H345" t="s">
        <v>999</v>
      </c>
      <c r="I345">
        <v>342</v>
      </c>
    </row>
    <row r="346" spans="1:9">
      <c r="B346" t="s">
        <v>1000</v>
      </c>
      <c r="C346" t="s">
        <v>1001</v>
      </c>
      <c r="D346">
        <v>344</v>
      </c>
      <c r="E346">
        <v>344</v>
      </c>
      <c r="G346" t="s">
        <v>1000</v>
      </c>
      <c r="H346" t="s">
        <v>1001</v>
      </c>
      <c r="I346">
        <v>343</v>
      </c>
    </row>
    <row r="347" spans="1:9">
      <c r="A347">
        <v>8</v>
      </c>
      <c r="B347" t="s">
        <v>1002</v>
      </c>
      <c r="C347" t="s">
        <v>1003</v>
      </c>
      <c r="D347">
        <v>345</v>
      </c>
      <c r="E347">
        <v>345</v>
      </c>
      <c r="G347" t="s">
        <v>1002</v>
      </c>
      <c r="H347" t="s">
        <v>1003</v>
      </c>
      <c r="I347">
        <v>344</v>
      </c>
    </row>
    <row r="348" spans="1:9">
      <c r="B348" t="s">
        <v>1736</v>
      </c>
      <c r="C348" t="s">
        <v>1737</v>
      </c>
      <c r="D348">
        <v>346</v>
      </c>
      <c r="E348">
        <v>346</v>
      </c>
      <c r="G348" t="s">
        <v>1736</v>
      </c>
      <c r="H348" t="s">
        <v>1737</v>
      </c>
      <c r="I348">
        <v>345</v>
      </c>
    </row>
    <row r="349" spans="1:9">
      <c r="B349" t="s">
        <v>1006</v>
      </c>
      <c r="C349" t="s">
        <v>1007</v>
      </c>
      <c r="D349">
        <v>347</v>
      </c>
      <c r="E349">
        <v>347</v>
      </c>
      <c r="G349" t="s">
        <v>1006</v>
      </c>
      <c r="H349" t="s">
        <v>1007</v>
      </c>
      <c r="I349">
        <v>346</v>
      </c>
    </row>
    <row r="350" spans="1:9">
      <c r="B350" t="s">
        <v>1738</v>
      </c>
      <c r="C350" t="s">
        <v>1009</v>
      </c>
      <c r="D350">
        <v>348</v>
      </c>
      <c r="E350">
        <v>348</v>
      </c>
      <c r="G350" t="s">
        <v>1738</v>
      </c>
      <c r="H350" t="s">
        <v>1009</v>
      </c>
      <c r="I350">
        <v>347</v>
      </c>
    </row>
    <row r="351" spans="1:9">
      <c r="B351" t="s">
        <v>1739</v>
      </c>
      <c r="C351" t="s">
        <v>1011</v>
      </c>
      <c r="D351">
        <v>349</v>
      </c>
      <c r="E351">
        <v>349</v>
      </c>
      <c r="G351" t="s">
        <v>1739</v>
      </c>
      <c r="H351" t="s">
        <v>1011</v>
      </c>
      <c r="I351">
        <v>348</v>
      </c>
    </row>
    <row r="352" spans="1:9">
      <c r="B352" t="s">
        <v>1012</v>
      </c>
      <c r="C352" t="s">
        <v>1013</v>
      </c>
      <c r="D352">
        <v>350</v>
      </c>
      <c r="E352">
        <v>350</v>
      </c>
      <c r="G352" t="s">
        <v>1012</v>
      </c>
      <c r="H352" t="s">
        <v>1013</v>
      </c>
      <c r="I352">
        <v>349</v>
      </c>
    </row>
    <row r="353" spans="2:9">
      <c r="B353" t="s">
        <v>1740</v>
      </c>
      <c r="C353" t="s">
        <v>1015</v>
      </c>
      <c r="D353">
        <v>351</v>
      </c>
      <c r="E353">
        <v>351</v>
      </c>
      <c r="G353" t="s">
        <v>1740</v>
      </c>
      <c r="H353" t="s">
        <v>1015</v>
      </c>
      <c r="I353">
        <v>350</v>
      </c>
    </row>
    <row r="354" spans="2:9">
      <c r="B354" t="s">
        <v>1741</v>
      </c>
      <c r="C354" t="s">
        <v>1742</v>
      </c>
      <c r="D354">
        <v>352</v>
      </c>
      <c r="E354">
        <v>352</v>
      </c>
      <c r="G354" t="s">
        <v>1741</v>
      </c>
      <c r="H354" t="s">
        <v>1742</v>
      </c>
      <c r="I354">
        <v>351</v>
      </c>
    </row>
    <row r="355" spans="2:9">
      <c r="B355" t="s">
        <v>1022</v>
      </c>
      <c r="C355" t="s">
        <v>1023</v>
      </c>
      <c r="D355">
        <v>353</v>
      </c>
      <c r="E355">
        <v>353</v>
      </c>
      <c r="G355" t="s">
        <v>1022</v>
      </c>
      <c r="H355" t="s">
        <v>1023</v>
      </c>
      <c r="I355">
        <v>352</v>
      </c>
    </row>
    <row r="356" spans="2:9">
      <c r="B356" t="s">
        <v>1088</v>
      </c>
      <c r="C356" t="s">
        <v>1089</v>
      </c>
      <c r="D356">
        <v>354</v>
      </c>
      <c r="E356">
        <v>354</v>
      </c>
      <c r="G356" t="s">
        <v>1088</v>
      </c>
      <c r="H356" t="s">
        <v>1089</v>
      </c>
      <c r="I356">
        <v>353</v>
      </c>
    </row>
    <row r="357" spans="2:9">
      <c r="B357" t="s">
        <v>1743</v>
      </c>
      <c r="C357" t="s">
        <v>1744</v>
      </c>
      <c r="D357">
        <v>355</v>
      </c>
      <c r="E357">
        <v>355</v>
      </c>
      <c r="G357" t="s">
        <v>1743</v>
      </c>
      <c r="H357" t="s">
        <v>1744</v>
      </c>
      <c r="I357">
        <v>354</v>
      </c>
    </row>
    <row r="358" spans="2:9">
      <c r="B358" t="s">
        <v>1025</v>
      </c>
      <c r="C358" t="s">
        <v>1026</v>
      </c>
      <c r="D358">
        <v>356</v>
      </c>
      <c r="E358">
        <v>356</v>
      </c>
      <c r="G358" t="s">
        <v>1025</v>
      </c>
      <c r="H358" t="s">
        <v>1026</v>
      </c>
      <c r="I358">
        <v>355</v>
      </c>
    </row>
    <row r="359" spans="2:9">
      <c r="B359" t="s">
        <v>1745</v>
      </c>
      <c r="C359" t="s">
        <v>1746</v>
      </c>
      <c r="D359">
        <v>357</v>
      </c>
      <c r="E359">
        <v>357</v>
      </c>
      <c r="G359" t="s">
        <v>1745</v>
      </c>
      <c r="H359" t="s">
        <v>1746</v>
      </c>
      <c r="I359">
        <v>356</v>
      </c>
    </row>
    <row r="360" spans="2:9">
      <c r="B360" t="s">
        <v>1747</v>
      </c>
      <c r="C360" t="s">
        <v>1748</v>
      </c>
      <c r="D360">
        <v>358</v>
      </c>
      <c r="E360">
        <v>358</v>
      </c>
      <c r="G360" t="s">
        <v>1747</v>
      </c>
      <c r="H360" t="s">
        <v>1748</v>
      </c>
      <c r="I360">
        <v>357</v>
      </c>
    </row>
    <row r="361" spans="2:9">
      <c r="B361" t="s">
        <v>1031</v>
      </c>
      <c r="C361" t="s">
        <v>1032</v>
      </c>
      <c r="D361">
        <v>359</v>
      </c>
      <c r="E361">
        <v>359</v>
      </c>
      <c r="G361" t="s">
        <v>1031</v>
      </c>
      <c r="H361" t="s">
        <v>1032</v>
      </c>
      <c r="I361">
        <v>358</v>
      </c>
    </row>
    <row r="362" spans="2:9">
      <c r="B362" t="s">
        <v>1033</v>
      </c>
      <c r="C362" t="s">
        <v>1034</v>
      </c>
      <c r="D362">
        <v>360</v>
      </c>
      <c r="E362">
        <v>360</v>
      </c>
      <c r="G362" t="s">
        <v>1033</v>
      </c>
      <c r="H362" t="s">
        <v>1034</v>
      </c>
      <c r="I362">
        <v>359</v>
      </c>
    </row>
    <row r="363" spans="2:9">
      <c r="B363" t="s">
        <v>1749</v>
      </c>
      <c r="C363" t="s">
        <v>1036</v>
      </c>
      <c r="D363">
        <v>361</v>
      </c>
      <c r="E363">
        <v>361</v>
      </c>
      <c r="G363" t="s">
        <v>1749</v>
      </c>
      <c r="H363" t="s">
        <v>1036</v>
      </c>
      <c r="I363">
        <v>360</v>
      </c>
    </row>
    <row r="364" spans="2:9">
      <c r="B364" t="s">
        <v>1037</v>
      </c>
      <c r="C364" t="s">
        <v>1038</v>
      </c>
      <c r="D364">
        <v>362</v>
      </c>
      <c r="E364">
        <v>362</v>
      </c>
      <c r="G364" t="s">
        <v>1037</v>
      </c>
      <c r="H364" t="s">
        <v>1038</v>
      </c>
      <c r="I364">
        <v>361</v>
      </c>
    </row>
    <row r="365" spans="2:9">
      <c r="B365" t="s">
        <v>1201</v>
      </c>
      <c r="C365" t="s">
        <v>1202</v>
      </c>
      <c r="D365">
        <v>363</v>
      </c>
      <c r="E365">
        <v>363</v>
      </c>
      <c r="G365" t="s">
        <v>1201</v>
      </c>
      <c r="H365" t="s">
        <v>1202</v>
      </c>
      <c r="I365">
        <v>362</v>
      </c>
    </row>
    <row r="366" spans="2:9">
      <c r="B366" t="s">
        <v>1041</v>
      </c>
      <c r="C366" t="s">
        <v>1042</v>
      </c>
      <c r="D366">
        <v>364</v>
      </c>
      <c r="E366">
        <v>364</v>
      </c>
      <c r="G366" t="s">
        <v>1041</v>
      </c>
      <c r="H366" t="s">
        <v>1042</v>
      </c>
      <c r="I366">
        <v>363</v>
      </c>
    </row>
    <row r="367" spans="2:9">
      <c r="B367" t="s">
        <v>1750</v>
      </c>
      <c r="C367" t="s">
        <v>1044</v>
      </c>
      <c r="D367">
        <v>365</v>
      </c>
      <c r="E367">
        <v>365</v>
      </c>
      <c r="G367" t="s">
        <v>1750</v>
      </c>
      <c r="H367" t="s">
        <v>1044</v>
      </c>
      <c r="I367">
        <v>364</v>
      </c>
    </row>
    <row r="368" spans="2:9">
      <c r="B368" t="s">
        <v>1045</v>
      </c>
      <c r="C368" t="s">
        <v>1046</v>
      </c>
      <c r="D368">
        <v>366</v>
      </c>
      <c r="E368">
        <v>366</v>
      </c>
      <c r="G368" t="s">
        <v>1045</v>
      </c>
      <c r="H368" t="s">
        <v>1046</v>
      </c>
      <c r="I368">
        <v>365</v>
      </c>
    </row>
    <row r="369" spans="2:9">
      <c r="B369" t="s">
        <v>1751</v>
      </c>
      <c r="C369" t="s">
        <v>1752</v>
      </c>
      <c r="D369">
        <v>367</v>
      </c>
      <c r="E369">
        <v>367</v>
      </c>
      <c r="G369" t="s">
        <v>1751</v>
      </c>
      <c r="H369" t="s">
        <v>1752</v>
      </c>
      <c r="I369">
        <v>366</v>
      </c>
    </row>
    <row r="370" spans="2:9">
      <c r="B370" t="s">
        <v>1049</v>
      </c>
      <c r="C370" t="s">
        <v>1050</v>
      </c>
      <c r="D370">
        <v>368</v>
      </c>
      <c r="E370">
        <v>368</v>
      </c>
      <c r="G370" t="s">
        <v>1049</v>
      </c>
      <c r="H370" t="s">
        <v>1050</v>
      </c>
      <c r="I370">
        <v>367</v>
      </c>
    </row>
    <row r="371" spans="2:9">
      <c r="B371" t="s">
        <v>1753</v>
      </c>
      <c r="C371" t="s">
        <v>1052</v>
      </c>
      <c r="D371">
        <v>369</v>
      </c>
      <c r="E371">
        <v>369</v>
      </c>
      <c r="G371" t="s">
        <v>1753</v>
      </c>
      <c r="H371" t="s">
        <v>1052</v>
      </c>
      <c r="I371">
        <v>368</v>
      </c>
    </row>
    <row r="372" spans="2:9">
      <c r="B372" t="s">
        <v>1020</v>
      </c>
      <c r="C372" t="s">
        <v>1021</v>
      </c>
      <c r="D372">
        <v>370</v>
      </c>
      <c r="E372">
        <v>370</v>
      </c>
      <c r="G372" t="s">
        <v>1020</v>
      </c>
      <c r="H372" t="s">
        <v>1021</v>
      </c>
      <c r="I372">
        <v>369</v>
      </c>
    </row>
    <row r="373" spans="2:9">
      <c r="B373" t="s">
        <v>1018</v>
      </c>
      <c r="C373" t="s">
        <v>1019</v>
      </c>
      <c r="D373">
        <v>371</v>
      </c>
      <c r="E373">
        <v>371</v>
      </c>
      <c r="G373" t="s">
        <v>1018</v>
      </c>
      <c r="H373" t="s">
        <v>1019</v>
      </c>
      <c r="I373">
        <v>370</v>
      </c>
    </row>
    <row r="374" spans="2:9">
      <c r="B374" t="s">
        <v>1057</v>
      </c>
      <c r="C374" t="s">
        <v>1058</v>
      </c>
      <c r="D374">
        <v>372</v>
      </c>
      <c r="E374">
        <v>372</v>
      </c>
      <c r="G374" t="s">
        <v>1057</v>
      </c>
      <c r="H374" t="s">
        <v>1058</v>
      </c>
      <c r="I374">
        <v>371</v>
      </c>
    </row>
    <row r="375" spans="2:9">
      <c r="B375" t="s">
        <v>1059</v>
      </c>
      <c r="C375" t="s">
        <v>1060</v>
      </c>
      <c r="D375">
        <v>373</v>
      </c>
      <c r="E375">
        <v>373</v>
      </c>
      <c r="G375" t="s">
        <v>1059</v>
      </c>
      <c r="H375" t="s">
        <v>1060</v>
      </c>
      <c r="I375">
        <v>372</v>
      </c>
    </row>
    <row r="376" spans="2:9">
      <c r="B376" t="s">
        <v>1061</v>
      </c>
      <c r="C376" t="s">
        <v>1062</v>
      </c>
      <c r="D376">
        <v>374</v>
      </c>
      <c r="E376">
        <v>374</v>
      </c>
      <c r="G376" t="s">
        <v>1061</v>
      </c>
      <c r="H376" t="s">
        <v>1062</v>
      </c>
      <c r="I376">
        <v>373</v>
      </c>
    </row>
    <row r="377" spans="2:9">
      <c r="B377" t="s">
        <v>1063</v>
      </c>
      <c r="C377" t="s">
        <v>1064</v>
      </c>
      <c r="D377">
        <v>375</v>
      </c>
      <c r="E377">
        <v>375</v>
      </c>
      <c r="G377" t="s">
        <v>1063</v>
      </c>
      <c r="H377" t="s">
        <v>1064</v>
      </c>
      <c r="I377">
        <v>374</v>
      </c>
    </row>
    <row r="378" spans="2:9">
      <c r="B378" t="s">
        <v>1065</v>
      </c>
      <c r="C378" t="s">
        <v>1066</v>
      </c>
      <c r="D378">
        <v>376</v>
      </c>
      <c r="E378">
        <v>376</v>
      </c>
      <c r="G378" t="s">
        <v>1065</v>
      </c>
      <c r="H378" t="s">
        <v>1066</v>
      </c>
      <c r="I378">
        <v>375</v>
      </c>
    </row>
    <row r="379" spans="2:9">
      <c r="B379" t="s">
        <v>1754</v>
      </c>
      <c r="C379" t="s">
        <v>1755</v>
      </c>
      <c r="D379">
        <v>377</v>
      </c>
      <c r="E379">
        <v>377</v>
      </c>
      <c r="G379" t="s">
        <v>1754</v>
      </c>
      <c r="H379" t="s">
        <v>1755</v>
      </c>
      <c r="I379">
        <v>376</v>
      </c>
    </row>
    <row r="380" spans="2:9">
      <c r="B380" t="s">
        <v>1069</v>
      </c>
      <c r="C380" t="s">
        <v>1070</v>
      </c>
      <c r="D380">
        <v>378</v>
      </c>
      <c r="E380">
        <v>378</v>
      </c>
      <c r="G380" t="s">
        <v>1069</v>
      </c>
      <c r="H380" t="s">
        <v>1070</v>
      </c>
      <c r="I380">
        <v>377</v>
      </c>
    </row>
    <row r="381" spans="2:9">
      <c r="B381" t="s">
        <v>1756</v>
      </c>
      <c r="C381" t="s">
        <v>1073</v>
      </c>
      <c r="D381">
        <v>379</v>
      </c>
      <c r="E381">
        <v>379</v>
      </c>
      <c r="G381" t="s">
        <v>1756</v>
      </c>
      <c r="H381" t="s">
        <v>1073</v>
      </c>
      <c r="I381">
        <v>378</v>
      </c>
    </row>
    <row r="382" spans="2:9">
      <c r="B382" t="s">
        <v>1757</v>
      </c>
      <c r="C382" t="s">
        <v>1165</v>
      </c>
      <c r="D382">
        <v>380</v>
      </c>
      <c r="E382">
        <v>380</v>
      </c>
      <c r="G382" t="s">
        <v>1757</v>
      </c>
      <c r="H382" t="s">
        <v>1165</v>
      </c>
      <c r="I382">
        <v>379</v>
      </c>
    </row>
    <row r="383" spans="2:9">
      <c r="B383" t="s">
        <v>1076</v>
      </c>
      <c r="C383" t="s">
        <v>1077</v>
      </c>
      <c r="D383">
        <v>381</v>
      </c>
      <c r="E383">
        <v>381</v>
      </c>
      <c r="G383" t="s">
        <v>1076</v>
      </c>
      <c r="H383" t="s">
        <v>1077</v>
      </c>
      <c r="I383">
        <v>380</v>
      </c>
    </row>
    <row r="384" spans="2:9">
      <c r="B384" t="s">
        <v>1078</v>
      </c>
      <c r="C384" t="s">
        <v>1079</v>
      </c>
      <c r="D384">
        <v>382</v>
      </c>
      <c r="E384">
        <v>382</v>
      </c>
      <c r="G384" t="s">
        <v>1078</v>
      </c>
      <c r="H384" t="s">
        <v>1079</v>
      </c>
      <c r="I384">
        <v>381</v>
      </c>
    </row>
    <row r="385" spans="1:9">
      <c r="B385" t="s">
        <v>1080</v>
      </c>
      <c r="C385" t="s">
        <v>1081</v>
      </c>
      <c r="D385">
        <v>383</v>
      </c>
      <c r="E385">
        <v>383</v>
      </c>
      <c r="G385" t="s">
        <v>1080</v>
      </c>
      <c r="H385" t="s">
        <v>1081</v>
      </c>
      <c r="I385">
        <v>382</v>
      </c>
    </row>
    <row r="386" spans="1:9">
      <c r="B386" t="s">
        <v>1082</v>
      </c>
      <c r="C386" t="s">
        <v>1083</v>
      </c>
      <c r="D386">
        <v>384</v>
      </c>
      <c r="E386">
        <v>384</v>
      </c>
      <c r="G386" t="s">
        <v>1082</v>
      </c>
      <c r="H386" t="s">
        <v>1083</v>
      </c>
      <c r="I386">
        <v>383</v>
      </c>
    </row>
    <row r="387" spans="1:9">
      <c r="B387" t="s">
        <v>1084</v>
      </c>
      <c r="C387" t="s">
        <v>1085</v>
      </c>
      <c r="D387">
        <v>385</v>
      </c>
      <c r="E387">
        <v>385</v>
      </c>
      <c r="G387" t="s">
        <v>1084</v>
      </c>
      <c r="H387" t="s">
        <v>1085</v>
      </c>
      <c r="I387">
        <v>384</v>
      </c>
    </row>
    <row r="388" spans="1:9">
      <c r="B388" t="s">
        <v>1758</v>
      </c>
      <c r="C388" t="s">
        <v>1759</v>
      </c>
      <c r="D388">
        <v>386</v>
      </c>
      <c r="E388">
        <v>386</v>
      </c>
      <c r="G388" t="s">
        <v>1758</v>
      </c>
      <c r="H388" t="s">
        <v>1759</v>
      </c>
      <c r="I388">
        <v>385</v>
      </c>
    </row>
    <row r="389" spans="1:9">
      <c r="B389" t="s">
        <v>1016</v>
      </c>
      <c r="C389" t="s">
        <v>1017</v>
      </c>
      <c r="D389">
        <v>387</v>
      </c>
      <c r="E389">
        <v>387</v>
      </c>
      <c r="G389" t="s">
        <v>1016</v>
      </c>
      <c r="H389" t="s">
        <v>1017</v>
      </c>
      <c r="I389">
        <v>386</v>
      </c>
    </row>
    <row r="390" spans="1:9">
      <c r="B390" t="s">
        <v>1039</v>
      </c>
      <c r="C390" t="s">
        <v>1040</v>
      </c>
      <c r="D390">
        <v>388</v>
      </c>
      <c r="E390">
        <v>388</v>
      </c>
      <c r="G390" t="s">
        <v>1039</v>
      </c>
      <c r="H390" t="s">
        <v>1040</v>
      </c>
      <c r="I390">
        <v>387</v>
      </c>
    </row>
    <row r="391" spans="1:9">
      <c r="B391" t="s">
        <v>1760</v>
      </c>
      <c r="C391" t="s">
        <v>1761</v>
      </c>
      <c r="D391">
        <v>389</v>
      </c>
      <c r="E391">
        <v>389</v>
      </c>
      <c r="G391" t="s">
        <v>1760</v>
      </c>
      <c r="H391" t="s">
        <v>1761</v>
      </c>
      <c r="I391">
        <v>388</v>
      </c>
    </row>
    <row r="392" spans="1:9">
      <c r="B392" t="s">
        <v>1762</v>
      </c>
      <c r="C392" t="s">
        <v>1763</v>
      </c>
      <c r="D392">
        <v>390</v>
      </c>
      <c r="E392">
        <v>390</v>
      </c>
      <c r="G392" t="s">
        <v>1762</v>
      </c>
      <c r="H392" t="s">
        <v>1763</v>
      </c>
      <c r="I392">
        <v>389</v>
      </c>
    </row>
    <row r="393" spans="1:9">
      <c r="B393" t="s">
        <v>1097</v>
      </c>
      <c r="C393" t="s">
        <v>1098</v>
      </c>
      <c r="D393">
        <v>391</v>
      </c>
      <c r="E393">
        <v>391</v>
      </c>
      <c r="G393" t="s">
        <v>1097</v>
      </c>
      <c r="H393" t="s">
        <v>1098</v>
      </c>
      <c r="I393">
        <v>390</v>
      </c>
    </row>
    <row r="394" spans="1:9">
      <c r="B394" t="s">
        <v>1764</v>
      </c>
      <c r="C394" t="s">
        <v>1765</v>
      </c>
      <c r="D394">
        <v>392</v>
      </c>
      <c r="E394">
        <v>392</v>
      </c>
      <c r="G394" t="s">
        <v>1764</v>
      </c>
      <c r="H394" t="s">
        <v>1765</v>
      </c>
      <c r="I394">
        <v>391</v>
      </c>
    </row>
    <row r="395" spans="1:9">
      <c r="B395" t="s">
        <v>1101</v>
      </c>
      <c r="C395" t="s">
        <v>1102</v>
      </c>
      <c r="D395">
        <v>393</v>
      </c>
      <c r="E395">
        <v>393</v>
      </c>
      <c r="G395" t="s">
        <v>1101</v>
      </c>
      <c r="H395" t="s">
        <v>1102</v>
      </c>
      <c r="I395">
        <v>392</v>
      </c>
    </row>
    <row r="396" spans="1:9">
      <c r="B396" t="s">
        <v>1103</v>
      </c>
      <c r="C396" t="s">
        <v>1104</v>
      </c>
      <c r="D396">
        <v>394</v>
      </c>
      <c r="E396">
        <v>394</v>
      </c>
      <c r="G396" t="s">
        <v>1103</v>
      </c>
      <c r="H396" t="s">
        <v>1104</v>
      </c>
      <c r="I396">
        <v>393</v>
      </c>
    </row>
    <row r="397" spans="1:9">
      <c r="B397" t="s">
        <v>1106</v>
      </c>
      <c r="C397" t="s">
        <v>1107</v>
      </c>
      <c r="D397">
        <v>395</v>
      </c>
      <c r="E397">
        <v>395</v>
      </c>
      <c r="G397" t="s">
        <v>1106</v>
      </c>
      <c r="H397" t="s">
        <v>1107</v>
      </c>
      <c r="I397">
        <v>394</v>
      </c>
    </row>
    <row r="398" spans="1:9">
      <c r="A398">
        <v>9</v>
      </c>
      <c r="B398" t="s">
        <v>1129</v>
      </c>
      <c r="C398" t="s">
        <v>1130</v>
      </c>
      <c r="D398">
        <v>396</v>
      </c>
      <c r="E398">
        <v>396</v>
      </c>
      <c r="G398" t="s">
        <v>1129</v>
      </c>
      <c r="H398" t="s">
        <v>1130</v>
      </c>
      <c r="I398">
        <v>395</v>
      </c>
    </row>
    <row r="399" spans="1:9">
      <c r="B399" t="s">
        <v>1110</v>
      </c>
      <c r="C399" t="s">
        <v>1111</v>
      </c>
      <c r="D399">
        <v>397</v>
      </c>
      <c r="E399">
        <v>397</v>
      </c>
      <c r="G399" t="s">
        <v>1110</v>
      </c>
      <c r="H399" t="s">
        <v>1111</v>
      </c>
      <c r="I399">
        <v>396</v>
      </c>
    </row>
    <row r="400" spans="1:9">
      <c r="B400" t="s">
        <v>1766</v>
      </c>
      <c r="C400" t="s">
        <v>298</v>
      </c>
      <c r="D400">
        <v>398</v>
      </c>
      <c r="E400">
        <v>398</v>
      </c>
      <c r="G400" t="s">
        <v>1766</v>
      </c>
      <c r="H400" t="s">
        <v>298</v>
      </c>
      <c r="I400">
        <v>397</v>
      </c>
    </row>
    <row r="401" spans="2:9">
      <c r="B401" t="s">
        <v>1767</v>
      </c>
      <c r="C401" t="s">
        <v>1115</v>
      </c>
      <c r="D401">
        <v>399</v>
      </c>
      <c r="E401">
        <v>399</v>
      </c>
      <c r="G401" t="s">
        <v>1767</v>
      </c>
      <c r="H401" t="s">
        <v>1115</v>
      </c>
      <c r="I401">
        <v>398</v>
      </c>
    </row>
    <row r="402" spans="2:9">
      <c r="B402" t="s">
        <v>1116</v>
      </c>
      <c r="C402" t="s">
        <v>1117</v>
      </c>
      <c r="D402">
        <v>400</v>
      </c>
      <c r="E402">
        <v>400</v>
      </c>
      <c r="G402" t="s">
        <v>1116</v>
      </c>
      <c r="H402" t="s">
        <v>1117</v>
      </c>
      <c r="I402">
        <v>399</v>
      </c>
    </row>
    <row r="403" spans="2:9">
      <c r="B403" t="s">
        <v>1118</v>
      </c>
      <c r="C403" t="s">
        <v>1119</v>
      </c>
      <c r="D403">
        <v>401</v>
      </c>
      <c r="E403">
        <v>401</v>
      </c>
      <c r="G403" t="s">
        <v>1118</v>
      </c>
      <c r="H403" t="s">
        <v>1119</v>
      </c>
      <c r="I403">
        <v>400</v>
      </c>
    </row>
    <row r="404" spans="2:9">
      <c r="B404" t="s">
        <v>1120</v>
      </c>
      <c r="C404" t="s">
        <v>1121</v>
      </c>
      <c r="D404">
        <v>402</v>
      </c>
      <c r="E404">
        <v>402</v>
      </c>
      <c r="G404" t="s">
        <v>1120</v>
      </c>
      <c r="H404" t="s">
        <v>1121</v>
      </c>
      <c r="I404">
        <v>401</v>
      </c>
    </row>
    <row r="405" spans="2:9">
      <c r="B405" t="s">
        <v>1122</v>
      </c>
      <c r="C405" t="s">
        <v>1123</v>
      </c>
      <c r="D405">
        <v>403</v>
      </c>
      <c r="E405">
        <v>403</v>
      </c>
      <c r="G405" t="s">
        <v>1122</v>
      </c>
      <c r="H405" t="s">
        <v>1123</v>
      </c>
      <c r="I405">
        <v>402</v>
      </c>
    </row>
    <row r="406" spans="2:9">
      <c r="B406" t="s">
        <v>1124</v>
      </c>
      <c r="C406" t="s">
        <v>1125</v>
      </c>
      <c r="D406">
        <v>404</v>
      </c>
      <c r="E406">
        <v>404</v>
      </c>
      <c r="G406" t="s">
        <v>1124</v>
      </c>
      <c r="H406" t="s">
        <v>1125</v>
      </c>
      <c r="I406">
        <v>403</v>
      </c>
    </row>
    <row r="407" spans="2:9">
      <c r="B407" t="s">
        <v>1768</v>
      </c>
      <c r="C407" t="s">
        <v>1769</v>
      </c>
      <c r="D407">
        <v>405</v>
      </c>
      <c r="E407">
        <v>405</v>
      </c>
      <c r="G407" t="s">
        <v>1768</v>
      </c>
      <c r="H407" t="s">
        <v>1769</v>
      </c>
      <c r="I407">
        <v>404</v>
      </c>
    </row>
    <row r="408" spans="2:9">
      <c r="B408" t="s">
        <v>1770</v>
      </c>
      <c r="C408" t="s">
        <v>1771</v>
      </c>
      <c r="D408">
        <v>406</v>
      </c>
      <c r="E408">
        <v>406</v>
      </c>
      <c r="G408" t="s">
        <v>1770</v>
      </c>
      <c r="H408" t="s">
        <v>1771</v>
      </c>
      <c r="I408">
        <v>405</v>
      </c>
    </row>
    <row r="409" spans="2:9">
      <c r="B409" t="s">
        <v>1095</v>
      </c>
      <c r="C409" t="s">
        <v>1096</v>
      </c>
      <c r="D409">
        <v>407</v>
      </c>
      <c r="G409" t="s">
        <v>1095</v>
      </c>
      <c r="H409" t="s">
        <v>1096</v>
      </c>
    </row>
    <row r="410" spans="2:9">
      <c r="B410" t="s">
        <v>1134</v>
      </c>
      <c r="C410" t="s">
        <v>1135</v>
      </c>
      <c r="D410">
        <v>408</v>
      </c>
      <c r="G410" t="s">
        <v>1134</v>
      </c>
      <c r="H410" t="s">
        <v>1135</v>
      </c>
    </row>
    <row r="411" spans="2:9">
      <c r="B411" t="s">
        <v>1772</v>
      </c>
      <c r="C411" t="s">
        <v>1138</v>
      </c>
      <c r="D411">
        <v>409</v>
      </c>
      <c r="G411" t="s">
        <v>1772</v>
      </c>
      <c r="H411" t="s">
        <v>1138</v>
      </c>
    </row>
    <row r="412" spans="2:9">
      <c r="B412" t="s">
        <v>1139</v>
      </c>
      <c r="C412" t="s">
        <v>1140</v>
      </c>
      <c r="D412">
        <v>410</v>
      </c>
      <c r="G412" t="s">
        <v>1139</v>
      </c>
      <c r="H412" t="s">
        <v>1140</v>
      </c>
    </row>
    <row r="413" spans="2:9">
      <c r="B413" t="s">
        <v>1141</v>
      </c>
      <c r="C413" t="s">
        <v>1142</v>
      </c>
      <c r="D413">
        <v>411</v>
      </c>
      <c r="G413" t="s">
        <v>1141</v>
      </c>
      <c r="H413" t="s">
        <v>1142</v>
      </c>
    </row>
    <row r="414" spans="2:9">
      <c r="B414" t="s">
        <v>1144</v>
      </c>
      <c r="C414" t="s">
        <v>1145</v>
      </c>
      <c r="D414">
        <v>412</v>
      </c>
      <c r="G414" t="s">
        <v>1144</v>
      </c>
      <c r="H414" t="s">
        <v>1145</v>
      </c>
    </row>
    <row r="415" spans="2:9">
      <c r="B415" t="s">
        <v>1773</v>
      </c>
      <c r="C415" t="s">
        <v>1147</v>
      </c>
      <c r="D415">
        <v>413</v>
      </c>
      <c r="G415" t="s">
        <v>1773</v>
      </c>
      <c r="H415" t="s">
        <v>1147</v>
      </c>
    </row>
    <row r="416" spans="2:9">
      <c r="B416" t="s">
        <v>1148</v>
      </c>
      <c r="C416" t="s">
        <v>1149</v>
      </c>
      <c r="D416">
        <v>414</v>
      </c>
      <c r="G416" t="s">
        <v>1148</v>
      </c>
      <c r="H416" t="s">
        <v>1149</v>
      </c>
    </row>
    <row r="417" spans="2:8">
      <c r="B417" t="s">
        <v>1150</v>
      </c>
      <c r="C417" t="s">
        <v>1151</v>
      </c>
      <c r="D417">
        <v>415</v>
      </c>
      <c r="G417" t="s">
        <v>1150</v>
      </c>
      <c r="H417" t="s">
        <v>1151</v>
      </c>
    </row>
    <row r="418" spans="2:8">
      <c r="B418" t="s">
        <v>1152</v>
      </c>
      <c r="C418" t="s">
        <v>1153</v>
      </c>
      <c r="D418">
        <v>416</v>
      </c>
      <c r="G418" t="s">
        <v>1152</v>
      </c>
      <c r="H418" t="s">
        <v>1153</v>
      </c>
    </row>
    <row r="419" spans="2:8">
      <c r="B419" t="s">
        <v>1154</v>
      </c>
      <c r="C419" t="s">
        <v>1155</v>
      </c>
      <c r="D419">
        <v>417</v>
      </c>
      <c r="G419" t="s">
        <v>1154</v>
      </c>
      <c r="H419" t="s">
        <v>1155</v>
      </c>
    </row>
    <row r="420" spans="2:8">
      <c r="B420" t="s">
        <v>1156</v>
      </c>
      <c r="C420" t="s">
        <v>1157</v>
      </c>
      <c r="D420">
        <v>418</v>
      </c>
      <c r="G420" t="s">
        <v>1156</v>
      </c>
      <c r="H420" t="s">
        <v>1157</v>
      </c>
    </row>
    <row r="421" spans="2:8">
      <c r="B421" t="s">
        <v>1158</v>
      </c>
      <c r="C421" t="s">
        <v>1159</v>
      </c>
      <c r="D421">
        <v>419</v>
      </c>
      <c r="G421" t="s">
        <v>1158</v>
      </c>
      <c r="H421" t="s">
        <v>1159</v>
      </c>
    </row>
    <row r="422" spans="2:8">
      <c r="B422" t="s">
        <v>1774</v>
      </c>
      <c r="C422" t="s">
        <v>1775</v>
      </c>
      <c r="D422">
        <v>420</v>
      </c>
      <c r="G422" t="s">
        <v>1774</v>
      </c>
      <c r="H422" t="s">
        <v>1775</v>
      </c>
    </row>
    <row r="423" spans="2:8">
      <c r="B423" t="s">
        <v>1776</v>
      </c>
      <c r="C423" t="s">
        <v>1163</v>
      </c>
      <c r="D423">
        <v>421</v>
      </c>
      <c r="G423" t="s">
        <v>1776</v>
      </c>
      <c r="H423" t="s">
        <v>1163</v>
      </c>
    </row>
    <row r="424" spans="2:8">
      <c r="B424" t="s">
        <v>1777</v>
      </c>
      <c r="C424" t="s">
        <v>1778</v>
      </c>
      <c r="D424">
        <v>422</v>
      </c>
      <c r="G424" t="s">
        <v>1777</v>
      </c>
      <c r="H424" t="s">
        <v>1778</v>
      </c>
    </row>
    <row r="425" spans="2:8">
      <c r="B425" t="s">
        <v>1166</v>
      </c>
      <c r="C425" t="s">
        <v>1167</v>
      </c>
      <c r="D425">
        <v>423</v>
      </c>
      <c r="G425" t="s">
        <v>1166</v>
      </c>
      <c r="H425" t="s">
        <v>1167</v>
      </c>
    </row>
    <row r="426" spans="2:8">
      <c r="B426" t="s">
        <v>1168</v>
      </c>
      <c r="C426" t="s">
        <v>1169</v>
      </c>
      <c r="D426">
        <v>424</v>
      </c>
      <c r="G426" t="s">
        <v>1168</v>
      </c>
      <c r="H426" t="s">
        <v>1169</v>
      </c>
    </row>
    <row r="427" spans="2:8">
      <c r="B427" t="s">
        <v>1779</v>
      </c>
      <c r="C427" t="s">
        <v>1780</v>
      </c>
      <c r="D427">
        <v>425</v>
      </c>
      <c r="G427" t="s">
        <v>1779</v>
      </c>
      <c r="H427" t="s">
        <v>1780</v>
      </c>
    </row>
    <row r="428" spans="2:8">
      <c r="B428" t="s">
        <v>1172</v>
      </c>
      <c r="C428" t="s">
        <v>1173</v>
      </c>
      <c r="D428">
        <v>426</v>
      </c>
      <c r="G428" t="s">
        <v>1172</v>
      </c>
      <c r="H428" t="s">
        <v>1173</v>
      </c>
    </row>
    <row r="429" spans="2:8">
      <c r="B429" t="s">
        <v>1781</v>
      </c>
      <c r="C429" t="s">
        <v>1782</v>
      </c>
      <c r="D429">
        <v>427</v>
      </c>
      <c r="G429" t="s">
        <v>1781</v>
      </c>
      <c r="H429" t="s">
        <v>1782</v>
      </c>
    </row>
    <row r="430" spans="2:8">
      <c r="B430" t="s">
        <v>1783</v>
      </c>
      <c r="C430" t="s">
        <v>1784</v>
      </c>
      <c r="D430">
        <v>428</v>
      </c>
      <c r="G430" t="s">
        <v>1783</v>
      </c>
      <c r="H430" t="s">
        <v>1784</v>
      </c>
    </row>
    <row r="431" spans="2:8">
      <c r="B431" t="s">
        <v>1178</v>
      </c>
      <c r="C431" t="s">
        <v>1179</v>
      </c>
      <c r="D431">
        <v>429</v>
      </c>
      <c r="G431" t="s">
        <v>1178</v>
      </c>
      <c r="H431" t="s">
        <v>1179</v>
      </c>
    </row>
    <row r="432" spans="2:8">
      <c r="B432" t="s">
        <v>1785</v>
      </c>
      <c r="C432" t="s">
        <v>1181</v>
      </c>
      <c r="D432">
        <v>430</v>
      </c>
      <c r="G432" t="s">
        <v>1785</v>
      </c>
      <c r="H432" t="s">
        <v>1181</v>
      </c>
    </row>
    <row r="433" spans="1:8">
      <c r="B433" t="s">
        <v>1786</v>
      </c>
      <c r="C433" t="s">
        <v>1183</v>
      </c>
      <c r="D433">
        <v>431</v>
      </c>
      <c r="G433" t="s">
        <v>1786</v>
      </c>
      <c r="H433" t="s">
        <v>1183</v>
      </c>
    </row>
    <row r="434" spans="1:8">
      <c r="B434" t="s">
        <v>1184</v>
      </c>
      <c r="C434" t="s">
        <v>1185</v>
      </c>
      <c r="D434">
        <v>432</v>
      </c>
      <c r="G434" t="s">
        <v>1184</v>
      </c>
      <c r="H434" t="s">
        <v>1185</v>
      </c>
    </row>
    <row r="435" spans="1:8">
      <c r="B435" t="s">
        <v>1186</v>
      </c>
      <c r="C435" t="s">
        <v>1187</v>
      </c>
      <c r="D435">
        <v>433</v>
      </c>
      <c r="G435" t="s">
        <v>1186</v>
      </c>
      <c r="H435" t="s">
        <v>1187</v>
      </c>
    </row>
    <row r="436" spans="1:8">
      <c r="B436" t="s">
        <v>1188</v>
      </c>
      <c r="C436" t="s">
        <v>1189</v>
      </c>
      <c r="D436">
        <v>434</v>
      </c>
      <c r="G436" t="s">
        <v>1188</v>
      </c>
      <c r="H436" t="s">
        <v>1189</v>
      </c>
    </row>
    <row r="437" spans="1:8">
      <c r="B437" t="s">
        <v>1190</v>
      </c>
      <c r="C437" t="s">
        <v>1191</v>
      </c>
      <c r="D437">
        <v>435</v>
      </c>
      <c r="G437" t="s">
        <v>1190</v>
      </c>
      <c r="H437" t="s">
        <v>1191</v>
      </c>
    </row>
    <row r="438" spans="1:8">
      <c r="B438" t="s">
        <v>1787</v>
      </c>
      <c r="C438" t="s">
        <v>1193</v>
      </c>
      <c r="D438">
        <v>436</v>
      </c>
      <c r="G438" t="s">
        <v>1787</v>
      </c>
      <c r="H438" t="s">
        <v>1193</v>
      </c>
    </row>
    <row r="439" spans="1:8">
      <c r="B439" t="s">
        <v>1788</v>
      </c>
      <c r="C439" t="s">
        <v>1789</v>
      </c>
      <c r="D439">
        <v>437</v>
      </c>
      <c r="G439" t="s">
        <v>1788</v>
      </c>
      <c r="H439" t="s">
        <v>1789</v>
      </c>
    </row>
    <row r="440" spans="1:8">
      <c r="A440">
        <v>10</v>
      </c>
      <c r="B440" t="s">
        <v>1197</v>
      </c>
      <c r="C440" t="s">
        <v>1198</v>
      </c>
      <c r="D440">
        <v>438</v>
      </c>
      <c r="G440" t="s">
        <v>1197</v>
      </c>
      <c r="H440" t="s">
        <v>1198</v>
      </c>
    </row>
    <row r="441" spans="1:8">
      <c r="B441" t="s">
        <v>1790</v>
      </c>
      <c r="C441" t="s">
        <v>1791</v>
      </c>
      <c r="D441">
        <v>439</v>
      </c>
      <c r="G441" t="s">
        <v>1790</v>
      </c>
      <c r="H441" t="s">
        <v>1791</v>
      </c>
    </row>
    <row r="442" spans="1:8">
      <c r="B442" t="s">
        <v>1792</v>
      </c>
      <c r="C442" t="s">
        <v>1113</v>
      </c>
      <c r="D442">
        <v>440</v>
      </c>
      <c r="G442" t="s">
        <v>1792</v>
      </c>
      <c r="H442" t="s">
        <v>1113</v>
      </c>
    </row>
    <row r="443" spans="1:8">
      <c r="B443" t="s">
        <v>1203</v>
      </c>
      <c r="C443" t="s">
        <v>1204</v>
      </c>
      <c r="D443">
        <v>441</v>
      </c>
      <c r="G443" t="s">
        <v>1203</v>
      </c>
      <c r="H443" t="s">
        <v>1204</v>
      </c>
    </row>
    <row r="444" spans="1:8">
      <c r="B444" t="s">
        <v>1793</v>
      </c>
      <c r="C444" t="s">
        <v>1206</v>
      </c>
      <c r="D444">
        <v>442</v>
      </c>
      <c r="G444" t="s">
        <v>1793</v>
      </c>
      <c r="H444" t="s">
        <v>1206</v>
      </c>
    </row>
    <row r="445" spans="1:8">
      <c r="B445" t="s">
        <v>1207</v>
      </c>
      <c r="C445" t="s">
        <v>1208</v>
      </c>
      <c r="D445">
        <v>443</v>
      </c>
      <c r="G445" t="s">
        <v>1207</v>
      </c>
      <c r="H445" t="s">
        <v>1208</v>
      </c>
    </row>
    <row r="446" spans="1:8">
      <c r="B446" t="s">
        <v>1211</v>
      </c>
      <c r="C446" t="s">
        <v>1212</v>
      </c>
      <c r="D446">
        <v>444</v>
      </c>
      <c r="G446" t="s">
        <v>1211</v>
      </c>
      <c r="H446" t="s">
        <v>1212</v>
      </c>
    </row>
    <row r="447" spans="1:8">
      <c r="B447" t="s">
        <v>1209</v>
      </c>
      <c r="C447" t="s">
        <v>1210</v>
      </c>
      <c r="D447">
        <v>445</v>
      </c>
      <c r="G447" t="s">
        <v>1209</v>
      </c>
      <c r="H447" t="s">
        <v>1210</v>
      </c>
    </row>
    <row r="448" spans="1:8">
      <c r="B448" t="s">
        <v>1794</v>
      </c>
      <c r="C448" t="s">
        <v>1795</v>
      </c>
      <c r="D448">
        <v>446</v>
      </c>
      <c r="G448" t="s">
        <v>1794</v>
      </c>
      <c r="H448" t="s">
        <v>1795</v>
      </c>
    </row>
    <row r="449" spans="2:8">
      <c r="B449" t="s">
        <v>1796</v>
      </c>
      <c r="C449" t="s">
        <v>1797</v>
      </c>
      <c r="D449">
        <v>447</v>
      </c>
      <c r="G449" t="s">
        <v>1796</v>
      </c>
      <c r="H449" t="s">
        <v>1797</v>
      </c>
    </row>
    <row r="450" spans="2:8">
      <c r="B450" t="s">
        <v>1217</v>
      </c>
      <c r="C450" t="s">
        <v>1218</v>
      </c>
      <c r="D450">
        <v>448</v>
      </c>
      <c r="G450" t="s">
        <v>1217</v>
      </c>
      <c r="H450" t="s">
        <v>1218</v>
      </c>
    </row>
    <row r="451" spans="2:8">
      <c r="B451" t="s">
        <v>1798</v>
      </c>
      <c r="C451" t="s">
        <v>1220</v>
      </c>
      <c r="D451">
        <v>449</v>
      </c>
      <c r="G451" t="s">
        <v>1798</v>
      </c>
      <c r="H451" t="s">
        <v>1220</v>
      </c>
    </row>
    <row r="452" spans="2:8">
      <c r="B452" t="s">
        <v>1799</v>
      </c>
      <c r="C452" t="s">
        <v>1800</v>
      </c>
      <c r="D452">
        <v>450</v>
      </c>
      <c r="G452" t="s">
        <v>1799</v>
      </c>
      <c r="H452" t="s">
        <v>1800</v>
      </c>
    </row>
    <row r="453" spans="2:8">
      <c r="B453" t="s">
        <v>1099</v>
      </c>
      <c r="C453" t="s">
        <v>1100</v>
      </c>
      <c r="D453">
        <v>451</v>
      </c>
      <c r="G453" t="s">
        <v>1099</v>
      </c>
      <c r="H453" t="s">
        <v>1100</v>
      </c>
    </row>
    <row r="454" spans="2:8">
      <c r="B454" t="s">
        <v>1801</v>
      </c>
      <c r="C454" t="s">
        <v>1802</v>
      </c>
      <c r="D454">
        <v>452</v>
      </c>
      <c r="G454" t="s">
        <v>1801</v>
      </c>
      <c r="H454" t="s">
        <v>1802</v>
      </c>
    </row>
    <row r="455" spans="2:8">
      <c r="B455" t="s">
        <v>1229</v>
      </c>
      <c r="C455" t="s">
        <v>1230</v>
      </c>
      <c r="D455">
        <v>453</v>
      </c>
      <c r="G455" t="s">
        <v>1229</v>
      </c>
      <c r="H455" t="s">
        <v>1230</v>
      </c>
    </row>
    <row r="456" spans="2:8">
      <c r="B456" t="s">
        <v>1227</v>
      </c>
      <c r="C456" t="s">
        <v>1228</v>
      </c>
      <c r="D456">
        <v>454</v>
      </c>
      <c r="G456" t="s">
        <v>1227</v>
      </c>
      <c r="H456" t="s">
        <v>1228</v>
      </c>
    </row>
    <row r="457" spans="2:8">
      <c r="B457" t="s">
        <v>1803</v>
      </c>
      <c r="C457" t="s">
        <v>1804</v>
      </c>
      <c r="D457">
        <v>455</v>
      </c>
      <c r="G457" t="s">
        <v>1803</v>
      </c>
      <c r="H457" t="s">
        <v>1804</v>
      </c>
    </row>
    <row r="458" spans="2:8">
      <c r="B458" t="s">
        <v>1805</v>
      </c>
      <c r="C458" t="s">
        <v>1234</v>
      </c>
      <c r="D458">
        <v>456</v>
      </c>
      <c r="G458" t="s">
        <v>1805</v>
      </c>
      <c r="H458" t="s">
        <v>1234</v>
      </c>
    </row>
    <row r="459" spans="2:8">
      <c r="B459" t="s">
        <v>1806</v>
      </c>
      <c r="C459" t="s">
        <v>1807</v>
      </c>
      <c r="D459">
        <v>457</v>
      </c>
      <c r="G459" t="s">
        <v>1806</v>
      </c>
      <c r="H459" t="s">
        <v>1807</v>
      </c>
    </row>
    <row r="460" spans="2:8">
      <c r="B460" t="s">
        <v>1808</v>
      </c>
      <c r="C460" t="s">
        <v>885</v>
      </c>
      <c r="D460">
        <v>458</v>
      </c>
      <c r="G460" t="s">
        <v>1808</v>
      </c>
      <c r="H460" t="s">
        <v>885</v>
      </c>
    </row>
    <row r="461" spans="2:8">
      <c r="B461" t="s">
        <v>1809</v>
      </c>
      <c r="C461" t="s">
        <v>1810</v>
      </c>
      <c r="D461">
        <v>459</v>
      </c>
      <c r="G461" t="s">
        <v>1809</v>
      </c>
      <c r="H461" t="s">
        <v>1810</v>
      </c>
    </row>
    <row r="462" spans="2:8">
      <c r="B462" t="s">
        <v>1241</v>
      </c>
      <c r="C462" t="s">
        <v>1242</v>
      </c>
      <c r="D462">
        <v>460</v>
      </c>
      <c r="G462" t="s">
        <v>1241</v>
      </c>
      <c r="H462" t="s">
        <v>1242</v>
      </c>
    </row>
    <row r="463" spans="2:8">
      <c r="B463" t="s">
        <v>1243</v>
      </c>
      <c r="C463" t="s">
        <v>1244</v>
      </c>
      <c r="D463">
        <v>461</v>
      </c>
      <c r="G463" t="s">
        <v>1243</v>
      </c>
      <c r="H463" t="s">
        <v>1244</v>
      </c>
    </row>
    <row r="464" spans="2:8">
      <c r="B464" t="s">
        <v>1245</v>
      </c>
      <c r="C464" t="s">
        <v>1246</v>
      </c>
      <c r="D464">
        <v>462</v>
      </c>
      <c r="G464" t="s">
        <v>1245</v>
      </c>
      <c r="H464" t="s">
        <v>1246</v>
      </c>
    </row>
    <row r="465" spans="2:8">
      <c r="B465" t="s">
        <v>1811</v>
      </c>
      <c r="C465" t="s">
        <v>1812</v>
      </c>
      <c r="D465">
        <v>463</v>
      </c>
      <c r="G465" t="s">
        <v>1811</v>
      </c>
      <c r="H465" t="s">
        <v>1812</v>
      </c>
    </row>
    <row r="466" spans="2:8">
      <c r="B466" t="s">
        <v>1249</v>
      </c>
      <c r="C466" t="s">
        <v>1250</v>
      </c>
      <c r="D466">
        <v>464</v>
      </c>
      <c r="G466" t="s">
        <v>1249</v>
      </c>
      <c r="H466" t="s">
        <v>1250</v>
      </c>
    </row>
    <row r="467" spans="2:8">
      <c r="B467" t="s">
        <v>1251</v>
      </c>
      <c r="C467" t="s">
        <v>1252</v>
      </c>
      <c r="D467">
        <v>465</v>
      </c>
      <c r="G467" t="s">
        <v>1251</v>
      </c>
      <c r="H467" t="s">
        <v>1252</v>
      </c>
    </row>
    <row r="468" spans="2:8">
      <c r="B468" t="s">
        <v>1813</v>
      </c>
      <c r="C468" t="s">
        <v>1814</v>
      </c>
      <c r="D468">
        <v>466</v>
      </c>
      <c r="G468" t="s">
        <v>1813</v>
      </c>
      <c r="H468" t="s">
        <v>1814</v>
      </c>
    </row>
    <row r="469" spans="2:8">
      <c r="B469" t="s">
        <v>1255</v>
      </c>
      <c r="C469" t="s">
        <v>1256</v>
      </c>
      <c r="D469">
        <v>467</v>
      </c>
      <c r="G469" t="s">
        <v>1255</v>
      </c>
      <c r="H469" t="s">
        <v>1256</v>
      </c>
    </row>
    <row r="470" spans="2:8">
      <c r="B470" t="s">
        <v>1257</v>
      </c>
      <c r="C470" t="s">
        <v>1258</v>
      </c>
      <c r="D470">
        <v>468</v>
      </c>
      <c r="G470" t="s">
        <v>1257</v>
      </c>
      <c r="H470" t="s">
        <v>1258</v>
      </c>
    </row>
    <row r="471" spans="2:8">
      <c r="B471" t="s">
        <v>1259</v>
      </c>
      <c r="C471" t="s">
        <v>1260</v>
      </c>
      <c r="D471">
        <v>469</v>
      </c>
      <c r="G471" t="s">
        <v>1259</v>
      </c>
      <c r="H471" t="s">
        <v>1260</v>
      </c>
    </row>
    <row r="472" spans="2:8">
      <c r="B472" t="s">
        <v>1261</v>
      </c>
      <c r="C472" t="s">
        <v>1262</v>
      </c>
      <c r="D472">
        <v>470</v>
      </c>
      <c r="G472" t="s">
        <v>1261</v>
      </c>
      <c r="H472" t="s">
        <v>1262</v>
      </c>
    </row>
    <row r="473" spans="2:8">
      <c r="B473" t="s">
        <v>1263</v>
      </c>
      <c r="C473" t="s">
        <v>1264</v>
      </c>
      <c r="D473">
        <v>471</v>
      </c>
      <c r="G473" t="s">
        <v>1263</v>
      </c>
      <c r="H473" t="s">
        <v>1264</v>
      </c>
    </row>
    <row r="474" spans="2:8">
      <c r="B474" t="s">
        <v>1265</v>
      </c>
      <c r="C474" t="s">
        <v>1266</v>
      </c>
      <c r="D474">
        <v>472</v>
      </c>
      <c r="G474" t="s">
        <v>1265</v>
      </c>
      <c r="H474" t="s">
        <v>1266</v>
      </c>
    </row>
    <row r="475" spans="2:8">
      <c r="B475" t="s">
        <v>1815</v>
      </c>
      <c r="C475" t="s">
        <v>1268</v>
      </c>
      <c r="D475">
        <v>473</v>
      </c>
      <c r="G475" t="s">
        <v>1815</v>
      </c>
      <c r="H475" t="s">
        <v>1268</v>
      </c>
    </row>
    <row r="476" spans="2:8">
      <c r="B476" t="s">
        <v>1816</v>
      </c>
      <c r="C476" t="s">
        <v>1270</v>
      </c>
      <c r="D476">
        <v>474</v>
      </c>
      <c r="G476" t="s">
        <v>1816</v>
      </c>
      <c r="H476" t="s">
        <v>1270</v>
      </c>
    </row>
    <row r="477" spans="2:8">
      <c r="B477" t="s">
        <v>1271</v>
      </c>
      <c r="C477" t="s">
        <v>1272</v>
      </c>
      <c r="D477">
        <v>475</v>
      </c>
      <c r="G477" t="s">
        <v>1271</v>
      </c>
      <c r="H477" t="s">
        <v>1272</v>
      </c>
    </row>
    <row r="478" spans="2:8">
      <c r="B478" t="s">
        <v>1273</v>
      </c>
      <c r="C478" t="s">
        <v>1274</v>
      </c>
      <c r="D478">
        <v>476</v>
      </c>
      <c r="G478" t="s">
        <v>1273</v>
      </c>
      <c r="H478" t="s">
        <v>1274</v>
      </c>
    </row>
    <row r="479" spans="2:8">
      <c r="B479" t="s">
        <v>1275</v>
      </c>
      <c r="C479" t="s">
        <v>1276</v>
      </c>
      <c r="D479">
        <v>477</v>
      </c>
      <c r="G479" t="s">
        <v>1275</v>
      </c>
      <c r="H479" t="s">
        <v>1276</v>
      </c>
    </row>
    <row r="480" spans="2:8">
      <c r="B480" t="s">
        <v>1277</v>
      </c>
      <c r="C480" t="s">
        <v>1278</v>
      </c>
      <c r="D480">
        <v>478</v>
      </c>
      <c r="G480" t="s">
        <v>1277</v>
      </c>
      <c r="H480" t="s">
        <v>1278</v>
      </c>
    </row>
    <row r="481" spans="1:8">
      <c r="B481" t="s">
        <v>1279</v>
      </c>
      <c r="C481" t="s">
        <v>1280</v>
      </c>
      <c r="D481">
        <v>479</v>
      </c>
      <c r="G481" t="s">
        <v>1279</v>
      </c>
      <c r="H481" t="s">
        <v>1280</v>
      </c>
    </row>
    <row r="482" spans="1:8">
      <c r="A482">
        <v>11</v>
      </c>
      <c r="B482" t="s">
        <v>1281</v>
      </c>
      <c r="C482" t="s">
        <v>1282</v>
      </c>
      <c r="D482">
        <v>480</v>
      </c>
      <c r="G482" t="s">
        <v>1281</v>
      </c>
      <c r="H482" t="s">
        <v>1282</v>
      </c>
    </row>
    <row r="483" spans="1:8">
      <c r="B483" t="s">
        <v>1817</v>
      </c>
      <c r="C483" t="s">
        <v>1818</v>
      </c>
      <c r="D483">
        <v>481</v>
      </c>
      <c r="G483" t="s">
        <v>1817</v>
      </c>
      <c r="H483" t="s">
        <v>1818</v>
      </c>
    </row>
    <row r="484" spans="1:8">
      <c r="B484" t="s">
        <v>1819</v>
      </c>
      <c r="C484" t="s">
        <v>1820</v>
      </c>
      <c r="D484">
        <v>482</v>
      </c>
      <c r="G484" t="s">
        <v>1819</v>
      </c>
      <c r="H484" t="s">
        <v>1820</v>
      </c>
    </row>
    <row r="485" spans="1:8">
      <c r="B485" t="s">
        <v>1288</v>
      </c>
      <c r="C485" t="s">
        <v>1289</v>
      </c>
      <c r="D485">
        <v>483</v>
      </c>
      <c r="G485" t="s">
        <v>1288</v>
      </c>
      <c r="H485" t="s">
        <v>1289</v>
      </c>
    </row>
    <row r="486" spans="1:8">
      <c r="B486" t="s">
        <v>1821</v>
      </c>
      <c r="C486" t="s">
        <v>1291</v>
      </c>
      <c r="D486">
        <v>484</v>
      </c>
      <c r="G486" t="s">
        <v>1821</v>
      </c>
      <c r="H486" t="s">
        <v>1291</v>
      </c>
    </row>
  </sheetData>
  <mergeCells count="2">
    <mergeCell ref="C2:D2"/>
    <mergeCell ref="H2:I2"/>
  </mergeCells>
  <conditionalFormatting sqref="B1:B1048576">
    <cfRule type="duplicateValues" dxfId="27" priority="3" stopIfTrue="1"/>
    <cfRule type="duplicateValues" dxfId="26" priority="7" stopIfTrue="1"/>
  </conditionalFormatting>
  <conditionalFormatting sqref="C1:C1048576">
    <cfRule type="duplicateValues" dxfId="25" priority="4" stopIfTrue="1"/>
    <cfRule type="duplicateValues" dxfId="24" priority="8" stopIfTrue="1"/>
  </conditionalFormatting>
  <conditionalFormatting sqref="G1:G1048576">
    <cfRule type="duplicateValues" dxfId="23" priority="1" stopIfTrue="1"/>
    <cfRule type="duplicateValues" dxfId="22" priority="5" stopIfTrue="1"/>
  </conditionalFormatting>
  <conditionalFormatting sqref="H1:H1048576">
    <cfRule type="duplicateValues" dxfId="21" priority="2" stopIfTrue="1"/>
    <cfRule type="duplicateValues" dxfId="20" priority="6" stopIfTrue="1"/>
  </conditionalFormatting>
  <conditionalFormatting sqref="B1:C1048576">
    <cfRule type="duplicateValues" dxfId="19" priority="10" stopIfTrue="1"/>
  </conditionalFormatting>
  <conditionalFormatting sqref="G1:H1048576">
    <cfRule type="duplicateValues" dxfId="18" priority="9" stopIfTrue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E5D5C-BD3E-461E-AC79-5D9D54467ED5}">
  <sheetPr>
    <tabColor theme="9" tint="0.39997558519241921"/>
  </sheetPr>
  <dimension ref="A1:W510"/>
  <sheetViews>
    <sheetView tabSelected="1" view="pageBreakPreview" topLeftCell="A2" zoomScale="70" zoomScaleNormal="60" workbookViewId="0">
      <selection activeCell="J503" sqref="J503"/>
    </sheetView>
  </sheetViews>
  <sheetFormatPr defaultColWidth="8.69921875" defaultRowHeight="13.8"/>
  <cols>
    <col min="1" max="1" width="8.5" style="9" customWidth="1"/>
    <col min="2" max="3" width="20.8984375" style="10" hidden="1" customWidth="1"/>
    <col min="4" max="4" width="20.8984375" style="11" hidden="1" customWidth="1"/>
    <col min="5" max="5" width="21.3984375" style="9" customWidth="1"/>
    <col min="6" max="6" width="28.8984375" style="9" customWidth="1"/>
    <col min="7" max="7" width="8.69921875" style="9" customWidth="1"/>
    <col min="8" max="8" width="12.19921875" style="9" customWidth="1"/>
    <col min="9" max="9" width="15.19921875" style="9" customWidth="1"/>
    <col min="10" max="10" width="22.09765625" style="12" customWidth="1"/>
    <col min="11" max="12" width="9" style="9" hidden="1" customWidth="1"/>
    <col min="13" max="13" width="20.69921875" style="12" customWidth="1"/>
    <col min="14" max="15" width="15.8984375" style="9" hidden="1" customWidth="1"/>
    <col min="16" max="16" width="13.8984375" style="9" hidden="1" customWidth="1"/>
    <col min="17" max="17" width="23.19921875" style="12" customWidth="1"/>
    <col min="18" max="18" width="27.19921875" style="9" customWidth="1"/>
    <col min="19" max="19" width="12.59765625" style="9" customWidth="1"/>
    <col min="20" max="20" width="16.5" style="9" customWidth="1"/>
    <col min="21" max="21" width="15.69921875" style="9" customWidth="1"/>
    <col min="22" max="22" width="12.5" style="9" customWidth="1"/>
    <col min="23" max="23" width="15.5" style="9" customWidth="1"/>
    <col min="24" max="33" width="9" style="9" bestFit="1" customWidth="1"/>
    <col min="34" max="16384" width="8.69921875" style="9"/>
  </cols>
  <sheetData>
    <row r="1" spans="1:22" s="1" customFormat="1" ht="37.950000000000003" customHeight="1">
      <c r="A1" s="1514" t="s">
        <v>1822</v>
      </c>
      <c r="B1" s="1514"/>
      <c r="C1" s="1514"/>
      <c r="D1" s="1514"/>
      <c r="E1" s="1514"/>
      <c r="F1" s="1514"/>
      <c r="G1" s="1514"/>
      <c r="H1" s="1514"/>
      <c r="I1" s="1514"/>
      <c r="J1" s="41"/>
      <c r="K1" s="42"/>
      <c r="L1" s="42"/>
      <c r="M1" s="41"/>
      <c r="N1" s="42"/>
      <c r="O1" s="42"/>
      <c r="P1" s="1515" t="s">
        <v>1539</v>
      </c>
      <c r="Q1" s="1515"/>
      <c r="R1" s="1515"/>
      <c r="S1" s="43"/>
    </row>
    <row r="2" spans="1:22" s="1" customFormat="1" ht="18">
      <c r="A2" s="1516" t="s">
        <v>1476</v>
      </c>
      <c r="B2" s="1516"/>
      <c r="C2" s="1516"/>
      <c r="D2" s="1516"/>
      <c r="E2" s="1516"/>
      <c r="F2" s="1516"/>
      <c r="G2" s="1516"/>
      <c r="H2" s="1516"/>
      <c r="I2" s="1516"/>
      <c r="J2" s="44"/>
      <c r="K2" s="13"/>
      <c r="L2" s="13"/>
      <c r="M2" s="44"/>
      <c r="N2" s="42"/>
      <c r="O2" s="42"/>
      <c r="P2" s="1515" t="s">
        <v>1520</v>
      </c>
      <c r="Q2" s="1515"/>
      <c r="R2" s="1515"/>
      <c r="S2" s="43"/>
    </row>
    <row r="3" spans="1:22" s="1" customFormat="1" ht="19.8">
      <c r="A3" s="1516" t="s">
        <v>1540</v>
      </c>
      <c r="B3" s="1516"/>
      <c r="C3" s="1516"/>
      <c r="D3" s="1516"/>
      <c r="E3" s="1516"/>
      <c r="F3" s="1516"/>
      <c r="G3" s="1516"/>
      <c r="H3" s="1516"/>
      <c r="I3" s="1516"/>
      <c r="J3" s="44"/>
      <c r="K3" s="13"/>
      <c r="L3" s="13"/>
      <c r="M3" s="44"/>
      <c r="N3" s="14"/>
      <c r="O3" s="13"/>
      <c r="P3" s="45"/>
      <c r="Q3" s="45"/>
      <c r="R3" s="45"/>
      <c r="S3" s="67"/>
    </row>
    <row r="4" spans="1:22" s="1" customFormat="1" ht="11.25" customHeight="1">
      <c r="A4" s="15"/>
      <c r="B4" s="15"/>
      <c r="C4" s="15"/>
      <c r="D4" s="15"/>
      <c r="E4" s="15"/>
      <c r="F4" s="15"/>
      <c r="G4" s="15"/>
      <c r="H4" s="15"/>
      <c r="I4" s="15"/>
      <c r="J4" s="46"/>
      <c r="K4" s="47"/>
      <c r="L4" s="47"/>
      <c r="M4" s="46"/>
      <c r="N4" s="48"/>
      <c r="O4" s="47"/>
      <c r="P4" s="49"/>
      <c r="Q4" s="68"/>
      <c r="R4" s="69"/>
      <c r="S4" s="69"/>
    </row>
    <row r="5" spans="1:22" s="1" customFormat="1" ht="38.4" customHeight="1">
      <c r="A5" s="1517" t="s">
        <v>1823</v>
      </c>
      <c r="B5" s="1517"/>
      <c r="C5" s="1517"/>
      <c r="D5" s="1517"/>
      <c r="E5" s="1517"/>
      <c r="F5" s="1517"/>
      <c r="G5" s="1517"/>
      <c r="H5" s="1517"/>
      <c r="I5" s="1517"/>
      <c r="J5" s="1517"/>
      <c r="K5" s="1517"/>
      <c r="L5" s="1517"/>
      <c r="M5" s="1517"/>
      <c r="N5" s="1517"/>
      <c r="O5" s="1517"/>
      <c r="P5" s="1517"/>
      <c r="Q5" s="1517"/>
      <c r="R5" s="1517"/>
      <c r="S5" s="16"/>
    </row>
    <row r="6" spans="1:22" s="1" customFormat="1" ht="34.200000000000003" customHeight="1">
      <c r="A6" s="1517" t="s">
        <v>1824</v>
      </c>
      <c r="B6" s="1517"/>
      <c r="C6" s="1517"/>
      <c r="D6" s="1517"/>
      <c r="E6" s="1517"/>
      <c r="F6" s="1517"/>
      <c r="G6" s="1517"/>
      <c r="H6" s="1517"/>
      <c r="I6" s="1517"/>
      <c r="J6" s="1517"/>
      <c r="K6" s="1517"/>
      <c r="L6" s="1517"/>
      <c r="M6" s="1517"/>
      <c r="N6" s="1517"/>
      <c r="O6" s="1517"/>
      <c r="P6" s="1517"/>
      <c r="Q6" s="1517"/>
      <c r="R6" s="1517"/>
      <c r="S6" s="16"/>
    </row>
    <row r="7" spans="1:22" s="2" customFormat="1" ht="27.6" customHeight="1">
      <c r="A7" s="1518" t="s">
        <v>1825</v>
      </c>
      <c r="B7" s="1518"/>
      <c r="C7" s="1518"/>
      <c r="D7" s="1518"/>
      <c r="E7" s="1518"/>
      <c r="F7" s="1518"/>
      <c r="G7" s="1518"/>
      <c r="H7" s="1518"/>
      <c r="I7" s="1518"/>
      <c r="J7" s="1518"/>
      <c r="K7" s="1518"/>
      <c r="L7" s="1518"/>
      <c r="M7" s="1518"/>
      <c r="N7" s="1518"/>
      <c r="O7" s="1518"/>
      <c r="P7" s="1518"/>
      <c r="Q7" s="1518"/>
      <c r="R7" s="1518"/>
      <c r="S7" s="17"/>
    </row>
    <row r="8" spans="1:22" s="2" customFormat="1" ht="29.4" customHeight="1">
      <c r="A8" s="1518" t="s">
        <v>1826</v>
      </c>
      <c r="B8" s="1518"/>
      <c r="C8" s="1518"/>
      <c r="D8" s="1518"/>
      <c r="E8" s="1518"/>
      <c r="F8" s="1518"/>
      <c r="G8" s="1518"/>
      <c r="H8" s="1518"/>
      <c r="I8" s="1518"/>
      <c r="J8" s="1518"/>
      <c r="K8" s="1518"/>
      <c r="L8" s="1518"/>
      <c r="M8" s="1518"/>
      <c r="N8" s="1518"/>
      <c r="O8" s="1518"/>
      <c r="P8" s="1518"/>
      <c r="Q8" s="1518"/>
      <c r="R8" s="1518"/>
      <c r="S8" s="17"/>
    </row>
    <row r="9" spans="1:22" s="3" customFormat="1" ht="1.2" hidden="1" customHeight="1">
      <c r="A9" s="18"/>
      <c r="B9" s="19"/>
      <c r="C9" s="19"/>
      <c r="D9" s="20"/>
      <c r="E9" s="18"/>
      <c r="F9" s="18"/>
      <c r="G9" s="18"/>
      <c r="H9" s="18"/>
      <c r="I9" s="18"/>
      <c r="J9" s="50"/>
      <c r="K9" s="18"/>
      <c r="L9" s="18"/>
      <c r="M9" s="50"/>
      <c r="N9" s="18"/>
      <c r="O9" s="18"/>
      <c r="P9" s="18"/>
      <c r="Q9" s="50"/>
      <c r="R9" s="70"/>
      <c r="S9" s="70"/>
    </row>
    <row r="10" spans="1:22" s="3" customFormat="1" ht="23.4" customHeight="1">
      <c r="B10" s="21"/>
      <c r="C10" s="21"/>
      <c r="D10" s="22"/>
      <c r="J10" s="51"/>
      <c r="M10" s="51"/>
      <c r="Q10" s="71"/>
      <c r="R10" s="72" t="s">
        <v>1827</v>
      </c>
      <c r="S10" s="73"/>
    </row>
    <row r="11" spans="1:22" s="4" customFormat="1" ht="45" customHeight="1">
      <c r="A11" s="1541" t="s">
        <v>1407</v>
      </c>
      <c r="B11" s="1543" t="s">
        <v>1410</v>
      </c>
      <c r="C11" s="1543" t="s">
        <v>1411</v>
      </c>
      <c r="D11" s="1545" t="s">
        <v>1412</v>
      </c>
      <c r="E11" s="1524" t="s">
        <v>1433</v>
      </c>
      <c r="F11" s="1524" t="s">
        <v>1433</v>
      </c>
      <c r="G11" s="1521" t="s">
        <v>1547</v>
      </c>
      <c r="H11" s="1520" t="s">
        <v>1828</v>
      </c>
      <c r="I11" s="1519" t="s">
        <v>1829</v>
      </c>
      <c r="J11" s="1519"/>
      <c r="K11" s="1520" t="s">
        <v>1830</v>
      </c>
      <c r="L11" s="1520"/>
      <c r="M11" s="1534" t="s">
        <v>1831</v>
      </c>
      <c r="N11" s="1519" t="s">
        <v>1832</v>
      </c>
      <c r="O11" s="1519"/>
      <c r="P11" s="1520" t="s">
        <v>1833</v>
      </c>
      <c r="Q11" s="1537" t="s">
        <v>1834</v>
      </c>
      <c r="R11" s="1539" t="s">
        <v>1835</v>
      </c>
      <c r="S11" s="74"/>
    </row>
    <row r="12" spans="1:22" s="4" customFormat="1" ht="44.4" customHeight="1">
      <c r="A12" s="1542"/>
      <c r="B12" s="1544"/>
      <c r="C12" s="1544"/>
      <c r="D12" s="1546"/>
      <c r="E12" s="1525"/>
      <c r="F12" s="1525"/>
      <c r="G12" s="1522"/>
      <c r="H12" s="1523"/>
      <c r="I12" s="52" t="s">
        <v>1836</v>
      </c>
      <c r="J12" s="53" t="s">
        <v>1837</v>
      </c>
      <c r="K12" s="23" t="s">
        <v>1838</v>
      </c>
      <c r="L12" s="23" t="s">
        <v>1839</v>
      </c>
      <c r="M12" s="1535"/>
      <c r="N12" s="54" t="s">
        <v>1840</v>
      </c>
      <c r="O12" s="54" t="s">
        <v>1841</v>
      </c>
      <c r="P12" s="1536"/>
      <c r="Q12" s="1538"/>
      <c r="R12" s="1540"/>
      <c r="S12" s="75"/>
    </row>
    <row r="13" spans="1:22" s="5" customFormat="1" ht="30" customHeight="1">
      <c r="A13" s="24" t="s">
        <v>186</v>
      </c>
      <c r="B13" s="25"/>
      <c r="C13" s="25"/>
      <c r="D13" s="26"/>
      <c r="E13" s="27"/>
      <c r="F13" s="27" t="s">
        <v>199</v>
      </c>
      <c r="G13" s="28"/>
      <c r="H13" s="29">
        <v>1</v>
      </c>
      <c r="I13" s="29">
        <v>2</v>
      </c>
      <c r="J13" s="55" t="s">
        <v>1496</v>
      </c>
      <c r="K13" s="29">
        <v>4</v>
      </c>
      <c r="L13" s="29" t="s">
        <v>1842</v>
      </c>
      <c r="M13" s="55">
        <v>4</v>
      </c>
      <c r="N13" s="56">
        <v>7</v>
      </c>
      <c r="O13" s="56">
        <v>8</v>
      </c>
      <c r="P13" s="56" t="s">
        <v>1843</v>
      </c>
      <c r="Q13" s="55">
        <v>5</v>
      </c>
      <c r="R13" s="76"/>
      <c r="S13" s="77"/>
    </row>
    <row r="14" spans="1:22" s="5" customFormat="1" ht="16.95" customHeight="1">
      <c r="A14" s="1526"/>
      <c r="B14" s="1527"/>
      <c r="C14" s="1527"/>
      <c r="D14" s="1527"/>
      <c r="E14" s="1527"/>
      <c r="F14" s="1527"/>
      <c r="G14" s="30"/>
      <c r="H14" s="31"/>
      <c r="I14" s="31"/>
      <c r="J14" s="57"/>
      <c r="K14" s="31"/>
      <c r="L14" s="31"/>
      <c r="M14" s="57"/>
      <c r="N14" s="58"/>
      <c r="O14" s="58"/>
      <c r="P14" s="58"/>
      <c r="Q14" s="57"/>
      <c r="R14" s="78"/>
      <c r="S14" s="77"/>
    </row>
    <row r="15" spans="1:22" s="6" customFormat="1" ht="37.200000000000003" customHeight="1">
      <c r="A15" s="32">
        <v>1</v>
      </c>
      <c r="B15" s="33">
        <f>'KL 1'!B16</f>
        <v>33030</v>
      </c>
      <c r="C15" s="33" t="str">
        <f>'KL 1'!C16</f>
        <v>ស្រី</v>
      </c>
      <c r="D15" s="34">
        <f>'KL 1'!D16</f>
        <v>150429518</v>
      </c>
      <c r="E15" s="35" t="str">
        <f>'Tên Tháng 1'!E4</f>
        <v>ឆែម ហុង</v>
      </c>
      <c r="F15" s="36" t="str">
        <f>'Tên Tháng 1'!F4</f>
        <v>CHHEM HONG</v>
      </c>
      <c r="G15" s="37">
        <v>1</v>
      </c>
      <c r="H15" s="38">
        <v>31947</v>
      </c>
      <c r="I15" s="59">
        <f>'KL 1'!X16</f>
        <v>10.8</v>
      </c>
      <c r="J15" s="60">
        <f>ROUND(H15*I15,0)</f>
        <v>345028</v>
      </c>
      <c r="K15" s="61"/>
      <c r="L15" s="62"/>
      <c r="M15" s="63">
        <f>J15+L15</f>
        <v>345028</v>
      </c>
      <c r="N15" s="64">
        <f>L15</f>
        <v>0</v>
      </c>
      <c r="O15" s="65">
        <f>ROUND(IF(M15&lt;=1200000,0,IF(AND((M15)&gt;1200000,(M15)&lt;=2000000),(M15)*5%-60000,IF(AND((M15)&gt;2000000,(M15)&lt;=8500000),(M15)*10%-160000))),0)</f>
        <v>0</v>
      </c>
      <c r="P15" s="66">
        <f>N15+O15</f>
        <v>0</v>
      </c>
      <c r="Q15" s="60">
        <f>M15-L15</f>
        <v>345028</v>
      </c>
      <c r="R15" s="79"/>
      <c r="S15" s="80" t="s">
        <v>270</v>
      </c>
      <c r="T15" s="6">
        <v>615560</v>
      </c>
      <c r="U15" s="81">
        <f t="shared" ref="U15:U25" si="0">T15-Q15</f>
        <v>270532</v>
      </c>
      <c r="V15" s="6">
        <v>91</v>
      </c>
    </row>
    <row r="16" spans="1:22" s="6" customFormat="1" ht="37.200000000000003" customHeight="1">
      <c r="A16" s="32">
        <v>2</v>
      </c>
      <c r="B16" s="33"/>
      <c r="C16" s="33"/>
      <c r="D16" s="34">
        <f>'KL 1'!D17</f>
        <v>220140698</v>
      </c>
      <c r="E16" s="35" t="str">
        <f>'Tên Tháng 1'!E5</f>
        <v>សុទ្ធ សីថា</v>
      </c>
      <c r="F16" s="36" t="str">
        <f>'Tên Tháng 1'!F5</f>
        <v>SOT SEYTHA</v>
      </c>
      <c r="G16" s="37">
        <v>2</v>
      </c>
      <c r="H16" s="38">
        <v>31947</v>
      </c>
      <c r="I16" s="59">
        <f>'KL 1'!X17</f>
        <v>14.83</v>
      </c>
      <c r="J16" s="60">
        <f t="shared" ref="J16:J79" si="1">ROUND(H16*I16,0)</f>
        <v>473774</v>
      </c>
      <c r="K16" s="61"/>
      <c r="L16" s="62"/>
      <c r="M16" s="63">
        <f t="shared" ref="M16:M79" si="2">J16+L16</f>
        <v>473774</v>
      </c>
      <c r="N16" s="64">
        <f t="shared" ref="N16:N79" si="3">L16</f>
        <v>0</v>
      </c>
      <c r="O16" s="65">
        <f t="shared" ref="O16:O79" si="4">ROUND(IF(M16&lt;=1200000,0,IF(AND((M16)&gt;1200000,(M16)&lt;=2000000),(M16)*5%-60000,IF(AND((M16)&gt;2000000,(M16)&lt;=8500000),(M16)*10%-160000))),0)</f>
        <v>0</v>
      </c>
      <c r="P16" s="66">
        <f t="shared" ref="P16:P79" si="5">N16+O16</f>
        <v>0</v>
      </c>
      <c r="Q16" s="60">
        <f t="shared" ref="Q16:Q79" si="6">M16-L16</f>
        <v>473774</v>
      </c>
      <c r="R16" s="79"/>
      <c r="S16" s="80" t="s">
        <v>270</v>
      </c>
      <c r="T16" s="6">
        <v>647392</v>
      </c>
      <c r="U16" s="81">
        <f t="shared" si="0"/>
        <v>173618</v>
      </c>
      <c r="V16" s="6">
        <v>-447</v>
      </c>
    </row>
    <row r="17" spans="1:22" s="6" customFormat="1" ht="37.200000000000003" customHeight="1">
      <c r="A17" s="32">
        <v>3</v>
      </c>
      <c r="B17" s="33"/>
      <c r="C17" s="33"/>
      <c r="D17" s="34">
        <f>'KL 1'!D18</f>
        <v>151027370</v>
      </c>
      <c r="E17" s="35" t="str">
        <f>'Tên Tháng 1'!E6</f>
        <v>រ៉ន ចាន់រាជ</v>
      </c>
      <c r="F17" s="36" t="str">
        <f>'Tên Tháng 1'!F6</f>
        <v>RORN CHANREACH</v>
      </c>
      <c r="G17" s="37">
        <v>3</v>
      </c>
      <c r="H17" s="38">
        <v>31947</v>
      </c>
      <c r="I17" s="59">
        <f>'KL 1'!X18</f>
        <v>17.710000000000004</v>
      </c>
      <c r="J17" s="60">
        <f t="shared" si="1"/>
        <v>565781</v>
      </c>
      <c r="K17" s="61"/>
      <c r="L17" s="62"/>
      <c r="M17" s="63">
        <f t="shared" si="2"/>
        <v>565781</v>
      </c>
      <c r="N17" s="64">
        <f t="shared" si="3"/>
        <v>0</v>
      </c>
      <c r="O17" s="65">
        <f t="shared" si="4"/>
        <v>0</v>
      </c>
      <c r="P17" s="66">
        <f t="shared" si="5"/>
        <v>0</v>
      </c>
      <c r="Q17" s="60">
        <f t="shared" si="6"/>
        <v>565781</v>
      </c>
      <c r="R17" s="79"/>
      <c r="S17" s="80" t="s">
        <v>270</v>
      </c>
      <c r="T17" s="6">
        <v>579541</v>
      </c>
      <c r="U17" s="81">
        <f t="shared" si="0"/>
        <v>13760</v>
      </c>
      <c r="V17" s="6">
        <v>434</v>
      </c>
    </row>
    <row r="18" spans="1:22" s="6" customFormat="1" ht="37.200000000000003" customHeight="1">
      <c r="A18" s="32">
        <v>4</v>
      </c>
      <c r="B18" s="33"/>
      <c r="C18" s="33"/>
      <c r="D18" s="34" t="str">
        <f>'KL 1'!D19</f>
        <v>150815265</v>
      </c>
      <c r="E18" s="35" t="str">
        <f>'Tên Tháng 1'!E7</f>
        <v>ណំ ធីងធីង</v>
      </c>
      <c r="F18" s="36" t="str">
        <f>'Tên Tháng 1'!F7</f>
        <v>NON THING THING</v>
      </c>
      <c r="G18" s="37">
        <v>4</v>
      </c>
      <c r="H18" s="38">
        <v>31947</v>
      </c>
      <c r="I18" s="59">
        <f>'KL 1'!X19</f>
        <v>14.33</v>
      </c>
      <c r="J18" s="60">
        <f t="shared" si="1"/>
        <v>457801</v>
      </c>
      <c r="K18" s="61"/>
      <c r="L18" s="62"/>
      <c r="M18" s="63">
        <f t="shared" si="2"/>
        <v>457801</v>
      </c>
      <c r="N18" s="64">
        <f t="shared" si="3"/>
        <v>0</v>
      </c>
      <c r="O18" s="65">
        <f t="shared" si="4"/>
        <v>0</v>
      </c>
      <c r="P18" s="66">
        <f t="shared" si="5"/>
        <v>0</v>
      </c>
      <c r="Q18" s="60">
        <f t="shared" si="6"/>
        <v>457801</v>
      </c>
      <c r="R18" s="79"/>
      <c r="S18" s="80" t="s">
        <v>270</v>
      </c>
      <c r="T18" s="6">
        <v>631376</v>
      </c>
      <c r="U18" s="81">
        <f t="shared" si="0"/>
        <v>173575</v>
      </c>
      <c r="V18" s="6">
        <v>-441</v>
      </c>
    </row>
    <row r="19" spans="1:22" s="6" customFormat="1" ht="37.200000000000003" customHeight="1">
      <c r="A19" s="32">
        <v>5</v>
      </c>
      <c r="B19" s="33"/>
      <c r="C19" s="33"/>
      <c r="D19" s="34">
        <f>'KL 1'!D20</f>
        <v>220152906</v>
      </c>
      <c r="E19" s="35" t="str">
        <f>'Tên Tháng 1'!E8</f>
        <v>វ៉ាន់ បូរ៉ុង</v>
      </c>
      <c r="F19" s="36" t="str">
        <f>'Tên Tháng 1'!F8</f>
        <v>VANN BORONG</v>
      </c>
      <c r="G19" s="37">
        <v>5</v>
      </c>
      <c r="H19" s="38">
        <v>31947</v>
      </c>
      <c r="I19" s="59">
        <f>'KL 1'!X20</f>
        <v>17.040000000000003</v>
      </c>
      <c r="J19" s="60">
        <f t="shared" si="1"/>
        <v>544377</v>
      </c>
      <c r="K19" s="61"/>
      <c r="L19" s="62"/>
      <c r="M19" s="63">
        <f t="shared" si="2"/>
        <v>544377</v>
      </c>
      <c r="N19" s="64">
        <f t="shared" si="3"/>
        <v>0</v>
      </c>
      <c r="O19" s="65">
        <f t="shared" si="4"/>
        <v>0</v>
      </c>
      <c r="P19" s="66">
        <f t="shared" si="5"/>
        <v>0</v>
      </c>
      <c r="Q19" s="60">
        <f t="shared" si="6"/>
        <v>544377</v>
      </c>
      <c r="R19" s="79"/>
      <c r="S19" s="80" t="s">
        <v>270</v>
      </c>
      <c r="T19" s="6">
        <v>543488</v>
      </c>
      <c r="U19" s="81">
        <f t="shared" si="0"/>
        <v>-889</v>
      </c>
      <c r="V19" s="6">
        <v>-375</v>
      </c>
    </row>
    <row r="20" spans="1:22" s="6" customFormat="1" ht="37.200000000000003" customHeight="1">
      <c r="A20" s="32">
        <v>6</v>
      </c>
      <c r="B20" s="33"/>
      <c r="C20" s="33"/>
      <c r="D20" s="34">
        <f>'KL 1'!D21</f>
        <v>220175364</v>
      </c>
      <c r="E20" s="35" t="str">
        <f>'Tên Tháng 1'!E9</f>
        <v>យឿង សុខជា</v>
      </c>
      <c r="F20" s="36" t="str">
        <f>'Tên Tháng 1'!F9</f>
        <v>YOEUNG SOKCHEA</v>
      </c>
      <c r="G20" s="37">
        <v>6</v>
      </c>
      <c r="H20" s="38">
        <v>31947</v>
      </c>
      <c r="I20" s="59">
        <f>'KL 1'!X21</f>
        <v>15.6</v>
      </c>
      <c r="J20" s="60">
        <f t="shared" si="1"/>
        <v>498373</v>
      </c>
      <c r="K20" s="61"/>
      <c r="L20" s="62"/>
      <c r="M20" s="63">
        <f t="shared" si="2"/>
        <v>498373</v>
      </c>
      <c r="N20" s="64">
        <f t="shared" si="3"/>
        <v>0</v>
      </c>
      <c r="O20" s="65">
        <f t="shared" si="4"/>
        <v>0</v>
      </c>
      <c r="P20" s="66">
        <f t="shared" si="5"/>
        <v>0</v>
      </c>
      <c r="Q20" s="60">
        <f t="shared" si="6"/>
        <v>498373</v>
      </c>
      <c r="R20" s="79"/>
      <c r="S20" s="80" t="s">
        <v>270</v>
      </c>
      <c r="T20" s="6">
        <v>287334</v>
      </c>
      <c r="U20" s="81">
        <f t="shared" si="0"/>
        <v>-211039</v>
      </c>
      <c r="V20" s="6">
        <v>29</v>
      </c>
    </row>
    <row r="21" spans="1:22" s="6" customFormat="1" ht="37.200000000000003" customHeight="1">
      <c r="A21" s="32">
        <v>7</v>
      </c>
      <c r="B21" s="33"/>
      <c r="C21" s="33"/>
      <c r="D21" s="34">
        <f>'KL 1'!D22</f>
        <v>220209900</v>
      </c>
      <c r="E21" s="35" t="str">
        <f>'Tên Tháng 1'!E10</f>
        <v>អួន សុភាព</v>
      </c>
      <c r="F21" s="36" t="str">
        <f>'Tên Tháng 1'!F10</f>
        <v>OURN SOPHEAP</v>
      </c>
      <c r="G21" s="37">
        <v>7</v>
      </c>
      <c r="H21" s="38">
        <v>31947</v>
      </c>
      <c r="I21" s="59">
        <f>'KL 1'!X22</f>
        <v>13.68</v>
      </c>
      <c r="J21" s="60">
        <f t="shared" si="1"/>
        <v>437035</v>
      </c>
      <c r="K21" s="61"/>
      <c r="L21" s="62"/>
      <c r="M21" s="63">
        <f t="shared" si="2"/>
        <v>437035</v>
      </c>
      <c r="N21" s="64">
        <f t="shared" si="3"/>
        <v>0</v>
      </c>
      <c r="O21" s="65">
        <f t="shared" si="4"/>
        <v>0</v>
      </c>
      <c r="P21" s="66">
        <f t="shared" si="5"/>
        <v>0</v>
      </c>
      <c r="Q21" s="60">
        <f t="shared" si="6"/>
        <v>437035</v>
      </c>
      <c r="R21" s="79"/>
      <c r="S21" s="80" t="s">
        <v>270</v>
      </c>
      <c r="T21" s="6">
        <v>593155</v>
      </c>
      <c r="U21" s="81">
        <f t="shared" si="0"/>
        <v>156120</v>
      </c>
      <c r="V21" s="6">
        <v>-108</v>
      </c>
    </row>
    <row r="22" spans="1:22" s="6" customFormat="1" ht="37.200000000000003" customHeight="1">
      <c r="A22" s="32">
        <v>8</v>
      </c>
      <c r="B22" s="33"/>
      <c r="C22" s="33"/>
      <c r="D22" s="34">
        <f>'KL 1'!D23</f>
        <v>150789799</v>
      </c>
      <c r="E22" s="35" t="str">
        <f>'Tên Tháng 1'!E11</f>
        <v>ភួន ភី</v>
      </c>
      <c r="F22" s="36" t="str">
        <f>'Tên Tháng 1'!F11</f>
        <v>PHUON PHY</v>
      </c>
      <c r="G22" s="37">
        <v>8</v>
      </c>
      <c r="H22" s="38">
        <v>31947</v>
      </c>
      <c r="I22" s="59">
        <f>'KL 1'!X23</f>
        <v>15.13</v>
      </c>
      <c r="J22" s="60">
        <f t="shared" si="1"/>
        <v>483358</v>
      </c>
      <c r="K22" s="61"/>
      <c r="L22" s="62"/>
      <c r="M22" s="63">
        <f t="shared" si="2"/>
        <v>483358</v>
      </c>
      <c r="N22" s="64">
        <f t="shared" si="3"/>
        <v>0</v>
      </c>
      <c r="O22" s="65">
        <f t="shared" si="4"/>
        <v>0</v>
      </c>
      <c r="P22" s="66">
        <f t="shared" si="5"/>
        <v>0</v>
      </c>
      <c r="Q22" s="60">
        <f t="shared" si="6"/>
        <v>483358</v>
      </c>
      <c r="R22" s="79"/>
      <c r="S22" s="80" t="s">
        <v>270</v>
      </c>
      <c r="T22" s="6">
        <v>623785</v>
      </c>
      <c r="U22" s="81">
        <f t="shared" si="0"/>
        <v>140427</v>
      </c>
      <c r="V22" s="6">
        <v>-326</v>
      </c>
    </row>
    <row r="23" spans="1:22" s="6" customFormat="1" ht="37.200000000000003" customHeight="1">
      <c r="A23" s="32">
        <v>9</v>
      </c>
      <c r="B23" s="33"/>
      <c r="C23" s="33"/>
      <c r="D23" s="34">
        <f>'KL 1'!D24</f>
        <v>150983095</v>
      </c>
      <c r="E23" s="35" t="str">
        <f>'Tên Tháng 1'!E12</f>
        <v>ទូ គុលា</v>
      </c>
      <c r="F23" s="36" t="str">
        <f>'Tên Tháng 1'!F12</f>
        <v>TO TOKLA</v>
      </c>
      <c r="G23" s="37">
        <v>9</v>
      </c>
      <c r="H23" s="38">
        <v>31947</v>
      </c>
      <c r="I23" s="59">
        <f>'KL 1'!X24</f>
        <v>10.69</v>
      </c>
      <c r="J23" s="60">
        <f t="shared" si="1"/>
        <v>341513</v>
      </c>
      <c r="K23" s="61"/>
      <c r="L23" s="62"/>
      <c r="M23" s="63">
        <f t="shared" si="2"/>
        <v>341513</v>
      </c>
      <c r="N23" s="64">
        <f t="shared" si="3"/>
        <v>0</v>
      </c>
      <c r="O23" s="65">
        <f t="shared" si="4"/>
        <v>0</v>
      </c>
      <c r="P23" s="66">
        <f t="shared" si="5"/>
        <v>0</v>
      </c>
      <c r="Q23" s="60">
        <f t="shared" si="6"/>
        <v>341513</v>
      </c>
      <c r="R23" s="79"/>
      <c r="S23" s="80" t="s">
        <v>270</v>
      </c>
      <c r="T23" s="6">
        <v>680625</v>
      </c>
      <c r="U23" s="81">
        <f t="shared" si="0"/>
        <v>339112</v>
      </c>
      <c r="V23" s="6">
        <v>60</v>
      </c>
    </row>
    <row r="24" spans="1:22" s="6" customFormat="1" ht="37.200000000000003" customHeight="1">
      <c r="A24" s="32">
        <v>10</v>
      </c>
      <c r="B24" s="33"/>
      <c r="C24" s="33"/>
      <c r="D24" s="34">
        <f>'KL 1'!D25</f>
        <v>150814730</v>
      </c>
      <c r="E24" s="35" t="str">
        <f>'Tên Tháng 1'!E13</f>
        <v>ណំ សិទ្ធិ</v>
      </c>
      <c r="F24" s="36" t="str">
        <f>'Tên Tháng 1'!F13</f>
        <v>NOM SITH</v>
      </c>
      <c r="G24" s="37">
        <v>10</v>
      </c>
      <c r="H24" s="38">
        <v>31947</v>
      </c>
      <c r="I24" s="59">
        <f>'KL 1'!X25</f>
        <v>15.91</v>
      </c>
      <c r="J24" s="60">
        <f t="shared" si="1"/>
        <v>508277</v>
      </c>
      <c r="K24" s="61"/>
      <c r="L24" s="62"/>
      <c r="M24" s="63">
        <f t="shared" si="2"/>
        <v>508277</v>
      </c>
      <c r="N24" s="64">
        <f t="shared" si="3"/>
        <v>0</v>
      </c>
      <c r="O24" s="65">
        <f t="shared" si="4"/>
        <v>0</v>
      </c>
      <c r="P24" s="66">
        <f t="shared" si="5"/>
        <v>0</v>
      </c>
      <c r="Q24" s="60">
        <f t="shared" si="6"/>
        <v>508277</v>
      </c>
      <c r="R24" s="79"/>
      <c r="S24" s="80" t="s">
        <v>270</v>
      </c>
      <c r="T24" s="6">
        <v>693638</v>
      </c>
      <c r="U24" s="81">
        <f t="shared" si="0"/>
        <v>185361</v>
      </c>
      <c r="V24" s="6">
        <v>-471</v>
      </c>
    </row>
    <row r="25" spans="1:22" s="6" customFormat="1" ht="37.200000000000003" customHeight="1">
      <c r="A25" s="32">
        <v>11</v>
      </c>
      <c r="B25" s="33"/>
      <c r="C25" s="33"/>
      <c r="D25" s="34">
        <f>'KL 1'!D26</f>
        <v>150427542</v>
      </c>
      <c r="E25" s="35" t="str">
        <f>'Tên Tháng 1'!E14</f>
        <v>ធ្លក រាន់</v>
      </c>
      <c r="F25" s="36" t="str">
        <f>'Tên Tháng 1'!F14</f>
        <v>THLOK ROIN</v>
      </c>
      <c r="G25" s="37">
        <v>11</v>
      </c>
      <c r="H25" s="38">
        <v>31947</v>
      </c>
      <c r="I25" s="59">
        <f>'KL 1'!X26</f>
        <v>11.97</v>
      </c>
      <c r="J25" s="60">
        <f t="shared" si="1"/>
        <v>382406</v>
      </c>
      <c r="K25" s="61"/>
      <c r="L25" s="62"/>
      <c r="M25" s="63">
        <f t="shared" si="2"/>
        <v>382406</v>
      </c>
      <c r="N25" s="64">
        <f t="shared" si="3"/>
        <v>0</v>
      </c>
      <c r="O25" s="65">
        <f t="shared" si="4"/>
        <v>0</v>
      </c>
      <c r="P25" s="66">
        <f t="shared" si="5"/>
        <v>0</v>
      </c>
      <c r="Q25" s="60">
        <f t="shared" si="6"/>
        <v>382406</v>
      </c>
      <c r="R25" s="79"/>
      <c r="S25" s="80" t="s">
        <v>270</v>
      </c>
      <c r="T25" s="6">
        <v>647826</v>
      </c>
      <c r="U25" s="81">
        <f t="shared" si="0"/>
        <v>265420</v>
      </c>
      <c r="V25" s="6">
        <v>-432</v>
      </c>
    </row>
    <row r="26" spans="1:22" s="6" customFormat="1" ht="37.200000000000003" customHeight="1">
      <c r="A26" s="32">
        <v>12</v>
      </c>
      <c r="B26" s="33"/>
      <c r="C26" s="33"/>
      <c r="D26" s="34"/>
      <c r="E26" s="35" t="str">
        <f>'Tên Tháng 1'!E15</f>
        <v>យ៉ែម ឃឿន</v>
      </c>
      <c r="F26" s="36" t="str">
        <f>'Tên Tháng 1'!F15</f>
        <v>YEM KHOEUN</v>
      </c>
      <c r="G26" s="37">
        <v>12</v>
      </c>
      <c r="H26" s="38">
        <v>31947</v>
      </c>
      <c r="I26" s="59">
        <f>'KL 1'!X27</f>
        <v>10.540000000000001</v>
      </c>
      <c r="J26" s="60">
        <f t="shared" si="1"/>
        <v>336721</v>
      </c>
      <c r="K26" s="61"/>
      <c r="L26" s="62"/>
      <c r="M26" s="63">
        <f t="shared" si="2"/>
        <v>336721</v>
      </c>
      <c r="N26" s="64">
        <f t="shared" si="3"/>
        <v>0</v>
      </c>
      <c r="O26" s="65">
        <f t="shared" si="4"/>
        <v>0</v>
      </c>
      <c r="P26" s="66">
        <f t="shared" si="5"/>
        <v>0</v>
      </c>
      <c r="Q26" s="60">
        <f t="shared" si="6"/>
        <v>336721</v>
      </c>
      <c r="R26" s="79"/>
      <c r="S26" s="80" t="s">
        <v>270</v>
      </c>
      <c r="U26" s="81"/>
    </row>
    <row r="27" spans="1:22" s="6" customFormat="1" ht="37.200000000000003" customHeight="1">
      <c r="A27" s="32">
        <v>13</v>
      </c>
      <c r="B27" s="33"/>
      <c r="C27" s="33"/>
      <c r="D27" s="34">
        <f>'KL 1'!D28</f>
        <v>150468345</v>
      </c>
      <c r="E27" s="35" t="str">
        <f>'Tên Tháng 1'!E16</f>
        <v>យឿង រ៉ាឌី</v>
      </c>
      <c r="F27" s="36" t="str">
        <f>'Tên Tháng 1'!F16</f>
        <v>YOEUNG RADIN</v>
      </c>
      <c r="G27" s="37">
        <v>13</v>
      </c>
      <c r="H27" s="38">
        <v>31947</v>
      </c>
      <c r="I27" s="59">
        <f>'KL 1'!X28</f>
        <v>13.23</v>
      </c>
      <c r="J27" s="60">
        <f t="shared" si="1"/>
        <v>422659</v>
      </c>
      <c r="K27" s="61"/>
      <c r="L27" s="62"/>
      <c r="M27" s="63">
        <f t="shared" si="2"/>
        <v>422659</v>
      </c>
      <c r="N27" s="64">
        <f t="shared" si="3"/>
        <v>0</v>
      </c>
      <c r="O27" s="65">
        <f t="shared" si="4"/>
        <v>0</v>
      </c>
      <c r="P27" s="66">
        <f t="shared" si="5"/>
        <v>0</v>
      </c>
      <c r="Q27" s="60">
        <f t="shared" si="6"/>
        <v>422659</v>
      </c>
      <c r="R27" s="79"/>
      <c r="S27" s="80" t="s">
        <v>270</v>
      </c>
      <c r="T27" s="6">
        <v>85000</v>
      </c>
      <c r="U27" s="81">
        <f t="shared" ref="U27:U33" si="7">T27-Q27</f>
        <v>-337659</v>
      </c>
      <c r="V27" s="6">
        <v>24</v>
      </c>
    </row>
    <row r="28" spans="1:22" s="6" customFormat="1" ht="37.200000000000003" customHeight="1">
      <c r="A28" s="32">
        <v>14</v>
      </c>
      <c r="B28" s="33"/>
      <c r="C28" s="33"/>
      <c r="D28" s="34">
        <f>'KL 1'!D29</f>
        <v>250230683</v>
      </c>
      <c r="E28" s="35" t="str">
        <f>'Tên Tháng 1'!E17</f>
        <v>វ៉ាន់ បូរិទ្ធ</v>
      </c>
      <c r="F28" s="36" t="str">
        <f>'Tên Tháng 1'!F17</f>
        <v>VANN BORITH</v>
      </c>
      <c r="G28" s="37">
        <v>14</v>
      </c>
      <c r="H28" s="38">
        <v>31947</v>
      </c>
      <c r="I28" s="59">
        <f>'KL 1'!X29</f>
        <v>11.180000000000001</v>
      </c>
      <c r="J28" s="60">
        <f t="shared" si="1"/>
        <v>357167</v>
      </c>
      <c r="K28" s="61"/>
      <c r="L28" s="62"/>
      <c r="M28" s="63">
        <f t="shared" si="2"/>
        <v>357167</v>
      </c>
      <c r="N28" s="64">
        <f t="shared" si="3"/>
        <v>0</v>
      </c>
      <c r="O28" s="65">
        <f t="shared" si="4"/>
        <v>0</v>
      </c>
      <c r="P28" s="66">
        <f t="shared" si="5"/>
        <v>0</v>
      </c>
      <c r="Q28" s="60">
        <f t="shared" si="6"/>
        <v>357167</v>
      </c>
      <c r="R28" s="79"/>
      <c r="S28" s="80" t="s">
        <v>270</v>
      </c>
      <c r="T28" s="6">
        <v>625370</v>
      </c>
      <c r="U28" s="81">
        <f t="shared" si="7"/>
        <v>268203</v>
      </c>
      <c r="V28" s="6">
        <v>-24</v>
      </c>
    </row>
    <row r="29" spans="1:22" s="6" customFormat="1" ht="37.200000000000003" customHeight="1">
      <c r="A29" s="32">
        <v>15</v>
      </c>
      <c r="B29" s="33"/>
      <c r="C29" s="33"/>
      <c r="D29" s="34">
        <f>'KL 1'!D30</f>
        <v>150523533</v>
      </c>
      <c r="E29" s="35" t="str">
        <f>'Tên Tháng 1'!E18</f>
        <v>ឆែម ហ៊ាច</v>
      </c>
      <c r="F29" s="36" t="str">
        <f>'Tên Tháng 1'!F18</f>
        <v>CHHEM HEACH</v>
      </c>
      <c r="G29" s="37">
        <v>15</v>
      </c>
      <c r="H29" s="38">
        <v>31947</v>
      </c>
      <c r="I29" s="59">
        <f>'KL 1'!X30</f>
        <v>14.96</v>
      </c>
      <c r="J29" s="60">
        <f t="shared" si="1"/>
        <v>477927</v>
      </c>
      <c r="K29" s="61"/>
      <c r="L29" s="62"/>
      <c r="M29" s="63">
        <f t="shared" si="2"/>
        <v>477927</v>
      </c>
      <c r="N29" s="64">
        <f t="shared" si="3"/>
        <v>0</v>
      </c>
      <c r="O29" s="65">
        <f t="shared" si="4"/>
        <v>0</v>
      </c>
      <c r="P29" s="66">
        <f t="shared" si="5"/>
        <v>0</v>
      </c>
      <c r="Q29" s="60">
        <f t="shared" si="6"/>
        <v>477927</v>
      </c>
      <c r="R29" s="79"/>
      <c r="S29" s="80" t="s">
        <v>270</v>
      </c>
      <c r="T29" s="6">
        <v>544506</v>
      </c>
      <c r="U29" s="81">
        <f t="shared" si="7"/>
        <v>66579</v>
      </c>
      <c r="V29" s="6">
        <v>-432</v>
      </c>
    </row>
    <row r="30" spans="1:22" s="6" customFormat="1" ht="37.200000000000003" customHeight="1">
      <c r="A30" s="32">
        <v>16</v>
      </c>
      <c r="B30" s="33"/>
      <c r="C30" s="33"/>
      <c r="D30" s="34">
        <f>'KL 1'!D31</f>
        <v>150483982</v>
      </c>
      <c r="E30" s="35" t="str">
        <f>'Tên Tháng 1'!E19</f>
        <v>ឆែម ឆុន</v>
      </c>
      <c r="F30" s="36" t="str">
        <f>'Tên Tháng 1'!F19</f>
        <v>CHHEN CHHON</v>
      </c>
      <c r="G30" s="37">
        <v>16</v>
      </c>
      <c r="H30" s="38">
        <v>31947</v>
      </c>
      <c r="I30" s="59">
        <f>'KL 1'!X31</f>
        <v>15.14</v>
      </c>
      <c r="J30" s="60">
        <f t="shared" si="1"/>
        <v>483678</v>
      </c>
      <c r="K30" s="61"/>
      <c r="L30" s="62"/>
      <c r="M30" s="63">
        <f t="shared" si="2"/>
        <v>483678</v>
      </c>
      <c r="N30" s="64">
        <f t="shared" si="3"/>
        <v>0</v>
      </c>
      <c r="O30" s="65">
        <f t="shared" si="4"/>
        <v>0</v>
      </c>
      <c r="P30" s="66">
        <f t="shared" si="5"/>
        <v>0</v>
      </c>
      <c r="Q30" s="60">
        <f t="shared" si="6"/>
        <v>483678</v>
      </c>
      <c r="R30" s="79"/>
      <c r="S30" s="80" t="s">
        <v>270</v>
      </c>
      <c r="T30" s="6">
        <v>542905</v>
      </c>
      <c r="U30" s="81">
        <f t="shared" si="7"/>
        <v>59227</v>
      </c>
      <c r="V30" s="6">
        <v>-54</v>
      </c>
    </row>
    <row r="31" spans="1:22" s="6" customFormat="1" ht="37.200000000000003" customHeight="1">
      <c r="A31" s="32">
        <v>17</v>
      </c>
      <c r="B31" s="33"/>
      <c r="C31" s="33"/>
      <c r="D31" s="34">
        <f>'KL 1'!D32</f>
        <v>220102090</v>
      </c>
      <c r="E31" s="35" t="str">
        <f>'Tên Tháng 1'!E20</f>
        <v>មាស សំឡូត</v>
      </c>
      <c r="F31" s="36" t="str">
        <f>'Tên Tháng 1'!F20</f>
        <v>MEAS SOMLOT</v>
      </c>
      <c r="G31" s="37">
        <v>17</v>
      </c>
      <c r="H31" s="38">
        <v>31947</v>
      </c>
      <c r="I31" s="59">
        <f>'KL 1'!X32</f>
        <v>13.04</v>
      </c>
      <c r="J31" s="60">
        <f t="shared" si="1"/>
        <v>416589</v>
      </c>
      <c r="K31" s="61"/>
      <c r="L31" s="62"/>
      <c r="M31" s="63">
        <f t="shared" si="2"/>
        <v>416589</v>
      </c>
      <c r="N31" s="64">
        <f t="shared" si="3"/>
        <v>0</v>
      </c>
      <c r="O31" s="65">
        <f t="shared" si="4"/>
        <v>0</v>
      </c>
      <c r="P31" s="66">
        <f t="shared" si="5"/>
        <v>0</v>
      </c>
      <c r="Q31" s="60">
        <f t="shared" si="6"/>
        <v>416589</v>
      </c>
      <c r="R31" s="79"/>
      <c r="S31" s="80" t="s">
        <v>270</v>
      </c>
      <c r="T31" s="6">
        <v>568931</v>
      </c>
      <c r="U31" s="81">
        <f t="shared" si="7"/>
        <v>152342</v>
      </c>
      <c r="V31" s="6">
        <v>-10</v>
      </c>
    </row>
    <row r="32" spans="1:22" s="6" customFormat="1" ht="37.200000000000003" customHeight="1">
      <c r="A32" s="32">
        <v>18</v>
      </c>
      <c r="B32" s="33"/>
      <c r="C32" s="33"/>
      <c r="D32" s="34">
        <f>'KL 1'!D33</f>
        <v>250230682</v>
      </c>
      <c r="E32" s="35" t="str">
        <f>'Tên Tháng 1'!E21</f>
        <v>ម៉ន វិចិត្រ</v>
      </c>
      <c r="F32" s="36" t="str">
        <f>'Tên Tháng 1'!F21</f>
        <v>MORN VICHET</v>
      </c>
      <c r="G32" s="37">
        <v>18</v>
      </c>
      <c r="H32" s="38">
        <v>31947</v>
      </c>
      <c r="I32" s="59">
        <f>'KL 1'!X33</f>
        <v>13.01</v>
      </c>
      <c r="J32" s="60">
        <f t="shared" si="1"/>
        <v>415630</v>
      </c>
      <c r="K32" s="61"/>
      <c r="L32" s="62"/>
      <c r="M32" s="63">
        <f t="shared" si="2"/>
        <v>415630</v>
      </c>
      <c r="N32" s="64">
        <f t="shared" si="3"/>
        <v>0</v>
      </c>
      <c r="O32" s="65">
        <f t="shared" si="4"/>
        <v>0</v>
      </c>
      <c r="P32" s="66">
        <f t="shared" si="5"/>
        <v>0</v>
      </c>
      <c r="Q32" s="60">
        <f t="shared" si="6"/>
        <v>415630</v>
      </c>
      <c r="R32" s="79"/>
      <c r="S32" s="80" t="s">
        <v>270</v>
      </c>
      <c r="T32" s="6">
        <v>558737</v>
      </c>
      <c r="U32" s="81">
        <f t="shared" si="7"/>
        <v>143107</v>
      </c>
      <c r="V32" s="6">
        <v>-215</v>
      </c>
    </row>
    <row r="33" spans="1:22" s="6" customFormat="1" ht="37.200000000000003" customHeight="1">
      <c r="A33" s="32">
        <v>19</v>
      </c>
      <c r="B33" s="33"/>
      <c r="C33" s="33"/>
      <c r="D33" s="34">
        <f>'KL 1'!D34</f>
        <v>220205841</v>
      </c>
      <c r="E33" s="35" t="str">
        <f>'Tên Tháng 1'!E22</f>
        <v>គ្រួច គ្រីន</v>
      </c>
      <c r="F33" s="36" t="str">
        <f>'Tên Tháng 1'!F22</f>
        <v>KRUOCH KRIN</v>
      </c>
      <c r="G33" s="37">
        <v>19</v>
      </c>
      <c r="H33" s="38">
        <v>31947</v>
      </c>
      <c r="I33" s="59">
        <f>'KL 1'!X34</f>
        <v>15.33</v>
      </c>
      <c r="J33" s="60">
        <f t="shared" si="1"/>
        <v>489748</v>
      </c>
      <c r="K33" s="61"/>
      <c r="L33" s="62"/>
      <c r="M33" s="63">
        <f t="shared" si="2"/>
        <v>489748</v>
      </c>
      <c r="N33" s="64">
        <f t="shared" si="3"/>
        <v>0</v>
      </c>
      <c r="O33" s="65">
        <f t="shared" si="4"/>
        <v>0</v>
      </c>
      <c r="P33" s="66">
        <f t="shared" si="5"/>
        <v>0</v>
      </c>
      <c r="Q33" s="60">
        <f t="shared" si="6"/>
        <v>489748</v>
      </c>
      <c r="R33" s="79"/>
      <c r="S33" s="80" t="s">
        <v>270</v>
      </c>
      <c r="T33" s="6">
        <v>641603</v>
      </c>
      <c r="U33" s="81">
        <f t="shared" si="7"/>
        <v>151855</v>
      </c>
      <c r="V33" s="6">
        <v>-366</v>
      </c>
    </row>
    <row r="34" spans="1:22" s="6" customFormat="1" ht="37.200000000000003" customHeight="1">
      <c r="A34" s="32">
        <v>20</v>
      </c>
      <c r="B34" s="33"/>
      <c r="C34" s="33"/>
      <c r="D34" s="34"/>
      <c r="E34" s="35" t="str">
        <f>'Tên Tháng 1'!E23</f>
        <v>ស្រេង សំណាង</v>
      </c>
      <c r="F34" s="36" t="str">
        <f>'Tên Tháng 1'!F23</f>
        <v>SRENG SAMNANG</v>
      </c>
      <c r="G34" s="37">
        <v>20</v>
      </c>
      <c r="H34" s="38">
        <v>31947</v>
      </c>
      <c r="I34" s="59">
        <f>'KL 1'!X35</f>
        <v>15.59</v>
      </c>
      <c r="J34" s="60">
        <f t="shared" si="1"/>
        <v>498054</v>
      </c>
      <c r="K34" s="61"/>
      <c r="L34" s="62"/>
      <c r="M34" s="63">
        <f t="shared" si="2"/>
        <v>498054</v>
      </c>
      <c r="N34" s="64">
        <f t="shared" si="3"/>
        <v>0</v>
      </c>
      <c r="O34" s="65">
        <f t="shared" si="4"/>
        <v>0</v>
      </c>
      <c r="P34" s="66">
        <f t="shared" si="5"/>
        <v>0</v>
      </c>
      <c r="Q34" s="60">
        <f t="shared" si="6"/>
        <v>498054</v>
      </c>
      <c r="R34" s="79"/>
      <c r="S34" s="80" t="s">
        <v>270</v>
      </c>
      <c r="U34" s="81"/>
    </row>
    <row r="35" spans="1:22" s="6" customFormat="1" ht="37.200000000000003" customHeight="1">
      <c r="A35" s="32">
        <v>21</v>
      </c>
      <c r="B35" s="33"/>
      <c r="C35" s="33"/>
      <c r="D35" s="34">
        <f>'KL 1'!D36</f>
        <v>220234353</v>
      </c>
      <c r="E35" s="35" t="str">
        <f>'Tên Tháng 1'!E24</f>
        <v>ហ៊ិក ងួន</v>
      </c>
      <c r="F35" s="36" t="str">
        <f>'Tên Tháng 1'!F24</f>
        <v>HIK NGUON</v>
      </c>
      <c r="G35" s="39">
        <v>21</v>
      </c>
      <c r="H35" s="38">
        <v>31947</v>
      </c>
      <c r="I35" s="59">
        <f>'KL 1'!X36</f>
        <v>17.23</v>
      </c>
      <c r="J35" s="60">
        <f t="shared" si="1"/>
        <v>550447</v>
      </c>
      <c r="K35" s="61"/>
      <c r="L35" s="62"/>
      <c r="M35" s="63">
        <f t="shared" si="2"/>
        <v>550447</v>
      </c>
      <c r="N35" s="64">
        <f t="shared" si="3"/>
        <v>0</v>
      </c>
      <c r="O35" s="65">
        <f t="shared" si="4"/>
        <v>0</v>
      </c>
      <c r="P35" s="66">
        <f t="shared" si="5"/>
        <v>0</v>
      </c>
      <c r="Q35" s="60">
        <f t="shared" si="6"/>
        <v>550447</v>
      </c>
      <c r="R35" s="79"/>
      <c r="S35" s="80" t="s">
        <v>270</v>
      </c>
      <c r="T35" s="6">
        <v>549328</v>
      </c>
      <c r="U35" s="81">
        <f t="shared" ref="U35:U57" si="8">T35-Q35</f>
        <v>-1119</v>
      </c>
      <c r="V35" s="6">
        <v>142</v>
      </c>
    </row>
    <row r="36" spans="1:22" s="6" customFormat="1" ht="37.200000000000003" customHeight="1">
      <c r="A36" s="32">
        <v>22</v>
      </c>
      <c r="B36" s="33"/>
      <c r="C36" s="33"/>
      <c r="D36" s="34">
        <f>'KL 1'!D37</f>
        <v>150836178</v>
      </c>
      <c r="E36" s="35" t="str">
        <f>'Tên Tháng 1'!E25</f>
        <v>សៀក សំ</v>
      </c>
      <c r="F36" s="36" t="str">
        <f>'Tên Tháng 1'!F25</f>
        <v>SIEK SAM</v>
      </c>
      <c r="G36" s="37">
        <v>22</v>
      </c>
      <c r="H36" s="38">
        <v>31947</v>
      </c>
      <c r="I36" s="59">
        <f>'KL 1'!X37</f>
        <v>5.9399999999999995</v>
      </c>
      <c r="J36" s="60">
        <f t="shared" si="1"/>
        <v>189765</v>
      </c>
      <c r="K36" s="61"/>
      <c r="L36" s="62"/>
      <c r="M36" s="63">
        <f t="shared" si="2"/>
        <v>189765</v>
      </c>
      <c r="N36" s="64">
        <f t="shared" si="3"/>
        <v>0</v>
      </c>
      <c r="O36" s="65">
        <f t="shared" si="4"/>
        <v>0</v>
      </c>
      <c r="P36" s="66">
        <f t="shared" si="5"/>
        <v>0</v>
      </c>
      <c r="Q36" s="60">
        <f t="shared" si="6"/>
        <v>189765</v>
      </c>
      <c r="R36" s="79"/>
      <c r="S36" s="80" t="s">
        <v>270</v>
      </c>
      <c r="T36" s="6">
        <v>650812</v>
      </c>
      <c r="U36" s="81">
        <f t="shared" si="8"/>
        <v>461047</v>
      </c>
      <c r="V36" s="6">
        <v>50</v>
      </c>
    </row>
    <row r="37" spans="1:22" s="6" customFormat="1" ht="37.200000000000003" customHeight="1">
      <c r="A37" s="32">
        <v>23</v>
      </c>
      <c r="B37" s="33"/>
      <c r="C37" s="33"/>
      <c r="D37" s="34" t="str">
        <f>'KL 1'!D38</f>
        <v>060541171</v>
      </c>
      <c r="E37" s="35" t="str">
        <f>'Tên Tháng 1'!E26</f>
        <v>ឆែម ឆុំ</v>
      </c>
      <c r="F37" s="36" t="str">
        <f>'Tên Tháng 1'!F26</f>
        <v>CHHEIM CHHOM</v>
      </c>
      <c r="G37" s="37">
        <v>23</v>
      </c>
      <c r="H37" s="38">
        <v>31947</v>
      </c>
      <c r="I37" s="59">
        <f>'KL 1'!X38</f>
        <v>15.54</v>
      </c>
      <c r="J37" s="60">
        <f t="shared" si="1"/>
        <v>496456</v>
      </c>
      <c r="K37" s="61"/>
      <c r="L37" s="62"/>
      <c r="M37" s="63">
        <f t="shared" si="2"/>
        <v>496456</v>
      </c>
      <c r="N37" s="64">
        <f t="shared" si="3"/>
        <v>0</v>
      </c>
      <c r="O37" s="65">
        <f t="shared" si="4"/>
        <v>0</v>
      </c>
      <c r="P37" s="66">
        <f t="shared" si="5"/>
        <v>0</v>
      </c>
      <c r="Q37" s="60">
        <f t="shared" si="6"/>
        <v>496456</v>
      </c>
      <c r="R37" s="79"/>
      <c r="S37" s="80" t="s">
        <v>270</v>
      </c>
      <c r="T37" s="6">
        <v>501080</v>
      </c>
      <c r="U37" s="81">
        <f t="shared" si="8"/>
        <v>4624</v>
      </c>
      <c r="V37" s="6">
        <v>-457</v>
      </c>
    </row>
    <row r="38" spans="1:22" s="6" customFormat="1" ht="37.200000000000003" customHeight="1">
      <c r="A38" s="32">
        <v>24</v>
      </c>
      <c r="B38" s="33"/>
      <c r="C38" s="33"/>
      <c r="D38" s="34" t="str">
        <f>'KL 1'!D39</f>
        <v>060540793</v>
      </c>
      <c r="E38" s="35" t="str">
        <f>'Tên Tháng 1'!E27</f>
        <v>សុទ្ធ សុខជា</v>
      </c>
      <c r="F38" s="36" t="str">
        <f>'Tên Tháng 1'!F27</f>
        <v>SOTH SOKCHEA</v>
      </c>
      <c r="G38" s="37">
        <v>24</v>
      </c>
      <c r="H38" s="38">
        <v>31947</v>
      </c>
      <c r="I38" s="59">
        <f>'KL 1'!X39</f>
        <v>17.38</v>
      </c>
      <c r="J38" s="60">
        <f t="shared" si="1"/>
        <v>555239</v>
      </c>
      <c r="K38" s="61"/>
      <c r="L38" s="62"/>
      <c r="M38" s="63">
        <f t="shared" si="2"/>
        <v>555239</v>
      </c>
      <c r="N38" s="64">
        <f t="shared" si="3"/>
        <v>0</v>
      </c>
      <c r="O38" s="65">
        <f t="shared" si="4"/>
        <v>0</v>
      </c>
      <c r="P38" s="66">
        <f t="shared" si="5"/>
        <v>0</v>
      </c>
      <c r="Q38" s="60">
        <f t="shared" si="6"/>
        <v>555239</v>
      </c>
      <c r="R38" s="79"/>
      <c r="S38" s="80" t="s">
        <v>270</v>
      </c>
      <c r="T38" s="6">
        <v>647809</v>
      </c>
      <c r="U38" s="81">
        <f t="shared" si="8"/>
        <v>92570</v>
      </c>
      <c r="V38" s="6">
        <v>-435</v>
      </c>
    </row>
    <row r="39" spans="1:22" s="6" customFormat="1" ht="37.200000000000003" customHeight="1">
      <c r="A39" s="32">
        <v>25</v>
      </c>
      <c r="B39" s="33"/>
      <c r="C39" s="33"/>
      <c r="D39" s="34">
        <f>'KL 1'!D40</f>
        <v>250373915</v>
      </c>
      <c r="E39" s="35" t="str">
        <f>'Tên Tháng 1'!E28</f>
        <v>ពិន ឆេន</v>
      </c>
      <c r="F39" s="36" t="str">
        <f>'Tên Tháng 1'!F28</f>
        <v>PIN CHHEN</v>
      </c>
      <c r="G39" s="37">
        <v>25</v>
      </c>
      <c r="H39" s="38">
        <v>31947</v>
      </c>
      <c r="I39" s="59">
        <f>'KL 1'!X40</f>
        <v>16.13</v>
      </c>
      <c r="J39" s="60">
        <f t="shared" si="1"/>
        <v>515305</v>
      </c>
      <c r="K39" s="61"/>
      <c r="L39" s="62"/>
      <c r="M39" s="63">
        <f t="shared" si="2"/>
        <v>515305</v>
      </c>
      <c r="N39" s="64">
        <f t="shared" si="3"/>
        <v>0</v>
      </c>
      <c r="O39" s="65">
        <f t="shared" si="4"/>
        <v>0</v>
      </c>
      <c r="P39" s="66">
        <f t="shared" si="5"/>
        <v>0</v>
      </c>
      <c r="Q39" s="60">
        <f t="shared" si="6"/>
        <v>515305</v>
      </c>
      <c r="R39" s="79"/>
      <c r="S39" s="80" t="s">
        <v>270</v>
      </c>
      <c r="T39" s="6">
        <v>671216</v>
      </c>
      <c r="U39" s="81">
        <f t="shared" si="8"/>
        <v>155911</v>
      </c>
      <c r="V39" s="6">
        <v>81</v>
      </c>
    </row>
    <row r="40" spans="1:22" s="6" customFormat="1" ht="37.200000000000003" customHeight="1">
      <c r="A40" s="32">
        <v>26</v>
      </c>
      <c r="B40" s="33"/>
      <c r="C40" s="33"/>
      <c r="D40" s="34">
        <f>'KL 1'!D41</f>
        <v>151065238</v>
      </c>
      <c r="E40" s="35" t="str">
        <f>'Tên Tháng 1'!E29</f>
        <v>កេត នី</v>
      </c>
      <c r="F40" s="36" t="str">
        <f>'Tên Tháng 1'!F29</f>
        <v>KET NY</v>
      </c>
      <c r="G40" s="37">
        <v>26</v>
      </c>
      <c r="H40" s="38">
        <v>31947</v>
      </c>
      <c r="I40" s="59">
        <f>'KL 1'!X41</f>
        <v>15.87</v>
      </c>
      <c r="J40" s="60">
        <f t="shared" si="1"/>
        <v>506999</v>
      </c>
      <c r="K40" s="61"/>
      <c r="L40" s="62"/>
      <c r="M40" s="63">
        <f t="shared" si="2"/>
        <v>506999</v>
      </c>
      <c r="N40" s="64">
        <f t="shared" si="3"/>
        <v>0</v>
      </c>
      <c r="O40" s="65">
        <f t="shared" si="4"/>
        <v>0</v>
      </c>
      <c r="P40" s="66">
        <f t="shared" si="5"/>
        <v>0</v>
      </c>
      <c r="Q40" s="60">
        <f t="shared" si="6"/>
        <v>506999</v>
      </c>
      <c r="R40" s="79"/>
      <c r="S40" s="80" t="s">
        <v>270</v>
      </c>
      <c r="T40" s="6">
        <v>668813</v>
      </c>
      <c r="U40" s="81">
        <f t="shared" si="8"/>
        <v>161814</v>
      </c>
      <c r="V40" s="6">
        <v>463</v>
      </c>
    </row>
    <row r="41" spans="1:22" s="6" customFormat="1" ht="37.200000000000003" customHeight="1">
      <c r="A41" s="32">
        <v>27</v>
      </c>
      <c r="B41" s="40">
        <f>'KL 1'!B42</f>
        <v>39615</v>
      </c>
      <c r="C41" s="40" t="str">
        <f>'KL 1'!C42</f>
        <v>ស្រី</v>
      </c>
      <c r="D41" s="34">
        <f>'KL 1'!D42</f>
        <v>151057212</v>
      </c>
      <c r="E41" s="35" t="str">
        <f>'Tên Tháng 1'!E30</f>
        <v>គៀវ និ</v>
      </c>
      <c r="F41" s="36" t="str">
        <f>'Tên Tháng 1'!F30</f>
        <v>KIEV NIK</v>
      </c>
      <c r="G41" s="37">
        <v>27</v>
      </c>
      <c r="H41" s="38">
        <v>31947</v>
      </c>
      <c r="I41" s="59">
        <f>'KL 1'!X42</f>
        <v>15.52</v>
      </c>
      <c r="J41" s="60">
        <f t="shared" si="1"/>
        <v>495817</v>
      </c>
      <c r="K41" s="61"/>
      <c r="L41" s="62"/>
      <c r="M41" s="63">
        <f t="shared" si="2"/>
        <v>495817</v>
      </c>
      <c r="N41" s="64">
        <f t="shared" si="3"/>
        <v>0</v>
      </c>
      <c r="O41" s="65">
        <f t="shared" si="4"/>
        <v>0</v>
      </c>
      <c r="P41" s="66">
        <f t="shared" si="5"/>
        <v>0</v>
      </c>
      <c r="Q41" s="60">
        <f t="shared" si="6"/>
        <v>495817</v>
      </c>
      <c r="R41" s="79"/>
      <c r="S41" s="80" t="s">
        <v>270</v>
      </c>
      <c r="T41" s="6">
        <v>663808</v>
      </c>
      <c r="U41" s="81">
        <f t="shared" si="8"/>
        <v>167991</v>
      </c>
      <c r="V41" s="6">
        <v>-366</v>
      </c>
    </row>
    <row r="42" spans="1:22" s="6" customFormat="1" ht="37.950000000000003" customHeight="1">
      <c r="A42" s="32">
        <v>28</v>
      </c>
      <c r="B42" s="40">
        <f>'KL 1'!B43</f>
        <v>28982</v>
      </c>
      <c r="C42" s="40" t="str">
        <f>'KL 1'!C43</f>
        <v>ប្រុស</v>
      </c>
      <c r="D42" s="34">
        <f>'KL 1'!D43</f>
        <v>150978869</v>
      </c>
      <c r="E42" s="35" t="str">
        <f>'Tên Tháng 1'!E31</f>
        <v>ដួត ដែន</v>
      </c>
      <c r="F42" s="36" t="str">
        <f>'Tên Tháng 1'!F31</f>
        <v>DOUT DEN</v>
      </c>
      <c r="G42" s="37">
        <v>28</v>
      </c>
      <c r="H42" s="38">
        <v>31947</v>
      </c>
      <c r="I42" s="59">
        <f>'KL 1'!X43</f>
        <v>13.54</v>
      </c>
      <c r="J42" s="60">
        <f t="shared" si="1"/>
        <v>432562</v>
      </c>
      <c r="K42" s="61"/>
      <c r="L42" s="62"/>
      <c r="M42" s="63">
        <f t="shared" si="2"/>
        <v>432562</v>
      </c>
      <c r="N42" s="64">
        <f t="shared" si="3"/>
        <v>0</v>
      </c>
      <c r="O42" s="65">
        <f t="shared" si="4"/>
        <v>0</v>
      </c>
      <c r="P42" s="66">
        <f t="shared" si="5"/>
        <v>0</v>
      </c>
      <c r="Q42" s="60">
        <f t="shared" si="6"/>
        <v>432562</v>
      </c>
      <c r="R42" s="79"/>
      <c r="S42" s="80" t="s">
        <v>270</v>
      </c>
      <c r="T42" s="6">
        <v>575537</v>
      </c>
      <c r="U42" s="81">
        <f t="shared" si="8"/>
        <v>142975</v>
      </c>
      <c r="V42" s="6">
        <v>-65</v>
      </c>
    </row>
    <row r="43" spans="1:22" s="6" customFormat="1" ht="37.950000000000003" customHeight="1">
      <c r="A43" s="32">
        <v>29</v>
      </c>
      <c r="B43" s="40"/>
      <c r="C43" s="40"/>
      <c r="D43" s="34"/>
      <c r="E43" s="35" t="str">
        <f>'Tên Tháng 1'!E32</f>
        <v>ចាយ ពន្លក</v>
      </c>
      <c r="F43" s="36" t="str">
        <f>'Tên Tháng 1'!F32</f>
        <v>CHAY PONLOK</v>
      </c>
      <c r="G43" s="37">
        <v>29</v>
      </c>
      <c r="H43" s="38">
        <v>31947</v>
      </c>
      <c r="I43" s="59">
        <f>'KL 1'!X44</f>
        <v>11.89</v>
      </c>
      <c r="J43" s="60">
        <f t="shared" si="1"/>
        <v>379850</v>
      </c>
      <c r="K43" s="61"/>
      <c r="L43" s="62"/>
      <c r="M43" s="63">
        <f t="shared" si="2"/>
        <v>379850</v>
      </c>
      <c r="N43" s="64">
        <f t="shared" si="3"/>
        <v>0</v>
      </c>
      <c r="O43" s="65">
        <f t="shared" si="4"/>
        <v>0</v>
      </c>
      <c r="P43" s="66">
        <f t="shared" si="5"/>
        <v>0</v>
      </c>
      <c r="Q43" s="60">
        <f t="shared" si="6"/>
        <v>379850</v>
      </c>
      <c r="R43" s="79"/>
      <c r="S43" s="80" t="s">
        <v>270</v>
      </c>
      <c r="U43" s="81"/>
    </row>
    <row r="44" spans="1:22" s="6" customFormat="1" ht="37.950000000000003" customHeight="1">
      <c r="A44" s="32">
        <v>30</v>
      </c>
      <c r="B44" s="40"/>
      <c r="C44" s="40" t="str">
        <f>'KL 1'!C45</f>
        <v>ប្រុស</v>
      </c>
      <c r="D44" s="34">
        <f>'KL 1'!D45</f>
        <v>220175216</v>
      </c>
      <c r="E44" s="35" t="str">
        <f>'Tên Tháng 1'!E33</f>
        <v>សំ ផុន</v>
      </c>
      <c r="F44" s="36" t="str">
        <f>'Tên Tháng 1'!F33</f>
        <v>SOM PHON</v>
      </c>
      <c r="G44" s="37">
        <v>30</v>
      </c>
      <c r="H44" s="38">
        <v>31947</v>
      </c>
      <c r="I44" s="59">
        <f>'KL 1'!X45</f>
        <v>17.88</v>
      </c>
      <c r="J44" s="60">
        <f t="shared" si="1"/>
        <v>571212</v>
      </c>
      <c r="K44" s="61"/>
      <c r="L44" s="62"/>
      <c r="M44" s="63">
        <f t="shared" si="2"/>
        <v>571212</v>
      </c>
      <c r="N44" s="64">
        <f t="shared" si="3"/>
        <v>0</v>
      </c>
      <c r="O44" s="65">
        <f t="shared" si="4"/>
        <v>0</v>
      </c>
      <c r="P44" s="66">
        <f t="shared" si="5"/>
        <v>0</v>
      </c>
      <c r="Q44" s="60">
        <f t="shared" si="6"/>
        <v>571212</v>
      </c>
      <c r="R44" s="79"/>
      <c r="S44" s="80" t="s">
        <v>270</v>
      </c>
      <c r="T44" s="6">
        <v>635981</v>
      </c>
      <c r="U44" s="81">
        <f t="shared" si="8"/>
        <v>64769</v>
      </c>
      <c r="V44" s="6">
        <v>67</v>
      </c>
    </row>
    <row r="45" spans="1:22" s="6" customFormat="1" ht="37.950000000000003" customHeight="1">
      <c r="A45" s="32">
        <v>31</v>
      </c>
      <c r="B45" s="40">
        <f>'KL 1'!B46</f>
        <v>31663</v>
      </c>
      <c r="C45" s="40" t="str">
        <f>'KL 1'!C46</f>
        <v>ប្រុស</v>
      </c>
      <c r="D45" s="34">
        <f>'KL 1'!D46</f>
        <v>220175443</v>
      </c>
      <c r="E45" s="35" t="str">
        <f>'Tên Tháng 1'!E34</f>
        <v>អ៊ុន ឆវ័ន</v>
      </c>
      <c r="F45" s="36" t="str">
        <f>'Tên Tháng 1'!F34</f>
        <v>UN CHORVON</v>
      </c>
      <c r="G45" s="37">
        <v>31</v>
      </c>
      <c r="H45" s="38">
        <v>31947</v>
      </c>
      <c r="I45" s="59">
        <f>'KL 1'!X46</f>
        <v>16.669999999999998</v>
      </c>
      <c r="J45" s="60">
        <f t="shared" si="1"/>
        <v>532556</v>
      </c>
      <c r="K45" s="61"/>
      <c r="L45" s="62"/>
      <c r="M45" s="63">
        <f t="shared" si="2"/>
        <v>532556</v>
      </c>
      <c r="N45" s="64">
        <f t="shared" si="3"/>
        <v>0</v>
      </c>
      <c r="O45" s="65">
        <f t="shared" si="4"/>
        <v>0</v>
      </c>
      <c r="P45" s="66">
        <f t="shared" si="5"/>
        <v>0</v>
      </c>
      <c r="Q45" s="60">
        <f t="shared" si="6"/>
        <v>532556</v>
      </c>
      <c r="R45" s="79"/>
      <c r="S45" s="80" t="s">
        <v>270</v>
      </c>
      <c r="T45" s="6">
        <v>507870</v>
      </c>
      <c r="U45" s="81">
        <f t="shared" si="8"/>
        <v>-24686</v>
      </c>
      <c r="V45" s="6">
        <v>-476</v>
      </c>
    </row>
    <row r="46" spans="1:22" s="6" customFormat="1" ht="37.950000000000003" customHeight="1">
      <c r="A46" s="32">
        <v>32</v>
      </c>
      <c r="B46" s="40"/>
      <c r="C46" s="40" t="str">
        <f>'KL 1'!C47</f>
        <v>ប្រុស</v>
      </c>
      <c r="D46" s="34">
        <f>'KL 1'!D47</f>
        <v>220208812</v>
      </c>
      <c r="E46" s="35" t="str">
        <f>'Tên Tháng 1'!E35</f>
        <v>ប៉ិល ថា</v>
      </c>
      <c r="F46" s="36" t="str">
        <f>'Tên Tháng 1'!F35</f>
        <v>PEL THA</v>
      </c>
      <c r="G46" s="37">
        <v>32</v>
      </c>
      <c r="H46" s="38">
        <v>31947</v>
      </c>
      <c r="I46" s="59">
        <f>'KL 1'!X47</f>
        <v>15.459999999999999</v>
      </c>
      <c r="J46" s="60">
        <f t="shared" si="1"/>
        <v>493901</v>
      </c>
      <c r="K46" s="61"/>
      <c r="L46" s="62"/>
      <c r="M46" s="63">
        <f t="shared" si="2"/>
        <v>493901</v>
      </c>
      <c r="N46" s="64">
        <f t="shared" si="3"/>
        <v>0</v>
      </c>
      <c r="O46" s="65">
        <f t="shared" si="4"/>
        <v>0</v>
      </c>
      <c r="P46" s="66">
        <f t="shared" si="5"/>
        <v>0</v>
      </c>
      <c r="Q46" s="60">
        <f t="shared" si="6"/>
        <v>493901</v>
      </c>
      <c r="R46" s="79"/>
      <c r="S46" s="80" t="s">
        <v>270</v>
      </c>
      <c r="T46" s="6">
        <v>590752</v>
      </c>
      <c r="U46" s="81">
        <f t="shared" si="8"/>
        <v>96851</v>
      </c>
      <c r="V46" s="6">
        <v>332</v>
      </c>
    </row>
    <row r="47" spans="1:22" s="6" customFormat="1" ht="37.950000000000003" customHeight="1">
      <c r="A47" s="32">
        <v>33</v>
      </c>
      <c r="B47" s="40">
        <f>'KL 1'!B48</f>
        <v>38777</v>
      </c>
      <c r="C47" s="40" t="str">
        <f>'KL 1'!C48</f>
        <v>ស្រី</v>
      </c>
      <c r="D47" s="34">
        <f>'KL 1'!D48</f>
        <v>220234356</v>
      </c>
      <c r="E47" s="35" t="str">
        <f>'Tên Tháng 1'!E36</f>
        <v>ប៉ិល ផល្លា</v>
      </c>
      <c r="F47" s="36" t="str">
        <f>'Tên Tháng 1'!F36</f>
        <v>PEL PHALLA</v>
      </c>
      <c r="G47" s="37">
        <v>33</v>
      </c>
      <c r="H47" s="38">
        <v>31947</v>
      </c>
      <c r="I47" s="59">
        <f>'KL 1'!X48</f>
        <v>17.330000000000002</v>
      </c>
      <c r="J47" s="60">
        <f t="shared" si="1"/>
        <v>553642</v>
      </c>
      <c r="K47" s="61"/>
      <c r="L47" s="62"/>
      <c r="M47" s="63">
        <f t="shared" si="2"/>
        <v>553642</v>
      </c>
      <c r="N47" s="64">
        <f t="shared" si="3"/>
        <v>0</v>
      </c>
      <c r="O47" s="65">
        <f t="shared" si="4"/>
        <v>0</v>
      </c>
      <c r="P47" s="66">
        <f t="shared" si="5"/>
        <v>0</v>
      </c>
      <c r="Q47" s="60">
        <f t="shared" si="6"/>
        <v>553642</v>
      </c>
      <c r="R47" s="79"/>
      <c r="S47" s="80" t="s">
        <v>270</v>
      </c>
      <c r="T47" s="6">
        <v>580342</v>
      </c>
      <c r="U47" s="81">
        <f t="shared" si="8"/>
        <v>26700</v>
      </c>
      <c r="V47" s="6">
        <v>351</v>
      </c>
    </row>
    <row r="48" spans="1:22" s="6" customFormat="1" ht="37.950000000000003" customHeight="1">
      <c r="A48" s="32">
        <v>34</v>
      </c>
      <c r="B48" s="40">
        <f>'KL 1'!B49</f>
        <v>30835</v>
      </c>
      <c r="C48" s="40" t="str">
        <f>'KL 1'!C49</f>
        <v>ប្រុស</v>
      </c>
      <c r="D48" s="34">
        <f>'KL 1'!D49</f>
        <v>160485580</v>
      </c>
      <c r="E48" s="35" t="str">
        <f>'Tên Tháng 1'!E37</f>
        <v>យៀត ឌី</v>
      </c>
      <c r="F48" s="36" t="str">
        <f>'Tên Tháng 1'!F37</f>
        <v>YIEN DY</v>
      </c>
      <c r="G48" s="37">
        <v>34</v>
      </c>
      <c r="H48" s="38">
        <v>31947</v>
      </c>
      <c r="I48" s="59">
        <f>'KL 1'!X49</f>
        <v>16.309999999999999</v>
      </c>
      <c r="J48" s="60">
        <f t="shared" si="1"/>
        <v>521056</v>
      </c>
      <c r="K48" s="61"/>
      <c r="L48" s="62"/>
      <c r="M48" s="63">
        <f t="shared" si="2"/>
        <v>521056</v>
      </c>
      <c r="N48" s="64">
        <f t="shared" si="3"/>
        <v>0</v>
      </c>
      <c r="O48" s="65">
        <f t="shared" si="4"/>
        <v>0</v>
      </c>
      <c r="P48" s="66">
        <f t="shared" si="5"/>
        <v>0</v>
      </c>
      <c r="Q48" s="60">
        <f t="shared" si="6"/>
        <v>521056</v>
      </c>
      <c r="R48" s="79"/>
      <c r="S48" s="80" t="s">
        <v>270</v>
      </c>
      <c r="T48" s="6">
        <v>517897</v>
      </c>
      <c r="U48" s="81">
        <f t="shared" si="8"/>
        <v>-3159</v>
      </c>
      <c r="V48" s="6">
        <v>-142</v>
      </c>
    </row>
    <row r="49" spans="1:22" s="6" customFormat="1" ht="37.950000000000003" customHeight="1">
      <c r="A49" s="32">
        <v>35</v>
      </c>
      <c r="B49" s="40">
        <f>'KL 1'!B50</f>
        <v>35066</v>
      </c>
      <c r="C49" s="40" t="str">
        <f>'KL 1'!C50</f>
        <v>ស្រី</v>
      </c>
      <c r="D49" s="34">
        <f>'KL 1'!D50</f>
        <v>150523513</v>
      </c>
      <c r="E49" s="35" t="str">
        <f>'Tên Tháng 1'!E38</f>
        <v>រឿន ចាន់រ៉ា</v>
      </c>
      <c r="F49" s="36" t="str">
        <f>'Tên Tháng 1'!F38</f>
        <v>ROEUN CHANRA</v>
      </c>
      <c r="G49" s="37">
        <v>35</v>
      </c>
      <c r="H49" s="38">
        <v>31947</v>
      </c>
      <c r="I49" s="59">
        <f>'KL 1'!X50</f>
        <v>14.77</v>
      </c>
      <c r="J49" s="60">
        <f t="shared" si="1"/>
        <v>471857</v>
      </c>
      <c r="K49" s="61"/>
      <c r="L49" s="62"/>
      <c r="M49" s="63">
        <f t="shared" si="2"/>
        <v>471857</v>
      </c>
      <c r="N49" s="64">
        <f t="shared" si="3"/>
        <v>0</v>
      </c>
      <c r="O49" s="65">
        <f t="shared" si="4"/>
        <v>0</v>
      </c>
      <c r="P49" s="66">
        <f t="shared" si="5"/>
        <v>0</v>
      </c>
      <c r="Q49" s="60">
        <f t="shared" si="6"/>
        <v>471857</v>
      </c>
      <c r="R49" s="79"/>
      <c r="S49" s="80" t="s">
        <v>270</v>
      </c>
      <c r="T49" s="6">
        <v>556335</v>
      </c>
      <c r="U49" s="81">
        <f t="shared" si="8"/>
        <v>84478</v>
      </c>
      <c r="V49" s="6">
        <v>411</v>
      </c>
    </row>
    <row r="50" spans="1:22" s="6" customFormat="1" ht="37.950000000000003" customHeight="1">
      <c r="A50" s="32">
        <v>36</v>
      </c>
      <c r="B50" s="40"/>
      <c r="C50" s="40"/>
      <c r="D50" s="34"/>
      <c r="E50" s="35" t="str">
        <f>'Tên Tháng 1'!E39</f>
        <v>អៀវ សុភ័ណ្ឌ</v>
      </c>
      <c r="F50" s="36" t="str">
        <f>'Tên Tháng 1'!F39</f>
        <v>IEV SOPHORN</v>
      </c>
      <c r="G50" s="37">
        <v>36</v>
      </c>
      <c r="H50" s="38">
        <v>31947</v>
      </c>
      <c r="I50" s="59">
        <f>'KL 1'!X51</f>
        <v>16.650000000000002</v>
      </c>
      <c r="J50" s="60">
        <f t="shared" si="1"/>
        <v>531918</v>
      </c>
      <c r="K50" s="61"/>
      <c r="L50" s="62"/>
      <c r="M50" s="63">
        <f t="shared" si="2"/>
        <v>531918</v>
      </c>
      <c r="N50" s="64">
        <f t="shared" si="3"/>
        <v>0</v>
      </c>
      <c r="O50" s="65">
        <f t="shared" si="4"/>
        <v>0</v>
      </c>
      <c r="P50" s="66">
        <f t="shared" si="5"/>
        <v>0</v>
      </c>
      <c r="Q50" s="60">
        <f t="shared" si="6"/>
        <v>531918</v>
      </c>
      <c r="R50" s="79"/>
      <c r="S50" s="80" t="s">
        <v>270</v>
      </c>
      <c r="U50" s="81"/>
    </row>
    <row r="51" spans="1:22" s="6" customFormat="1" ht="37.950000000000003" customHeight="1">
      <c r="A51" s="32">
        <v>37</v>
      </c>
      <c r="B51" s="40">
        <f>'KL 1'!B52</f>
        <v>38363</v>
      </c>
      <c r="C51" s="40" t="str">
        <f>'KL 1'!C52</f>
        <v>ស្រី</v>
      </c>
      <c r="D51" s="34">
        <f>'KL 1'!D52</f>
        <v>220220033</v>
      </c>
      <c r="E51" s="35" t="str">
        <f>'Tên Tháng 1'!E40</f>
        <v>គុយ សឿន</v>
      </c>
      <c r="F51" s="36" t="str">
        <f>'Tên Tháng 1'!F40</f>
        <v>KUY SOEUN</v>
      </c>
      <c r="G51" s="37">
        <v>37</v>
      </c>
      <c r="H51" s="38">
        <v>31947</v>
      </c>
      <c r="I51" s="59">
        <f>'KL 1'!X52</f>
        <v>16.080000000000002</v>
      </c>
      <c r="J51" s="60">
        <f t="shared" si="1"/>
        <v>513708</v>
      </c>
      <c r="K51" s="61"/>
      <c r="L51" s="62"/>
      <c r="M51" s="63">
        <f t="shared" si="2"/>
        <v>513708</v>
      </c>
      <c r="N51" s="64">
        <f t="shared" si="3"/>
        <v>0</v>
      </c>
      <c r="O51" s="65">
        <f t="shared" si="4"/>
        <v>0</v>
      </c>
      <c r="P51" s="66">
        <f t="shared" si="5"/>
        <v>0</v>
      </c>
      <c r="Q51" s="60">
        <f t="shared" si="6"/>
        <v>513708</v>
      </c>
      <c r="R51" s="79"/>
      <c r="S51" s="80" t="s">
        <v>270</v>
      </c>
      <c r="T51" s="6">
        <v>541103</v>
      </c>
      <c r="U51" s="81">
        <f t="shared" si="8"/>
        <v>27395</v>
      </c>
      <c r="V51" s="6">
        <v>466</v>
      </c>
    </row>
    <row r="52" spans="1:22" s="6" customFormat="1" ht="39" customHeight="1">
      <c r="A52" s="32">
        <v>38</v>
      </c>
      <c r="B52" s="40">
        <f>'KL 1'!B53</f>
        <v>37441</v>
      </c>
      <c r="C52" s="40"/>
      <c r="D52" s="34">
        <f>'KL 1'!D53</f>
        <v>150935343</v>
      </c>
      <c r="E52" s="35" t="str">
        <f>'Tên Tháng 1'!E41</f>
        <v>សាំ សុរីសា</v>
      </c>
      <c r="F52" s="36" t="str">
        <f>'Tên Tháng 1'!F41</f>
        <v>SAM SORYSA</v>
      </c>
      <c r="G52" s="37">
        <v>38</v>
      </c>
      <c r="H52" s="38">
        <v>31947</v>
      </c>
      <c r="I52" s="59">
        <f>'KL 1'!X53</f>
        <v>16.34</v>
      </c>
      <c r="J52" s="60">
        <f t="shared" si="1"/>
        <v>522014</v>
      </c>
      <c r="K52" s="61"/>
      <c r="L52" s="62"/>
      <c r="M52" s="63">
        <f t="shared" si="2"/>
        <v>522014</v>
      </c>
      <c r="N52" s="64">
        <f t="shared" si="3"/>
        <v>0</v>
      </c>
      <c r="O52" s="65">
        <f t="shared" si="4"/>
        <v>0</v>
      </c>
      <c r="P52" s="66">
        <f t="shared" si="5"/>
        <v>0</v>
      </c>
      <c r="Q52" s="60">
        <f t="shared" si="6"/>
        <v>522014</v>
      </c>
      <c r="R52" s="79"/>
      <c r="S52" s="80" t="s">
        <v>270</v>
      </c>
      <c r="T52" s="6">
        <v>535898</v>
      </c>
      <c r="U52" s="81">
        <f t="shared" si="8"/>
        <v>13884</v>
      </c>
      <c r="V52" s="6">
        <v>651</v>
      </c>
    </row>
    <row r="53" spans="1:22" s="6" customFormat="1" ht="39" customHeight="1">
      <c r="A53" s="32">
        <v>39</v>
      </c>
      <c r="B53" s="40"/>
      <c r="C53" s="40" t="str">
        <f>'KL 1'!C54</f>
        <v>ប្រុស</v>
      </c>
      <c r="D53" s="34">
        <f>'KL 1'!D54</f>
        <v>150468460</v>
      </c>
      <c r="E53" s="35" t="str">
        <f>'Tên Tháng 1'!E42</f>
        <v>មាស សំបាន</v>
      </c>
      <c r="F53" s="36" t="str">
        <f>'Tên Tháng 1'!F42</f>
        <v>MEAS SOM BAN</v>
      </c>
      <c r="G53" s="37">
        <v>39</v>
      </c>
      <c r="H53" s="38">
        <v>31947</v>
      </c>
      <c r="I53" s="59">
        <f>'KL 1'!X54</f>
        <v>15.5</v>
      </c>
      <c r="J53" s="60">
        <f t="shared" si="1"/>
        <v>495179</v>
      </c>
      <c r="K53" s="61"/>
      <c r="L53" s="62"/>
      <c r="M53" s="63">
        <f t="shared" si="2"/>
        <v>495179</v>
      </c>
      <c r="N53" s="64">
        <f t="shared" si="3"/>
        <v>0</v>
      </c>
      <c r="O53" s="65">
        <f t="shared" si="4"/>
        <v>0</v>
      </c>
      <c r="P53" s="66">
        <f t="shared" si="5"/>
        <v>0</v>
      </c>
      <c r="Q53" s="60">
        <f t="shared" si="6"/>
        <v>495179</v>
      </c>
      <c r="R53" s="79"/>
      <c r="S53" s="80" t="s">
        <v>270</v>
      </c>
      <c r="T53" s="6">
        <v>68000</v>
      </c>
      <c r="U53" s="81">
        <f t="shared" si="8"/>
        <v>-427179</v>
      </c>
      <c r="V53" s="6">
        <v>441</v>
      </c>
    </row>
    <row r="54" spans="1:22" s="6" customFormat="1" ht="39" customHeight="1">
      <c r="A54" s="32">
        <v>40</v>
      </c>
      <c r="B54" s="40">
        <f>'KL 1'!B55</f>
        <v>32968</v>
      </c>
      <c r="C54" s="40" t="str">
        <f>'KL 1'!C55</f>
        <v>ប្រុស</v>
      </c>
      <c r="D54" s="34">
        <f>'KL 1'!D55</f>
        <v>220175299</v>
      </c>
      <c r="E54" s="35" t="str">
        <f>'Tên Tháng 1'!E43</f>
        <v>សុទ្ធ ឡៃហ័ន</v>
      </c>
      <c r="F54" s="36" t="str">
        <f>'Tên Tháng 1'!F43</f>
        <v>SOT LAYHORN</v>
      </c>
      <c r="G54" s="37">
        <v>40</v>
      </c>
      <c r="H54" s="38">
        <v>31947</v>
      </c>
      <c r="I54" s="59">
        <f>'KL 1'!X55</f>
        <v>15.479999999999999</v>
      </c>
      <c r="J54" s="60">
        <f t="shared" si="1"/>
        <v>494540</v>
      </c>
      <c r="K54" s="61"/>
      <c r="L54" s="62"/>
      <c r="M54" s="63">
        <f t="shared" si="2"/>
        <v>494540</v>
      </c>
      <c r="N54" s="64">
        <f t="shared" si="3"/>
        <v>0</v>
      </c>
      <c r="O54" s="65">
        <f t="shared" si="4"/>
        <v>0</v>
      </c>
      <c r="P54" s="66">
        <f t="shared" si="5"/>
        <v>0</v>
      </c>
      <c r="Q54" s="60">
        <f t="shared" si="6"/>
        <v>494540</v>
      </c>
      <c r="R54" s="79"/>
      <c r="S54" s="80" t="s">
        <v>270</v>
      </c>
      <c r="T54" s="6">
        <v>592737</v>
      </c>
      <c r="U54" s="81">
        <f t="shared" si="8"/>
        <v>98197</v>
      </c>
      <c r="V54" s="6">
        <v>686</v>
      </c>
    </row>
    <row r="55" spans="1:22" s="6" customFormat="1" ht="39" customHeight="1">
      <c r="A55" s="32">
        <v>41</v>
      </c>
      <c r="B55" s="40"/>
      <c r="C55" s="40"/>
      <c r="D55" s="34">
        <f>'KL 1'!D56</f>
        <v>150982919</v>
      </c>
      <c r="E55" s="35" t="str">
        <f>'Tên Tháng 1'!E44</f>
        <v>អឿង សំអុល</v>
      </c>
      <c r="F55" s="36" t="str">
        <f>'Tên Tháng 1'!F44</f>
        <v>OENG SAMOL</v>
      </c>
      <c r="G55" s="37">
        <v>41</v>
      </c>
      <c r="H55" s="38">
        <v>31947</v>
      </c>
      <c r="I55" s="59">
        <f>'KL 1'!X56</f>
        <v>14.229999999999999</v>
      </c>
      <c r="J55" s="60">
        <f t="shared" si="1"/>
        <v>454606</v>
      </c>
      <c r="K55" s="61"/>
      <c r="L55" s="62"/>
      <c r="M55" s="63">
        <f t="shared" si="2"/>
        <v>454606</v>
      </c>
      <c r="N55" s="64">
        <f t="shared" si="3"/>
        <v>0</v>
      </c>
      <c r="O55" s="65">
        <f t="shared" si="4"/>
        <v>0</v>
      </c>
      <c r="P55" s="66">
        <f t="shared" si="5"/>
        <v>0</v>
      </c>
      <c r="Q55" s="60">
        <f t="shared" si="6"/>
        <v>454606</v>
      </c>
      <c r="R55" s="79"/>
      <c r="S55" s="80" t="s">
        <v>270</v>
      </c>
      <c r="T55" s="6">
        <v>581543</v>
      </c>
      <c r="U55" s="81">
        <f t="shared" si="8"/>
        <v>126937</v>
      </c>
      <c r="V55" s="6">
        <v>796</v>
      </c>
    </row>
    <row r="56" spans="1:22" s="6" customFormat="1" ht="41.4" customHeight="1">
      <c r="A56" s="32">
        <v>42</v>
      </c>
      <c r="B56" s="40"/>
      <c r="C56" s="40"/>
      <c r="D56" s="34">
        <f>'KL 1'!D57</f>
        <v>150865342</v>
      </c>
      <c r="E56" s="35" t="str">
        <f>'Tên Tháng 1'!E45</f>
        <v>ឡា​ឡច</v>
      </c>
      <c r="F56" s="36" t="str">
        <f>'Tên Tháng 1'!F45</f>
        <v>LA LOCH</v>
      </c>
      <c r="G56" s="37">
        <v>42</v>
      </c>
      <c r="H56" s="38">
        <v>31947</v>
      </c>
      <c r="I56" s="59">
        <f>'KL 1'!X57</f>
        <v>18.03</v>
      </c>
      <c r="J56" s="60">
        <f t="shared" si="1"/>
        <v>576004</v>
      </c>
      <c r="K56" s="61"/>
      <c r="L56" s="62"/>
      <c r="M56" s="63">
        <f t="shared" si="2"/>
        <v>576004</v>
      </c>
      <c r="N56" s="64">
        <f t="shared" si="3"/>
        <v>0</v>
      </c>
      <c r="O56" s="65">
        <f t="shared" si="4"/>
        <v>0</v>
      </c>
      <c r="P56" s="66">
        <f t="shared" si="5"/>
        <v>0</v>
      </c>
      <c r="Q56" s="60">
        <f t="shared" si="6"/>
        <v>576004</v>
      </c>
      <c r="R56" s="79"/>
      <c r="S56" s="80" t="s">
        <v>270</v>
      </c>
      <c r="T56" s="6">
        <v>68000</v>
      </c>
      <c r="U56" s="81">
        <f t="shared" si="8"/>
        <v>-508004</v>
      </c>
      <c r="V56" s="6">
        <v>322</v>
      </c>
    </row>
    <row r="57" spans="1:22" s="6" customFormat="1" ht="41.4" customHeight="1">
      <c r="A57" s="32">
        <v>43</v>
      </c>
      <c r="B57" s="40">
        <f>'KL 1'!B58</f>
        <v>37842</v>
      </c>
      <c r="C57" s="40" t="str">
        <f>'KL 1'!C58</f>
        <v>ប្រុស</v>
      </c>
      <c r="D57" s="34">
        <f>'KL 1'!D58</f>
        <v>151016972</v>
      </c>
      <c r="E57" s="35" t="str">
        <f>'Tên Tháng 1'!E46</f>
        <v>សៀក សំ</v>
      </c>
      <c r="F57" s="36" t="str">
        <f>'Tên Tháng 1'!F46</f>
        <v>SIEK SOM</v>
      </c>
      <c r="G57" s="37">
        <v>43</v>
      </c>
      <c r="H57" s="38">
        <v>31947</v>
      </c>
      <c r="I57" s="59">
        <f>'KL 1'!X58</f>
        <v>14.07</v>
      </c>
      <c r="J57" s="60">
        <f t="shared" si="1"/>
        <v>449494</v>
      </c>
      <c r="K57" s="61"/>
      <c r="L57" s="62"/>
      <c r="M57" s="63">
        <f t="shared" si="2"/>
        <v>449494</v>
      </c>
      <c r="N57" s="64">
        <f t="shared" si="3"/>
        <v>0</v>
      </c>
      <c r="O57" s="65">
        <f t="shared" si="4"/>
        <v>0</v>
      </c>
      <c r="P57" s="66">
        <f t="shared" si="5"/>
        <v>0</v>
      </c>
      <c r="Q57" s="60">
        <f t="shared" si="6"/>
        <v>449494</v>
      </c>
      <c r="R57" s="79"/>
      <c r="S57" s="80" t="s">
        <v>270</v>
      </c>
      <c r="T57" s="6">
        <v>567329</v>
      </c>
      <c r="U57" s="81">
        <f t="shared" si="8"/>
        <v>117835</v>
      </c>
      <c r="V57" s="6">
        <v>742</v>
      </c>
    </row>
    <row r="58" spans="1:22" s="6" customFormat="1" ht="41.4" customHeight="1">
      <c r="A58" s="32">
        <v>44</v>
      </c>
      <c r="B58" s="40"/>
      <c r="C58" s="40"/>
      <c r="D58" s="34"/>
      <c r="E58" s="35" t="str">
        <f>'Tên Tháng 1'!E47</f>
        <v>អ៊ីម សារ៉ាន</v>
      </c>
      <c r="F58" s="36" t="str">
        <f>'Tên Tháng 1'!F47</f>
        <v>IM SARAN</v>
      </c>
      <c r="G58" s="37">
        <v>44</v>
      </c>
      <c r="H58" s="38">
        <v>31947</v>
      </c>
      <c r="I58" s="59">
        <f>'KL 1'!X59</f>
        <v>14.61</v>
      </c>
      <c r="J58" s="60">
        <f t="shared" si="1"/>
        <v>466746</v>
      </c>
      <c r="K58" s="61"/>
      <c r="L58" s="62"/>
      <c r="M58" s="63">
        <f t="shared" si="2"/>
        <v>466746</v>
      </c>
      <c r="N58" s="64">
        <f t="shared" si="3"/>
        <v>0</v>
      </c>
      <c r="O58" s="65">
        <f t="shared" si="4"/>
        <v>0</v>
      </c>
      <c r="P58" s="66">
        <f t="shared" si="5"/>
        <v>0</v>
      </c>
      <c r="Q58" s="60">
        <f t="shared" si="6"/>
        <v>466746</v>
      </c>
      <c r="R58" s="79"/>
      <c r="S58" s="80" t="s">
        <v>270</v>
      </c>
      <c r="U58" s="81"/>
    </row>
    <row r="59" spans="1:22" s="6" customFormat="1" ht="41.4" customHeight="1">
      <c r="A59" s="32">
        <v>45</v>
      </c>
      <c r="B59" s="40"/>
      <c r="C59" s="40"/>
      <c r="D59" s="34"/>
      <c r="E59" s="35" t="str">
        <f>'Tên Tháng 1'!E48</f>
        <v>គាន ខេន</v>
      </c>
      <c r="F59" s="36" t="str">
        <f>'Tên Tháng 1'!F48</f>
        <v>KEAN KHEN</v>
      </c>
      <c r="G59" s="37">
        <v>45</v>
      </c>
      <c r="H59" s="38">
        <v>31947</v>
      </c>
      <c r="I59" s="59">
        <f>'KL 1'!X60</f>
        <v>14.03</v>
      </c>
      <c r="J59" s="60">
        <f t="shared" si="1"/>
        <v>448216</v>
      </c>
      <c r="K59" s="61"/>
      <c r="L59" s="62"/>
      <c r="M59" s="63">
        <f t="shared" si="2"/>
        <v>448216</v>
      </c>
      <c r="N59" s="64">
        <f t="shared" si="3"/>
        <v>0</v>
      </c>
      <c r="O59" s="65">
        <f t="shared" si="4"/>
        <v>0</v>
      </c>
      <c r="P59" s="66">
        <f t="shared" si="5"/>
        <v>0</v>
      </c>
      <c r="Q59" s="60">
        <f t="shared" si="6"/>
        <v>448216</v>
      </c>
      <c r="R59" s="79"/>
      <c r="S59" s="80" t="s">
        <v>270</v>
      </c>
      <c r="U59" s="81"/>
    </row>
    <row r="60" spans="1:22" s="6" customFormat="1" ht="41.4" customHeight="1">
      <c r="A60" s="32">
        <v>46</v>
      </c>
      <c r="B60" s="40"/>
      <c r="C60" s="40"/>
      <c r="D60" s="34"/>
      <c r="E60" s="35" t="str">
        <f>'Tên Tháng 1'!E49</f>
        <v>ទួច សុភាន់</v>
      </c>
      <c r="F60" s="36" t="str">
        <f>'Tên Tháng 1'!F49</f>
        <v>TUOCH SOPHOIN</v>
      </c>
      <c r="G60" s="37">
        <v>46</v>
      </c>
      <c r="H60" s="38">
        <v>31947</v>
      </c>
      <c r="I60" s="59">
        <f>'KL 1'!X61</f>
        <v>16.64</v>
      </c>
      <c r="J60" s="60">
        <f t="shared" si="1"/>
        <v>531598</v>
      </c>
      <c r="K60" s="61"/>
      <c r="L60" s="62"/>
      <c r="M60" s="63">
        <f t="shared" si="2"/>
        <v>531598</v>
      </c>
      <c r="N60" s="64">
        <f t="shared" si="3"/>
        <v>0</v>
      </c>
      <c r="O60" s="65">
        <f t="shared" si="4"/>
        <v>0</v>
      </c>
      <c r="P60" s="66">
        <f t="shared" si="5"/>
        <v>0</v>
      </c>
      <c r="Q60" s="60">
        <f t="shared" si="6"/>
        <v>531598</v>
      </c>
      <c r="R60" s="79"/>
      <c r="S60" s="80" t="s">
        <v>270</v>
      </c>
      <c r="U60" s="81"/>
    </row>
    <row r="61" spans="1:22" s="6" customFormat="1" ht="41.4" customHeight="1">
      <c r="A61" s="32">
        <v>47</v>
      </c>
      <c r="B61" s="40"/>
      <c r="C61" s="40"/>
      <c r="D61" s="34"/>
      <c r="E61" s="35" t="str">
        <f>'Tên Tháng 1'!E50</f>
        <v>ឆេង យីន</v>
      </c>
      <c r="F61" s="36" t="str">
        <f>'Tên Tháng 1'!F50</f>
        <v>CHHENG YIN</v>
      </c>
      <c r="G61" s="37">
        <v>47</v>
      </c>
      <c r="H61" s="38">
        <v>31947</v>
      </c>
      <c r="I61" s="59">
        <f>'KL 1'!X62</f>
        <v>10.92</v>
      </c>
      <c r="J61" s="60">
        <f t="shared" si="1"/>
        <v>348861</v>
      </c>
      <c r="K61" s="61"/>
      <c r="L61" s="62"/>
      <c r="M61" s="63">
        <f t="shared" si="2"/>
        <v>348861</v>
      </c>
      <c r="N61" s="64">
        <f t="shared" si="3"/>
        <v>0</v>
      </c>
      <c r="O61" s="65">
        <f t="shared" si="4"/>
        <v>0</v>
      </c>
      <c r="P61" s="66">
        <f t="shared" si="5"/>
        <v>0</v>
      </c>
      <c r="Q61" s="60">
        <f t="shared" si="6"/>
        <v>348861</v>
      </c>
      <c r="R61" s="79"/>
      <c r="S61" s="80" t="s">
        <v>270</v>
      </c>
      <c r="U61" s="81"/>
    </row>
    <row r="62" spans="1:22" s="6" customFormat="1" ht="35.4" customHeight="1">
      <c r="A62" s="32">
        <v>48</v>
      </c>
      <c r="B62" s="40"/>
      <c r="C62" s="40"/>
      <c r="D62" s="34"/>
      <c r="E62" s="35" t="str">
        <f>'Tên Tháng 1'!E51</f>
        <v>ឆែម អ៊ិន</v>
      </c>
      <c r="F62" s="36" t="str">
        <f>'Tên Tháng 1'!F51</f>
        <v>CHHEM IN</v>
      </c>
      <c r="G62" s="37">
        <v>137</v>
      </c>
      <c r="H62" s="38">
        <v>31947</v>
      </c>
      <c r="I62" s="59">
        <f>'KL 1'!X63</f>
        <v>15.6</v>
      </c>
      <c r="J62" s="60">
        <f t="shared" si="1"/>
        <v>498373</v>
      </c>
      <c r="K62" s="61"/>
      <c r="L62" s="62"/>
      <c r="M62" s="63">
        <f t="shared" si="2"/>
        <v>498373</v>
      </c>
      <c r="N62" s="64">
        <f t="shared" si="3"/>
        <v>0</v>
      </c>
      <c r="O62" s="65">
        <f t="shared" si="4"/>
        <v>0</v>
      </c>
      <c r="P62" s="66">
        <f t="shared" si="5"/>
        <v>0</v>
      </c>
      <c r="Q62" s="60">
        <f t="shared" si="6"/>
        <v>498373</v>
      </c>
      <c r="R62" s="79"/>
      <c r="S62" s="80" t="s">
        <v>270</v>
      </c>
      <c r="U62" s="81"/>
    </row>
    <row r="63" spans="1:22" s="6" customFormat="1" ht="35.700000000000003" customHeight="1">
      <c r="A63" s="32">
        <v>49</v>
      </c>
      <c r="B63" s="40"/>
      <c r="C63" s="40"/>
      <c r="D63" s="34"/>
      <c r="E63" s="35" t="str">
        <f>'Tên Tháng 1'!E52</f>
        <v>វឿន លីម</v>
      </c>
      <c r="F63" s="36" t="str">
        <f>'Tên Tháng 1'!F52</f>
        <v>VOEUN LIM</v>
      </c>
      <c r="G63" s="37">
        <v>138</v>
      </c>
      <c r="H63" s="38">
        <v>31947</v>
      </c>
      <c r="I63" s="59">
        <f>'KL 1'!X64</f>
        <v>17.060000000000002</v>
      </c>
      <c r="J63" s="60">
        <f t="shared" si="1"/>
        <v>545016</v>
      </c>
      <c r="K63" s="61"/>
      <c r="L63" s="62"/>
      <c r="M63" s="63">
        <f t="shared" si="2"/>
        <v>545016</v>
      </c>
      <c r="N63" s="64">
        <f t="shared" si="3"/>
        <v>0</v>
      </c>
      <c r="O63" s="65">
        <f t="shared" si="4"/>
        <v>0</v>
      </c>
      <c r="P63" s="66">
        <f t="shared" si="5"/>
        <v>0</v>
      </c>
      <c r="Q63" s="60">
        <f t="shared" si="6"/>
        <v>545016</v>
      </c>
      <c r="R63" s="79"/>
      <c r="S63" s="80" t="s">
        <v>270</v>
      </c>
      <c r="U63" s="81"/>
    </row>
    <row r="64" spans="1:22" s="6" customFormat="1" ht="35.700000000000003" customHeight="1">
      <c r="A64" s="32">
        <v>50</v>
      </c>
      <c r="B64" s="40"/>
      <c r="C64" s="40"/>
      <c r="D64" s="34"/>
      <c r="E64" s="35" t="str">
        <f>'Tên Tháng 1'!E53</f>
        <v>ហោ យ៉ាន</v>
      </c>
      <c r="F64" s="36" t="str">
        <f>'Tên Tháng 1'!F53</f>
        <v>HO YAN</v>
      </c>
      <c r="G64" s="37">
        <v>139</v>
      </c>
      <c r="H64" s="38">
        <v>31947</v>
      </c>
      <c r="I64" s="59">
        <f>'KL 1'!X65</f>
        <v>17.25</v>
      </c>
      <c r="J64" s="60">
        <f t="shared" si="1"/>
        <v>551086</v>
      </c>
      <c r="K64" s="61"/>
      <c r="L64" s="62"/>
      <c r="M64" s="63">
        <f t="shared" si="2"/>
        <v>551086</v>
      </c>
      <c r="N64" s="64">
        <f t="shared" si="3"/>
        <v>0</v>
      </c>
      <c r="O64" s="65">
        <f t="shared" si="4"/>
        <v>0</v>
      </c>
      <c r="P64" s="66">
        <f t="shared" si="5"/>
        <v>0</v>
      </c>
      <c r="Q64" s="60">
        <f t="shared" si="6"/>
        <v>551086</v>
      </c>
      <c r="R64" s="79"/>
      <c r="S64" s="80" t="s">
        <v>270</v>
      </c>
      <c r="U64" s="81"/>
    </row>
    <row r="65" spans="1:21" s="6" customFormat="1" ht="35.700000000000003" customHeight="1">
      <c r="A65" s="32">
        <v>51</v>
      </c>
      <c r="B65" s="40"/>
      <c r="C65" s="40"/>
      <c r="D65" s="34"/>
      <c r="E65" s="35" t="str">
        <f>'Tên Tháng 1'!E54</f>
        <v>តោ ទឿន</v>
      </c>
      <c r="F65" s="36" t="str">
        <f>'Tên Tháng 1'!F54</f>
        <v>TOR TOEUN</v>
      </c>
      <c r="G65" s="37">
        <v>140</v>
      </c>
      <c r="H65" s="38">
        <v>31947</v>
      </c>
      <c r="I65" s="59">
        <f>'KL 1'!X66</f>
        <v>13.87</v>
      </c>
      <c r="J65" s="60">
        <f t="shared" si="1"/>
        <v>443105</v>
      </c>
      <c r="K65" s="61"/>
      <c r="L65" s="62"/>
      <c r="M65" s="63">
        <f t="shared" si="2"/>
        <v>443105</v>
      </c>
      <c r="N65" s="64">
        <f t="shared" si="3"/>
        <v>0</v>
      </c>
      <c r="O65" s="65">
        <f t="shared" si="4"/>
        <v>0</v>
      </c>
      <c r="P65" s="66">
        <f t="shared" si="5"/>
        <v>0</v>
      </c>
      <c r="Q65" s="60">
        <f t="shared" si="6"/>
        <v>443105</v>
      </c>
      <c r="R65" s="79"/>
      <c r="S65" s="80" t="s">
        <v>270</v>
      </c>
      <c r="U65" s="81"/>
    </row>
    <row r="66" spans="1:21" s="6" customFormat="1" ht="35.700000000000003" customHeight="1">
      <c r="A66" s="32">
        <v>52</v>
      </c>
      <c r="B66" s="40"/>
      <c r="C66" s="40"/>
      <c r="D66" s="34"/>
      <c r="E66" s="35" t="str">
        <f>'Tên Tháng 1'!E55</f>
        <v>ញ៉ុវ ញឹម</v>
      </c>
      <c r="F66" s="36" t="str">
        <f>'Tên Tháng 1'!F55</f>
        <v>NHOV NHIM</v>
      </c>
      <c r="G66" s="37">
        <v>141</v>
      </c>
      <c r="H66" s="38">
        <v>31947</v>
      </c>
      <c r="I66" s="59">
        <f>'KL 1'!X67</f>
        <v>14.559999999999999</v>
      </c>
      <c r="J66" s="60">
        <f t="shared" si="1"/>
        <v>465148</v>
      </c>
      <c r="K66" s="61"/>
      <c r="L66" s="62"/>
      <c r="M66" s="63">
        <f t="shared" si="2"/>
        <v>465148</v>
      </c>
      <c r="N66" s="64">
        <f t="shared" si="3"/>
        <v>0</v>
      </c>
      <c r="O66" s="65">
        <f t="shared" si="4"/>
        <v>0</v>
      </c>
      <c r="P66" s="66">
        <f t="shared" si="5"/>
        <v>0</v>
      </c>
      <c r="Q66" s="60">
        <f t="shared" si="6"/>
        <v>465148</v>
      </c>
      <c r="R66" s="79"/>
      <c r="S66" s="80" t="s">
        <v>270</v>
      </c>
      <c r="U66" s="81"/>
    </row>
    <row r="67" spans="1:21" s="6" customFormat="1" ht="35.700000000000003" customHeight="1">
      <c r="A67" s="32">
        <v>53</v>
      </c>
      <c r="B67" s="40"/>
      <c r="C67" s="40"/>
      <c r="D67" s="34"/>
      <c r="E67" s="35" t="str">
        <f>'Tên Tháng 1'!E56</f>
        <v>តូច ចាន់លី</v>
      </c>
      <c r="F67" s="36" t="str">
        <f>'Tên Tháng 1'!F56</f>
        <v>TOUCH CHANLY</v>
      </c>
      <c r="G67" s="37">
        <v>142</v>
      </c>
      <c r="H67" s="38">
        <v>31947</v>
      </c>
      <c r="I67" s="59">
        <f>'KL 1'!X68</f>
        <v>15.049999999999999</v>
      </c>
      <c r="J67" s="60">
        <f t="shared" si="1"/>
        <v>480802</v>
      </c>
      <c r="K67" s="61"/>
      <c r="L67" s="62"/>
      <c r="M67" s="63">
        <f t="shared" si="2"/>
        <v>480802</v>
      </c>
      <c r="N67" s="64">
        <f t="shared" si="3"/>
        <v>0</v>
      </c>
      <c r="O67" s="65">
        <f t="shared" si="4"/>
        <v>0</v>
      </c>
      <c r="P67" s="66">
        <f t="shared" si="5"/>
        <v>0</v>
      </c>
      <c r="Q67" s="60">
        <f t="shared" si="6"/>
        <v>480802</v>
      </c>
      <c r="R67" s="79"/>
      <c r="S67" s="80" t="s">
        <v>270</v>
      </c>
      <c r="U67" s="81"/>
    </row>
    <row r="68" spans="1:21" s="6" customFormat="1" ht="35.700000000000003" customHeight="1">
      <c r="A68" s="32">
        <v>54</v>
      </c>
      <c r="B68" s="40"/>
      <c r="C68" s="40"/>
      <c r="D68" s="34"/>
      <c r="E68" s="35" t="str">
        <f>'Tên Tháng 1'!E57</f>
        <v>ឡោ ហ៊ុន</v>
      </c>
      <c r="F68" s="36" t="str">
        <f>'Tên Tháng 1'!F57</f>
        <v>LAO HUN</v>
      </c>
      <c r="G68" s="37">
        <v>143</v>
      </c>
      <c r="H68" s="38">
        <v>31947</v>
      </c>
      <c r="I68" s="59">
        <f>'KL 1'!X69</f>
        <v>15.03</v>
      </c>
      <c r="J68" s="60">
        <f t="shared" si="1"/>
        <v>480163</v>
      </c>
      <c r="K68" s="61"/>
      <c r="L68" s="62"/>
      <c r="M68" s="63">
        <f t="shared" si="2"/>
        <v>480163</v>
      </c>
      <c r="N68" s="64">
        <f t="shared" si="3"/>
        <v>0</v>
      </c>
      <c r="O68" s="65">
        <f t="shared" si="4"/>
        <v>0</v>
      </c>
      <c r="P68" s="66">
        <f t="shared" si="5"/>
        <v>0</v>
      </c>
      <c r="Q68" s="60">
        <f t="shared" si="6"/>
        <v>480163</v>
      </c>
      <c r="R68" s="79"/>
      <c r="S68" s="80" t="s">
        <v>270</v>
      </c>
      <c r="U68" s="81"/>
    </row>
    <row r="69" spans="1:21" s="6" customFormat="1" ht="35.700000000000003" customHeight="1">
      <c r="A69" s="32">
        <v>55</v>
      </c>
      <c r="B69" s="40"/>
      <c r="C69" s="40"/>
      <c r="D69" s="34"/>
      <c r="E69" s="35" t="str">
        <f>'Tên Tháng 1'!E58</f>
        <v>ឈាន អន</v>
      </c>
      <c r="F69" s="36" t="str">
        <f>'Tên Tháng 1'!F58</f>
        <v>CHHEAN ORN</v>
      </c>
      <c r="G69" s="37">
        <v>144</v>
      </c>
      <c r="H69" s="38">
        <v>31947</v>
      </c>
      <c r="I69" s="59">
        <f>'KL 1'!X70</f>
        <v>16.37</v>
      </c>
      <c r="J69" s="60">
        <f t="shared" si="1"/>
        <v>522972</v>
      </c>
      <c r="K69" s="61"/>
      <c r="L69" s="62"/>
      <c r="M69" s="63">
        <f t="shared" si="2"/>
        <v>522972</v>
      </c>
      <c r="N69" s="64">
        <f t="shared" si="3"/>
        <v>0</v>
      </c>
      <c r="O69" s="65">
        <f t="shared" si="4"/>
        <v>0</v>
      </c>
      <c r="P69" s="66">
        <f t="shared" si="5"/>
        <v>0</v>
      </c>
      <c r="Q69" s="60">
        <f t="shared" si="6"/>
        <v>522972</v>
      </c>
      <c r="R69" s="79"/>
      <c r="S69" s="80" t="s">
        <v>270</v>
      </c>
      <c r="U69" s="81"/>
    </row>
    <row r="70" spans="1:21" s="6" customFormat="1" ht="35.700000000000003" customHeight="1">
      <c r="A70" s="32">
        <v>56</v>
      </c>
      <c r="B70" s="40"/>
      <c r="C70" s="40"/>
      <c r="D70" s="34"/>
      <c r="E70" s="35" t="str">
        <f>'Tên Tháng 1'!E59</f>
        <v>មាស ណាលីន</v>
      </c>
      <c r="F70" s="36" t="str">
        <f>'Tên Tháng 1'!F59</f>
        <v>MEAS NALIN</v>
      </c>
      <c r="G70" s="37">
        <v>145</v>
      </c>
      <c r="H70" s="38">
        <v>31947</v>
      </c>
      <c r="I70" s="59">
        <f>'KL 1'!X71</f>
        <v>15.3</v>
      </c>
      <c r="J70" s="60">
        <f t="shared" si="1"/>
        <v>488789</v>
      </c>
      <c r="K70" s="61"/>
      <c r="L70" s="62"/>
      <c r="M70" s="63">
        <f t="shared" si="2"/>
        <v>488789</v>
      </c>
      <c r="N70" s="64">
        <f t="shared" si="3"/>
        <v>0</v>
      </c>
      <c r="O70" s="65">
        <f t="shared" si="4"/>
        <v>0</v>
      </c>
      <c r="P70" s="66">
        <f t="shared" si="5"/>
        <v>0</v>
      </c>
      <c r="Q70" s="60">
        <f t="shared" si="6"/>
        <v>488789</v>
      </c>
      <c r="R70" s="79"/>
      <c r="S70" s="80" t="s">
        <v>270</v>
      </c>
      <c r="U70" s="81"/>
    </row>
    <row r="71" spans="1:21" s="6" customFormat="1" ht="35.700000000000003" customHeight="1">
      <c r="A71" s="32">
        <v>57</v>
      </c>
      <c r="B71" s="40"/>
      <c r="C71" s="40"/>
      <c r="D71" s="34"/>
      <c r="E71" s="35" t="str">
        <f>'Tên Tháng 1'!E60</f>
        <v>ម៉ួន ហ៊ាង</v>
      </c>
      <c r="F71" s="36" t="str">
        <f>'Tên Tháng 1'!F60</f>
        <v>MUON HEANG</v>
      </c>
      <c r="G71" s="37">
        <v>146</v>
      </c>
      <c r="H71" s="38">
        <v>31947</v>
      </c>
      <c r="I71" s="59">
        <f>'KL 1'!X72</f>
        <v>15.979999999999999</v>
      </c>
      <c r="J71" s="60">
        <f t="shared" si="1"/>
        <v>510513</v>
      </c>
      <c r="K71" s="61"/>
      <c r="L71" s="62"/>
      <c r="M71" s="63">
        <f t="shared" si="2"/>
        <v>510513</v>
      </c>
      <c r="N71" s="64">
        <f t="shared" si="3"/>
        <v>0</v>
      </c>
      <c r="O71" s="65">
        <f t="shared" si="4"/>
        <v>0</v>
      </c>
      <c r="P71" s="66">
        <f t="shared" si="5"/>
        <v>0</v>
      </c>
      <c r="Q71" s="60">
        <f t="shared" si="6"/>
        <v>510513</v>
      </c>
      <c r="R71" s="79"/>
      <c r="S71" s="80" t="s">
        <v>270</v>
      </c>
      <c r="U71" s="81"/>
    </row>
    <row r="72" spans="1:21" s="6" customFormat="1" ht="35.700000000000003" customHeight="1">
      <c r="A72" s="32">
        <v>58</v>
      </c>
      <c r="B72" s="40"/>
      <c r="C72" s="40"/>
      <c r="D72" s="34"/>
      <c r="E72" s="35" t="str">
        <f>'Tên Tháng 1'!E61</f>
        <v>យ៉េន ហៃ</v>
      </c>
      <c r="F72" s="36" t="str">
        <f>'Tên Tháng 1'!F61</f>
        <v>YEN HAI</v>
      </c>
      <c r="G72" s="37">
        <v>147</v>
      </c>
      <c r="H72" s="38">
        <v>31947</v>
      </c>
      <c r="I72" s="59">
        <f>'KL 1'!X73</f>
        <v>17.12</v>
      </c>
      <c r="J72" s="60">
        <f t="shared" si="1"/>
        <v>546933</v>
      </c>
      <c r="K72" s="61"/>
      <c r="L72" s="62"/>
      <c r="M72" s="63">
        <f t="shared" si="2"/>
        <v>546933</v>
      </c>
      <c r="N72" s="64">
        <f t="shared" si="3"/>
        <v>0</v>
      </c>
      <c r="O72" s="65">
        <f t="shared" si="4"/>
        <v>0</v>
      </c>
      <c r="P72" s="66">
        <f t="shared" si="5"/>
        <v>0</v>
      </c>
      <c r="Q72" s="60">
        <f t="shared" si="6"/>
        <v>546933</v>
      </c>
      <c r="R72" s="79"/>
      <c r="S72" s="80" t="s">
        <v>270</v>
      </c>
      <c r="U72" s="81"/>
    </row>
    <row r="73" spans="1:21" s="6" customFormat="1" ht="35.700000000000003" customHeight="1">
      <c r="A73" s="32">
        <v>59</v>
      </c>
      <c r="B73" s="40"/>
      <c r="C73" s="40"/>
      <c r="D73" s="34"/>
      <c r="E73" s="35" t="str">
        <f>'Tên Tháng 1'!E62</f>
        <v>ស្រី អ៊ឹម</v>
      </c>
      <c r="F73" s="36" t="str">
        <f>'Tên Tháng 1'!F62</f>
        <v>SREY OEM</v>
      </c>
      <c r="G73" s="37">
        <v>148</v>
      </c>
      <c r="H73" s="38">
        <v>31947</v>
      </c>
      <c r="I73" s="59">
        <f>'KL 1'!X74</f>
        <v>17.990000000000002</v>
      </c>
      <c r="J73" s="60">
        <f t="shared" si="1"/>
        <v>574727</v>
      </c>
      <c r="K73" s="61"/>
      <c r="L73" s="62"/>
      <c r="M73" s="63">
        <f t="shared" si="2"/>
        <v>574727</v>
      </c>
      <c r="N73" s="64">
        <f t="shared" si="3"/>
        <v>0</v>
      </c>
      <c r="O73" s="65">
        <f t="shared" si="4"/>
        <v>0</v>
      </c>
      <c r="P73" s="66">
        <f t="shared" si="5"/>
        <v>0</v>
      </c>
      <c r="Q73" s="60">
        <f t="shared" si="6"/>
        <v>574727</v>
      </c>
      <c r="R73" s="79"/>
      <c r="S73" s="80" t="s">
        <v>270</v>
      </c>
      <c r="U73" s="81"/>
    </row>
    <row r="74" spans="1:21" s="6" customFormat="1" ht="35.700000000000003" customHeight="1">
      <c r="A74" s="32">
        <v>60</v>
      </c>
      <c r="B74" s="40"/>
      <c r="C74" s="40"/>
      <c r="D74" s="34"/>
      <c r="E74" s="35" t="str">
        <f>'Tên Tháng 1'!E63</f>
        <v>ណេ សារ៉ាត់</v>
      </c>
      <c r="F74" s="36" t="str">
        <f>'Tên Tháng 1'!F63</f>
        <v>NE SARATH</v>
      </c>
      <c r="G74" s="37">
        <v>149</v>
      </c>
      <c r="H74" s="38">
        <v>31947</v>
      </c>
      <c r="I74" s="59">
        <f>'KL 1'!X75</f>
        <v>15.129999999999999</v>
      </c>
      <c r="J74" s="60">
        <f t="shared" si="1"/>
        <v>483358</v>
      </c>
      <c r="K74" s="61"/>
      <c r="L74" s="62"/>
      <c r="M74" s="63">
        <f t="shared" si="2"/>
        <v>483358</v>
      </c>
      <c r="N74" s="64">
        <f t="shared" si="3"/>
        <v>0</v>
      </c>
      <c r="O74" s="65">
        <f t="shared" si="4"/>
        <v>0</v>
      </c>
      <c r="P74" s="66">
        <f t="shared" si="5"/>
        <v>0</v>
      </c>
      <c r="Q74" s="60">
        <f t="shared" si="6"/>
        <v>483358</v>
      </c>
      <c r="R74" s="79"/>
      <c r="S74" s="80" t="s">
        <v>270</v>
      </c>
      <c r="U74" s="81"/>
    </row>
    <row r="75" spans="1:21" s="6" customFormat="1" ht="35.700000000000003" customHeight="1">
      <c r="A75" s="32">
        <v>61</v>
      </c>
      <c r="B75" s="40"/>
      <c r="C75" s="40"/>
      <c r="D75" s="34"/>
      <c r="E75" s="35" t="str">
        <f>'Tên Tháng 1'!E64</f>
        <v>សន ធីន</v>
      </c>
      <c r="F75" s="36" t="str">
        <f>'Tên Tháng 1'!F64</f>
        <v>SORN THIN</v>
      </c>
      <c r="G75" s="37">
        <v>150</v>
      </c>
      <c r="H75" s="38">
        <v>31947</v>
      </c>
      <c r="I75" s="59">
        <f>'KL 1'!X76</f>
        <v>14.889999999999999</v>
      </c>
      <c r="J75" s="60">
        <f t="shared" si="1"/>
        <v>475691</v>
      </c>
      <c r="K75" s="61"/>
      <c r="L75" s="62"/>
      <c r="M75" s="63">
        <f t="shared" si="2"/>
        <v>475691</v>
      </c>
      <c r="N75" s="64">
        <f t="shared" si="3"/>
        <v>0</v>
      </c>
      <c r="O75" s="65">
        <f t="shared" si="4"/>
        <v>0</v>
      </c>
      <c r="P75" s="66">
        <f t="shared" si="5"/>
        <v>0</v>
      </c>
      <c r="Q75" s="60">
        <f t="shared" si="6"/>
        <v>475691</v>
      </c>
      <c r="R75" s="79"/>
      <c r="S75" s="80" t="s">
        <v>270</v>
      </c>
      <c r="U75" s="81"/>
    </row>
    <row r="76" spans="1:21" s="6" customFormat="1" ht="35.700000000000003" customHeight="1">
      <c r="A76" s="32">
        <v>62</v>
      </c>
      <c r="B76" s="40"/>
      <c r="C76" s="40"/>
      <c r="D76" s="34"/>
      <c r="E76" s="35" t="str">
        <f>'Tên Tháng 1'!E65</f>
        <v>ម៉ន ម៉ៃ</v>
      </c>
      <c r="F76" s="36" t="str">
        <f>'Tên Tháng 1'!F65</f>
        <v>MORN MAY</v>
      </c>
      <c r="G76" s="37">
        <v>151</v>
      </c>
      <c r="H76" s="38">
        <v>31947</v>
      </c>
      <c r="I76" s="59">
        <f>'KL 1'!X77</f>
        <v>14.15</v>
      </c>
      <c r="J76" s="60">
        <f t="shared" si="1"/>
        <v>452050</v>
      </c>
      <c r="K76" s="61"/>
      <c r="L76" s="62"/>
      <c r="M76" s="63">
        <f t="shared" si="2"/>
        <v>452050</v>
      </c>
      <c r="N76" s="64">
        <f t="shared" si="3"/>
        <v>0</v>
      </c>
      <c r="O76" s="65">
        <f t="shared" si="4"/>
        <v>0</v>
      </c>
      <c r="P76" s="66">
        <f t="shared" si="5"/>
        <v>0</v>
      </c>
      <c r="Q76" s="60">
        <f t="shared" si="6"/>
        <v>452050</v>
      </c>
      <c r="R76" s="79"/>
      <c r="S76" s="80" t="s">
        <v>270</v>
      </c>
      <c r="U76" s="81"/>
    </row>
    <row r="77" spans="1:21" s="6" customFormat="1" ht="35.700000000000003" customHeight="1">
      <c r="A77" s="32">
        <v>63</v>
      </c>
      <c r="B77" s="40"/>
      <c r="C77" s="40"/>
      <c r="D77" s="34"/>
      <c r="E77" s="35" t="str">
        <f>'Tên Tháng 1'!E66</f>
        <v>ជន សាមាក់</v>
      </c>
      <c r="F77" s="36" t="str">
        <f>'Tên Tháng 1'!F66</f>
        <v>CHORN SAMAK</v>
      </c>
      <c r="G77" s="37">
        <v>152</v>
      </c>
      <c r="H77" s="38">
        <v>31947</v>
      </c>
      <c r="I77" s="59">
        <f>'KL 1'!X78</f>
        <v>14.999999999999998</v>
      </c>
      <c r="J77" s="60">
        <f t="shared" si="1"/>
        <v>479205</v>
      </c>
      <c r="K77" s="61"/>
      <c r="L77" s="62"/>
      <c r="M77" s="63">
        <f t="shared" si="2"/>
        <v>479205</v>
      </c>
      <c r="N77" s="64">
        <f t="shared" si="3"/>
        <v>0</v>
      </c>
      <c r="O77" s="65">
        <f t="shared" si="4"/>
        <v>0</v>
      </c>
      <c r="P77" s="66">
        <f t="shared" si="5"/>
        <v>0</v>
      </c>
      <c r="Q77" s="60">
        <f t="shared" si="6"/>
        <v>479205</v>
      </c>
      <c r="R77" s="79"/>
      <c r="S77" s="80" t="s">
        <v>270</v>
      </c>
      <c r="U77" s="81"/>
    </row>
    <row r="78" spans="1:21" s="6" customFormat="1" ht="35.700000000000003" customHeight="1">
      <c r="A78" s="32">
        <v>64</v>
      </c>
      <c r="B78" s="40"/>
      <c r="C78" s="40"/>
      <c r="D78" s="34"/>
      <c r="E78" s="35" t="str">
        <f>'Tên Tháng 1'!E67</f>
        <v>សេង មករា</v>
      </c>
      <c r="F78" s="36" t="str">
        <f>'Tên Tháng 1'!F67</f>
        <v>SENG MEAKARA</v>
      </c>
      <c r="G78" s="37">
        <v>153</v>
      </c>
      <c r="H78" s="38">
        <v>31947</v>
      </c>
      <c r="I78" s="59">
        <f>'KL 1'!X79</f>
        <v>15.599999999999998</v>
      </c>
      <c r="J78" s="60">
        <f t="shared" si="1"/>
        <v>498373</v>
      </c>
      <c r="K78" s="61"/>
      <c r="L78" s="62"/>
      <c r="M78" s="63">
        <f t="shared" si="2"/>
        <v>498373</v>
      </c>
      <c r="N78" s="64">
        <f t="shared" si="3"/>
        <v>0</v>
      </c>
      <c r="O78" s="65">
        <f t="shared" si="4"/>
        <v>0</v>
      </c>
      <c r="P78" s="66">
        <f t="shared" si="5"/>
        <v>0</v>
      </c>
      <c r="Q78" s="60">
        <f t="shared" si="6"/>
        <v>498373</v>
      </c>
      <c r="R78" s="79"/>
      <c r="S78" s="80" t="s">
        <v>270</v>
      </c>
      <c r="U78" s="81"/>
    </row>
    <row r="79" spans="1:21" s="6" customFormat="1" ht="35.700000000000003" customHeight="1">
      <c r="A79" s="32">
        <v>65</v>
      </c>
      <c r="B79" s="40"/>
      <c r="C79" s="40"/>
      <c r="D79" s="34"/>
      <c r="E79" s="35" t="str">
        <f>'Tên Tháng 1'!E68</f>
        <v>ហ៊ាវ ហៃ</v>
      </c>
      <c r="F79" s="36" t="str">
        <f>'Tên Tháng 1'!F68</f>
        <v>HEAV HAI</v>
      </c>
      <c r="G79" s="37">
        <v>154</v>
      </c>
      <c r="H79" s="38">
        <v>31947</v>
      </c>
      <c r="I79" s="59">
        <f>'KL 1'!X80</f>
        <v>17.7</v>
      </c>
      <c r="J79" s="60">
        <f t="shared" si="1"/>
        <v>565462</v>
      </c>
      <c r="K79" s="61"/>
      <c r="L79" s="62"/>
      <c r="M79" s="63">
        <f t="shared" si="2"/>
        <v>565462</v>
      </c>
      <c r="N79" s="64">
        <f t="shared" si="3"/>
        <v>0</v>
      </c>
      <c r="O79" s="65">
        <f t="shared" si="4"/>
        <v>0</v>
      </c>
      <c r="P79" s="66">
        <f t="shared" si="5"/>
        <v>0</v>
      </c>
      <c r="Q79" s="60">
        <f t="shared" si="6"/>
        <v>565462</v>
      </c>
      <c r="R79" s="79"/>
      <c r="S79" s="80" t="s">
        <v>270</v>
      </c>
      <c r="U79" s="81"/>
    </row>
    <row r="80" spans="1:21" s="6" customFormat="1" ht="35.700000000000003" customHeight="1">
      <c r="A80" s="32">
        <v>66</v>
      </c>
      <c r="B80" s="40"/>
      <c r="C80" s="40"/>
      <c r="D80" s="34"/>
      <c r="E80" s="35" t="str">
        <f>'Tên Tháng 1'!E69</f>
        <v>មឿន សាវន</v>
      </c>
      <c r="F80" s="36" t="str">
        <f>'Tên Tháng 1'!F69</f>
        <v>MOEUN SAVON</v>
      </c>
      <c r="G80" s="37">
        <v>155</v>
      </c>
      <c r="H80" s="38">
        <v>31947</v>
      </c>
      <c r="I80" s="59">
        <f>'KL 1'!X81</f>
        <v>15.669999999999998</v>
      </c>
      <c r="J80" s="60">
        <f t="shared" ref="J80:J143" si="9">ROUND(H80*I80,0)</f>
        <v>500609</v>
      </c>
      <c r="K80" s="61"/>
      <c r="L80" s="62"/>
      <c r="M80" s="63">
        <f t="shared" ref="M80:M143" si="10">J80+L80</f>
        <v>500609</v>
      </c>
      <c r="N80" s="64">
        <f t="shared" ref="N80:N143" si="11">L80</f>
        <v>0</v>
      </c>
      <c r="O80" s="65">
        <f t="shared" ref="O80:O143" si="12">ROUND(IF(M80&lt;=1200000,0,IF(AND((M80)&gt;1200000,(M80)&lt;=2000000),(M80)*5%-60000,IF(AND((M80)&gt;2000000,(M80)&lt;=8500000),(M80)*10%-160000))),0)</f>
        <v>0</v>
      </c>
      <c r="P80" s="66">
        <f t="shared" ref="P80:P143" si="13">N80+O80</f>
        <v>0</v>
      </c>
      <c r="Q80" s="60">
        <f t="shared" ref="Q80:Q143" si="14">M80-L80</f>
        <v>500609</v>
      </c>
      <c r="R80" s="79"/>
      <c r="S80" s="80" t="s">
        <v>270</v>
      </c>
      <c r="U80" s="81"/>
    </row>
    <row r="81" spans="1:21" s="6" customFormat="1" ht="35.700000000000003" customHeight="1">
      <c r="A81" s="32">
        <v>67</v>
      </c>
      <c r="B81" s="40"/>
      <c r="C81" s="40"/>
      <c r="D81" s="34"/>
      <c r="E81" s="35" t="str">
        <f>'Tên Tháng 1'!E70</f>
        <v>មឿន សុខា</v>
      </c>
      <c r="F81" s="36" t="str">
        <f>'Tên Tháng 1'!F70</f>
        <v>MAEUN SOKHA</v>
      </c>
      <c r="G81" s="37">
        <v>156</v>
      </c>
      <c r="H81" s="38">
        <v>31947</v>
      </c>
      <c r="I81" s="59">
        <f>'KL 1'!X82</f>
        <v>15.03</v>
      </c>
      <c r="J81" s="60">
        <f t="shared" si="9"/>
        <v>480163</v>
      </c>
      <c r="K81" s="61"/>
      <c r="L81" s="62"/>
      <c r="M81" s="63">
        <f t="shared" si="10"/>
        <v>480163</v>
      </c>
      <c r="N81" s="64">
        <f t="shared" si="11"/>
        <v>0</v>
      </c>
      <c r="O81" s="65">
        <f t="shared" si="12"/>
        <v>0</v>
      </c>
      <c r="P81" s="66">
        <f t="shared" si="13"/>
        <v>0</v>
      </c>
      <c r="Q81" s="60">
        <f t="shared" si="14"/>
        <v>480163</v>
      </c>
      <c r="R81" s="79"/>
      <c r="S81" s="80" t="s">
        <v>270</v>
      </c>
      <c r="U81" s="81"/>
    </row>
    <row r="82" spans="1:21" s="6" customFormat="1" ht="35.700000000000003" customHeight="1">
      <c r="A82" s="32">
        <v>68</v>
      </c>
      <c r="B82" s="40"/>
      <c r="C82" s="40"/>
      <c r="D82" s="34"/>
      <c r="E82" s="35" t="str">
        <f>'Tên Tháng 1'!E71</f>
        <v>ម៉ិក ស្រីលាក់</v>
      </c>
      <c r="F82" s="36" t="str">
        <f>'Tên Tháng 1'!F71</f>
        <v>MIK SREYLEAK</v>
      </c>
      <c r="G82" s="37">
        <v>157</v>
      </c>
      <c r="H82" s="38">
        <v>31947</v>
      </c>
      <c r="I82" s="59">
        <f>'KL 1'!X83</f>
        <v>14.95</v>
      </c>
      <c r="J82" s="60">
        <f t="shared" si="9"/>
        <v>477608</v>
      </c>
      <c r="K82" s="61"/>
      <c r="L82" s="62"/>
      <c r="M82" s="63">
        <f t="shared" si="10"/>
        <v>477608</v>
      </c>
      <c r="N82" s="64">
        <f t="shared" si="11"/>
        <v>0</v>
      </c>
      <c r="O82" s="65">
        <f t="shared" si="12"/>
        <v>0</v>
      </c>
      <c r="P82" s="66">
        <f t="shared" si="13"/>
        <v>0</v>
      </c>
      <c r="Q82" s="60">
        <f t="shared" si="14"/>
        <v>477608</v>
      </c>
      <c r="R82" s="79"/>
      <c r="S82" s="80" t="s">
        <v>270</v>
      </c>
      <c r="U82" s="81"/>
    </row>
    <row r="83" spans="1:21" s="6" customFormat="1" ht="35.700000000000003" customHeight="1">
      <c r="A83" s="32">
        <v>69</v>
      </c>
      <c r="B83" s="40"/>
      <c r="C83" s="40"/>
      <c r="D83" s="34"/>
      <c r="E83" s="35" t="str">
        <f>'Tên Tháng 1'!E72</f>
        <v>គង់ ពន្លឺ</v>
      </c>
      <c r="F83" s="36" t="str">
        <f>'Tên Tháng 1'!F72</f>
        <v>KONG PUNLEU</v>
      </c>
      <c r="G83" s="37">
        <v>158</v>
      </c>
      <c r="H83" s="38">
        <v>31947</v>
      </c>
      <c r="I83" s="59">
        <f>'KL 1'!X84</f>
        <v>14.809999999999999</v>
      </c>
      <c r="J83" s="60">
        <f t="shared" si="9"/>
        <v>473135</v>
      </c>
      <c r="K83" s="61"/>
      <c r="L83" s="62"/>
      <c r="M83" s="63">
        <f t="shared" si="10"/>
        <v>473135</v>
      </c>
      <c r="N83" s="64">
        <f t="shared" si="11"/>
        <v>0</v>
      </c>
      <c r="O83" s="65">
        <f t="shared" si="12"/>
        <v>0</v>
      </c>
      <c r="P83" s="66">
        <f t="shared" si="13"/>
        <v>0</v>
      </c>
      <c r="Q83" s="60">
        <f t="shared" si="14"/>
        <v>473135</v>
      </c>
      <c r="R83" s="79"/>
      <c r="S83" s="80" t="s">
        <v>270</v>
      </c>
      <c r="U83" s="81"/>
    </row>
    <row r="84" spans="1:21" s="6" customFormat="1" ht="35.700000000000003" customHeight="1">
      <c r="A84" s="32">
        <v>70</v>
      </c>
      <c r="B84" s="40"/>
      <c r="C84" s="40"/>
      <c r="D84" s="34"/>
      <c r="E84" s="35" t="str">
        <f>'Tên Tháng 1'!E73</f>
        <v>បាន សុខឿន</v>
      </c>
      <c r="F84" s="36" t="str">
        <f>'Tên Tháng 1'!F73</f>
        <v>BAN SOKHOEUN</v>
      </c>
      <c r="G84" s="37">
        <v>159</v>
      </c>
      <c r="H84" s="38">
        <v>31947</v>
      </c>
      <c r="I84" s="59">
        <f>'KL 1'!X85</f>
        <v>17.619999999999997</v>
      </c>
      <c r="J84" s="60">
        <f t="shared" si="9"/>
        <v>562906</v>
      </c>
      <c r="K84" s="61"/>
      <c r="L84" s="62"/>
      <c r="M84" s="63">
        <f t="shared" si="10"/>
        <v>562906</v>
      </c>
      <c r="N84" s="64">
        <f t="shared" si="11"/>
        <v>0</v>
      </c>
      <c r="O84" s="65">
        <f t="shared" si="12"/>
        <v>0</v>
      </c>
      <c r="P84" s="66">
        <f t="shared" si="13"/>
        <v>0</v>
      </c>
      <c r="Q84" s="60">
        <f t="shared" si="14"/>
        <v>562906</v>
      </c>
      <c r="R84" s="79"/>
      <c r="S84" s="80" t="s">
        <v>270</v>
      </c>
      <c r="U84" s="81"/>
    </row>
    <row r="85" spans="1:21" s="6" customFormat="1" ht="35.700000000000003" customHeight="1">
      <c r="A85" s="32">
        <v>71</v>
      </c>
      <c r="B85" s="40"/>
      <c r="C85" s="40"/>
      <c r="D85" s="34"/>
      <c r="E85" s="35" t="str">
        <f>'Tên Tháng 1'!E74</f>
        <v>ខុន ស្រីនាង</v>
      </c>
      <c r="F85" s="36" t="str">
        <f>'Tên Tháng 1'!F74</f>
        <v>KHON SREYNEANG</v>
      </c>
      <c r="G85" s="37">
        <v>160</v>
      </c>
      <c r="H85" s="38">
        <v>31947</v>
      </c>
      <c r="I85" s="59">
        <f>'KL 1'!X86</f>
        <v>17.03</v>
      </c>
      <c r="J85" s="60">
        <f t="shared" si="9"/>
        <v>544057</v>
      </c>
      <c r="K85" s="61"/>
      <c r="L85" s="62"/>
      <c r="M85" s="63">
        <f t="shared" si="10"/>
        <v>544057</v>
      </c>
      <c r="N85" s="64">
        <f t="shared" si="11"/>
        <v>0</v>
      </c>
      <c r="O85" s="65">
        <f t="shared" si="12"/>
        <v>0</v>
      </c>
      <c r="P85" s="66">
        <f t="shared" si="13"/>
        <v>0</v>
      </c>
      <c r="Q85" s="60">
        <f t="shared" si="14"/>
        <v>544057</v>
      </c>
      <c r="R85" s="79"/>
      <c r="S85" s="80" t="s">
        <v>270</v>
      </c>
      <c r="U85" s="81"/>
    </row>
    <row r="86" spans="1:21" s="6" customFormat="1" ht="35.700000000000003" customHeight="1">
      <c r="A86" s="32">
        <v>72</v>
      </c>
      <c r="B86" s="40"/>
      <c r="C86" s="40"/>
      <c r="D86" s="34"/>
      <c r="E86" s="35" t="str">
        <f>'Tên Tháng 1'!E75</f>
        <v>ត្រុចធីតា</v>
      </c>
      <c r="F86" s="36" t="str">
        <f>'Tên Tháng 1'!F75</f>
        <v>TROCH THYDA</v>
      </c>
      <c r="G86" s="37">
        <v>161</v>
      </c>
      <c r="H86" s="38">
        <v>31947</v>
      </c>
      <c r="I86" s="59">
        <f>'KL 1'!X87</f>
        <v>15.729999999999999</v>
      </c>
      <c r="J86" s="60">
        <f t="shared" si="9"/>
        <v>502526</v>
      </c>
      <c r="K86" s="61"/>
      <c r="L86" s="62"/>
      <c r="M86" s="63">
        <f t="shared" si="10"/>
        <v>502526</v>
      </c>
      <c r="N86" s="64">
        <f t="shared" si="11"/>
        <v>0</v>
      </c>
      <c r="O86" s="65">
        <f t="shared" si="12"/>
        <v>0</v>
      </c>
      <c r="P86" s="66">
        <f t="shared" si="13"/>
        <v>0</v>
      </c>
      <c r="Q86" s="60">
        <f t="shared" si="14"/>
        <v>502526</v>
      </c>
      <c r="R86" s="79"/>
      <c r="S86" s="80" t="s">
        <v>270</v>
      </c>
      <c r="U86" s="81"/>
    </row>
    <row r="87" spans="1:21" s="6" customFormat="1" ht="35.700000000000003" customHeight="1">
      <c r="A87" s="32">
        <v>73</v>
      </c>
      <c r="B87" s="40"/>
      <c r="C87" s="40"/>
      <c r="D87" s="34"/>
      <c r="E87" s="35" t="str">
        <f>'Tên Tháng 1'!E76</f>
        <v>ផល់ ណាត</v>
      </c>
      <c r="F87" s="36" t="str">
        <f>'Tên Tháng 1'!F76</f>
        <v>PHOL NAT</v>
      </c>
      <c r="G87" s="37">
        <v>162</v>
      </c>
      <c r="H87" s="38">
        <v>31947</v>
      </c>
      <c r="I87" s="59">
        <f>'KL 1'!X88</f>
        <v>15.809999999999999</v>
      </c>
      <c r="J87" s="60">
        <f t="shared" si="9"/>
        <v>505082</v>
      </c>
      <c r="K87" s="61"/>
      <c r="L87" s="62"/>
      <c r="M87" s="63">
        <f t="shared" si="10"/>
        <v>505082</v>
      </c>
      <c r="N87" s="64">
        <f t="shared" si="11"/>
        <v>0</v>
      </c>
      <c r="O87" s="65">
        <f t="shared" si="12"/>
        <v>0</v>
      </c>
      <c r="P87" s="66">
        <f t="shared" si="13"/>
        <v>0</v>
      </c>
      <c r="Q87" s="60">
        <f t="shared" si="14"/>
        <v>505082</v>
      </c>
      <c r="R87" s="79"/>
      <c r="S87" s="80" t="s">
        <v>270</v>
      </c>
      <c r="U87" s="81"/>
    </row>
    <row r="88" spans="1:21" s="6" customFormat="1" ht="35.700000000000003" customHeight="1">
      <c r="A88" s="32">
        <v>74</v>
      </c>
      <c r="B88" s="40"/>
      <c r="C88" s="40"/>
      <c r="D88" s="34"/>
      <c r="E88" s="35" t="str">
        <f>'Tên Tháng 1'!E77</f>
        <v>ពិន ចាន់នី</v>
      </c>
      <c r="F88" s="36" t="str">
        <f>'Tên Tháng 1'!F77</f>
        <v>PIN CHANNY</v>
      </c>
      <c r="G88" s="37">
        <v>163</v>
      </c>
      <c r="H88" s="38">
        <v>31947</v>
      </c>
      <c r="I88" s="59">
        <f>'KL 1'!X89</f>
        <v>16.91</v>
      </c>
      <c r="J88" s="60">
        <f t="shared" si="9"/>
        <v>540224</v>
      </c>
      <c r="K88" s="61"/>
      <c r="L88" s="62"/>
      <c r="M88" s="63">
        <f t="shared" si="10"/>
        <v>540224</v>
      </c>
      <c r="N88" s="64">
        <f t="shared" si="11"/>
        <v>0</v>
      </c>
      <c r="O88" s="65">
        <f t="shared" si="12"/>
        <v>0</v>
      </c>
      <c r="P88" s="66">
        <f t="shared" si="13"/>
        <v>0</v>
      </c>
      <c r="Q88" s="60">
        <f t="shared" si="14"/>
        <v>540224</v>
      </c>
      <c r="R88" s="79"/>
      <c r="S88" s="80" t="s">
        <v>270</v>
      </c>
      <c r="U88" s="81"/>
    </row>
    <row r="89" spans="1:21" s="6" customFormat="1" ht="35.700000000000003" customHeight="1">
      <c r="A89" s="32">
        <v>75</v>
      </c>
      <c r="B89" s="40"/>
      <c r="C89" s="40"/>
      <c r="D89" s="34"/>
      <c r="E89" s="35" t="str">
        <f>'Tên Tháng 1'!E78</f>
        <v>ផា សុផុន</v>
      </c>
      <c r="F89" s="36" t="str">
        <f>'Tên Tháng 1'!F78</f>
        <v>PHA SOPHON</v>
      </c>
      <c r="G89" s="37">
        <v>164</v>
      </c>
      <c r="H89" s="38">
        <v>31947</v>
      </c>
      <c r="I89" s="59">
        <f>'KL 1'!X90</f>
        <v>14.58</v>
      </c>
      <c r="J89" s="60">
        <f t="shared" si="9"/>
        <v>465787</v>
      </c>
      <c r="K89" s="61"/>
      <c r="L89" s="62"/>
      <c r="M89" s="63">
        <f t="shared" si="10"/>
        <v>465787</v>
      </c>
      <c r="N89" s="64">
        <f t="shared" si="11"/>
        <v>0</v>
      </c>
      <c r="O89" s="65">
        <f t="shared" si="12"/>
        <v>0</v>
      </c>
      <c r="P89" s="66">
        <f t="shared" si="13"/>
        <v>0</v>
      </c>
      <c r="Q89" s="60">
        <f t="shared" si="14"/>
        <v>465787</v>
      </c>
      <c r="R89" s="79"/>
      <c r="S89" s="80" t="s">
        <v>270</v>
      </c>
      <c r="U89" s="81"/>
    </row>
    <row r="90" spans="1:21" s="6" customFormat="1" ht="35.700000000000003" customHeight="1">
      <c r="A90" s="32">
        <v>76</v>
      </c>
      <c r="B90" s="40"/>
      <c r="C90" s="40"/>
      <c r="D90" s="34"/>
      <c r="E90" s="35" t="str">
        <f>'Tên Tháng 1'!E79</f>
        <v>វ៉ា វាសនា</v>
      </c>
      <c r="F90" s="36" t="str">
        <f>'Tên Tháng 1'!F79</f>
        <v>VA VEASNA</v>
      </c>
      <c r="G90" s="37">
        <v>165</v>
      </c>
      <c r="H90" s="38">
        <v>31947</v>
      </c>
      <c r="I90" s="59">
        <f>'KL 1'!X91</f>
        <v>16.53</v>
      </c>
      <c r="J90" s="60">
        <f t="shared" si="9"/>
        <v>528084</v>
      </c>
      <c r="K90" s="61"/>
      <c r="L90" s="62"/>
      <c r="M90" s="63">
        <f t="shared" si="10"/>
        <v>528084</v>
      </c>
      <c r="N90" s="64">
        <f t="shared" si="11"/>
        <v>0</v>
      </c>
      <c r="O90" s="65">
        <f t="shared" si="12"/>
        <v>0</v>
      </c>
      <c r="P90" s="66">
        <f t="shared" si="13"/>
        <v>0</v>
      </c>
      <c r="Q90" s="60">
        <f t="shared" si="14"/>
        <v>528084</v>
      </c>
      <c r="R90" s="79"/>
      <c r="S90" s="80" t="s">
        <v>270</v>
      </c>
      <c r="U90" s="81"/>
    </row>
    <row r="91" spans="1:21" s="6" customFormat="1" ht="35.700000000000003" customHeight="1">
      <c r="A91" s="32">
        <v>77</v>
      </c>
      <c r="B91" s="40"/>
      <c r="C91" s="40"/>
      <c r="D91" s="34"/>
      <c r="E91" s="35" t="str">
        <f>'Tên Tháng 1'!E80</f>
        <v>សុត តក់</v>
      </c>
      <c r="F91" s="36" t="str">
        <f>'Tên Tháng 1'!F80</f>
        <v>SOT TORK</v>
      </c>
      <c r="G91" s="37">
        <v>166</v>
      </c>
      <c r="H91" s="38">
        <v>31947</v>
      </c>
      <c r="I91" s="59">
        <f>'KL 1'!X92</f>
        <v>17.18</v>
      </c>
      <c r="J91" s="60">
        <f t="shared" si="9"/>
        <v>548849</v>
      </c>
      <c r="K91" s="61"/>
      <c r="L91" s="62"/>
      <c r="M91" s="63">
        <f t="shared" si="10"/>
        <v>548849</v>
      </c>
      <c r="N91" s="64">
        <f t="shared" si="11"/>
        <v>0</v>
      </c>
      <c r="O91" s="65">
        <f t="shared" si="12"/>
        <v>0</v>
      </c>
      <c r="P91" s="66">
        <f t="shared" si="13"/>
        <v>0</v>
      </c>
      <c r="Q91" s="60">
        <f t="shared" si="14"/>
        <v>548849</v>
      </c>
      <c r="R91" s="79"/>
      <c r="S91" s="80" t="s">
        <v>270</v>
      </c>
      <c r="U91" s="81"/>
    </row>
    <row r="92" spans="1:21" s="6" customFormat="1" ht="35.700000000000003" customHeight="1">
      <c r="A92" s="32">
        <v>78</v>
      </c>
      <c r="B92" s="40"/>
      <c r="C92" s="40"/>
      <c r="D92" s="34"/>
      <c r="E92" s="35" t="str">
        <f>'Tên Tháng 1'!E81</f>
        <v>បាន ល្អិត</v>
      </c>
      <c r="F92" s="36" t="str">
        <f>'Tên Tháng 1'!F81</f>
        <v>BAN LOITH</v>
      </c>
      <c r="G92" s="37">
        <v>167</v>
      </c>
      <c r="H92" s="38">
        <v>31947</v>
      </c>
      <c r="I92" s="59">
        <f>'KL 1'!X93</f>
        <v>18.41</v>
      </c>
      <c r="J92" s="60">
        <f t="shared" si="9"/>
        <v>588144</v>
      </c>
      <c r="K92" s="61"/>
      <c r="L92" s="62"/>
      <c r="M92" s="63">
        <f t="shared" si="10"/>
        <v>588144</v>
      </c>
      <c r="N92" s="64">
        <f t="shared" si="11"/>
        <v>0</v>
      </c>
      <c r="O92" s="65">
        <f t="shared" si="12"/>
        <v>0</v>
      </c>
      <c r="P92" s="66">
        <f t="shared" si="13"/>
        <v>0</v>
      </c>
      <c r="Q92" s="60">
        <f t="shared" si="14"/>
        <v>588144</v>
      </c>
      <c r="R92" s="79"/>
      <c r="S92" s="80" t="s">
        <v>270</v>
      </c>
      <c r="U92" s="81"/>
    </row>
    <row r="93" spans="1:21" s="6" customFormat="1" ht="35.700000000000003" customHeight="1">
      <c r="A93" s="32">
        <v>79</v>
      </c>
      <c r="B93" s="40"/>
      <c r="C93" s="40"/>
      <c r="D93" s="34"/>
      <c r="E93" s="35" t="str">
        <f>'Tên Tháng 1'!E82</f>
        <v>ដា វ៉ាន់ណា</v>
      </c>
      <c r="F93" s="36" t="str">
        <f>'Tên Tháng 1'!F82</f>
        <v>DA VANNA</v>
      </c>
      <c r="G93" s="37">
        <v>168</v>
      </c>
      <c r="H93" s="38">
        <v>31947</v>
      </c>
      <c r="I93" s="59">
        <f>'KL 1'!X94</f>
        <v>17.77</v>
      </c>
      <c r="J93" s="60">
        <f t="shared" si="9"/>
        <v>567698</v>
      </c>
      <c r="K93" s="61"/>
      <c r="L93" s="62"/>
      <c r="M93" s="63">
        <f t="shared" si="10"/>
        <v>567698</v>
      </c>
      <c r="N93" s="64">
        <f t="shared" si="11"/>
        <v>0</v>
      </c>
      <c r="O93" s="65">
        <f t="shared" si="12"/>
        <v>0</v>
      </c>
      <c r="P93" s="66">
        <f t="shared" si="13"/>
        <v>0</v>
      </c>
      <c r="Q93" s="60">
        <f t="shared" si="14"/>
        <v>567698</v>
      </c>
      <c r="R93" s="79"/>
      <c r="S93" s="80" t="s">
        <v>270</v>
      </c>
      <c r="U93" s="81"/>
    </row>
    <row r="94" spans="1:21" s="6" customFormat="1" ht="35.700000000000003" customHeight="1">
      <c r="A94" s="32">
        <v>80</v>
      </c>
      <c r="B94" s="40"/>
      <c r="C94" s="40"/>
      <c r="D94" s="34"/>
      <c r="E94" s="35" t="str">
        <f>'Tên Tháng 1'!E83</f>
        <v>ទៀន ចែម</v>
      </c>
      <c r="F94" s="36" t="str">
        <f>'Tên Tháng 1'!F83</f>
        <v>TEAN CHEM</v>
      </c>
      <c r="G94" s="37">
        <v>169</v>
      </c>
      <c r="H94" s="38">
        <v>31947</v>
      </c>
      <c r="I94" s="59">
        <f>'KL 1'!X95</f>
        <v>18.25</v>
      </c>
      <c r="J94" s="60">
        <f t="shared" si="9"/>
        <v>583033</v>
      </c>
      <c r="K94" s="61"/>
      <c r="L94" s="62"/>
      <c r="M94" s="63">
        <f t="shared" si="10"/>
        <v>583033</v>
      </c>
      <c r="N94" s="64">
        <f t="shared" si="11"/>
        <v>0</v>
      </c>
      <c r="O94" s="65">
        <f t="shared" si="12"/>
        <v>0</v>
      </c>
      <c r="P94" s="66">
        <f t="shared" si="13"/>
        <v>0</v>
      </c>
      <c r="Q94" s="60">
        <f t="shared" si="14"/>
        <v>583033</v>
      </c>
      <c r="R94" s="79"/>
      <c r="S94" s="80" t="s">
        <v>270</v>
      </c>
      <c r="U94" s="81"/>
    </row>
    <row r="95" spans="1:21" s="6" customFormat="1" ht="35.700000000000003" customHeight="1">
      <c r="A95" s="32">
        <v>81</v>
      </c>
      <c r="B95" s="40"/>
      <c r="C95" s="40"/>
      <c r="D95" s="34"/>
      <c r="E95" s="35" t="str">
        <f>'Tên Tháng 1'!E84</f>
        <v>លី ឡាត់</v>
      </c>
      <c r="F95" s="36" t="str">
        <f>'Tên Tháng 1'!F84</f>
        <v>LY LAYH</v>
      </c>
      <c r="G95" s="37">
        <v>170</v>
      </c>
      <c r="H95" s="38">
        <v>31947</v>
      </c>
      <c r="I95" s="59">
        <f>'KL 1'!X96</f>
        <v>17.73</v>
      </c>
      <c r="J95" s="60">
        <f t="shared" si="9"/>
        <v>566420</v>
      </c>
      <c r="K95" s="61"/>
      <c r="L95" s="62"/>
      <c r="M95" s="63">
        <f t="shared" si="10"/>
        <v>566420</v>
      </c>
      <c r="N95" s="64">
        <f t="shared" si="11"/>
        <v>0</v>
      </c>
      <c r="O95" s="65">
        <f t="shared" si="12"/>
        <v>0</v>
      </c>
      <c r="P95" s="66">
        <f t="shared" si="13"/>
        <v>0</v>
      </c>
      <c r="Q95" s="60">
        <f t="shared" si="14"/>
        <v>566420</v>
      </c>
      <c r="R95" s="79"/>
      <c r="S95" s="80" t="s">
        <v>270</v>
      </c>
      <c r="U95" s="81"/>
    </row>
    <row r="96" spans="1:21" s="6" customFormat="1" ht="35.700000000000003" customHeight="1">
      <c r="A96" s="32">
        <v>82</v>
      </c>
      <c r="B96" s="40"/>
      <c r="C96" s="40"/>
      <c r="D96" s="34"/>
      <c r="E96" s="35" t="str">
        <f>'Tên Tháng 1'!E85</f>
        <v>ទូច ណាង</v>
      </c>
      <c r="F96" s="36" t="str">
        <f>'Tên Tháng 1'!F85</f>
        <v>TOUCH NANG</v>
      </c>
      <c r="G96" s="37">
        <v>171</v>
      </c>
      <c r="H96" s="38">
        <v>31947</v>
      </c>
      <c r="I96" s="59">
        <f>'KL 1'!X97</f>
        <v>17.049999999999997</v>
      </c>
      <c r="J96" s="60">
        <f t="shared" si="9"/>
        <v>544696</v>
      </c>
      <c r="K96" s="61"/>
      <c r="L96" s="62"/>
      <c r="M96" s="63">
        <f t="shared" si="10"/>
        <v>544696</v>
      </c>
      <c r="N96" s="64">
        <f t="shared" si="11"/>
        <v>0</v>
      </c>
      <c r="O96" s="65">
        <f t="shared" si="12"/>
        <v>0</v>
      </c>
      <c r="P96" s="66">
        <f t="shared" si="13"/>
        <v>0</v>
      </c>
      <c r="Q96" s="60">
        <f t="shared" si="14"/>
        <v>544696</v>
      </c>
      <c r="R96" s="79"/>
      <c r="S96" s="80" t="s">
        <v>270</v>
      </c>
      <c r="U96" s="81"/>
    </row>
    <row r="97" spans="1:21" s="6" customFormat="1" ht="37.950000000000003" customHeight="1">
      <c r="A97" s="32">
        <v>83</v>
      </c>
      <c r="B97" s="40"/>
      <c r="C97" s="40"/>
      <c r="D97" s="34"/>
      <c r="E97" s="35" t="str">
        <f>'Tên Tháng 1'!E86</f>
        <v>មាំង ម៉ែន</v>
      </c>
      <c r="F97" s="36" t="str">
        <f>'Tên Tháng 1'!F86</f>
        <v>MANG MAN</v>
      </c>
      <c r="G97" s="37">
        <v>172</v>
      </c>
      <c r="H97" s="38">
        <v>31947</v>
      </c>
      <c r="I97" s="59">
        <f>'KL 1'!X98</f>
        <v>13.579999999999998</v>
      </c>
      <c r="J97" s="60">
        <f t="shared" si="9"/>
        <v>433840</v>
      </c>
      <c r="K97" s="61"/>
      <c r="L97" s="62"/>
      <c r="M97" s="63">
        <f t="shared" si="10"/>
        <v>433840</v>
      </c>
      <c r="N97" s="64">
        <f t="shared" si="11"/>
        <v>0</v>
      </c>
      <c r="O97" s="65">
        <f t="shared" si="12"/>
        <v>0</v>
      </c>
      <c r="P97" s="66">
        <f t="shared" si="13"/>
        <v>0</v>
      </c>
      <c r="Q97" s="60">
        <f t="shared" si="14"/>
        <v>433840</v>
      </c>
      <c r="R97" s="79"/>
      <c r="S97" s="80" t="s">
        <v>270</v>
      </c>
      <c r="U97" s="81"/>
    </row>
    <row r="98" spans="1:21" s="6" customFormat="1" ht="35.700000000000003" customHeight="1">
      <c r="A98" s="32">
        <v>84</v>
      </c>
      <c r="B98" s="40"/>
      <c r="C98" s="40"/>
      <c r="D98" s="34"/>
      <c r="E98" s="35" t="str">
        <f>'Tên Tháng 1'!E87</f>
        <v>សាត សុខណេង</v>
      </c>
      <c r="F98" s="36" t="str">
        <f>'Tên Tháng 1'!F87</f>
        <v>SAT SOKNENG</v>
      </c>
      <c r="G98" s="37">
        <v>173</v>
      </c>
      <c r="H98" s="38">
        <v>31947</v>
      </c>
      <c r="I98" s="59">
        <f>'KL 1'!X99</f>
        <v>13.909999999999998</v>
      </c>
      <c r="J98" s="60">
        <f t="shared" si="9"/>
        <v>444383</v>
      </c>
      <c r="K98" s="61"/>
      <c r="L98" s="62"/>
      <c r="M98" s="63">
        <f t="shared" si="10"/>
        <v>444383</v>
      </c>
      <c r="N98" s="64">
        <f t="shared" si="11"/>
        <v>0</v>
      </c>
      <c r="O98" s="65">
        <f t="shared" si="12"/>
        <v>0</v>
      </c>
      <c r="P98" s="66">
        <f t="shared" si="13"/>
        <v>0</v>
      </c>
      <c r="Q98" s="60">
        <f t="shared" si="14"/>
        <v>444383</v>
      </c>
      <c r="R98" s="79"/>
      <c r="S98" s="80" t="s">
        <v>270</v>
      </c>
      <c r="U98" s="81"/>
    </row>
    <row r="99" spans="1:21" s="6" customFormat="1" ht="35.700000000000003" customHeight="1">
      <c r="A99" s="32">
        <v>85</v>
      </c>
      <c r="B99" s="40"/>
      <c r="C99" s="40"/>
      <c r="D99" s="34"/>
      <c r="E99" s="35" t="str">
        <f>'Tên Tháng 1'!E88</f>
        <v>ស៊ុយ ចាន់នី</v>
      </c>
      <c r="F99" s="36" t="str">
        <f>'Tên Tháng 1'!F88</f>
        <v>SUY CHANNY</v>
      </c>
      <c r="G99" s="37">
        <v>174</v>
      </c>
      <c r="H99" s="38">
        <v>31947</v>
      </c>
      <c r="I99" s="59">
        <f>'KL 1'!X100</f>
        <v>12.25</v>
      </c>
      <c r="J99" s="60">
        <f t="shared" si="9"/>
        <v>391351</v>
      </c>
      <c r="K99" s="61"/>
      <c r="L99" s="62"/>
      <c r="M99" s="63">
        <f t="shared" si="10"/>
        <v>391351</v>
      </c>
      <c r="N99" s="64">
        <f t="shared" si="11"/>
        <v>0</v>
      </c>
      <c r="O99" s="65">
        <f t="shared" si="12"/>
        <v>0</v>
      </c>
      <c r="P99" s="66">
        <f t="shared" si="13"/>
        <v>0</v>
      </c>
      <c r="Q99" s="60">
        <f t="shared" si="14"/>
        <v>391351</v>
      </c>
      <c r="R99" s="79"/>
      <c r="S99" s="80" t="s">
        <v>270</v>
      </c>
      <c r="U99" s="81"/>
    </row>
    <row r="100" spans="1:21" s="6" customFormat="1" ht="43.95" customHeight="1">
      <c r="A100" s="32">
        <v>86</v>
      </c>
      <c r="B100" s="40"/>
      <c r="C100" s="40"/>
      <c r="D100" s="34"/>
      <c r="E100" s="35" t="str">
        <f>'Tên Tháng 1'!E89</f>
        <v>ហង់ ហើយ</v>
      </c>
      <c r="F100" s="36" t="str">
        <f>'Tên Tháng 1'!F89</f>
        <v>HANG HAEUY</v>
      </c>
      <c r="G100" s="37">
        <v>175</v>
      </c>
      <c r="H100" s="38">
        <v>31947</v>
      </c>
      <c r="I100" s="59">
        <f>'KL 1'!X101</f>
        <v>14.409999999999998</v>
      </c>
      <c r="J100" s="60">
        <f t="shared" si="9"/>
        <v>460356</v>
      </c>
      <c r="K100" s="61"/>
      <c r="L100" s="62"/>
      <c r="M100" s="63">
        <f t="shared" si="10"/>
        <v>460356</v>
      </c>
      <c r="N100" s="64">
        <f t="shared" si="11"/>
        <v>0</v>
      </c>
      <c r="O100" s="65">
        <f t="shared" si="12"/>
        <v>0</v>
      </c>
      <c r="P100" s="66">
        <f t="shared" si="13"/>
        <v>0</v>
      </c>
      <c r="Q100" s="60">
        <f t="shared" si="14"/>
        <v>460356</v>
      </c>
      <c r="R100" s="79"/>
      <c r="S100" s="80" t="s">
        <v>270</v>
      </c>
      <c r="U100" s="81"/>
    </row>
    <row r="101" spans="1:21" s="6" customFormat="1" ht="34.950000000000003" customHeight="1">
      <c r="A101" s="32">
        <v>87</v>
      </c>
      <c r="B101" s="40"/>
      <c r="C101" s="40"/>
      <c r="D101" s="34"/>
      <c r="E101" s="35" t="str">
        <f>'Tên Tháng 1'!E90</f>
        <v>ឡៃ គុណ</v>
      </c>
      <c r="F101" s="36" t="str">
        <f>'Tên Tháng 1'!F90</f>
        <v>LAY KUN</v>
      </c>
      <c r="G101" s="37">
        <v>176</v>
      </c>
      <c r="H101" s="38">
        <v>31947</v>
      </c>
      <c r="I101" s="59">
        <f>'KL 1'!X102</f>
        <v>17.59</v>
      </c>
      <c r="J101" s="60">
        <f t="shared" si="9"/>
        <v>561948</v>
      </c>
      <c r="K101" s="61"/>
      <c r="L101" s="62"/>
      <c r="M101" s="63">
        <f t="shared" si="10"/>
        <v>561948</v>
      </c>
      <c r="N101" s="64">
        <f t="shared" si="11"/>
        <v>0</v>
      </c>
      <c r="O101" s="65">
        <f t="shared" si="12"/>
        <v>0</v>
      </c>
      <c r="P101" s="66">
        <f t="shared" si="13"/>
        <v>0</v>
      </c>
      <c r="Q101" s="60">
        <f t="shared" si="14"/>
        <v>561948</v>
      </c>
      <c r="R101" s="79"/>
      <c r="S101" s="80" t="s">
        <v>270</v>
      </c>
      <c r="U101" s="81"/>
    </row>
    <row r="102" spans="1:21" s="6" customFormat="1" ht="34.950000000000003" customHeight="1">
      <c r="A102" s="32">
        <v>88</v>
      </c>
      <c r="B102" s="40"/>
      <c r="C102" s="40"/>
      <c r="D102" s="34"/>
      <c r="E102" s="35" t="str">
        <f>'Tên Tháng 1'!E91</f>
        <v>ភា ស្រីភិច</v>
      </c>
      <c r="F102" s="36" t="str">
        <f>'Tên Tháng 1'!F91</f>
        <v>PHEA SREYPHICH</v>
      </c>
      <c r="G102" s="37">
        <v>177</v>
      </c>
      <c r="H102" s="38">
        <v>31947</v>
      </c>
      <c r="I102" s="59">
        <f>'KL 1'!X103</f>
        <v>16.37</v>
      </c>
      <c r="J102" s="60">
        <f t="shared" si="9"/>
        <v>522972</v>
      </c>
      <c r="K102" s="61"/>
      <c r="L102" s="62"/>
      <c r="M102" s="63">
        <f t="shared" si="10"/>
        <v>522972</v>
      </c>
      <c r="N102" s="64">
        <f t="shared" si="11"/>
        <v>0</v>
      </c>
      <c r="O102" s="65">
        <f t="shared" si="12"/>
        <v>0</v>
      </c>
      <c r="P102" s="66">
        <f t="shared" si="13"/>
        <v>0</v>
      </c>
      <c r="Q102" s="60">
        <f t="shared" si="14"/>
        <v>522972</v>
      </c>
      <c r="R102" s="79"/>
      <c r="S102" s="80" t="s">
        <v>270</v>
      </c>
      <c r="U102" s="81"/>
    </row>
    <row r="103" spans="1:21" s="6" customFormat="1" ht="34.950000000000003" customHeight="1">
      <c r="A103" s="32">
        <v>89</v>
      </c>
      <c r="B103" s="40"/>
      <c r="C103" s="40"/>
      <c r="D103" s="34"/>
      <c r="E103" s="35" t="str">
        <f>'Tên Tháng 1'!E92</f>
        <v>ពិន ចាន់ណា</v>
      </c>
      <c r="F103" s="36" t="str">
        <f>'Tên Tháng 1'!F92</f>
        <v>PIN CHANNA</v>
      </c>
      <c r="G103" s="37">
        <v>178</v>
      </c>
      <c r="H103" s="38">
        <v>31947</v>
      </c>
      <c r="I103" s="59">
        <f>'KL 1'!X104</f>
        <v>17.689999999999998</v>
      </c>
      <c r="J103" s="60">
        <f t="shared" si="9"/>
        <v>565142</v>
      </c>
      <c r="K103" s="61"/>
      <c r="L103" s="62"/>
      <c r="M103" s="63">
        <f t="shared" si="10"/>
        <v>565142</v>
      </c>
      <c r="N103" s="64">
        <f t="shared" si="11"/>
        <v>0</v>
      </c>
      <c r="O103" s="65">
        <f t="shared" si="12"/>
        <v>0</v>
      </c>
      <c r="P103" s="66">
        <f t="shared" si="13"/>
        <v>0</v>
      </c>
      <c r="Q103" s="60">
        <f t="shared" si="14"/>
        <v>565142</v>
      </c>
      <c r="R103" s="79"/>
      <c r="S103" s="80" t="s">
        <v>270</v>
      </c>
      <c r="U103" s="81"/>
    </row>
    <row r="104" spans="1:21" s="6" customFormat="1" ht="34.950000000000003" customHeight="1">
      <c r="A104" s="32">
        <v>90</v>
      </c>
      <c r="B104" s="40"/>
      <c r="C104" s="40"/>
      <c r="D104" s="34"/>
      <c r="E104" s="35" t="str">
        <f>'Tên Tháng 1'!E93</f>
        <v>ប៊ូ បៀន</v>
      </c>
      <c r="F104" s="36" t="str">
        <f>'Tên Tháng 1'!F93</f>
        <v>BO BEAN</v>
      </c>
      <c r="G104" s="37">
        <v>179</v>
      </c>
      <c r="H104" s="38">
        <v>31947</v>
      </c>
      <c r="I104" s="59">
        <f>'KL 1'!X105</f>
        <v>16.29</v>
      </c>
      <c r="J104" s="60">
        <f t="shared" si="9"/>
        <v>520417</v>
      </c>
      <c r="K104" s="61"/>
      <c r="L104" s="62"/>
      <c r="M104" s="63">
        <f t="shared" si="10"/>
        <v>520417</v>
      </c>
      <c r="N104" s="64">
        <f t="shared" si="11"/>
        <v>0</v>
      </c>
      <c r="O104" s="65">
        <f t="shared" si="12"/>
        <v>0</v>
      </c>
      <c r="P104" s="66">
        <f t="shared" si="13"/>
        <v>0</v>
      </c>
      <c r="Q104" s="60">
        <f t="shared" si="14"/>
        <v>520417</v>
      </c>
      <c r="R104" s="79"/>
      <c r="S104" s="80" t="s">
        <v>270</v>
      </c>
      <c r="U104" s="81"/>
    </row>
    <row r="105" spans="1:21" s="6" customFormat="1" ht="34.950000000000003" customHeight="1">
      <c r="A105" s="32">
        <v>91</v>
      </c>
      <c r="B105" s="40"/>
      <c r="C105" s="40"/>
      <c r="D105" s="34"/>
      <c r="E105" s="35" t="str">
        <f>'Tên Tháng 1'!E94</f>
        <v>មឿន ម៉ាក់</v>
      </c>
      <c r="F105" s="36" t="str">
        <f>'Tên Tháng 1'!F94</f>
        <v>MOEUN MAK</v>
      </c>
      <c r="G105" s="37">
        <v>180</v>
      </c>
      <c r="H105" s="38">
        <v>31947</v>
      </c>
      <c r="I105" s="59">
        <f>'KL 1'!X106</f>
        <v>17.47</v>
      </c>
      <c r="J105" s="60">
        <f t="shared" si="9"/>
        <v>558114</v>
      </c>
      <c r="K105" s="61"/>
      <c r="L105" s="62"/>
      <c r="M105" s="63">
        <f t="shared" si="10"/>
        <v>558114</v>
      </c>
      <c r="N105" s="64">
        <f t="shared" si="11"/>
        <v>0</v>
      </c>
      <c r="O105" s="65">
        <f t="shared" si="12"/>
        <v>0</v>
      </c>
      <c r="P105" s="66">
        <f t="shared" si="13"/>
        <v>0</v>
      </c>
      <c r="Q105" s="60">
        <f t="shared" si="14"/>
        <v>558114</v>
      </c>
      <c r="R105" s="79"/>
      <c r="S105" s="80" t="s">
        <v>270</v>
      </c>
      <c r="U105" s="81"/>
    </row>
    <row r="106" spans="1:21" s="6" customFormat="1" ht="34.950000000000003" customHeight="1">
      <c r="A106" s="32">
        <v>92</v>
      </c>
      <c r="B106" s="40"/>
      <c r="C106" s="40"/>
      <c r="D106" s="34"/>
      <c r="E106" s="35" t="str">
        <f>'Tên Tháng 1'!E95</f>
        <v>ស សឿ</v>
      </c>
      <c r="F106" s="36" t="str">
        <f>'Tên Tháng 1'!F95</f>
        <v>SOR SOEU</v>
      </c>
      <c r="G106" s="37">
        <v>181</v>
      </c>
      <c r="H106" s="38">
        <v>31947</v>
      </c>
      <c r="I106" s="59">
        <f>'KL 1'!X107</f>
        <v>16.190000000000001</v>
      </c>
      <c r="J106" s="60">
        <f t="shared" si="9"/>
        <v>517222</v>
      </c>
      <c r="K106" s="61"/>
      <c r="L106" s="62"/>
      <c r="M106" s="63">
        <f t="shared" si="10"/>
        <v>517222</v>
      </c>
      <c r="N106" s="64">
        <f t="shared" si="11"/>
        <v>0</v>
      </c>
      <c r="O106" s="65">
        <f t="shared" si="12"/>
        <v>0</v>
      </c>
      <c r="P106" s="66">
        <f t="shared" si="13"/>
        <v>0</v>
      </c>
      <c r="Q106" s="60">
        <f t="shared" si="14"/>
        <v>517222</v>
      </c>
      <c r="R106" s="79"/>
      <c r="S106" s="80" t="s">
        <v>270</v>
      </c>
      <c r="U106" s="81"/>
    </row>
    <row r="107" spans="1:21" s="6" customFormat="1" ht="34.950000000000003" customHeight="1">
      <c r="A107" s="32">
        <v>93</v>
      </c>
      <c r="B107" s="40"/>
      <c r="C107" s="40"/>
      <c r="D107" s="34"/>
      <c r="E107" s="35" t="str">
        <f>'Tên Tháng 1'!E96</f>
        <v>ស៊ន សី</v>
      </c>
      <c r="F107" s="36" t="str">
        <f>'Tên Tháng 1'!F96</f>
        <v>SORN SEY</v>
      </c>
      <c r="G107" s="37">
        <v>182</v>
      </c>
      <c r="H107" s="38">
        <v>31947</v>
      </c>
      <c r="I107" s="59">
        <f>'KL 1'!X108</f>
        <v>18.119999999999997</v>
      </c>
      <c r="J107" s="60">
        <f t="shared" si="9"/>
        <v>578880</v>
      </c>
      <c r="K107" s="61"/>
      <c r="L107" s="62"/>
      <c r="M107" s="63">
        <f t="shared" si="10"/>
        <v>578880</v>
      </c>
      <c r="N107" s="64">
        <f t="shared" si="11"/>
        <v>0</v>
      </c>
      <c r="O107" s="65">
        <f t="shared" si="12"/>
        <v>0</v>
      </c>
      <c r="P107" s="66">
        <f t="shared" si="13"/>
        <v>0</v>
      </c>
      <c r="Q107" s="60">
        <f t="shared" si="14"/>
        <v>578880</v>
      </c>
      <c r="R107" s="79"/>
      <c r="S107" s="80" t="s">
        <v>270</v>
      </c>
      <c r="U107" s="81"/>
    </row>
    <row r="108" spans="1:21" s="6" customFormat="1" ht="34.950000000000003" customHeight="1">
      <c r="A108" s="32">
        <v>94</v>
      </c>
      <c r="B108" s="40"/>
      <c r="C108" s="40"/>
      <c r="D108" s="34"/>
      <c r="E108" s="35" t="str">
        <f>'Tên Tháng 1'!E97</f>
        <v>ឡុន លាង</v>
      </c>
      <c r="F108" s="36" t="str">
        <f>'Tên Tháng 1'!F97</f>
        <v>LAUN LENG</v>
      </c>
      <c r="G108" s="37">
        <v>183</v>
      </c>
      <c r="H108" s="38">
        <v>31947</v>
      </c>
      <c r="I108" s="59">
        <f>'KL 1'!X109</f>
        <v>16.68</v>
      </c>
      <c r="J108" s="60">
        <f t="shared" si="9"/>
        <v>532876</v>
      </c>
      <c r="K108" s="61"/>
      <c r="L108" s="62"/>
      <c r="M108" s="63">
        <f t="shared" si="10"/>
        <v>532876</v>
      </c>
      <c r="N108" s="64">
        <f t="shared" si="11"/>
        <v>0</v>
      </c>
      <c r="O108" s="65">
        <f t="shared" si="12"/>
        <v>0</v>
      </c>
      <c r="P108" s="66">
        <f t="shared" si="13"/>
        <v>0</v>
      </c>
      <c r="Q108" s="60">
        <f t="shared" si="14"/>
        <v>532876</v>
      </c>
      <c r="R108" s="79"/>
      <c r="S108" s="80" t="s">
        <v>270</v>
      </c>
      <c r="U108" s="81"/>
    </row>
    <row r="109" spans="1:21" s="6" customFormat="1" ht="34.950000000000003" customHeight="1">
      <c r="A109" s="32">
        <v>95</v>
      </c>
      <c r="B109" s="40"/>
      <c r="C109" s="40"/>
      <c r="D109" s="34"/>
      <c r="E109" s="35" t="str">
        <f>'Tên Tháng 1'!E98</f>
        <v>ស៊ាន ពិន</v>
      </c>
      <c r="F109" s="36" t="str">
        <f>'Tên Tháng 1'!F98</f>
        <v>SEAN PIN</v>
      </c>
      <c r="G109" s="37">
        <v>184</v>
      </c>
      <c r="H109" s="38">
        <v>31947</v>
      </c>
      <c r="I109" s="59">
        <f>'KL 1'!X110</f>
        <v>14.819999999999999</v>
      </c>
      <c r="J109" s="60">
        <f t="shared" si="9"/>
        <v>473455</v>
      </c>
      <c r="K109" s="61"/>
      <c r="L109" s="62"/>
      <c r="M109" s="63">
        <f t="shared" si="10"/>
        <v>473455</v>
      </c>
      <c r="N109" s="64">
        <f t="shared" si="11"/>
        <v>0</v>
      </c>
      <c r="O109" s="65">
        <f t="shared" si="12"/>
        <v>0</v>
      </c>
      <c r="P109" s="66">
        <f t="shared" si="13"/>
        <v>0</v>
      </c>
      <c r="Q109" s="60">
        <f t="shared" si="14"/>
        <v>473455</v>
      </c>
      <c r="R109" s="79"/>
      <c r="S109" s="80" t="s">
        <v>270</v>
      </c>
      <c r="U109" s="81"/>
    </row>
    <row r="110" spans="1:21" s="6" customFormat="1" ht="34.950000000000003" customHeight="1">
      <c r="A110" s="32">
        <v>96</v>
      </c>
      <c r="B110" s="40"/>
      <c r="C110" s="40"/>
      <c r="D110" s="34"/>
      <c r="E110" s="35" t="str">
        <f>'Tên Tháng 1'!E99</f>
        <v>ប៊ូ ផៃ</v>
      </c>
      <c r="F110" s="36" t="str">
        <f>'Tên Tháng 1'!F99</f>
        <v>BOU PHAY</v>
      </c>
      <c r="G110" s="37">
        <v>185</v>
      </c>
      <c r="H110" s="38">
        <v>31947</v>
      </c>
      <c r="I110" s="59">
        <f>'KL 1'!X111</f>
        <v>14.709999999999999</v>
      </c>
      <c r="J110" s="60">
        <f t="shared" si="9"/>
        <v>469940</v>
      </c>
      <c r="K110" s="61"/>
      <c r="L110" s="62"/>
      <c r="M110" s="63">
        <f t="shared" si="10"/>
        <v>469940</v>
      </c>
      <c r="N110" s="64">
        <f t="shared" si="11"/>
        <v>0</v>
      </c>
      <c r="O110" s="65">
        <f t="shared" si="12"/>
        <v>0</v>
      </c>
      <c r="P110" s="66">
        <f t="shared" si="13"/>
        <v>0</v>
      </c>
      <c r="Q110" s="60">
        <f t="shared" si="14"/>
        <v>469940</v>
      </c>
      <c r="R110" s="79"/>
      <c r="S110" s="80" t="s">
        <v>270</v>
      </c>
      <c r="U110" s="81"/>
    </row>
    <row r="111" spans="1:21" s="6" customFormat="1" ht="34.950000000000003" customHeight="1">
      <c r="A111" s="32">
        <v>97</v>
      </c>
      <c r="B111" s="40"/>
      <c r="C111" s="40"/>
      <c r="D111" s="34"/>
      <c r="E111" s="35" t="str">
        <f>'Tên Tháng 1'!E100</f>
        <v>ហួន​ ហ៊ាន</v>
      </c>
      <c r="F111" s="36" t="str">
        <f>'Tên Tháng 1'!F100</f>
        <v>HOURN HEAN</v>
      </c>
      <c r="G111" s="37">
        <v>186</v>
      </c>
      <c r="H111" s="38">
        <v>31947</v>
      </c>
      <c r="I111" s="59">
        <f>'KL 1'!X112</f>
        <v>18.820000000000004</v>
      </c>
      <c r="J111" s="60">
        <f t="shared" si="9"/>
        <v>601243</v>
      </c>
      <c r="K111" s="61"/>
      <c r="L111" s="62"/>
      <c r="M111" s="63">
        <f t="shared" si="10"/>
        <v>601243</v>
      </c>
      <c r="N111" s="64">
        <f t="shared" si="11"/>
        <v>0</v>
      </c>
      <c r="O111" s="65">
        <f t="shared" si="12"/>
        <v>0</v>
      </c>
      <c r="P111" s="66">
        <f t="shared" si="13"/>
        <v>0</v>
      </c>
      <c r="Q111" s="60">
        <f t="shared" si="14"/>
        <v>601243</v>
      </c>
      <c r="R111" s="79"/>
      <c r="S111" s="80" t="s">
        <v>270</v>
      </c>
      <c r="U111" s="81"/>
    </row>
    <row r="112" spans="1:21" s="6" customFormat="1" ht="34.950000000000003" customHeight="1">
      <c r="A112" s="32">
        <v>98</v>
      </c>
      <c r="B112" s="40"/>
      <c r="C112" s="40"/>
      <c r="D112" s="34"/>
      <c r="E112" s="35" t="str">
        <f>'Tên Tháng 1'!E101</f>
        <v>ហ៊ាន តុលា</v>
      </c>
      <c r="F112" s="36" t="str">
        <f>'Tên Tháng 1'!F101</f>
        <v>HAN TOLA</v>
      </c>
      <c r="G112" s="37">
        <v>187</v>
      </c>
      <c r="H112" s="38">
        <v>31947</v>
      </c>
      <c r="I112" s="59">
        <f>'KL 1'!X113</f>
        <v>18.040000000000003</v>
      </c>
      <c r="J112" s="60">
        <f t="shared" si="9"/>
        <v>576324</v>
      </c>
      <c r="K112" s="61"/>
      <c r="L112" s="62"/>
      <c r="M112" s="63">
        <f t="shared" si="10"/>
        <v>576324</v>
      </c>
      <c r="N112" s="64">
        <f t="shared" si="11"/>
        <v>0</v>
      </c>
      <c r="O112" s="65">
        <f t="shared" si="12"/>
        <v>0</v>
      </c>
      <c r="P112" s="66">
        <f t="shared" si="13"/>
        <v>0</v>
      </c>
      <c r="Q112" s="60">
        <f t="shared" si="14"/>
        <v>576324</v>
      </c>
      <c r="R112" s="79"/>
      <c r="S112" s="80" t="s">
        <v>270</v>
      </c>
      <c r="U112" s="81"/>
    </row>
    <row r="113" spans="1:21" s="6" customFormat="1" ht="34.950000000000003" customHeight="1">
      <c r="A113" s="32">
        <v>99</v>
      </c>
      <c r="B113" s="40"/>
      <c r="C113" s="40"/>
      <c r="D113" s="34"/>
      <c r="E113" s="35" t="str">
        <f>'Tên Tháng 1'!E102</f>
        <v>ទេព មឿន</v>
      </c>
      <c r="F113" s="36" t="str">
        <f>'Tên Tháng 1'!F102</f>
        <v>TEP MOEUN</v>
      </c>
      <c r="G113" s="37">
        <v>188</v>
      </c>
      <c r="H113" s="38">
        <v>31947</v>
      </c>
      <c r="I113" s="59">
        <f>'KL 1'!X114</f>
        <v>16.740000000000002</v>
      </c>
      <c r="J113" s="60">
        <f t="shared" si="9"/>
        <v>534793</v>
      </c>
      <c r="K113" s="61"/>
      <c r="L113" s="62"/>
      <c r="M113" s="63">
        <f t="shared" si="10"/>
        <v>534793</v>
      </c>
      <c r="N113" s="64">
        <f t="shared" si="11"/>
        <v>0</v>
      </c>
      <c r="O113" s="65">
        <f t="shared" si="12"/>
        <v>0</v>
      </c>
      <c r="P113" s="66">
        <f t="shared" si="13"/>
        <v>0</v>
      </c>
      <c r="Q113" s="60">
        <f t="shared" si="14"/>
        <v>534793</v>
      </c>
      <c r="R113" s="79"/>
      <c r="S113" s="80" t="s">
        <v>270</v>
      </c>
      <c r="U113" s="81"/>
    </row>
    <row r="114" spans="1:21" s="6" customFormat="1" ht="34.950000000000003" customHeight="1">
      <c r="A114" s="32">
        <v>100</v>
      </c>
      <c r="B114" s="40"/>
      <c r="C114" s="40"/>
      <c r="D114" s="34"/>
      <c r="E114" s="35" t="str">
        <f>'Tên Tháng 1'!E103</f>
        <v>ប៊ូ បឿន</v>
      </c>
      <c r="F114" s="36" t="str">
        <f>'Tên Tháng 1'!F103</f>
        <v>BOU BOEUN</v>
      </c>
      <c r="G114" s="37">
        <v>189</v>
      </c>
      <c r="H114" s="38">
        <v>31947</v>
      </c>
      <c r="I114" s="59">
        <f>'KL 1'!X115</f>
        <v>14.399999999999999</v>
      </c>
      <c r="J114" s="60">
        <f t="shared" si="9"/>
        <v>460037</v>
      </c>
      <c r="K114" s="61"/>
      <c r="L114" s="62"/>
      <c r="M114" s="63">
        <f t="shared" si="10"/>
        <v>460037</v>
      </c>
      <c r="N114" s="64">
        <f t="shared" si="11"/>
        <v>0</v>
      </c>
      <c r="O114" s="65">
        <f t="shared" si="12"/>
        <v>0</v>
      </c>
      <c r="P114" s="66">
        <f t="shared" si="13"/>
        <v>0</v>
      </c>
      <c r="Q114" s="60">
        <f t="shared" si="14"/>
        <v>460037</v>
      </c>
      <c r="R114" s="79"/>
      <c r="S114" s="80" t="s">
        <v>270</v>
      </c>
      <c r="U114" s="81"/>
    </row>
    <row r="115" spans="1:21" s="6" customFormat="1" ht="34.950000000000003" customHeight="1">
      <c r="A115" s="32">
        <v>101</v>
      </c>
      <c r="B115" s="40"/>
      <c r="C115" s="40"/>
      <c r="D115" s="34"/>
      <c r="E115" s="35" t="str">
        <f>'Tên Tháng 1'!E104</f>
        <v>ញ៉ីវ ហាន</v>
      </c>
      <c r="F115" s="36" t="str">
        <f>'Tên Tháng 1'!F104</f>
        <v>NHIV HAN</v>
      </c>
      <c r="G115" s="37">
        <v>190</v>
      </c>
      <c r="H115" s="38">
        <v>31947</v>
      </c>
      <c r="I115" s="59">
        <f>'KL 1'!X116</f>
        <v>17.200000000000003</v>
      </c>
      <c r="J115" s="60">
        <f t="shared" si="9"/>
        <v>549488</v>
      </c>
      <c r="K115" s="61"/>
      <c r="L115" s="62"/>
      <c r="M115" s="63">
        <f t="shared" si="10"/>
        <v>549488</v>
      </c>
      <c r="N115" s="64">
        <f t="shared" si="11"/>
        <v>0</v>
      </c>
      <c r="O115" s="65">
        <f t="shared" si="12"/>
        <v>0</v>
      </c>
      <c r="P115" s="66">
        <f t="shared" si="13"/>
        <v>0</v>
      </c>
      <c r="Q115" s="60">
        <f t="shared" si="14"/>
        <v>549488</v>
      </c>
      <c r="R115" s="79"/>
      <c r="S115" s="80" t="s">
        <v>270</v>
      </c>
      <c r="U115" s="81"/>
    </row>
    <row r="116" spans="1:21" s="6" customFormat="1" ht="34.950000000000003" customHeight="1">
      <c r="A116" s="32">
        <v>102</v>
      </c>
      <c r="B116" s="40"/>
      <c r="C116" s="40"/>
      <c r="D116" s="34"/>
      <c r="E116" s="35" t="str">
        <f>'Tên Tháng 1'!E105</f>
        <v>ម៉ៅ អ៊ីម</v>
      </c>
      <c r="F116" s="36" t="str">
        <f>'Tên Tháng 1'!F105</f>
        <v>MAO IM</v>
      </c>
      <c r="G116" s="37">
        <v>191</v>
      </c>
      <c r="H116" s="38">
        <v>31947</v>
      </c>
      <c r="I116" s="59">
        <f>'KL 1'!X117</f>
        <v>16.950000000000003</v>
      </c>
      <c r="J116" s="60">
        <f t="shared" si="9"/>
        <v>541502</v>
      </c>
      <c r="K116" s="61"/>
      <c r="L116" s="62"/>
      <c r="M116" s="63">
        <f t="shared" si="10"/>
        <v>541502</v>
      </c>
      <c r="N116" s="64">
        <f t="shared" si="11"/>
        <v>0</v>
      </c>
      <c r="O116" s="65">
        <f t="shared" si="12"/>
        <v>0</v>
      </c>
      <c r="P116" s="66">
        <f t="shared" si="13"/>
        <v>0</v>
      </c>
      <c r="Q116" s="60">
        <f t="shared" si="14"/>
        <v>541502</v>
      </c>
      <c r="R116" s="79"/>
      <c r="S116" s="80" t="s">
        <v>270</v>
      </c>
      <c r="U116" s="81"/>
    </row>
    <row r="117" spans="1:21" s="6" customFormat="1" ht="34.950000000000003" customHeight="1">
      <c r="A117" s="32">
        <v>103</v>
      </c>
      <c r="B117" s="40"/>
      <c r="C117" s="40"/>
      <c r="D117" s="34"/>
      <c r="E117" s="35" t="str">
        <f>'Tên Tháng 1'!E106</f>
        <v>អ៊ុង សុភ័ក្រ</v>
      </c>
      <c r="F117" s="36" t="str">
        <f>'Tên Tháng 1'!F106</f>
        <v>UNG SOPHEAK</v>
      </c>
      <c r="G117" s="37">
        <v>192</v>
      </c>
      <c r="H117" s="38">
        <v>31947</v>
      </c>
      <c r="I117" s="59">
        <f>'KL 1'!X118</f>
        <v>17.250000000000004</v>
      </c>
      <c r="J117" s="60">
        <f t="shared" si="9"/>
        <v>551086</v>
      </c>
      <c r="K117" s="61"/>
      <c r="L117" s="62"/>
      <c r="M117" s="63">
        <f t="shared" si="10"/>
        <v>551086</v>
      </c>
      <c r="N117" s="64">
        <f t="shared" si="11"/>
        <v>0</v>
      </c>
      <c r="O117" s="65">
        <f t="shared" si="12"/>
        <v>0</v>
      </c>
      <c r="P117" s="66">
        <f t="shared" si="13"/>
        <v>0</v>
      </c>
      <c r="Q117" s="60">
        <f t="shared" si="14"/>
        <v>551086</v>
      </c>
      <c r="R117" s="79"/>
      <c r="S117" s="80" t="s">
        <v>270</v>
      </c>
      <c r="U117" s="81"/>
    </row>
    <row r="118" spans="1:21" s="6" customFormat="1" ht="34.950000000000003" customHeight="1">
      <c r="A118" s="32">
        <v>104</v>
      </c>
      <c r="B118" s="40"/>
      <c r="C118" s="40"/>
      <c r="D118" s="34"/>
      <c r="E118" s="35" t="str">
        <f>'Tên Tháng 1'!E107</f>
        <v>លាង ចន្ធី</v>
      </c>
      <c r="F118" s="36" t="str">
        <f>'Tên Tháng 1'!F107</f>
        <v>LEANG CHATHY</v>
      </c>
      <c r="G118" s="37">
        <v>193</v>
      </c>
      <c r="H118" s="38">
        <v>31947</v>
      </c>
      <c r="I118" s="59">
        <f>'KL 1'!X119</f>
        <v>16.96</v>
      </c>
      <c r="J118" s="60">
        <f t="shared" si="9"/>
        <v>541821</v>
      </c>
      <c r="K118" s="61"/>
      <c r="L118" s="62"/>
      <c r="M118" s="63">
        <f t="shared" si="10"/>
        <v>541821</v>
      </c>
      <c r="N118" s="64">
        <f t="shared" si="11"/>
        <v>0</v>
      </c>
      <c r="O118" s="65">
        <f t="shared" si="12"/>
        <v>0</v>
      </c>
      <c r="P118" s="66">
        <f t="shared" si="13"/>
        <v>0</v>
      </c>
      <c r="Q118" s="60">
        <f t="shared" si="14"/>
        <v>541821</v>
      </c>
      <c r="R118" s="79"/>
      <c r="S118" s="80" t="s">
        <v>270</v>
      </c>
      <c r="U118" s="81"/>
    </row>
    <row r="119" spans="1:21" s="6" customFormat="1" ht="34.950000000000003" customHeight="1">
      <c r="A119" s="32">
        <v>105</v>
      </c>
      <c r="B119" s="40"/>
      <c r="C119" s="40"/>
      <c r="D119" s="34"/>
      <c r="E119" s="35" t="str">
        <f>'Tên Tháng 1'!E108</f>
        <v>ភូន ខេត</v>
      </c>
      <c r="F119" s="36" t="str">
        <f>'Tên Tháng 1'!F108</f>
        <v>PHOUN KHET</v>
      </c>
      <c r="G119" s="37">
        <v>194</v>
      </c>
      <c r="H119" s="38">
        <v>31947</v>
      </c>
      <c r="I119" s="59">
        <f>'KL 1'!X120</f>
        <v>20.13</v>
      </c>
      <c r="J119" s="60">
        <f t="shared" si="9"/>
        <v>643093</v>
      </c>
      <c r="K119" s="61"/>
      <c r="L119" s="62"/>
      <c r="M119" s="63">
        <f t="shared" si="10"/>
        <v>643093</v>
      </c>
      <c r="N119" s="64">
        <f t="shared" si="11"/>
        <v>0</v>
      </c>
      <c r="O119" s="65">
        <f t="shared" si="12"/>
        <v>0</v>
      </c>
      <c r="P119" s="66">
        <f t="shared" si="13"/>
        <v>0</v>
      </c>
      <c r="Q119" s="60">
        <f t="shared" si="14"/>
        <v>643093</v>
      </c>
      <c r="R119" s="79"/>
      <c r="S119" s="80" t="s">
        <v>270</v>
      </c>
      <c r="U119" s="81"/>
    </row>
    <row r="120" spans="1:21" s="6" customFormat="1" ht="34.950000000000003" customHeight="1">
      <c r="A120" s="32">
        <v>106</v>
      </c>
      <c r="B120" s="40"/>
      <c r="C120" s="40"/>
      <c r="D120" s="34"/>
      <c r="E120" s="35" t="str">
        <f>'Tên Tháng 1'!E109</f>
        <v>ហ៊ាន់ គី</v>
      </c>
      <c r="F120" s="36" t="str">
        <f>'Tên Tháng 1'!F109</f>
        <v>HOINN KY</v>
      </c>
      <c r="G120" s="37">
        <v>195</v>
      </c>
      <c r="H120" s="38">
        <v>31947</v>
      </c>
      <c r="I120" s="59">
        <f>'KL 1'!X121</f>
        <v>19.41</v>
      </c>
      <c r="J120" s="60">
        <f t="shared" si="9"/>
        <v>620091</v>
      </c>
      <c r="K120" s="61"/>
      <c r="L120" s="62"/>
      <c r="M120" s="63">
        <f t="shared" si="10"/>
        <v>620091</v>
      </c>
      <c r="N120" s="64">
        <f t="shared" si="11"/>
        <v>0</v>
      </c>
      <c r="O120" s="65">
        <f t="shared" si="12"/>
        <v>0</v>
      </c>
      <c r="P120" s="66">
        <f t="shared" si="13"/>
        <v>0</v>
      </c>
      <c r="Q120" s="60">
        <f t="shared" si="14"/>
        <v>620091</v>
      </c>
      <c r="R120" s="79"/>
      <c r="S120" s="80" t="s">
        <v>270</v>
      </c>
      <c r="U120" s="81"/>
    </row>
    <row r="121" spans="1:21" s="6" customFormat="1" ht="34.950000000000003" customHeight="1">
      <c r="A121" s="32">
        <v>107</v>
      </c>
      <c r="B121" s="40"/>
      <c r="C121" s="40"/>
      <c r="D121" s="34"/>
      <c r="E121" s="35" t="str">
        <f>'Tên Tháng 1'!E110</f>
        <v>ឃាន អំ</v>
      </c>
      <c r="F121" s="36" t="str">
        <f>'Tên Tháng 1'!F110</f>
        <v>KHEAN AM</v>
      </c>
      <c r="G121" s="37">
        <v>196</v>
      </c>
      <c r="H121" s="38">
        <v>31947</v>
      </c>
      <c r="I121" s="59">
        <f>'KL 1'!X122</f>
        <v>14.999999999999998</v>
      </c>
      <c r="J121" s="60">
        <f t="shared" si="9"/>
        <v>479205</v>
      </c>
      <c r="K121" s="61"/>
      <c r="L121" s="62"/>
      <c r="M121" s="63">
        <f t="shared" si="10"/>
        <v>479205</v>
      </c>
      <c r="N121" s="64">
        <f t="shared" si="11"/>
        <v>0</v>
      </c>
      <c r="O121" s="65">
        <f t="shared" si="12"/>
        <v>0</v>
      </c>
      <c r="P121" s="66">
        <f t="shared" si="13"/>
        <v>0</v>
      </c>
      <c r="Q121" s="60">
        <f t="shared" si="14"/>
        <v>479205</v>
      </c>
      <c r="R121" s="79"/>
      <c r="S121" s="80" t="s">
        <v>270</v>
      </c>
      <c r="U121" s="81"/>
    </row>
    <row r="122" spans="1:21" s="6" customFormat="1" ht="34.950000000000003" customHeight="1">
      <c r="A122" s="32">
        <v>108</v>
      </c>
      <c r="B122" s="40"/>
      <c r="C122" s="40"/>
      <c r="D122" s="34"/>
      <c r="E122" s="35" t="str">
        <f>'Tên Tháng 1'!E111</f>
        <v>សុខ ទ្រី</v>
      </c>
      <c r="F122" s="36" t="str">
        <f>'Tên Tháng 1'!F111</f>
        <v>SOK TRY</v>
      </c>
      <c r="G122" s="37">
        <v>197</v>
      </c>
      <c r="H122" s="38">
        <v>31947</v>
      </c>
      <c r="I122" s="59">
        <f>'KL 1'!X123</f>
        <v>12.95</v>
      </c>
      <c r="J122" s="60">
        <f t="shared" si="9"/>
        <v>413714</v>
      </c>
      <c r="K122" s="61"/>
      <c r="L122" s="62"/>
      <c r="M122" s="63">
        <f t="shared" si="10"/>
        <v>413714</v>
      </c>
      <c r="N122" s="64">
        <f t="shared" si="11"/>
        <v>0</v>
      </c>
      <c r="O122" s="65">
        <f t="shared" si="12"/>
        <v>0</v>
      </c>
      <c r="P122" s="66">
        <f t="shared" si="13"/>
        <v>0</v>
      </c>
      <c r="Q122" s="60">
        <f t="shared" si="14"/>
        <v>413714</v>
      </c>
      <c r="R122" s="79"/>
      <c r="S122" s="80" t="s">
        <v>270</v>
      </c>
      <c r="U122" s="81"/>
    </row>
    <row r="123" spans="1:21" s="6" customFormat="1" ht="34.950000000000003" customHeight="1">
      <c r="A123" s="32">
        <v>109</v>
      </c>
      <c r="B123" s="40"/>
      <c r="C123" s="40"/>
      <c r="D123" s="34"/>
      <c r="E123" s="35" t="str">
        <f>'Tên Tháng 1'!E112</f>
        <v>ហួន​ ហេត</v>
      </c>
      <c r="F123" s="36" t="str">
        <f>'Tên Tháng 1'!F112</f>
        <v>HOUN HET</v>
      </c>
      <c r="G123" s="37">
        <v>198</v>
      </c>
      <c r="H123" s="38">
        <v>31947</v>
      </c>
      <c r="I123" s="59">
        <f>'KL 1'!X124</f>
        <v>16.11</v>
      </c>
      <c r="J123" s="60">
        <f t="shared" si="9"/>
        <v>514666</v>
      </c>
      <c r="K123" s="61"/>
      <c r="L123" s="62"/>
      <c r="M123" s="63">
        <f t="shared" si="10"/>
        <v>514666</v>
      </c>
      <c r="N123" s="64">
        <f t="shared" si="11"/>
        <v>0</v>
      </c>
      <c r="O123" s="65">
        <f t="shared" si="12"/>
        <v>0</v>
      </c>
      <c r="P123" s="66">
        <f t="shared" si="13"/>
        <v>0</v>
      </c>
      <c r="Q123" s="60">
        <f t="shared" si="14"/>
        <v>514666</v>
      </c>
      <c r="R123" s="79"/>
      <c r="S123" s="80" t="s">
        <v>270</v>
      </c>
      <c r="U123" s="81"/>
    </row>
    <row r="124" spans="1:21" s="6" customFormat="1" ht="34.950000000000003" customHeight="1">
      <c r="A124" s="32">
        <v>110</v>
      </c>
      <c r="B124" s="40"/>
      <c r="C124" s="40"/>
      <c r="D124" s="34"/>
      <c r="E124" s="35" t="str">
        <f>'Tên Tháng 1'!E113</f>
        <v>សុក ចិន</v>
      </c>
      <c r="F124" s="36" t="str">
        <f>'Tên Tháng 1'!F113</f>
        <v>SOK CHIN</v>
      </c>
      <c r="G124" s="37">
        <v>199</v>
      </c>
      <c r="H124" s="38">
        <v>31947</v>
      </c>
      <c r="I124" s="59">
        <f>'KL 1'!X125</f>
        <v>15.67</v>
      </c>
      <c r="J124" s="60">
        <f t="shared" si="9"/>
        <v>500609</v>
      </c>
      <c r="K124" s="61"/>
      <c r="L124" s="62"/>
      <c r="M124" s="63">
        <f t="shared" si="10"/>
        <v>500609</v>
      </c>
      <c r="N124" s="64">
        <f t="shared" si="11"/>
        <v>0</v>
      </c>
      <c r="O124" s="65">
        <f t="shared" si="12"/>
        <v>0</v>
      </c>
      <c r="P124" s="66">
        <f t="shared" si="13"/>
        <v>0</v>
      </c>
      <c r="Q124" s="60">
        <f t="shared" si="14"/>
        <v>500609</v>
      </c>
      <c r="R124" s="79"/>
      <c r="S124" s="80" t="s">
        <v>270</v>
      </c>
      <c r="U124" s="81"/>
    </row>
    <row r="125" spans="1:21" s="6" customFormat="1" ht="34.950000000000003" customHeight="1">
      <c r="A125" s="32">
        <v>111</v>
      </c>
      <c r="B125" s="40"/>
      <c r="C125" s="40"/>
      <c r="D125" s="34"/>
      <c r="E125" s="35" t="str">
        <f>'Tên Tháng 1'!E114</f>
        <v>ផាន់ ភឿន</v>
      </c>
      <c r="F125" s="36" t="str">
        <f>'Tên Tháng 1'!F114</f>
        <v>PHANN PHOEUN</v>
      </c>
      <c r="G125" s="37">
        <v>200</v>
      </c>
      <c r="H125" s="38">
        <v>31947</v>
      </c>
      <c r="I125" s="59">
        <f>'KL 1'!X126</f>
        <v>17.140000000000004</v>
      </c>
      <c r="J125" s="60">
        <f t="shared" si="9"/>
        <v>547572</v>
      </c>
      <c r="K125" s="61"/>
      <c r="L125" s="62"/>
      <c r="M125" s="63">
        <f t="shared" si="10"/>
        <v>547572</v>
      </c>
      <c r="N125" s="64">
        <f t="shared" si="11"/>
        <v>0</v>
      </c>
      <c r="O125" s="65">
        <f t="shared" si="12"/>
        <v>0</v>
      </c>
      <c r="P125" s="66">
        <f t="shared" si="13"/>
        <v>0</v>
      </c>
      <c r="Q125" s="60">
        <f t="shared" si="14"/>
        <v>547572</v>
      </c>
      <c r="R125" s="79"/>
      <c r="S125" s="80" t="s">
        <v>270</v>
      </c>
      <c r="U125" s="81"/>
    </row>
    <row r="126" spans="1:21" s="6" customFormat="1" ht="34.950000000000003" customHeight="1">
      <c r="A126" s="32">
        <v>112</v>
      </c>
      <c r="B126" s="40"/>
      <c r="C126" s="40"/>
      <c r="D126" s="34"/>
      <c r="E126" s="35" t="str">
        <f>'Tên Tháng 1'!E115</f>
        <v>ផន នាន</v>
      </c>
      <c r="F126" s="36" t="str">
        <f>'Tên Tháng 1'!F115</f>
        <v>PHON NEAN</v>
      </c>
      <c r="G126" s="37">
        <v>201</v>
      </c>
      <c r="H126" s="38">
        <v>31947</v>
      </c>
      <c r="I126" s="59">
        <f>'KL 1'!X127</f>
        <v>17.720000000000002</v>
      </c>
      <c r="J126" s="60">
        <f t="shared" si="9"/>
        <v>566101</v>
      </c>
      <c r="K126" s="61"/>
      <c r="L126" s="62"/>
      <c r="M126" s="63">
        <f t="shared" si="10"/>
        <v>566101</v>
      </c>
      <c r="N126" s="64">
        <f t="shared" si="11"/>
        <v>0</v>
      </c>
      <c r="O126" s="65">
        <f t="shared" si="12"/>
        <v>0</v>
      </c>
      <c r="P126" s="66">
        <f t="shared" si="13"/>
        <v>0</v>
      </c>
      <c r="Q126" s="60">
        <f t="shared" si="14"/>
        <v>566101</v>
      </c>
      <c r="R126" s="79"/>
      <c r="S126" s="80" t="s">
        <v>270</v>
      </c>
      <c r="U126" s="81"/>
    </row>
    <row r="127" spans="1:21" s="6" customFormat="1" ht="34.950000000000003" customHeight="1">
      <c r="A127" s="32">
        <v>113</v>
      </c>
      <c r="B127" s="40"/>
      <c r="C127" s="40"/>
      <c r="D127" s="34"/>
      <c r="E127" s="35" t="str">
        <f>'Tên Tháng 1'!E116</f>
        <v>ផាន់ សុភា</v>
      </c>
      <c r="F127" s="36" t="str">
        <f>'Tên Tháng 1'!F116</f>
        <v>PHANN SOPHEA</v>
      </c>
      <c r="G127" s="37">
        <v>202</v>
      </c>
      <c r="H127" s="38">
        <v>31947</v>
      </c>
      <c r="I127" s="59">
        <f>'KL 1'!X128</f>
        <v>16.03</v>
      </c>
      <c r="J127" s="60">
        <f t="shared" si="9"/>
        <v>512110</v>
      </c>
      <c r="K127" s="61"/>
      <c r="L127" s="62"/>
      <c r="M127" s="63">
        <f t="shared" si="10"/>
        <v>512110</v>
      </c>
      <c r="N127" s="64">
        <f t="shared" si="11"/>
        <v>0</v>
      </c>
      <c r="O127" s="65">
        <f t="shared" si="12"/>
        <v>0</v>
      </c>
      <c r="P127" s="66">
        <f t="shared" si="13"/>
        <v>0</v>
      </c>
      <c r="Q127" s="60">
        <f t="shared" si="14"/>
        <v>512110</v>
      </c>
      <c r="R127" s="79"/>
      <c r="S127" s="80" t="s">
        <v>270</v>
      </c>
      <c r="U127" s="81"/>
    </row>
    <row r="128" spans="1:21" s="6" customFormat="1" ht="34.950000000000003" customHeight="1">
      <c r="A128" s="32">
        <v>114</v>
      </c>
      <c r="B128" s="40"/>
      <c r="C128" s="40"/>
      <c r="D128" s="34"/>
      <c r="E128" s="35" t="str">
        <f>'Tên Tháng 1'!E117</f>
        <v>សៀន អេម</v>
      </c>
      <c r="F128" s="36" t="str">
        <f>'Tên Tháng 1'!F117</f>
        <v>SEAN EM</v>
      </c>
      <c r="G128" s="37">
        <v>203</v>
      </c>
      <c r="H128" s="38">
        <v>31947</v>
      </c>
      <c r="I128" s="59">
        <f>'KL 1'!X129</f>
        <v>15.77</v>
      </c>
      <c r="J128" s="60">
        <f t="shared" si="9"/>
        <v>503804</v>
      </c>
      <c r="K128" s="61"/>
      <c r="L128" s="62"/>
      <c r="M128" s="63">
        <f t="shared" si="10"/>
        <v>503804</v>
      </c>
      <c r="N128" s="64">
        <f t="shared" si="11"/>
        <v>0</v>
      </c>
      <c r="O128" s="65">
        <f t="shared" si="12"/>
        <v>0</v>
      </c>
      <c r="P128" s="66">
        <f t="shared" si="13"/>
        <v>0</v>
      </c>
      <c r="Q128" s="60">
        <f t="shared" si="14"/>
        <v>503804</v>
      </c>
      <c r="R128" s="79"/>
      <c r="S128" s="80" t="s">
        <v>270</v>
      </c>
      <c r="U128" s="81"/>
    </row>
    <row r="129" spans="1:21" s="6" customFormat="1" ht="34.950000000000003" customHeight="1">
      <c r="A129" s="32">
        <v>115</v>
      </c>
      <c r="B129" s="40"/>
      <c r="C129" s="40"/>
      <c r="D129" s="34"/>
      <c r="E129" s="35" t="str">
        <f>'Tên Tháng 1'!E118</f>
        <v>គឿន គា</v>
      </c>
      <c r="F129" s="36" t="str">
        <f>'Tên Tháng 1'!F118</f>
        <v>KOEURN KEA</v>
      </c>
      <c r="G129" s="37">
        <v>204</v>
      </c>
      <c r="H129" s="38">
        <v>31947</v>
      </c>
      <c r="I129" s="59">
        <f>'KL 1'!X130</f>
        <v>17.290000000000003</v>
      </c>
      <c r="J129" s="60">
        <f t="shared" si="9"/>
        <v>552364</v>
      </c>
      <c r="K129" s="61"/>
      <c r="L129" s="62"/>
      <c r="M129" s="63">
        <f t="shared" si="10"/>
        <v>552364</v>
      </c>
      <c r="N129" s="64">
        <f t="shared" si="11"/>
        <v>0</v>
      </c>
      <c r="O129" s="65">
        <f t="shared" si="12"/>
        <v>0</v>
      </c>
      <c r="P129" s="66">
        <f t="shared" si="13"/>
        <v>0</v>
      </c>
      <c r="Q129" s="60">
        <f t="shared" si="14"/>
        <v>552364</v>
      </c>
      <c r="R129" s="79"/>
      <c r="S129" s="80" t="s">
        <v>270</v>
      </c>
      <c r="U129" s="81"/>
    </row>
    <row r="130" spans="1:21" s="6" customFormat="1" ht="34.950000000000003" customHeight="1">
      <c r="A130" s="32">
        <v>116</v>
      </c>
      <c r="B130" s="40"/>
      <c r="C130" s="40"/>
      <c r="D130" s="34"/>
      <c r="E130" s="35" t="str">
        <f>'Tên Tháng 1'!E119</f>
        <v>ផុន អឿន</v>
      </c>
      <c r="F130" s="36" t="str">
        <f>'Tên Tháng 1'!F119</f>
        <v>PON OEUN</v>
      </c>
      <c r="G130" s="37">
        <v>205</v>
      </c>
      <c r="H130" s="38">
        <v>31947</v>
      </c>
      <c r="I130" s="59">
        <f>'KL 1'!X131</f>
        <v>14.249999999999998</v>
      </c>
      <c r="J130" s="60">
        <f t="shared" si="9"/>
        <v>455245</v>
      </c>
      <c r="K130" s="61"/>
      <c r="L130" s="62"/>
      <c r="M130" s="63">
        <f t="shared" si="10"/>
        <v>455245</v>
      </c>
      <c r="N130" s="64">
        <f t="shared" si="11"/>
        <v>0</v>
      </c>
      <c r="O130" s="65">
        <f t="shared" si="12"/>
        <v>0</v>
      </c>
      <c r="P130" s="66">
        <f t="shared" si="13"/>
        <v>0</v>
      </c>
      <c r="Q130" s="60">
        <f t="shared" si="14"/>
        <v>455245</v>
      </c>
      <c r="R130" s="79"/>
      <c r="S130" s="80" t="s">
        <v>270</v>
      </c>
      <c r="U130" s="81"/>
    </row>
    <row r="131" spans="1:21" s="6" customFormat="1" ht="34.950000000000003" customHeight="1">
      <c r="A131" s="32">
        <v>117</v>
      </c>
      <c r="B131" s="40"/>
      <c r="C131" s="40"/>
      <c r="D131" s="34"/>
      <c r="E131" s="35" t="str">
        <f>'Tên Tháng 1'!E120</f>
        <v>ខា​ សុឃីម</v>
      </c>
      <c r="F131" s="36" t="str">
        <f>'Tên Tháng 1'!F120</f>
        <v>KHA SOKHIM</v>
      </c>
      <c r="G131" s="37">
        <v>206</v>
      </c>
      <c r="H131" s="38">
        <v>31947</v>
      </c>
      <c r="I131" s="59">
        <f>'KL 1'!X132</f>
        <v>17.100000000000001</v>
      </c>
      <c r="J131" s="60">
        <f t="shared" si="9"/>
        <v>546294</v>
      </c>
      <c r="K131" s="61"/>
      <c r="L131" s="62"/>
      <c r="M131" s="63">
        <f t="shared" si="10"/>
        <v>546294</v>
      </c>
      <c r="N131" s="64">
        <f t="shared" si="11"/>
        <v>0</v>
      </c>
      <c r="O131" s="65">
        <f t="shared" si="12"/>
        <v>0</v>
      </c>
      <c r="P131" s="66">
        <f t="shared" si="13"/>
        <v>0</v>
      </c>
      <c r="Q131" s="60">
        <f t="shared" si="14"/>
        <v>546294</v>
      </c>
      <c r="R131" s="79"/>
      <c r="S131" s="80" t="s">
        <v>270</v>
      </c>
      <c r="U131" s="81"/>
    </row>
    <row r="132" spans="1:21" s="6" customFormat="1" ht="34.950000000000003" customHeight="1">
      <c r="A132" s="32">
        <v>118</v>
      </c>
      <c r="B132" s="40"/>
      <c r="C132" s="40"/>
      <c r="D132" s="34"/>
      <c r="E132" s="35" t="str">
        <f>'Tên Tháng 1'!E121</f>
        <v>ភា សុផាត</v>
      </c>
      <c r="F132" s="36" t="str">
        <f>'Tên Tháng 1'!F121</f>
        <v>PHEA SOPHAT</v>
      </c>
      <c r="G132" s="37">
        <v>207</v>
      </c>
      <c r="H132" s="38">
        <v>31947</v>
      </c>
      <c r="I132" s="59">
        <f>'KL 1'!X133</f>
        <v>16.010000000000002</v>
      </c>
      <c r="J132" s="60">
        <f t="shared" si="9"/>
        <v>511471</v>
      </c>
      <c r="K132" s="61"/>
      <c r="L132" s="62"/>
      <c r="M132" s="63">
        <f t="shared" si="10"/>
        <v>511471</v>
      </c>
      <c r="N132" s="64">
        <f t="shared" si="11"/>
        <v>0</v>
      </c>
      <c r="O132" s="65">
        <f t="shared" si="12"/>
        <v>0</v>
      </c>
      <c r="P132" s="66">
        <f t="shared" si="13"/>
        <v>0</v>
      </c>
      <c r="Q132" s="60">
        <f t="shared" si="14"/>
        <v>511471</v>
      </c>
      <c r="R132" s="79"/>
      <c r="S132" s="80" t="s">
        <v>270</v>
      </c>
      <c r="U132" s="81"/>
    </row>
    <row r="133" spans="1:21" s="6" customFormat="1" ht="34.950000000000003" customHeight="1">
      <c r="A133" s="32">
        <v>119</v>
      </c>
      <c r="B133" s="40"/>
      <c r="C133" s="40"/>
      <c r="D133" s="34"/>
      <c r="E133" s="35" t="str">
        <f>'Tên Tháng 1'!E122</f>
        <v>វឿត សុខនីន</v>
      </c>
      <c r="F133" s="36" t="str">
        <f>'Tên Tháng 1'!F122</f>
        <v>VOEUT SOKNIN</v>
      </c>
      <c r="G133" s="37">
        <v>208</v>
      </c>
      <c r="H133" s="38">
        <v>31947</v>
      </c>
      <c r="I133" s="59">
        <f>'KL 1'!X134</f>
        <v>15.45</v>
      </c>
      <c r="J133" s="60">
        <f t="shared" si="9"/>
        <v>493581</v>
      </c>
      <c r="K133" s="61"/>
      <c r="L133" s="62"/>
      <c r="M133" s="63">
        <f t="shared" si="10"/>
        <v>493581</v>
      </c>
      <c r="N133" s="64">
        <f t="shared" si="11"/>
        <v>0</v>
      </c>
      <c r="O133" s="65">
        <f t="shared" si="12"/>
        <v>0</v>
      </c>
      <c r="P133" s="66">
        <f t="shared" si="13"/>
        <v>0</v>
      </c>
      <c r="Q133" s="60">
        <f t="shared" si="14"/>
        <v>493581</v>
      </c>
      <c r="R133" s="79"/>
      <c r="S133" s="80" t="s">
        <v>270</v>
      </c>
      <c r="U133" s="81"/>
    </row>
    <row r="134" spans="1:21" s="6" customFormat="1" ht="34.950000000000003" customHeight="1">
      <c r="A134" s="32">
        <v>120</v>
      </c>
      <c r="B134" s="40"/>
      <c r="C134" s="40"/>
      <c r="D134" s="34"/>
      <c r="E134" s="35" t="str">
        <f>'Tên Tháng 1'!E123</f>
        <v>អឿ វឿត</v>
      </c>
      <c r="F134" s="36" t="str">
        <f>'Tên Tháng 1'!F123</f>
        <v>OEUR VOEURTH</v>
      </c>
      <c r="G134" s="37">
        <v>209</v>
      </c>
      <c r="H134" s="38">
        <v>31947</v>
      </c>
      <c r="I134" s="59">
        <f>'KL 1'!X135</f>
        <v>16.46</v>
      </c>
      <c r="J134" s="60">
        <f t="shared" si="9"/>
        <v>525848</v>
      </c>
      <c r="K134" s="61"/>
      <c r="L134" s="62"/>
      <c r="M134" s="63">
        <f t="shared" si="10"/>
        <v>525848</v>
      </c>
      <c r="N134" s="64">
        <f t="shared" si="11"/>
        <v>0</v>
      </c>
      <c r="O134" s="65">
        <f t="shared" si="12"/>
        <v>0</v>
      </c>
      <c r="P134" s="66">
        <f t="shared" si="13"/>
        <v>0</v>
      </c>
      <c r="Q134" s="60">
        <f t="shared" si="14"/>
        <v>525848</v>
      </c>
      <c r="R134" s="79"/>
      <c r="S134" s="80" t="s">
        <v>270</v>
      </c>
      <c r="U134" s="81"/>
    </row>
    <row r="135" spans="1:21" s="6" customFormat="1" ht="34.950000000000003" customHeight="1">
      <c r="A135" s="32">
        <v>121</v>
      </c>
      <c r="B135" s="40"/>
      <c r="C135" s="40"/>
      <c r="D135" s="34"/>
      <c r="E135" s="35" t="str">
        <f>'Tên Tháng 1'!E124</f>
        <v>លាង លីម</v>
      </c>
      <c r="F135" s="36" t="str">
        <f>'Tên Tháng 1'!F124</f>
        <v>LEANG LIM</v>
      </c>
      <c r="G135" s="37">
        <v>210</v>
      </c>
      <c r="H135" s="38">
        <v>31947</v>
      </c>
      <c r="I135" s="59">
        <f>'KL 1'!X136</f>
        <v>18.09</v>
      </c>
      <c r="J135" s="60">
        <f t="shared" si="9"/>
        <v>577921</v>
      </c>
      <c r="K135" s="61"/>
      <c r="L135" s="62"/>
      <c r="M135" s="63">
        <f t="shared" si="10"/>
        <v>577921</v>
      </c>
      <c r="N135" s="64">
        <f t="shared" si="11"/>
        <v>0</v>
      </c>
      <c r="O135" s="65">
        <f t="shared" si="12"/>
        <v>0</v>
      </c>
      <c r="P135" s="66">
        <f t="shared" si="13"/>
        <v>0</v>
      </c>
      <c r="Q135" s="60">
        <f t="shared" si="14"/>
        <v>577921</v>
      </c>
      <c r="R135" s="79"/>
      <c r="S135" s="80" t="s">
        <v>270</v>
      </c>
      <c r="U135" s="81"/>
    </row>
    <row r="136" spans="1:21" s="6" customFormat="1" ht="42.6" customHeight="1">
      <c r="A136" s="32">
        <v>122</v>
      </c>
      <c r="B136" s="40"/>
      <c r="C136" s="40"/>
      <c r="D136" s="34"/>
      <c r="E136" s="35" t="str">
        <f>'Tên Tháng 1'!E125</f>
        <v>ឃឹម ឡន</v>
      </c>
      <c r="F136" s="36" t="str">
        <f>'Tên Tháng 1'!F125</f>
        <v>KHOEM LAN</v>
      </c>
      <c r="G136" s="37">
        <v>211</v>
      </c>
      <c r="H136" s="38">
        <v>31947</v>
      </c>
      <c r="I136" s="59">
        <f>'KL 1'!X137</f>
        <v>16.100000000000001</v>
      </c>
      <c r="J136" s="60">
        <f t="shared" si="9"/>
        <v>514347</v>
      </c>
      <c r="K136" s="61"/>
      <c r="L136" s="62"/>
      <c r="M136" s="63">
        <f t="shared" si="10"/>
        <v>514347</v>
      </c>
      <c r="N136" s="64">
        <f t="shared" si="11"/>
        <v>0</v>
      </c>
      <c r="O136" s="65">
        <f t="shared" si="12"/>
        <v>0</v>
      </c>
      <c r="P136" s="66">
        <f t="shared" si="13"/>
        <v>0</v>
      </c>
      <c r="Q136" s="60">
        <f t="shared" si="14"/>
        <v>514347</v>
      </c>
      <c r="R136" s="79"/>
      <c r="S136" s="80" t="s">
        <v>270</v>
      </c>
      <c r="U136" s="81"/>
    </row>
    <row r="137" spans="1:21" s="6" customFormat="1" ht="41.4" customHeight="1">
      <c r="A137" s="32">
        <v>123</v>
      </c>
      <c r="B137" s="40"/>
      <c r="C137" s="40"/>
      <c r="D137" s="34"/>
      <c r="E137" s="35" t="str">
        <f>'Tên Tháng 1'!E126</f>
        <v>ឈឿន សារិន</v>
      </c>
      <c r="F137" s="36" t="str">
        <f>'Tên Tháng 1'!F126</f>
        <v>CHHOEUN SARIN</v>
      </c>
      <c r="G137" s="37">
        <v>212</v>
      </c>
      <c r="H137" s="38">
        <v>31947</v>
      </c>
      <c r="I137" s="59">
        <f>'KL 1'!X138</f>
        <v>14.839999999999998</v>
      </c>
      <c r="J137" s="60">
        <f t="shared" si="9"/>
        <v>474093</v>
      </c>
      <c r="K137" s="61"/>
      <c r="L137" s="62"/>
      <c r="M137" s="63">
        <f t="shared" si="10"/>
        <v>474093</v>
      </c>
      <c r="N137" s="64">
        <f t="shared" si="11"/>
        <v>0</v>
      </c>
      <c r="O137" s="65">
        <f t="shared" si="12"/>
        <v>0</v>
      </c>
      <c r="P137" s="66">
        <f t="shared" si="13"/>
        <v>0</v>
      </c>
      <c r="Q137" s="60">
        <f t="shared" si="14"/>
        <v>474093</v>
      </c>
      <c r="R137" s="79"/>
      <c r="S137" s="80" t="s">
        <v>270</v>
      </c>
      <c r="U137" s="81"/>
    </row>
    <row r="138" spans="1:21" s="6" customFormat="1" ht="42.6" customHeight="1">
      <c r="A138" s="32">
        <v>124</v>
      </c>
      <c r="B138" s="40"/>
      <c r="C138" s="40"/>
      <c r="D138" s="34"/>
      <c r="E138" s="35" t="str">
        <f>'Tên Tháng 1'!E127</f>
        <v>លាង ឡៃហេង</v>
      </c>
      <c r="F138" s="36" t="str">
        <f>'Tên Tháng 1'!F127</f>
        <v>LEANG LAIHENG</v>
      </c>
      <c r="G138" s="37">
        <v>213</v>
      </c>
      <c r="H138" s="38">
        <v>31947</v>
      </c>
      <c r="I138" s="59">
        <f>'KL 1'!X139</f>
        <v>15.249999999999998</v>
      </c>
      <c r="J138" s="60">
        <f t="shared" si="9"/>
        <v>487192</v>
      </c>
      <c r="K138" s="61"/>
      <c r="L138" s="62"/>
      <c r="M138" s="63">
        <f t="shared" si="10"/>
        <v>487192</v>
      </c>
      <c r="N138" s="64">
        <f t="shared" si="11"/>
        <v>0</v>
      </c>
      <c r="O138" s="65">
        <f t="shared" si="12"/>
        <v>0</v>
      </c>
      <c r="P138" s="66">
        <f t="shared" si="13"/>
        <v>0</v>
      </c>
      <c r="Q138" s="60">
        <f t="shared" si="14"/>
        <v>487192</v>
      </c>
      <c r="R138" s="79"/>
      <c r="S138" s="80" t="s">
        <v>270</v>
      </c>
      <c r="U138" s="81"/>
    </row>
    <row r="139" spans="1:21" s="6" customFormat="1" ht="40.200000000000003" customHeight="1">
      <c r="A139" s="32">
        <v>125</v>
      </c>
      <c r="B139" s="40"/>
      <c r="C139" s="40"/>
      <c r="D139" s="34"/>
      <c r="E139" s="35" t="str">
        <f>'Tên Tháng 1'!E128</f>
        <v>ហួយ ភើក</v>
      </c>
      <c r="F139" s="36" t="str">
        <f>'Tên Tháng 1'!F128</f>
        <v>HOURY PHEAK</v>
      </c>
      <c r="G139" s="37">
        <v>214</v>
      </c>
      <c r="H139" s="38">
        <v>31947</v>
      </c>
      <c r="I139" s="59">
        <f>'KL 1'!X140</f>
        <v>17.810000000000002</v>
      </c>
      <c r="J139" s="60">
        <f t="shared" si="9"/>
        <v>568976</v>
      </c>
      <c r="K139" s="61"/>
      <c r="L139" s="62"/>
      <c r="M139" s="63">
        <f t="shared" si="10"/>
        <v>568976</v>
      </c>
      <c r="N139" s="64">
        <f t="shared" si="11"/>
        <v>0</v>
      </c>
      <c r="O139" s="65">
        <f t="shared" si="12"/>
        <v>0</v>
      </c>
      <c r="P139" s="66">
        <f t="shared" si="13"/>
        <v>0</v>
      </c>
      <c r="Q139" s="60">
        <f t="shared" si="14"/>
        <v>568976</v>
      </c>
      <c r="R139" s="79"/>
      <c r="S139" s="80" t="s">
        <v>270</v>
      </c>
      <c r="U139" s="81"/>
    </row>
    <row r="140" spans="1:21" s="6" customFormat="1" ht="33.6" customHeight="1">
      <c r="A140" s="32">
        <v>126</v>
      </c>
      <c r="B140" s="40"/>
      <c r="C140" s="40"/>
      <c r="D140" s="34"/>
      <c r="E140" s="35" t="str">
        <f>'Tên Tháng 1'!E129</f>
        <v>ធឿន ​ធា</v>
      </c>
      <c r="F140" s="36" t="str">
        <f>'Tên Tháng 1'!F129</f>
        <v>THOEURN THEA</v>
      </c>
      <c r="G140" s="37">
        <v>251</v>
      </c>
      <c r="H140" s="38">
        <v>31947</v>
      </c>
      <c r="I140" s="59">
        <f>'KL 1'!X141</f>
        <v>5.4200000000000008</v>
      </c>
      <c r="J140" s="60">
        <f t="shared" si="9"/>
        <v>173153</v>
      </c>
      <c r="K140" s="61"/>
      <c r="L140" s="62"/>
      <c r="M140" s="63">
        <f t="shared" si="10"/>
        <v>173153</v>
      </c>
      <c r="N140" s="64">
        <f t="shared" si="11"/>
        <v>0</v>
      </c>
      <c r="O140" s="65">
        <f t="shared" si="12"/>
        <v>0</v>
      </c>
      <c r="P140" s="66">
        <f t="shared" si="13"/>
        <v>0</v>
      </c>
      <c r="Q140" s="60">
        <f t="shared" si="14"/>
        <v>173153</v>
      </c>
      <c r="R140" s="79"/>
      <c r="S140" s="80" t="s">
        <v>270</v>
      </c>
      <c r="U140" s="81"/>
    </row>
    <row r="141" spans="1:21" s="6" customFormat="1" ht="33.6" customHeight="1">
      <c r="A141" s="32">
        <v>127</v>
      </c>
      <c r="B141" s="40"/>
      <c r="C141" s="40"/>
      <c r="D141" s="34"/>
      <c r="E141" s="35" t="str">
        <f>'Tên Tháng 1'!E130</f>
        <v>យី ប៉ាង</v>
      </c>
      <c r="F141" s="36" t="str">
        <f>'Tên Tháng 1'!F130</f>
        <v>YI PANG</v>
      </c>
      <c r="G141" s="37">
        <v>252</v>
      </c>
      <c r="H141" s="38">
        <v>31947</v>
      </c>
      <c r="I141" s="59">
        <f>'KL 1'!X142</f>
        <v>4.8800000000000008</v>
      </c>
      <c r="J141" s="60">
        <f t="shared" si="9"/>
        <v>155901</v>
      </c>
      <c r="K141" s="61"/>
      <c r="L141" s="62"/>
      <c r="M141" s="63">
        <f t="shared" si="10"/>
        <v>155901</v>
      </c>
      <c r="N141" s="64">
        <f t="shared" si="11"/>
        <v>0</v>
      </c>
      <c r="O141" s="65">
        <f t="shared" si="12"/>
        <v>0</v>
      </c>
      <c r="P141" s="66">
        <f t="shared" si="13"/>
        <v>0</v>
      </c>
      <c r="Q141" s="60">
        <f t="shared" si="14"/>
        <v>155901</v>
      </c>
      <c r="R141" s="79"/>
      <c r="S141" s="80" t="s">
        <v>270</v>
      </c>
      <c r="U141" s="81"/>
    </row>
    <row r="142" spans="1:21" s="6" customFormat="1" ht="33.6" customHeight="1">
      <c r="A142" s="32">
        <v>128</v>
      </c>
      <c r="B142" s="40"/>
      <c r="C142" s="40"/>
      <c r="D142" s="34"/>
      <c r="E142" s="35" t="str">
        <f>'Tên Tháng 1'!E131</f>
        <v>វ៉ិត មីត</v>
      </c>
      <c r="F142" s="36" t="str">
        <f>'Tên Tháng 1'!F131</f>
        <v>VET MIT</v>
      </c>
      <c r="G142" s="37">
        <v>253</v>
      </c>
      <c r="H142" s="38">
        <v>31947</v>
      </c>
      <c r="I142" s="59">
        <f>'KL 1'!X143</f>
        <v>4.79</v>
      </c>
      <c r="J142" s="60">
        <f t="shared" si="9"/>
        <v>153026</v>
      </c>
      <c r="K142" s="61"/>
      <c r="L142" s="62"/>
      <c r="M142" s="63">
        <f t="shared" si="10"/>
        <v>153026</v>
      </c>
      <c r="N142" s="64">
        <f t="shared" si="11"/>
        <v>0</v>
      </c>
      <c r="O142" s="65">
        <f t="shared" si="12"/>
        <v>0</v>
      </c>
      <c r="P142" s="66">
        <f t="shared" si="13"/>
        <v>0</v>
      </c>
      <c r="Q142" s="60">
        <f t="shared" si="14"/>
        <v>153026</v>
      </c>
      <c r="R142" s="79"/>
      <c r="S142" s="80" t="s">
        <v>270</v>
      </c>
      <c r="U142" s="81"/>
    </row>
    <row r="143" spans="1:21" s="6" customFormat="1" ht="33.6" customHeight="1">
      <c r="A143" s="32">
        <v>129</v>
      </c>
      <c r="B143" s="40"/>
      <c r="C143" s="40"/>
      <c r="D143" s="34"/>
      <c r="E143" s="35" t="str">
        <f>'Tên Tháng 1'!E132</f>
        <v>ប៉ែន វណ្ណា</v>
      </c>
      <c r="F143" s="36" t="str">
        <f>'Tên Tháng 1'!F132</f>
        <v>BEN VANNA</v>
      </c>
      <c r="G143" s="37">
        <v>254</v>
      </c>
      <c r="H143" s="38">
        <v>31947</v>
      </c>
      <c r="I143" s="59">
        <f>'KL 1'!X144</f>
        <v>8.3699999999999992</v>
      </c>
      <c r="J143" s="60">
        <f t="shared" si="9"/>
        <v>267396</v>
      </c>
      <c r="K143" s="61"/>
      <c r="L143" s="62"/>
      <c r="M143" s="63">
        <f t="shared" si="10"/>
        <v>267396</v>
      </c>
      <c r="N143" s="64">
        <f t="shared" si="11"/>
        <v>0</v>
      </c>
      <c r="O143" s="65">
        <f t="shared" si="12"/>
        <v>0</v>
      </c>
      <c r="P143" s="66">
        <f t="shared" si="13"/>
        <v>0</v>
      </c>
      <c r="Q143" s="60">
        <f t="shared" si="14"/>
        <v>267396</v>
      </c>
      <c r="R143" s="79"/>
      <c r="S143" s="80" t="s">
        <v>270</v>
      </c>
      <c r="U143" s="81"/>
    </row>
    <row r="144" spans="1:21" s="6" customFormat="1" ht="33.6" customHeight="1">
      <c r="A144" s="32">
        <v>130</v>
      </c>
      <c r="B144" s="40"/>
      <c r="C144" s="40"/>
      <c r="D144" s="34"/>
      <c r="E144" s="35" t="str">
        <f>'Tên Tháng 1'!E133</f>
        <v>លឿន ម៉ៅ</v>
      </c>
      <c r="F144" s="36" t="str">
        <f>'Tên Tháng 1'!F133</f>
        <v>LOEURN MAO</v>
      </c>
      <c r="G144" s="37">
        <v>255</v>
      </c>
      <c r="H144" s="38">
        <v>31947</v>
      </c>
      <c r="I144" s="59">
        <f>'KL 1'!X145</f>
        <v>11.81</v>
      </c>
      <c r="J144" s="60">
        <f t="shared" ref="J144:J207" si="15">ROUND(H144*I144,0)</f>
        <v>377294</v>
      </c>
      <c r="K144" s="61"/>
      <c r="L144" s="62"/>
      <c r="M144" s="63">
        <f t="shared" ref="M144:M207" si="16">J144+L144</f>
        <v>377294</v>
      </c>
      <c r="N144" s="64">
        <f t="shared" ref="N144:N181" si="17">L144</f>
        <v>0</v>
      </c>
      <c r="O144" s="65">
        <f t="shared" ref="O144:O181" si="18">ROUND(IF(M144&lt;=1200000,0,IF(AND((M144)&gt;1200000,(M144)&lt;=2000000),(M144)*5%-60000,IF(AND((M144)&gt;2000000,(M144)&lt;=8500000),(M144)*10%-160000))),0)</f>
        <v>0</v>
      </c>
      <c r="P144" s="66">
        <f t="shared" ref="P144:P181" si="19">N144+O144</f>
        <v>0</v>
      </c>
      <c r="Q144" s="60">
        <f t="shared" ref="Q144:Q207" si="20">M144-L144</f>
        <v>377294</v>
      </c>
      <c r="R144" s="79"/>
      <c r="S144" s="80" t="s">
        <v>270</v>
      </c>
      <c r="U144" s="81"/>
    </row>
    <row r="145" spans="1:21" s="6" customFormat="1" ht="33.6" customHeight="1">
      <c r="A145" s="32">
        <v>131</v>
      </c>
      <c r="B145" s="40"/>
      <c r="C145" s="40"/>
      <c r="D145" s="34"/>
      <c r="E145" s="35" t="str">
        <f>'Tên Tháng 1'!E134</f>
        <v>សុក ចូក</v>
      </c>
      <c r="F145" s="36" t="str">
        <f>'Tên Tháng 1'!F134</f>
        <v>SOK CHOUK</v>
      </c>
      <c r="G145" s="37">
        <v>256</v>
      </c>
      <c r="H145" s="38">
        <v>31947</v>
      </c>
      <c r="I145" s="59">
        <f>'KL 1'!X146</f>
        <v>11.54</v>
      </c>
      <c r="J145" s="60">
        <f t="shared" si="15"/>
        <v>368668</v>
      </c>
      <c r="K145" s="61"/>
      <c r="L145" s="62"/>
      <c r="M145" s="63">
        <f t="shared" si="16"/>
        <v>368668</v>
      </c>
      <c r="N145" s="64">
        <f t="shared" si="17"/>
        <v>0</v>
      </c>
      <c r="O145" s="65">
        <f t="shared" si="18"/>
        <v>0</v>
      </c>
      <c r="P145" s="66">
        <f t="shared" si="19"/>
        <v>0</v>
      </c>
      <c r="Q145" s="60">
        <f t="shared" si="20"/>
        <v>368668</v>
      </c>
      <c r="R145" s="79"/>
      <c r="S145" s="80" t="s">
        <v>270</v>
      </c>
      <c r="U145" s="81"/>
    </row>
    <row r="146" spans="1:21" s="6" customFormat="1" ht="33.6" customHeight="1">
      <c r="A146" s="32">
        <v>132</v>
      </c>
      <c r="B146" s="40"/>
      <c r="C146" s="40"/>
      <c r="D146" s="34"/>
      <c r="E146" s="35" t="str">
        <f>'Tên Tháng 1'!E135</f>
        <v>រី ឆេង</v>
      </c>
      <c r="F146" s="36" t="str">
        <f>'Tên Tháng 1'!F135</f>
        <v>RY CHHENG</v>
      </c>
      <c r="G146" s="37">
        <v>257</v>
      </c>
      <c r="H146" s="38">
        <v>31947</v>
      </c>
      <c r="I146" s="59">
        <f>'KL 1'!X147</f>
        <v>11.46</v>
      </c>
      <c r="J146" s="60">
        <f t="shared" si="15"/>
        <v>366113</v>
      </c>
      <c r="K146" s="61"/>
      <c r="L146" s="62"/>
      <c r="M146" s="63">
        <f t="shared" si="16"/>
        <v>366113</v>
      </c>
      <c r="N146" s="64">
        <f t="shared" si="17"/>
        <v>0</v>
      </c>
      <c r="O146" s="65">
        <f t="shared" si="18"/>
        <v>0</v>
      </c>
      <c r="P146" s="66">
        <f t="shared" si="19"/>
        <v>0</v>
      </c>
      <c r="Q146" s="60">
        <f t="shared" si="20"/>
        <v>366113</v>
      </c>
      <c r="R146" s="79"/>
      <c r="S146" s="80" t="s">
        <v>270</v>
      </c>
      <c r="U146" s="81"/>
    </row>
    <row r="147" spans="1:21" s="6" customFormat="1" ht="33.6" customHeight="1">
      <c r="A147" s="32">
        <v>133</v>
      </c>
      <c r="B147" s="40"/>
      <c r="C147" s="40"/>
      <c r="D147" s="34"/>
      <c r="E147" s="35" t="str">
        <f>'Tên Tháng 1'!E136</f>
        <v>ហឿង រីន</v>
      </c>
      <c r="F147" s="36" t="str">
        <f>'Tên Tháng 1'!F136</f>
        <v>HOEUNG RIN</v>
      </c>
      <c r="G147" s="37">
        <v>258</v>
      </c>
      <c r="H147" s="38">
        <v>31947</v>
      </c>
      <c r="I147" s="59">
        <f>'KL 1'!X148</f>
        <v>4.8800000000000008</v>
      </c>
      <c r="J147" s="60">
        <f t="shared" si="15"/>
        <v>155901</v>
      </c>
      <c r="K147" s="61"/>
      <c r="L147" s="62"/>
      <c r="M147" s="63">
        <f t="shared" si="16"/>
        <v>155901</v>
      </c>
      <c r="N147" s="64">
        <f t="shared" si="17"/>
        <v>0</v>
      </c>
      <c r="O147" s="65">
        <f t="shared" si="18"/>
        <v>0</v>
      </c>
      <c r="P147" s="66">
        <f t="shared" si="19"/>
        <v>0</v>
      </c>
      <c r="Q147" s="60">
        <f t="shared" si="20"/>
        <v>155901</v>
      </c>
      <c r="R147" s="79"/>
      <c r="S147" s="80" t="s">
        <v>270</v>
      </c>
      <c r="U147" s="81"/>
    </row>
    <row r="148" spans="1:21" s="6" customFormat="1" ht="33.6" customHeight="1">
      <c r="A148" s="32">
        <v>134</v>
      </c>
      <c r="B148" s="40"/>
      <c r="C148" s="40"/>
      <c r="D148" s="34"/>
      <c r="E148" s="35" t="str">
        <f>'Tên Tháng 1'!E137</f>
        <v>ធី សុខខៃ</v>
      </c>
      <c r="F148" s="36" t="str">
        <f>'Tên Tháng 1'!F137</f>
        <v>THY SOKKHAI</v>
      </c>
      <c r="G148" s="37">
        <v>259</v>
      </c>
      <c r="H148" s="38">
        <v>31947</v>
      </c>
      <c r="I148" s="59">
        <f>'KL 1'!X149</f>
        <v>13.059999999999999</v>
      </c>
      <c r="J148" s="60">
        <f t="shared" si="15"/>
        <v>417228</v>
      </c>
      <c r="K148" s="61"/>
      <c r="L148" s="62"/>
      <c r="M148" s="63">
        <f t="shared" si="16"/>
        <v>417228</v>
      </c>
      <c r="N148" s="64">
        <f t="shared" si="17"/>
        <v>0</v>
      </c>
      <c r="O148" s="65">
        <f t="shared" si="18"/>
        <v>0</v>
      </c>
      <c r="P148" s="66">
        <f t="shared" si="19"/>
        <v>0</v>
      </c>
      <c r="Q148" s="60">
        <f t="shared" si="20"/>
        <v>417228</v>
      </c>
      <c r="R148" s="79"/>
      <c r="S148" s="80" t="s">
        <v>270</v>
      </c>
      <c r="U148" s="81"/>
    </row>
    <row r="149" spans="1:21" s="6" customFormat="1" ht="33.6" customHeight="1">
      <c r="A149" s="32">
        <v>135</v>
      </c>
      <c r="B149" s="40"/>
      <c r="C149" s="40"/>
      <c r="D149" s="34"/>
      <c r="E149" s="35" t="str">
        <f>'Tên Tháng 1'!E138</f>
        <v>កើត អាត</v>
      </c>
      <c r="F149" s="36" t="str">
        <f>'Tên Tháng 1'!F138</f>
        <v>KOEUT AT</v>
      </c>
      <c r="G149" s="37">
        <v>260</v>
      </c>
      <c r="H149" s="38">
        <v>31947</v>
      </c>
      <c r="I149" s="59">
        <f>'KL 1'!X150</f>
        <v>12.69</v>
      </c>
      <c r="J149" s="60">
        <f t="shared" si="15"/>
        <v>405407</v>
      </c>
      <c r="K149" s="61"/>
      <c r="L149" s="62"/>
      <c r="M149" s="63">
        <f t="shared" si="16"/>
        <v>405407</v>
      </c>
      <c r="N149" s="64">
        <f t="shared" si="17"/>
        <v>0</v>
      </c>
      <c r="O149" s="65">
        <f t="shared" si="18"/>
        <v>0</v>
      </c>
      <c r="P149" s="66">
        <f t="shared" si="19"/>
        <v>0</v>
      </c>
      <c r="Q149" s="60">
        <f t="shared" si="20"/>
        <v>405407</v>
      </c>
      <c r="R149" s="79"/>
      <c r="S149" s="80" t="s">
        <v>270</v>
      </c>
      <c r="U149" s="81"/>
    </row>
    <row r="150" spans="1:21" s="6" customFormat="1" ht="33.6" customHeight="1">
      <c r="A150" s="32">
        <v>136</v>
      </c>
      <c r="B150" s="40"/>
      <c r="C150" s="40"/>
      <c r="D150" s="34"/>
      <c r="E150" s="35" t="str">
        <f>'Tên Tháng 1'!E139</f>
        <v>ឆ្លាម ឆ្លាត</v>
      </c>
      <c r="F150" s="36" t="str">
        <f>'Tên Tháng 1'!F139</f>
        <v>CHLAM CHLAT</v>
      </c>
      <c r="G150" s="37">
        <v>261</v>
      </c>
      <c r="H150" s="38">
        <v>31947</v>
      </c>
      <c r="I150" s="59">
        <f>'KL 1'!X151</f>
        <v>11.44</v>
      </c>
      <c r="J150" s="60">
        <f t="shared" si="15"/>
        <v>365474</v>
      </c>
      <c r="K150" s="61"/>
      <c r="L150" s="62"/>
      <c r="M150" s="63">
        <f t="shared" si="16"/>
        <v>365474</v>
      </c>
      <c r="N150" s="64">
        <f t="shared" si="17"/>
        <v>0</v>
      </c>
      <c r="O150" s="65">
        <f t="shared" si="18"/>
        <v>0</v>
      </c>
      <c r="P150" s="66">
        <f t="shared" si="19"/>
        <v>0</v>
      </c>
      <c r="Q150" s="60">
        <f t="shared" si="20"/>
        <v>365474</v>
      </c>
      <c r="R150" s="79"/>
      <c r="S150" s="80" t="s">
        <v>270</v>
      </c>
      <c r="U150" s="81"/>
    </row>
    <row r="151" spans="1:21" s="6" customFormat="1" ht="33.6" customHeight="1">
      <c r="A151" s="32">
        <v>137</v>
      </c>
      <c r="B151" s="40"/>
      <c r="C151" s="40"/>
      <c r="D151" s="34"/>
      <c r="E151" s="35" t="str">
        <f>'Tên Tháng 1'!E140</f>
        <v>សៅ​ ធី</v>
      </c>
      <c r="F151" s="36" t="str">
        <f>'Tên Tháng 1'!F140</f>
        <v>SOA THY</v>
      </c>
      <c r="G151" s="37">
        <v>262</v>
      </c>
      <c r="H151" s="38">
        <v>31947</v>
      </c>
      <c r="I151" s="59">
        <f>'KL 1'!X152</f>
        <v>12.26</v>
      </c>
      <c r="J151" s="60">
        <f t="shared" si="15"/>
        <v>391670</v>
      </c>
      <c r="K151" s="61"/>
      <c r="L151" s="62"/>
      <c r="M151" s="63">
        <f t="shared" si="16"/>
        <v>391670</v>
      </c>
      <c r="N151" s="64">
        <f t="shared" si="17"/>
        <v>0</v>
      </c>
      <c r="O151" s="65">
        <f t="shared" si="18"/>
        <v>0</v>
      </c>
      <c r="P151" s="66">
        <f t="shared" si="19"/>
        <v>0</v>
      </c>
      <c r="Q151" s="60">
        <f t="shared" si="20"/>
        <v>391670</v>
      </c>
      <c r="R151" s="79"/>
      <c r="S151" s="80" t="s">
        <v>270</v>
      </c>
      <c r="U151" s="81"/>
    </row>
    <row r="152" spans="1:21" s="6" customFormat="1" ht="33.6" customHeight="1">
      <c r="A152" s="32">
        <v>138</v>
      </c>
      <c r="B152" s="40"/>
      <c r="C152" s="40"/>
      <c r="D152" s="34"/>
      <c r="E152" s="35" t="str">
        <f>'Tên Tháng 1'!E141</f>
        <v>រី អឿន</v>
      </c>
      <c r="F152" s="36" t="str">
        <f>'Tên Tháng 1'!F141</f>
        <v>RY OEUN</v>
      </c>
      <c r="G152" s="37">
        <v>263</v>
      </c>
      <c r="H152" s="38">
        <v>31947</v>
      </c>
      <c r="I152" s="59">
        <f>'KL 1'!X153</f>
        <v>11.44</v>
      </c>
      <c r="J152" s="60">
        <f t="shared" si="15"/>
        <v>365474</v>
      </c>
      <c r="K152" s="61"/>
      <c r="L152" s="62"/>
      <c r="M152" s="63">
        <f t="shared" si="16"/>
        <v>365474</v>
      </c>
      <c r="N152" s="64">
        <f t="shared" si="17"/>
        <v>0</v>
      </c>
      <c r="O152" s="65">
        <f t="shared" si="18"/>
        <v>0</v>
      </c>
      <c r="P152" s="66">
        <f t="shared" si="19"/>
        <v>0</v>
      </c>
      <c r="Q152" s="60">
        <f t="shared" si="20"/>
        <v>365474</v>
      </c>
      <c r="R152" s="79"/>
      <c r="S152" s="80" t="s">
        <v>270</v>
      </c>
      <c r="U152" s="81"/>
    </row>
    <row r="153" spans="1:21" s="6" customFormat="1" ht="33.6" customHeight="1">
      <c r="A153" s="32">
        <v>139</v>
      </c>
      <c r="B153" s="40"/>
      <c r="C153" s="40"/>
      <c r="D153" s="34"/>
      <c r="E153" s="35" t="str">
        <f>'Tên Tháng 1'!E142</f>
        <v>ប៊ុត សុគង់</v>
      </c>
      <c r="F153" s="36" t="str">
        <f>'Tên Tháng 1'!F142</f>
        <v>BUT SOKONG</v>
      </c>
      <c r="G153" s="37">
        <v>264</v>
      </c>
      <c r="H153" s="38">
        <v>31947</v>
      </c>
      <c r="I153" s="59">
        <f>'KL 1'!X154</f>
        <v>10.84</v>
      </c>
      <c r="J153" s="60">
        <f t="shared" si="15"/>
        <v>346305</v>
      </c>
      <c r="K153" s="61"/>
      <c r="L153" s="62"/>
      <c r="M153" s="63">
        <f t="shared" si="16"/>
        <v>346305</v>
      </c>
      <c r="N153" s="64">
        <f t="shared" si="17"/>
        <v>0</v>
      </c>
      <c r="O153" s="65">
        <f t="shared" si="18"/>
        <v>0</v>
      </c>
      <c r="P153" s="66">
        <f t="shared" si="19"/>
        <v>0</v>
      </c>
      <c r="Q153" s="60">
        <f t="shared" si="20"/>
        <v>346305</v>
      </c>
      <c r="R153" s="79"/>
      <c r="S153" s="80" t="s">
        <v>270</v>
      </c>
      <c r="U153" s="81"/>
    </row>
    <row r="154" spans="1:21" s="6" customFormat="1" ht="33.6" customHeight="1">
      <c r="A154" s="32">
        <v>140</v>
      </c>
      <c r="B154" s="40"/>
      <c r="C154" s="40"/>
      <c r="D154" s="34"/>
      <c r="E154" s="35" t="str">
        <f>'Tên Tháng 1'!E143</f>
        <v>ឡាម វង្ស</v>
      </c>
      <c r="F154" s="36" t="str">
        <f>'Tên Tháng 1'!F143</f>
        <v>LAM VONG</v>
      </c>
      <c r="G154" s="37">
        <v>265</v>
      </c>
      <c r="H154" s="38">
        <v>31947</v>
      </c>
      <c r="I154" s="59">
        <f>'KL 1'!X155</f>
        <v>11.57</v>
      </c>
      <c r="J154" s="60">
        <f t="shared" si="15"/>
        <v>369627</v>
      </c>
      <c r="K154" s="61"/>
      <c r="L154" s="62"/>
      <c r="M154" s="63">
        <f t="shared" si="16"/>
        <v>369627</v>
      </c>
      <c r="N154" s="64">
        <f t="shared" si="17"/>
        <v>0</v>
      </c>
      <c r="O154" s="65">
        <f t="shared" si="18"/>
        <v>0</v>
      </c>
      <c r="P154" s="66">
        <f t="shared" si="19"/>
        <v>0</v>
      </c>
      <c r="Q154" s="60">
        <f t="shared" si="20"/>
        <v>369627</v>
      </c>
      <c r="R154" s="79"/>
      <c r="S154" s="80" t="s">
        <v>270</v>
      </c>
      <c r="U154" s="81"/>
    </row>
    <row r="155" spans="1:21" s="6" customFormat="1" ht="33.6" customHeight="1">
      <c r="A155" s="32">
        <v>141</v>
      </c>
      <c r="B155" s="40"/>
      <c r="C155" s="40"/>
      <c r="D155" s="34"/>
      <c r="E155" s="35" t="str">
        <f>'Tên Tháng 1'!E144</f>
        <v>លីម ធា</v>
      </c>
      <c r="F155" s="36" t="str">
        <f>'Tên Tháng 1'!F144</f>
        <v>LIM THEA</v>
      </c>
      <c r="G155" s="37">
        <v>266</v>
      </c>
      <c r="H155" s="38">
        <v>31947</v>
      </c>
      <c r="I155" s="59">
        <f>'KL 1'!X156</f>
        <v>12.250000000000002</v>
      </c>
      <c r="J155" s="60">
        <f t="shared" si="15"/>
        <v>391351</v>
      </c>
      <c r="K155" s="61"/>
      <c r="L155" s="62"/>
      <c r="M155" s="63">
        <f t="shared" si="16"/>
        <v>391351</v>
      </c>
      <c r="N155" s="64">
        <f t="shared" si="17"/>
        <v>0</v>
      </c>
      <c r="O155" s="65">
        <f t="shared" si="18"/>
        <v>0</v>
      </c>
      <c r="P155" s="66">
        <f t="shared" si="19"/>
        <v>0</v>
      </c>
      <c r="Q155" s="60">
        <f t="shared" si="20"/>
        <v>391351</v>
      </c>
      <c r="R155" s="79"/>
      <c r="S155" s="80" t="s">
        <v>270</v>
      </c>
      <c r="U155" s="81"/>
    </row>
    <row r="156" spans="1:21" s="6" customFormat="1" ht="33.6" customHeight="1">
      <c r="A156" s="32">
        <v>142</v>
      </c>
      <c r="B156" s="40"/>
      <c r="C156" s="40"/>
      <c r="D156" s="34"/>
      <c r="E156" s="35" t="str">
        <f>'Tên Tháng 1'!E145</f>
        <v>យ៉ុន ឆាយ</v>
      </c>
      <c r="F156" s="36" t="str">
        <f>'Tên Tháng 1'!F145</f>
        <v>YON CHHAY</v>
      </c>
      <c r="G156" s="37">
        <v>267</v>
      </c>
      <c r="H156" s="38">
        <v>31947</v>
      </c>
      <c r="I156" s="59">
        <f>'KL 1'!X157</f>
        <v>13.840000000000002</v>
      </c>
      <c r="J156" s="60">
        <f t="shared" si="15"/>
        <v>442146</v>
      </c>
      <c r="K156" s="61"/>
      <c r="L156" s="62"/>
      <c r="M156" s="63">
        <f t="shared" si="16"/>
        <v>442146</v>
      </c>
      <c r="N156" s="64">
        <f t="shared" si="17"/>
        <v>0</v>
      </c>
      <c r="O156" s="65">
        <f t="shared" si="18"/>
        <v>0</v>
      </c>
      <c r="P156" s="66">
        <f t="shared" si="19"/>
        <v>0</v>
      </c>
      <c r="Q156" s="60">
        <f t="shared" si="20"/>
        <v>442146</v>
      </c>
      <c r="R156" s="79"/>
      <c r="S156" s="80" t="s">
        <v>270</v>
      </c>
      <c r="U156" s="81"/>
    </row>
    <row r="157" spans="1:21" s="6" customFormat="1" ht="33.6" customHeight="1">
      <c r="A157" s="32">
        <v>143</v>
      </c>
      <c r="B157" s="40"/>
      <c r="C157" s="40"/>
      <c r="D157" s="34"/>
      <c r="E157" s="35" t="str">
        <f>'Tên Tháng 1'!E146</f>
        <v>យ៉ាត សុឃីម</v>
      </c>
      <c r="F157" s="36" t="str">
        <f>'Tên Tháng 1'!F146</f>
        <v>YAT SOKHIM</v>
      </c>
      <c r="G157" s="37">
        <v>268</v>
      </c>
      <c r="H157" s="38">
        <v>31947</v>
      </c>
      <c r="I157" s="59">
        <f>'KL 1'!X158</f>
        <v>10.07</v>
      </c>
      <c r="J157" s="60">
        <f t="shared" si="15"/>
        <v>321706</v>
      </c>
      <c r="K157" s="61"/>
      <c r="L157" s="62"/>
      <c r="M157" s="63">
        <f t="shared" si="16"/>
        <v>321706</v>
      </c>
      <c r="N157" s="64">
        <f t="shared" si="17"/>
        <v>0</v>
      </c>
      <c r="O157" s="65">
        <f t="shared" si="18"/>
        <v>0</v>
      </c>
      <c r="P157" s="66">
        <f t="shared" si="19"/>
        <v>0</v>
      </c>
      <c r="Q157" s="60">
        <f t="shared" si="20"/>
        <v>321706</v>
      </c>
      <c r="R157" s="79"/>
      <c r="S157" s="80" t="s">
        <v>270</v>
      </c>
      <c r="U157" s="81"/>
    </row>
    <row r="158" spans="1:21" s="6" customFormat="1" ht="33.6" customHeight="1">
      <c r="A158" s="32">
        <v>144</v>
      </c>
      <c r="B158" s="40"/>
      <c r="C158" s="40"/>
      <c r="D158" s="34"/>
      <c r="E158" s="35" t="str">
        <f>'Tên Tháng 1'!E147</f>
        <v>ឈន ប៊ន</v>
      </c>
      <c r="F158" s="36" t="str">
        <f>'Tên Tháng 1'!F147</f>
        <v>CHHON BORN</v>
      </c>
      <c r="G158" s="37">
        <v>269</v>
      </c>
      <c r="H158" s="38">
        <v>31947</v>
      </c>
      <c r="I158" s="59">
        <f>'KL 1'!X159</f>
        <v>14.999999999999998</v>
      </c>
      <c r="J158" s="60">
        <f t="shared" si="15"/>
        <v>479205</v>
      </c>
      <c r="K158" s="61"/>
      <c r="L158" s="62"/>
      <c r="M158" s="63">
        <f t="shared" si="16"/>
        <v>479205</v>
      </c>
      <c r="N158" s="64">
        <f t="shared" si="17"/>
        <v>0</v>
      </c>
      <c r="O158" s="65">
        <f t="shared" si="18"/>
        <v>0</v>
      </c>
      <c r="P158" s="66">
        <f t="shared" si="19"/>
        <v>0</v>
      </c>
      <c r="Q158" s="60">
        <f t="shared" si="20"/>
        <v>479205</v>
      </c>
      <c r="R158" s="79"/>
      <c r="S158" s="80" t="s">
        <v>270</v>
      </c>
      <c r="U158" s="81"/>
    </row>
    <row r="159" spans="1:21" s="6" customFormat="1" ht="33.6" customHeight="1">
      <c r="A159" s="32">
        <v>145</v>
      </c>
      <c r="B159" s="40"/>
      <c r="C159" s="40"/>
      <c r="D159" s="34"/>
      <c r="E159" s="35" t="str">
        <f>'Tên Tháng 1'!E148</f>
        <v>ចន អ៊ន់</v>
      </c>
      <c r="F159" s="36" t="str">
        <f>'Tên Tháng 1'!F148</f>
        <v>CHAN ON</v>
      </c>
      <c r="G159" s="37">
        <v>270</v>
      </c>
      <c r="H159" s="38">
        <v>31947</v>
      </c>
      <c r="I159" s="59">
        <f>'KL 1'!X160</f>
        <v>14.719999999999999</v>
      </c>
      <c r="J159" s="60">
        <f t="shared" si="15"/>
        <v>470260</v>
      </c>
      <c r="K159" s="61"/>
      <c r="L159" s="62"/>
      <c r="M159" s="63">
        <f t="shared" si="16"/>
        <v>470260</v>
      </c>
      <c r="N159" s="64">
        <f t="shared" si="17"/>
        <v>0</v>
      </c>
      <c r="O159" s="65">
        <f t="shared" si="18"/>
        <v>0</v>
      </c>
      <c r="P159" s="66">
        <f t="shared" si="19"/>
        <v>0</v>
      </c>
      <c r="Q159" s="60">
        <f t="shared" si="20"/>
        <v>470260</v>
      </c>
      <c r="R159" s="79"/>
      <c r="S159" s="80" t="s">
        <v>270</v>
      </c>
      <c r="U159" s="81"/>
    </row>
    <row r="160" spans="1:21" s="6" customFormat="1" ht="33.6" customHeight="1">
      <c r="A160" s="32">
        <v>146</v>
      </c>
      <c r="B160" s="40"/>
      <c r="C160" s="40"/>
      <c r="D160" s="34"/>
      <c r="E160" s="35" t="str">
        <f>'Tên Tháng 1'!E149</f>
        <v>សែម ធឿន</v>
      </c>
      <c r="F160" s="36" t="str">
        <f>'Tên Tháng 1'!F149</f>
        <v>SEM THOEURN</v>
      </c>
      <c r="G160" s="37">
        <v>271</v>
      </c>
      <c r="H160" s="38">
        <v>31947</v>
      </c>
      <c r="I160" s="59">
        <f>'KL 1'!X161</f>
        <v>12.73</v>
      </c>
      <c r="J160" s="60">
        <f t="shared" si="15"/>
        <v>406685</v>
      </c>
      <c r="K160" s="61"/>
      <c r="L160" s="62"/>
      <c r="M160" s="63">
        <f t="shared" si="16"/>
        <v>406685</v>
      </c>
      <c r="N160" s="64">
        <f t="shared" si="17"/>
        <v>0</v>
      </c>
      <c r="O160" s="65">
        <f t="shared" si="18"/>
        <v>0</v>
      </c>
      <c r="P160" s="66">
        <f t="shared" si="19"/>
        <v>0</v>
      </c>
      <c r="Q160" s="60">
        <f t="shared" si="20"/>
        <v>406685</v>
      </c>
      <c r="R160" s="79"/>
      <c r="S160" s="80" t="s">
        <v>270</v>
      </c>
      <c r="U160" s="81"/>
    </row>
    <row r="161" spans="1:21" s="6" customFormat="1" ht="33.6" customHeight="1">
      <c r="A161" s="32">
        <v>147</v>
      </c>
      <c r="B161" s="40"/>
      <c r="C161" s="40"/>
      <c r="D161" s="34"/>
      <c r="E161" s="35" t="str">
        <f>'Tên Tháng 1'!E150</f>
        <v>ហ៊ាន ភ័ក្រ</v>
      </c>
      <c r="F161" s="36" t="str">
        <f>'Tên Tháng 1'!F150</f>
        <v>HEAN PHEAK</v>
      </c>
      <c r="G161" s="37">
        <v>272</v>
      </c>
      <c r="H161" s="38">
        <v>31947</v>
      </c>
      <c r="I161" s="59">
        <f>'KL 1'!X162</f>
        <v>13.81</v>
      </c>
      <c r="J161" s="60">
        <f t="shared" si="15"/>
        <v>441188</v>
      </c>
      <c r="K161" s="61"/>
      <c r="L161" s="62"/>
      <c r="M161" s="63">
        <f t="shared" si="16"/>
        <v>441188</v>
      </c>
      <c r="N161" s="64">
        <f t="shared" si="17"/>
        <v>0</v>
      </c>
      <c r="O161" s="65">
        <f t="shared" si="18"/>
        <v>0</v>
      </c>
      <c r="P161" s="66">
        <f t="shared" si="19"/>
        <v>0</v>
      </c>
      <c r="Q161" s="60">
        <f t="shared" si="20"/>
        <v>441188</v>
      </c>
      <c r="R161" s="79"/>
      <c r="S161" s="80" t="s">
        <v>270</v>
      </c>
      <c r="U161" s="81"/>
    </row>
    <row r="162" spans="1:21" s="6" customFormat="1" ht="33.6" customHeight="1">
      <c r="A162" s="32">
        <v>148</v>
      </c>
      <c r="B162" s="40"/>
      <c r="C162" s="40"/>
      <c r="D162" s="34"/>
      <c r="E162" s="35" t="str">
        <f>'Tên Tháng 1'!E151</f>
        <v>ឆ្លាមឆ្លាត សុខេន</v>
      </c>
      <c r="F162" s="36" t="str">
        <f>'Tên Tháng 1'!F151</f>
        <v>CHHLAMCHHAT SOKHEN</v>
      </c>
      <c r="G162" s="37">
        <v>273</v>
      </c>
      <c r="H162" s="38">
        <v>31947</v>
      </c>
      <c r="I162" s="59">
        <f>'KL 1'!X163</f>
        <v>12.559999999999999</v>
      </c>
      <c r="J162" s="60">
        <f t="shared" si="15"/>
        <v>401254</v>
      </c>
      <c r="K162" s="61"/>
      <c r="L162" s="62"/>
      <c r="M162" s="63">
        <f t="shared" si="16"/>
        <v>401254</v>
      </c>
      <c r="N162" s="64">
        <f t="shared" si="17"/>
        <v>0</v>
      </c>
      <c r="O162" s="65">
        <f t="shared" si="18"/>
        <v>0</v>
      </c>
      <c r="P162" s="66">
        <f t="shared" si="19"/>
        <v>0</v>
      </c>
      <c r="Q162" s="60">
        <f t="shared" si="20"/>
        <v>401254</v>
      </c>
      <c r="R162" s="79"/>
      <c r="S162" s="80" t="s">
        <v>270</v>
      </c>
      <c r="U162" s="81"/>
    </row>
    <row r="163" spans="1:21" s="6" customFormat="1" ht="33.6" customHeight="1">
      <c r="A163" s="32">
        <v>149</v>
      </c>
      <c r="B163" s="40"/>
      <c r="C163" s="40"/>
      <c r="D163" s="34"/>
      <c r="E163" s="35" t="str">
        <f>'Tên Tháng 1'!E152</f>
        <v>ប៊ូ ស្រីណយ</v>
      </c>
      <c r="F163" s="36" t="str">
        <f>'Tên Tháng 1'!F152</f>
        <v>BOU SREYNOY</v>
      </c>
      <c r="G163" s="37">
        <v>274</v>
      </c>
      <c r="H163" s="38">
        <v>31947</v>
      </c>
      <c r="I163" s="59">
        <f>'KL 1'!X164</f>
        <v>13.62</v>
      </c>
      <c r="J163" s="60">
        <f t="shared" si="15"/>
        <v>435118</v>
      </c>
      <c r="K163" s="61"/>
      <c r="L163" s="62"/>
      <c r="M163" s="63">
        <f t="shared" si="16"/>
        <v>435118</v>
      </c>
      <c r="N163" s="64">
        <f t="shared" si="17"/>
        <v>0</v>
      </c>
      <c r="O163" s="65">
        <f t="shared" si="18"/>
        <v>0</v>
      </c>
      <c r="P163" s="66">
        <f t="shared" si="19"/>
        <v>0</v>
      </c>
      <c r="Q163" s="60">
        <f t="shared" si="20"/>
        <v>435118</v>
      </c>
      <c r="R163" s="79"/>
      <c r="S163" s="80" t="s">
        <v>270</v>
      </c>
      <c r="U163" s="81"/>
    </row>
    <row r="164" spans="1:21" s="6" customFormat="1" ht="33.6" customHeight="1">
      <c r="A164" s="32">
        <v>150</v>
      </c>
      <c r="B164" s="40"/>
      <c r="C164" s="40"/>
      <c r="D164" s="34"/>
      <c r="E164" s="35" t="str">
        <f>'Tên Tháng 1'!E153</f>
        <v>អ៊ីវ សាវុន</v>
      </c>
      <c r="F164" s="36" t="str">
        <f>'Tên Tháng 1'!F153</f>
        <v>IV SAVUN</v>
      </c>
      <c r="G164" s="37">
        <v>275</v>
      </c>
      <c r="H164" s="38">
        <v>31947</v>
      </c>
      <c r="I164" s="59">
        <f>'KL 1'!X165</f>
        <v>13.18</v>
      </c>
      <c r="J164" s="60">
        <f t="shared" si="15"/>
        <v>421061</v>
      </c>
      <c r="K164" s="61"/>
      <c r="L164" s="62"/>
      <c r="M164" s="63">
        <f t="shared" si="16"/>
        <v>421061</v>
      </c>
      <c r="N164" s="64">
        <f t="shared" si="17"/>
        <v>0</v>
      </c>
      <c r="O164" s="65">
        <f t="shared" si="18"/>
        <v>0</v>
      </c>
      <c r="P164" s="66">
        <f t="shared" si="19"/>
        <v>0</v>
      </c>
      <c r="Q164" s="60">
        <f t="shared" si="20"/>
        <v>421061</v>
      </c>
      <c r="R164" s="79"/>
      <c r="S164" s="80" t="s">
        <v>270</v>
      </c>
      <c r="U164" s="81"/>
    </row>
    <row r="165" spans="1:21" s="6" customFormat="1" ht="33.6" customHeight="1">
      <c r="A165" s="32">
        <v>151</v>
      </c>
      <c r="B165" s="40"/>
      <c r="C165" s="40"/>
      <c r="D165" s="34"/>
      <c r="E165" s="35" t="str">
        <f>'Tên Tháng 1'!E154</f>
        <v>សាត គឹមសេង</v>
      </c>
      <c r="F165" s="36" t="str">
        <f>'Tên Tháng 1'!F154</f>
        <v>SAT KIMSENG</v>
      </c>
      <c r="G165" s="37">
        <v>276</v>
      </c>
      <c r="H165" s="38">
        <v>31947</v>
      </c>
      <c r="I165" s="59">
        <f>'KL 1'!X166</f>
        <v>12.24</v>
      </c>
      <c r="J165" s="60">
        <f t="shared" si="15"/>
        <v>391031</v>
      </c>
      <c r="K165" s="61"/>
      <c r="L165" s="62"/>
      <c r="M165" s="63">
        <f t="shared" si="16"/>
        <v>391031</v>
      </c>
      <c r="N165" s="64">
        <f t="shared" si="17"/>
        <v>0</v>
      </c>
      <c r="O165" s="65">
        <f t="shared" si="18"/>
        <v>0</v>
      </c>
      <c r="P165" s="66">
        <f t="shared" si="19"/>
        <v>0</v>
      </c>
      <c r="Q165" s="60">
        <f t="shared" si="20"/>
        <v>391031</v>
      </c>
      <c r="R165" s="79"/>
      <c r="S165" s="80" t="s">
        <v>270</v>
      </c>
      <c r="U165" s="81"/>
    </row>
    <row r="166" spans="1:21" s="6" customFormat="1" ht="33.6" customHeight="1">
      <c r="A166" s="32">
        <v>152</v>
      </c>
      <c r="B166" s="40"/>
      <c r="C166" s="40"/>
      <c r="D166" s="34"/>
      <c r="E166" s="35" t="str">
        <f>'Tên Tháng 1'!E155</f>
        <v>ធី សៀងហេង</v>
      </c>
      <c r="F166" s="36" t="str">
        <f>'Tên Tháng 1'!F155</f>
        <v>THY SEANG HENG</v>
      </c>
      <c r="G166" s="37">
        <v>277</v>
      </c>
      <c r="H166" s="38">
        <v>31947</v>
      </c>
      <c r="I166" s="59">
        <f>'KL 1'!X167</f>
        <v>12.2</v>
      </c>
      <c r="J166" s="60">
        <f t="shared" si="15"/>
        <v>389753</v>
      </c>
      <c r="K166" s="61"/>
      <c r="L166" s="62"/>
      <c r="M166" s="63">
        <f t="shared" si="16"/>
        <v>389753</v>
      </c>
      <c r="N166" s="64">
        <f t="shared" si="17"/>
        <v>0</v>
      </c>
      <c r="O166" s="65">
        <f t="shared" si="18"/>
        <v>0</v>
      </c>
      <c r="P166" s="66">
        <f t="shared" si="19"/>
        <v>0</v>
      </c>
      <c r="Q166" s="60">
        <f t="shared" si="20"/>
        <v>389753</v>
      </c>
      <c r="R166" s="79"/>
      <c r="S166" s="80" t="s">
        <v>270</v>
      </c>
      <c r="U166" s="81"/>
    </row>
    <row r="167" spans="1:21" s="6" customFormat="1" ht="33.6" customHeight="1">
      <c r="A167" s="32">
        <v>153</v>
      </c>
      <c r="B167" s="40"/>
      <c r="C167" s="40"/>
      <c r="D167" s="34"/>
      <c r="E167" s="35" t="str">
        <f>'Tên Tháng 1'!E156</f>
        <v>វ៉ាត ចន្ធី</v>
      </c>
      <c r="F167" s="36" t="str">
        <f>'Tên Tháng 1'!F156</f>
        <v>VAT CHANTHY</v>
      </c>
      <c r="G167" s="37">
        <v>278</v>
      </c>
      <c r="H167" s="38">
        <v>31947</v>
      </c>
      <c r="I167" s="59">
        <f>'KL 1'!X168</f>
        <v>14.7</v>
      </c>
      <c r="J167" s="60">
        <f t="shared" si="15"/>
        <v>469621</v>
      </c>
      <c r="K167" s="61"/>
      <c r="L167" s="62"/>
      <c r="M167" s="63">
        <f t="shared" si="16"/>
        <v>469621</v>
      </c>
      <c r="N167" s="64">
        <f t="shared" si="17"/>
        <v>0</v>
      </c>
      <c r="O167" s="65">
        <f t="shared" si="18"/>
        <v>0</v>
      </c>
      <c r="P167" s="66">
        <f t="shared" si="19"/>
        <v>0</v>
      </c>
      <c r="Q167" s="60">
        <f t="shared" si="20"/>
        <v>469621</v>
      </c>
      <c r="R167" s="79"/>
      <c r="S167" s="80" t="s">
        <v>270</v>
      </c>
      <c r="U167" s="81"/>
    </row>
    <row r="168" spans="1:21" s="6" customFormat="1" ht="33.6" customHeight="1">
      <c r="A168" s="32">
        <v>154</v>
      </c>
      <c r="B168" s="40"/>
      <c r="C168" s="40"/>
      <c r="D168" s="34"/>
      <c r="E168" s="35" t="str">
        <f>'Tên Tháng 1'!E157</f>
        <v>តែ សុនាង</v>
      </c>
      <c r="F168" s="36" t="str">
        <f>'Tên Tháng 1'!F157</f>
        <v>TOE AONANG</v>
      </c>
      <c r="G168" s="37">
        <v>279</v>
      </c>
      <c r="H168" s="38">
        <v>31947</v>
      </c>
      <c r="I168" s="59">
        <f>'KL 1'!X169</f>
        <v>14.45</v>
      </c>
      <c r="J168" s="60">
        <f t="shared" si="15"/>
        <v>461634</v>
      </c>
      <c r="K168" s="61"/>
      <c r="L168" s="62"/>
      <c r="M168" s="63">
        <f t="shared" si="16"/>
        <v>461634</v>
      </c>
      <c r="N168" s="64">
        <f t="shared" si="17"/>
        <v>0</v>
      </c>
      <c r="O168" s="65">
        <f t="shared" si="18"/>
        <v>0</v>
      </c>
      <c r="P168" s="66">
        <f t="shared" si="19"/>
        <v>0</v>
      </c>
      <c r="Q168" s="60">
        <f t="shared" si="20"/>
        <v>461634</v>
      </c>
      <c r="R168" s="79"/>
      <c r="S168" s="80" t="s">
        <v>270</v>
      </c>
      <c r="U168" s="81"/>
    </row>
    <row r="169" spans="1:21" s="6" customFormat="1" ht="33.6" customHeight="1">
      <c r="A169" s="32">
        <v>155</v>
      </c>
      <c r="B169" s="40"/>
      <c r="C169" s="40"/>
      <c r="D169" s="34"/>
      <c r="E169" s="35" t="str">
        <f>'Tên Tháng 1'!E158</f>
        <v>យ៉ុន ឈីន</v>
      </c>
      <c r="F169" s="36" t="str">
        <f>'Tên Tháng 1'!F158</f>
        <v>YON CHHIN</v>
      </c>
      <c r="G169" s="37">
        <v>280</v>
      </c>
      <c r="H169" s="38">
        <v>31947</v>
      </c>
      <c r="I169" s="59">
        <f>'KL 1'!X170</f>
        <v>13.64</v>
      </c>
      <c r="J169" s="60">
        <f t="shared" si="15"/>
        <v>435757</v>
      </c>
      <c r="K169" s="61"/>
      <c r="L169" s="62"/>
      <c r="M169" s="63">
        <f t="shared" si="16"/>
        <v>435757</v>
      </c>
      <c r="N169" s="64">
        <f t="shared" si="17"/>
        <v>0</v>
      </c>
      <c r="O169" s="65">
        <f t="shared" si="18"/>
        <v>0</v>
      </c>
      <c r="P169" s="66">
        <f t="shared" si="19"/>
        <v>0</v>
      </c>
      <c r="Q169" s="60">
        <f t="shared" si="20"/>
        <v>435757</v>
      </c>
      <c r="R169" s="79"/>
      <c r="S169" s="80" t="s">
        <v>270</v>
      </c>
      <c r="U169" s="81"/>
    </row>
    <row r="170" spans="1:21" s="6" customFormat="1" ht="33.6" customHeight="1">
      <c r="A170" s="32">
        <v>156</v>
      </c>
      <c r="B170" s="40"/>
      <c r="C170" s="40"/>
      <c r="D170" s="34"/>
      <c r="E170" s="35" t="str">
        <f>'Tên Tháng 1'!E159</f>
        <v>ហេង សុខ​</v>
      </c>
      <c r="F170" s="36" t="str">
        <f>'Tên Tháng 1'!F159</f>
        <v>HENG SOK</v>
      </c>
      <c r="G170" s="37">
        <v>281</v>
      </c>
      <c r="H170" s="38">
        <v>31947</v>
      </c>
      <c r="I170" s="59">
        <f>'KL 1'!X171</f>
        <v>12.120000000000001</v>
      </c>
      <c r="J170" s="60">
        <f t="shared" si="15"/>
        <v>387198</v>
      </c>
      <c r="K170" s="61"/>
      <c r="L170" s="62"/>
      <c r="M170" s="63">
        <f t="shared" si="16"/>
        <v>387198</v>
      </c>
      <c r="N170" s="64">
        <f t="shared" si="17"/>
        <v>0</v>
      </c>
      <c r="O170" s="65">
        <f t="shared" si="18"/>
        <v>0</v>
      </c>
      <c r="P170" s="66">
        <f t="shared" si="19"/>
        <v>0</v>
      </c>
      <c r="Q170" s="60">
        <f t="shared" si="20"/>
        <v>387198</v>
      </c>
      <c r="R170" s="79"/>
      <c r="S170" s="80" t="s">
        <v>270</v>
      </c>
      <c r="U170" s="81"/>
    </row>
    <row r="171" spans="1:21" s="6" customFormat="1" ht="33.6" customHeight="1">
      <c r="A171" s="32">
        <v>157</v>
      </c>
      <c r="B171" s="40"/>
      <c r="C171" s="40"/>
      <c r="D171" s="34"/>
      <c r="E171" s="35" t="str">
        <f>'Tên Tháng 1'!E160</f>
        <v>មឿន រម្យ</v>
      </c>
      <c r="F171" s="36" t="str">
        <f>'Tên Tháng 1'!F160</f>
        <v>MOEUN RUM</v>
      </c>
      <c r="G171" s="37">
        <v>282</v>
      </c>
      <c r="H171" s="38">
        <v>31947</v>
      </c>
      <c r="I171" s="59">
        <f>'KL 1'!X172</f>
        <v>11.48</v>
      </c>
      <c r="J171" s="60">
        <f t="shared" si="15"/>
        <v>366752</v>
      </c>
      <c r="K171" s="61"/>
      <c r="L171" s="62"/>
      <c r="M171" s="63">
        <f t="shared" si="16"/>
        <v>366752</v>
      </c>
      <c r="N171" s="64">
        <f t="shared" si="17"/>
        <v>0</v>
      </c>
      <c r="O171" s="65">
        <f t="shared" si="18"/>
        <v>0</v>
      </c>
      <c r="P171" s="66">
        <f t="shared" si="19"/>
        <v>0</v>
      </c>
      <c r="Q171" s="60">
        <f t="shared" si="20"/>
        <v>366752</v>
      </c>
      <c r="R171" s="79"/>
      <c r="S171" s="80" t="s">
        <v>270</v>
      </c>
      <c r="U171" s="81"/>
    </row>
    <row r="172" spans="1:21" s="6" customFormat="1" ht="33.6" customHeight="1">
      <c r="A172" s="32">
        <v>158</v>
      </c>
      <c r="B172" s="40"/>
      <c r="C172" s="40"/>
      <c r="D172" s="34"/>
      <c r="E172" s="35" t="str">
        <f>'Tên Tháng 1'!E161</f>
        <v>សំ វិជ្ជា</v>
      </c>
      <c r="F172" s="36" t="str">
        <f>'Tên Tháng 1'!F161</f>
        <v>SAM VICHEA</v>
      </c>
      <c r="G172" s="37">
        <v>283</v>
      </c>
      <c r="H172" s="38">
        <v>31947</v>
      </c>
      <c r="I172" s="59">
        <f>'KL 1'!X173</f>
        <v>13.629999999999999</v>
      </c>
      <c r="J172" s="60">
        <f t="shared" si="15"/>
        <v>435438</v>
      </c>
      <c r="K172" s="61"/>
      <c r="L172" s="62"/>
      <c r="M172" s="63">
        <f t="shared" si="16"/>
        <v>435438</v>
      </c>
      <c r="N172" s="64">
        <f t="shared" si="17"/>
        <v>0</v>
      </c>
      <c r="O172" s="65">
        <f t="shared" si="18"/>
        <v>0</v>
      </c>
      <c r="P172" s="66">
        <f t="shared" si="19"/>
        <v>0</v>
      </c>
      <c r="Q172" s="60">
        <f t="shared" si="20"/>
        <v>435438</v>
      </c>
      <c r="R172" s="79"/>
      <c r="S172" s="80" t="s">
        <v>270</v>
      </c>
      <c r="U172" s="81"/>
    </row>
    <row r="173" spans="1:21" s="6" customFormat="1" ht="33.6" customHeight="1">
      <c r="A173" s="32">
        <v>159</v>
      </c>
      <c r="B173" s="40"/>
      <c r="C173" s="40"/>
      <c r="D173" s="34"/>
      <c r="E173" s="35" t="str">
        <f>'Tên Tháng 1'!E162</f>
        <v>គង់ កៀន</v>
      </c>
      <c r="F173" s="36" t="str">
        <f>'Tên Tháng 1'!F162</f>
        <v>KONG KIEN</v>
      </c>
      <c r="G173" s="37">
        <v>284</v>
      </c>
      <c r="H173" s="38">
        <v>31947</v>
      </c>
      <c r="I173" s="59">
        <f>'KL 1'!X174</f>
        <v>12.67</v>
      </c>
      <c r="J173" s="60">
        <f t="shared" si="15"/>
        <v>404768</v>
      </c>
      <c r="K173" s="61"/>
      <c r="L173" s="62"/>
      <c r="M173" s="63">
        <f t="shared" si="16"/>
        <v>404768</v>
      </c>
      <c r="N173" s="64">
        <f t="shared" si="17"/>
        <v>0</v>
      </c>
      <c r="O173" s="65">
        <f t="shared" si="18"/>
        <v>0</v>
      </c>
      <c r="P173" s="66">
        <f t="shared" si="19"/>
        <v>0</v>
      </c>
      <c r="Q173" s="60">
        <f t="shared" si="20"/>
        <v>404768</v>
      </c>
      <c r="R173" s="79"/>
      <c r="S173" s="80" t="s">
        <v>270</v>
      </c>
      <c r="U173" s="81"/>
    </row>
    <row r="174" spans="1:21" s="6" customFormat="1" ht="33.6" customHeight="1">
      <c r="A174" s="32">
        <v>160</v>
      </c>
      <c r="B174" s="40"/>
      <c r="C174" s="40"/>
      <c r="D174" s="34"/>
      <c r="E174" s="35" t="str">
        <f>'Tên Tháng 1'!E163</f>
        <v>បាវ ប៊ន</v>
      </c>
      <c r="F174" s="36" t="str">
        <f>'Tên Tháng 1'!F163</f>
        <v>BAV BORN</v>
      </c>
      <c r="G174" s="37">
        <v>285</v>
      </c>
      <c r="H174" s="38">
        <v>31947</v>
      </c>
      <c r="I174" s="59">
        <f>'KL 1'!X175</f>
        <v>12.020000000000001</v>
      </c>
      <c r="J174" s="60">
        <f t="shared" si="15"/>
        <v>384003</v>
      </c>
      <c r="K174" s="61"/>
      <c r="L174" s="62"/>
      <c r="M174" s="63">
        <f t="shared" si="16"/>
        <v>384003</v>
      </c>
      <c r="N174" s="64">
        <f t="shared" si="17"/>
        <v>0</v>
      </c>
      <c r="O174" s="65">
        <f t="shared" si="18"/>
        <v>0</v>
      </c>
      <c r="P174" s="66">
        <f t="shared" si="19"/>
        <v>0</v>
      </c>
      <c r="Q174" s="60">
        <f t="shared" si="20"/>
        <v>384003</v>
      </c>
      <c r="R174" s="79"/>
      <c r="S174" s="80" t="s">
        <v>270</v>
      </c>
      <c r="U174" s="81"/>
    </row>
    <row r="175" spans="1:21" s="6" customFormat="1" ht="33.6" customHeight="1">
      <c r="A175" s="32">
        <v>161</v>
      </c>
      <c r="B175" s="40"/>
      <c r="C175" s="40"/>
      <c r="D175" s="34"/>
      <c r="E175" s="35" t="str">
        <f>'Tên Tháng 1'!E164</f>
        <v>ខុន ចំរ៉ុង</v>
      </c>
      <c r="F175" s="36" t="str">
        <f>'Tên Tháng 1'!F164</f>
        <v>KHUN CHAMRONG</v>
      </c>
      <c r="G175" s="37">
        <v>286</v>
      </c>
      <c r="H175" s="38">
        <v>31947</v>
      </c>
      <c r="I175" s="59">
        <f>'KL 1'!X176</f>
        <v>12.36</v>
      </c>
      <c r="J175" s="60">
        <f t="shared" si="15"/>
        <v>394865</v>
      </c>
      <c r="K175" s="61"/>
      <c r="L175" s="62"/>
      <c r="M175" s="63">
        <f t="shared" si="16"/>
        <v>394865</v>
      </c>
      <c r="N175" s="64">
        <f t="shared" si="17"/>
        <v>0</v>
      </c>
      <c r="O175" s="65">
        <f t="shared" si="18"/>
        <v>0</v>
      </c>
      <c r="P175" s="66">
        <f t="shared" si="19"/>
        <v>0</v>
      </c>
      <c r="Q175" s="60">
        <f t="shared" si="20"/>
        <v>394865</v>
      </c>
      <c r="R175" s="79"/>
      <c r="S175" s="80" t="s">
        <v>270</v>
      </c>
      <c r="U175" s="81"/>
    </row>
    <row r="176" spans="1:21" s="6" customFormat="1" ht="33.6" customHeight="1">
      <c r="A176" s="32">
        <v>162</v>
      </c>
      <c r="B176" s="40"/>
      <c r="C176" s="40"/>
      <c r="D176" s="34"/>
      <c r="E176" s="35" t="str">
        <f>'Tên Tháng 1'!E165</f>
        <v>សែម មុំ</v>
      </c>
      <c r="F176" s="36" t="str">
        <f>'Tên Tháng 1'!F165</f>
        <v>SEM MOM</v>
      </c>
      <c r="G176" s="37">
        <v>287</v>
      </c>
      <c r="H176" s="38">
        <v>31947</v>
      </c>
      <c r="I176" s="59">
        <f>'KL 1'!X177</f>
        <v>16.239999999999998</v>
      </c>
      <c r="J176" s="60">
        <f t="shared" si="15"/>
        <v>518819</v>
      </c>
      <c r="K176" s="61"/>
      <c r="L176" s="62"/>
      <c r="M176" s="63">
        <f t="shared" si="16"/>
        <v>518819</v>
      </c>
      <c r="N176" s="64">
        <f t="shared" si="17"/>
        <v>0</v>
      </c>
      <c r="O176" s="65">
        <f t="shared" si="18"/>
        <v>0</v>
      </c>
      <c r="P176" s="66">
        <f t="shared" si="19"/>
        <v>0</v>
      </c>
      <c r="Q176" s="60">
        <f t="shared" si="20"/>
        <v>518819</v>
      </c>
      <c r="R176" s="79"/>
      <c r="S176" s="80" t="s">
        <v>270</v>
      </c>
      <c r="U176" s="81"/>
    </row>
    <row r="177" spans="1:21" s="6" customFormat="1" ht="33.6" customHeight="1">
      <c r="A177" s="32">
        <v>163</v>
      </c>
      <c r="B177" s="40"/>
      <c r="C177" s="40"/>
      <c r="D177" s="34"/>
      <c r="E177" s="35" t="str">
        <f>'Tên Tháng 1'!E166</f>
        <v>ឈិត លាង</v>
      </c>
      <c r="F177" s="36" t="str">
        <f>'Tên Tháng 1'!F166</f>
        <v>CHHET LEANG</v>
      </c>
      <c r="G177" s="37">
        <v>288</v>
      </c>
      <c r="H177" s="38">
        <v>31947</v>
      </c>
      <c r="I177" s="59">
        <f>'KL 1'!X178</f>
        <v>11.6</v>
      </c>
      <c r="J177" s="60">
        <f t="shared" si="15"/>
        <v>370585</v>
      </c>
      <c r="K177" s="61"/>
      <c r="L177" s="62"/>
      <c r="M177" s="63">
        <f t="shared" si="16"/>
        <v>370585</v>
      </c>
      <c r="N177" s="64">
        <f t="shared" si="17"/>
        <v>0</v>
      </c>
      <c r="O177" s="65">
        <f t="shared" si="18"/>
        <v>0</v>
      </c>
      <c r="P177" s="66">
        <f t="shared" si="19"/>
        <v>0</v>
      </c>
      <c r="Q177" s="60">
        <f t="shared" si="20"/>
        <v>370585</v>
      </c>
      <c r="R177" s="79"/>
      <c r="S177" s="80" t="s">
        <v>270</v>
      </c>
      <c r="U177" s="81"/>
    </row>
    <row r="178" spans="1:21" s="6" customFormat="1" ht="33.6" customHeight="1">
      <c r="A178" s="32">
        <v>164</v>
      </c>
      <c r="B178" s="40"/>
      <c r="C178" s="40"/>
      <c r="D178" s="34"/>
      <c r="E178" s="35" t="str">
        <f>'Tên Tháng 1'!E167</f>
        <v>ឡាម ពុំ</v>
      </c>
      <c r="F178" s="36" t="str">
        <f>'Tên Tháng 1'!F167</f>
        <v>LAM PUM</v>
      </c>
      <c r="G178" s="37">
        <v>289</v>
      </c>
      <c r="H178" s="38">
        <v>31947</v>
      </c>
      <c r="I178" s="59">
        <f>'KL 1'!X179</f>
        <v>11.66</v>
      </c>
      <c r="J178" s="60">
        <f t="shared" si="15"/>
        <v>372502</v>
      </c>
      <c r="K178" s="61"/>
      <c r="L178" s="62"/>
      <c r="M178" s="63">
        <f t="shared" si="16"/>
        <v>372502</v>
      </c>
      <c r="N178" s="64">
        <f t="shared" si="17"/>
        <v>0</v>
      </c>
      <c r="O178" s="65">
        <f t="shared" si="18"/>
        <v>0</v>
      </c>
      <c r="P178" s="66">
        <f t="shared" si="19"/>
        <v>0</v>
      </c>
      <c r="Q178" s="60">
        <f t="shared" si="20"/>
        <v>372502</v>
      </c>
      <c r="R178" s="79"/>
      <c r="S178" s="80" t="s">
        <v>270</v>
      </c>
      <c r="U178" s="81"/>
    </row>
    <row r="179" spans="1:21" s="6" customFormat="1" ht="33.6" customHeight="1">
      <c r="A179" s="32">
        <v>165</v>
      </c>
      <c r="B179" s="40"/>
      <c r="C179" s="40"/>
      <c r="D179" s="34"/>
      <c r="E179" s="35" t="str">
        <f>'Tên Tháng 1'!E168</f>
        <v>ភ័ក្រ ធិ</v>
      </c>
      <c r="F179" s="36" t="str">
        <f>'Tên Tháng 1'!F168</f>
        <v>PHEAK THIK</v>
      </c>
      <c r="G179" s="37">
        <v>290</v>
      </c>
      <c r="H179" s="38">
        <v>31947</v>
      </c>
      <c r="I179" s="59">
        <f>'KL 1'!X180</f>
        <v>12.85</v>
      </c>
      <c r="J179" s="60">
        <f t="shared" si="15"/>
        <v>410519</v>
      </c>
      <c r="K179" s="61"/>
      <c r="L179" s="62"/>
      <c r="M179" s="63">
        <f t="shared" si="16"/>
        <v>410519</v>
      </c>
      <c r="N179" s="64">
        <f t="shared" si="17"/>
        <v>0</v>
      </c>
      <c r="O179" s="65">
        <f t="shared" si="18"/>
        <v>0</v>
      </c>
      <c r="P179" s="66">
        <f t="shared" si="19"/>
        <v>0</v>
      </c>
      <c r="Q179" s="60">
        <f t="shared" si="20"/>
        <v>410519</v>
      </c>
      <c r="R179" s="79"/>
      <c r="S179" s="80" t="s">
        <v>270</v>
      </c>
      <c r="U179" s="81"/>
    </row>
    <row r="180" spans="1:21" s="6" customFormat="1" ht="33.6" customHeight="1">
      <c r="A180" s="32">
        <v>166</v>
      </c>
      <c r="B180" s="40"/>
      <c r="C180" s="40"/>
      <c r="D180" s="34"/>
      <c r="E180" s="35" t="str">
        <f>'Tên Tháng 1'!E169</f>
        <v>ជុំ មី</v>
      </c>
      <c r="F180" s="36" t="str">
        <f>'Tên Tháng 1'!F169</f>
        <v>CHUM ME</v>
      </c>
      <c r="G180" s="37">
        <v>291</v>
      </c>
      <c r="H180" s="38">
        <v>31947</v>
      </c>
      <c r="I180" s="59">
        <f>'KL 1'!X181</f>
        <v>11.43</v>
      </c>
      <c r="J180" s="60">
        <f t="shared" si="15"/>
        <v>365154</v>
      </c>
      <c r="K180" s="61"/>
      <c r="L180" s="62"/>
      <c r="M180" s="63">
        <f t="shared" si="16"/>
        <v>365154</v>
      </c>
      <c r="N180" s="64">
        <f t="shared" si="17"/>
        <v>0</v>
      </c>
      <c r="O180" s="65">
        <f t="shared" si="18"/>
        <v>0</v>
      </c>
      <c r="P180" s="66">
        <f t="shared" si="19"/>
        <v>0</v>
      </c>
      <c r="Q180" s="60">
        <f t="shared" si="20"/>
        <v>365154</v>
      </c>
      <c r="R180" s="79"/>
      <c r="S180" s="80" t="s">
        <v>270</v>
      </c>
      <c r="U180" s="81"/>
    </row>
    <row r="181" spans="1:21" s="6" customFormat="1" ht="33.6" customHeight="1">
      <c r="A181" s="32">
        <v>167</v>
      </c>
      <c r="B181" s="40"/>
      <c r="C181" s="40"/>
      <c r="D181" s="34"/>
      <c r="E181" s="35" t="str">
        <f>'Tên Tháng 1'!E170</f>
        <v>សៀក សិទ្ធ</v>
      </c>
      <c r="F181" s="36" t="str">
        <f>'Tên Tháng 1'!F170</f>
        <v>SIEK SITH</v>
      </c>
      <c r="G181" s="37">
        <v>292</v>
      </c>
      <c r="H181" s="38">
        <v>31947</v>
      </c>
      <c r="I181" s="59">
        <f>'KL 1'!X182</f>
        <v>11.05</v>
      </c>
      <c r="J181" s="60">
        <f t="shared" si="15"/>
        <v>353014</v>
      </c>
      <c r="K181" s="61"/>
      <c r="L181" s="62"/>
      <c r="M181" s="63">
        <f t="shared" si="16"/>
        <v>353014</v>
      </c>
      <c r="N181" s="64">
        <f t="shared" si="17"/>
        <v>0</v>
      </c>
      <c r="O181" s="65">
        <f t="shared" si="18"/>
        <v>0</v>
      </c>
      <c r="P181" s="66">
        <f t="shared" si="19"/>
        <v>0</v>
      </c>
      <c r="Q181" s="60">
        <f t="shared" si="20"/>
        <v>353014</v>
      </c>
      <c r="R181" s="79"/>
      <c r="S181" s="80" t="s">
        <v>270</v>
      </c>
      <c r="U181" s="81"/>
    </row>
    <row r="182" spans="1:21" s="6" customFormat="1" ht="30.6" customHeight="1">
      <c r="A182" s="32">
        <v>168</v>
      </c>
      <c r="B182" s="40"/>
      <c r="C182" s="40"/>
      <c r="D182" s="34"/>
      <c r="E182" s="35" t="str">
        <f>'Tên Tháng 1'!E171</f>
        <v>ណាក់ ស៊ាក</v>
      </c>
      <c r="F182" s="36" t="str">
        <f>'Tên Tháng 1'!F171</f>
        <v>NAK SEAK</v>
      </c>
      <c r="G182" s="37">
        <v>48</v>
      </c>
      <c r="H182" s="38">
        <v>31947</v>
      </c>
      <c r="I182" s="59">
        <f>'KL 1'!X183</f>
        <v>11.09</v>
      </c>
      <c r="J182" s="60">
        <f t="shared" si="15"/>
        <v>354292</v>
      </c>
      <c r="K182" s="61"/>
      <c r="L182" s="62"/>
      <c r="M182" s="63">
        <f t="shared" si="16"/>
        <v>354292</v>
      </c>
      <c r="N182" s="64">
        <f t="shared" ref="N182:N245" si="21">L182</f>
        <v>0</v>
      </c>
      <c r="O182" s="65">
        <f t="shared" ref="O182:O245" si="22">ROUND(IF(M182&lt;=1200000,0,IF(AND((M182)&gt;1200000,(M182)&lt;=2000000),(M182)*5%-60000,IF(AND((M182)&gt;2000000,(M182)&lt;=8500000),(M182)*10%-160000))),0)</f>
        <v>0</v>
      </c>
      <c r="P182" s="66">
        <f t="shared" ref="P182:P245" si="23">N182+O182</f>
        <v>0</v>
      </c>
      <c r="Q182" s="60">
        <f t="shared" si="20"/>
        <v>354292</v>
      </c>
      <c r="R182" s="79"/>
      <c r="S182" s="80" t="s">
        <v>619</v>
      </c>
      <c r="U182" s="81"/>
    </row>
    <row r="183" spans="1:21" s="6" customFormat="1" ht="30.6" customHeight="1">
      <c r="A183" s="32">
        <v>169</v>
      </c>
      <c r="B183" s="40"/>
      <c r="C183" s="40"/>
      <c r="D183" s="34"/>
      <c r="E183" s="35" t="str">
        <f>'Tên Tháng 1'!E172</f>
        <v>ឈុន សុខឃឿន</v>
      </c>
      <c r="F183" s="36" t="str">
        <f>'Tên Tháng 1'!F172</f>
        <v>CHHUN SOKHOEUN</v>
      </c>
      <c r="G183" s="37">
        <v>49</v>
      </c>
      <c r="H183" s="38">
        <v>31947</v>
      </c>
      <c r="I183" s="59">
        <f>'KL 1'!X184</f>
        <v>10.89</v>
      </c>
      <c r="J183" s="60">
        <f t="shared" si="15"/>
        <v>347903</v>
      </c>
      <c r="K183" s="61"/>
      <c r="L183" s="62"/>
      <c r="M183" s="63">
        <f t="shared" si="16"/>
        <v>347903</v>
      </c>
      <c r="N183" s="64">
        <f t="shared" si="21"/>
        <v>0</v>
      </c>
      <c r="O183" s="65">
        <f t="shared" si="22"/>
        <v>0</v>
      </c>
      <c r="P183" s="66">
        <f t="shared" si="23"/>
        <v>0</v>
      </c>
      <c r="Q183" s="60">
        <f t="shared" si="20"/>
        <v>347903</v>
      </c>
      <c r="R183" s="79"/>
      <c r="S183" s="80" t="s">
        <v>619</v>
      </c>
      <c r="U183" s="81"/>
    </row>
    <row r="184" spans="1:21" s="6" customFormat="1" ht="30.6" customHeight="1">
      <c r="A184" s="32">
        <v>170</v>
      </c>
      <c r="B184" s="40"/>
      <c r="C184" s="40"/>
      <c r="D184" s="34"/>
      <c r="E184" s="35" t="str">
        <f>'Tên Tháng 1'!E173</f>
        <v>កោ លីណា</v>
      </c>
      <c r="F184" s="36" t="str">
        <f>'Tên Tháng 1'!F173</f>
        <v>KOA LYNA</v>
      </c>
      <c r="G184" s="37">
        <v>50</v>
      </c>
      <c r="H184" s="38">
        <v>31947</v>
      </c>
      <c r="I184" s="59">
        <f>'KL 1'!X185</f>
        <v>14.17</v>
      </c>
      <c r="J184" s="60">
        <f t="shared" si="15"/>
        <v>452689</v>
      </c>
      <c r="K184" s="61"/>
      <c r="L184" s="62"/>
      <c r="M184" s="63">
        <f t="shared" si="16"/>
        <v>452689</v>
      </c>
      <c r="N184" s="64">
        <f t="shared" si="21"/>
        <v>0</v>
      </c>
      <c r="O184" s="65">
        <f t="shared" si="22"/>
        <v>0</v>
      </c>
      <c r="P184" s="66">
        <f t="shared" si="23"/>
        <v>0</v>
      </c>
      <c r="Q184" s="60">
        <f t="shared" si="20"/>
        <v>452689</v>
      </c>
      <c r="R184" s="79"/>
      <c r="S184" s="80" t="s">
        <v>619</v>
      </c>
      <c r="U184" s="81"/>
    </row>
    <row r="185" spans="1:21" s="6" customFormat="1" ht="30.6" customHeight="1">
      <c r="A185" s="32">
        <v>171</v>
      </c>
      <c r="B185" s="40"/>
      <c r="C185" s="40"/>
      <c r="D185" s="34"/>
      <c r="E185" s="35" t="str">
        <f>'Tên Tháng 1'!E174</f>
        <v>ទ្រី ចាន់ធូ</v>
      </c>
      <c r="F185" s="36" t="str">
        <f>'Tên Tháng 1'!F174</f>
        <v>TRY CHANTHOU</v>
      </c>
      <c r="G185" s="37">
        <v>51</v>
      </c>
      <c r="H185" s="38">
        <v>31947</v>
      </c>
      <c r="I185" s="59">
        <f>'KL 1'!X186</f>
        <v>13.77</v>
      </c>
      <c r="J185" s="60">
        <f t="shared" si="15"/>
        <v>439910</v>
      </c>
      <c r="K185" s="61"/>
      <c r="L185" s="62"/>
      <c r="M185" s="63">
        <f t="shared" si="16"/>
        <v>439910</v>
      </c>
      <c r="N185" s="64">
        <f t="shared" si="21"/>
        <v>0</v>
      </c>
      <c r="O185" s="65">
        <f t="shared" si="22"/>
        <v>0</v>
      </c>
      <c r="P185" s="66">
        <f t="shared" si="23"/>
        <v>0</v>
      </c>
      <c r="Q185" s="60">
        <f t="shared" si="20"/>
        <v>439910</v>
      </c>
      <c r="R185" s="79"/>
      <c r="S185" s="80" t="s">
        <v>619</v>
      </c>
      <c r="U185" s="81"/>
    </row>
    <row r="186" spans="1:21" s="6" customFormat="1" ht="30.6" customHeight="1">
      <c r="A186" s="32">
        <v>172</v>
      </c>
      <c r="B186" s="40"/>
      <c r="C186" s="40"/>
      <c r="D186" s="34"/>
      <c r="E186" s="35" t="str">
        <f>'Tên Tháng 1'!E175</f>
        <v>កេរ្ត៍​ ថ្លម</v>
      </c>
      <c r="F186" s="36" t="str">
        <f>'Tên Tháng 1'!F175</f>
        <v>KE THNORM</v>
      </c>
      <c r="G186" s="37">
        <v>52</v>
      </c>
      <c r="H186" s="38">
        <v>31947</v>
      </c>
      <c r="I186" s="59">
        <f>'KL 1'!X187</f>
        <v>9.3099999999999987</v>
      </c>
      <c r="J186" s="60">
        <f t="shared" si="15"/>
        <v>297427</v>
      </c>
      <c r="K186" s="61"/>
      <c r="L186" s="62"/>
      <c r="M186" s="63">
        <f t="shared" si="16"/>
        <v>297427</v>
      </c>
      <c r="N186" s="64">
        <f t="shared" si="21"/>
        <v>0</v>
      </c>
      <c r="O186" s="65">
        <f t="shared" si="22"/>
        <v>0</v>
      </c>
      <c r="P186" s="66">
        <f t="shared" si="23"/>
        <v>0</v>
      </c>
      <c r="Q186" s="60">
        <f t="shared" si="20"/>
        <v>297427</v>
      </c>
      <c r="R186" s="79"/>
      <c r="S186" s="80" t="s">
        <v>619</v>
      </c>
      <c r="U186" s="81"/>
    </row>
    <row r="187" spans="1:21" s="6" customFormat="1" ht="30.6" customHeight="1">
      <c r="A187" s="32">
        <v>173</v>
      </c>
      <c r="B187" s="40"/>
      <c r="C187" s="40"/>
      <c r="D187" s="34"/>
      <c r="E187" s="35" t="str">
        <f>'Tên Tháng 1'!E176</f>
        <v>សាយ សេង</v>
      </c>
      <c r="F187" s="36" t="str">
        <f>'Tên Tháng 1'!F176</f>
        <v>SAY SENG</v>
      </c>
      <c r="G187" s="37">
        <v>53</v>
      </c>
      <c r="H187" s="38">
        <v>31947</v>
      </c>
      <c r="I187" s="59">
        <f>'KL 1'!X188</f>
        <v>13.98</v>
      </c>
      <c r="J187" s="60">
        <f t="shared" si="15"/>
        <v>446619</v>
      </c>
      <c r="K187" s="61"/>
      <c r="L187" s="62"/>
      <c r="M187" s="63">
        <f t="shared" si="16"/>
        <v>446619</v>
      </c>
      <c r="N187" s="64">
        <f t="shared" si="21"/>
        <v>0</v>
      </c>
      <c r="O187" s="65">
        <f t="shared" si="22"/>
        <v>0</v>
      </c>
      <c r="P187" s="66">
        <f t="shared" si="23"/>
        <v>0</v>
      </c>
      <c r="Q187" s="60">
        <f t="shared" si="20"/>
        <v>446619</v>
      </c>
      <c r="R187" s="79"/>
      <c r="S187" s="80" t="s">
        <v>619</v>
      </c>
      <c r="U187" s="81"/>
    </row>
    <row r="188" spans="1:21" s="6" customFormat="1" ht="30.6" customHeight="1">
      <c r="A188" s="32">
        <v>174</v>
      </c>
      <c r="B188" s="40"/>
      <c r="C188" s="40"/>
      <c r="D188" s="34"/>
      <c r="E188" s="35" t="str">
        <f>'Tên Tháng 1'!E177</f>
        <v>ឃឿន ហែ</v>
      </c>
      <c r="F188" s="36" t="str">
        <f>'Tên Tháng 1'!F177</f>
        <v>KHOEUN HE</v>
      </c>
      <c r="G188" s="37">
        <v>54</v>
      </c>
      <c r="H188" s="38">
        <v>31947</v>
      </c>
      <c r="I188" s="59">
        <f>'KL 1'!X189</f>
        <v>11.24</v>
      </c>
      <c r="J188" s="60">
        <f t="shared" si="15"/>
        <v>359084</v>
      </c>
      <c r="K188" s="61"/>
      <c r="L188" s="62"/>
      <c r="M188" s="63">
        <f t="shared" si="16"/>
        <v>359084</v>
      </c>
      <c r="N188" s="64">
        <f t="shared" si="21"/>
        <v>0</v>
      </c>
      <c r="O188" s="65">
        <f t="shared" si="22"/>
        <v>0</v>
      </c>
      <c r="P188" s="66">
        <f t="shared" si="23"/>
        <v>0</v>
      </c>
      <c r="Q188" s="60">
        <f t="shared" si="20"/>
        <v>359084</v>
      </c>
      <c r="R188" s="79"/>
      <c r="S188" s="80" t="s">
        <v>619</v>
      </c>
      <c r="U188" s="81"/>
    </row>
    <row r="189" spans="1:21" s="6" customFormat="1" ht="30.6" customHeight="1">
      <c r="A189" s="32">
        <v>175</v>
      </c>
      <c r="B189" s="40"/>
      <c r="C189" s="40"/>
      <c r="D189" s="34"/>
      <c r="E189" s="35" t="str">
        <f>'Tên Tháng 1'!E178</f>
        <v>ប៉ឹង ថា</v>
      </c>
      <c r="F189" s="36" t="str">
        <f>'Tên Tháng 1'!F178</f>
        <v>POENG THA</v>
      </c>
      <c r="G189" s="37">
        <v>55</v>
      </c>
      <c r="H189" s="38">
        <v>31947</v>
      </c>
      <c r="I189" s="59">
        <f>'KL 1'!X190</f>
        <v>14.41</v>
      </c>
      <c r="J189" s="60">
        <f t="shared" si="15"/>
        <v>460356</v>
      </c>
      <c r="K189" s="61"/>
      <c r="L189" s="62"/>
      <c r="M189" s="63">
        <f t="shared" si="16"/>
        <v>460356</v>
      </c>
      <c r="N189" s="64">
        <f t="shared" si="21"/>
        <v>0</v>
      </c>
      <c r="O189" s="65">
        <f t="shared" si="22"/>
        <v>0</v>
      </c>
      <c r="P189" s="66">
        <f t="shared" si="23"/>
        <v>0</v>
      </c>
      <c r="Q189" s="60">
        <f t="shared" si="20"/>
        <v>460356</v>
      </c>
      <c r="R189" s="79"/>
      <c r="S189" s="80" t="s">
        <v>619</v>
      </c>
      <c r="U189" s="81"/>
    </row>
    <row r="190" spans="1:21" s="6" customFormat="1" ht="30.6" customHeight="1">
      <c r="A190" s="32">
        <v>176</v>
      </c>
      <c r="B190" s="40"/>
      <c r="C190" s="40"/>
      <c r="D190" s="34"/>
      <c r="E190" s="35" t="str">
        <f>'Tên Tháng 1'!E179</f>
        <v>កោ គង្គា</v>
      </c>
      <c r="F190" s="36" t="str">
        <f>'Tên Tháng 1'!F179</f>
        <v>KOR KONGKEA</v>
      </c>
      <c r="G190" s="37">
        <v>56</v>
      </c>
      <c r="H190" s="38">
        <v>31947</v>
      </c>
      <c r="I190" s="59">
        <f>'KL 1'!X191</f>
        <v>13.889999999999999</v>
      </c>
      <c r="J190" s="60">
        <f t="shared" si="15"/>
        <v>443744</v>
      </c>
      <c r="K190" s="61"/>
      <c r="L190" s="62"/>
      <c r="M190" s="63">
        <f t="shared" si="16"/>
        <v>443744</v>
      </c>
      <c r="N190" s="64">
        <f t="shared" si="21"/>
        <v>0</v>
      </c>
      <c r="O190" s="65">
        <f t="shared" si="22"/>
        <v>0</v>
      </c>
      <c r="P190" s="66">
        <f t="shared" si="23"/>
        <v>0</v>
      </c>
      <c r="Q190" s="60">
        <f t="shared" si="20"/>
        <v>443744</v>
      </c>
      <c r="R190" s="79"/>
      <c r="S190" s="80" t="s">
        <v>619</v>
      </c>
      <c r="U190" s="81"/>
    </row>
    <row r="191" spans="1:21" s="6" customFormat="1" ht="30.6" customHeight="1">
      <c r="A191" s="32">
        <v>177</v>
      </c>
      <c r="B191" s="40"/>
      <c r="C191" s="40"/>
      <c r="D191" s="34"/>
      <c r="E191" s="35" t="str">
        <f>'Tên Tháng 1'!E180</f>
        <v>សេង សីហា</v>
      </c>
      <c r="F191" s="36" t="str">
        <f>'Tên Tháng 1'!F180</f>
        <v>SENG SEYHA</v>
      </c>
      <c r="G191" s="37">
        <v>57</v>
      </c>
      <c r="H191" s="38">
        <v>31947</v>
      </c>
      <c r="I191" s="59">
        <f>'KL 1'!X192</f>
        <v>14.870000000000001</v>
      </c>
      <c r="J191" s="60">
        <f t="shared" si="15"/>
        <v>475052</v>
      </c>
      <c r="K191" s="61"/>
      <c r="L191" s="62"/>
      <c r="M191" s="63">
        <f t="shared" si="16"/>
        <v>475052</v>
      </c>
      <c r="N191" s="64">
        <f t="shared" si="21"/>
        <v>0</v>
      </c>
      <c r="O191" s="65">
        <f t="shared" si="22"/>
        <v>0</v>
      </c>
      <c r="P191" s="66">
        <f t="shared" si="23"/>
        <v>0</v>
      </c>
      <c r="Q191" s="60">
        <f t="shared" si="20"/>
        <v>475052</v>
      </c>
      <c r="R191" s="79"/>
      <c r="S191" s="80" t="s">
        <v>619</v>
      </c>
      <c r="U191" s="81"/>
    </row>
    <row r="192" spans="1:21" s="6" customFormat="1" ht="30.6" customHeight="1">
      <c r="A192" s="32">
        <v>178</v>
      </c>
      <c r="B192" s="40"/>
      <c r="C192" s="40"/>
      <c r="D192" s="34"/>
      <c r="E192" s="35" t="str">
        <f>'Tên Tháng 1'!E181</f>
        <v>ថៃ លក្ខិណា</v>
      </c>
      <c r="F192" s="36" t="str">
        <f>'Tên Tháng 1'!F181</f>
        <v>THAI LEAKANA</v>
      </c>
      <c r="G192" s="37">
        <v>58</v>
      </c>
      <c r="H192" s="38">
        <v>31947</v>
      </c>
      <c r="I192" s="59">
        <f>'KL 1'!X193</f>
        <v>15.979999999999999</v>
      </c>
      <c r="J192" s="60">
        <f t="shared" si="15"/>
        <v>510513</v>
      </c>
      <c r="K192" s="61"/>
      <c r="L192" s="62"/>
      <c r="M192" s="63">
        <f t="shared" si="16"/>
        <v>510513</v>
      </c>
      <c r="N192" s="64">
        <f t="shared" si="21"/>
        <v>0</v>
      </c>
      <c r="O192" s="65">
        <f t="shared" si="22"/>
        <v>0</v>
      </c>
      <c r="P192" s="66">
        <f t="shared" si="23"/>
        <v>0</v>
      </c>
      <c r="Q192" s="60">
        <f t="shared" si="20"/>
        <v>510513</v>
      </c>
      <c r="R192" s="79"/>
      <c r="S192" s="80" t="s">
        <v>619</v>
      </c>
      <c r="U192" s="81"/>
    </row>
    <row r="193" spans="1:21" s="6" customFormat="1" ht="30.6" customHeight="1">
      <c r="A193" s="32">
        <v>179</v>
      </c>
      <c r="B193" s="40"/>
      <c r="C193" s="40"/>
      <c r="D193" s="34"/>
      <c r="E193" s="35" t="str">
        <f>'Tên Tháng 1'!E182</f>
        <v>ឈឿន សុខច័ន្ទ</v>
      </c>
      <c r="F193" s="36" t="str">
        <f>'Tên Tháng 1'!F182</f>
        <v>CHHOEUN SOKCHAN</v>
      </c>
      <c r="G193" s="37">
        <v>59</v>
      </c>
      <c r="H193" s="38">
        <v>31947</v>
      </c>
      <c r="I193" s="59">
        <f>'KL 1'!X194</f>
        <v>1.99</v>
      </c>
      <c r="J193" s="60">
        <f t="shared" si="15"/>
        <v>63575</v>
      </c>
      <c r="K193" s="61"/>
      <c r="L193" s="62"/>
      <c r="M193" s="63">
        <f t="shared" si="16"/>
        <v>63575</v>
      </c>
      <c r="N193" s="64">
        <f t="shared" si="21"/>
        <v>0</v>
      </c>
      <c r="O193" s="65">
        <f t="shared" si="22"/>
        <v>0</v>
      </c>
      <c r="P193" s="66">
        <f t="shared" si="23"/>
        <v>0</v>
      </c>
      <c r="Q193" s="60">
        <f t="shared" si="20"/>
        <v>63575</v>
      </c>
      <c r="R193" s="79"/>
      <c r="S193" s="80" t="s">
        <v>619</v>
      </c>
      <c r="U193" s="81"/>
    </row>
    <row r="194" spans="1:21" s="6" customFormat="1" ht="30.6" customHeight="1">
      <c r="A194" s="32">
        <v>180</v>
      </c>
      <c r="B194" s="40"/>
      <c r="C194" s="40"/>
      <c r="D194" s="34"/>
      <c r="E194" s="35" t="str">
        <f>'Tên Tháng 1'!E183</f>
        <v>សុទ្ធ សានី</v>
      </c>
      <c r="F194" s="36" t="str">
        <f>'Tên Tháng 1'!F183</f>
        <v>SOTH SANY</v>
      </c>
      <c r="G194" s="37">
        <v>60</v>
      </c>
      <c r="H194" s="38">
        <v>31947</v>
      </c>
      <c r="I194" s="59">
        <f>'KL 1'!X195</f>
        <v>10.26</v>
      </c>
      <c r="J194" s="60">
        <f t="shared" si="15"/>
        <v>327776</v>
      </c>
      <c r="K194" s="61"/>
      <c r="L194" s="62"/>
      <c r="M194" s="63">
        <f t="shared" si="16"/>
        <v>327776</v>
      </c>
      <c r="N194" s="64">
        <f t="shared" si="21"/>
        <v>0</v>
      </c>
      <c r="O194" s="65">
        <f t="shared" si="22"/>
        <v>0</v>
      </c>
      <c r="P194" s="66">
        <f t="shared" si="23"/>
        <v>0</v>
      </c>
      <c r="Q194" s="60">
        <f t="shared" si="20"/>
        <v>327776</v>
      </c>
      <c r="R194" s="79"/>
      <c r="S194" s="80" t="s">
        <v>619</v>
      </c>
      <c r="U194" s="81"/>
    </row>
    <row r="195" spans="1:21" s="6" customFormat="1" ht="30.6" customHeight="1">
      <c r="A195" s="32">
        <v>181</v>
      </c>
      <c r="B195" s="40"/>
      <c r="C195" s="40"/>
      <c r="D195" s="34"/>
      <c r="E195" s="35" t="str">
        <f>'Tên Tháng 1'!E184</f>
        <v>យឿង សុខជាតិ</v>
      </c>
      <c r="F195" s="36" t="str">
        <f>'Tên Tháng 1'!F184</f>
        <v>YOEUNG SOCHEAT</v>
      </c>
      <c r="G195" s="37">
        <v>61</v>
      </c>
      <c r="H195" s="38">
        <v>31947</v>
      </c>
      <c r="I195" s="59">
        <f>'KL 1'!X196</f>
        <v>15.879999999999999</v>
      </c>
      <c r="J195" s="60">
        <f t="shared" si="15"/>
        <v>507318</v>
      </c>
      <c r="K195" s="61"/>
      <c r="L195" s="62"/>
      <c r="M195" s="63">
        <f t="shared" si="16"/>
        <v>507318</v>
      </c>
      <c r="N195" s="64">
        <f t="shared" si="21"/>
        <v>0</v>
      </c>
      <c r="O195" s="65">
        <f t="shared" si="22"/>
        <v>0</v>
      </c>
      <c r="P195" s="66">
        <f t="shared" si="23"/>
        <v>0</v>
      </c>
      <c r="Q195" s="60">
        <f t="shared" si="20"/>
        <v>507318</v>
      </c>
      <c r="R195" s="79"/>
      <c r="S195" s="80" t="s">
        <v>619</v>
      </c>
      <c r="U195" s="81"/>
    </row>
    <row r="196" spans="1:21" s="6" customFormat="1" ht="30.6" customHeight="1">
      <c r="A196" s="32">
        <v>182</v>
      </c>
      <c r="B196" s="40"/>
      <c r="C196" s="40"/>
      <c r="D196" s="34"/>
      <c r="E196" s="35" t="str">
        <f>'Tên Tháng 1'!E185</f>
        <v>ម៉ែន មឿន</v>
      </c>
      <c r="F196" s="36" t="str">
        <f>'Tên Tháng 1'!F185</f>
        <v>MEN MOEUN</v>
      </c>
      <c r="G196" s="37">
        <v>62</v>
      </c>
      <c r="H196" s="38">
        <v>31947</v>
      </c>
      <c r="I196" s="59">
        <f>'KL 1'!X197</f>
        <v>15.49</v>
      </c>
      <c r="J196" s="60">
        <f t="shared" si="15"/>
        <v>494859</v>
      </c>
      <c r="K196" s="61"/>
      <c r="L196" s="62"/>
      <c r="M196" s="63">
        <f t="shared" si="16"/>
        <v>494859</v>
      </c>
      <c r="N196" s="64">
        <f t="shared" si="21"/>
        <v>0</v>
      </c>
      <c r="O196" s="65">
        <f t="shared" si="22"/>
        <v>0</v>
      </c>
      <c r="P196" s="66">
        <f t="shared" si="23"/>
        <v>0</v>
      </c>
      <c r="Q196" s="60">
        <f t="shared" si="20"/>
        <v>494859</v>
      </c>
      <c r="R196" s="79"/>
      <c r="S196" s="80" t="s">
        <v>619</v>
      </c>
      <c r="U196" s="81"/>
    </row>
    <row r="197" spans="1:21" s="6" customFormat="1" ht="30.6" customHeight="1">
      <c r="A197" s="32">
        <v>183</v>
      </c>
      <c r="B197" s="40"/>
      <c r="C197" s="40"/>
      <c r="D197" s="34"/>
      <c r="E197" s="35" t="str">
        <f>'Tên Tháng 1'!E186</f>
        <v>យ៉ុង រី</v>
      </c>
      <c r="F197" s="36" t="str">
        <f>'Tên Tháng 1'!F186</f>
        <v>YONG RY</v>
      </c>
      <c r="G197" s="37">
        <v>63</v>
      </c>
      <c r="H197" s="38">
        <v>31947</v>
      </c>
      <c r="I197" s="59">
        <f>'KL 1'!X198</f>
        <v>12.98</v>
      </c>
      <c r="J197" s="60">
        <f t="shared" si="15"/>
        <v>414672</v>
      </c>
      <c r="K197" s="61"/>
      <c r="L197" s="62"/>
      <c r="M197" s="63">
        <f t="shared" si="16"/>
        <v>414672</v>
      </c>
      <c r="N197" s="64">
        <f t="shared" si="21"/>
        <v>0</v>
      </c>
      <c r="O197" s="65">
        <f t="shared" si="22"/>
        <v>0</v>
      </c>
      <c r="P197" s="66">
        <f t="shared" si="23"/>
        <v>0</v>
      </c>
      <c r="Q197" s="60">
        <f t="shared" si="20"/>
        <v>414672</v>
      </c>
      <c r="R197" s="79"/>
      <c r="S197" s="80" t="s">
        <v>619</v>
      </c>
      <c r="U197" s="81"/>
    </row>
    <row r="198" spans="1:21" s="6" customFormat="1" ht="30.6" customHeight="1">
      <c r="A198" s="32">
        <v>184</v>
      </c>
      <c r="B198" s="40"/>
      <c r="C198" s="40"/>
      <c r="D198" s="34"/>
      <c r="E198" s="35" t="str">
        <f>'Tên Tháng 1'!E187</f>
        <v>ហៃ អូន</v>
      </c>
      <c r="F198" s="36" t="str">
        <f>'Tên Tháng 1'!F187</f>
        <v>HAI ON</v>
      </c>
      <c r="G198" s="37">
        <v>64</v>
      </c>
      <c r="H198" s="38">
        <v>31947</v>
      </c>
      <c r="I198" s="59">
        <f>'KL 1'!X199</f>
        <v>13.64</v>
      </c>
      <c r="J198" s="60">
        <f t="shared" si="15"/>
        <v>435757</v>
      </c>
      <c r="K198" s="61"/>
      <c r="L198" s="62"/>
      <c r="M198" s="63">
        <f t="shared" si="16"/>
        <v>435757</v>
      </c>
      <c r="N198" s="64">
        <f t="shared" si="21"/>
        <v>0</v>
      </c>
      <c r="O198" s="65">
        <f t="shared" si="22"/>
        <v>0</v>
      </c>
      <c r="P198" s="66">
        <f t="shared" si="23"/>
        <v>0</v>
      </c>
      <c r="Q198" s="60">
        <f t="shared" si="20"/>
        <v>435757</v>
      </c>
      <c r="R198" s="79"/>
      <c r="S198" s="80" t="s">
        <v>619</v>
      </c>
      <c r="U198" s="81"/>
    </row>
    <row r="199" spans="1:21" s="6" customFormat="1" ht="30.6" customHeight="1">
      <c r="A199" s="32">
        <v>185</v>
      </c>
      <c r="B199" s="40"/>
      <c r="C199" s="40"/>
      <c r="D199" s="34"/>
      <c r="E199" s="35" t="str">
        <f>'Tên Tháng 1'!E188</f>
        <v>វ៉ាន់ គាត</v>
      </c>
      <c r="F199" s="36" t="str">
        <f>'Tên Tháng 1'!F188</f>
        <v>VANN KEAT</v>
      </c>
      <c r="G199" s="37">
        <v>65</v>
      </c>
      <c r="H199" s="38">
        <v>31947</v>
      </c>
      <c r="I199" s="59">
        <f>'KL 1'!X200</f>
        <v>12.5</v>
      </c>
      <c r="J199" s="60">
        <f t="shared" si="15"/>
        <v>399338</v>
      </c>
      <c r="K199" s="61"/>
      <c r="L199" s="62"/>
      <c r="M199" s="63">
        <f t="shared" si="16"/>
        <v>399338</v>
      </c>
      <c r="N199" s="64">
        <f t="shared" si="21"/>
        <v>0</v>
      </c>
      <c r="O199" s="65">
        <f t="shared" si="22"/>
        <v>0</v>
      </c>
      <c r="P199" s="66">
        <f t="shared" si="23"/>
        <v>0</v>
      </c>
      <c r="Q199" s="60">
        <f t="shared" si="20"/>
        <v>399338</v>
      </c>
      <c r="R199" s="79"/>
      <c r="S199" s="80" t="s">
        <v>619</v>
      </c>
      <c r="U199" s="81"/>
    </row>
    <row r="200" spans="1:21" s="6" customFormat="1" ht="30.6" customHeight="1">
      <c r="A200" s="32">
        <v>186</v>
      </c>
      <c r="B200" s="40"/>
      <c r="C200" s="40"/>
      <c r="D200" s="34"/>
      <c r="E200" s="35" t="str">
        <f>'Tên Tháng 1'!E189</f>
        <v>សេង សោភា</v>
      </c>
      <c r="F200" s="36" t="str">
        <f>'Tên Tháng 1'!F189</f>
        <v>SENG SOPHEA</v>
      </c>
      <c r="G200" s="37">
        <v>66</v>
      </c>
      <c r="H200" s="38">
        <v>31947</v>
      </c>
      <c r="I200" s="59">
        <f>'KL 1'!X201</f>
        <v>11.92</v>
      </c>
      <c r="J200" s="60">
        <f t="shared" si="15"/>
        <v>380808</v>
      </c>
      <c r="K200" s="61"/>
      <c r="L200" s="62"/>
      <c r="M200" s="63">
        <f t="shared" si="16"/>
        <v>380808</v>
      </c>
      <c r="N200" s="64">
        <f t="shared" si="21"/>
        <v>0</v>
      </c>
      <c r="O200" s="65">
        <f t="shared" si="22"/>
        <v>0</v>
      </c>
      <c r="P200" s="66">
        <f t="shared" si="23"/>
        <v>0</v>
      </c>
      <c r="Q200" s="60">
        <f t="shared" si="20"/>
        <v>380808</v>
      </c>
      <c r="R200" s="79"/>
      <c r="S200" s="80" t="s">
        <v>619</v>
      </c>
      <c r="U200" s="81"/>
    </row>
    <row r="201" spans="1:21" s="6" customFormat="1" ht="30.6" customHeight="1">
      <c r="A201" s="32">
        <v>187</v>
      </c>
      <c r="B201" s="40"/>
      <c r="C201" s="40"/>
      <c r="D201" s="34"/>
      <c r="E201" s="35" t="str">
        <f>'Tên Tháng 1'!E190</f>
        <v>ឃឿន សុក</v>
      </c>
      <c r="F201" s="36" t="str">
        <f>'Tên Tháng 1'!F190</f>
        <v>KHOEUN SOK</v>
      </c>
      <c r="G201" s="37">
        <v>67</v>
      </c>
      <c r="H201" s="38">
        <v>31947</v>
      </c>
      <c r="I201" s="59">
        <f>'KL 1'!X202</f>
        <v>12.07</v>
      </c>
      <c r="J201" s="60">
        <f t="shared" si="15"/>
        <v>385600</v>
      </c>
      <c r="K201" s="61"/>
      <c r="L201" s="62"/>
      <c r="M201" s="63">
        <f t="shared" si="16"/>
        <v>385600</v>
      </c>
      <c r="N201" s="64">
        <f t="shared" si="21"/>
        <v>0</v>
      </c>
      <c r="O201" s="65">
        <f t="shared" si="22"/>
        <v>0</v>
      </c>
      <c r="P201" s="66">
        <f t="shared" si="23"/>
        <v>0</v>
      </c>
      <c r="Q201" s="60">
        <f t="shared" si="20"/>
        <v>385600</v>
      </c>
      <c r="R201" s="79"/>
      <c r="S201" s="80" t="s">
        <v>619</v>
      </c>
      <c r="U201" s="81"/>
    </row>
    <row r="202" spans="1:21" s="6" customFormat="1" ht="30.6" customHeight="1">
      <c r="A202" s="32">
        <v>188</v>
      </c>
      <c r="B202" s="40"/>
      <c r="C202" s="40"/>
      <c r="D202" s="34"/>
      <c r="E202" s="35" t="str">
        <f>'Tên Tháng 1'!E191</f>
        <v>ណំ វ៉ាន់​ស៊ីង</v>
      </c>
      <c r="F202" s="36" t="str">
        <f>'Tên Tháng 1'!F191</f>
        <v>NOM VANSING</v>
      </c>
      <c r="G202" s="37">
        <v>68</v>
      </c>
      <c r="H202" s="38">
        <v>31947</v>
      </c>
      <c r="I202" s="59">
        <f>'KL 1'!X203</f>
        <v>13</v>
      </c>
      <c r="J202" s="60">
        <f t="shared" si="15"/>
        <v>415311</v>
      </c>
      <c r="K202" s="61"/>
      <c r="L202" s="62"/>
      <c r="M202" s="63">
        <f t="shared" si="16"/>
        <v>415311</v>
      </c>
      <c r="N202" s="64">
        <f t="shared" si="21"/>
        <v>0</v>
      </c>
      <c r="O202" s="65">
        <f t="shared" si="22"/>
        <v>0</v>
      </c>
      <c r="P202" s="66">
        <f t="shared" si="23"/>
        <v>0</v>
      </c>
      <c r="Q202" s="60">
        <f t="shared" si="20"/>
        <v>415311</v>
      </c>
      <c r="R202" s="79"/>
      <c r="S202" s="80" t="s">
        <v>619</v>
      </c>
      <c r="U202" s="81"/>
    </row>
    <row r="203" spans="1:21" s="6" customFormat="1" ht="30.6" customHeight="1">
      <c r="A203" s="32">
        <v>189</v>
      </c>
      <c r="B203" s="40"/>
      <c r="C203" s="40"/>
      <c r="D203" s="34"/>
      <c r="E203" s="35" t="str">
        <f>'Tên Tháng 1'!E192</f>
        <v>ដៀប ចាន់ណា</v>
      </c>
      <c r="F203" s="36" t="str">
        <f>'Tên Tháng 1'!F192</f>
        <v>DIEB CHANNA</v>
      </c>
      <c r="G203" s="37">
        <v>69</v>
      </c>
      <c r="H203" s="38">
        <v>31947</v>
      </c>
      <c r="I203" s="59">
        <f>'KL 1'!X204</f>
        <v>12.040000000000001</v>
      </c>
      <c r="J203" s="60">
        <f t="shared" si="15"/>
        <v>384642</v>
      </c>
      <c r="K203" s="61"/>
      <c r="L203" s="62"/>
      <c r="M203" s="63">
        <f t="shared" si="16"/>
        <v>384642</v>
      </c>
      <c r="N203" s="64">
        <f t="shared" si="21"/>
        <v>0</v>
      </c>
      <c r="O203" s="65">
        <f t="shared" si="22"/>
        <v>0</v>
      </c>
      <c r="P203" s="66">
        <f t="shared" si="23"/>
        <v>0</v>
      </c>
      <c r="Q203" s="60">
        <f t="shared" si="20"/>
        <v>384642</v>
      </c>
      <c r="R203" s="79"/>
      <c r="S203" s="80" t="s">
        <v>619</v>
      </c>
      <c r="U203" s="81"/>
    </row>
    <row r="204" spans="1:21" s="6" customFormat="1" ht="30.6" customHeight="1">
      <c r="A204" s="32">
        <v>190</v>
      </c>
      <c r="B204" s="40"/>
      <c r="C204" s="40"/>
      <c r="D204" s="34"/>
      <c r="E204" s="35" t="str">
        <f>'Tên Tháng 1'!E193</f>
        <v>ឆែម ឆាន</v>
      </c>
      <c r="F204" s="36" t="str">
        <f>'Tên Tháng 1'!F193</f>
        <v>CHHEM CHHAN</v>
      </c>
      <c r="G204" s="37">
        <v>70</v>
      </c>
      <c r="H204" s="38">
        <v>31947</v>
      </c>
      <c r="I204" s="59">
        <f>'KL 1'!X205</f>
        <v>10.53</v>
      </c>
      <c r="J204" s="60">
        <f t="shared" si="15"/>
        <v>336402</v>
      </c>
      <c r="K204" s="61"/>
      <c r="L204" s="62"/>
      <c r="M204" s="63">
        <f t="shared" si="16"/>
        <v>336402</v>
      </c>
      <c r="N204" s="64">
        <f t="shared" si="21"/>
        <v>0</v>
      </c>
      <c r="O204" s="65">
        <f t="shared" si="22"/>
        <v>0</v>
      </c>
      <c r="P204" s="66">
        <f t="shared" si="23"/>
        <v>0</v>
      </c>
      <c r="Q204" s="60">
        <f t="shared" si="20"/>
        <v>336402</v>
      </c>
      <c r="R204" s="79"/>
      <c r="S204" s="80" t="s">
        <v>619</v>
      </c>
      <c r="U204" s="81"/>
    </row>
    <row r="205" spans="1:21" s="6" customFormat="1" ht="30.6" customHeight="1">
      <c r="A205" s="32">
        <v>191</v>
      </c>
      <c r="B205" s="40"/>
      <c r="C205" s="40"/>
      <c r="D205" s="34"/>
      <c r="E205" s="35" t="str">
        <f>'Tên Tháng 1'!E194</f>
        <v>ហៃ សុខវី</v>
      </c>
      <c r="F205" s="36" t="str">
        <f>'Tên Tháng 1'!F194</f>
        <v>HAY SOK VY</v>
      </c>
      <c r="G205" s="37">
        <v>71</v>
      </c>
      <c r="H205" s="38">
        <v>31947</v>
      </c>
      <c r="I205" s="59">
        <f>'KL 1'!X206</f>
        <v>13.25</v>
      </c>
      <c r="J205" s="60">
        <f t="shared" si="15"/>
        <v>423298</v>
      </c>
      <c r="K205" s="61"/>
      <c r="L205" s="62"/>
      <c r="M205" s="63">
        <f t="shared" si="16"/>
        <v>423298</v>
      </c>
      <c r="N205" s="64">
        <f t="shared" si="21"/>
        <v>0</v>
      </c>
      <c r="O205" s="65">
        <f t="shared" si="22"/>
        <v>0</v>
      </c>
      <c r="P205" s="66">
        <f t="shared" si="23"/>
        <v>0</v>
      </c>
      <c r="Q205" s="60">
        <f t="shared" si="20"/>
        <v>423298</v>
      </c>
      <c r="R205" s="79"/>
      <c r="S205" s="80" t="s">
        <v>619</v>
      </c>
      <c r="U205" s="81"/>
    </row>
    <row r="206" spans="1:21" s="6" customFormat="1" ht="30.6" customHeight="1">
      <c r="A206" s="32">
        <v>192</v>
      </c>
      <c r="B206" s="40"/>
      <c r="C206" s="40"/>
      <c r="D206" s="34"/>
      <c r="E206" s="35" t="str">
        <f>'Tên Tháng 1'!E195</f>
        <v>ចយ សុខណា</v>
      </c>
      <c r="F206" s="36" t="str">
        <f>'Tên Tháng 1'!F195</f>
        <v>JOY SOKNA</v>
      </c>
      <c r="G206" s="37">
        <v>72</v>
      </c>
      <c r="H206" s="38">
        <v>31947</v>
      </c>
      <c r="I206" s="59">
        <f>'KL 1'!X207</f>
        <v>12.489999999999998</v>
      </c>
      <c r="J206" s="60">
        <f t="shared" si="15"/>
        <v>399018</v>
      </c>
      <c r="K206" s="61"/>
      <c r="L206" s="62"/>
      <c r="M206" s="63">
        <f t="shared" si="16"/>
        <v>399018</v>
      </c>
      <c r="N206" s="64">
        <f t="shared" si="21"/>
        <v>0</v>
      </c>
      <c r="O206" s="65">
        <f t="shared" si="22"/>
        <v>0</v>
      </c>
      <c r="P206" s="66">
        <f t="shared" si="23"/>
        <v>0</v>
      </c>
      <c r="Q206" s="60">
        <f t="shared" si="20"/>
        <v>399018</v>
      </c>
      <c r="R206" s="79"/>
      <c r="S206" s="80" t="s">
        <v>619</v>
      </c>
      <c r="U206" s="81"/>
    </row>
    <row r="207" spans="1:21" s="6" customFormat="1" ht="30.6" customHeight="1">
      <c r="A207" s="32">
        <v>193</v>
      </c>
      <c r="B207" s="40"/>
      <c r="C207" s="40"/>
      <c r="D207" s="34"/>
      <c r="E207" s="35" t="str">
        <f>'Tên Tháng 1'!E196</f>
        <v>តុប តង</v>
      </c>
      <c r="F207" s="36" t="str">
        <f>'Tên Tháng 1'!F196</f>
        <v>TOB TORNG</v>
      </c>
      <c r="G207" s="37">
        <v>73</v>
      </c>
      <c r="H207" s="38">
        <v>31947</v>
      </c>
      <c r="I207" s="59">
        <f>'KL 1'!X208</f>
        <v>12.860000000000001</v>
      </c>
      <c r="J207" s="60">
        <f t="shared" si="15"/>
        <v>410838</v>
      </c>
      <c r="K207" s="61"/>
      <c r="L207" s="62"/>
      <c r="M207" s="63">
        <f t="shared" si="16"/>
        <v>410838</v>
      </c>
      <c r="N207" s="64">
        <f t="shared" si="21"/>
        <v>0</v>
      </c>
      <c r="O207" s="65">
        <f t="shared" si="22"/>
        <v>0</v>
      </c>
      <c r="P207" s="66">
        <f t="shared" si="23"/>
        <v>0</v>
      </c>
      <c r="Q207" s="60">
        <f t="shared" si="20"/>
        <v>410838</v>
      </c>
      <c r="R207" s="79"/>
      <c r="S207" s="80" t="s">
        <v>619</v>
      </c>
      <c r="U207" s="81"/>
    </row>
    <row r="208" spans="1:21" s="6" customFormat="1" ht="30.6" customHeight="1">
      <c r="A208" s="32">
        <v>194</v>
      </c>
      <c r="B208" s="40"/>
      <c r="C208" s="40"/>
      <c r="D208" s="34"/>
      <c r="E208" s="35" t="str">
        <f>'Tên Tháng 1'!E197</f>
        <v>រ៉ែម រ៉ុម</v>
      </c>
      <c r="F208" s="36" t="str">
        <f>'Tên Tháng 1'!F197</f>
        <v>REM ROM</v>
      </c>
      <c r="G208" s="37">
        <v>74</v>
      </c>
      <c r="H208" s="38">
        <v>31947</v>
      </c>
      <c r="I208" s="59">
        <f>'KL 1'!X209</f>
        <v>12.89</v>
      </c>
      <c r="J208" s="60">
        <f t="shared" ref="J208:J271" si="24">ROUND(H208*I208,0)</f>
        <v>411797</v>
      </c>
      <c r="K208" s="61"/>
      <c r="L208" s="62"/>
      <c r="M208" s="63">
        <f t="shared" ref="M208:M271" si="25">J208+L208</f>
        <v>411797</v>
      </c>
      <c r="N208" s="64">
        <f t="shared" si="21"/>
        <v>0</v>
      </c>
      <c r="O208" s="65">
        <f t="shared" si="22"/>
        <v>0</v>
      </c>
      <c r="P208" s="66">
        <f t="shared" si="23"/>
        <v>0</v>
      </c>
      <c r="Q208" s="60">
        <f t="shared" ref="Q208:Q271" si="26">M208-L208</f>
        <v>411797</v>
      </c>
      <c r="R208" s="79"/>
      <c r="S208" s="80" t="s">
        <v>619</v>
      </c>
      <c r="U208" s="81"/>
    </row>
    <row r="209" spans="1:21" s="6" customFormat="1" ht="30.6" customHeight="1">
      <c r="A209" s="32">
        <v>195</v>
      </c>
      <c r="B209" s="40"/>
      <c r="C209" s="40"/>
      <c r="D209" s="34"/>
      <c r="E209" s="35" t="str">
        <f>'Tên Tháng 1'!E198</f>
        <v>ចយ សុខា</v>
      </c>
      <c r="F209" s="36" t="str">
        <f>'Tên Tháng 1'!F198</f>
        <v>CHORY SOKHA</v>
      </c>
      <c r="G209" s="37">
        <v>75</v>
      </c>
      <c r="H209" s="38">
        <v>31947</v>
      </c>
      <c r="I209" s="59">
        <f>'KL 1'!X210</f>
        <v>12.930000000000001</v>
      </c>
      <c r="J209" s="60">
        <f t="shared" si="24"/>
        <v>413075</v>
      </c>
      <c r="K209" s="61"/>
      <c r="L209" s="62"/>
      <c r="M209" s="63">
        <f t="shared" si="25"/>
        <v>413075</v>
      </c>
      <c r="N209" s="64">
        <f t="shared" si="21"/>
        <v>0</v>
      </c>
      <c r="O209" s="65">
        <f t="shared" si="22"/>
        <v>0</v>
      </c>
      <c r="P209" s="66">
        <f t="shared" si="23"/>
        <v>0</v>
      </c>
      <c r="Q209" s="60">
        <f t="shared" si="26"/>
        <v>413075</v>
      </c>
      <c r="R209" s="79"/>
      <c r="S209" s="80" t="s">
        <v>619</v>
      </c>
      <c r="U209" s="81"/>
    </row>
    <row r="210" spans="1:21" s="6" customFormat="1" ht="30.6" customHeight="1">
      <c r="A210" s="32">
        <v>196</v>
      </c>
      <c r="B210" s="40"/>
      <c r="C210" s="40"/>
      <c r="D210" s="34"/>
      <c r="E210" s="35" t="str">
        <f>'Tên Tháng 1'!E199</f>
        <v>ងិន ភា</v>
      </c>
      <c r="F210" s="36" t="str">
        <f>'Tên Tháng 1'!F199</f>
        <v>NGIN PHEA</v>
      </c>
      <c r="G210" s="37">
        <v>76</v>
      </c>
      <c r="H210" s="38">
        <v>31947</v>
      </c>
      <c r="I210" s="59">
        <f>'KL 1'!X211</f>
        <v>12.04</v>
      </c>
      <c r="J210" s="60">
        <f t="shared" si="24"/>
        <v>384642</v>
      </c>
      <c r="K210" s="61"/>
      <c r="L210" s="62"/>
      <c r="M210" s="63">
        <f t="shared" si="25"/>
        <v>384642</v>
      </c>
      <c r="N210" s="64">
        <f t="shared" si="21"/>
        <v>0</v>
      </c>
      <c r="O210" s="65">
        <f t="shared" si="22"/>
        <v>0</v>
      </c>
      <c r="P210" s="66">
        <f t="shared" si="23"/>
        <v>0</v>
      </c>
      <c r="Q210" s="60">
        <f t="shared" si="26"/>
        <v>384642</v>
      </c>
      <c r="R210" s="79"/>
      <c r="S210" s="80" t="s">
        <v>619</v>
      </c>
      <c r="U210" s="81"/>
    </row>
    <row r="211" spans="1:21" s="6" customFormat="1" ht="30.6" customHeight="1">
      <c r="A211" s="32">
        <v>197</v>
      </c>
      <c r="B211" s="40"/>
      <c r="C211" s="40"/>
      <c r="D211" s="34"/>
      <c r="E211" s="35" t="str">
        <f>'Tên Tháng 1'!E200</f>
        <v>ប៉ិល សុដា</v>
      </c>
      <c r="F211" s="36" t="str">
        <f>'Tên Tháng 1'!F200</f>
        <v>PEL SODA</v>
      </c>
      <c r="G211" s="37">
        <v>77</v>
      </c>
      <c r="H211" s="38">
        <v>31947</v>
      </c>
      <c r="I211" s="59">
        <f>'KL 1'!X212</f>
        <v>14.26</v>
      </c>
      <c r="J211" s="60">
        <f t="shared" si="24"/>
        <v>455564</v>
      </c>
      <c r="K211" s="61"/>
      <c r="L211" s="62"/>
      <c r="M211" s="63">
        <f t="shared" si="25"/>
        <v>455564</v>
      </c>
      <c r="N211" s="64">
        <f t="shared" si="21"/>
        <v>0</v>
      </c>
      <c r="O211" s="65">
        <f t="shared" si="22"/>
        <v>0</v>
      </c>
      <c r="P211" s="66">
        <f t="shared" si="23"/>
        <v>0</v>
      </c>
      <c r="Q211" s="60">
        <f t="shared" si="26"/>
        <v>455564</v>
      </c>
      <c r="R211" s="79"/>
      <c r="S211" s="80" t="s">
        <v>619</v>
      </c>
      <c r="U211" s="81"/>
    </row>
    <row r="212" spans="1:21" s="6" customFormat="1" ht="30.6" customHeight="1">
      <c r="A212" s="32">
        <v>198</v>
      </c>
      <c r="B212" s="40"/>
      <c r="C212" s="40"/>
      <c r="D212" s="34"/>
      <c r="E212" s="35" t="str">
        <f>'Tên Tháng 1'!E201</f>
        <v>ទ្រី​ សុខខី</v>
      </c>
      <c r="F212" s="36" t="str">
        <f>'Tên Tháng 1'!F201</f>
        <v>TRY SOKKHEY</v>
      </c>
      <c r="G212" s="37">
        <v>78</v>
      </c>
      <c r="H212" s="38">
        <v>31947</v>
      </c>
      <c r="I212" s="59">
        <f>'KL 1'!X213</f>
        <v>11.36</v>
      </c>
      <c r="J212" s="60">
        <f t="shared" si="24"/>
        <v>362918</v>
      </c>
      <c r="K212" s="61"/>
      <c r="L212" s="62"/>
      <c r="M212" s="63">
        <f t="shared" si="25"/>
        <v>362918</v>
      </c>
      <c r="N212" s="64">
        <f t="shared" si="21"/>
        <v>0</v>
      </c>
      <c r="O212" s="65">
        <f t="shared" si="22"/>
        <v>0</v>
      </c>
      <c r="P212" s="66">
        <f t="shared" si="23"/>
        <v>0</v>
      </c>
      <c r="Q212" s="60">
        <f t="shared" si="26"/>
        <v>362918</v>
      </c>
      <c r="R212" s="79"/>
      <c r="S212" s="80" t="s">
        <v>619</v>
      </c>
      <c r="U212" s="81"/>
    </row>
    <row r="213" spans="1:21" s="6" customFormat="1" ht="30.6" customHeight="1">
      <c r="A213" s="32">
        <v>199</v>
      </c>
      <c r="B213" s="40"/>
      <c r="C213" s="40"/>
      <c r="D213" s="34"/>
      <c r="E213" s="35" t="str">
        <f>'Tên Tháng 1'!E202</f>
        <v>ដែង ស</v>
      </c>
      <c r="F213" s="36" t="str">
        <f>'Tên Tháng 1'!F202</f>
        <v>DENG SOR</v>
      </c>
      <c r="G213" s="37">
        <v>79</v>
      </c>
      <c r="H213" s="38">
        <v>31947</v>
      </c>
      <c r="I213" s="59">
        <f>'KL 1'!X214</f>
        <v>11.53</v>
      </c>
      <c r="J213" s="60">
        <f t="shared" si="24"/>
        <v>368349</v>
      </c>
      <c r="K213" s="61"/>
      <c r="L213" s="62"/>
      <c r="M213" s="63">
        <f t="shared" si="25"/>
        <v>368349</v>
      </c>
      <c r="N213" s="64">
        <f t="shared" si="21"/>
        <v>0</v>
      </c>
      <c r="O213" s="65">
        <f t="shared" si="22"/>
        <v>0</v>
      </c>
      <c r="P213" s="66">
        <f t="shared" si="23"/>
        <v>0</v>
      </c>
      <c r="Q213" s="60">
        <f t="shared" si="26"/>
        <v>368349</v>
      </c>
      <c r="R213" s="79"/>
      <c r="S213" s="80" t="s">
        <v>619</v>
      </c>
      <c r="U213" s="81"/>
    </row>
    <row r="214" spans="1:21" s="6" customFormat="1" ht="30.6" customHeight="1">
      <c r="A214" s="32">
        <v>200</v>
      </c>
      <c r="B214" s="40"/>
      <c r="C214" s="40"/>
      <c r="D214" s="34"/>
      <c r="E214" s="35" t="str">
        <f>'Tên Tháng 1'!E203</f>
        <v>អ៊ុក រដ្ឋ</v>
      </c>
      <c r="F214" s="36" t="str">
        <f>'Tên Tháng 1'!F203</f>
        <v>UK ROTH</v>
      </c>
      <c r="G214" s="37">
        <v>80</v>
      </c>
      <c r="H214" s="38">
        <v>31947</v>
      </c>
      <c r="I214" s="59">
        <f>'KL 1'!X215</f>
        <v>13.75</v>
      </c>
      <c r="J214" s="60">
        <f t="shared" si="24"/>
        <v>439271</v>
      </c>
      <c r="K214" s="61"/>
      <c r="L214" s="62"/>
      <c r="M214" s="63">
        <f t="shared" si="25"/>
        <v>439271</v>
      </c>
      <c r="N214" s="64">
        <f t="shared" si="21"/>
        <v>0</v>
      </c>
      <c r="O214" s="65">
        <f t="shared" si="22"/>
        <v>0</v>
      </c>
      <c r="P214" s="66">
        <f t="shared" si="23"/>
        <v>0</v>
      </c>
      <c r="Q214" s="60">
        <f t="shared" si="26"/>
        <v>439271</v>
      </c>
      <c r="R214" s="79"/>
      <c r="S214" s="80" t="s">
        <v>619</v>
      </c>
      <c r="U214" s="81"/>
    </row>
    <row r="215" spans="1:21" s="6" customFormat="1" ht="30.6" customHeight="1">
      <c r="A215" s="32">
        <v>201</v>
      </c>
      <c r="B215" s="40"/>
      <c r="C215" s="40"/>
      <c r="D215" s="34"/>
      <c r="E215" s="35" t="str">
        <f>'Tên Tháng 1'!E204</f>
        <v>ដែង សន</v>
      </c>
      <c r="F215" s="36" t="str">
        <f>'Tên Tháng 1'!F204</f>
        <v>DENG SAN</v>
      </c>
      <c r="G215" s="37">
        <v>81</v>
      </c>
      <c r="H215" s="38">
        <v>31947</v>
      </c>
      <c r="I215" s="59">
        <f>'KL 1'!X216</f>
        <v>14.1</v>
      </c>
      <c r="J215" s="60">
        <f t="shared" si="24"/>
        <v>450453</v>
      </c>
      <c r="K215" s="61"/>
      <c r="L215" s="62"/>
      <c r="M215" s="63">
        <f t="shared" si="25"/>
        <v>450453</v>
      </c>
      <c r="N215" s="64">
        <f t="shared" si="21"/>
        <v>0</v>
      </c>
      <c r="O215" s="65">
        <f t="shared" si="22"/>
        <v>0</v>
      </c>
      <c r="P215" s="66">
        <f t="shared" si="23"/>
        <v>0</v>
      </c>
      <c r="Q215" s="60">
        <f t="shared" si="26"/>
        <v>450453</v>
      </c>
      <c r="R215" s="79"/>
      <c r="S215" s="80" t="s">
        <v>619</v>
      </c>
      <c r="U215" s="81"/>
    </row>
    <row r="216" spans="1:21" s="6" customFormat="1" ht="30.6" customHeight="1">
      <c r="A216" s="32">
        <v>202</v>
      </c>
      <c r="B216" s="40"/>
      <c r="C216" s="40"/>
      <c r="D216" s="34"/>
      <c r="E216" s="35" t="str">
        <f>'Tên Tháng 1'!E205</f>
        <v>ញូន ស្រីខួច</v>
      </c>
      <c r="F216" s="36" t="str">
        <f>'Tên Tháng 1'!F205</f>
        <v>NHOUN SREYKHOUCH</v>
      </c>
      <c r="G216" s="37">
        <v>82</v>
      </c>
      <c r="H216" s="38">
        <v>31947</v>
      </c>
      <c r="I216" s="59">
        <f>'KL 1'!X217</f>
        <v>10.83</v>
      </c>
      <c r="J216" s="60">
        <f t="shared" si="24"/>
        <v>345986</v>
      </c>
      <c r="K216" s="61"/>
      <c r="L216" s="62"/>
      <c r="M216" s="63">
        <f t="shared" si="25"/>
        <v>345986</v>
      </c>
      <c r="N216" s="64">
        <f t="shared" si="21"/>
        <v>0</v>
      </c>
      <c r="O216" s="65">
        <f t="shared" si="22"/>
        <v>0</v>
      </c>
      <c r="P216" s="66">
        <f t="shared" si="23"/>
        <v>0</v>
      </c>
      <c r="Q216" s="60">
        <f t="shared" si="26"/>
        <v>345986</v>
      </c>
      <c r="R216" s="79"/>
      <c r="S216" s="80" t="s">
        <v>619</v>
      </c>
      <c r="U216" s="81"/>
    </row>
    <row r="217" spans="1:21" s="6" customFormat="1" ht="30.6" customHeight="1">
      <c r="A217" s="32">
        <v>203</v>
      </c>
      <c r="B217" s="40"/>
      <c r="C217" s="40"/>
      <c r="D217" s="34"/>
      <c r="E217" s="35" t="str">
        <f>'Tên Tháng 1'!E206</f>
        <v>សេក សាមន់</v>
      </c>
      <c r="F217" s="36" t="str">
        <f>'Tên Tháng 1'!F206</f>
        <v>SEK SAMON</v>
      </c>
      <c r="G217" s="37">
        <v>83</v>
      </c>
      <c r="H217" s="38">
        <v>31947</v>
      </c>
      <c r="I217" s="59">
        <f>'KL 1'!X218</f>
        <v>13.1</v>
      </c>
      <c r="J217" s="60">
        <f t="shared" si="24"/>
        <v>418506</v>
      </c>
      <c r="K217" s="61"/>
      <c r="L217" s="62"/>
      <c r="M217" s="63">
        <f t="shared" si="25"/>
        <v>418506</v>
      </c>
      <c r="N217" s="64">
        <f t="shared" si="21"/>
        <v>0</v>
      </c>
      <c r="O217" s="65">
        <f t="shared" si="22"/>
        <v>0</v>
      </c>
      <c r="P217" s="66">
        <f t="shared" si="23"/>
        <v>0</v>
      </c>
      <c r="Q217" s="60">
        <f t="shared" si="26"/>
        <v>418506</v>
      </c>
      <c r="R217" s="79"/>
      <c r="S217" s="80" t="s">
        <v>619</v>
      </c>
      <c r="U217" s="81"/>
    </row>
    <row r="218" spans="1:21" s="6" customFormat="1" ht="30.6" customHeight="1">
      <c r="A218" s="32">
        <v>204</v>
      </c>
      <c r="B218" s="40"/>
      <c r="C218" s="40"/>
      <c r="D218" s="34"/>
      <c r="E218" s="35" t="str">
        <f>'Tên Tháng 1'!E207</f>
        <v>សាត ម៉េងហួង</v>
      </c>
      <c r="F218" s="36" t="str">
        <f>'Tên Tháng 1'!F207</f>
        <v>SAT MENGHOUR</v>
      </c>
      <c r="G218" s="37">
        <v>84</v>
      </c>
      <c r="H218" s="38">
        <v>31947</v>
      </c>
      <c r="I218" s="59">
        <f>'KL 1'!X219</f>
        <v>12.469999999999999</v>
      </c>
      <c r="J218" s="60">
        <f t="shared" si="24"/>
        <v>398379</v>
      </c>
      <c r="K218" s="61"/>
      <c r="L218" s="62"/>
      <c r="M218" s="63">
        <f t="shared" si="25"/>
        <v>398379</v>
      </c>
      <c r="N218" s="64">
        <f t="shared" si="21"/>
        <v>0</v>
      </c>
      <c r="O218" s="65">
        <f t="shared" si="22"/>
        <v>0</v>
      </c>
      <c r="P218" s="66">
        <f t="shared" si="23"/>
        <v>0</v>
      </c>
      <c r="Q218" s="60">
        <f t="shared" si="26"/>
        <v>398379</v>
      </c>
      <c r="R218" s="79"/>
      <c r="S218" s="80" t="s">
        <v>619</v>
      </c>
      <c r="U218" s="81"/>
    </row>
    <row r="219" spans="1:21" s="6" customFormat="1" ht="30.6" customHeight="1">
      <c r="A219" s="32">
        <v>205</v>
      </c>
      <c r="B219" s="40"/>
      <c r="C219" s="40"/>
      <c r="D219" s="34"/>
      <c r="E219" s="35" t="str">
        <f>'Tên Tháng 1'!E208</f>
        <v>ខ្វាន់ ណាក់</v>
      </c>
      <c r="F219" s="36" t="str">
        <f>'Tên Tháng 1'!F208</f>
        <v>KHVANN NAK</v>
      </c>
      <c r="G219" s="37">
        <v>85</v>
      </c>
      <c r="H219" s="38">
        <v>31947</v>
      </c>
      <c r="I219" s="59">
        <f>'KL 1'!X220</f>
        <v>12.840000000000002</v>
      </c>
      <c r="J219" s="60">
        <f t="shared" si="24"/>
        <v>410199</v>
      </c>
      <c r="K219" s="61"/>
      <c r="L219" s="62"/>
      <c r="M219" s="63">
        <f t="shared" si="25"/>
        <v>410199</v>
      </c>
      <c r="N219" s="64">
        <f t="shared" si="21"/>
        <v>0</v>
      </c>
      <c r="O219" s="65">
        <f t="shared" si="22"/>
        <v>0</v>
      </c>
      <c r="P219" s="66">
        <f t="shared" si="23"/>
        <v>0</v>
      </c>
      <c r="Q219" s="60">
        <f t="shared" si="26"/>
        <v>410199</v>
      </c>
      <c r="R219" s="79"/>
      <c r="S219" s="80" t="s">
        <v>619</v>
      </c>
      <c r="U219" s="81"/>
    </row>
    <row r="220" spans="1:21" s="6" customFormat="1" ht="30.6" customHeight="1">
      <c r="A220" s="32">
        <v>206</v>
      </c>
      <c r="B220" s="40"/>
      <c r="C220" s="40"/>
      <c r="D220" s="34"/>
      <c r="E220" s="35" t="str">
        <f>'Tên Tháng 1'!E209</f>
        <v>ខា សឿន</v>
      </c>
      <c r="F220" s="36" t="str">
        <f>'Tên Tháng 1'!F209</f>
        <v>KHA SOEUN</v>
      </c>
      <c r="G220" s="37">
        <v>86</v>
      </c>
      <c r="H220" s="38">
        <v>31947</v>
      </c>
      <c r="I220" s="59">
        <f>'KL 1'!X221</f>
        <v>11.92</v>
      </c>
      <c r="J220" s="60">
        <f t="shared" si="24"/>
        <v>380808</v>
      </c>
      <c r="K220" s="61"/>
      <c r="L220" s="62"/>
      <c r="M220" s="63">
        <f t="shared" si="25"/>
        <v>380808</v>
      </c>
      <c r="N220" s="64">
        <f t="shared" si="21"/>
        <v>0</v>
      </c>
      <c r="O220" s="65">
        <f t="shared" si="22"/>
        <v>0</v>
      </c>
      <c r="P220" s="66">
        <f t="shared" si="23"/>
        <v>0</v>
      </c>
      <c r="Q220" s="60">
        <f t="shared" si="26"/>
        <v>380808</v>
      </c>
      <c r="R220" s="79"/>
      <c r="S220" s="80" t="s">
        <v>619</v>
      </c>
      <c r="U220" s="81"/>
    </row>
    <row r="221" spans="1:21" s="6" customFormat="1" ht="33" customHeight="1">
      <c r="A221" s="32">
        <v>207</v>
      </c>
      <c r="B221" s="40"/>
      <c r="C221" s="40"/>
      <c r="D221" s="34"/>
      <c r="E221" s="35" t="str">
        <f>'Tên Tháng 1'!E210</f>
        <v>ឈូក ឆោម</v>
      </c>
      <c r="F221" s="36" t="str">
        <f>'Tên Tháng 1'!F210</f>
        <v>CHHOUK CHHAOM</v>
      </c>
      <c r="G221" s="37">
        <v>87</v>
      </c>
      <c r="H221" s="38">
        <v>31947</v>
      </c>
      <c r="I221" s="59">
        <f>'KL 1'!X222</f>
        <v>14.469999999999999</v>
      </c>
      <c r="J221" s="60">
        <f t="shared" si="24"/>
        <v>462273</v>
      </c>
      <c r="K221" s="61"/>
      <c r="L221" s="62"/>
      <c r="M221" s="63">
        <f t="shared" si="25"/>
        <v>462273</v>
      </c>
      <c r="N221" s="64">
        <f t="shared" si="21"/>
        <v>0</v>
      </c>
      <c r="O221" s="65">
        <f t="shared" si="22"/>
        <v>0</v>
      </c>
      <c r="P221" s="66">
        <f t="shared" si="23"/>
        <v>0</v>
      </c>
      <c r="Q221" s="60">
        <f t="shared" si="26"/>
        <v>462273</v>
      </c>
      <c r="R221" s="79"/>
      <c r="S221" s="80" t="s">
        <v>619</v>
      </c>
      <c r="U221" s="81"/>
    </row>
    <row r="222" spans="1:21" s="6" customFormat="1" ht="34.950000000000003" customHeight="1">
      <c r="A222" s="32">
        <v>208</v>
      </c>
      <c r="B222" s="40"/>
      <c r="C222" s="40"/>
      <c r="D222" s="34"/>
      <c r="E222" s="35" t="str">
        <f>'Tên Tháng 1'!E211</f>
        <v>ឡា រ៉ាសែន</v>
      </c>
      <c r="F222" s="36" t="str">
        <f>'Tên Tháng 1'!F211</f>
        <v>LA RASAEN</v>
      </c>
      <c r="G222" s="37">
        <v>88</v>
      </c>
      <c r="H222" s="38">
        <v>31947</v>
      </c>
      <c r="I222" s="59">
        <f>'KL 1'!X223</f>
        <v>13.629999999999999</v>
      </c>
      <c r="J222" s="60">
        <f t="shared" si="24"/>
        <v>435438</v>
      </c>
      <c r="K222" s="61"/>
      <c r="L222" s="62"/>
      <c r="M222" s="63">
        <f t="shared" si="25"/>
        <v>435438</v>
      </c>
      <c r="N222" s="64">
        <f t="shared" si="21"/>
        <v>0</v>
      </c>
      <c r="O222" s="65">
        <f t="shared" si="22"/>
        <v>0</v>
      </c>
      <c r="P222" s="66">
        <f t="shared" si="23"/>
        <v>0</v>
      </c>
      <c r="Q222" s="60">
        <f t="shared" si="26"/>
        <v>435438</v>
      </c>
      <c r="R222" s="79"/>
      <c r="S222" s="80" t="s">
        <v>619</v>
      </c>
      <c r="U222" s="81"/>
    </row>
    <row r="223" spans="1:21" s="6" customFormat="1" ht="34.200000000000003" customHeight="1">
      <c r="A223" s="32">
        <v>209</v>
      </c>
      <c r="B223" s="40"/>
      <c r="C223" s="40"/>
      <c r="D223" s="34"/>
      <c r="E223" s="35" t="str">
        <f>'Tên Tháng 1'!E212</f>
        <v>អ៊ី សុខួច</v>
      </c>
      <c r="F223" s="36" t="str">
        <f>'Tên Tháng 1'!F212</f>
        <v>Y SOKHOUCH</v>
      </c>
      <c r="G223" s="37">
        <v>89</v>
      </c>
      <c r="H223" s="38">
        <v>31947</v>
      </c>
      <c r="I223" s="59">
        <f>'KL 1'!X224</f>
        <v>12.309999999999999</v>
      </c>
      <c r="J223" s="60">
        <f t="shared" si="24"/>
        <v>393268</v>
      </c>
      <c r="K223" s="61"/>
      <c r="L223" s="62"/>
      <c r="M223" s="63">
        <f t="shared" si="25"/>
        <v>393268</v>
      </c>
      <c r="N223" s="64">
        <f t="shared" si="21"/>
        <v>0</v>
      </c>
      <c r="O223" s="65">
        <f t="shared" si="22"/>
        <v>0</v>
      </c>
      <c r="P223" s="66">
        <f t="shared" si="23"/>
        <v>0</v>
      </c>
      <c r="Q223" s="60">
        <f t="shared" si="26"/>
        <v>393268</v>
      </c>
      <c r="R223" s="79"/>
      <c r="S223" s="80" t="s">
        <v>619</v>
      </c>
      <c r="U223" s="81"/>
    </row>
    <row r="224" spans="1:21" s="6" customFormat="1" ht="34.200000000000003" customHeight="1">
      <c r="A224" s="32">
        <v>210</v>
      </c>
      <c r="B224" s="40"/>
      <c r="C224" s="40"/>
      <c r="D224" s="34"/>
      <c r="E224" s="35" t="str">
        <f>'Tên Tháng 1'!E213</f>
        <v>សាំ សាន</v>
      </c>
      <c r="F224" s="36" t="str">
        <f>'Tên Tháng 1'!F213</f>
        <v>SOM SAN</v>
      </c>
      <c r="G224" s="37">
        <v>90</v>
      </c>
      <c r="H224" s="38">
        <v>31947</v>
      </c>
      <c r="I224" s="59">
        <f>'KL 1'!X225</f>
        <v>16.62</v>
      </c>
      <c r="J224" s="60">
        <f t="shared" si="24"/>
        <v>530959</v>
      </c>
      <c r="K224" s="61"/>
      <c r="L224" s="62"/>
      <c r="M224" s="63">
        <f t="shared" si="25"/>
        <v>530959</v>
      </c>
      <c r="N224" s="64">
        <f t="shared" si="21"/>
        <v>0</v>
      </c>
      <c r="O224" s="65">
        <f t="shared" si="22"/>
        <v>0</v>
      </c>
      <c r="P224" s="66">
        <f t="shared" si="23"/>
        <v>0</v>
      </c>
      <c r="Q224" s="60">
        <f t="shared" si="26"/>
        <v>530959</v>
      </c>
      <c r="R224" s="79"/>
      <c r="S224" s="80" t="s">
        <v>619</v>
      </c>
      <c r="U224" s="81"/>
    </row>
    <row r="225" spans="1:21" s="6" customFormat="1" ht="33" customHeight="1">
      <c r="A225" s="32">
        <v>211</v>
      </c>
      <c r="B225" s="40"/>
      <c r="C225" s="40"/>
      <c r="D225" s="34"/>
      <c r="E225" s="35" t="str">
        <f>'Tên Tháng 1'!E214</f>
        <v>សំអុន កាសេន</v>
      </c>
      <c r="F225" s="36" t="str">
        <f>'Tên Tháng 1'!F214</f>
        <v>SAMUN KASEN</v>
      </c>
      <c r="G225" s="37">
        <v>91</v>
      </c>
      <c r="H225" s="38">
        <v>31947</v>
      </c>
      <c r="I225" s="59">
        <f>'KL 1'!X226</f>
        <v>16.36</v>
      </c>
      <c r="J225" s="60">
        <f t="shared" si="24"/>
        <v>522653</v>
      </c>
      <c r="K225" s="61"/>
      <c r="L225" s="62"/>
      <c r="M225" s="63">
        <f t="shared" si="25"/>
        <v>522653</v>
      </c>
      <c r="N225" s="64">
        <f t="shared" si="21"/>
        <v>0</v>
      </c>
      <c r="O225" s="65">
        <f t="shared" si="22"/>
        <v>0</v>
      </c>
      <c r="P225" s="66">
        <f t="shared" si="23"/>
        <v>0</v>
      </c>
      <c r="Q225" s="60">
        <f t="shared" si="26"/>
        <v>522653</v>
      </c>
      <c r="R225" s="79"/>
      <c r="S225" s="80" t="s">
        <v>619</v>
      </c>
      <c r="U225" s="81"/>
    </row>
    <row r="226" spans="1:21" s="6" customFormat="1" ht="34.200000000000003" customHeight="1">
      <c r="A226" s="32">
        <v>212</v>
      </c>
      <c r="B226" s="40"/>
      <c r="C226" s="40"/>
      <c r="D226" s="34"/>
      <c r="E226" s="35" t="str">
        <f>'Tên Tháng 1'!E215</f>
        <v>ប៉ែន វី</v>
      </c>
      <c r="F226" s="36" t="str">
        <f>'Tên Tháng 1'!F215</f>
        <v>PEN VY</v>
      </c>
      <c r="G226" s="37">
        <v>92</v>
      </c>
      <c r="H226" s="38">
        <v>31947</v>
      </c>
      <c r="I226" s="59">
        <f>'KL 1'!X227</f>
        <v>15.21</v>
      </c>
      <c r="J226" s="60">
        <f t="shared" si="24"/>
        <v>485914</v>
      </c>
      <c r="K226" s="61"/>
      <c r="L226" s="62"/>
      <c r="M226" s="63">
        <f t="shared" si="25"/>
        <v>485914</v>
      </c>
      <c r="N226" s="64">
        <f t="shared" si="21"/>
        <v>0</v>
      </c>
      <c r="O226" s="65">
        <f t="shared" si="22"/>
        <v>0</v>
      </c>
      <c r="P226" s="66">
        <f t="shared" si="23"/>
        <v>0</v>
      </c>
      <c r="Q226" s="60">
        <f t="shared" si="26"/>
        <v>485914</v>
      </c>
      <c r="R226" s="79"/>
      <c r="S226" s="80" t="s">
        <v>619</v>
      </c>
      <c r="U226" s="81"/>
    </row>
    <row r="227" spans="1:21" s="6" customFormat="1" ht="32.4" customHeight="1">
      <c r="A227" s="32">
        <v>213</v>
      </c>
      <c r="B227" s="40"/>
      <c r="C227" s="40"/>
      <c r="D227" s="34"/>
      <c r="E227" s="35" t="str">
        <f>'Tên Tháng 1'!E216</f>
        <v>លី​ ភៀត</v>
      </c>
      <c r="F227" s="36" t="str">
        <f>'Tên Tháng 1'!F216</f>
        <v>LY PHIET</v>
      </c>
      <c r="G227" s="37">
        <v>93</v>
      </c>
      <c r="H227" s="38">
        <v>31947</v>
      </c>
      <c r="I227" s="59">
        <f>'KL 1'!X228</f>
        <v>15.840000000000002</v>
      </c>
      <c r="J227" s="60">
        <f t="shared" si="24"/>
        <v>506040</v>
      </c>
      <c r="K227" s="61"/>
      <c r="L227" s="62"/>
      <c r="M227" s="63">
        <f t="shared" si="25"/>
        <v>506040</v>
      </c>
      <c r="N227" s="64">
        <f t="shared" si="21"/>
        <v>0</v>
      </c>
      <c r="O227" s="65">
        <f t="shared" si="22"/>
        <v>0</v>
      </c>
      <c r="P227" s="66">
        <f t="shared" si="23"/>
        <v>0</v>
      </c>
      <c r="Q227" s="60">
        <f t="shared" si="26"/>
        <v>506040</v>
      </c>
      <c r="R227" s="79"/>
      <c r="S227" s="80" t="s">
        <v>619</v>
      </c>
      <c r="U227" s="81"/>
    </row>
    <row r="228" spans="1:21" s="6" customFormat="1" ht="32.4" customHeight="1">
      <c r="A228" s="32">
        <v>214</v>
      </c>
      <c r="B228" s="40"/>
      <c r="C228" s="40"/>
      <c r="D228" s="34"/>
      <c r="E228" s="35" t="str">
        <f>'Tên Tháng 1'!E217</f>
        <v>ហ៊ុយ ចយ</v>
      </c>
      <c r="F228" s="36" t="str">
        <f>'Tên Tháng 1'!F217</f>
        <v>HUY CHOY</v>
      </c>
      <c r="G228" s="37">
        <v>94</v>
      </c>
      <c r="H228" s="38">
        <v>31947</v>
      </c>
      <c r="I228" s="59">
        <f>'KL 1'!X229</f>
        <v>11.950000000000001</v>
      </c>
      <c r="J228" s="60">
        <f t="shared" si="24"/>
        <v>381767</v>
      </c>
      <c r="K228" s="61"/>
      <c r="L228" s="62"/>
      <c r="M228" s="63">
        <f t="shared" si="25"/>
        <v>381767</v>
      </c>
      <c r="N228" s="64">
        <f t="shared" si="21"/>
        <v>0</v>
      </c>
      <c r="O228" s="65">
        <f t="shared" si="22"/>
        <v>0</v>
      </c>
      <c r="P228" s="66">
        <f t="shared" si="23"/>
        <v>0</v>
      </c>
      <c r="Q228" s="60">
        <f t="shared" si="26"/>
        <v>381767</v>
      </c>
      <c r="R228" s="79"/>
      <c r="S228" s="80" t="s">
        <v>619</v>
      </c>
      <c r="U228" s="81"/>
    </row>
    <row r="229" spans="1:21" s="6" customFormat="1" ht="32.4" customHeight="1">
      <c r="A229" s="32">
        <v>215</v>
      </c>
      <c r="B229" s="40"/>
      <c r="C229" s="40"/>
      <c r="D229" s="34"/>
      <c r="E229" s="35" t="str">
        <f>'Tên Tháng 1'!E218</f>
        <v>ឈាង ឆេន</v>
      </c>
      <c r="F229" s="36" t="str">
        <f>'Tên Tháng 1'!F218</f>
        <v>CHHEANG CHHEN</v>
      </c>
      <c r="G229" s="37">
        <v>95</v>
      </c>
      <c r="H229" s="38">
        <v>31947</v>
      </c>
      <c r="I229" s="59">
        <f>'KL 1'!X230</f>
        <v>13.3</v>
      </c>
      <c r="J229" s="60">
        <f t="shared" si="24"/>
        <v>424895</v>
      </c>
      <c r="K229" s="61"/>
      <c r="L229" s="62"/>
      <c r="M229" s="63">
        <f t="shared" si="25"/>
        <v>424895</v>
      </c>
      <c r="N229" s="64">
        <f t="shared" si="21"/>
        <v>0</v>
      </c>
      <c r="O229" s="65">
        <f t="shared" si="22"/>
        <v>0</v>
      </c>
      <c r="P229" s="66">
        <f t="shared" si="23"/>
        <v>0</v>
      </c>
      <c r="Q229" s="60">
        <f t="shared" si="26"/>
        <v>424895</v>
      </c>
      <c r="R229" s="79"/>
      <c r="S229" s="80" t="s">
        <v>619</v>
      </c>
      <c r="U229" s="81"/>
    </row>
    <row r="230" spans="1:21" s="6" customFormat="1" ht="32.4" customHeight="1">
      <c r="A230" s="32">
        <v>216</v>
      </c>
      <c r="B230" s="40"/>
      <c r="C230" s="40"/>
      <c r="D230" s="34"/>
      <c r="E230" s="35" t="str">
        <f>'Tên Tháng 1'!E219</f>
        <v>ប៉ឹង តូច</v>
      </c>
      <c r="F230" s="36" t="str">
        <f>'Tên Tháng 1'!F219</f>
        <v>POENG TOUCH</v>
      </c>
      <c r="G230" s="37">
        <v>96</v>
      </c>
      <c r="H230" s="38">
        <v>31947</v>
      </c>
      <c r="I230" s="59">
        <f>'KL 1'!X231</f>
        <v>17.8</v>
      </c>
      <c r="J230" s="60">
        <f t="shared" si="24"/>
        <v>568657</v>
      </c>
      <c r="K230" s="61"/>
      <c r="L230" s="62"/>
      <c r="M230" s="63">
        <f t="shared" si="25"/>
        <v>568657</v>
      </c>
      <c r="N230" s="64">
        <f t="shared" si="21"/>
        <v>0</v>
      </c>
      <c r="O230" s="65">
        <f t="shared" si="22"/>
        <v>0</v>
      </c>
      <c r="P230" s="66">
        <f t="shared" si="23"/>
        <v>0</v>
      </c>
      <c r="Q230" s="60">
        <f t="shared" si="26"/>
        <v>568657</v>
      </c>
      <c r="R230" s="79"/>
      <c r="S230" s="80" t="s">
        <v>619</v>
      </c>
      <c r="U230" s="81"/>
    </row>
    <row r="231" spans="1:21" s="6" customFormat="1" ht="32.4" customHeight="1">
      <c r="A231" s="32">
        <v>217</v>
      </c>
      <c r="B231" s="40"/>
      <c r="C231" s="40"/>
      <c r="D231" s="34"/>
      <c r="E231" s="35" t="str">
        <f>'Tên Tháng 1'!E220</f>
        <v>ម៉ន ស៊ីន</v>
      </c>
      <c r="F231" s="36" t="str">
        <f>'Tên Tháng 1'!F220</f>
        <v>MORN SIN</v>
      </c>
      <c r="G231" s="37">
        <v>97</v>
      </c>
      <c r="H231" s="38">
        <v>31947</v>
      </c>
      <c r="I231" s="59">
        <f>'KL 1'!X232</f>
        <v>14.13</v>
      </c>
      <c r="J231" s="60">
        <f t="shared" si="24"/>
        <v>451411</v>
      </c>
      <c r="K231" s="61"/>
      <c r="L231" s="62"/>
      <c r="M231" s="63">
        <f t="shared" si="25"/>
        <v>451411</v>
      </c>
      <c r="N231" s="64">
        <f t="shared" si="21"/>
        <v>0</v>
      </c>
      <c r="O231" s="65">
        <f t="shared" si="22"/>
        <v>0</v>
      </c>
      <c r="P231" s="66">
        <f t="shared" si="23"/>
        <v>0</v>
      </c>
      <c r="Q231" s="60">
        <f t="shared" si="26"/>
        <v>451411</v>
      </c>
      <c r="R231" s="79"/>
      <c r="S231" s="80" t="s">
        <v>619</v>
      </c>
      <c r="U231" s="81"/>
    </row>
    <row r="232" spans="1:21" s="6" customFormat="1" ht="32.4" customHeight="1">
      <c r="A232" s="32">
        <v>218</v>
      </c>
      <c r="B232" s="40"/>
      <c r="C232" s="40"/>
      <c r="D232" s="34"/>
      <c r="E232" s="35" t="str">
        <f>'Tên Tháng 1'!E221</f>
        <v>យឿន យួន</v>
      </c>
      <c r="F232" s="36" t="str">
        <f>'Tên Tháng 1'!F221</f>
        <v>YOEUN YOUN</v>
      </c>
      <c r="G232" s="37">
        <v>98</v>
      </c>
      <c r="H232" s="38">
        <v>31947</v>
      </c>
      <c r="I232" s="59">
        <f>'KL 1'!X233</f>
        <v>16.670000000000002</v>
      </c>
      <c r="J232" s="60">
        <f t="shared" si="24"/>
        <v>532556</v>
      </c>
      <c r="K232" s="61"/>
      <c r="L232" s="62"/>
      <c r="M232" s="63">
        <f t="shared" si="25"/>
        <v>532556</v>
      </c>
      <c r="N232" s="64">
        <f t="shared" si="21"/>
        <v>0</v>
      </c>
      <c r="O232" s="65">
        <f t="shared" si="22"/>
        <v>0</v>
      </c>
      <c r="P232" s="66">
        <f t="shared" si="23"/>
        <v>0</v>
      </c>
      <c r="Q232" s="60">
        <f t="shared" si="26"/>
        <v>532556</v>
      </c>
      <c r="R232" s="79"/>
      <c r="S232" s="80" t="s">
        <v>619</v>
      </c>
      <c r="U232" s="81"/>
    </row>
    <row r="233" spans="1:21" s="6" customFormat="1" ht="32.4" customHeight="1">
      <c r="A233" s="32">
        <v>219</v>
      </c>
      <c r="B233" s="40"/>
      <c r="C233" s="40"/>
      <c r="D233" s="34"/>
      <c r="E233" s="35" t="str">
        <f>'Tên Tháng 1'!E222</f>
        <v>ណាក់ ញ៉ាញ់</v>
      </c>
      <c r="F233" s="36" t="str">
        <f>'Tên Tháng 1'!F222</f>
        <v>NAK NHANH</v>
      </c>
      <c r="G233" s="37">
        <v>99</v>
      </c>
      <c r="H233" s="38">
        <v>31947</v>
      </c>
      <c r="I233" s="59">
        <f>'KL 1'!X234</f>
        <v>16.52</v>
      </c>
      <c r="J233" s="60">
        <f t="shared" si="24"/>
        <v>527764</v>
      </c>
      <c r="K233" s="61"/>
      <c r="L233" s="62"/>
      <c r="M233" s="63">
        <f t="shared" si="25"/>
        <v>527764</v>
      </c>
      <c r="N233" s="64">
        <f t="shared" si="21"/>
        <v>0</v>
      </c>
      <c r="O233" s="65">
        <f t="shared" si="22"/>
        <v>0</v>
      </c>
      <c r="P233" s="66">
        <f t="shared" si="23"/>
        <v>0</v>
      </c>
      <c r="Q233" s="60">
        <f t="shared" si="26"/>
        <v>527764</v>
      </c>
      <c r="R233" s="79"/>
      <c r="S233" s="80" t="s">
        <v>619</v>
      </c>
      <c r="U233" s="81"/>
    </row>
    <row r="234" spans="1:21" s="6" customFormat="1" ht="32.4" customHeight="1">
      <c r="A234" s="32">
        <v>220</v>
      </c>
      <c r="B234" s="40"/>
      <c r="C234" s="40"/>
      <c r="D234" s="34"/>
      <c r="E234" s="35" t="str">
        <f>'Tên Tháng 1'!E223</f>
        <v>មាន រិទ្ធី</v>
      </c>
      <c r="F234" s="36" t="str">
        <f>'Tên Tháng 1'!F223</f>
        <v>MEAN RITHY</v>
      </c>
      <c r="G234" s="37">
        <v>100</v>
      </c>
      <c r="H234" s="38">
        <v>31947</v>
      </c>
      <c r="I234" s="59">
        <f>'KL 1'!X235</f>
        <v>15.58</v>
      </c>
      <c r="J234" s="60">
        <f t="shared" si="24"/>
        <v>497734</v>
      </c>
      <c r="K234" s="61"/>
      <c r="L234" s="62"/>
      <c r="M234" s="63">
        <f t="shared" si="25"/>
        <v>497734</v>
      </c>
      <c r="N234" s="64">
        <f t="shared" si="21"/>
        <v>0</v>
      </c>
      <c r="O234" s="65">
        <f t="shared" si="22"/>
        <v>0</v>
      </c>
      <c r="P234" s="66">
        <f t="shared" si="23"/>
        <v>0</v>
      </c>
      <c r="Q234" s="60">
        <f t="shared" si="26"/>
        <v>497734</v>
      </c>
      <c r="R234" s="79"/>
      <c r="S234" s="80" t="s">
        <v>619</v>
      </c>
      <c r="U234" s="81"/>
    </row>
    <row r="235" spans="1:21" s="6" customFormat="1" ht="32.4" customHeight="1">
      <c r="A235" s="32">
        <v>221</v>
      </c>
      <c r="B235" s="40"/>
      <c r="C235" s="40"/>
      <c r="D235" s="34"/>
      <c r="E235" s="35" t="str">
        <f>'Tên Tháng 1'!E224</f>
        <v>ក្រឹង រ៉ែម</v>
      </c>
      <c r="F235" s="36" t="str">
        <f>'Tên Tháng 1'!F224</f>
        <v>KROENG REM</v>
      </c>
      <c r="G235" s="37">
        <v>101</v>
      </c>
      <c r="H235" s="38">
        <v>31947</v>
      </c>
      <c r="I235" s="59">
        <f>'KL 1'!X236</f>
        <v>17.240000000000002</v>
      </c>
      <c r="J235" s="60">
        <f t="shared" si="24"/>
        <v>550766</v>
      </c>
      <c r="K235" s="61"/>
      <c r="L235" s="62"/>
      <c r="M235" s="63">
        <f t="shared" si="25"/>
        <v>550766</v>
      </c>
      <c r="N235" s="64">
        <f t="shared" si="21"/>
        <v>0</v>
      </c>
      <c r="O235" s="65">
        <f t="shared" si="22"/>
        <v>0</v>
      </c>
      <c r="P235" s="66">
        <f t="shared" si="23"/>
        <v>0</v>
      </c>
      <c r="Q235" s="60">
        <f t="shared" si="26"/>
        <v>550766</v>
      </c>
      <c r="R235" s="79"/>
      <c r="S235" s="80" t="s">
        <v>619</v>
      </c>
      <c r="U235" s="81"/>
    </row>
    <row r="236" spans="1:21" s="6" customFormat="1" ht="32.4" customHeight="1">
      <c r="A236" s="32">
        <v>222</v>
      </c>
      <c r="B236" s="40"/>
      <c r="C236" s="40"/>
      <c r="D236" s="34"/>
      <c r="E236" s="35" t="str">
        <f>'Tên Tháng 1'!E225</f>
        <v>អ៊ុក សុខគួន</v>
      </c>
      <c r="F236" s="36" t="str">
        <f>'Tên Tháng 1'!F225</f>
        <v>UK SOKOURN</v>
      </c>
      <c r="G236" s="37">
        <v>102</v>
      </c>
      <c r="H236" s="38">
        <v>31947</v>
      </c>
      <c r="I236" s="59">
        <f>'KL 1'!X237</f>
        <v>15.16</v>
      </c>
      <c r="J236" s="60">
        <f t="shared" si="24"/>
        <v>484317</v>
      </c>
      <c r="K236" s="61"/>
      <c r="L236" s="62"/>
      <c r="M236" s="63">
        <f t="shared" si="25"/>
        <v>484317</v>
      </c>
      <c r="N236" s="64">
        <f t="shared" si="21"/>
        <v>0</v>
      </c>
      <c r="O236" s="65">
        <f t="shared" si="22"/>
        <v>0</v>
      </c>
      <c r="P236" s="66">
        <f t="shared" si="23"/>
        <v>0</v>
      </c>
      <c r="Q236" s="60">
        <f t="shared" si="26"/>
        <v>484317</v>
      </c>
      <c r="R236" s="79"/>
      <c r="S236" s="80" t="s">
        <v>619</v>
      </c>
      <c r="U236" s="81"/>
    </row>
    <row r="237" spans="1:21" s="6" customFormat="1" ht="32.4" customHeight="1">
      <c r="A237" s="32">
        <v>223</v>
      </c>
      <c r="B237" s="40"/>
      <c r="C237" s="40"/>
      <c r="D237" s="34"/>
      <c r="E237" s="35" t="str">
        <f>'Tên Tháng 1'!E226</f>
        <v>ហ៊ាង ហេន</v>
      </c>
      <c r="F237" s="36" t="str">
        <f>'Tên Tháng 1'!F226</f>
        <v>HEANG HEN</v>
      </c>
      <c r="G237" s="37">
        <v>103</v>
      </c>
      <c r="H237" s="38">
        <v>31947</v>
      </c>
      <c r="I237" s="59">
        <f>'KL 1'!X238</f>
        <v>18.310000000000002</v>
      </c>
      <c r="J237" s="60">
        <f t="shared" si="24"/>
        <v>584950</v>
      </c>
      <c r="K237" s="61"/>
      <c r="L237" s="62"/>
      <c r="M237" s="63">
        <f t="shared" si="25"/>
        <v>584950</v>
      </c>
      <c r="N237" s="64">
        <f t="shared" si="21"/>
        <v>0</v>
      </c>
      <c r="O237" s="65">
        <f t="shared" si="22"/>
        <v>0</v>
      </c>
      <c r="P237" s="66">
        <f t="shared" si="23"/>
        <v>0</v>
      </c>
      <c r="Q237" s="60">
        <f t="shared" si="26"/>
        <v>584950</v>
      </c>
      <c r="R237" s="79"/>
      <c r="S237" s="80" t="s">
        <v>619</v>
      </c>
      <c r="U237" s="81"/>
    </row>
    <row r="238" spans="1:21" s="6" customFormat="1" ht="32.4" customHeight="1">
      <c r="A238" s="32">
        <v>224</v>
      </c>
      <c r="B238" s="40"/>
      <c r="C238" s="40"/>
      <c r="D238" s="34"/>
      <c r="E238" s="35" t="str">
        <f>'Tên Tháng 1'!E227</f>
        <v>ហួន យ៉េ</v>
      </c>
      <c r="F238" s="36" t="str">
        <f>'Tên Tháng 1'!F227</f>
        <v>HOURN YE</v>
      </c>
      <c r="G238" s="37">
        <v>104</v>
      </c>
      <c r="H238" s="38">
        <v>31947</v>
      </c>
      <c r="I238" s="59">
        <f>'KL 1'!X239</f>
        <v>13.719999999999999</v>
      </c>
      <c r="J238" s="60">
        <f t="shared" si="24"/>
        <v>438313</v>
      </c>
      <c r="K238" s="61"/>
      <c r="L238" s="62"/>
      <c r="M238" s="63">
        <f t="shared" si="25"/>
        <v>438313</v>
      </c>
      <c r="N238" s="64">
        <f t="shared" si="21"/>
        <v>0</v>
      </c>
      <c r="O238" s="65">
        <f t="shared" si="22"/>
        <v>0</v>
      </c>
      <c r="P238" s="66">
        <f t="shared" si="23"/>
        <v>0</v>
      </c>
      <c r="Q238" s="60">
        <f t="shared" si="26"/>
        <v>438313</v>
      </c>
      <c r="R238" s="79"/>
      <c r="S238" s="80" t="s">
        <v>619</v>
      </c>
      <c r="U238" s="81"/>
    </row>
    <row r="239" spans="1:21" s="6" customFormat="1" ht="32.4" customHeight="1">
      <c r="A239" s="32">
        <v>225</v>
      </c>
      <c r="B239" s="40"/>
      <c r="C239" s="40"/>
      <c r="D239" s="34"/>
      <c r="E239" s="35" t="str">
        <f>'Tên Tháng 1'!E228</f>
        <v>លី ចិត្តត្រា</v>
      </c>
      <c r="F239" s="36" t="str">
        <f>'Tên Tháng 1'!F228</f>
        <v>LY CHITRA</v>
      </c>
      <c r="G239" s="37">
        <v>105</v>
      </c>
      <c r="H239" s="38">
        <v>31947</v>
      </c>
      <c r="I239" s="59">
        <f>'KL 1'!X240</f>
        <v>15.68</v>
      </c>
      <c r="J239" s="60">
        <f t="shared" si="24"/>
        <v>500929</v>
      </c>
      <c r="K239" s="61"/>
      <c r="L239" s="62"/>
      <c r="M239" s="63">
        <f t="shared" si="25"/>
        <v>500929</v>
      </c>
      <c r="N239" s="64">
        <f t="shared" si="21"/>
        <v>0</v>
      </c>
      <c r="O239" s="65">
        <f t="shared" si="22"/>
        <v>0</v>
      </c>
      <c r="P239" s="66">
        <f t="shared" si="23"/>
        <v>0</v>
      </c>
      <c r="Q239" s="60">
        <f t="shared" si="26"/>
        <v>500929</v>
      </c>
      <c r="R239" s="79"/>
      <c r="S239" s="80" t="s">
        <v>619</v>
      </c>
      <c r="U239" s="81"/>
    </row>
    <row r="240" spans="1:21" s="6" customFormat="1" ht="32.4" customHeight="1">
      <c r="A240" s="32">
        <v>226</v>
      </c>
      <c r="B240" s="40"/>
      <c r="C240" s="40"/>
      <c r="D240" s="34"/>
      <c r="E240" s="35" t="str">
        <f>'Tên Tháng 1'!E229</f>
        <v>សល់ សុភី</v>
      </c>
      <c r="F240" s="36" t="str">
        <f>'Tên Tháng 1'!F229</f>
        <v>SAL SOPHY</v>
      </c>
      <c r="G240" s="37">
        <v>106</v>
      </c>
      <c r="H240" s="38">
        <v>31947</v>
      </c>
      <c r="I240" s="59">
        <f>'KL 1'!X241</f>
        <v>14.089999999999998</v>
      </c>
      <c r="J240" s="60">
        <f t="shared" si="24"/>
        <v>450133</v>
      </c>
      <c r="K240" s="61"/>
      <c r="L240" s="62"/>
      <c r="M240" s="63">
        <f t="shared" si="25"/>
        <v>450133</v>
      </c>
      <c r="N240" s="64">
        <f t="shared" si="21"/>
        <v>0</v>
      </c>
      <c r="O240" s="65">
        <f t="shared" si="22"/>
        <v>0</v>
      </c>
      <c r="P240" s="66">
        <f t="shared" si="23"/>
        <v>0</v>
      </c>
      <c r="Q240" s="60">
        <f t="shared" si="26"/>
        <v>450133</v>
      </c>
      <c r="R240" s="79"/>
      <c r="S240" s="80" t="s">
        <v>619</v>
      </c>
      <c r="U240" s="81"/>
    </row>
    <row r="241" spans="1:21" s="6" customFormat="1" ht="32.4" customHeight="1">
      <c r="A241" s="32">
        <v>227</v>
      </c>
      <c r="B241" s="40"/>
      <c r="C241" s="40"/>
      <c r="D241" s="34"/>
      <c r="E241" s="35" t="str">
        <f>'Tên Tháng 1'!E230</f>
        <v>ម៉ោន ហ៊ុំ</v>
      </c>
      <c r="F241" s="36" t="str">
        <f>'Tên Tháng 1'!F230</f>
        <v>MORN HUM</v>
      </c>
      <c r="G241" s="37">
        <v>107</v>
      </c>
      <c r="H241" s="38">
        <v>31947</v>
      </c>
      <c r="I241" s="59">
        <f>'KL 1'!X242</f>
        <v>15.66</v>
      </c>
      <c r="J241" s="60">
        <f t="shared" si="24"/>
        <v>500290</v>
      </c>
      <c r="K241" s="61"/>
      <c r="L241" s="62"/>
      <c r="M241" s="63">
        <f t="shared" si="25"/>
        <v>500290</v>
      </c>
      <c r="N241" s="64">
        <f t="shared" si="21"/>
        <v>0</v>
      </c>
      <c r="O241" s="65">
        <f t="shared" si="22"/>
        <v>0</v>
      </c>
      <c r="P241" s="66">
        <f t="shared" si="23"/>
        <v>0</v>
      </c>
      <c r="Q241" s="60">
        <f t="shared" si="26"/>
        <v>500290</v>
      </c>
      <c r="R241" s="79"/>
      <c r="S241" s="80" t="s">
        <v>619</v>
      </c>
      <c r="U241" s="81"/>
    </row>
    <row r="242" spans="1:21" s="6" customFormat="1" ht="32.4" customHeight="1">
      <c r="A242" s="32">
        <v>228</v>
      </c>
      <c r="B242" s="40"/>
      <c r="C242" s="40"/>
      <c r="D242" s="34"/>
      <c r="E242" s="35" t="str">
        <f>'Tên Tháng 1'!E231</f>
        <v>លី សឹង</v>
      </c>
      <c r="F242" s="36" t="str">
        <f>'Tên Tháng 1'!F231</f>
        <v>LY SOENG</v>
      </c>
      <c r="G242" s="37">
        <v>108</v>
      </c>
      <c r="H242" s="38">
        <v>31947</v>
      </c>
      <c r="I242" s="59">
        <f>'KL 1'!X243</f>
        <v>16.849999999999998</v>
      </c>
      <c r="J242" s="60">
        <f t="shared" si="24"/>
        <v>538307</v>
      </c>
      <c r="K242" s="61"/>
      <c r="L242" s="62"/>
      <c r="M242" s="63">
        <f t="shared" si="25"/>
        <v>538307</v>
      </c>
      <c r="N242" s="64">
        <f t="shared" si="21"/>
        <v>0</v>
      </c>
      <c r="O242" s="65">
        <f t="shared" si="22"/>
        <v>0</v>
      </c>
      <c r="P242" s="66">
        <f t="shared" si="23"/>
        <v>0</v>
      </c>
      <c r="Q242" s="60">
        <f t="shared" si="26"/>
        <v>538307</v>
      </c>
      <c r="R242" s="79"/>
      <c r="S242" s="80" t="s">
        <v>619</v>
      </c>
      <c r="U242" s="81"/>
    </row>
    <row r="243" spans="1:21" s="6" customFormat="1" ht="32.4" customHeight="1">
      <c r="A243" s="32">
        <v>229</v>
      </c>
      <c r="B243" s="40"/>
      <c r="C243" s="40"/>
      <c r="D243" s="34"/>
      <c r="E243" s="35" t="str">
        <f>'Tên Tháng 1'!E232</f>
        <v>ងិន ម៉ុត</v>
      </c>
      <c r="F243" s="36" t="str">
        <f>'Tên Tháng 1'!F232</f>
        <v>NGIN MOT</v>
      </c>
      <c r="G243" s="37">
        <v>109</v>
      </c>
      <c r="H243" s="38">
        <v>31947</v>
      </c>
      <c r="I243" s="59">
        <f>'KL 1'!X244</f>
        <v>13.93</v>
      </c>
      <c r="J243" s="60">
        <f t="shared" si="24"/>
        <v>445022</v>
      </c>
      <c r="K243" s="61"/>
      <c r="L243" s="62"/>
      <c r="M243" s="63">
        <f t="shared" si="25"/>
        <v>445022</v>
      </c>
      <c r="N243" s="64">
        <f t="shared" si="21"/>
        <v>0</v>
      </c>
      <c r="O243" s="65">
        <f t="shared" si="22"/>
        <v>0</v>
      </c>
      <c r="P243" s="66">
        <f t="shared" si="23"/>
        <v>0</v>
      </c>
      <c r="Q243" s="60">
        <f t="shared" si="26"/>
        <v>445022</v>
      </c>
      <c r="R243" s="79"/>
      <c r="S243" s="80" t="s">
        <v>619</v>
      </c>
      <c r="U243" s="81"/>
    </row>
    <row r="244" spans="1:21" s="6" customFormat="1" ht="32.4" customHeight="1">
      <c r="A244" s="32">
        <v>230</v>
      </c>
      <c r="B244" s="40"/>
      <c r="C244" s="40"/>
      <c r="D244" s="34"/>
      <c r="E244" s="35" t="str">
        <f>'Tên Tháng 1'!E233</f>
        <v>វ៉ន សុភី</v>
      </c>
      <c r="F244" s="36" t="str">
        <f>'Tên Tháng 1'!F233</f>
        <v>VORN SOPHY</v>
      </c>
      <c r="G244" s="37">
        <v>110</v>
      </c>
      <c r="H244" s="38">
        <v>31947</v>
      </c>
      <c r="I244" s="59">
        <f>'KL 1'!X245</f>
        <v>12.459999999999999</v>
      </c>
      <c r="J244" s="60">
        <f t="shared" si="24"/>
        <v>398060</v>
      </c>
      <c r="K244" s="61"/>
      <c r="L244" s="62"/>
      <c r="M244" s="63">
        <f t="shared" si="25"/>
        <v>398060</v>
      </c>
      <c r="N244" s="64">
        <f t="shared" si="21"/>
        <v>0</v>
      </c>
      <c r="O244" s="65">
        <f t="shared" si="22"/>
        <v>0</v>
      </c>
      <c r="P244" s="66">
        <f t="shared" si="23"/>
        <v>0</v>
      </c>
      <c r="Q244" s="60">
        <f t="shared" si="26"/>
        <v>398060</v>
      </c>
      <c r="R244" s="79"/>
      <c r="S244" s="80" t="s">
        <v>619</v>
      </c>
      <c r="U244" s="81"/>
    </row>
    <row r="245" spans="1:21" s="6" customFormat="1" ht="32.4" customHeight="1">
      <c r="A245" s="32">
        <v>231</v>
      </c>
      <c r="B245" s="40"/>
      <c r="C245" s="40"/>
      <c r="D245" s="34"/>
      <c r="E245" s="35" t="str">
        <f>'Tên Tháng 1'!E234</f>
        <v>កោ វុទ្ធី</v>
      </c>
      <c r="F245" s="36" t="str">
        <f>'Tên Tháng 1'!F234</f>
        <v>KOR VUTHY</v>
      </c>
      <c r="G245" s="37">
        <v>111</v>
      </c>
      <c r="H245" s="38">
        <v>31947</v>
      </c>
      <c r="I245" s="59">
        <f>'KL 1'!X246</f>
        <v>14.29</v>
      </c>
      <c r="J245" s="60">
        <f t="shared" si="24"/>
        <v>456523</v>
      </c>
      <c r="K245" s="61"/>
      <c r="L245" s="62"/>
      <c r="M245" s="63">
        <f t="shared" si="25"/>
        <v>456523</v>
      </c>
      <c r="N245" s="64">
        <f t="shared" si="21"/>
        <v>0</v>
      </c>
      <c r="O245" s="65">
        <f t="shared" si="22"/>
        <v>0</v>
      </c>
      <c r="P245" s="66">
        <f t="shared" si="23"/>
        <v>0</v>
      </c>
      <c r="Q245" s="60">
        <f t="shared" si="26"/>
        <v>456523</v>
      </c>
      <c r="R245" s="79"/>
      <c r="S245" s="80" t="s">
        <v>619</v>
      </c>
      <c r="U245" s="81"/>
    </row>
    <row r="246" spans="1:21" s="6" customFormat="1" ht="32.4" customHeight="1">
      <c r="A246" s="32">
        <v>232</v>
      </c>
      <c r="B246" s="40"/>
      <c r="C246" s="40"/>
      <c r="D246" s="34"/>
      <c r="E246" s="35" t="str">
        <f>'Tên Tháng 1'!E235</f>
        <v>ហាយ សុភី</v>
      </c>
      <c r="F246" s="36" t="str">
        <f>'Tên Tháng 1'!F235</f>
        <v>HAY SOPHY</v>
      </c>
      <c r="G246" s="37">
        <v>112</v>
      </c>
      <c r="H246" s="38">
        <v>31947</v>
      </c>
      <c r="I246" s="59">
        <f>'KL 1'!X247</f>
        <v>14.41</v>
      </c>
      <c r="J246" s="60">
        <f t="shared" si="24"/>
        <v>460356</v>
      </c>
      <c r="K246" s="61"/>
      <c r="L246" s="62"/>
      <c r="M246" s="63">
        <f t="shared" si="25"/>
        <v>460356</v>
      </c>
      <c r="N246" s="64">
        <f t="shared" ref="N246:N309" si="27">L246</f>
        <v>0</v>
      </c>
      <c r="O246" s="65">
        <f t="shared" ref="O246:O309" si="28">ROUND(IF(M246&lt;=1200000,0,IF(AND((M246)&gt;1200000,(M246)&lt;=2000000),(M246)*5%-60000,IF(AND((M246)&gt;2000000,(M246)&lt;=8500000),(M246)*10%-160000))),0)</f>
        <v>0</v>
      </c>
      <c r="P246" s="66">
        <f t="shared" ref="P246:P309" si="29">N246+O246</f>
        <v>0</v>
      </c>
      <c r="Q246" s="60">
        <f t="shared" si="26"/>
        <v>460356</v>
      </c>
      <c r="R246" s="79"/>
      <c r="S246" s="80" t="s">
        <v>619</v>
      </c>
      <c r="U246" s="81"/>
    </row>
    <row r="247" spans="1:21" s="6" customFormat="1" ht="32.4" customHeight="1">
      <c r="A247" s="32">
        <v>233</v>
      </c>
      <c r="B247" s="40"/>
      <c r="C247" s="40"/>
      <c r="D247" s="34"/>
      <c r="E247" s="35" t="str">
        <f>'Tên Tháng 1'!E236</f>
        <v>សែ ពីពី</v>
      </c>
      <c r="F247" s="36" t="str">
        <f>'Tên Tháng 1'!F236</f>
        <v>SE PIPY</v>
      </c>
      <c r="G247" s="37">
        <v>113</v>
      </c>
      <c r="H247" s="38">
        <v>31947</v>
      </c>
      <c r="I247" s="59">
        <f>'KL 1'!X248</f>
        <v>13.54</v>
      </c>
      <c r="J247" s="60">
        <f t="shared" si="24"/>
        <v>432562</v>
      </c>
      <c r="K247" s="61"/>
      <c r="L247" s="62"/>
      <c r="M247" s="63">
        <f t="shared" si="25"/>
        <v>432562</v>
      </c>
      <c r="N247" s="64">
        <f t="shared" si="27"/>
        <v>0</v>
      </c>
      <c r="O247" s="65">
        <f t="shared" si="28"/>
        <v>0</v>
      </c>
      <c r="P247" s="66">
        <f t="shared" si="29"/>
        <v>0</v>
      </c>
      <c r="Q247" s="60">
        <f t="shared" si="26"/>
        <v>432562</v>
      </c>
      <c r="R247" s="79"/>
      <c r="S247" s="80" t="s">
        <v>619</v>
      </c>
      <c r="U247" s="81"/>
    </row>
    <row r="248" spans="1:21" s="6" customFormat="1" ht="32.4" customHeight="1">
      <c r="A248" s="32">
        <v>234</v>
      </c>
      <c r="B248" s="40"/>
      <c r="C248" s="40"/>
      <c r="D248" s="34"/>
      <c r="E248" s="35" t="str">
        <f>'Tên Tháng 1'!E237</f>
        <v>ឈីវ ភាត</v>
      </c>
      <c r="F248" s="36" t="str">
        <f>'Tên Tháng 1'!F237</f>
        <v>CHHIV PHEAT</v>
      </c>
      <c r="G248" s="37">
        <v>114</v>
      </c>
      <c r="H248" s="38">
        <v>31947</v>
      </c>
      <c r="I248" s="59">
        <f>'KL 1'!X249</f>
        <v>14.91</v>
      </c>
      <c r="J248" s="60">
        <f t="shared" si="24"/>
        <v>476330</v>
      </c>
      <c r="K248" s="61"/>
      <c r="L248" s="62"/>
      <c r="M248" s="63">
        <f t="shared" si="25"/>
        <v>476330</v>
      </c>
      <c r="N248" s="64">
        <f t="shared" si="27"/>
        <v>0</v>
      </c>
      <c r="O248" s="65">
        <f t="shared" si="28"/>
        <v>0</v>
      </c>
      <c r="P248" s="66">
        <f t="shared" si="29"/>
        <v>0</v>
      </c>
      <c r="Q248" s="60">
        <f t="shared" si="26"/>
        <v>476330</v>
      </c>
      <c r="R248" s="79"/>
      <c r="S248" s="80" t="s">
        <v>619</v>
      </c>
      <c r="U248" s="81"/>
    </row>
    <row r="249" spans="1:21" s="6" customFormat="1" ht="32.4" customHeight="1">
      <c r="A249" s="32">
        <v>235</v>
      </c>
      <c r="B249" s="40"/>
      <c r="C249" s="40"/>
      <c r="D249" s="34"/>
      <c r="E249" s="35" t="str">
        <f>'Tên Tháng 1'!E238</f>
        <v>សុខ ណេ</v>
      </c>
      <c r="F249" s="36" t="str">
        <f>'Tên Tháng 1'!F238</f>
        <v>SOK NE</v>
      </c>
      <c r="G249" s="37">
        <v>115</v>
      </c>
      <c r="H249" s="38">
        <v>31947</v>
      </c>
      <c r="I249" s="59">
        <f>'KL 1'!X250</f>
        <v>15.83</v>
      </c>
      <c r="J249" s="60">
        <f t="shared" si="24"/>
        <v>505721</v>
      </c>
      <c r="K249" s="61"/>
      <c r="L249" s="62"/>
      <c r="M249" s="63">
        <f t="shared" si="25"/>
        <v>505721</v>
      </c>
      <c r="N249" s="64">
        <f t="shared" si="27"/>
        <v>0</v>
      </c>
      <c r="O249" s="65">
        <f t="shared" si="28"/>
        <v>0</v>
      </c>
      <c r="P249" s="66">
        <f t="shared" si="29"/>
        <v>0</v>
      </c>
      <c r="Q249" s="60">
        <f t="shared" si="26"/>
        <v>505721</v>
      </c>
      <c r="R249" s="79"/>
      <c r="S249" s="80" t="s">
        <v>619</v>
      </c>
      <c r="U249" s="81"/>
    </row>
    <row r="250" spans="1:21" s="6" customFormat="1" ht="32.4" customHeight="1">
      <c r="A250" s="32">
        <v>236</v>
      </c>
      <c r="B250" s="40"/>
      <c r="C250" s="40"/>
      <c r="D250" s="34"/>
      <c r="E250" s="35" t="str">
        <f>'Tên Tháng 1'!E239</f>
        <v>កាន់ សុគីន</v>
      </c>
      <c r="F250" s="36" t="str">
        <f>'Tên Tháng 1'!F239</f>
        <v>KAN SOKIN</v>
      </c>
      <c r="G250" s="37">
        <v>116</v>
      </c>
      <c r="H250" s="38">
        <v>31947</v>
      </c>
      <c r="I250" s="59">
        <f>'KL 1'!X251</f>
        <v>15.53</v>
      </c>
      <c r="J250" s="60">
        <f t="shared" si="24"/>
        <v>496137</v>
      </c>
      <c r="K250" s="61"/>
      <c r="L250" s="62"/>
      <c r="M250" s="63">
        <f t="shared" si="25"/>
        <v>496137</v>
      </c>
      <c r="N250" s="64">
        <f t="shared" si="27"/>
        <v>0</v>
      </c>
      <c r="O250" s="65">
        <f t="shared" si="28"/>
        <v>0</v>
      </c>
      <c r="P250" s="66">
        <f t="shared" si="29"/>
        <v>0</v>
      </c>
      <c r="Q250" s="60">
        <f t="shared" si="26"/>
        <v>496137</v>
      </c>
      <c r="R250" s="79"/>
      <c r="S250" s="80" t="s">
        <v>619</v>
      </c>
      <c r="U250" s="81"/>
    </row>
    <row r="251" spans="1:21" s="6" customFormat="1" ht="32.4" customHeight="1">
      <c r="A251" s="32">
        <v>237</v>
      </c>
      <c r="B251" s="40"/>
      <c r="C251" s="40"/>
      <c r="D251" s="34"/>
      <c r="E251" s="35" t="str">
        <f>'Tên Tháng 1'!E240</f>
        <v>ដែង តូច</v>
      </c>
      <c r="F251" s="36" t="str">
        <f>'Tên Tháng 1'!F240</f>
        <v>DENG TOUCH</v>
      </c>
      <c r="G251" s="37">
        <v>117</v>
      </c>
      <c r="H251" s="38">
        <v>31947</v>
      </c>
      <c r="I251" s="59">
        <f>'KL 1'!X252</f>
        <v>16.489999999999998</v>
      </c>
      <c r="J251" s="60">
        <f t="shared" si="24"/>
        <v>526806</v>
      </c>
      <c r="K251" s="61"/>
      <c r="L251" s="62"/>
      <c r="M251" s="63">
        <f t="shared" si="25"/>
        <v>526806</v>
      </c>
      <c r="N251" s="64">
        <f t="shared" si="27"/>
        <v>0</v>
      </c>
      <c r="O251" s="65">
        <f t="shared" si="28"/>
        <v>0</v>
      </c>
      <c r="P251" s="66">
        <f t="shared" si="29"/>
        <v>0</v>
      </c>
      <c r="Q251" s="60">
        <f t="shared" si="26"/>
        <v>526806</v>
      </c>
      <c r="R251" s="79"/>
      <c r="S251" s="80" t="s">
        <v>619</v>
      </c>
      <c r="U251" s="81"/>
    </row>
    <row r="252" spans="1:21" s="6" customFormat="1" ht="32.4" customHeight="1">
      <c r="A252" s="32">
        <v>238</v>
      </c>
      <c r="B252" s="40"/>
      <c r="C252" s="40"/>
      <c r="D252" s="34"/>
      <c r="E252" s="35" t="str">
        <f>'Tên Tháng 1'!E241</f>
        <v>ហេត គឹមលីង</v>
      </c>
      <c r="F252" s="36" t="str">
        <f>'Tên Tháng 1'!F241</f>
        <v>HET KIMLING</v>
      </c>
      <c r="G252" s="37">
        <v>118</v>
      </c>
      <c r="H252" s="38">
        <v>31947</v>
      </c>
      <c r="I252" s="59">
        <f>'KL 1'!X253</f>
        <v>14.24</v>
      </c>
      <c r="J252" s="60">
        <f t="shared" si="24"/>
        <v>454925</v>
      </c>
      <c r="K252" s="61"/>
      <c r="L252" s="62"/>
      <c r="M252" s="63">
        <f t="shared" si="25"/>
        <v>454925</v>
      </c>
      <c r="N252" s="64">
        <f t="shared" si="27"/>
        <v>0</v>
      </c>
      <c r="O252" s="65">
        <f t="shared" si="28"/>
        <v>0</v>
      </c>
      <c r="P252" s="66">
        <f t="shared" si="29"/>
        <v>0</v>
      </c>
      <c r="Q252" s="60">
        <f t="shared" si="26"/>
        <v>454925</v>
      </c>
      <c r="R252" s="79"/>
      <c r="S252" s="80" t="s">
        <v>619</v>
      </c>
      <c r="U252" s="81"/>
    </row>
    <row r="253" spans="1:21" s="6" customFormat="1" ht="32.4" customHeight="1">
      <c r="A253" s="32">
        <v>239</v>
      </c>
      <c r="B253" s="40"/>
      <c r="C253" s="40"/>
      <c r="D253" s="34"/>
      <c r="E253" s="35" t="str">
        <f>'Tên Tháng 1'!E242</f>
        <v>យៀត សុជឿន</v>
      </c>
      <c r="F253" s="36" t="str">
        <f>'Tên Tháng 1'!F242</f>
        <v>YIET SOCHOEUN</v>
      </c>
      <c r="G253" s="37">
        <v>119</v>
      </c>
      <c r="H253" s="38">
        <v>31947</v>
      </c>
      <c r="I253" s="59">
        <f>'KL 1'!X254</f>
        <v>16.540000000000003</v>
      </c>
      <c r="J253" s="60">
        <f t="shared" si="24"/>
        <v>528403</v>
      </c>
      <c r="K253" s="61"/>
      <c r="L253" s="62"/>
      <c r="M253" s="63">
        <f t="shared" si="25"/>
        <v>528403</v>
      </c>
      <c r="N253" s="64">
        <f t="shared" si="27"/>
        <v>0</v>
      </c>
      <c r="O253" s="65">
        <f t="shared" si="28"/>
        <v>0</v>
      </c>
      <c r="P253" s="66">
        <f t="shared" si="29"/>
        <v>0</v>
      </c>
      <c r="Q253" s="60">
        <f t="shared" si="26"/>
        <v>528403</v>
      </c>
      <c r="R253" s="79"/>
      <c r="S253" s="80" t="s">
        <v>619</v>
      </c>
      <c r="U253" s="81"/>
    </row>
    <row r="254" spans="1:21" s="6" customFormat="1" ht="32.4" customHeight="1">
      <c r="A254" s="32">
        <v>240</v>
      </c>
      <c r="B254" s="40"/>
      <c r="C254" s="40"/>
      <c r="D254" s="34"/>
      <c r="E254" s="35" t="str">
        <f>'Tên Tháng 1'!E243</f>
        <v>ឈីវ ផល</v>
      </c>
      <c r="F254" s="36" t="str">
        <f>'Tên Tháng 1'!F243</f>
        <v>CHHIV PHALL</v>
      </c>
      <c r="G254" s="37">
        <v>120</v>
      </c>
      <c r="H254" s="38">
        <v>31947</v>
      </c>
      <c r="I254" s="59">
        <f>'KL 1'!X255</f>
        <v>14.17</v>
      </c>
      <c r="J254" s="60">
        <f t="shared" si="24"/>
        <v>452689</v>
      </c>
      <c r="K254" s="61"/>
      <c r="L254" s="62"/>
      <c r="M254" s="63">
        <f t="shared" si="25"/>
        <v>452689</v>
      </c>
      <c r="N254" s="64">
        <f t="shared" si="27"/>
        <v>0</v>
      </c>
      <c r="O254" s="65">
        <f t="shared" si="28"/>
        <v>0</v>
      </c>
      <c r="P254" s="66">
        <f t="shared" si="29"/>
        <v>0</v>
      </c>
      <c r="Q254" s="60">
        <f t="shared" si="26"/>
        <v>452689</v>
      </c>
      <c r="R254" s="79"/>
      <c r="S254" s="80" t="s">
        <v>619</v>
      </c>
      <c r="U254" s="81"/>
    </row>
    <row r="255" spans="1:21" s="6" customFormat="1" ht="32.4" customHeight="1">
      <c r="A255" s="32">
        <v>241</v>
      </c>
      <c r="B255" s="40"/>
      <c r="C255" s="40"/>
      <c r="D255" s="34"/>
      <c r="E255" s="35" t="str">
        <f>'Tên Tháng 1'!E244</f>
        <v>កែវ សុខគង់</v>
      </c>
      <c r="F255" s="36" t="str">
        <f>'Tên Tháng 1'!F244</f>
        <v>KEO SOKONG</v>
      </c>
      <c r="G255" s="37">
        <v>121</v>
      </c>
      <c r="H255" s="38">
        <v>31947</v>
      </c>
      <c r="I255" s="59">
        <f>'KL 1'!X256</f>
        <v>14.879999999999999</v>
      </c>
      <c r="J255" s="60">
        <f t="shared" si="24"/>
        <v>475371</v>
      </c>
      <c r="K255" s="61"/>
      <c r="L255" s="62"/>
      <c r="M255" s="63">
        <f t="shared" si="25"/>
        <v>475371</v>
      </c>
      <c r="N255" s="64">
        <f t="shared" si="27"/>
        <v>0</v>
      </c>
      <c r="O255" s="65">
        <f t="shared" si="28"/>
        <v>0</v>
      </c>
      <c r="P255" s="66">
        <f t="shared" si="29"/>
        <v>0</v>
      </c>
      <c r="Q255" s="60">
        <f t="shared" si="26"/>
        <v>475371</v>
      </c>
      <c r="R255" s="79"/>
      <c r="S255" s="80" t="s">
        <v>619</v>
      </c>
      <c r="U255" s="81"/>
    </row>
    <row r="256" spans="1:21" s="6" customFormat="1" ht="32.4" customHeight="1">
      <c r="A256" s="32">
        <v>242</v>
      </c>
      <c r="B256" s="40"/>
      <c r="C256" s="40"/>
      <c r="D256" s="34"/>
      <c r="E256" s="35" t="str">
        <f>'Tên Tháng 1'!E245</f>
        <v>បូ បូត</v>
      </c>
      <c r="F256" s="36" t="str">
        <f>'Tên Tháng 1'!F245</f>
        <v>BO BOUT</v>
      </c>
      <c r="G256" s="37">
        <v>122</v>
      </c>
      <c r="H256" s="38">
        <v>31947</v>
      </c>
      <c r="I256" s="59">
        <f>'KL 1'!X257</f>
        <v>19.95</v>
      </c>
      <c r="J256" s="60">
        <f t="shared" si="24"/>
        <v>637343</v>
      </c>
      <c r="K256" s="61"/>
      <c r="L256" s="62"/>
      <c r="M256" s="63">
        <f t="shared" si="25"/>
        <v>637343</v>
      </c>
      <c r="N256" s="64">
        <f t="shared" si="27"/>
        <v>0</v>
      </c>
      <c r="O256" s="65">
        <f t="shared" si="28"/>
        <v>0</v>
      </c>
      <c r="P256" s="66">
        <f t="shared" si="29"/>
        <v>0</v>
      </c>
      <c r="Q256" s="60">
        <f t="shared" si="26"/>
        <v>637343</v>
      </c>
      <c r="R256" s="79"/>
      <c r="S256" s="80" t="s">
        <v>619</v>
      </c>
      <c r="U256" s="81"/>
    </row>
    <row r="257" spans="1:21" s="6" customFormat="1" ht="32.4" customHeight="1">
      <c r="A257" s="32">
        <v>243</v>
      </c>
      <c r="B257" s="40"/>
      <c r="C257" s="40"/>
      <c r="D257" s="34"/>
      <c r="E257" s="35" t="str">
        <f>'Tên Tháng 1'!E246</f>
        <v>ធា ចាន់</v>
      </c>
      <c r="F257" s="36" t="str">
        <f>'Tên Tháng 1'!F246</f>
        <v>THEA CHANN</v>
      </c>
      <c r="G257" s="37">
        <v>123</v>
      </c>
      <c r="H257" s="38">
        <v>31947</v>
      </c>
      <c r="I257" s="59">
        <f>'KL 1'!X258</f>
        <v>12.590000000000002</v>
      </c>
      <c r="J257" s="60">
        <f t="shared" si="24"/>
        <v>402213</v>
      </c>
      <c r="K257" s="61"/>
      <c r="L257" s="62"/>
      <c r="M257" s="63">
        <f t="shared" si="25"/>
        <v>402213</v>
      </c>
      <c r="N257" s="64">
        <f t="shared" si="27"/>
        <v>0</v>
      </c>
      <c r="O257" s="65">
        <f t="shared" si="28"/>
        <v>0</v>
      </c>
      <c r="P257" s="66">
        <f t="shared" si="29"/>
        <v>0</v>
      </c>
      <c r="Q257" s="60">
        <f t="shared" si="26"/>
        <v>402213</v>
      </c>
      <c r="R257" s="79"/>
      <c r="S257" s="80" t="s">
        <v>619</v>
      </c>
      <c r="U257" s="81"/>
    </row>
    <row r="258" spans="1:21" s="6" customFormat="1" ht="32.4" customHeight="1">
      <c r="A258" s="32">
        <v>244</v>
      </c>
      <c r="B258" s="40"/>
      <c r="C258" s="40"/>
      <c r="D258" s="34"/>
      <c r="E258" s="35" t="str">
        <f>'Tên Tháng 1'!E247</f>
        <v>គីន ចន្ថា</v>
      </c>
      <c r="F258" s="36" t="str">
        <f>'Tên Tháng 1'!F247</f>
        <v>KIN CHANTHA</v>
      </c>
      <c r="G258" s="37">
        <v>124</v>
      </c>
      <c r="H258" s="38">
        <v>31947</v>
      </c>
      <c r="I258" s="59">
        <f>'KL 1'!X259</f>
        <v>14.629999999999999</v>
      </c>
      <c r="J258" s="60">
        <f t="shared" si="24"/>
        <v>467385</v>
      </c>
      <c r="K258" s="61"/>
      <c r="L258" s="62"/>
      <c r="M258" s="63">
        <f t="shared" si="25"/>
        <v>467385</v>
      </c>
      <c r="N258" s="64">
        <f t="shared" si="27"/>
        <v>0</v>
      </c>
      <c r="O258" s="65">
        <f t="shared" si="28"/>
        <v>0</v>
      </c>
      <c r="P258" s="66">
        <f t="shared" si="29"/>
        <v>0</v>
      </c>
      <c r="Q258" s="60">
        <f t="shared" si="26"/>
        <v>467385</v>
      </c>
      <c r="R258" s="79"/>
      <c r="S258" s="80" t="s">
        <v>619</v>
      </c>
      <c r="U258" s="81"/>
    </row>
    <row r="259" spans="1:21" s="6" customFormat="1" ht="32.4" customHeight="1">
      <c r="A259" s="32">
        <v>245</v>
      </c>
      <c r="B259" s="40"/>
      <c r="C259" s="40"/>
      <c r="D259" s="34"/>
      <c r="E259" s="35" t="str">
        <f>'Tên Tháng 1'!E248</f>
        <v>តូច លីម</v>
      </c>
      <c r="F259" s="36" t="str">
        <f>'Tên Tháng 1'!F248</f>
        <v>TOUCH LIM</v>
      </c>
      <c r="G259" s="37">
        <v>125</v>
      </c>
      <c r="H259" s="38">
        <v>31947</v>
      </c>
      <c r="I259" s="59">
        <f>'KL 1'!X260</f>
        <v>14.59</v>
      </c>
      <c r="J259" s="60">
        <f t="shared" si="24"/>
        <v>466107</v>
      </c>
      <c r="K259" s="61"/>
      <c r="L259" s="62"/>
      <c r="M259" s="63">
        <f t="shared" si="25"/>
        <v>466107</v>
      </c>
      <c r="N259" s="64">
        <f t="shared" si="27"/>
        <v>0</v>
      </c>
      <c r="O259" s="65">
        <f t="shared" si="28"/>
        <v>0</v>
      </c>
      <c r="P259" s="66">
        <f t="shared" si="29"/>
        <v>0</v>
      </c>
      <c r="Q259" s="60">
        <f t="shared" si="26"/>
        <v>466107</v>
      </c>
      <c r="R259" s="79"/>
      <c r="S259" s="80" t="s">
        <v>619</v>
      </c>
      <c r="U259" s="81"/>
    </row>
    <row r="260" spans="1:21" s="6" customFormat="1" ht="32.4" customHeight="1">
      <c r="A260" s="32">
        <v>246</v>
      </c>
      <c r="B260" s="40"/>
      <c r="C260" s="40"/>
      <c r="D260" s="34"/>
      <c r="E260" s="35" t="str">
        <f>'Tên Tháng 1'!E249</f>
        <v>ស្រឿន ស្រីហាន់</v>
      </c>
      <c r="F260" s="36" t="str">
        <f>'Tên Tháng 1'!F249</f>
        <v>SROEUN SREYHANN</v>
      </c>
      <c r="G260" s="37">
        <v>126</v>
      </c>
      <c r="H260" s="38">
        <v>31947</v>
      </c>
      <c r="I260" s="59">
        <f>'KL 1'!X261</f>
        <v>14.729999999999999</v>
      </c>
      <c r="J260" s="60">
        <f t="shared" si="24"/>
        <v>470579</v>
      </c>
      <c r="K260" s="61"/>
      <c r="L260" s="62"/>
      <c r="M260" s="63">
        <f t="shared" si="25"/>
        <v>470579</v>
      </c>
      <c r="N260" s="64">
        <f t="shared" si="27"/>
        <v>0</v>
      </c>
      <c r="O260" s="65">
        <f t="shared" si="28"/>
        <v>0</v>
      </c>
      <c r="P260" s="66">
        <f t="shared" si="29"/>
        <v>0</v>
      </c>
      <c r="Q260" s="60">
        <f t="shared" si="26"/>
        <v>470579</v>
      </c>
      <c r="R260" s="79"/>
      <c r="S260" s="80" t="s">
        <v>619</v>
      </c>
      <c r="U260" s="81"/>
    </row>
    <row r="261" spans="1:21" s="6" customFormat="1" ht="32.4" customHeight="1">
      <c r="A261" s="32">
        <v>247</v>
      </c>
      <c r="B261" s="40"/>
      <c r="C261" s="40"/>
      <c r="D261" s="34"/>
      <c r="E261" s="35" t="str">
        <f>'Tên Tháng 1'!E250</f>
        <v>ហង់ យ៉ាត់</v>
      </c>
      <c r="F261" s="36" t="str">
        <f>'Tên Tháng 1'!F250</f>
        <v>HANG YATH</v>
      </c>
      <c r="G261" s="37">
        <v>127</v>
      </c>
      <c r="H261" s="38">
        <v>31947</v>
      </c>
      <c r="I261" s="59">
        <f>'KL 1'!X262</f>
        <v>15.680000000000001</v>
      </c>
      <c r="J261" s="60">
        <f t="shared" si="24"/>
        <v>500929</v>
      </c>
      <c r="K261" s="61"/>
      <c r="L261" s="62"/>
      <c r="M261" s="63">
        <f t="shared" si="25"/>
        <v>500929</v>
      </c>
      <c r="N261" s="64">
        <f t="shared" si="27"/>
        <v>0</v>
      </c>
      <c r="O261" s="65">
        <f t="shared" si="28"/>
        <v>0</v>
      </c>
      <c r="P261" s="66">
        <f t="shared" si="29"/>
        <v>0</v>
      </c>
      <c r="Q261" s="60">
        <f t="shared" si="26"/>
        <v>500929</v>
      </c>
      <c r="R261" s="79"/>
      <c r="S261" s="80" t="s">
        <v>619</v>
      </c>
      <c r="U261" s="81"/>
    </row>
    <row r="262" spans="1:21" s="6" customFormat="1" ht="32.4" customHeight="1">
      <c r="A262" s="32">
        <v>248</v>
      </c>
      <c r="B262" s="40"/>
      <c r="C262" s="40"/>
      <c r="D262" s="34"/>
      <c r="E262" s="35" t="str">
        <f>'Tên Tháng 1'!E251</f>
        <v>សែម សាមេន</v>
      </c>
      <c r="F262" s="36" t="str">
        <f>'Tên Tháng 1'!F251</f>
        <v>SEM SAMEN</v>
      </c>
      <c r="G262" s="37">
        <v>128</v>
      </c>
      <c r="H262" s="38">
        <v>31947</v>
      </c>
      <c r="I262" s="59">
        <f>'KL 1'!X263</f>
        <v>14.47</v>
      </c>
      <c r="J262" s="60">
        <f t="shared" si="24"/>
        <v>462273</v>
      </c>
      <c r="K262" s="61"/>
      <c r="L262" s="62"/>
      <c r="M262" s="63">
        <f t="shared" si="25"/>
        <v>462273</v>
      </c>
      <c r="N262" s="64">
        <f t="shared" si="27"/>
        <v>0</v>
      </c>
      <c r="O262" s="65">
        <f t="shared" si="28"/>
        <v>0</v>
      </c>
      <c r="P262" s="66">
        <f t="shared" si="29"/>
        <v>0</v>
      </c>
      <c r="Q262" s="60">
        <f t="shared" si="26"/>
        <v>462273</v>
      </c>
      <c r="R262" s="79"/>
      <c r="S262" s="80" t="s">
        <v>619</v>
      </c>
      <c r="U262" s="81"/>
    </row>
    <row r="263" spans="1:21" s="6" customFormat="1" ht="32.4" customHeight="1">
      <c r="A263" s="32">
        <v>249</v>
      </c>
      <c r="B263" s="40"/>
      <c r="C263" s="40"/>
      <c r="D263" s="34"/>
      <c r="E263" s="35" t="str">
        <f>'Tên Tháng 1'!E252</f>
        <v>ជី ឆេងលាង</v>
      </c>
      <c r="F263" s="36" t="str">
        <f>'Tên Tháng 1'!F252</f>
        <v>CHY CHHENGLENG</v>
      </c>
      <c r="G263" s="37">
        <v>129</v>
      </c>
      <c r="H263" s="38">
        <v>31947</v>
      </c>
      <c r="I263" s="59">
        <f>'KL 1'!X264</f>
        <v>13.85</v>
      </c>
      <c r="J263" s="60">
        <f t="shared" si="24"/>
        <v>442466</v>
      </c>
      <c r="K263" s="61"/>
      <c r="L263" s="62"/>
      <c r="M263" s="63">
        <f t="shared" si="25"/>
        <v>442466</v>
      </c>
      <c r="N263" s="64">
        <f t="shared" si="27"/>
        <v>0</v>
      </c>
      <c r="O263" s="65">
        <f t="shared" si="28"/>
        <v>0</v>
      </c>
      <c r="P263" s="66">
        <f t="shared" si="29"/>
        <v>0</v>
      </c>
      <c r="Q263" s="60">
        <f t="shared" si="26"/>
        <v>442466</v>
      </c>
      <c r="R263" s="79"/>
      <c r="S263" s="80" t="s">
        <v>619</v>
      </c>
      <c r="U263" s="81"/>
    </row>
    <row r="264" spans="1:21" s="6" customFormat="1" ht="32.4" customHeight="1">
      <c r="A264" s="32">
        <v>250</v>
      </c>
      <c r="B264" s="40"/>
      <c r="C264" s="40"/>
      <c r="D264" s="34"/>
      <c r="E264" s="35" t="str">
        <f>'Tên Tháng 1'!E253</f>
        <v>ផាន់ ខេ</v>
      </c>
      <c r="F264" s="36" t="str">
        <f>'Tên Tháng 1'!F253</f>
        <v>PHANN KHE</v>
      </c>
      <c r="G264" s="37">
        <v>130</v>
      </c>
      <c r="H264" s="38">
        <v>31947</v>
      </c>
      <c r="I264" s="59">
        <f>'KL 1'!X265</f>
        <v>5.0799999999999992</v>
      </c>
      <c r="J264" s="60">
        <f t="shared" si="24"/>
        <v>162291</v>
      </c>
      <c r="K264" s="61"/>
      <c r="L264" s="62"/>
      <c r="M264" s="63">
        <f t="shared" si="25"/>
        <v>162291</v>
      </c>
      <c r="N264" s="64">
        <f t="shared" si="27"/>
        <v>0</v>
      </c>
      <c r="O264" s="65">
        <f t="shared" si="28"/>
        <v>0</v>
      </c>
      <c r="P264" s="66">
        <f t="shared" si="29"/>
        <v>0</v>
      </c>
      <c r="Q264" s="60">
        <f t="shared" si="26"/>
        <v>162291</v>
      </c>
      <c r="R264" s="79"/>
      <c r="S264" s="80" t="s">
        <v>619</v>
      </c>
      <c r="U264" s="81"/>
    </row>
    <row r="265" spans="1:21" s="6" customFormat="1" ht="32.4" customHeight="1">
      <c r="A265" s="32">
        <v>251</v>
      </c>
      <c r="B265" s="40"/>
      <c r="C265" s="40"/>
      <c r="D265" s="34"/>
      <c r="E265" s="35" t="str">
        <f>'Tên Tháng 1'!E254</f>
        <v>លន លៀម</v>
      </c>
      <c r="F265" s="36" t="str">
        <f>'Tên Tháng 1'!F254</f>
        <v>LON LEAM</v>
      </c>
      <c r="G265" s="37">
        <v>131</v>
      </c>
      <c r="H265" s="38">
        <v>31947</v>
      </c>
      <c r="I265" s="59">
        <f>'KL 1'!X266</f>
        <v>3.5300000000000002</v>
      </c>
      <c r="J265" s="60">
        <f t="shared" si="24"/>
        <v>112773</v>
      </c>
      <c r="K265" s="61"/>
      <c r="L265" s="62"/>
      <c r="M265" s="63">
        <f t="shared" si="25"/>
        <v>112773</v>
      </c>
      <c r="N265" s="64">
        <f t="shared" si="27"/>
        <v>0</v>
      </c>
      <c r="O265" s="65">
        <f t="shared" si="28"/>
        <v>0</v>
      </c>
      <c r="P265" s="66">
        <f t="shared" si="29"/>
        <v>0</v>
      </c>
      <c r="Q265" s="60">
        <f t="shared" si="26"/>
        <v>112773</v>
      </c>
      <c r="R265" s="79"/>
      <c r="S265" s="80" t="s">
        <v>619</v>
      </c>
      <c r="U265" s="81"/>
    </row>
    <row r="266" spans="1:21" s="6" customFormat="1" ht="32.4" customHeight="1">
      <c r="A266" s="32">
        <v>252</v>
      </c>
      <c r="B266" s="40"/>
      <c r="C266" s="40"/>
      <c r="D266" s="34"/>
      <c r="E266" s="35" t="str">
        <f>'Tên Tháng 1'!E255</f>
        <v>ចាន់ ណារ៉ុង</v>
      </c>
      <c r="F266" s="36" t="str">
        <f>'Tên Tháng 1'!F255</f>
        <v>CHAN NARONG</v>
      </c>
      <c r="G266" s="37">
        <v>132</v>
      </c>
      <c r="H266" s="38">
        <v>31947</v>
      </c>
      <c r="I266" s="59">
        <f>'KL 1'!X267</f>
        <v>14.9</v>
      </c>
      <c r="J266" s="60">
        <f t="shared" si="24"/>
        <v>476010</v>
      </c>
      <c r="K266" s="61"/>
      <c r="L266" s="62"/>
      <c r="M266" s="63">
        <f t="shared" si="25"/>
        <v>476010</v>
      </c>
      <c r="N266" s="64">
        <f t="shared" si="27"/>
        <v>0</v>
      </c>
      <c r="O266" s="65">
        <f t="shared" si="28"/>
        <v>0</v>
      </c>
      <c r="P266" s="66">
        <f t="shared" si="29"/>
        <v>0</v>
      </c>
      <c r="Q266" s="60">
        <f t="shared" si="26"/>
        <v>476010</v>
      </c>
      <c r="R266" s="79"/>
      <c r="S266" s="80" t="s">
        <v>619</v>
      </c>
      <c r="U266" s="81"/>
    </row>
    <row r="267" spans="1:21" s="6" customFormat="1" ht="32.4" customHeight="1">
      <c r="A267" s="32">
        <v>253</v>
      </c>
      <c r="B267" s="40"/>
      <c r="C267" s="40"/>
      <c r="D267" s="34"/>
      <c r="E267" s="35" t="str">
        <f>'Tên Tháng 1'!E256</f>
        <v>ង៉ា អ៊ាត</v>
      </c>
      <c r="F267" s="36" t="str">
        <f>'Tên Tháng 1'!F256</f>
        <v>NGAR EAT</v>
      </c>
      <c r="G267" s="37">
        <v>133</v>
      </c>
      <c r="H267" s="38">
        <v>31947</v>
      </c>
      <c r="I267" s="59">
        <f>'KL 1'!X268</f>
        <v>15.34</v>
      </c>
      <c r="J267" s="60">
        <f t="shared" si="24"/>
        <v>490067</v>
      </c>
      <c r="K267" s="61"/>
      <c r="L267" s="62"/>
      <c r="M267" s="63">
        <f t="shared" si="25"/>
        <v>490067</v>
      </c>
      <c r="N267" s="64">
        <f t="shared" si="27"/>
        <v>0</v>
      </c>
      <c r="O267" s="65">
        <f t="shared" si="28"/>
        <v>0</v>
      </c>
      <c r="P267" s="66">
        <f t="shared" si="29"/>
        <v>0</v>
      </c>
      <c r="Q267" s="60">
        <f t="shared" si="26"/>
        <v>490067</v>
      </c>
      <c r="R267" s="79"/>
      <c r="S267" s="80" t="s">
        <v>619</v>
      </c>
      <c r="U267" s="81"/>
    </row>
    <row r="268" spans="1:21" s="6" customFormat="1" ht="32.4" customHeight="1">
      <c r="A268" s="32">
        <v>254</v>
      </c>
      <c r="B268" s="40"/>
      <c r="C268" s="40"/>
      <c r="D268" s="34"/>
      <c r="E268" s="35" t="str">
        <f>'Tên Tháng 1'!E257</f>
        <v>ហង់ ស៊ីយាន</v>
      </c>
      <c r="F268" s="36" t="str">
        <f>'Tên Tháng 1'!F257</f>
        <v>HONG SIYEAN</v>
      </c>
      <c r="G268" s="37">
        <v>134</v>
      </c>
      <c r="H268" s="38">
        <v>31947</v>
      </c>
      <c r="I268" s="59">
        <f>'KL 1'!X269</f>
        <v>13.860000000000001</v>
      </c>
      <c r="J268" s="60">
        <f t="shared" si="24"/>
        <v>442785</v>
      </c>
      <c r="K268" s="61"/>
      <c r="L268" s="62"/>
      <c r="M268" s="63">
        <f t="shared" si="25"/>
        <v>442785</v>
      </c>
      <c r="N268" s="64">
        <f t="shared" si="27"/>
        <v>0</v>
      </c>
      <c r="O268" s="65">
        <f t="shared" si="28"/>
        <v>0</v>
      </c>
      <c r="P268" s="66">
        <f t="shared" si="29"/>
        <v>0</v>
      </c>
      <c r="Q268" s="60">
        <f t="shared" si="26"/>
        <v>442785</v>
      </c>
      <c r="R268" s="79"/>
      <c r="S268" s="80" t="s">
        <v>619</v>
      </c>
      <c r="U268" s="81"/>
    </row>
    <row r="269" spans="1:21" s="6" customFormat="1" ht="32.4" customHeight="1">
      <c r="A269" s="32">
        <v>255</v>
      </c>
      <c r="B269" s="40"/>
      <c r="C269" s="40"/>
      <c r="D269" s="34"/>
      <c r="E269" s="35" t="str">
        <f>'Tên Tháng 1'!E258</f>
        <v>បួ សុខជា</v>
      </c>
      <c r="F269" s="36" t="str">
        <f>'Tên Tháng 1'!F258</f>
        <v>BOUR SOKCHEA</v>
      </c>
      <c r="G269" s="37">
        <v>135</v>
      </c>
      <c r="H269" s="38">
        <v>31947</v>
      </c>
      <c r="I269" s="59">
        <f>'KL 1'!X270</f>
        <v>14.530000000000001</v>
      </c>
      <c r="J269" s="60">
        <f t="shared" si="24"/>
        <v>464190</v>
      </c>
      <c r="K269" s="61"/>
      <c r="L269" s="62"/>
      <c r="M269" s="63">
        <f t="shared" si="25"/>
        <v>464190</v>
      </c>
      <c r="N269" s="64">
        <f t="shared" si="27"/>
        <v>0</v>
      </c>
      <c r="O269" s="65">
        <f t="shared" si="28"/>
        <v>0</v>
      </c>
      <c r="P269" s="66">
        <f t="shared" si="29"/>
        <v>0</v>
      </c>
      <c r="Q269" s="60">
        <f t="shared" si="26"/>
        <v>464190</v>
      </c>
      <c r="R269" s="79"/>
      <c r="S269" s="80" t="s">
        <v>619</v>
      </c>
      <c r="U269" s="81"/>
    </row>
    <row r="270" spans="1:21" s="6" customFormat="1" ht="32.4" customHeight="1">
      <c r="A270" s="32">
        <v>256</v>
      </c>
      <c r="B270" s="40"/>
      <c r="C270" s="40"/>
      <c r="D270" s="34"/>
      <c r="E270" s="35" t="str">
        <f>'Tên Tháng 1'!E259</f>
        <v>ឃឹម ធឿន</v>
      </c>
      <c r="F270" s="36" t="str">
        <f>'Tên Tháng 1'!F259</f>
        <v>KHOEM THOEUN</v>
      </c>
      <c r="G270" s="37">
        <v>136</v>
      </c>
      <c r="H270" s="38">
        <v>31947</v>
      </c>
      <c r="I270" s="59">
        <f>'KL 1'!X271</f>
        <v>14.32</v>
      </c>
      <c r="J270" s="60">
        <f t="shared" si="24"/>
        <v>457481</v>
      </c>
      <c r="K270" s="61"/>
      <c r="L270" s="62"/>
      <c r="M270" s="63">
        <f t="shared" si="25"/>
        <v>457481</v>
      </c>
      <c r="N270" s="64">
        <f t="shared" si="27"/>
        <v>0</v>
      </c>
      <c r="O270" s="65">
        <f t="shared" si="28"/>
        <v>0</v>
      </c>
      <c r="P270" s="66">
        <f t="shared" si="29"/>
        <v>0</v>
      </c>
      <c r="Q270" s="60">
        <f t="shared" si="26"/>
        <v>457481</v>
      </c>
      <c r="R270" s="79"/>
      <c r="S270" s="80" t="s">
        <v>619</v>
      </c>
      <c r="U270" s="81"/>
    </row>
    <row r="271" spans="1:21" s="6" customFormat="1" ht="28.95" customHeight="1">
      <c r="A271" s="32">
        <v>257</v>
      </c>
      <c r="B271" s="40"/>
      <c r="C271" s="40"/>
      <c r="D271" s="34"/>
      <c r="E271" s="35" t="str">
        <f>'Tên Tháng 1'!E260</f>
        <v>ហន ហាយ</v>
      </c>
      <c r="F271" s="36" t="str">
        <f>'Tên Tháng 1'!F260</f>
        <v>HORN HAY</v>
      </c>
      <c r="G271" s="37">
        <v>215</v>
      </c>
      <c r="H271" s="38">
        <v>31947</v>
      </c>
      <c r="I271" s="59">
        <f>'KL 1'!X272</f>
        <v>16.09</v>
      </c>
      <c r="J271" s="60">
        <f t="shared" si="24"/>
        <v>514027</v>
      </c>
      <c r="K271" s="61"/>
      <c r="L271" s="62"/>
      <c r="M271" s="63">
        <f t="shared" si="25"/>
        <v>514027</v>
      </c>
      <c r="N271" s="64">
        <f t="shared" si="27"/>
        <v>0</v>
      </c>
      <c r="O271" s="65">
        <f t="shared" si="28"/>
        <v>0</v>
      </c>
      <c r="P271" s="66">
        <f t="shared" si="29"/>
        <v>0</v>
      </c>
      <c r="Q271" s="60">
        <f t="shared" si="26"/>
        <v>514027</v>
      </c>
      <c r="R271" s="79"/>
      <c r="S271" s="80" t="s">
        <v>619</v>
      </c>
      <c r="U271" s="81"/>
    </row>
    <row r="272" spans="1:21" s="6" customFormat="1" ht="28.95" customHeight="1">
      <c r="A272" s="32">
        <v>258</v>
      </c>
      <c r="B272" s="40"/>
      <c r="C272" s="40"/>
      <c r="D272" s="34"/>
      <c r="E272" s="35" t="str">
        <f>'Tên Tháng 1'!E261</f>
        <v>លាង ផា</v>
      </c>
      <c r="F272" s="36" t="str">
        <f>'Tên Tháng 1'!F261</f>
        <v>LEANG PHA</v>
      </c>
      <c r="G272" s="37">
        <v>216</v>
      </c>
      <c r="H272" s="38">
        <v>31947</v>
      </c>
      <c r="I272" s="59">
        <f>'KL 1'!X273</f>
        <v>14.05</v>
      </c>
      <c r="J272" s="60">
        <f t="shared" ref="J272:J335" si="30">ROUND(H272*I272,0)</f>
        <v>448855</v>
      </c>
      <c r="K272" s="61"/>
      <c r="L272" s="62"/>
      <c r="M272" s="63">
        <f t="shared" ref="M272:M335" si="31">J272+L272</f>
        <v>448855</v>
      </c>
      <c r="N272" s="64">
        <f t="shared" si="27"/>
        <v>0</v>
      </c>
      <c r="O272" s="65">
        <f t="shared" si="28"/>
        <v>0</v>
      </c>
      <c r="P272" s="66">
        <f t="shared" si="29"/>
        <v>0</v>
      </c>
      <c r="Q272" s="60">
        <f t="shared" ref="Q272:Q335" si="32">M272-L272</f>
        <v>448855</v>
      </c>
      <c r="R272" s="79"/>
      <c r="S272" s="80" t="s">
        <v>619</v>
      </c>
      <c r="U272" s="81"/>
    </row>
    <row r="273" spans="1:21" s="6" customFormat="1" ht="28.95" customHeight="1">
      <c r="A273" s="32">
        <v>259</v>
      </c>
      <c r="B273" s="40"/>
      <c r="C273" s="40"/>
      <c r="D273" s="34"/>
      <c r="E273" s="35" t="str">
        <f>'Tên Tháng 1'!E262</f>
        <v>អ៊ឹម ចាន់ណា</v>
      </c>
      <c r="F273" s="36" t="str">
        <f>'Tên Tháng 1'!F262</f>
        <v>OEM CHANNA</v>
      </c>
      <c r="G273" s="37">
        <v>217</v>
      </c>
      <c r="H273" s="38">
        <v>31947</v>
      </c>
      <c r="I273" s="59">
        <f>'KL 1'!X274</f>
        <v>16.29</v>
      </c>
      <c r="J273" s="60">
        <f t="shared" si="30"/>
        <v>520417</v>
      </c>
      <c r="K273" s="61"/>
      <c r="L273" s="62"/>
      <c r="M273" s="63">
        <f t="shared" si="31"/>
        <v>520417</v>
      </c>
      <c r="N273" s="64">
        <f t="shared" si="27"/>
        <v>0</v>
      </c>
      <c r="O273" s="65">
        <f t="shared" si="28"/>
        <v>0</v>
      </c>
      <c r="P273" s="66">
        <f t="shared" si="29"/>
        <v>0</v>
      </c>
      <c r="Q273" s="60">
        <f t="shared" si="32"/>
        <v>520417</v>
      </c>
      <c r="R273" s="79"/>
      <c r="S273" s="80" t="s">
        <v>619</v>
      </c>
      <c r="U273" s="81"/>
    </row>
    <row r="274" spans="1:21" s="6" customFormat="1" ht="28.95" customHeight="1">
      <c r="A274" s="32">
        <v>260</v>
      </c>
      <c r="B274" s="40"/>
      <c r="C274" s="40"/>
      <c r="D274" s="34"/>
      <c r="E274" s="35" t="str">
        <f>'Tên Tháng 1'!E263</f>
        <v>អៀង វី</v>
      </c>
      <c r="F274" s="36" t="str">
        <f>'Tên Tháng 1'!F263</f>
        <v>EANG VY</v>
      </c>
      <c r="G274" s="37">
        <v>218</v>
      </c>
      <c r="H274" s="38">
        <v>31947</v>
      </c>
      <c r="I274" s="59">
        <f>'KL 1'!X275</f>
        <v>18.13</v>
      </c>
      <c r="J274" s="60">
        <f t="shared" si="30"/>
        <v>579199</v>
      </c>
      <c r="K274" s="61"/>
      <c r="L274" s="62"/>
      <c r="M274" s="63">
        <f t="shared" si="31"/>
        <v>579199</v>
      </c>
      <c r="N274" s="64">
        <f t="shared" si="27"/>
        <v>0</v>
      </c>
      <c r="O274" s="65">
        <f t="shared" si="28"/>
        <v>0</v>
      </c>
      <c r="P274" s="66">
        <f t="shared" si="29"/>
        <v>0</v>
      </c>
      <c r="Q274" s="60">
        <f t="shared" si="32"/>
        <v>579199</v>
      </c>
      <c r="R274" s="79"/>
      <c r="S274" s="80" t="s">
        <v>619</v>
      </c>
      <c r="U274" s="81"/>
    </row>
    <row r="275" spans="1:21" s="6" customFormat="1" ht="28.95" customHeight="1">
      <c r="A275" s="32">
        <v>261</v>
      </c>
      <c r="B275" s="40"/>
      <c r="C275" s="40"/>
      <c r="D275" s="34"/>
      <c r="E275" s="35" t="str">
        <f>'Tên Tháng 1'!E264</f>
        <v>បុន បួត</v>
      </c>
      <c r="F275" s="36" t="str">
        <f>'Tên Tháng 1'!F264</f>
        <v>BON BUOT</v>
      </c>
      <c r="G275" s="37">
        <v>219</v>
      </c>
      <c r="H275" s="38">
        <v>31947</v>
      </c>
      <c r="I275" s="59">
        <f>'KL 1'!X276</f>
        <v>17.98</v>
      </c>
      <c r="J275" s="60">
        <f t="shared" si="30"/>
        <v>574407</v>
      </c>
      <c r="K275" s="61"/>
      <c r="L275" s="62"/>
      <c r="M275" s="63">
        <f t="shared" si="31"/>
        <v>574407</v>
      </c>
      <c r="N275" s="64">
        <f t="shared" si="27"/>
        <v>0</v>
      </c>
      <c r="O275" s="65">
        <f t="shared" si="28"/>
        <v>0</v>
      </c>
      <c r="P275" s="66">
        <f t="shared" si="29"/>
        <v>0</v>
      </c>
      <c r="Q275" s="60">
        <f t="shared" si="32"/>
        <v>574407</v>
      </c>
      <c r="R275" s="79"/>
      <c r="S275" s="80" t="s">
        <v>619</v>
      </c>
      <c r="U275" s="81"/>
    </row>
    <row r="276" spans="1:21" s="6" customFormat="1" ht="28.95" customHeight="1">
      <c r="A276" s="32">
        <v>262</v>
      </c>
      <c r="B276" s="40"/>
      <c r="C276" s="40"/>
      <c r="D276" s="34"/>
      <c r="E276" s="35" t="str">
        <f>'Tên Tháng 1'!E265</f>
        <v>អ៊ួន ខ្មិក</v>
      </c>
      <c r="F276" s="36" t="str">
        <f>'Tên Tháng 1'!F265</f>
        <v>OUN KHMEK</v>
      </c>
      <c r="G276" s="37">
        <v>220</v>
      </c>
      <c r="H276" s="38">
        <v>31947</v>
      </c>
      <c r="I276" s="59">
        <f>'KL 1'!X277</f>
        <v>15.51</v>
      </c>
      <c r="J276" s="60">
        <f t="shared" si="30"/>
        <v>495498</v>
      </c>
      <c r="K276" s="61"/>
      <c r="L276" s="62"/>
      <c r="M276" s="63">
        <f t="shared" si="31"/>
        <v>495498</v>
      </c>
      <c r="N276" s="64">
        <f t="shared" si="27"/>
        <v>0</v>
      </c>
      <c r="O276" s="65">
        <f t="shared" si="28"/>
        <v>0</v>
      </c>
      <c r="P276" s="66">
        <f t="shared" si="29"/>
        <v>0</v>
      </c>
      <c r="Q276" s="60">
        <f t="shared" si="32"/>
        <v>495498</v>
      </c>
      <c r="R276" s="79"/>
      <c r="S276" s="80" t="s">
        <v>619</v>
      </c>
      <c r="U276" s="81"/>
    </row>
    <row r="277" spans="1:21" s="6" customFormat="1" ht="28.95" customHeight="1">
      <c r="A277" s="32">
        <v>263</v>
      </c>
      <c r="B277" s="40"/>
      <c r="C277" s="40"/>
      <c r="D277" s="34"/>
      <c r="E277" s="35" t="str">
        <f>'Tên Tháng 1'!E266</f>
        <v>ឡាញ់ រ៉ុម</v>
      </c>
      <c r="F277" s="36" t="str">
        <f>'Tên Tháng 1'!F266</f>
        <v>LANG ROM</v>
      </c>
      <c r="G277" s="37">
        <v>221</v>
      </c>
      <c r="H277" s="38">
        <v>31947</v>
      </c>
      <c r="I277" s="59">
        <f>'KL 1'!X278</f>
        <v>21.39</v>
      </c>
      <c r="J277" s="60">
        <f t="shared" si="30"/>
        <v>683346</v>
      </c>
      <c r="K277" s="61"/>
      <c r="L277" s="62"/>
      <c r="M277" s="63">
        <f t="shared" si="31"/>
        <v>683346</v>
      </c>
      <c r="N277" s="64">
        <f t="shared" si="27"/>
        <v>0</v>
      </c>
      <c r="O277" s="65">
        <f t="shared" si="28"/>
        <v>0</v>
      </c>
      <c r="P277" s="66">
        <f t="shared" si="29"/>
        <v>0</v>
      </c>
      <c r="Q277" s="60">
        <f t="shared" si="32"/>
        <v>683346</v>
      </c>
      <c r="R277" s="79"/>
      <c r="S277" s="80" t="s">
        <v>619</v>
      </c>
      <c r="U277" s="81"/>
    </row>
    <row r="278" spans="1:21" s="6" customFormat="1" ht="28.95" customHeight="1">
      <c r="A278" s="32">
        <v>264</v>
      </c>
      <c r="B278" s="40"/>
      <c r="C278" s="40"/>
      <c r="D278" s="34"/>
      <c r="E278" s="35" t="str">
        <f>'Tên Tháng 1'!E267</f>
        <v>ឡាញ់ លី</v>
      </c>
      <c r="F278" s="36" t="str">
        <f>'Tên Tháng 1'!F267</f>
        <v>LANH LY</v>
      </c>
      <c r="G278" s="37">
        <v>222</v>
      </c>
      <c r="H278" s="38">
        <v>31947</v>
      </c>
      <c r="I278" s="59">
        <f>'KL 1'!X279</f>
        <v>19.740000000000002</v>
      </c>
      <c r="J278" s="60">
        <f t="shared" si="30"/>
        <v>630634</v>
      </c>
      <c r="K278" s="61"/>
      <c r="L278" s="62"/>
      <c r="M278" s="63">
        <f t="shared" si="31"/>
        <v>630634</v>
      </c>
      <c r="N278" s="64">
        <f t="shared" si="27"/>
        <v>0</v>
      </c>
      <c r="O278" s="65">
        <f t="shared" si="28"/>
        <v>0</v>
      </c>
      <c r="P278" s="66">
        <f t="shared" si="29"/>
        <v>0</v>
      </c>
      <c r="Q278" s="60">
        <f t="shared" si="32"/>
        <v>630634</v>
      </c>
      <c r="R278" s="79"/>
      <c r="S278" s="80" t="s">
        <v>619</v>
      </c>
      <c r="U278" s="81"/>
    </row>
    <row r="279" spans="1:21" s="6" customFormat="1" ht="28.95" customHeight="1">
      <c r="A279" s="32">
        <v>265</v>
      </c>
      <c r="B279" s="40"/>
      <c r="C279" s="40"/>
      <c r="D279" s="34"/>
      <c r="E279" s="35" t="str">
        <f>'Tên Tháng 1'!E268</f>
        <v>ប៊ិន យ៉ូត</v>
      </c>
      <c r="F279" s="36" t="str">
        <f>'Tên Tháng 1'!F268</f>
        <v>BIN YOUT</v>
      </c>
      <c r="G279" s="37">
        <v>223</v>
      </c>
      <c r="H279" s="38">
        <v>31947</v>
      </c>
      <c r="I279" s="59">
        <f>'KL 1'!X280</f>
        <v>17.739999999999998</v>
      </c>
      <c r="J279" s="60">
        <f t="shared" si="30"/>
        <v>566740</v>
      </c>
      <c r="K279" s="61"/>
      <c r="L279" s="62"/>
      <c r="M279" s="63">
        <f t="shared" si="31"/>
        <v>566740</v>
      </c>
      <c r="N279" s="64">
        <f t="shared" si="27"/>
        <v>0</v>
      </c>
      <c r="O279" s="65">
        <f t="shared" si="28"/>
        <v>0</v>
      </c>
      <c r="P279" s="66">
        <f t="shared" si="29"/>
        <v>0</v>
      </c>
      <c r="Q279" s="60">
        <f t="shared" si="32"/>
        <v>566740</v>
      </c>
      <c r="R279" s="79"/>
      <c r="S279" s="80" t="s">
        <v>619</v>
      </c>
      <c r="U279" s="81"/>
    </row>
    <row r="280" spans="1:21" s="6" customFormat="1" ht="28.95" customHeight="1">
      <c r="A280" s="32">
        <v>266</v>
      </c>
      <c r="B280" s="40"/>
      <c r="C280" s="40"/>
      <c r="D280" s="34"/>
      <c r="E280" s="35" t="str">
        <f>'Tên Tháng 1'!E269</f>
        <v>ជ្រឹម សាត</v>
      </c>
      <c r="F280" s="36" t="str">
        <f>'Tên Tháng 1'!F269</f>
        <v>CHRIM SATH</v>
      </c>
      <c r="G280" s="37">
        <v>224</v>
      </c>
      <c r="H280" s="38">
        <v>31947</v>
      </c>
      <c r="I280" s="59">
        <f>'KL 1'!X281</f>
        <v>17.95</v>
      </c>
      <c r="J280" s="60">
        <f t="shared" si="30"/>
        <v>573449</v>
      </c>
      <c r="K280" s="61"/>
      <c r="L280" s="62"/>
      <c r="M280" s="63">
        <f t="shared" si="31"/>
        <v>573449</v>
      </c>
      <c r="N280" s="64">
        <f t="shared" si="27"/>
        <v>0</v>
      </c>
      <c r="O280" s="65">
        <f t="shared" si="28"/>
        <v>0</v>
      </c>
      <c r="P280" s="66">
        <f t="shared" si="29"/>
        <v>0</v>
      </c>
      <c r="Q280" s="60">
        <f t="shared" si="32"/>
        <v>573449</v>
      </c>
      <c r="R280" s="79"/>
      <c r="S280" s="80" t="s">
        <v>619</v>
      </c>
      <c r="U280" s="81"/>
    </row>
    <row r="281" spans="1:21" s="6" customFormat="1" ht="28.95" customHeight="1">
      <c r="A281" s="32">
        <v>267</v>
      </c>
      <c r="B281" s="40"/>
      <c r="C281" s="40"/>
      <c r="D281" s="34"/>
      <c r="E281" s="35" t="str">
        <f>'Tên Tháng 1'!E270</f>
        <v>មិក ម៉ាច</v>
      </c>
      <c r="F281" s="36" t="str">
        <f>'Tên Tháng 1'!F270</f>
        <v>MIK MACH</v>
      </c>
      <c r="G281" s="37">
        <v>225</v>
      </c>
      <c r="H281" s="38">
        <v>31947</v>
      </c>
      <c r="I281" s="59">
        <f>'KL 1'!X282</f>
        <v>16.71</v>
      </c>
      <c r="J281" s="60">
        <f t="shared" si="30"/>
        <v>533834</v>
      </c>
      <c r="K281" s="61"/>
      <c r="L281" s="62"/>
      <c r="M281" s="63">
        <f t="shared" si="31"/>
        <v>533834</v>
      </c>
      <c r="N281" s="64">
        <f t="shared" si="27"/>
        <v>0</v>
      </c>
      <c r="O281" s="65">
        <f t="shared" si="28"/>
        <v>0</v>
      </c>
      <c r="P281" s="66">
        <f t="shared" si="29"/>
        <v>0</v>
      </c>
      <c r="Q281" s="60">
        <f t="shared" si="32"/>
        <v>533834</v>
      </c>
      <c r="R281" s="79"/>
      <c r="S281" s="80" t="s">
        <v>619</v>
      </c>
      <c r="U281" s="81"/>
    </row>
    <row r="282" spans="1:21" s="6" customFormat="1" ht="28.95" customHeight="1">
      <c r="A282" s="32">
        <v>268</v>
      </c>
      <c r="B282" s="40"/>
      <c r="C282" s="40"/>
      <c r="D282" s="34"/>
      <c r="E282" s="35" t="str">
        <f>'Tên Tháng 1'!E271</f>
        <v>សៃ ឆាយា</v>
      </c>
      <c r="F282" s="36" t="str">
        <f>'Tên Tháng 1'!F271</f>
        <v>SAI CHHAYA</v>
      </c>
      <c r="G282" s="37">
        <v>226</v>
      </c>
      <c r="H282" s="38">
        <v>31947</v>
      </c>
      <c r="I282" s="59">
        <f>'KL 1'!X283</f>
        <v>15.68</v>
      </c>
      <c r="J282" s="60">
        <f t="shared" si="30"/>
        <v>500929</v>
      </c>
      <c r="K282" s="61"/>
      <c r="L282" s="62"/>
      <c r="M282" s="63">
        <f t="shared" si="31"/>
        <v>500929</v>
      </c>
      <c r="N282" s="64">
        <f t="shared" si="27"/>
        <v>0</v>
      </c>
      <c r="O282" s="65">
        <f t="shared" si="28"/>
        <v>0</v>
      </c>
      <c r="P282" s="66">
        <f t="shared" si="29"/>
        <v>0</v>
      </c>
      <c r="Q282" s="60">
        <f t="shared" si="32"/>
        <v>500929</v>
      </c>
      <c r="R282" s="79"/>
      <c r="S282" s="80" t="s">
        <v>619</v>
      </c>
      <c r="U282" s="81"/>
    </row>
    <row r="283" spans="1:21" s="6" customFormat="1" ht="28.95" customHeight="1">
      <c r="A283" s="32">
        <v>269</v>
      </c>
      <c r="B283" s="40"/>
      <c r="C283" s="40"/>
      <c r="D283" s="34"/>
      <c r="E283" s="35" t="str">
        <f>'Tên Tháng 1'!E272</f>
        <v>ធី ភិរក្ស</v>
      </c>
      <c r="F283" s="36" t="str">
        <f>'Tên Tháng 1'!F272</f>
        <v>THY PHY REAK</v>
      </c>
      <c r="G283" s="37">
        <v>227</v>
      </c>
      <c r="H283" s="38">
        <v>31947</v>
      </c>
      <c r="I283" s="59">
        <f>'KL 1'!X284</f>
        <v>20.32</v>
      </c>
      <c r="J283" s="60">
        <f t="shared" si="30"/>
        <v>649163</v>
      </c>
      <c r="K283" s="61"/>
      <c r="L283" s="62"/>
      <c r="M283" s="63">
        <f t="shared" si="31"/>
        <v>649163</v>
      </c>
      <c r="N283" s="64">
        <f t="shared" si="27"/>
        <v>0</v>
      </c>
      <c r="O283" s="65">
        <f t="shared" si="28"/>
        <v>0</v>
      </c>
      <c r="P283" s="66">
        <f t="shared" si="29"/>
        <v>0</v>
      </c>
      <c r="Q283" s="60">
        <f t="shared" si="32"/>
        <v>649163</v>
      </c>
      <c r="R283" s="79"/>
      <c r="S283" s="80" t="s">
        <v>619</v>
      </c>
      <c r="U283" s="81"/>
    </row>
    <row r="284" spans="1:21" s="6" customFormat="1" ht="28.95" customHeight="1">
      <c r="A284" s="32">
        <v>270</v>
      </c>
      <c r="B284" s="40"/>
      <c r="C284" s="40"/>
      <c r="D284" s="34"/>
      <c r="E284" s="35" t="str">
        <f>'Tên Tháng 1'!E273</f>
        <v>ភី ភ័ក្រ</v>
      </c>
      <c r="F284" s="36" t="str">
        <f>'Tên Tháng 1'!F273</f>
        <v>PHY PHAEK</v>
      </c>
      <c r="G284" s="37">
        <v>228</v>
      </c>
      <c r="H284" s="38">
        <v>31947</v>
      </c>
      <c r="I284" s="59">
        <f>'KL 1'!X285</f>
        <v>19.049999999999997</v>
      </c>
      <c r="J284" s="60">
        <f t="shared" si="30"/>
        <v>608590</v>
      </c>
      <c r="K284" s="61"/>
      <c r="L284" s="62"/>
      <c r="M284" s="63">
        <f t="shared" si="31"/>
        <v>608590</v>
      </c>
      <c r="N284" s="64">
        <f t="shared" si="27"/>
        <v>0</v>
      </c>
      <c r="O284" s="65">
        <f t="shared" si="28"/>
        <v>0</v>
      </c>
      <c r="P284" s="66">
        <f t="shared" si="29"/>
        <v>0</v>
      </c>
      <c r="Q284" s="60">
        <f t="shared" si="32"/>
        <v>608590</v>
      </c>
      <c r="R284" s="79"/>
      <c r="S284" s="80" t="s">
        <v>619</v>
      </c>
      <c r="U284" s="81"/>
    </row>
    <row r="285" spans="1:21" s="6" customFormat="1" ht="28.95" customHeight="1">
      <c r="A285" s="32">
        <v>271</v>
      </c>
      <c r="B285" s="40"/>
      <c r="C285" s="40"/>
      <c r="D285" s="34"/>
      <c r="E285" s="35" t="str">
        <f>'Tên Tháng 1'!E274</f>
        <v>ឈួន ធី</v>
      </c>
      <c r="F285" s="36" t="str">
        <f>'Tên Tháng 1'!F274</f>
        <v>CHHUON THY</v>
      </c>
      <c r="G285" s="37">
        <v>229</v>
      </c>
      <c r="H285" s="38">
        <v>31947</v>
      </c>
      <c r="I285" s="59">
        <f>'KL 1'!X286</f>
        <v>18.079999999999998</v>
      </c>
      <c r="J285" s="60">
        <f t="shared" si="30"/>
        <v>577602</v>
      </c>
      <c r="K285" s="61"/>
      <c r="L285" s="62"/>
      <c r="M285" s="63">
        <f t="shared" si="31"/>
        <v>577602</v>
      </c>
      <c r="N285" s="64">
        <f t="shared" si="27"/>
        <v>0</v>
      </c>
      <c r="O285" s="65">
        <f t="shared" si="28"/>
        <v>0</v>
      </c>
      <c r="P285" s="66">
        <f t="shared" si="29"/>
        <v>0</v>
      </c>
      <c r="Q285" s="60">
        <f t="shared" si="32"/>
        <v>577602</v>
      </c>
      <c r="R285" s="79"/>
      <c r="S285" s="80" t="s">
        <v>619</v>
      </c>
      <c r="U285" s="81"/>
    </row>
    <row r="286" spans="1:21" s="6" customFormat="1" ht="28.95" customHeight="1">
      <c r="A286" s="32">
        <v>272</v>
      </c>
      <c r="B286" s="40"/>
      <c r="C286" s="40"/>
      <c r="D286" s="34"/>
      <c r="E286" s="35" t="str">
        <f>'Tên Tháng 1'!E275</f>
        <v>អ៊ាង ឈីន</v>
      </c>
      <c r="F286" s="36" t="str">
        <f>'Tên Tháng 1'!F275</f>
        <v>EANG CHHIN</v>
      </c>
      <c r="G286" s="37">
        <v>230</v>
      </c>
      <c r="H286" s="38">
        <v>31947</v>
      </c>
      <c r="I286" s="59">
        <f>'KL 1'!X287</f>
        <v>17.559999999999999</v>
      </c>
      <c r="J286" s="60">
        <f t="shared" si="30"/>
        <v>560989</v>
      </c>
      <c r="K286" s="61"/>
      <c r="L286" s="62"/>
      <c r="M286" s="63">
        <f t="shared" si="31"/>
        <v>560989</v>
      </c>
      <c r="N286" s="64">
        <f t="shared" si="27"/>
        <v>0</v>
      </c>
      <c r="O286" s="65">
        <f t="shared" si="28"/>
        <v>0</v>
      </c>
      <c r="P286" s="66">
        <f t="shared" si="29"/>
        <v>0</v>
      </c>
      <c r="Q286" s="60">
        <f t="shared" si="32"/>
        <v>560989</v>
      </c>
      <c r="R286" s="79"/>
      <c r="S286" s="80" t="s">
        <v>619</v>
      </c>
      <c r="U286" s="81"/>
    </row>
    <row r="287" spans="1:21" s="6" customFormat="1" ht="28.95" customHeight="1">
      <c r="A287" s="32">
        <v>273</v>
      </c>
      <c r="B287" s="40"/>
      <c r="C287" s="40"/>
      <c r="D287" s="34"/>
      <c r="E287" s="35" t="str">
        <f>'Tên Tháng 1'!E276</f>
        <v>លី គី</v>
      </c>
      <c r="F287" s="36" t="str">
        <f>'Tên Tháng 1'!F276</f>
        <v>LY KY</v>
      </c>
      <c r="G287" s="37">
        <v>231</v>
      </c>
      <c r="H287" s="38">
        <v>31947</v>
      </c>
      <c r="I287" s="59">
        <f>'KL 1'!X288</f>
        <v>16.739999999999998</v>
      </c>
      <c r="J287" s="60">
        <f t="shared" si="30"/>
        <v>534793</v>
      </c>
      <c r="K287" s="61"/>
      <c r="L287" s="62"/>
      <c r="M287" s="63">
        <f t="shared" si="31"/>
        <v>534793</v>
      </c>
      <c r="N287" s="64">
        <f t="shared" si="27"/>
        <v>0</v>
      </c>
      <c r="O287" s="65">
        <f t="shared" si="28"/>
        <v>0</v>
      </c>
      <c r="P287" s="66">
        <f t="shared" si="29"/>
        <v>0</v>
      </c>
      <c r="Q287" s="60">
        <f t="shared" si="32"/>
        <v>534793</v>
      </c>
      <c r="R287" s="79"/>
      <c r="S287" s="80" t="s">
        <v>619</v>
      </c>
      <c r="U287" s="81"/>
    </row>
    <row r="288" spans="1:21" s="6" customFormat="1" ht="28.95" customHeight="1">
      <c r="A288" s="32">
        <v>274</v>
      </c>
      <c r="B288" s="40"/>
      <c r="C288" s="40"/>
      <c r="D288" s="34"/>
      <c r="E288" s="35" t="str">
        <f>'Tên Tháng 1'!E277</f>
        <v>សឿង ថេង</v>
      </c>
      <c r="F288" s="36" t="str">
        <f>'Tên Tháng 1'!F277</f>
        <v>SOEUNG THENG</v>
      </c>
      <c r="G288" s="37">
        <v>232</v>
      </c>
      <c r="H288" s="38">
        <v>31947</v>
      </c>
      <c r="I288" s="59">
        <f>'KL 1'!X289</f>
        <v>19.97</v>
      </c>
      <c r="J288" s="60">
        <f t="shared" si="30"/>
        <v>637982</v>
      </c>
      <c r="K288" s="61"/>
      <c r="L288" s="62"/>
      <c r="M288" s="63">
        <f t="shared" si="31"/>
        <v>637982</v>
      </c>
      <c r="N288" s="64">
        <f t="shared" si="27"/>
        <v>0</v>
      </c>
      <c r="O288" s="65">
        <f t="shared" si="28"/>
        <v>0</v>
      </c>
      <c r="P288" s="66">
        <f t="shared" si="29"/>
        <v>0</v>
      </c>
      <c r="Q288" s="60">
        <f t="shared" si="32"/>
        <v>637982</v>
      </c>
      <c r="R288" s="79"/>
      <c r="S288" s="80" t="s">
        <v>619</v>
      </c>
      <c r="U288" s="81"/>
    </row>
    <row r="289" spans="1:21" s="6" customFormat="1" ht="28.95" customHeight="1">
      <c r="A289" s="32">
        <v>275</v>
      </c>
      <c r="B289" s="40"/>
      <c r="C289" s="40"/>
      <c r="D289" s="34"/>
      <c r="E289" s="35" t="str">
        <f>'Tên Tháng 1'!E278</f>
        <v>សឿន ចាន់</v>
      </c>
      <c r="F289" s="36" t="str">
        <f>'Tên Tháng 1'!F278</f>
        <v>SOEUN CHAN</v>
      </c>
      <c r="G289" s="37">
        <v>233</v>
      </c>
      <c r="H289" s="38">
        <v>31947</v>
      </c>
      <c r="I289" s="59">
        <f>'KL 1'!X290</f>
        <v>17.05</v>
      </c>
      <c r="J289" s="60">
        <f t="shared" si="30"/>
        <v>544696</v>
      </c>
      <c r="K289" s="61"/>
      <c r="L289" s="62"/>
      <c r="M289" s="63">
        <f t="shared" si="31"/>
        <v>544696</v>
      </c>
      <c r="N289" s="64">
        <f t="shared" si="27"/>
        <v>0</v>
      </c>
      <c r="O289" s="65">
        <f t="shared" si="28"/>
        <v>0</v>
      </c>
      <c r="P289" s="66">
        <f t="shared" si="29"/>
        <v>0</v>
      </c>
      <c r="Q289" s="60">
        <f t="shared" si="32"/>
        <v>544696</v>
      </c>
      <c r="R289" s="79"/>
      <c r="S289" s="80" t="s">
        <v>619</v>
      </c>
      <c r="U289" s="81"/>
    </row>
    <row r="290" spans="1:21" s="6" customFormat="1" ht="28.95" customHeight="1">
      <c r="A290" s="32">
        <v>276</v>
      </c>
      <c r="B290" s="40"/>
      <c r="C290" s="40"/>
      <c r="D290" s="34"/>
      <c r="E290" s="35" t="str">
        <f>'Tên Tháng 1'!E279</f>
        <v>ពយ នីន</v>
      </c>
      <c r="F290" s="36" t="str">
        <f>'Tên Tháng 1'!F279</f>
        <v>POY NIN</v>
      </c>
      <c r="G290" s="37">
        <v>234</v>
      </c>
      <c r="H290" s="38">
        <v>31947</v>
      </c>
      <c r="I290" s="59">
        <f>'KL 1'!X291</f>
        <v>16.5</v>
      </c>
      <c r="J290" s="60">
        <f t="shared" si="30"/>
        <v>527126</v>
      </c>
      <c r="K290" s="61"/>
      <c r="L290" s="62"/>
      <c r="M290" s="63">
        <f t="shared" si="31"/>
        <v>527126</v>
      </c>
      <c r="N290" s="64">
        <f t="shared" si="27"/>
        <v>0</v>
      </c>
      <c r="O290" s="65">
        <f t="shared" si="28"/>
        <v>0</v>
      </c>
      <c r="P290" s="66">
        <f t="shared" si="29"/>
        <v>0</v>
      </c>
      <c r="Q290" s="60">
        <f t="shared" si="32"/>
        <v>527126</v>
      </c>
      <c r="R290" s="79"/>
      <c r="S290" s="80" t="s">
        <v>619</v>
      </c>
      <c r="U290" s="81"/>
    </row>
    <row r="291" spans="1:21" s="6" customFormat="1" ht="28.95" customHeight="1">
      <c r="A291" s="32">
        <v>277</v>
      </c>
      <c r="B291" s="40"/>
      <c r="C291" s="40"/>
      <c r="D291" s="34"/>
      <c r="E291" s="35" t="str">
        <f>'Tên Tháng 1'!E280</f>
        <v>សោម ច័ន្ធសុភា</v>
      </c>
      <c r="F291" s="36" t="str">
        <f>'Tên Tháng 1'!F280</f>
        <v>SAOM CHAN SOPHEA</v>
      </c>
      <c r="G291" s="37">
        <v>235</v>
      </c>
      <c r="H291" s="38">
        <v>31947</v>
      </c>
      <c r="I291" s="59">
        <f>'KL 1'!X292</f>
        <v>16.689999999999998</v>
      </c>
      <c r="J291" s="60">
        <f t="shared" si="30"/>
        <v>533195</v>
      </c>
      <c r="K291" s="61"/>
      <c r="L291" s="62"/>
      <c r="M291" s="63">
        <f t="shared" si="31"/>
        <v>533195</v>
      </c>
      <c r="N291" s="64">
        <f t="shared" si="27"/>
        <v>0</v>
      </c>
      <c r="O291" s="65">
        <f t="shared" si="28"/>
        <v>0</v>
      </c>
      <c r="P291" s="66">
        <f t="shared" si="29"/>
        <v>0</v>
      </c>
      <c r="Q291" s="60">
        <f t="shared" si="32"/>
        <v>533195</v>
      </c>
      <c r="R291" s="79"/>
      <c r="S291" s="80" t="s">
        <v>619</v>
      </c>
      <c r="U291" s="81"/>
    </row>
    <row r="292" spans="1:21" s="6" customFormat="1" ht="28.95" customHeight="1">
      <c r="A292" s="32">
        <v>278</v>
      </c>
      <c r="B292" s="40"/>
      <c r="C292" s="40"/>
      <c r="D292" s="34"/>
      <c r="E292" s="35" t="str">
        <f>'Tên Tháng 1'!E281</f>
        <v>គង់ សុផាន</v>
      </c>
      <c r="F292" s="36" t="str">
        <f>'Tên Tháng 1'!F281</f>
        <v>KONG SOPHAN</v>
      </c>
      <c r="G292" s="37">
        <v>236</v>
      </c>
      <c r="H292" s="38">
        <v>31947</v>
      </c>
      <c r="I292" s="59">
        <f>'KL 1'!X293</f>
        <v>16.64</v>
      </c>
      <c r="J292" s="60">
        <f t="shared" si="30"/>
        <v>531598</v>
      </c>
      <c r="K292" s="61"/>
      <c r="L292" s="62"/>
      <c r="M292" s="63">
        <f t="shared" si="31"/>
        <v>531598</v>
      </c>
      <c r="N292" s="64">
        <f t="shared" si="27"/>
        <v>0</v>
      </c>
      <c r="O292" s="65">
        <f t="shared" si="28"/>
        <v>0</v>
      </c>
      <c r="P292" s="66">
        <f t="shared" si="29"/>
        <v>0</v>
      </c>
      <c r="Q292" s="60">
        <f t="shared" si="32"/>
        <v>531598</v>
      </c>
      <c r="R292" s="79"/>
      <c r="S292" s="80" t="s">
        <v>619</v>
      </c>
      <c r="U292" s="81"/>
    </row>
    <row r="293" spans="1:21" s="6" customFormat="1" ht="28.95" customHeight="1">
      <c r="A293" s="32">
        <v>279</v>
      </c>
      <c r="B293" s="40"/>
      <c r="C293" s="40"/>
      <c r="D293" s="34"/>
      <c r="E293" s="35" t="str">
        <f>'Tên Tháng 1'!E282</f>
        <v>ពាង ដែន</v>
      </c>
      <c r="F293" s="36" t="str">
        <f>'Tên Tháng 1'!F282</f>
        <v>PEANG DEN</v>
      </c>
      <c r="G293" s="37">
        <v>237</v>
      </c>
      <c r="H293" s="38">
        <v>31947</v>
      </c>
      <c r="I293" s="59">
        <f>'KL 1'!X294</f>
        <v>14.059999999999999</v>
      </c>
      <c r="J293" s="60">
        <f t="shared" si="30"/>
        <v>449175</v>
      </c>
      <c r="K293" s="61"/>
      <c r="L293" s="62"/>
      <c r="M293" s="63">
        <f t="shared" si="31"/>
        <v>449175</v>
      </c>
      <c r="N293" s="64">
        <f t="shared" si="27"/>
        <v>0</v>
      </c>
      <c r="O293" s="65">
        <f t="shared" si="28"/>
        <v>0</v>
      </c>
      <c r="P293" s="66">
        <f t="shared" si="29"/>
        <v>0</v>
      </c>
      <c r="Q293" s="60">
        <f t="shared" si="32"/>
        <v>449175</v>
      </c>
      <c r="R293" s="79"/>
      <c r="S293" s="80" t="s">
        <v>619</v>
      </c>
      <c r="U293" s="81"/>
    </row>
    <row r="294" spans="1:21" s="6" customFormat="1" ht="28.95" customHeight="1">
      <c r="A294" s="32">
        <v>280</v>
      </c>
      <c r="B294" s="40"/>
      <c r="C294" s="40"/>
      <c r="D294" s="34"/>
      <c r="E294" s="35" t="str">
        <f>'Tên Tháng 1'!E283</f>
        <v>ពៅ ផាត</v>
      </c>
      <c r="F294" s="36" t="str">
        <f>'Tên Tháng 1'!F283</f>
        <v>POV PHAT</v>
      </c>
      <c r="G294" s="37">
        <v>238</v>
      </c>
      <c r="H294" s="38">
        <v>31947</v>
      </c>
      <c r="I294" s="59">
        <f>'KL 1'!X295</f>
        <v>13.98</v>
      </c>
      <c r="J294" s="60">
        <f t="shared" si="30"/>
        <v>446619</v>
      </c>
      <c r="K294" s="61"/>
      <c r="L294" s="62"/>
      <c r="M294" s="63">
        <f t="shared" si="31"/>
        <v>446619</v>
      </c>
      <c r="N294" s="64">
        <f t="shared" si="27"/>
        <v>0</v>
      </c>
      <c r="O294" s="65">
        <f t="shared" si="28"/>
        <v>0</v>
      </c>
      <c r="P294" s="66">
        <f t="shared" si="29"/>
        <v>0</v>
      </c>
      <c r="Q294" s="60">
        <f t="shared" si="32"/>
        <v>446619</v>
      </c>
      <c r="R294" s="79"/>
      <c r="S294" s="80" t="s">
        <v>619</v>
      </c>
      <c r="U294" s="81"/>
    </row>
    <row r="295" spans="1:21" s="6" customFormat="1" ht="28.95" customHeight="1">
      <c r="A295" s="32">
        <v>281</v>
      </c>
      <c r="B295" s="40"/>
      <c r="C295" s="40"/>
      <c r="D295" s="34"/>
      <c r="E295" s="35" t="str">
        <f>'Tên Tháng 1'!E284</f>
        <v>តុត យាង</v>
      </c>
      <c r="F295" s="36" t="str">
        <f>'Tên Tháng 1'!F284</f>
        <v>TOT YEANG</v>
      </c>
      <c r="G295" s="37">
        <v>239</v>
      </c>
      <c r="H295" s="38">
        <v>31947</v>
      </c>
      <c r="I295" s="59">
        <f>'KL 1'!X296</f>
        <v>15.090000000000002</v>
      </c>
      <c r="J295" s="60">
        <f t="shared" si="30"/>
        <v>482080</v>
      </c>
      <c r="K295" s="61"/>
      <c r="L295" s="62"/>
      <c r="M295" s="63">
        <f t="shared" si="31"/>
        <v>482080</v>
      </c>
      <c r="N295" s="64">
        <f t="shared" si="27"/>
        <v>0</v>
      </c>
      <c r="O295" s="65">
        <f t="shared" si="28"/>
        <v>0</v>
      </c>
      <c r="P295" s="66">
        <f t="shared" si="29"/>
        <v>0</v>
      </c>
      <c r="Q295" s="60">
        <f t="shared" si="32"/>
        <v>482080</v>
      </c>
      <c r="R295" s="79"/>
      <c r="S295" s="80" t="s">
        <v>619</v>
      </c>
      <c r="U295" s="81"/>
    </row>
    <row r="296" spans="1:21" s="6" customFormat="1" ht="28.95" customHeight="1">
      <c r="A296" s="32">
        <v>282</v>
      </c>
      <c r="B296" s="40"/>
      <c r="C296" s="40"/>
      <c r="D296" s="34"/>
      <c r="E296" s="35" t="str">
        <f>'Tên Tháng 1'!E285</f>
        <v>ថន សាន</v>
      </c>
      <c r="F296" s="36" t="str">
        <f>'Tên Tháng 1'!F285</f>
        <v>THAN SAN</v>
      </c>
      <c r="G296" s="37">
        <v>240</v>
      </c>
      <c r="H296" s="38">
        <v>31947</v>
      </c>
      <c r="I296" s="59">
        <f>'KL 1'!X297</f>
        <v>14.9</v>
      </c>
      <c r="J296" s="60">
        <f t="shared" si="30"/>
        <v>476010</v>
      </c>
      <c r="K296" s="61"/>
      <c r="L296" s="62"/>
      <c r="M296" s="63">
        <f t="shared" si="31"/>
        <v>476010</v>
      </c>
      <c r="N296" s="64">
        <f t="shared" si="27"/>
        <v>0</v>
      </c>
      <c r="O296" s="65">
        <f t="shared" si="28"/>
        <v>0</v>
      </c>
      <c r="P296" s="66">
        <f t="shared" si="29"/>
        <v>0</v>
      </c>
      <c r="Q296" s="60">
        <f t="shared" si="32"/>
        <v>476010</v>
      </c>
      <c r="R296" s="79"/>
      <c r="S296" s="80" t="s">
        <v>619</v>
      </c>
      <c r="U296" s="81"/>
    </row>
    <row r="297" spans="1:21" s="6" customFormat="1" ht="28.95" customHeight="1">
      <c r="A297" s="32">
        <v>283</v>
      </c>
      <c r="B297" s="40"/>
      <c r="C297" s="40"/>
      <c r="D297" s="34"/>
      <c r="E297" s="35" t="str">
        <f>'Tên Tháng 1'!E286</f>
        <v>គឿន សុខអន</v>
      </c>
      <c r="F297" s="36" t="str">
        <f>'Tên Tháng 1'!F286</f>
        <v>KOEUN SOH ON</v>
      </c>
      <c r="G297" s="37">
        <v>241</v>
      </c>
      <c r="H297" s="38">
        <v>31947</v>
      </c>
      <c r="I297" s="59">
        <f>'KL 1'!X298</f>
        <v>12.17</v>
      </c>
      <c r="J297" s="60">
        <f t="shared" si="30"/>
        <v>388795</v>
      </c>
      <c r="K297" s="61"/>
      <c r="L297" s="62"/>
      <c r="M297" s="63">
        <f t="shared" si="31"/>
        <v>388795</v>
      </c>
      <c r="N297" s="64">
        <f t="shared" si="27"/>
        <v>0</v>
      </c>
      <c r="O297" s="65">
        <f t="shared" si="28"/>
        <v>0</v>
      </c>
      <c r="P297" s="66">
        <f t="shared" si="29"/>
        <v>0</v>
      </c>
      <c r="Q297" s="60">
        <f t="shared" si="32"/>
        <v>388795</v>
      </c>
      <c r="R297" s="79"/>
      <c r="S297" s="80" t="s">
        <v>619</v>
      </c>
      <c r="U297" s="81"/>
    </row>
    <row r="298" spans="1:21" s="6" customFormat="1" ht="28.95" customHeight="1">
      <c r="A298" s="32">
        <v>284</v>
      </c>
      <c r="B298" s="40"/>
      <c r="C298" s="40"/>
      <c r="D298" s="34"/>
      <c r="E298" s="35" t="str">
        <f>'Tên Tháng 1'!E287</f>
        <v>ជិន ជឿន</v>
      </c>
      <c r="F298" s="36" t="str">
        <f>'Tên Tháng 1'!F287</f>
        <v>CHIN CHOEUNG</v>
      </c>
      <c r="G298" s="37">
        <v>242</v>
      </c>
      <c r="H298" s="38">
        <v>31947</v>
      </c>
      <c r="I298" s="59">
        <f>'KL 1'!X299</f>
        <v>12.73</v>
      </c>
      <c r="J298" s="60">
        <f t="shared" si="30"/>
        <v>406685</v>
      </c>
      <c r="K298" s="61"/>
      <c r="L298" s="62"/>
      <c r="M298" s="63">
        <f t="shared" si="31"/>
        <v>406685</v>
      </c>
      <c r="N298" s="64">
        <f t="shared" si="27"/>
        <v>0</v>
      </c>
      <c r="O298" s="65">
        <f t="shared" si="28"/>
        <v>0</v>
      </c>
      <c r="P298" s="66">
        <f t="shared" si="29"/>
        <v>0</v>
      </c>
      <c r="Q298" s="60">
        <f t="shared" si="32"/>
        <v>406685</v>
      </c>
      <c r="R298" s="79"/>
      <c r="S298" s="80" t="s">
        <v>619</v>
      </c>
      <c r="U298" s="81"/>
    </row>
    <row r="299" spans="1:21" s="6" customFormat="1" ht="28.95" customHeight="1">
      <c r="A299" s="32">
        <v>285</v>
      </c>
      <c r="B299" s="40"/>
      <c r="C299" s="40"/>
      <c r="D299" s="34"/>
      <c r="E299" s="35" t="str">
        <f>'Tên Tháng 1'!E288</f>
        <v>កុង នេត្រា</v>
      </c>
      <c r="F299" s="36" t="str">
        <f>'Tên Tháng 1'!F288</f>
        <v>KONG NETRA</v>
      </c>
      <c r="G299" s="37">
        <v>243</v>
      </c>
      <c r="H299" s="38">
        <v>31947</v>
      </c>
      <c r="I299" s="59">
        <f>'KL 1'!X300</f>
        <v>19.21</v>
      </c>
      <c r="J299" s="60">
        <f t="shared" si="30"/>
        <v>613702</v>
      </c>
      <c r="K299" s="61"/>
      <c r="L299" s="62"/>
      <c r="M299" s="63">
        <f t="shared" si="31"/>
        <v>613702</v>
      </c>
      <c r="N299" s="64">
        <f t="shared" si="27"/>
        <v>0</v>
      </c>
      <c r="O299" s="65">
        <f t="shared" si="28"/>
        <v>0</v>
      </c>
      <c r="P299" s="66">
        <f t="shared" si="29"/>
        <v>0</v>
      </c>
      <c r="Q299" s="60">
        <f t="shared" si="32"/>
        <v>613702</v>
      </c>
      <c r="R299" s="79"/>
      <c r="S299" s="80" t="s">
        <v>619</v>
      </c>
      <c r="U299" s="81"/>
    </row>
    <row r="300" spans="1:21" s="6" customFormat="1" ht="28.95" customHeight="1">
      <c r="A300" s="32">
        <v>286</v>
      </c>
      <c r="B300" s="40"/>
      <c r="C300" s="40"/>
      <c r="D300" s="34"/>
      <c r="E300" s="35" t="str">
        <f>'Tên Tháng 1'!E289</f>
        <v>យាង យេង</v>
      </c>
      <c r="F300" s="36" t="str">
        <f>'Tên Tháng 1'!F289</f>
        <v>YEANG YENG</v>
      </c>
      <c r="G300" s="37">
        <v>244</v>
      </c>
      <c r="H300" s="38">
        <v>31947</v>
      </c>
      <c r="I300" s="59">
        <f>'KL 1'!X301</f>
        <v>19.520000000000003</v>
      </c>
      <c r="J300" s="60">
        <f t="shared" si="30"/>
        <v>623605</v>
      </c>
      <c r="K300" s="61"/>
      <c r="L300" s="62"/>
      <c r="M300" s="63">
        <f t="shared" si="31"/>
        <v>623605</v>
      </c>
      <c r="N300" s="64">
        <f t="shared" si="27"/>
        <v>0</v>
      </c>
      <c r="O300" s="65">
        <f t="shared" si="28"/>
        <v>0</v>
      </c>
      <c r="P300" s="66">
        <f t="shared" si="29"/>
        <v>0</v>
      </c>
      <c r="Q300" s="60">
        <f t="shared" si="32"/>
        <v>623605</v>
      </c>
      <c r="R300" s="79"/>
      <c r="S300" s="80" t="s">
        <v>619</v>
      </c>
      <c r="U300" s="81"/>
    </row>
    <row r="301" spans="1:21" s="6" customFormat="1" ht="28.95" customHeight="1">
      <c r="A301" s="32">
        <v>287</v>
      </c>
      <c r="B301" s="40"/>
      <c r="C301" s="40"/>
      <c r="D301" s="34"/>
      <c r="E301" s="35" t="str">
        <f>'Tên Tháng 1'!E290</f>
        <v>សេង​ ធឿ</v>
      </c>
      <c r="F301" s="36" t="str">
        <f>'Tên Tháng 1'!F290</f>
        <v>SENG THOEU</v>
      </c>
      <c r="G301" s="37">
        <v>245</v>
      </c>
      <c r="H301" s="38">
        <v>31947</v>
      </c>
      <c r="I301" s="59">
        <f>'KL 1'!X302</f>
        <v>14.94</v>
      </c>
      <c r="J301" s="60">
        <f t="shared" si="30"/>
        <v>477288</v>
      </c>
      <c r="K301" s="61"/>
      <c r="L301" s="62"/>
      <c r="M301" s="63">
        <f t="shared" si="31"/>
        <v>477288</v>
      </c>
      <c r="N301" s="64">
        <f t="shared" si="27"/>
        <v>0</v>
      </c>
      <c r="O301" s="65">
        <f t="shared" si="28"/>
        <v>0</v>
      </c>
      <c r="P301" s="66">
        <f t="shared" si="29"/>
        <v>0</v>
      </c>
      <c r="Q301" s="60">
        <f t="shared" si="32"/>
        <v>477288</v>
      </c>
      <c r="R301" s="79"/>
      <c r="S301" s="80" t="s">
        <v>619</v>
      </c>
      <c r="U301" s="81"/>
    </row>
    <row r="302" spans="1:21" s="6" customFormat="1" ht="28.95" customHeight="1">
      <c r="A302" s="32">
        <v>288</v>
      </c>
      <c r="B302" s="40"/>
      <c r="C302" s="40"/>
      <c r="D302" s="34"/>
      <c r="E302" s="35" t="str">
        <f>'Tên Tháng 1'!E291</f>
        <v>យ៉ាំ ឡត</v>
      </c>
      <c r="F302" s="36" t="str">
        <f>'Tên Tháng 1'!F291</f>
        <v>YAM LOTH</v>
      </c>
      <c r="G302" s="37">
        <v>246</v>
      </c>
      <c r="H302" s="38">
        <v>31947</v>
      </c>
      <c r="I302" s="59">
        <f>'KL 1'!X303</f>
        <v>20.310000000000002</v>
      </c>
      <c r="J302" s="60">
        <f t="shared" si="30"/>
        <v>648844</v>
      </c>
      <c r="K302" s="61"/>
      <c r="L302" s="62"/>
      <c r="M302" s="63">
        <f t="shared" si="31"/>
        <v>648844</v>
      </c>
      <c r="N302" s="64">
        <f t="shared" si="27"/>
        <v>0</v>
      </c>
      <c r="O302" s="65">
        <f t="shared" si="28"/>
        <v>0</v>
      </c>
      <c r="P302" s="66">
        <f t="shared" si="29"/>
        <v>0</v>
      </c>
      <c r="Q302" s="60">
        <f t="shared" si="32"/>
        <v>648844</v>
      </c>
      <c r="R302" s="79"/>
      <c r="S302" s="80" t="s">
        <v>619</v>
      </c>
      <c r="U302" s="81"/>
    </row>
    <row r="303" spans="1:21" s="6" customFormat="1" ht="28.95" customHeight="1">
      <c r="A303" s="32">
        <v>289</v>
      </c>
      <c r="B303" s="40"/>
      <c r="C303" s="40"/>
      <c r="D303" s="34"/>
      <c r="E303" s="35" t="str">
        <f>'Tên Tháng 1'!E292</f>
        <v>វី ភក្កី</v>
      </c>
      <c r="F303" s="36" t="str">
        <f>'Tên Tháng 1'!F292</f>
        <v>VY PHEAKDEY</v>
      </c>
      <c r="G303" s="37">
        <v>247</v>
      </c>
      <c r="H303" s="38">
        <v>31947</v>
      </c>
      <c r="I303" s="59">
        <f>'KL 1'!X304</f>
        <v>20.69</v>
      </c>
      <c r="J303" s="60">
        <f t="shared" si="30"/>
        <v>660983</v>
      </c>
      <c r="K303" s="61"/>
      <c r="L303" s="62"/>
      <c r="M303" s="63">
        <f t="shared" si="31"/>
        <v>660983</v>
      </c>
      <c r="N303" s="64">
        <f t="shared" si="27"/>
        <v>0</v>
      </c>
      <c r="O303" s="65">
        <f t="shared" si="28"/>
        <v>0</v>
      </c>
      <c r="P303" s="66">
        <f t="shared" si="29"/>
        <v>0</v>
      </c>
      <c r="Q303" s="60">
        <f t="shared" si="32"/>
        <v>660983</v>
      </c>
      <c r="R303" s="79"/>
      <c r="S303" s="80" t="s">
        <v>619</v>
      </c>
      <c r="U303" s="81"/>
    </row>
    <row r="304" spans="1:21" s="6" customFormat="1" ht="28.95" customHeight="1">
      <c r="A304" s="32">
        <v>290</v>
      </c>
      <c r="B304" s="40"/>
      <c r="C304" s="40"/>
      <c r="D304" s="34"/>
      <c r="E304" s="35" t="str">
        <f>'Tên Tháng 1'!E293</f>
        <v>ហាប់ វឿ</v>
      </c>
      <c r="F304" s="36" t="str">
        <f>'Tên Tháng 1'!F293</f>
        <v>HAB VOR</v>
      </c>
      <c r="G304" s="37">
        <v>248</v>
      </c>
      <c r="H304" s="38">
        <v>31947</v>
      </c>
      <c r="I304" s="59">
        <f>'KL 1'!X305</f>
        <v>18.39</v>
      </c>
      <c r="J304" s="60">
        <f t="shared" si="30"/>
        <v>587505</v>
      </c>
      <c r="K304" s="61"/>
      <c r="L304" s="62"/>
      <c r="M304" s="63">
        <f t="shared" si="31"/>
        <v>587505</v>
      </c>
      <c r="N304" s="64">
        <f t="shared" si="27"/>
        <v>0</v>
      </c>
      <c r="O304" s="65">
        <f t="shared" si="28"/>
        <v>0</v>
      </c>
      <c r="P304" s="66">
        <f t="shared" si="29"/>
        <v>0</v>
      </c>
      <c r="Q304" s="60">
        <f t="shared" si="32"/>
        <v>587505</v>
      </c>
      <c r="R304" s="79"/>
      <c r="S304" s="80" t="s">
        <v>619</v>
      </c>
      <c r="U304" s="81"/>
    </row>
    <row r="305" spans="1:21" s="6" customFormat="1" ht="28.95" customHeight="1">
      <c r="A305" s="32">
        <v>291</v>
      </c>
      <c r="B305" s="40"/>
      <c r="C305" s="40"/>
      <c r="D305" s="34"/>
      <c r="E305" s="35" t="str">
        <f>'Tên Tháng 1'!E294</f>
        <v>ឃុន សុខខៃ</v>
      </c>
      <c r="F305" s="36" t="str">
        <f>'Tên Tháng 1'!F294</f>
        <v>KHOEN SOKKHEY</v>
      </c>
      <c r="G305" s="37">
        <v>249</v>
      </c>
      <c r="H305" s="38">
        <v>31947</v>
      </c>
      <c r="I305" s="59">
        <f>'KL 1'!X306</f>
        <v>22.450000000000003</v>
      </c>
      <c r="J305" s="60">
        <f t="shared" si="30"/>
        <v>717210</v>
      </c>
      <c r="K305" s="61"/>
      <c r="L305" s="62"/>
      <c r="M305" s="63">
        <f t="shared" si="31"/>
        <v>717210</v>
      </c>
      <c r="N305" s="64">
        <f t="shared" si="27"/>
        <v>0</v>
      </c>
      <c r="O305" s="65">
        <f t="shared" si="28"/>
        <v>0</v>
      </c>
      <c r="P305" s="66">
        <f t="shared" si="29"/>
        <v>0</v>
      </c>
      <c r="Q305" s="60">
        <f t="shared" si="32"/>
        <v>717210</v>
      </c>
      <c r="R305" s="79"/>
      <c r="S305" s="80" t="s">
        <v>619</v>
      </c>
      <c r="U305" s="81"/>
    </row>
    <row r="306" spans="1:21" s="6" customFormat="1" ht="28.95" customHeight="1">
      <c r="A306" s="32">
        <v>292</v>
      </c>
      <c r="B306" s="40"/>
      <c r="C306" s="40"/>
      <c r="D306" s="34"/>
      <c r="E306" s="35" t="str">
        <f>'Tên Tháng 1'!E295</f>
        <v>ហាន គឹមហុង</v>
      </c>
      <c r="F306" s="36" t="str">
        <f>'Tên Tháng 1'!F295</f>
        <v>HEAN KIMHONG</v>
      </c>
      <c r="G306" s="37">
        <v>250</v>
      </c>
      <c r="H306" s="38">
        <v>31947</v>
      </c>
      <c r="I306" s="59">
        <f>'KL 1'!X307</f>
        <v>15.51</v>
      </c>
      <c r="J306" s="60">
        <f t="shared" si="30"/>
        <v>495498</v>
      </c>
      <c r="K306" s="61"/>
      <c r="L306" s="62"/>
      <c r="M306" s="63">
        <f t="shared" si="31"/>
        <v>495498</v>
      </c>
      <c r="N306" s="64">
        <f t="shared" si="27"/>
        <v>0</v>
      </c>
      <c r="O306" s="65">
        <f t="shared" si="28"/>
        <v>0</v>
      </c>
      <c r="P306" s="66">
        <f t="shared" si="29"/>
        <v>0</v>
      </c>
      <c r="Q306" s="60">
        <f t="shared" si="32"/>
        <v>495498</v>
      </c>
      <c r="R306" s="79"/>
      <c r="S306" s="80" t="s">
        <v>619</v>
      </c>
      <c r="U306" s="81"/>
    </row>
    <row r="307" spans="1:21" s="6" customFormat="1" ht="28.95" customHeight="1">
      <c r="A307" s="32">
        <v>293</v>
      </c>
      <c r="B307" s="40"/>
      <c r="C307" s="40"/>
      <c r="D307" s="34"/>
      <c r="E307" s="35" t="str">
        <f>'Tên Tháng 1'!E296</f>
        <v>ឃាន ជាង</v>
      </c>
      <c r="F307" s="36" t="str">
        <f>'Tên Tháng 1'!F296</f>
        <v>KHEAN CHIENG</v>
      </c>
      <c r="G307" s="37">
        <v>499</v>
      </c>
      <c r="H307" s="38">
        <v>31947</v>
      </c>
      <c r="I307" s="59">
        <f>'KL 1'!X308</f>
        <v>18.279999999999998</v>
      </c>
      <c r="J307" s="60">
        <f t="shared" si="30"/>
        <v>583991</v>
      </c>
      <c r="K307" s="61"/>
      <c r="L307" s="62"/>
      <c r="M307" s="63">
        <f t="shared" si="31"/>
        <v>583991</v>
      </c>
      <c r="N307" s="64">
        <f t="shared" si="27"/>
        <v>0</v>
      </c>
      <c r="O307" s="65">
        <f t="shared" si="28"/>
        <v>0</v>
      </c>
      <c r="P307" s="66">
        <f t="shared" si="29"/>
        <v>0</v>
      </c>
      <c r="Q307" s="60">
        <f t="shared" si="32"/>
        <v>583991</v>
      </c>
      <c r="R307" s="79"/>
      <c r="S307" s="80" t="s">
        <v>619</v>
      </c>
      <c r="U307" s="81"/>
    </row>
    <row r="308" spans="1:21" s="6" customFormat="1" ht="28.95" customHeight="1">
      <c r="A308" s="32">
        <v>294</v>
      </c>
      <c r="B308" s="40"/>
      <c r="C308" s="40"/>
      <c r="D308" s="34"/>
      <c r="E308" s="35" t="str">
        <f>'Tên Tháng 1'!E297</f>
        <v>ឃន សាវី</v>
      </c>
      <c r="F308" s="36" t="str">
        <f>'Tên Tháng 1'!F297</f>
        <v>KHORN SAVY</v>
      </c>
      <c r="G308" s="37">
        <v>500</v>
      </c>
      <c r="H308" s="38">
        <v>31947</v>
      </c>
      <c r="I308" s="59">
        <f>'KL 1'!X309</f>
        <v>20.93</v>
      </c>
      <c r="J308" s="60">
        <f t="shared" si="30"/>
        <v>668651</v>
      </c>
      <c r="K308" s="61"/>
      <c r="L308" s="62"/>
      <c r="M308" s="63">
        <f t="shared" si="31"/>
        <v>668651</v>
      </c>
      <c r="N308" s="64">
        <f t="shared" si="27"/>
        <v>0</v>
      </c>
      <c r="O308" s="65">
        <f t="shared" si="28"/>
        <v>0</v>
      </c>
      <c r="P308" s="66">
        <f t="shared" si="29"/>
        <v>0</v>
      </c>
      <c r="Q308" s="60">
        <f t="shared" si="32"/>
        <v>668651</v>
      </c>
      <c r="R308" s="79"/>
      <c r="S308" s="80" t="s">
        <v>619</v>
      </c>
      <c r="U308" s="81"/>
    </row>
    <row r="309" spans="1:21" s="6" customFormat="1" ht="28.95" customHeight="1">
      <c r="A309" s="32">
        <v>295</v>
      </c>
      <c r="B309" s="40"/>
      <c r="C309" s="40"/>
      <c r="D309" s="34"/>
      <c r="E309" s="35" t="str">
        <f>'Tên Tháng 1'!E298</f>
        <v>ផាវ ផាន់</v>
      </c>
      <c r="F309" s="36" t="str">
        <f>'Tên Tháng 1'!F298</f>
        <v>PHAV PHANN</v>
      </c>
      <c r="G309" s="37">
        <v>501</v>
      </c>
      <c r="H309" s="38">
        <v>31947</v>
      </c>
      <c r="I309" s="59">
        <f>'KL 1'!X310</f>
        <v>20.140000000000004</v>
      </c>
      <c r="J309" s="60">
        <f t="shared" si="30"/>
        <v>643413</v>
      </c>
      <c r="K309" s="61"/>
      <c r="L309" s="62"/>
      <c r="M309" s="63">
        <f t="shared" si="31"/>
        <v>643413</v>
      </c>
      <c r="N309" s="64">
        <f t="shared" si="27"/>
        <v>0</v>
      </c>
      <c r="O309" s="65">
        <f t="shared" si="28"/>
        <v>0</v>
      </c>
      <c r="P309" s="66">
        <f t="shared" si="29"/>
        <v>0</v>
      </c>
      <c r="Q309" s="60">
        <f t="shared" si="32"/>
        <v>643413</v>
      </c>
      <c r="R309" s="79"/>
      <c r="S309" s="80" t="s">
        <v>619</v>
      </c>
      <c r="U309" s="81"/>
    </row>
    <row r="310" spans="1:21" s="6" customFormat="1" ht="28.95" customHeight="1">
      <c r="A310" s="32">
        <v>296</v>
      </c>
      <c r="B310" s="40"/>
      <c r="C310" s="40"/>
      <c r="D310" s="34"/>
      <c r="E310" s="35" t="str">
        <f>'Tên Tháng 1'!E299</f>
        <v>ជិន សីឡា</v>
      </c>
      <c r="F310" s="36" t="str">
        <f>'Tên Tháng 1'!F299</f>
        <v>CHIN SEYLA</v>
      </c>
      <c r="G310" s="37">
        <v>502</v>
      </c>
      <c r="H310" s="38">
        <v>31947</v>
      </c>
      <c r="I310" s="59">
        <f>'KL 1'!X311</f>
        <v>19.98</v>
      </c>
      <c r="J310" s="60">
        <f t="shared" si="30"/>
        <v>638301</v>
      </c>
      <c r="K310" s="61"/>
      <c r="L310" s="62"/>
      <c r="M310" s="63">
        <f t="shared" si="31"/>
        <v>638301</v>
      </c>
      <c r="N310" s="64">
        <f t="shared" ref="N310:N373" si="33">L310</f>
        <v>0</v>
      </c>
      <c r="O310" s="65">
        <f t="shared" ref="O310:O373" si="34">ROUND(IF(M310&lt;=1200000,0,IF(AND((M310)&gt;1200000,(M310)&lt;=2000000),(M310)*5%-60000,IF(AND((M310)&gt;2000000,(M310)&lt;=8500000),(M310)*10%-160000))),0)</f>
        <v>0</v>
      </c>
      <c r="P310" s="66">
        <f t="shared" ref="P310:P373" si="35">N310+O310</f>
        <v>0</v>
      </c>
      <c r="Q310" s="60">
        <f t="shared" si="32"/>
        <v>638301</v>
      </c>
      <c r="R310" s="79"/>
      <c r="S310" s="80" t="s">
        <v>619</v>
      </c>
      <c r="U310" s="81"/>
    </row>
    <row r="311" spans="1:21" s="6" customFormat="1" ht="28.95" customHeight="1">
      <c r="A311" s="32">
        <v>297</v>
      </c>
      <c r="B311" s="40"/>
      <c r="C311" s="40"/>
      <c r="D311" s="34"/>
      <c r="E311" s="35" t="str">
        <f>'Tên Tháng 1'!E300</f>
        <v>ជិន ឡូត</v>
      </c>
      <c r="F311" s="36" t="str">
        <f>'Tên Tháng 1'!F300</f>
        <v>CHIN LOT</v>
      </c>
      <c r="G311" s="37">
        <v>503</v>
      </c>
      <c r="H311" s="38">
        <v>31947</v>
      </c>
      <c r="I311" s="59">
        <f>'KL 1'!X312</f>
        <v>18.48</v>
      </c>
      <c r="J311" s="60">
        <f t="shared" si="30"/>
        <v>590381</v>
      </c>
      <c r="K311" s="61"/>
      <c r="L311" s="62"/>
      <c r="M311" s="63">
        <f t="shared" si="31"/>
        <v>590381</v>
      </c>
      <c r="N311" s="64">
        <f t="shared" si="33"/>
        <v>0</v>
      </c>
      <c r="O311" s="65">
        <f t="shared" si="34"/>
        <v>0</v>
      </c>
      <c r="P311" s="66">
        <f t="shared" si="35"/>
        <v>0</v>
      </c>
      <c r="Q311" s="60">
        <f t="shared" si="32"/>
        <v>590381</v>
      </c>
      <c r="R311" s="79"/>
      <c r="S311" s="80" t="s">
        <v>619</v>
      </c>
      <c r="U311" s="81"/>
    </row>
    <row r="312" spans="1:21" s="6" customFormat="1" ht="28.95" customHeight="1">
      <c r="A312" s="32">
        <v>298</v>
      </c>
      <c r="B312" s="40"/>
      <c r="C312" s="40"/>
      <c r="D312" s="34"/>
      <c r="E312" s="35" t="str">
        <f>'Tên Tháng 1'!E301</f>
        <v>អឿង សុឃាក់</v>
      </c>
      <c r="F312" s="36" t="str">
        <f>'Tên Tháng 1'!F301</f>
        <v>EURNG SOKEAK</v>
      </c>
      <c r="G312" s="37">
        <v>504</v>
      </c>
      <c r="H312" s="38">
        <v>31947</v>
      </c>
      <c r="I312" s="59">
        <f>'KL 1'!X313</f>
        <v>10.44</v>
      </c>
      <c r="J312" s="60">
        <f t="shared" si="30"/>
        <v>333527</v>
      </c>
      <c r="K312" s="61"/>
      <c r="L312" s="62"/>
      <c r="M312" s="63">
        <f t="shared" si="31"/>
        <v>333527</v>
      </c>
      <c r="N312" s="64">
        <f t="shared" si="33"/>
        <v>0</v>
      </c>
      <c r="O312" s="65">
        <f t="shared" si="34"/>
        <v>0</v>
      </c>
      <c r="P312" s="66">
        <f t="shared" si="35"/>
        <v>0</v>
      </c>
      <c r="Q312" s="60">
        <f t="shared" si="32"/>
        <v>333527</v>
      </c>
      <c r="R312" s="79"/>
      <c r="S312" s="80" t="s">
        <v>619</v>
      </c>
      <c r="U312" s="81"/>
    </row>
    <row r="313" spans="1:21" s="6" customFormat="1" ht="28.95" customHeight="1">
      <c r="A313" s="32">
        <v>299</v>
      </c>
      <c r="B313" s="40"/>
      <c r="C313" s="40"/>
      <c r="D313" s="34"/>
      <c r="E313" s="35" t="str">
        <f>'Tên Tháng 1'!E302</f>
        <v>ឡន លី</v>
      </c>
      <c r="F313" s="36" t="str">
        <f>'Tên Tháng 1'!F302</f>
        <v>LORN LY</v>
      </c>
      <c r="G313" s="37">
        <v>505</v>
      </c>
      <c r="H313" s="38">
        <v>31947</v>
      </c>
      <c r="I313" s="59">
        <f>'KL 1'!X314</f>
        <v>15.38</v>
      </c>
      <c r="J313" s="60">
        <f t="shared" si="30"/>
        <v>491345</v>
      </c>
      <c r="K313" s="61"/>
      <c r="L313" s="62"/>
      <c r="M313" s="63">
        <f t="shared" si="31"/>
        <v>491345</v>
      </c>
      <c r="N313" s="64">
        <f t="shared" si="33"/>
        <v>0</v>
      </c>
      <c r="O313" s="65">
        <f t="shared" si="34"/>
        <v>0</v>
      </c>
      <c r="P313" s="66">
        <f t="shared" si="35"/>
        <v>0</v>
      </c>
      <c r="Q313" s="60">
        <f t="shared" si="32"/>
        <v>491345</v>
      </c>
      <c r="R313" s="79"/>
      <c r="S313" s="80" t="s">
        <v>619</v>
      </c>
      <c r="U313" s="81"/>
    </row>
    <row r="314" spans="1:21" s="6" customFormat="1" ht="28.95" customHeight="1">
      <c r="A314" s="32">
        <v>300</v>
      </c>
      <c r="B314" s="40"/>
      <c r="C314" s="40"/>
      <c r="D314" s="34"/>
      <c r="E314" s="35" t="str">
        <f>'Tên Tháng 1'!E303</f>
        <v>ឃួន លា</v>
      </c>
      <c r="F314" s="36" t="str">
        <f>'Tên Tháng 1'!F303</f>
        <v>KHUN LEA</v>
      </c>
      <c r="G314" s="37">
        <v>506</v>
      </c>
      <c r="H314" s="38">
        <v>31947</v>
      </c>
      <c r="I314" s="59">
        <f>'KL 1'!X315</f>
        <v>18.199999999999996</v>
      </c>
      <c r="J314" s="60">
        <f t="shared" si="30"/>
        <v>581435</v>
      </c>
      <c r="K314" s="61"/>
      <c r="L314" s="62"/>
      <c r="M314" s="63">
        <f t="shared" si="31"/>
        <v>581435</v>
      </c>
      <c r="N314" s="64">
        <f t="shared" si="33"/>
        <v>0</v>
      </c>
      <c r="O314" s="65">
        <f t="shared" si="34"/>
        <v>0</v>
      </c>
      <c r="P314" s="66">
        <f t="shared" si="35"/>
        <v>0</v>
      </c>
      <c r="Q314" s="60">
        <f t="shared" si="32"/>
        <v>581435</v>
      </c>
      <c r="R314" s="79"/>
      <c r="S314" s="80" t="s">
        <v>619</v>
      </c>
      <c r="U314" s="81"/>
    </row>
    <row r="315" spans="1:21" s="6" customFormat="1" ht="28.95" customHeight="1">
      <c r="A315" s="32">
        <v>301</v>
      </c>
      <c r="B315" s="40"/>
      <c r="C315" s="40"/>
      <c r="D315" s="34"/>
      <c r="E315" s="35" t="str">
        <f>'Tên Tháng 1'!E304</f>
        <v>ញាន សំបុក</v>
      </c>
      <c r="F315" s="36" t="str">
        <f>'Tên Tháng 1'!F304</f>
        <v>NHAN SAMBOK</v>
      </c>
      <c r="G315" s="37">
        <v>507</v>
      </c>
      <c r="H315" s="38">
        <v>31947</v>
      </c>
      <c r="I315" s="59">
        <f>'KL 1'!X316</f>
        <v>17.159999999999997</v>
      </c>
      <c r="J315" s="60">
        <f t="shared" si="30"/>
        <v>548211</v>
      </c>
      <c r="K315" s="61"/>
      <c r="L315" s="62"/>
      <c r="M315" s="63">
        <f t="shared" si="31"/>
        <v>548211</v>
      </c>
      <c r="N315" s="64">
        <f t="shared" si="33"/>
        <v>0</v>
      </c>
      <c r="O315" s="65">
        <f t="shared" si="34"/>
        <v>0</v>
      </c>
      <c r="P315" s="66">
        <f t="shared" si="35"/>
        <v>0</v>
      </c>
      <c r="Q315" s="60">
        <f t="shared" si="32"/>
        <v>548211</v>
      </c>
      <c r="R315" s="79"/>
      <c r="S315" s="80" t="s">
        <v>619</v>
      </c>
      <c r="U315" s="81"/>
    </row>
    <row r="316" spans="1:21" s="6" customFormat="1" ht="28.95" customHeight="1">
      <c r="A316" s="32">
        <v>302</v>
      </c>
      <c r="B316" s="40"/>
      <c r="C316" s="40"/>
      <c r="D316" s="34"/>
      <c r="E316" s="35" t="str">
        <f>'Tên Tháng 1'!E305</f>
        <v>ឆាង លាស</v>
      </c>
      <c r="F316" s="36" t="str">
        <f>'Tên Tháng 1'!F305</f>
        <v>CHHANG LEAS</v>
      </c>
      <c r="G316" s="37">
        <v>508</v>
      </c>
      <c r="H316" s="38">
        <v>31947</v>
      </c>
      <c r="I316" s="59">
        <f>'KL 1'!X317</f>
        <v>16.419999999999998</v>
      </c>
      <c r="J316" s="60">
        <f t="shared" si="30"/>
        <v>524570</v>
      </c>
      <c r="K316" s="61"/>
      <c r="L316" s="62"/>
      <c r="M316" s="63">
        <f t="shared" si="31"/>
        <v>524570</v>
      </c>
      <c r="N316" s="64">
        <f t="shared" si="33"/>
        <v>0</v>
      </c>
      <c r="O316" s="65">
        <f t="shared" si="34"/>
        <v>0</v>
      </c>
      <c r="P316" s="66">
        <f t="shared" si="35"/>
        <v>0</v>
      </c>
      <c r="Q316" s="60">
        <f t="shared" si="32"/>
        <v>524570</v>
      </c>
      <c r="R316" s="79"/>
      <c r="S316" s="80" t="s">
        <v>619</v>
      </c>
      <c r="U316" s="81"/>
    </row>
    <row r="317" spans="1:21" s="6" customFormat="1" ht="28.95" customHeight="1">
      <c r="A317" s="32">
        <v>303</v>
      </c>
      <c r="B317" s="40"/>
      <c r="C317" s="40"/>
      <c r="D317" s="34"/>
      <c r="E317" s="35" t="str">
        <f>'Tên Tháng 1'!E306</f>
        <v>ឆែម ភាព</v>
      </c>
      <c r="F317" s="36" t="str">
        <f>'Tên Tháng 1'!F306</f>
        <v>CHHEM PHEAP</v>
      </c>
      <c r="G317" s="37">
        <v>509</v>
      </c>
      <c r="H317" s="38">
        <v>31947</v>
      </c>
      <c r="I317" s="59">
        <f>'KL 1'!X318</f>
        <v>18.14</v>
      </c>
      <c r="J317" s="60">
        <f t="shared" si="30"/>
        <v>579519</v>
      </c>
      <c r="K317" s="61"/>
      <c r="L317" s="62"/>
      <c r="M317" s="63">
        <f t="shared" si="31"/>
        <v>579519</v>
      </c>
      <c r="N317" s="64">
        <f t="shared" si="33"/>
        <v>0</v>
      </c>
      <c r="O317" s="65">
        <f t="shared" si="34"/>
        <v>0</v>
      </c>
      <c r="P317" s="66">
        <f t="shared" si="35"/>
        <v>0</v>
      </c>
      <c r="Q317" s="60">
        <f t="shared" si="32"/>
        <v>579519</v>
      </c>
      <c r="R317" s="79"/>
      <c r="S317" s="80" t="s">
        <v>619</v>
      </c>
      <c r="U317" s="81"/>
    </row>
    <row r="318" spans="1:21" s="6" customFormat="1" ht="28.95" customHeight="1">
      <c r="A318" s="32">
        <v>304</v>
      </c>
      <c r="B318" s="40"/>
      <c r="C318" s="40"/>
      <c r="D318" s="34"/>
      <c r="E318" s="35" t="str">
        <f>'Tên Tháng 1'!E307</f>
        <v>ចាន់ រស់</v>
      </c>
      <c r="F318" s="36" t="str">
        <f>'Tên Tháng 1'!F307</f>
        <v>CHAN ROS</v>
      </c>
      <c r="G318" s="37">
        <v>510</v>
      </c>
      <c r="H318" s="38">
        <v>31947</v>
      </c>
      <c r="I318" s="59">
        <f>'KL 1'!X319</f>
        <v>17.330000000000002</v>
      </c>
      <c r="J318" s="60">
        <f t="shared" si="30"/>
        <v>553642</v>
      </c>
      <c r="K318" s="61"/>
      <c r="L318" s="62"/>
      <c r="M318" s="63">
        <f t="shared" si="31"/>
        <v>553642</v>
      </c>
      <c r="N318" s="64">
        <f t="shared" si="33"/>
        <v>0</v>
      </c>
      <c r="O318" s="65">
        <f t="shared" si="34"/>
        <v>0</v>
      </c>
      <c r="P318" s="66">
        <f t="shared" si="35"/>
        <v>0</v>
      </c>
      <c r="Q318" s="60">
        <f t="shared" si="32"/>
        <v>553642</v>
      </c>
      <c r="R318" s="79"/>
      <c r="S318" s="80" t="s">
        <v>619</v>
      </c>
      <c r="U318" s="81"/>
    </row>
    <row r="319" spans="1:21" s="6" customFormat="1" ht="33.6" customHeight="1">
      <c r="A319" s="32">
        <v>305</v>
      </c>
      <c r="B319" s="40"/>
      <c r="C319" s="40"/>
      <c r="D319" s="34"/>
      <c r="E319" s="35" t="str">
        <f>'Tên Tháng 1'!E308</f>
        <v>សួស ថេ</v>
      </c>
      <c r="F319" s="36" t="str">
        <f>'Tên Tháng 1'!F308</f>
        <v>SOUS THE</v>
      </c>
      <c r="G319" s="37">
        <v>344</v>
      </c>
      <c r="H319" s="38">
        <v>31947</v>
      </c>
      <c r="I319" s="59">
        <f>'KL 1'!X320</f>
        <v>17.049999999999997</v>
      </c>
      <c r="J319" s="60">
        <f t="shared" si="30"/>
        <v>544696</v>
      </c>
      <c r="K319" s="61"/>
      <c r="L319" s="62"/>
      <c r="M319" s="63">
        <f t="shared" si="31"/>
        <v>544696</v>
      </c>
      <c r="N319" s="64">
        <f t="shared" si="33"/>
        <v>0</v>
      </c>
      <c r="O319" s="65">
        <f t="shared" si="34"/>
        <v>0</v>
      </c>
      <c r="P319" s="66">
        <f t="shared" si="35"/>
        <v>0</v>
      </c>
      <c r="Q319" s="60">
        <f t="shared" si="32"/>
        <v>544696</v>
      </c>
      <c r="R319" s="79"/>
      <c r="S319" s="80" t="s">
        <v>923</v>
      </c>
      <c r="U319" s="81"/>
    </row>
    <row r="320" spans="1:21" s="6" customFormat="1" ht="33.6" customHeight="1">
      <c r="A320" s="32">
        <v>306</v>
      </c>
      <c r="B320" s="40"/>
      <c r="C320" s="40"/>
      <c r="D320" s="34"/>
      <c r="E320" s="35" t="str">
        <f>'Tên Tháng 1'!E309</f>
        <v>ហំ គា</v>
      </c>
      <c r="F320" s="36" t="str">
        <f>'Tên Tháng 1'!F309</f>
        <v>HOM KEA</v>
      </c>
      <c r="G320" s="37">
        <v>345</v>
      </c>
      <c r="H320" s="38">
        <v>31947</v>
      </c>
      <c r="I320" s="59">
        <f>'KL 1'!X321</f>
        <v>15.38</v>
      </c>
      <c r="J320" s="60">
        <f t="shared" si="30"/>
        <v>491345</v>
      </c>
      <c r="K320" s="61"/>
      <c r="L320" s="62"/>
      <c r="M320" s="63">
        <f t="shared" si="31"/>
        <v>491345</v>
      </c>
      <c r="N320" s="64">
        <f t="shared" si="33"/>
        <v>0</v>
      </c>
      <c r="O320" s="65">
        <f t="shared" si="34"/>
        <v>0</v>
      </c>
      <c r="P320" s="66">
        <f t="shared" si="35"/>
        <v>0</v>
      </c>
      <c r="Q320" s="60">
        <f t="shared" si="32"/>
        <v>491345</v>
      </c>
      <c r="R320" s="79"/>
      <c r="S320" s="80" t="s">
        <v>923</v>
      </c>
      <c r="U320" s="81"/>
    </row>
    <row r="321" spans="1:21" s="6" customFormat="1" ht="33.6" customHeight="1">
      <c r="A321" s="32">
        <v>307</v>
      </c>
      <c r="B321" s="40"/>
      <c r="C321" s="40"/>
      <c r="D321" s="34"/>
      <c r="E321" s="35" t="str">
        <f>'Tên Tháng 1'!E310</f>
        <v>លី ភាក់</v>
      </c>
      <c r="F321" s="36" t="str">
        <f>'Tên Tháng 1'!F310</f>
        <v>LY PHEAK</v>
      </c>
      <c r="G321" s="37">
        <v>346</v>
      </c>
      <c r="H321" s="38">
        <v>31947</v>
      </c>
      <c r="I321" s="59">
        <f>'KL 1'!X322</f>
        <v>15.429999999999998</v>
      </c>
      <c r="J321" s="60">
        <f t="shared" si="30"/>
        <v>492942</v>
      </c>
      <c r="K321" s="61"/>
      <c r="L321" s="62"/>
      <c r="M321" s="63">
        <f t="shared" si="31"/>
        <v>492942</v>
      </c>
      <c r="N321" s="64">
        <f t="shared" si="33"/>
        <v>0</v>
      </c>
      <c r="O321" s="65">
        <f t="shared" si="34"/>
        <v>0</v>
      </c>
      <c r="P321" s="66">
        <f t="shared" si="35"/>
        <v>0</v>
      </c>
      <c r="Q321" s="60">
        <f t="shared" si="32"/>
        <v>492942</v>
      </c>
      <c r="R321" s="79"/>
      <c r="S321" s="80" t="s">
        <v>923</v>
      </c>
      <c r="U321" s="81"/>
    </row>
    <row r="322" spans="1:21" s="6" customFormat="1" ht="33.6" customHeight="1">
      <c r="A322" s="32">
        <v>308</v>
      </c>
      <c r="B322" s="40"/>
      <c r="C322" s="40"/>
      <c r="D322" s="34"/>
      <c r="E322" s="35" t="str">
        <f>'Tên Tháng 1'!E311</f>
        <v>រ៉ុន​ ម៉ៃ</v>
      </c>
      <c r="F322" s="36" t="str">
        <f>'Tên Tháng 1'!F311</f>
        <v>RON MAY</v>
      </c>
      <c r="G322" s="37">
        <v>347</v>
      </c>
      <c r="H322" s="38">
        <v>31947</v>
      </c>
      <c r="I322" s="59">
        <f>'KL 1'!X323</f>
        <v>15.379999999999999</v>
      </c>
      <c r="J322" s="60">
        <f t="shared" si="30"/>
        <v>491345</v>
      </c>
      <c r="K322" s="61"/>
      <c r="L322" s="62"/>
      <c r="M322" s="63">
        <f t="shared" si="31"/>
        <v>491345</v>
      </c>
      <c r="N322" s="64">
        <f t="shared" si="33"/>
        <v>0</v>
      </c>
      <c r="O322" s="65">
        <f t="shared" si="34"/>
        <v>0</v>
      </c>
      <c r="P322" s="66">
        <f t="shared" si="35"/>
        <v>0</v>
      </c>
      <c r="Q322" s="60">
        <f t="shared" si="32"/>
        <v>491345</v>
      </c>
      <c r="R322" s="79"/>
      <c r="S322" s="80" t="s">
        <v>923</v>
      </c>
      <c r="U322" s="81"/>
    </row>
    <row r="323" spans="1:21" s="6" customFormat="1" ht="33.6" customHeight="1">
      <c r="A323" s="32">
        <v>309</v>
      </c>
      <c r="B323" s="40"/>
      <c r="C323" s="40"/>
      <c r="D323" s="34"/>
      <c r="E323" s="35" t="str">
        <f>'Tên Tháng 1'!E312</f>
        <v>ហួត ហ៊ាញ</v>
      </c>
      <c r="F323" s="36" t="str">
        <f>'Tên Tháng 1'!F312</f>
        <v>HUOT HEANH</v>
      </c>
      <c r="G323" s="37">
        <v>348</v>
      </c>
      <c r="H323" s="38">
        <v>31947</v>
      </c>
      <c r="I323" s="59">
        <f>'KL 1'!X324</f>
        <v>16.010000000000002</v>
      </c>
      <c r="J323" s="60">
        <f t="shared" si="30"/>
        <v>511471</v>
      </c>
      <c r="K323" s="61"/>
      <c r="L323" s="62"/>
      <c r="M323" s="63">
        <f t="shared" si="31"/>
        <v>511471</v>
      </c>
      <c r="N323" s="64">
        <f t="shared" si="33"/>
        <v>0</v>
      </c>
      <c r="O323" s="65">
        <f t="shared" si="34"/>
        <v>0</v>
      </c>
      <c r="P323" s="66">
        <f t="shared" si="35"/>
        <v>0</v>
      </c>
      <c r="Q323" s="60">
        <f t="shared" si="32"/>
        <v>511471</v>
      </c>
      <c r="R323" s="79"/>
      <c r="S323" s="80" t="s">
        <v>923</v>
      </c>
      <c r="U323" s="81"/>
    </row>
    <row r="324" spans="1:21" s="6" customFormat="1" ht="33.6" customHeight="1">
      <c r="A324" s="32">
        <v>310</v>
      </c>
      <c r="B324" s="40"/>
      <c r="C324" s="40"/>
      <c r="D324" s="34"/>
      <c r="E324" s="35" t="str">
        <f>'Tên Tháng 1'!E313</f>
        <v>ថាន់ ណារី</v>
      </c>
      <c r="F324" s="36" t="str">
        <f>'Tên Tháng 1'!F313</f>
        <v>THANN NARY</v>
      </c>
      <c r="G324" s="37">
        <v>349</v>
      </c>
      <c r="H324" s="38">
        <v>31947</v>
      </c>
      <c r="I324" s="59">
        <f>'KL 1'!X325</f>
        <v>15.42</v>
      </c>
      <c r="J324" s="60">
        <f t="shared" si="30"/>
        <v>492623</v>
      </c>
      <c r="K324" s="61"/>
      <c r="L324" s="62"/>
      <c r="M324" s="63">
        <f t="shared" si="31"/>
        <v>492623</v>
      </c>
      <c r="N324" s="64">
        <f t="shared" si="33"/>
        <v>0</v>
      </c>
      <c r="O324" s="65">
        <f t="shared" si="34"/>
        <v>0</v>
      </c>
      <c r="P324" s="66">
        <f t="shared" si="35"/>
        <v>0</v>
      </c>
      <c r="Q324" s="60">
        <f t="shared" si="32"/>
        <v>492623</v>
      </c>
      <c r="R324" s="79"/>
      <c r="S324" s="80" t="s">
        <v>923</v>
      </c>
      <c r="U324" s="81"/>
    </row>
    <row r="325" spans="1:21" s="6" customFormat="1" ht="33.6" customHeight="1">
      <c r="A325" s="32">
        <v>311</v>
      </c>
      <c r="B325" s="40"/>
      <c r="C325" s="40"/>
      <c r="D325" s="34"/>
      <c r="E325" s="35" t="str">
        <f>'Tên Tháng 1'!E314</f>
        <v>ហ៊ី សុន</v>
      </c>
      <c r="F325" s="36" t="str">
        <f>'Tên Tháng 1'!F314</f>
        <v>HY SON</v>
      </c>
      <c r="G325" s="37">
        <v>350</v>
      </c>
      <c r="H325" s="38">
        <v>31947</v>
      </c>
      <c r="I325" s="59">
        <f>'KL 1'!X326</f>
        <v>15.2</v>
      </c>
      <c r="J325" s="60">
        <f t="shared" si="30"/>
        <v>485594</v>
      </c>
      <c r="K325" s="61"/>
      <c r="L325" s="62"/>
      <c r="M325" s="63">
        <f t="shared" si="31"/>
        <v>485594</v>
      </c>
      <c r="N325" s="64">
        <f t="shared" si="33"/>
        <v>0</v>
      </c>
      <c r="O325" s="65">
        <f t="shared" si="34"/>
        <v>0</v>
      </c>
      <c r="P325" s="66">
        <f t="shared" si="35"/>
        <v>0</v>
      </c>
      <c r="Q325" s="60">
        <f t="shared" si="32"/>
        <v>485594</v>
      </c>
      <c r="R325" s="79"/>
      <c r="S325" s="80" t="s">
        <v>923</v>
      </c>
      <c r="U325" s="81"/>
    </row>
    <row r="326" spans="1:21" s="6" customFormat="1" ht="33.6" customHeight="1">
      <c r="A326" s="32">
        <v>312</v>
      </c>
      <c r="B326" s="40"/>
      <c r="C326" s="40"/>
      <c r="D326" s="34"/>
      <c r="E326" s="35" t="str">
        <f>'Tên Tháng 1'!E315</f>
        <v>ហោ នាង</v>
      </c>
      <c r="F326" s="36" t="str">
        <f>'Tên Tháng 1'!F315</f>
        <v>HAO NEANG</v>
      </c>
      <c r="G326" s="37">
        <v>351</v>
      </c>
      <c r="H326" s="38">
        <v>31947</v>
      </c>
      <c r="I326" s="59">
        <f>'KL 1'!X327</f>
        <v>15.31</v>
      </c>
      <c r="J326" s="60">
        <f t="shared" si="30"/>
        <v>489109</v>
      </c>
      <c r="K326" s="61"/>
      <c r="L326" s="62"/>
      <c r="M326" s="63">
        <f t="shared" si="31"/>
        <v>489109</v>
      </c>
      <c r="N326" s="64">
        <f t="shared" si="33"/>
        <v>0</v>
      </c>
      <c r="O326" s="65">
        <f t="shared" si="34"/>
        <v>0</v>
      </c>
      <c r="P326" s="66">
        <f t="shared" si="35"/>
        <v>0</v>
      </c>
      <c r="Q326" s="60">
        <f t="shared" si="32"/>
        <v>489109</v>
      </c>
      <c r="R326" s="79"/>
      <c r="S326" s="80" t="s">
        <v>923</v>
      </c>
      <c r="U326" s="81"/>
    </row>
    <row r="327" spans="1:21" s="6" customFormat="1" ht="33.6" customHeight="1">
      <c r="A327" s="32">
        <v>313</v>
      </c>
      <c r="B327" s="40"/>
      <c r="C327" s="40"/>
      <c r="D327" s="34"/>
      <c r="E327" s="35" t="str">
        <f>'Tên Tháng 1'!E316</f>
        <v>ប៉ិន ប៉ីន</v>
      </c>
      <c r="F327" s="36" t="str">
        <f>'Tên Tháng 1'!F316</f>
        <v>BIN BEN</v>
      </c>
      <c r="G327" s="37">
        <v>352</v>
      </c>
      <c r="H327" s="38">
        <v>31947</v>
      </c>
      <c r="I327" s="59">
        <f>'KL 1'!X328</f>
        <v>18.84</v>
      </c>
      <c r="J327" s="60">
        <f t="shared" si="30"/>
        <v>601881</v>
      </c>
      <c r="K327" s="61"/>
      <c r="L327" s="62"/>
      <c r="M327" s="63">
        <f t="shared" si="31"/>
        <v>601881</v>
      </c>
      <c r="N327" s="64">
        <f t="shared" si="33"/>
        <v>0</v>
      </c>
      <c r="O327" s="65">
        <f t="shared" si="34"/>
        <v>0</v>
      </c>
      <c r="P327" s="66">
        <f t="shared" si="35"/>
        <v>0</v>
      </c>
      <c r="Q327" s="60">
        <f t="shared" si="32"/>
        <v>601881</v>
      </c>
      <c r="R327" s="79"/>
      <c r="S327" s="80" t="s">
        <v>923</v>
      </c>
      <c r="U327" s="81"/>
    </row>
    <row r="328" spans="1:21" s="6" customFormat="1" ht="33.6" customHeight="1">
      <c r="A328" s="32">
        <v>314</v>
      </c>
      <c r="B328" s="40"/>
      <c r="C328" s="40"/>
      <c r="D328" s="34"/>
      <c r="E328" s="35" t="str">
        <f>'Tên Tháng 1'!E317</f>
        <v>ហង់ ទីន</v>
      </c>
      <c r="F328" s="36" t="str">
        <f>'Tên Tháng 1'!F317</f>
        <v>HANG TIN</v>
      </c>
      <c r="G328" s="37">
        <v>353</v>
      </c>
      <c r="H328" s="38">
        <v>31947</v>
      </c>
      <c r="I328" s="59">
        <f>'KL 1'!X329</f>
        <v>15.79</v>
      </c>
      <c r="J328" s="60">
        <f t="shared" si="30"/>
        <v>504443</v>
      </c>
      <c r="K328" s="61"/>
      <c r="L328" s="62"/>
      <c r="M328" s="63">
        <f t="shared" si="31"/>
        <v>504443</v>
      </c>
      <c r="N328" s="64">
        <f t="shared" si="33"/>
        <v>0</v>
      </c>
      <c r="O328" s="65">
        <f t="shared" si="34"/>
        <v>0</v>
      </c>
      <c r="P328" s="66">
        <f t="shared" si="35"/>
        <v>0</v>
      </c>
      <c r="Q328" s="60">
        <f t="shared" si="32"/>
        <v>504443</v>
      </c>
      <c r="R328" s="79"/>
      <c r="S328" s="80" t="s">
        <v>923</v>
      </c>
      <c r="U328" s="81"/>
    </row>
    <row r="329" spans="1:21" s="6" customFormat="1" ht="33.6" customHeight="1">
      <c r="A329" s="32">
        <v>315</v>
      </c>
      <c r="B329" s="40"/>
      <c r="C329" s="40"/>
      <c r="D329" s="34"/>
      <c r="E329" s="35" t="str">
        <f>'Tên Tháng 1'!E318</f>
        <v>ខឿន ខេន</v>
      </c>
      <c r="F329" s="36" t="str">
        <f>'Tên Tháng 1'!F318</f>
        <v>KHOEUN KHEN</v>
      </c>
      <c r="G329" s="37">
        <v>354</v>
      </c>
      <c r="H329" s="38">
        <v>31947</v>
      </c>
      <c r="I329" s="59">
        <f>'KL 1'!X330</f>
        <v>15.469999999999999</v>
      </c>
      <c r="J329" s="60">
        <f t="shared" si="30"/>
        <v>494220</v>
      </c>
      <c r="K329" s="61"/>
      <c r="L329" s="62"/>
      <c r="M329" s="63">
        <f t="shared" si="31"/>
        <v>494220</v>
      </c>
      <c r="N329" s="64">
        <f t="shared" si="33"/>
        <v>0</v>
      </c>
      <c r="O329" s="65">
        <f t="shared" si="34"/>
        <v>0</v>
      </c>
      <c r="P329" s="66">
        <f t="shared" si="35"/>
        <v>0</v>
      </c>
      <c r="Q329" s="60">
        <f t="shared" si="32"/>
        <v>494220</v>
      </c>
      <c r="R329" s="79"/>
      <c r="S329" s="80" t="s">
        <v>923</v>
      </c>
      <c r="U329" s="81"/>
    </row>
    <row r="330" spans="1:21" s="6" customFormat="1" ht="33.6" customHeight="1">
      <c r="A330" s="32">
        <v>316</v>
      </c>
      <c r="B330" s="40"/>
      <c r="C330" s="40"/>
      <c r="D330" s="34"/>
      <c r="E330" s="35" t="str">
        <f>'Tên Tháng 1'!E319</f>
        <v>យ៉ុង កាញ់</v>
      </c>
      <c r="F330" s="36" t="str">
        <f>'Tên Tháng 1'!F319</f>
        <v>YONG KANH</v>
      </c>
      <c r="G330" s="37">
        <v>355</v>
      </c>
      <c r="H330" s="38">
        <v>31947</v>
      </c>
      <c r="I330" s="59">
        <f>'KL 1'!X331</f>
        <v>14.729999999999999</v>
      </c>
      <c r="J330" s="60">
        <f t="shared" si="30"/>
        <v>470579</v>
      </c>
      <c r="K330" s="61"/>
      <c r="L330" s="62"/>
      <c r="M330" s="63">
        <f t="shared" si="31"/>
        <v>470579</v>
      </c>
      <c r="N330" s="64">
        <f t="shared" si="33"/>
        <v>0</v>
      </c>
      <c r="O330" s="65">
        <f t="shared" si="34"/>
        <v>0</v>
      </c>
      <c r="P330" s="66">
        <f t="shared" si="35"/>
        <v>0</v>
      </c>
      <c r="Q330" s="60">
        <f t="shared" si="32"/>
        <v>470579</v>
      </c>
      <c r="R330" s="79"/>
      <c r="S330" s="80" t="s">
        <v>923</v>
      </c>
      <c r="U330" s="81"/>
    </row>
    <row r="331" spans="1:21" s="6" customFormat="1" ht="33.6" customHeight="1">
      <c r="A331" s="32">
        <v>317</v>
      </c>
      <c r="B331" s="40"/>
      <c r="C331" s="40"/>
      <c r="D331" s="34"/>
      <c r="E331" s="35" t="str">
        <f>'Tên Tháng 1'!E320</f>
        <v>ញ៉ិប អេន</v>
      </c>
      <c r="F331" s="36" t="str">
        <f>'Tên Tháng 1'!F320</f>
        <v>NHIB EN</v>
      </c>
      <c r="G331" s="37">
        <v>356</v>
      </c>
      <c r="H331" s="38">
        <v>31947</v>
      </c>
      <c r="I331" s="59">
        <f>'KL 1'!X332</f>
        <v>16.43</v>
      </c>
      <c r="J331" s="60">
        <f t="shared" si="30"/>
        <v>524889</v>
      </c>
      <c r="K331" s="61"/>
      <c r="L331" s="62"/>
      <c r="M331" s="63">
        <f t="shared" si="31"/>
        <v>524889</v>
      </c>
      <c r="N331" s="64">
        <f t="shared" si="33"/>
        <v>0</v>
      </c>
      <c r="O331" s="65">
        <f t="shared" si="34"/>
        <v>0</v>
      </c>
      <c r="P331" s="66">
        <f t="shared" si="35"/>
        <v>0</v>
      </c>
      <c r="Q331" s="60">
        <f t="shared" si="32"/>
        <v>524889</v>
      </c>
      <c r="R331" s="79"/>
      <c r="S331" s="80" t="s">
        <v>923</v>
      </c>
      <c r="U331" s="81"/>
    </row>
    <row r="332" spans="1:21" s="6" customFormat="1" ht="33.6" customHeight="1">
      <c r="A332" s="32">
        <v>318</v>
      </c>
      <c r="B332" s="40"/>
      <c r="C332" s="40"/>
      <c r="D332" s="34"/>
      <c r="E332" s="35" t="str">
        <f>'Tên Tháng 1'!E321</f>
        <v>ងិន យុត</v>
      </c>
      <c r="F332" s="36" t="str">
        <f>'Tên Tháng 1'!F321</f>
        <v>NGIN YUT</v>
      </c>
      <c r="G332" s="37">
        <v>357</v>
      </c>
      <c r="H332" s="38">
        <v>31947</v>
      </c>
      <c r="I332" s="59">
        <f>'KL 1'!X333</f>
        <v>17.68</v>
      </c>
      <c r="J332" s="60">
        <f t="shared" si="30"/>
        <v>564823</v>
      </c>
      <c r="K332" s="61"/>
      <c r="L332" s="62"/>
      <c r="M332" s="63">
        <f t="shared" si="31"/>
        <v>564823</v>
      </c>
      <c r="N332" s="64">
        <f t="shared" si="33"/>
        <v>0</v>
      </c>
      <c r="O332" s="65">
        <f t="shared" si="34"/>
        <v>0</v>
      </c>
      <c r="P332" s="66">
        <f t="shared" si="35"/>
        <v>0</v>
      </c>
      <c r="Q332" s="60">
        <f t="shared" si="32"/>
        <v>564823</v>
      </c>
      <c r="R332" s="79"/>
      <c r="S332" s="80" t="s">
        <v>923</v>
      </c>
      <c r="U332" s="81"/>
    </row>
    <row r="333" spans="1:21" s="6" customFormat="1" ht="33.6" customHeight="1">
      <c r="A333" s="32">
        <v>319</v>
      </c>
      <c r="B333" s="40"/>
      <c r="C333" s="40"/>
      <c r="D333" s="34"/>
      <c r="E333" s="35" t="str">
        <f>'Tên Tháng 1'!E322</f>
        <v>ឃួន ឃីម</v>
      </c>
      <c r="F333" s="36" t="str">
        <f>'Tên Tháng 1'!F322</f>
        <v>KHOUN KHIM</v>
      </c>
      <c r="G333" s="37">
        <v>358</v>
      </c>
      <c r="H333" s="38">
        <v>31947</v>
      </c>
      <c r="I333" s="59">
        <f>'KL 1'!X334</f>
        <v>19.34</v>
      </c>
      <c r="J333" s="60">
        <f t="shared" si="30"/>
        <v>617855</v>
      </c>
      <c r="K333" s="61"/>
      <c r="L333" s="62"/>
      <c r="M333" s="63">
        <f t="shared" si="31"/>
        <v>617855</v>
      </c>
      <c r="N333" s="64">
        <f t="shared" si="33"/>
        <v>0</v>
      </c>
      <c r="O333" s="65">
        <f t="shared" si="34"/>
        <v>0</v>
      </c>
      <c r="P333" s="66">
        <f t="shared" si="35"/>
        <v>0</v>
      </c>
      <c r="Q333" s="60">
        <f t="shared" si="32"/>
        <v>617855</v>
      </c>
      <c r="R333" s="79"/>
      <c r="S333" s="80" t="s">
        <v>923</v>
      </c>
      <c r="U333" s="81"/>
    </row>
    <row r="334" spans="1:21" s="6" customFormat="1" ht="33.6" customHeight="1">
      <c r="A334" s="32">
        <v>320</v>
      </c>
      <c r="B334" s="40"/>
      <c r="C334" s="40"/>
      <c r="D334" s="34"/>
      <c r="E334" s="35" t="str">
        <f>'Tên Tháng 1'!E323</f>
        <v>រីម យ៉ុម</v>
      </c>
      <c r="F334" s="36" t="str">
        <f>'Tên Tháng 1'!F323</f>
        <v>RIM YOM</v>
      </c>
      <c r="G334" s="37">
        <v>359</v>
      </c>
      <c r="H334" s="38">
        <v>31947</v>
      </c>
      <c r="I334" s="59">
        <f>'KL 1'!X335</f>
        <v>14.120000000000001</v>
      </c>
      <c r="J334" s="60">
        <f t="shared" si="30"/>
        <v>451092</v>
      </c>
      <c r="K334" s="61"/>
      <c r="L334" s="62"/>
      <c r="M334" s="63">
        <f t="shared" si="31"/>
        <v>451092</v>
      </c>
      <c r="N334" s="64">
        <f t="shared" si="33"/>
        <v>0</v>
      </c>
      <c r="O334" s="65">
        <f t="shared" si="34"/>
        <v>0</v>
      </c>
      <c r="P334" s="66">
        <f t="shared" si="35"/>
        <v>0</v>
      </c>
      <c r="Q334" s="60">
        <f t="shared" si="32"/>
        <v>451092</v>
      </c>
      <c r="R334" s="79"/>
      <c r="S334" s="80" t="s">
        <v>923</v>
      </c>
      <c r="U334" s="81"/>
    </row>
    <row r="335" spans="1:21" s="6" customFormat="1" ht="33.6" customHeight="1">
      <c r="A335" s="32">
        <v>321</v>
      </c>
      <c r="B335" s="40"/>
      <c r="C335" s="40"/>
      <c r="D335" s="34"/>
      <c r="E335" s="35" t="str">
        <f>'Tên Tháng 1'!E324</f>
        <v>ហឿន សារ៉េ</v>
      </c>
      <c r="F335" s="36" t="str">
        <f>'Tên Tháng 1'!F324</f>
        <v>HOEUN SAREN</v>
      </c>
      <c r="G335" s="37">
        <v>360</v>
      </c>
      <c r="H335" s="38">
        <v>31947</v>
      </c>
      <c r="I335" s="59">
        <f>'KL 1'!X336</f>
        <v>13.65</v>
      </c>
      <c r="J335" s="60">
        <f t="shared" si="30"/>
        <v>436077</v>
      </c>
      <c r="K335" s="61"/>
      <c r="L335" s="62"/>
      <c r="M335" s="63">
        <f t="shared" si="31"/>
        <v>436077</v>
      </c>
      <c r="N335" s="64">
        <f t="shared" si="33"/>
        <v>0</v>
      </c>
      <c r="O335" s="65">
        <f t="shared" si="34"/>
        <v>0</v>
      </c>
      <c r="P335" s="66">
        <f t="shared" si="35"/>
        <v>0</v>
      </c>
      <c r="Q335" s="60">
        <f t="shared" si="32"/>
        <v>436077</v>
      </c>
      <c r="R335" s="79"/>
      <c r="S335" s="80" t="s">
        <v>923</v>
      </c>
      <c r="U335" s="81"/>
    </row>
    <row r="336" spans="1:21" s="6" customFormat="1" ht="33.6" customHeight="1">
      <c r="A336" s="32">
        <v>322</v>
      </c>
      <c r="B336" s="40"/>
      <c r="C336" s="40"/>
      <c r="D336" s="34"/>
      <c r="E336" s="35" t="str">
        <f>'Tên Tháng 1'!E325</f>
        <v>វន តាត</v>
      </c>
      <c r="F336" s="36" t="str">
        <f>'Tên Tháng 1'!F325</f>
        <v>VON TATH</v>
      </c>
      <c r="G336" s="37">
        <v>361</v>
      </c>
      <c r="H336" s="38">
        <v>31947</v>
      </c>
      <c r="I336" s="59">
        <f>'KL 1'!X337</f>
        <v>14.03</v>
      </c>
      <c r="J336" s="60">
        <f t="shared" ref="J336:J399" si="36">ROUND(H336*I336,0)</f>
        <v>448216</v>
      </c>
      <c r="K336" s="61"/>
      <c r="L336" s="62"/>
      <c r="M336" s="63">
        <f t="shared" ref="M336:M399" si="37">J336+L336</f>
        <v>448216</v>
      </c>
      <c r="N336" s="64">
        <f t="shared" si="33"/>
        <v>0</v>
      </c>
      <c r="O336" s="65">
        <f t="shared" si="34"/>
        <v>0</v>
      </c>
      <c r="P336" s="66">
        <f t="shared" si="35"/>
        <v>0</v>
      </c>
      <c r="Q336" s="60">
        <f t="shared" ref="Q336:Q399" si="38">M336-L336</f>
        <v>448216</v>
      </c>
      <c r="R336" s="79"/>
      <c r="S336" s="80" t="s">
        <v>923</v>
      </c>
      <c r="U336" s="81"/>
    </row>
    <row r="337" spans="1:21" s="6" customFormat="1" ht="33.6" customHeight="1">
      <c r="A337" s="32">
        <v>323</v>
      </c>
      <c r="B337" s="40"/>
      <c r="C337" s="40"/>
      <c r="D337" s="34"/>
      <c r="E337" s="35" t="str">
        <f>'Tên Tháng 1'!E326</f>
        <v>គួន រ៉ាល់</v>
      </c>
      <c r="F337" s="36" t="str">
        <f>'Tên Tháng 1'!F326</f>
        <v>KUON RAL</v>
      </c>
      <c r="G337" s="37">
        <v>362</v>
      </c>
      <c r="H337" s="38">
        <v>31947</v>
      </c>
      <c r="I337" s="59">
        <f>'KL 1'!X338</f>
        <v>7.4899999999999993</v>
      </c>
      <c r="J337" s="60">
        <f t="shared" si="36"/>
        <v>239283</v>
      </c>
      <c r="K337" s="61"/>
      <c r="L337" s="62"/>
      <c r="M337" s="63">
        <f t="shared" si="37"/>
        <v>239283</v>
      </c>
      <c r="N337" s="64">
        <f t="shared" si="33"/>
        <v>0</v>
      </c>
      <c r="O337" s="65">
        <f t="shared" si="34"/>
        <v>0</v>
      </c>
      <c r="P337" s="66">
        <f t="shared" si="35"/>
        <v>0</v>
      </c>
      <c r="Q337" s="60">
        <f t="shared" si="38"/>
        <v>239283</v>
      </c>
      <c r="R337" s="79"/>
      <c r="S337" s="80" t="s">
        <v>923</v>
      </c>
      <c r="U337" s="81"/>
    </row>
    <row r="338" spans="1:21" s="6" customFormat="1" ht="33.6" customHeight="1">
      <c r="A338" s="32">
        <v>324</v>
      </c>
      <c r="B338" s="40"/>
      <c r="C338" s="40"/>
      <c r="D338" s="34"/>
      <c r="E338" s="35" t="str">
        <f>'Tên Tháng 1'!E327</f>
        <v>ឃុន ស៊ីសា</v>
      </c>
      <c r="F338" s="36" t="str">
        <f>'Tên Tháng 1'!F327</f>
        <v>KHOUNSY SA</v>
      </c>
      <c r="G338" s="37">
        <v>363</v>
      </c>
      <c r="H338" s="38">
        <v>31947</v>
      </c>
      <c r="I338" s="59">
        <f>'KL 1'!X339</f>
        <v>13.77</v>
      </c>
      <c r="J338" s="60">
        <f t="shared" si="36"/>
        <v>439910</v>
      </c>
      <c r="K338" s="61"/>
      <c r="L338" s="62"/>
      <c r="M338" s="63">
        <f t="shared" si="37"/>
        <v>439910</v>
      </c>
      <c r="N338" s="64">
        <f t="shared" si="33"/>
        <v>0</v>
      </c>
      <c r="O338" s="65">
        <f t="shared" si="34"/>
        <v>0</v>
      </c>
      <c r="P338" s="66">
        <f t="shared" si="35"/>
        <v>0</v>
      </c>
      <c r="Q338" s="60">
        <f t="shared" si="38"/>
        <v>439910</v>
      </c>
      <c r="R338" s="79"/>
      <c r="S338" s="80" t="s">
        <v>923</v>
      </c>
      <c r="U338" s="81"/>
    </row>
    <row r="339" spans="1:21" s="6" customFormat="1" ht="33.6" customHeight="1">
      <c r="A339" s="32">
        <v>325</v>
      </c>
      <c r="B339" s="40"/>
      <c r="C339" s="40"/>
      <c r="D339" s="34"/>
      <c r="E339" s="35" t="str">
        <f>'Tên Tháng 1'!E328</f>
        <v>អៀម យ៉េន</v>
      </c>
      <c r="F339" s="36" t="str">
        <f>'Tên Tháng 1'!F328</f>
        <v>EAM YEN</v>
      </c>
      <c r="G339" s="37">
        <v>364</v>
      </c>
      <c r="H339" s="38">
        <v>31947</v>
      </c>
      <c r="I339" s="59">
        <f>'KL 1'!X340</f>
        <v>12.54</v>
      </c>
      <c r="J339" s="60">
        <f t="shared" si="36"/>
        <v>400615</v>
      </c>
      <c r="K339" s="61"/>
      <c r="L339" s="62"/>
      <c r="M339" s="63">
        <f t="shared" si="37"/>
        <v>400615</v>
      </c>
      <c r="N339" s="64">
        <f t="shared" si="33"/>
        <v>0</v>
      </c>
      <c r="O339" s="65">
        <f t="shared" si="34"/>
        <v>0</v>
      </c>
      <c r="P339" s="66">
        <f t="shared" si="35"/>
        <v>0</v>
      </c>
      <c r="Q339" s="60">
        <f t="shared" si="38"/>
        <v>400615</v>
      </c>
      <c r="R339" s="79"/>
      <c r="S339" s="80" t="s">
        <v>923</v>
      </c>
      <c r="U339" s="81"/>
    </row>
    <row r="340" spans="1:21" s="6" customFormat="1" ht="33.6" customHeight="1">
      <c r="A340" s="32">
        <v>326</v>
      </c>
      <c r="B340" s="40"/>
      <c r="C340" s="40"/>
      <c r="D340" s="34"/>
      <c r="E340" s="35" t="str">
        <f>'Tên Tháng 1'!E329</f>
        <v>លាន ស៊ីដា</v>
      </c>
      <c r="F340" s="36" t="str">
        <f>'Tên Tháng 1'!F329</f>
        <v>LEAN SIDA</v>
      </c>
      <c r="G340" s="37">
        <v>365</v>
      </c>
      <c r="H340" s="38">
        <v>31947</v>
      </c>
      <c r="I340" s="59">
        <f>'KL 1'!X341</f>
        <v>17.549999999999997</v>
      </c>
      <c r="J340" s="60">
        <f t="shared" si="36"/>
        <v>560670</v>
      </c>
      <c r="K340" s="61"/>
      <c r="L340" s="62"/>
      <c r="M340" s="63">
        <f t="shared" si="37"/>
        <v>560670</v>
      </c>
      <c r="N340" s="64">
        <f t="shared" si="33"/>
        <v>0</v>
      </c>
      <c r="O340" s="65">
        <f t="shared" si="34"/>
        <v>0</v>
      </c>
      <c r="P340" s="66">
        <f t="shared" si="35"/>
        <v>0</v>
      </c>
      <c r="Q340" s="60">
        <f t="shared" si="38"/>
        <v>560670</v>
      </c>
      <c r="R340" s="79"/>
      <c r="S340" s="80" t="s">
        <v>923</v>
      </c>
      <c r="U340" s="81"/>
    </row>
    <row r="341" spans="1:21" s="6" customFormat="1" ht="33.6" customHeight="1">
      <c r="A341" s="32">
        <v>327</v>
      </c>
      <c r="B341" s="40"/>
      <c r="C341" s="40"/>
      <c r="D341" s="34"/>
      <c r="E341" s="35" t="str">
        <f>'Tên Tháng 1'!E330</f>
        <v>គីន ធី</v>
      </c>
      <c r="F341" s="36" t="str">
        <f>'Tên Tháng 1'!F330</f>
        <v>KIN THY</v>
      </c>
      <c r="G341" s="37">
        <v>366</v>
      </c>
      <c r="H341" s="38">
        <v>31947</v>
      </c>
      <c r="I341" s="59">
        <f>'KL 1'!X342</f>
        <v>15.73</v>
      </c>
      <c r="J341" s="60">
        <f t="shared" si="36"/>
        <v>502526</v>
      </c>
      <c r="K341" s="61"/>
      <c r="L341" s="62"/>
      <c r="M341" s="63">
        <f t="shared" si="37"/>
        <v>502526</v>
      </c>
      <c r="N341" s="64">
        <f t="shared" si="33"/>
        <v>0</v>
      </c>
      <c r="O341" s="65">
        <f t="shared" si="34"/>
        <v>0</v>
      </c>
      <c r="P341" s="66">
        <f t="shared" si="35"/>
        <v>0</v>
      </c>
      <c r="Q341" s="60">
        <f t="shared" si="38"/>
        <v>502526</v>
      </c>
      <c r="R341" s="79"/>
      <c r="S341" s="80" t="s">
        <v>923</v>
      </c>
      <c r="U341" s="81"/>
    </row>
    <row r="342" spans="1:21" s="6" customFormat="1" ht="33.6" customHeight="1">
      <c r="A342" s="32">
        <v>328</v>
      </c>
      <c r="B342" s="40"/>
      <c r="C342" s="40"/>
      <c r="D342" s="34"/>
      <c r="E342" s="35" t="str">
        <f>'Tên Tháng 1'!E331</f>
        <v>ខ្វាន់ ឡាត់</v>
      </c>
      <c r="F342" s="36" t="str">
        <f>'Tên Tháng 1'!F331</f>
        <v>KHVAN LATH</v>
      </c>
      <c r="G342" s="37">
        <v>367</v>
      </c>
      <c r="H342" s="38">
        <v>31947</v>
      </c>
      <c r="I342" s="59">
        <f>'KL 1'!X343</f>
        <v>17.079999999999998</v>
      </c>
      <c r="J342" s="60">
        <f t="shared" si="36"/>
        <v>545655</v>
      </c>
      <c r="K342" s="61"/>
      <c r="L342" s="62"/>
      <c r="M342" s="63">
        <f t="shared" si="37"/>
        <v>545655</v>
      </c>
      <c r="N342" s="64">
        <f t="shared" si="33"/>
        <v>0</v>
      </c>
      <c r="O342" s="65">
        <f t="shared" si="34"/>
        <v>0</v>
      </c>
      <c r="P342" s="66">
        <f t="shared" si="35"/>
        <v>0</v>
      </c>
      <c r="Q342" s="60">
        <f t="shared" si="38"/>
        <v>545655</v>
      </c>
      <c r="R342" s="79"/>
      <c r="S342" s="80" t="s">
        <v>923</v>
      </c>
      <c r="U342" s="81"/>
    </row>
    <row r="343" spans="1:21" s="6" customFormat="1" ht="33.6" customHeight="1">
      <c r="A343" s="32">
        <v>329</v>
      </c>
      <c r="B343" s="40"/>
      <c r="C343" s="40"/>
      <c r="D343" s="34"/>
      <c r="E343" s="35" t="str">
        <f>'Tên Tháng 1'!E332</f>
        <v>ងី វីន</v>
      </c>
      <c r="F343" s="36" t="str">
        <f>'Tên Tháng 1'!F332</f>
        <v>NGY VIN</v>
      </c>
      <c r="G343" s="37">
        <v>368</v>
      </c>
      <c r="H343" s="38">
        <v>31947</v>
      </c>
      <c r="I343" s="59">
        <f>'KL 1'!X344</f>
        <v>15.69</v>
      </c>
      <c r="J343" s="60">
        <f t="shared" si="36"/>
        <v>501248</v>
      </c>
      <c r="K343" s="61"/>
      <c r="L343" s="62"/>
      <c r="M343" s="63">
        <f t="shared" si="37"/>
        <v>501248</v>
      </c>
      <c r="N343" s="64">
        <f t="shared" si="33"/>
        <v>0</v>
      </c>
      <c r="O343" s="65">
        <f t="shared" si="34"/>
        <v>0</v>
      </c>
      <c r="P343" s="66">
        <f t="shared" si="35"/>
        <v>0</v>
      </c>
      <c r="Q343" s="60">
        <f t="shared" si="38"/>
        <v>501248</v>
      </c>
      <c r="R343" s="79"/>
      <c r="S343" s="80" t="s">
        <v>923</v>
      </c>
      <c r="U343" s="81"/>
    </row>
    <row r="344" spans="1:21" s="6" customFormat="1" ht="33.6" customHeight="1">
      <c r="A344" s="32">
        <v>330</v>
      </c>
      <c r="B344" s="40"/>
      <c r="C344" s="40"/>
      <c r="D344" s="34"/>
      <c r="E344" s="35" t="str">
        <f>'Tên Tháng 1'!E333</f>
        <v>ឆេង ផល្លា</v>
      </c>
      <c r="F344" s="36" t="str">
        <f>'Tên Tháng 1'!F333</f>
        <v>CHHENG PHALLA</v>
      </c>
      <c r="G344" s="37">
        <v>369</v>
      </c>
      <c r="H344" s="38">
        <v>31947</v>
      </c>
      <c r="I344" s="59">
        <f>'KL 1'!X345</f>
        <v>13.84</v>
      </c>
      <c r="J344" s="60">
        <f t="shared" si="36"/>
        <v>442146</v>
      </c>
      <c r="K344" s="61"/>
      <c r="L344" s="62"/>
      <c r="M344" s="63">
        <f t="shared" si="37"/>
        <v>442146</v>
      </c>
      <c r="N344" s="64">
        <f t="shared" si="33"/>
        <v>0</v>
      </c>
      <c r="O344" s="65">
        <f t="shared" si="34"/>
        <v>0</v>
      </c>
      <c r="P344" s="66">
        <f t="shared" si="35"/>
        <v>0</v>
      </c>
      <c r="Q344" s="60">
        <f t="shared" si="38"/>
        <v>442146</v>
      </c>
      <c r="R344" s="79"/>
      <c r="S344" s="80" t="s">
        <v>923</v>
      </c>
      <c r="U344" s="81"/>
    </row>
    <row r="345" spans="1:21" s="6" customFormat="1" ht="33.6" customHeight="1">
      <c r="A345" s="32">
        <v>331</v>
      </c>
      <c r="B345" s="40"/>
      <c r="C345" s="40"/>
      <c r="D345" s="34"/>
      <c r="E345" s="35" t="str">
        <f>'Tên Tháng 1'!E334</f>
        <v>ហោន វាសនា</v>
      </c>
      <c r="F345" s="36" t="str">
        <f>'Tên Tháng 1'!F334</f>
        <v>HORN VEASNA</v>
      </c>
      <c r="G345" s="37">
        <v>370</v>
      </c>
      <c r="H345" s="38">
        <v>31947</v>
      </c>
      <c r="I345" s="59">
        <f>'KL 1'!X346</f>
        <v>14.290000000000001</v>
      </c>
      <c r="J345" s="60">
        <f t="shared" si="36"/>
        <v>456523</v>
      </c>
      <c r="K345" s="61"/>
      <c r="L345" s="62"/>
      <c r="M345" s="63">
        <f t="shared" si="37"/>
        <v>456523</v>
      </c>
      <c r="N345" s="64">
        <f t="shared" si="33"/>
        <v>0</v>
      </c>
      <c r="O345" s="65">
        <f t="shared" si="34"/>
        <v>0</v>
      </c>
      <c r="P345" s="66">
        <f t="shared" si="35"/>
        <v>0</v>
      </c>
      <c r="Q345" s="60">
        <f t="shared" si="38"/>
        <v>456523</v>
      </c>
      <c r="R345" s="79"/>
      <c r="S345" s="80" t="s">
        <v>923</v>
      </c>
      <c r="U345" s="81"/>
    </row>
    <row r="346" spans="1:21" s="6" customFormat="1" ht="33.6" customHeight="1">
      <c r="A346" s="32">
        <v>332</v>
      </c>
      <c r="B346" s="40"/>
      <c r="C346" s="40"/>
      <c r="D346" s="34"/>
      <c r="E346" s="35" t="str">
        <f>'Tên Tháng 1'!E335</f>
        <v>ឡាម ហេង</v>
      </c>
      <c r="F346" s="36" t="str">
        <f>'Tên Tháng 1'!F335</f>
        <v>LAM HENG</v>
      </c>
      <c r="G346" s="37">
        <v>371</v>
      </c>
      <c r="H346" s="38">
        <v>31947</v>
      </c>
      <c r="I346" s="59">
        <f>'KL 1'!X347</f>
        <v>11.79</v>
      </c>
      <c r="J346" s="60">
        <f t="shared" si="36"/>
        <v>376655</v>
      </c>
      <c r="K346" s="61"/>
      <c r="L346" s="62"/>
      <c r="M346" s="63">
        <f t="shared" si="37"/>
        <v>376655</v>
      </c>
      <c r="N346" s="64">
        <f t="shared" si="33"/>
        <v>0</v>
      </c>
      <c r="O346" s="65">
        <f t="shared" si="34"/>
        <v>0</v>
      </c>
      <c r="P346" s="66">
        <f t="shared" si="35"/>
        <v>0</v>
      </c>
      <c r="Q346" s="60">
        <f t="shared" si="38"/>
        <v>376655</v>
      </c>
      <c r="R346" s="79"/>
      <c r="S346" s="80" t="s">
        <v>923</v>
      </c>
      <c r="U346" s="81"/>
    </row>
    <row r="347" spans="1:21" s="6" customFormat="1" ht="33.6" customHeight="1">
      <c r="A347" s="32">
        <v>333</v>
      </c>
      <c r="B347" s="40"/>
      <c r="C347" s="40"/>
      <c r="D347" s="34"/>
      <c r="E347" s="35" t="str">
        <f>'Tên Tháng 1'!E336</f>
        <v>សឿន ចំរើន</v>
      </c>
      <c r="F347" s="36" t="str">
        <f>'Tên Tháng 1'!F336</f>
        <v>SOEUN CHAMRAEUN</v>
      </c>
      <c r="G347" s="37">
        <v>372</v>
      </c>
      <c r="H347" s="38">
        <v>31947</v>
      </c>
      <c r="I347" s="59">
        <f>'KL 1'!X348</f>
        <v>13.719999999999999</v>
      </c>
      <c r="J347" s="60">
        <f t="shared" si="36"/>
        <v>438313</v>
      </c>
      <c r="K347" s="61"/>
      <c r="L347" s="62"/>
      <c r="M347" s="63">
        <f t="shared" si="37"/>
        <v>438313</v>
      </c>
      <c r="N347" s="64">
        <f t="shared" si="33"/>
        <v>0</v>
      </c>
      <c r="O347" s="65">
        <f t="shared" si="34"/>
        <v>0</v>
      </c>
      <c r="P347" s="66">
        <f t="shared" si="35"/>
        <v>0</v>
      </c>
      <c r="Q347" s="60">
        <f t="shared" si="38"/>
        <v>438313</v>
      </c>
      <c r="R347" s="79"/>
      <c r="S347" s="80" t="s">
        <v>923</v>
      </c>
      <c r="U347" s="81"/>
    </row>
    <row r="348" spans="1:21" s="6" customFormat="1" ht="33.6" customHeight="1">
      <c r="A348" s="32">
        <v>334</v>
      </c>
      <c r="B348" s="40"/>
      <c r="C348" s="40"/>
      <c r="D348" s="34"/>
      <c r="E348" s="35" t="str">
        <f>'Tên Tháng 1'!E337</f>
        <v>ខា ខន</v>
      </c>
      <c r="F348" s="36" t="str">
        <f>'Tên Tháng 1'!F337</f>
        <v>KHA KHORN</v>
      </c>
      <c r="G348" s="37">
        <v>373</v>
      </c>
      <c r="H348" s="38">
        <v>31947</v>
      </c>
      <c r="I348" s="59">
        <f>'KL 1'!X349</f>
        <v>12.54</v>
      </c>
      <c r="J348" s="60">
        <f t="shared" si="36"/>
        <v>400615</v>
      </c>
      <c r="K348" s="61"/>
      <c r="L348" s="62"/>
      <c r="M348" s="63">
        <f t="shared" si="37"/>
        <v>400615</v>
      </c>
      <c r="N348" s="64">
        <f t="shared" si="33"/>
        <v>0</v>
      </c>
      <c r="O348" s="65">
        <f t="shared" si="34"/>
        <v>0</v>
      </c>
      <c r="P348" s="66">
        <f t="shared" si="35"/>
        <v>0</v>
      </c>
      <c r="Q348" s="60">
        <f t="shared" si="38"/>
        <v>400615</v>
      </c>
      <c r="R348" s="79"/>
      <c r="S348" s="80" t="s">
        <v>923</v>
      </c>
      <c r="U348" s="81"/>
    </row>
    <row r="349" spans="1:21" s="6" customFormat="1" ht="33.6" customHeight="1">
      <c r="A349" s="32">
        <v>335</v>
      </c>
      <c r="B349" s="40"/>
      <c r="C349" s="40"/>
      <c r="D349" s="34"/>
      <c r="E349" s="35" t="str">
        <f>'Tên Tháng 1'!E338</f>
        <v>ជុំ ជាតិ</v>
      </c>
      <c r="F349" s="36" t="str">
        <f>'Tên Tháng 1'!F338</f>
        <v>CHUM CHEAT</v>
      </c>
      <c r="G349" s="37">
        <v>374</v>
      </c>
      <c r="H349" s="38">
        <v>31947</v>
      </c>
      <c r="I349" s="59">
        <f>'KL 1'!X350</f>
        <v>14.32</v>
      </c>
      <c r="J349" s="60">
        <f t="shared" si="36"/>
        <v>457481</v>
      </c>
      <c r="K349" s="61"/>
      <c r="L349" s="62"/>
      <c r="M349" s="63">
        <f t="shared" si="37"/>
        <v>457481</v>
      </c>
      <c r="N349" s="64">
        <f t="shared" si="33"/>
        <v>0</v>
      </c>
      <c r="O349" s="65">
        <f t="shared" si="34"/>
        <v>0</v>
      </c>
      <c r="P349" s="66">
        <f t="shared" si="35"/>
        <v>0</v>
      </c>
      <c r="Q349" s="60">
        <f t="shared" si="38"/>
        <v>457481</v>
      </c>
      <c r="R349" s="79"/>
      <c r="S349" s="80" t="s">
        <v>923</v>
      </c>
      <c r="U349" s="81"/>
    </row>
    <row r="350" spans="1:21" s="6" customFormat="1" ht="33.6" customHeight="1">
      <c r="A350" s="32">
        <v>336</v>
      </c>
      <c r="B350" s="40"/>
      <c r="C350" s="40"/>
      <c r="D350" s="34"/>
      <c r="E350" s="35" t="str">
        <f>'Tên Tháng 1'!E339</f>
        <v>គឿន ភាក់</v>
      </c>
      <c r="F350" s="36" t="str">
        <f>'Tên Tháng 1'!F339</f>
        <v>KOEUN PHEAK</v>
      </c>
      <c r="G350" s="37">
        <v>375</v>
      </c>
      <c r="H350" s="38">
        <v>31947</v>
      </c>
      <c r="I350" s="59">
        <f>'KL 1'!X351</f>
        <v>14.16</v>
      </c>
      <c r="J350" s="60">
        <f t="shared" si="36"/>
        <v>452370</v>
      </c>
      <c r="K350" s="61"/>
      <c r="L350" s="62"/>
      <c r="M350" s="63">
        <f t="shared" si="37"/>
        <v>452370</v>
      </c>
      <c r="N350" s="64">
        <f t="shared" si="33"/>
        <v>0</v>
      </c>
      <c r="O350" s="65">
        <f t="shared" si="34"/>
        <v>0</v>
      </c>
      <c r="P350" s="66">
        <f t="shared" si="35"/>
        <v>0</v>
      </c>
      <c r="Q350" s="60">
        <f t="shared" si="38"/>
        <v>452370</v>
      </c>
      <c r="R350" s="79"/>
      <c r="S350" s="80" t="s">
        <v>923</v>
      </c>
      <c r="U350" s="81"/>
    </row>
    <row r="351" spans="1:21" s="6" customFormat="1" ht="33.6" customHeight="1">
      <c r="A351" s="32">
        <v>337</v>
      </c>
      <c r="B351" s="40"/>
      <c r="C351" s="40"/>
      <c r="D351" s="34"/>
      <c r="E351" s="35" t="str">
        <f>'Tên Tháng 1'!E340</f>
        <v>ផាក់ វ៉ង់</v>
      </c>
      <c r="F351" s="36" t="str">
        <f>'Tên Tháng 1'!F340</f>
        <v>PHAK VORNG</v>
      </c>
      <c r="G351" s="37">
        <v>376</v>
      </c>
      <c r="H351" s="38">
        <v>31947</v>
      </c>
      <c r="I351" s="59">
        <f>'KL 1'!X352</f>
        <v>7.67</v>
      </c>
      <c r="J351" s="60">
        <f t="shared" si="36"/>
        <v>245033</v>
      </c>
      <c r="K351" s="61"/>
      <c r="L351" s="62"/>
      <c r="M351" s="63">
        <f t="shared" si="37"/>
        <v>245033</v>
      </c>
      <c r="N351" s="64">
        <f t="shared" si="33"/>
        <v>0</v>
      </c>
      <c r="O351" s="65">
        <f t="shared" si="34"/>
        <v>0</v>
      </c>
      <c r="P351" s="66">
        <f t="shared" si="35"/>
        <v>0</v>
      </c>
      <c r="Q351" s="60">
        <f t="shared" si="38"/>
        <v>245033</v>
      </c>
      <c r="R351" s="79"/>
      <c r="S351" s="80" t="s">
        <v>923</v>
      </c>
      <c r="U351" s="81"/>
    </row>
    <row r="352" spans="1:21" s="6" customFormat="1" ht="33.6" customHeight="1">
      <c r="A352" s="32">
        <v>338</v>
      </c>
      <c r="B352" s="40"/>
      <c r="C352" s="40"/>
      <c r="D352" s="34"/>
      <c r="E352" s="35" t="str">
        <f>'Tên Tháng 1'!E341</f>
        <v>ហោន លីដា</v>
      </c>
      <c r="F352" s="36" t="str">
        <f>'Tên Tháng 1'!F341</f>
        <v>HORN LIDA</v>
      </c>
      <c r="G352" s="37">
        <v>377</v>
      </c>
      <c r="H352" s="38">
        <v>31947</v>
      </c>
      <c r="I352" s="59">
        <f>'KL 1'!X353</f>
        <v>12.91</v>
      </c>
      <c r="J352" s="60">
        <f t="shared" si="36"/>
        <v>412436</v>
      </c>
      <c r="K352" s="61"/>
      <c r="L352" s="62"/>
      <c r="M352" s="63">
        <f t="shared" si="37"/>
        <v>412436</v>
      </c>
      <c r="N352" s="64">
        <f t="shared" si="33"/>
        <v>0</v>
      </c>
      <c r="O352" s="65">
        <f t="shared" si="34"/>
        <v>0</v>
      </c>
      <c r="P352" s="66">
        <f t="shared" si="35"/>
        <v>0</v>
      </c>
      <c r="Q352" s="60">
        <f t="shared" si="38"/>
        <v>412436</v>
      </c>
      <c r="R352" s="79"/>
      <c r="S352" s="80" t="s">
        <v>923</v>
      </c>
      <c r="U352" s="81"/>
    </row>
    <row r="353" spans="1:21" s="6" customFormat="1" ht="33.6" customHeight="1">
      <c r="A353" s="32">
        <v>339</v>
      </c>
      <c r="B353" s="40"/>
      <c r="C353" s="40"/>
      <c r="D353" s="34"/>
      <c r="E353" s="35" t="str">
        <f>'Tên Tháng 1'!E342</f>
        <v>ផល អេ</v>
      </c>
      <c r="F353" s="36" t="str">
        <f>'Tên Tháng 1'!F342</f>
        <v>PHAL E</v>
      </c>
      <c r="G353" s="37">
        <v>378</v>
      </c>
      <c r="H353" s="38">
        <v>31947</v>
      </c>
      <c r="I353" s="59">
        <f>'KL 1'!X354</f>
        <v>16.05</v>
      </c>
      <c r="J353" s="60">
        <f t="shared" si="36"/>
        <v>512749</v>
      </c>
      <c r="K353" s="61"/>
      <c r="L353" s="62"/>
      <c r="M353" s="63">
        <f t="shared" si="37"/>
        <v>512749</v>
      </c>
      <c r="N353" s="64">
        <f t="shared" si="33"/>
        <v>0</v>
      </c>
      <c r="O353" s="65">
        <f t="shared" si="34"/>
        <v>0</v>
      </c>
      <c r="P353" s="66">
        <f t="shared" si="35"/>
        <v>0</v>
      </c>
      <c r="Q353" s="60">
        <f t="shared" si="38"/>
        <v>512749</v>
      </c>
      <c r="R353" s="79"/>
      <c r="S353" s="80" t="s">
        <v>923</v>
      </c>
      <c r="U353" s="81"/>
    </row>
    <row r="354" spans="1:21" s="6" customFormat="1" ht="33.6" customHeight="1">
      <c r="A354" s="32">
        <v>340</v>
      </c>
      <c r="B354" s="40"/>
      <c r="C354" s="40"/>
      <c r="D354" s="34"/>
      <c r="E354" s="35" t="str">
        <f>'Tên Tháng 1'!E343</f>
        <v>ខឹង យ៉ាត់</v>
      </c>
      <c r="F354" s="36" t="str">
        <f>'Tên Tháng 1'!F343</f>
        <v>KHING YATH</v>
      </c>
      <c r="G354" s="37">
        <v>379</v>
      </c>
      <c r="H354" s="38">
        <v>31947</v>
      </c>
      <c r="I354" s="59">
        <f>'KL 1'!X355</f>
        <v>15.54</v>
      </c>
      <c r="J354" s="60">
        <f t="shared" si="36"/>
        <v>496456</v>
      </c>
      <c r="K354" s="61"/>
      <c r="L354" s="62"/>
      <c r="M354" s="63">
        <f t="shared" si="37"/>
        <v>496456</v>
      </c>
      <c r="N354" s="64">
        <f t="shared" si="33"/>
        <v>0</v>
      </c>
      <c r="O354" s="65">
        <f t="shared" si="34"/>
        <v>0</v>
      </c>
      <c r="P354" s="66">
        <f t="shared" si="35"/>
        <v>0</v>
      </c>
      <c r="Q354" s="60">
        <f t="shared" si="38"/>
        <v>496456</v>
      </c>
      <c r="R354" s="79"/>
      <c r="S354" s="80" t="s">
        <v>923</v>
      </c>
      <c r="U354" s="81"/>
    </row>
    <row r="355" spans="1:21" s="6" customFormat="1" ht="33.6" customHeight="1">
      <c r="A355" s="32">
        <v>341</v>
      </c>
      <c r="B355" s="40"/>
      <c r="C355" s="40"/>
      <c r="D355" s="34"/>
      <c r="E355" s="35" t="str">
        <f>'Tên Tháng 1'!E344</f>
        <v>ថា ស្រីអែម</v>
      </c>
      <c r="F355" s="36" t="str">
        <f>'Tên Tháng 1'!F344</f>
        <v>THA SREY EM</v>
      </c>
      <c r="G355" s="37">
        <v>380</v>
      </c>
      <c r="H355" s="38">
        <v>31947</v>
      </c>
      <c r="I355" s="59">
        <f>'KL 1'!X356</f>
        <v>16.21</v>
      </c>
      <c r="J355" s="60">
        <f t="shared" si="36"/>
        <v>517861</v>
      </c>
      <c r="K355" s="61"/>
      <c r="L355" s="62"/>
      <c r="M355" s="63">
        <f t="shared" si="37"/>
        <v>517861</v>
      </c>
      <c r="N355" s="64">
        <f t="shared" si="33"/>
        <v>0</v>
      </c>
      <c r="O355" s="65">
        <f t="shared" si="34"/>
        <v>0</v>
      </c>
      <c r="P355" s="66">
        <f t="shared" si="35"/>
        <v>0</v>
      </c>
      <c r="Q355" s="60">
        <f t="shared" si="38"/>
        <v>517861</v>
      </c>
      <c r="R355" s="79"/>
      <c r="S355" s="80" t="s">
        <v>923</v>
      </c>
      <c r="U355" s="81"/>
    </row>
    <row r="356" spans="1:21" s="6" customFormat="1" ht="33.6" customHeight="1">
      <c r="A356" s="32">
        <v>342</v>
      </c>
      <c r="B356" s="40"/>
      <c r="C356" s="40"/>
      <c r="D356" s="34"/>
      <c r="E356" s="35" t="str">
        <f>'Tên Tháng 1'!E345</f>
        <v>ឆាន ណាន់</v>
      </c>
      <c r="F356" s="36" t="str">
        <f>'Tên Tháng 1'!F345</f>
        <v>CHHAN NANN</v>
      </c>
      <c r="G356" s="37">
        <v>381</v>
      </c>
      <c r="H356" s="38">
        <v>31947</v>
      </c>
      <c r="I356" s="59">
        <f>'KL 1'!X357</f>
        <v>16.2</v>
      </c>
      <c r="J356" s="60">
        <f t="shared" si="36"/>
        <v>517541</v>
      </c>
      <c r="K356" s="61"/>
      <c r="L356" s="62"/>
      <c r="M356" s="63">
        <f t="shared" si="37"/>
        <v>517541</v>
      </c>
      <c r="N356" s="64">
        <f t="shared" si="33"/>
        <v>0</v>
      </c>
      <c r="O356" s="65">
        <f t="shared" si="34"/>
        <v>0</v>
      </c>
      <c r="P356" s="66">
        <f t="shared" si="35"/>
        <v>0</v>
      </c>
      <c r="Q356" s="60">
        <f t="shared" si="38"/>
        <v>517541</v>
      </c>
      <c r="R356" s="79"/>
      <c r="S356" s="80" t="s">
        <v>923</v>
      </c>
      <c r="U356" s="81"/>
    </row>
    <row r="357" spans="1:21" s="6" customFormat="1" ht="33.6" customHeight="1">
      <c r="A357" s="32">
        <v>343</v>
      </c>
      <c r="B357" s="40"/>
      <c r="C357" s="40"/>
      <c r="D357" s="34"/>
      <c r="E357" s="35" t="str">
        <f>'Tên Tháng 1'!E346</f>
        <v>គន នឿន</v>
      </c>
      <c r="F357" s="36" t="str">
        <f>'Tên Tháng 1'!F346</f>
        <v>KON NOEUN</v>
      </c>
      <c r="G357" s="37">
        <v>382</v>
      </c>
      <c r="H357" s="38">
        <v>31947</v>
      </c>
      <c r="I357" s="59">
        <f>'KL 1'!X358</f>
        <v>16.239999999999998</v>
      </c>
      <c r="J357" s="60">
        <f t="shared" si="36"/>
        <v>518819</v>
      </c>
      <c r="K357" s="61"/>
      <c r="L357" s="62"/>
      <c r="M357" s="63">
        <f t="shared" si="37"/>
        <v>518819</v>
      </c>
      <c r="N357" s="64">
        <f t="shared" si="33"/>
        <v>0</v>
      </c>
      <c r="O357" s="65">
        <f t="shared" si="34"/>
        <v>0</v>
      </c>
      <c r="P357" s="66">
        <f t="shared" si="35"/>
        <v>0</v>
      </c>
      <c r="Q357" s="60">
        <f t="shared" si="38"/>
        <v>518819</v>
      </c>
      <c r="R357" s="79"/>
      <c r="S357" s="80" t="s">
        <v>923</v>
      </c>
      <c r="U357" s="81"/>
    </row>
    <row r="358" spans="1:21" s="6" customFormat="1" ht="33.6" customHeight="1">
      <c r="A358" s="32">
        <v>344</v>
      </c>
      <c r="B358" s="40"/>
      <c r="C358" s="40"/>
      <c r="D358" s="34"/>
      <c r="E358" s="35" t="str">
        <f>'Tên Tháng 1'!E347</f>
        <v>ណាន ពន្លក</v>
      </c>
      <c r="F358" s="36" t="str">
        <f>'Tên Tháng 1'!F347</f>
        <v>NAN POLORK</v>
      </c>
      <c r="G358" s="37">
        <v>383</v>
      </c>
      <c r="H358" s="38">
        <v>31947</v>
      </c>
      <c r="I358" s="59">
        <f>'KL 1'!X359</f>
        <v>16.329999999999998</v>
      </c>
      <c r="J358" s="60">
        <f t="shared" si="36"/>
        <v>521695</v>
      </c>
      <c r="K358" s="61"/>
      <c r="L358" s="62"/>
      <c r="M358" s="63">
        <f t="shared" si="37"/>
        <v>521695</v>
      </c>
      <c r="N358" s="64">
        <f t="shared" si="33"/>
        <v>0</v>
      </c>
      <c r="O358" s="65">
        <f t="shared" si="34"/>
        <v>0</v>
      </c>
      <c r="P358" s="66">
        <f t="shared" si="35"/>
        <v>0</v>
      </c>
      <c r="Q358" s="60">
        <f t="shared" si="38"/>
        <v>521695</v>
      </c>
      <c r="R358" s="79"/>
      <c r="S358" s="80" t="s">
        <v>923</v>
      </c>
      <c r="U358" s="81"/>
    </row>
    <row r="359" spans="1:21" s="6" customFormat="1" ht="33.6" customHeight="1">
      <c r="A359" s="32">
        <v>345</v>
      </c>
      <c r="B359" s="40"/>
      <c r="C359" s="40"/>
      <c r="D359" s="34"/>
      <c r="E359" s="35" t="str">
        <f>'Tên Tháng 1'!E348</f>
        <v>ត្រុច ម៉ាច</v>
      </c>
      <c r="F359" s="36" t="str">
        <f>'Tên Tháng 1'!F348</f>
        <v>TROCH MACH</v>
      </c>
      <c r="G359" s="37">
        <v>384</v>
      </c>
      <c r="H359" s="38">
        <v>31947</v>
      </c>
      <c r="I359" s="59">
        <f>'KL 1'!X360</f>
        <v>13.879999999999999</v>
      </c>
      <c r="J359" s="60">
        <f t="shared" si="36"/>
        <v>443424</v>
      </c>
      <c r="K359" s="61"/>
      <c r="L359" s="62"/>
      <c r="M359" s="63">
        <f t="shared" si="37"/>
        <v>443424</v>
      </c>
      <c r="N359" s="64">
        <f t="shared" si="33"/>
        <v>0</v>
      </c>
      <c r="O359" s="65">
        <f t="shared" si="34"/>
        <v>0</v>
      </c>
      <c r="P359" s="66">
        <f t="shared" si="35"/>
        <v>0</v>
      </c>
      <c r="Q359" s="60">
        <f t="shared" si="38"/>
        <v>443424</v>
      </c>
      <c r="R359" s="79"/>
      <c r="S359" s="80" t="s">
        <v>923</v>
      </c>
      <c r="U359" s="81"/>
    </row>
    <row r="360" spans="1:21" s="6" customFormat="1" ht="33.6" customHeight="1">
      <c r="A360" s="32">
        <v>346</v>
      </c>
      <c r="B360" s="40"/>
      <c r="C360" s="40"/>
      <c r="D360" s="34"/>
      <c r="E360" s="35" t="str">
        <f>'Tên Tháng 1'!E349</f>
        <v>យ៉ុន ស្រីរ័ត្ន</v>
      </c>
      <c r="F360" s="36" t="str">
        <f>'Tên Tháng 1'!F349</f>
        <v>YON SREYROTH</v>
      </c>
      <c r="G360" s="37">
        <v>385</v>
      </c>
      <c r="H360" s="38">
        <v>31947</v>
      </c>
      <c r="I360" s="59">
        <f>'KL 1'!X361</f>
        <v>16.28</v>
      </c>
      <c r="J360" s="60">
        <f t="shared" si="36"/>
        <v>520097</v>
      </c>
      <c r="K360" s="61"/>
      <c r="L360" s="62"/>
      <c r="M360" s="63">
        <f t="shared" si="37"/>
        <v>520097</v>
      </c>
      <c r="N360" s="64">
        <f t="shared" si="33"/>
        <v>0</v>
      </c>
      <c r="O360" s="65">
        <f t="shared" si="34"/>
        <v>0</v>
      </c>
      <c r="P360" s="66">
        <f t="shared" si="35"/>
        <v>0</v>
      </c>
      <c r="Q360" s="60">
        <f t="shared" si="38"/>
        <v>520097</v>
      </c>
      <c r="R360" s="79"/>
      <c r="S360" s="80" t="s">
        <v>923</v>
      </c>
      <c r="U360" s="81"/>
    </row>
    <row r="361" spans="1:21" s="6" customFormat="1" ht="33.6" customHeight="1">
      <c r="A361" s="32">
        <v>347</v>
      </c>
      <c r="B361" s="40"/>
      <c r="C361" s="40"/>
      <c r="D361" s="34"/>
      <c r="E361" s="35" t="str">
        <f>'Tên Tháng 1'!E350</f>
        <v>អ៊ាង ទិត</v>
      </c>
      <c r="F361" s="36" t="str">
        <f>'Tên Tháng 1'!F350</f>
        <v>EANG TITH</v>
      </c>
      <c r="G361" s="37">
        <v>386</v>
      </c>
      <c r="H361" s="38">
        <v>31947</v>
      </c>
      <c r="I361" s="59">
        <f>'KL 1'!X362</f>
        <v>18.720000000000002</v>
      </c>
      <c r="J361" s="60">
        <f t="shared" si="36"/>
        <v>598048</v>
      </c>
      <c r="K361" s="61"/>
      <c r="L361" s="62"/>
      <c r="M361" s="63">
        <f t="shared" si="37"/>
        <v>598048</v>
      </c>
      <c r="N361" s="64">
        <f t="shared" si="33"/>
        <v>0</v>
      </c>
      <c r="O361" s="65">
        <f t="shared" si="34"/>
        <v>0</v>
      </c>
      <c r="P361" s="66">
        <f t="shared" si="35"/>
        <v>0</v>
      </c>
      <c r="Q361" s="60">
        <f t="shared" si="38"/>
        <v>598048</v>
      </c>
      <c r="R361" s="79"/>
      <c r="S361" s="80" t="s">
        <v>923</v>
      </c>
      <c r="U361" s="81"/>
    </row>
    <row r="362" spans="1:21" s="6" customFormat="1" ht="33.6" customHeight="1">
      <c r="A362" s="32">
        <v>348</v>
      </c>
      <c r="B362" s="40"/>
      <c r="C362" s="40"/>
      <c r="D362" s="34"/>
      <c r="E362" s="35" t="str">
        <f>'Tên Tháng 1'!E351</f>
        <v>យ៉ុន ណែត</v>
      </c>
      <c r="F362" s="36" t="str">
        <f>'Tên Tháng 1'!F351</f>
        <v>YON NEIT</v>
      </c>
      <c r="G362" s="37">
        <v>387</v>
      </c>
      <c r="H362" s="38">
        <v>31947</v>
      </c>
      <c r="I362" s="59">
        <f>'KL 1'!X363</f>
        <v>17.720000000000002</v>
      </c>
      <c r="J362" s="60">
        <f t="shared" si="36"/>
        <v>566101</v>
      </c>
      <c r="K362" s="61"/>
      <c r="L362" s="62"/>
      <c r="M362" s="63">
        <f t="shared" si="37"/>
        <v>566101</v>
      </c>
      <c r="N362" s="64">
        <f t="shared" si="33"/>
        <v>0</v>
      </c>
      <c r="O362" s="65">
        <f t="shared" si="34"/>
        <v>0</v>
      </c>
      <c r="P362" s="66">
        <f t="shared" si="35"/>
        <v>0</v>
      </c>
      <c r="Q362" s="60">
        <f t="shared" si="38"/>
        <v>566101</v>
      </c>
      <c r="R362" s="79"/>
      <c r="S362" s="80" t="s">
        <v>923</v>
      </c>
      <c r="U362" s="81"/>
    </row>
    <row r="363" spans="1:21" s="6" customFormat="1" ht="33.6" customHeight="1">
      <c r="A363" s="32">
        <v>349</v>
      </c>
      <c r="B363" s="40"/>
      <c r="C363" s="40"/>
      <c r="D363" s="34"/>
      <c r="E363" s="35" t="str">
        <f>'Tên Tháng 1'!E352</f>
        <v>អឿន វិចិត្រ</v>
      </c>
      <c r="F363" s="36" t="str">
        <f>'Tên Tháng 1'!F352</f>
        <v>AEURN VECHET</v>
      </c>
      <c r="G363" s="37">
        <v>388</v>
      </c>
      <c r="H363" s="38">
        <v>31947</v>
      </c>
      <c r="I363" s="59">
        <f>'KL 1'!X364</f>
        <v>18.52</v>
      </c>
      <c r="J363" s="60">
        <f t="shared" si="36"/>
        <v>591658</v>
      </c>
      <c r="K363" s="61"/>
      <c r="L363" s="62"/>
      <c r="M363" s="63">
        <f t="shared" si="37"/>
        <v>591658</v>
      </c>
      <c r="N363" s="64">
        <f t="shared" si="33"/>
        <v>0</v>
      </c>
      <c r="O363" s="65">
        <f t="shared" si="34"/>
        <v>0</v>
      </c>
      <c r="P363" s="66">
        <f t="shared" si="35"/>
        <v>0</v>
      </c>
      <c r="Q363" s="60">
        <f t="shared" si="38"/>
        <v>591658</v>
      </c>
      <c r="R363" s="79"/>
      <c r="S363" s="80" t="s">
        <v>923</v>
      </c>
      <c r="U363" s="81"/>
    </row>
    <row r="364" spans="1:21" s="6" customFormat="1" ht="33.6" customHeight="1">
      <c r="A364" s="32">
        <v>350</v>
      </c>
      <c r="B364" s="40"/>
      <c r="C364" s="40"/>
      <c r="D364" s="34"/>
      <c r="E364" s="35" t="str">
        <f>'Tên Tháng 1'!E353</f>
        <v>ឈិត ម៉ៅ</v>
      </c>
      <c r="F364" s="36" t="str">
        <f>'Tên Tháng 1'!F353</f>
        <v>CHHIT MOA</v>
      </c>
      <c r="G364" s="37">
        <v>389</v>
      </c>
      <c r="H364" s="38">
        <v>31947</v>
      </c>
      <c r="I364" s="59">
        <f>'KL 1'!X365</f>
        <v>15.83</v>
      </c>
      <c r="J364" s="60">
        <f t="shared" si="36"/>
        <v>505721</v>
      </c>
      <c r="K364" s="61"/>
      <c r="L364" s="62"/>
      <c r="M364" s="63">
        <f t="shared" si="37"/>
        <v>505721</v>
      </c>
      <c r="N364" s="64">
        <f t="shared" si="33"/>
        <v>0</v>
      </c>
      <c r="O364" s="65">
        <f t="shared" si="34"/>
        <v>0</v>
      </c>
      <c r="P364" s="66">
        <f t="shared" si="35"/>
        <v>0</v>
      </c>
      <c r="Q364" s="60">
        <f t="shared" si="38"/>
        <v>505721</v>
      </c>
      <c r="R364" s="79"/>
      <c r="S364" s="80" t="s">
        <v>923</v>
      </c>
      <c r="U364" s="81"/>
    </row>
    <row r="365" spans="1:21" s="6" customFormat="1" ht="33.6" customHeight="1">
      <c r="A365" s="32">
        <v>351</v>
      </c>
      <c r="B365" s="40"/>
      <c r="C365" s="40"/>
      <c r="D365" s="34"/>
      <c r="E365" s="35" t="str">
        <f>'Tên Tháng 1'!E354</f>
        <v>ស៊ឹម យ៉ង់</v>
      </c>
      <c r="F365" s="36" t="str">
        <f>'Tên Tháng 1'!F354</f>
        <v>SIM YANG</v>
      </c>
      <c r="G365" s="37">
        <v>390</v>
      </c>
      <c r="H365" s="38">
        <v>31947</v>
      </c>
      <c r="I365" s="59">
        <f>'KL 1'!X366</f>
        <v>16.229999999999997</v>
      </c>
      <c r="J365" s="60">
        <f t="shared" si="36"/>
        <v>518500</v>
      </c>
      <c r="K365" s="61"/>
      <c r="L365" s="62"/>
      <c r="M365" s="63">
        <f t="shared" si="37"/>
        <v>518500</v>
      </c>
      <c r="N365" s="64">
        <f t="shared" si="33"/>
        <v>0</v>
      </c>
      <c r="O365" s="65">
        <f t="shared" si="34"/>
        <v>0</v>
      </c>
      <c r="P365" s="66">
        <f t="shared" si="35"/>
        <v>0</v>
      </c>
      <c r="Q365" s="60">
        <f t="shared" si="38"/>
        <v>518500</v>
      </c>
      <c r="R365" s="79"/>
      <c r="S365" s="80" t="s">
        <v>923</v>
      </c>
      <c r="U365" s="81"/>
    </row>
    <row r="366" spans="1:21" s="6" customFormat="1" ht="33.6" customHeight="1">
      <c r="A366" s="32">
        <v>352</v>
      </c>
      <c r="B366" s="40"/>
      <c r="C366" s="40"/>
      <c r="D366" s="34"/>
      <c r="E366" s="35" t="str">
        <f>'Tên Tháng 1'!E355</f>
        <v>លឹម ឡាច</v>
      </c>
      <c r="F366" s="36" t="str">
        <f>'Tên Tháng 1'!F355</f>
        <v>LOEM LACH</v>
      </c>
      <c r="G366" s="37">
        <v>391</v>
      </c>
      <c r="H366" s="38">
        <v>31947</v>
      </c>
      <c r="I366" s="59">
        <f>'KL 1'!X367</f>
        <v>18.220000000000002</v>
      </c>
      <c r="J366" s="60">
        <f t="shared" si="36"/>
        <v>582074</v>
      </c>
      <c r="K366" s="61"/>
      <c r="L366" s="62"/>
      <c r="M366" s="63">
        <f t="shared" si="37"/>
        <v>582074</v>
      </c>
      <c r="N366" s="64">
        <f t="shared" si="33"/>
        <v>0</v>
      </c>
      <c r="O366" s="65">
        <f t="shared" si="34"/>
        <v>0</v>
      </c>
      <c r="P366" s="66">
        <f t="shared" si="35"/>
        <v>0</v>
      </c>
      <c r="Q366" s="60">
        <f t="shared" si="38"/>
        <v>582074</v>
      </c>
      <c r="R366" s="79"/>
      <c r="S366" s="80" t="s">
        <v>923</v>
      </c>
      <c r="U366" s="81"/>
    </row>
    <row r="367" spans="1:21" s="6" customFormat="1" ht="33.6" customHeight="1">
      <c r="A367" s="32">
        <v>353</v>
      </c>
      <c r="B367" s="40"/>
      <c r="C367" s="40"/>
      <c r="D367" s="34"/>
      <c r="E367" s="35" t="str">
        <f>'Tên Tháng 1'!E356</f>
        <v>ឈុន សុខខុម</v>
      </c>
      <c r="F367" s="36" t="str">
        <f>'Tên Tháng 1'!F356</f>
        <v>CHHUN SOKHOM</v>
      </c>
      <c r="G367" s="37">
        <v>392</v>
      </c>
      <c r="H367" s="38">
        <v>31947</v>
      </c>
      <c r="I367" s="59">
        <f>'KL 1'!X368</f>
        <v>16.309999999999999</v>
      </c>
      <c r="J367" s="60">
        <f t="shared" si="36"/>
        <v>521056</v>
      </c>
      <c r="K367" s="61"/>
      <c r="L367" s="62"/>
      <c r="M367" s="63">
        <f t="shared" si="37"/>
        <v>521056</v>
      </c>
      <c r="N367" s="64">
        <f t="shared" si="33"/>
        <v>0</v>
      </c>
      <c r="O367" s="65">
        <f t="shared" si="34"/>
        <v>0</v>
      </c>
      <c r="P367" s="66">
        <f t="shared" si="35"/>
        <v>0</v>
      </c>
      <c r="Q367" s="60">
        <f t="shared" si="38"/>
        <v>521056</v>
      </c>
      <c r="R367" s="79"/>
      <c r="S367" s="80" t="s">
        <v>923</v>
      </c>
      <c r="U367" s="81"/>
    </row>
    <row r="368" spans="1:21" s="6" customFormat="1" ht="33.6" customHeight="1">
      <c r="A368" s="32">
        <v>354</v>
      </c>
      <c r="B368" s="40"/>
      <c r="C368" s="40"/>
      <c r="D368" s="34"/>
      <c r="E368" s="35" t="str">
        <f>'Tên Tháng 1'!E357</f>
        <v>ទិត ចំរើន</v>
      </c>
      <c r="F368" s="36" t="str">
        <f>'Tên Tháng 1'!F357</f>
        <v>TET CHAMRAEUN</v>
      </c>
      <c r="G368" s="37">
        <v>393</v>
      </c>
      <c r="H368" s="38">
        <v>31947</v>
      </c>
      <c r="I368" s="59">
        <f>'KL 1'!X369</f>
        <v>15.87</v>
      </c>
      <c r="J368" s="60">
        <f t="shared" si="36"/>
        <v>506999</v>
      </c>
      <c r="K368" s="61"/>
      <c r="L368" s="62"/>
      <c r="M368" s="63">
        <f t="shared" si="37"/>
        <v>506999</v>
      </c>
      <c r="N368" s="64">
        <f t="shared" si="33"/>
        <v>0</v>
      </c>
      <c r="O368" s="65">
        <f t="shared" si="34"/>
        <v>0</v>
      </c>
      <c r="P368" s="66">
        <f t="shared" si="35"/>
        <v>0</v>
      </c>
      <c r="Q368" s="60">
        <f t="shared" si="38"/>
        <v>506999</v>
      </c>
      <c r="R368" s="79"/>
      <c r="S368" s="80" t="s">
        <v>923</v>
      </c>
      <c r="U368" s="81"/>
    </row>
    <row r="369" spans="1:21" s="6" customFormat="1" ht="33.6" customHeight="1">
      <c r="A369" s="32">
        <v>355</v>
      </c>
      <c r="B369" s="40"/>
      <c r="C369" s="40"/>
      <c r="D369" s="34"/>
      <c r="E369" s="35" t="str">
        <f>'Tên Tháng 1'!E358</f>
        <v>លី ចាន់នី</v>
      </c>
      <c r="F369" s="36" t="str">
        <f>'Tên Tháng 1'!F358</f>
        <v>LY CHANNY</v>
      </c>
      <c r="G369" s="37">
        <v>394</v>
      </c>
      <c r="H369" s="38">
        <v>31947</v>
      </c>
      <c r="I369" s="59">
        <f>'KL 1'!X370</f>
        <v>17.38</v>
      </c>
      <c r="J369" s="60">
        <f t="shared" si="36"/>
        <v>555239</v>
      </c>
      <c r="K369" s="61"/>
      <c r="L369" s="62"/>
      <c r="M369" s="63">
        <f t="shared" si="37"/>
        <v>555239</v>
      </c>
      <c r="N369" s="64">
        <f t="shared" si="33"/>
        <v>0</v>
      </c>
      <c r="O369" s="65">
        <f t="shared" si="34"/>
        <v>0</v>
      </c>
      <c r="P369" s="66">
        <f t="shared" si="35"/>
        <v>0</v>
      </c>
      <c r="Q369" s="60">
        <f t="shared" si="38"/>
        <v>555239</v>
      </c>
      <c r="R369" s="79"/>
      <c r="S369" s="80" t="s">
        <v>923</v>
      </c>
      <c r="U369" s="81"/>
    </row>
    <row r="370" spans="1:21" s="6" customFormat="1" ht="33.6" customHeight="1">
      <c r="A370" s="32">
        <v>356</v>
      </c>
      <c r="B370" s="40"/>
      <c r="C370" s="40"/>
      <c r="D370" s="34"/>
      <c r="E370" s="35" t="str">
        <f>'Tên Tháng 1'!E359</f>
        <v>ហេង ចាន់</v>
      </c>
      <c r="F370" s="36" t="str">
        <f>'Tên Tháng 1'!F359</f>
        <v>HENG CHANN</v>
      </c>
      <c r="G370" s="37">
        <v>395</v>
      </c>
      <c r="H370" s="38">
        <v>31947</v>
      </c>
      <c r="I370" s="59">
        <f>'KL 1'!X371</f>
        <v>17.55</v>
      </c>
      <c r="J370" s="60">
        <f t="shared" si="36"/>
        <v>560670</v>
      </c>
      <c r="K370" s="61"/>
      <c r="L370" s="62"/>
      <c r="M370" s="63">
        <f t="shared" si="37"/>
        <v>560670</v>
      </c>
      <c r="N370" s="64">
        <f t="shared" si="33"/>
        <v>0</v>
      </c>
      <c r="O370" s="65">
        <f t="shared" si="34"/>
        <v>0</v>
      </c>
      <c r="P370" s="66">
        <f t="shared" si="35"/>
        <v>0</v>
      </c>
      <c r="Q370" s="60">
        <f t="shared" si="38"/>
        <v>560670</v>
      </c>
      <c r="R370" s="79"/>
      <c r="S370" s="80" t="s">
        <v>923</v>
      </c>
      <c r="U370" s="81"/>
    </row>
    <row r="371" spans="1:21" s="6" customFormat="1" ht="33.6" customHeight="1">
      <c r="A371" s="32">
        <v>357</v>
      </c>
      <c r="B371" s="40"/>
      <c r="C371" s="40"/>
      <c r="D371" s="34"/>
      <c r="E371" s="35" t="str">
        <f>'Tên Tháng 1'!E360</f>
        <v>ខុន ឃាង</v>
      </c>
      <c r="F371" s="36" t="str">
        <f>'Tên Tháng 1'!F360</f>
        <v>KHON KHEARNG</v>
      </c>
      <c r="G371" s="37">
        <v>396</v>
      </c>
      <c r="H371" s="38">
        <v>31947</v>
      </c>
      <c r="I371" s="59">
        <f>'KL 1'!X372</f>
        <v>13.54</v>
      </c>
      <c r="J371" s="60">
        <f t="shared" si="36"/>
        <v>432562</v>
      </c>
      <c r="K371" s="61"/>
      <c r="L371" s="62"/>
      <c r="M371" s="63">
        <f t="shared" si="37"/>
        <v>432562</v>
      </c>
      <c r="N371" s="64">
        <f t="shared" si="33"/>
        <v>0</v>
      </c>
      <c r="O371" s="65">
        <f t="shared" si="34"/>
        <v>0</v>
      </c>
      <c r="P371" s="66">
        <f t="shared" si="35"/>
        <v>0</v>
      </c>
      <c r="Q371" s="60">
        <f t="shared" si="38"/>
        <v>432562</v>
      </c>
      <c r="R371" s="79"/>
      <c r="S371" s="80" t="s">
        <v>923</v>
      </c>
      <c r="U371" s="81"/>
    </row>
    <row r="372" spans="1:21" s="6" customFormat="1" ht="33.6" customHeight="1">
      <c r="A372" s="32">
        <v>358</v>
      </c>
      <c r="B372" s="40"/>
      <c r="C372" s="40"/>
      <c r="D372" s="34"/>
      <c r="E372" s="35" t="str">
        <f>'Tên Tháng 1'!E361</f>
        <v>គ្រីប ថេត</v>
      </c>
      <c r="F372" s="36" t="str">
        <f>'Tên Tháng 1'!F361</f>
        <v>KRIP THET</v>
      </c>
      <c r="G372" s="37">
        <v>397</v>
      </c>
      <c r="H372" s="38">
        <v>31947</v>
      </c>
      <c r="I372" s="59">
        <f>'KL 1'!X373</f>
        <v>13.469999999999999</v>
      </c>
      <c r="J372" s="60">
        <f t="shared" si="36"/>
        <v>430326</v>
      </c>
      <c r="K372" s="61"/>
      <c r="L372" s="62"/>
      <c r="M372" s="63">
        <f t="shared" si="37"/>
        <v>430326</v>
      </c>
      <c r="N372" s="64">
        <f t="shared" si="33"/>
        <v>0</v>
      </c>
      <c r="O372" s="65">
        <f t="shared" si="34"/>
        <v>0</v>
      </c>
      <c r="P372" s="66">
        <f t="shared" si="35"/>
        <v>0</v>
      </c>
      <c r="Q372" s="60">
        <f t="shared" si="38"/>
        <v>430326</v>
      </c>
      <c r="R372" s="79"/>
      <c r="S372" s="80" t="s">
        <v>923</v>
      </c>
      <c r="U372" s="81"/>
    </row>
    <row r="373" spans="1:21" s="6" customFormat="1" ht="33.6" customHeight="1">
      <c r="A373" s="32">
        <v>359</v>
      </c>
      <c r="B373" s="40"/>
      <c r="C373" s="40"/>
      <c r="D373" s="34"/>
      <c r="E373" s="35" t="str">
        <f>'Tên Tháng 1'!E362</f>
        <v>ធាន​ ញ៉ាញ់</v>
      </c>
      <c r="F373" s="36" t="str">
        <f>'Tên Tháng 1'!F362</f>
        <v>THEAN NHANH</v>
      </c>
      <c r="G373" s="37">
        <v>398</v>
      </c>
      <c r="H373" s="38">
        <v>31947</v>
      </c>
      <c r="I373" s="59">
        <f>'KL 1'!X374</f>
        <v>16.54</v>
      </c>
      <c r="J373" s="60">
        <f t="shared" si="36"/>
        <v>528403</v>
      </c>
      <c r="K373" s="61"/>
      <c r="L373" s="62"/>
      <c r="M373" s="63">
        <f t="shared" si="37"/>
        <v>528403</v>
      </c>
      <c r="N373" s="64">
        <f t="shared" si="33"/>
        <v>0</v>
      </c>
      <c r="O373" s="65">
        <f t="shared" si="34"/>
        <v>0</v>
      </c>
      <c r="P373" s="66">
        <f t="shared" si="35"/>
        <v>0</v>
      </c>
      <c r="Q373" s="60">
        <f t="shared" si="38"/>
        <v>528403</v>
      </c>
      <c r="R373" s="79"/>
      <c r="S373" s="80" t="s">
        <v>923</v>
      </c>
      <c r="U373" s="81"/>
    </row>
    <row r="374" spans="1:21" s="6" customFormat="1" ht="33.6" customHeight="1">
      <c r="A374" s="32">
        <v>360</v>
      </c>
      <c r="B374" s="40"/>
      <c r="C374" s="40"/>
      <c r="D374" s="34"/>
      <c r="E374" s="35" t="str">
        <f>'Tên Tháng 1'!E363</f>
        <v>ក ប៉ា</v>
      </c>
      <c r="F374" s="36" t="str">
        <f>'Tên Tháng 1'!F363</f>
        <v>KOR PA</v>
      </c>
      <c r="G374" s="37">
        <v>399</v>
      </c>
      <c r="H374" s="38">
        <v>31947</v>
      </c>
      <c r="I374" s="59">
        <f>'KL 1'!X375</f>
        <v>15.549999999999999</v>
      </c>
      <c r="J374" s="60">
        <f t="shared" si="36"/>
        <v>496776</v>
      </c>
      <c r="K374" s="61"/>
      <c r="L374" s="62"/>
      <c r="M374" s="63">
        <f t="shared" si="37"/>
        <v>496776</v>
      </c>
      <c r="N374" s="64">
        <f t="shared" ref="N374:N437" si="39">L374</f>
        <v>0</v>
      </c>
      <c r="O374" s="65">
        <f t="shared" ref="O374:O437" si="40">ROUND(IF(M374&lt;=1200000,0,IF(AND((M374)&gt;1200000,(M374)&lt;=2000000),(M374)*5%-60000,IF(AND((M374)&gt;2000000,(M374)&lt;=8500000),(M374)*10%-160000))),0)</f>
        <v>0</v>
      </c>
      <c r="P374" s="66">
        <f t="shared" ref="P374:P437" si="41">N374+O374</f>
        <v>0</v>
      </c>
      <c r="Q374" s="60">
        <f t="shared" si="38"/>
        <v>496776</v>
      </c>
      <c r="R374" s="79"/>
      <c r="S374" s="80" t="s">
        <v>923</v>
      </c>
      <c r="U374" s="81"/>
    </row>
    <row r="375" spans="1:21" s="6" customFormat="1" ht="33.6" customHeight="1">
      <c r="A375" s="32">
        <v>361</v>
      </c>
      <c r="B375" s="40"/>
      <c r="C375" s="40"/>
      <c r="D375" s="34"/>
      <c r="E375" s="35" t="str">
        <f>'Tên Tháng 1'!E364</f>
        <v>ឡុង ឡុំ</v>
      </c>
      <c r="F375" s="36" t="str">
        <f>'Tên Tháng 1'!F364</f>
        <v>LONG LOM</v>
      </c>
      <c r="G375" s="37">
        <v>400</v>
      </c>
      <c r="H375" s="38">
        <v>31947</v>
      </c>
      <c r="I375" s="59">
        <f>'KL 1'!X376</f>
        <v>15.479999999999999</v>
      </c>
      <c r="J375" s="60">
        <f t="shared" si="36"/>
        <v>494540</v>
      </c>
      <c r="K375" s="61"/>
      <c r="L375" s="62"/>
      <c r="M375" s="63">
        <f t="shared" si="37"/>
        <v>494540</v>
      </c>
      <c r="N375" s="64">
        <f t="shared" si="39"/>
        <v>0</v>
      </c>
      <c r="O375" s="65">
        <f t="shared" si="40"/>
        <v>0</v>
      </c>
      <c r="P375" s="66">
        <f t="shared" si="41"/>
        <v>0</v>
      </c>
      <c r="Q375" s="60">
        <f t="shared" si="38"/>
        <v>494540</v>
      </c>
      <c r="R375" s="79"/>
      <c r="S375" s="80" t="s">
        <v>923</v>
      </c>
      <c r="U375" s="81"/>
    </row>
    <row r="376" spans="1:21" s="6" customFormat="1" ht="33.6" customHeight="1">
      <c r="A376" s="32">
        <v>362</v>
      </c>
      <c r="B376" s="40"/>
      <c r="C376" s="40"/>
      <c r="D376" s="34"/>
      <c r="E376" s="35" t="str">
        <f>'Tên Tháng 1'!E365</f>
        <v>ក កុល</v>
      </c>
      <c r="F376" s="36" t="str">
        <f>'Tên Tháng 1'!F365</f>
        <v>KOR KOL</v>
      </c>
      <c r="G376" s="37">
        <v>401</v>
      </c>
      <c r="H376" s="38">
        <v>31947</v>
      </c>
      <c r="I376" s="59">
        <f>'KL 1'!X377</f>
        <v>13.430000000000001</v>
      </c>
      <c r="J376" s="60">
        <f t="shared" si="36"/>
        <v>429048</v>
      </c>
      <c r="K376" s="61"/>
      <c r="L376" s="62"/>
      <c r="M376" s="63">
        <f t="shared" si="37"/>
        <v>429048</v>
      </c>
      <c r="N376" s="64">
        <f t="shared" si="39"/>
        <v>0</v>
      </c>
      <c r="O376" s="65">
        <f t="shared" si="40"/>
        <v>0</v>
      </c>
      <c r="P376" s="66">
        <f t="shared" si="41"/>
        <v>0</v>
      </c>
      <c r="Q376" s="60">
        <f t="shared" si="38"/>
        <v>429048</v>
      </c>
      <c r="R376" s="79"/>
      <c r="S376" s="80" t="s">
        <v>923</v>
      </c>
      <c r="U376" s="81"/>
    </row>
    <row r="377" spans="1:21" s="6" customFormat="1" ht="33.6" customHeight="1">
      <c r="A377" s="32">
        <v>363</v>
      </c>
      <c r="B377" s="40"/>
      <c r="C377" s="40"/>
      <c r="D377" s="34"/>
      <c r="E377" s="35" t="str">
        <f>'Tên Tháng 1'!E366</f>
        <v>ឃី ស៊ីណា</v>
      </c>
      <c r="F377" s="36" t="str">
        <f>'Tên Tháng 1'!F366</f>
        <v>KHY SINA</v>
      </c>
      <c r="G377" s="37">
        <v>402</v>
      </c>
      <c r="H377" s="38">
        <v>31947</v>
      </c>
      <c r="I377" s="59">
        <f>'KL 1'!X378</f>
        <v>17.64</v>
      </c>
      <c r="J377" s="60">
        <f t="shared" si="36"/>
        <v>563545</v>
      </c>
      <c r="K377" s="61"/>
      <c r="L377" s="62"/>
      <c r="M377" s="63">
        <f t="shared" si="37"/>
        <v>563545</v>
      </c>
      <c r="N377" s="64">
        <f t="shared" si="39"/>
        <v>0</v>
      </c>
      <c r="O377" s="65">
        <f t="shared" si="40"/>
        <v>0</v>
      </c>
      <c r="P377" s="66">
        <f t="shared" si="41"/>
        <v>0</v>
      </c>
      <c r="Q377" s="60">
        <f t="shared" si="38"/>
        <v>563545</v>
      </c>
      <c r="R377" s="79"/>
      <c r="S377" s="80" t="s">
        <v>923</v>
      </c>
      <c r="U377" s="81"/>
    </row>
    <row r="378" spans="1:21" s="6" customFormat="1" ht="33.6" customHeight="1">
      <c r="A378" s="32">
        <v>364</v>
      </c>
      <c r="B378" s="40"/>
      <c r="C378" s="40"/>
      <c r="D378" s="34"/>
      <c r="E378" s="35" t="str">
        <f>'Tên Tháng 1'!E367</f>
        <v>ទូច ចន្ថា</v>
      </c>
      <c r="F378" s="36" t="str">
        <f>'Tên Tháng 1'!F367</f>
        <v>TOCH CHANTHA</v>
      </c>
      <c r="G378" s="37">
        <v>403</v>
      </c>
      <c r="H378" s="38">
        <v>31947</v>
      </c>
      <c r="I378" s="59">
        <f>'KL 1'!X379</f>
        <v>16.25</v>
      </c>
      <c r="J378" s="60">
        <f t="shared" si="36"/>
        <v>519139</v>
      </c>
      <c r="K378" s="61"/>
      <c r="L378" s="62"/>
      <c r="M378" s="63">
        <f t="shared" si="37"/>
        <v>519139</v>
      </c>
      <c r="N378" s="64">
        <f t="shared" si="39"/>
        <v>0</v>
      </c>
      <c r="O378" s="65">
        <f t="shared" si="40"/>
        <v>0</v>
      </c>
      <c r="P378" s="66">
        <f t="shared" si="41"/>
        <v>0</v>
      </c>
      <c r="Q378" s="60">
        <f t="shared" si="38"/>
        <v>519139</v>
      </c>
      <c r="R378" s="79"/>
      <c r="S378" s="80" t="s">
        <v>923</v>
      </c>
      <c r="U378" s="81"/>
    </row>
    <row r="379" spans="1:21" s="6" customFormat="1" ht="33.6" customHeight="1">
      <c r="A379" s="32">
        <v>365</v>
      </c>
      <c r="B379" s="40"/>
      <c r="C379" s="40"/>
      <c r="D379" s="34"/>
      <c r="E379" s="35" t="str">
        <f>'Tên Tháng 1'!E368</f>
        <v>ប៊ិន ចាន់</v>
      </c>
      <c r="F379" s="36" t="str">
        <f>'Tên Tháng 1'!F368</f>
        <v>BEN CHANN</v>
      </c>
      <c r="G379" s="37">
        <v>404</v>
      </c>
      <c r="H379" s="38">
        <v>31947</v>
      </c>
      <c r="I379" s="59">
        <f>'KL 1'!X380</f>
        <v>17.05</v>
      </c>
      <c r="J379" s="60">
        <f t="shared" si="36"/>
        <v>544696</v>
      </c>
      <c r="K379" s="61"/>
      <c r="L379" s="62"/>
      <c r="M379" s="63">
        <f t="shared" si="37"/>
        <v>544696</v>
      </c>
      <c r="N379" s="64">
        <f t="shared" si="39"/>
        <v>0</v>
      </c>
      <c r="O379" s="65">
        <f t="shared" si="40"/>
        <v>0</v>
      </c>
      <c r="P379" s="66">
        <f t="shared" si="41"/>
        <v>0</v>
      </c>
      <c r="Q379" s="60">
        <f t="shared" si="38"/>
        <v>544696</v>
      </c>
      <c r="R379" s="79"/>
      <c r="S379" s="80" t="s">
        <v>923</v>
      </c>
      <c r="U379" s="81"/>
    </row>
    <row r="380" spans="1:21" s="6" customFormat="1" ht="33.6" customHeight="1">
      <c r="A380" s="32">
        <v>366</v>
      </c>
      <c r="B380" s="40"/>
      <c r="C380" s="40"/>
      <c r="D380" s="34"/>
      <c r="E380" s="35" t="str">
        <f>'Tên Tháng 1'!E369</f>
        <v>ធាន ថេង</v>
      </c>
      <c r="F380" s="36" t="str">
        <f>'Tên Tháng 1'!F369</f>
        <v>THEAN THENG</v>
      </c>
      <c r="G380" s="37">
        <v>405</v>
      </c>
      <c r="H380" s="38">
        <v>31947</v>
      </c>
      <c r="I380" s="59">
        <f>'KL 1'!X381</f>
        <v>12.67</v>
      </c>
      <c r="J380" s="60">
        <f t="shared" si="36"/>
        <v>404768</v>
      </c>
      <c r="K380" s="61"/>
      <c r="L380" s="62"/>
      <c r="M380" s="63">
        <f t="shared" si="37"/>
        <v>404768</v>
      </c>
      <c r="N380" s="64">
        <f t="shared" si="39"/>
        <v>0</v>
      </c>
      <c r="O380" s="65">
        <f t="shared" si="40"/>
        <v>0</v>
      </c>
      <c r="P380" s="66">
        <f t="shared" si="41"/>
        <v>0</v>
      </c>
      <c r="Q380" s="60">
        <f t="shared" si="38"/>
        <v>404768</v>
      </c>
      <c r="R380" s="79"/>
      <c r="S380" s="80" t="s">
        <v>923</v>
      </c>
      <c r="U380" s="81"/>
    </row>
    <row r="381" spans="1:21" s="6" customFormat="1" ht="33.6" customHeight="1">
      <c r="A381" s="32">
        <v>367</v>
      </c>
      <c r="B381" s="40"/>
      <c r="C381" s="40"/>
      <c r="D381" s="34"/>
      <c r="E381" s="35" t="str">
        <f>'Tên Tháng 1'!E370</f>
        <v>ហ៊ន់ ហ៊ីម</v>
      </c>
      <c r="F381" s="36" t="str">
        <f>'Tên Tháng 1'!F370</f>
        <v>HOUN HIM</v>
      </c>
      <c r="G381" s="37">
        <v>406</v>
      </c>
      <c r="H381" s="38">
        <v>31947</v>
      </c>
      <c r="I381" s="59">
        <f>'KL 1'!X382</f>
        <v>18.880000000000003</v>
      </c>
      <c r="J381" s="60">
        <f t="shared" si="36"/>
        <v>603159</v>
      </c>
      <c r="K381" s="61"/>
      <c r="L381" s="62"/>
      <c r="M381" s="63">
        <f t="shared" si="37"/>
        <v>603159</v>
      </c>
      <c r="N381" s="64">
        <f t="shared" si="39"/>
        <v>0</v>
      </c>
      <c r="O381" s="65">
        <f t="shared" si="40"/>
        <v>0</v>
      </c>
      <c r="P381" s="66">
        <f t="shared" si="41"/>
        <v>0</v>
      </c>
      <c r="Q381" s="60">
        <f t="shared" si="38"/>
        <v>603159</v>
      </c>
      <c r="R381" s="79"/>
      <c r="S381" s="80" t="s">
        <v>923</v>
      </c>
      <c r="U381" s="81"/>
    </row>
    <row r="382" spans="1:21" s="6" customFormat="1" ht="33.6" customHeight="1">
      <c r="A382" s="32">
        <v>368</v>
      </c>
      <c r="B382" s="40"/>
      <c r="C382" s="40"/>
      <c r="D382" s="34"/>
      <c r="E382" s="35" t="str">
        <f>'Tên Tháng 1'!E371</f>
        <v>ឈុន សុឃីម</v>
      </c>
      <c r="F382" s="36" t="str">
        <f>'Tên Tháng 1'!F371</f>
        <v>CHHUN SOKHIM</v>
      </c>
      <c r="G382" s="37">
        <v>407</v>
      </c>
      <c r="H382" s="38">
        <v>31947</v>
      </c>
      <c r="I382" s="59">
        <f>'KL 1'!X383</f>
        <v>15.97</v>
      </c>
      <c r="J382" s="60">
        <f t="shared" si="36"/>
        <v>510194</v>
      </c>
      <c r="K382" s="61"/>
      <c r="L382" s="62"/>
      <c r="M382" s="63">
        <f t="shared" si="37"/>
        <v>510194</v>
      </c>
      <c r="N382" s="64">
        <f t="shared" si="39"/>
        <v>0</v>
      </c>
      <c r="O382" s="65">
        <f t="shared" si="40"/>
        <v>0</v>
      </c>
      <c r="P382" s="66">
        <f t="shared" si="41"/>
        <v>0</v>
      </c>
      <c r="Q382" s="60">
        <f t="shared" si="38"/>
        <v>510194</v>
      </c>
      <c r="R382" s="79"/>
      <c r="S382" s="80" t="s">
        <v>923</v>
      </c>
      <c r="U382" s="81"/>
    </row>
    <row r="383" spans="1:21" s="6" customFormat="1" ht="33.6" customHeight="1">
      <c r="A383" s="32">
        <v>369</v>
      </c>
      <c r="B383" s="40"/>
      <c r="C383" s="40"/>
      <c r="D383" s="34"/>
      <c r="E383" s="35" t="str">
        <f>'Tên Tháng 1'!E372</f>
        <v>អ៊ី​ សុខេង</v>
      </c>
      <c r="F383" s="36" t="str">
        <f>'Tên Tháng 1'!F372</f>
        <v>IY SOHKENG</v>
      </c>
      <c r="G383" s="37">
        <v>408</v>
      </c>
      <c r="H383" s="38">
        <v>31947</v>
      </c>
      <c r="I383" s="59">
        <f>'KL 1'!X384</f>
        <v>15.889999999999999</v>
      </c>
      <c r="J383" s="60">
        <f t="shared" si="36"/>
        <v>507638</v>
      </c>
      <c r="K383" s="61"/>
      <c r="L383" s="62"/>
      <c r="M383" s="63">
        <f t="shared" si="37"/>
        <v>507638</v>
      </c>
      <c r="N383" s="64">
        <f t="shared" si="39"/>
        <v>0</v>
      </c>
      <c r="O383" s="65">
        <f t="shared" si="40"/>
        <v>0</v>
      </c>
      <c r="P383" s="66">
        <f t="shared" si="41"/>
        <v>0</v>
      </c>
      <c r="Q383" s="60">
        <f t="shared" si="38"/>
        <v>507638</v>
      </c>
      <c r="R383" s="79"/>
      <c r="S383" s="80" t="s">
        <v>923</v>
      </c>
      <c r="U383" s="81"/>
    </row>
    <row r="384" spans="1:21" s="6" customFormat="1" ht="33.6" customHeight="1">
      <c r="A384" s="32">
        <v>370</v>
      </c>
      <c r="B384" s="40"/>
      <c r="C384" s="40"/>
      <c r="D384" s="34"/>
      <c r="E384" s="35" t="str">
        <f>'Tên Tháng 1'!E373</f>
        <v>អ៊ាង ផាត</v>
      </c>
      <c r="F384" s="36" t="str">
        <f>'Tên Tháng 1'!F373</f>
        <v>IENG PHAT</v>
      </c>
      <c r="G384" s="37">
        <v>409</v>
      </c>
      <c r="H384" s="38">
        <v>31947</v>
      </c>
      <c r="I384" s="59">
        <f>'KL 1'!X385</f>
        <v>13.68</v>
      </c>
      <c r="J384" s="60">
        <f t="shared" si="36"/>
        <v>437035</v>
      </c>
      <c r="K384" s="61"/>
      <c r="L384" s="62"/>
      <c r="M384" s="63">
        <f t="shared" si="37"/>
        <v>437035</v>
      </c>
      <c r="N384" s="64">
        <f t="shared" si="39"/>
        <v>0</v>
      </c>
      <c r="O384" s="65">
        <f t="shared" si="40"/>
        <v>0</v>
      </c>
      <c r="P384" s="66">
        <f t="shared" si="41"/>
        <v>0</v>
      </c>
      <c r="Q384" s="60">
        <f t="shared" si="38"/>
        <v>437035</v>
      </c>
      <c r="R384" s="79"/>
      <c r="S384" s="80" t="s">
        <v>923</v>
      </c>
      <c r="U384" s="81"/>
    </row>
    <row r="385" spans="1:21" s="6" customFormat="1" ht="33.6" customHeight="1">
      <c r="A385" s="32">
        <v>371</v>
      </c>
      <c r="B385" s="40"/>
      <c r="C385" s="40"/>
      <c r="D385" s="34"/>
      <c r="E385" s="35" t="str">
        <f>'Tên Tháng 1'!E374</f>
        <v>ហ៊ន់ ស្រីហ៊ាង</v>
      </c>
      <c r="F385" s="36" t="str">
        <f>'Tên Tháng 1'!F374</f>
        <v>HORN SREYHEANG</v>
      </c>
      <c r="G385" s="37">
        <v>410</v>
      </c>
      <c r="H385" s="38">
        <v>31947</v>
      </c>
      <c r="I385" s="59">
        <f>'KL 1'!X386</f>
        <v>13.479999999999999</v>
      </c>
      <c r="J385" s="60">
        <f t="shared" si="36"/>
        <v>430646</v>
      </c>
      <c r="K385" s="61"/>
      <c r="L385" s="62"/>
      <c r="M385" s="63">
        <f t="shared" si="37"/>
        <v>430646</v>
      </c>
      <c r="N385" s="64">
        <f t="shared" si="39"/>
        <v>0</v>
      </c>
      <c r="O385" s="65">
        <f t="shared" si="40"/>
        <v>0</v>
      </c>
      <c r="P385" s="66">
        <f t="shared" si="41"/>
        <v>0</v>
      </c>
      <c r="Q385" s="60">
        <f t="shared" si="38"/>
        <v>430646</v>
      </c>
      <c r="R385" s="79"/>
      <c r="S385" s="80" t="s">
        <v>923</v>
      </c>
      <c r="U385" s="81"/>
    </row>
    <row r="386" spans="1:21" s="6" customFormat="1" ht="33.6" customHeight="1">
      <c r="A386" s="32">
        <v>372</v>
      </c>
      <c r="B386" s="40"/>
      <c r="C386" s="40"/>
      <c r="D386" s="34"/>
      <c r="E386" s="35" t="str">
        <f>'Tên Tháng 1'!E375</f>
        <v>ត្រុច ចិត្រ្តា</v>
      </c>
      <c r="F386" s="36" t="str">
        <f>'Tên Tháng 1'!F375</f>
        <v>TROCH CHET TRA</v>
      </c>
      <c r="G386" s="37">
        <v>411</v>
      </c>
      <c r="H386" s="38">
        <v>31947</v>
      </c>
      <c r="I386" s="59">
        <f>'KL 1'!X387</f>
        <v>14.93</v>
      </c>
      <c r="J386" s="60">
        <f t="shared" si="36"/>
        <v>476969</v>
      </c>
      <c r="K386" s="61"/>
      <c r="L386" s="62"/>
      <c r="M386" s="63">
        <f t="shared" si="37"/>
        <v>476969</v>
      </c>
      <c r="N386" s="64">
        <f t="shared" si="39"/>
        <v>0</v>
      </c>
      <c r="O386" s="65">
        <f t="shared" si="40"/>
        <v>0</v>
      </c>
      <c r="P386" s="66">
        <f t="shared" si="41"/>
        <v>0</v>
      </c>
      <c r="Q386" s="60">
        <f t="shared" si="38"/>
        <v>476969</v>
      </c>
      <c r="R386" s="79"/>
      <c r="S386" s="80" t="s">
        <v>923</v>
      </c>
      <c r="U386" s="81"/>
    </row>
    <row r="387" spans="1:21" s="6" customFormat="1" ht="33.6" customHeight="1">
      <c r="A387" s="32">
        <v>373</v>
      </c>
      <c r="B387" s="40"/>
      <c r="C387" s="40"/>
      <c r="D387" s="34"/>
      <c r="E387" s="35" t="str">
        <f>'Tên Tháng 1'!E376</f>
        <v>ឈុន សុខធា</v>
      </c>
      <c r="F387" s="36" t="str">
        <f>'Tên Tháng 1'!F376</f>
        <v>CHHUN SOKTHEA</v>
      </c>
      <c r="G387" s="37">
        <v>412</v>
      </c>
      <c r="H387" s="38">
        <v>31947</v>
      </c>
      <c r="I387" s="59">
        <f>'KL 1'!X388</f>
        <v>13.95</v>
      </c>
      <c r="J387" s="60">
        <f t="shared" si="36"/>
        <v>445661</v>
      </c>
      <c r="K387" s="61"/>
      <c r="L387" s="62"/>
      <c r="M387" s="63">
        <f t="shared" si="37"/>
        <v>445661</v>
      </c>
      <c r="N387" s="64">
        <f t="shared" si="39"/>
        <v>0</v>
      </c>
      <c r="O387" s="65">
        <f t="shared" si="40"/>
        <v>0</v>
      </c>
      <c r="P387" s="66">
        <f t="shared" si="41"/>
        <v>0</v>
      </c>
      <c r="Q387" s="60">
        <f t="shared" si="38"/>
        <v>445661</v>
      </c>
      <c r="R387" s="79"/>
      <c r="S387" s="80" t="s">
        <v>923</v>
      </c>
      <c r="U387" s="81"/>
    </row>
    <row r="388" spans="1:21" s="6" customFormat="1" ht="33.6" customHeight="1">
      <c r="A388" s="32">
        <v>374</v>
      </c>
      <c r="B388" s="40"/>
      <c r="C388" s="40"/>
      <c r="D388" s="34"/>
      <c r="E388" s="35" t="str">
        <f>'Tên Tháng 1'!E377</f>
        <v>ថាវ ផា</v>
      </c>
      <c r="F388" s="36" t="str">
        <f>'Tên Tháng 1'!F377</f>
        <v>THAV PHA</v>
      </c>
      <c r="G388" s="37">
        <v>413</v>
      </c>
      <c r="H388" s="38">
        <v>31947</v>
      </c>
      <c r="I388" s="59">
        <f>'KL 1'!X389</f>
        <v>20.149999999999999</v>
      </c>
      <c r="J388" s="60">
        <f t="shared" si="36"/>
        <v>643732</v>
      </c>
      <c r="K388" s="61"/>
      <c r="L388" s="62"/>
      <c r="M388" s="63">
        <f t="shared" si="37"/>
        <v>643732</v>
      </c>
      <c r="N388" s="64">
        <f t="shared" si="39"/>
        <v>0</v>
      </c>
      <c r="O388" s="65">
        <f t="shared" si="40"/>
        <v>0</v>
      </c>
      <c r="P388" s="66">
        <f t="shared" si="41"/>
        <v>0</v>
      </c>
      <c r="Q388" s="60">
        <f t="shared" si="38"/>
        <v>643732</v>
      </c>
      <c r="R388" s="79"/>
      <c r="S388" s="80" t="s">
        <v>923</v>
      </c>
      <c r="U388" s="81"/>
    </row>
    <row r="389" spans="1:21" s="6" customFormat="1" ht="33.6" customHeight="1">
      <c r="A389" s="32">
        <v>375</v>
      </c>
      <c r="B389" s="40"/>
      <c r="C389" s="40"/>
      <c r="D389" s="34"/>
      <c r="E389" s="35" t="str">
        <f>'Tên Tháng 1'!E378</f>
        <v>លន វុត</v>
      </c>
      <c r="F389" s="36" t="str">
        <f>'Tên Tháng 1'!F378</f>
        <v>LORN VUT</v>
      </c>
      <c r="G389" s="37">
        <v>414</v>
      </c>
      <c r="H389" s="38">
        <v>31947</v>
      </c>
      <c r="I389" s="59">
        <f>'KL 1'!X390</f>
        <v>18.98</v>
      </c>
      <c r="J389" s="60">
        <f t="shared" si="36"/>
        <v>606354</v>
      </c>
      <c r="K389" s="61"/>
      <c r="L389" s="62"/>
      <c r="M389" s="63">
        <f t="shared" si="37"/>
        <v>606354</v>
      </c>
      <c r="N389" s="64">
        <f t="shared" si="39"/>
        <v>0</v>
      </c>
      <c r="O389" s="65">
        <f t="shared" si="40"/>
        <v>0</v>
      </c>
      <c r="P389" s="66">
        <f t="shared" si="41"/>
        <v>0</v>
      </c>
      <c r="Q389" s="60">
        <f t="shared" si="38"/>
        <v>606354</v>
      </c>
      <c r="R389" s="79"/>
      <c r="S389" s="80" t="s">
        <v>923</v>
      </c>
      <c r="U389" s="81"/>
    </row>
    <row r="390" spans="1:21" s="6" customFormat="1" ht="33.6" customHeight="1">
      <c r="A390" s="32">
        <v>376</v>
      </c>
      <c r="B390" s="40"/>
      <c r="C390" s="40"/>
      <c r="D390" s="34"/>
      <c r="E390" s="35" t="str">
        <f>'Tên Tháng 1'!E379</f>
        <v>លីន ចាន់</v>
      </c>
      <c r="F390" s="36" t="str">
        <f>'Tên Tháng 1'!F379</f>
        <v>LIN CHAN</v>
      </c>
      <c r="G390" s="37">
        <v>415</v>
      </c>
      <c r="H390" s="38">
        <v>31947</v>
      </c>
      <c r="I390" s="59">
        <f>'KL 1'!X391</f>
        <v>18.84</v>
      </c>
      <c r="J390" s="60">
        <f t="shared" si="36"/>
        <v>601881</v>
      </c>
      <c r="K390" s="61"/>
      <c r="L390" s="62"/>
      <c r="M390" s="63">
        <f t="shared" si="37"/>
        <v>601881</v>
      </c>
      <c r="N390" s="64">
        <f t="shared" si="39"/>
        <v>0</v>
      </c>
      <c r="O390" s="65">
        <f t="shared" si="40"/>
        <v>0</v>
      </c>
      <c r="P390" s="66">
        <f t="shared" si="41"/>
        <v>0</v>
      </c>
      <c r="Q390" s="60">
        <f t="shared" si="38"/>
        <v>601881</v>
      </c>
      <c r="R390" s="79"/>
      <c r="S390" s="80" t="s">
        <v>923</v>
      </c>
      <c r="U390" s="81"/>
    </row>
    <row r="391" spans="1:21" s="6" customFormat="1" ht="33.6" customHeight="1">
      <c r="A391" s="32">
        <v>377</v>
      </c>
      <c r="B391" s="40"/>
      <c r="C391" s="40"/>
      <c r="D391" s="34"/>
      <c r="E391" s="35" t="str">
        <f>'Tên Tháng 1'!E380</f>
        <v>ប៊ុណ្ណា ចាន់ទ្រា</v>
      </c>
      <c r="F391" s="36" t="str">
        <f>'Tên Tháng 1'!F380</f>
        <v>BUNNA CHAN TREA</v>
      </c>
      <c r="G391" s="37">
        <v>416</v>
      </c>
      <c r="H391" s="38">
        <v>31947</v>
      </c>
      <c r="I391" s="59">
        <f>'KL 1'!X392</f>
        <v>16.16</v>
      </c>
      <c r="J391" s="60">
        <f t="shared" si="36"/>
        <v>516264</v>
      </c>
      <c r="K391" s="61"/>
      <c r="L391" s="62"/>
      <c r="M391" s="63">
        <f t="shared" si="37"/>
        <v>516264</v>
      </c>
      <c r="N391" s="64">
        <f t="shared" si="39"/>
        <v>0</v>
      </c>
      <c r="O391" s="65">
        <f t="shared" si="40"/>
        <v>0</v>
      </c>
      <c r="P391" s="66">
        <f t="shared" si="41"/>
        <v>0</v>
      </c>
      <c r="Q391" s="60">
        <f t="shared" si="38"/>
        <v>516264</v>
      </c>
      <c r="R391" s="79"/>
      <c r="S391" s="80" t="s">
        <v>923</v>
      </c>
      <c r="U391" s="81"/>
    </row>
    <row r="392" spans="1:21" s="6" customFormat="1" ht="33.6" customHeight="1">
      <c r="A392" s="32">
        <v>378</v>
      </c>
      <c r="B392" s="40"/>
      <c r="C392" s="40"/>
      <c r="D392" s="34"/>
      <c r="E392" s="35" t="str">
        <f>'Tên Tháng 1'!E381</f>
        <v>ទិត ភឿន</v>
      </c>
      <c r="F392" s="36" t="str">
        <f>'Tên Tháng 1'!F381</f>
        <v>TITH PHOEUN</v>
      </c>
      <c r="G392" s="37">
        <v>417</v>
      </c>
      <c r="H392" s="38">
        <v>31947</v>
      </c>
      <c r="I392" s="59">
        <f>'KL 1'!X393</f>
        <v>16.260000000000002</v>
      </c>
      <c r="J392" s="60">
        <f t="shared" si="36"/>
        <v>519458</v>
      </c>
      <c r="K392" s="61"/>
      <c r="L392" s="62"/>
      <c r="M392" s="63">
        <f t="shared" si="37"/>
        <v>519458</v>
      </c>
      <c r="N392" s="64">
        <f t="shared" si="39"/>
        <v>0</v>
      </c>
      <c r="O392" s="65">
        <f t="shared" si="40"/>
        <v>0</v>
      </c>
      <c r="P392" s="66">
        <f t="shared" si="41"/>
        <v>0</v>
      </c>
      <c r="Q392" s="60">
        <f t="shared" si="38"/>
        <v>519458</v>
      </c>
      <c r="R392" s="79"/>
      <c r="S392" s="80" t="s">
        <v>923</v>
      </c>
      <c r="U392" s="81"/>
    </row>
    <row r="393" spans="1:21" s="6" customFormat="1" ht="33.6" customHeight="1">
      <c r="A393" s="32">
        <v>379</v>
      </c>
      <c r="B393" s="40"/>
      <c r="C393" s="40"/>
      <c r="D393" s="34"/>
      <c r="E393" s="35" t="str">
        <f>'Tên Tháng 1'!E382</f>
        <v>យេត​ យ៉ឺ</v>
      </c>
      <c r="F393" s="36" t="str">
        <f>'Tên Tháng 1'!F382</f>
        <v>YET YEV</v>
      </c>
      <c r="G393" s="37">
        <v>418</v>
      </c>
      <c r="H393" s="38">
        <v>31947</v>
      </c>
      <c r="I393" s="59">
        <f>'KL 1'!X394</f>
        <v>18.61</v>
      </c>
      <c r="J393" s="60">
        <f t="shared" si="36"/>
        <v>594534</v>
      </c>
      <c r="K393" s="61"/>
      <c r="L393" s="62"/>
      <c r="M393" s="63">
        <f t="shared" si="37"/>
        <v>594534</v>
      </c>
      <c r="N393" s="64">
        <f t="shared" si="39"/>
        <v>0</v>
      </c>
      <c r="O393" s="65">
        <f t="shared" si="40"/>
        <v>0</v>
      </c>
      <c r="P393" s="66">
        <f t="shared" si="41"/>
        <v>0</v>
      </c>
      <c r="Q393" s="60">
        <f t="shared" si="38"/>
        <v>594534</v>
      </c>
      <c r="R393" s="79"/>
      <c r="S393" s="80" t="s">
        <v>923</v>
      </c>
      <c r="U393" s="81"/>
    </row>
    <row r="394" spans="1:21" s="6" customFormat="1" ht="33.6" customHeight="1">
      <c r="A394" s="32">
        <v>380</v>
      </c>
      <c r="B394" s="40"/>
      <c r="C394" s="40"/>
      <c r="D394" s="34"/>
      <c r="E394" s="35" t="str">
        <f>'Tên Tháng 1'!E383</f>
        <v>ប៊ុនណា មករា</v>
      </c>
      <c r="F394" s="36" t="str">
        <f>'Tên Tháng 1'!F383</f>
        <v>BUNNA MAKARA</v>
      </c>
      <c r="G394" s="37">
        <v>419</v>
      </c>
      <c r="H394" s="38">
        <v>31947</v>
      </c>
      <c r="I394" s="59">
        <f>'KL 1'!X395</f>
        <v>18.54</v>
      </c>
      <c r="J394" s="60">
        <f t="shared" si="36"/>
        <v>592297</v>
      </c>
      <c r="K394" s="61"/>
      <c r="L394" s="62"/>
      <c r="M394" s="63">
        <f t="shared" si="37"/>
        <v>592297</v>
      </c>
      <c r="N394" s="64">
        <f t="shared" si="39"/>
        <v>0</v>
      </c>
      <c r="O394" s="65">
        <f t="shared" si="40"/>
        <v>0</v>
      </c>
      <c r="P394" s="66">
        <f t="shared" si="41"/>
        <v>0</v>
      </c>
      <c r="Q394" s="60">
        <f t="shared" si="38"/>
        <v>592297</v>
      </c>
      <c r="R394" s="79"/>
      <c r="S394" s="80" t="s">
        <v>923</v>
      </c>
      <c r="U394" s="81"/>
    </row>
    <row r="395" spans="1:21" s="6" customFormat="1" ht="33.6" customHeight="1">
      <c r="A395" s="32">
        <v>381</v>
      </c>
      <c r="B395" s="40"/>
      <c r="C395" s="40"/>
      <c r="D395" s="34"/>
      <c r="E395" s="35" t="str">
        <f>'Tên Tháng 1'!E384</f>
        <v>ប៉ិច រក្សា</v>
      </c>
      <c r="F395" s="36" t="str">
        <f>'Tên Tháng 1'!F384</f>
        <v>PECH REAKSA</v>
      </c>
      <c r="G395" s="37">
        <v>420</v>
      </c>
      <c r="H395" s="38">
        <v>31947</v>
      </c>
      <c r="I395" s="59">
        <f>'KL 1'!X396</f>
        <v>17.37</v>
      </c>
      <c r="J395" s="60">
        <f t="shared" si="36"/>
        <v>554919</v>
      </c>
      <c r="K395" s="61"/>
      <c r="L395" s="62"/>
      <c r="M395" s="63">
        <f t="shared" si="37"/>
        <v>554919</v>
      </c>
      <c r="N395" s="64">
        <f t="shared" si="39"/>
        <v>0</v>
      </c>
      <c r="O395" s="65">
        <f t="shared" si="40"/>
        <v>0</v>
      </c>
      <c r="P395" s="66">
        <f t="shared" si="41"/>
        <v>0</v>
      </c>
      <c r="Q395" s="60">
        <f t="shared" si="38"/>
        <v>554919</v>
      </c>
      <c r="R395" s="79"/>
      <c r="S395" s="80" t="s">
        <v>923</v>
      </c>
      <c r="U395" s="81"/>
    </row>
    <row r="396" spans="1:21" s="6" customFormat="1" ht="33.6" customHeight="1">
      <c r="A396" s="32">
        <v>382</v>
      </c>
      <c r="B396" s="40"/>
      <c r="C396" s="40"/>
      <c r="D396" s="34"/>
      <c r="E396" s="35" t="str">
        <f>'Tên Tháng 1'!E385</f>
        <v>គ្រីប គន្ធា</v>
      </c>
      <c r="F396" s="36" t="str">
        <f>'Tên Tháng 1'!F385</f>
        <v>KRIB KUNTHEA</v>
      </c>
      <c r="G396" s="37">
        <v>421</v>
      </c>
      <c r="H396" s="38">
        <v>31947</v>
      </c>
      <c r="I396" s="59">
        <f>'KL 1'!X397</f>
        <v>17.400000000000002</v>
      </c>
      <c r="J396" s="60">
        <f t="shared" si="36"/>
        <v>555878</v>
      </c>
      <c r="K396" s="61"/>
      <c r="L396" s="62"/>
      <c r="M396" s="63">
        <f t="shared" si="37"/>
        <v>555878</v>
      </c>
      <c r="N396" s="64">
        <f t="shared" si="39"/>
        <v>0</v>
      </c>
      <c r="O396" s="65">
        <f t="shared" si="40"/>
        <v>0</v>
      </c>
      <c r="P396" s="66">
        <f t="shared" si="41"/>
        <v>0</v>
      </c>
      <c r="Q396" s="60">
        <f t="shared" si="38"/>
        <v>555878</v>
      </c>
      <c r="R396" s="79"/>
      <c r="S396" s="80" t="s">
        <v>923</v>
      </c>
      <c r="U396" s="81"/>
    </row>
    <row r="397" spans="1:21" s="6" customFormat="1" ht="33.6" customHeight="1">
      <c r="A397" s="32">
        <v>383</v>
      </c>
      <c r="B397" s="40"/>
      <c r="C397" s="40"/>
      <c r="D397" s="34"/>
      <c r="E397" s="35" t="str">
        <f>'Tên Tháng 1'!E386</f>
        <v>គ្រីប ស្រិន</v>
      </c>
      <c r="F397" s="36" t="str">
        <f>'Tên Tháng 1'!F386</f>
        <v>KRIB SRIN</v>
      </c>
      <c r="G397" s="37">
        <v>422</v>
      </c>
      <c r="H397" s="38">
        <v>31947</v>
      </c>
      <c r="I397" s="59">
        <f>'KL 1'!X398</f>
        <v>17.049999999999997</v>
      </c>
      <c r="J397" s="60">
        <f t="shared" si="36"/>
        <v>544696</v>
      </c>
      <c r="K397" s="61"/>
      <c r="L397" s="62"/>
      <c r="M397" s="63">
        <f t="shared" si="37"/>
        <v>544696</v>
      </c>
      <c r="N397" s="64">
        <f t="shared" si="39"/>
        <v>0</v>
      </c>
      <c r="O397" s="65">
        <f t="shared" si="40"/>
        <v>0</v>
      </c>
      <c r="P397" s="66">
        <f t="shared" si="41"/>
        <v>0</v>
      </c>
      <c r="Q397" s="60">
        <f t="shared" si="38"/>
        <v>544696</v>
      </c>
      <c r="R397" s="79"/>
      <c r="S397" s="80" t="s">
        <v>923</v>
      </c>
      <c r="U397" s="81"/>
    </row>
    <row r="398" spans="1:21" s="6" customFormat="1" ht="33.6" customHeight="1">
      <c r="A398" s="32">
        <v>384</v>
      </c>
      <c r="B398" s="40"/>
      <c r="C398" s="40"/>
      <c r="D398" s="34"/>
      <c r="E398" s="35" t="str">
        <f>'Tên Tháng 1'!E387</f>
        <v>យូន ថាញ់</v>
      </c>
      <c r="F398" s="36" t="str">
        <f>'Tên Tháng 1'!F387</f>
        <v>YOUN THANH</v>
      </c>
      <c r="G398" s="37">
        <v>423</v>
      </c>
      <c r="H398" s="38">
        <v>31947</v>
      </c>
      <c r="I398" s="59">
        <f>'KL 1'!X399</f>
        <v>17.470000000000002</v>
      </c>
      <c r="J398" s="60">
        <f t="shared" si="36"/>
        <v>558114</v>
      </c>
      <c r="K398" s="61"/>
      <c r="L398" s="62"/>
      <c r="M398" s="63">
        <f t="shared" si="37"/>
        <v>558114</v>
      </c>
      <c r="N398" s="64">
        <f t="shared" si="39"/>
        <v>0</v>
      </c>
      <c r="O398" s="65">
        <f t="shared" si="40"/>
        <v>0</v>
      </c>
      <c r="P398" s="66">
        <f t="shared" si="41"/>
        <v>0</v>
      </c>
      <c r="Q398" s="60">
        <f t="shared" si="38"/>
        <v>558114</v>
      </c>
      <c r="R398" s="79"/>
      <c r="S398" s="80" t="s">
        <v>923</v>
      </c>
      <c r="U398" s="81"/>
    </row>
    <row r="399" spans="1:21" s="6" customFormat="1" ht="33.6" customHeight="1">
      <c r="A399" s="32">
        <v>385</v>
      </c>
      <c r="B399" s="40"/>
      <c r="C399" s="40"/>
      <c r="D399" s="34"/>
      <c r="E399" s="35" t="str">
        <f>'Tên Tháng 1'!E388</f>
        <v>រត សារិ</v>
      </c>
      <c r="F399" s="36" t="str">
        <f>'Tên Tháng 1'!F388</f>
        <v>ROT SARIK</v>
      </c>
      <c r="G399" s="37">
        <v>424</v>
      </c>
      <c r="H399" s="38">
        <v>31947</v>
      </c>
      <c r="I399" s="59">
        <f>'KL 1'!X400</f>
        <v>13.31</v>
      </c>
      <c r="J399" s="60">
        <f t="shared" si="36"/>
        <v>425215</v>
      </c>
      <c r="K399" s="61"/>
      <c r="L399" s="62"/>
      <c r="M399" s="63">
        <f t="shared" si="37"/>
        <v>425215</v>
      </c>
      <c r="N399" s="64">
        <f t="shared" si="39"/>
        <v>0</v>
      </c>
      <c r="O399" s="65">
        <f t="shared" si="40"/>
        <v>0</v>
      </c>
      <c r="P399" s="66">
        <f t="shared" si="41"/>
        <v>0</v>
      </c>
      <c r="Q399" s="60">
        <f t="shared" si="38"/>
        <v>425215</v>
      </c>
      <c r="R399" s="79"/>
      <c r="S399" s="80" t="s">
        <v>923</v>
      </c>
      <c r="U399" s="81"/>
    </row>
    <row r="400" spans="1:21" s="6" customFormat="1" ht="33.6" customHeight="1">
      <c r="A400" s="32">
        <v>386</v>
      </c>
      <c r="B400" s="40"/>
      <c r="C400" s="40"/>
      <c r="D400" s="34"/>
      <c r="E400" s="35" t="str">
        <f>'Tên Tháng 1'!E389</f>
        <v>គា គន្ធា</v>
      </c>
      <c r="F400" s="36" t="str">
        <f>'Tên Tháng 1'!F389</f>
        <v>KHEA KUNTHEA</v>
      </c>
      <c r="G400" s="37">
        <v>425</v>
      </c>
      <c r="H400" s="38">
        <v>31947</v>
      </c>
      <c r="I400" s="59">
        <f>'KL 1'!X401</f>
        <v>19.140000000000004</v>
      </c>
      <c r="J400" s="60">
        <f t="shared" ref="J400:J463" si="42">ROUND(H400*I400,0)</f>
        <v>611466</v>
      </c>
      <c r="K400" s="61"/>
      <c r="L400" s="62"/>
      <c r="M400" s="63">
        <f t="shared" ref="M400:M463" si="43">J400+L400</f>
        <v>611466</v>
      </c>
      <c r="N400" s="64">
        <f t="shared" si="39"/>
        <v>0</v>
      </c>
      <c r="O400" s="65">
        <f t="shared" si="40"/>
        <v>0</v>
      </c>
      <c r="P400" s="66">
        <f t="shared" si="41"/>
        <v>0</v>
      </c>
      <c r="Q400" s="60">
        <f t="shared" ref="Q400:Q463" si="44">M400-L400</f>
        <v>611466</v>
      </c>
      <c r="R400" s="79"/>
      <c r="S400" s="80" t="s">
        <v>923</v>
      </c>
      <c r="U400" s="81"/>
    </row>
    <row r="401" spans="1:21" s="6" customFormat="1" ht="33.6" customHeight="1">
      <c r="A401" s="32">
        <v>387</v>
      </c>
      <c r="B401" s="40"/>
      <c r="C401" s="40"/>
      <c r="D401" s="34"/>
      <c r="E401" s="35" t="str">
        <f>'Tên Tháng 1'!E390</f>
        <v>សេង ត្រុច</v>
      </c>
      <c r="F401" s="36" t="str">
        <f>'Tên Tháng 1'!F390</f>
        <v>SENG TROCH</v>
      </c>
      <c r="G401" s="37">
        <v>426</v>
      </c>
      <c r="H401" s="38">
        <v>31947</v>
      </c>
      <c r="I401" s="59">
        <f>'KL 1'!X402</f>
        <v>17.62</v>
      </c>
      <c r="J401" s="60">
        <f t="shared" si="42"/>
        <v>562906</v>
      </c>
      <c r="K401" s="61"/>
      <c r="L401" s="62"/>
      <c r="M401" s="63">
        <f t="shared" si="43"/>
        <v>562906</v>
      </c>
      <c r="N401" s="64">
        <f t="shared" si="39"/>
        <v>0</v>
      </c>
      <c r="O401" s="65">
        <f t="shared" si="40"/>
        <v>0</v>
      </c>
      <c r="P401" s="66">
        <f t="shared" si="41"/>
        <v>0</v>
      </c>
      <c r="Q401" s="60">
        <f t="shared" si="44"/>
        <v>562906</v>
      </c>
      <c r="R401" s="79"/>
      <c r="S401" s="80" t="s">
        <v>923</v>
      </c>
      <c r="U401" s="81"/>
    </row>
    <row r="402" spans="1:21" s="6" customFormat="1" ht="33.6" customHeight="1">
      <c r="A402" s="32">
        <v>388</v>
      </c>
      <c r="B402" s="40"/>
      <c r="C402" s="40"/>
      <c r="D402" s="34"/>
      <c r="E402" s="35" t="str">
        <f>'Tên Tháng 1'!E391</f>
        <v>ឡាក់ ចំរើន</v>
      </c>
      <c r="F402" s="36" t="str">
        <f>'Tên Tháng 1'!F391</f>
        <v>LAK CHAMRERN</v>
      </c>
      <c r="G402" s="37">
        <v>427</v>
      </c>
      <c r="H402" s="38">
        <v>31947</v>
      </c>
      <c r="I402" s="59">
        <f>'KL 1'!X403</f>
        <v>19.57</v>
      </c>
      <c r="J402" s="60">
        <f t="shared" si="42"/>
        <v>625203</v>
      </c>
      <c r="K402" s="61"/>
      <c r="L402" s="62"/>
      <c r="M402" s="63">
        <f t="shared" si="43"/>
        <v>625203</v>
      </c>
      <c r="N402" s="64">
        <f t="shared" si="39"/>
        <v>0</v>
      </c>
      <c r="O402" s="65">
        <f t="shared" si="40"/>
        <v>0</v>
      </c>
      <c r="P402" s="66">
        <f t="shared" si="41"/>
        <v>0</v>
      </c>
      <c r="Q402" s="60">
        <f t="shared" si="44"/>
        <v>625203</v>
      </c>
      <c r="R402" s="79"/>
      <c r="S402" s="80" t="s">
        <v>923</v>
      </c>
      <c r="U402" s="81"/>
    </row>
    <row r="403" spans="1:21" s="6" customFormat="1" ht="27.45" customHeight="1">
      <c r="A403" s="32">
        <v>389</v>
      </c>
      <c r="B403" s="40"/>
      <c r="C403" s="40"/>
      <c r="D403" s="34"/>
      <c r="E403" s="35" t="str">
        <f>'Tên Tháng 1'!E392</f>
        <v>ធី ចាន់</v>
      </c>
      <c r="F403" s="36" t="str">
        <f>'Tên Tháng 1'!F392</f>
        <v>THY CHAN</v>
      </c>
      <c r="G403" s="37">
        <v>293</v>
      </c>
      <c r="H403" s="38">
        <v>31947</v>
      </c>
      <c r="I403" s="59">
        <f>'KL 1'!X404</f>
        <v>12.57</v>
      </c>
      <c r="J403" s="60">
        <f t="shared" si="42"/>
        <v>401574</v>
      </c>
      <c r="K403" s="61"/>
      <c r="L403" s="62"/>
      <c r="M403" s="63">
        <f t="shared" si="43"/>
        <v>401574</v>
      </c>
      <c r="N403" s="64">
        <f t="shared" si="39"/>
        <v>0</v>
      </c>
      <c r="O403" s="65">
        <f t="shared" si="40"/>
        <v>0</v>
      </c>
      <c r="P403" s="66">
        <f t="shared" si="41"/>
        <v>0</v>
      </c>
      <c r="Q403" s="60">
        <f t="shared" si="44"/>
        <v>401574</v>
      </c>
      <c r="R403" s="79"/>
      <c r="S403" s="80" t="s">
        <v>1094</v>
      </c>
      <c r="U403" s="81"/>
    </row>
    <row r="404" spans="1:21" s="6" customFormat="1" ht="27.45" customHeight="1">
      <c r="A404" s="32">
        <v>390</v>
      </c>
      <c r="B404" s="40"/>
      <c r="C404" s="40"/>
      <c r="D404" s="34"/>
      <c r="E404" s="35" t="str">
        <f>'Tên Tháng 1'!E393</f>
        <v>ស៊ុត សុផល</v>
      </c>
      <c r="F404" s="36" t="str">
        <f>'Tên Tháng 1'!F393</f>
        <v>SUT SOPHAL</v>
      </c>
      <c r="G404" s="37">
        <v>294</v>
      </c>
      <c r="H404" s="38">
        <v>31947</v>
      </c>
      <c r="I404" s="59">
        <f>'KL 1'!X405</f>
        <v>14.3</v>
      </c>
      <c r="J404" s="60">
        <f t="shared" si="42"/>
        <v>456842</v>
      </c>
      <c r="K404" s="61"/>
      <c r="L404" s="62"/>
      <c r="M404" s="63">
        <f t="shared" si="43"/>
        <v>456842</v>
      </c>
      <c r="N404" s="64">
        <f t="shared" si="39"/>
        <v>0</v>
      </c>
      <c r="O404" s="65">
        <f t="shared" si="40"/>
        <v>0</v>
      </c>
      <c r="P404" s="66">
        <f t="shared" si="41"/>
        <v>0</v>
      </c>
      <c r="Q404" s="60">
        <f t="shared" si="44"/>
        <v>456842</v>
      </c>
      <c r="R404" s="79"/>
      <c r="S404" s="80" t="s">
        <v>1094</v>
      </c>
      <c r="U404" s="81"/>
    </row>
    <row r="405" spans="1:21" s="6" customFormat="1" ht="27.45" customHeight="1">
      <c r="A405" s="32">
        <v>391</v>
      </c>
      <c r="B405" s="40"/>
      <c r="C405" s="40"/>
      <c r="D405" s="34"/>
      <c r="E405" s="35" t="str">
        <f>'Tên Tháng 1'!E394</f>
        <v>ហៃ អុល</v>
      </c>
      <c r="F405" s="36" t="str">
        <f>'Tên Tháng 1'!F394</f>
        <v>HAI OL</v>
      </c>
      <c r="G405" s="37">
        <v>295</v>
      </c>
      <c r="H405" s="38">
        <v>31947</v>
      </c>
      <c r="I405" s="59">
        <f>'KL 1'!X406</f>
        <v>16.999999999999996</v>
      </c>
      <c r="J405" s="60">
        <f t="shared" si="42"/>
        <v>543099</v>
      </c>
      <c r="K405" s="61"/>
      <c r="L405" s="62"/>
      <c r="M405" s="63">
        <f t="shared" si="43"/>
        <v>543099</v>
      </c>
      <c r="N405" s="64">
        <f t="shared" si="39"/>
        <v>0</v>
      </c>
      <c r="O405" s="65">
        <f t="shared" si="40"/>
        <v>0</v>
      </c>
      <c r="P405" s="66">
        <f t="shared" si="41"/>
        <v>0</v>
      </c>
      <c r="Q405" s="60">
        <f t="shared" si="44"/>
        <v>543099</v>
      </c>
      <c r="R405" s="79"/>
      <c r="S405" s="80" t="s">
        <v>1094</v>
      </c>
      <c r="U405" s="81"/>
    </row>
    <row r="406" spans="1:21" s="6" customFormat="1" ht="27.45" customHeight="1">
      <c r="A406" s="32">
        <v>392</v>
      </c>
      <c r="B406" s="40"/>
      <c r="C406" s="40"/>
      <c r="D406" s="34"/>
      <c r="E406" s="35" t="str">
        <f>'Tên Tháng 1'!E395</f>
        <v>អាង សី</v>
      </c>
      <c r="F406" s="36" t="str">
        <f>'Tên Tháng 1'!F395</f>
        <v>ANG SEY</v>
      </c>
      <c r="G406" s="37">
        <v>296</v>
      </c>
      <c r="H406" s="38">
        <v>31947</v>
      </c>
      <c r="I406" s="59">
        <f>'KL 1'!X407</f>
        <v>14.540000000000001</v>
      </c>
      <c r="J406" s="60">
        <f t="shared" si="42"/>
        <v>464509</v>
      </c>
      <c r="K406" s="61"/>
      <c r="L406" s="62"/>
      <c r="M406" s="63">
        <f t="shared" si="43"/>
        <v>464509</v>
      </c>
      <c r="N406" s="64">
        <f t="shared" si="39"/>
        <v>0</v>
      </c>
      <c r="O406" s="65">
        <f t="shared" si="40"/>
        <v>0</v>
      </c>
      <c r="P406" s="66">
        <f t="shared" si="41"/>
        <v>0</v>
      </c>
      <c r="Q406" s="60">
        <f t="shared" si="44"/>
        <v>464509</v>
      </c>
      <c r="R406" s="79"/>
      <c r="S406" s="80" t="s">
        <v>1094</v>
      </c>
      <c r="U406" s="81"/>
    </row>
    <row r="407" spans="1:21" s="6" customFormat="1" ht="27.45" customHeight="1">
      <c r="A407" s="32">
        <v>393</v>
      </c>
      <c r="B407" s="40"/>
      <c r="C407" s="40"/>
      <c r="D407" s="34"/>
      <c r="E407" s="35" t="str">
        <f>'Tên Tháng 1'!E396</f>
        <v>អាន់ សំអូន</v>
      </c>
      <c r="F407" s="36" t="str">
        <f>'Tên Tháng 1'!F396</f>
        <v>ANN SAMOUN</v>
      </c>
      <c r="G407" s="37">
        <v>297</v>
      </c>
      <c r="H407" s="38">
        <v>31947</v>
      </c>
      <c r="I407" s="59">
        <f>'KL 1'!X408</f>
        <v>18.23</v>
      </c>
      <c r="J407" s="60">
        <f t="shared" si="42"/>
        <v>582394</v>
      </c>
      <c r="K407" s="61"/>
      <c r="L407" s="62"/>
      <c r="M407" s="63">
        <f t="shared" si="43"/>
        <v>582394</v>
      </c>
      <c r="N407" s="64">
        <f t="shared" si="39"/>
        <v>0</v>
      </c>
      <c r="O407" s="65">
        <f t="shared" si="40"/>
        <v>0</v>
      </c>
      <c r="P407" s="66">
        <f t="shared" si="41"/>
        <v>0</v>
      </c>
      <c r="Q407" s="60">
        <f t="shared" si="44"/>
        <v>582394</v>
      </c>
      <c r="R407" s="79"/>
      <c r="S407" s="80" t="s">
        <v>1094</v>
      </c>
      <c r="U407" s="81"/>
    </row>
    <row r="408" spans="1:21" s="6" customFormat="1" ht="27.45" customHeight="1">
      <c r="A408" s="32">
        <v>394</v>
      </c>
      <c r="B408" s="40"/>
      <c r="C408" s="40"/>
      <c r="D408" s="34"/>
      <c r="E408" s="35" t="str">
        <f>'Tên Tháng 1'!E397</f>
        <v>ឡូត សុភ័ក្រ</v>
      </c>
      <c r="F408" s="36" t="str">
        <f>'Tên Tháng 1'!F397</f>
        <v>LOT SOPHEAK</v>
      </c>
      <c r="G408" s="37">
        <v>298</v>
      </c>
      <c r="H408" s="38">
        <v>31947</v>
      </c>
      <c r="I408" s="59">
        <f>'KL 1'!X409</f>
        <v>12.69</v>
      </c>
      <c r="J408" s="60">
        <f t="shared" si="42"/>
        <v>405407</v>
      </c>
      <c r="K408" s="61"/>
      <c r="L408" s="62"/>
      <c r="M408" s="63">
        <f t="shared" si="43"/>
        <v>405407</v>
      </c>
      <c r="N408" s="64">
        <f t="shared" si="39"/>
        <v>0</v>
      </c>
      <c r="O408" s="65">
        <f t="shared" si="40"/>
        <v>0</v>
      </c>
      <c r="P408" s="66">
        <f t="shared" si="41"/>
        <v>0</v>
      </c>
      <c r="Q408" s="60">
        <f t="shared" si="44"/>
        <v>405407</v>
      </c>
      <c r="R408" s="79"/>
      <c r="S408" s="80" t="s">
        <v>1094</v>
      </c>
      <c r="U408" s="81"/>
    </row>
    <row r="409" spans="1:21" s="6" customFormat="1" ht="27.45" customHeight="1">
      <c r="A409" s="32">
        <v>395</v>
      </c>
      <c r="B409" s="40"/>
      <c r="C409" s="40"/>
      <c r="D409" s="34"/>
      <c r="E409" s="35" t="str">
        <f>'Tên Tháng 1'!E398</f>
        <v>យ៉ុន ផល</v>
      </c>
      <c r="F409" s="36" t="str">
        <f>'Tên Tháng 1'!F398</f>
        <v>YON PHAL</v>
      </c>
      <c r="G409" s="37">
        <v>299</v>
      </c>
      <c r="H409" s="38">
        <v>31947</v>
      </c>
      <c r="I409" s="59">
        <f>'KL 1'!X410</f>
        <v>17.849999999999998</v>
      </c>
      <c r="J409" s="60">
        <f t="shared" si="42"/>
        <v>570254</v>
      </c>
      <c r="K409" s="61"/>
      <c r="L409" s="62"/>
      <c r="M409" s="63">
        <f t="shared" si="43"/>
        <v>570254</v>
      </c>
      <c r="N409" s="64">
        <f t="shared" si="39"/>
        <v>0</v>
      </c>
      <c r="O409" s="65">
        <f t="shared" si="40"/>
        <v>0</v>
      </c>
      <c r="P409" s="66">
        <f t="shared" si="41"/>
        <v>0</v>
      </c>
      <c r="Q409" s="60">
        <f t="shared" si="44"/>
        <v>570254</v>
      </c>
      <c r="R409" s="79"/>
      <c r="S409" s="80" t="s">
        <v>1094</v>
      </c>
      <c r="U409" s="81"/>
    </row>
    <row r="410" spans="1:21" s="6" customFormat="1" ht="27.45" customHeight="1">
      <c r="A410" s="32">
        <v>396</v>
      </c>
      <c r="B410" s="40"/>
      <c r="C410" s="40"/>
      <c r="D410" s="34"/>
      <c r="E410" s="35" t="str">
        <f>'Tên Tháng 1'!E399</f>
        <v>រឹម ធីម</v>
      </c>
      <c r="F410" s="36" t="str">
        <f>'Tên Tháng 1'!F399</f>
        <v>ROEM THIM</v>
      </c>
      <c r="G410" s="37">
        <v>300</v>
      </c>
      <c r="H410" s="38">
        <v>31947</v>
      </c>
      <c r="I410" s="59">
        <f>'KL 1'!X411</f>
        <v>17.170000000000002</v>
      </c>
      <c r="J410" s="60">
        <f t="shared" si="42"/>
        <v>548530</v>
      </c>
      <c r="K410" s="61"/>
      <c r="L410" s="62"/>
      <c r="M410" s="63">
        <f t="shared" si="43"/>
        <v>548530</v>
      </c>
      <c r="N410" s="64">
        <f t="shared" si="39"/>
        <v>0</v>
      </c>
      <c r="O410" s="65">
        <f t="shared" si="40"/>
        <v>0</v>
      </c>
      <c r="P410" s="66">
        <f t="shared" si="41"/>
        <v>0</v>
      </c>
      <c r="Q410" s="60">
        <f t="shared" si="44"/>
        <v>548530</v>
      </c>
      <c r="R410" s="79"/>
      <c r="S410" s="80" t="s">
        <v>1094</v>
      </c>
      <c r="U410" s="81"/>
    </row>
    <row r="411" spans="1:21" s="6" customFormat="1" ht="27.45" customHeight="1">
      <c r="A411" s="32">
        <v>397</v>
      </c>
      <c r="B411" s="40"/>
      <c r="C411" s="40"/>
      <c r="D411" s="34"/>
      <c r="E411" s="35" t="str">
        <f>'Tên Tháng 1'!E400</f>
        <v>យ៉ុន ធា</v>
      </c>
      <c r="F411" s="36" t="str">
        <f>'Tên Tháng 1'!F400</f>
        <v>YON THEA</v>
      </c>
      <c r="G411" s="37">
        <v>301</v>
      </c>
      <c r="H411" s="38">
        <v>31947</v>
      </c>
      <c r="I411" s="59">
        <f>'KL 1'!X412</f>
        <v>14.76</v>
      </c>
      <c r="J411" s="60">
        <f t="shared" si="42"/>
        <v>471538</v>
      </c>
      <c r="K411" s="61"/>
      <c r="L411" s="62"/>
      <c r="M411" s="63">
        <f t="shared" si="43"/>
        <v>471538</v>
      </c>
      <c r="N411" s="64">
        <f t="shared" si="39"/>
        <v>0</v>
      </c>
      <c r="O411" s="65">
        <f t="shared" si="40"/>
        <v>0</v>
      </c>
      <c r="P411" s="66">
        <f t="shared" si="41"/>
        <v>0</v>
      </c>
      <c r="Q411" s="60">
        <f t="shared" si="44"/>
        <v>471538</v>
      </c>
      <c r="R411" s="79"/>
      <c r="S411" s="80" t="s">
        <v>1094</v>
      </c>
      <c r="U411" s="81"/>
    </row>
    <row r="412" spans="1:21" s="6" customFormat="1" ht="27.45" customHeight="1">
      <c r="A412" s="32">
        <v>398</v>
      </c>
      <c r="B412" s="40"/>
      <c r="C412" s="40"/>
      <c r="D412" s="34"/>
      <c r="E412" s="35" t="str">
        <f>'Tên Tháng 1'!E401</f>
        <v>ហួន ហេង</v>
      </c>
      <c r="F412" s="36" t="str">
        <f>'Tên Tháng 1'!F401</f>
        <v>HOUN HENG</v>
      </c>
      <c r="G412" s="37">
        <v>302</v>
      </c>
      <c r="H412" s="38">
        <v>31947</v>
      </c>
      <c r="I412" s="59">
        <f>'KL 1'!X413</f>
        <v>18.760000000000002</v>
      </c>
      <c r="J412" s="60">
        <f t="shared" si="42"/>
        <v>599326</v>
      </c>
      <c r="K412" s="61"/>
      <c r="L412" s="62"/>
      <c r="M412" s="63">
        <f t="shared" si="43"/>
        <v>599326</v>
      </c>
      <c r="N412" s="64">
        <f t="shared" si="39"/>
        <v>0</v>
      </c>
      <c r="O412" s="65">
        <f t="shared" si="40"/>
        <v>0</v>
      </c>
      <c r="P412" s="66">
        <f t="shared" si="41"/>
        <v>0</v>
      </c>
      <c r="Q412" s="60">
        <f t="shared" si="44"/>
        <v>599326</v>
      </c>
      <c r="R412" s="79"/>
      <c r="S412" s="80" t="s">
        <v>1094</v>
      </c>
      <c r="U412" s="81"/>
    </row>
    <row r="413" spans="1:21" s="6" customFormat="1" ht="27.45" customHeight="1">
      <c r="A413" s="32">
        <v>399</v>
      </c>
      <c r="B413" s="40"/>
      <c r="C413" s="40"/>
      <c r="D413" s="34"/>
      <c r="E413" s="35" t="str">
        <f>'Tên Tháng 1'!E402</f>
        <v>ភួន ភា</v>
      </c>
      <c r="F413" s="36" t="str">
        <f>'Tên Tháng 1'!F402</f>
        <v>PHUON PHEA</v>
      </c>
      <c r="G413" s="37">
        <v>303</v>
      </c>
      <c r="H413" s="38">
        <v>31947</v>
      </c>
      <c r="I413" s="59">
        <f>'KL 1'!X414</f>
        <v>16.419999999999998</v>
      </c>
      <c r="J413" s="60">
        <f t="shared" si="42"/>
        <v>524570</v>
      </c>
      <c r="K413" s="61"/>
      <c r="L413" s="62"/>
      <c r="M413" s="63">
        <f t="shared" si="43"/>
        <v>524570</v>
      </c>
      <c r="N413" s="64">
        <f t="shared" si="39"/>
        <v>0</v>
      </c>
      <c r="O413" s="65">
        <f t="shared" si="40"/>
        <v>0</v>
      </c>
      <c r="P413" s="66">
        <f t="shared" si="41"/>
        <v>0</v>
      </c>
      <c r="Q413" s="60">
        <f t="shared" si="44"/>
        <v>524570</v>
      </c>
      <c r="R413" s="79"/>
      <c r="S413" s="80" t="s">
        <v>1094</v>
      </c>
      <c r="U413" s="81"/>
    </row>
    <row r="414" spans="1:21" s="6" customFormat="1" ht="27.45" customHeight="1">
      <c r="A414" s="32">
        <v>400</v>
      </c>
      <c r="B414" s="40"/>
      <c r="C414" s="40"/>
      <c r="D414" s="34"/>
      <c r="E414" s="35" t="str">
        <f>'Tên Tháng 1'!E403</f>
        <v>ងី តំ</v>
      </c>
      <c r="F414" s="36" t="str">
        <f>'Tên Tháng 1'!F403</f>
        <v>NGY TOM</v>
      </c>
      <c r="G414" s="37">
        <v>304</v>
      </c>
      <c r="H414" s="38">
        <v>31947</v>
      </c>
      <c r="I414" s="59">
        <f>'KL 1'!X415</f>
        <v>18.48</v>
      </c>
      <c r="J414" s="60">
        <f t="shared" si="42"/>
        <v>590381</v>
      </c>
      <c r="K414" s="61"/>
      <c r="L414" s="62"/>
      <c r="M414" s="63">
        <f t="shared" si="43"/>
        <v>590381</v>
      </c>
      <c r="N414" s="64">
        <f t="shared" si="39"/>
        <v>0</v>
      </c>
      <c r="O414" s="65">
        <f t="shared" si="40"/>
        <v>0</v>
      </c>
      <c r="P414" s="66">
        <f t="shared" si="41"/>
        <v>0</v>
      </c>
      <c r="Q414" s="60">
        <f t="shared" si="44"/>
        <v>590381</v>
      </c>
      <c r="R414" s="79"/>
      <c r="S414" s="80" t="s">
        <v>1094</v>
      </c>
      <c r="U414" s="81"/>
    </row>
    <row r="415" spans="1:21" s="6" customFormat="1" ht="27.45" customHeight="1">
      <c r="A415" s="32">
        <v>401</v>
      </c>
      <c r="B415" s="40"/>
      <c r="C415" s="40"/>
      <c r="D415" s="34"/>
      <c r="E415" s="35" t="str">
        <f>'Tên Tháng 1'!E404</f>
        <v>ហូយ វាសនា</v>
      </c>
      <c r="F415" s="36" t="str">
        <f>'Tên Tháng 1'!F404</f>
        <v>HAUY VEASNA</v>
      </c>
      <c r="G415" s="37">
        <v>305</v>
      </c>
      <c r="H415" s="38">
        <v>31947</v>
      </c>
      <c r="I415" s="59">
        <f>'KL 1'!X416</f>
        <v>10.66</v>
      </c>
      <c r="J415" s="60">
        <f t="shared" si="42"/>
        <v>340555</v>
      </c>
      <c r="K415" s="61"/>
      <c r="L415" s="62"/>
      <c r="M415" s="63">
        <f t="shared" si="43"/>
        <v>340555</v>
      </c>
      <c r="N415" s="64">
        <f t="shared" si="39"/>
        <v>0</v>
      </c>
      <c r="O415" s="65">
        <f t="shared" si="40"/>
        <v>0</v>
      </c>
      <c r="P415" s="66">
        <f t="shared" si="41"/>
        <v>0</v>
      </c>
      <c r="Q415" s="60">
        <f t="shared" si="44"/>
        <v>340555</v>
      </c>
      <c r="R415" s="79"/>
      <c r="S415" s="80" t="s">
        <v>1094</v>
      </c>
      <c r="U415" s="81"/>
    </row>
    <row r="416" spans="1:21" s="6" customFormat="1" ht="27.45" customHeight="1">
      <c r="A416" s="32">
        <v>402</v>
      </c>
      <c r="B416" s="40"/>
      <c r="C416" s="40"/>
      <c r="D416" s="34"/>
      <c r="E416" s="35" t="str">
        <f>'Tên Tháng 1'!E405</f>
        <v>សឿន ចែម</v>
      </c>
      <c r="F416" s="36" t="str">
        <f>'Tên Tháng 1'!F405</f>
        <v>SOEUN CHEM</v>
      </c>
      <c r="G416" s="37">
        <v>306</v>
      </c>
      <c r="H416" s="38">
        <v>31947</v>
      </c>
      <c r="I416" s="59">
        <f>'KL 1'!X417</f>
        <v>11.64</v>
      </c>
      <c r="J416" s="60">
        <f t="shared" si="42"/>
        <v>371863</v>
      </c>
      <c r="K416" s="61"/>
      <c r="L416" s="62"/>
      <c r="M416" s="63">
        <f t="shared" si="43"/>
        <v>371863</v>
      </c>
      <c r="N416" s="64">
        <f t="shared" si="39"/>
        <v>0</v>
      </c>
      <c r="O416" s="65">
        <f t="shared" si="40"/>
        <v>0</v>
      </c>
      <c r="P416" s="66">
        <f t="shared" si="41"/>
        <v>0</v>
      </c>
      <c r="Q416" s="60">
        <f t="shared" si="44"/>
        <v>371863</v>
      </c>
      <c r="R416" s="79"/>
      <c r="S416" s="80" t="s">
        <v>1094</v>
      </c>
      <c r="U416" s="81"/>
    </row>
    <row r="417" spans="1:21" s="6" customFormat="1" ht="27.45" customHeight="1">
      <c r="A417" s="32">
        <v>403</v>
      </c>
      <c r="B417" s="40"/>
      <c r="C417" s="40"/>
      <c r="D417" s="34"/>
      <c r="E417" s="35" t="str">
        <f>'Tên Tháng 1'!E406</f>
        <v>អាន អឿន</v>
      </c>
      <c r="F417" s="36" t="str">
        <f>'Tên Tháng 1'!F406</f>
        <v>AN OEURN</v>
      </c>
      <c r="G417" s="37">
        <v>307</v>
      </c>
      <c r="H417" s="38">
        <v>31947</v>
      </c>
      <c r="I417" s="59">
        <f>'KL 1'!X418</f>
        <v>12.540000000000001</v>
      </c>
      <c r="J417" s="60">
        <f t="shared" si="42"/>
        <v>400615</v>
      </c>
      <c r="K417" s="61"/>
      <c r="L417" s="62"/>
      <c r="M417" s="63">
        <f t="shared" si="43"/>
        <v>400615</v>
      </c>
      <c r="N417" s="64">
        <f t="shared" si="39"/>
        <v>0</v>
      </c>
      <c r="O417" s="65">
        <f t="shared" si="40"/>
        <v>0</v>
      </c>
      <c r="P417" s="66">
        <f t="shared" si="41"/>
        <v>0</v>
      </c>
      <c r="Q417" s="60">
        <f t="shared" si="44"/>
        <v>400615</v>
      </c>
      <c r="R417" s="79"/>
      <c r="S417" s="80" t="s">
        <v>1094</v>
      </c>
      <c r="U417" s="81"/>
    </row>
    <row r="418" spans="1:21" s="6" customFormat="1" ht="27.45" customHeight="1">
      <c r="A418" s="32">
        <v>404</v>
      </c>
      <c r="B418" s="40"/>
      <c r="C418" s="40"/>
      <c r="D418" s="34"/>
      <c r="E418" s="35" t="str">
        <f>'Tên Tháng 1'!E407</f>
        <v>ភួន ធារី</v>
      </c>
      <c r="F418" s="36" t="str">
        <f>'Tên Tháng 1'!F407</f>
        <v>PHUON THEARY</v>
      </c>
      <c r="G418" s="37">
        <v>308</v>
      </c>
      <c r="H418" s="38">
        <v>31947</v>
      </c>
      <c r="I418" s="59">
        <f>'KL 1'!X419</f>
        <v>15.67</v>
      </c>
      <c r="J418" s="60">
        <f t="shared" si="42"/>
        <v>500609</v>
      </c>
      <c r="K418" s="61"/>
      <c r="L418" s="62"/>
      <c r="M418" s="63">
        <f t="shared" si="43"/>
        <v>500609</v>
      </c>
      <c r="N418" s="64">
        <f t="shared" si="39"/>
        <v>0</v>
      </c>
      <c r="O418" s="65">
        <f t="shared" si="40"/>
        <v>0</v>
      </c>
      <c r="P418" s="66">
        <f t="shared" si="41"/>
        <v>0</v>
      </c>
      <c r="Q418" s="60">
        <f t="shared" si="44"/>
        <v>500609</v>
      </c>
      <c r="R418" s="79"/>
      <c r="S418" s="80" t="s">
        <v>1094</v>
      </c>
      <c r="U418" s="81"/>
    </row>
    <row r="419" spans="1:21" s="6" customFormat="1" ht="27.45" customHeight="1">
      <c r="A419" s="32">
        <v>405</v>
      </c>
      <c r="B419" s="40"/>
      <c r="C419" s="40"/>
      <c r="D419" s="34"/>
      <c r="E419" s="35" t="str">
        <f>'Tên Tháng 1'!E408</f>
        <v>ឈិន ឈឿន</v>
      </c>
      <c r="F419" s="36" t="str">
        <f>'Tên Tháng 1'!F408</f>
        <v>CHHIN CHHOEUN</v>
      </c>
      <c r="G419" s="37">
        <v>309</v>
      </c>
      <c r="H419" s="38">
        <v>31947</v>
      </c>
      <c r="I419" s="59">
        <f>'KL 1'!X420</f>
        <v>12.780000000000001</v>
      </c>
      <c r="J419" s="60">
        <f t="shared" si="42"/>
        <v>408283</v>
      </c>
      <c r="K419" s="61"/>
      <c r="L419" s="62"/>
      <c r="M419" s="63">
        <f t="shared" si="43"/>
        <v>408283</v>
      </c>
      <c r="N419" s="64">
        <f t="shared" si="39"/>
        <v>0</v>
      </c>
      <c r="O419" s="65">
        <f t="shared" si="40"/>
        <v>0</v>
      </c>
      <c r="P419" s="66">
        <f t="shared" si="41"/>
        <v>0</v>
      </c>
      <c r="Q419" s="60">
        <f t="shared" si="44"/>
        <v>408283</v>
      </c>
      <c r="R419" s="79"/>
      <c r="S419" s="80" t="s">
        <v>1094</v>
      </c>
      <c r="U419" s="81"/>
    </row>
    <row r="420" spans="1:21" s="6" customFormat="1" ht="27.45" customHeight="1">
      <c r="A420" s="32">
        <v>406</v>
      </c>
      <c r="B420" s="40"/>
      <c r="C420" s="40"/>
      <c r="D420" s="34"/>
      <c r="E420" s="35" t="str">
        <f>'Tên Tháng 1'!E409</f>
        <v>យ៉ាន ត្រប់</v>
      </c>
      <c r="F420" s="36" t="str">
        <f>'Tên Tháng 1'!F409</f>
        <v>YAN TROB</v>
      </c>
      <c r="G420" s="37">
        <v>310</v>
      </c>
      <c r="H420" s="38">
        <v>31947</v>
      </c>
      <c r="I420" s="59">
        <f>'KL 1'!X421</f>
        <v>15.36</v>
      </c>
      <c r="J420" s="60">
        <f t="shared" si="42"/>
        <v>490706</v>
      </c>
      <c r="K420" s="61"/>
      <c r="L420" s="62"/>
      <c r="M420" s="63">
        <f t="shared" si="43"/>
        <v>490706</v>
      </c>
      <c r="N420" s="64">
        <f t="shared" si="39"/>
        <v>0</v>
      </c>
      <c r="O420" s="65">
        <f t="shared" si="40"/>
        <v>0</v>
      </c>
      <c r="P420" s="66">
        <f t="shared" si="41"/>
        <v>0</v>
      </c>
      <c r="Q420" s="60">
        <f t="shared" si="44"/>
        <v>490706</v>
      </c>
      <c r="R420" s="79"/>
      <c r="S420" s="80" t="s">
        <v>1094</v>
      </c>
      <c r="U420" s="81"/>
    </row>
    <row r="421" spans="1:21" s="6" customFormat="1" ht="27.45" customHeight="1">
      <c r="A421" s="32">
        <v>407</v>
      </c>
      <c r="B421" s="40"/>
      <c r="C421" s="40"/>
      <c r="D421" s="34"/>
      <c r="E421" s="35" t="str">
        <f>'Tên Tháng 1'!E410</f>
        <v>ឃឹម បញ្ញា</v>
      </c>
      <c r="F421" s="36" t="str">
        <f>'Tên Tháng 1'!F410</f>
        <v>KHOEM PHANHA</v>
      </c>
      <c r="G421" s="37">
        <v>311</v>
      </c>
      <c r="H421" s="38">
        <v>31947</v>
      </c>
      <c r="I421" s="59">
        <f>'KL 1'!X422</f>
        <v>11.899999999999999</v>
      </c>
      <c r="J421" s="60">
        <f t="shared" si="42"/>
        <v>380169</v>
      </c>
      <c r="K421" s="61"/>
      <c r="L421" s="62"/>
      <c r="M421" s="63">
        <f t="shared" si="43"/>
        <v>380169</v>
      </c>
      <c r="N421" s="64">
        <f t="shared" si="39"/>
        <v>0</v>
      </c>
      <c r="O421" s="65">
        <f t="shared" si="40"/>
        <v>0</v>
      </c>
      <c r="P421" s="66">
        <f t="shared" si="41"/>
        <v>0</v>
      </c>
      <c r="Q421" s="60">
        <f t="shared" si="44"/>
        <v>380169</v>
      </c>
      <c r="R421" s="79"/>
      <c r="S421" s="80" t="s">
        <v>1094</v>
      </c>
      <c r="U421" s="81"/>
    </row>
    <row r="422" spans="1:21" s="6" customFormat="1" ht="27.45" customHeight="1">
      <c r="A422" s="32">
        <v>408</v>
      </c>
      <c r="B422" s="40"/>
      <c r="C422" s="40"/>
      <c r="D422" s="34"/>
      <c r="E422" s="35" t="str">
        <f>'Tên Tháng 1'!E411</f>
        <v>ឈឿន ឈួយ</v>
      </c>
      <c r="F422" s="36" t="str">
        <f>'Tên Tháng 1'!F411</f>
        <v>CHHOEUN CHHUOY</v>
      </c>
      <c r="G422" s="37">
        <v>312</v>
      </c>
      <c r="H422" s="38">
        <v>31947</v>
      </c>
      <c r="I422" s="59">
        <f>'KL 1'!X423</f>
        <v>14.379999999999999</v>
      </c>
      <c r="J422" s="60">
        <f t="shared" si="42"/>
        <v>459398</v>
      </c>
      <c r="K422" s="61"/>
      <c r="L422" s="62"/>
      <c r="M422" s="63">
        <f t="shared" si="43"/>
        <v>459398</v>
      </c>
      <c r="N422" s="64">
        <f t="shared" si="39"/>
        <v>0</v>
      </c>
      <c r="O422" s="65">
        <f t="shared" si="40"/>
        <v>0</v>
      </c>
      <c r="P422" s="66">
        <f t="shared" si="41"/>
        <v>0</v>
      </c>
      <c r="Q422" s="60">
        <f t="shared" si="44"/>
        <v>459398</v>
      </c>
      <c r="R422" s="79"/>
      <c r="S422" s="80" t="s">
        <v>1094</v>
      </c>
      <c r="U422" s="81"/>
    </row>
    <row r="423" spans="1:21" s="6" customFormat="1" ht="27.45" customHeight="1">
      <c r="A423" s="32">
        <v>409</v>
      </c>
      <c r="B423" s="40"/>
      <c r="C423" s="40"/>
      <c r="D423" s="34"/>
      <c r="E423" s="35" t="str">
        <f>'Tên Tháng 1'!E412</f>
        <v>ក្រឹង រ៉ៃ</v>
      </c>
      <c r="F423" s="36" t="str">
        <f>'Tên Tháng 1'!F412</f>
        <v>KRENG REY</v>
      </c>
      <c r="G423" s="37">
        <v>313</v>
      </c>
      <c r="H423" s="38">
        <v>31947</v>
      </c>
      <c r="I423" s="59">
        <f>'KL 1'!X424</f>
        <v>13.11</v>
      </c>
      <c r="J423" s="60">
        <f t="shared" si="42"/>
        <v>418825</v>
      </c>
      <c r="K423" s="61"/>
      <c r="L423" s="62"/>
      <c r="M423" s="63">
        <f t="shared" si="43"/>
        <v>418825</v>
      </c>
      <c r="N423" s="64">
        <f t="shared" si="39"/>
        <v>0</v>
      </c>
      <c r="O423" s="65">
        <f t="shared" si="40"/>
        <v>0</v>
      </c>
      <c r="P423" s="66">
        <f t="shared" si="41"/>
        <v>0</v>
      </c>
      <c r="Q423" s="60">
        <f t="shared" si="44"/>
        <v>418825</v>
      </c>
      <c r="R423" s="79"/>
      <c r="S423" s="80" t="s">
        <v>1094</v>
      </c>
      <c r="U423" s="81"/>
    </row>
    <row r="424" spans="1:21" s="6" customFormat="1" ht="27.45" customHeight="1">
      <c r="A424" s="32">
        <v>410</v>
      </c>
      <c r="B424" s="40"/>
      <c r="C424" s="40"/>
      <c r="D424" s="34"/>
      <c r="E424" s="35" t="str">
        <f>'Tên Tháng 1'!E413</f>
        <v>សេន សេត</v>
      </c>
      <c r="F424" s="36" t="str">
        <f>'Tên Tháng 1'!F413</f>
        <v>SEN SET</v>
      </c>
      <c r="G424" s="37">
        <v>314</v>
      </c>
      <c r="H424" s="38">
        <v>31947</v>
      </c>
      <c r="I424" s="59">
        <f>'KL 1'!X425</f>
        <v>17.040000000000003</v>
      </c>
      <c r="J424" s="60">
        <f t="shared" si="42"/>
        <v>544377</v>
      </c>
      <c r="K424" s="61"/>
      <c r="L424" s="62"/>
      <c r="M424" s="63">
        <f t="shared" si="43"/>
        <v>544377</v>
      </c>
      <c r="N424" s="64">
        <f t="shared" si="39"/>
        <v>0</v>
      </c>
      <c r="O424" s="65">
        <f t="shared" si="40"/>
        <v>0</v>
      </c>
      <c r="P424" s="66">
        <f t="shared" si="41"/>
        <v>0</v>
      </c>
      <c r="Q424" s="60">
        <f t="shared" si="44"/>
        <v>544377</v>
      </c>
      <c r="R424" s="79"/>
      <c r="S424" s="80" t="s">
        <v>1094</v>
      </c>
      <c r="U424" s="81"/>
    </row>
    <row r="425" spans="1:21" s="6" customFormat="1" ht="27.45" customHeight="1">
      <c r="A425" s="32">
        <v>411</v>
      </c>
      <c r="B425" s="40"/>
      <c r="C425" s="40"/>
      <c r="D425" s="34"/>
      <c r="E425" s="35" t="str">
        <f>'Tên Tháng 1'!E414</f>
        <v>សឿន សុគឿន</v>
      </c>
      <c r="F425" s="36" t="str">
        <f>'Tên Tháng 1'!F414</f>
        <v>SOEUN SO KOEUN</v>
      </c>
      <c r="G425" s="37">
        <v>315</v>
      </c>
      <c r="H425" s="38">
        <v>31947</v>
      </c>
      <c r="I425" s="59">
        <f>'KL 1'!X426</f>
        <v>17.830000000000002</v>
      </c>
      <c r="J425" s="60">
        <f t="shared" si="42"/>
        <v>569615</v>
      </c>
      <c r="K425" s="61"/>
      <c r="L425" s="62"/>
      <c r="M425" s="63">
        <f t="shared" si="43"/>
        <v>569615</v>
      </c>
      <c r="N425" s="64">
        <f t="shared" si="39"/>
        <v>0</v>
      </c>
      <c r="O425" s="65">
        <f t="shared" si="40"/>
        <v>0</v>
      </c>
      <c r="P425" s="66">
        <f t="shared" si="41"/>
        <v>0</v>
      </c>
      <c r="Q425" s="60">
        <f t="shared" si="44"/>
        <v>569615</v>
      </c>
      <c r="R425" s="79"/>
      <c r="S425" s="80" t="s">
        <v>1094</v>
      </c>
      <c r="U425" s="81"/>
    </row>
    <row r="426" spans="1:21" s="6" customFormat="1" ht="27.45" customHeight="1">
      <c r="A426" s="32">
        <v>412</v>
      </c>
      <c r="B426" s="40"/>
      <c r="C426" s="40"/>
      <c r="D426" s="34"/>
      <c r="E426" s="35" t="str">
        <f>'Tên Tháng 1'!E415</f>
        <v>ហ៊ាប យ៉ាន</v>
      </c>
      <c r="F426" s="36" t="str">
        <f>'Tên Tháng 1'!F415</f>
        <v>HEAB YAN</v>
      </c>
      <c r="G426" s="37">
        <v>316</v>
      </c>
      <c r="H426" s="38">
        <v>31947</v>
      </c>
      <c r="I426" s="59">
        <f>'KL 1'!X427</f>
        <v>15.969999999999999</v>
      </c>
      <c r="J426" s="60">
        <f t="shared" si="42"/>
        <v>510194</v>
      </c>
      <c r="K426" s="61"/>
      <c r="L426" s="62"/>
      <c r="M426" s="63">
        <f t="shared" si="43"/>
        <v>510194</v>
      </c>
      <c r="N426" s="64">
        <f t="shared" si="39"/>
        <v>0</v>
      </c>
      <c r="O426" s="65">
        <f t="shared" si="40"/>
        <v>0</v>
      </c>
      <c r="P426" s="66">
        <f t="shared" si="41"/>
        <v>0</v>
      </c>
      <c r="Q426" s="60">
        <f t="shared" si="44"/>
        <v>510194</v>
      </c>
      <c r="R426" s="79"/>
      <c r="S426" s="80" t="s">
        <v>1094</v>
      </c>
      <c r="U426" s="81"/>
    </row>
    <row r="427" spans="1:21" s="6" customFormat="1" ht="27.45" customHeight="1">
      <c r="A427" s="32">
        <v>413</v>
      </c>
      <c r="B427" s="40"/>
      <c r="C427" s="40"/>
      <c r="D427" s="34"/>
      <c r="E427" s="35" t="str">
        <f>'Tên Tháng 1'!E416</f>
        <v>ធី ​ពៅ</v>
      </c>
      <c r="F427" s="36" t="str">
        <f>'Tên Tháng 1'!F416</f>
        <v>THY POV</v>
      </c>
      <c r="G427" s="37">
        <v>317</v>
      </c>
      <c r="H427" s="38">
        <v>31947</v>
      </c>
      <c r="I427" s="59">
        <f>'KL 1'!X428</f>
        <v>15.55</v>
      </c>
      <c r="J427" s="60">
        <f t="shared" si="42"/>
        <v>496776</v>
      </c>
      <c r="K427" s="61"/>
      <c r="L427" s="62"/>
      <c r="M427" s="63">
        <f t="shared" si="43"/>
        <v>496776</v>
      </c>
      <c r="N427" s="64">
        <f t="shared" si="39"/>
        <v>0</v>
      </c>
      <c r="O427" s="65">
        <f t="shared" si="40"/>
        <v>0</v>
      </c>
      <c r="P427" s="66">
        <f t="shared" si="41"/>
        <v>0</v>
      </c>
      <c r="Q427" s="60">
        <f t="shared" si="44"/>
        <v>496776</v>
      </c>
      <c r="R427" s="79"/>
      <c r="S427" s="80" t="s">
        <v>1094</v>
      </c>
      <c r="U427" s="81"/>
    </row>
    <row r="428" spans="1:21" s="6" customFormat="1" ht="27.45" customHeight="1">
      <c r="A428" s="32">
        <v>414</v>
      </c>
      <c r="B428" s="40"/>
      <c r="C428" s="40"/>
      <c r="D428" s="34"/>
      <c r="E428" s="35" t="str">
        <f>'Tên Tháng 1'!E417</f>
        <v>ផា បូរី</v>
      </c>
      <c r="F428" s="36" t="str">
        <f>'Tên Tháng 1'!F417</f>
        <v>PHAA BOREY</v>
      </c>
      <c r="G428" s="37">
        <v>318</v>
      </c>
      <c r="H428" s="38">
        <v>31947</v>
      </c>
      <c r="I428" s="59">
        <f>'KL 1'!X429</f>
        <v>15.94</v>
      </c>
      <c r="J428" s="60">
        <f t="shared" si="42"/>
        <v>509235</v>
      </c>
      <c r="K428" s="61"/>
      <c r="L428" s="62"/>
      <c r="M428" s="63">
        <f t="shared" si="43"/>
        <v>509235</v>
      </c>
      <c r="N428" s="64">
        <f t="shared" si="39"/>
        <v>0</v>
      </c>
      <c r="O428" s="65">
        <f t="shared" si="40"/>
        <v>0</v>
      </c>
      <c r="P428" s="66">
        <f t="shared" si="41"/>
        <v>0</v>
      </c>
      <c r="Q428" s="60">
        <f t="shared" si="44"/>
        <v>509235</v>
      </c>
      <c r="R428" s="79"/>
      <c r="S428" s="80" t="s">
        <v>1094</v>
      </c>
      <c r="U428" s="81"/>
    </row>
    <row r="429" spans="1:21" s="6" customFormat="1" ht="27.45" customHeight="1">
      <c r="A429" s="32">
        <v>415</v>
      </c>
      <c r="B429" s="40"/>
      <c r="C429" s="40"/>
      <c r="D429" s="34"/>
      <c r="E429" s="35" t="str">
        <f>'Tên Tháng 1'!E418</f>
        <v>ងី នីម</v>
      </c>
      <c r="F429" s="36" t="str">
        <f>'Tên Tháng 1'!F418</f>
        <v>NGI NIM</v>
      </c>
      <c r="G429" s="37">
        <v>319</v>
      </c>
      <c r="H429" s="38">
        <v>31947</v>
      </c>
      <c r="I429" s="59">
        <f>'KL 1'!X430</f>
        <v>16.59</v>
      </c>
      <c r="J429" s="60">
        <f t="shared" si="42"/>
        <v>530001</v>
      </c>
      <c r="K429" s="61"/>
      <c r="L429" s="62"/>
      <c r="M429" s="63">
        <f t="shared" si="43"/>
        <v>530001</v>
      </c>
      <c r="N429" s="64">
        <f t="shared" si="39"/>
        <v>0</v>
      </c>
      <c r="O429" s="65">
        <f t="shared" si="40"/>
        <v>0</v>
      </c>
      <c r="P429" s="66">
        <f t="shared" si="41"/>
        <v>0</v>
      </c>
      <c r="Q429" s="60">
        <f t="shared" si="44"/>
        <v>530001</v>
      </c>
      <c r="R429" s="79"/>
      <c r="S429" s="80" t="s">
        <v>1094</v>
      </c>
      <c r="U429" s="81"/>
    </row>
    <row r="430" spans="1:21" s="6" customFormat="1" ht="27.45" customHeight="1">
      <c r="A430" s="32">
        <v>416</v>
      </c>
      <c r="B430" s="40"/>
      <c r="C430" s="40"/>
      <c r="D430" s="34"/>
      <c r="E430" s="35" t="str">
        <f>'Tên Tháng 1'!E419</f>
        <v>រ៉ុន រឿម</v>
      </c>
      <c r="F430" s="36" t="str">
        <f>'Tên Tháng 1'!F419</f>
        <v>RON ROEURM</v>
      </c>
      <c r="G430" s="37">
        <v>320</v>
      </c>
      <c r="H430" s="38">
        <v>31947</v>
      </c>
      <c r="I430" s="59">
        <f>'KL 1'!X431</f>
        <v>16.849999999999998</v>
      </c>
      <c r="J430" s="60">
        <f t="shared" si="42"/>
        <v>538307</v>
      </c>
      <c r="K430" s="61"/>
      <c r="L430" s="62"/>
      <c r="M430" s="63">
        <f t="shared" si="43"/>
        <v>538307</v>
      </c>
      <c r="N430" s="64">
        <f t="shared" si="39"/>
        <v>0</v>
      </c>
      <c r="O430" s="65">
        <f t="shared" si="40"/>
        <v>0</v>
      </c>
      <c r="P430" s="66">
        <f t="shared" si="41"/>
        <v>0</v>
      </c>
      <c r="Q430" s="60">
        <f t="shared" si="44"/>
        <v>538307</v>
      </c>
      <c r="R430" s="79"/>
      <c r="S430" s="80" t="s">
        <v>1094</v>
      </c>
      <c r="U430" s="81"/>
    </row>
    <row r="431" spans="1:21" s="6" customFormat="1" ht="27.45" customHeight="1">
      <c r="A431" s="32">
        <v>417</v>
      </c>
      <c r="B431" s="40"/>
      <c r="C431" s="40"/>
      <c r="D431" s="34"/>
      <c r="E431" s="35" t="str">
        <f>'Tên Tháng 1'!E420</f>
        <v>ទឹត្យ បូរី</v>
      </c>
      <c r="F431" s="36" t="str">
        <f>'Tên Tháng 1'!F420</f>
        <v>TOET BOUREY</v>
      </c>
      <c r="G431" s="37">
        <v>321</v>
      </c>
      <c r="H431" s="38">
        <v>31947</v>
      </c>
      <c r="I431" s="59">
        <f>'KL 1'!X432</f>
        <v>16.309999999999999</v>
      </c>
      <c r="J431" s="60">
        <f t="shared" si="42"/>
        <v>521056</v>
      </c>
      <c r="K431" s="61"/>
      <c r="L431" s="62"/>
      <c r="M431" s="63">
        <f t="shared" si="43"/>
        <v>521056</v>
      </c>
      <c r="N431" s="64">
        <f t="shared" si="39"/>
        <v>0</v>
      </c>
      <c r="O431" s="65">
        <f t="shared" si="40"/>
        <v>0</v>
      </c>
      <c r="P431" s="66">
        <f t="shared" si="41"/>
        <v>0</v>
      </c>
      <c r="Q431" s="60">
        <f t="shared" si="44"/>
        <v>521056</v>
      </c>
      <c r="R431" s="79"/>
      <c r="S431" s="80" t="s">
        <v>1094</v>
      </c>
      <c r="U431" s="81"/>
    </row>
    <row r="432" spans="1:21" s="6" customFormat="1" ht="27.45" customHeight="1">
      <c r="A432" s="32">
        <v>418</v>
      </c>
      <c r="B432" s="40"/>
      <c r="C432" s="40"/>
      <c r="D432" s="34"/>
      <c r="E432" s="35" t="str">
        <f>'Tên Tháng 1'!E421</f>
        <v>វិន មុំ</v>
      </c>
      <c r="F432" s="36" t="str">
        <f>'Tên Tháng 1'!F421</f>
        <v>VIN MOM</v>
      </c>
      <c r="G432" s="37">
        <v>322</v>
      </c>
      <c r="H432" s="38">
        <v>31947</v>
      </c>
      <c r="I432" s="59">
        <f>'KL 1'!X433</f>
        <v>14.74</v>
      </c>
      <c r="J432" s="60">
        <f t="shared" si="42"/>
        <v>470899</v>
      </c>
      <c r="K432" s="61"/>
      <c r="L432" s="62"/>
      <c r="M432" s="63">
        <f t="shared" si="43"/>
        <v>470899</v>
      </c>
      <c r="N432" s="64">
        <f t="shared" si="39"/>
        <v>0</v>
      </c>
      <c r="O432" s="65">
        <f t="shared" si="40"/>
        <v>0</v>
      </c>
      <c r="P432" s="66">
        <f t="shared" si="41"/>
        <v>0</v>
      </c>
      <c r="Q432" s="60">
        <f t="shared" si="44"/>
        <v>470899</v>
      </c>
      <c r="R432" s="79"/>
      <c r="S432" s="80" t="s">
        <v>1094</v>
      </c>
      <c r="U432" s="81"/>
    </row>
    <row r="433" spans="1:21" s="6" customFormat="1" ht="27.45" customHeight="1">
      <c r="A433" s="32">
        <v>419</v>
      </c>
      <c r="B433" s="40"/>
      <c r="C433" s="40"/>
      <c r="D433" s="34"/>
      <c r="E433" s="35" t="str">
        <f>'Tên Tháng 1'!E422</f>
        <v>មន ម៉ុក</v>
      </c>
      <c r="F433" s="36" t="str">
        <f>'Tên Tháng 1'!F422</f>
        <v>MON MOK</v>
      </c>
      <c r="G433" s="37">
        <v>323</v>
      </c>
      <c r="H433" s="38">
        <v>31947</v>
      </c>
      <c r="I433" s="59">
        <f>'KL 1'!X434</f>
        <v>15.28</v>
      </c>
      <c r="J433" s="60">
        <f t="shared" si="42"/>
        <v>488150</v>
      </c>
      <c r="K433" s="61"/>
      <c r="L433" s="62"/>
      <c r="M433" s="63">
        <f t="shared" si="43"/>
        <v>488150</v>
      </c>
      <c r="N433" s="64">
        <f t="shared" si="39"/>
        <v>0</v>
      </c>
      <c r="O433" s="65">
        <f t="shared" si="40"/>
        <v>0</v>
      </c>
      <c r="P433" s="66">
        <f t="shared" si="41"/>
        <v>0</v>
      </c>
      <c r="Q433" s="60">
        <f t="shared" si="44"/>
        <v>488150</v>
      </c>
      <c r="R433" s="79"/>
      <c r="S433" s="80" t="s">
        <v>1094</v>
      </c>
      <c r="U433" s="81"/>
    </row>
    <row r="434" spans="1:21" s="6" customFormat="1" ht="27.45" customHeight="1">
      <c r="A434" s="32">
        <v>420</v>
      </c>
      <c r="B434" s="40"/>
      <c r="C434" s="40"/>
      <c r="D434" s="34"/>
      <c r="E434" s="35" t="str">
        <f>'Tên Tháng 1'!E423</f>
        <v>ឡេង ឡៃហួត</v>
      </c>
      <c r="F434" s="36" t="str">
        <f>'Tên Tháng 1'!F423</f>
        <v>LENG LAYHUOT</v>
      </c>
      <c r="G434" s="37">
        <v>324</v>
      </c>
      <c r="H434" s="38">
        <v>31947</v>
      </c>
      <c r="I434" s="59">
        <f>'KL 1'!X435</f>
        <v>14.11</v>
      </c>
      <c r="J434" s="60">
        <f t="shared" si="42"/>
        <v>450772</v>
      </c>
      <c r="K434" s="61"/>
      <c r="L434" s="62"/>
      <c r="M434" s="63">
        <f t="shared" si="43"/>
        <v>450772</v>
      </c>
      <c r="N434" s="64">
        <f t="shared" si="39"/>
        <v>0</v>
      </c>
      <c r="O434" s="65">
        <f t="shared" si="40"/>
        <v>0</v>
      </c>
      <c r="P434" s="66">
        <f t="shared" si="41"/>
        <v>0</v>
      </c>
      <c r="Q434" s="60">
        <f t="shared" si="44"/>
        <v>450772</v>
      </c>
      <c r="R434" s="79"/>
      <c r="S434" s="80" t="s">
        <v>1094</v>
      </c>
      <c r="U434" s="81"/>
    </row>
    <row r="435" spans="1:21" s="6" customFormat="1" ht="27.45" customHeight="1">
      <c r="A435" s="32">
        <v>421</v>
      </c>
      <c r="B435" s="40"/>
      <c r="C435" s="40"/>
      <c r="D435" s="34"/>
      <c r="E435" s="35" t="str">
        <f>'Tên Tháng 1'!E424</f>
        <v>កាន់ថេត</v>
      </c>
      <c r="F435" s="36" t="str">
        <f>'Tên Tháng 1'!F424</f>
        <v>KANN THET</v>
      </c>
      <c r="G435" s="37">
        <v>325</v>
      </c>
      <c r="H435" s="38">
        <v>31947</v>
      </c>
      <c r="I435" s="59">
        <f>'KL 1'!X436</f>
        <v>16.490000000000002</v>
      </c>
      <c r="J435" s="60">
        <f t="shared" si="42"/>
        <v>526806</v>
      </c>
      <c r="K435" s="61"/>
      <c r="L435" s="62"/>
      <c r="M435" s="63">
        <f t="shared" si="43"/>
        <v>526806</v>
      </c>
      <c r="N435" s="64">
        <f t="shared" si="39"/>
        <v>0</v>
      </c>
      <c r="O435" s="65">
        <f t="shared" si="40"/>
        <v>0</v>
      </c>
      <c r="P435" s="66">
        <f t="shared" si="41"/>
        <v>0</v>
      </c>
      <c r="Q435" s="60">
        <f t="shared" si="44"/>
        <v>526806</v>
      </c>
      <c r="R435" s="79"/>
      <c r="S435" s="80" t="s">
        <v>1094</v>
      </c>
      <c r="U435" s="81"/>
    </row>
    <row r="436" spans="1:21" s="6" customFormat="1" ht="27.45" customHeight="1">
      <c r="A436" s="32">
        <v>422</v>
      </c>
      <c r="B436" s="40"/>
      <c r="C436" s="40"/>
      <c r="D436" s="34"/>
      <c r="E436" s="35" t="str">
        <f>'Tên Tháng 1'!E425</f>
        <v>ឡាក់ ចាក់</v>
      </c>
      <c r="F436" s="36" t="str">
        <f>'Tên Tháng 1'!F425</f>
        <v>LAK CHHAK</v>
      </c>
      <c r="G436" s="37">
        <v>326</v>
      </c>
      <c r="H436" s="38">
        <v>31947</v>
      </c>
      <c r="I436" s="59">
        <f>'KL 1'!X437</f>
        <v>14.299999999999999</v>
      </c>
      <c r="J436" s="60">
        <f t="shared" si="42"/>
        <v>456842</v>
      </c>
      <c r="K436" s="61"/>
      <c r="L436" s="62"/>
      <c r="M436" s="63">
        <f t="shared" si="43"/>
        <v>456842</v>
      </c>
      <c r="N436" s="64">
        <f t="shared" si="39"/>
        <v>0</v>
      </c>
      <c r="O436" s="65">
        <f t="shared" si="40"/>
        <v>0</v>
      </c>
      <c r="P436" s="66">
        <f t="shared" si="41"/>
        <v>0</v>
      </c>
      <c r="Q436" s="60">
        <f t="shared" si="44"/>
        <v>456842</v>
      </c>
      <c r="R436" s="79"/>
      <c r="S436" s="80" t="s">
        <v>1094</v>
      </c>
      <c r="U436" s="81"/>
    </row>
    <row r="437" spans="1:21" s="6" customFormat="1" ht="27.45" customHeight="1">
      <c r="A437" s="32">
        <v>423</v>
      </c>
      <c r="B437" s="40"/>
      <c r="C437" s="40"/>
      <c r="D437" s="34"/>
      <c r="E437" s="35" t="str">
        <f>'Tên Tháng 1'!E426</f>
        <v>ឆាង ហ៊ឺ</v>
      </c>
      <c r="F437" s="36" t="str">
        <f>'Tên Tháng 1'!F426</f>
        <v>CHHANG HEU</v>
      </c>
      <c r="G437" s="37">
        <v>327</v>
      </c>
      <c r="H437" s="38">
        <v>31947</v>
      </c>
      <c r="I437" s="59">
        <f>'KL 1'!X438</f>
        <v>16.729999999999997</v>
      </c>
      <c r="J437" s="60">
        <f t="shared" si="42"/>
        <v>534473</v>
      </c>
      <c r="K437" s="61"/>
      <c r="L437" s="62"/>
      <c r="M437" s="63">
        <f t="shared" si="43"/>
        <v>534473</v>
      </c>
      <c r="N437" s="64">
        <f t="shared" si="39"/>
        <v>0</v>
      </c>
      <c r="O437" s="65">
        <f t="shared" si="40"/>
        <v>0</v>
      </c>
      <c r="P437" s="66">
        <f t="shared" si="41"/>
        <v>0</v>
      </c>
      <c r="Q437" s="60">
        <f t="shared" si="44"/>
        <v>534473</v>
      </c>
      <c r="R437" s="79"/>
      <c r="S437" s="80" t="s">
        <v>1094</v>
      </c>
      <c r="U437" s="81"/>
    </row>
    <row r="438" spans="1:21" s="6" customFormat="1" ht="27.45" customHeight="1">
      <c r="A438" s="32">
        <v>424</v>
      </c>
      <c r="B438" s="40"/>
      <c r="C438" s="40"/>
      <c r="D438" s="34"/>
      <c r="E438" s="35" t="str">
        <f>'Tên Tháng 1'!E427</f>
        <v>ឡេង ឡុញ</v>
      </c>
      <c r="F438" s="36" t="str">
        <f>'Tên Tháng 1'!F427</f>
        <v>LENG LONH</v>
      </c>
      <c r="G438" s="37">
        <v>328</v>
      </c>
      <c r="H438" s="38">
        <v>31947</v>
      </c>
      <c r="I438" s="59">
        <f>'KL 1'!X439</f>
        <v>16.279999999999998</v>
      </c>
      <c r="J438" s="60">
        <f t="shared" si="42"/>
        <v>520097</v>
      </c>
      <c r="K438" s="61"/>
      <c r="L438" s="62"/>
      <c r="M438" s="63">
        <f t="shared" si="43"/>
        <v>520097</v>
      </c>
      <c r="N438" s="64">
        <f t="shared" ref="N438:N498" si="45">L438</f>
        <v>0</v>
      </c>
      <c r="O438" s="65">
        <f t="shared" ref="O438:O498" si="46">ROUND(IF(M438&lt;=1200000,0,IF(AND((M438)&gt;1200000,(M438)&lt;=2000000),(M438)*5%-60000,IF(AND((M438)&gt;2000000,(M438)&lt;=8500000),(M438)*10%-160000))),0)</f>
        <v>0</v>
      </c>
      <c r="P438" s="66">
        <f t="shared" ref="P438:P498" si="47">N438+O438</f>
        <v>0</v>
      </c>
      <c r="Q438" s="60">
        <f t="shared" si="44"/>
        <v>520097</v>
      </c>
      <c r="R438" s="79"/>
      <c r="S438" s="80" t="s">
        <v>1094</v>
      </c>
      <c r="U438" s="81"/>
    </row>
    <row r="439" spans="1:21" s="6" customFormat="1" ht="27.45" customHeight="1">
      <c r="A439" s="32">
        <v>425</v>
      </c>
      <c r="B439" s="40"/>
      <c r="C439" s="40"/>
      <c r="D439" s="34"/>
      <c r="E439" s="35" t="str">
        <f>'Tên Tháng 1'!E428</f>
        <v>ធី សៀក</v>
      </c>
      <c r="F439" s="36" t="str">
        <f>'Tên Tháng 1'!F428</f>
        <v>THY SEAK</v>
      </c>
      <c r="G439" s="37">
        <v>329</v>
      </c>
      <c r="H439" s="38">
        <v>31947</v>
      </c>
      <c r="I439" s="59">
        <f>'KL 1'!X440</f>
        <v>15.51</v>
      </c>
      <c r="J439" s="60">
        <f t="shared" si="42"/>
        <v>495498</v>
      </c>
      <c r="K439" s="61"/>
      <c r="L439" s="62"/>
      <c r="M439" s="63">
        <f t="shared" si="43"/>
        <v>495498</v>
      </c>
      <c r="N439" s="64">
        <f t="shared" si="45"/>
        <v>0</v>
      </c>
      <c r="O439" s="65">
        <f t="shared" si="46"/>
        <v>0</v>
      </c>
      <c r="P439" s="66">
        <f t="shared" si="47"/>
        <v>0</v>
      </c>
      <c r="Q439" s="60">
        <f t="shared" si="44"/>
        <v>495498</v>
      </c>
      <c r="R439" s="79"/>
      <c r="S439" s="80" t="s">
        <v>1094</v>
      </c>
      <c r="U439" s="81"/>
    </row>
    <row r="440" spans="1:21" s="6" customFormat="1" ht="27.45" customHeight="1">
      <c r="A440" s="32">
        <v>426</v>
      </c>
      <c r="B440" s="40"/>
      <c r="C440" s="40"/>
      <c r="D440" s="34"/>
      <c r="E440" s="35" t="str">
        <f>'Tên Tháng 1'!E429</f>
        <v>រ៉ាត សារី</v>
      </c>
      <c r="F440" s="36" t="str">
        <f>'Tên Tháng 1'!F429</f>
        <v>RATH SARY</v>
      </c>
      <c r="G440" s="37">
        <v>330</v>
      </c>
      <c r="H440" s="38">
        <v>31947</v>
      </c>
      <c r="I440" s="59">
        <f>'KL 1'!X441</f>
        <v>11.33</v>
      </c>
      <c r="J440" s="60">
        <f t="shared" si="42"/>
        <v>361960</v>
      </c>
      <c r="K440" s="61"/>
      <c r="L440" s="62"/>
      <c r="M440" s="63">
        <f t="shared" si="43"/>
        <v>361960</v>
      </c>
      <c r="N440" s="64">
        <f t="shared" si="45"/>
        <v>0</v>
      </c>
      <c r="O440" s="65">
        <f t="shared" si="46"/>
        <v>0</v>
      </c>
      <c r="P440" s="66">
        <f t="shared" si="47"/>
        <v>0</v>
      </c>
      <c r="Q440" s="60">
        <f t="shared" si="44"/>
        <v>361960</v>
      </c>
      <c r="R440" s="79"/>
      <c r="S440" s="80" t="s">
        <v>1094</v>
      </c>
      <c r="U440" s="81"/>
    </row>
    <row r="441" spans="1:21" s="6" customFormat="1" ht="27.45" customHeight="1">
      <c r="A441" s="32">
        <v>427</v>
      </c>
      <c r="B441" s="40"/>
      <c r="C441" s="40"/>
      <c r="D441" s="34"/>
      <c r="E441" s="35" t="str">
        <f>'Tên Tháng 1'!E430</f>
        <v>សឿន ផាត</v>
      </c>
      <c r="F441" s="36" t="str">
        <f>'Tên Tháng 1'!F430</f>
        <v>SOEUN PHAT</v>
      </c>
      <c r="G441" s="37">
        <v>331</v>
      </c>
      <c r="H441" s="38">
        <v>31947</v>
      </c>
      <c r="I441" s="59">
        <f>'KL 1'!X442</f>
        <v>11.370000000000001</v>
      </c>
      <c r="J441" s="60">
        <f t="shared" si="42"/>
        <v>363237</v>
      </c>
      <c r="K441" s="61"/>
      <c r="L441" s="62"/>
      <c r="M441" s="63">
        <f t="shared" si="43"/>
        <v>363237</v>
      </c>
      <c r="N441" s="64">
        <f t="shared" si="45"/>
        <v>0</v>
      </c>
      <c r="O441" s="65">
        <f t="shared" si="46"/>
        <v>0</v>
      </c>
      <c r="P441" s="66">
        <f t="shared" si="47"/>
        <v>0</v>
      </c>
      <c r="Q441" s="60">
        <f t="shared" si="44"/>
        <v>363237</v>
      </c>
      <c r="R441" s="79"/>
      <c r="S441" s="80" t="s">
        <v>1094</v>
      </c>
      <c r="U441" s="81"/>
    </row>
    <row r="442" spans="1:21" s="6" customFormat="1" ht="27.45" customHeight="1">
      <c r="A442" s="32">
        <v>428</v>
      </c>
      <c r="B442" s="40"/>
      <c r="C442" s="40"/>
      <c r="D442" s="34"/>
      <c r="E442" s="35" t="str">
        <f>'Tên Tháng 1'!E431</f>
        <v>ហាត់ ធីតា</v>
      </c>
      <c r="F442" s="36" t="str">
        <f>'Tên Tháng 1'!F431</f>
        <v>HAT THYDA</v>
      </c>
      <c r="G442" s="37">
        <v>332</v>
      </c>
      <c r="H442" s="38">
        <v>31947</v>
      </c>
      <c r="I442" s="59">
        <f>'KL 1'!X443</f>
        <v>13.75</v>
      </c>
      <c r="J442" s="60">
        <f t="shared" si="42"/>
        <v>439271</v>
      </c>
      <c r="K442" s="61"/>
      <c r="L442" s="62"/>
      <c r="M442" s="63">
        <f t="shared" si="43"/>
        <v>439271</v>
      </c>
      <c r="N442" s="64">
        <f t="shared" si="45"/>
        <v>0</v>
      </c>
      <c r="O442" s="65">
        <f t="shared" si="46"/>
        <v>0</v>
      </c>
      <c r="P442" s="66">
        <f t="shared" si="47"/>
        <v>0</v>
      </c>
      <c r="Q442" s="60">
        <f t="shared" si="44"/>
        <v>439271</v>
      </c>
      <c r="R442" s="79"/>
      <c r="S442" s="80" t="s">
        <v>1094</v>
      </c>
      <c r="U442" s="81"/>
    </row>
    <row r="443" spans="1:21" s="6" customFormat="1" ht="27.45" customHeight="1">
      <c r="A443" s="32">
        <v>429</v>
      </c>
      <c r="B443" s="40"/>
      <c r="C443" s="40"/>
      <c r="D443" s="34"/>
      <c r="E443" s="35" t="str">
        <f>'Tên Tháng 1'!E432</f>
        <v>ពី ប៉ាត់</v>
      </c>
      <c r="F443" s="36" t="str">
        <f>'Tên Tháng 1'!F432</f>
        <v>PY PATH</v>
      </c>
      <c r="G443" s="37">
        <v>333</v>
      </c>
      <c r="H443" s="38">
        <v>31947</v>
      </c>
      <c r="I443" s="59">
        <f>'KL 1'!X444</f>
        <v>15.58</v>
      </c>
      <c r="J443" s="60">
        <f t="shared" si="42"/>
        <v>497734</v>
      </c>
      <c r="K443" s="61"/>
      <c r="L443" s="62"/>
      <c r="M443" s="63">
        <f t="shared" si="43"/>
        <v>497734</v>
      </c>
      <c r="N443" s="64">
        <f t="shared" si="45"/>
        <v>0</v>
      </c>
      <c r="O443" s="65">
        <f t="shared" si="46"/>
        <v>0</v>
      </c>
      <c r="P443" s="66">
        <f t="shared" si="47"/>
        <v>0</v>
      </c>
      <c r="Q443" s="60">
        <f t="shared" si="44"/>
        <v>497734</v>
      </c>
      <c r="R443" s="79"/>
      <c r="S443" s="80" t="s">
        <v>1094</v>
      </c>
      <c r="U443" s="81"/>
    </row>
    <row r="444" spans="1:21" s="6" customFormat="1" ht="27.45" customHeight="1">
      <c r="A444" s="32">
        <v>430</v>
      </c>
      <c r="B444" s="40"/>
      <c r="C444" s="40"/>
      <c r="D444" s="34"/>
      <c r="E444" s="35" t="str">
        <f>'Tên Tháng 1'!E433</f>
        <v>សរ ធាង</v>
      </c>
      <c r="F444" s="36" t="str">
        <f>'Tên Tháng 1'!F433</f>
        <v>SOR THEANG</v>
      </c>
      <c r="G444" s="37">
        <v>334</v>
      </c>
      <c r="H444" s="38">
        <v>31947</v>
      </c>
      <c r="I444" s="59">
        <f>'KL 1'!X445</f>
        <v>14.93</v>
      </c>
      <c r="J444" s="60">
        <f t="shared" si="42"/>
        <v>476969</v>
      </c>
      <c r="K444" s="61"/>
      <c r="L444" s="62"/>
      <c r="M444" s="63">
        <f t="shared" si="43"/>
        <v>476969</v>
      </c>
      <c r="N444" s="64">
        <f t="shared" si="45"/>
        <v>0</v>
      </c>
      <c r="O444" s="65">
        <f t="shared" si="46"/>
        <v>0</v>
      </c>
      <c r="P444" s="66">
        <f t="shared" si="47"/>
        <v>0</v>
      </c>
      <c r="Q444" s="60">
        <f t="shared" si="44"/>
        <v>476969</v>
      </c>
      <c r="R444" s="79"/>
      <c r="S444" s="80" t="s">
        <v>1094</v>
      </c>
      <c r="U444" s="81"/>
    </row>
    <row r="445" spans="1:21" s="6" customFormat="1" ht="27.45" customHeight="1">
      <c r="A445" s="32">
        <v>431</v>
      </c>
      <c r="B445" s="40"/>
      <c r="C445" s="40"/>
      <c r="D445" s="34"/>
      <c r="E445" s="35" t="str">
        <f>'Tên Tháng 1'!E434</f>
        <v>អ៊ាង អាន់</v>
      </c>
      <c r="F445" s="36" t="str">
        <f>'Tên Tháng 1'!F434</f>
        <v>EANG ANN</v>
      </c>
      <c r="G445" s="37">
        <v>335</v>
      </c>
      <c r="H445" s="38">
        <v>31947</v>
      </c>
      <c r="I445" s="59">
        <f>'KL 1'!X446</f>
        <v>17.329999999999998</v>
      </c>
      <c r="J445" s="60">
        <f t="shared" si="42"/>
        <v>553642</v>
      </c>
      <c r="K445" s="61"/>
      <c r="L445" s="62"/>
      <c r="M445" s="63">
        <f t="shared" si="43"/>
        <v>553642</v>
      </c>
      <c r="N445" s="64">
        <f t="shared" si="45"/>
        <v>0</v>
      </c>
      <c r="O445" s="65">
        <f t="shared" si="46"/>
        <v>0</v>
      </c>
      <c r="P445" s="66">
        <f t="shared" si="47"/>
        <v>0</v>
      </c>
      <c r="Q445" s="60">
        <f t="shared" si="44"/>
        <v>553642</v>
      </c>
      <c r="R445" s="79"/>
      <c r="S445" s="80" t="s">
        <v>1094</v>
      </c>
      <c r="U445" s="81"/>
    </row>
    <row r="446" spans="1:21" s="6" customFormat="1" ht="27.45" customHeight="1">
      <c r="A446" s="32">
        <v>432</v>
      </c>
      <c r="B446" s="40"/>
      <c r="C446" s="40"/>
      <c r="D446" s="34"/>
      <c r="E446" s="35" t="str">
        <f>'Tên Tháng 1'!E435</f>
        <v>អៀង ផុន</v>
      </c>
      <c r="F446" s="36" t="str">
        <f>'Tên Tháng 1'!F435</f>
        <v>EANG PHON</v>
      </c>
      <c r="G446" s="37">
        <v>336</v>
      </c>
      <c r="H446" s="38">
        <v>31947</v>
      </c>
      <c r="I446" s="59">
        <f>'KL 1'!X447</f>
        <v>17.32</v>
      </c>
      <c r="J446" s="60">
        <f t="shared" si="42"/>
        <v>553322</v>
      </c>
      <c r="K446" s="61"/>
      <c r="L446" s="62"/>
      <c r="M446" s="63">
        <f t="shared" si="43"/>
        <v>553322</v>
      </c>
      <c r="N446" s="64">
        <f t="shared" si="45"/>
        <v>0</v>
      </c>
      <c r="O446" s="65">
        <f t="shared" si="46"/>
        <v>0</v>
      </c>
      <c r="P446" s="66">
        <f t="shared" si="47"/>
        <v>0</v>
      </c>
      <c r="Q446" s="60">
        <f t="shared" si="44"/>
        <v>553322</v>
      </c>
      <c r="R446" s="79"/>
      <c r="S446" s="80" t="s">
        <v>1094</v>
      </c>
      <c r="U446" s="81"/>
    </row>
    <row r="447" spans="1:21" s="6" customFormat="1" ht="27.45" customHeight="1">
      <c r="A447" s="32">
        <v>433</v>
      </c>
      <c r="B447" s="40"/>
      <c r="C447" s="40"/>
      <c r="D447" s="34"/>
      <c r="E447" s="35" t="str">
        <f>'Tên Tháng 1'!E436</f>
        <v>ធី ធើយ</v>
      </c>
      <c r="F447" s="36" t="str">
        <f>'Tên Tháng 1'!F436</f>
        <v>THY THOEUY</v>
      </c>
      <c r="G447" s="37">
        <v>337</v>
      </c>
      <c r="H447" s="38">
        <v>31947</v>
      </c>
      <c r="I447" s="59">
        <f>'KL 1'!X448</f>
        <v>14.41</v>
      </c>
      <c r="J447" s="60">
        <f t="shared" si="42"/>
        <v>460356</v>
      </c>
      <c r="K447" s="61"/>
      <c r="L447" s="62"/>
      <c r="M447" s="63">
        <f t="shared" si="43"/>
        <v>460356</v>
      </c>
      <c r="N447" s="64">
        <f t="shared" si="45"/>
        <v>0</v>
      </c>
      <c r="O447" s="65">
        <f t="shared" si="46"/>
        <v>0</v>
      </c>
      <c r="P447" s="66">
        <f t="shared" si="47"/>
        <v>0</v>
      </c>
      <c r="Q447" s="60">
        <f t="shared" si="44"/>
        <v>460356</v>
      </c>
      <c r="R447" s="79"/>
      <c r="S447" s="80" t="s">
        <v>1094</v>
      </c>
      <c r="U447" s="81"/>
    </row>
    <row r="448" spans="1:21" s="6" customFormat="1" ht="27.45" customHeight="1">
      <c r="A448" s="32">
        <v>434</v>
      </c>
      <c r="B448" s="40"/>
      <c r="C448" s="40"/>
      <c r="D448" s="34"/>
      <c r="E448" s="35" t="str">
        <f>'Tên Tháng 1'!E437</f>
        <v>ចយ ជឿន</v>
      </c>
      <c r="F448" s="36" t="str">
        <f>'Tên Tháng 1'!F437</f>
        <v>CHAY CHOEUN</v>
      </c>
      <c r="G448" s="37">
        <v>338</v>
      </c>
      <c r="H448" s="38">
        <v>31947</v>
      </c>
      <c r="I448" s="59">
        <f>'KL 1'!X449</f>
        <v>13.979999999999999</v>
      </c>
      <c r="J448" s="60">
        <f t="shared" si="42"/>
        <v>446619</v>
      </c>
      <c r="K448" s="61"/>
      <c r="L448" s="62"/>
      <c r="M448" s="63">
        <f t="shared" si="43"/>
        <v>446619</v>
      </c>
      <c r="N448" s="64">
        <f t="shared" si="45"/>
        <v>0</v>
      </c>
      <c r="O448" s="65">
        <f t="shared" si="46"/>
        <v>0</v>
      </c>
      <c r="P448" s="66">
        <f t="shared" si="47"/>
        <v>0</v>
      </c>
      <c r="Q448" s="60">
        <f t="shared" si="44"/>
        <v>446619</v>
      </c>
      <c r="R448" s="79"/>
      <c r="S448" s="80" t="s">
        <v>1094</v>
      </c>
      <c r="U448" s="81"/>
    </row>
    <row r="449" spans="1:21" s="6" customFormat="1" ht="27.45" customHeight="1">
      <c r="A449" s="32">
        <v>435</v>
      </c>
      <c r="B449" s="40"/>
      <c r="C449" s="40"/>
      <c r="D449" s="34"/>
      <c r="E449" s="35" t="str">
        <f>'Tên Tháng 1'!E438</f>
        <v>ឈូក ស្រីម៉ៅ</v>
      </c>
      <c r="F449" s="36" t="str">
        <f>'Tên Tháng 1'!F438</f>
        <v>CHHOUK SREY MAO</v>
      </c>
      <c r="G449" s="37">
        <v>339</v>
      </c>
      <c r="H449" s="38">
        <v>31947</v>
      </c>
      <c r="I449" s="59">
        <f>'KL 1'!X450</f>
        <v>13.39</v>
      </c>
      <c r="J449" s="60">
        <f t="shared" si="42"/>
        <v>427770</v>
      </c>
      <c r="K449" s="61"/>
      <c r="L449" s="62"/>
      <c r="M449" s="63">
        <f t="shared" si="43"/>
        <v>427770</v>
      </c>
      <c r="N449" s="64">
        <f t="shared" si="45"/>
        <v>0</v>
      </c>
      <c r="O449" s="65">
        <f t="shared" si="46"/>
        <v>0</v>
      </c>
      <c r="P449" s="66">
        <f t="shared" si="47"/>
        <v>0</v>
      </c>
      <c r="Q449" s="60">
        <f t="shared" si="44"/>
        <v>427770</v>
      </c>
      <c r="R449" s="79"/>
      <c r="S449" s="80" t="s">
        <v>1094</v>
      </c>
      <c r="U449" s="81"/>
    </row>
    <row r="450" spans="1:21" s="6" customFormat="1" ht="27.45" customHeight="1">
      <c r="A450" s="32">
        <v>436</v>
      </c>
      <c r="B450" s="40"/>
      <c r="C450" s="40"/>
      <c r="D450" s="34"/>
      <c r="E450" s="35" t="str">
        <f>'Tên Tháng 1'!E439</f>
        <v>ភួន ឡែម</v>
      </c>
      <c r="F450" s="36" t="str">
        <f>'Tên Tháng 1'!F439</f>
        <v>PHUON LEM</v>
      </c>
      <c r="G450" s="37">
        <v>340</v>
      </c>
      <c r="H450" s="38">
        <v>31947</v>
      </c>
      <c r="I450" s="59">
        <f>'KL 1'!X451</f>
        <v>16.07</v>
      </c>
      <c r="J450" s="60">
        <f t="shared" si="42"/>
        <v>513388</v>
      </c>
      <c r="K450" s="61"/>
      <c r="L450" s="62"/>
      <c r="M450" s="63">
        <f t="shared" si="43"/>
        <v>513388</v>
      </c>
      <c r="N450" s="64">
        <f t="shared" si="45"/>
        <v>0</v>
      </c>
      <c r="O450" s="65">
        <f t="shared" si="46"/>
        <v>0</v>
      </c>
      <c r="P450" s="66">
        <f t="shared" si="47"/>
        <v>0</v>
      </c>
      <c r="Q450" s="60">
        <f t="shared" si="44"/>
        <v>513388</v>
      </c>
      <c r="R450" s="79"/>
      <c r="S450" s="80" t="s">
        <v>1094</v>
      </c>
      <c r="U450" s="81"/>
    </row>
    <row r="451" spans="1:21" s="6" customFormat="1" ht="27.45" customHeight="1">
      <c r="A451" s="32">
        <v>437</v>
      </c>
      <c r="B451" s="40"/>
      <c r="C451" s="40"/>
      <c r="D451" s="34"/>
      <c r="E451" s="35" t="str">
        <f>'Tên Tháng 1'!E440</f>
        <v>ធីម ម៉ាប់</v>
      </c>
      <c r="F451" s="36" t="str">
        <f>'Tên Tháng 1'!F440</f>
        <v>THIM MAB</v>
      </c>
      <c r="G451" s="37">
        <v>341</v>
      </c>
      <c r="H451" s="38">
        <v>31947</v>
      </c>
      <c r="I451" s="59">
        <f>'KL 1'!X452</f>
        <v>14.93</v>
      </c>
      <c r="J451" s="60">
        <f t="shared" si="42"/>
        <v>476969</v>
      </c>
      <c r="K451" s="61"/>
      <c r="L451" s="62"/>
      <c r="M451" s="63">
        <f t="shared" si="43"/>
        <v>476969</v>
      </c>
      <c r="N451" s="64">
        <f t="shared" si="45"/>
        <v>0</v>
      </c>
      <c r="O451" s="65">
        <f t="shared" si="46"/>
        <v>0</v>
      </c>
      <c r="P451" s="66">
        <f t="shared" si="47"/>
        <v>0</v>
      </c>
      <c r="Q451" s="60">
        <f t="shared" si="44"/>
        <v>476969</v>
      </c>
      <c r="R451" s="79"/>
      <c r="S451" s="80" t="s">
        <v>1094</v>
      </c>
      <c r="U451" s="81"/>
    </row>
    <row r="452" spans="1:21" s="6" customFormat="1" ht="33" customHeight="1">
      <c r="A452" s="32">
        <v>438</v>
      </c>
      <c r="B452" s="40"/>
      <c r="C452" s="40"/>
      <c r="D452" s="34"/>
      <c r="E452" s="35" t="str">
        <f>'Tên Tháng 1'!E441</f>
        <v>ឆែម ហៀក</v>
      </c>
      <c r="F452" s="36" t="str">
        <f>'Tên Tháng 1'!F441</f>
        <v>CHHEM HEAK</v>
      </c>
      <c r="G452" s="37">
        <v>342</v>
      </c>
      <c r="H452" s="38">
        <v>31947</v>
      </c>
      <c r="I452" s="59">
        <f>'KL 1'!X453</f>
        <v>16.79</v>
      </c>
      <c r="J452" s="60">
        <f t="shared" si="42"/>
        <v>536390</v>
      </c>
      <c r="K452" s="61"/>
      <c r="L452" s="62"/>
      <c r="M452" s="63">
        <f t="shared" si="43"/>
        <v>536390</v>
      </c>
      <c r="N452" s="64">
        <f t="shared" si="45"/>
        <v>0</v>
      </c>
      <c r="O452" s="65">
        <f t="shared" si="46"/>
        <v>0</v>
      </c>
      <c r="P452" s="66">
        <f t="shared" si="47"/>
        <v>0</v>
      </c>
      <c r="Q452" s="60">
        <f t="shared" si="44"/>
        <v>536390</v>
      </c>
      <c r="R452" s="79"/>
      <c r="S452" s="80" t="s">
        <v>1094</v>
      </c>
      <c r="U452" s="81"/>
    </row>
    <row r="453" spans="1:21" s="6" customFormat="1" ht="31.2" customHeight="1">
      <c r="A453" s="32">
        <v>439</v>
      </c>
      <c r="B453" s="40"/>
      <c r="C453" s="40"/>
      <c r="D453" s="34"/>
      <c r="E453" s="35" t="str">
        <f>'Tên Tháng 1'!E442</f>
        <v>ហេន ហាត</v>
      </c>
      <c r="F453" s="36" t="str">
        <f>'Tên Tháng 1'!F442</f>
        <v>HEN HAT</v>
      </c>
      <c r="G453" s="37">
        <v>343</v>
      </c>
      <c r="H453" s="38">
        <v>31947</v>
      </c>
      <c r="I453" s="59">
        <f>'KL 1'!X454</f>
        <v>11.91</v>
      </c>
      <c r="J453" s="60">
        <f t="shared" si="42"/>
        <v>380489</v>
      </c>
      <c r="K453" s="61"/>
      <c r="L453" s="62"/>
      <c r="M453" s="63">
        <f t="shared" si="43"/>
        <v>380489</v>
      </c>
      <c r="N453" s="64">
        <f t="shared" si="45"/>
        <v>0</v>
      </c>
      <c r="O453" s="65">
        <f t="shared" si="46"/>
        <v>0</v>
      </c>
      <c r="P453" s="66">
        <f t="shared" si="47"/>
        <v>0</v>
      </c>
      <c r="Q453" s="60">
        <f t="shared" si="44"/>
        <v>380489</v>
      </c>
      <c r="R453" s="79"/>
      <c r="S453" s="80" t="s">
        <v>1094</v>
      </c>
      <c r="U453" s="81"/>
    </row>
    <row r="454" spans="1:21" s="6" customFormat="1" ht="27" customHeight="1">
      <c r="A454" s="32">
        <v>440</v>
      </c>
      <c r="B454" s="40"/>
      <c r="C454" s="40"/>
      <c r="D454" s="34"/>
      <c r="E454" s="35" t="str">
        <f>'Tên Tháng 1'!E443</f>
        <v>ថន អន</v>
      </c>
      <c r="F454" s="36" t="str">
        <f>'Tên Tháng 1'!F443</f>
        <v>THORN ORN</v>
      </c>
      <c r="G454" s="37">
        <v>428</v>
      </c>
      <c r="H454" s="38">
        <v>31947</v>
      </c>
      <c r="I454" s="59">
        <f>'KL 1'!X455</f>
        <v>14.01</v>
      </c>
      <c r="J454" s="60">
        <f t="shared" si="42"/>
        <v>447577</v>
      </c>
      <c r="K454" s="61"/>
      <c r="L454" s="62"/>
      <c r="M454" s="63">
        <f t="shared" si="43"/>
        <v>447577</v>
      </c>
      <c r="N454" s="64">
        <f t="shared" si="45"/>
        <v>0</v>
      </c>
      <c r="O454" s="65">
        <f t="shared" si="46"/>
        <v>0</v>
      </c>
      <c r="P454" s="66">
        <f t="shared" si="47"/>
        <v>0</v>
      </c>
      <c r="Q454" s="60">
        <f t="shared" si="44"/>
        <v>447577</v>
      </c>
      <c r="R454" s="79"/>
      <c r="S454" s="80" t="s">
        <v>1094</v>
      </c>
      <c r="U454" s="81"/>
    </row>
    <row r="455" spans="1:21" s="6" customFormat="1" ht="27" customHeight="1">
      <c r="A455" s="32">
        <v>441</v>
      </c>
      <c r="B455" s="40"/>
      <c r="C455" s="40"/>
      <c r="D455" s="34"/>
      <c r="E455" s="35" t="str">
        <f>'Tên Tháng 1'!E444</f>
        <v>យី​ សុខដា</v>
      </c>
      <c r="F455" s="36" t="str">
        <f>'Tên Tháng 1'!F444</f>
        <v>YI SOKDA</v>
      </c>
      <c r="G455" s="37">
        <v>429</v>
      </c>
      <c r="H455" s="38">
        <v>31947</v>
      </c>
      <c r="I455" s="59">
        <f>'KL 1'!X456</f>
        <v>17.64</v>
      </c>
      <c r="J455" s="60">
        <f t="shared" si="42"/>
        <v>563545</v>
      </c>
      <c r="K455" s="61"/>
      <c r="L455" s="62"/>
      <c r="M455" s="63">
        <f t="shared" si="43"/>
        <v>563545</v>
      </c>
      <c r="N455" s="64">
        <f t="shared" si="45"/>
        <v>0</v>
      </c>
      <c r="O455" s="65">
        <f t="shared" si="46"/>
        <v>0</v>
      </c>
      <c r="P455" s="66">
        <f t="shared" si="47"/>
        <v>0</v>
      </c>
      <c r="Q455" s="60">
        <f t="shared" si="44"/>
        <v>563545</v>
      </c>
      <c r="R455" s="79"/>
      <c r="S455" s="80" t="s">
        <v>1094</v>
      </c>
      <c r="U455" s="81"/>
    </row>
    <row r="456" spans="1:21" s="6" customFormat="1" ht="27" customHeight="1">
      <c r="A456" s="32">
        <v>442</v>
      </c>
      <c r="B456" s="40"/>
      <c r="C456" s="40"/>
      <c r="D456" s="34"/>
      <c r="E456" s="35" t="str">
        <f>'Tên Tháng 1'!E445</f>
        <v>អ៊ឹម អាន</v>
      </c>
      <c r="F456" s="36" t="str">
        <f>'Tên Tháng 1'!F445</f>
        <v>OEM AN</v>
      </c>
      <c r="G456" s="37">
        <v>430</v>
      </c>
      <c r="H456" s="38">
        <v>31947</v>
      </c>
      <c r="I456" s="59">
        <f>'KL 1'!X457</f>
        <v>17.229999999999997</v>
      </c>
      <c r="J456" s="60">
        <f t="shared" si="42"/>
        <v>550447</v>
      </c>
      <c r="K456" s="61"/>
      <c r="L456" s="62"/>
      <c r="M456" s="63">
        <f t="shared" si="43"/>
        <v>550447</v>
      </c>
      <c r="N456" s="64">
        <f t="shared" si="45"/>
        <v>0</v>
      </c>
      <c r="O456" s="65">
        <f t="shared" si="46"/>
        <v>0</v>
      </c>
      <c r="P456" s="66">
        <f t="shared" si="47"/>
        <v>0</v>
      </c>
      <c r="Q456" s="60">
        <f t="shared" si="44"/>
        <v>550447</v>
      </c>
      <c r="R456" s="79"/>
      <c r="S456" s="80" t="s">
        <v>1094</v>
      </c>
      <c r="U456" s="81"/>
    </row>
    <row r="457" spans="1:21" s="6" customFormat="1" ht="27" customHeight="1">
      <c r="A457" s="32">
        <v>443</v>
      </c>
      <c r="B457" s="40"/>
      <c r="C457" s="40"/>
      <c r="D457" s="34"/>
      <c r="E457" s="35" t="str">
        <f>'Tên Tháng 1'!E446</f>
        <v>យី អាន់</v>
      </c>
      <c r="F457" s="36" t="str">
        <f>'Tên Tháng 1'!F446</f>
        <v>YI ANN</v>
      </c>
      <c r="G457" s="37">
        <v>431</v>
      </c>
      <c r="H457" s="38">
        <v>31947</v>
      </c>
      <c r="I457" s="59">
        <f>'KL 1'!X458</f>
        <v>18.14</v>
      </c>
      <c r="J457" s="60">
        <f t="shared" si="42"/>
        <v>579519</v>
      </c>
      <c r="K457" s="61"/>
      <c r="L457" s="62"/>
      <c r="M457" s="63">
        <f t="shared" si="43"/>
        <v>579519</v>
      </c>
      <c r="N457" s="64">
        <f t="shared" si="45"/>
        <v>0</v>
      </c>
      <c r="O457" s="65">
        <f t="shared" si="46"/>
        <v>0</v>
      </c>
      <c r="P457" s="66">
        <f t="shared" si="47"/>
        <v>0</v>
      </c>
      <c r="Q457" s="60">
        <f t="shared" si="44"/>
        <v>579519</v>
      </c>
      <c r="R457" s="79"/>
      <c r="S457" s="80" t="s">
        <v>1094</v>
      </c>
      <c r="U457" s="81"/>
    </row>
    <row r="458" spans="1:21" s="6" customFormat="1" ht="27" customHeight="1">
      <c r="A458" s="32">
        <v>444</v>
      </c>
      <c r="B458" s="40"/>
      <c r="C458" s="40"/>
      <c r="D458" s="34"/>
      <c r="E458" s="35" t="str">
        <f>'Tên Tháng 1'!E447</f>
        <v>ជិន ជុំ</v>
      </c>
      <c r="F458" s="36" t="str">
        <f>'Tên Tháng 1'!F447</f>
        <v>CHIN CHUM</v>
      </c>
      <c r="G458" s="37">
        <v>432</v>
      </c>
      <c r="H458" s="38">
        <v>31947</v>
      </c>
      <c r="I458" s="59">
        <f>'KL 1'!X459</f>
        <v>20.549999999999997</v>
      </c>
      <c r="J458" s="60">
        <f t="shared" si="42"/>
        <v>656511</v>
      </c>
      <c r="K458" s="61"/>
      <c r="L458" s="62"/>
      <c r="M458" s="63">
        <f t="shared" si="43"/>
        <v>656511</v>
      </c>
      <c r="N458" s="64">
        <f t="shared" si="45"/>
        <v>0</v>
      </c>
      <c r="O458" s="65">
        <f t="shared" si="46"/>
        <v>0</v>
      </c>
      <c r="P458" s="66">
        <f t="shared" si="47"/>
        <v>0</v>
      </c>
      <c r="Q458" s="60">
        <f t="shared" si="44"/>
        <v>656511</v>
      </c>
      <c r="R458" s="79"/>
      <c r="S458" s="80" t="s">
        <v>1094</v>
      </c>
      <c r="U458" s="81"/>
    </row>
    <row r="459" spans="1:21" s="6" customFormat="1" ht="22.95" customHeight="1">
      <c r="A459" s="32">
        <v>445</v>
      </c>
      <c r="B459" s="40"/>
      <c r="C459" s="40"/>
      <c r="D459" s="34"/>
      <c r="E459" s="35" t="str">
        <f>'Tên Tháng 1'!E448</f>
        <v>ស៊ុំ សាលី</v>
      </c>
      <c r="F459" s="36" t="str">
        <f>'Tên Tháng 1'!F448</f>
        <v>SUM SALY</v>
      </c>
      <c r="G459" s="37">
        <v>433</v>
      </c>
      <c r="H459" s="38">
        <v>31947</v>
      </c>
      <c r="I459" s="59">
        <f>'KL 1'!X460</f>
        <v>20.21</v>
      </c>
      <c r="J459" s="60">
        <f t="shared" si="42"/>
        <v>645649</v>
      </c>
      <c r="K459" s="61"/>
      <c r="L459" s="62"/>
      <c r="M459" s="63">
        <f t="shared" si="43"/>
        <v>645649</v>
      </c>
      <c r="N459" s="64">
        <f t="shared" si="45"/>
        <v>0</v>
      </c>
      <c r="O459" s="65">
        <f t="shared" si="46"/>
        <v>0</v>
      </c>
      <c r="P459" s="66">
        <f t="shared" si="47"/>
        <v>0</v>
      </c>
      <c r="Q459" s="60">
        <f t="shared" si="44"/>
        <v>645649</v>
      </c>
      <c r="R459" s="79"/>
      <c r="S459" s="80" t="s">
        <v>1094</v>
      </c>
      <c r="U459" s="81"/>
    </row>
    <row r="460" spans="1:21" s="6" customFormat="1" ht="22.95" customHeight="1">
      <c r="A460" s="32">
        <v>446</v>
      </c>
      <c r="B460" s="40"/>
      <c r="C460" s="40"/>
      <c r="D460" s="34"/>
      <c r="E460" s="35" t="str">
        <f>'Tên Tháng 1'!E449</f>
        <v>យី​ វណ្ណី</v>
      </c>
      <c r="F460" s="36" t="str">
        <f>'Tên Tháng 1'!F449</f>
        <v>YI VANNY</v>
      </c>
      <c r="G460" s="37">
        <v>434</v>
      </c>
      <c r="H460" s="38">
        <v>31947</v>
      </c>
      <c r="I460" s="59">
        <f>'KL 1'!X461</f>
        <v>15.76</v>
      </c>
      <c r="J460" s="60">
        <f t="shared" si="42"/>
        <v>503485</v>
      </c>
      <c r="K460" s="61"/>
      <c r="L460" s="62"/>
      <c r="M460" s="63">
        <f t="shared" si="43"/>
        <v>503485</v>
      </c>
      <c r="N460" s="64">
        <f t="shared" si="45"/>
        <v>0</v>
      </c>
      <c r="O460" s="65">
        <f t="shared" si="46"/>
        <v>0</v>
      </c>
      <c r="P460" s="66">
        <f t="shared" si="47"/>
        <v>0</v>
      </c>
      <c r="Q460" s="60">
        <f t="shared" si="44"/>
        <v>503485</v>
      </c>
      <c r="R460" s="79"/>
      <c r="S460" s="80" t="s">
        <v>1094</v>
      </c>
      <c r="U460" s="81"/>
    </row>
    <row r="461" spans="1:21" s="6" customFormat="1" ht="22.95" customHeight="1">
      <c r="A461" s="32">
        <v>447</v>
      </c>
      <c r="B461" s="40"/>
      <c r="C461" s="40"/>
      <c r="D461" s="34"/>
      <c r="E461" s="35" t="str">
        <f>'Tên Tháng 1'!E450</f>
        <v>ស្រី ឈួង</v>
      </c>
      <c r="F461" s="36" t="str">
        <f>'Tên Tháng 1'!F450</f>
        <v>SREY CHHUONG</v>
      </c>
      <c r="G461" s="37">
        <v>435</v>
      </c>
      <c r="H461" s="38">
        <v>31947</v>
      </c>
      <c r="I461" s="59">
        <f>'KL 1'!X462</f>
        <v>16.650000000000002</v>
      </c>
      <c r="J461" s="60">
        <f t="shared" si="42"/>
        <v>531918</v>
      </c>
      <c r="K461" s="61"/>
      <c r="L461" s="62"/>
      <c r="M461" s="63">
        <f t="shared" si="43"/>
        <v>531918</v>
      </c>
      <c r="N461" s="64">
        <f t="shared" si="45"/>
        <v>0</v>
      </c>
      <c r="O461" s="65">
        <f t="shared" si="46"/>
        <v>0</v>
      </c>
      <c r="P461" s="66">
        <f t="shared" si="47"/>
        <v>0</v>
      </c>
      <c r="Q461" s="60">
        <f t="shared" si="44"/>
        <v>531918</v>
      </c>
      <c r="R461" s="79"/>
      <c r="S461" s="80" t="s">
        <v>1094</v>
      </c>
      <c r="U461" s="81"/>
    </row>
    <row r="462" spans="1:21" s="6" customFormat="1" ht="22.95" customHeight="1">
      <c r="A462" s="32">
        <v>448</v>
      </c>
      <c r="B462" s="40"/>
      <c r="C462" s="40"/>
      <c r="D462" s="34"/>
      <c r="E462" s="35" t="str">
        <f>'Tên Tháng 1'!E451</f>
        <v>សឿន សាន</v>
      </c>
      <c r="F462" s="36" t="str">
        <f>'Tên Tháng 1'!F451</f>
        <v>SOEUN SAN</v>
      </c>
      <c r="G462" s="37">
        <v>436</v>
      </c>
      <c r="H462" s="38">
        <v>31947</v>
      </c>
      <c r="I462" s="59">
        <f>'KL 1'!X463</f>
        <v>15.51</v>
      </c>
      <c r="J462" s="60">
        <f t="shared" si="42"/>
        <v>495498</v>
      </c>
      <c r="K462" s="61"/>
      <c r="L462" s="62"/>
      <c r="M462" s="63">
        <f t="shared" si="43"/>
        <v>495498</v>
      </c>
      <c r="N462" s="64">
        <f t="shared" si="45"/>
        <v>0</v>
      </c>
      <c r="O462" s="65">
        <f t="shared" si="46"/>
        <v>0</v>
      </c>
      <c r="P462" s="66">
        <f t="shared" si="47"/>
        <v>0</v>
      </c>
      <c r="Q462" s="60">
        <f t="shared" si="44"/>
        <v>495498</v>
      </c>
      <c r="R462" s="79"/>
      <c r="S462" s="80" t="s">
        <v>1094</v>
      </c>
      <c r="U462" s="81"/>
    </row>
    <row r="463" spans="1:21" s="6" customFormat="1" ht="22.95" customHeight="1">
      <c r="A463" s="32">
        <v>449</v>
      </c>
      <c r="B463" s="40"/>
      <c r="C463" s="40"/>
      <c r="D463" s="34"/>
      <c r="E463" s="35" t="str">
        <f>'Tên Tháng 1'!E452</f>
        <v>យួត លៀ</v>
      </c>
      <c r="F463" s="36" t="str">
        <f>'Tên Tháng 1'!F452</f>
        <v>YOUT LEA</v>
      </c>
      <c r="G463" s="37">
        <v>437</v>
      </c>
      <c r="H463" s="38">
        <v>31947</v>
      </c>
      <c r="I463" s="59">
        <f>'KL 1'!X464</f>
        <v>16.27</v>
      </c>
      <c r="J463" s="60">
        <f t="shared" si="42"/>
        <v>519778</v>
      </c>
      <c r="K463" s="61"/>
      <c r="L463" s="62"/>
      <c r="M463" s="63">
        <f t="shared" si="43"/>
        <v>519778</v>
      </c>
      <c r="N463" s="64">
        <f t="shared" si="45"/>
        <v>0</v>
      </c>
      <c r="O463" s="65">
        <f t="shared" si="46"/>
        <v>0</v>
      </c>
      <c r="P463" s="66">
        <f t="shared" si="47"/>
        <v>0</v>
      </c>
      <c r="Q463" s="60">
        <f t="shared" si="44"/>
        <v>519778</v>
      </c>
      <c r="R463" s="79"/>
      <c r="S463" s="80" t="s">
        <v>1094</v>
      </c>
      <c r="U463" s="81"/>
    </row>
    <row r="464" spans="1:21" s="6" customFormat="1" ht="22.95" customHeight="1">
      <c r="A464" s="32">
        <v>450</v>
      </c>
      <c r="B464" s="40"/>
      <c r="C464" s="40"/>
      <c r="D464" s="34"/>
      <c r="E464" s="35" t="str">
        <f>'Tên Tháng 1'!E453</f>
        <v>ទី វេន</v>
      </c>
      <c r="F464" s="36" t="str">
        <f>'Tên Tháng 1'!F453</f>
        <v>TY VEN</v>
      </c>
      <c r="G464" s="37">
        <v>438</v>
      </c>
      <c r="H464" s="38">
        <v>31947</v>
      </c>
      <c r="I464" s="59">
        <f>'KL 1'!X465</f>
        <v>18.68</v>
      </c>
      <c r="J464" s="60">
        <f t="shared" ref="J464:J497" si="48">ROUND(H464*I464,0)</f>
        <v>596770</v>
      </c>
      <c r="K464" s="61"/>
      <c r="L464" s="62"/>
      <c r="M464" s="63">
        <f t="shared" ref="M464:M498" si="49">J464+L464</f>
        <v>596770</v>
      </c>
      <c r="N464" s="64">
        <f t="shared" si="45"/>
        <v>0</v>
      </c>
      <c r="O464" s="65">
        <f t="shared" si="46"/>
        <v>0</v>
      </c>
      <c r="P464" s="66">
        <f t="shared" si="47"/>
        <v>0</v>
      </c>
      <c r="Q464" s="60">
        <f t="shared" ref="Q464:Q498" si="50">M464-L464</f>
        <v>596770</v>
      </c>
      <c r="R464" s="79"/>
      <c r="S464" s="80" t="s">
        <v>1094</v>
      </c>
      <c r="U464" s="81"/>
    </row>
    <row r="465" spans="1:21" s="6" customFormat="1" ht="22.95" customHeight="1">
      <c r="A465" s="32">
        <v>451</v>
      </c>
      <c r="B465" s="40"/>
      <c r="C465" s="40"/>
      <c r="D465" s="34"/>
      <c r="E465" s="35" t="str">
        <f>'Tên Tháng 1'!E454</f>
        <v>យៀង សុលី</v>
      </c>
      <c r="F465" s="36" t="str">
        <f>'Tên Tháng 1'!F454</f>
        <v>YEANG SOLY</v>
      </c>
      <c r="G465" s="37">
        <v>439</v>
      </c>
      <c r="H465" s="38">
        <v>31947</v>
      </c>
      <c r="I465" s="59">
        <f>'KL 1'!X466</f>
        <v>15.59</v>
      </c>
      <c r="J465" s="60">
        <f t="shared" si="48"/>
        <v>498054</v>
      </c>
      <c r="K465" s="61"/>
      <c r="L465" s="62"/>
      <c r="M465" s="63">
        <f t="shared" si="49"/>
        <v>498054</v>
      </c>
      <c r="N465" s="64">
        <f t="shared" si="45"/>
        <v>0</v>
      </c>
      <c r="O465" s="65">
        <f t="shared" si="46"/>
        <v>0</v>
      </c>
      <c r="P465" s="66">
        <f t="shared" si="47"/>
        <v>0</v>
      </c>
      <c r="Q465" s="60">
        <f t="shared" si="50"/>
        <v>498054</v>
      </c>
      <c r="R465" s="79"/>
      <c r="S465" s="80" t="s">
        <v>1094</v>
      </c>
      <c r="U465" s="81"/>
    </row>
    <row r="466" spans="1:21" s="6" customFormat="1" ht="22.95" customHeight="1">
      <c r="A466" s="32">
        <v>452</v>
      </c>
      <c r="B466" s="40"/>
      <c r="C466" s="40"/>
      <c r="D466" s="34"/>
      <c r="E466" s="35" t="str">
        <f>'Tên Tháng 1'!E455</f>
        <v>អ៊ឹម អ៊ីន</v>
      </c>
      <c r="F466" s="36" t="str">
        <f>'Tên Tháng 1'!F455</f>
        <v>OEM IN</v>
      </c>
      <c r="G466" s="37">
        <v>440</v>
      </c>
      <c r="H466" s="38">
        <v>31947</v>
      </c>
      <c r="I466" s="59">
        <f>'KL 1'!X467</f>
        <v>17.04</v>
      </c>
      <c r="J466" s="60">
        <f t="shared" si="48"/>
        <v>544377</v>
      </c>
      <c r="K466" s="61"/>
      <c r="L466" s="62"/>
      <c r="M466" s="63">
        <f t="shared" si="49"/>
        <v>544377</v>
      </c>
      <c r="N466" s="64">
        <f t="shared" si="45"/>
        <v>0</v>
      </c>
      <c r="O466" s="65">
        <f t="shared" si="46"/>
        <v>0</v>
      </c>
      <c r="P466" s="66">
        <f t="shared" si="47"/>
        <v>0</v>
      </c>
      <c r="Q466" s="60">
        <f t="shared" si="50"/>
        <v>544377</v>
      </c>
      <c r="R466" s="79"/>
      <c r="S466" s="80" t="s">
        <v>1094</v>
      </c>
      <c r="U466" s="81"/>
    </row>
    <row r="467" spans="1:21" s="6" customFormat="1" ht="22.95" customHeight="1">
      <c r="A467" s="32">
        <v>453</v>
      </c>
      <c r="B467" s="40"/>
      <c r="C467" s="40"/>
      <c r="D467" s="34"/>
      <c r="E467" s="35" t="str">
        <f>'Tên Tháng 1'!E456</f>
        <v>លាង សុឃា</v>
      </c>
      <c r="F467" s="36" t="str">
        <f>'Tên Tháng 1'!F456</f>
        <v>LEANG SOKHEA</v>
      </c>
      <c r="G467" s="37">
        <v>441</v>
      </c>
      <c r="H467" s="38">
        <v>31947</v>
      </c>
      <c r="I467" s="59">
        <f>'KL 1'!X468</f>
        <v>19.21</v>
      </c>
      <c r="J467" s="60">
        <f t="shared" si="48"/>
        <v>613702</v>
      </c>
      <c r="K467" s="61"/>
      <c r="L467" s="62"/>
      <c r="M467" s="63">
        <f t="shared" si="49"/>
        <v>613702</v>
      </c>
      <c r="N467" s="64">
        <f t="shared" si="45"/>
        <v>0</v>
      </c>
      <c r="O467" s="65">
        <f t="shared" si="46"/>
        <v>0</v>
      </c>
      <c r="P467" s="66">
        <f t="shared" si="47"/>
        <v>0</v>
      </c>
      <c r="Q467" s="60">
        <f t="shared" si="50"/>
        <v>613702</v>
      </c>
      <c r="R467" s="79"/>
      <c r="S467" s="80" t="s">
        <v>1094</v>
      </c>
      <c r="U467" s="81"/>
    </row>
    <row r="468" spans="1:21" s="6" customFormat="1" ht="22.95" customHeight="1">
      <c r="A468" s="32">
        <v>454</v>
      </c>
      <c r="B468" s="40"/>
      <c r="C468" s="40"/>
      <c r="D468" s="34"/>
      <c r="E468" s="35" t="str">
        <f>'Tên Tháng 1'!E457</f>
        <v>មឿន ភាព</v>
      </c>
      <c r="F468" s="36" t="str">
        <f>'Tên Tháng 1'!F457</f>
        <v>MOEUN PHEP</v>
      </c>
      <c r="G468" s="37">
        <v>442</v>
      </c>
      <c r="H468" s="38">
        <v>31947</v>
      </c>
      <c r="I468" s="59">
        <f>'KL 1'!X469</f>
        <v>20.21</v>
      </c>
      <c r="J468" s="60">
        <f t="shared" si="48"/>
        <v>645649</v>
      </c>
      <c r="K468" s="61"/>
      <c r="L468" s="62"/>
      <c r="M468" s="63">
        <f t="shared" si="49"/>
        <v>645649</v>
      </c>
      <c r="N468" s="64">
        <f t="shared" si="45"/>
        <v>0</v>
      </c>
      <c r="O468" s="65">
        <f t="shared" si="46"/>
        <v>0</v>
      </c>
      <c r="P468" s="66">
        <f t="shared" si="47"/>
        <v>0</v>
      </c>
      <c r="Q468" s="60">
        <f t="shared" si="50"/>
        <v>645649</v>
      </c>
      <c r="R468" s="79"/>
      <c r="S468" s="80" t="s">
        <v>1094</v>
      </c>
      <c r="U468" s="81"/>
    </row>
    <row r="469" spans="1:21" s="6" customFormat="1" ht="22.95" customHeight="1">
      <c r="A469" s="32">
        <v>455</v>
      </c>
      <c r="B469" s="40"/>
      <c r="C469" s="40"/>
      <c r="D469" s="34"/>
      <c r="E469" s="35" t="str">
        <f>'Tên Tháng 1'!E458</f>
        <v>ហ៊ី ទីន</v>
      </c>
      <c r="F469" s="36" t="str">
        <f>'Tên Tháng 1'!F458</f>
        <v>HY TIN</v>
      </c>
      <c r="G469" s="37">
        <v>443</v>
      </c>
      <c r="H469" s="38">
        <v>31947</v>
      </c>
      <c r="I469" s="59">
        <f>'KL 1'!X470</f>
        <v>15.860000000000001</v>
      </c>
      <c r="J469" s="60">
        <f t="shared" si="48"/>
        <v>506679</v>
      </c>
      <c r="K469" s="61"/>
      <c r="L469" s="62"/>
      <c r="M469" s="63">
        <f t="shared" si="49"/>
        <v>506679</v>
      </c>
      <c r="N469" s="64">
        <f t="shared" si="45"/>
        <v>0</v>
      </c>
      <c r="O469" s="65">
        <f t="shared" si="46"/>
        <v>0</v>
      </c>
      <c r="P469" s="66">
        <f t="shared" si="47"/>
        <v>0</v>
      </c>
      <c r="Q469" s="60">
        <f t="shared" si="50"/>
        <v>506679</v>
      </c>
      <c r="R469" s="79"/>
      <c r="S469" s="80" t="s">
        <v>1094</v>
      </c>
      <c r="U469" s="81"/>
    </row>
    <row r="470" spans="1:21" s="6" customFormat="1" ht="22.95" customHeight="1">
      <c r="A470" s="32">
        <v>456</v>
      </c>
      <c r="B470" s="40"/>
      <c r="C470" s="40"/>
      <c r="D470" s="34"/>
      <c r="E470" s="35" t="str">
        <f>'Tên Tháng 1'!E459</f>
        <v>អឹម អន</v>
      </c>
      <c r="F470" s="36" t="str">
        <f>'Tên Tháng 1'!F459</f>
        <v>IM ON</v>
      </c>
      <c r="G470" s="37">
        <v>444</v>
      </c>
      <c r="H470" s="38">
        <v>31947</v>
      </c>
      <c r="I470" s="59">
        <f>'KL 1'!X471</f>
        <v>18.09</v>
      </c>
      <c r="J470" s="60">
        <f t="shared" si="48"/>
        <v>577921</v>
      </c>
      <c r="K470" s="61"/>
      <c r="L470" s="62"/>
      <c r="M470" s="63">
        <f t="shared" si="49"/>
        <v>577921</v>
      </c>
      <c r="N470" s="64">
        <f t="shared" si="45"/>
        <v>0</v>
      </c>
      <c r="O470" s="65">
        <f t="shared" si="46"/>
        <v>0</v>
      </c>
      <c r="P470" s="66">
        <f t="shared" si="47"/>
        <v>0</v>
      </c>
      <c r="Q470" s="60">
        <f t="shared" si="50"/>
        <v>577921</v>
      </c>
      <c r="R470" s="79"/>
      <c r="S470" s="80" t="s">
        <v>1094</v>
      </c>
      <c r="U470" s="81"/>
    </row>
    <row r="471" spans="1:21" s="6" customFormat="1" ht="22.95" customHeight="1">
      <c r="A471" s="32">
        <v>457</v>
      </c>
      <c r="B471" s="40"/>
      <c r="C471" s="40"/>
      <c r="D471" s="34"/>
      <c r="E471" s="35" t="str">
        <f>'Tên Tháng 1'!E460</f>
        <v>ហ៊ីម សុភក្តី</v>
      </c>
      <c r="F471" s="36" t="str">
        <f>'Tên Tháng 1'!F460</f>
        <v>HIM SOPHEAKDEY</v>
      </c>
      <c r="G471" s="37">
        <v>445</v>
      </c>
      <c r="H471" s="38">
        <v>31947</v>
      </c>
      <c r="I471" s="59">
        <f>'KL 1'!X472</f>
        <v>18.2</v>
      </c>
      <c r="J471" s="60">
        <f t="shared" si="48"/>
        <v>581435</v>
      </c>
      <c r="K471" s="61"/>
      <c r="L471" s="62"/>
      <c r="M471" s="63">
        <f t="shared" si="49"/>
        <v>581435</v>
      </c>
      <c r="N471" s="64">
        <f t="shared" si="45"/>
        <v>0</v>
      </c>
      <c r="O471" s="65">
        <f t="shared" si="46"/>
        <v>0</v>
      </c>
      <c r="P471" s="66">
        <f t="shared" si="47"/>
        <v>0</v>
      </c>
      <c r="Q471" s="60">
        <f t="shared" si="50"/>
        <v>581435</v>
      </c>
      <c r="R471" s="79"/>
      <c r="S471" s="80" t="s">
        <v>1094</v>
      </c>
      <c r="U471" s="81"/>
    </row>
    <row r="472" spans="1:21" s="6" customFormat="1" ht="22.95" customHeight="1">
      <c r="A472" s="32">
        <v>458</v>
      </c>
      <c r="B472" s="40"/>
      <c r="C472" s="40"/>
      <c r="D472" s="34"/>
      <c r="E472" s="35" t="str">
        <f>'Tên Tháng 1'!E461</f>
        <v>ម៉េត សុគន្ធា</v>
      </c>
      <c r="F472" s="36" t="str">
        <f>'Tên Tháng 1'!F461</f>
        <v>MET SOKUNTHEA</v>
      </c>
      <c r="G472" s="37">
        <v>446</v>
      </c>
      <c r="H472" s="38">
        <v>31947</v>
      </c>
      <c r="I472" s="59">
        <f>'KL 1'!X473</f>
        <v>18.43</v>
      </c>
      <c r="J472" s="60">
        <f t="shared" si="48"/>
        <v>588783</v>
      </c>
      <c r="K472" s="61"/>
      <c r="L472" s="62"/>
      <c r="M472" s="63">
        <f t="shared" si="49"/>
        <v>588783</v>
      </c>
      <c r="N472" s="64">
        <f t="shared" si="45"/>
        <v>0</v>
      </c>
      <c r="O472" s="65">
        <f t="shared" si="46"/>
        <v>0</v>
      </c>
      <c r="P472" s="66">
        <f t="shared" si="47"/>
        <v>0</v>
      </c>
      <c r="Q472" s="60">
        <f t="shared" si="50"/>
        <v>588783</v>
      </c>
      <c r="R472" s="79"/>
      <c r="S472" s="80" t="s">
        <v>1094</v>
      </c>
      <c r="U472" s="81"/>
    </row>
    <row r="473" spans="1:21" s="6" customFormat="1" ht="22.95" customHeight="1">
      <c r="A473" s="32">
        <v>459</v>
      </c>
      <c r="B473" s="40"/>
      <c r="C473" s="40"/>
      <c r="D473" s="34"/>
      <c r="E473" s="35" t="str">
        <f>'Tên Tháng 1'!E462</f>
        <v>ម៉ៅ ស្រីណុច</v>
      </c>
      <c r="F473" s="36" t="str">
        <f>'Tên Tháng 1'!F462</f>
        <v>MAO SREYNOCH</v>
      </c>
      <c r="G473" s="37">
        <v>447</v>
      </c>
      <c r="H473" s="38">
        <v>31947</v>
      </c>
      <c r="I473" s="59">
        <f>'KL 1'!X474</f>
        <v>11.58</v>
      </c>
      <c r="J473" s="60">
        <f t="shared" si="48"/>
        <v>369946</v>
      </c>
      <c r="K473" s="61"/>
      <c r="L473" s="62"/>
      <c r="M473" s="63">
        <f t="shared" si="49"/>
        <v>369946</v>
      </c>
      <c r="N473" s="64">
        <f t="shared" si="45"/>
        <v>0</v>
      </c>
      <c r="O473" s="65">
        <f t="shared" si="46"/>
        <v>0</v>
      </c>
      <c r="P473" s="66">
        <f t="shared" si="47"/>
        <v>0</v>
      </c>
      <c r="Q473" s="60">
        <f t="shared" si="50"/>
        <v>369946</v>
      </c>
      <c r="R473" s="79"/>
      <c r="S473" s="80" t="s">
        <v>1094</v>
      </c>
      <c r="U473" s="81"/>
    </row>
    <row r="474" spans="1:21" s="6" customFormat="1" ht="22.95" customHeight="1">
      <c r="A474" s="32">
        <v>460</v>
      </c>
      <c r="B474" s="40"/>
      <c r="C474" s="40"/>
      <c r="D474" s="34"/>
      <c r="E474" s="35" t="str">
        <f>'Tên Tháng 1'!E463</f>
        <v>ឡេង ហ៊ីម</v>
      </c>
      <c r="F474" s="36" t="str">
        <f>'Tên Tháng 1'!F463</f>
        <v>LENG HIM</v>
      </c>
      <c r="G474" s="37">
        <v>448</v>
      </c>
      <c r="H474" s="38">
        <v>31947</v>
      </c>
      <c r="I474" s="59">
        <f>'KL 1'!X475</f>
        <v>14.809999999999999</v>
      </c>
      <c r="J474" s="60">
        <f t="shared" si="48"/>
        <v>473135</v>
      </c>
      <c r="K474" s="61"/>
      <c r="L474" s="62"/>
      <c r="M474" s="63">
        <f t="shared" si="49"/>
        <v>473135</v>
      </c>
      <c r="N474" s="64">
        <f t="shared" si="45"/>
        <v>0</v>
      </c>
      <c r="O474" s="65">
        <f t="shared" si="46"/>
        <v>0</v>
      </c>
      <c r="P474" s="66">
        <f t="shared" si="47"/>
        <v>0</v>
      </c>
      <c r="Q474" s="60">
        <f t="shared" si="50"/>
        <v>473135</v>
      </c>
      <c r="R474" s="79"/>
      <c r="S474" s="80" t="s">
        <v>1094</v>
      </c>
      <c r="U474" s="81"/>
    </row>
    <row r="475" spans="1:21" s="6" customFormat="1" ht="22.95" customHeight="1">
      <c r="A475" s="32">
        <v>461</v>
      </c>
      <c r="B475" s="40"/>
      <c r="C475" s="40"/>
      <c r="D475" s="34"/>
      <c r="E475" s="35" t="str">
        <f>'Tên Tháng 1'!E464</f>
        <v>ហ៊ីម ហ៊ី</v>
      </c>
      <c r="F475" s="36" t="str">
        <f>'Tên Tháng 1'!F464</f>
        <v>HIM HY</v>
      </c>
      <c r="G475" s="37">
        <v>449</v>
      </c>
      <c r="H475" s="38">
        <v>31947</v>
      </c>
      <c r="I475" s="59">
        <f>'KL 1'!X476</f>
        <v>18.61</v>
      </c>
      <c r="J475" s="60">
        <f t="shared" si="48"/>
        <v>594534</v>
      </c>
      <c r="K475" s="61"/>
      <c r="L475" s="62"/>
      <c r="M475" s="63">
        <f t="shared" si="49"/>
        <v>594534</v>
      </c>
      <c r="N475" s="64">
        <f t="shared" si="45"/>
        <v>0</v>
      </c>
      <c r="O475" s="65">
        <f t="shared" si="46"/>
        <v>0</v>
      </c>
      <c r="P475" s="66">
        <f t="shared" si="47"/>
        <v>0</v>
      </c>
      <c r="Q475" s="60">
        <f t="shared" si="50"/>
        <v>594534</v>
      </c>
      <c r="R475" s="79"/>
      <c r="S475" s="80" t="s">
        <v>1094</v>
      </c>
      <c r="U475" s="81"/>
    </row>
    <row r="476" spans="1:21" s="6" customFormat="1" ht="22.95" customHeight="1">
      <c r="A476" s="32">
        <v>462</v>
      </c>
      <c r="B476" s="40"/>
      <c r="C476" s="40"/>
      <c r="D476" s="34"/>
      <c r="E476" s="35" t="str">
        <f>'Tên Tháng 1'!E465</f>
        <v>ហួត ផន</v>
      </c>
      <c r="F476" s="36" t="str">
        <f>'Tên Tháng 1'!F465</f>
        <v>HOUT PHORN</v>
      </c>
      <c r="G476" s="37">
        <v>450</v>
      </c>
      <c r="H476" s="38">
        <v>31947</v>
      </c>
      <c r="I476" s="59">
        <f>'KL 1'!X477</f>
        <v>18.799999999999997</v>
      </c>
      <c r="J476" s="60">
        <f t="shared" si="48"/>
        <v>600604</v>
      </c>
      <c r="K476" s="61"/>
      <c r="L476" s="62"/>
      <c r="M476" s="63">
        <f t="shared" si="49"/>
        <v>600604</v>
      </c>
      <c r="N476" s="64">
        <f t="shared" si="45"/>
        <v>0</v>
      </c>
      <c r="O476" s="65">
        <f t="shared" si="46"/>
        <v>0</v>
      </c>
      <c r="P476" s="66">
        <f t="shared" si="47"/>
        <v>0</v>
      </c>
      <c r="Q476" s="60">
        <f t="shared" si="50"/>
        <v>600604</v>
      </c>
      <c r="R476" s="79"/>
      <c r="S476" s="80" t="s">
        <v>1094</v>
      </c>
      <c r="U476" s="81"/>
    </row>
    <row r="477" spans="1:21" s="6" customFormat="1" ht="22.95" customHeight="1">
      <c r="A477" s="32">
        <v>463</v>
      </c>
      <c r="B477" s="40"/>
      <c r="C477" s="40"/>
      <c r="D477" s="34"/>
      <c r="E477" s="35" t="str">
        <f>'Tên Tháng 1'!E466</f>
        <v>ម៉េត សុខផៃ</v>
      </c>
      <c r="F477" s="36" t="str">
        <f>'Tên Tháng 1'!F466</f>
        <v>MET SOKPHAI</v>
      </c>
      <c r="G477" s="37">
        <v>451</v>
      </c>
      <c r="H477" s="38">
        <v>31947</v>
      </c>
      <c r="I477" s="59">
        <f>'KL 1'!X478</f>
        <v>19.049999999999997</v>
      </c>
      <c r="J477" s="60">
        <f t="shared" si="48"/>
        <v>608590</v>
      </c>
      <c r="K477" s="61"/>
      <c r="L477" s="62"/>
      <c r="M477" s="63">
        <f t="shared" si="49"/>
        <v>608590</v>
      </c>
      <c r="N477" s="64">
        <f t="shared" si="45"/>
        <v>0</v>
      </c>
      <c r="O477" s="65">
        <f t="shared" si="46"/>
        <v>0</v>
      </c>
      <c r="P477" s="66">
        <f t="shared" si="47"/>
        <v>0</v>
      </c>
      <c r="Q477" s="60">
        <f t="shared" si="50"/>
        <v>608590</v>
      </c>
      <c r="R477" s="79"/>
      <c r="S477" s="80" t="s">
        <v>1094</v>
      </c>
      <c r="U477" s="81"/>
    </row>
    <row r="478" spans="1:21" s="6" customFormat="1" ht="30" customHeight="1">
      <c r="A478" s="32">
        <v>464</v>
      </c>
      <c r="B478" s="40"/>
      <c r="C478" s="40"/>
      <c r="D478" s="34"/>
      <c r="E478" s="35" t="str">
        <f>'Tên Tháng 1'!E467</f>
        <v>ឆាង ឆើត</v>
      </c>
      <c r="F478" s="36" t="str">
        <f>'Tên Tháng 1'!F467</f>
        <v>CHHANG CHHEUT</v>
      </c>
      <c r="G478" s="37">
        <v>452</v>
      </c>
      <c r="H478" s="38">
        <v>31947</v>
      </c>
      <c r="I478" s="59">
        <f>'KL 1'!X479</f>
        <v>13.89</v>
      </c>
      <c r="J478" s="60">
        <f t="shared" si="48"/>
        <v>443744</v>
      </c>
      <c r="K478" s="61"/>
      <c r="L478" s="62"/>
      <c r="M478" s="63">
        <f t="shared" si="49"/>
        <v>443744</v>
      </c>
      <c r="N478" s="64">
        <f t="shared" si="45"/>
        <v>0</v>
      </c>
      <c r="O478" s="65">
        <f t="shared" si="46"/>
        <v>0</v>
      </c>
      <c r="P478" s="66">
        <f t="shared" si="47"/>
        <v>0</v>
      </c>
      <c r="Q478" s="60">
        <f t="shared" si="50"/>
        <v>443744</v>
      </c>
      <c r="R478" s="79"/>
      <c r="S478" s="80" t="s">
        <v>1094</v>
      </c>
      <c r="U478" s="81"/>
    </row>
    <row r="479" spans="1:21" s="6" customFormat="1" ht="28.2" customHeight="1">
      <c r="A479" s="32">
        <v>465</v>
      </c>
      <c r="B479" s="40"/>
      <c r="C479" s="40"/>
      <c r="D479" s="34"/>
      <c r="E479" s="35" t="str">
        <f>'Tên Tháng 1'!E468</f>
        <v>ទ្រី អឹង</v>
      </c>
      <c r="F479" s="36" t="str">
        <f>'Tên Tháng 1'!F468</f>
        <v>TRY EUNG</v>
      </c>
      <c r="G479" s="37">
        <v>453</v>
      </c>
      <c r="H479" s="38">
        <v>31947</v>
      </c>
      <c r="I479" s="59">
        <f>'KL 1'!X480</f>
        <v>13.73</v>
      </c>
      <c r="J479" s="60">
        <f t="shared" si="48"/>
        <v>438632</v>
      </c>
      <c r="K479" s="61"/>
      <c r="L479" s="62"/>
      <c r="M479" s="63">
        <f t="shared" si="49"/>
        <v>438632</v>
      </c>
      <c r="N479" s="64">
        <f t="shared" si="45"/>
        <v>0</v>
      </c>
      <c r="O479" s="65">
        <f t="shared" si="46"/>
        <v>0</v>
      </c>
      <c r="P479" s="66">
        <f t="shared" si="47"/>
        <v>0</v>
      </c>
      <c r="Q479" s="60">
        <f t="shared" si="50"/>
        <v>438632</v>
      </c>
      <c r="R479" s="79"/>
      <c r="S479" s="80" t="s">
        <v>1094</v>
      </c>
      <c r="U479" s="81"/>
    </row>
    <row r="480" spans="1:21" s="6" customFormat="1" ht="27.6" customHeight="1">
      <c r="A480" s="32">
        <v>466</v>
      </c>
      <c r="B480" s="40"/>
      <c r="C480" s="40"/>
      <c r="D480" s="34"/>
      <c r="E480" s="35" t="str">
        <f>'Tên Tháng 1'!E469</f>
        <v>ជា ឡៃយ៉ុន</v>
      </c>
      <c r="F480" s="36" t="str">
        <f>'Tên Tháng 1'!F469</f>
        <v>CHEA LAIYON</v>
      </c>
      <c r="G480" s="37">
        <v>454</v>
      </c>
      <c r="H480" s="38">
        <v>31947</v>
      </c>
      <c r="I480" s="59">
        <f>'KL 1'!X481</f>
        <v>18.350000000000001</v>
      </c>
      <c r="J480" s="60">
        <f t="shared" si="48"/>
        <v>586227</v>
      </c>
      <c r="K480" s="61"/>
      <c r="L480" s="62"/>
      <c r="M480" s="63">
        <f t="shared" si="49"/>
        <v>586227</v>
      </c>
      <c r="N480" s="64">
        <f t="shared" si="45"/>
        <v>0</v>
      </c>
      <c r="O480" s="65">
        <f t="shared" si="46"/>
        <v>0</v>
      </c>
      <c r="P480" s="66">
        <f t="shared" si="47"/>
        <v>0</v>
      </c>
      <c r="Q480" s="60">
        <f t="shared" si="50"/>
        <v>586227</v>
      </c>
      <c r="R480" s="79"/>
      <c r="S480" s="80" t="s">
        <v>1094</v>
      </c>
      <c r="U480" s="81"/>
    </row>
    <row r="481" spans="1:21" s="6" customFormat="1" ht="24" customHeight="1">
      <c r="A481" s="32">
        <v>467</v>
      </c>
      <c r="B481" s="40"/>
      <c r="C481" s="40"/>
      <c r="D481" s="34"/>
      <c r="E481" s="35" t="str">
        <f>'Tên Tháng 1'!E470</f>
        <v>តិប កី</v>
      </c>
      <c r="F481" s="36" t="str">
        <f>'Tên Tháng 1'!F470</f>
        <v>TOEB KIE</v>
      </c>
      <c r="G481" s="37">
        <v>455</v>
      </c>
      <c r="H481" s="38">
        <v>31947</v>
      </c>
      <c r="I481" s="59">
        <f>'KL 1'!X482</f>
        <v>13.9</v>
      </c>
      <c r="J481" s="60">
        <f t="shared" si="48"/>
        <v>444063</v>
      </c>
      <c r="K481" s="61"/>
      <c r="L481" s="62"/>
      <c r="M481" s="63">
        <f t="shared" si="49"/>
        <v>444063</v>
      </c>
      <c r="N481" s="64">
        <f t="shared" si="45"/>
        <v>0</v>
      </c>
      <c r="O481" s="65">
        <f t="shared" si="46"/>
        <v>0</v>
      </c>
      <c r="P481" s="66">
        <f t="shared" si="47"/>
        <v>0</v>
      </c>
      <c r="Q481" s="60">
        <f t="shared" si="50"/>
        <v>444063</v>
      </c>
      <c r="R481" s="79"/>
      <c r="S481" s="80" t="s">
        <v>1094</v>
      </c>
      <c r="U481" s="81"/>
    </row>
    <row r="482" spans="1:21" s="6" customFormat="1" ht="24" customHeight="1">
      <c r="A482" s="32">
        <v>468</v>
      </c>
      <c r="B482" s="40"/>
      <c r="C482" s="40"/>
      <c r="D482" s="34"/>
      <c r="E482" s="35" t="str">
        <f>'Tên Tháng 1'!E471</f>
        <v>ពរ​ ឡូ</v>
      </c>
      <c r="F482" s="36" t="str">
        <f>'Tên Tháng 1'!F471</f>
        <v>POR LO</v>
      </c>
      <c r="G482" s="37">
        <v>456</v>
      </c>
      <c r="H482" s="38">
        <v>31947</v>
      </c>
      <c r="I482" s="59">
        <f>'KL 1'!X483</f>
        <v>19.829999999999998</v>
      </c>
      <c r="J482" s="60">
        <f t="shared" si="48"/>
        <v>633509</v>
      </c>
      <c r="K482" s="61"/>
      <c r="L482" s="62"/>
      <c r="M482" s="63">
        <f t="shared" si="49"/>
        <v>633509</v>
      </c>
      <c r="N482" s="64">
        <f t="shared" si="45"/>
        <v>0</v>
      </c>
      <c r="O482" s="65">
        <f t="shared" si="46"/>
        <v>0</v>
      </c>
      <c r="P482" s="66">
        <f t="shared" si="47"/>
        <v>0</v>
      </c>
      <c r="Q482" s="60">
        <f t="shared" si="50"/>
        <v>633509</v>
      </c>
      <c r="R482" s="79"/>
      <c r="S482" s="80" t="s">
        <v>1094</v>
      </c>
      <c r="U482" s="81"/>
    </row>
    <row r="483" spans="1:21" s="6" customFormat="1" ht="24" customHeight="1">
      <c r="A483" s="32">
        <v>469</v>
      </c>
      <c r="B483" s="40"/>
      <c r="C483" s="40"/>
      <c r="D483" s="34"/>
      <c r="E483" s="35" t="str">
        <f>'Tên Tháng 1'!E472</f>
        <v>ឈួន ឆេន</v>
      </c>
      <c r="F483" s="36" t="str">
        <f>'Tên Tháng 1'!F472</f>
        <v>CHHOUN CHHEN</v>
      </c>
      <c r="G483" s="37">
        <v>457</v>
      </c>
      <c r="H483" s="38">
        <v>31947</v>
      </c>
      <c r="I483" s="59">
        <f>'KL 1'!X484</f>
        <v>20.119999999999997</v>
      </c>
      <c r="J483" s="60">
        <f t="shared" si="48"/>
        <v>642774</v>
      </c>
      <c r="K483" s="61"/>
      <c r="L483" s="62"/>
      <c r="M483" s="63">
        <f t="shared" si="49"/>
        <v>642774</v>
      </c>
      <c r="N483" s="64">
        <f t="shared" si="45"/>
        <v>0</v>
      </c>
      <c r="O483" s="65">
        <f t="shared" si="46"/>
        <v>0</v>
      </c>
      <c r="P483" s="66">
        <f t="shared" si="47"/>
        <v>0</v>
      </c>
      <c r="Q483" s="60">
        <f t="shared" si="50"/>
        <v>642774</v>
      </c>
      <c r="R483" s="79"/>
      <c r="S483" s="80" t="s">
        <v>1094</v>
      </c>
      <c r="U483" s="81"/>
    </row>
    <row r="484" spans="1:21" s="6" customFormat="1" ht="24" customHeight="1">
      <c r="A484" s="32">
        <v>470</v>
      </c>
      <c r="B484" s="40"/>
      <c r="C484" s="40"/>
      <c r="D484" s="34"/>
      <c r="E484" s="35" t="str">
        <f>'Tên Tháng 1'!E473</f>
        <v>ស៊ុត សោន</v>
      </c>
      <c r="F484" s="36" t="str">
        <f>'Tên Tháng 1'!F473</f>
        <v>SUT SAON</v>
      </c>
      <c r="G484" s="37">
        <v>458</v>
      </c>
      <c r="H484" s="38">
        <v>31947</v>
      </c>
      <c r="I484" s="59">
        <f>'KL 1'!X485</f>
        <v>19.48</v>
      </c>
      <c r="J484" s="60">
        <f t="shared" si="48"/>
        <v>622328</v>
      </c>
      <c r="K484" s="61"/>
      <c r="L484" s="62"/>
      <c r="M484" s="63">
        <f t="shared" si="49"/>
        <v>622328</v>
      </c>
      <c r="N484" s="64">
        <f t="shared" si="45"/>
        <v>0</v>
      </c>
      <c r="O484" s="65">
        <f t="shared" si="46"/>
        <v>0</v>
      </c>
      <c r="P484" s="66">
        <f t="shared" si="47"/>
        <v>0</v>
      </c>
      <c r="Q484" s="60">
        <f t="shared" si="50"/>
        <v>622328</v>
      </c>
      <c r="R484" s="79"/>
      <c r="S484" s="80" t="s">
        <v>1094</v>
      </c>
      <c r="U484" s="81"/>
    </row>
    <row r="485" spans="1:21" s="6" customFormat="1" ht="24" customHeight="1">
      <c r="A485" s="32">
        <v>471</v>
      </c>
      <c r="B485" s="40"/>
      <c r="C485" s="40"/>
      <c r="D485" s="34"/>
      <c r="E485" s="35" t="str">
        <f>'Tên Tháng 1'!E474</f>
        <v>ឈួន ឈី</v>
      </c>
      <c r="F485" s="36" t="str">
        <f>'Tên Tháng 1'!F474</f>
        <v>CHHUON CHHY</v>
      </c>
      <c r="G485" s="37">
        <v>459</v>
      </c>
      <c r="H485" s="38">
        <v>31947</v>
      </c>
      <c r="I485" s="59">
        <f>'KL 1'!X486</f>
        <v>17.600000000000001</v>
      </c>
      <c r="J485" s="60">
        <f t="shared" si="48"/>
        <v>562267</v>
      </c>
      <c r="K485" s="61"/>
      <c r="L485" s="62"/>
      <c r="M485" s="63">
        <f t="shared" si="49"/>
        <v>562267</v>
      </c>
      <c r="N485" s="64">
        <f t="shared" si="45"/>
        <v>0</v>
      </c>
      <c r="O485" s="65">
        <f t="shared" si="46"/>
        <v>0</v>
      </c>
      <c r="P485" s="66">
        <f t="shared" si="47"/>
        <v>0</v>
      </c>
      <c r="Q485" s="60">
        <f t="shared" si="50"/>
        <v>562267</v>
      </c>
      <c r="R485" s="79"/>
      <c r="S485" s="80" t="s">
        <v>1094</v>
      </c>
      <c r="U485" s="81"/>
    </row>
    <row r="486" spans="1:21" s="6" customFormat="1" ht="24" customHeight="1">
      <c r="A486" s="32">
        <v>472</v>
      </c>
      <c r="B486" s="40"/>
      <c r="C486" s="40"/>
      <c r="D486" s="34"/>
      <c r="E486" s="35" t="str">
        <f>'Tên Tháng 1'!E475</f>
        <v>ម៉េត សុផល</v>
      </c>
      <c r="F486" s="36" t="str">
        <f>'Tên Tháng 1'!F475</f>
        <v>MET SOPHALL</v>
      </c>
      <c r="G486" s="37">
        <v>460</v>
      </c>
      <c r="H486" s="38">
        <v>31947</v>
      </c>
      <c r="I486" s="59">
        <f>'KL 1'!X487</f>
        <v>16.330000000000002</v>
      </c>
      <c r="J486" s="60">
        <f t="shared" si="48"/>
        <v>521695</v>
      </c>
      <c r="K486" s="61"/>
      <c r="L486" s="62"/>
      <c r="M486" s="63">
        <f t="shared" si="49"/>
        <v>521695</v>
      </c>
      <c r="N486" s="64">
        <f t="shared" si="45"/>
        <v>0</v>
      </c>
      <c r="O486" s="65">
        <f t="shared" si="46"/>
        <v>0</v>
      </c>
      <c r="P486" s="66">
        <f t="shared" si="47"/>
        <v>0</v>
      </c>
      <c r="Q486" s="60">
        <f t="shared" si="50"/>
        <v>521695</v>
      </c>
      <c r="R486" s="79"/>
      <c r="S486" s="80" t="s">
        <v>1094</v>
      </c>
      <c r="U486" s="81"/>
    </row>
    <row r="487" spans="1:21" s="6" customFormat="1" ht="24" customHeight="1">
      <c r="A487" s="32">
        <v>473</v>
      </c>
      <c r="B487" s="40"/>
      <c r="C487" s="40"/>
      <c r="D487" s="34"/>
      <c r="E487" s="35" t="str">
        <f>'Tên Tháng 1'!E476</f>
        <v>អ៊ឹម ថូ</v>
      </c>
      <c r="F487" s="36" t="str">
        <f>'Tên Tháng 1'!F476</f>
        <v>OEM THO</v>
      </c>
      <c r="G487" s="37">
        <v>461</v>
      </c>
      <c r="H487" s="38">
        <v>31947</v>
      </c>
      <c r="I487" s="59">
        <f>'KL 1'!X488</f>
        <v>21.22</v>
      </c>
      <c r="J487" s="60">
        <f t="shared" si="48"/>
        <v>677915</v>
      </c>
      <c r="K487" s="61"/>
      <c r="L487" s="62"/>
      <c r="M487" s="63">
        <f t="shared" si="49"/>
        <v>677915</v>
      </c>
      <c r="N487" s="64">
        <f t="shared" si="45"/>
        <v>0</v>
      </c>
      <c r="O487" s="65">
        <f t="shared" si="46"/>
        <v>0</v>
      </c>
      <c r="P487" s="66">
        <f t="shared" si="47"/>
        <v>0</v>
      </c>
      <c r="Q487" s="60">
        <f t="shared" si="50"/>
        <v>677915</v>
      </c>
      <c r="R487" s="79"/>
      <c r="S487" s="80" t="s">
        <v>1094</v>
      </c>
      <c r="U487" s="81"/>
    </row>
    <row r="488" spans="1:21" s="6" customFormat="1" ht="24" customHeight="1">
      <c r="A488" s="32">
        <v>474</v>
      </c>
      <c r="B488" s="40"/>
      <c r="C488" s="40"/>
      <c r="D488" s="34"/>
      <c r="E488" s="35" t="str">
        <f>'Tên Tháng 1'!E477</f>
        <v>សៀវ រីណា</v>
      </c>
      <c r="F488" s="36" t="str">
        <f>'Tên Tháng 1'!F477</f>
        <v>SEAV RINA</v>
      </c>
      <c r="G488" s="37">
        <v>462</v>
      </c>
      <c r="H488" s="38">
        <v>31947</v>
      </c>
      <c r="I488" s="59">
        <f>'KL 1'!X489</f>
        <v>19.39</v>
      </c>
      <c r="J488" s="60">
        <f t="shared" si="48"/>
        <v>619452</v>
      </c>
      <c r="K488" s="61"/>
      <c r="L488" s="62"/>
      <c r="M488" s="63">
        <f t="shared" si="49"/>
        <v>619452</v>
      </c>
      <c r="N488" s="64">
        <f t="shared" si="45"/>
        <v>0</v>
      </c>
      <c r="O488" s="65">
        <f t="shared" si="46"/>
        <v>0</v>
      </c>
      <c r="P488" s="66">
        <f t="shared" si="47"/>
        <v>0</v>
      </c>
      <c r="Q488" s="60">
        <f t="shared" si="50"/>
        <v>619452</v>
      </c>
      <c r="R488" s="79"/>
      <c r="S488" s="80" t="s">
        <v>1094</v>
      </c>
      <c r="U488" s="81"/>
    </row>
    <row r="489" spans="1:21" s="6" customFormat="1" ht="24" customHeight="1">
      <c r="A489" s="32">
        <v>475</v>
      </c>
      <c r="B489" s="40"/>
      <c r="C489" s="40"/>
      <c r="D489" s="34"/>
      <c r="E489" s="35" t="str">
        <f>'Tên Tháng 1'!E478</f>
        <v>ផា សុសាយ</v>
      </c>
      <c r="F489" s="36" t="str">
        <f>'Tên Tháng 1'!F478</f>
        <v>PHA SOSAY</v>
      </c>
      <c r="G489" s="37">
        <v>463</v>
      </c>
      <c r="H489" s="38">
        <v>31947</v>
      </c>
      <c r="I489" s="59">
        <f>'KL 1'!X490</f>
        <v>16.099999999999998</v>
      </c>
      <c r="J489" s="60">
        <f t="shared" si="48"/>
        <v>514347</v>
      </c>
      <c r="K489" s="61"/>
      <c r="L489" s="62"/>
      <c r="M489" s="63">
        <f t="shared" si="49"/>
        <v>514347</v>
      </c>
      <c r="N489" s="64">
        <f t="shared" si="45"/>
        <v>0</v>
      </c>
      <c r="O489" s="65">
        <f t="shared" si="46"/>
        <v>0</v>
      </c>
      <c r="P489" s="66">
        <f t="shared" si="47"/>
        <v>0</v>
      </c>
      <c r="Q489" s="60">
        <f t="shared" si="50"/>
        <v>514347</v>
      </c>
      <c r="R489" s="79"/>
      <c r="S489" s="80" t="s">
        <v>1094</v>
      </c>
      <c r="U489" s="81"/>
    </row>
    <row r="490" spans="1:21" s="6" customFormat="1" ht="24" customHeight="1">
      <c r="A490" s="32">
        <v>476</v>
      </c>
      <c r="B490" s="40"/>
      <c r="C490" s="40"/>
      <c r="D490" s="34"/>
      <c r="E490" s="35" t="str">
        <f>'Tên Tháng 1'!E479</f>
        <v>ធាន អូន</v>
      </c>
      <c r="F490" s="36" t="str">
        <f>'Tên Tháng 1'!F479</f>
        <v>THEAN OUN</v>
      </c>
      <c r="G490" s="37">
        <v>464</v>
      </c>
      <c r="H490" s="38">
        <v>31947</v>
      </c>
      <c r="I490" s="59">
        <f>'KL 1'!X491</f>
        <v>19.740000000000002</v>
      </c>
      <c r="J490" s="60">
        <f t="shared" si="48"/>
        <v>630634</v>
      </c>
      <c r="K490" s="61"/>
      <c r="L490" s="62"/>
      <c r="M490" s="63">
        <f t="shared" si="49"/>
        <v>630634</v>
      </c>
      <c r="N490" s="64">
        <f t="shared" si="45"/>
        <v>0</v>
      </c>
      <c r="O490" s="65">
        <f t="shared" si="46"/>
        <v>0</v>
      </c>
      <c r="P490" s="66">
        <f t="shared" si="47"/>
        <v>0</v>
      </c>
      <c r="Q490" s="60">
        <f t="shared" si="50"/>
        <v>630634</v>
      </c>
      <c r="R490" s="79"/>
      <c r="S490" s="80" t="s">
        <v>1094</v>
      </c>
      <c r="U490" s="81"/>
    </row>
    <row r="491" spans="1:21" s="6" customFormat="1" ht="24" customHeight="1">
      <c r="A491" s="32">
        <v>477</v>
      </c>
      <c r="B491" s="40"/>
      <c r="C491" s="40"/>
      <c r="D491" s="34"/>
      <c r="E491" s="35" t="str">
        <f>'Tên Tháng 1'!E480</f>
        <v>អ៊ឹម ធារ៉ា</v>
      </c>
      <c r="F491" s="36" t="str">
        <f>'Tên Tháng 1'!F480</f>
        <v>OEM THEARA</v>
      </c>
      <c r="G491" s="37">
        <v>465</v>
      </c>
      <c r="H491" s="38">
        <v>31947</v>
      </c>
      <c r="I491" s="59">
        <f>'KL 1'!X492</f>
        <v>21.16</v>
      </c>
      <c r="J491" s="60">
        <f t="shared" si="48"/>
        <v>675999</v>
      </c>
      <c r="K491" s="61"/>
      <c r="L491" s="62"/>
      <c r="M491" s="63">
        <f t="shared" si="49"/>
        <v>675999</v>
      </c>
      <c r="N491" s="64">
        <f t="shared" si="45"/>
        <v>0</v>
      </c>
      <c r="O491" s="65">
        <f t="shared" si="46"/>
        <v>0</v>
      </c>
      <c r="P491" s="66">
        <f t="shared" si="47"/>
        <v>0</v>
      </c>
      <c r="Q491" s="60">
        <f t="shared" si="50"/>
        <v>675999</v>
      </c>
      <c r="R491" s="79"/>
      <c r="S491" s="80" t="s">
        <v>1094</v>
      </c>
      <c r="U491" s="81"/>
    </row>
    <row r="492" spans="1:21" s="6" customFormat="1" ht="24" customHeight="1">
      <c r="A492" s="32">
        <v>478</v>
      </c>
      <c r="B492" s="40"/>
      <c r="C492" s="40"/>
      <c r="D492" s="34"/>
      <c r="E492" s="35" t="str">
        <f>'Tên Tháng 1'!E481</f>
        <v>ជី ប៊ុនរ៉ូ</v>
      </c>
      <c r="F492" s="36" t="str">
        <f>'Tên Tháng 1'!F481</f>
        <v>CHY BUNRO</v>
      </c>
      <c r="G492" s="37">
        <v>466</v>
      </c>
      <c r="H492" s="38">
        <v>31947</v>
      </c>
      <c r="I492" s="59">
        <f>'KL 1'!X493</f>
        <v>17.54</v>
      </c>
      <c r="J492" s="60">
        <f t="shared" si="48"/>
        <v>560350</v>
      </c>
      <c r="K492" s="61"/>
      <c r="L492" s="62"/>
      <c r="M492" s="63">
        <f t="shared" si="49"/>
        <v>560350</v>
      </c>
      <c r="N492" s="64">
        <f t="shared" si="45"/>
        <v>0</v>
      </c>
      <c r="O492" s="65">
        <f t="shared" si="46"/>
        <v>0</v>
      </c>
      <c r="P492" s="66">
        <f t="shared" si="47"/>
        <v>0</v>
      </c>
      <c r="Q492" s="60">
        <f t="shared" si="50"/>
        <v>560350</v>
      </c>
      <c r="R492" s="79"/>
      <c r="S492" s="80" t="s">
        <v>1094</v>
      </c>
      <c r="U492" s="81"/>
    </row>
    <row r="493" spans="1:21" s="6" customFormat="1" ht="24" customHeight="1">
      <c r="A493" s="32">
        <v>479</v>
      </c>
      <c r="B493" s="40"/>
      <c r="C493" s="40"/>
      <c r="D493" s="34"/>
      <c r="E493" s="35" t="str">
        <f>'Tên Tháng 1'!E482</f>
        <v>ហឿន ឡៃហឿ</v>
      </c>
      <c r="F493" s="36" t="str">
        <f>'Tên Tháng 1'!F482</f>
        <v>HOEUN LYHOEU</v>
      </c>
      <c r="G493" s="37">
        <v>467</v>
      </c>
      <c r="H493" s="38">
        <v>31947</v>
      </c>
      <c r="I493" s="59">
        <f>'KL 1'!X494</f>
        <v>21.04</v>
      </c>
      <c r="J493" s="60">
        <f t="shared" si="48"/>
        <v>672165</v>
      </c>
      <c r="K493" s="61"/>
      <c r="L493" s="62"/>
      <c r="M493" s="63">
        <f t="shared" si="49"/>
        <v>672165</v>
      </c>
      <c r="N493" s="64">
        <f t="shared" si="45"/>
        <v>0</v>
      </c>
      <c r="O493" s="65">
        <f t="shared" si="46"/>
        <v>0</v>
      </c>
      <c r="P493" s="66">
        <f t="shared" si="47"/>
        <v>0</v>
      </c>
      <c r="Q493" s="60">
        <f t="shared" si="50"/>
        <v>672165</v>
      </c>
      <c r="R493" s="79"/>
      <c r="S493" s="80" t="s">
        <v>1094</v>
      </c>
      <c r="U493" s="81"/>
    </row>
    <row r="494" spans="1:21" s="6" customFormat="1" ht="24" customHeight="1">
      <c r="A494" s="32">
        <v>480</v>
      </c>
      <c r="B494" s="40"/>
      <c r="C494" s="40"/>
      <c r="D494" s="34"/>
      <c r="E494" s="35" t="str">
        <f>'Tên Tháng 1'!E483</f>
        <v>ព បៀវ</v>
      </c>
      <c r="F494" s="36" t="str">
        <f>'Tên Tháng 1'!F483</f>
        <v>POR BEAV</v>
      </c>
      <c r="G494" s="37">
        <v>468</v>
      </c>
      <c r="H494" s="38">
        <v>31947</v>
      </c>
      <c r="I494" s="59">
        <f>'KL 1'!X495</f>
        <v>22.439999999999998</v>
      </c>
      <c r="J494" s="60">
        <f t="shared" si="48"/>
        <v>716891</v>
      </c>
      <c r="K494" s="61"/>
      <c r="L494" s="62"/>
      <c r="M494" s="63">
        <f t="shared" si="49"/>
        <v>716891</v>
      </c>
      <c r="N494" s="64">
        <f t="shared" si="45"/>
        <v>0</v>
      </c>
      <c r="O494" s="65">
        <f t="shared" si="46"/>
        <v>0</v>
      </c>
      <c r="P494" s="66">
        <f t="shared" si="47"/>
        <v>0</v>
      </c>
      <c r="Q494" s="60">
        <f t="shared" si="50"/>
        <v>716891</v>
      </c>
      <c r="R494" s="79"/>
      <c r="S494" s="80" t="s">
        <v>1094</v>
      </c>
      <c r="U494" s="81"/>
    </row>
    <row r="495" spans="1:21" s="6" customFormat="1" ht="24" customHeight="1">
      <c r="A495" s="32">
        <v>481</v>
      </c>
      <c r="B495" s="40"/>
      <c r="C495" s="40"/>
      <c r="D495" s="34"/>
      <c r="E495" s="35" t="str">
        <f>'Tên Tháng 1'!E484</f>
        <v>សេង ស្រីមុំ</v>
      </c>
      <c r="F495" s="36" t="str">
        <f>'Tên Tháng 1'!F484</f>
        <v>SENG SREYMOM</v>
      </c>
      <c r="G495" s="37">
        <v>469</v>
      </c>
      <c r="H495" s="38">
        <v>31947</v>
      </c>
      <c r="I495" s="59">
        <f>'KL 1'!X496</f>
        <v>22.939999999999998</v>
      </c>
      <c r="J495" s="60">
        <f t="shared" si="48"/>
        <v>732864</v>
      </c>
      <c r="K495" s="61"/>
      <c r="L495" s="62"/>
      <c r="M495" s="63">
        <f t="shared" si="49"/>
        <v>732864</v>
      </c>
      <c r="N495" s="64">
        <f t="shared" si="45"/>
        <v>0</v>
      </c>
      <c r="O495" s="65">
        <f t="shared" si="46"/>
        <v>0</v>
      </c>
      <c r="P495" s="66">
        <f t="shared" si="47"/>
        <v>0</v>
      </c>
      <c r="Q495" s="60">
        <f t="shared" si="50"/>
        <v>732864</v>
      </c>
      <c r="R495" s="79"/>
      <c r="S495" s="80" t="s">
        <v>1094</v>
      </c>
      <c r="U495" s="81"/>
    </row>
    <row r="496" spans="1:21" s="6" customFormat="1" ht="24" customHeight="1">
      <c r="A496" s="32">
        <v>482</v>
      </c>
      <c r="B496" s="40"/>
      <c r="C496" s="40"/>
      <c r="D496" s="34"/>
      <c r="E496" s="35" t="str">
        <f>'Tên Tháng 1'!E485</f>
        <v>ឆាយ គី</v>
      </c>
      <c r="F496" s="36" t="str">
        <f>'Tên Tháng 1'!F485</f>
        <v>CHHAY KY</v>
      </c>
      <c r="G496" s="37">
        <v>470</v>
      </c>
      <c r="H496" s="38">
        <v>31947</v>
      </c>
      <c r="I496" s="59">
        <f>'KL 1'!X497</f>
        <v>16.740000000000002</v>
      </c>
      <c r="J496" s="60">
        <f t="shared" si="48"/>
        <v>534793</v>
      </c>
      <c r="K496" s="61"/>
      <c r="L496" s="62"/>
      <c r="M496" s="63">
        <f t="shared" si="49"/>
        <v>534793</v>
      </c>
      <c r="N496" s="64">
        <f t="shared" si="45"/>
        <v>0</v>
      </c>
      <c r="O496" s="65">
        <f t="shared" si="46"/>
        <v>0</v>
      </c>
      <c r="P496" s="66">
        <f t="shared" si="47"/>
        <v>0</v>
      </c>
      <c r="Q496" s="60">
        <f t="shared" si="50"/>
        <v>534793</v>
      </c>
      <c r="R496" s="79"/>
      <c r="S496" s="80" t="s">
        <v>1094</v>
      </c>
      <c r="U496" s="81"/>
    </row>
    <row r="497" spans="1:23" s="6" customFormat="1" ht="24" customHeight="1">
      <c r="A497" s="32">
        <v>483</v>
      </c>
      <c r="B497" s="40"/>
      <c r="C497" s="40"/>
      <c r="D497" s="34"/>
      <c r="E497" s="35" t="str">
        <f>'Tên Tháng 1'!E486</f>
        <v>ម៉ុក សង់</v>
      </c>
      <c r="F497" s="36" t="str">
        <f>'Tên Tháng 1'!F486</f>
        <v>MORK SONG</v>
      </c>
      <c r="G497" s="37">
        <v>471</v>
      </c>
      <c r="H497" s="38">
        <v>31947</v>
      </c>
      <c r="I497" s="59">
        <f>'KL 1'!X498</f>
        <v>20.54</v>
      </c>
      <c r="J497" s="60">
        <f t="shared" si="48"/>
        <v>656191</v>
      </c>
      <c r="K497" s="61"/>
      <c r="L497" s="62"/>
      <c r="M497" s="63">
        <f t="shared" si="49"/>
        <v>656191</v>
      </c>
      <c r="N497" s="64">
        <f t="shared" si="45"/>
        <v>0</v>
      </c>
      <c r="O497" s="65">
        <f t="shared" si="46"/>
        <v>0</v>
      </c>
      <c r="P497" s="66">
        <f t="shared" si="47"/>
        <v>0</v>
      </c>
      <c r="Q497" s="60">
        <f t="shared" si="50"/>
        <v>656191</v>
      </c>
      <c r="R497" s="79"/>
      <c r="S497" s="80" t="s">
        <v>1094</v>
      </c>
      <c r="U497" s="81"/>
    </row>
    <row r="498" spans="1:23" s="6" customFormat="1" ht="24" customHeight="1">
      <c r="A498" s="32">
        <v>484</v>
      </c>
      <c r="B498" s="40"/>
      <c r="C498" s="40"/>
      <c r="D498" s="34"/>
      <c r="E498" s="35" t="str">
        <f>'Tên Tháng 1'!E487</f>
        <v>ហន ហូត</v>
      </c>
      <c r="F498" s="36" t="str">
        <f>'Tên Tháng 1'!F487</f>
        <v>HORN HOUT</v>
      </c>
      <c r="G498" s="37">
        <v>472</v>
      </c>
      <c r="H498" s="38">
        <v>31947</v>
      </c>
      <c r="I498" s="59">
        <f>'KL 1'!X499</f>
        <v>19.240000000000002</v>
      </c>
      <c r="J498" s="60">
        <f>ROUND(H498*I498,0)+7</f>
        <v>614667</v>
      </c>
      <c r="K498" s="61"/>
      <c r="L498" s="62"/>
      <c r="M498" s="63">
        <f t="shared" si="49"/>
        <v>614667</v>
      </c>
      <c r="N498" s="64">
        <f t="shared" si="45"/>
        <v>0</v>
      </c>
      <c r="O498" s="65">
        <f t="shared" si="46"/>
        <v>0</v>
      </c>
      <c r="P498" s="66">
        <f t="shared" si="47"/>
        <v>0</v>
      </c>
      <c r="Q498" s="60">
        <f t="shared" si="50"/>
        <v>614667</v>
      </c>
      <c r="R498" s="79"/>
      <c r="S498" s="80" t="s">
        <v>1094</v>
      </c>
      <c r="U498" s="81"/>
    </row>
    <row r="499" spans="1:23" s="7" customFormat="1" ht="7.2" customHeight="1">
      <c r="A499" s="82"/>
      <c r="B499" s="83"/>
      <c r="C499" s="83"/>
      <c r="D499" s="84"/>
      <c r="E499" s="85"/>
      <c r="F499" s="86"/>
      <c r="G499" s="86"/>
      <c r="H499" s="87"/>
      <c r="I499" s="98"/>
      <c r="J499" s="99"/>
      <c r="K499" s="100"/>
      <c r="L499" s="101"/>
      <c r="M499" s="102"/>
      <c r="N499" s="103"/>
      <c r="O499" s="104"/>
      <c r="P499" s="105"/>
      <c r="Q499" s="99"/>
      <c r="R499" s="111"/>
      <c r="S499" s="112"/>
      <c r="T499" s="7">
        <v>526722</v>
      </c>
    </row>
    <row r="500" spans="1:23" ht="30" customHeight="1">
      <c r="A500" s="1528" t="s">
        <v>9</v>
      </c>
      <c r="B500" s="1529"/>
      <c r="C500" s="1529"/>
      <c r="D500" s="1529"/>
      <c r="E500" s="1529"/>
      <c r="F500" s="1529"/>
      <c r="G500" s="88"/>
      <c r="H500" s="89"/>
      <c r="I500" s="106">
        <f t="shared" ref="I500:Q500" si="51">SUM(I15:I498)</f>
        <v>7400.7999999999965</v>
      </c>
      <c r="J500" s="107">
        <f t="shared" si="51"/>
        <v>236433358</v>
      </c>
      <c r="K500" s="107">
        <f t="shared" si="51"/>
        <v>0</v>
      </c>
      <c r="L500" s="107">
        <f t="shared" si="51"/>
        <v>0</v>
      </c>
      <c r="M500" s="107">
        <f t="shared" si="51"/>
        <v>236433358</v>
      </c>
      <c r="N500" s="107">
        <f t="shared" si="51"/>
        <v>0</v>
      </c>
      <c r="O500" s="107">
        <f t="shared" si="51"/>
        <v>0</v>
      </c>
      <c r="P500" s="107">
        <f t="shared" si="51"/>
        <v>0</v>
      </c>
      <c r="Q500" s="107">
        <f t="shared" si="51"/>
        <v>236433358</v>
      </c>
      <c r="R500" s="107"/>
      <c r="S500" s="107"/>
      <c r="T500" s="107">
        <v>544306</v>
      </c>
      <c r="U500" s="107">
        <f>SUM(U15:U498)</f>
        <v>2889482</v>
      </c>
      <c r="V500" s="107">
        <f>SUM(V15:V498)</f>
        <v>997</v>
      </c>
      <c r="W500" s="113"/>
    </row>
    <row r="501" spans="1:23">
      <c r="T501" s="9">
        <v>462692</v>
      </c>
      <c r="U501" s="114"/>
    </row>
    <row r="502" spans="1:23" ht="27" customHeight="1">
      <c r="A502" s="90"/>
      <c r="B502" s="91"/>
      <c r="C502" s="91"/>
      <c r="D502" s="92"/>
      <c r="E502" s="90"/>
      <c r="F502" s="90"/>
      <c r="G502" s="90"/>
      <c r="I502" s="108">
        <f>'KL 1'!X501</f>
        <v>7400.7999999999965</v>
      </c>
      <c r="M502" s="1530" t="s">
        <v>1844</v>
      </c>
      <c r="N502" s="1531"/>
      <c r="O502" s="1531"/>
      <c r="P502" s="1531"/>
      <c r="Q502" s="1531"/>
      <c r="R502" s="1531"/>
      <c r="S502" s="109"/>
      <c r="U502" s="114"/>
    </row>
    <row r="503" spans="1:23" s="8" customFormat="1" ht="32.4" customHeight="1">
      <c r="A503" s="1532" t="s">
        <v>1509</v>
      </c>
      <c r="B503" s="1532"/>
      <c r="C503" s="1532"/>
      <c r="D503" s="1532"/>
      <c r="E503" s="1532"/>
      <c r="F503" s="1532"/>
      <c r="G503" s="93"/>
      <c r="J503" s="110">
        <f>I500*H498</f>
        <v>236433357.59999987</v>
      </c>
      <c r="M503" s="110"/>
      <c r="Q503" s="1533" t="s">
        <v>1510</v>
      </c>
      <c r="R503" s="1533"/>
      <c r="S503" s="115"/>
    </row>
    <row r="504" spans="1:23" s="8" customFormat="1" ht="23.25" customHeight="1">
      <c r="A504" s="1438" t="s">
        <v>1442</v>
      </c>
      <c r="B504" s="1438"/>
      <c r="C504" s="1438"/>
      <c r="D504" s="1438"/>
      <c r="E504" s="1438"/>
      <c r="F504" s="1438"/>
      <c r="G504" s="94"/>
      <c r="J504" s="110"/>
      <c r="M504" s="110"/>
      <c r="Q504" s="1438" t="s">
        <v>1511</v>
      </c>
      <c r="R504" s="1438"/>
      <c r="S504" s="94"/>
    </row>
    <row r="505" spans="1:23" s="8" customFormat="1" ht="18" customHeight="1">
      <c r="B505" s="95"/>
      <c r="C505" s="95"/>
      <c r="D505" s="96"/>
      <c r="J505" s="110"/>
      <c r="M505" s="110"/>
      <c r="Q505" s="110"/>
    </row>
    <row r="506" spans="1:23" s="8" customFormat="1" ht="18" customHeight="1">
      <c r="B506" s="95"/>
      <c r="C506" s="95"/>
      <c r="D506" s="96"/>
      <c r="J506" s="110"/>
      <c r="M506" s="110"/>
      <c r="Q506" s="110"/>
    </row>
    <row r="507" spans="1:23" s="8" customFormat="1" ht="18" customHeight="1">
      <c r="B507" s="95"/>
      <c r="C507" s="95"/>
      <c r="D507" s="96"/>
      <c r="J507" s="110"/>
      <c r="M507" s="110"/>
      <c r="Q507" s="110"/>
    </row>
    <row r="508" spans="1:23" s="8" customFormat="1" ht="18" customHeight="1">
      <c r="A508" s="1404" t="s">
        <v>1474</v>
      </c>
      <c r="B508" s="1404"/>
      <c r="C508" s="1404"/>
      <c r="D508" s="1404"/>
      <c r="E508" s="1404"/>
      <c r="F508" s="1404"/>
      <c r="G508" s="97"/>
      <c r="J508" s="110"/>
      <c r="M508" s="110"/>
      <c r="Q508" s="1342" t="s">
        <v>1473</v>
      </c>
      <c r="R508" s="1342"/>
      <c r="S508" s="116"/>
    </row>
    <row r="509" spans="1:23" s="8" customFormat="1" ht="18" customHeight="1">
      <c r="A509" s="1404"/>
      <c r="B509" s="1404"/>
      <c r="C509" s="1404"/>
      <c r="D509" s="1404"/>
      <c r="E509" s="1404"/>
      <c r="F509" s="1404"/>
      <c r="G509" s="97"/>
      <c r="J509" s="110"/>
      <c r="M509" s="110"/>
      <c r="Q509" s="1404"/>
      <c r="R509" s="1404"/>
      <c r="S509" s="97"/>
    </row>
    <row r="510" spans="1:23" ht="18" customHeight="1"/>
  </sheetData>
  <mergeCells count="35">
    <mergeCell ref="R11:R12"/>
    <mergeCell ref="A508:F508"/>
    <mergeCell ref="Q508:R508"/>
    <mergeCell ref="A509:F509"/>
    <mergeCell ref="Q509:R509"/>
    <mergeCell ref="A11:A12"/>
    <mergeCell ref="B11:B12"/>
    <mergeCell ref="C11:C12"/>
    <mergeCell ref="D11:D12"/>
    <mergeCell ref="E11:E12"/>
    <mergeCell ref="F11:F12"/>
    <mergeCell ref="A14:F14"/>
    <mergeCell ref="A500:F500"/>
    <mergeCell ref="M502:R502"/>
    <mergeCell ref="A503:F503"/>
    <mergeCell ref="Q503:R503"/>
    <mergeCell ref="M11:M12"/>
    <mergeCell ref="P11:P12"/>
    <mergeCell ref="Q11:Q12"/>
    <mergeCell ref="A504:F504"/>
    <mergeCell ref="Q504:R504"/>
    <mergeCell ref="A6:R6"/>
    <mergeCell ref="A7:R7"/>
    <mergeCell ref="A8:R8"/>
    <mergeCell ref="I11:J11"/>
    <mergeCell ref="K11:L11"/>
    <mergeCell ref="N11:O11"/>
    <mergeCell ref="G11:G12"/>
    <mergeCell ref="H11:H12"/>
    <mergeCell ref="A1:I1"/>
    <mergeCell ref="P1:R1"/>
    <mergeCell ref="A2:I2"/>
    <mergeCell ref="P2:R2"/>
    <mergeCell ref="A3:I3"/>
    <mergeCell ref="A5:R5"/>
  </mergeCells>
  <conditionalFormatting sqref="G11">
    <cfRule type="duplicateValues" dxfId="17" priority="11" stopIfTrue="1"/>
    <cfRule type="duplicateValues" dxfId="16" priority="12" stopIfTrue="1"/>
    <cfRule type="duplicateValues" dxfId="15" priority="13" stopIfTrue="1"/>
    <cfRule type="duplicateValues" dxfId="5" priority="14" stopIfTrue="1"/>
    <cfRule type="duplicateValues" dxfId="4" priority="15" stopIfTrue="1"/>
  </conditionalFormatting>
  <conditionalFormatting sqref="E11:E12">
    <cfRule type="duplicateValues" dxfId="14" priority="16" stopIfTrue="1"/>
    <cfRule type="duplicateValues" dxfId="13" priority="17" stopIfTrue="1"/>
    <cfRule type="duplicateValues" dxfId="12" priority="18" stopIfTrue="1"/>
    <cfRule type="duplicateValues" dxfId="3" priority="19" stopIfTrue="1"/>
    <cfRule type="duplicateValues" dxfId="2" priority="20" stopIfTrue="1"/>
  </conditionalFormatting>
  <conditionalFormatting sqref="F11:F12">
    <cfRule type="duplicateValues" dxfId="11" priority="1" stopIfTrue="1"/>
    <cfRule type="duplicateValues" dxfId="10" priority="2" stopIfTrue="1"/>
    <cfRule type="duplicateValues" dxfId="9" priority="3" stopIfTrue="1"/>
    <cfRule type="duplicateValues" dxfId="1" priority="4" stopIfTrue="1"/>
    <cfRule type="duplicateValues" dxfId="0" priority="5" stopIfTrue="1"/>
  </conditionalFormatting>
  <conditionalFormatting sqref="F499:G499 F1:G10 F13:G13">
    <cfRule type="expression" dxfId="8" priority="30" stopIfTrue="1">
      <formula>AND(COUNTIF($F$499:$G$499,F1)+COUNTIF($F$1:$G$10,F1)+COUNTIF($F$13:$G$13,F1)&gt;1,NOT(ISBLANK(F1)))</formula>
    </cfRule>
    <cfRule type="expression" dxfId="7" priority="31" stopIfTrue="1">
      <formula>AND(COUNTIF($F$499:$G$499,F1)+COUNTIF($F$1:$G$10,F1)+COUNTIF($F$13:$G$13,F1)&gt;1,NOT(ISBLANK(F1)))</formula>
    </cfRule>
    <cfRule type="expression" dxfId="6" priority="32" stopIfTrue="1">
      <formula>AND(COUNTIF($F$499:$G$499,F1)+COUNTIF($F$1:$G$10,F1)+COUNTIF($F$13:$G$13,F1)&gt;1,NOT(ISBLANK(F1)))</formula>
    </cfRule>
  </conditionalFormatting>
  <printOptions horizontalCentered="1" verticalCentered="1"/>
  <pageMargins left="0.23622047244094491" right="0.19685039370078741" top="0.31496062992125984" bottom="0.15748031496062992" header="0.39370078740157483" footer="0.39370078740157483"/>
  <pageSetup paperSize="9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18</vt:i4>
      </vt:variant>
    </vt:vector>
  </HeadingPairs>
  <TitlesOfParts>
    <vt:vector size="34" baseType="lpstr">
      <vt:lpstr>SL KHOÁNG T10 NT</vt:lpstr>
      <vt:lpstr>ct thuc te</vt:lpstr>
      <vt:lpstr>TÊN HÀNG MỤC</vt:lpstr>
      <vt:lpstr>Tên Tháng 1</vt:lpstr>
      <vt:lpstr>CHAM CONG</vt:lpstr>
      <vt:lpstr>SAN LUONG</vt:lpstr>
      <vt:lpstr>GA 1</vt:lpstr>
      <vt:lpstr>GA 2</vt:lpstr>
      <vt:lpstr>GA 3</vt:lpstr>
      <vt:lpstr>GA 4</vt:lpstr>
      <vt:lpstr>tổng hợp cty</vt:lpstr>
      <vt:lpstr>PTL T01-26</vt:lpstr>
      <vt:lpstr>CĐCN T01-26</vt:lpstr>
      <vt:lpstr>KL 1</vt:lpstr>
      <vt:lpstr>Sheet1</vt:lpstr>
      <vt:lpstr>TTL 01</vt:lpstr>
      <vt:lpstr>'CĐCN T01-26'!Print_Area</vt:lpstr>
      <vt:lpstr>'ct thuc te'!Print_Area</vt:lpstr>
      <vt:lpstr>'GA 1'!Print_Area</vt:lpstr>
      <vt:lpstr>'GA 2'!Print_Area</vt:lpstr>
      <vt:lpstr>'GA 3'!Print_Area</vt:lpstr>
      <vt:lpstr>'GA 4'!Print_Area</vt:lpstr>
      <vt:lpstr>'KL 1'!Print_Area</vt:lpstr>
      <vt:lpstr>'PTL T01-26'!Print_Area</vt:lpstr>
      <vt:lpstr>'tổng hợp cty'!Print_Area</vt:lpstr>
      <vt:lpstr>'TTL 01'!Print_Area</vt:lpstr>
      <vt:lpstr>'GA 1'!Print_Titles</vt:lpstr>
      <vt:lpstr>'GA 2'!Print_Titles</vt:lpstr>
      <vt:lpstr>'GA 3'!Print_Titles</vt:lpstr>
      <vt:lpstr>'GA 4'!Print_Titles</vt:lpstr>
      <vt:lpstr>'KL 1'!Print_Titles</vt:lpstr>
      <vt:lpstr>'PTL T01-26'!Print_Titles</vt:lpstr>
      <vt:lpstr>'tổng hợp cty'!Print_Titles</vt:lpstr>
      <vt:lpstr>'TTL 01'!Print_Titles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EU</dc:creator>
  <cp:keywords/>
  <dc:description/>
  <cp:lastModifiedBy>Kế toán Khắc Phú Đỉnh</cp:lastModifiedBy>
  <cp:revision>1</cp:revision>
  <cp:lastPrinted>2026-01-18T04:27:40Z</cp:lastPrinted>
  <dcterms:created xsi:type="dcterms:W3CDTF">2010-01-30T09:17:35Z</dcterms:created>
  <dcterms:modified xsi:type="dcterms:W3CDTF">2026-04-15T01:24:42Z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FB10CB274DB44EA69AE59ADD4C4C11C6</vt:lpwstr>
  </property>
</Properties>
</file>